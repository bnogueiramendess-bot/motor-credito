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T:\Financeiro\Inadimplência\Overdue\2026\04-2026\"/>
    </mc:Choice>
  </mc:AlternateContent>
  <xr:revisionPtr revIDLastSave="0" documentId="13_ncr:1_{9B48BEFC-AE0F-4A44-B616-109DD9A12E38}" xr6:coauthVersionLast="47" xr6:coauthVersionMax="47" xr10:uidLastSave="{00000000-0000-0000-0000-000000000000}"/>
  <bookViews>
    <workbookView xWindow="28680" yWindow="-120" windowWidth="29040" windowHeight="15720" xr2:uid="{00000000-000D-0000-FFFF-FFFF00000000}"/>
  </bookViews>
  <sheets>
    <sheet name="AR - slide BoD" sheetId="38" r:id="rId1"/>
    <sheet name="AR - slide" sheetId="37" state="hidden" r:id="rId2"/>
    <sheet name="AR" sheetId="26" state="hidden" r:id="rId3"/>
    <sheet name="Data total" sheetId="8" r:id="rId4"/>
    <sheet name="freight debit notes" sheetId="39" r:id="rId5"/>
    <sheet name="Data Additive" sheetId="1" r:id="rId6"/>
    <sheet name="Data International" sheetId="24" r:id="rId7"/>
    <sheet name="Data Fertilizers" sheetId="11" r:id="rId8"/>
    <sheet name="Clientes Consolidado." sheetId="36" r:id="rId9"/>
    <sheet name="Planilha1" sheetId="41" state="hidden" r:id="rId10"/>
    <sheet name="Nova Versão " sheetId="42" r:id="rId11"/>
    <sheet name="Painel Additive" sheetId="6" r:id="rId12"/>
    <sheet name="Painel Fertilizers" sheetId="14" r:id="rId13"/>
    <sheet name="Cliente Aditivo" sheetId="32" state="hidden" r:id="rId14"/>
    <sheet name="Cliente Fertilizante" sheetId="33" state="hidden" r:id="rId15"/>
    <sheet name="Cliente Internacional" sheetId="34" state="hidden" r:id="rId16"/>
    <sheet name="Painel International" sheetId="23" r:id="rId17"/>
    <sheet name="Limite de crédito" sheetId="28" r:id="rId18"/>
    <sheet name="Sheet1" sheetId="40" r:id="rId19"/>
    <sheet name="Bad Debt Provision" sheetId="17" r:id="rId20"/>
    <sheet name="Planilha3" sheetId="43" r:id="rId21"/>
  </sheets>
  <definedNames>
    <definedName name="\0">#N/A</definedName>
    <definedName name="\1">#REF!</definedName>
    <definedName name="\2">#REF!</definedName>
    <definedName name="\3">#REF!</definedName>
    <definedName name="\4">#REF!</definedName>
    <definedName name="\5">#REF!</definedName>
    <definedName name="\a">#N/A</definedName>
    <definedName name="\b">#N/A</definedName>
    <definedName name="\c">#N/A</definedName>
    <definedName name="\d">#N/A</definedName>
    <definedName name="\DSUM">#REF!</definedName>
    <definedName name="\e">#N/A</definedName>
    <definedName name="\EXP">#REF!</definedName>
    <definedName name="\f">#N/A</definedName>
    <definedName name="\g">#N/A</definedName>
    <definedName name="\GL">#REF!</definedName>
    <definedName name="\h">#REF!</definedName>
    <definedName name="\I">#REF!</definedName>
    <definedName name="\k">#REF!</definedName>
    <definedName name="\l">#REF!</definedName>
    <definedName name="\m">#N/A</definedName>
    <definedName name="\MPR2">#REF!</definedName>
    <definedName name="\n">#REF!</definedName>
    <definedName name="\o">#REF!</definedName>
    <definedName name="\p">#N/A</definedName>
    <definedName name="\q">#REF!</definedName>
    <definedName name="\R">#REF!</definedName>
    <definedName name="\s">#N/A</definedName>
    <definedName name="\t">#REF!</definedName>
    <definedName name="\u">#N/A</definedName>
    <definedName name="\w">#REF!</definedName>
    <definedName name="\x">#REF!</definedName>
    <definedName name="\y">#REF!</definedName>
    <definedName name="\z">#REF!</definedName>
    <definedName name="_">#REF!</definedName>
    <definedName name="__?Business___Market_Spr">#REF!</definedName>
    <definedName name="__?End_Use_Analysis___Sectoral_Gro">#REF!</definedName>
    <definedName name="__?INDUSTRY_MATERIAL_BALA">#REF!</definedName>
    <definedName name="__?INDUSTRY_MATERIAL_BALANCE___PROJECTI">#REF!</definedName>
    <definedName name="__?PE___Q1_REV">#REF!</definedName>
    <definedName name="__?PE_1996">#REF!</definedName>
    <definedName name="__?PE_BUSINESS___PAST___FUT">#REF!</definedName>
    <definedName name="__?PE_REV">#REF!</definedName>
    <definedName name="__?PRICE_FORECAST___1995">#REF!</definedName>
    <definedName name="__?PROFITABILITY__Q3_1996__">#REF!</definedName>
    <definedName name="__?Q3___SUMM">#REF!</definedName>
    <definedName name="__?Quarterwise_Collection_P">#REF!</definedName>
    <definedName name="__?Quarterwise_Export_P">#REF!</definedName>
    <definedName name="__?QUARTERWISE_PERFORMA">#REF!</definedName>
    <definedName name="__?RE">#REF!</definedName>
    <definedName name="_____________________________________________________FEB107" hidden="1">#REF!</definedName>
    <definedName name="____________________________________________________FEB107" hidden="1">#REF!</definedName>
    <definedName name="___________________________________________________FEB107" hidden="1">#REF!</definedName>
    <definedName name="__________________________________________________FEB107" hidden="1">#REF!</definedName>
    <definedName name="_________________________________________________FEB107" hidden="1">#REF!</definedName>
    <definedName name="________________________________________________FEB107" hidden="1">#REF!</definedName>
    <definedName name="________________________________________________JAN2010" hidden="1">{#N/A,#N/A,FALSE,"Ut";#N/A,#N/A,FALSE,"UT-h"}</definedName>
    <definedName name="_______________________________________________FEB107" hidden="1">#REF!</definedName>
    <definedName name="_______________________________________________JAN10" hidden="1">{#N/A,#N/A,FALSE,"Ut";#N/A,#N/A,FALSE,"UT-h"}</definedName>
    <definedName name="_______________________________________________JAN2010" hidden="1">{#N/A,#N/A,FALSE,"Ut";#N/A,#N/A,FALSE,"UT-h"}</definedName>
    <definedName name="______________________________________________FEB107" hidden="1">#REF!</definedName>
    <definedName name="______________________________________________JAN10" hidden="1">{#N/A,#N/A,FALSE,"Ut";#N/A,#N/A,FALSE,"UT-h"}</definedName>
    <definedName name="______________________________________________JAN2010" hidden="1">{#N/A,#N/A,FALSE,"Ut";#N/A,#N/A,FALSE,"UT-h"}</definedName>
    <definedName name="_____________________________________________FEB107" hidden="1">#REF!</definedName>
    <definedName name="_____________________________________________JAN10" hidden="1">{#N/A,#N/A,FALSE,"Ut";#N/A,#N/A,FALSE,"UT-h"}</definedName>
    <definedName name="_____________________________________________JAN2010" hidden="1">{#N/A,#N/A,FALSE,"Ut";#N/A,#N/A,FALSE,"UT-h"}</definedName>
    <definedName name="____________________________________________FEB107" hidden="1">#REF!</definedName>
    <definedName name="____________________________________________JAN10" hidden="1">{#N/A,#N/A,FALSE,"Ut";#N/A,#N/A,FALSE,"UT-h"}</definedName>
    <definedName name="____________________________________________JAN2010" hidden="1">{#N/A,#N/A,FALSE,"Ut";#N/A,#N/A,FALSE,"UT-h"}</definedName>
    <definedName name="___________________________________________FEB107" hidden="1">#REF!</definedName>
    <definedName name="___________________________________________JAN10" hidden="1">{#N/A,#N/A,FALSE,"Ut";#N/A,#N/A,FALSE,"UT-h"}</definedName>
    <definedName name="___________________________________________JAN2010" hidden="1">{#N/A,#N/A,FALSE,"Ut";#N/A,#N/A,FALSE,"UT-h"}</definedName>
    <definedName name="__________________________________________FEB107" hidden="1">#REF!</definedName>
    <definedName name="__________________________________________JAN10" hidden="1">{#N/A,#N/A,FALSE,"Ut";#N/A,#N/A,FALSE,"UT-h"}</definedName>
    <definedName name="__________________________________________JAN2010" hidden="1">{#N/A,#N/A,FALSE,"Ut";#N/A,#N/A,FALSE,"UT-h"}</definedName>
    <definedName name="_________________________________________FEB107" hidden="1">#REF!</definedName>
    <definedName name="_________________________________________JAN10" hidden="1">{#N/A,#N/A,FALSE,"Ut";#N/A,#N/A,FALSE,"UT-h"}</definedName>
    <definedName name="_________________________________________JAN2010" hidden="1">{#N/A,#N/A,FALSE,"Ut";#N/A,#N/A,FALSE,"UT-h"}</definedName>
    <definedName name="________________________________________FEB107" hidden="1">#REF!</definedName>
    <definedName name="________________________________________JAN10" hidden="1">{#N/A,#N/A,FALSE,"Ut";#N/A,#N/A,FALSE,"UT-h"}</definedName>
    <definedName name="________________________________________JAN2010" hidden="1">{#N/A,#N/A,FALSE,"Ut";#N/A,#N/A,FALSE,"UT-h"}</definedName>
    <definedName name="_______________________________________FEB107" hidden="1">#REF!</definedName>
    <definedName name="_______________________________________JAN10" hidden="1">{#N/A,#N/A,FALSE,"Ut";#N/A,#N/A,FALSE,"UT-h"}</definedName>
    <definedName name="_______________________________________JAN2010" hidden="1">{#N/A,#N/A,FALSE,"Ut";#N/A,#N/A,FALSE,"UT-h"}</definedName>
    <definedName name="______________________________________FEB107" hidden="1">#REF!</definedName>
    <definedName name="______________________________________JAN10" hidden="1">{#N/A,#N/A,FALSE,"Ut";#N/A,#N/A,FALSE,"UT-h"}</definedName>
    <definedName name="______________________________________JAN2010" hidden="1">{#N/A,#N/A,FALSE,"Ut";#N/A,#N/A,FALSE,"UT-h"}</definedName>
    <definedName name="_____________________________________FEB107" hidden="1">#REF!</definedName>
    <definedName name="_____________________________________JAN10" hidden="1">{#N/A,#N/A,FALSE,"Ut";#N/A,#N/A,FALSE,"UT-h"}</definedName>
    <definedName name="_____________________________________JAN2010" hidden="1">{#N/A,#N/A,FALSE,"Ut";#N/A,#N/A,FALSE,"UT-h"}</definedName>
    <definedName name="____________________________________FEB107" hidden="1">#REF!</definedName>
    <definedName name="____________________________________JAN10" hidden="1">{#N/A,#N/A,FALSE,"Ut";#N/A,#N/A,FALSE,"UT-h"}</definedName>
    <definedName name="____________________________________JAN2010" hidden="1">{#N/A,#N/A,FALSE,"Ut";#N/A,#N/A,FALSE,"UT-h"}</definedName>
    <definedName name="___________________________________FEB107" hidden="1">#REF!</definedName>
    <definedName name="___________________________________JAN10" hidden="1">{#N/A,#N/A,FALSE,"Ut";#N/A,#N/A,FALSE,"UT-h"}</definedName>
    <definedName name="___________________________________JAN2010" hidden="1">{#N/A,#N/A,FALSE,"Ut";#N/A,#N/A,FALSE,"UT-h"}</definedName>
    <definedName name="__________________________________FEB107" hidden="1">#REF!</definedName>
    <definedName name="__________________________________JAN10" hidden="1">{#N/A,#N/A,FALSE,"Ut";#N/A,#N/A,FALSE,"UT-h"}</definedName>
    <definedName name="__________________________________JAN2010" hidden="1">{#N/A,#N/A,FALSE,"Ut";#N/A,#N/A,FALSE,"UT-h"}</definedName>
    <definedName name="_________________________________FEB107" hidden="1">#REF!</definedName>
    <definedName name="_________________________________JAN10" hidden="1">{#N/A,#N/A,FALSE,"Ut";#N/A,#N/A,FALSE,"UT-h"}</definedName>
    <definedName name="_________________________________JAN2010" hidden="1">{#N/A,#N/A,FALSE,"Ut";#N/A,#N/A,FALSE,"UT-h"}</definedName>
    <definedName name="________________________________FEB107" hidden="1">#REF!</definedName>
    <definedName name="________________________________JAN10" hidden="1">{#N/A,#N/A,FALSE,"Ut";#N/A,#N/A,FALSE,"UT-h"}</definedName>
    <definedName name="________________________________JAN2010" hidden="1">{#N/A,#N/A,FALSE,"Ut";#N/A,#N/A,FALSE,"UT-h"}</definedName>
    <definedName name="_______________________________DAT5">#REF!</definedName>
    <definedName name="_______________________________DAT7">#REF!</definedName>
    <definedName name="_______________________________FEB107" hidden="1">#REF!</definedName>
    <definedName name="_______________________________JAN10" hidden="1">{#N/A,#N/A,FALSE,"Ut";#N/A,#N/A,FALSE,"UT-h"}</definedName>
    <definedName name="_______________________________JAN2010" hidden="1">{#N/A,#N/A,FALSE,"Ut";#N/A,#N/A,FALSE,"UT-h"}</definedName>
    <definedName name="______________________________DAT1">#REF!</definedName>
    <definedName name="______________________________DAT10">#REF!</definedName>
    <definedName name="______________________________FEB107" hidden="1">#REF!</definedName>
    <definedName name="______________________________JAN10" hidden="1">{#N/A,#N/A,FALSE,"Ut";#N/A,#N/A,FALSE,"UT-h"}</definedName>
    <definedName name="______________________________JAN2010" hidden="1">{#N/A,#N/A,FALSE,"Ut";#N/A,#N/A,FALSE,"UT-h"}</definedName>
    <definedName name="_____________________________DAT5">#REF!</definedName>
    <definedName name="_____________________________DAT7">#REF!</definedName>
    <definedName name="_____________________________FEB107" hidden="1">#REF!</definedName>
    <definedName name="_____________________________JAN10" hidden="1">{#N/A,#N/A,FALSE,"Ut";#N/A,#N/A,FALSE,"UT-h"}</definedName>
    <definedName name="_____________________________JAN2010" hidden="1">{#N/A,#N/A,FALSE,"Ut";#N/A,#N/A,FALSE,"UT-h"}</definedName>
    <definedName name="____________________________DAT1">#REF!</definedName>
    <definedName name="____________________________DAT10">#REF!</definedName>
    <definedName name="____________________________DAT5">#REF!</definedName>
    <definedName name="____________________________DAT7">#REF!</definedName>
    <definedName name="____________________________FEB107" hidden="1">#REF!</definedName>
    <definedName name="____________________________JAN10" hidden="1">{#N/A,#N/A,FALSE,"Ut";#N/A,#N/A,FALSE,"UT-h"}</definedName>
    <definedName name="____________________________JAN2010" hidden="1">{#N/A,#N/A,FALSE,"Ut";#N/A,#N/A,FALSE,"UT-h"}</definedName>
    <definedName name="___________________________DAT1">#REF!</definedName>
    <definedName name="___________________________DAT10">#REF!</definedName>
    <definedName name="___________________________DAT5">#REF!</definedName>
    <definedName name="___________________________DAT7">#REF!</definedName>
    <definedName name="___________________________FEB107" hidden="1">#REF!</definedName>
    <definedName name="___________________________JAN10" hidden="1">{#N/A,#N/A,FALSE,"Ut";#N/A,#N/A,FALSE,"UT-h"}</definedName>
    <definedName name="___________________________JAN2010" hidden="1">{#N/A,#N/A,FALSE,"Ut";#N/A,#N/A,FALSE,"UT-h"}</definedName>
    <definedName name="__________________________DAT1">#REF!</definedName>
    <definedName name="__________________________DAT10">#REF!</definedName>
    <definedName name="__________________________DAT4">#REF!</definedName>
    <definedName name="__________________________DAT5">#REF!</definedName>
    <definedName name="__________________________DAT7">#REF!</definedName>
    <definedName name="__________________________FEB107" hidden="1">#REF!</definedName>
    <definedName name="__________________________JAN10" hidden="1">{#N/A,#N/A,FALSE,"Ut";#N/A,#N/A,FALSE,"UT-h"}</definedName>
    <definedName name="__________________________JAN2010" hidden="1">{#N/A,#N/A,FALSE,"Ut";#N/A,#N/A,FALSE,"UT-h"}</definedName>
    <definedName name="_________________________DAT1">#REF!</definedName>
    <definedName name="_________________________DAT10">#REF!</definedName>
    <definedName name="_________________________DAT5">#REF!</definedName>
    <definedName name="_________________________DAT7">#REF!</definedName>
    <definedName name="_________________________FEB107" hidden="1">#REF!</definedName>
    <definedName name="_________________________JAN10" hidden="1">{#N/A,#N/A,FALSE,"Ut";#N/A,#N/A,FALSE,"UT-h"}</definedName>
    <definedName name="_________________________JAN2010" hidden="1">{#N/A,#N/A,FALSE,"Ut";#N/A,#N/A,FALSE,"UT-h"}</definedName>
    <definedName name="________________________DAT1">#REF!</definedName>
    <definedName name="________________________DAT10">#REF!</definedName>
    <definedName name="________________________DAT2">#REF!</definedName>
    <definedName name="________________________DAT4">#REF!</definedName>
    <definedName name="________________________DAT5">#REF!</definedName>
    <definedName name="________________________DAT7">#REF!</definedName>
    <definedName name="________________________FEB107" hidden="1">#REF!</definedName>
    <definedName name="________________________JAN10" hidden="1">{#N/A,#N/A,FALSE,"Ut";#N/A,#N/A,FALSE,"UT-h"}</definedName>
    <definedName name="________________________JAN2010" hidden="1">{#N/A,#N/A,FALSE,"Ut";#N/A,#N/A,FALSE,"UT-h"}</definedName>
    <definedName name="________________________jan98">#REF!</definedName>
    <definedName name="_______________________DAT1">#REF!</definedName>
    <definedName name="_______________________DAT10">#REF!</definedName>
    <definedName name="_______________________DAT2">#REF!</definedName>
    <definedName name="_______________________DAT4">#REF!</definedName>
    <definedName name="_______________________DAT5">#REF!</definedName>
    <definedName name="_______________________DAT6">#REF!</definedName>
    <definedName name="_______________________DAT7">#REF!</definedName>
    <definedName name="_______________________DAT8">#REF!</definedName>
    <definedName name="_______________________DAT9">#REF!</definedName>
    <definedName name="_______________________FEB107" hidden="1">#REF!</definedName>
    <definedName name="_______________________JAN10" hidden="1">{#N/A,#N/A,FALSE,"Ut";#N/A,#N/A,FALSE,"UT-h"}</definedName>
    <definedName name="_______________________JAN2010" hidden="1">{#N/A,#N/A,FALSE,"Ut";#N/A,#N/A,FALSE,"UT-h"}</definedName>
    <definedName name="_______________________jan98">#REF!</definedName>
    <definedName name="______________________DAT1">#REF!</definedName>
    <definedName name="______________________DAT10">#REF!</definedName>
    <definedName name="______________________DAT2">#REF!</definedName>
    <definedName name="______________________DAT4">#REF!</definedName>
    <definedName name="______________________DAT5">#REF!</definedName>
    <definedName name="______________________DAT7">#REF!</definedName>
    <definedName name="______________________FEB107" hidden="1">#REF!</definedName>
    <definedName name="______________________JAN10" hidden="1">{#N/A,#N/A,FALSE,"Ut";#N/A,#N/A,FALSE,"UT-h"}</definedName>
    <definedName name="______________________JAN2010" hidden="1">{#N/A,#N/A,FALSE,"Ut";#N/A,#N/A,FALSE,"UT-h"}</definedName>
    <definedName name="______________________jan98">#REF!</definedName>
    <definedName name="_____________________DAT1">#REF!</definedName>
    <definedName name="_____________________DAT10">#REF!</definedName>
    <definedName name="_____________________DAT2">#REF!</definedName>
    <definedName name="_____________________DAT4">#REF!</definedName>
    <definedName name="_____________________DAT5">#REF!</definedName>
    <definedName name="_____________________DAT7">#REF!</definedName>
    <definedName name="_____________________DAT9">#REF!</definedName>
    <definedName name="_____________________FEB107" hidden="1">#REF!</definedName>
    <definedName name="_____________________JAN10" hidden="1">{#N/A,#N/A,FALSE,"Ut";#N/A,#N/A,FALSE,"UT-h"}</definedName>
    <definedName name="_____________________JAN2010" hidden="1">{#N/A,#N/A,FALSE,"Ut";#N/A,#N/A,FALSE,"UT-h"}</definedName>
    <definedName name="_____________________jan98">#REF!</definedName>
    <definedName name="____________________DAT1">#REF!</definedName>
    <definedName name="____________________DAT10">#REF!</definedName>
    <definedName name="____________________DAT3">#REF!</definedName>
    <definedName name="____________________DAT4">#REF!</definedName>
    <definedName name="____________________DAT5">#REF!</definedName>
    <definedName name="____________________DAT7">#REF!</definedName>
    <definedName name="____________________DAT9">#REF!</definedName>
    <definedName name="____________________FEB107" hidden="1">#REF!</definedName>
    <definedName name="____________________JAN10" hidden="1">{#N/A,#N/A,FALSE,"Ut";#N/A,#N/A,FALSE,"UT-h"}</definedName>
    <definedName name="____________________JAN2010" hidden="1">{#N/A,#N/A,FALSE,"Ut";#N/A,#N/A,FALSE,"UT-h"}</definedName>
    <definedName name="____________________jan98">#REF!</definedName>
    <definedName name="___________________DAT1">#REF!</definedName>
    <definedName name="___________________DAT10">#REF!</definedName>
    <definedName name="___________________DAT2">#REF!</definedName>
    <definedName name="___________________DAT4">#REF!</definedName>
    <definedName name="___________________DAT6">#REF!</definedName>
    <definedName name="___________________DAT7">#REF!</definedName>
    <definedName name="___________________DAT8">#REF!</definedName>
    <definedName name="___________________DAT9">#REF!</definedName>
    <definedName name="___________________FEB107" hidden="1">#REF!</definedName>
    <definedName name="___________________JAN10" hidden="1">{#N/A,#N/A,FALSE,"Ut";#N/A,#N/A,FALSE,"UT-h"}</definedName>
    <definedName name="___________________JAN2010" hidden="1">{#N/A,#N/A,FALSE,"Ut";#N/A,#N/A,FALSE,"UT-h"}</definedName>
    <definedName name="___________________jan98">#REF!</definedName>
    <definedName name="__________________DAT10">#REF!</definedName>
    <definedName name="__________________DAT2">#REF!</definedName>
    <definedName name="__________________DAT3">#REF!</definedName>
    <definedName name="__________________DAT4">#REF!</definedName>
    <definedName name="__________________DAT5">#REF!</definedName>
    <definedName name="__________________DAT7">#REF!</definedName>
    <definedName name="__________________DAT9">#REF!</definedName>
    <definedName name="__________________FEB107" hidden="1">#REF!</definedName>
    <definedName name="__________________JAN10" hidden="1">{#N/A,#N/A,FALSE,"Ut";#N/A,#N/A,FALSE,"UT-h"}</definedName>
    <definedName name="__________________JAN2010" hidden="1">{#N/A,#N/A,FALSE,"Ut";#N/A,#N/A,FALSE,"UT-h"}</definedName>
    <definedName name="__________________jan98">#REF!</definedName>
    <definedName name="_________________DAT1">#REF!</definedName>
    <definedName name="_________________DAT10">#REF!</definedName>
    <definedName name="_________________DAT2">#REF!</definedName>
    <definedName name="_________________DAT4">#REF!</definedName>
    <definedName name="_________________DAT5">#REF!</definedName>
    <definedName name="_________________DAT7">#REF!</definedName>
    <definedName name="_________________DAT9">#REF!</definedName>
    <definedName name="_________________FEB107" hidden="1">#REF!</definedName>
    <definedName name="_________________JAN10" hidden="1">{#N/A,#N/A,FALSE,"Ut";#N/A,#N/A,FALSE,"UT-h"}</definedName>
    <definedName name="_________________JAN2010" hidden="1">{#N/A,#N/A,FALSE,"Ut";#N/A,#N/A,FALSE,"UT-h"}</definedName>
    <definedName name="_________________jan98">#REF!</definedName>
    <definedName name="________________beq3">#REF!</definedName>
    <definedName name="________________beq4">#REF!</definedName>
    <definedName name="________________beq5">#REF!</definedName>
    <definedName name="________________beq6">#REF!</definedName>
    <definedName name="________________cap10">#REF!</definedName>
    <definedName name="________________cap11">#REF!</definedName>
    <definedName name="________________cap12">#REF!</definedName>
    <definedName name="________________cap13">#REF!</definedName>
    <definedName name="________________cap14">#REF!</definedName>
    <definedName name="________________cap15">#REF!</definedName>
    <definedName name="________________cap6">#REF!</definedName>
    <definedName name="________________cap7">#REF!</definedName>
    <definedName name="________________cap8">#REF!</definedName>
    <definedName name="________________cap9">#REF!</definedName>
    <definedName name="________________DAT1">#REF!</definedName>
    <definedName name="________________DAT10">#REF!</definedName>
    <definedName name="________________DAT2">#REF!</definedName>
    <definedName name="________________DAT3">#REF!</definedName>
    <definedName name="________________DAT4">#REF!</definedName>
    <definedName name="________________DAT5">#REF!</definedName>
    <definedName name="________________DAT6">#REF!</definedName>
    <definedName name="________________DAT7">#REF!</definedName>
    <definedName name="________________DAT8">#REF!</definedName>
    <definedName name="________________DAT9">#REF!</definedName>
    <definedName name="________________FEB107" hidden="1">#REF!</definedName>
    <definedName name="________________gfa10">#REF!</definedName>
    <definedName name="________________gfa11">#REF!</definedName>
    <definedName name="________________gfa12">#REF!</definedName>
    <definedName name="________________gfa13">#REF!</definedName>
    <definedName name="________________gfa14">#REF!</definedName>
    <definedName name="________________gfa15">#REF!</definedName>
    <definedName name="________________gfa6">#REF!</definedName>
    <definedName name="________________gfa7">#REF!</definedName>
    <definedName name="________________gfa8">#REF!</definedName>
    <definedName name="________________gfa9">#REF!</definedName>
    <definedName name="________________inv3">#REF!</definedName>
    <definedName name="________________inv4">#REF!</definedName>
    <definedName name="________________inv5">#REF!</definedName>
    <definedName name="________________inv6">#REF!</definedName>
    <definedName name="________________JAN10" hidden="1">{#N/A,#N/A,FALSE,"Ut";#N/A,#N/A,FALSE,"UT-h"}</definedName>
    <definedName name="________________JAN2010" hidden="1">{#N/A,#N/A,FALSE,"Ut";#N/A,#N/A,FALSE,"UT-h"}</definedName>
    <definedName name="________________jan98">#REF!</definedName>
    <definedName name="________________nfa10">#REF!</definedName>
    <definedName name="________________nfa11">#REF!</definedName>
    <definedName name="________________nfa12">#REF!</definedName>
    <definedName name="________________nfa13">#REF!</definedName>
    <definedName name="________________nfa14">#REF!</definedName>
    <definedName name="________________nfa15">#REF!</definedName>
    <definedName name="________________nfa6">#REF!</definedName>
    <definedName name="________________nfa7">#REF!</definedName>
    <definedName name="________________nfa8">#REF!</definedName>
    <definedName name="________________nfa9">#REF!</definedName>
    <definedName name="________________owc3">#REF!</definedName>
    <definedName name="________________owc4">#REF!</definedName>
    <definedName name="________________owc5">#REF!</definedName>
    <definedName name="________________owc6">#REF!</definedName>
    <definedName name="________________PRD1">237</definedName>
    <definedName name="________________ps2">#REF!</definedName>
    <definedName name="________________ps3">#REF!</definedName>
    <definedName name="________________res1">#REF!</definedName>
    <definedName name="________________res2">#REF!</definedName>
    <definedName name="________________res3">#REF!</definedName>
    <definedName name="________________slm10">#REF!</definedName>
    <definedName name="________________slm11">#REF!</definedName>
    <definedName name="________________slm12">#REF!</definedName>
    <definedName name="________________slm13">#REF!</definedName>
    <definedName name="________________slm14">#REF!</definedName>
    <definedName name="________________slm15">#REF!</definedName>
    <definedName name="________________slm6">#REF!</definedName>
    <definedName name="________________slm7">#REF!</definedName>
    <definedName name="________________slm8">#REF!</definedName>
    <definedName name="________________slm9">#REF!</definedName>
    <definedName name="________________wdv10">#REF!</definedName>
    <definedName name="________________wdv11">#REF!</definedName>
    <definedName name="________________wdv12">#REF!</definedName>
    <definedName name="________________wdv13">#REF!</definedName>
    <definedName name="________________wdv14">#REF!</definedName>
    <definedName name="________________wdv15">#REF!</definedName>
    <definedName name="________________wdv6">#REF!</definedName>
    <definedName name="________________wdv7">#REF!</definedName>
    <definedName name="________________wdv8">#REF!</definedName>
    <definedName name="________________wdv9">#REF!</definedName>
    <definedName name="_______________beq3">#REF!</definedName>
    <definedName name="_______________beq4">#REF!</definedName>
    <definedName name="_______________beq5">#REF!</definedName>
    <definedName name="_______________beq6">#REF!</definedName>
    <definedName name="_______________cap10">#REF!</definedName>
    <definedName name="_______________cap11">#REF!</definedName>
    <definedName name="_______________cap12">#REF!</definedName>
    <definedName name="_______________cap13">#REF!</definedName>
    <definedName name="_______________cap14">#REF!</definedName>
    <definedName name="_______________cap15">#REF!</definedName>
    <definedName name="_______________cap6">#REF!</definedName>
    <definedName name="_______________cap7">#REF!</definedName>
    <definedName name="_______________cap8">#REF!</definedName>
    <definedName name="_______________cap9">#REF!</definedName>
    <definedName name="_______________DAT1">#REF!</definedName>
    <definedName name="_______________DAT10">#REF!</definedName>
    <definedName name="_______________DAT2">#REF!</definedName>
    <definedName name="_______________DAT3">#REF!</definedName>
    <definedName name="_______________DAT4">#REF!</definedName>
    <definedName name="_______________DAT5">#REF!</definedName>
    <definedName name="_______________DAT6">#REF!</definedName>
    <definedName name="_______________DAT7">#REF!</definedName>
    <definedName name="_______________DAT8">#REF!</definedName>
    <definedName name="_______________DAT9">#REF!</definedName>
    <definedName name="_______________FEB107" hidden="1">#REF!</definedName>
    <definedName name="_______________gfa10">#REF!</definedName>
    <definedName name="_______________gfa11">#REF!</definedName>
    <definedName name="_______________gfa12">#REF!</definedName>
    <definedName name="_______________gfa13">#REF!</definedName>
    <definedName name="_______________gfa14">#REF!</definedName>
    <definedName name="_______________gfa15">#REF!</definedName>
    <definedName name="_______________gfa6">#REF!</definedName>
    <definedName name="_______________gfa7">#REF!</definedName>
    <definedName name="_______________gfa8">#REF!</definedName>
    <definedName name="_______________gfa9">#REF!</definedName>
    <definedName name="_______________inv3">#REF!</definedName>
    <definedName name="_______________inv4">#REF!</definedName>
    <definedName name="_______________inv5">#REF!</definedName>
    <definedName name="_______________inv6">#REF!</definedName>
    <definedName name="_______________JAN10" hidden="1">{#N/A,#N/A,FALSE,"Ut";#N/A,#N/A,FALSE,"UT-h"}</definedName>
    <definedName name="_______________JAN2010" hidden="1">{#N/A,#N/A,FALSE,"Ut";#N/A,#N/A,FALSE,"UT-h"}</definedName>
    <definedName name="_______________jan98">#REF!</definedName>
    <definedName name="_______________nfa10">#REF!</definedName>
    <definedName name="_______________nfa11">#REF!</definedName>
    <definedName name="_______________nfa12">#REF!</definedName>
    <definedName name="_______________nfa13">#REF!</definedName>
    <definedName name="_______________nfa14">#REF!</definedName>
    <definedName name="_______________nfa15">#REF!</definedName>
    <definedName name="_______________nfa6">#REF!</definedName>
    <definedName name="_______________nfa7">#REF!</definedName>
    <definedName name="_______________nfa8">#REF!</definedName>
    <definedName name="_______________nfa9">#REF!</definedName>
    <definedName name="_______________owc3">#REF!</definedName>
    <definedName name="_______________owc4">#REF!</definedName>
    <definedName name="_______________owc5">#REF!</definedName>
    <definedName name="_______________owc6">#REF!</definedName>
    <definedName name="_______________PRD1">237</definedName>
    <definedName name="_______________ps2">#REF!</definedName>
    <definedName name="_______________ps3">#REF!</definedName>
    <definedName name="_______________res1">#REF!</definedName>
    <definedName name="_______________res2">#REF!</definedName>
    <definedName name="_______________res3">#REF!</definedName>
    <definedName name="_______________slm10">#REF!</definedName>
    <definedName name="_______________slm11">#REF!</definedName>
    <definedName name="_______________slm12">#REF!</definedName>
    <definedName name="_______________slm13">#REF!</definedName>
    <definedName name="_______________slm14">#REF!</definedName>
    <definedName name="_______________slm15">#REF!</definedName>
    <definedName name="_______________slm6">#REF!</definedName>
    <definedName name="_______________slm7">#REF!</definedName>
    <definedName name="_______________slm8">#REF!</definedName>
    <definedName name="_______________slm9">#REF!</definedName>
    <definedName name="_______________wdv10">#REF!</definedName>
    <definedName name="_______________wdv11">#REF!</definedName>
    <definedName name="_______________wdv12">#REF!</definedName>
    <definedName name="_______________wdv13">#REF!</definedName>
    <definedName name="_______________wdv14">#REF!</definedName>
    <definedName name="_______________wdv15">#REF!</definedName>
    <definedName name="_______________wdv6">#REF!</definedName>
    <definedName name="_______________wdv7">#REF!</definedName>
    <definedName name="_______________wdv8">#REF!</definedName>
    <definedName name="_______________wdv9">#REF!</definedName>
    <definedName name="______________beq3">#REF!</definedName>
    <definedName name="______________beq4">#REF!</definedName>
    <definedName name="______________beq5">#REF!</definedName>
    <definedName name="______________beq6">#REF!</definedName>
    <definedName name="______________cap10">#REF!</definedName>
    <definedName name="______________cap11">#REF!</definedName>
    <definedName name="______________cap12">#REF!</definedName>
    <definedName name="______________cap13">#REF!</definedName>
    <definedName name="______________cap14">#REF!</definedName>
    <definedName name="______________cap15">#REF!</definedName>
    <definedName name="______________cap6">#REF!</definedName>
    <definedName name="______________cap7">#REF!</definedName>
    <definedName name="______________cap8">#REF!</definedName>
    <definedName name="______________cap9">#REF!</definedName>
    <definedName name="______________DAT1">#REF!</definedName>
    <definedName name="______________DAT10">#REF!</definedName>
    <definedName name="______________DAT2">#REF!</definedName>
    <definedName name="______________DAT3">#REF!</definedName>
    <definedName name="______________DAT4">#REF!</definedName>
    <definedName name="______________DAT5">#REF!</definedName>
    <definedName name="______________DAT6">#REF!</definedName>
    <definedName name="______________DAT7">#REF!</definedName>
    <definedName name="______________DAT8">#REF!</definedName>
    <definedName name="______________DAT9">#REF!</definedName>
    <definedName name="______________FEB107" hidden="1">#REF!</definedName>
    <definedName name="______________gfa10">#REF!</definedName>
    <definedName name="______________gfa11">#REF!</definedName>
    <definedName name="______________gfa12">#REF!</definedName>
    <definedName name="______________gfa13">#REF!</definedName>
    <definedName name="______________gfa14">#REF!</definedName>
    <definedName name="______________gfa15">#REF!</definedName>
    <definedName name="______________gfa6">#REF!</definedName>
    <definedName name="______________gfa7">#REF!</definedName>
    <definedName name="______________gfa8">#REF!</definedName>
    <definedName name="______________gfa9">#REF!</definedName>
    <definedName name="______________inv3">#REF!</definedName>
    <definedName name="______________inv4">#REF!</definedName>
    <definedName name="______________inv5">#REF!</definedName>
    <definedName name="______________inv6">#REF!</definedName>
    <definedName name="______________JAN10" hidden="1">{#N/A,#N/A,FALSE,"Ut";#N/A,#N/A,FALSE,"UT-h"}</definedName>
    <definedName name="______________JAN2010" hidden="1">{#N/A,#N/A,FALSE,"Ut";#N/A,#N/A,FALSE,"UT-h"}</definedName>
    <definedName name="______________jan98">#REF!</definedName>
    <definedName name="______________nfa10">#REF!</definedName>
    <definedName name="______________nfa11">#REF!</definedName>
    <definedName name="______________nfa12">#REF!</definedName>
    <definedName name="______________nfa13">#REF!</definedName>
    <definedName name="______________nfa14">#REF!</definedName>
    <definedName name="______________nfa15">#REF!</definedName>
    <definedName name="______________nfa6">#REF!</definedName>
    <definedName name="______________nfa7">#REF!</definedName>
    <definedName name="______________nfa8">#REF!</definedName>
    <definedName name="______________nfa9">#REF!</definedName>
    <definedName name="______________owc3">#REF!</definedName>
    <definedName name="______________owc4">#REF!</definedName>
    <definedName name="______________owc5">#REF!</definedName>
    <definedName name="______________owc6">#REF!</definedName>
    <definedName name="______________PRD1">237</definedName>
    <definedName name="______________ps2">#REF!</definedName>
    <definedName name="______________ps3">#REF!</definedName>
    <definedName name="______________res1">#REF!</definedName>
    <definedName name="______________res2">#REF!</definedName>
    <definedName name="______________res3">#REF!</definedName>
    <definedName name="______________rev2">#REF!</definedName>
    <definedName name="______________slm10">#REF!</definedName>
    <definedName name="______________slm11">#REF!</definedName>
    <definedName name="______________slm12">#REF!</definedName>
    <definedName name="______________slm13">#REF!</definedName>
    <definedName name="______________slm14">#REF!</definedName>
    <definedName name="______________slm15">#REF!</definedName>
    <definedName name="______________slm6">#REF!</definedName>
    <definedName name="______________slm7">#REF!</definedName>
    <definedName name="______________slm8">#REF!</definedName>
    <definedName name="______________slm9">#REF!</definedName>
    <definedName name="______________wdv10">#REF!</definedName>
    <definedName name="______________wdv11">#REF!</definedName>
    <definedName name="______________wdv12">#REF!</definedName>
    <definedName name="______________wdv13">#REF!</definedName>
    <definedName name="______________wdv14">#REF!</definedName>
    <definedName name="______________wdv15">#REF!</definedName>
    <definedName name="______________wdv6">#REF!</definedName>
    <definedName name="______________wdv7">#REF!</definedName>
    <definedName name="______________wdv8">#REF!</definedName>
    <definedName name="______________wdv9">#REF!</definedName>
    <definedName name="_____________beq3">#REF!</definedName>
    <definedName name="_____________beq4">#REF!</definedName>
    <definedName name="_____________beq5">#REF!</definedName>
    <definedName name="_____________beq6">#REF!</definedName>
    <definedName name="_____________cap10">#REF!</definedName>
    <definedName name="_____________cap11">#REF!</definedName>
    <definedName name="_____________cap12">#REF!</definedName>
    <definedName name="_____________cap13">#REF!</definedName>
    <definedName name="_____________cap14">#REF!</definedName>
    <definedName name="_____________cap15">#REF!</definedName>
    <definedName name="_____________cap6">#REF!</definedName>
    <definedName name="_____________cap7">#REF!</definedName>
    <definedName name="_____________cap8">#REF!</definedName>
    <definedName name="_____________cap9">#REF!</definedName>
    <definedName name="_____________DAT1">#REF!</definedName>
    <definedName name="_____________DAT10">#REF!</definedName>
    <definedName name="_____________DAT2">#REF!</definedName>
    <definedName name="_____________DAT3">#REF!</definedName>
    <definedName name="_____________DAT4">#REF!</definedName>
    <definedName name="_____________DAT5">#REF!</definedName>
    <definedName name="_____________DAT6">#REF!</definedName>
    <definedName name="_____________DAT7">#REF!</definedName>
    <definedName name="_____________DAT8">#REF!</definedName>
    <definedName name="_____________DAT9">#REF!</definedName>
    <definedName name="_____________FEB107" hidden="1">#REF!</definedName>
    <definedName name="_____________gfa10">#REF!</definedName>
    <definedName name="_____________gfa11">#REF!</definedName>
    <definedName name="_____________gfa12">#REF!</definedName>
    <definedName name="_____________gfa13">#REF!</definedName>
    <definedName name="_____________gfa14">#REF!</definedName>
    <definedName name="_____________gfa15">#REF!</definedName>
    <definedName name="_____________gfa6">#REF!</definedName>
    <definedName name="_____________gfa7">#REF!</definedName>
    <definedName name="_____________gfa8">#REF!</definedName>
    <definedName name="_____________gfa9">#REF!</definedName>
    <definedName name="_____________inv3">#REF!</definedName>
    <definedName name="_____________inv4">#REF!</definedName>
    <definedName name="_____________inv5">#REF!</definedName>
    <definedName name="_____________inv6">#REF!</definedName>
    <definedName name="_____________JAN10" hidden="1">{#N/A,#N/A,FALSE,"Ut";#N/A,#N/A,FALSE,"UT-h"}</definedName>
    <definedName name="_____________JAN2010" hidden="1">{#N/A,#N/A,FALSE,"Ut";#N/A,#N/A,FALSE,"UT-h"}</definedName>
    <definedName name="_____________jan98">#REF!</definedName>
    <definedName name="_____________nfa10">#REF!</definedName>
    <definedName name="_____________nfa11">#REF!</definedName>
    <definedName name="_____________nfa12">#REF!</definedName>
    <definedName name="_____________nfa13">#REF!</definedName>
    <definedName name="_____________nfa14">#REF!</definedName>
    <definedName name="_____________nfa15">#REF!</definedName>
    <definedName name="_____________nfa6">#REF!</definedName>
    <definedName name="_____________nfa7">#REF!</definedName>
    <definedName name="_____________nfa8">#REF!</definedName>
    <definedName name="_____________nfa9">#REF!</definedName>
    <definedName name="_____________owc3">#REF!</definedName>
    <definedName name="_____________owc4">#REF!</definedName>
    <definedName name="_____________owc5">#REF!</definedName>
    <definedName name="_____________owc6">#REF!</definedName>
    <definedName name="_____________PRD1">237</definedName>
    <definedName name="_____________ps2">#REF!</definedName>
    <definedName name="_____________ps3">#REF!</definedName>
    <definedName name="_____________res1">#REF!</definedName>
    <definedName name="_____________res2">#REF!</definedName>
    <definedName name="_____________res3">#REF!</definedName>
    <definedName name="_____________rev2">#REF!</definedName>
    <definedName name="_____________slm10">#REF!</definedName>
    <definedName name="_____________slm11">#REF!</definedName>
    <definedName name="_____________slm12">#REF!</definedName>
    <definedName name="_____________slm13">#REF!</definedName>
    <definedName name="_____________slm14">#REF!</definedName>
    <definedName name="_____________slm15">#REF!</definedName>
    <definedName name="_____________slm6">#REF!</definedName>
    <definedName name="_____________slm7">#REF!</definedName>
    <definedName name="_____________slm8">#REF!</definedName>
    <definedName name="_____________slm9">#REF!</definedName>
    <definedName name="_____________wdv10">#REF!</definedName>
    <definedName name="_____________wdv11">#REF!</definedName>
    <definedName name="_____________wdv12">#REF!</definedName>
    <definedName name="_____________wdv13">#REF!</definedName>
    <definedName name="_____________wdv14">#REF!</definedName>
    <definedName name="_____________wdv15">#REF!</definedName>
    <definedName name="_____________wdv6">#REF!</definedName>
    <definedName name="_____________wdv7">#REF!</definedName>
    <definedName name="_____________wdv8">#REF!</definedName>
    <definedName name="_____________wdv9">#REF!</definedName>
    <definedName name="____________ANN1">#REF!</definedName>
    <definedName name="____________beq3">#REF!</definedName>
    <definedName name="____________beq4">#REF!</definedName>
    <definedName name="____________beq5">#REF!</definedName>
    <definedName name="____________beq6">#REF!</definedName>
    <definedName name="____________bs1">#REF!</definedName>
    <definedName name="____________cap10">#REF!</definedName>
    <definedName name="____________cap11">#REF!</definedName>
    <definedName name="____________cap12">#REF!</definedName>
    <definedName name="____________cap13">#REF!</definedName>
    <definedName name="____________cap14">#REF!</definedName>
    <definedName name="____________cap15">#REF!</definedName>
    <definedName name="____________cap6">#REF!</definedName>
    <definedName name="____________cap7">#REF!</definedName>
    <definedName name="____________cap8">#REF!</definedName>
    <definedName name="____________cap9">#REF!</definedName>
    <definedName name="____________DAP1">#REF!</definedName>
    <definedName name="____________DAP2">#REF!</definedName>
    <definedName name="____________DAP3">#REF!</definedName>
    <definedName name="____________DAT1">#REF!</definedName>
    <definedName name="____________DAT10">#REF!</definedName>
    <definedName name="____________DAT2">#REF!</definedName>
    <definedName name="____________DAT3">#REF!</definedName>
    <definedName name="____________DAT4">#REF!</definedName>
    <definedName name="____________DAT5">#REF!</definedName>
    <definedName name="____________DAT6">#REF!</definedName>
    <definedName name="____________DAT7">#REF!</definedName>
    <definedName name="____________DAT8">#REF!</definedName>
    <definedName name="____________DAT9">#REF!</definedName>
    <definedName name="____________FEB107" hidden="1">#REF!</definedName>
    <definedName name="____________gfa10">#REF!</definedName>
    <definedName name="____________gfa11">#REF!</definedName>
    <definedName name="____________gfa12">#REF!</definedName>
    <definedName name="____________gfa13">#REF!</definedName>
    <definedName name="____________gfa14">#REF!</definedName>
    <definedName name="____________gfa15">#REF!</definedName>
    <definedName name="____________gfa6">#REF!</definedName>
    <definedName name="____________gfa7">#REF!</definedName>
    <definedName name="____________gfa8">#REF!</definedName>
    <definedName name="____________gfa9">#REF!</definedName>
    <definedName name="____________inv3">#REF!</definedName>
    <definedName name="____________inv4">#REF!</definedName>
    <definedName name="____________inv5">#REF!</definedName>
    <definedName name="____________inv6">#REF!</definedName>
    <definedName name="____________JAN10" hidden="1">{#N/A,#N/A,FALSE,"Ut";#N/A,#N/A,FALSE,"UT-h"}</definedName>
    <definedName name="____________JAN2010" hidden="1">{#N/A,#N/A,FALSE,"Ut";#N/A,#N/A,FALSE,"UT-h"}</definedName>
    <definedName name="____________jan98">#REF!</definedName>
    <definedName name="____________nfa10">#REF!</definedName>
    <definedName name="____________nfa11">#REF!</definedName>
    <definedName name="____________nfa12">#REF!</definedName>
    <definedName name="____________nfa13">#REF!</definedName>
    <definedName name="____________nfa14">#REF!</definedName>
    <definedName name="____________nfa15">#REF!</definedName>
    <definedName name="____________nfa6">#REF!</definedName>
    <definedName name="____________nfa7">#REF!</definedName>
    <definedName name="____________nfa8">#REF!</definedName>
    <definedName name="____________nfa9">#REF!</definedName>
    <definedName name="____________NPK1">#REF!</definedName>
    <definedName name="____________NPK2">#REF!</definedName>
    <definedName name="____________owc3">#REF!</definedName>
    <definedName name="____________owc4">#REF!</definedName>
    <definedName name="____________owc5">#REF!</definedName>
    <definedName name="____________owc6">#REF!</definedName>
    <definedName name="____________pl3">#REF!</definedName>
    <definedName name="____________PRD1">237</definedName>
    <definedName name="____________PRT1">#REF!</definedName>
    <definedName name="____________ps2">#REF!</definedName>
    <definedName name="____________ps3">#REF!</definedName>
    <definedName name="____________res1">#REF!</definedName>
    <definedName name="____________res2">#REF!</definedName>
    <definedName name="____________res3">#REF!</definedName>
    <definedName name="____________rev2">#REF!</definedName>
    <definedName name="____________slm10">#REF!</definedName>
    <definedName name="____________slm11">#REF!</definedName>
    <definedName name="____________slm12">#REF!</definedName>
    <definedName name="____________slm13">#REF!</definedName>
    <definedName name="____________slm14">#REF!</definedName>
    <definedName name="____________slm15">#REF!</definedName>
    <definedName name="____________slm6">#REF!</definedName>
    <definedName name="____________slm7">#REF!</definedName>
    <definedName name="____________slm8">#REF!</definedName>
    <definedName name="____________slm9">#REF!</definedName>
    <definedName name="____________vl5">#REF!</definedName>
    <definedName name="____________wdv10">#REF!</definedName>
    <definedName name="____________wdv11">#REF!</definedName>
    <definedName name="____________wdv12">#REF!</definedName>
    <definedName name="____________wdv13">#REF!</definedName>
    <definedName name="____________wdv14">#REF!</definedName>
    <definedName name="____________wdv15">#REF!</definedName>
    <definedName name="____________wdv6">#REF!</definedName>
    <definedName name="____________wdv7">#REF!</definedName>
    <definedName name="____________wdv8">#REF!</definedName>
    <definedName name="____________wdv9">#REF!</definedName>
    <definedName name="___________aaa234">INDEX(#REF!,0,2)</definedName>
    <definedName name="___________beq3">#REF!</definedName>
    <definedName name="___________beq4">#REF!</definedName>
    <definedName name="___________beq5">#REF!</definedName>
    <definedName name="___________beq6">#REF!</definedName>
    <definedName name="___________bs1">#REF!</definedName>
    <definedName name="___________cap10">#REF!</definedName>
    <definedName name="___________cap11">#REF!</definedName>
    <definedName name="___________cap12">#REF!</definedName>
    <definedName name="___________cap13">#REF!</definedName>
    <definedName name="___________cap14">#REF!</definedName>
    <definedName name="___________cap15">#REF!</definedName>
    <definedName name="___________cap6">#REF!</definedName>
    <definedName name="___________cap7">#REF!</definedName>
    <definedName name="___________cap8">#REF!</definedName>
    <definedName name="___________cap9">#REF!</definedName>
    <definedName name="___________DAP1">#REF!</definedName>
    <definedName name="___________DAP2">#REF!</definedName>
    <definedName name="___________DAP3">#REF!</definedName>
    <definedName name="___________DAT1">#REF!</definedName>
    <definedName name="___________DAT10">#REF!</definedName>
    <definedName name="___________DAT2">#REF!</definedName>
    <definedName name="___________DAT3">#REF!</definedName>
    <definedName name="___________DAT4">#REF!</definedName>
    <definedName name="___________DAT5">#REF!</definedName>
    <definedName name="___________DAT6">#REF!</definedName>
    <definedName name="___________DAT7">#REF!</definedName>
    <definedName name="___________DAT8">#REF!</definedName>
    <definedName name="___________DAT9">#REF!</definedName>
    <definedName name="___________FEB107" hidden="1">#REF!</definedName>
    <definedName name="___________gfa10">#REF!</definedName>
    <definedName name="___________gfa11">#REF!</definedName>
    <definedName name="___________gfa12">#REF!</definedName>
    <definedName name="___________gfa13">#REF!</definedName>
    <definedName name="___________gfa14">#REF!</definedName>
    <definedName name="___________gfa15">#REF!</definedName>
    <definedName name="___________gfa6">#REF!</definedName>
    <definedName name="___________gfa7">#REF!</definedName>
    <definedName name="___________gfa8">#REF!</definedName>
    <definedName name="___________gfa9">#REF!</definedName>
    <definedName name="___________inv3">#REF!</definedName>
    <definedName name="___________inv4">#REF!</definedName>
    <definedName name="___________inv5">#REF!</definedName>
    <definedName name="___________inv6">#REF!</definedName>
    <definedName name="___________JAN10" hidden="1">{#N/A,#N/A,FALSE,"Ut";#N/A,#N/A,FALSE,"UT-h"}</definedName>
    <definedName name="___________JAN2010" hidden="1">{#N/A,#N/A,FALSE,"Ut";#N/A,#N/A,FALSE,"UT-h"}</definedName>
    <definedName name="___________jan98">#REF!</definedName>
    <definedName name="___________nfa10">#REF!</definedName>
    <definedName name="___________nfa11">#REF!</definedName>
    <definedName name="___________nfa12">#REF!</definedName>
    <definedName name="___________nfa13">#REF!</definedName>
    <definedName name="___________nfa14">#REF!</definedName>
    <definedName name="___________nfa15">#REF!</definedName>
    <definedName name="___________nfa6">#REF!</definedName>
    <definedName name="___________nfa7">#REF!</definedName>
    <definedName name="___________nfa8">#REF!</definedName>
    <definedName name="___________nfa9">#REF!</definedName>
    <definedName name="___________NPK1">#REF!</definedName>
    <definedName name="___________NPK2">#REF!</definedName>
    <definedName name="___________owc3">#REF!</definedName>
    <definedName name="___________owc4">#REF!</definedName>
    <definedName name="___________owc5">#REF!</definedName>
    <definedName name="___________owc6">#REF!</definedName>
    <definedName name="___________pl3">#REF!</definedName>
    <definedName name="___________PRD1">237</definedName>
    <definedName name="___________PRT1">#REF!</definedName>
    <definedName name="___________PS1">#REF!</definedName>
    <definedName name="___________ps2">#REF!</definedName>
    <definedName name="___________ps3">#REF!</definedName>
    <definedName name="___________res1">#REF!</definedName>
    <definedName name="___________res2">#REF!</definedName>
    <definedName name="___________res3">#REF!</definedName>
    <definedName name="___________rev2">#REF!</definedName>
    <definedName name="___________slm10">#REF!</definedName>
    <definedName name="___________slm11">#REF!</definedName>
    <definedName name="___________slm12">#REF!</definedName>
    <definedName name="___________slm13">#REF!</definedName>
    <definedName name="___________slm14">#REF!</definedName>
    <definedName name="___________slm15">#REF!</definedName>
    <definedName name="___________slm6">#REF!</definedName>
    <definedName name="___________slm7">#REF!</definedName>
    <definedName name="___________slm8">#REF!</definedName>
    <definedName name="___________slm9">#REF!</definedName>
    <definedName name="___________vl5">#REF!</definedName>
    <definedName name="___________wdv10">#REF!</definedName>
    <definedName name="___________wdv11">#REF!</definedName>
    <definedName name="___________wdv12">#REF!</definedName>
    <definedName name="___________wdv13">#REF!</definedName>
    <definedName name="___________wdv14">#REF!</definedName>
    <definedName name="___________wdv15">#REF!</definedName>
    <definedName name="___________wdv6">#REF!</definedName>
    <definedName name="___________wdv7">#REF!</definedName>
    <definedName name="___________wdv8">#REF!</definedName>
    <definedName name="___________wdv9">#REF!</definedName>
    <definedName name="___________xlnm.Database">#N/A</definedName>
    <definedName name="___________xlnm.Print_Area_3">NA()</definedName>
    <definedName name="__________aaa234">INDEX(#REF!,0,2)</definedName>
    <definedName name="__________ANN1">#REF!</definedName>
    <definedName name="__________beq3">#REF!</definedName>
    <definedName name="__________beq4">#REF!</definedName>
    <definedName name="__________beq5">#REF!</definedName>
    <definedName name="__________beq6">#REF!</definedName>
    <definedName name="__________bs1">#REF!</definedName>
    <definedName name="__________cap10">#REF!</definedName>
    <definedName name="__________cap11">#REF!</definedName>
    <definedName name="__________cap12">#REF!</definedName>
    <definedName name="__________cap13">#REF!</definedName>
    <definedName name="__________cap14">#REF!</definedName>
    <definedName name="__________cap15">#REF!</definedName>
    <definedName name="__________cap6">#REF!</definedName>
    <definedName name="__________cap7">#REF!</definedName>
    <definedName name="__________cap8">#REF!</definedName>
    <definedName name="__________cap9">#REF!</definedName>
    <definedName name="__________DAP1">#REF!</definedName>
    <definedName name="__________DAP2">#REF!</definedName>
    <definedName name="__________DAP3">#REF!</definedName>
    <definedName name="__________DAT1">#REF!</definedName>
    <definedName name="__________DAT10">#REF!</definedName>
    <definedName name="__________DAT2">#REF!</definedName>
    <definedName name="__________DAT3">#REF!</definedName>
    <definedName name="__________DAT4">#REF!</definedName>
    <definedName name="__________DAT5">#REF!</definedName>
    <definedName name="__________DAT6">#REF!</definedName>
    <definedName name="__________DAT7">#REF!</definedName>
    <definedName name="__________DAT8">#REF!</definedName>
    <definedName name="__________DAT9">#REF!</definedName>
    <definedName name="__________FEB107" hidden="1">#REF!</definedName>
    <definedName name="__________gfa10">#REF!</definedName>
    <definedName name="__________gfa11">#REF!</definedName>
    <definedName name="__________gfa12">#REF!</definedName>
    <definedName name="__________gfa13">#REF!</definedName>
    <definedName name="__________gfa14">#REF!</definedName>
    <definedName name="__________gfa15">#REF!</definedName>
    <definedName name="__________gfa6">#REF!</definedName>
    <definedName name="__________gfa7">#REF!</definedName>
    <definedName name="__________gfa8">#REF!</definedName>
    <definedName name="__________gfa9">#REF!</definedName>
    <definedName name="__________inv3">#REF!</definedName>
    <definedName name="__________inv4">#REF!</definedName>
    <definedName name="__________inv5">#REF!</definedName>
    <definedName name="__________inv6">#REF!</definedName>
    <definedName name="__________JAN10" hidden="1">{#N/A,#N/A,FALSE,"Ut";#N/A,#N/A,FALSE,"UT-h"}</definedName>
    <definedName name="__________JAN2010" hidden="1">{#N/A,#N/A,FALSE,"Ut";#N/A,#N/A,FALSE,"UT-h"}</definedName>
    <definedName name="__________jan98">#REF!</definedName>
    <definedName name="__________nfa10">#REF!</definedName>
    <definedName name="__________nfa11">#REF!</definedName>
    <definedName name="__________nfa12">#REF!</definedName>
    <definedName name="__________nfa13">#REF!</definedName>
    <definedName name="__________nfa14">#REF!</definedName>
    <definedName name="__________nfa15">#REF!</definedName>
    <definedName name="__________nfa6">#REF!</definedName>
    <definedName name="__________nfa7">#REF!</definedName>
    <definedName name="__________nfa8">#REF!</definedName>
    <definedName name="__________nfa9">#REF!</definedName>
    <definedName name="__________NPK1">#REF!</definedName>
    <definedName name="__________NPK2">#REF!</definedName>
    <definedName name="__________owc3">#REF!</definedName>
    <definedName name="__________owc4">#REF!</definedName>
    <definedName name="__________owc5">#REF!</definedName>
    <definedName name="__________owc6">#REF!</definedName>
    <definedName name="__________pl3">#REF!</definedName>
    <definedName name="__________PRD1">237</definedName>
    <definedName name="__________PRT1">#REF!</definedName>
    <definedName name="__________ps2">#REF!</definedName>
    <definedName name="__________ps3">#REF!</definedName>
    <definedName name="__________res1">#REF!</definedName>
    <definedName name="__________res2">#REF!</definedName>
    <definedName name="__________res3">#REF!</definedName>
    <definedName name="__________rev2">#REF!</definedName>
    <definedName name="__________slm10">#REF!</definedName>
    <definedName name="__________slm11">#REF!</definedName>
    <definedName name="__________slm12">#REF!</definedName>
    <definedName name="__________slm13">#REF!</definedName>
    <definedName name="__________slm14">#REF!</definedName>
    <definedName name="__________slm15">#REF!</definedName>
    <definedName name="__________slm6">#REF!</definedName>
    <definedName name="__________slm7">#REF!</definedName>
    <definedName name="__________slm8">#REF!</definedName>
    <definedName name="__________slm9">#REF!</definedName>
    <definedName name="__________vl5">#REF!</definedName>
    <definedName name="__________wdv10">#REF!</definedName>
    <definedName name="__________wdv11">#REF!</definedName>
    <definedName name="__________wdv12">#REF!</definedName>
    <definedName name="__________wdv13">#REF!</definedName>
    <definedName name="__________wdv14">#REF!</definedName>
    <definedName name="__________wdv15">#REF!</definedName>
    <definedName name="__________wdv6">#REF!</definedName>
    <definedName name="__________wdv7">#REF!</definedName>
    <definedName name="__________wdv8">#REF!</definedName>
    <definedName name="__________wdv9">#REF!</definedName>
    <definedName name="__________xlnm.Database">#N/A</definedName>
    <definedName name="__________xlnm.Print_Area_3">NA()</definedName>
    <definedName name="_________aaa234">INDEX(#REF!,0,2)</definedName>
    <definedName name="_________ANN1">#REF!</definedName>
    <definedName name="_________beq3">#REF!</definedName>
    <definedName name="_________beq4">#REF!</definedName>
    <definedName name="_________beq5">#REF!</definedName>
    <definedName name="_________beq6">#REF!</definedName>
    <definedName name="_________bs1">#REF!</definedName>
    <definedName name="_________cap10">#REF!</definedName>
    <definedName name="_________cap11">#REF!</definedName>
    <definedName name="_________cap12">#REF!</definedName>
    <definedName name="_________cap13">#REF!</definedName>
    <definedName name="_________cap14">#REF!</definedName>
    <definedName name="_________cap15">#REF!</definedName>
    <definedName name="_________cap6">#REF!</definedName>
    <definedName name="_________cap7">#REF!</definedName>
    <definedName name="_________cap8">#REF!</definedName>
    <definedName name="_________cap9">#REF!</definedName>
    <definedName name="_________DAP1">#REF!</definedName>
    <definedName name="_________DAP2">#REF!</definedName>
    <definedName name="_________DAP3">#REF!</definedName>
    <definedName name="_________DAT1">#REF!</definedName>
    <definedName name="_________DAT10">#REF!</definedName>
    <definedName name="_________DAT15">#REF!</definedName>
    <definedName name="_________DAT2">#REF!</definedName>
    <definedName name="_________DAT3">#REF!</definedName>
    <definedName name="_________DAT4">#REF!</definedName>
    <definedName name="_________DAT5">#REF!</definedName>
    <definedName name="_________DAT6">#REF!</definedName>
    <definedName name="_________DAT7">#REF!</definedName>
    <definedName name="_________DAT8">#REF!</definedName>
    <definedName name="_________DAT9">#REF!</definedName>
    <definedName name="_________FEB107" hidden="1">#REF!</definedName>
    <definedName name="_________gfa10">#REF!</definedName>
    <definedName name="_________gfa11">#REF!</definedName>
    <definedName name="_________gfa12">#REF!</definedName>
    <definedName name="_________gfa13">#REF!</definedName>
    <definedName name="_________gfa14">#REF!</definedName>
    <definedName name="_________gfa15">#REF!</definedName>
    <definedName name="_________gfa6">#REF!</definedName>
    <definedName name="_________gfa7">#REF!</definedName>
    <definedName name="_________gfa8">#REF!</definedName>
    <definedName name="_________gfa9">#REF!</definedName>
    <definedName name="_________inv3">#REF!</definedName>
    <definedName name="_________inv4">#REF!</definedName>
    <definedName name="_________inv5">#REF!</definedName>
    <definedName name="_________inv6">#REF!</definedName>
    <definedName name="_________JAN10" hidden="1">{#N/A,#N/A,FALSE,"Ut";#N/A,#N/A,FALSE,"UT-h"}</definedName>
    <definedName name="_________JAN2010" hidden="1">{#N/A,#N/A,FALSE,"Ut";#N/A,#N/A,FALSE,"UT-h"}</definedName>
    <definedName name="_________jan98">#REF!</definedName>
    <definedName name="_________nfa10">#REF!</definedName>
    <definedName name="_________nfa11">#REF!</definedName>
    <definedName name="_________nfa12">#REF!</definedName>
    <definedName name="_________nfa13">#REF!</definedName>
    <definedName name="_________nfa14">#REF!</definedName>
    <definedName name="_________nfa15">#REF!</definedName>
    <definedName name="_________nfa6">#REF!</definedName>
    <definedName name="_________nfa7">#REF!</definedName>
    <definedName name="_________nfa8">#REF!</definedName>
    <definedName name="_________nfa9">#REF!</definedName>
    <definedName name="_________NPK1">#REF!</definedName>
    <definedName name="_________NPK2">#REF!</definedName>
    <definedName name="_________owc3">#REF!</definedName>
    <definedName name="_________owc4">#REF!</definedName>
    <definedName name="_________owc5">#REF!</definedName>
    <definedName name="_________owc6">#REF!</definedName>
    <definedName name="_________PC11">#REF!</definedName>
    <definedName name="_________PC12">#REF!</definedName>
    <definedName name="_________PC2">#REF!</definedName>
    <definedName name="_________PC3">#REF!</definedName>
    <definedName name="_________PC4">#REF!</definedName>
    <definedName name="_________PC5">#REF!</definedName>
    <definedName name="_________PC6">#REF!</definedName>
    <definedName name="_________PC7">#REF!</definedName>
    <definedName name="_________PC8">#REF!</definedName>
    <definedName name="_________PC9">#REF!</definedName>
    <definedName name="_________pl3">#REF!</definedName>
    <definedName name="_________PRD1">237</definedName>
    <definedName name="_________PRT1">#REF!</definedName>
    <definedName name="_________PS1">#REF!</definedName>
    <definedName name="_________ps2">#REF!</definedName>
    <definedName name="_________ps3">#REF!</definedName>
    <definedName name="_________res1">#REF!</definedName>
    <definedName name="_________res2">#REF!</definedName>
    <definedName name="_________res3">#REF!</definedName>
    <definedName name="_________rev2">#REF!</definedName>
    <definedName name="_________slm10">#REF!</definedName>
    <definedName name="_________slm11">#REF!</definedName>
    <definedName name="_________slm12">#REF!</definedName>
    <definedName name="_________slm13">#REF!</definedName>
    <definedName name="_________slm14">#REF!</definedName>
    <definedName name="_________slm15">#REF!</definedName>
    <definedName name="_________slm6">#REF!</definedName>
    <definedName name="_________slm7">#REF!</definedName>
    <definedName name="_________slm8">#REF!</definedName>
    <definedName name="_________slm9">#REF!</definedName>
    <definedName name="_________vl5">#REF!</definedName>
    <definedName name="_________wdv10">#REF!</definedName>
    <definedName name="_________wdv11">#REF!</definedName>
    <definedName name="_________wdv12">#REF!</definedName>
    <definedName name="_________wdv13">#REF!</definedName>
    <definedName name="_________wdv14">#REF!</definedName>
    <definedName name="_________wdv15">#REF!</definedName>
    <definedName name="_________wdv6">#REF!</definedName>
    <definedName name="_________wdv7">#REF!</definedName>
    <definedName name="_________wdv8">#REF!</definedName>
    <definedName name="_________wdv9">#REF!</definedName>
    <definedName name="_________xlnm.Database">#N/A</definedName>
    <definedName name="_________xlnm.Print_Area_3">NA()</definedName>
    <definedName name="________aaa234">INDEX(#REF!,0,2)</definedName>
    <definedName name="________ANN1">#REF!</definedName>
    <definedName name="________ASA1" hidden="1">{#N/A,#N/A,FALSE,"CAT3516";#N/A,#N/A,FALSE,"CAT3608";#N/A,#N/A,FALSE,"Wartsila";#N/A,#N/A,FALSE,"Asm";#N/A,#N/A,FALSE,"DG cost"}</definedName>
    <definedName name="________beq3">#REF!</definedName>
    <definedName name="________beq4">#REF!</definedName>
    <definedName name="________beq5">#REF!</definedName>
    <definedName name="________beq6">#REF!</definedName>
    <definedName name="________bs1">#REF!</definedName>
    <definedName name="________cap10">#REF!</definedName>
    <definedName name="________cap11">#REF!</definedName>
    <definedName name="________cap12">#REF!</definedName>
    <definedName name="________cap13">#REF!</definedName>
    <definedName name="________cap14">#REF!</definedName>
    <definedName name="________cap15">#REF!</definedName>
    <definedName name="________cap6">#REF!</definedName>
    <definedName name="________cap7">#REF!</definedName>
    <definedName name="________cap8">#REF!</definedName>
    <definedName name="________cap9">#REF!</definedName>
    <definedName name="________DAP1">#REF!</definedName>
    <definedName name="________DAP2">#REF!</definedName>
    <definedName name="________DAP3">#REF!</definedName>
    <definedName name="________DAT1">#REF!</definedName>
    <definedName name="________DAT10">#REF!</definedName>
    <definedName name="________DAT15">#REF!</definedName>
    <definedName name="________DAT2">#REF!</definedName>
    <definedName name="________DAT3">#REF!</definedName>
    <definedName name="________DAT4">#REF!</definedName>
    <definedName name="________DAT5">#REF!</definedName>
    <definedName name="________DAT6">#REF!</definedName>
    <definedName name="________DAT7">#REF!</definedName>
    <definedName name="________DAT8">#REF!</definedName>
    <definedName name="________DAT9">#REF!</definedName>
    <definedName name="________FEB107" hidden="1">#REF!</definedName>
    <definedName name="________gfa10">#REF!</definedName>
    <definedName name="________gfa11">#REF!</definedName>
    <definedName name="________gfa12">#REF!</definedName>
    <definedName name="________gfa13">#REF!</definedName>
    <definedName name="________gfa14">#REF!</definedName>
    <definedName name="________gfa15">#REF!</definedName>
    <definedName name="________gfa6">#REF!</definedName>
    <definedName name="________gfa7">#REF!</definedName>
    <definedName name="________gfa8">#REF!</definedName>
    <definedName name="________gfa9">#REF!</definedName>
    <definedName name="________inv3">#REF!</definedName>
    <definedName name="________inv4">#REF!</definedName>
    <definedName name="________inv5">#REF!</definedName>
    <definedName name="________inv6">#REF!</definedName>
    <definedName name="________JAN10" hidden="1">{#N/A,#N/A,FALSE,"Ut";#N/A,#N/A,FALSE,"UT-h"}</definedName>
    <definedName name="________JAN2010" hidden="1">{#N/A,#N/A,FALSE,"Ut";#N/A,#N/A,FALSE,"UT-h"}</definedName>
    <definedName name="________jan98">#REF!</definedName>
    <definedName name="________nfa10">#REF!</definedName>
    <definedName name="________nfa11">#REF!</definedName>
    <definedName name="________nfa12">#REF!</definedName>
    <definedName name="________nfa13">#REF!</definedName>
    <definedName name="________nfa14">#REF!</definedName>
    <definedName name="________nfa15">#REF!</definedName>
    <definedName name="________nfa6">#REF!</definedName>
    <definedName name="________nfa7">#REF!</definedName>
    <definedName name="________nfa8">#REF!</definedName>
    <definedName name="________nfa9">#REF!</definedName>
    <definedName name="________NPK1">#REF!</definedName>
    <definedName name="________NPK2">#REF!</definedName>
    <definedName name="________owc3">#REF!</definedName>
    <definedName name="________owc4">#REF!</definedName>
    <definedName name="________owc5">#REF!</definedName>
    <definedName name="________owc6">#REF!</definedName>
    <definedName name="________PC11">#REF!</definedName>
    <definedName name="________PC12">#REF!</definedName>
    <definedName name="________PC2">#REF!</definedName>
    <definedName name="________PC3">#REF!</definedName>
    <definedName name="________PC4">#REF!</definedName>
    <definedName name="________PC5">#REF!</definedName>
    <definedName name="________PC6">#REF!</definedName>
    <definedName name="________PC7">#REF!</definedName>
    <definedName name="________PC8">#REF!</definedName>
    <definedName name="________PC9">#REF!</definedName>
    <definedName name="________pl3">#REF!</definedName>
    <definedName name="________PRD1">237</definedName>
    <definedName name="________PRT1">#REF!</definedName>
    <definedName name="________PS1">#REF!</definedName>
    <definedName name="________ps2">#REF!</definedName>
    <definedName name="________ps3">#REF!</definedName>
    <definedName name="________res1">#REF!</definedName>
    <definedName name="________res2">#REF!</definedName>
    <definedName name="________res3">#REF!</definedName>
    <definedName name="________rev2">#REF!</definedName>
    <definedName name="________slm10">#REF!</definedName>
    <definedName name="________slm11">#REF!</definedName>
    <definedName name="________slm12">#REF!</definedName>
    <definedName name="________slm13">#REF!</definedName>
    <definedName name="________slm14">#REF!</definedName>
    <definedName name="________slm15">#REF!</definedName>
    <definedName name="________slm6">#REF!</definedName>
    <definedName name="________slm7">#REF!</definedName>
    <definedName name="________slm8">#REF!</definedName>
    <definedName name="________slm9">#REF!</definedName>
    <definedName name="________vl5">#REF!</definedName>
    <definedName name="________wdv10">#REF!</definedName>
    <definedName name="________wdv11">#REF!</definedName>
    <definedName name="________wdv12">#REF!</definedName>
    <definedName name="________wdv13">#REF!</definedName>
    <definedName name="________wdv14">#REF!</definedName>
    <definedName name="________wdv15">#REF!</definedName>
    <definedName name="________wdv6">#REF!</definedName>
    <definedName name="________wdv7">#REF!</definedName>
    <definedName name="________wdv8">#REF!</definedName>
    <definedName name="________wdv9">#REF!</definedName>
    <definedName name="________xlnm.Database">#N/A</definedName>
    <definedName name="________xlnm.Print_Area_3">NA()</definedName>
    <definedName name="_______aaa234">INDEX(#REF!,0,2)</definedName>
    <definedName name="_______ASA1" hidden="1">{#N/A,#N/A,FALSE,"CAT3516";#N/A,#N/A,FALSE,"CAT3608";#N/A,#N/A,FALSE,"Wartsila";#N/A,#N/A,FALSE,"Asm";#N/A,#N/A,FALSE,"DG cost"}</definedName>
    <definedName name="_______beq3">#REF!</definedName>
    <definedName name="_______beq4">#REF!</definedName>
    <definedName name="_______beq5">#REF!</definedName>
    <definedName name="_______beq6">#REF!</definedName>
    <definedName name="_______bs1">#REF!</definedName>
    <definedName name="_______cap10">#REF!</definedName>
    <definedName name="_______cap11">#REF!</definedName>
    <definedName name="_______cap12">#REF!</definedName>
    <definedName name="_______cap13">#REF!</definedName>
    <definedName name="_______cap14">#REF!</definedName>
    <definedName name="_______cap15">#REF!</definedName>
    <definedName name="_______cap6">#REF!</definedName>
    <definedName name="_______cap7">#REF!</definedName>
    <definedName name="_______cap8">#REF!</definedName>
    <definedName name="_______cap9">#REF!</definedName>
    <definedName name="_______DAP1">#REF!</definedName>
    <definedName name="_______DAP2">#REF!</definedName>
    <definedName name="_______DAP3">#REF!</definedName>
    <definedName name="_______DAT1">#REF!</definedName>
    <definedName name="_______DAT10">#REF!</definedName>
    <definedName name="_______DAT15">#REF!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FEB107" hidden="1">#REF!</definedName>
    <definedName name="_______gfa10">#REF!</definedName>
    <definedName name="_______gfa11">#REF!</definedName>
    <definedName name="_______gfa12">#REF!</definedName>
    <definedName name="_______gfa13">#REF!</definedName>
    <definedName name="_______gfa14">#REF!</definedName>
    <definedName name="_______gfa15">#REF!</definedName>
    <definedName name="_______gfa6">#REF!</definedName>
    <definedName name="_______gfa7">#REF!</definedName>
    <definedName name="_______gfa8">#REF!</definedName>
    <definedName name="_______gfa9">#REF!</definedName>
    <definedName name="_______inv3">#REF!</definedName>
    <definedName name="_______inv4">#REF!</definedName>
    <definedName name="_______inv5">#REF!</definedName>
    <definedName name="_______inv6">#REF!</definedName>
    <definedName name="_______JAN10" hidden="1">{#N/A,#N/A,FALSE,"Ut";#N/A,#N/A,FALSE,"UT-h"}</definedName>
    <definedName name="_______JAN2010" hidden="1">{#N/A,#N/A,FALSE,"Ut";#N/A,#N/A,FALSE,"UT-h"}</definedName>
    <definedName name="_______jan98">#REF!</definedName>
    <definedName name="_______nfa10">#REF!</definedName>
    <definedName name="_______nfa11">#REF!</definedName>
    <definedName name="_______nfa12">#REF!</definedName>
    <definedName name="_______nfa13">#REF!</definedName>
    <definedName name="_______nfa14">#REF!</definedName>
    <definedName name="_______nfa15">#REF!</definedName>
    <definedName name="_______nfa6">#REF!</definedName>
    <definedName name="_______nfa7">#REF!</definedName>
    <definedName name="_______nfa8">#REF!</definedName>
    <definedName name="_______nfa9">#REF!</definedName>
    <definedName name="_______NPK1">#REF!</definedName>
    <definedName name="_______NPK2">#REF!</definedName>
    <definedName name="_______owc3">#REF!</definedName>
    <definedName name="_______owc4">#REF!</definedName>
    <definedName name="_______owc5">#REF!</definedName>
    <definedName name="_______owc6">#REF!</definedName>
    <definedName name="_______PC11">#REF!</definedName>
    <definedName name="_______PC12">#REF!</definedName>
    <definedName name="_______PC2">#REF!</definedName>
    <definedName name="_______PC3">#REF!</definedName>
    <definedName name="_______PC4">#REF!</definedName>
    <definedName name="_______PC5">#REF!</definedName>
    <definedName name="_______PC6">#REF!</definedName>
    <definedName name="_______PC7">#REF!</definedName>
    <definedName name="_______PC8">#REF!</definedName>
    <definedName name="_______PC9">#REF!</definedName>
    <definedName name="_______pg10">#REF!</definedName>
    <definedName name="_______pg11">#REF!</definedName>
    <definedName name="_______pg14">#REF!</definedName>
    <definedName name="_______pg15">#REF!</definedName>
    <definedName name="_______pg16">#REF!</definedName>
    <definedName name="_______pg17">#REF!</definedName>
    <definedName name="_______pg18">#REF!</definedName>
    <definedName name="_______PG22">#REF!</definedName>
    <definedName name="_______PG23">#REF!</definedName>
    <definedName name="_______PG24">#REF!</definedName>
    <definedName name="_______pg40">#REF!</definedName>
    <definedName name="_______PG9">#REF!</definedName>
    <definedName name="_______pl3">#REF!</definedName>
    <definedName name="_______PRD1">237</definedName>
    <definedName name="_______PRT1">#REF!</definedName>
    <definedName name="_______PS1">#REF!</definedName>
    <definedName name="_______ps2">#REF!</definedName>
    <definedName name="_______ps3">#REF!</definedName>
    <definedName name="_______res1">#REF!</definedName>
    <definedName name="_______res2">#REF!</definedName>
    <definedName name="_______res3">#REF!</definedName>
    <definedName name="_______rev2">#REF!</definedName>
    <definedName name="_______slm10">#REF!</definedName>
    <definedName name="_______slm11">#REF!</definedName>
    <definedName name="_______slm12">#REF!</definedName>
    <definedName name="_______slm13">#REF!</definedName>
    <definedName name="_______slm14">#REF!</definedName>
    <definedName name="_______slm15">#REF!</definedName>
    <definedName name="_______slm6">#REF!</definedName>
    <definedName name="_______slm7">#REF!</definedName>
    <definedName name="_______slm8">#REF!</definedName>
    <definedName name="_______slm9">#REF!</definedName>
    <definedName name="_______vl5">#REF!</definedName>
    <definedName name="_______wdv10">#REF!</definedName>
    <definedName name="_______wdv11">#REF!</definedName>
    <definedName name="_______wdv12">#REF!</definedName>
    <definedName name="_______wdv13">#REF!</definedName>
    <definedName name="_______wdv14">#REF!</definedName>
    <definedName name="_______wdv15">#REF!</definedName>
    <definedName name="_______wdv6">#REF!</definedName>
    <definedName name="_______wdv7">#REF!</definedName>
    <definedName name="_______wdv8">#REF!</definedName>
    <definedName name="_______wdv9">#REF!</definedName>
    <definedName name="_______xlnm.Database">#N/A</definedName>
    <definedName name="_______xlnm.Print_Area_3">NA()</definedName>
    <definedName name="______aaa234">INDEX(#REF!,0,2)</definedName>
    <definedName name="______ANN1">#REF!</definedName>
    <definedName name="______ASA1" hidden="1">{#N/A,#N/A,FALSE,"CAT3516";#N/A,#N/A,FALSE,"CAT3608";#N/A,#N/A,FALSE,"Wartsila";#N/A,#N/A,FALSE,"Asm";#N/A,#N/A,FALSE,"DG cost"}</definedName>
    <definedName name="______beq3">#REF!</definedName>
    <definedName name="______beq4">#REF!</definedName>
    <definedName name="______beq5">#REF!</definedName>
    <definedName name="______beq6">#REF!</definedName>
    <definedName name="______bs1">#REF!</definedName>
    <definedName name="______cap10">#REF!</definedName>
    <definedName name="______cap11">#REF!</definedName>
    <definedName name="______cap12">#REF!</definedName>
    <definedName name="______cap13">#REF!</definedName>
    <definedName name="______cap14">#REF!</definedName>
    <definedName name="______cap15">#REF!</definedName>
    <definedName name="______cap6">#REF!</definedName>
    <definedName name="______cap7">#REF!</definedName>
    <definedName name="______cap8">#REF!</definedName>
    <definedName name="______cap9">#REF!</definedName>
    <definedName name="______DAP1">#REF!</definedName>
    <definedName name="______DAP2">#REF!</definedName>
    <definedName name="______DAP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7">#REF!</definedName>
    <definedName name="______DAT18">#REF!</definedName>
    <definedName name="______DAT19">#REF!</definedName>
    <definedName name="______DAT2">#REF!</definedName>
    <definedName name="______DAT20">#REF!</definedName>
    <definedName name="______DAT21">#REF!</definedName>
    <definedName name="______DAT22">#REF!</definedName>
    <definedName name="______DAT23">#REF!</definedName>
    <definedName name="______DAT24">#REF!</definedName>
    <definedName name="______DAT25">#REF!</definedName>
    <definedName name="______DAT26">#REF!</definedName>
    <definedName name="______DAT27">#REF!</definedName>
    <definedName name="______DAT28">#REF!</definedName>
    <definedName name="______DAT29">#REF!</definedName>
    <definedName name="______DAT3">#REF!</definedName>
    <definedName name="______DAT30">#REF!</definedName>
    <definedName name="______DAT31">#REF!</definedName>
    <definedName name="______DAT32">#REF!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FEB107" hidden="1">#REF!</definedName>
    <definedName name="______gfa10">#REF!</definedName>
    <definedName name="______gfa11">#REF!</definedName>
    <definedName name="______gfa12">#REF!</definedName>
    <definedName name="______gfa13">#REF!</definedName>
    <definedName name="______gfa14">#REF!</definedName>
    <definedName name="______gfa15">#REF!</definedName>
    <definedName name="______gfa6">#REF!</definedName>
    <definedName name="______gfa7">#REF!</definedName>
    <definedName name="______gfa8">#REF!</definedName>
    <definedName name="______gfa9">#REF!</definedName>
    <definedName name="______inv3">#REF!</definedName>
    <definedName name="______inv4">#REF!</definedName>
    <definedName name="______inv5">#REF!</definedName>
    <definedName name="______inv6">#REF!</definedName>
    <definedName name="______JAN10" hidden="1">{#N/A,#N/A,FALSE,"Ut";#N/A,#N/A,FALSE,"UT-h"}</definedName>
    <definedName name="______JAN2010" hidden="1">{#N/A,#N/A,FALSE,"Ut";#N/A,#N/A,FALSE,"UT-h"}</definedName>
    <definedName name="______jan98">#REF!</definedName>
    <definedName name="______nfa10">#REF!</definedName>
    <definedName name="______nfa11">#REF!</definedName>
    <definedName name="______nfa12">#REF!</definedName>
    <definedName name="______nfa13">#REF!</definedName>
    <definedName name="______nfa14">#REF!</definedName>
    <definedName name="______nfa15">#REF!</definedName>
    <definedName name="______nfa6">#REF!</definedName>
    <definedName name="______nfa7">#REF!</definedName>
    <definedName name="______nfa8">#REF!</definedName>
    <definedName name="______nfa9">#REF!</definedName>
    <definedName name="______NPK1">#REF!</definedName>
    <definedName name="______NPK2">#REF!</definedName>
    <definedName name="______owc3">#REF!</definedName>
    <definedName name="______owc4">#REF!</definedName>
    <definedName name="______owc5">#REF!</definedName>
    <definedName name="______owc6">#REF!</definedName>
    <definedName name="______PC11">#REF!</definedName>
    <definedName name="______PC12">#REF!</definedName>
    <definedName name="______PC2">#REF!</definedName>
    <definedName name="______PC3">#REF!</definedName>
    <definedName name="______PC4">#REF!</definedName>
    <definedName name="______PC5">#REF!</definedName>
    <definedName name="______PC6">#REF!</definedName>
    <definedName name="______PC7">#REF!</definedName>
    <definedName name="______PC8">#REF!</definedName>
    <definedName name="______PC9">#REF!</definedName>
    <definedName name="______pg10">#REF!</definedName>
    <definedName name="______pg11">#REF!</definedName>
    <definedName name="______pg14">#REF!</definedName>
    <definedName name="______pg15">#REF!</definedName>
    <definedName name="______pg16">#REF!</definedName>
    <definedName name="______pg17">#REF!</definedName>
    <definedName name="______pg18">#REF!</definedName>
    <definedName name="______PG22">#REF!</definedName>
    <definedName name="______PG23">#REF!</definedName>
    <definedName name="______PG24">#REF!</definedName>
    <definedName name="______pg40">#REF!</definedName>
    <definedName name="______PG9">#REF!</definedName>
    <definedName name="______pl3">#REF!</definedName>
    <definedName name="______PRD1">237</definedName>
    <definedName name="______PRT1">#REF!</definedName>
    <definedName name="______PS1">#REF!</definedName>
    <definedName name="______ps2">#REF!</definedName>
    <definedName name="______ps3">#REF!</definedName>
    <definedName name="______res1">#REF!</definedName>
    <definedName name="______res2">#REF!</definedName>
    <definedName name="______res3">#REF!</definedName>
    <definedName name="______rev2">#REF!</definedName>
    <definedName name="______slm10">#REF!</definedName>
    <definedName name="______slm11">#REF!</definedName>
    <definedName name="______slm12">#REF!</definedName>
    <definedName name="______slm13">#REF!</definedName>
    <definedName name="______slm14">#REF!</definedName>
    <definedName name="______slm15">#REF!</definedName>
    <definedName name="______slm6">#REF!</definedName>
    <definedName name="______slm7">#REF!</definedName>
    <definedName name="______slm8">#REF!</definedName>
    <definedName name="______slm9">#REF!</definedName>
    <definedName name="______SLP37">#REF!</definedName>
    <definedName name="______vl5">#REF!</definedName>
    <definedName name="______wdv10">#REF!</definedName>
    <definedName name="______wdv11">#REF!</definedName>
    <definedName name="______wdv12">#REF!</definedName>
    <definedName name="______wdv13">#REF!</definedName>
    <definedName name="______wdv14">#REF!</definedName>
    <definedName name="______wdv15">#REF!</definedName>
    <definedName name="______wdv6">#REF!</definedName>
    <definedName name="______wdv7">#REF!</definedName>
    <definedName name="______wdv8">#REF!</definedName>
    <definedName name="______wdv9">#REF!</definedName>
    <definedName name="______xlnm.Database">#N/A</definedName>
    <definedName name="______xlnm.Print_Area_10">#REF!</definedName>
    <definedName name="______xlnm.Print_Area_3">NA()</definedName>
    <definedName name="______xlnm.Print_Titles_14">#N/A</definedName>
    <definedName name="______xlnm.Print_Titles_4">#N/A</definedName>
    <definedName name="______xlnm.Print_Titles_7">#N/A</definedName>
    <definedName name="______xlnm.Print_Titles_8">#N/A</definedName>
    <definedName name="_____aaa234">INDEX(#REF!,0,2)</definedName>
    <definedName name="_____ANN1">#REF!</definedName>
    <definedName name="_____ASA1" hidden="1">{#N/A,#N/A,FALSE,"CAT3516";#N/A,#N/A,FALSE,"CAT3608";#N/A,#N/A,FALSE,"Wartsila";#N/A,#N/A,FALSE,"Asm";#N/A,#N/A,FALSE,"DG cost"}</definedName>
    <definedName name="_____beq3">#REF!</definedName>
    <definedName name="_____beq4">#REF!</definedName>
    <definedName name="_____beq5">#REF!</definedName>
    <definedName name="_____beq6">#REF!</definedName>
    <definedName name="_____bs1">#REF!</definedName>
    <definedName name="_____cap10">#REF!</definedName>
    <definedName name="_____cap11">#REF!</definedName>
    <definedName name="_____cap12">#REF!</definedName>
    <definedName name="_____cap13">#REF!</definedName>
    <definedName name="_____cap14">#REF!</definedName>
    <definedName name="_____cap15">#REF!</definedName>
    <definedName name="_____cap6">#REF!</definedName>
    <definedName name="_____cap7">#REF!</definedName>
    <definedName name="_____cap8">#REF!</definedName>
    <definedName name="_____cap9">#REF!</definedName>
    <definedName name="_____DAP1">#REF!</definedName>
    <definedName name="_____DAP2">#REF!</definedName>
    <definedName name="_____DAP3">#REF!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7">#REF!</definedName>
    <definedName name="_____DAT18">#REF!</definedName>
    <definedName name="_____DAT19">#REF!</definedName>
    <definedName name="_____DAT2">#REF!</definedName>
    <definedName name="_____DAT20">#REF!</definedName>
    <definedName name="_____DAT21">#REF!</definedName>
    <definedName name="_____DAT22">#REF!</definedName>
    <definedName name="_____DAT23">#REF!</definedName>
    <definedName name="_____DAT24">#REF!</definedName>
    <definedName name="_____DAT25">#REF!</definedName>
    <definedName name="_____DAT26">#REF!</definedName>
    <definedName name="_____DAT27">#REF!</definedName>
    <definedName name="_____DAT28">#REF!</definedName>
    <definedName name="_____DAT29">#REF!</definedName>
    <definedName name="_____DAT3">#REF!</definedName>
    <definedName name="_____DAT30">#REF!</definedName>
    <definedName name="_____DAT31">#REF!</definedName>
    <definedName name="_____DAT32">#REF!</definedName>
    <definedName name="_____DAT4">#REF!</definedName>
    <definedName name="_____DAT5">#REF!</definedName>
    <definedName name="_____DAT6">#REF!</definedName>
    <definedName name="_____DAT7">#REF!</definedName>
    <definedName name="_____DAT8">#REF!</definedName>
    <definedName name="_____DAT9">#REF!</definedName>
    <definedName name="_____FEB107" hidden="1">#REF!</definedName>
    <definedName name="_____gfa10">#REF!</definedName>
    <definedName name="_____gfa11">#REF!</definedName>
    <definedName name="_____gfa12">#REF!</definedName>
    <definedName name="_____gfa13">#REF!</definedName>
    <definedName name="_____gfa14">#REF!</definedName>
    <definedName name="_____gfa15">#REF!</definedName>
    <definedName name="_____gfa6">#REF!</definedName>
    <definedName name="_____gfa7">#REF!</definedName>
    <definedName name="_____gfa8">#REF!</definedName>
    <definedName name="_____gfa9">#REF!</definedName>
    <definedName name="_____inv3">#REF!</definedName>
    <definedName name="_____inv4">#REF!</definedName>
    <definedName name="_____inv5">#REF!</definedName>
    <definedName name="_____inv6">#REF!</definedName>
    <definedName name="_____JAN10" hidden="1">{#N/A,#N/A,FALSE,"Ut";#N/A,#N/A,FALSE,"UT-h"}</definedName>
    <definedName name="_____JAN2010" hidden="1">{#N/A,#N/A,FALSE,"Ut";#N/A,#N/A,FALSE,"UT-h"}</definedName>
    <definedName name="_____jan98">#REF!</definedName>
    <definedName name="_____mf12">#REF!</definedName>
    <definedName name="_____mfA12">#REF!</definedName>
    <definedName name="_____nfa10">#REF!</definedName>
    <definedName name="_____nfa11">#REF!</definedName>
    <definedName name="_____nfa12">#REF!</definedName>
    <definedName name="_____nfa13">#REF!</definedName>
    <definedName name="_____nfa14">#REF!</definedName>
    <definedName name="_____nfa15">#REF!</definedName>
    <definedName name="_____nfa6">#REF!</definedName>
    <definedName name="_____nfa7">#REF!</definedName>
    <definedName name="_____nfa8">#REF!</definedName>
    <definedName name="_____nfa9">#REF!</definedName>
    <definedName name="_____NPK1">#REF!</definedName>
    <definedName name="_____NPK2">#REF!</definedName>
    <definedName name="_____owc3">#REF!</definedName>
    <definedName name="_____owc4">#REF!</definedName>
    <definedName name="_____owc5">#REF!</definedName>
    <definedName name="_____owc6">#REF!</definedName>
    <definedName name="_____PC11">#REF!</definedName>
    <definedName name="_____PC12">#REF!</definedName>
    <definedName name="_____PC2">#REF!</definedName>
    <definedName name="_____PC3">#REF!</definedName>
    <definedName name="_____PC4">#REF!</definedName>
    <definedName name="_____PC5">#REF!</definedName>
    <definedName name="_____PC6">#REF!</definedName>
    <definedName name="_____PC7">#REF!</definedName>
    <definedName name="_____PC8">#REF!</definedName>
    <definedName name="_____PC9">#REF!</definedName>
    <definedName name="_____Pg1">#REF!</definedName>
    <definedName name="_____pg10">#REF!</definedName>
    <definedName name="_____pg11">#REF!</definedName>
    <definedName name="_____pg14">#REF!</definedName>
    <definedName name="_____pg15">#REF!</definedName>
    <definedName name="_____pg16">#REF!</definedName>
    <definedName name="_____pg17">#REF!</definedName>
    <definedName name="_____pg18">#REF!</definedName>
    <definedName name="_____PG2">#REF!</definedName>
    <definedName name="_____PG22">#REF!</definedName>
    <definedName name="_____PG23">#REF!</definedName>
    <definedName name="_____PG24">#REF!</definedName>
    <definedName name="_____PG3">#REF!</definedName>
    <definedName name="_____PG4">#REF!</definedName>
    <definedName name="_____pg40">#REF!</definedName>
    <definedName name="_____PG9">#REF!</definedName>
    <definedName name="_____pl3">#REF!</definedName>
    <definedName name="_____PRD1">237</definedName>
    <definedName name="_____PRT1">#REF!</definedName>
    <definedName name="_____PS1">#REF!</definedName>
    <definedName name="_____ps2">#REF!</definedName>
    <definedName name="_____ps3">#REF!</definedName>
    <definedName name="_____res1">#REF!</definedName>
    <definedName name="_____res2">#REF!</definedName>
    <definedName name="_____res3">#REF!</definedName>
    <definedName name="_____rev2">#REF!</definedName>
    <definedName name="_____RM1">#REF!</definedName>
    <definedName name="_____RM2">#REF!</definedName>
    <definedName name="_____RM3">#REF!</definedName>
    <definedName name="_____SCH5">#REF!</definedName>
    <definedName name="_____SCH6">#REF!</definedName>
    <definedName name="_____sh5">#REF!</definedName>
    <definedName name="_____slm10">#REF!</definedName>
    <definedName name="_____slm11">#REF!</definedName>
    <definedName name="_____slm12">#REF!</definedName>
    <definedName name="_____slm13">#REF!</definedName>
    <definedName name="_____slm14">#REF!</definedName>
    <definedName name="_____slm15">#REF!</definedName>
    <definedName name="_____slm6">#REF!</definedName>
    <definedName name="_____slm7">#REF!</definedName>
    <definedName name="_____slm8">#REF!</definedName>
    <definedName name="_____slm9">#REF!</definedName>
    <definedName name="_____SLP37">#REF!</definedName>
    <definedName name="_____vl5">#REF!</definedName>
    <definedName name="_____wdv10">#REF!</definedName>
    <definedName name="_____wdv11">#REF!</definedName>
    <definedName name="_____wdv12">#REF!</definedName>
    <definedName name="_____wdv13">#REF!</definedName>
    <definedName name="_____wdv14">#REF!</definedName>
    <definedName name="_____wdv15">#REF!</definedName>
    <definedName name="_____wdv6">#REF!</definedName>
    <definedName name="_____wdv7">#REF!</definedName>
    <definedName name="_____wdv8">#REF!</definedName>
    <definedName name="_____wdv9">#REF!</definedName>
    <definedName name="_____xlnm.Database">#N/A</definedName>
    <definedName name="_____xlnm.Print_Area_10">#REF!</definedName>
    <definedName name="_____xlnm.Print_Area_3">NA()</definedName>
    <definedName name="_____xlnm.Print_Titles_14">#N/A</definedName>
    <definedName name="_____xlnm.Print_Titles_4">#N/A</definedName>
    <definedName name="_____xlnm.Print_Titles_7">#N/A</definedName>
    <definedName name="_____xlnm.Print_Titles_8">#N/A</definedName>
    <definedName name="____aaa234">INDEX(#REF!,0,2)</definedName>
    <definedName name="____ANN1">#REF!</definedName>
    <definedName name="____ASA1" hidden="1">{#N/A,#N/A,FALSE,"CAT3516";#N/A,#N/A,FALSE,"CAT3608";#N/A,#N/A,FALSE,"Wartsila";#N/A,#N/A,FALSE,"Asm";#N/A,#N/A,FALSE,"DG cost"}</definedName>
    <definedName name="____beq3">#REF!</definedName>
    <definedName name="____beq4">#REF!</definedName>
    <definedName name="____beq5">#REF!</definedName>
    <definedName name="____beq6">#REF!</definedName>
    <definedName name="____bs1">#REF!</definedName>
    <definedName name="____cap10">#REF!</definedName>
    <definedName name="____cap11">#REF!</definedName>
    <definedName name="____cap12">#REF!</definedName>
    <definedName name="____cap13">#REF!</definedName>
    <definedName name="____cap14">#REF!</definedName>
    <definedName name="____cap15">#REF!</definedName>
    <definedName name="____cap6">#REF!</definedName>
    <definedName name="____cap7">#REF!</definedName>
    <definedName name="____cap8">#REF!</definedName>
    <definedName name="____cap9">#REF!</definedName>
    <definedName name="____CWT1">"$"</definedName>
    <definedName name="____DAP1">#REF!</definedName>
    <definedName name="____DAP2">#REF!</definedName>
    <definedName name="____DAP3">#REF!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0">#REF!</definedName>
    <definedName name="____DAT21">#REF!</definedName>
    <definedName name="____DAT22">#REF!</definedName>
    <definedName name="____DAT23">#REF!</definedName>
    <definedName name="____DAT24">#REF!</definedName>
    <definedName name="____DAT25">#REF!</definedName>
    <definedName name="____DAT26">#REF!</definedName>
    <definedName name="____DAT27">#REF!</definedName>
    <definedName name="____DAT28">#REF!</definedName>
    <definedName name="____DAT29">#REF!</definedName>
    <definedName name="____DAT3">#REF!</definedName>
    <definedName name="____DAT30">#REF!</definedName>
    <definedName name="____DAT31">#REF!</definedName>
    <definedName name="____DAT32">#REF!</definedName>
    <definedName name="____DAT4">#REF!</definedName>
    <definedName name="____DAT5">#REF!</definedName>
    <definedName name="____DAT6">#REF!</definedName>
    <definedName name="____DAT7">#REF!</definedName>
    <definedName name="____DAT8">#REF!</definedName>
    <definedName name="____DAT9">#REF!</definedName>
    <definedName name="____DRE0700" hidden="1">{"'PXR_6500'!$A$1:$I$124"}</definedName>
    <definedName name="____FEB107" hidden="1">#REF!</definedName>
    <definedName name="____gfa10">#REF!</definedName>
    <definedName name="____gfa11">#REF!</definedName>
    <definedName name="____gfa12">#REF!</definedName>
    <definedName name="____gfa13">#REF!</definedName>
    <definedName name="____gfa14">#REF!</definedName>
    <definedName name="____gfa15">#REF!</definedName>
    <definedName name="____gfa6">#REF!</definedName>
    <definedName name="____gfa7">#REF!</definedName>
    <definedName name="____gfa8">#REF!</definedName>
    <definedName name="____gfa9">#REF!</definedName>
    <definedName name="____inv3">#REF!</definedName>
    <definedName name="____inv4">#REF!</definedName>
    <definedName name="____inv5">#REF!</definedName>
    <definedName name="____inv6">#REF!</definedName>
    <definedName name="____JAN10" hidden="1">{#N/A,#N/A,FALSE,"Ut";#N/A,#N/A,FALSE,"UT-h"}</definedName>
    <definedName name="____JAN2010" hidden="1">{#N/A,#N/A,FALSE,"Ut";#N/A,#N/A,FALSE,"UT-h"}</definedName>
    <definedName name="____jan98">#REF!</definedName>
    <definedName name="____mf12">#REF!</definedName>
    <definedName name="____mfA12">#REF!</definedName>
    <definedName name="____nfa10">#REF!</definedName>
    <definedName name="____nfa11">#REF!</definedName>
    <definedName name="____nfa12">#REF!</definedName>
    <definedName name="____nfa13">#REF!</definedName>
    <definedName name="____nfa14">#REF!</definedName>
    <definedName name="____nfa15">#REF!</definedName>
    <definedName name="____nfa6">#REF!</definedName>
    <definedName name="____nfa7">#REF!</definedName>
    <definedName name="____nfa8">#REF!</definedName>
    <definedName name="____nfa9">#REF!</definedName>
    <definedName name="____NPK1">#REF!</definedName>
    <definedName name="____NPK2">#REF!</definedName>
    <definedName name="____owc3">#REF!</definedName>
    <definedName name="____owc4">#REF!</definedName>
    <definedName name="____owc5">#REF!</definedName>
    <definedName name="____owc6">#REF!</definedName>
    <definedName name="____PC11">#REF!</definedName>
    <definedName name="____PC12">#REF!</definedName>
    <definedName name="____PC2">#REF!</definedName>
    <definedName name="____PC3">#REF!</definedName>
    <definedName name="____PC4">#REF!</definedName>
    <definedName name="____PC5">#REF!</definedName>
    <definedName name="____PC6">#REF!</definedName>
    <definedName name="____PC7">#REF!</definedName>
    <definedName name="____PC8">#REF!</definedName>
    <definedName name="____PC9">#REF!</definedName>
    <definedName name="____Pg1">#REF!</definedName>
    <definedName name="____pg10">#REF!</definedName>
    <definedName name="____pg11">#REF!</definedName>
    <definedName name="____pg14">#REF!</definedName>
    <definedName name="____pg15">#REF!</definedName>
    <definedName name="____pg16">#REF!</definedName>
    <definedName name="____pg17">#REF!</definedName>
    <definedName name="____pg18">#REF!</definedName>
    <definedName name="____PG2">#REF!</definedName>
    <definedName name="____PG22">#REF!</definedName>
    <definedName name="____PG23">#REF!</definedName>
    <definedName name="____PG24">#REF!</definedName>
    <definedName name="____PG3">#REF!</definedName>
    <definedName name="____PG4">#REF!</definedName>
    <definedName name="____pg40">#REF!</definedName>
    <definedName name="____PG9">#REF!</definedName>
    <definedName name="____pl3">#REF!</definedName>
    <definedName name="____PRD1">237</definedName>
    <definedName name="____PRD3">#REF!</definedName>
    <definedName name="____PRT1">#REF!</definedName>
    <definedName name="____PS1">#REF!</definedName>
    <definedName name="____ps2">#REF!</definedName>
    <definedName name="____ps3">#REF!</definedName>
    <definedName name="____PT1">#REF!</definedName>
    <definedName name="____PT2">#REF!</definedName>
    <definedName name="____QTR1">#REF!</definedName>
    <definedName name="____QTR2">#REF!</definedName>
    <definedName name="____QTR3">#REF!</definedName>
    <definedName name="____QTR4">#REF!</definedName>
    <definedName name="____res1">#REF!</definedName>
    <definedName name="____res2">#REF!</definedName>
    <definedName name="____res3">#REF!</definedName>
    <definedName name="____rev2">#REF!</definedName>
    <definedName name="____RM1">#REF!</definedName>
    <definedName name="____RM2">#REF!</definedName>
    <definedName name="____RM3">#REF!</definedName>
    <definedName name="____SCH5">#REF!</definedName>
    <definedName name="____SCH6">#REF!</definedName>
    <definedName name="____sh5">#REF!</definedName>
    <definedName name="____slm10">#REF!</definedName>
    <definedName name="____slm11">#REF!</definedName>
    <definedName name="____slm12">#REF!</definedName>
    <definedName name="____slm13">#REF!</definedName>
    <definedName name="____slm14">#REF!</definedName>
    <definedName name="____slm15">#REF!</definedName>
    <definedName name="____slm6">#REF!</definedName>
    <definedName name="____slm7">#REF!</definedName>
    <definedName name="____slm8">#REF!</definedName>
    <definedName name="____slm9">#REF!</definedName>
    <definedName name="____SLP37">#REF!</definedName>
    <definedName name="____TR1">"$"</definedName>
    <definedName name="____USD1">#REF!</definedName>
    <definedName name="____vl5">#REF!</definedName>
    <definedName name="____wdv10">#REF!</definedName>
    <definedName name="____wdv11">#REF!</definedName>
    <definedName name="____wdv12">#REF!</definedName>
    <definedName name="____wdv13">#REF!</definedName>
    <definedName name="____wdv14">#REF!</definedName>
    <definedName name="____wdv15">#REF!</definedName>
    <definedName name="____wdv6">#REF!</definedName>
    <definedName name="____wdv7">#REF!</definedName>
    <definedName name="____wdv8">#REF!</definedName>
    <definedName name="____wdv9">#REF!</definedName>
    <definedName name="____xlnm.Database">#N/A</definedName>
    <definedName name="____xlnm.Print_Area">"#REF!"</definedName>
    <definedName name="____xlnm.Print_Area_10">#REF!</definedName>
    <definedName name="____xlnm.Print_Area_3">NA()</definedName>
    <definedName name="____xlnm.Print_Titles_14">#N/A</definedName>
    <definedName name="____xlnm.Print_Titles_4">#N/A</definedName>
    <definedName name="____xlnm.Print_Titles_7">#N/A</definedName>
    <definedName name="____xlnm.Print_Titles_8">#N/A</definedName>
    <definedName name="___6_239">#REF!</definedName>
    <definedName name="___a1" hidden="1">{#N/A,#N/A,FALSE,"FlCx99";#N/A,#N/A,FALSE,"Dívida99"}</definedName>
    <definedName name="___a1_1" hidden="1">{#N/A,#N/A,FALSE,"FlCx99";#N/A,#N/A,FALSE,"Dívida99"}</definedName>
    <definedName name="___a1_2" hidden="1">{#N/A,#N/A,FALSE,"FlCx99";#N/A,#N/A,FALSE,"Dívida99"}</definedName>
    <definedName name="___a1_3" hidden="1">{#N/A,#N/A,FALSE,"FlCx99";#N/A,#N/A,FALSE,"Dívida99"}</definedName>
    <definedName name="___a1_4" hidden="1">{#N/A,#N/A,FALSE,"FlCx99";#N/A,#N/A,FALSE,"Dívida99"}</definedName>
    <definedName name="___a1_5" hidden="1">{#N/A,#N/A,FALSE,"FlCx99";#N/A,#N/A,FALSE,"Dívida99"}</definedName>
    <definedName name="___a3" hidden="1">{#N/A,#N/A,FALSE,"FlCx99";#N/A,#N/A,FALSE,"Dívida99"}</definedName>
    <definedName name="___a3_1" hidden="1">{#N/A,#N/A,FALSE,"FlCx99";#N/A,#N/A,FALSE,"Dívida99"}</definedName>
    <definedName name="___a3_2" hidden="1">{#N/A,#N/A,FALSE,"FlCx99";#N/A,#N/A,FALSE,"Dívida99"}</definedName>
    <definedName name="___a3_3" hidden="1">{#N/A,#N/A,FALSE,"FlCx99";#N/A,#N/A,FALSE,"Dívida99"}</definedName>
    <definedName name="___a3_4" hidden="1">{#N/A,#N/A,FALSE,"FlCx99";#N/A,#N/A,FALSE,"Dívida99"}</definedName>
    <definedName name="___a3_5" hidden="1">{#N/A,#N/A,FALSE,"FlCx99";#N/A,#N/A,FALSE,"Dívida99"}</definedName>
    <definedName name="___a4" hidden="1">{#N/A,#N/A,FALSE,"FlCx99";#N/A,#N/A,FALSE,"Dívida99"}</definedName>
    <definedName name="___a4_1" hidden="1">{#N/A,#N/A,FALSE,"FlCx99";#N/A,#N/A,FALSE,"Dívida99"}</definedName>
    <definedName name="___a4_2" hidden="1">{#N/A,#N/A,FALSE,"FlCx99";#N/A,#N/A,FALSE,"Dívida99"}</definedName>
    <definedName name="___a4_3" hidden="1">{#N/A,#N/A,FALSE,"FlCx99";#N/A,#N/A,FALSE,"Dívida99"}</definedName>
    <definedName name="___a4_4" hidden="1">{#N/A,#N/A,FALSE,"FlCx99";#N/A,#N/A,FALSE,"Dívida99"}</definedName>
    <definedName name="___a4_5" hidden="1">{#N/A,#N/A,FALSE,"FlCx99";#N/A,#N/A,FALSE,"Dívida99"}</definedName>
    <definedName name="___aaa234">INDEX(#REF!,0,2)</definedName>
    <definedName name="___ANN1">#REF!</definedName>
    <definedName name="___ASA1" hidden="1">{#N/A,#N/A,FALSE,"CAT3516";#N/A,#N/A,FALSE,"CAT3608";#N/A,#N/A,FALSE,"Wartsila";#N/A,#N/A,FALSE,"Asm";#N/A,#N/A,FALSE,"DG cost"}</definedName>
    <definedName name="___ASA1_1" hidden="1">{#N/A,#N/A,FALSE,"CAT3516";#N/A,#N/A,FALSE,"CAT3608";#N/A,#N/A,FALSE,"Wartsila";#N/A,#N/A,FALSE,"Asm";#N/A,#N/A,FALSE,"DG cost"}</definedName>
    <definedName name="___beq3">#REF!</definedName>
    <definedName name="___beq4">#REF!</definedName>
    <definedName name="___beq5">#REF!</definedName>
    <definedName name="___beq6">#REF!</definedName>
    <definedName name="___bs1">#REF!</definedName>
    <definedName name="___cap10">#REF!</definedName>
    <definedName name="___cap11">#REF!</definedName>
    <definedName name="___cap12">#REF!</definedName>
    <definedName name="___cap13">#REF!</definedName>
    <definedName name="___cap14">#REF!</definedName>
    <definedName name="___cap15">#REF!</definedName>
    <definedName name="___cap6">#REF!</definedName>
    <definedName name="___cap7">#REF!</definedName>
    <definedName name="___cap8">#REF!</definedName>
    <definedName name="___cap9">#REF!</definedName>
    <definedName name="___CWT1">"$"</definedName>
    <definedName name="__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DAP1">#REF!</definedName>
    <definedName name="___DAP2">#REF!</definedName>
    <definedName name="___DAP3">#REF!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24">#REF!</definedName>
    <definedName name="___DAT25">#REF!</definedName>
    <definedName name="___DAT26">#REF!</definedName>
    <definedName name="___DAT27">#REF!</definedName>
    <definedName name="___DAT28">#REF!</definedName>
    <definedName name="___DAT29">#REF!</definedName>
    <definedName name="___DAT3">#REF!</definedName>
    <definedName name="___DAT30">#REF!</definedName>
    <definedName name="___DAT31">#REF!</definedName>
    <definedName name="___DAT32">#REF!</definedName>
    <definedName name="___DAT4">#REF!</definedName>
    <definedName name="___DAT5">#REF!</definedName>
    <definedName name="___DAT6">#REF!</definedName>
    <definedName name="___DAT7">#REF!</definedName>
    <definedName name="___DAT8">#REF!</definedName>
    <definedName name="___DAT9">#REF!</definedName>
    <definedName name="___DCB2">#REF!</definedName>
    <definedName name="__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FEB107" hidden="1">#REF!</definedName>
    <definedName name="___gfa10">#REF!</definedName>
    <definedName name="___gfa11">#REF!</definedName>
    <definedName name="___gfa12">#REF!</definedName>
    <definedName name="___gfa13">#REF!</definedName>
    <definedName name="___gfa14">#REF!</definedName>
    <definedName name="___gfa15">#REF!</definedName>
    <definedName name="___gfa6">#REF!</definedName>
    <definedName name="___gfa7">#REF!</definedName>
    <definedName name="___gfa8">#REF!</definedName>
    <definedName name="___gfa9">#REF!</definedName>
    <definedName name="__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HTM1">#REF!</definedName>
    <definedName name="___HTM2">#REF!</definedName>
    <definedName name="___HTM3">#REF!</definedName>
    <definedName name="___inv3">#REF!</definedName>
    <definedName name="___inv4">#REF!</definedName>
    <definedName name="___inv5">#REF!</definedName>
    <definedName name="___inv6">#REF!</definedName>
    <definedName name="___JAN10" hidden="1">{#N/A,#N/A,FALSE,"Ut";#N/A,#N/A,FALSE,"UT-h"}</definedName>
    <definedName name="___JAN2010" hidden="1">{#N/A,#N/A,FALSE,"Ut";#N/A,#N/A,FALSE,"UT-h"}</definedName>
    <definedName name="___jan98">#REF!</definedName>
    <definedName name="___mf12">#REF!</definedName>
    <definedName name="___mfA12">#REF!</definedName>
    <definedName name="___nfa10">#REF!</definedName>
    <definedName name="___nfa11">#REF!</definedName>
    <definedName name="___nfa12">#REF!</definedName>
    <definedName name="___nfa13">#REF!</definedName>
    <definedName name="___nfa14">#REF!</definedName>
    <definedName name="___nfa15">#REF!</definedName>
    <definedName name="___nfa6">#REF!</definedName>
    <definedName name="___nfa7">#REF!</definedName>
    <definedName name="___nfa8">#REF!</definedName>
    <definedName name="___nfa9">#REF!</definedName>
    <definedName name="___NPK1">#REF!</definedName>
    <definedName name="__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NPK2">#REF!</definedName>
    <definedName name="___owc3">#REF!</definedName>
    <definedName name="___owc4">#REF!</definedName>
    <definedName name="___owc5">#REF!</definedName>
    <definedName name="___owc6">#REF!</definedName>
    <definedName name="___PC11">#REF!</definedName>
    <definedName name="___PC12">#REF!</definedName>
    <definedName name="___PC2">#REF!</definedName>
    <definedName name="___PC3">#REF!</definedName>
    <definedName name="___PC4">#REF!</definedName>
    <definedName name="___PC5">#REF!</definedName>
    <definedName name="___PC6">#REF!</definedName>
    <definedName name="___PC7">#REF!</definedName>
    <definedName name="___PC8">#REF!</definedName>
    <definedName name="___PC9">#REF!</definedName>
    <definedName name="___Pg1">#REF!</definedName>
    <definedName name="___pg10">#REF!</definedName>
    <definedName name="___pg11">#REF!</definedName>
    <definedName name="___pg14">#REF!</definedName>
    <definedName name="___pg15">#REF!</definedName>
    <definedName name="___pg16">#REF!</definedName>
    <definedName name="___pg17">#REF!</definedName>
    <definedName name="___pg18">#REF!</definedName>
    <definedName name="___PG2">#REF!</definedName>
    <definedName name="___PG22">#REF!</definedName>
    <definedName name="___PG23">#REF!</definedName>
    <definedName name="___PG24">#REF!</definedName>
    <definedName name="___PG3">#REF!</definedName>
    <definedName name="___PG4">#REF!</definedName>
    <definedName name="___pg40">#REF!</definedName>
    <definedName name="___PG9">#REF!</definedName>
    <definedName name="___pl3">#REF!</definedName>
    <definedName name="___PLN2">#REF!</definedName>
    <definedName name="___PRD1">237</definedName>
    <definedName name="___PRD3">#REF!</definedName>
    <definedName name="___PRT1">#REF!</definedName>
    <definedName name="___PS1">#REF!</definedName>
    <definedName name="___ps2">#REF!</definedName>
    <definedName name="___ps3">#REF!</definedName>
    <definedName name="___PSF1">#REF!</definedName>
    <definedName name="___PSF2">#REF!</definedName>
    <definedName name="___PSF3">#REF!</definedName>
    <definedName name="___PSF4">#REF!</definedName>
    <definedName name="___PSF5">#REF!</definedName>
    <definedName name="___PSF6">#REF!</definedName>
    <definedName name="___PT1">#REF!</definedName>
    <definedName name="___PT2">#REF!</definedName>
    <definedName name="___QTR1">#REF!</definedName>
    <definedName name="___QTR2">#REF!</definedName>
    <definedName name="___QTR3">#REF!</definedName>
    <definedName name="___QTR4">#REF!</definedName>
    <definedName name="___res1">#REF!</definedName>
    <definedName name="___res2">#REF!</definedName>
    <definedName name="___res3">#REF!</definedName>
    <definedName name="___rev2">#REF!</definedName>
    <definedName name="___RM1">#REF!</definedName>
    <definedName name="___RM2">#REF!</definedName>
    <definedName name="___RM3">#REF!</definedName>
    <definedName name="___SCH5">#REF!</definedName>
    <definedName name="___SCH6">#REF!</definedName>
    <definedName name="___sh5">#REF!</definedName>
    <definedName name="___slm10">#REF!</definedName>
    <definedName name="___slm11">#REF!</definedName>
    <definedName name="___slm12">#REF!</definedName>
    <definedName name="___slm13">#REF!</definedName>
    <definedName name="___slm14">#REF!</definedName>
    <definedName name="___slm15">#REF!</definedName>
    <definedName name="___slm6">#REF!</definedName>
    <definedName name="___slm7">#REF!</definedName>
    <definedName name="___slm8">#REF!</definedName>
    <definedName name="___slm9">#REF!</definedName>
    <definedName name="___SLP37">#REF!</definedName>
    <definedName name="___TR1">"$"</definedName>
    <definedName name="___V1" hidden="1">{#N/A,#N/A,FALSE,"FlCx99";#N/A,#N/A,FALSE,"Dívida99"}</definedName>
    <definedName name="___V1_1" hidden="1">{#N/A,#N/A,FALSE,"FlCx99";#N/A,#N/A,FALSE,"Dívida99"}</definedName>
    <definedName name="___V1_2" hidden="1">{#N/A,#N/A,FALSE,"FlCx99";#N/A,#N/A,FALSE,"Dívida99"}</definedName>
    <definedName name="___V1_3" hidden="1">{#N/A,#N/A,FALSE,"FlCx99";#N/A,#N/A,FALSE,"Dívida99"}</definedName>
    <definedName name="___V1_4" hidden="1">{#N/A,#N/A,FALSE,"FlCx99";#N/A,#N/A,FALSE,"Dívida99"}</definedName>
    <definedName name="___V1_5" hidden="1">{#N/A,#N/A,FALSE,"FlCx99";#N/A,#N/A,FALSE,"Dívida99"}</definedName>
    <definedName name="___V10" hidden="1">{#N/A,#N/A,FALSE,"FlCx99";#N/A,#N/A,FALSE,"Dívida99"}</definedName>
    <definedName name="___V10_1" hidden="1">{#N/A,#N/A,FALSE,"FlCx99";#N/A,#N/A,FALSE,"Dívida99"}</definedName>
    <definedName name="___V10_2" hidden="1">{#N/A,#N/A,FALSE,"FlCx99";#N/A,#N/A,FALSE,"Dívida99"}</definedName>
    <definedName name="___V10_3" hidden="1">{#N/A,#N/A,FALSE,"FlCx99";#N/A,#N/A,FALSE,"Dívida99"}</definedName>
    <definedName name="___V10_4" hidden="1">{#N/A,#N/A,FALSE,"FlCx99";#N/A,#N/A,FALSE,"Dívida99"}</definedName>
    <definedName name="___V10_5" hidden="1">{#N/A,#N/A,FALSE,"FlCx99";#N/A,#N/A,FALSE,"Dívida99"}</definedName>
    <definedName name="___V11" hidden="1">{#N/A,#N/A,FALSE,"FlCx99";#N/A,#N/A,FALSE,"Dívida99"}</definedName>
    <definedName name="___V11_1" hidden="1">{#N/A,#N/A,FALSE,"FlCx99";#N/A,#N/A,FALSE,"Dívida99"}</definedName>
    <definedName name="___V11_2" hidden="1">{#N/A,#N/A,FALSE,"FlCx99";#N/A,#N/A,FALSE,"Dívida99"}</definedName>
    <definedName name="___V11_3" hidden="1">{#N/A,#N/A,FALSE,"FlCx99";#N/A,#N/A,FALSE,"Dívida99"}</definedName>
    <definedName name="___V11_4" hidden="1">{#N/A,#N/A,FALSE,"FlCx99";#N/A,#N/A,FALSE,"Dívida99"}</definedName>
    <definedName name="___V11_5" hidden="1">{#N/A,#N/A,FALSE,"FlCx99";#N/A,#N/A,FALSE,"Dívida99"}</definedName>
    <definedName name="___V12" hidden="1">{#N/A,#N/A,FALSE,"FlCx99";#N/A,#N/A,FALSE,"Dívida99"}</definedName>
    <definedName name="___V12_1" hidden="1">{#N/A,#N/A,FALSE,"FlCx99";#N/A,#N/A,FALSE,"Dívida99"}</definedName>
    <definedName name="___V12_2" hidden="1">{#N/A,#N/A,FALSE,"FlCx99";#N/A,#N/A,FALSE,"Dívida99"}</definedName>
    <definedName name="___V12_3" hidden="1">{#N/A,#N/A,FALSE,"FlCx99";#N/A,#N/A,FALSE,"Dívida99"}</definedName>
    <definedName name="___V12_4" hidden="1">{#N/A,#N/A,FALSE,"FlCx99";#N/A,#N/A,FALSE,"Dívida99"}</definedName>
    <definedName name="___V12_5" hidden="1">{#N/A,#N/A,FALSE,"FlCx99";#N/A,#N/A,FALSE,"Dívida99"}</definedName>
    <definedName name="___V13" hidden="1">{#N/A,#N/A,FALSE,"FlCx99";#N/A,#N/A,FALSE,"Dívida99"}</definedName>
    <definedName name="___V13_1" hidden="1">{#N/A,#N/A,FALSE,"FlCx99";#N/A,#N/A,FALSE,"Dívida99"}</definedName>
    <definedName name="___V13_2" hidden="1">{#N/A,#N/A,FALSE,"FlCx99";#N/A,#N/A,FALSE,"Dívida99"}</definedName>
    <definedName name="___V13_3" hidden="1">{#N/A,#N/A,FALSE,"FlCx99";#N/A,#N/A,FALSE,"Dívida99"}</definedName>
    <definedName name="___V13_4" hidden="1">{#N/A,#N/A,FALSE,"FlCx99";#N/A,#N/A,FALSE,"Dívida99"}</definedName>
    <definedName name="___V13_5" hidden="1">{#N/A,#N/A,FALSE,"FlCx99";#N/A,#N/A,FALSE,"Dívida99"}</definedName>
    <definedName name="___V14" hidden="1">{#N/A,#N/A,FALSE,"FlCx99";#N/A,#N/A,FALSE,"Dívida99"}</definedName>
    <definedName name="___V14_1" hidden="1">{#N/A,#N/A,FALSE,"FlCx99";#N/A,#N/A,FALSE,"Dívida99"}</definedName>
    <definedName name="___V14_2" hidden="1">{#N/A,#N/A,FALSE,"FlCx99";#N/A,#N/A,FALSE,"Dívida99"}</definedName>
    <definedName name="___V14_3" hidden="1">{#N/A,#N/A,FALSE,"FlCx99";#N/A,#N/A,FALSE,"Dívida99"}</definedName>
    <definedName name="___V14_4" hidden="1">{#N/A,#N/A,FALSE,"FlCx99";#N/A,#N/A,FALSE,"Dívida99"}</definedName>
    <definedName name="___V14_5" hidden="1">{#N/A,#N/A,FALSE,"FlCx99";#N/A,#N/A,FALSE,"Dívida99"}</definedName>
    <definedName name="___V15" hidden="1">{#N/A,#N/A,FALSE,"FlCx99";#N/A,#N/A,FALSE,"Dívida99"}</definedName>
    <definedName name="___V15_1" hidden="1">{#N/A,#N/A,FALSE,"FlCx99";#N/A,#N/A,FALSE,"Dívida99"}</definedName>
    <definedName name="___V15_2" hidden="1">{#N/A,#N/A,FALSE,"FlCx99";#N/A,#N/A,FALSE,"Dívida99"}</definedName>
    <definedName name="___V15_3" hidden="1">{#N/A,#N/A,FALSE,"FlCx99";#N/A,#N/A,FALSE,"Dívida99"}</definedName>
    <definedName name="___V15_4" hidden="1">{#N/A,#N/A,FALSE,"FlCx99";#N/A,#N/A,FALSE,"Dívida99"}</definedName>
    <definedName name="___V15_5" hidden="1">{#N/A,#N/A,FALSE,"FlCx99";#N/A,#N/A,FALSE,"Dívida99"}</definedName>
    <definedName name="___V3" hidden="1">{#N/A,#N/A,FALSE,"FlCx99";#N/A,#N/A,FALSE,"Dívida99"}</definedName>
    <definedName name="___V3_1" hidden="1">{#N/A,#N/A,FALSE,"FlCx99";#N/A,#N/A,FALSE,"Dívida99"}</definedName>
    <definedName name="___V3_2" hidden="1">{#N/A,#N/A,FALSE,"FlCx99";#N/A,#N/A,FALSE,"Dívida99"}</definedName>
    <definedName name="___V3_3" hidden="1">{#N/A,#N/A,FALSE,"FlCx99";#N/A,#N/A,FALSE,"Dívida99"}</definedName>
    <definedName name="___V3_4" hidden="1">{#N/A,#N/A,FALSE,"FlCx99";#N/A,#N/A,FALSE,"Dívida99"}</definedName>
    <definedName name="___V3_5" hidden="1">{#N/A,#N/A,FALSE,"FlCx99";#N/A,#N/A,FALSE,"Dívida99"}</definedName>
    <definedName name="___V4" hidden="1">{#N/A,#N/A,FALSE,"FlCx99";#N/A,#N/A,FALSE,"Dívida99"}</definedName>
    <definedName name="___V4_1" hidden="1">{#N/A,#N/A,FALSE,"FlCx99";#N/A,#N/A,FALSE,"Dívida99"}</definedName>
    <definedName name="___V4_2" hidden="1">{#N/A,#N/A,FALSE,"FlCx99";#N/A,#N/A,FALSE,"Dívida99"}</definedName>
    <definedName name="___V4_3" hidden="1">{#N/A,#N/A,FALSE,"FlCx99";#N/A,#N/A,FALSE,"Dívida99"}</definedName>
    <definedName name="___V4_4" hidden="1">{#N/A,#N/A,FALSE,"FlCx99";#N/A,#N/A,FALSE,"Dívida99"}</definedName>
    <definedName name="___V4_5" hidden="1">{#N/A,#N/A,FALSE,"FlCx99";#N/A,#N/A,FALSE,"Dívida99"}</definedName>
    <definedName name="___V5" hidden="1">{#N/A,#N/A,FALSE,"FlCx99";#N/A,#N/A,FALSE,"Dívida99"}</definedName>
    <definedName name="___V5_1" hidden="1">{#N/A,#N/A,FALSE,"FlCx99";#N/A,#N/A,FALSE,"Dívida99"}</definedName>
    <definedName name="___V5_2" hidden="1">{#N/A,#N/A,FALSE,"FlCx99";#N/A,#N/A,FALSE,"Dívida99"}</definedName>
    <definedName name="___V5_3" hidden="1">{#N/A,#N/A,FALSE,"FlCx99";#N/A,#N/A,FALSE,"Dívida99"}</definedName>
    <definedName name="___V5_4" hidden="1">{#N/A,#N/A,FALSE,"FlCx99";#N/A,#N/A,FALSE,"Dívida99"}</definedName>
    <definedName name="___V5_5" hidden="1">{#N/A,#N/A,FALSE,"FlCx99";#N/A,#N/A,FALSE,"Dívida99"}</definedName>
    <definedName name="___V6" hidden="1">{#N/A,#N/A,FALSE,"FlCx99";#N/A,#N/A,FALSE,"Dívida99"}</definedName>
    <definedName name="___V6_1" hidden="1">{#N/A,#N/A,FALSE,"FlCx99";#N/A,#N/A,FALSE,"Dívida99"}</definedName>
    <definedName name="___V6_2" hidden="1">{#N/A,#N/A,FALSE,"FlCx99";#N/A,#N/A,FALSE,"Dívida99"}</definedName>
    <definedName name="___V6_3" hidden="1">{#N/A,#N/A,FALSE,"FlCx99";#N/A,#N/A,FALSE,"Dívida99"}</definedName>
    <definedName name="___V6_4" hidden="1">{#N/A,#N/A,FALSE,"FlCx99";#N/A,#N/A,FALSE,"Dívida99"}</definedName>
    <definedName name="___V6_5" hidden="1">{#N/A,#N/A,FALSE,"FlCx99";#N/A,#N/A,FALSE,"Dívida99"}</definedName>
    <definedName name="___V7" hidden="1">{#N/A,#N/A,FALSE,"FlCx99";#N/A,#N/A,FALSE,"Dívida99"}</definedName>
    <definedName name="___V7_1" hidden="1">{#N/A,#N/A,FALSE,"FlCx99";#N/A,#N/A,FALSE,"Dívida99"}</definedName>
    <definedName name="___V7_2" hidden="1">{#N/A,#N/A,FALSE,"FlCx99";#N/A,#N/A,FALSE,"Dívida99"}</definedName>
    <definedName name="___V7_3" hidden="1">{#N/A,#N/A,FALSE,"FlCx99";#N/A,#N/A,FALSE,"Dívida99"}</definedName>
    <definedName name="___V7_4" hidden="1">{#N/A,#N/A,FALSE,"FlCx99";#N/A,#N/A,FALSE,"Dívida99"}</definedName>
    <definedName name="___V7_5" hidden="1">{#N/A,#N/A,FALSE,"FlCx99";#N/A,#N/A,FALSE,"Dívida99"}</definedName>
    <definedName name="___V8" hidden="1">{#N/A,#N/A,FALSE,"FlCx99";#N/A,#N/A,FALSE,"Dívida99"}</definedName>
    <definedName name="___V8_1" hidden="1">{#N/A,#N/A,FALSE,"FlCx99";#N/A,#N/A,FALSE,"Dívida99"}</definedName>
    <definedName name="___V8_2" hidden="1">{#N/A,#N/A,FALSE,"FlCx99";#N/A,#N/A,FALSE,"Dívida99"}</definedName>
    <definedName name="___V8_3" hidden="1">{#N/A,#N/A,FALSE,"FlCx99";#N/A,#N/A,FALSE,"Dívida99"}</definedName>
    <definedName name="___V8_4" hidden="1">{#N/A,#N/A,FALSE,"FlCx99";#N/A,#N/A,FALSE,"Dívida99"}</definedName>
    <definedName name="___V8_5" hidden="1">{#N/A,#N/A,FALSE,"FlCx99";#N/A,#N/A,FALSE,"Dívida99"}</definedName>
    <definedName name="___V9" hidden="1">{#N/A,#N/A,FALSE,"FlCx99";#N/A,#N/A,FALSE,"Dívida99"}</definedName>
    <definedName name="___V9_1" hidden="1">{#N/A,#N/A,FALSE,"FlCx99";#N/A,#N/A,FALSE,"Dívida99"}</definedName>
    <definedName name="___V9_2" hidden="1">{#N/A,#N/A,FALSE,"FlCx99";#N/A,#N/A,FALSE,"Dívida99"}</definedName>
    <definedName name="___V9_3" hidden="1">{#N/A,#N/A,FALSE,"FlCx99";#N/A,#N/A,FALSE,"Dívida99"}</definedName>
    <definedName name="___V9_4" hidden="1">{#N/A,#N/A,FALSE,"FlCx99";#N/A,#N/A,FALSE,"Dívida99"}</definedName>
    <definedName name="___V9_5" hidden="1">{#N/A,#N/A,FALSE,"FlCx99";#N/A,#N/A,FALSE,"Dívida99"}</definedName>
    <definedName name="___vhc1" hidden="1">{#N/A,#N/A,FALSE,"FlCx99";#N/A,#N/A,FALSE,"Dívida99"}</definedName>
    <definedName name="___vhc1_1" hidden="1">{#N/A,#N/A,FALSE,"FlCx99";#N/A,#N/A,FALSE,"Dívida99"}</definedName>
    <definedName name="___vhc1_2" hidden="1">{#N/A,#N/A,FALSE,"FlCx99";#N/A,#N/A,FALSE,"Dívida99"}</definedName>
    <definedName name="___vhc1_3" hidden="1">{#N/A,#N/A,FALSE,"FlCx99";#N/A,#N/A,FALSE,"Dívida99"}</definedName>
    <definedName name="___vhc1_4" hidden="1">{#N/A,#N/A,FALSE,"FlCx99";#N/A,#N/A,FALSE,"Dívida99"}</definedName>
    <definedName name="___vhc1_5" hidden="1">{#N/A,#N/A,FALSE,"FlCx99";#N/A,#N/A,FALSE,"Dívida99"}</definedName>
    <definedName name="___vl5">#REF!</definedName>
    <definedName name="___wdv10">#REF!</definedName>
    <definedName name="___wdv11">#REF!</definedName>
    <definedName name="___wdv12">#REF!</definedName>
    <definedName name="___wdv13">#REF!</definedName>
    <definedName name="___wdv14">#REF!</definedName>
    <definedName name="___wdv15">#REF!</definedName>
    <definedName name="___wdv6">#REF!</definedName>
    <definedName name="___wdv7">#REF!</definedName>
    <definedName name="___wdv8">#REF!</definedName>
    <definedName name="___wdv9">#REF!</definedName>
    <definedName name="___xlnm._FilterDatabase_1">#REF!</definedName>
    <definedName name="___xlnm.Database">#N/A</definedName>
    <definedName name="___xlnm.Print_Area">#REF!</definedName>
    <definedName name="___xlnm.Print_Area_10">#REF!</definedName>
    <definedName name="___xlnm.Print_Area_3">NA()</definedName>
    <definedName name="___xlnm.Print_Titles_14">#N/A</definedName>
    <definedName name="___xlnm.Print_Titles_4">#N/A</definedName>
    <definedName name="___xlnm.Print_Titles_7">#N/A</definedName>
    <definedName name="___xlnm.Print_Titles_8">#N/A</definedName>
    <definedName name="__1__239">#REF!</definedName>
    <definedName name="__10__§_0Business___Market_Spr">#REF!</definedName>
    <definedName name="__11____0INDUSTRY_MATERIAL_BALANCE___PROJECTI">#REF!</definedName>
    <definedName name="__12__0_0PE___Q1_REV">#REF!</definedName>
    <definedName name="__123Graph_A" hidden="1">#REF!</definedName>
    <definedName name="__123Graph_AANIDRO" hidden="1">#REF!</definedName>
    <definedName name="__123Graph_ACHART1" hidden="1">#REF!</definedName>
    <definedName name="__123Graph_ACHART10" hidden="1">#REF!</definedName>
    <definedName name="__123Graph_ACHART11" hidden="1">#REF!</definedName>
    <definedName name="__123Graph_ACHART12" hidden="1">#REF!</definedName>
    <definedName name="__123Graph_ACHART13" hidden="1">#REF!</definedName>
    <definedName name="__123Graph_ACHART14" hidden="1">#REF!</definedName>
    <definedName name="__123Graph_ACHART15" hidden="1">#REF!</definedName>
    <definedName name="__123Graph_ACHART16" hidden="1">#REF!</definedName>
    <definedName name="__123Graph_ACHART17" hidden="1">#REF!</definedName>
    <definedName name="__123Graph_ACHART18" hidden="1">#REF!</definedName>
    <definedName name="__123Graph_ACHART19" hidden="1">#REF!</definedName>
    <definedName name="__123Graph_ACHART2" hidden="1">#REF!</definedName>
    <definedName name="__123Graph_ACHART20" hidden="1">#REF!</definedName>
    <definedName name="__123Graph_ACHART21" hidden="1">#REF!</definedName>
    <definedName name="__123Graph_ACHART22" hidden="1">#REF!</definedName>
    <definedName name="__123Graph_ACHART3" hidden="1">#REF!</definedName>
    <definedName name="__123Graph_ACHART4" hidden="1">#REF!</definedName>
    <definedName name="__123Graph_ACHART5" hidden="1">#REF!</definedName>
    <definedName name="__123Graph_ACHART6" hidden="1">#REF!</definedName>
    <definedName name="__123Graph_ACHART7" hidden="1">#REF!</definedName>
    <definedName name="__123Graph_ACHART8" hidden="1">#REF!</definedName>
    <definedName name="__123Graph_ACHART9" hidden="1">#REF!</definedName>
    <definedName name="__123Graph_AHIALCOOL" hidden="1">#REF!</definedName>
    <definedName name="__123Graph_AHIDRATADO" hidden="1">#REF!</definedName>
    <definedName name="__123Graph_AMAC3" hidden="1">#REF!</definedName>
    <definedName name="__123Graph_AMAKIKO" hidden="1">#REF!</definedName>
    <definedName name="__123Graph_AMAKIKO2" hidden="1">#REF!</definedName>
    <definedName name="__123Graph_AMAN2" hidden="1">#REF!</definedName>
    <definedName name="__123Graph_AMBB4" hidden="1">#REF!</definedName>
    <definedName name="__123Graph_AMBC6" hidden="1">#REF!</definedName>
    <definedName name="__123Graph_AMBN5" hidden="1">#REF!</definedName>
    <definedName name="__123Graph_AMFS12" hidden="1">#REF!</definedName>
    <definedName name="__123Graph_AMH1" hidden="1">#REF!</definedName>
    <definedName name="__123Graph_AMMBF8" hidden="1">#REF!</definedName>
    <definedName name="__123Graph_AMMRI7" hidden="1">#REF!</definedName>
    <definedName name="__123Graph_AMOIS" hidden="1">#REF!</definedName>
    <definedName name="__123Graph_AMOIS1" hidden="1">#REF!</definedName>
    <definedName name="__123Graph_AMQAL" hidden="1">#REF!</definedName>
    <definedName name="__123Graph_AMSA11" hidden="1">#REF!</definedName>
    <definedName name="__123Graph_AMSH10" hidden="1">#REF!</definedName>
    <definedName name="__123Graph_AMSSG9" hidden="1">#REF!</definedName>
    <definedName name="__123Graph_ASACAS" hidden="1">#REF!</definedName>
    <definedName name="__123Graph_ASLIDE17" hidden="1">#REF!</definedName>
    <definedName name="__123Graph_ASLIDEIII15" hidden="1">#REF!</definedName>
    <definedName name="__123Graph_ASLIDEIII25" hidden="1">#REF!</definedName>
    <definedName name="__123Graph_ASLIDEIII26" hidden="1">#REF!</definedName>
    <definedName name="__123Graph_B" hidden="1">#REF!</definedName>
    <definedName name="__123Graph_BCHART1" hidden="1">#REF!</definedName>
    <definedName name="__123Graph_BCHART10" hidden="1">#REF!</definedName>
    <definedName name="__123Graph_BCHART11" hidden="1">#REF!</definedName>
    <definedName name="__123Graph_BCHART12" hidden="1">#REF!</definedName>
    <definedName name="__123Graph_BCHART13" hidden="1">#REF!</definedName>
    <definedName name="__123Graph_BCHART14" hidden="1">#REF!</definedName>
    <definedName name="__123Graph_BCHART15" hidden="1">#REF!</definedName>
    <definedName name="__123Graph_BCHART16" hidden="1">#REF!</definedName>
    <definedName name="__123Graph_BCHART17" hidden="1">#REF!</definedName>
    <definedName name="__123Graph_BCHART18" hidden="1">#REF!</definedName>
    <definedName name="__123Graph_BCHART19" hidden="1">#REF!</definedName>
    <definedName name="__123Graph_BCHART2" hidden="1">#REF!</definedName>
    <definedName name="__123Graph_BCHART20" hidden="1">#REF!</definedName>
    <definedName name="__123Graph_BCHART22" hidden="1">#REF!</definedName>
    <definedName name="__123Graph_BCHART3" hidden="1">#REF!</definedName>
    <definedName name="__123Graph_BCHART4" hidden="1">#REF!</definedName>
    <definedName name="__123Graph_BCHART6" hidden="1">#REF!</definedName>
    <definedName name="__123Graph_BCHART7" hidden="1">#REF!</definedName>
    <definedName name="__123Graph_BCHART8" hidden="1">#REF!</definedName>
    <definedName name="__123Graph_BCHART9" hidden="1">#REF!</definedName>
    <definedName name="__123Graph_BMAC3" hidden="1">#REF!</definedName>
    <definedName name="__123Graph_BMAKIKO" hidden="1">#REF!</definedName>
    <definedName name="__123Graph_BMAKIKO2" hidden="1">#REF!</definedName>
    <definedName name="__123Graph_BMAN2" hidden="1">#REF!</definedName>
    <definedName name="__123Graph_BMBB4" hidden="1">#REF!</definedName>
    <definedName name="__123Graph_BMBC6" hidden="1">#REF!</definedName>
    <definedName name="__123Graph_BMBN5" hidden="1">#REF!</definedName>
    <definedName name="__123Graph_BMFS12" hidden="1">#REF!</definedName>
    <definedName name="__123Graph_BMH1" hidden="1">#REF!</definedName>
    <definedName name="__123Graph_BMMBF8" hidden="1">#REF!</definedName>
    <definedName name="__123Graph_BMMRI7" hidden="1">#REF!</definedName>
    <definedName name="__123Graph_BMOIS" hidden="1">#REF!</definedName>
    <definedName name="__123Graph_BMOIS1" hidden="1">#REF!</definedName>
    <definedName name="__123Graph_BMQAL" hidden="1">#REF!</definedName>
    <definedName name="__123Graph_BMSA11" hidden="1">#REF!</definedName>
    <definedName name="__123Graph_BMSH10" hidden="1">#REF!</definedName>
    <definedName name="__123Graph_BMSSG9" hidden="1">#REF!</definedName>
    <definedName name="__123Graph_BSLIDE17" hidden="1">#REF!</definedName>
    <definedName name="__123Graph_BSLIDEIII15" hidden="1">#REF!</definedName>
    <definedName name="__123Graph_BSLIDEIII25" hidden="1">#REF!</definedName>
    <definedName name="__123Graph_BSLIDEIII26" hidden="1">#REF!</definedName>
    <definedName name="__123Graph_C" hidden="1">#REF!</definedName>
    <definedName name="__123Graph_CCHART1" hidden="1">#REF!</definedName>
    <definedName name="__123Graph_CCHART10" hidden="1">#REF!</definedName>
    <definedName name="__123Graph_CCHART11" hidden="1">#REF!</definedName>
    <definedName name="__123Graph_CCHART14" hidden="1">#REF!</definedName>
    <definedName name="__123Graph_CCHART15" hidden="1">#REF!</definedName>
    <definedName name="__123Graph_CCHART2" hidden="1">#REF!</definedName>
    <definedName name="__123Graph_CCHART22" hidden="1">#REF!</definedName>
    <definedName name="__123Graph_CCHART3" hidden="1">#REF!</definedName>
    <definedName name="__123Graph_CChart4" hidden="1">#REF!</definedName>
    <definedName name="__123Graph_CCHART6" hidden="1">#REF!</definedName>
    <definedName name="__123Graph_CCHART7" hidden="1">#REF!</definedName>
    <definedName name="__123Graph_CCHART8" hidden="1">#REF!</definedName>
    <definedName name="__123Graph_CCurrent" hidden="1">#REF!</definedName>
    <definedName name="__123Graph_CMAC3" hidden="1">#REF!</definedName>
    <definedName name="__123Graph_CMAKIKO" hidden="1">#REF!</definedName>
    <definedName name="__123Graph_CMAKIKO2" hidden="1">#REF!</definedName>
    <definedName name="__123Graph_CMAN2" hidden="1">#REF!</definedName>
    <definedName name="__123Graph_CMBB4" hidden="1">#REF!</definedName>
    <definedName name="__123Graph_CMBC6" hidden="1">#REF!</definedName>
    <definedName name="__123Graph_CMBN5" hidden="1">#REF!</definedName>
    <definedName name="__123Graph_CMFS12" hidden="1">#REF!</definedName>
    <definedName name="__123Graph_CMH1" hidden="1">#REF!</definedName>
    <definedName name="__123Graph_CMMBF8" hidden="1">#REF!</definedName>
    <definedName name="__123Graph_CMMRI7" hidden="1">#REF!</definedName>
    <definedName name="__123Graph_CMOIS" hidden="1">#REF!</definedName>
    <definedName name="__123Graph_CMOIS1" hidden="1">#REF!</definedName>
    <definedName name="__123Graph_CMSA11" hidden="1">#REF!</definedName>
    <definedName name="__123Graph_CMSH10" hidden="1">#REF!</definedName>
    <definedName name="__123Graph_CMSSG9" hidden="1">#REF!</definedName>
    <definedName name="__123Graph_CSLIDEIII25" hidden="1">#REF!</definedName>
    <definedName name="__123Graph_CSLIDEIII26" hidden="1">#REF!</definedName>
    <definedName name="__123Graph_D" hidden="1">#REF!</definedName>
    <definedName name="__123Graph_DCHART10" hidden="1">#REF!</definedName>
    <definedName name="__123Graph_DCHART14" hidden="1">#REF!</definedName>
    <definedName name="__123Graph_DMAKIKO" hidden="1">#REF!</definedName>
    <definedName name="__123Graph_DMAKIKO2" hidden="1">#REF!</definedName>
    <definedName name="__123Graph_DMOIS" hidden="1">#REF!</definedName>
    <definedName name="__123Graph_DMOIS1" hidden="1">#REF!</definedName>
    <definedName name="__123Graph_DSLIDEIII25" hidden="1">#REF!</definedName>
    <definedName name="__123Graph_E" hidden="1">#REF!</definedName>
    <definedName name="__123Graph_EMAKIKO" hidden="1">#REF!</definedName>
    <definedName name="__123Graph_EMAKIKO2" hidden="1">#REF!</definedName>
    <definedName name="__123Graph_F" hidden="1">#REF!</definedName>
    <definedName name="__123Graph_LBL_A" hidden="1">#REF!</definedName>
    <definedName name="__123Graph_LBL_AMOIS" hidden="1">#REF!</definedName>
    <definedName name="__123Graph_LBL_AMOIS1" hidden="1">#REF!</definedName>
    <definedName name="__123Graph_LBL_B" hidden="1">#REF!</definedName>
    <definedName name="__123Graph_LBL_BMOIS" hidden="1">#REF!</definedName>
    <definedName name="__123Graph_LBL_BMOIS1" hidden="1">#REF!</definedName>
    <definedName name="__123Graph_LBL_C" hidden="1">#REF!</definedName>
    <definedName name="__123Graph_LBL_CCHART22" hidden="1">#REF!</definedName>
    <definedName name="__123Graph_LBL_CMOIS" hidden="1">#REF!</definedName>
    <definedName name="__123Graph_LBL_CMOIS1" hidden="1">#REF!</definedName>
    <definedName name="__123Graph_LBL_D" hidden="1">#REF!</definedName>
    <definedName name="__123Graph_LBL_DMOIS" hidden="1">#REF!</definedName>
    <definedName name="__123Graph_LBL_DMOIS1" hidden="1">#REF!</definedName>
    <definedName name="__123Graph_X" hidden="1">#REF!</definedName>
    <definedName name="__123Graph_XANIDRO" hidden="1">#REF!</definedName>
    <definedName name="__123Graph_XCHART1" hidden="1">#REF!</definedName>
    <definedName name="__123Graph_XCHART10" hidden="1">#REF!</definedName>
    <definedName name="__123Graph_XCHART11" hidden="1">#REF!</definedName>
    <definedName name="__123Graph_XCHART12" hidden="1">#REF!</definedName>
    <definedName name="__123Graph_XCHART13" hidden="1">#REF!</definedName>
    <definedName name="__123Graph_XCHART14" hidden="1">#REF!</definedName>
    <definedName name="__123Graph_XCHART15" hidden="1">#REF!</definedName>
    <definedName name="__123Graph_XCHART16" hidden="1">#REF!</definedName>
    <definedName name="__123Graph_XCHART17" hidden="1">#REF!</definedName>
    <definedName name="__123Graph_XCHART18" hidden="1">#REF!</definedName>
    <definedName name="__123Graph_XCHART19" hidden="1">#REF!</definedName>
    <definedName name="__123Graph_XCHART2" hidden="1">#REF!</definedName>
    <definedName name="__123Graph_XCHART20" hidden="1">#REF!</definedName>
    <definedName name="__123Graph_XCHART21" hidden="1">#REF!</definedName>
    <definedName name="__123Graph_XCHART22" hidden="1">#REF!</definedName>
    <definedName name="__123Graph_XCHART3" hidden="1">#REF!</definedName>
    <definedName name="__123Graph_XCHART4" hidden="1">#REF!</definedName>
    <definedName name="__123Graph_XCHART5" hidden="1">#REF!</definedName>
    <definedName name="__123Graph_XCHART6" hidden="1">#REF!</definedName>
    <definedName name="__123Graph_XCHART7" hidden="1">#REF!</definedName>
    <definedName name="__123Graph_XCHART8" hidden="1">#REF!</definedName>
    <definedName name="__123Graph_XCHART9" hidden="1">#REF!</definedName>
    <definedName name="__123Graph_XHIALCOOL" hidden="1">#REF!</definedName>
    <definedName name="__123Graph_XHIDRATADO" hidden="1">#REF!</definedName>
    <definedName name="__123Graph_XMAC3" hidden="1">#REF!</definedName>
    <definedName name="__123Graph_XMAKIKO" hidden="1">#REF!</definedName>
    <definedName name="__123Graph_XMAKIKO2" hidden="1">#REF!</definedName>
    <definedName name="__123Graph_XMAN2" hidden="1">#REF!</definedName>
    <definedName name="__123Graph_XMBB4" hidden="1">#REF!</definedName>
    <definedName name="__123Graph_XMBC6" hidden="1">#REF!</definedName>
    <definedName name="__123Graph_XMBN5" hidden="1">#REF!</definedName>
    <definedName name="__123Graph_XMFS12" hidden="1">#REF!</definedName>
    <definedName name="__123Graph_XMH1" hidden="1">#REF!</definedName>
    <definedName name="__123Graph_XMMBF8" hidden="1">#REF!</definedName>
    <definedName name="__123Graph_XMMRI7" hidden="1">#REF!</definedName>
    <definedName name="__123Graph_XMOIS" hidden="1">#REF!</definedName>
    <definedName name="__123Graph_XMQAL" hidden="1">#REF!</definedName>
    <definedName name="__123Graph_XMSA11" hidden="1">#REF!</definedName>
    <definedName name="__123Graph_XMSH10" hidden="1">#REF!</definedName>
    <definedName name="__123Graph_XMSSG9" hidden="1">#REF!</definedName>
    <definedName name="__123Graph_XSACAS" hidden="1">#REF!</definedName>
    <definedName name="__123Graph_XSLIDE17" hidden="1">#REF!</definedName>
    <definedName name="__123Graph_XSLIDEIII15" hidden="1">#REF!</definedName>
    <definedName name="__123Graph_XSLIDEIII25" hidden="1">#REF!</definedName>
    <definedName name="__123Graph_XSLIDEIII26" hidden="1">#REF!</definedName>
    <definedName name="__13____0INDUSTRY_MATERIAL_BALA">#REF!</definedName>
    <definedName name="__14____0PE_REV">#REF!</definedName>
    <definedName name="__15____0RE">#REF!</definedName>
    <definedName name="__16__6_0PE_BUSINESS___PAST___FUT">#REF!</definedName>
    <definedName name="__17__7_0End_Use_Analysis___Sectoral_Gro">#REF!</definedName>
    <definedName name="__18__A_0PE___OUTLOOK_TO_2">#REF!</definedName>
    <definedName name="__19__g_0TARIFF_ARBITRAGE_ANALYSIS_1996__">#REF!</definedName>
    <definedName name="__1Q3___SUMM">#REF!</definedName>
    <definedName name="__2___0Q3___SUMM">#REF!</definedName>
    <definedName name="__20__ø_0PE_CUSTOMER_SPR">#REF!</definedName>
    <definedName name="__21__r_0PROFITABILITY_APR_DEC__1996__">#REF!</definedName>
    <definedName name="__22__Š_0QUARTERLY_PERFORMA">#REF!</definedName>
    <definedName name="__23__W_0QUARTERWISE_COMPARI">#REF!</definedName>
    <definedName name="__239">#REF!</definedName>
    <definedName name="__24___0Quarterwise_Export_P">#REF!</definedName>
    <definedName name="__25_…_0PRICE_FORECAST___1995">#REF!</definedName>
    <definedName name="__26_”_0PE_1996">#REF!</definedName>
    <definedName name="__27___0QUARTERWISE_PERFORMA">#REF!</definedName>
    <definedName name="__28___0PROFITABILITY__Q3_1996__">#REF!</definedName>
    <definedName name="__29___0Quarterwise_Collection_P">#REF!</definedName>
    <definedName name="__3____0Q3___SUMM">#REF!</definedName>
    <definedName name="__30_§_0Business___Market_Spr">#REF!</definedName>
    <definedName name="__31___0INDUSTRY_MATERIAL_BALANCE___PROJECTI">#REF!</definedName>
    <definedName name="__32_0_0PE___Q1_REV">#REF!</definedName>
    <definedName name="__33___0INDUSTRY_MATERIAL_BALA">#REF!</definedName>
    <definedName name="__34___0PE_REV">#REF!</definedName>
    <definedName name="__35___0RE">#REF!</definedName>
    <definedName name="__36_6_0PE_BUSINESS___PAST___FUT">#REF!</definedName>
    <definedName name="__37_7_0End_Use_Analysis___Sectoral_Gro">#REF!</definedName>
    <definedName name="__38_A_0PE___OUTLOOK_TO_2">#REF!</definedName>
    <definedName name="__39_g_0TARIFF_ARBITRAGE_ANALYSIS_1996__">#REF!</definedName>
    <definedName name="__4____0Quarterwise_Export_P">#REF!</definedName>
    <definedName name="__40_i_0PE___RIL_MARKET_PRESE">#REF!</definedName>
    <definedName name="__41_ø_0PE_CUSTOMER_SPR">#REF!</definedName>
    <definedName name="__42_r_0PROFITABILITY_APR_DEC__1996__">#REF!</definedName>
    <definedName name="__43_Š_0QUARTERLY_PERFORMA">#REF!</definedName>
    <definedName name="__44_W_0QUARTERWISE_COMPARI">#REF!</definedName>
    <definedName name="__45_0Quarterwise_Export_P">#REF!</definedName>
    <definedName name="__46Quarterwise_Export_P">#REF!</definedName>
    <definedName name="__47…_0PRICE_FORECAST___1995">#REF!</definedName>
    <definedName name="__48…__PRICE_FORECAST___1995">#REF!</definedName>
    <definedName name="__49”_0PE_1996">#REF!</definedName>
    <definedName name="__5__…_0PRICE_FORECAST___1995">#REF!</definedName>
    <definedName name="__50”__PE_1996">#REF!</definedName>
    <definedName name="__51_0QUARTERWISE_PERFORMA">#REF!</definedName>
    <definedName name="__52QUARTERWISE_PERFORMA">#REF!</definedName>
    <definedName name="__53_0PROFITABILITY__Q3_1996__">#REF!</definedName>
    <definedName name="__54PROFITABILITY__Q3_1996__">#REF!</definedName>
    <definedName name="__55_0Quarterwise_Collection_P">#REF!</definedName>
    <definedName name="__56Quarterwise_Collection_P">#REF!</definedName>
    <definedName name="__57§_0Business___Market_Spr">#REF!</definedName>
    <definedName name="__58§__Business___Market_Spr">#REF!</definedName>
    <definedName name="__59_0INDUSTRY_MATERIAL_BALANCE___PROJECTI">#REF!</definedName>
    <definedName name="__6__”_0PE_1996">#REF!</definedName>
    <definedName name="__6_239">#REF!</definedName>
    <definedName name="__60INDUSTRY_MATERIAL_BALANCE___PROJECTI">#REF!</definedName>
    <definedName name="__61_0_0PE___Q1_REV">#REF!</definedName>
    <definedName name="__62_0INDUSTRY_MATERIAL_BALA">#REF!</definedName>
    <definedName name="__63_0__PE___Q1_REV">#REF!</definedName>
    <definedName name="__64_0PE_REV">#REF!</definedName>
    <definedName name="__65_0RE">#REF!</definedName>
    <definedName name="__66_6_0PE_BUSINESS___PAST___FUT">#REF!</definedName>
    <definedName name="__67_6__PE_BUSINESS___PAST___FUT">#REF!</definedName>
    <definedName name="__68_7_0End_Use_Analysis___Sectoral_Gro">#REF!</definedName>
    <definedName name="__69_7__End_Use_Analysis___Sectoral_Gro">#REF!</definedName>
    <definedName name="__7____0QUARTERWISE_PERFORMA">#REF!</definedName>
    <definedName name="__70A_0PE___OUTLOOK_TO_2">#REF!</definedName>
    <definedName name="__71A__PE___OUTLOOK_TO_2">#REF!</definedName>
    <definedName name="__72g_0TARIFF_ARBITRAGE_ANALYSIS_1996__">#REF!</definedName>
    <definedName name="__73g__TARIFF_ARBITRAGE_ANALYSIS_1996__">#REF!</definedName>
    <definedName name="__74i_0PE___RIL_MARKET_PRESE">#REF!</definedName>
    <definedName name="__75i__PE___RIL_MARKET_PRESE">#REF!</definedName>
    <definedName name="__76ø_0PE_CUSTOMER_SPR">#REF!</definedName>
    <definedName name="__77ø__PE_CUSTOMER_SPR">#REF!</definedName>
    <definedName name="__78r_0PROFITABILITY_APR_DEC__1996__">#REF!</definedName>
    <definedName name="__79r__PROFITABILITY_APR_DEC__1996__">#REF!</definedName>
    <definedName name="__8____0PROFITABILITY__Q3_1996__">#REF!</definedName>
    <definedName name="__80Š_0QUARTERLY_PERFORMA">#REF!</definedName>
    <definedName name="__81Š__QUARTERLY_PERFORMA">#REF!</definedName>
    <definedName name="__82W_0QUARTERWISE_COMPARI">#REF!</definedName>
    <definedName name="__83W__QUARTERWISE_COMPARI">#REF!</definedName>
    <definedName name="__9____0Quarterwise_Collection_P">#REF!</definedName>
    <definedName name="__a1" hidden="1">{#N/A,#N/A,FALSE,"Pharm";#N/A,#N/A,FALSE,"WWCM"}</definedName>
    <definedName name="__A11" hidden="1">{#N/A,#N/A,FALSE,"Umsatz 99";#N/A,#N/A,FALSE,"ER 99 "}</definedName>
    <definedName name="__aaa1" hidden="1">{#N/A,#N/A,FALSE,"REPORT"}</definedName>
    <definedName name="__aaa234">INDEX(#REF!,0,2)</definedName>
    <definedName name="__aas1" hidden="1">{#N/A,#N/A,FALSE,"REPORT"}</definedName>
    <definedName name="__ac1" hidden="1">{#N/A,#N/A,FALSE,"COVER1.XLS ";#N/A,#N/A,FALSE,"RACT1.XLS";#N/A,#N/A,FALSE,"RACT2.XLS";#N/A,#N/A,FALSE,"ECCMP";#N/A,#N/A,FALSE,"WELDER.XLS"}</definedName>
    <definedName name="__ACS2000" hidden="1">{#N/A,#N/A,FALSE,"REPORT"}</definedName>
    <definedName name="__All1">#REF!</definedName>
    <definedName name="__All2">#REF!</definedName>
    <definedName name="__ANN1">#REF!</definedName>
    <definedName name="__ASA1" hidden="1">{#N/A,#N/A,FALSE,"CAT3516";#N/A,#N/A,FALSE,"CAT3608";#N/A,#N/A,FALSE,"Wartsila";#N/A,#N/A,FALSE,"Asm";#N/A,#N/A,FALSE,"DG cost"}</definedName>
    <definedName name="__ASA1_1" hidden="1">{#N/A,#N/A,FALSE,"CAT3516";#N/A,#N/A,FALSE,"CAT3608";#N/A,#N/A,FALSE,"Wartsila";#N/A,#N/A,FALSE,"Asm";#N/A,#N/A,FALSE,"DG cost"}</definedName>
    <definedName name="__b111" hidden="1">{#N/A,#N/A,FALSE,"Pharm";#N/A,#N/A,FALSE,"WWCM"}</definedName>
    <definedName name="__beq3">#REF!</definedName>
    <definedName name="__beq4">#REF!</definedName>
    <definedName name="__beq5">#REF!</definedName>
    <definedName name="__beq6">#REF!</definedName>
    <definedName name="__bs1">#REF!</definedName>
    <definedName name="__c" hidden="1">{"Fiesta Facer Page",#N/A,FALSE,"Q_C_S";"Fiesta Main Page",#N/A,FALSE,"V_L";"Fiesta 95BP Struct",#N/A,FALSE,"StructBP";"Fiesta Post 95BP Struct",#N/A,FALSE,"AdjStructBP"}</definedName>
    <definedName name="__cap10">#REF!</definedName>
    <definedName name="__cap11">#REF!</definedName>
    <definedName name="__cap12">#REF!</definedName>
    <definedName name="__cap13">#REF!</definedName>
    <definedName name="__cap14">#REF!</definedName>
    <definedName name="__cap15">#REF!</definedName>
    <definedName name="__cap6">#REF!</definedName>
    <definedName name="__cap7">#REF!</definedName>
    <definedName name="__cap8">#REF!</definedName>
    <definedName name="__cap9">#REF!</definedName>
    <definedName name="__CWT1">"$"</definedName>
    <definedName name="_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DAP1">#REF!</definedName>
    <definedName name="__DAP2">#REF!</definedName>
    <definedName name="__DAP3">#REF!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28">#REF!</definedName>
    <definedName name="__DAT29">#REF!</definedName>
    <definedName name="__DAT3">#REF!</definedName>
    <definedName name="__DAT30">#REF!</definedName>
    <definedName name="__DAT31">#REF!</definedName>
    <definedName name="__DAT32">#REF!</definedName>
    <definedName name="__DAT4">#REF!</definedName>
    <definedName name="__DAT5">#REF!</definedName>
    <definedName name="__DAT6">#REF!</definedName>
    <definedName name="__DAT7">#REF!</definedName>
    <definedName name="__DAT8">#REF!</definedName>
    <definedName name="__DAT9">#REF!</definedName>
    <definedName name="__DCB2">#REF!</definedName>
    <definedName name="__DRE0700" hidden="1">{"'PXR_6500'!$A$1:$I$124"}</definedName>
    <definedName name="_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FDS_HYPERLINK_TOGGLE_STATE__" hidden="1">"ON"</definedName>
    <definedName name="__FDS_UNIQUE_RANGE_ID_GENERATOR_COUNTER" hidden="1">707</definedName>
    <definedName name="__FDS_USED_FOR_REUSING_RANGE_IDS_RECYCLE" hidden="1">{152,168,338,189,173,195,158,390,7,11,232,378,159,175,261,183,177,129,8,155,265,394,57}</definedName>
    <definedName name="__FEB1">#REF!</definedName>
    <definedName name="__FEB107" hidden="1">#REF!</definedName>
    <definedName name="__FEB2">#REF!</definedName>
    <definedName name="__gfa10">#REF!</definedName>
    <definedName name="__gfa11">#REF!</definedName>
    <definedName name="__gfa12">#REF!</definedName>
    <definedName name="__gfa13">#REF!</definedName>
    <definedName name="__gfa14">#REF!</definedName>
    <definedName name="__gfa15">#REF!</definedName>
    <definedName name="__gfa6">#REF!</definedName>
    <definedName name="__gfa7">#REF!</definedName>
    <definedName name="__gfa8">#REF!</definedName>
    <definedName name="__gfa9">#REF!</definedName>
    <definedName name="_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Hal2">#REF!</definedName>
    <definedName name="__HTM1">#REF!</definedName>
    <definedName name="__HTM2">#REF!</definedName>
    <definedName name="__HTM3">#REF!</definedName>
    <definedName name="__h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INDUSTRY_MATERIAL_BALA">#REF!</definedName>
    <definedName name="__inv3">#REF!</definedName>
    <definedName name="__inv4">#REF!</definedName>
    <definedName name="__inv5">#REF!</definedName>
    <definedName name="__inv6">#REF!</definedName>
    <definedName name="__JAN10" hidden="1">{#N/A,#N/A,FALSE,"Ut";#N/A,#N/A,FALSE,"UT-h"}</definedName>
    <definedName name="__JAN2">#REF!</definedName>
    <definedName name="__JAN2010" hidden="1">{#N/A,#N/A,FALSE,"Ut";#N/A,#N/A,FALSE,"UT-h"}</definedName>
    <definedName name="__jan98">#REF!</definedName>
    <definedName name="__Jnr1">#REF!</definedName>
    <definedName name="__Jnr3">#REF!</definedName>
    <definedName name="__Jnr4">#REF!</definedName>
    <definedName name="__Key2" hidden="1">#REF!</definedName>
    <definedName name="__kvs1" hidden="1">{#N/A,#N/A,FALSE,"COVER1.XLS ";#N/A,#N/A,FALSE,"RACT1.XLS";#N/A,#N/A,FALSE,"RACT2.XLS";#N/A,#N/A,FALSE,"ECCMP";#N/A,#N/A,FALSE,"WELDER.XLS"}</definedName>
    <definedName name="__kvs2" hidden="1">{#N/A,#N/A,FALSE,"COVER1.XLS ";#N/A,#N/A,FALSE,"RACT1.XLS";#N/A,#N/A,FALSE,"RACT2.XLS";#N/A,#N/A,FALSE,"ECCMP";#N/A,#N/A,FALSE,"WELDER.XLS"}</definedName>
    <definedName name="__kvs5" hidden="1">{#N/A,#N/A,FALSE,"COVER.XLS";#N/A,#N/A,FALSE,"RACT1.XLS";#N/A,#N/A,FALSE,"RACT2.XLS";#N/A,#N/A,FALSE,"ECCMP";#N/A,#N/A,FALSE,"WELDER.XLS"}</definedName>
    <definedName name="__kvs8" hidden="1">{#N/A,#N/A,FALSE,"COVER1.XLS ";#N/A,#N/A,FALSE,"RACT1.XLS";#N/A,#N/A,FALSE,"RACT2.XLS";#N/A,#N/A,FALSE,"ECCMP";#N/A,#N/A,FALSE,"WELDER.XLS"}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AR1">#REF!</definedName>
    <definedName name="__MAR2">#REF!</definedName>
    <definedName name="__mf12">#REF!</definedName>
    <definedName name="__mfA12">#REF!</definedName>
    <definedName name="__new1" hidden="1">{#N/A,#N/A,FALSE,"Pharm";#N/A,#N/A,FALSE,"WWCM"}</definedName>
    <definedName name="__nfa10">#REF!</definedName>
    <definedName name="__nfa11">#REF!</definedName>
    <definedName name="__nfa12">#REF!</definedName>
    <definedName name="__nfa13">#REF!</definedName>
    <definedName name="__nfa14">#REF!</definedName>
    <definedName name="__nfa15">#REF!</definedName>
    <definedName name="__nfa6">#REF!</definedName>
    <definedName name="__nfa7">#REF!</definedName>
    <definedName name="__nfa8">#REF!</definedName>
    <definedName name="__nfa9">#REF!</definedName>
    <definedName name="__NPK1">#REF!</definedName>
    <definedName name="_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NPK2">#REF!</definedName>
    <definedName name="__owc3">#REF!</definedName>
    <definedName name="__owc4">#REF!</definedName>
    <definedName name="__owc5">#REF!</definedName>
    <definedName name="__owc6">#REF!</definedName>
    <definedName name="__PC11">#REF!</definedName>
    <definedName name="__PC12">#REF!</definedName>
    <definedName name="__PC2">#REF!</definedName>
    <definedName name="__PC3">#REF!</definedName>
    <definedName name="__PC4">#REF!</definedName>
    <definedName name="__PC5">#REF!</definedName>
    <definedName name="__PC6">#REF!</definedName>
    <definedName name="__PC7">#REF!</definedName>
    <definedName name="__PC8">#REF!</definedName>
    <definedName name="__PC9">#REF!</definedName>
    <definedName name="__PDA1">#REF!</definedName>
    <definedName name="__PDA2">#REF!</definedName>
    <definedName name="__PDA3">#REF!</definedName>
    <definedName name="__PE_REV">#REF!</definedName>
    <definedName name="__Pg1">#REF!</definedName>
    <definedName name="__pg10">#REF!</definedName>
    <definedName name="__pg11">#REF!</definedName>
    <definedName name="__pg14">#REF!</definedName>
    <definedName name="__pg15">#REF!</definedName>
    <definedName name="__pg16">#REF!</definedName>
    <definedName name="__pg17">#REF!</definedName>
    <definedName name="__pg18">#REF!</definedName>
    <definedName name="__PG2">#REF!</definedName>
    <definedName name="__PG22">#REF!</definedName>
    <definedName name="__PG23">#REF!</definedName>
    <definedName name="__PG24">#REF!</definedName>
    <definedName name="__PG3">#REF!</definedName>
    <definedName name="__PG4">#REF!</definedName>
    <definedName name="__pg40">#REF!</definedName>
    <definedName name="__PG9">#REF!</definedName>
    <definedName name="__pl3">#REF!</definedName>
    <definedName name="__PLN2">#REF!</definedName>
    <definedName name="__PRD1">237</definedName>
    <definedName name="__PRD3">#REF!</definedName>
    <definedName name="__PRN1" hidden="1">{#N/A,#N/A,FALSE,"COVER.XLS";#N/A,#N/A,FALSE,"RACT1.XLS";#N/A,#N/A,FALSE,"RACT2.XLS";#N/A,#N/A,FALSE,"ECCMP";#N/A,#N/A,FALSE,"WELDER.XLS"}</definedName>
    <definedName name="__PRT1">#REF!</definedName>
    <definedName name="__PS1">#REF!</definedName>
    <definedName name="__ps2">#REF!</definedName>
    <definedName name="__ps3">#REF!</definedName>
    <definedName name="__PSF1">#REF!</definedName>
    <definedName name="__PSF2">#REF!</definedName>
    <definedName name="__PSF3">#REF!</definedName>
    <definedName name="__PSF4">#REF!</definedName>
    <definedName name="__PSF5">#REF!</definedName>
    <definedName name="__PSF6">#REF!</definedName>
    <definedName name="__PST1">#REF!</definedName>
    <definedName name="__PT1">#REF!</definedName>
    <definedName name="__PT2">#REF!</definedName>
    <definedName name="__PWR2">620</definedName>
    <definedName name="__QTR1">#REF!</definedName>
    <definedName name="__QTR2">#REF!</definedName>
    <definedName name="__QTR3">#REF!</definedName>
    <definedName name="__QTR4">#REF!</definedName>
    <definedName name="__r" hidden="1">{#N/A,#N/A,FALSE,"Pharm";#N/A,#N/A,FALSE,"WWCM"}</definedName>
    <definedName name="__RE">#REF!</definedName>
    <definedName name="__res1">#REF!</definedName>
    <definedName name="__res2">#REF!</definedName>
    <definedName name="__res3">#REF!</definedName>
    <definedName name="__rev2">#REF!</definedName>
    <definedName name="__RM1">#REF!</definedName>
    <definedName name="__RM2">#REF!</definedName>
    <definedName name="__RM3">#REF!</definedName>
    <definedName name="__SCH5">#REF!</definedName>
    <definedName name="__SCH6">#REF!</definedName>
    <definedName name="__SDY2" hidden="1">#REF!</definedName>
    <definedName name="__sh5">#REF!</definedName>
    <definedName name="__slm10">#REF!</definedName>
    <definedName name="__slm11">#REF!</definedName>
    <definedName name="__slm12">#REF!</definedName>
    <definedName name="__slm13">#REF!</definedName>
    <definedName name="__slm14">#REF!</definedName>
    <definedName name="__slm15">#REF!</definedName>
    <definedName name="__slm6">#REF!</definedName>
    <definedName name="__slm7">#REF!</definedName>
    <definedName name="__slm8">#REF!</definedName>
    <definedName name="__slm9">#REF!</definedName>
    <definedName name="__SLP37">#REF!</definedName>
    <definedName name="__tm1" hidden="1">{#N/A,#N/A,FALSE,"Pharm";#N/A,#N/A,FALSE,"WWCM"}</definedName>
    <definedName name="__TR1">"$"</definedName>
    <definedName name="__USD1">#REF!</definedName>
    <definedName name="__vl5">#REF!</definedName>
    <definedName name="__wdv10">#REF!</definedName>
    <definedName name="__wdv11">#REF!</definedName>
    <definedName name="__wdv12">#REF!</definedName>
    <definedName name="__wdv13">#REF!</definedName>
    <definedName name="__wdv14">#REF!</definedName>
    <definedName name="__wdv15">#REF!</definedName>
    <definedName name="__wdv6">#REF!</definedName>
    <definedName name="__wdv7">#REF!</definedName>
    <definedName name="__wdv8">#REF!</definedName>
    <definedName name="__wdv9">#REF!</definedName>
    <definedName name="__WHT1">#REF!</definedName>
    <definedName name="__WRN1" hidden="1">{#N/A,#N/A,FALSE,"COVER1.XLS ";#N/A,#N/A,FALSE,"RACT1.XLS";#N/A,#N/A,FALSE,"RACT2.XLS";#N/A,#N/A,FALSE,"ECCMP";#N/A,#N/A,FALSE,"WELDER.XLS"}</definedName>
    <definedName name="__WRN2" hidden="1">{#N/A,#N/A,FALSE,"COVER1.XLS ";#N/A,#N/A,FALSE,"RACT1.XLS";#N/A,#N/A,FALSE,"RACT2.XLS";#N/A,#N/A,FALSE,"ECCMP";#N/A,#N/A,FALSE,"WELDER.XLS"}</definedName>
    <definedName name="__WRN3" hidden="1">{#N/A,#N/A,FALSE,"consu_cover";#N/A,#N/A,FALSE,"consu_strategy";#N/A,#N/A,FALSE,"consu_flow";#N/A,#N/A,FALSE,"Summary_reqmt";#N/A,#N/A,FALSE,"field_ppg";#N/A,#N/A,FALSE,"ppg_shop";#N/A,#N/A,FALSE,"strl";#N/A,#N/A,FALSE,"tankages";#N/A,#N/A,FALSE,"gases"}</definedName>
    <definedName name="__X2" hidden="1">{#N/A,#N/A,FALSE,"Other";#N/A,#N/A,FALSE,"Ace";#N/A,#N/A,FALSE,"Derm"}</definedName>
    <definedName name="__xlnm._FilterDatabase">#REF!</definedName>
    <definedName name="__xlnm._FilterDatabase_1">#REF!</definedName>
    <definedName name="__xlnm._FilterDatabase_1_1">#REF!</definedName>
    <definedName name="__xlnm._FilterDatabase_2">#REF!</definedName>
    <definedName name="__xlnm._FilterDatabase_3">#REF!</definedName>
    <definedName name="__xlnm._FilterDatabase_4">#REF!</definedName>
    <definedName name="__xlnm._FilterDatabase_5">#REF!</definedName>
    <definedName name="__xlnm._FilterDatabase_6">#REF!</definedName>
    <definedName name="__xlnm.Database">#N/A</definedName>
    <definedName name="__xlnm.Print_Area">"#REF!"</definedName>
    <definedName name="__xlnm.Print_Area_10">#REF!</definedName>
    <definedName name="__xlnm.Print_Area_3">NA()</definedName>
    <definedName name="__xlnm.Print_Titles_14">#N/A</definedName>
    <definedName name="__xlnm.Print_Titles_4">#N/A</definedName>
    <definedName name="__xlnm.Print_Titles_7">#N/A</definedName>
    <definedName name="__xlnm.Print_Titles_8">#N/A</definedName>
    <definedName name="_01">#REF!</definedName>
    <definedName name="_02">#REF!</definedName>
    <definedName name="_03B">#REF!</definedName>
    <definedName name="_03BX">#REF!</definedName>
    <definedName name="_08">#REF!</definedName>
    <definedName name="_1">#REF!</definedName>
    <definedName name="_1___Excel_BuiltIn_Print_Titles_4_1">(#REF!,#REF!)</definedName>
    <definedName name="_1__123Graph_ACHART_2" hidden="1">#REF!</definedName>
    <definedName name="_1__239">#REF!</definedName>
    <definedName name="_1__FDSAUDITLINK__" hidden="1">{"fdsup://IBCentral/FAT Viewer?action=UPDATE&amp;creator=factset&amp;DOC_NAME=fat:reuters_annual_source_window.fat&amp;display_string=Audit&amp;DYN_ARGS=TRUE&amp;VAR:ID1=490238&amp;VAR:RCODE=DSTT&amp;VAR:SDATE=20091299&amp;VAR:FREQ=Y&amp;VAR:RELITEM=RP&amp;VAR:CURRENCY=&amp;VAR:CURRSOURCE=EXSHARE&amp;VAR",":NATFREQ=ANNUAL&amp;VAR:RFIELD=FINALIZED&amp;VAR:DB_TYPE=&amp;VAR:UNITS=M&amp;window=popup&amp;width=450&amp;height=300&amp;START_MAXIMIZED=FALSE"}</definedName>
    <definedName name="_1_0Área_de_extra">#REF!</definedName>
    <definedName name="_1_0Q3___SUMM">#REF!</definedName>
    <definedName name="_1_0QUARTERWISE_PERFORMA">#REF!</definedName>
    <definedName name="_1_6_239">#REF!</definedName>
    <definedName name="_1_a_1">NA()</definedName>
    <definedName name="_10__§_0Business___Market_Spr">#REF!</definedName>
    <definedName name="_10__123Graph_CCHART_3" hidden="1">#REF!</definedName>
    <definedName name="_10__BuiltIn_AutoFilter___1_1___0_1_1">#N/A</definedName>
    <definedName name="_10__FDSAUDITLINK__" hidden="1">{"fdsup://IBCentral/FAT Viewer?action=UPDATE&amp;creator=factset&amp;DOC_NAME=fat:reuters_ytd_source_window.fat&amp;display_string=Audit&amp;DYN_ARGS=TRUE&amp;VAR:ID1=91136310&amp;VAR:RCODE=VDES&amp;VAR:SDATE=20100399&amp;VAR:FREQ=Quarterly&amp;VAR:RELITEM=RP&amp;VAR:CURRENCY=&amp;VAR:CURRSOURCE=EXSH","ARE&amp;VAR:NATFREQ=Quarterly&amp;VAR:RFIELD=FINALIZED&amp;VAR:DB_TYPE=&amp;VAR:UNITS=M&amp;window=popup&amp;width=450&amp;height=300&amp;START_MAXIMIZED=FALSE"}</definedName>
    <definedName name="_10_0IS_intexist">#REF!</definedName>
    <definedName name="_10_0Quarterwise_Collection_P">#REF!</definedName>
    <definedName name="_10_0Quarterwise_Export_P">#REF!</definedName>
    <definedName name="_10_6__PE_BUSINESS___PAST___FUT">#REF!</definedName>
    <definedName name="_100__123Graph_XCHART_23" hidden="1">#REF!</definedName>
    <definedName name="_100__FDSAUDITLINK__" hidden="1">{"fdsup://IBCentral/FAT Viewer?action=UPDATE&amp;creator=factset&amp;DOC_NAME=fat:reuters_annual_source_window.fat&amp;display_string=Audit&amp;DYN_ARGS=TRUE&amp;VAR:ID1=775125&amp;VAR:RCODE=FDSINVINCTOT&amp;VAR:SDATE=20061299&amp;VAR:FREQ=Y&amp;VAR:RELITEM=RF&amp;VAR:CURRENCY=&amp;VAR:CURRSOURCE=EXS","HARE&amp;VAR:NATFREQ=ANNUAL&amp;VAR:RFIELD=FINALIZED&amp;VAR:DB_TYPE=&amp;VAR:UNITS=M&amp;window=popup&amp;width=450&amp;height=300&amp;START_MAXIMIZED=FALSE"}</definedName>
    <definedName name="_101__123Graph_XChart_3" hidden="1">#REF!</definedName>
    <definedName name="_101__FDSAUDITLINK__" hidden="1">{"fdsup://IBCentral/FAT Viewer?action=UPDATE&amp;creator=factset&amp;DOC_NAME=fat:reuters_annual_source_window.fat&amp;display_string=Audit&amp;DYN_ARGS=TRUE&amp;VAR:ID1=775125&amp;VAR:RCODE=SCEX&amp;VAR:SDATE=20051299&amp;VAR:FREQ=Y&amp;VAR:RELITEM=RF&amp;VAR:CURRENCY=&amp;VAR:CURRSOURCE=EXSHARE&amp;VAR",":NATFREQ=ANNUAL&amp;VAR:RFIELD=FINALIZED&amp;VAR:DB_TYPE=&amp;VAR:UNITS=M&amp;window=popup&amp;width=450&amp;height=300&amp;START_MAXIMIZED=FALSE"}</definedName>
    <definedName name="_102__123Graph_XChart_4" hidden="1">#REF!</definedName>
    <definedName name="_102__FDSAUDITLINK__" hidden="1">{"fdsup://IBCentral/FAT Viewer?action=UPDATE&amp;creator=factset&amp;DOC_NAME=fat:reuters_annual_source_window.fat&amp;display_string=Audit&amp;DYN_ARGS=TRUE&amp;VAR:ID1=775125&amp;VAR:RCODE=FEBITDA&amp;VAR:SDATE=20061299&amp;VAR:FREQ=Y&amp;VAR:RELITEM=RF&amp;VAR:CURRENCY=&amp;VAR:CURRSOURCE=EXSHARE&amp;","VAR:NATFREQ=ANNUAL&amp;VAR:RFIELD=FINALIZED&amp;VAR:DB_TYPE=&amp;VAR:UNITS=M&amp;window=popup&amp;width=450&amp;height=300&amp;START_MAXIMIZED=FALSE"}</definedName>
    <definedName name="_103__123Graph_XChart_5" hidden="1">#REF!</definedName>
    <definedName name="_103__FDSAUDITLINK__" hidden="1">{"fdsup://IBCentral/FAT Viewer?action=UPDATE&amp;creator=factset&amp;DOC_NAME=fat:reuters_annual_source_window.fat&amp;display_string=Audit&amp;DYN_ARGS=TRUE&amp;VAR:ID1=775125&amp;VAR:RCODE=STXI&amp;VAR:SDATE=20051299&amp;VAR:FREQ=Y&amp;VAR:RELITEM=RF&amp;VAR:CURRENCY=&amp;VAR:CURRSOURCE=EXSHARE&amp;VAR",":NATFREQ=ANNUAL&amp;VAR:RFIELD=FINALIZED&amp;VAR:DB_TYPE=&amp;VAR:UNITS=M&amp;window=popup&amp;width=450&amp;height=300&amp;START_MAXIMIZED=FALSE"}</definedName>
    <definedName name="_104__123Graph_XChart_6" hidden="1">#REF!</definedName>
    <definedName name="_104__FDSAUDITLINK__" hidden="1">{"fdsup://IBCentral/FAT Viewer?action=UPDATE&amp;creator=factset&amp;DOC_NAME=fat:reuters_annual_source_window.fat&amp;display_string=Audit&amp;DYN_ARGS=TRUE&amp;VAR:ID1=775125&amp;VAR:RCODE=FEBIT&amp;VAR:SDATE=20061299&amp;VAR:FREQ=Y&amp;VAR:RELITEM=RF&amp;VAR:CURRENCY=&amp;VAR:CURRSOURCE=EXSHARE&amp;VA","R:NATFREQ=ANNUAL&amp;VAR:RFIELD=FINALIZED&amp;VAR:DB_TYPE=&amp;VAR:UNITS=M&amp;window=popup&amp;width=450&amp;height=300&amp;START_MAXIMIZED=FALSE"}</definedName>
    <definedName name="_105__FDSAUDITLINK__" hidden="1">{"fdsup://IBCentral/FAT Viewer?action=UPDATE&amp;creator=factset&amp;DOC_NAME=fat:reuters_annual_source_window.fat&amp;display_string=Audit&amp;DYN_ARGS=TRUE&amp;VAR:ID1=775125&amp;VAR:RCODE=STXI&amp;VAR:SDATE=20061299&amp;VAR:FREQ=Y&amp;VAR:RELITEM=RF&amp;VAR:CURRENCY=&amp;VAR:CURRSOURCE=EXSHARE&amp;VAR",":NATFREQ=ANNUAL&amp;VAR:RFIELD=FINALIZED&amp;VAR:DB_TYPE=&amp;VAR:UNITS=M&amp;window=popup&amp;width=450&amp;height=300&amp;START_MAXIMIZED=FALSE"}</definedName>
    <definedName name="_105J–Ï__íÇ">#REF!,#REF!,#REF!,#REF!,#REF!,#REF!,#REF!,#REF!,#REF!,#REF!,#REF!,#REF!</definedName>
    <definedName name="_106__FDSAUDITLINK__" hidden="1">{"fdsup://IBCentral/FAT Viewer?action=UPDATE&amp;creator=factset&amp;DOC_NAME=fat:reuters_annual_source_window.fat&amp;display_string=Audit&amp;DYN_ARGS=TRUE&amp;VAR:ID1=775125&amp;VAR:RCODE=FSALE&amp;VAR:SDATE=20061299&amp;VAR:FREQ=Y&amp;VAR:RELITEM=RF&amp;VAR:CURRENCY=&amp;VAR:CURRSOURCE=EXSHARE&amp;VA","R:NATFREQ=ANNUAL&amp;VAR:RFIELD=FINALIZED&amp;VAR:DB_TYPE=&amp;VAR:UNITS=M&amp;window=popup&amp;width=450&amp;height=300&amp;START_MAXIMIZED=FALSE"}</definedName>
    <definedName name="_106_0">#REF!,#REF!,#REF!,#REF!,#REF!,#REF!,#REF!,#REF!,#REF!,#REF!,#REF!,#REF!,#REF!,#REF!</definedName>
    <definedName name="_107__FDSAUDITLINK__" hidden="1">{"fdsup://IBCentral/FAT Viewer?action=UPDATE&amp;creator=factset&amp;DOC_NAME=fat:reuters_annual_source_window.fat&amp;display_string=Audit&amp;DYN_ARGS=TRUE&amp;VAR:ID1=775125&amp;VAR:RCODE=NINC&amp;VAR:SDATE=20071299&amp;VAR:FREQ=Y&amp;VAR:RELITEM=RF&amp;VAR:CURRENCY=&amp;VAR:CURRSOURCE=EXSHARE&amp;VAR",":NATFREQ=ANNUAL&amp;VAR:RFIELD=FINALIZED&amp;VAR:DB_TYPE=&amp;VAR:UNITS=M&amp;window=popup&amp;width=450&amp;height=300&amp;START_MAXIMIZED=FALSE"}</definedName>
    <definedName name="_107_0_0BS_minor">#REF!</definedName>
    <definedName name="_108__FDSAUDITLINK__" hidden="1">{"fdsup://IBCentral/FAT Viewer?action=UPDATE&amp;creator=factset&amp;DOC_NAME=fat:reuters_annual_source_window.fat&amp;display_string=Audit&amp;DYN_ARGS=TRUE&amp;VAR:ID1=775125&amp;VAR:RCODE=SCEX&amp;VAR:SDATE=20071299&amp;VAR:FREQ=Y&amp;VAR:RELITEM=RF&amp;VAR:CURRENCY=&amp;VAR:CURRSOURCE=EXSHARE&amp;VAR",":NATFREQ=ANNUAL&amp;VAR:RFIELD=FINALIZED&amp;VAR:DB_TYPE=&amp;VAR:UNITS=M&amp;window=popup&amp;width=450&amp;height=300&amp;START_MAXIMIZED=FALSE"}</definedName>
    <definedName name="_108_0_0CF_minor">#REF!</definedName>
    <definedName name="_109__FDSAUDITLINK__" hidden="1">{"fdsup://IBCentral/FAT Viewer?action=UPDATE&amp;creator=factset&amp;DOC_NAME=fat:reuters_annual_source_window.fat&amp;display_string=Audit&amp;DYN_ARGS=TRUE&amp;VAR:ID1=576162&amp;VAR:RCODE=NINC&amp;VAR:SDATE=20051299&amp;VAR:FREQ=Y&amp;VAR:RELITEM=RF&amp;VAR:CURRENCY=&amp;VAR:CURRSOURCE=EXSHARE&amp;VAR",":NATFREQ=ANNUAL&amp;VAR:RFIELD=FINALIZED&amp;VAR:DB_TYPE=&amp;VAR:UNITS=M&amp;window=popup&amp;width=450&amp;height=300&amp;START_MAXIMIZED=FALSE"}</definedName>
    <definedName name="_109_0_0IS_convpref">#REF!</definedName>
    <definedName name="_10INDUSTRY_MATERIAL_BALANCE___PROJECTI">#REF!</definedName>
    <definedName name="_10PROFITABILITY__Q3_1996__">#REF!</definedName>
    <definedName name="_11">#REF!</definedName>
    <definedName name="_11____0INDUSTRY_MATERIAL_BALANCE___PROJECTI">#REF!</definedName>
    <definedName name="_11___Excel_BuiltIn_Print_Titles_4_1">(#REF!,#REF!)</definedName>
    <definedName name="_11__123Graph_CCHART_4" hidden="1">#REF!</definedName>
    <definedName name="_11__BuiltIn_AutoFilter___1_1_1_1">#N/A</definedName>
    <definedName name="_11__FDSAUDITLINK__" hidden="1">{"fdsup://IBCentral/FAT Viewer?action=UPDATE&amp;creator=factset&amp;DOC_NAME=fat:reuters_ytd_source_window.fat&amp;display_string=Audit&amp;DYN_ARGS=TRUE&amp;VAR:ID1=25674310&amp;VAR:RCODE=FIBCEBIT&amp;VAR:SDATE=20110399&amp;VAR:FREQ=Quarterly&amp;VAR:RELITEM=RP&amp;VAR:CURRENCY=&amp;VAR:CURRSOURCE=","EXSHARE&amp;VAR:NATFREQ=Quarterly&amp;VAR:RFIELD=FINALIZED&amp;VAR:DB_TYPE=&amp;VAR:UNITS=M&amp;window=popup&amp;width=450&amp;height=300&amp;START_MAXIMIZED=FALSE"}</definedName>
    <definedName name="_11_0INDUSTRY_MATERIAL_BALANCE___PROJECTI">#REF!</definedName>
    <definedName name="_11_0IS_minor">#REF!</definedName>
    <definedName name="_11_7__End_Use_Analysis___Sectoral_Gro">#REF!</definedName>
    <definedName name="_11”_0PE_1996">#REF!</definedName>
    <definedName name="_110__FDSAUDITLINK__" hidden="1">{"fdsup://IBCentral/FAT Viewer?action=UPDATE&amp;creator=factset&amp;DOC_NAME=fat:reuters_annual_source_window.fat&amp;display_string=Audit&amp;DYN_ARGS=TRUE&amp;VAR:ID1=576162&amp;VAR:RCODE=STXI&amp;VAR:SDATE=20061299&amp;VAR:FREQ=Y&amp;VAR:RELITEM=RF&amp;VAR:CURRENCY=&amp;VAR:CURRSOURCE=EXSHARE&amp;VAR",":NATFREQ=ANNUAL&amp;VAR:RFIELD=FINALIZED&amp;VAR:DB_TYPE=&amp;VAR:UNITS=M&amp;window=popup&amp;width=450&amp;height=300&amp;START_MAXIMIZED=FALSE"}</definedName>
    <definedName name="_110_0_0IS_intconv">#REF!</definedName>
    <definedName name="_1102" hidden="1">#REF!</definedName>
    <definedName name="_111">#REF!</definedName>
    <definedName name="_111__FDSAUDITLINK__" hidden="1">{"fdsup://IBCentral/FAT Viewer?action=UPDATE&amp;creator=factset&amp;DOC_NAME=fat:reuters_annual_source_window.fat&amp;display_string=Audit&amp;DYN_ARGS=TRUE&amp;VAR:ID1=775125&amp;VAR:RCODE=STXI&amp;VAR:SDATE=20071299&amp;VAR:FREQ=Y&amp;VAR:RELITEM=RF&amp;VAR:CURRENCY=&amp;VAR:CURRSOURCE=EXSHARE&amp;VAR",":NATFREQ=ANNUAL&amp;VAR:RFIELD=FINALIZED&amp;VAR:DB_TYPE=&amp;VAR:UNITS=M&amp;window=popup&amp;width=450&amp;height=300&amp;START_MAXIMIZED=FALSE"}</definedName>
    <definedName name="_111_0_0IS_intexist">#REF!</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0_0IS_minor">#REF!</definedName>
    <definedName name="_113__FDSAUDITLINK__" hidden="1">{"fdsup://IBCentral/FAT Viewer?action=UPDATE&amp;creator=factset&amp;DOC_NAME=fat:reuters_annual_source_window.fat&amp;display_string=Audit&amp;DYN_ARGS=TRUE&amp;VAR:ID1=576162&amp;VAR:RCODE=FSALE&amp;VAR:SDATE=20051299&amp;VAR:FREQ=Y&amp;VAR:RELITEM=RF&amp;VAR:CURRENCY=&amp;VAR:CURRSOURCE=EXSHARE&amp;VA","R:NATFREQ=ANNUAL&amp;VAR:RFIELD=FINALIZED&amp;VAR:DB_TYPE=&amp;VAR:UNITS=M&amp;window=popup&amp;width=450&amp;height=300&amp;START_MAXIMIZED=FALSE"}</definedName>
    <definedName name="_113_0_0IS_straightpref">#REF!</definedName>
    <definedName name="_114__FDSAUDITLINK__" hidden="1">{"fdsup://IBCentral/FAT Viewer?action=UPDATE&amp;creator=factset&amp;DOC_NAME=fat:reuters_annual_source_window.fat&amp;display_string=Audit&amp;DYN_ARGS=TRUE&amp;VAR:ID1=576162&amp;VAR:RCODE=FEBIT&amp;VAR:SDATE=20051299&amp;VAR:FREQ=Y&amp;VAR:RELITEM=RF&amp;VAR:CURRENCY=&amp;VAR:CURRSOURCE=EXSHARE&amp;VA","R:NATFREQ=ANNUAL&amp;VAR:RFIELD=FINALIZED&amp;VAR:DB_TYPE=&amp;VAR:UNITS=M&amp;window=popup&amp;width=450&amp;height=300&amp;START_MAXIMIZED=FALSE"}</definedName>
    <definedName name="_114_0_0IS_synerg">#REF!</definedName>
    <definedName name="_115__FDSAUDITLINK__" hidden="1">{"fdsup://IBCentral/FAT Viewer?action=UPDATE&amp;creator=factset&amp;DOC_NAME=fat:reuters_annual_source_window.fat&amp;display_string=Audit&amp;DYN_ARGS=TRUE&amp;VAR:ID1=775125&amp;VAR:RCODE=FDSINVINCTOT&amp;VAR:SDATE=20071299&amp;VAR:FREQ=Y&amp;VAR:RELITEM=RF&amp;VAR:CURRENCY=&amp;VAR:CURRSOURCE=EXS","HARE&amp;VAR:NATFREQ=ANNUAL&amp;VAR:RFIELD=FINALIZED&amp;VAR:DB_TYPE=&amp;VAR:UNITS=M&amp;window=popup&amp;width=450&amp;height=300&amp;START_MAXIMIZED=FALSE"}</definedName>
    <definedName name="_115_0IS_synerg">#REF!</definedName>
    <definedName name="_116__FDSAUDITLINK__" hidden="1">{"fdsup://IBCentral/FAT Viewer?action=UPDATE&amp;creator=factset&amp;DOC_NAME=fat:reuters_annual_source_window.fat&amp;display_string=Audit&amp;DYN_ARGS=TRUE&amp;VAR:ID1=576162&amp;VAR:RCODE=FDSINVINCTOT&amp;VAR:SDATE=20051299&amp;VAR:FREQ=Y&amp;VAR:RELITEM=RF&amp;VAR:CURRENCY=&amp;VAR:CURRSOURCE=EXS","HARE&amp;VAR:NATFREQ=ANNUAL&amp;VAR:RFIELD=FINALIZED&amp;VAR:DB_TYPE=&amp;VAR:UNITS=M&amp;window=popup&amp;width=450&amp;height=300&amp;START_MAXIMIZED=FALSE"}</definedName>
    <definedName name="_117__FDSAUDITLINK__" hidden="1">{"fdsup://IBCentral/FAT Viewer?action=UPDATE&amp;creator=factset&amp;DOC_NAME=fat:reuters_annual_source_window.fat&amp;display_string=Audit&amp;DYN_ARGS=TRUE&amp;VAR:ID1=775125&amp;VAR:RCODE=NIBX&amp;VAR:SDATE=20071299&amp;VAR:FREQ=Y&amp;VAR:RELITEM=RF&amp;VAR:CURRENCY=&amp;VAR:CURRSOURCE=EXSHARE&amp;VAR",":NATFREQ=ANNUAL&amp;VAR:RFIELD=FINALIZED&amp;VAR:DB_TYPE=&amp;VAR:UNITS=M&amp;window=popup&amp;width=450&amp;height=300&amp;START_MAXIMIZED=FALSE"}</definedName>
    <definedName name="_117_0O">#REF!</definedName>
    <definedName name="_118__FDSAUDITLINK__" hidden="1">{"fdsup://IBCentral/FAT Viewer?action=UPDATE&amp;creator=factset&amp;DOC_NAME=fat:reuters_annual_source_window.fat&amp;display_string=Audit&amp;DYN_ARGS=TRUE&amp;VAR:ID1=576162&amp;VAR:RCODE=STXI&amp;VAR:SDATE=20051299&amp;VAR:FREQ=Y&amp;VAR:RELITEM=RF&amp;VAR:CURRENCY=&amp;VAR:CURRSOURCE=EXSHARE&amp;VAR",":NATFREQ=ANNUAL&amp;VAR:RFIELD=FINALIZED&amp;VAR:DB_TYPE=&amp;VAR:UNITS=M&amp;window=popup&amp;width=450&amp;height=300&amp;START_MAXIMIZED=FALSE"}</definedName>
    <definedName name="_118_0s">#REF!</definedName>
    <definedName name="_119__FDSAUDITLINK__" hidden="1">{"fdsup://IBCentral/FAT Viewer?action=UPDATE&amp;creator=factset&amp;DOC_NAME=fat:reuters_annual_source_window.fat&amp;display_string=Audit&amp;DYN_ARGS=TRUE&amp;VAR:ID1=576162&amp;VAR:RCODE=SCEX&amp;VAR:SDATE=20051299&amp;VAR:FREQ=Y&amp;VAR:RELITEM=RF&amp;VAR:CURRENCY=&amp;VAR:CURRSOURCE=EXSHARE&amp;VAR",":NATFREQ=ANNUAL&amp;VAR:RFIELD=FINALIZED&amp;VAR:DB_TYPE=&amp;VAR:UNITS=M&amp;window=popup&amp;width=450&amp;height=300&amp;START_MAXIMIZED=FALSE"}</definedName>
    <definedName name="_119_0S">#REF!</definedName>
    <definedName name="_11Excel_BuiltIn_Print_Area_3_1_1_1_1_1_1_1">#REF!</definedName>
    <definedName name="_12__0_0PE___Q1_REV">#REF!</definedName>
    <definedName name="_12__123Graph_ACHART_30" hidden="1">#REF!</definedName>
    <definedName name="_12__123Graph_CCHART_5" hidden="1">#REF!</definedName>
    <definedName name="_12__BuiltIn_AutoFilter___1_1_1_2">NA()</definedName>
    <definedName name="_12__FDSAUDITLINK__" hidden="1">{"fdsup://IBCentral/FAT Viewer?action=UPDATE&amp;creator=factset&amp;DOC_NAME=fat:reuters_qtrly_source_window.fat&amp;display_string=Audit&amp;DYN_ARGS=TRUE&amp;VAR:ID1=91136310&amp;VAR:RCODE=SCEX&amp;VAR:SDATE=20100399&amp;VAR:FREQ=Quarterly&amp;VAR:RELITEM=RP&amp;VAR:CURRENCY=&amp;VAR:CURRSOURCE=EX","SHARE&amp;VAR:NATFREQ=QUARTERLY&amp;VAR:RFIELD=FINALIZED&amp;VAR:DB_TYPE=&amp;VAR:UNITS=M&amp;window=popup&amp;width=450&amp;height=300&amp;START_MAXIMIZED=FALSE"}</definedName>
    <definedName name="_12_0IS_straightpref">#REF!</definedName>
    <definedName name="_12”__PE_1996">#REF!</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0Sfu">#REF!</definedName>
    <definedName name="_121__FDSAUDITLINK__" hidden="1">{"fdsup://IBCentral/FAT Viewer?action=UPDATE&amp;creator=factset&amp;DOC_NAME=fat:reuters_annual_source_window.fat&amp;display_string=Audit&amp;DYN_ARGS=TRUE&amp;VAR:ID1=576162&amp;VAR:RCODE=FEBITDA&amp;VAR:SDATE=20051299&amp;VAR:FREQ=Y&amp;VAR:RELITEM=RF&amp;VAR:CURRENCY=&amp;VAR:CURRSOURCE=EXSHARE&amp;","VAR:NATFREQ=ANNUAL&amp;VAR:RFIELD=FINALIZED&amp;VAR:DB_TYPE=&amp;VAR:UNITS=M&amp;window=popup&amp;width=450&amp;height=300&amp;START_MAXIMIZED=FALSE"}</definedName>
    <definedName name="_121_1">#REF!</definedName>
    <definedName name="_122__FDSAUDITLINK__" hidden="1">{"fdsup://IBCentral/FAT Viewer?action=UPDATE&amp;creator=factset&amp;DOC_NAME=fat:reuters_annual_source_window.fat&amp;display_string=Audit&amp;DYN_ARGS=TRUE&amp;VAR:ID1=775125&amp;VAR:RCODE=FSALE&amp;VAR:SDATE=20071299&amp;VAR:FREQ=Y&amp;VAR:RELITEM=RF&amp;VAR:CURRENCY=&amp;VAR:CURRSOURCE=EXSHARE&amp;VA","R:NATFREQ=ANNUAL&amp;VAR:RFIELD=FINALIZED&amp;VAR:DB_TYPE=&amp;VAR:UNITS=M&amp;window=popup&amp;width=450&amp;height=300&amp;START_MAXIMIZED=FALSE"}</definedName>
    <definedName name="_122_10">#REF!</definedName>
    <definedName name="_123__FDSAUDITLINK__" hidden="1">{"fdsup://IBCentral/FAT Viewer?action=UPDATE&amp;creator=factset&amp;DOC_NAME=fat:reuters_annual_source_window.fat&amp;display_string=Audit&amp;DYN_ARGS=TRUE&amp;VAR:ID1=576162&amp;VAR:RCODE=FDSINVINCTOT&amp;VAR:SDATE=20061299&amp;VAR:FREQ=Y&amp;VAR:RELITEM=RF&amp;VAR:CURRENCY=&amp;VAR:CURRSOURCE=EXS","HARE&amp;VAR:NATFREQ=ANNUAL&amp;VAR:RFIELD=FINALIZED&amp;VAR:DB_TYPE=&amp;VAR:UNITS=M&amp;window=popup&amp;width=450&amp;height=300&amp;START_MAXIMIZED=FALSE"}</definedName>
    <definedName name="_123_11">#REF!</definedName>
    <definedName name="_124__FDSAUDITLINK__" hidden="1">{"fdsup://IBCentral/FAT Viewer?action=UPDATE&amp;creator=factset&amp;DOC_NAME=fat:reuters_annual_source_window.fat&amp;display_string=Audit&amp;DYN_ARGS=TRUE&amp;VAR:ID1=576162&amp;VAR:RCODE=NIBX&amp;VAR:SDATE=20051299&amp;VAR:FREQ=Y&amp;VAR:RELITEM=RF&amp;VAR:CURRENCY=&amp;VAR:CURRSOURCE=EXSHARE&amp;VAR",":NATFREQ=ANNUAL&amp;VAR:RFIELD=FINALIZED&amp;VAR:DB_TYPE=&amp;VAR:UNITS=M&amp;window=popup&amp;width=450&amp;height=300&amp;START_MAXIMIZED=FALSE"}</definedName>
    <definedName name="_124_12">#REF!</definedName>
    <definedName name="_125__FDSAUDITLINK__" hidden="1">{"fdsup://IBCentral/FAT Viewer?action=UPDATE&amp;creator=factset&amp;DOC_NAME=fat:reuters_annual_source_window.fat&amp;display_string=Audit&amp;DYN_ARGS=TRUE&amp;VAR:ID1=775125&amp;VAR:RCODE=FEBIT&amp;VAR:SDATE=20071299&amp;VAR:FREQ=Y&amp;VAR:RELITEM=RF&amp;VAR:CURRENCY=&amp;VAR:CURRSOURCE=EXSHARE&amp;VA","R:NATFREQ=ANNUAL&amp;VAR:RFIELD=FINALIZED&amp;VAR:DB_TYPE=&amp;VAR:UNITS=M&amp;window=popup&amp;width=450&amp;height=300&amp;START_MAXIMIZED=FALSE"}</definedName>
    <definedName name="_125_13">#REF!</definedName>
    <definedName name="_126__FDSAUDITLINK__" hidden="1">{"fdsup://IBCentral/FAT Viewer?action=UPDATE&amp;creator=factset&amp;DOC_NAME=fat:reuters_annual_source_window.fat&amp;display_string=Audit&amp;DYN_ARGS=TRUE&amp;VAR:ID1=576162&amp;VAR:RCODE=FEBITDA&amp;VAR:SDATE=20061299&amp;VAR:FREQ=Y&amp;VAR:RELITEM=RF&amp;VAR:CURRENCY=&amp;VAR:CURRSOURCE=EXSHARE&amp;","VAR:NATFREQ=ANNUAL&amp;VAR:RFIELD=FINALIZED&amp;VAR:DB_TYPE=&amp;VAR:UNITS=M&amp;window=popup&amp;width=450&amp;height=300&amp;START_MAXIMIZED=FALSE"}</definedName>
    <definedName name="_126_14">#REF!</definedName>
    <definedName name="_127__FDSAUDITLINK__" hidden="1">{"fdsup://IBCentral/FAT Viewer?action=UPDATE&amp;creator=factset&amp;DOC_NAME=fat:reuters_annual_source_window.fat&amp;display_string=Audit&amp;DYN_ARGS=TRUE&amp;VAR:ID1=576162&amp;VAR:RCODE=NINC&amp;VAR:SDATE=20061299&amp;VAR:FREQ=Y&amp;VAR:RELITEM=RF&amp;VAR:CURRENCY=&amp;VAR:CURRSOURCE=EXSHARE&amp;VAR",":NATFREQ=ANNUAL&amp;VAR:RFIELD=FINALIZED&amp;VAR:DB_TYPE=&amp;VAR:UNITS=M&amp;window=popup&amp;width=450&amp;height=300&amp;START_MAXIMIZED=FALSE"}</definedName>
    <definedName name="_127_15">#REF!</definedName>
    <definedName name="_128__FDSAUDITLINK__" hidden="1">{"fdsup://IBCentral/FAT Viewer?action=UPDATE&amp;creator=factset&amp;DOC_NAME=fat:reuters_annual_source_window.fat&amp;display_string=Audit&amp;DYN_ARGS=TRUE&amp;VAR:ID1=775125&amp;VAR:RCODE=FEBIT&amp;VAR:SDATE=20081299&amp;VAR:FREQ=Y&amp;VAR:RELITEM=RF&amp;VAR:CURRENCY=&amp;VAR:CURRSOURCE=EXSHARE&amp;VA","R:NATFREQ=ANNUAL&amp;VAR:RFIELD=FINALIZED&amp;VAR:DB_TYPE=&amp;VAR:UNITS=M&amp;window=popup&amp;width=450&amp;height=300&amp;START_MAXIMIZED=FALSE"}</definedName>
    <definedName name="_128_16">#REF!</definedName>
    <definedName name="_129__FDSAUDITLINK__" hidden="1">{"fdsup://IBCentral/FAT Viewer?action=UPDATE&amp;creator=factset&amp;DOC_NAME=fat:reuters_annual_source_window.fat&amp;display_string=Audit&amp;DYN_ARGS=TRUE&amp;VAR:ID1=775125&amp;VAR:RCODE=NINC&amp;VAR:SDATE=20081299&amp;VAR:FREQ=Y&amp;VAR:RELITEM=RF&amp;VAR:CURRENCY=&amp;VAR:CURRSOURCE=EXSHARE&amp;VAR",":NATFREQ=ANNUAL&amp;VAR:RFIELD=FINALIZED&amp;VAR:DB_TYPE=&amp;VAR:UNITS=M&amp;window=popup&amp;width=450&amp;height=300&amp;START_MAXIMIZED=FALSE"}</definedName>
    <definedName name="_129_17">#REF!</definedName>
    <definedName name="_12A__PE___OUTLOOK_TO_2">#REF!</definedName>
    <definedName name="_12Excel_BuiltIn_Print_Area_1_1_2_1">#REF!</definedName>
    <definedName name="_12Excel_BuiltIn_Print_Area_3_1_1_1_1_1_1_1_1_1_1">#REF!</definedName>
    <definedName name="_12INDUSTRY_MATERIAL_BALANCE___PROJECTI">#REF!</definedName>
    <definedName name="_12Quarterwise_Collection_P">#REF!</definedName>
    <definedName name="_12Quarterwise_Export_P">#REF!</definedName>
    <definedName name="_13____0INDUSTRY_MATERIAL_BALA">#REF!</definedName>
    <definedName name="_13__123Graph_DCHART_2" hidden="1">#REF!</definedName>
    <definedName name="_13__BuiltIn_AutoFilter___2_1_1">#REF!</definedName>
    <definedName name="_13__FDSAUDITLINK__" hidden="1">{"fdsup://IBCentral/FAT Viewer?action=UPDATE&amp;creator=factset&amp;DOC_NAME=fat:reuters_ytd_source_window.fat&amp;display_string=Audit&amp;DYN_ARGS=TRUE&amp;VAR:ID1=91136310&amp;VAR:RCODE=FIBCEBIT&amp;VAR:SDATE=20110399&amp;VAR:FREQ=Quarterly&amp;VAR:RELITEM=RP&amp;VAR:CURRENCY=&amp;VAR:CURRSOURCE=","EXSHARE&amp;VAR:NATFREQ=Quarterly&amp;VAR:RFIELD=FINALIZED&amp;VAR:DB_TYPE=&amp;VAR:UNITS=M&amp;window=popup&amp;width=450&amp;height=300&amp;START_MAXIMIZED=FALSE"}</definedName>
    <definedName name="_13_0Interc_Rev_LD_">#REF!</definedName>
    <definedName name="_13”_0PE_1996">#REF!</definedName>
    <definedName name="_13§_0Business___Market_Spr">#REF!</definedName>
    <definedName name="_130__FDSAUDITLINK__" hidden="1">{"fdsup://IBCentral/FAT Viewer?action=UPDATE&amp;creator=factset&amp;DOC_NAME=fat:reuters_annual_source_window.fat&amp;display_string=Audit&amp;DYN_ARGS=TRUE&amp;VAR:ID1=576162&amp;VAR:RCODE=FEBITDA&amp;VAR:SDATE=20071299&amp;VAR:FREQ=Y&amp;VAR:RELITEM=RF&amp;VAR:CURRENCY=&amp;VAR:CURRSOURCE=EXSHARE&amp;","VAR:NATFREQ=ANNUAL&amp;VAR:RFIELD=FINALIZED&amp;VAR:DB_TYPE=&amp;VAR:UNITS=M&amp;window=popup&amp;width=450&amp;height=300&amp;START_MAXIMIZED=FALSE"}</definedName>
    <definedName name="_130_18">#REF!</definedName>
    <definedName name="_131__FDSAUDITLINK__" hidden="1">{"fdsup://IBCentral/FAT Viewer?action=UPDATE&amp;creator=factset&amp;DOC_NAME=fat:reuters_annual_source_window.fat&amp;display_string=Audit&amp;DYN_ARGS=TRUE&amp;VAR:ID1=775125&amp;VAR:RCODE=STXI&amp;VAR:SDATE=20081299&amp;VAR:FREQ=Y&amp;VAR:RELITEM=RF&amp;VAR:CURRENCY=&amp;VAR:CURRSOURCE=EXSHARE&amp;VAR",":NATFREQ=ANNUAL&amp;VAR:RFIELD=FINALIZED&amp;VAR:DB_TYPE=&amp;VAR:UNITS=M&amp;window=popup&amp;width=450&amp;height=300&amp;START_MAXIMIZED=FALSE"}</definedName>
    <definedName name="_131_2">#REF!</definedName>
    <definedName name="_132__FDSAUDITLINK__" hidden="1">{"fdsup://IBCentral/FAT Viewer?action=UPDATE&amp;creator=factset&amp;DOC_NAME=fat:reuters_annual_source_window.fat&amp;display_string=Audit&amp;DYN_ARGS=TRUE&amp;VAR:ID1=576162&amp;VAR:RCODE=FEBIT&amp;VAR:SDATE=20061299&amp;VAR:FREQ=Y&amp;VAR:RELITEM=RF&amp;VAR:CURRENCY=&amp;VAR:CURRSOURCE=EXSHARE&amp;VA","R:NATFREQ=ANNUAL&amp;VAR:RFIELD=FINALIZED&amp;VAR:DB_TYPE=&amp;VAR:UNITS=M&amp;window=popup&amp;width=450&amp;height=300&amp;START_MAXIMIZED=FALSE"}</definedName>
    <definedName name="_132_3">#REF!</definedName>
    <definedName name="_133__FDSAUDITLINK__" hidden="1">{"fdsup://IBCentral/FAT Viewer?action=UPDATE&amp;creator=factset&amp;DOC_NAME=fat:reuters_annual_source_window.fat&amp;display_string=Audit&amp;DYN_ARGS=TRUE&amp;VAR:ID1=576162&amp;VAR:RCODE=NIBX&amp;VAR:SDATE=20071299&amp;VAR:FREQ=Y&amp;VAR:RELITEM=RF&amp;VAR:CURRENCY=&amp;VAR:CURRSOURCE=EXSHARE&amp;VAR",":NATFREQ=ANNUAL&amp;VAR:RFIELD=FINALIZED&amp;VAR:DB_TYPE=&amp;VAR:UNITS=M&amp;window=popup&amp;width=450&amp;height=300&amp;START_MAXIMIZED=FALSE"}</definedName>
    <definedName name="_133_4">#REF!</definedName>
    <definedName name="_134__FDSAUDITLINK__" hidden="1">{"fdsup://IBCentral/FAT Viewer?action=UPDATE&amp;creator=factset&amp;DOC_NAME=fat:reuters_annual_source_window.fat&amp;display_string=Audit&amp;DYN_ARGS=TRUE&amp;VAR:ID1=775125&amp;VAR:RCODE=NIBX&amp;VAR:SDATE=20081299&amp;VAR:FREQ=Y&amp;VAR:RELITEM=RF&amp;VAR:CURRENCY=&amp;VAR:CURRSOURCE=EXSHARE&amp;VAR",":NATFREQ=ANNUAL&amp;VAR:RFIELD=FINALIZED&amp;VAR:DB_TYPE=&amp;VAR:UNITS=M&amp;window=popup&amp;width=450&amp;height=300&amp;START_MAXIMIZED=FALSE"}</definedName>
    <definedName name="_134_5">#REF!</definedName>
    <definedName name="_135__FDSAUDITLINK__" hidden="1">{"fdsup://IBCentral/FAT Viewer?action=UPDATE&amp;creator=factset&amp;DOC_NAME=fat:reuters_annual_source_window.fat&amp;display_string=Audit&amp;DYN_ARGS=TRUE&amp;VAR:ID1=576162&amp;VAR:RCODE=NIBX&amp;VAR:SDATE=20061299&amp;VAR:FREQ=Y&amp;VAR:RELITEM=RF&amp;VAR:CURRENCY=&amp;VAR:CURRSOURCE=EXSHARE&amp;VAR",":NATFREQ=ANNUAL&amp;VAR:RFIELD=FINALIZED&amp;VAR:DB_TYPE=&amp;VAR:UNITS=M&amp;window=popup&amp;width=450&amp;height=300&amp;START_MAXIMIZED=FALSE"}</definedName>
    <definedName name="_135_6">#REF!</definedName>
    <definedName name="_136__FDSAUDITLINK__" hidden="1">{"fdsup://IBCentral/FAT Viewer?action=UPDATE&amp;creator=factset&amp;DOC_NAME=fat:reuters_annual_source_window.fat&amp;display_string=Audit&amp;DYN_ARGS=TRUE&amp;VAR:ID1=576162&amp;VAR:RCODE=FSALE&amp;VAR:SDATE=20061299&amp;VAR:FREQ=Y&amp;VAR:RELITEM=RF&amp;VAR:CURRENCY=&amp;VAR:CURRSOURCE=EXSHARE&amp;VA","R:NATFREQ=ANNUAL&amp;VAR:RFIELD=FINALIZED&amp;VAR:DB_TYPE=&amp;VAR:UNITS=M&amp;window=popup&amp;width=450&amp;height=300&amp;START_MAXIMIZED=FALSE"}</definedName>
    <definedName name="_136p0t">#REF!,#REF!,#REF!,#REF!,#REF!</definedName>
    <definedName name="_137__FDSAUDITLINK__" hidden="1">{"fdsup://IBCentral/FAT Viewer?action=UPDATE&amp;creator=factset&amp;DOC_NAME=fat:reuters_annual_source_window.fat&amp;display_string=Audit&amp;DYN_ARGS=TRUE&amp;VAR:ID1=775125&amp;VAR:RCODE=FDSINVINCTOT&amp;VAR:SDATE=20081299&amp;VAR:FREQ=Y&amp;VAR:RELITEM=RF&amp;VAR:CURRENCY=&amp;VAR:CURRSOURCE=EXS","HARE&amp;VAR:NATFREQ=ANNUAL&amp;VAR:RFIELD=FINALIZED&amp;VAR:DB_TYPE=&amp;VAR:UNITS=M&amp;window=popup&amp;width=450&amp;height=300&amp;START_MAXIMIZED=FALSE"}</definedName>
    <definedName name="_137PRINT_ALL">#REF!</definedName>
    <definedName name="_138__FDSAUDITLINK__" hidden="1">{"fdsup://IBCentral/FAT Viewer?action=UPDATE&amp;creator=factset&amp;DOC_NAME=fat:reuters_annual_source_window.fat&amp;display_string=Audit&amp;DYN_ARGS=TRUE&amp;VAR:ID1=775125&amp;VAR:RCODE=SCEX&amp;VAR:SDATE=20081299&amp;VAR:FREQ=Y&amp;VAR:RELITEM=RF&amp;VAR:CURRENCY=&amp;VAR:CURRSOURCE=EXSHARE&amp;VAR",":NATFREQ=ANNUAL&amp;VAR:RFIELD=FINALIZED&amp;VAR:DB_TYPE=&amp;VAR:UNITS=M&amp;window=popup&amp;width=450&amp;height=300&amp;START_MAXIMIZED=FALSE"}</definedName>
    <definedName name="_138PRINT_BUDG_LTP">#REF!</definedName>
    <definedName name="_139__FDSAUDITLINK__" hidden="1">{"fdsup://IBCentral/FAT Viewer?action=UPDATE&amp;creator=factset&amp;DOC_NAME=fat:reuters_annual_source_window.fat&amp;display_string=Audit&amp;DYN_ARGS=TRUE&amp;VAR:ID1=775125&amp;VAR:RCODE=FSALE&amp;VAR:SDATE=20081299&amp;VAR:FREQ=Y&amp;VAR:RELITEM=RF&amp;VAR:CURRENCY=&amp;VAR:CURRSOURCE=EXSHARE&amp;VA","R:NATFREQ=ANNUAL&amp;VAR:RFIELD=FINALIZED&amp;VAR:DB_TYPE=&amp;VAR:UNITS=M&amp;window=popup&amp;width=450&amp;height=300&amp;START_MAXIMIZED=FALSE"}</definedName>
    <definedName name="_139PRINT_BUDG_PER">#REF!</definedName>
    <definedName name="_13Excel_BuiltIn_Print_Area_7_1">#REF!</definedName>
    <definedName name="_13g__TARIFF_ARBITRAGE_ANALYSIS_1996__">#REF!</definedName>
    <definedName name="_14____0PE_REV">#REF!</definedName>
    <definedName name="_14__123Graph_DCHART_3" hidden="1">#REF!</definedName>
    <definedName name="_14__BuiltIn_AutoFilter___2_1_2">#REF!</definedName>
    <definedName name="_14__FDSAUDITLINK__" hidden="1">{"fdsup://IBCentral/FAT Viewer?action=UPDATE&amp;creator=factset&amp;DOC_NAME=fat:reuters_ytd_source_window.fat&amp;display_string=Audit&amp;DYN_ARGS=TRUE&amp;VAR:ID1=45874310&amp;VAR:RCODE=NIBX&amp;VAR:SDATE=20091299&amp;VAR:FREQ=Quarterly&amp;VAR:RELITEM=RP&amp;VAR:CURRENCY=&amp;VAR:CURRSOURCE=EXSH","ARE&amp;VAR:NATFREQ=Quarterly&amp;VAR:RFIELD=FINALIZED&amp;VAR:DB_TYPE=&amp;VAR:UNITS=M&amp;window=popup&amp;width=450&amp;height=300&amp;START_MAXIMIZED=FALSE"}</definedName>
    <definedName name="_14_0Interc_Rev_Loc_">#REF!</definedName>
    <definedName name="_14_0PROFITABILITY__Q3_1996__">#REF!</definedName>
    <definedName name="_14_0Quarterwise_Collection_P">#REF!</definedName>
    <definedName name="_14”__PE_1996">#REF!</definedName>
    <definedName name="_14§__Business___Market_Spr">#REF!</definedName>
    <definedName name="_140__FDSAUDITLINK__" hidden="1">{"fdsup://IBCentral/FAT Viewer?action=UPDATE&amp;creator=factset&amp;DOC_NAME=fat:reuters_annual_source_window.fat&amp;display_string=Audit&amp;DYN_ARGS=TRUE&amp;VAR:ID1=775125&amp;VAR:RCODE=FEBITDA&amp;VAR:SDATE=20081299&amp;VAR:FREQ=Y&amp;VAR:RELITEM=RF&amp;VAR:CURRENCY=&amp;VAR:CURRSOURCE=EXSHARE&amp;","VAR:NATFREQ=ANNUAL&amp;VAR:RFIELD=FINALIZED&amp;VAR:DB_TYPE=&amp;VAR:UNITS=M&amp;window=popup&amp;width=450&amp;height=300&amp;START_MAXIMIZED=FALSE"}</definedName>
    <definedName name="_140PRINT_PROJ_1">#REF!</definedName>
    <definedName name="_141__FDSAUDITLINK__" hidden="1">{"fdsup://IBCentral/FAT Viewer?action=UPDATE&amp;creator=factset&amp;DOC_NAME=fat:reuters_annual_source_window.fat&amp;display_string=Audit&amp;DYN_ARGS=TRUE&amp;VAR:ID1=576162&amp;VAR:RCODE=FEBIT&amp;VAR:SDATE=20071299&amp;VAR:FREQ=Y&amp;VAR:RELITEM=RF&amp;VAR:CURRENCY=&amp;VAR:CURRSOURCE=EXSHARE&amp;VA","R:NATFREQ=ANNUAL&amp;VAR:RFIELD=FINALIZED&amp;VAR:DB_TYPE=&amp;VAR:UNITS=M&amp;window=popup&amp;width=450&amp;height=300&amp;START_MAXIMIZED=FALSE"}</definedName>
    <definedName name="_141PRINT_PROJ_2">#REF!</definedName>
    <definedName name="_142__FDSAUDITLINK__" hidden="1">{"fdsup://IBCentral/FAT Viewer?action=UPDATE&amp;creator=factset&amp;DOC_NAME=fat:reuters_annual_source_window.fat&amp;display_string=Audit&amp;DYN_ARGS=TRUE&amp;VAR:ID1=576162&amp;VAR:RCODE=NINC&amp;VAR:SDATE=20071299&amp;VAR:FREQ=Y&amp;VAR:RELITEM=RF&amp;VAR:CURRENCY=&amp;VAR:CURRSOURCE=EXSHARE&amp;VAR",":NATFREQ=ANNUAL&amp;VAR:RFIELD=FINALIZED&amp;VAR:DB_TYPE=&amp;VAR:UNITS=M&amp;window=popup&amp;width=450&amp;height=300&amp;START_MAXIMIZED=FALSE"}</definedName>
    <definedName name="_142S">#REF!</definedName>
    <definedName name="_143__FDSAUDITLINK__" hidden="1">{"fdsup://IBCentral/FAT Viewer?action=UPDATE&amp;creator=factset&amp;DOC_NAME=fat:reuters_annual_source_window.fat&amp;display_string=Audit&amp;DYN_ARGS=TRUE&amp;VAR:ID1=576162&amp;VAR:RCODE=FDSINVINCTOT&amp;VAR:SDATE=20071299&amp;VAR:FREQ=Y&amp;VAR:RELITEM=RF&amp;VAR:CURRENCY=&amp;VAR:CURRSOURCE=EXS","HARE&amp;VAR:NATFREQ=ANNUAL&amp;VAR:RFIELD=FINALIZED&amp;VAR:DB_TYPE=&amp;VAR:UNITS=M&amp;window=popup&amp;width=450&amp;height=300&amp;START_MAXIMIZED=FALSE"}</definedName>
    <definedName name="_143ÿ_0CAPEX">#REF!</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ÿ_0CAPEX_">#REF!</definedName>
    <definedName name="_145__FDSAUDITLINK__" hidden="1">{"fdsup://IBCentral/FAT Viewer?action=UPDATE&amp;creator=factset&amp;DOC_NAME=fat:reuters_annual_source_window.fat&amp;display_string=Audit&amp;DYN_ARGS=TRUE&amp;VAR:ID1=775125&amp;VAR:RCODE=SCEX&amp;VAR:SDATE=20091299&amp;VAR:FREQ=Y&amp;VAR:RELITEM=RF&amp;VAR:CURRENCY=&amp;VAR:CURRSOURCE=EXSHARE&amp;VAR",":NATFREQ=ANNUAL&amp;VAR:RFIELD=FINALIZED&amp;VAR:DB_TYPE=&amp;VAR:UNITS=M&amp;window=popup&amp;width=450&amp;height=300&amp;START_MAXIMIZED=FALSE"}</definedName>
    <definedName name="_145ÿ_0CAPEX_billing_VMS_">#REF!</definedName>
    <definedName name="_146__FDSAUDITLINK__" hidden="1">{"fdsup://IBCentral/FAT Viewer?action=UPDATE&amp;creator=factset&amp;DOC_NAME=fat:reuters_annual_source_window.fat&amp;display_string=Audit&amp;DYN_ARGS=TRUE&amp;VAR:ID1=576162&amp;VAR:RCODE=FSALE&amp;VAR:SDATE=20071299&amp;VAR:FREQ=Y&amp;VAR:RELITEM=RF&amp;VAR:CURRENCY=&amp;VAR:CURRSOURCE=EXSHARE&amp;VA","R:NATFREQ=ANNUAL&amp;VAR:RFIELD=FINALIZED&amp;VAR:DB_TYPE=&amp;VAR:UNITS=M&amp;window=popup&amp;width=450&amp;height=300&amp;START_MAXIMIZED=FALSE"}</definedName>
    <definedName name="_146ÿ_0CAPEX_Civil_Wo">#REF!</definedName>
    <definedName name="_147__FDSAUDITLINK__" hidden="1">{"fdsup://IBCentral/FAT Viewer?action=UPDATE&amp;creator=factset&amp;DOC_NAME=fat:reuters_annual_source_window.fat&amp;display_string=Audit&amp;DYN_ARGS=TRUE&amp;VAR:ID1=775125&amp;VAR:RCODE=STXI&amp;VAR:SDATE=20091299&amp;VAR:FREQ=Y&amp;VAR:RELITEM=RF&amp;VAR:CURRENCY=&amp;VAR:CURRSOURCE=EXSHARE&amp;VAR",":NATFREQ=ANNUAL&amp;VAR:RFIELD=FINALIZED&amp;VAR:DB_TYPE=&amp;VAR:UNITS=M&amp;window=popup&amp;width=450&amp;height=300&amp;START_MAXIMIZED=FALSE"}</definedName>
    <definedName name="_147ÿ_0CAPEX_computer_softw">#REF!</definedName>
    <definedName name="_148__FDSAUDITLINK__" hidden="1">{"fdsup://IBCentral/FAT Viewer?action=UPDATE&amp;creator=factset&amp;DOC_NAME=fat:reuters_annual_source_window.fat&amp;display_string=Audit&amp;DYN_ARGS=TRUE&amp;VAR:ID1=775125&amp;VAR:RCODE=FEBITDA&amp;VAR:SDATE=20091299&amp;VAR:FREQ=Y&amp;VAR:RELITEM=RF&amp;VAR:CURRENCY=&amp;VAR:CURRSOURCE=EXSHARE&amp;","VAR:NATFREQ=ANNUAL&amp;VAR:RFIELD=FINALIZED&amp;VAR:DB_TYPE=&amp;VAR:UNITS=M&amp;window=popup&amp;width=450&amp;height=300&amp;START_MAXIMIZED=FALSE"}</definedName>
    <definedName name="_148ÿ_0CAPEX_Equipm">#REF!</definedName>
    <definedName name="_149__FDSAUDITLINK__" hidden="1">{"fdsup://IBCentral/FAT Viewer?action=UPDATE&amp;creator=factset&amp;DOC_NAME=fat:reuters_annual_source_window.fat&amp;display_string=Audit&amp;DYN_ARGS=TRUE&amp;VAR:ID1=576162&amp;VAR:RCODE=SCEX&amp;VAR:SDATE=20071299&amp;VAR:FREQ=Y&amp;VAR:RELITEM=RF&amp;VAR:CURRENCY=&amp;VAR:CURRSOURCE=EXSHARE&amp;VAR",":NATFREQ=ANNUAL&amp;VAR:RFIELD=FINALIZED&amp;VAR:DB_TYPE=&amp;VAR:UNITS=M&amp;window=popup&amp;width=450&amp;height=300&amp;START_MAXIMIZED=FALSE"}</definedName>
    <definedName name="_149ÿ_0CAPEX_Gateway_Equipm">#REF!</definedName>
    <definedName name="_14INDUSTRY_MATERIAL_BALA">#REF!</definedName>
    <definedName name="_15">#REF!</definedName>
    <definedName name="_15____0RE">#REF!</definedName>
    <definedName name="_15__123Graph_DCHART_4" hidden="1">#REF!</definedName>
    <definedName name="_15__BuiltIn_AutoFilter___2_1_1_1">#REF!</definedName>
    <definedName name="_15__FDSAUDITLINK__" hidden="1">{"fdsup://IBCentral/FAT Viewer?action=UPDATE&amp;creator=factset&amp;DOC_NAME=fat:reuters_ytd_source_window.fat&amp;display_string=Audit&amp;DYN_ARGS=TRUE&amp;VAR:ID1=B08K3S&amp;VAR:RCODE=NIBX&amp;VAR:SDATE=20091299&amp;VAR:FREQ=Quarterly&amp;VAR:RELITEM=RP&amp;VAR:CURRENCY=&amp;VAR:CURRSOURCE=EXSHAR","E&amp;VAR:NATFREQ=Quarterly&amp;VAR:RFIELD=FINALIZED&amp;VAR:DB_TYPE=&amp;VAR:UNITS=M&amp;window=popup&amp;width=450&amp;height=300&amp;START_MAXIMIZED=FALSE"}</definedName>
    <definedName name="_15_0OutGoingTraf">#REF!</definedName>
    <definedName name="_15§_0Business___Market_Spr">#REF!</definedName>
    <definedName name="_15…_0PRICE_FORECAST___1995">#REF!</definedName>
    <definedName name="_150__FDSAUDITLINK__" hidden="1">{"fdsup://IBCentral/FAT Viewer?action=UPDATE&amp;creator=factset&amp;DOC_NAME=fat:reuters_annual_source_window.fat&amp;display_string=Audit&amp;DYN_ARGS=TRUE&amp;VAR:ID1=775125&amp;VAR:RCODE=FSALE&amp;VAR:SDATE=20101299&amp;VAR:FREQ=Y&amp;VAR:RELITEM=RF&amp;VAR:CURRENCY=&amp;VAR:CURRSOURCE=EXSHARE&amp;VA","R:NATFREQ=ANNUAL&amp;VAR:RFIELD=FINALIZED&amp;VAR:DB_TYPE=&amp;VAR:UNITS=M&amp;window=popup&amp;width=450&amp;height=300&amp;START_MAXIMIZED=FALSE"}</definedName>
    <definedName name="_150ÿ_0CAPEX_Licence_">#REF!</definedName>
    <definedName name="_151__FDSAUDITLINK__" hidden="1">{"fdsup://IBCentral/FAT Viewer?action=UPDATE&amp;creator=factset&amp;DOC_NAME=fat:reuters_annual_source_window.fat&amp;display_string=Audit&amp;DYN_ARGS=TRUE&amp;VAR:ID1=576162&amp;VAR:RCODE=FEBITDA&amp;VAR:SDATE=20091299&amp;VAR:FREQ=Y&amp;VAR:RELITEM=RF&amp;VAR:CURRENCY=&amp;VAR:CURRSOURCE=EXSHARE&amp;","VAR:NATFREQ=ANNUAL&amp;VAR:RFIELD=FINALIZED&amp;VAR:DB_TYPE=&amp;VAR:UNITS=M&amp;window=popup&amp;width=450&amp;height=300&amp;START_MAXIMIZED=FALSE"}</definedName>
    <definedName name="_151ÿ_0CAPEX_Microw">#REF!</definedName>
    <definedName name="_152__FDSAUDITLINK__" hidden="1">{"fdsup://IBCentral/FAT Viewer?action=UPDATE&amp;creator=factset&amp;DOC_NAME=fat:reuters_annual_source_window.fat&amp;display_string=Audit&amp;DYN_ARGS=TRUE&amp;VAR:ID1=576162&amp;VAR:RCODE=FDSINVINCTOT&amp;VAR:SDATE=20081299&amp;VAR:FREQ=Y&amp;VAR:RELITEM=RF&amp;VAR:CURRENCY=&amp;VAR:CURRSOURCE=EXS","HARE&amp;VAR:NATFREQ=ANNUAL&amp;VAR:RFIELD=FINALIZED&amp;VAR:DB_TYPE=&amp;VAR:UNITS=M&amp;window=popup&amp;width=450&amp;height=300&amp;START_MAXIMIZED=FALSE"}</definedName>
    <definedName name="_152ÿ_0CAPEX_office_furnit">#REF!</definedName>
    <definedName name="_153__FDSAUDITLINK__" hidden="1">{"fdsup://IBCentral/FAT Viewer?action=UPDATE&amp;creator=factset&amp;DOC_NAME=fat:reuters_annual_source_window.fat&amp;display_string=Audit&amp;DYN_ARGS=TRUE&amp;VAR:ID1=775125&amp;VAR:RCODE=FEBIT&amp;VAR:SDATE=20101299&amp;VAR:FREQ=Y&amp;VAR:RELITEM=RF&amp;VAR:CURRENCY=&amp;VAR:CURRSOURCE=EXSHARE&amp;VA","R:NATFREQ=ANNUAL&amp;VAR:RFIELD=FINALIZED&amp;VAR:DB_TYPE=&amp;VAR:UNITS=M&amp;window=popup&amp;width=450&amp;height=300&amp;START_MAXIMIZED=FALSE"}</definedName>
    <definedName name="_153ÿ_0CAPEX_Subscri">#REF!</definedName>
    <definedName name="_154__FDSAUDITLINK__" hidden="1">{"fdsup://IBCentral/FAT Viewer?action=UPDATE&amp;creator=factset&amp;DOC_NAME=fat:reuters_annual_source_window.fat&amp;display_string=Audit&amp;DYN_ARGS=TRUE&amp;VAR:ID1=775125&amp;VAR:RCODE=FSALE&amp;VAR:SDATE=20091299&amp;VAR:FREQ=Y&amp;VAR:RELITEM=RF&amp;VAR:CURRENCY=&amp;VAR:CURRSOURCE=EXSHARE&amp;VA","R:NATFREQ=ANNUAL&amp;VAR:RFIELD=FINALIZED&amp;VAR:DB_TYPE=&amp;VAR:UNITS=M&amp;window=popup&amp;width=450&amp;height=300&amp;START_MAXIMIZED=FALSE"}</definedName>
    <definedName name="_154ÿ_0Cum._Invest_bill">#REF!</definedName>
    <definedName name="_155__FDSAUDITLINK__" hidden="1">{"fdsup://IBCentral/FAT Viewer?action=UPDATE&amp;creator=factset&amp;DOC_NAME=fat:reuters_annual_source_window.fat&amp;display_string=Audit&amp;DYN_ARGS=TRUE&amp;VAR:ID1=576162&amp;VAR:RCODE=FDSINVINCTOT&amp;VAR:SDATE=20091299&amp;VAR:FREQ=Y&amp;VAR:RELITEM=RF&amp;VAR:CURRENCY=&amp;VAR:CURRSOURCE=EXS","HARE&amp;VAR:NATFREQ=ANNUAL&amp;VAR:RFIELD=FINALIZED&amp;VAR:DB_TYPE=&amp;VAR:UNITS=M&amp;window=popup&amp;width=450&amp;height=300&amp;START_MAXIMIZED=FALSE"}</definedName>
    <definedName name="_155ÿ_0Depr_base_bill">#REF!</definedName>
    <definedName name="_156__FDSAUDITLINK__" hidden="1">{"fdsup://IBCentral/FAT Viewer?action=UPDATE&amp;creator=factset&amp;DOC_NAME=fat:reuters_annual_source_window.fat&amp;display_string=Audit&amp;DYN_ARGS=TRUE&amp;VAR:ID1=576162&amp;VAR:RCODE=NINC&amp;VAR:SDATE=20091299&amp;VAR:FREQ=Y&amp;VAR:RELITEM=RF&amp;VAR:CURRENCY=&amp;VAR:CURRSOURCE=EXSHARE&amp;VAR",":NATFREQ=ANNUAL&amp;VAR:RFIELD=FINALIZED&amp;VAR:DB_TYPE=&amp;VAR:UNITS=M&amp;window=popup&amp;width=450&amp;height=300&amp;START_MAXIMIZED=FALSE"}</definedName>
    <definedName name="_156ÿ_0Depr_base_equipm">#REF!</definedName>
    <definedName name="_157__FDSAUDITLINK__" hidden="1">{"fdsup://IBCentral/FAT Viewer?action=UPDATE&amp;creator=factset&amp;DOC_NAME=fat:reuters_annual_source_window.fat&amp;display_string=Audit&amp;DYN_ARGS=TRUE&amp;VAR:ID1=576162&amp;VAR:RCODE=STXI&amp;VAR:SDATE=20091299&amp;VAR:FREQ=Y&amp;VAR:RELITEM=RF&amp;VAR:CURRENCY=&amp;VAR:CURRSOURCE=EXSHARE&amp;VAR",":NATFREQ=ANNUAL&amp;VAR:RFIELD=FINALIZED&amp;VAR:DB_TYPE=&amp;VAR:UNITS=M&amp;window=popup&amp;width=450&amp;height=300&amp;START_MAXIMIZED=FALSE"}</definedName>
    <definedName name="_157ÿ_0Depr_bill">#REF!</definedName>
    <definedName name="_158__FDSAUDITLINK__" hidden="1">{"fdsup://IBCentral/FAT Viewer?action=UPDATE&amp;creator=factset&amp;DOC_NAME=fat:reuters_annual_source_window.fat&amp;display_string=Audit&amp;DYN_ARGS=TRUE&amp;VAR:ID1=775125&amp;VAR:RCODE=FDSINVINCTOT&amp;VAR:SDATE=20091299&amp;VAR:FREQ=Y&amp;VAR:RELITEM=RF&amp;VAR:CURRENCY=&amp;VAR:CURRSOURCE=EXS","HARE&amp;VAR:NATFREQ=ANNUAL&amp;VAR:RFIELD=FINALIZED&amp;VAR:DB_TYPE=&amp;VAR:UNITS=M&amp;window=popup&amp;width=450&amp;height=300&amp;START_MAXIMIZED=FALSE"}</definedName>
    <definedName name="_158ÿ_0Depr_civil_wo">#REF!</definedName>
    <definedName name="_159__FDSAUDITLINK__" hidden="1">{"fdsup://IBCentral/FAT Viewer?action=UPDATE&amp;creator=factset&amp;DOC_NAME=fat:reuters_annual_source_window.fat&amp;display_string=Audit&amp;DYN_ARGS=TRUE&amp;VAR:ID1=576162&amp;VAR:RCODE=SCEX&amp;VAR:SDATE=20081299&amp;VAR:FREQ=Y&amp;VAR:RELITEM=RF&amp;VAR:CURRENCY=&amp;VAR:CURRSOURCE=EXSHARE&amp;VAR",":NATFREQ=ANNUAL&amp;VAR:RFIELD=FINALIZED&amp;VAR:DB_TYPE=&amp;VAR:UNITS=M&amp;window=popup&amp;width=450&amp;height=300&amp;START_MAXIMIZED=FALSE"}</definedName>
    <definedName name="_159ÿ_0Depr_computer_softw">#REF!</definedName>
    <definedName name="_15Excel_BuiltIn_Print_Titles_1_1_1">#REF!</definedName>
    <definedName name="_15i__PE___RIL_MARKET_PRESE">#REF!</definedName>
    <definedName name="_16">#REF!</definedName>
    <definedName name="_16__123Graph_DCHART_5" hidden="1">#REF!</definedName>
    <definedName name="_16__6_0PE_BUSINESS___PAST___FUT">#REF!</definedName>
    <definedName name="_16__BuiltIn_AutoFilter___3_1_1">#REF!</definedName>
    <definedName name="_16__FDSAUDITLINK__" hidden="1">{"fdsup://IBCentral/FAT Viewer?action=UPDATE&amp;creator=factset&amp;DOC_NAME=fat:reuters_ytd_source_window.fat&amp;display_string=Audit&amp;DYN_ARGS=TRUE&amp;VAR:ID1=74972L10&amp;VAR:RCODE=FDSINTINCTOTAL&amp;VAR:SDATE=20100399&amp;VAR:FREQ=Quarterly&amp;VAR:RELITEM=RP&amp;VAR:CURRENCY=&amp;VAR:CURRS","OURCE=EXSHARE&amp;VAR:NATFREQ=Quarterly&amp;VAR:RFIELD=FINALIZED&amp;VAR:DB_TYPE=&amp;VAR:UNITS=M&amp;window=popup&amp;width=450&amp;height=300&amp;START_MAXIMIZED=FALSE"}</definedName>
    <definedName name="_16_0Perc_Reg_of">#REF!</definedName>
    <definedName name="_16§__Business___Market_Spr">#REF!</definedName>
    <definedName name="_16…__PRICE_FORECAST___1995">#REF!</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ÿ_0Depr_equipm">#REF!</definedName>
    <definedName name="_161__FDSAUDITLINK__" hidden="1">{"fdsup://IBCentral/FAT Viewer?action=UPDATE&amp;creator=factset&amp;DOC_NAME=fat:reuters_annual_source_window.fat&amp;display_string=Audit&amp;DYN_ARGS=TRUE&amp;VAR:ID1=576162&amp;VAR:RCODE=NIBX&amp;VAR:SDATE=20081299&amp;VAR:FREQ=Y&amp;VAR:RELITEM=RF&amp;VAR:CURRENCY=&amp;VAR:CURRSOURCE=EXSHARE&amp;VAR",":NATFREQ=ANNUAL&amp;VAR:RFIELD=FINALIZED&amp;VAR:DB_TYPE=&amp;VAR:UNITS=M&amp;window=popup&amp;width=450&amp;height=300&amp;START_MAXIMIZED=FALSE"}</definedName>
    <definedName name="_161ÿ_0Depr_lice">#REF!</definedName>
    <definedName name="_162__FDSAUDITLINK__" hidden="1">{"fdsup://IBCentral/FAT Viewer?action=UPDATE&amp;creator=factset&amp;DOC_NAME=fat:reuters_annual_source_window.fat&amp;display_string=Audit&amp;DYN_ARGS=TRUE&amp;VAR:ID1=576162&amp;VAR:RCODE=NIBX&amp;VAR:SDATE=20091299&amp;VAR:FREQ=Y&amp;VAR:RELITEM=RF&amp;VAR:CURRENCY=&amp;VAR:CURRSOURCE=EXSHARE&amp;VAR",":NATFREQ=ANNUAL&amp;VAR:RFIELD=FINALIZED&amp;VAR:DB_TYPE=&amp;VAR:UNITS=M&amp;window=popup&amp;width=450&amp;height=300&amp;START_MAXIMIZED=FALSE"}</definedName>
    <definedName name="_162ÿ_0Depr_office_furnit">#REF!</definedName>
    <definedName name="_163__FDSAUDITLINK__" hidden="1">{"fdsup://IBCentral/FAT Viewer?action=UPDATE&amp;creator=factset&amp;DOC_NAME=fat:reuters_annual_source_window.fat&amp;display_string=Audit&amp;DYN_ARGS=TRUE&amp;VAR:ID1=576162&amp;VAR:RCODE=FSALE&amp;VAR:SDATE=20081299&amp;VAR:FREQ=Y&amp;VAR:RELITEM=RF&amp;VAR:CURRENCY=&amp;VAR:CURRSOURCE=EXSHARE&amp;VA","R:NATFREQ=ANNUAL&amp;VAR:RFIELD=FINALIZED&amp;VAR:DB_TYPE=&amp;VAR:UNITS=M&amp;window=popup&amp;width=450&amp;height=300&amp;START_MAXIMIZED=FALSE"}</definedName>
    <definedName name="_163ÿ_0GSM_In">#REF!</definedName>
    <definedName name="_164__FDSAUDITLINK__" hidden="1">{"fdsup://IBCentral/FAT Viewer?action=UPDATE&amp;creator=factset&amp;DOC_NAME=fat:reuters_annual_source_window.fat&amp;display_string=Audit&amp;DYN_ARGS=TRUE&amp;VAR:ID1=775125&amp;VAR:RCODE=NINC&amp;VAR:SDATE=20091299&amp;VAR:FREQ=Y&amp;VAR:RELITEM=RF&amp;VAR:CURRENCY=&amp;VAR:CURRSOURCE=EXSHARE&amp;VAR",":NATFREQ=ANNUAL&amp;VAR:RFIELD=FINALIZED&amp;VAR:DB_TYPE=&amp;VAR:UNITS=M&amp;window=popup&amp;width=450&amp;height=300&amp;START_MAXIMIZED=FALSE"}</definedName>
    <definedName name="_164ÿ_0Invest">#REF!</definedName>
    <definedName name="_165__FDSAUDITLINK__" hidden="1">{"fdsup://IBCentral/FAT Viewer?action=UPDATE&amp;creator=factset&amp;DOC_NAME=fat:reuters_annual_source_window.fat&amp;display_string=Audit&amp;DYN_ARGS=TRUE&amp;VAR:ID1=576162&amp;VAR:RCODE=FEBIT&amp;VAR:SDATE=20091299&amp;VAR:FREQ=Y&amp;VAR:RELITEM=RF&amp;VAR:CURRENCY=&amp;VAR:CURRSOURCE=EXSHARE&amp;VA","R:NATFREQ=ANNUAL&amp;VAR:RFIELD=FINALIZED&amp;VAR:DB_TYPE=&amp;VAR:UNITS=M&amp;window=popup&amp;width=450&amp;height=300&amp;START_MAXIMIZED=FALSE"}</definedName>
    <definedName name="_165ÿ_0Invest_">#REF!</definedName>
    <definedName name="_166__FDSAUDITLINK__" hidden="1">{"fdsup://IBCentral/FAT Viewer?action=UPDATE&amp;creator=factset&amp;DOC_NAME=fat:reuters_annual_source_window.fat&amp;display_string=Audit&amp;DYN_ARGS=TRUE&amp;VAR:ID1=775125&amp;VAR:RCODE=FDSINVINCTOT&amp;VAR:SDATE=20101299&amp;VAR:FREQ=Y&amp;VAR:RELITEM=RF&amp;VAR:CURRENCY=&amp;VAR:CURRSOURCE=EXS","HARE&amp;VAR:NATFREQ=ANNUAL&amp;VAR:RFIELD=FINALIZED&amp;VAR:DB_TYPE=&amp;VAR:UNITS=M&amp;window=popup&amp;width=450&amp;height=300&amp;START_MAXIMIZED=FALSE"}</definedName>
    <definedName name="_166ÿ_0Invest_Gatew">#REF!</definedName>
    <definedName name="_167__FDSAUDITLINK__" hidden="1">{"fdsup://IBCentral/FAT Viewer?action=UPDATE&amp;creator=factset&amp;DOC_NAME=fat:reuters_annual_source_window.fat&amp;display_string=Audit&amp;DYN_ARGS=TRUE&amp;VAR:ID1=775125&amp;VAR:RCODE=FEBIT&amp;VAR:SDATE=20091299&amp;VAR:FREQ=Y&amp;VAR:RELITEM=RF&amp;VAR:CURRENCY=&amp;VAR:CURRSOURCE=EXSHARE&amp;VA","R:NATFREQ=ANNUAL&amp;VAR:RFIELD=FINALIZED&amp;VAR:DB_TYPE=&amp;VAR:UNITS=M&amp;window=popup&amp;width=450&amp;height=300&amp;START_MAXIMIZED=FALSE"}</definedName>
    <definedName name="_167ÿ_0Invest_Microw">#REF!</definedName>
    <definedName name="_168__FDSAUDITLINK__" hidden="1">{"fdsup://IBCentral/FAT Viewer?action=UPDATE&amp;creator=factset&amp;DOC_NAME=fat:reuters_annual_source_window.fat&amp;display_string=Audit&amp;DYN_ARGS=TRUE&amp;VAR:ID1=775125&amp;VAR:RCODE=NIBX&amp;VAR:SDATE=20091299&amp;VAR:FREQ=Y&amp;VAR:RELITEM=RF&amp;VAR:CURRENCY=&amp;VAR:CURRSOURCE=EXSHARE&amp;VAR",":NATFREQ=ANNUAL&amp;VAR:RFIELD=FINALIZED&amp;VAR:DB_TYPE=&amp;VAR:UNITS=M&amp;window=popup&amp;width=450&amp;height=300&amp;START_MAXIMIZED=FALSE"}</definedName>
    <definedName name="_168ÿ_0jdbytraft">#REF!</definedName>
    <definedName name="_169__FDSAUDITLINK__" hidden="1">{"fdsup://IBCentral/FAT Viewer?action=UPDATE&amp;creator=factset&amp;DOC_NAME=fat:reuters_annual_source_window.fat&amp;display_string=Audit&amp;DYN_ARGS=TRUE&amp;VAR:ID1=576162&amp;VAR:RCODE=STXI&amp;VAR:SDATE=20081299&amp;VAR:FREQ=Y&amp;VAR:RELITEM=RF&amp;VAR:CURRENCY=&amp;VAR:CURRSOURCE=EXSHARE&amp;VAR",":NATFREQ=ANNUAL&amp;VAR:RFIELD=FINALIZED&amp;VAR:DB_TYPE=&amp;VAR:UNITS=M&amp;window=popup&amp;width=450&amp;height=300&amp;START_MAXIMIZED=FALSE"}</definedName>
    <definedName name="_169ÿ_0jdmktspli">#REF!</definedName>
    <definedName name="_16ø__PE_CUSTOMER_SPR">#REF!</definedName>
    <definedName name="_16PROFITABILITY__Q3_1996__">#REF!</definedName>
    <definedName name="_16Quarterwise_Collection_P">#REF!</definedName>
    <definedName name="_17__123Graph_ECHART_2" hidden="1">#REF!</definedName>
    <definedName name="_17__7_0End_Use_Analysis___Sectoral_Gro">#REF!</definedName>
    <definedName name="_17__BuiltIn_AutoFilter___4_1_1">#REF!</definedName>
    <definedName name="_17__FDSAUDITLINK__" hidden="1">{"fdsup://IBCentral/FAT Viewer?action=UPDATE&amp;creator=factset&amp;DOC_NAME=fat:reuters_ytd_source_window.fat&amp;display_string=Audit&amp;DYN_ARGS=TRUE&amp;VAR:ID1=45874310&amp;VAR:RCODE=FDSINTINCTOTAL&amp;VAR:SDATE=20101299&amp;VAR:FREQ=Quarterly&amp;VAR:RELITEM=RP&amp;VAR:CURRENCY=&amp;VAR:CURRS","OURCE=EXSHARE&amp;VAR:NATFREQ=Quarterly&amp;VAR:RFIELD=FINALIZED&amp;VAR:DB_TYPE=&amp;VAR:UNITS=M&amp;window=popup&amp;width=450&amp;height=300&amp;START_MAXIMIZED=FALSE"}</definedName>
    <definedName name="_17_0_0PE___Q1_REV">#REF!</definedName>
    <definedName name="_17_0BS_minor">#REF!</definedName>
    <definedName name="_17…_0PRICE_FORECAST___1995">#REF!</definedName>
    <definedName name="_170__FDSAUDITLINK__" hidden="1">{"fdsup://IBCentral/FAT Viewer?action=UPDATE&amp;creator=factset&amp;DOC_NAME=fat:reuters_annual_source_window.fat&amp;display_string=Audit&amp;DYN_ARGS=TRUE&amp;VAR:ID1=775125&amp;VAR:RCODE=FEBITDA&amp;VAR:SDATE=20101299&amp;VAR:FREQ=Y&amp;VAR:RELITEM=RF&amp;VAR:CURRENCY=&amp;VAR:CURRSOURCE=EXSHARE&amp;","VAR:NATFREQ=ANNUAL&amp;VAR:RFIELD=FINALIZED&amp;VAR:DB_TYPE=&amp;VAR:UNITS=M&amp;window=popup&amp;width=450&amp;height=300&amp;START_MAXIMIZED=FALSE"}</definedName>
    <definedName name="_170ÿ_0Number">#REF!</definedName>
    <definedName name="_171__FDSAUDITLINK__" hidden="1">{"fdsup://IBCentral/FAT Viewer?action=UPDATE&amp;creator=factset&amp;DOC_NAME=fat:reuters_annual_source_window.fat&amp;display_string=Audit&amp;DYN_ARGS=TRUE&amp;VAR:ID1=576162&amp;VAR:RCODE=SCEX&amp;VAR:SDATE=20091299&amp;VAR:FREQ=Y&amp;VAR:RELITEM=RF&amp;VAR:CURRENCY=&amp;VAR:CURRSOURCE=EXSHARE&amp;VAR",":NATFREQ=ANNUAL&amp;VAR:RFIELD=FINALIZED&amp;VAR:DB_TYPE=&amp;VAR:UNITS=M&amp;window=popup&amp;width=450&amp;height=300&amp;START_MAXIMIZED=FALSE"}</definedName>
    <definedName name="_171ÿ_0Number_">#REF!</definedName>
    <definedName name="_172__FDSAUDITLINK__" hidden="1">{"fdsup://IBCentral/FAT Viewer?action=UPDATE&amp;creator=factset&amp;DOC_NAME=fat:reuters_annual_source_window.fat&amp;display_string=Audit&amp;DYN_ARGS=TRUE&amp;VAR:ID1=576162&amp;VAR:RCODE=FEBITDA&amp;VAR:SDATE=20081299&amp;VAR:FREQ=Y&amp;VAR:RELITEM=RF&amp;VAR:CURRENCY=&amp;VAR:CURRSOURCE=EXSHARE&amp;","VAR:NATFREQ=ANNUAL&amp;VAR:RFIELD=FINALIZED&amp;VAR:DB_TYPE=&amp;VAR:UNITS=M&amp;window=popup&amp;width=450&amp;height=300&amp;START_MAXIMIZED=FALSE"}</definedName>
    <definedName name="_172ÿ_0Number_Gatew">#REF!</definedName>
    <definedName name="_173__FDSAUDITLINK__" hidden="1">{"fdsup://IBCentral/FAT Viewer?action=UPDATE&amp;creator=factset&amp;DOC_NAME=fat:reuters_annual_source_window.fat&amp;display_string=Audit&amp;DYN_ARGS=TRUE&amp;VAR:ID1=576162&amp;VAR:RCODE=FEBIT&amp;VAR:SDATE=20081299&amp;VAR:FREQ=Y&amp;VAR:RELITEM=RF&amp;VAR:CURRENCY=&amp;VAR:CURRSOURCE=EXSHARE&amp;VA","R:NATFREQ=ANNUAL&amp;VAR:RFIELD=FINALIZED&amp;VAR:DB_TYPE=&amp;VAR:UNITS=M&amp;window=popup&amp;width=450&amp;height=300&amp;START_MAXIMIZED=FALSE"}</definedName>
    <definedName name="_173ÿ_0Number_Microw">#REF!</definedName>
    <definedName name="_174__FDSAUDITLINK__" hidden="1">{"fdsup://IBCentral/FAT Viewer?action=UPDATE&amp;creator=factset&amp;DOC_NAME=fat:reuters_annual_source_window.fat&amp;display_string=Audit&amp;DYN_ARGS=TRUE&amp;VAR:ID1=775125&amp;VAR:RCODE=STXI&amp;VAR:SDATE=20101299&amp;VAR:FREQ=Y&amp;VAR:RELITEM=RF&amp;VAR:CURRENCY=&amp;VAR:CURRSOURCE=EXSHARE&amp;VAR",":NATFREQ=ANNUAL&amp;VAR:RFIELD=FINALIZED&amp;VAR:DB_TYPE=&amp;VAR:UNITS=M&amp;window=popup&amp;width=450&amp;height=300&amp;START_MAXIMIZED=FALSE"}</definedName>
    <definedName name="_174ÿ_0Price">#REF!</definedName>
    <definedName name="_175__FDSAUDITLINK__" hidden="1">{"fdsup://IBCentral/FAT Viewer?action=UPDATE&amp;creator=factset&amp;DOC_NAME=fat:reuters_annual_source_window.fat&amp;display_string=Audit&amp;DYN_ARGS=TRUE&amp;VAR:ID1=576162&amp;VAR:RCODE=NINC&amp;VAR:SDATE=20081299&amp;VAR:FREQ=Y&amp;VAR:RELITEM=RF&amp;VAR:CURRENCY=&amp;VAR:CURRSOURCE=EXSHARE&amp;VAR",":NATFREQ=ANNUAL&amp;VAR:RFIELD=FINALIZED&amp;VAR:DB_TYPE=&amp;VAR:UNITS=M&amp;window=popup&amp;width=450&amp;height=300&amp;START_MAXIMIZED=FALSE"}</definedName>
    <definedName name="_175ÿ_0Price_">#REF!</definedName>
    <definedName name="_176__FDSAUDITLINK__" hidden="1">{"fdsup://IBCentral/FAT Viewer?action=UPDATE&amp;creator=factset&amp;DOC_NAME=fat:reuters_annual_source_window.fat&amp;display_string=Audit&amp;DYN_ARGS=TRUE&amp;VAR:ID1=221353&amp;VAR:RCODE=STXI&amp;VAR:SDATE=20051299&amp;VAR:FREQ=Y&amp;VAR:RELITEM=RF&amp;VAR:CURRENCY=&amp;VAR:CURRSOURCE=EXSHARE&amp;VAR",":NATFREQ=ANNUAL&amp;VAR:RFIELD=FINALIZED&amp;VAR:DB_TYPE=&amp;VAR:UNITS=M&amp;window=popup&amp;width=450&amp;height=300&amp;START_MAXIMIZED=FALSE"}</definedName>
    <definedName name="_176ÿ_0Price_Gate">#REF!</definedName>
    <definedName name="_177__FDSAUDITLINK__" hidden="1">{"fdsup://IBCentral/FAT Viewer?action=UPDATE&amp;creator=factset&amp;DOC_NAME=fat:reuters_annual_source_window.fat&amp;display_string=Audit&amp;DYN_ARGS=TRUE&amp;VAR:ID1=221353&amp;VAR:RCODE=FEBIT&amp;VAR:SDATE=20051299&amp;VAR:FREQ=Y&amp;VAR:RELITEM=RF&amp;VAR:CURRENCY=&amp;VAR:CURRSOURCE=EXSHARE&amp;VA","R:NATFREQ=ANNUAL&amp;VAR:RFIELD=FINALIZED&amp;VAR:DB_TYPE=&amp;VAR:UNITS=M&amp;window=popup&amp;width=450&amp;height=300&amp;START_MAXIMIZED=FALSE"}</definedName>
    <definedName name="_177ÿ_0Price_Microw">#REF!</definedName>
    <definedName name="_178__FDSAUDITLINK__" hidden="1">{"fdsup://IBCentral/FAT Viewer?action=UPDATE&amp;creator=factset&amp;DOC_NAME=fat:reuters_annual_source_window.fat&amp;display_string=Audit&amp;DYN_ARGS=TRUE&amp;VAR:ID1=775125&amp;VAR:RCODE=NIBX&amp;VAR:SDATE=20101299&amp;VAR:FREQ=Y&amp;VAR:RELITEM=RF&amp;VAR:CURRENCY=&amp;VAR:CURRSOURCE=EXSHARE&amp;VAR",":NATFREQ=ANNUAL&amp;VAR:RFIELD=FINALIZED&amp;VAR:DB_TYPE=&amp;VAR:UNITS=M&amp;window=popup&amp;width=450&amp;height=300&amp;START_MAXIMIZED=FALSE"}</definedName>
    <definedName name="_178ÿ_0Rev_In_Ca">#REF!</definedName>
    <definedName name="_179__FDSAUDITLINK__" hidden="1">{"fdsup://IBCentral/FAT Viewer?action=UPDATE&amp;creator=factset&amp;DOC_NAME=fat:reuters_annual_source_window.fat&amp;display_string=Audit&amp;DYN_ARGS=TRUE&amp;VAR:ID1=221353&amp;VAR:RCODE=NIBX&amp;VAR:SDATE=20051299&amp;VAR:FREQ=Y&amp;VAR:RELITEM=RF&amp;VAR:CURRENCY=&amp;VAR:CURRSOURCE=EXSHARE&amp;VAR",":NATFREQ=ANNUAL&amp;VAR:RFIELD=FINALIZED&amp;VAR:DB_TYPE=&amp;VAR:UNITS=M&amp;window=popup&amp;width=450&amp;height=300&amp;START_MAXIMIZED=FALSE"}</definedName>
    <definedName name="_179ÿ_0Tot_Fixed_Ass">#REF!</definedName>
    <definedName name="_17Excel_BuiltIn_Print_Area_3_1_1_1_1_1_1_1_1_1_1_1_1">(#REF!,#REF!,#REF!)</definedName>
    <definedName name="_17Excel_BuiltIn_Print_Titles_1_1_2_1">#REF!</definedName>
    <definedName name="_17PE_REV">#REF!</definedName>
    <definedName name="_18__123Graph_ECHART_3" hidden="1">#REF!</definedName>
    <definedName name="_18__A_0PE___OUTLOOK_TO_2">#REF!</definedName>
    <definedName name="_18__Excel_BuiltIn__FilterDatabase_1">#REF!</definedName>
    <definedName name="_18__FDSAUDITLINK__" hidden="1">{"fdsup://IBCentral/FAT Viewer?action=UPDATE&amp;creator=factset&amp;DOC_NAME=fat:reuters_qtrly_source_window.fat&amp;display_string=Audit&amp;DYN_ARGS=TRUE&amp;VAR:ID1=45874310&amp;VAR:RCODE=SCEX&amp;VAR:SDATE=20101299&amp;VAR:FREQ=Quarterly&amp;VAR:RELITEM=RP&amp;VAR:CURRENCY=&amp;VAR:CURRSOURCE=EX","SHARE&amp;VAR:NATFREQ=QUARTERLY&amp;VAR:RFIELD=FINALIZED&amp;VAR:DB_TYPE=&amp;VAR:UNITS=M&amp;window=popup&amp;width=450&amp;height=300&amp;START_MAXIMIZED=FALSE"}</definedName>
    <definedName name="_18_0CF_minor">#REF!</definedName>
    <definedName name="_18_0INDUSTRY_MATERIAL_BALA">#REF!</definedName>
    <definedName name="_18_0INDUSTRY_MATERIAL_BALANCE___PROJECTI">#REF!</definedName>
    <definedName name="_18_0PROFITABILITY__Q3_1996__">#REF!</definedName>
    <definedName name="_18…__PRICE_FORECAST___1995">#REF!</definedName>
    <definedName name="_180__FDSAUDITLINK__" hidden="1">{"fdsup://IBCentral/FAT Viewer?action=UPDATE&amp;creator=factset&amp;DOC_NAME=fat:reuters_annual_source_window.fat&amp;display_string=Audit&amp;DYN_ARGS=TRUE&amp;VAR:ID1=221353&amp;VAR:RCODE=FDSINVINCTOT&amp;VAR:SDATE=20051299&amp;VAR:FREQ=Y&amp;VAR:RELITEM=RF&amp;VAR:CURRENCY=&amp;VAR:CURRSOURCE=EXS","HARE&amp;VAR:NATFREQ=ANNUAL&amp;VAR:RFIELD=FINALIZED&amp;VAR:DB_TYPE=&amp;VAR:UNITS=M&amp;window=popup&amp;width=450&amp;height=300&amp;START_MAXIMIZED=FALSE"}</definedName>
    <definedName name="_181__FDSAUDITLINK__" hidden="1">{"fdsup://IBCentral/FAT Viewer?action=UPDATE&amp;creator=factset&amp;DOC_NAME=fat:reuters_annual_source_window.fat&amp;display_string=Audit&amp;DYN_ARGS=TRUE&amp;VAR:ID1=221353&amp;VAR:RCODE=FSALE&amp;VAR:SDATE=20051299&amp;VAR:FREQ=Y&amp;VAR:RELITEM=RF&amp;VAR:CURRENCY=&amp;VAR:CURRSOURCE=EXSHARE&amp;VA","R:NATFREQ=ANNUAL&amp;VAR:RFIELD=FINALIZED&amp;VAR:DB_TYPE=&amp;VAR:UNITS=M&amp;window=popup&amp;width=450&amp;height=300&amp;START_MAXIMIZED=FALSE"}</definedName>
    <definedName name="_182__FDSAUDITLINK__" hidden="1">{"fdsup://IBCentral/FAT Viewer?action=UPDATE&amp;creator=factset&amp;DOC_NAME=fat:reuters_annual_source_window.fat&amp;display_string=Audit&amp;DYN_ARGS=TRUE&amp;VAR:ID1=221353&amp;VAR:RCODE=NINC&amp;VAR:SDATE=20051299&amp;VAR:FREQ=Y&amp;VAR:RELITEM=RF&amp;VAR:CURRENCY=&amp;VAR:CURRSOURCE=EXSHARE&amp;VAR",":NATFREQ=ANNUAL&amp;VAR:RFIELD=FINALIZED&amp;VAR:DB_TYPE=&amp;VAR:UNITS=M&amp;window=popup&amp;width=450&amp;height=300&amp;START_MAXIMIZED=FALSE"}</definedName>
    <definedName name="_183__FDSAUDITLINK__" hidden="1">{"fdsup://IBCentral/FAT Viewer?action=UPDATE&amp;creator=factset&amp;DOC_NAME=fat:reuters_annual_source_window.fat&amp;display_string=Audit&amp;DYN_ARGS=TRUE&amp;VAR:ID1=775125&amp;VAR:RCODE=SCEX&amp;VAR:SDATE=20101299&amp;VAR:FREQ=Y&amp;VAR:RELITEM=RF&amp;VAR:CURRENCY=&amp;VAR:CURRSOURCE=EXSHARE&amp;VAR",":NATFREQ=ANNUAL&amp;VAR:RFIELD=FINALIZED&amp;VAR:DB_TYPE=&amp;VAR:UNITS=M&amp;window=popup&amp;width=450&amp;height=300&amp;START_MAXIMIZED=FALSE"}</definedName>
    <definedName name="_184__FDSAUDITLINK__" hidden="1">{"fdsup://IBCentral/FAT Viewer?action=UPDATE&amp;creator=factset&amp;DOC_NAME=fat:reuters_annual_source_window.fat&amp;display_string=Audit&amp;DYN_ARGS=TRUE&amp;VAR:ID1=576162&amp;VAR:RCODE=NINC&amp;VAR:SDATE=20101299&amp;VAR:FREQ=Y&amp;VAR:RELITEM=RF&amp;VAR:CURRENCY=&amp;VAR:CURRSOURCE=EXSHARE&amp;VAR",":NATFREQ=ANNUAL&amp;VAR:RFIELD=FINALIZED&amp;VAR:DB_TYPE=&amp;VAR:UNITS=M&amp;window=popup&amp;width=450&amp;height=300&amp;START_MAXIMIZED=FALSE"}</definedName>
    <definedName name="_185__FDSAUDITLINK__" hidden="1">{"fdsup://IBCentral/FAT Viewer?action=UPDATE&amp;creator=factset&amp;DOC_NAME=fat:reuters_annual_source_window.fat&amp;display_string=Audit&amp;DYN_ARGS=TRUE&amp;VAR:ID1=221353&amp;VAR:RCODE=FEBITDA&amp;VAR:SDATE=20051299&amp;VAR:FREQ=Y&amp;VAR:RELITEM=RF&amp;VAR:CURRENCY=&amp;VAR:CURRSOURCE=EXSHARE&amp;","VAR:NATFREQ=ANNUAL&amp;VAR:RFIELD=FINALIZED&amp;VAR:DB_TYPE=&amp;VAR:UNITS=M&amp;window=popup&amp;width=450&amp;height=300&amp;START_MAXIMIZED=FALSE"}</definedName>
    <definedName name="_186__FDSAUDITLINK__" hidden="1">{"fdsup://IBCentral/FAT Viewer?action=UPDATE&amp;creator=factset&amp;DOC_NAME=fat:reuters_qtrly_source_window.fat&amp;display_string=Audit&amp;DYN_ARGS=TRUE&amp;VAR:ID1=775125&amp;VAR:RCODE=SCSI&amp;VAR:SDATE=20110399&amp;VAR:FREQ=Quarterly&amp;VAR:RELITEM=RP&amp;VAR:CURRENCY=&amp;VAR:CURRSOURCE=EXSH","ARE&amp;VAR:NATFREQ=QUARTERLY&amp;VAR:RFIELD=FINALIZED&amp;VAR:DB_TYPE=&amp;VAR:UNITS=M&amp;window=popup&amp;width=450&amp;height=300&amp;START_MAXIMIZED=FALSE"}</definedName>
    <definedName name="_187__FDSAUDITLINK__" hidden="1">{"fdsup://IBCentral/FAT Viewer?action=UPDATE&amp;creator=factset&amp;DOC_NAME=fat:reuters_annual_source_window.fat&amp;display_string=Audit&amp;DYN_ARGS=TRUE&amp;VAR:ID1=221353&amp;VAR:RCODE=SCEX&amp;VAR:SDATE=20051299&amp;VAR:FREQ=Y&amp;VAR:RELITEM=RF&amp;VAR:CURRENCY=&amp;VAR:CURRSOURCE=EXSHARE&amp;VAR",":NATFREQ=ANNUAL&amp;VAR:RFIELD=FINALIZED&amp;VAR:DB_TYPE=&amp;VAR:UNITS=M&amp;window=popup&amp;width=450&amp;height=300&amp;START_MAXIMIZED=FALSE"}</definedName>
    <definedName name="_188__FDSAUDITLINK__" hidden="1">{"fdsup://IBCentral/FAT Viewer?action=UPDATE&amp;creator=factset&amp;DOC_NAME=fat:reuters_annual_source_window.fat&amp;display_string=Audit&amp;DYN_ARGS=TRUE&amp;VAR:ID1=775125&amp;VAR:RCODE=NINC&amp;VAR:SDATE=20101299&amp;VAR:FREQ=Y&amp;VAR:RELITEM=RF&amp;VAR:CURRENCY=&amp;VAR:CURRSOURCE=EXSHARE&amp;VAR",":NATFREQ=ANNUAL&amp;VAR:RFIELD=FINALIZED&amp;VAR:DB_TYPE=&amp;VAR:UNITS=M&amp;window=popup&amp;width=450&amp;height=300&amp;START_MAXIMIZED=FALSE"}</definedName>
    <definedName name="_189__FDSAUDITLINK__" hidden="1">{"fdsup://IBCentral/FAT Viewer?action=UPDATE&amp;creator=factset&amp;DOC_NAME=fat:reuters_annual_source_window.fat&amp;display_string=Audit&amp;DYN_ARGS=TRUE&amp;VAR:ID1=576162&amp;VAR:RCODE=NIBX&amp;VAR:SDATE=20101299&amp;VAR:FREQ=Y&amp;VAR:RELITEM=RF&amp;VAR:CURRENCY=&amp;VAR:CURRSOURCE=EXSHARE&amp;VAR",":NATFREQ=ANNUAL&amp;VAR:RFIELD=FINALIZED&amp;VAR:DB_TYPE=&amp;VAR:UNITS=M&amp;window=popup&amp;width=450&amp;height=300&amp;START_MAXIMIZED=FALSE"}</definedName>
    <definedName name="_18Excel_BuiltIn_Print_Area_3_1_1_1_1_1_1_1_1_1_1_1_1_1">#REF!</definedName>
    <definedName name="_18RE">#REF!</definedName>
    <definedName name="_19">#REF!</definedName>
    <definedName name="_19__123Graph_ECHART_4" hidden="1">#REF!</definedName>
    <definedName name="_19__Excel_BuiltIn__FilterDatabase_1_1">#REF!</definedName>
    <definedName name="_19__FDSAUDITLINK__" hidden="1">{"fdsup://IBCentral/FAT Viewer?action=UPDATE&amp;creator=factset&amp;DOC_NAME=fat:reuters_ytd_source_window.fat&amp;display_string=Audit&amp;DYN_ARGS=TRUE&amp;VAR:ID1=25674310&amp;VAR:RCODE=FDSINTEXPTOTAL&amp;VAR:SDATE=20100399&amp;VAR:FREQ=Quarterly&amp;VAR:RELITEM=RP&amp;VAR:CURRENCY=&amp;VAR:CURRS","OURCE=EXSHARE&amp;VAR:NATFREQ=Quarterly&amp;VAR:RFIELD=FINALIZED&amp;VAR:DB_TYPE=&amp;VAR:UNITS=M&amp;window=popup&amp;width=450&amp;height=300&amp;START_MAXIMIZED=FALSE"}</definedName>
    <definedName name="_19__g_0TARIFF_ARBITRAGE_ANALYSIS_1996__">#REF!</definedName>
    <definedName name="_19_0__PE___Q1_REV">#REF!</definedName>
    <definedName name="_19_0_0PE___Q1_REV">#REF!</definedName>
    <definedName name="_19_0IS_convpref">#REF!</definedName>
    <definedName name="_190__FDSAUDITLINK__" hidden="1">{"fdsup://IBCentral/FAT Viewer?action=UPDATE&amp;creator=factset&amp;DOC_NAME=fat:reuters_annual_source_window.fat&amp;display_string=Audit&amp;DYN_ARGS=TRUE&amp;VAR:ID1=221353&amp;VAR:RCODE=NIBX&amp;VAR:SDATE=20061299&amp;VAR:FREQ=Y&amp;VAR:RELITEM=RF&amp;VAR:CURRENCY=&amp;VAR:CURRSOURCE=EXSHARE&amp;VAR",":NATFREQ=ANNUAL&amp;VAR:RFIELD=FINALIZED&amp;VAR:DB_TYPE=&amp;VAR:UNITS=M&amp;window=popup&amp;width=450&amp;height=300&amp;START_MAXIMIZED=FALSE"}</definedName>
    <definedName name="_191__FDSAUDITLINK__" hidden="1">{"fdsup://IBCentral/FAT Viewer?action=UPDATE&amp;creator=factset&amp;DOC_NAME=fat:reuters_annual_source_window.fat&amp;display_string=Audit&amp;DYN_ARGS=TRUE&amp;VAR:ID1=221353&amp;VAR:RCODE=STXI&amp;VAR:SDATE=20061299&amp;VAR:FREQ=Y&amp;VAR:RELITEM=RF&amp;VAR:CURRENCY=&amp;VAR:CURRSOURCE=EXSHARE&amp;VAR",":NATFREQ=ANNUAL&amp;VAR:RFIELD=FINALIZED&amp;VAR:DB_TYPE=&amp;VAR:UNITS=M&amp;window=popup&amp;width=450&amp;height=300&amp;START_MAXIMIZED=FALSE"}</definedName>
    <definedName name="_192__FDSAUDITLINK__" hidden="1">{"fdsup://IBCentral/FAT Viewer?action=UPDATE&amp;creator=factset&amp;DOC_NAME=fat:reuters_annual_source_window.fat&amp;display_string=Audit&amp;DYN_ARGS=TRUE&amp;VAR:ID1=775125&amp;VAR:RCODE=FDSPFDSTKTOTAL&amp;VAR:SDATE=20101299&amp;VAR:FREQ=Y&amp;VAR:RELITEM=RP&amp;VAR:CURRENCY=&amp;VAR:CURRSOURCE=E","XSHARE&amp;VAR:NATFREQ=ANNUAL&amp;VAR:RFIELD=FINALIZED&amp;VAR:DB_TYPE=&amp;VAR:UNITS=M&amp;window=popup&amp;width=450&amp;height=300&amp;START_MAXIMIZED=FALSE"}</definedName>
    <definedName name="_193__FDSAUDITLINK__" hidden="1">{"fdsup://directions/FAT Viewer?action=UPDATE&amp;creator=factset&amp;DYN_ARGS=TRUE&amp;DOC_NAME=FAT:FQL_AUDITING_CLIENT_TEMPLATE.FAT&amp;display_string=Audit&amp;VAR:KEY=XSXALEFCXQ&amp;VAR:QUERY=UkdGX0lOVEFORyhBTk4sNDA2MzMsLCwsLCxOT0FVRElUKQ==&amp;WINDOW=FIRST_POPUP&amp;HEIGHT=450&amp;WIDTH=","450&amp;START_MAXIMIZED=FALSE&amp;VAR:CALENDAR=FIVEDAY&amp;VAR:SYMBOL=775125&amp;VAR:INDEX=0"}</definedName>
    <definedName name="_194__FDSAUDITLINK__" hidden="1">{"fdsup://IBCentral/FAT Viewer?action=UPDATE&amp;creator=factset&amp;DOC_NAME=fat:reuters_annual_source_window.fat&amp;display_string=Audit&amp;DYN_ARGS=TRUE&amp;VAR:ID1=576162&amp;VAR:RCODE=FEBIT&amp;VAR:SDATE=20101299&amp;VAR:FREQ=Y&amp;VAR:RELITEM=RF&amp;VAR:CURRENCY=&amp;VAR:CURRSOURCE=EXSHARE&amp;VA","R:NATFREQ=ANNUAL&amp;VAR:RFIELD=FINALIZED&amp;VAR:DB_TYPE=&amp;VAR:UNITS=M&amp;window=popup&amp;width=450&amp;height=300&amp;START_MAXIMIZED=FALSE"}</definedName>
    <definedName name="_195__FDSAUDITLINK__" hidden="1">{"fdsup://IBCentral/FAT Viewer?action=UPDATE&amp;creator=factset&amp;DOC_NAME=fat:reuters_annual_source_window.fat&amp;display_string=Audit&amp;DYN_ARGS=TRUE&amp;VAR:ID1=576162&amp;VAR:RCODE=FEBITDA&amp;VAR:SDATE=20101299&amp;VAR:FREQ=Y&amp;VAR:RELITEM=RF&amp;VAR:CURRENCY=&amp;VAR:CURRSOURCE=EXSHARE&amp;","VAR:NATFREQ=ANNUAL&amp;VAR:RFIELD=FINALIZED&amp;VAR:DB_TYPE=&amp;VAR:UNITS=M&amp;window=popup&amp;width=450&amp;height=300&amp;START_MAXIMIZED=FALSE"}</definedName>
    <definedName name="_196__FDSAUDITLINK__" hidden="1">{"fdsup://directions/FAT Viewer?action=UPDATE&amp;creator=factset&amp;DYN_ARGS=TRUE&amp;DOC_NAME=FAT:FQL_AUDITING_CLIENT_TEMPLATE.FAT&amp;display_string=Audit&amp;VAR:KEY=FMDERCROJS&amp;VAR:QUERY=UkdGX0lOVEFORyhBTk4sNDA2MzMsLCwsLCxOT0FVRElUKQ==&amp;WINDOW=FIRST_POPUP&amp;HEIGHT=450&amp;WIDTH=","450&amp;START_MAXIMIZED=FALSE&amp;VAR:CALENDAR=FIVEDAY&amp;VAR:SYMBOL=576162&amp;VAR:INDEX=0"}</definedName>
    <definedName name="_197__FDSAUDITLINK__" hidden="1">{"fdsup://IBCentral/FAT Viewer?action=UPDATE&amp;creator=factset&amp;DOC_NAME=fat:reuters_annual_source_window.fat&amp;display_string=Audit&amp;DYN_ARGS=TRUE&amp;VAR:ID1=221353&amp;VAR:RCODE=FEBIT&amp;VAR:SDATE=20061299&amp;VAR:FREQ=Y&amp;VAR:RELITEM=RF&amp;VAR:CURRENCY=&amp;VAR:CURRSOURCE=EXSHARE&amp;VA","R:NATFREQ=ANNUAL&amp;VAR:RFIELD=FINALIZED&amp;VAR:DB_TYPE=&amp;VAR:UNITS=M&amp;window=popup&amp;width=450&amp;height=300&amp;START_MAXIMIZED=FALSE"}</definedName>
    <definedName name="_198__FDSAUDITLINK__" hidden="1">{"fdsup://IBCentral/FAT Viewer?action=UPDATE&amp;creator=factset&amp;DOC_NAME=fat:reuters_annual_source_window.fat&amp;display_string=Audit&amp;DYN_ARGS=TRUE&amp;VAR:ID1=576162&amp;VAR:RCODE=FDSPFDSTKTOTAL&amp;VAR:SDATE=20101299&amp;VAR:FREQ=Y&amp;VAR:RELITEM=RP&amp;VAR:CURRENCY=&amp;VAR:CURRSOURCE=E","XSHARE&amp;VAR:NATFREQ=ANNUAL&amp;VAR:RFIELD=FINALIZED&amp;VAR:DB_TYPE=&amp;VAR:UNITS=M&amp;window=popup&amp;width=450&amp;height=300&amp;START_MAXIMIZED=FALSE"}</definedName>
    <definedName name="_199__FDSAUDITLINK__" hidden="1">{"fdsup://IBCentral/FAT Viewer?action=UPDATE&amp;creator=factset&amp;DOC_NAME=fat:reuters_annual_source_window.fat&amp;display_string=Audit&amp;DYN_ARGS=TRUE&amp;VAR:ID1=576162&amp;VAR:RCODE=FSALE&amp;VAR:SDATE=20101299&amp;VAR:FREQ=Y&amp;VAR:RELITEM=RF&amp;VAR:CURRENCY=&amp;VAR:CURRSOURCE=EXSHARE&amp;VA","R:NATFREQ=ANNUAL&amp;VAR:RFIELD=FINALIZED&amp;VAR:DB_TYPE=&amp;VAR:UNITS=M&amp;window=popup&amp;width=450&amp;height=300&amp;START_MAXIMIZED=FALSE"}</definedName>
    <definedName name="_19Excel_BuiltIn_Print_Titles_2_1">#REF!</definedName>
    <definedName name="_19r__PROFITABILITY_APR_DEC__1996__">#REF!</definedName>
    <definedName name="_1CHAMP_1">#REF!</definedName>
    <definedName name="_1Excel_BuiltIn__FilterDatabase_1">#REF!</definedName>
    <definedName name="_1Excel_BuiltIn__FilterDatabase_6_1_1_1_1">#REF!</definedName>
    <definedName name="_1Excel_BuiltIn__FilterDatabase_7_1">#REF!</definedName>
    <definedName name="_1Excel_BuiltIn__FilterDatabase_7_1_6">#REF!</definedName>
    <definedName name="_1Excel_BuiltIn_Print_Area_1_1_1_1_1_1_1_1_1_1_1_1_1_1_1_1_1_1_1_1_1_1_1_1_1_1">"#REF!"</definedName>
    <definedName name="_1Excel_BuiltIn_Print_Area_3_1_1">#REF!</definedName>
    <definedName name="_1Excel_BuiltIn_Print_Area_3_1_1_1">#REF!</definedName>
    <definedName name="_1Excel_BuiltIn_Print_Area_3_1_1_1_1">#REF!</definedName>
    <definedName name="_1Excel_BuiltIn_Print_Area_3_1_1_1_1_1">#REF!</definedName>
    <definedName name="_1Excel_BuiltIn_Print_Area_3_1_1_1_1_1_1">#REF!</definedName>
    <definedName name="_1Excel_BuiltIn_Print_Area_3_1_1_1_1_1_1_1_1_1">#REF!</definedName>
    <definedName name="_1Excel_BuiltIn_Print_Area_3_1_1_1_1_1_1_1_1_1_1">#REF!</definedName>
    <definedName name="_1Excel_BuiltIn_Print_Area_3_1_1_1_1_1_1_1_1_1_1_1_1_1_1">#REF!</definedName>
    <definedName name="_1Excel_BuiltIn_Print_Area_3_1_1_1_1_1_1_1_1_1_1_1_1_1_1_1_1">#REF!</definedName>
    <definedName name="_1Excel_BuiltIn_Print_Area_3_1_1_1_1_1_1_1_1_1_1_1_1_1_1_1_1_1">#REF!</definedName>
    <definedName name="_1Excel_BuiltIn_Print_Area_3_1_1_1_1_1_1_1_1_1_1_1_1_1_1_1_1_1_1_1_1_1_1_1">#REF!</definedName>
    <definedName name="_1Excel_BuiltIn_Print_Area_3_1_1_1_1_1_1_1_1_1_1_1_1_1_1_1_1_1_1_1_1_1_1_1_1">#REF!</definedName>
    <definedName name="_1Excel_BuiltIn_Print_Area_3_1_1_1_1_1_1_1_1_1_1_1_1_1_1_1_1_1_1_1_1_1_1_1_1_1_1_1">#REF!</definedName>
    <definedName name="_1Excel_BuiltIn_Print_Area_3_1_1_1_1_1_1_1_1_1_1_1_1_1_1_1_1_1_1_1_1_1_1_1_1_1_1_1_1">#REF!</definedName>
    <definedName name="_1Excel_BuiltIn_Print_Area_3_1_1_1_1_1_1_1_1_1_1_1_1_1_1_1_1_1_1_1_1_1_1_1_1_1_1_1_1_1">#REF!</definedName>
    <definedName name="_1Excel_BuiltIn_Print_Area_3_1_1_1_1_1_1_1_1_1_1_1_1_1_1_1_1_1_1_1_1_1_1_1_1_1_1_1_1_1_1_1_1_1_1_1_1_1_1_1_1_1">#REF!</definedName>
    <definedName name="_1Excel_BuiltIn_Print_Titles_4_1">#N/A</definedName>
    <definedName name="_1P">#REF!</definedName>
    <definedName name="_1Q3___SUMM">#REF!</definedName>
    <definedName name="_1QUARTERWISE_PERFORMA">#REF!</definedName>
    <definedName name="_1S" hidden="1">#REF!</definedName>
    <definedName name="_2">#REF!</definedName>
    <definedName name="_2___0Q3___SUMM">#REF!</definedName>
    <definedName name="_2___6_239">#REF!</definedName>
    <definedName name="_2___Excel_BuiltIn_Print_Titles_5_1">(#REF!,#REF!)</definedName>
    <definedName name="_2__123Graph_ACHART_3" hidden="1">#REF!</definedName>
    <definedName name="_2__239_11">#REF!</definedName>
    <definedName name="_2__FDSAUDITLINK__" hidden="1">{"fdsup://IBCentral/FAT Viewer?action=UPDATE&amp;creator=factset&amp;DOC_NAME=fat:reuters_annual_source_window.fat&amp;display_string=Audit&amp;DYN_ARGS=TRUE&amp;VAR:ID1=45091110&amp;VAR:RCODE=DSTT&amp;VAR:SDATE=20091299&amp;VAR:FREQ=Y&amp;VAR:RELITEM=RP&amp;VAR:CURRENCY=&amp;VAR:CURRSOURCE=EXSHARE&amp;V","AR:NATFREQ=ANNUAL&amp;VAR:RFIELD=FINALIZED&amp;VAR:DB_TYPE=&amp;VAR:UNITS=M&amp;window=popup&amp;width=450&amp;height=300&amp;START_MAXIMIZED=FALSE"}</definedName>
    <definedName name="_2_0Critér">#REF!</definedName>
    <definedName name="_2_0Q3___SUMM">#REF!</definedName>
    <definedName name="_2_0QUARTERWISE_PERFORMA">#REF!</definedName>
    <definedName name="_2_6_239">#REF!</definedName>
    <definedName name="_2_I_1">NA()</definedName>
    <definedName name="_20__123Graph_ECHART_5" hidden="1">#REF!</definedName>
    <definedName name="_20__Excel_BuiltIn__FilterDatabase_1_2">#REF!</definedName>
    <definedName name="_20__FDSAUDITLINK__" hidden="1">{"fdsup://IBCentral/FAT Viewer?action=UPDATE&amp;creator=factset&amp;DOC_NAME=fat:reuters_ytd_source_window.fat&amp;display_string=Audit&amp;DYN_ARGS=TRUE&amp;VAR:ID1=B08K3S&amp;VAR:RCODE=FIBCEBIT&amp;VAR:SDATE=20091299&amp;VAR:FREQ=Quarterly&amp;VAR:RELITEM=RP&amp;VAR:CURRENCY=&amp;VAR:CURRSOURCE=EX","SHARE&amp;VAR:NATFREQ=Quarterly&amp;VAR:RFIELD=FINALIZED&amp;VAR:DB_TYPE=&amp;VAR:UNITS=M&amp;window=popup&amp;width=450&amp;height=300&amp;START_MAXIMIZED=FALSE"}</definedName>
    <definedName name="_20__ø_0PE_CUSTOMER_SPR">#REF!</definedName>
    <definedName name="_20_0INDUSTRY_MATERIAL_BALA">#REF!</definedName>
    <definedName name="_20_0IS_intconv">#REF!</definedName>
    <definedName name="_20_0PE_REV">#REF!</definedName>
    <definedName name="_200__FDSAUDITLINK__" hidden="1">{"fdsup://IBCentral/FAT Viewer?action=UPDATE&amp;creator=factset&amp;DOC_NAME=fat:reuters_annual_source_window.fat&amp;display_string=Audit&amp;DYN_ARGS=TRUE&amp;VAR:ID1=576162&amp;VAR:RCODE=LPBL&amp;VAR:SDATE=20101299&amp;VAR:FREQ=Y&amp;VAR:RELITEM=RP&amp;VAR:CURRENCY=&amp;VAR:CURRSOURCE=EXSHARE&amp;VAR",":NATFREQ=ANNUAL&amp;VAR:RFIELD=FINALIZED&amp;VAR:DB_TYPE=&amp;VAR:UNITS=M&amp;window=popup&amp;width=450&amp;height=300&amp;START_MAXIMIZED=FALSE"}</definedName>
    <definedName name="_201__FDSAUDITLINK__" hidden="1">{"fdsup://IBCentral/FAT Viewer?action=UPDATE&amp;creator=factset&amp;DOC_NAME=fat:reuters_qtrly_source_window.fat&amp;display_string=Audit&amp;DYN_ARGS=TRUE&amp;VAR:ID1=576162&amp;VAR:RCODE=SCSI&amp;VAR:SDATE=20110399&amp;VAR:FREQ=Quarterly&amp;VAR:RELITEM=RP&amp;VAR:CURRENCY=&amp;VAR:CURRSOURCE=EXSH","ARE&amp;VAR:NATFREQ=QUARTERLY&amp;VAR:RFIELD=FINALIZED&amp;VAR:DB_TYPE=&amp;VAR:UNITS=M&amp;window=popup&amp;width=450&amp;height=300&amp;START_MAXIMIZED=FALSE"}</definedName>
    <definedName name="_202__FDSAUDITLINK__" hidden="1">{"fdsup://IBCentral/FAT Viewer?action=UPDATE&amp;creator=factset&amp;DOC_NAME=fat:reuters_annual_source_window.fat&amp;display_string=Audit&amp;DYN_ARGS=TRUE&amp;VAR:ID1=576162&amp;VAR:RCODE=SCEX&amp;VAR:SDATE=20101299&amp;VAR:FREQ=Y&amp;VAR:RELITEM=RF&amp;VAR:CURRENCY=&amp;VAR:CURRSOURCE=EXSHARE&amp;VAR",":NATFREQ=ANNUAL&amp;VAR:RFIELD=FINALIZED&amp;VAR:DB_TYPE=&amp;VAR:UNITS=M&amp;window=popup&amp;width=450&amp;height=300&amp;START_MAXIMIZED=FALSE"}</definedName>
    <definedName name="_203__FDSAUDITLINK__" hidden="1">{"fdsup://IBCentral/FAT Viewer?action=UPDATE&amp;creator=factset&amp;DOC_NAME=fat:reuters_qtrly_source_window.fat&amp;display_string=Audit&amp;DYN_ARGS=TRUE&amp;VAR:ID1=775125&amp;VAR:RCODE=LLTD&amp;VAR:SDATE=20110399&amp;VAR:FREQ=Quarterly&amp;VAR:RELITEM=RP&amp;VAR:CURRENCY=&amp;VAR:CURRSOURCE=EXSH","ARE&amp;VAR:NATFREQ=QUARTERLY&amp;VAR:RFIELD=FINALIZED&amp;VAR:DB_TYPE=&amp;VAR:UNITS=M&amp;window=popup&amp;width=450&amp;height=300&amp;START_MAXIMIZED=FALSE"}</definedName>
    <definedName name="_204__FDSAUDITLINK__" hidden="1">{"fdsup://IBCentral/FAT Viewer?action=UPDATE&amp;creator=factset&amp;DOC_NAME=fat:reuters_qtrly_source_window.fat&amp;display_string=Audit&amp;DYN_ARGS=TRUE&amp;VAR:ID1=775125&amp;VAR:RCODE=DSTT&amp;VAR:SDATE=20110399&amp;VAR:FREQ=Quarterly&amp;VAR:RELITEM=RP&amp;VAR:CURRENCY=&amp;VAR:CURRSOURCE=EXSH","ARE&amp;VAR:NATFREQ=QUARTERLY&amp;VAR:RFIELD=FINALIZED&amp;VAR:DB_TYPE=&amp;VAR:UNITS=M&amp;window=popup&amp;width=450&amp;height=300&amp;START_MAXIMIZED=FALSE"}</definedName>
    <definedName name="_205__FDSAUDITLINK__" hidden="1">{"fdsup://IBCentral/FAT Viewer?action=UPDATE&amp;creator=factset&amp;DOC_NAME=fat:reuters_annual_source_window.fat&amp;display_string=Audit&amp;DYN_ARGS=TRUE&amp;VAR:ID1=221353&amp;VAR:RCODE=FSALE&amp;VAR:SDATE=20061299&amp;VAR:FREQ=Y&amp;VAR:RELITEM=RF&amp;VAR:CURRENCY=&amp;VAR:CURRSOURCE=EXSHARE&amp;VA","R:NATFREQ=ANNUAL&amp;VAR:RFIELD=FINALIZED&amp;VAR:DB_TYPE=&amp;VAR:UNITS=M&amp;window=popup&amp;width=450&amp;height=300&amp;START_MAXIMIZED=FALSE"}</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7__FDSAUDITLINK__" hidden="1">{"fdsup://IBCentral/FAT Viewer?action=UPDATE&amp;creator=factset&amp;DOC_NAME=fat:reuters_qtrly_source_window.fat&amp;display_string=Audit&amp;DYN_ARGS=TRUE&amp;VAR:ID1=576162&amp;VAR:RCODE=DSTT&amp;VAR:SDATE=20110399&amp;VAR:FREQ=Quarterly&amp;VAR:RELITEM=RP&amp;VAR:CURRENCY=&amp;VAR:CURRSOURCE=EXSH","ARE&amp;VAR:NATFREQ=QUARTERLY&amp;VAR:RFIELD=FINALIZED&amp;VAR:DB_TYPE=&amp;VAR:UNITS=M&amp;window=popup&amp;width=450&amp;height=300&amp;START_MAXIMIZED=FALSE"}</definedName>
    <definedName name="_208__FDSAUDITLINK__" hidden="1">{"fdsup://IBCentral/FAT Viewer?action=UPDATE&amp;creator=factset&amp;DOC_NAME=fat:reuters_qtrly_source_window.fat&amp;display_string=Audit&amp;DYN_ARGS=TRUE&amp;VAR:ID1=775125&amp;VAR:RCODE=LMIN&amp;VAR:SDATE=20110399&amp;VAR:FREQ=Quarterly&amp;VAR:RELITEM=RP&amp;VAR:CURRENCY=&amp;VAR:CURRSOURCE=EXSH","ARE&amp;VAR:NATFREQ=QUARTERLY&amp;VAR:RFIELD=FINALIZED&amp;VAR:DB_TYPE=&amp;VAR:UNITS=M&amp;window=popup&amp;width=450&amp;height=300&amp;START_MAXIMIZED=FALSE"}</definedName>
    <definedName name="_209__FDSAUDITLINK__" hidden="1">{"fdsup://IBCentral/FAT Viewer?action=UPDATE&amp;creator=factset&amp;DOC_NAME=fat:reuters_annual_source_window.fat&amp;display_string=Audit&amp;DYN_ARGS=TRUE&amp;VAR:ID1=221353&amp;VAR:RCODE=FEBITDA&amp;VAR:SDATE=20061299&amp;VAR:FREQ=Y&amp;VAR:RELITEM=RF&amp;VAR:CURRENCY=&amp;VAR:CURRSOURCE=EXSHARE&amp;","VAR:NATFREQ=ANNUAL&amp;VAR:RFIELD=FINALIZED&amp;VAR:DB_TYPE=&amp;VAR:UNITS=M&amp;window=popup&amp;width=450&amp;height=300&amp;START_MAXIMIZED=FALSE"}</definedName>
    <definedName name="_20Excel_BuiltIn_Print_Area_3_1_1_1_1_1_1_1_1_1_1_1_1_1_1_1_1_1_1_1_1_1">#REF!</definedName>
    <definedName name="_20INDUSTRY_MATERIAL_BALANCE___PROJECTI">#REF!</definedName>
    <definedName name="_20PROFITABILITY__Q3_1996__">#REF!</definedName>
    <definedName name="_20Š__QUARTERLY_PERFORMA">#REF!</definedName>
    <definedName name="_21__123Graph_FCHART_2" hidden="1">#REF!</definedName>
    <definedName name="_21__Excel_BuiltIn__FilterDatabase_10_1">#REF!</definedName>
    <definedName name="_21__FDSAUDITLINK__" hidden="1">{"fdsup://IBCentral/FAT Viewer?action=UPDATE&amp;creator=factset&amp;DOC_NAME=fat:reuters_ytd_source_window.fat&amp;display_string=Audit&amp;DYN_ARGS=TRUE&amp;VAR:ID1=05377410&amp;VAR:RCODE=FDSINTINCTOTAL&amp;VAR:SDATE=20100399&amp;VAR:FREQ=Quarterly&amp;VAR:RELITEM=RP&amp;VAR:CURRENCY=&amp;VAR:CURRS","OURCE=EXSHARE&amp;VAR:NATFREQ=Quarterly&amp;VAR:RFIELD=FINALIZED&amp;VAR:DB_TYPE=&amp;VAR:UNITS=M&amp;window=popup&amp;width=450&amp;height=300&amp;START_MAXIMIZED=FALSE"}</definedName>
    <definedName name="_21__r_0PROFITABILITY_APR_DEC__1996__">#REF!</definedName>
    <definedName name="_21_0__PE___Q1_REV">#REF!</definedName>
    <definedName name="_21_0IS_intexist">#REF!</definedName>
    <definedName name="_21_0RE">#REF!</definedName>
    <definedName name="_210__FDSAUDITLINK__" hidden="1">{"fdsup://IBCentral/FAT Viewer?action=UPDATE&amp;creator=factset&amp;DOC_NAME=fat:reuters_annual_source_window.fat&amp;display_string=Audit&amp;DYN_ARGS=TRUE&amp;VAR:ID1=576162&amp;VAR:RCODE=STXI&amp;VAR:SDATE=20101299&amp;VAR:FREQ=Y&amp;VAR:RELITEM=RF&amp;VAR:CURRENCY=&amp;VAR:CURRSOURCE=EXSHARE&amp;VAR",":NATFREQ=ANNUAL&amp;VAR:RFIELD=FINALIZED&amp;VAR:DB_TYPE=&amp;VAR:UNITS=M&amp;window=popup&amp;width=450&amp;height=300&amp;START_MAXIMIZED=FALSE"}</definedName>
    <definedName name="_211__FDSAUDITLINK__" hidden="1">{"fdsup://IBCentral/FAT Viewer?action=UPDATE&amp;creator=factset&amp;DOC_NAME=fat:reuters_annual_source_window.fat&amp;display_string=Audit&amp;DYN_ARGS=TRUE&amp;VAR:ID1=221353&amp;VAR:RCODE=FDSINVINCTOT&amp;VAR:SDATE=20061299&amp;VAR:FREQ=Y&amp;VAR:RELITEM=RF&amp;VAR:CURRENCY=&amp;VAR:CURRSOURCE=EXS","HARE&amp;VAR:NATFREQ=ANNUAL&amp;VAR:RFIELD=FINALIZED&amp;VAR:DB_TYPE=&amp;VAR:UNITS=M&amp;window=popup&amp;width=450&amp;height=300&amp;START_MAXIMIZED=FALSE"}</definedName>
    <definedName name="_212__FDSAUDITLINK__" hidden="1">{"fdsup://IBCentral/FAT Viewer?action=UPDATE&amp;creator=factset&amp;DOC_NAME=fat:reuters_qtrly_source_window.fat&amp;display_string=Audit&amp;DYN_ARGS=TRUE&amp;VAR:ID1=576162&amp;VAR:RCODE=LLTD&amp;VAR:SDATE=20110399&amp;VAR:FREQ=Quarterly&amp;VAR:RELITEM=RP&amp;VAR:CURRENCY=&amp;VAR:CURRSOURCE=EXSH","ARE&amp;VAR:NATFREQ=QUARTERLY&amp;VAR:RFIELD=FINALIZED&amp;VAR:DB_TYPE=&amp;VAR:UNITS=M&amp;window=popup&amp;width=450&amp;height=300&amp;START_MAXIMIZED=FALSE"}</definedName>
    <definedName name="_213__FDSAUDITLINK__" hidden="1">{"fdsup://IBCentral/FAT Viewer?action=UPDATE&amp;creator=factset&amp;DOC_NAME=fat:reuters_annual_source_window.fat&amp;display_string=Audit&amp;DYN_ARGS=TRUE&amp;VAR:ID1=221353&amp;VAR:RCODE=NINC&amp;VAR:SDATE=20061299&amp;VAR:FREQ=Y&amp;VAR:RELITEM=RF&amp;VAR:CURRENCY=&amp;VAR:CURRSOURCE=EXSHARE&amp;VAR",":NATFREQ=ANNUAL&amp;VAR:RFIELD=FINALIZED&amp;VAR:DB_TYPE=&amp;VAR:UNITS=M&amp;window=popup&amp;width=450&amp;height=300&amp;START_MAXIMIZED=FALSE"}</definedName>
    <definedName name="_214__FDSAUDITLINK__" hidden="1">{"fdsup://IBCentral/FAT Viewer?action=UPDATE&amp;creator=factset&amp;DOC_NAME=fat:reuters_annual_source_window.fat&amp;display_string=Audit&amp;DYN_ARGS=TRUE&amp;VAR:ID1=775125&amp;VAR:RCODE=LPBL&amp;VAR:SDATE=20101299&amp;VAR:FREQ=Y&amp;VAR:RELITEM=RP&amp;VAR:CURRENCY=&amp;VAR:CURRSOURCE=EXSHARE&amp;VAR",":NATFREQ=ANNUAL&amp;VAR:RFIELD=FINALIZED&amp;VAR:DB_TYPE=&amp;VAR:UNITS=M&amp;window=popup&amp;width=450&amp;height=300&amp;START_MAXIMIZED=FALSE"}</definedName>
    <definedName name="_215__FDSAUDITLINK__" hidden="1">{"fdsup://IBCentral/FAT Viewer?action=UPDATE&amp;creator=factset&amp;DOC_NAME=fat:reuters_qtrly_source_window.fat&amp;display_string=Audit&amp;DYN_ARGS=TRUE&amp;VAR:ID1=775125&amp;VAR:RCODE=AEQI&amp;VAR:SDATE=20110399&amp;VAR:FREQ=Quarterly&amp;VAR:RELITEM=RP&amp;VAR:CURRENCY=&amp;VAR:CURRSOURCE=EXSH","ARE&amp;VAR:NATFREQ=QUARTERLY&amp;VAR:RFIELD=FINALIZED&amp;VAR:DB_TYPE=&amp;VAR:UNITS=M&amp;window=popup&amp;width=450&amp;height=300&amp;START_MAXIMIZED=FALSE"}</definedName>
    <definedName name="_216__FDSAUDITLINK__" hidden="1">{"fdsup://IBCentral/FAT Viewer?action=UPDATE&amp;creator=factset&amp;DOC_NAME=fat:reuters_annual_source_window.fat&amp;display_string=Audit&amp;DYN_ARGS=TRUE&amp;VAR:ID1=221353&amp;VAR:RCODE=SCEX&amp;VAR:SDATE=20061299&amp;VAR:FREQ=Y&amp;VAR:RELITEM=RF&amp;VAR:CURRENCY=&amp;VAR:CURRSOURCE=EXSHARE&amp;VAR",":NATFREQ=ANNUAL&amp;VAR:RFIELD=FINALIZED&amp;VAR:DB_TYPE=&amp;VAR:UNITS=M&amp;window=popup&amp;width=450&amp;height=300&amp;START_MAXIMIZED=FALSE"}</definedName>
    <definedName name="_217__FDSAUDITLINK__" hidden="1">{"fdsup://IBCentral/FAT Viewer?action=UPDATE&amp;creator=factset&amp;DOC_NAME=fat:reuters_qtrly_source_window.fat&amp;display_string=Audit&amp;DYN_ARGS=TRUE&amp;VAR:ID1=576162&amp;VAR:RCODE=LMIN&amp;VAR:SDATE=20110399&amp;VAR:FREQ=Quarterly&amp;VAR:RELITEM=RP&amp;VAR:CURRENCY=&amp;VAR:CURRSOURCE=EXSH","ARE&amp;VAR:NATFREQ=QUARTERLY&amp;VAR:RFIELD=FINALIZED&amp;VAR:DB_TYPE=&amp;VAR:UNITS=M&amp;window=popup&amp;width=450&amp;height=300&amp;START_MAXIMIZED=FALSE"}</definedName>
    <definedName name="_218__FDSAUDITLINK__" hidden="1">{"fdsup://IBCentral/FAT Viewer?action=UPDATE&amp;creator=factset&amp;DOC_NAME=fat:reuters_annual_source_window.fat&amp;display_string=Audit&amp;DYN_ARGS=TRUE&amp;VAR:ID1=221353&amp;VAR:RCODE=SCEX&amp;VAR:SDATE=20071299&amp;VAR:FREQ=Y&amp;VAR:RELITEM=RF&amp;VAR:CURRENCY=&amp;VAR:CURRSOURCE=EXSHARE&amp;VAR",":NATFREQ=ANNUAL&amp;VAR:RFIELD=FINALIZED&amp;VAR:DB_TYPE=&amp;VAR:UNITS=M&amp;window=popup&amp;width=450&amp;height=300&amp;START_MAXIMIZED=FALSE"}</definedName>
    <definedName name="_219__FDSAUDITLINK__" hidden="1">{"fdsup://IBCentral/FAT Viewer?action=UPDATE&amp;creator=factset&amp;DOC_NAME=fat:reuters_annual_source_window.fat&amp;display_string=Audit&amp;DYN_ARGS=TRUE&amp;VAR:ID1=576162&amp;VAR:RCODE=AEQI&amp;VAR:SDATE=20101299&amp;VAR:FREQ=Y&amp;VAR:RELITEM=RP&amp;VAR:CURRENCY=&amp;VAR:CURRSOURCE=EXSHARE&amp;VAR",":NATFREQ=ANNUAL&amp;VAR:RFIELD=FINALIZED&amp;VAR:DB_TYPE=&amp;VAR:UNITS=M&amp;window=popup&amp;width=450&amp;height=300&amp;START_MAXIMIZED=FALSE"}</definedName>
    <definedName name="_21Excel_BuiltIn_Print_Titles_2_1_1">#REF!</definedName>
    <definedName name="_21W__QUARTERWISE_COMPARI">#REF!</definedName>
    <definedName name="_22___Excel_BuiltIn_Print_Titles_5_1">(#REF!,#REF!)</definedName>
    <definedName name="_22__123Graph_BCHART_111" hidden="1">#REF!</definedName>
    <definedName name="_22__123Graph_FCHART_3" hidden="1">#REF!</definedName>
    <definedName name="_22__Excel_BuiltIn__FilterDatabase_11_1">#REF!</definedName>
    <definedName name="_22__FDSAUDITLINK__" hidden="1">{"fdsup://IBCentral/FAT Viewer?action=UPDATE&amp;creator=factset&amp;DOC_NAME=fat:reuters_ytd_source_window.fat&amp;display_string=Audit&amp;DYN_ARGS=TRUE&amp;VAR:ID1=91136310&amp;VAR:RCODE=FDSREVSTOTAL&amp;VAR:SDATE=20100399&amp;VAR:FREQ=Quarterly&amp;VAR:RELITEM=RP&amp;VAR:CURRENCY=&amp;VAR:CURRSOU","RCE=EXSHARE&amp;VAR:NATFREQ=Quarterly&amp;VAR:RFIELD=FINALIZED&amp;VAR:DB_TYPE=&amp;VAR:UNITS=M&amp;window=popup&amp;width=450&amp;height=300&amp;START_MAXIMIZED=FALSE"}</definedName>
    <definedName name="_22__Š_0QUARTERLY_PERFORMA">#REF!</definedName>
    <definedName name="_22_0INDUSTRY_MATERIAL_BALANCE___PROJECTI">#REF!</definedName>
    <definedName name="_22_0IS_minor">#REF!</definedName>
    <definedName name="_22_0PE_REV">#REF!</definedName>
    <definedName name="_22_6_0PE_BUSINESS___PAST___FUT">#REF!</definedName>
    <definedName name="_22”_0PE_1996">#REF!</definedName>
    <definedName name="_220__FDSAUDITLINK__" hidden="1">{"fdsup://IBCentral/FAT Viewer?action=UPDATE&amp;creator=factset&amp;DOC_NAME=fat:reuters_annual_source_window.fat&amp;display_string=Audit&amp;DYN_ARGS=TRUE&amp;VAR:ID1=221353&amp;VAR:RCODE=NINC&amp;VAR:SDATE=20081299&amp;VAR:FREQ=Y&amp;VAR:RELITEM=RF&amp;VAR:CURRENCY=&amp;VAR:CURRSOURCE=EXSHARE&amp;VAR",":NATFREQ=ANNUAL&amp;VAR:RFIELD=FINALIZED&amp;VAR:DB_TYPE=&amp;VAR:UNITS=M&amp;window=popup&amp;width=450&amp;height=300&amp;START_MAXIMIZED=FALSE"}</definedName>
    <definedName name="_221__FDSAUDITLINK__" hidden="1">{"fdsup://IBCentral/FAT Viewer?action=UPDATE&amp;creator=factset&amp;DOC_NAME=fat:reuters_annual_source_window.fat&amp;display_string=Audit&amp;DYN_ARGS=TRUE&amp;VAR:ID1=221353&amp;VAR:RCODE=FSALE&amp;VAR:SDATE=20071299&amp;VAR:FREQ=Y&amp;VAR:RELITEM=RF&amp;VAR:CURRENCY=&amp;VAR:CURRSOURCE=EXSHARE&amp;VA","R:NATFREQ=ANNUAL&amp;VAR:RFIELD=FINALIZED&amp;VAR:DB_TYPE=&amp;VAR:UNITS=M&amp;window=popup&amp;width=450&amp;height=300&amp;START_MAXIMIZED=FALSE"}</definedName>
    <definedName name="_222__FDSAUDITLINK__" hidden="1">{"fdsup://IBCentral/FAT Viewer?action=UPDATE&amp;creator=factset&amp;DOC_NAME=fat:reuters_annual_source_window.fat&amp;display_string=Audit&amp;DYN_ARGS=TRUE&amp;VAR:ID1=221353&amp;VAR:RCODE=NINC&amp;VAR:SDATE=20071299&amp;VAR:FREQ=Y&amp;VAR:RELITEM=RF&amp;VAR:CURRENCY=&amp;VAR:CURRSOURCE=EXSHARE&amp;VAR",":NATFREQ=ANNUAL&amp;VAR:RFIELD=FINALIZED&amp;VAR:DB_TYPE=&amp;VAR:UNITS=M&amp;window=popup&amp;width=450&amp;height=300&amp;START_MAXIMIZED=FALSE"}</definedName>
    <definedName name="_223__FDSAUDITLINK__" hidden="1">{"fdsup://IBCentral/FAT Viewer?action=UPDATE&amp;creator=factset&amp;DOC_NAME=fat:reuters_annual_source_window.fat&amp;display_string=Audit&amp;DYN_ARGS=TRUE&amp;VAR:ID1=221353&amp;VAR:RCODE=FEBITDA&amp;VAR:SDATE=20081299&amp;VAR:FREQ=Y&amp;VAR:RELITEM=RF&amp;VAR:CURRENCY=&amp;VAR:CURRSOURCE=EXSHARE&amp;","VAR:NATFREQ=ANNUAL&amp;VAR:RFIELD=FINALIZED&amp;VAR:DB_TYPE=&amp;VAR:UNITS=M&amp;window=popup&amp;width=450&amp;height=300&amp;START_MAXIMIZED=FALSE"}</definedName>
    <definedName name="_224__FDSAUDITLINK__" hidden="1">{"fdsup://IBCentral/FAT Viewer?action=UPDATE&amp;creator=factset&amp;DOC_NAME=fat:reuters_annual_source_window.fat&amp;display_string=Audit&amp;DYN_ARGS=TRUE&amp;VAR:ID1=221353&amp;VAR:RCODE=NIBX&amp;VAR:SDATE=20071299&amp;VAR:FREQ=Y&amp;VAR:RELITEM=RF&amp;VAR:CURRENCY=&amp;VAR:CURRSOURCE=EXSHARE&amp;VAR",":NATFREQ=ANNUAL&amp;VAR:RFIELD=FINALIZED&amp;VAR:DB_TYPE=&amp;VAR:UNITS=M&amp;window=popup&amp;width=450&amp;height=300&amp;START_MAXIMIZED=FALSE"}</definedName>
    <definedName name="_225__FDSAUDITLINK__" hidden="1">{"fdsup://IBCentral/FAT Viewer?action=UPDATE&amp;creator=factset&amp;DOC_NAME=fat:reuters_annual_source_window.fat&amp;display_string=Audit&amp;DYN_ARGS=TRUE&amp;VAR:ID1=221353&amp;VAR:RCODE=FDSINVINCTOT&amp;VAR:SDATE=20071299&amp;VAR:FREQ=Y&amp;VAR:RELITEM=RF&amp;VAR:CURRENCY=&amp;VAR:CURRSOURCE=EXS","HARE&amp;VAR:NATFREQ=ANNUAL&amp;VAR:RFIELD=FINALIZED&amp;VAR:DB_TYPE=&amp;VAR:UNITS=M&amp;window=popup&amp;width=450&amp;height=300&amp;START_MAXIMIZED=FALSE"}</definedName>
    <definedName name="_226__FDSAUDITLINK__" hidden="1">{"fdsup://IBCentral/FAT Viewer?action=UPDATE&amp;creator=factset&amp;DOC_NAME=fat:reuters_annual_source_window.fat&amp;display_string=Audit&amp;DYN_ARGS=TRUE&amp;VAR:ID1=221353&amp;VAR:RCODE=SCEX&amp;VAR:SDATE=20081299&amp;VAR:FREQ=Y&amp;VAR:RELITEM=RF&amp;VAR:CURRENCY=&amp;VAR:CURRSOURCE=EXSHARE&amp;VAR",":NATFREQ=ANNUAL&amp;VAR:RFIELD=FINALIZED&amp;VAR:DB_TYPE=&amp;VAR:UNITS=M&amp;window=popup&amp;width=450&amp;height=300&amp;START_MAXIMIZED=FALSE"}</definedName>
    <definedName name="_227__FDSAUDITLINK__" hidden="1">{"fdsup://IBCentral/FAT Viewer?action=UPDATE&amp;creator=factset&amp;DOC_NAME=fat:reuters_annual_source_window.fat&amp;display_string=Audit&amp;DYN_ARGS=TRUE&amp;VAR:ID1=221353&amp;VAR:RCODE=FEBIT&amp;VAR:SDATE=20071299&amp;VAR:FREQ=Y&amp;VAR:RELITEM=RF&amp;VAR:CURRENCY=&amp;VAR:CURRSOURCE=EXSHARE&amp;VA","R:NATFREQ=ANNUAL&amp;VAR:RFIELD=FINALIZED&amp;VAR:DB_TYPE=&amp;VAR:UNITS=M&amp;window=popup&amp;width=450&amp;height=300&amp;START_MAXIMIZED=FALSE"}</definedName>
    <definedName name="_228__FDSAUDITLINK__" hidden="1">{"fdsup://IBCentral/FAT Viewer?action=UPDATE&amp;creator=factset&amp;DOC_NAME=fat:reuters_annual_source_window.fat&amp;display_string=Audit&amp;DYN_ARGS=TRUE&amp;VAR:ID1=221353&amp;VAR:RCODE=FEBITDA&amp;VAR:SDATE=20071299&amp;VAR:FREQ=Y&amp;VAR:RELITEM=RF&amp;VAR:CURRENCY=&amp;VAR:CURRSOURCE=EXSHARE&amp;","VAR:NATFREQ=ANNUAL&amp;VAR:RFIELD=FINALIZED&amp;VAR:DB_TYPE=&amp;VAR:UNITS=M&amp;window=popup&amp;width=450&amp;height=300&amp;START_MAXIMIZED=FALSE"}</definedName>
    <definedName name="_229__FDSAUDITLINK__" hidden="1">{"fdsup://IBCentral/FAT Viewer?action=UPDATE&amp;creator=factset&amp;DOC_NAME=fat:reuters_annual_source_window.fat&amp;display_string=Audit&amp;DYN_ARGS=TRUE&amp;VAR:ID1=221353&amp;VAR:RCODE=STXI&amp;VAR:SDATE=20071299&amp;VAR:FREQ=Y&amp;VAR:RELITEM=RF&amp;VAR:CURRENCY=&amp;VAR:CURRSOURCE=EXSHARE&amp;VAR",":NATFREQ=ANNUAL&amp;VAR:RFIELD=FINALIZED&amp;VAR:DB_TYPE=&amp;VAR:UNITS=M&amp;window=popup&amp;width=450&amp;height=300&amp;START_MAXIMIZED=FALSE"}</definedName>
    <definedName name="_23">#REF!</definedName>
    <definedName name="_23__123Graph_BCHART_112" hidden="1">#REF!</definedName>
    <definedName name="_23__123Graph_FCHART_4" hidden="1">#REF!</definedName>
    <definedName name="_23__Excel_BuiltIn__FilterDatabase_3_1">#REF!</definedName>
    <definedName name="_23__FDSAUDITLINK__" hidden="1">{"fdsup://IBCentral/FAT Viewer?action=UPDATE&amp;creator=factset&amp;DOC_NAME=fat:reuters_ytd_source_window.fat&amp;display_string=Audit&amp;DYN_ARGS=TRUE&amp;VAR:ID1=42805T10&amp;VAR:RCODE=FDSINTINCTOTAL&amp;VAR:SDATE=20100399&amp;VAR:FREQ=Quarterly&amp;VAR:RELITEM=RP&amp;VAR:CURRENCY=&amp;VAR:CURRS","OURCE=EXSHARE&amp;VAR:NATFREQ=Quarterly&amp;VAR:RFIELD=FINALIZED&amp;VAR:DB_TYPE=&amp;VAR:UNITS=M&amp;window=popup&amp;width=450&amp;height=300&amp;START_MAXIMIZED=FALSE"}</definedName>
    <definedName name="_23__W_0QUARTERWISE_COMPARI">#REF!</definedName>
    <definedName name="_23_0IS_straightpref">#REF!</definedName>
    <definedName name="_23_0RE">#REF!</definedName>
    <definedName name="_23_6__PE_BUSINESS___PAST___FUT">#REF!</definedName>
    <definedName name="_230__FDSAUDITLINK__" hidden="1">{"fdsup://IBCentral/FAT Viewer?action=UPDATE&amp;creator=factset&amp;DOC_NAME=fat:reuters_annual_source_window.fat&amp;display_string=Audit&amp;DYN_ARGS=TRUE&amp;VAR:ID1=221353&amp;VAR:RCODE=FDSINVINCTOT&amp;VAR:SDATE=20081299&amp;VAR:FREQ=Y&amp;VAR:RELITEM=RF&amp;VAR:CURRENCY=&amp;VAR:CURRSOURCE=EXS","HARE&amp;VAR:NATFREQ=ANNUAL&amp;VAR:RFIELD=FINALIZED&amp;VAR:DB_TYPE=&amp;VAR:UNITS=M&amp;window=popup&amp;width=450&amp;height=300&amp;START_MAXIMIZED=FALSE"}</definedName>
    <definedName name="_231__FDSAUDITLINK__" hidden="1">{"fdsup://IBCentral/FAT Viewer?action=UPDATE&amp;creator=factset&amp;DOC_NAME=fat:reuters_annual_source_window.fat&amp;display_string=Audit&amp;DYN_ARGS=TRUE&amp;VAR:ID1=221353&amp;VAR:RCODE=STXI&amp;VAR:SDATE=20081299&amp;VAR:FREQ=Y&amp;VAR:RELITEM=RF&amp;VAR:CURRENCY=&amp;VAR:CURRSOURCE=EXSHARE&amp;VAR",":NATFREQ=ANNUAL&amp;VAR:RFIELD=FINALIZED&amp;VAR:DB_TYPE=&amp;VAR:UNITS=M&amp;window=popup&amp;width=450&amp;height=300&amp;START_MAXIMIZED=FALSE"}</definedName>
    <definedName name="_232__FDSAUDITLINK__" hidden="1">{"fdsup://IBCentral/FAT Viewer?action=UPDATE&amp;creator=factset&amp;DOC_NAME=fat:reuters_annual_source_window.fat&amp;display_string=Audit&amp;DYN_ARGS=TRUE&amp;VAR:ID1=221353&amp;VAR:RCODE=FSALE&amp;VAR:SDATE=20081299&amp;VAR:FREQ=Y&amp;VAR:RELITEM=RF&amp;VAR:CURRENCY=&amp;VAR:CURRSOURCE=EXSHARE&amp;VA","R:NATFREQ=ANNUAL&amp;VAR:RFIELD=FINALIZED&amp;VAR:DB_TYPE=&amp;VAR:UNITS=M&amp;window=popup&amp;width=450&amp;height=300&amp;START_MAXIMIZED=FALSE"}</definedName>
    <definedName name="_233__FDSAUDITLINK__" hidden="1">{"fdsup://IBCentral/FAT Viewer?action=UPDATE&amp;creator=factset&amp;DOC_NAME=fat:reuters_annual_source_window.fat&amp;display_string=Audit&amp;DYN_ARGS=TRUE&amp;VAR:ID1=221353&amp;VAR:RCODE=FEBIT&amp;VAR:SDATE=20081299&amp;VAR:FREQ=Y&amp;VAR:RELITEM=RF&amp;VAR:CURRENCY=&amp;VAR:CURRSOURCE=EXSHARE&amp;VA","R:NATFREQ=ANNUAL&amp;VAR:RFIELD=FINALIZED&amp;VAR:DB_TYPE=&amp;VAR:UNITS=M&amp;window=popup&amp;width=450&amp;height=300&amp;START_MAXIMIZED=FALSE"}</definedName>
    <definedName name="_234__FDSAUDITLINK__" hidden="1">{"fdsup://IBCentral/FAT Viewer?action=UPDATE&amp;creator=factset&amp;DOC_NAME=fat:reuters_annual_source_window.fat&amp;display_string=Audit&amp;DYN_ARGS=TRUE&amp;VAR:ID1=221353&amp;VAR:RCODE=NIBX&amp;VAR:SDATE=20081299&amp;VAR:FREQ=Y&amp;VAR:RELITEM=RF&amp;VAR:CURRENCY=&amp;VAR:CURRSOURCE=EXSHARE&amp;VAR",":NATFREQ=ANNUAL&amp;VAR:RFIELD=FINALIZED&amp;VAR:DB_TYPE=&amp;VAR:UNITS=M&amp;window=popup&amp;width=450&amp;height=300&amp;START_MAXIMIZED=FALSE"}</definedName>
    <definedName name="_235__FDSAUDITLINK__" hidden="1">{"fdsup://IBCentral/FAT Viewer?action=UPDATE&amp;creator=factset&amp;DOC_NAME=fat:reuters_annual_source_window.fat&amp;display_string=Audit&amp;DYN_ARGS=TRUE&amp;VAR:ID1=221353&amp;VAR:RCODE=STXI&amp;VAR:SDATE=20091299&amp;VAR:FREQ=Y&amp;VAR:RELITEM=RF&amp;VAR:CURRENCY=&amp;VAR:CURRSOURCE=EXSHARE&amp;VAR",":NATFREQ=ANNUAL&amp;VAR:RFIELD=FINALIZED&amp;VAR:DB_TYPE=&amp;VAR:UNITS=M&amp;window=popup&amp;width=450&amp;height=300&amp;START_MAXIMIZED=FALSE"}</definedName>
    <definedName name="_236__FDSAUDITLINK__" hidden="1">{"fdsup://IBCentral/FAT Viewer?action=UPDATE&amp;creator=factset&amp;DOC_NAME=fat:reuters_annual_source_window.fat&amp;display_string=Audit&amp;DYN_ARGS=TRUE&amp;VAR:ID1=221353&amp;VAR:RCODE=FEBITDA&amp;VAR:SDATE=20091299&amp;VAR:FREQ=Y&amp;VAR:RELITEM=RF&amp;VAR:CURRENCY=&amp;VAR:CURRSOURCE=EXSHARE&amp;","VAR:NATFREQ=ANNUAL&amp;VAR:RFIELD=FINALIZED&amp;VAR:DB_TYPE=&amp;VAR:UNITS=M&amp;window=popup&amp;width=450&amp;height=300&amp;START_MAXIMIZED=FALSE"}</definedName>
    <definedName name="_237__FDSAUDITLINK__" hidden="1">{"fdsup://IBCentral/FAT Viewer?action=UPDATE&amp;creator=factset&amp;DOC_NAME=fat:reuters_annual_source_window.fat&amp;display_string=Audit&amp;DYN_ARGS=TRUE&amp;VAR:ID1=221353&amp;VAR:RCODE=FDSINVINCTOT&amp;VAR:SDATE=20091299&amp;VAR:FREQ=Y&amp;VAR:RELITEM=RF&amp;VAR:CURRENCY=&amp;VAR:CURRSOURCE=EXS","HARE&amp;VAR:NATFREQ=ANNUAL&amp;VAR:RFIELD=FINALIZED&amp;VAR:DB_TYPE=&amp;VAR:UNITS=M&amp;window=popup&amp;width=450&amp;height=300&amp;START_MAXIMIZED=FALSE"}</definedName>
    <definedName name="_238__FDSAUDITLINK__" hidden="1">{"fdsup://IBCentral/FAT Viewer?action=UPDATE&amp;creator=factset&amp;DOC_NAME=fat:reuters_annual_source_window.fat&amp;display_string=Audit&amp;DYN_ARGS=TRUE&amp;VAR:ID1=221353&amp;VAR:RCODE=NINC&amp;VAR:SDATE=20091299&amp;VAR:FREQ=Y&amp;VAR:RELITEM=RF&amp;VAR:CURRENCY=&amp;VAR:CURRSOURCE=EXSHARE&amp;VAR",":NATFREQ=ANNUAL&amp;VAR:RFIELD=FINALIZED&amp;VAR:DB_TYPE=&amp;VAR:UNITS=M&amp;window=popup&amp;width=450&amp;height=300&amp;START_MAXIMIZED=FALSE"}</definedName>
    <definedName name="_239__FDSAUDITLINK__" hidden="1">{"fdsup://IBCentral/FAT Viewer?action=UPDATE&amp;creator=factset&amp;DOC_NAME=fat:reuters_annual_source_window.fat&amp;display_string=Audit&amp;DYN_ARGS=TRUE&amp;VAR:ID1=221353&amp;VAR:RCODE=NIBX&amp;VAR:SDATE=20091299&amp;VAR:FREQ=Y&amp;VAR:RELITEM=RF&amp;VAR:CURRENCY=&amp;VAR:CURRSOURCE=EXSHARE&amp;VAR",":NATFREQ=ANNUAL&amp;VAR:RFIELD=FINALIZED&amp;VAR:DB_TYPE=&amp;VAR:UNITS=M&amp;window=popup&amp;width=450&amp;height=300&amp;START_MAXIMIZED=FALSE"}</definedName>
    <definedName name="_24">#REF!</definedName>
    <definedName name="_24___0Quarterwise_Export_P">#REF!</definedName>
    <definedName name="_24__123Graph_BCHART_26" hidden="1">#REF!</definedName>
    <definedName name="_24__123Graph_FCHART_5" hidden="1">#REF!</definedName>
    <definedName name="_24__Excel_BuiltIn__FilterDatabase_4_1">#REF!</definedName>
    <definedName name="_24__FDSAUDITLINK__" hidden="1">{"fdsup://IBCentral/FAT Viewer?action=UPDATE&amp;creator=factset&amp;DOC_NAME=fat:reuters_ytd_source_window.fat&amp;display_string=Audit&amp;DYN_ARGS=TRUE&amp;VAR:ID1=91136310&amp;VAR:RCODE=FIBCEBIT&amp;VAR:SDATE=20100399&amp;VAR:FREQ=Quarterly&amp;VAR:RELITEM=RP&amp;VAR:CURRENCY=&amp;VAR:CURRSOURCE=","EXSHARE&amp;VAR:NATFREQ=Quarterly&amp;VAR:RFIELD=FINALIZED&amp;VAR:DB_TYPE=&amp;VAR:UNITS=M&amp;window=popup&amp;width=450&amp;height=300&amp;START_MAXIMIZED=FALSE"}</definedName>
    <definedName name="_24_0cu20.ItemTypeCateg">#REF!</definedName>
    <definedName name="_24_6_0PE_BUSINESS___PAST___FUT">#REF!</definedName>
    <definedName name="_24_7_0End_Use_Analysis___Sectoral_Gro">#REF!</definedName>
    <definedName name="_24”__PE_1996">#REF!</definedName>
    <definedName name="_240__FDSAUDITLINK__" hidden="1">{"fdsup://IBCentral/FAT Viewer?action=UPDATE&amp;creator=factset&amp;DOC_NAME=fat:reuters_annual_source_window.fat&amp;display_string=Audit&amp;DYN_ARGS=TRUE&amp;VAR:ID1=221353&amp;VAR:RCODE=FEBIT&amp;VAR:SDATE=20091299&amp;VAR:FREQ=Y&amp;VAR:RELITEM=RF&amp;VAR:CURRENCY=&amp;VAR:CURRSOURCE=EXSHARE&amp;VA","R:NATFREQ=ANNUAL&amp;VAR:RFIELD=FINALIZED&amp;VAR:DB_TYPE=&amp;VAR:UNITS=M&amp;window=popup&amp;width=450&amp;height=300&amp;START_MAXIMIZED=FALSE"}</definedName>
    <definedName name="_241__FDSAUDITLINK__" hidden="1">{"fdsup://IBCentral/FAT Viewer?action=UPDATE&amp;creator=factset&amp;DOC_NAME=fat:reuters_annual_source_window.fat&amp;display_string=Audit&amp;DYN_ARGS=TRUE&amp;VAR:ID1=221353&amp;VAR:RCODE=SCEX&amp;VAR:SDATE=20091299&amp;VAR:FREQ=Y&amp;VAR:RELITEM=RF&amp;VAR:CURRENCY=&amp;VAR:CURRSOURCE=EXSHARE&amp;VAR",":NATFREQ=ANNUAL&amp;VAR:RFIELD=FINALIZED&amp;VAR:DB_TYPE=&amp;VAR:UNITS=M&amp;window=popup&amp;width=450&amp;height=300&amp;START_MAXIMIZED=FALSE"}</definedName>
    <definedName name="_242__FDSAUDITLINK__" hidden="1">{"fdsup://IBCentral/FAT Viewer?action=UPDATE&amp;creator=factset&amp;DOC_NAME=fat:reuters_annual_source_window.fat&amp;display_string=Audit&amp;DYN_ARGS=TRUE&amp;VAR:ID1=221353&amp;VAR:RCODE=FDSINVINCTOT&amp;VAR:SDATE=20101299&amp;VAR:FREQ=Y&amp;VAR:RELITEM=RF&amp;VAR:CURRENCY=&amp;VAR:CURRSOURCE=EXS","HARE&amp;VAR:NATFREQ=ANNUAL&amp;VAR:RFIELD=FINALIZED&amp;VAR:DB_TYPE=&amp;VAR:UNITS=M&amp;window=popup&amp;width=450&amp;height=300&amp;START_MAXIMIZED=FALSE"}</definedName>
    <definedName name="_243__FDSAUDITLINK__" hidden="1">{"fdsup://IBCentral/FAT Viewer?action=UPDATE&amp;creator=factset&amp;DOC_NAME=fat:reuters_annual_source_window.fat&amp;display_string=Audit&amp;DYN_ARGS=TRUE&amp;VAR:ID1=221353&amp;VAR:RCODE=FSALE&amp;VAR:SDATE=20091299&amp;VAR:FREQ=Y&amp;VAR:RELITEM=RF&amp;VAR:CURRENCY=&amp;VAR:CURRSOURCE=EXSHARE&amp;VA","R:NATFREQ=ANNUAL&amp;VAR:RFIELD=FINALIZED&amp;VAR:DB_TYPE=&amp;VAR:UNITS=M&amp;window=popup&amp;width=450&amp;height=300&amp;START_MAXIMIZED=FALSE"}</definedName>
    <definedName name="_244__FDSAUDITLINK__" hidden="1">{"fdsup://IBCentral/FAT Viewer?action=UPDATE&amp;creator=factset&amp;DOC_NAME=fat:reuters_annual_source_window.fat&amp;display_string=Audit&amp;DYN_ARGS=TRUE&amp;VAR:ID1=221353&amp;VAR:RCODE=FSALE&amp;VAR:SDATE=20101299&amp;VAR:FREQ=Y&amp;VAR:RELITEM=RF&amp;VAR:CURRENCY=&amp;VAR:CURRSOURCE=EXSHARE&amp;VA","R:NATFREQ=ANNUAL&amp;VAR:RFIELD=FINALIZED&amp;VAR:DB_TYPE=&amp;VAR:UNITS=M&amp;window=popup&amp;width=450&amp;height=300&amp;START_MAXIMIZED=FALSE"}</definedName>
    <definedName name="_245__FDSAUDITLINK__" hidden="1">{"fdsup://IBCentral/FAT Viewer?action=UPDATE&amp;creator=factset&amp;DOC_NAME=fat:reuters_annual_source_window.fat&amp;display_string=Audit&amp;DYN_ARGS=TRUE&amp;VAR:ID1=221353&amp;VAR:RCODE=NINC&amp;VAR:SDATE=20101299&amp;VAR:FREQ=Y&amp;VAR:RELITEM=RF&amp;VAR:CURRENCY=&amp;VAR:CURRSOURCE=EXSHARE&amp;VAR",":NATFREQ=ANNUAL&amp;VAR:RFIELD=FINALIZED&amp;VAR:DB_TYPE=&amp;VAR:UNITS=M&amp;window=popup&amp;width=450&amp;height=300&amp;START_MAXIMIZED=FALSE"}</definedName>
    <definedName name="_246__FDSAUDITLINK__" hidden="1">{"fdsup://IBCentral/FAT Viewer?action=UPDATE&amp;creator=factset&amp;DOC_NAME=fat:reuters_annual_source_window.fat&amp;display_string=Audit&amp;DYN_ARGS=TRUE&amp;VAR:ID1=221353&amp;VAR:RCODE=NIBX&amp;VAR:SDATE=20101299&amp;VAR:FREQ=Y&amp;VAR:RELITEM=RF&amp;VAR:CURRENCY=&amp;VAR:CURRSOURCE=EXSHARE&amp;VAR",":NATFREQ=ANNUAL&amp;VAR:RFIELD=FINALIZED&amp;VAR:DB_TYPE=&amp;VAR:UNITS=M&amp;window=popup&amp;width=450&amp;height=300&amp;START_MAXIMIZED=FALSE"}</definedName>
    <definedName name="_247__FDSAUDITLINK__" hidden="1">{"fdsup://IBCentral/FAT Viewer?action=UPDATE&amp;creator=factset&amp;DOC_NAME=fat:reuters_annual_source_window.fat&amp;display_string=Audit&amp;DYN_ARGS=TRUE&amp;VAR:ID1=221353&amp;VAR:RCODE=STXI&amp;VAR:SDATE=20101299&amp;VAR:FREQ=Y&amp;VAR:RELITEM=RF&amp;VAR:CURRENCY=&amp;VAR:CURRSOURCE=EXSHARE&amp;VAR",":NATFREQ=ANNUAL&amp;VAR:RFIELD=FINALIZED&amp;VAR:DB_TYPE=&amp;VAR:UNITS=M&amp;window=popup&amp;width=450&amp;height=300&amp;START_MAXIMIZED=FALSE"}</definedName>
    <definedName name="_248__FDSAUDITLINK__" hidden="1">{"fdsup://IBCentral/FAT Viewer?action=UPDATE&amp;creator=factset&amp;DOC_NAME=fat:reuters_annual_source_window.fat&amp;display_string=Audit&amp;DYN_ARGS=TRUE&amp;VAR:ID1=221353&amp;VAR:RCODE=SCEX&amp;VAR:SDATE=20101299&amp;VAR:FREQ=Y&amp;VAR:RELITEM=RF&amp;VAR:CURRENCY=&amp;VAR:CURRSOURCE=EXSHARE&amp;VAR",":NATFREQ=ANNUAL&amp;VAR:RFIELD=FINALIZED&amp;VAR:DB_TYPE=&amp;VAR:UNITS=M&amp;window=popup&amp;width=450&amp;height=300&amp;START_MAXIMIZED=FALSE"}</definedName>
    <definedName name="_249__FDSAUDITLINK__" hidden="1">{"fdsup://IBCentral/FAT Viewer?action=UPDATE&amp;creator=factset&amp;DOC_NAME=fat:reuters_annual_source_window.fat&amp;display_string=Audit&amp;DYN_ARGS=TRUE&amp;VAR:ID1=221353&amp;VAR:RCODE=FEBIT&amp;VAR:SDATE=20101299&amp;VAR:FREQ=Y&amp;VAR:RELITEM=RF&amp;VAR:CURRENCY=&amp;VAR:CURRSOURCE=EXSHARE&amp;VA","R:NATFREQ=ANNUAL&amp;VAR:RFIELD=FINALIZED&amp;VAR:DB_TYPE=&amp;VAR:UNITS=M&amp;window=popup&amp;width=450&amp;height=300&amp;START_MAXIMIZED=FALSE"}</definedName>
    <definedName name="_24INDUSTRY_MATERIAL_BALANCE___PROJECTI">#REF!</definedName>
    <definedName name="_25">#REF!</definedName>
    <definedName name="_25__123Graph_A_Chart_1A" hidden="1">#REF!</definedName>
    <definedName name="_25__Excel_BuiltIn__FilterDatabase_6_1">#REF!</definedName>
    <definedName name="_25__FDSAUDITLINK__" hidden="1">{"fdsup://IBCentral/FAT Viewer?action=UPDATE&amp;creator=factset&amp;DOC_NAME=fat:reuters_ytd_source_window.fat&amp;display_string=Audit&amp;DYN_ARGS=TRUE&amp;VAR:ID1=25674310&amp;VAR:RCODE=VDES&amp;VAR:SDATE=20110399&amp;VAR:FREQ=Quarterly&amp;VAR:RELITEM=RP&amp;VAR:CURRENCY=&amp;VAR:CURRSOURCE=EXSH","ARE&amp;VAR:NATFREQ=Quarterly&amp;VAR:RFIELD=FINALIZED&amp;VAR:DB_TYPE=&amp;VAR:UNITS=M&amp;window=popup&amp;width=450&amp;height=300&amp;START_MAXIMIZED=FALSE"}</definedName>
    <definedName name="_25_…_0PRICE_FORECAST___1995">#REF!</definedName>
    <definedName name="_25_6__PE_BUSINESS___PAST___FUT">#REF!</definedName>
    <definedName name="_25_7__End_Use_Analysis___Sectoral_Gro">#REF!</definedName>
    <definedName name="_250__FDSAUDITLINK__" hidden="1">{"fdsup://IBCentral/FAT Viewer?action=UPDATE&amp;creator=factset&amp;DOC_NAME=fat:reuters_annual_source_window.fat&amp;display_string=Audit&amp;DYN_ARGS=TRUE&amp;VAR:ID1=221353&amp;VAR:RCODE=FEBITDA&amp;VAR:SDATE=20101299&amp;VAR:FREQ=Y&amp;VAR:RELITEM=RF&amp;VAR:CURRENCY=&amp;VAR:CURRSOURCE=EXSHARE&amp;","VAR:NATFREQ=ANNUAL&amp;VAR:RFIELD=FINALIZED&amp;VAR:DB_TYPE=&amp;VAR:UNITS=M&amp;window=popup&amp;width=450&amp;height=300&amp;START_MAXIMIZED=FALSE"}</definedName>
    <definedName name="_251__FDSAUDITLINK__" hidden="1">{"fdsup://IBCentral/FAT Viewer?action=UPDATE&amp;creator=factset&amp;DOC_NAME=fat:reuters_qtrly_source_window.fat&amp;display_string=Audit&amp;DYN_ARGS=TRUE&amp;VAR:ID1=221353&amp;VAR:RCODE=LLTD&amp;VAR:SDATE=20110399&amp;VAR:FREQ=Quarterly&amp;VAR:RELITEM=RP&amp;VAR:CURRENCY=&amp;VAR:CURRSOURCE=EXSH","ARE&amp;VAR:NATFREQ=QUARTERLY&amp;VAR:RFIELD=FINALIZED&amp;VAR:DB_TYPE=&amp;VAR:UNITS=M&amp;window=popup&amp;width=450&amp;height=300&amp;START_MAXIMIZED=FALSE"}</definedName>
    <definedName name="_252__FDSAUDITLINK__" hidden="1">{"fdsup://IBCentral/FAT Viewer?action=UPDATE&amp;creator=factset&amp;DOC_NAME=fat:reuters_qtrly_source_window.fat&amp;display_string=Audit&amp;DYN_ARGS=TRUE&amp;VAR:ID1=221353&amp;VAR:RCODE=LMIN&amp;VAR:SDATE=20110399&amp;VAR:FREQ=Quarterly&amp;VAR:RELITEM=RP&amp;VAR:CURRENCY=&amp;VAR:CURRSOURCE=EXSH","ARE&amp;VAR:NATFREQ=QUARTERLY&amp;VAR:RFIELD=FINALIZED&amp;VAR:DB_TYPE=&amp;VAR:UNITS=M&amp;window=popup&amp;width=450&amp;height=300&amp;START_MAXIMIZED=FALSE"}</definedName>
    <definedName name="_253__FDSAUDITLINK__" hidden="1">{"fdsup://IBCentral/FAT Viewer?action=UPDATE&amp;creator=factset&amp;DOC_NAME=fat:reuters_qtrly_source_window.fat&amp;display_string=Audit&amp;DYN_ARGS=TRUE&amp;VAR:ID1=221353&amp;VAR:RCODE=AEQI&amp;VAR:SDATE=20110399&amp;VAR:FREQ=Quarterly&amp;VAR:RELITEM=RP&amp;VAR:CURRENCY=&amp;VAR:CURRSOURCE=EXSH","ARE&amp;VAR:NATFREQ=QUARTERLY&amp;VAR:RFIELD=FINALIZED&amp;VAR:DB_TYPE=&amp;VAR:UNITS=M&amp;window=popup&amp;width=450&amp;height=300&amp;START_MAXIMIZED=FALSE"}</definedName>
    <definedName name="_254__FDSAUDITLINK__" hidden="1">{"fdsup://IBCentral/FAT Viewer?action=UPDATE&amp;creator=factset&amp;DOC_NAME=fat:reuters_qtrly_source_window.fat&amp;display_string=Audit&amp;DYN_ARGS=TRUE&amp;VAR:ID1=221353&amp;VAR:RCODE=SCSI&amp;VAR:SDATE=20110399&amp;VAR:FREQ=Quarterly&amp;VAR:RELITEM=RP&amp;VAR:CURRENCY=&amp;VAR:CURRSOURCE=EXSH","ARE&amp;VAR:NATFREQ=QUARTERLY&amp;VAR:RFIELD=FINALIZED&amp;VAR:DB_TYPE=&amp;VAR:UNITS=M&amp;window=popup&amp;width=450&amp;height=300&amp;START_MAXIMIZED=FALSE"}</definedName>
    <definedName name="_255__FDSAUDITLINK__" hidden="1">{"fdsup://directions/FAT Viewer?action=UPDATE&amp;creator=factset&amp;DYN_ARGS=TRUE&amp;DOC_NAME=FAT:FQL_AUDITING_CLIENT_TEMPLATE.FAT&amp;display_string=Audit&amp;VAR:KEY=FOFUNGDAHW&amp;VAR:QUERY=UkdGX0lOVEFORyhBTk4sNDA2MzMsLCwsLCxOT0FVRElUKQ==&amp;WINDOW=FIRST_POPUP&amp;HEIGHT=450&amp;WIDTH=","450&amp;START_MAXIMIZED=FALSE&amp;VAR:CALENDAR=FIVEDAY&amp;VAR:SYMBOL=221353&amp;VAR:INDEX=0"}</definedName>
    <definedName name="_256__FDSAUDITLINK__" hidden="1">{"fdsup://IBCentral/FAT Viewer?action=UPDATE&amp;creator=factset&amp;DOC_NAME=fat:reuters_annual_source_window.fat&amp;display_string=Audit&amp;DYN_ARGS=TRUE&amp;VAR:ID1=221353&amp;VAR:RCODE=LPBL&amp;VAR:SDATE=20101299&amp;VAR:FREQ=Y&amp;VAR:RELITEM=RP&amp;VAR:CURRENCY=&amp;VAR:CURRSOURCE=EXSHARE&amp;VAR",":NATFREQ=ANNUAL&amp;VAR:RFIELD=FINALIZED&amp;VAR:DB_TYPE=&amp;VAR:UNITS=M&amp;window=popup&amp;width=450&amp;height=300&amp;START_MAXIMIZED=FALSE"}</definedName>
    <definedName name="_257__FDSAUDITLINK__" hidden="1">{"fdsup://IBCentral/FAT Viewer?action=UPDATE&amp;creator=factset&amp;DOC_NAME=fat:reuters_annual_source_window.fat&amp;display_string=Audit&amp;DYN_ARGS=TRUE&amp;VAR:ID1=221353&amp;VAR:RCODE=FDSPFDSTKTOTAL&amp;VAR:SDATE=20101299&amp;VAR:FREQ=Y&amp;VAR:RELITEM=RP&amp;VAR:CURRENCY=&amp;VAR:CURRSOURCE=E","XSHARE&amp;VAR:NATFREQ=ANNUAL&amp;VAR:RFIELD=FINALIZED&amp;VAR:DB_TYPE=&amp;VAR:UNITS=M&amp;window=popup&amp;width=450&amp;height=300&amp;START_MAXIMIZED=FALSE"}</definedName>
    <definedName name="_258__FDSAUDITLINK__" hidden="1">{"fdsup://IBCentral/FAT Viewer?action=UPDATE&amp;creator=factset&amp;DOC_NAME=fat:reuters_qtrly_source_window.fat&amp;display_string=Audit&amp;DYN_ARGS=TRUE&amp;VAR:ID1=221353&amp;VAR:RCODE=DSTT&amp;VAR:SDATE=20110399&amp;VAR:FREQ=Quarterly&amp;VAR:RELITEM=RP&amp;VAR:CURRENCY=&amp;VAR:CURRSOURCE=EXSH","ARE&amp;VAR:NATFREQ=QUARTERLY&amp;VAR:RFIELD=FINALIZED&amp;VAR:DB_TYPE=&amp;VAR:UNITS=M&amp;window=popup&amp;width=450&amp;height=300&amp;START_MAXIMIZED=FALSE"}</definedName>
    <definedName name="_259__FDSAUDITLINK__" hidden="1">{"fdsup://IBCentral/FAT Viewer?action=UPDATE&amp;creator=factset&amp;DOC_NAME=fat:reuters_annual_source_window.fat&amp;display_string=Audit&amp;DYN_ARGS=TRUE&amp;VAR:ID1=61945A10&amp;VAR:RCODE=SCEX&amp;VAR:SDATE=20050599&amp;VAR:FREQ=Y&amp;VAR:RELITEM=RF&amp;VAR:CURRENCY=&amp;VAR:CURRSOURCE=EXSHARE&amp;V","AR:NATFREQ=ANNUAL&amp;VAR:RFIELD=FINALIZED&amp;VAR:DB_TYPE=&amp;VAR:UNITS=M&amp;window=popup&amp;width=450&amp;height=300&amp;START_MAXIMIZED=FALSE"}</definedName>
    <definedName name="_26">#REF!</definedName>
    <definedName name="_26__123Graph_AChart_1" hidden="1">#REF!</definedName>
    <definedName name="_26__Excel_BuiltIn__FilterDatabase_6_1_1">#N/A</definedName>
    <definedName name="_26__FDSAUDITLINK__" hidden="1">{"fdsup://IBCentral/FAT Viewer?action=UPDATE&amp;creator=factset&amp;DOC_NAME=fat:reuters_ytd_source_window.fat&amp;display_string=Audit&amp;DYN_ARGS=TRUE&amp;VAR:ID1=005367&amp;VAR:RCODE=FDSINTEXPTOTAL&amp;VAR:SDATE=20100199&amp;VAR:FREQ=Quarterly&amp;VAR:RELITEM=RP&amp;VAR:CURRENCY=&amp;VAR:CURRSOU","RCE=EXSHARE&amp;VAR:NATFREQ=Quarterly&amp;VAR:RFIELD=FINALIZED&amp;VAR:DB_TYPE=&amp;VAR:UNITS=M&amp;window=popup&amp;width=450&amp;height=300&amp;START_MAXIMIZED=FALSE"}</definedName>
    <definedName name="_26_”_0PE_1996">#REF!</definedName>
    <definedName name="_26_7_0End_Use_Analysis___Sectoral_Gro">#REF!</definedName>
    <definedName name="_26”_0PE_1996">#REF!</definedName>
    <definedName name="_26§_0Business___Market_Spr">#REF!</definedName>
    <definedName name="_260__FDSAUDITLINK__" hidden="1">{"fdsup://IBCentral/FAT Viewer?action=UPDATE&amp;creator=factset&amp;DOC_NAME=fat:reuters_annual_source_window.fat&amp;display_string=Audit&amp;DYN_ARGS=TRUE&amp;VAR:ID1=61945A10&amp;VAR:RCODE=NIBX&amp;VAR:SDATE=20050599&amp;VAR:FREQ=Y&amp;VAR:RELITEM=RF&amp;VAR:CURRENCY=&amp;VAR:CURRSOURCE=EXSHARE&amp;V","AR:NATFREQ=ANNUAL&amp;VAR:RFIELD=FINALIZED&amp;VAR:DB_TYPE=&amp;VAR:UNITS=M&amp;window=popup&amp;width=450&amp;height=300&amp;START_MAXIMIZED=FALSE"}</definedName>
    <definedName name="_261__FDSAUDITLINK__" hidden="1">{"fdsup://IBCentral/FAT Viewer?action=UPDATE&amp;creator=factset&amp;DOC_NAME=fat:reuters_annual_source_window.fat&amp;display_string=Audit&amp;DYN_ARGS=TRUE&amp;VAR:ID1=61945A10&amp;VAR:RCODE=FDSINVINCTOT&amp;VAR:SDATE=20050599&amp;VAR:FREQ=Y&amp;VAR:RELITEM=RF&amp;VAR:CURRENCY=&amp;VAR:CURRSOURCE=E","XSHARE&amp;VAR:NATFREQ=ANNUAL&amp;VAR:RFIELD=FINALIZED&amp;VAR:DB_TYPE=&amp;VAR:UNITS=M&amp;window=popup&amp;width=450&amp;height=300&amp;START_MAXIMIZED=FALSE"}</definedName>
    <definedName name="_262__FDSAUDITLINK__" hidden="1">{"fdsup://IBCentral/FAT Viewer?action=UPDATE&amp;creator=factset&amp;DOC_NAME=fat:reuters_annual_source_window.fat&amp;display_string=Audit&amp;DYN_ARGS=TRUE&amp;VAR:ID1=61945A10&amp;VAR:RCODE=STXI&amp;VAR:SDATE=20050599&amp;VAR:FREQ=Y&amp;VAR:RELITEM=RF&amp;VAR:CURRENCY=&amp;VAR:CURRSOURCE=EXSHARE&amp;V","AR:NATFREQ=ANNUAL&amp;VAR:RFIELD=FINALIZED&amp;VAR:DB_TYPE=&amp;VAR:UNITS=M&amp;window=popup&amp;width=450&amp;height=300&amp;START_MAXIMIZED=FALSE"}</definedName>
    <definedName name="_263__FDSAUDITLINK__" hidden="1">{"fdsup://IBCentral/FAT Viewer?action=UPDATE&amp;creator=factset&amp;DOC_NAME=fat:reuters_annual_source_window.fat&amp;display_string=Audit&amp;DYN_ARGS=TRUE&amp;VAR:ID1=61945A10&amp;VAR:RCODE=FSALE&amp;VAR:SDATE=20050599&amp;VAR:FREQ=Y&amp;VAR:RELITEM=RF&amp;VAR:CURRENCY=&amp;VAR:CURRSOURCE=EXSHARE&amp;","VAR:NATFREQ=ANNUAL&amp;VAR:RFIELD=FINALIZED&amp;VAR:DB_TYPE=&amp;VAR:UNITS=M&amp;window=popup&amp;width=450&amp;height=300&amp;START_MAXIMIZED=FALSE"}</definedName>
    <definedName name="_264__FDSAUDITLINK__" hidden="1">{"fdsup://IBCentral/FAT Viewer?action=UPDATE&amp;creator=factset&amp;DOC_NAME=fat:reuters_annual_source_window.fat&amp;display_string=Audit&amp;DYN_ARGS=TRUE&amp;VAR:ID1=61945A10&amp;VAR:RCODE=FEBITDA&amp;VAR:SDATE=20050599&amp;VAR:FREQ=Y&amp;VAR:RELITEM=RF&amp;VAR:CURRENCY=&amp;VAR:CURRSOURCE=EXSHAR","E&amp;VAR:NATFREQ=ANNUAL&amp;VAR:RFIELD=FINALIZED&amp;VAR:DB_TYPE=&amp;VAR:UNITS=M&amp;window=popup&amp;width=450&amp;height=300&amp;START_MAXIMIZED=FALSE"}</definedName>
    <definedName name="_265__FDSAUDITLINK__" hidden="1">{"fdsup://IBCentral/FAT Viewer?action=UPDATE&amp;creator=factset&amp;DOC_NAME=fat:reuters_annual_source_window.fat&amp;display_string=Audit&amp;DYN_ARGS=TRUE&amp;VAR:ID1=61945A10&amp;VAR:RCODE=FEBIT&amp;VAR:SDATE=20050599&amp;VAR:FREQ=Y&amp;VAR:RELITEM=RF&amp;VAR:CURRENCY=&amp;VAR:CURRSOURCE=EXSHARE&amp;","VAR:NATFREQ=ANNUAL&amp;VAR:RFIELD=FINALIZED&amp;VAR:DB_TYPE=&amp;VAR:UNITS=M&amp;window=popup&amp;width=450&amp;height=300&amp;START_MAXIMIZED=FALSE"}</definedName>
    <definedName name="_266__FDSAUDITLINK__" hidden="1">{"fdsup://IBCentral/FAT Viewer?action=UPDATE&amp;creator=factset&amp;DOC_NAME=fat:reuters_annual_source_window.fat&amp;display_string=Audit&amp;DYN_ARGS=TRUE&amp;VAR:ID1=61945A10&amp;VAR:RCODE=NINC&amp;VAR:SDATE=20050599&amp;VAR:FREQ=Y&amp;VAR:RELITEM=RF&amp;VAR:CURRENCY=&amp;VAR:CURRSOURCE=EXSHARE&amp;V","AR:NATFREQ=ANNUAL&amp;VAR:RFIELD=FINALIZED&amp;VAR:DB_TYPE=&amp;VAR:UNITS=M&amp;window=popup&amp;width=450&amp;height=300&amp;START_MAXIMIZED=FALSE"}</definedName>
    <definedName name="_267__FDSAUDITLINK__" hidden="1">{"fdsup://IBCentral/FAT Viewer?action=UPDATE&amp;creator=factset&amp;DOC_NAME=fat:reuters_annual_source_window.fat&amp;display_string=Audit&amp;DYN_ARGS=TRUE&amp;VAR:ID1=61945A10&amp;VAR:RCODE=FEBITDA&amp;VAR:SDATE=20060599&amp;VAR:FREQ=Y&amp;VAR:RELITEM=RF&amp;VAR:CURRENCY=&amp;VAR:CURRSOURCE=EXSHAR","E&amp;VAR:NATFREQ=ANNUAL&amp;VAR:RFIELD=FINALIZED&amp;VAR:DB_TYPE=&amp;VAR:UNITS=M&amp;window=popup&amp;width=450&amp;height=300&amp;START_MAXIMIZED=FALSE"}</definedName>
    <definedName name="_268__FDSAUDITLINK__" hidden="1">{"fdsup://IBCentral/FAT Viewer?action=UPDATE&amp;creator=factset&amp;DOC_NAME=fat:reuters_annual_source_window.fat&amp;display_string=Audit&amp;DYN_ARGS=TRUE&amp;VAR:ID1=61945A10&amp;VAR:RCODE=STXI&amp;VAR:SDATE=20070599&amp;VAR:FREQ=Y&amp;VAR:RELITEM=RF&amp;VAR:CURRENCY=&amp;VAR:CURRSOURCE=EXSHARE&amp;V","AR:NATFREQ=ANNUAL&amp;VAR:RFIELD=FINALIZED&amp;VAR:DB_TYPE=&amp;VAR:UNITS=M&amp;window=popup&amp;width=450&amp;height=300&amp;START_MAXIMIZED=FALSE"}</definedName>
    <definedName name="_269__FDSAUDITLINK__" hidden="1">{"fdsup://IBCentral/FAT Viewer?action=UPDATE&amp;creator=factset&amp;DOC_NAME=fat:reuters_annual_source_window.fat&amp;display_string=Audit&amp;DYN_ARGS=TRUE&amp;VAR:ID1=61945A10&amp;VAR:RCODE=SCEX&amp;VAR:SDATE=20060599&amp;VAR:FREQ=Y&amp;VAR:RELITEM=RF&amp;VAR:CURRENCY=&amp;VAR:CURRSOURCE=EXSHARE&amp;V","AR:NATFREQ=ANNUAL&amp;VAR:RFIELD=FINALIZED&amp;VAR:DB_TYPE=&amp;VAR:UNITS=M&amp;window=popup&amp;width=450&amp;height=300&amp;START_MAXIMIZED=FALSE"}</definedName>
    <definedName name="_26A_0PE___OUTLOOK_TO_2">#REF!</definedName>
    <definedName name="_27">#REF!</definedName>
    <definedName name="_27___0QUARTERWISE_PERFORMA">#REF!</definedName>
    <definedName name="_27__123Graph_ACHART_19" hidden="1">#REF!</definedName>
    <definedName name="_27__Excel_BuiltIn__FilterDatabase_7_1">#REF!</definedName>
    <definedName name="_27__FDSAUDITLINK__" hidden="1">{"fdsup://IBCentral/FAT Viewer?action=UPDATE&amp;creator=factset&amp;DOC_NAME=fat:reuters_ytd_source_window.fat&amp;display_string=Audit&amp;DYN_ARGS=TRUE&amp;VAR:ID1=45874310&amp;VAR:RCODE=FIBCEBITDA&amp;VAR:SDATE=20091299&amp;VAR:FREQ=Quarterly&amp;VAR:RELITEM=RP&amp;VAR:CURRENCY=&amp;VAR:CURRSOURC","E=EXSHARE&amp;VAR:NATFREQ=Quarterly&amp;VAR:RFIELD=FINALIZED&amp;VAR:DB_TYPE=&amp;VAR:UNITS=M&amp;window=popup&amp;width=450&amp;height=300&amp;START_MAXIMIZED=FALSE"}</definedName>
    <definedName name="_27_7__End_Use_Analysis___Sectoral_Gro">#REF!</definedName>
    <definedName name="_270__FDSAUDITLINK__" hidden="1">{"fdsup://IBCentral/FAT Viewer?action=UPDATE&amp;creator=factset&amp;DOC_NAME=fat:reuters_annual_source_window.fat&amp;display_string=Audit&amp;DYN_ARGS=TRUE&amp;VAR:ID1=61945A10&amp;VAR:RCODE=SCEX&amp;VAR:SDATE=20070599&amp;VAR:FREQ=Y&amp;VAR:RELITEM=RF&amp;VAR:CURRENCY=&amp;VAR:CURRSOURCE=EXSHARE&amp;V","AR:NATFREQ=ANNUAL&amp;VAR:RFIELD=FINALIZED&amp;VAR:DB_TYPE=&amp;VAR:UNITS=M&amp;window=popup&amp;width=450&amp;height=300&amp;START_MAXIMIZED=FALSE"}</definedName>
    <definedName name="_271__FDSAUDITLINK__" hidden="1">{"fdsup://IBCentral/FAT Viewer?action=UPDATE&amp;creator=factset&amp;DOC_NAME=fat:reuters_annual_source_window.fat&amp;display_string=Audit&amp;DYN_ARGS=TRUE&amp;VAR:ID1=61945A10&amp;VAR:RCODE=FSALE&amp;VAR:SDATE=20070599&amp;VAR:FREQ=Y&amp;VAR:RELITEM=RF&amp;VAR:CURRENCY=&amp;VAR:CURRSOURCE=EXSHARE&amp;","VAR:NATFREQ=ANNUAL&amp;VAR:RFIELD=FINALIZED&amp;VAR:DB_TYPE=&amp;VAR:UNITS=M&amp;window=popup&amp;width=450&amp;height=300&amp;START_MAXIMIZED=FALSE"}</definedName>
    <definedName name="_272__FDSAUDITLINK__" hidden="1">{"fdsup://IBCentral/FAT Viewer?action=UPDATE&amp;creator=factset&amp;DOC_NAME=fat:reuters_annual_source_window.fat&amp;display_string=Audit&amp;DYN_ARGS=TRUE&amp;VAR:ID1=73755L10&amp;VAR:RCODE=STXI&amp;VAR:SDATE=20051299&amp;VAR:FREQ=Y&amp;VAR:RELITEM=RF&amp;VAR:CURRENCY=&amp;VAR:CURRSOURCE=EXSHARE&amp;V","AR:NATFREQ=ANNUAL&amp;VAR:RFIELD=FINALIZED&amp;VAR:DB_TYPE=&amp;VAR:UNITS=M&amp;window=popup&amp;width=450&amp;height=300&amp;START_MAXIMIZED=FALSE"}</definedName>
    <definedName name="_273__FDSAUDITLINK__" hidden="1">{"fdsup://IBCentral/FAT Viewer?action=UPDATE&amp;creator=factset&amp;DOC_NAME=fat:reuters_annual_source_window.fat&amp;display_string=Audit&amp;DYN_ARGS=TRUE&amp;VAR:ID1=61945A10&amp;VAR:RCODE=FSALE&amp;VAR:SDATE=20060599&amp;VAR:FREQ=Y&amp;VAR:RELITEM=RF&amp;VAR:CURRENCY=&amp;VAR:CURRSOURCE=EXSHARE&amp;","VAR:NATFREQ=ANNUAL&amp;VAR:RFIELD=FINALIZED&amp;VAR:DB_TYPE=&amp;VAR:UNITS=M&amp;window=popup&amp;width=450&amp;height=300&amp;START_MAXIMIZED=FALSE"}</definedName>
    <definedName name="_274__FDSAUDITLINK__" hidden="1">{"fdsup://IBCentral/FAT Viewer?action=UPDATE&amp;creator=factset&amp;DOC_NAME=fat:reuters_annual_source_window.fat&amp;display_string=Audit&amp;DYN_ARGS=TRUE&amp;VAR:ID1=73755L10&amp;VAR:RCODE=NIBX&amp;VAR:SDATE=20051299&amp;VAR:FREQ=Y&amp;VAR:RELITEM=RF&amp;VAR:CURRENCY=&amp;VAR:CURRSOURCE=EXSHARE&amp;V","AR:NATFREQ=ANNUAL&amp;VAR:RFIELD=FINALIZED&amp;VAR:DB_TYPE=&amp;VAR:UNITS=M&amp;window=popup&amp;width=450&amp;height=300&amp;START_MAXIMIZED=FALSE"}</definedName>
    <definedName name="_275__FDSAUDITLINK__" hidden="1">{"fdsup://IBCentral/FAT Viewer?action=UPDATE&amp;creator=factset&amp;DOC_NAME=fat:reuters_annual_source_window.fat&amp;display_string=Audit&amp;DYN_ARGS=TRUE&amp;VAR:ID1=61945A10&amp;VAR:RCODE=NINC&amp;VAR:SDATE=20060599&amp;VAR:FREQ=Y&amp;VAR:RELITEM=RF&amp;VAR:CURRENCY=&amp;VAR:CURRSOURCE=EXSHARE&amp;V","AR:NATFREQ=ANNUAL&amp;VAR:RFIELD=FINALIZED&amp;VAR:DB_TYPE=&amp;VAR:UNITS=M&amp;window=popup&amp;width=450&amp;height=300&amp;START_MAXIMIZED=FALSE"}</definedName>
    <definedName name="_276__FDSAUDITLINK__" hidden="1">{"fdsup://IBCentral/FAT Viewer?action=UPDATE&amp;creator=factset&amp;DOC_NAME=fat:reuters_annual_source_window.fat&amp;display_string=Audit&amp;DYN_ARGS=TRUE&amp;VAR:ID1=61945A10&amp;VAR:RCODE=FDSINVINCTOT&amp;VAR:SDATE=20070599&amp;VAR:FREQ=Y&amp;VAR:RELITEM=RF&amp;VAR:CURRENCY=&amp;VAR:CURRSOURCE=E","XSHARE&amp;VAR:NATFREQ=ANNUAL&amp;VAR:RFIELD=FINALIZED&amp;VAR:DB_TYPE=&amp;VAR:UNITS=M&amp;window=popup&amp;width=450&amp;height=300&amp;START_MAXIMIZED=FALSE"}</definedName>
    <definedName name="_277__FDSAUDITLINK__" hidden="1">{"fdsup://IBCentral/FAT Viewer?action=UPDATE&amp;creator=factset&amp;DOC_NAME=fat:reuters_annual_source_window.fat&amp;display_string=Audit&amp;DYN_ARGS=TRUE&amp;VAR:ID1=61945A10&amp;VAR:RCODE=NIBX&amp;VAR:SDATE=20060599&amp;VAR:FREQ=Y&amp;VAR:RELITEM=RF&amp;VAR:CURRENCY=&amp;VAR:CURRSOURCE=EXSHARE&amp;V","AR:NATFREQ=ANNUAL&amp;VAR:RFIELD=FINALIZED&amp;VAR:DB_TYPE=&amp;VAR:UNITS=M&amp;window=popup&amp;width=450&amp;height=300&amp;START_MAXIMIZED=FALSE"}</definedName>
    <definedName name="_278__FDSAUDITLINK__" hidden="1">{"fdsup://IBCentral/FAT Viewer?action=UPDATE&amp;creator=factset&amp;DOC_NAME=fat:reuters_annual_source_window.fat&amp;display_string=Audit&amp;DYN_ARGS=TRUE&amp;VAR:ID1=61945A10&amp;VAR:RCODE=FEBIT&amp;VAR:SDATE=20060599&amp;VAR:FREQ=Y&amp;VAR:RELITEM=RF&amp;VAR:CURRENCY=&amp;VAR:CURRSOURCE=EXSHARE&amp;","VAR:NATFREQ=ANNUAL&amp;VAR:RFIELD=FINALIZED&amp;VAR:DB_TYPE=&amp;VAR:UNITS=M&amp;window=popup&amp;width=450&amp;height=300&amp;START_MAXIMIZED=FALSE"}</definedName>
    <definedName name="_279__FDSAUDITLINK__" hidden="1">{"fdsup://IBCentral/FAT Viewer?action=UPDATE&amp;creator=factset&amp;DOC_NAME=fat:reuters_annual_source_window.fat&amp;display_string=Audit&amp;DYN_ARGS=TRUE&amp;VAR:ID1=73755L10&amp;VAR:RCODE=SCEX&amp;VAR:SDATE=20051299&amp;VAR:FREQ=Y&amp;VAR:RELITEM=RF&amp;VAR:CURRENCY=&amp;VAR:CURRSOURCE=EXSHARE&amp;V","AR:NATFREQ=ANNUAL&amp;VAR:RFIELD=FINALIZED&amp;VAR:DB_TYPE=&amp;VAR:UNITS=M&amp;window=popup&amp;width=450&amp;height=300&amp;START_MAXIMIZED=FALSE"}</definedName>
    <definedName name="_27A__PE___OUTLOOK_TO_2">#REF!</definedName>
    <definedName name="_28___0PROFITABILITY__Q3_1996__">#REF!</definedName>
    <definedName name="_28__123Graph_AChart_2" hidden="1">#REF!</definedName>
    <definedName name="_28__Excel_BuiltIn__FilterDatabase_8_1">#REF!</definedName>
    <definedName name="_28__FDSAUDITLINK__" hidden="1">{"fdsup://IBCentral/FAT Viewer?action=UPDATE&amp;creator=factset&amp;DOC_NAME=fat:reuters_qtrly_source_window.fat&amp;display_string=Audit&amp;DYN_ARGS=TRUE&amp;VAR:ID1=45874310&amp;VAR:RCODE=SCEX&amp;VAR:SDATE=20091299&amp;VAR:FREQ=Quarterly&amp;VAR:RELITEM=RP&amp;VAR:CURRENCY=&amp;VAR:CURRSOURCE=EX","SHARE&amp;VAR:NATFREQ=QUARTERLY&amp;VAR:RFIELD=FINALIZED&amp;VAR:DB_TYPE=&amp;VAR:UNITS=M&amp;window=popup&amp;width=450&amp;height=300&amp;START_MAXIMIZED=FALSE"}</definedName>
    <definedName name="_28”__PE_1996">#REF!</definedName>
    <definedName name="_28§__Business___Market_Spr">#REF!</definedName>
    <definedName name="_280__FDSAUDITLINK__" hidden="1">{"fdsup://IBCentral/FAT Viewer?action=UPDATE&amp;creator=factset&amp;DOC_NAME=fat:reuters_annual_source_window.fat&amp;display_string=Audit&amp;DYN_ARGS=TRUE&amp;VAR:ID1=73755L10&amp;VAR:RCODE=FEBIT&amp;VAR:SDATE=20051299&amp;VAR:FREQ=Y&amp;VAR:RELITEM=RF&amp;VAR:CURRENCY=&amp;VAR:CURRSOURCE=EXSHARE&amp;","VAR:NATFREQ=ANNUAL&amp;VAR:RFIELD=FINALIZED&amp;VAR:DB_TYPE=&amp;VAR:UNITS=M&amp;window=popup&amp;width=450&amp;height=300&amp;START_MAXIMIZED=FALSE"}</definedName>
    <definedName name="_281__FDSAUDITLINK__" hidden="1">{"fdsup://IBCentral/FAT Viewer?action=UPDATE&amp;creator=factset&amp;DOC_NAME=fat:reuters_annual_source_window.fat&amp;display_string=Audit&amp;DYN_ARGS=TRUE&amp;VAR:ID1=61945A10&amp;VAR:RCODE=FEBITDA&amp;VAR:SDATE=20070599&amp;VAR:FREQ=Y&amp;VAR:RELITEM=RF&amp;VAR:CURRENCY=&amp;VAR:CURRSOURCE=EXSHAR","E&amp;VAR:NATFREQ=ANNUAL&amp;VAR:RFIELD=FINALIZED&amp;VAR:DB_TYPE=&amp;VAR:UNITS=M&amp;window=popup&amp;width=450&amp;height=300&amp;START_MAXIMIZED=FALSE"}</definedName>
    <definedName name="_282__FDSAUDITLINK__" hidden="1">{"fdsup://IBCentral/FAT Viewer?action=UPDATE&amp;creator=factset&amp;DOC_NAME=fat:reuters_annual_source_window.fat&amp;display_string=Audit&amp;DYN_ARGS=TRUE&amp;VAR:ID1=61945A10&amp;VAR:RCODE=FDSINVINCTOT&amp;VAR:SDATE=20060599&amp;VAR:FREQ=Y&amp;VAR:RELITEM=RF&amp;VAR:CURRENCY=&amp;VAR:CURRSOURCE=E","XSHARE&amp;VAR:NATFREQ=ANNUAL&amp;VAR:RFIELD=FINALIZED&amp;VAR:DB_TYPE=&amp;VAR:UNITS=M&amp;window=popup&amp;width=450&amp;height=300&amp;START_MAXIMIZED=FALSE"}</definedName>
    <definedName name="_283__FDSAUDITLINK__" hidden="1">{"fdsup://IBCentral/FAT Viewer?action=UPDATE&amp;creator=factset&amp;DOC_NAME=fat:reuters_annual_source_window.fat&amp;display_string=Audit&amp;DYN_ARGS=TRUE&amp;VAR:ID1=73755L10&amp;VAR:RCODE=FDSINVINCTOT&amp;VAR:SDATE=20051299&amp;VAR:FREQ=Y&amp;VAR:RELITEM=RF&amp;VAR:CURRENCY=&amp;VAR:CURRSOURCE=E","XSHARE&amp;VAR:NATFREQ=ANNUAL&amp;VAR:RFIELD=FINALIZED&amp;VAR:DB_TYPE=&amp;VAR:UNITS=M&amp;window=popup&amp;width=450&amp;height=300&amp;START_MAXIMIZED=FALSE"}</definedName>
    <definedName name="_284__FDSAUDITLINK__" hidden="1">{"fdsup://IBCentral/FAT Viewer?action=UPDATE&amp;creator=factset&amp;DOC_NAME=fat:reuters_annual_source_window.fat&amp;display_string=Audit&amp;DYN_ARGS=TRUE&amp;VAR:ID1=61945A10&amp;VAR:RCODE=STXI&amp;VAR:SDATE=20060599&amp;VAR:FREQ=Y&amp;VAR:RELITEM=RF&amp;VAR:CURRENCY=&amp;VAR:CURRSOURCE=EXSHARE&amp;V","AR:NATFREQ=ANNUAL&amp;VAR:RFIELD=FINALIZED&amp;VAR:DB_TYPE=&amp;VAR:UNITS=M&amp;window=popup&amp;width=450&amp;height=300&amp;START_MAXIMIZED=FALSE"}</definedName>
    <definedName name="_285__FDSAUDITLINK__" hidden="1">{"fdsup://IBCentral/FAT Viewer?action=UPDATE&amp;creator=factset&amp;DOC_NAME=fat:reuters_annual_source_window.fat&amp;display_string=Audit&amp;DYN_ARGS=TRUE&amp;VAR:ID1=73755L10&amp;VAR:RCODE=FSALE&amp;VAR:SDATE=20051299&amp;VAR:FREQ=Y&amp;VAR:RELITEM=RF&amp;VAR:CURRENCY=&amp;VAR:CURRSOURCE=EXSHARE&amp;","VAR:NATFREQ=ANNUAL&amp;VAR:RFIELD=FINALIZED&amp;VAR:DB_TYPE=&amp;VAR:UNITS=M&amp;window=popup&amp;width=450&amp;height=300&amp;START_MAXIMIZED=FALSE"}</definedName>
    <definedName name="_286__FDSAUDITLINK__" hidden="1">{"fdsup://IBCentral/FAT Viewer?action=UPDATE&amp;creator=factset&amp;DOC_NAME=fat:reuters_annual_source_window.fat&amp;display_string=Audit&amp;DYN_ARGS=TRUE&amp;VAR:ID1=61945A10&amp;VAR:RCODE=NINC&amp;VAR:SDATE=20070599&amp;VAR:FREQ=Y&amp;VAR:RELITEM=RF&amp;VAR:CURRENCY=&amp;VAR:CURRSOURCE=EXSHARE&amp;V","AR:NATFREQ=ANNUAL&amp;VAR:RFIELD=FINALIZED&amp;VAR:DB_TYPE=&amp;VAR:UNITS=M&amp;window=popup&amp;width=450&amp;height=300&amp;START_MAXIMIZED=FALSE"}</definedName>
    <definedName name="_287__FDSAUDITLINK__" hidden="1">{"fdsup://IBCentral/FAT Viewer?action=UPDATE&amp;creator=factset&amp;DOC_NAME=fat:reuters_annual_source_window.fat&amp;display_string=Audit&amp;DYN_ARGS=TRUE&amp;VAR:ID1=61945A10&amp;VAR:RCODE=FEBIT&amp;VAR:SDATE=20070599&amp;VAR:FREQ=Y&amp;VAR:RELITEM=RF&amp;VAR:CURRENCY=&amp;VAR:CURRSOURCE=EXSHARE&amp;","VAR:NATFREQ=ANNUAL&amp;VAR:RFIELD=FINALIZED&amp;VAR:DB_TYPE=&amp;VAR:UNITS=M&amp;window=popup&amp;width=450&amp;height=300&amp;START_MAXIMIZED=FALSE"}</definedName>
    <definedName name="_288__FDSAUDITLINK__" hidden="1">{"fdsup://IBCentral/FAT Viewer?action=UPDATE&amp;creator=factset&amp;DOC_NAME=fat:reuters_annual_source_window.fat&amp;display_string=Audit&amp;DYN_ARGS=TRUE&amp;VAR:ID1=61945A10&amp;VAR:RCODE=FEBIT&amp;VAR:SDATE=20080599&amp;VAR:FREQ=Y&amp;VAR:RELITEM=RF&amp;VAR:CURRENCY=&amp;VAR:CURRSOURCE=EXSHARE&amp;","VAR:NATFREQ=ANNUAL&amp;VAR:RFIELD=FINALIZED&amp;VAR:DB_TYPE=&amp;VAR:UNITS=M&amp;window=popup&amp;width=450&amp;height=300&amp;START_MAXIMIZED=FALSE"}</definedName>
    <definedName name="_289__FDSAUDITLINK__" hidden="1">{"fdsup://IBCentral/FAT Viewer?action=UPDATE&amp;creator=factset&amp;DOC_NAME=fat:reuters_annual_source_window.fat&amp;display_string=Audit&amp;DYN_ARGS=TRUE&amp;VAR:ID1=73755L10&amp;VAR:RCODE=FEBITDA&amp;VAR:SDATE=20051299&amp;VAR:FREQ=Y&amp;VAR:RELITEM=RF&amp;VAR:CURRENCY=&amp;VAR:CURRSOURCE=EXSHAR","E&amp;VAR:NATFREQ=ANNUAL&amp;VAR:RFIELD=FINALIZED&amp;VAR:DB_TYPE=&amp;VAR:UNITS=M&amp;window=popup&amp;width=450&amp;height=300&amp;START_MAXIMIZED=FALSE"}</definedName>
    <definedName name="_28A_0PE___OUTLOOK_TO_2">#REF!</definedName>
    <definedName name="_28g_0TARIFF_ARBITRAGE_ANALYSIS_1996__">#REF!</definedName>
    <definedName name="_29___0Quarterwise_Collection_P">#REF!</definedName>
    <definedName name="_29__123Graph_ACHART_20" hidden="1">#REF!</definedName>
    <definedName name="_29__Excel_BuiltIn__FilterDatabase_9_1">#REF!</definedName>
    <definedName name="_29__FDSAUDITLINK__" hidden="1">{"fdsup://IBCentral/FAT Viewer?action=UPDATE&amp;creator=factset&amp;DOC_NAME=fat:reuters_ytd_source_window.fat&amp;display_string=Audit&amp;DYN_ARGS=TRUE&amp;VAR:ID1=42805T10&amp;VAR:RCODE=FDSREVSTOTAL&amp;VAR:SDATE=20110399&amp;VAR:FREQ=Quarterly&amp;VAR:RELITEM=RP&amp;VAR:CURRENCY=&amp;VAR:CURRSOU","RCE=EXSHARE&amp;VAR:NATFREQ=Quarterly&amp;VAR:RFIELD=FINALIZED&amp;VAR:DB_TYPE=&amp;VAR:UNITS=M&amp;window=popup&amp;width=450&amp;height=300&amp;START_MAXIMIZED=FALSE"}</definedName>
    <definedName name="_290__FDSAUDITLINK__" hidden="1">{"fdsup://IBCentral/FAT Viewer?action=UPDATE&amp;creator=factset&amp;DOC_NAME=fat:reuters_annual_source_window.fat&amp;display_string=Audit&amp;DYN_ARGS=TRUE&amp;VAR:ID1=73755L10&amp;VAR:RCODE=NINC&amp;VAR:SDATE=20051299&amp;VAR:FREQ=Y&amp;VAR:RELITEM=RF&amp;VAR:CURRENCY=&amp;VAR:CURRSOURCE=EXSHARE&amp;V","AR:NATFREQ=ANNUAL&amp;VAR:RFIELD=FINALIZED&amp;VAR:DB_TYPE=&amp;VAR:UNITS=M&amp;window=popup&amp;width=450&amp;height=300&amp;START_MAXIMIZED=FALSE"}</definedName>
    <definedName name="_291__FDSAUDITLINK__" hidden="1">{"fdsup://IBCentral/FAT Viewer?action=UPDATE&amp;creator=factset&amp;DOC_NAME=fat:reuters_annual_source_window.fat&amp;display_string=Audit&amp;DYN_ARGS=TRUE&amp;VAR:ID1=61945A10&amp;VAR:RCODE=NIBX&amp;VAR:SDATE=20070599&amp;VAR:FREQ=Y&amp;VAR:RELITEM=RF&amp;VAR:CURRENCY=&amp;VAR:CURRSOURCE=EXSHARE&amp;V","AR:NATFREQ=ANNUAL&amp;VAR:RFIELD=FINALIZED&amp;VAR:DB_TYPE=&amp;VAR:UNITS=M&amp;window=popup&amp;width=450&amp;height=300&amp;START_MAXIMIZED=FALSE"}</definedName>
    <definedName name="_292__FDSAUDITLINK__" hidden="1">{"fdsup://IBCentral/FAT Viewer?action=UPDATE&amp;creator=factset&amp;DOC_NAME=fat:reuters_annual_source_window.fat&amp;display_string=Audit&amp;DYN_ARGS=TRUE&amp;VAR:ID1=61945A10&amp;VAR:RCODE=NIBX&amp;VAR:SDATE=20080599&amp;VAR:FREQ=Y&amp;VAR:RELITEM=RF&amp;VAR:CURRENCY=&amp;VAR:CURRSOURCE=EXSHARE&amp;V","AR:NATFREQ=ANNUAL&amp;VAR:RFIELD=FINALIZED&amp;VAR:DB_TYPE=&amp;VAR:UNITS=M&amp;window=popup&amp;width=450&amp;height=300&amp;START_MAXIMIZED=FALSE"}</definedName>
    <definedName name="_293__FDSAUDITLINK__" hidden="1">{"fdsup://IBCentral/FAT Viewer?action=UPDATE&amp;creator=factset&amp;DOC_NAME=fat:reuters_annual_source_window.fat&amp;display_string=Audit&amp;DYN_ARGS=TRUE&amp;VAR:ID1=73755L10&amp;VAR:RCODE=NIBX&amp;VAR:SDATE=20061299&amp;VAR:FREQ=Y&amp;VAR:RELITEM=RF&amp;VAR:CURRENCY=&amp;VAR:CURRSOURCE=EXSHARE&amp;V","AR:NATFREQ=ANNUAL&amp;VAR:RFIELD=FINALIZED&amp;VAR:DB_TYPE=&amp;VAR:UNITS=M&amp;window=popup&amp;width=450&amp;height=300&amp;START_MAXIMIZED=FALSE"}</definedName>
    <definedName name="_294__FDSAUDITLINK__" hidden="1">{"fdsup://IBCentral/FAT Viewer?action=UPDATE&amp;creator=factset&amp;DOC_NAME=fat:reuters_annual_source_window.fat&amp;display_string=Audit&amp;DYN_ARGS=TRUE&amp;VAR:ID1=73755L10&amp;VAR:RCODE=FEBIT&amp;VAR:SDATE=20061299&amp;VAR:FREQ=Y&amp;VAR:RELITEM=RF&amp;VAR:CURRENCY=&amp;VAR:CURRSOURCE=EXSHARE&amp;","VAR:NATFREQ=ANNUAL&amp;VAR:RFIELD=FINALIZED&amp;VAR:DB_TYPE=&amp;VAR:UNITS=M&amp;window=popup&amp;width=450&amp;height=300&amp;START_MAXIMIZED=FALSE"}</definedName>
    <definedName name="_295__FDSAUDITLINK__" hidden="1">{"fdsup://IBCentral/FAT Viewer?action=UPDATE&amp;creator=factset&amp;DOC_NAME=fat:reuters_annual_source_window.fat&amp;display_string=Audit&amp;DYN_ARGS=TRUE&amp;VAR:ID1=73755L10&amp;VAR:RCODE=NINC&amp;VAR:SDATE=20061299&amp;VAR:FREQ=Y&amp;VAR:RELITEM=RF&amp;VAR:CURRENCY=&amp;VAR:CURRSOURCE=EXSHARE&amp;V","AR:NATFREQ=ANNUAL&amp;VAR:RFIELD=FINALIZED&amp;VAR:DB_TYPE=&amp;VAR:UNITS=M&amp;window=popup&amp;width=450&amp;height=300&amp;START_MAXIMIZED=FALSE"}</definedName>
    <definedName name="_296__FDSAUDITLINK__" hidden="1">{"fdsup://IBCentral/FAT Viewer?action=UPDATE&amp;creator=factset&amp;DOC_NAME=fat:reuters_annual_source_window.fat&amp;display_string=Audit&amp;DYN_ARGS=TRUE&amp;VAR:ID1=61945A10&amp;VAR:RCODE=NIBX&amp;VAR:SDATE=20090599&amp;VAR:FREQ=Y&amp;VAR:RELITEM=RF&amp;VAR:CURRENCY=&amp;VAR:CURRSOURCE=EXSHARE&amp;V","AR:NATFREQ=ANNUAL&amp;VAR:RFIELD=FINALIZED&amp;VAR:DB_TYPE=&amp;VAR:UNITS=M&amp;window=popup&amp;width=450&amp;height=300&amp;START_MAXIMIZED=FALSE"}</definedName>
    <definedName name="_297__FDSAUDITLINK__" hidden="1">{"fdsup://IBCentral/FAT Viewer?action=UPDATE&amp;creator=factset&amp;DOC_NAME=fat:reuters_annual_source_window.fat&amp;display_string=Audit&amp;DYN_ARGS=TRUE&amp;VAR:ID1=61945A10&amp;VAR:RCODE=FEBITDA&amp;VAR:SDATE=20080599&amp;VAR:FREQ=Y&amp;VAR:RELITEM=RF&amp;VAR:CURRENCY=&amp;VAR:CURRSOURCE=EXSHAR","E&amp;VAR:NATFREQ=ANNUAL&amp;VAR:RFIELD=FINALIZED&amp;VAR:DB_TYPE=&amp;VAR:UNITS=M&amp;window=popup&amp;width=450&amp;height=300&amp;START_MAXIMIZED=FALSE"}</definedName>
    <definedName name="_298__FDSAUDITLINK__" hidden="1">{"fdsup://IBCentral/FAT Viewer?action=UPDATE&amp;creator=factset&amp;DOC_NAME=fat:reuters_annual_source_window.fat&amp;display_string=Audit&amp;DYN_ARGS=TRUE&amp;VAR:ID1=61945A10&amp;VAR:RCODE=STXI&amp;VAR:SDATE=20090599&amp;VAR:FREQ=Y&amp;VAR:RELITEM=RF&amp;VAR:CURRENCY=&amp;VAR:CURRSOURCE=EXSHARE&amp;V","AR:NATFREQ=ANNUAL&amp;VAR:RFIELD=FINALIZED&amp;VAR:DB_TYPE=&amp;VAR:UNITS=M&amp;window=popup&amp;width=450&amp;height=300&amp;START_MAXIMIZED=FALSE"}</definedName>
    <definedName name="_299__FDSAUDITLINK__" hidden="1">{"fdsup://IBCentral/FAT Viewer?action=UPDATE&amp;creator=factset&amp;DOC_NAME=fat:reuters_annual_source_window.fat&amp;display_string=Audit&amp;DYN_ARGS=TRUE&amp;VAR:ID1=73755L10&amp;VAR:RCODE=FEBITDA&amp;VAR:SDATE=20061299&amp;VAR:FREQ=Y&amp;VAR:RELITEM=RF&amp;VAR:CURRENCY=&amp;VAR:CURRSOURCE=EXSHAR","E&amp;VAR:NATFREQ=ANNUAL&amp;VAR:RFIELD=FINALIZED&amp;VAR:DB_TYPE=&amp;VAR:UNITS=M&amp;window=popup&amp;width=450&amp;height=300&amp;START_MAXIMIZED=FALSE"}</definedName>
    <definedName name="_29A__PE___OUTLOOK_TO_2">#REF!</definedName>
    <definedName name="_29g__TARIFF_ARBITRAGE_ANALYSIS_1996__">#REF!</definedName>
    <definedName name="_2ADV_LIA_PRO">#REF!</definedName>
    <definedName name="_2ADV_LIA_PRO_31">#REF!</definedName>
    <definedName name="_2B_9">#REF!</definedName>
    <definedName name="_2BAL_SHEET">#REF!</definedName>
    <definedName name="_2BAL_SHEET_31">#REF!</definedName>
    <definedName name="_2CONS">#REF!</definedName>
    <definedName name="_2CONS_31">#REF!</definedName>
    <definedName name="_2CONT_LIA">#REF!</definedName>
    <definedName name="_2CONT_LIA_31">#REF!</definedName>
    <definedName name="_2DET_PL">#REF!</definedName>
    <definedName name="_2DET_PL_31">#REF!</definedName>
    <definedName name="_2DIR_REM">#REF!</definedName>
    <definedName name="_2DIR_REM_31">#REF!</definedName>
    <definedName name="_2Excel_BuiltIn__FilterDatabase_1_1_2_1">#REF!</definedName>
    <definedName name="_2Excel_BuiltIn__FilterDatabase_3">#REF!</definedName>
    <definedName name="_2Excel_BuiltIn_Print_Area_3_1_1_1_1_1">#REF!</definedName>
    <definedName name="_2Excel_BuiltIn_Print_Area_3_1_1_1_1_1_1_1">#REF!</definedName>
    <definedName name="_2Excel_BuiltIn_Print_Area_3_1_1_1_1_1_1_1_1_1_1_1_1_1_1_1_1">#REF!</definedName>
    <definedName name="_2Excel_BuiltIn_Print_Area_3_1_1_1_1_1_1_1_1_1_1_1_1_1_1_1_1_1_1_1">#REF!</definedName>
    <definedName name="_2Excel_BuiltIn_Print_Area_3_1_1_1_1_1_1_1_1_1_1_1_1_1_1_1_1_1_1_1_1_1_1">#REF!</definedName>
    <definedName name="_2Excel_BuiltIn_Print_Area_3_1_1_1_1_1_1_1_1_1_1_1_1_1_1_1_1_1_1_1_1_1_1_1_1_1">#REF!</definedName>
    <definedName name="_2Excel_BuiltIn_Print_Area_3_1_1_1_1_1_1_1_1_1_1_1_1_1_1_1_1_1_1_1_1_1_1_1_1_1_1_1_1_1_1_1_1_1">#REF!</definedName>
    <definedName name="_2Excel_BuiltIn_Print_Area_3_1_1_1_1_1_1_1_1_1_1_1_1_1_1_1_1_1_1_1_1_1_1_1_1_1_1_1_1_1_1_1_1_1_1">#REF!</definedName>
    <definedName name="_2Excel_BuiltIn_Print_Area_3_1_1_1_1_1_1_1_1_1_1_1_1_1_1_1_1_1_1_1_1_1_1_1_1_1_1_1_1_1_1_1_1_1_1_1_1_1_1">#REF!</definedName>
    <definedName name="_2Excel_BuiltIn_Print_Area_3_1_1_1_1_1_1_1_1_1_1_1_1_1_1_1_1_1_1_1_1_1_1_1_1_1_1_1_1_1_1_1_1_1_1_1_1_1_1_1_1">#REF!</definedName>
    <definedName name="_2Excel_BuiltIn_Print_Area_3_1_1_1_1_1_1_1_1_1_1_1_1_1_1_1_1_1_1_1_1_1_1_1_1_1_1_1_1_1_1_1_1_1_1_1_1_1_1_1_1_1">#REF!</definedName>
    <definedName name="_2Excel_BuiltIn_Print_Area_3_1_1_1_1_1_1_1_1_1_1_1_1_1_1_1_1_1_1_1_1_1_1_1_1_1_1_1_1_1_1_1_1_1_1_1_1_1_1_1_1_1_1_1_1_1">#REF!</definedName>
    <definedName name="_2Excel_BuiltIn_Print_Area_3_1_1_1_1_1_1_1_1_1_1_1_1_1_1_1_1_1_1_1_1_1_1_1_1_1_1_1_1_1_1_1_1_1_1_1_1_1_1_1_1_1_1_1_1_1_1_1_1">#REF!</definedName>
    <definedName name="_2Excel_BuiltIn_Print_Titles_5_1">#N/A</definedName>
    <definedName name="_2FIXED_ASSETS">#REF!</definedName>
    <definedName name="_2FIXED_ASSETS_31">#REF!</definedName>
    <definedName name="_2FOREX">#REF!</definedName>
    <definedName name="_2FOREX_31">#REF!</definedName>
    <definedName name="_2INVESTMENTS">#REF!</definedName>
    <definedName name="_2INVESTMENTS_31">#REF!</definedName>
    <definedName name="_2LICENSED_CAP">#REF!</definedName>
    <definedName name="_2LICENSED_CAP_31">#REF!</definedName>
    <definedName name="_2LOANS">#REF!</definedName>
    <definedName name="_2LOANS_31">#REF!</definedName>
    <definedName name="_2MAIN_PL">#REF!</definedName>
    <definedName name="_2MAIN_PL_31">#REF!</definedName>
    <definedName name="_2NOTES_PL">#REF!</definedName>
    <definedName name="_2NOTES_PL_31">#REF!</definedName>
    <definedName name="_2P">#REF!</definedName>
    <definedName name="_2PROD_SALES">#REF!</definedName>
    <definedName name="_2PROD_SALES_31">#REF!</definedName>
    <definedName name="_2Q3___SUMM">#REF!</definedName>
    <definedName name="_2Quarterwise_Export_P">#REF!</definedName>
    <definedName name="_2QUARTERWISE_PERFORMA">#REF!</definedName>
    <definedName name="_2SH_CAP_RES1">#REF!</definedName>
    <definedName name="_2SH_CAP_RES1_31">#REF!</definedName>
    <definedName name="_2SH_CAP_RES2">#REF!</definedName>
    <definedName name="_2SH_CAP_RES2_31">#REF!</definedName>
    <definedName name="_2STOCK_DRS_CAS">#REF!</definedName>
    <definedName name="_2STOCK_DRS_CAS_31">#REF!</definedName>
    <definedName name="_2STOCKS">#REF!</definedName>
    <definedName name="_2STOCKS_31">#REF!</definedName>
    <definedName name="_3">#REF!</definedName>
    <definedName name="_3____0Q3___SUMM">#REF!</definedName>
    <definedName name="_3___6_239">#REF!</definedName>
    <definedName name="_3___Excel_BuiltIn_Extract_1">#REF!</definedName>
    <definedName name="_3__123Graph_ACHART_4" hidden="1">#REF!</definedName>
    <definedName name="_3__6_239">#REF!</definedName>
    <definedName name="_3__Excel_BuiltIn_Print_Titles_4_1">(#REF!,#REF!)</definedName>
    <definedName name="_3__FDSAUDITLINK__" hidden="1">{"fdsup://IBCentral/FAT Viewer?action=UPDATE&amp;creator=factset&amp;DOC_NAME=fat:reuters_annual_source_window.fat&amp;display_string=Audit&amp;DYN_ARGS=TRUE&amp;VAR:ID1=513863&amp;VAR:RCODE=DSTT&amp;VAR:SDATE=20081299&amp;VAR:FREQ=Y&amp;VAR:RELITEM=RP&amp;VAR:CURRENCY=&amp;VAR:CURRSOURCE=EXSHARE&amp;VAR",":NATFREQ=ANNUAL&amp;VAR:RFIELD=FINALIZED&amp;VAR:DB_TYPE=&amp;VAR:UNITS=M&amp;window=popup&amp;width=450&amp;height=300&amp;START_MAXIMIZED=FALSE"}</definedName>
    <definedName name="_3_0Quarterwise_Export_P">#REF!</definedName>
    <definedName name="_3_0QUARTERWISE_PERFORMA">#REF!</definedName>
    <definedName name="_3_6_239">#REF!</definedName>
    <definedName name="_3_p_1">NA()</definedName>
    <definedName name="_30__123Graph_ACHART_22" hidden="1">#REF!</definedName>
    <definedName name="_30__FDSAUDITLINK__" hidden="1">{"fdsup://IBCentral/FAT Viewer?action=UPDATE&amp;creator=factset&amp;DOC_NAME=fat:reuters_ytd_source_window.fat&amp;display_string=Audit&amp;DYN_ARGS=TRUE&amp;VAR:ID1=25674310&amp;VAR:RCODE=NIBX&amp;VAR:SDATE=20110399&amp;VAR:FREQ=Quarterly&amp;VAR:RELITEM=RP&amp;VAR:CURRENCY=&amp;VAR:CURRSOURCE=EXSH","ARE&amp;VAR:NATFREQ=Quarterly&amp;VAR:RFIELD=FINALIZED&amp;VAR:DB_TYPE=&amp;VAR:UNITS=M&amp;window=popup&amp;width=450&amp;height=300&amp;START_MAXIMIZED=FALSE"}</definedName>
    <definedName name="_30_§_0Business___Market_Spr">#REF!</definedName>
    <definedName name="_30§_0Business___Market_Spr">#REF!</definedName>
    <definedName name="_30…_0PRICE_FORECAST___1995">#REF!</definedName>
    <definedName name="_300__FDSAUDITLINK__" hidden="1">{"fdsup://IBCentral/FAT Viewer?action=UPDATE&amp;creator=factset&amp;DOC_NAME=fat:reuters_annual_source_window.fat&amp;display_string=Audit&amp;DYN_ARGS=TRUE&amp;VAR:ID1=73755L10&amp;VAR:RCODE=FDSINVINCTOT&amp;VAR:SDATE=20061299&amp;VAR:FREQ=Y&amp;VAR:RELITEM=RF&amp;VAR:CURRENCY=&amp;VAR:CURRSOURCE=E","XSHARE&amp;VAR:NATFREQ=ANNUAL&amp;VAR:RFIELD=FINALIZED&amp;VAR:DB_TYPE=&amp;VAR:UNITS=M&amp;window=popup&amp;width=450&amp;height=300&amp;START_MAXIMIZED=FALSE"}</definedName>
    <definedName name="_301__FDSAUDITLINK__" hidden="1">{"fdsup://IBCentral/FAT Viewer?action=UPDATE&amp;creator=factset&amp;DOC_NAME=fat:reuters_annual_source_window.fat&amp;display_string=Audit&amp;DYN_ARGS=TRUE&amp;VAR:ID1=61945A10&amp;VAR:RCODE=SCEX&amp;VAR:SDATE=20090599&amp;VAR:FREQ=Y&amp;VAR:RELITEM=RF&amp;VAR:CURRENCY=&amp;VAR:CURRSOURCE=EXSHARE&amp;V","AR:NATFREQ=ANNUAL&amp;VAR:RFIELD=FINALIZED&amp;VAR:DB_TYPE=&amp;VAR:UNITS=M&amp;window=popup&amp;width=450&amp;height=300&amp;START_MAXIMIZED=FALSE"}</definedName>
    <definedName name="_302__FDSAUDITLINK__" hidden="1">{"fdsup://IBCentral/FAT Viewer?action=UPDATE&amp;creator=factset&amp;DOC_NAME=fat:reuters_annual_source_window.fat&amp;display_string=Audit&amp;DYN_ARGS=TRUE&amp;VAR:ID1=61945A10&amp;VAR:RCODE=FDSINVINCTOT&amp;VAR:SDATE=20080599&amp;VAR:FREQ=Y&amp;VAR:RELITEM=RF&amp;VAR:CURRENCY=&amp;VAR:CURRSOURCE=E","XSHARE&amp;VAR:NATFREQ=ANNUAL&amp;VAR:RFIELD=FINALIZED&amp;VAR:DB_TYPE=&amp;VAR:UNITS=M&amp;window=popup&amp;width=450&amp;height=300&amp;START_MAXIMIZED=FALSE"}</definedName>
    <definedName name="_303__FDSAUDITLINK__" hidden="1">{"fdsup://IBCentral/FAT Viewer?action=UPDATE&amp;creator=factset&amp;DOC_NAME=fat:reuters_annual_source_window.fat&amp;display_string=Audit&amp;DYN_ARGS=TRUE&amp;VAR:ID1=73755L10&amp;VAR:RCODE=FSALE&amp;VAR:SDATE=20061299&amp;VAR:FREQ=Y&amp;VAR:RELITEM=RF&amp;VAR:CURRENCY=&amp;VAR:CURRSOURCE=EXSHARE&amp;","VAR:NATFREQ=ANNUAL&amp;VAR:RFIELD=FINALIZED&amp;VAR:DB_TYPE=&amp;VAR:UNITS=M&amp;window=popup&amp;width=450&amp;height=300&amp;START_MAXIMIZED=FALSE"}</definedName>
    <definedName name="_304__FDSAUDITLINK__" hidden="1">{"fdsup://IBCentral/FAT Viewer?action=UPDATE&amp;creator=factset&amp;DOC_NAME=fat:reuters_annual_source_window.fat&amp;display_string=Audit&amp;DYN_ARGS=TRUE&amp;VAR:ID1=61945A10&amp;VAR:RCODE=STXI&amp;VAR:SDATE=20080599&amp;VAR:FREQ=Y&amp;VAR:RELITEM=RF&amp;VAR:CURRENCY=&amp;VAR:CURRSOURCE=EXSHARE&amp;V","AR:NATFREQ=ANNUAL&amp;VAR:RFIELD=FINALIZED&amp;VAR:DB_TYPE=&amp;VAR:UNITS=M&amp;window=popup&amp;width=450&amp;height=300&amp;START_MAXIMIZED=FALSE"}</definedName>
    <definedName name="_305__FDSAUDITLINK__" hidden="1">{"fdsup://IBCentral/FAT Viewer?action=UPDATE&amp;creator=factset&amp;DOC_NAME=fat:reuters_annual_source_window.fat&amp;display_string=Audit&amp;DYN_ARGS=TRUE&amp;VAR:ID1=61945A10&amp;VAR:RCODE=FSALE&amp;VAR:SDATE=20080599&amp;VAR:FREQ=Y&amp;VAR:RELITEM=RF&amp;VAR:CURRENCY=&amp;VAR:CURRSOURCE=EXSHARE&amp;","VAR:NATFREQ=ANNUAL&amp;VAR:RFIELD=FINALIZED&amp;VAR:DB_TYPE=&amp;VAR:UNITS=M&amp;window=popup&amp;width=450&amp;height=300&amp;START_MAXIMIZED=FALSE"}</definedName>
    <definedName name="_306__FDSAUDITLINK__" hidden="1">{"fdsup://IBCentral/FAT Viewer?action=UPDATE&amp;creator=factset&amp;DOC_NAME=fat:reuters_annual_source_window.fat&amp;display_string=Audit&amp;DYN_ARGS=TRUE&amp;VAR:ID1=73755L10&amp;VAR:RCODE=STXI&amp;VAR:SDATE=20061299&amp;VAR:FREQ=Y&amp;VAR:RELITEM=RF&amp;VAR:CURRENCY=&amp;VAR:CURRSOURCE=EXSHARE&amp;V","AR:NATFREQ=ANNUAL&amp;VAR:RFIELD=FINALIZED&amp;VAR:DB_TYPE=&amp;VAR:UNITS=M&amp;window=popup&amp;width=450&amp;height=300&amp;START_MAXIMIZED=FALSE"}</definedName>
    <definedName name="_307__FDSAUDITLINK__" hidden="1">{"fdsup://IBCentral/FAT Viewer?action=UPDATE&amp;creator=factset&amp;DOC_NAME=fat:reuters_annual_source_window.fat&amp;display_string=Audit&amp;DYN_ARGS=TRUE&amp;VAR:ID1=61945A10&amp;VAR:RCODE=SCEX&amp;VAR:SDATE=20080599&amp;VAR:FREQ=Y&amp;VAR:RELITEM=RF&amp;VAR:CURRENCY=&amp;VAR:CURRSOURCE=EXSHARE&amp;V","AR:NATFREQ=ANNUAL&amp;VAR:RFIELD=FINALIZED&amp;VAR:DB_TYPE=&amp;VAR:UNITS=M&amp;window=popup&amp;width=450&amp;height=300&amp;START_MAXIMIZED=FALSE"}</definedName>
    <definedName name="_308__FDSAUDITLINK__" hidden="1">{"fdsup://IBCentral/FAT Viewer?action=UPDATE&amp;creator=factset&amp;DOC_NAME=fat:reuters_annual_source_window.fat&amp;display_string=Audit&amp;DYN_ARGS=TRUE&amp;VAR:ID1=73755L10&amp;VAR:RCODE=SCEX&amp;VAR:SDATE=20061299&amp;VAR:FREQ=Y&amp;VAR:RELITEM=RF&amp;VAR:CURRENCY=&amp;VAR:CURRSOURCE=EXSHARE&amp;V","AR:NATFREQ=ANNUAL&amp;VAR:RFIELD=FINALIZED&amp;VAR:DB_TYPE=&amp;VAR:UNITS=M&amp;window=popup&amp;width=450&amp;height=300&amp;START_MAXIMIZED=FALSE"}</definedName>
    <definedName name="_309__FDSAUDITLINK__" hidden="1">{"fdsup://IBCentral/FAT Viewer?action=UPDATE&amp;creator=factset&amp;DOC_NAME=fat:reuters_annual_source_window.fat&amp;display_string=Audit&amp;DYN_ARGS=TRUE&amp;VAR:ID1=61945A10&amp;VAR:RCODE=NINC&amp;VAR:SDATE=20080599&amp;VAR:FREQ=Y&amp;VAR:RELITEM=RF&amp;VAR:CURRENCY=&amp;VAR:CURRSOURCE=EXSHARE&amp;V","AR:NATFREQ=ANNUAL&amp;VAR:RFIELD=FINALIZED&amp;VAR:DB_TYPE=&amp;VAR:UNITS=M&amp;window=popup&amp;width=450&amp;height=300&amp;START_MAXIMIZED=FALSE"}</definedName>
    <definedName name="_30g_0TARIFF_ARBITRAGE_ANALYSIS_1996__">#REF!</definedName>
    <definedName name="_30i_0PE___RIL_MARKET_PRESE">#REF!</definedName>
    <definedName name="_31___0INDUSTRY_MATERIAL_BALANCE___PROJECTI">#REF!</definedName>
    <definedName name="_31__123Graph_ACHART_23" hidden="1">#REF!</definedName>
    <definedName name="_31__Excel_BuiltIn_Print_Area_1">#REF!</definedName>
    <definedName name="_31__FDSAUDITLINK__" hidden="1">{"fdsup://IBCentral/FAT Viewer?action=UPDATE&amp;creator=factset&amp;DOC_NAME=fat:reuters_ytd_source_window.fat&amp;display_string=Audit&amp;DYN_ARGS=TRUE&amp;VAR:ID1=005367&amp;VAR:RCODE=FDSREVSTOTAL&amp;VAR:SDATE=20110199&amp;VAR:FREQ=Quarterly&amp;VAR:RELITEM=RP&amp;VAR:CURRENCY=&amp;VAR:CURRSOURC","E=EXSHARE&amp;VAR:NATFREQ=Quarterly&amp;VAR:RFIELD=FINALIZED&amp;VAR:DB_TYPE=&amp;VAR:UNITS=M&amp;window=popup&amp;width=450&amp;height=300&amp;START_MAXIMIZED=FALSE"}</definedName>
    <definedName name="_310__FDSAUDITLINK__" hidden="1">{"fdsup://IBCentral/FAT Viewer?action=UPDATE&amp;creator=factset&amp;DOC_NAME=fat:reuters_annual_source_window.fat&amp;display_string=Audit&amp;DYN_ARGS=TRUE&amp;VAR:ID1=61945A10&amp;VAR:RCODE=FSALE&amp;VAR:SDATE=20090599&amp;VAR:FREQ=Y&amp;VAR:RELITEM=RF&amp;VAR:CURRENCY=&amp;VAR:CURRSOURCE=EXSHARE&amp;","VAR:NATFREQ=ANNUAL&amp;VAR:RFIELD=FINALIZED&amp;VAR:DB_TYPE=&amp;VAR:UNITS=M&amp;window=popup&amp;width=450&amp;height=300&amp;START_MAXIMIZED=FALSE"}</definedName>
    <definedName name="_311__FDSAUDITLINK__" hidden="1">{"fdsup://IBCentral/FAT Viewer?action=UPDATE&amp;creator=factset&amp;DOC_NAME=fat:reuters_annual_source_window.fat&amp;display_string=Audit&amp;DYN_ARGS=TRUE&amp;VAR:ID1=73755L10&amp;VAR:RCODE=FEBIT&amp;VAR:SDATE=20071299&amp;VAR:FREQ=Y&amp;VAR:RELITEM=RF&amp;VAR:CURRENCY=&amp;VAR:CURRSOURCE=EXSHARE&amp;","VAR:NATFREQ=ANNUAL&amp;VAR:RFIELD=FINALIZED&amp;VAR:DB_TYPE=&amp;VAR:UNITS=M&amp;window=popup&amp;width=450&amp;height=300&amp;START_MAXIMIZED=FALSE"}</definedName>
    <definedName name="_312__FDSAUDITLINK__" hidden="1">{"fdsup://IBCentral/FAT Viewer?action=UPDATE&amp;creator=factset&amp;DOC_NAME=fat:reuters_annual_source_window.fat&amp;display_string=Audit&amp;DYN_ARGS=TRUE&amp;VAR:ID1=61945A10&amp;VAR:RCODE=FDSINVINCTOT&amp;VAR:SDATE=20090599&amp;VAR:FREQ=Y&amp;VAR:RELITEM=RF&amp;VAR:CURRENCY=&amp;VAR:CURRSOURCE=E","XSHARE&amp;VAR:NATFREQ=ANNUAL&amp;VAR:RFIELD=FINALIZED&amp;VAR:DB_TYPE=&amp;VAR:UNITS=M&amp;window=popup&amp;width=450&amp;height=300&amp;START_MAXIMIZED=FALSE"}</definedName>
    <definedName name="_313__FDSAUDITLINK__" hidden="1">{"fdsup://IBCentral/FAT Viewer?action=UPDATE&amp;creator=factset&amp;DOC_NAME=fat:reuters_annual_source_window.fat&amp;display_string=Audit&amp;DYN_ARGS=TRUE&amp;VAR:ID1=61945A10&amp;VAR:RCODE=FEBITDA&amp;VAR:SDATE=20090599&amp;VAR:FREQ=Y&amp;VAR:RELITEM=RF&amp;VAR:CURRENCY=&amp;VAR:CURRSOURCE=EXSHAR","E&amp;VAR:NATFREQ=ANNUAL&amp;VAR:RFIELD=FINALIZED&amp;VAR:DB_TYPE=&amp;VAR:UNITS=M&amp;window=popup&amp;width=450&amp;height=300&amp;START_MAXIMIZED=FALSE"}</definedName>
    <definedName name="_314__FDSAUDITLINK__" hidden="1">{"fdsup://IBCentral/FAT Viewer?action=UPDATE&amp;creator=factset&amp;DOC_NAME=fat:reuters_annual_source_window.fat&amp;display_string=Audit&amp;DYN_ARGS=TRUE&amp;VAR:ID1=73755L10&amp;VAR:RCODE=SCEX&amp;VAR:SDATE=20071299&amp;VAR:FREQ=Y&amp;VAR:RELITEM=RF&amp;VAR:CURRENCY=&amp;VAR:CURRSOURCE=EXSHARE&amp;V","AR:NATFREQ=ANNUAL&amp;VAR:RFIELD=FINALIZED&amp;VAR:DB_TYPE=&amp;VAR:UNITS=M&amp;window=popup&amp;width=450&amp;height=300&amp;START_MAXIMIZED=FALSE"}</definedName>
    <definedName name="_315__FDSAUDITLINK__" hidden="1">{"fdsup://IBCentral/FAT Viewer?action=UPDATE&amp;creator=factset&amp;DOC_NAME=fat:reuters_annual_source_window.fat&amp;display_string=Audit&amp;DYN_ARGS=TRUE&amp;VAR:ID1=73755L10&amp;VAR:RCODE=FEBITDA&amp;VAR:SDATE=20071299&amp;VAR:FREQ=Y&amp;VAR:RELITEM=RF&amp;VAR:CURRENCY=&amp;VAR:CURRSOURCE=EXSHAR","E&amp;VAR:NATFREQ=ANNUAL&amp;VAR:RFIELD=FINALIZED&amp;VAR:DB_TYPE=&amp;VAR:UNITS=M&amp;window=popup&amp;width=450&amp;height=300&amp;START_MAXIMIZED=FALSE"}</definedName>
    <definedName name="_316__FDSAUDITLINK__" hidden="1">{"fdsup://IBCentral/FAT Viewer?action=UPDATE&amp;creator=factset&amp;DOC_NAME=fat:reuters_annual_source_window.fat&amp;display_string=Audit&amp;DYN_ARGS=TRUE&amp;VAR:ID1=61945A10&amp;VAR:RCODE=NINC&amp;VAR:SDATE=20090599&amp;VAR:FREQ=Y&amp;VAR:RELITEM=RF&amp;VAR:CURRENCY=&amp;VAR:CURRSOURCE=EXSHARE&amp;V","AR:NATFREQ=ANNUAL&amp;VAR:RFIELD=FINALIZED&amp;VAR:DB_TYPE=&amp;VAR:UNITS=M&amp;window=popup&amp;width=450&amp;height=300&amp;START_MAXIMIZED=FALSE"}</definedName>
    <definedName name="_317__FDSAUDITLINK__" hidden="1">{"fdsup://IBCentral/FAT Viewer?action=UPDATE&amp;creator=factset&amp;DOC_NAME=fat:reuters_annual_source_window.fat&amp;display_string=Audit&amp;DYN_ARGS=TRUE&amp;VAR:ID1=61945A10&amp;VAR:RCODE=FEBIT&amp;VAR:SDATE=20090599&amp;VAR:FREQ=Y&amp;VAR:RELITEM=RF&amp;VAR:CURRENCY=&amp;VAR:CURRSOURCE=EXSHARE&amp;","VAR:NATFREQ=ANNUAL&amp;VAR:RFIELD=FINALIZED&amp;VAR:DB_TYPE=&amp;VAR:UNITS=M&amp;window=popup&amp;width=450&amp;height=300&amp;START_MAXIMIZED=FALSE"}</definedName>
    <definedName name="_318__FDSAUDITLINK__" hidden="1">{"fdsup://IBCentral/FAT Viewer?action=UPDATE&amp;creator=factset&amp;DOC_NAME=fat:reuters_annual_source_window.fat&amp;display_string=Audit&amp;DYN_ARGS=TRUE&amp;VAR:ID1=73755L10&amp;VAR:RCODE=STXI&amp;VAR:SDATE=20071299&amp;VAR:FREQ=Y&amp;VAR:RELITEM=RF&amp;VAR:CURRENCY=&amp;VAR:CURRSOURCE=EXSHARE&amp;V","AR:NATFREQ=ANNUAL&amp;VAR:RFIELD=FINALIZED&amp;VAR:DB_TYPE=&amp;VAR:UNITS=M&amp;window=popup&amp;width=450&amp;height=300&amp;START_MAXIMIZED=FALSE"}</definedName>
    <definedName name="_319__FDSAUDITLINK__" hidden="1">{"fdsup://IBCentral/FAT Viewer?action=UPDATE&amp;creator=factset&amp;DOC_NAME=fat:reuters_annual_source_window.fat&amp;display_string=Audit&amp;DYN_ARGS=TRUE&amp;VAR:ID1=73755L10&amp;VAR:RCODE=NINC&amp;VAR:SDATE=20071299&amp;VAR:FREQ=Y&amp;VAR:RELITEM=RF&amp;VAR:CURRENCY=&amp;VAR:CURRSOURCE=EXSHARE&amp;V","AR:NATFREQ=ANNUAL&amp;VAR:RFIELD=FINALIZED&amp;VAR:DB_TYPE=&amp;VAR:UNITS=M&amp;window=popup&amp;width=450&amp;height=300&amp;START_MAXIMIZED=FALSE"}</definedName>
    <definedName name="_31g__TARIFF_ARBITRAGE_ANALYSIS_1996__">#REF!</definedName>
    <definedName name="_31INDUSTRY_MATERIAL_BALA">#REF!</definedName>
    <definedName name="_32__123Graph_AChart_3" hidden="1">#REF!</definedName>
    <definedName name="_32__Excel_BuiltIn_Print_Area_1_1">#REF!</definedName>
    <definedName name="_32__FDSAUDITLINK__" hidden="1">{"fdsup://IBCentral/FAT Viewer?action=UPDATE&amp;creator=factset&amp;DOC_NAME=fat:reuters_ytd_source_window.fat&amp;display_string=Audit&amp;DYN_ARGS=TRUE&amp;VAR:ID1=40403010&amp;VAR:RCODE=FDSINTINCTOTAL&amp;VAR:SDATE=20100399&amp;VAR:FREQ=Quarterly&amp;VAR:RELITEM=RP&amp;VAR:CURRENCY=&amp;VAR:CURRS","OURCE=EXSHARE&amp;VAR:NATFREQ=Quarterly&amp;VAR:RFIELD=FINALIZED&amp;VAR:DB_TYPE=&amp;VAR:UNITS=M&amp;window=popup&amp;width=450&amp;height=300&amp;START_MAXIMIZED=FALSE"}</definedName>
    <definedName name="_32_0_0PE___Q1_REV">#REF!</definedName>
    <definedName name="_32§__Business___Market_Spr">#REF!</definedName>
    <definedName name="_32…__PRICE_FORECAST___1995">#REF!</definedName>
    <definedName name="_320__FDSAUDITLINK__" hidden="1">{"fdsup://IBCentral/FAT Viewer?action=UPDATE&amp;creator=factset&amp;DOC_NAME=fat:reuters_annual_source_window.fat&amp;display_string=Audit&amp;DYN_ARGS=TRUE&amp;VAR:ID1=73755L10&amp;VAR:RCODE=NIBX&amp;VAR:SDATE=20071299&amp;VAR:FREQ=Y&amp;VAR:RELITEM=RF&amp;VAR:CURRENCY=&amp;VAR:CURRSOURCE=EXSHARE&amp;V","AR:NATFREQ=ANNUAL&amp;VAR:RFIELD=FINALIZED&amp;VAR:DB_TYPE=&amp;VAR:UNITS=M&amp;window=popup&amp;width=450&amp;height=300&amp;START_MAXIMIZED=FALSE"}</definedName>
    <definedName name="_321__FDSAUDITLINK__" hidden="1">{"fdsup://IBCentral/FAT Viewer?action=UPDATE&amp;creator=factset&amp;DOC_NAME=fat:reuters_annual_source_window.fat&amp;display_string=Audit&amp;DYN_ARGS=TRUE&amp;VAR:ID1=73755L10&amp;VAR:RCODE=FSALE&amp;VAR:SDATE=20071299&amp;VAR:FREQ=Y&amp;VAR:RELITEM=RF&amp;VAR:CURRENCY=&amp;VAR:CURRSOURCE=EXSHARE&amp;","VAR:NATFREQ=ANNUAL&amp;VAR:RFIELD=FINALIZED&amp;VAR:DB_TYPE=&amp;VAR:UNITS=M&amp;window=popup&amp;width=450&amp;height=300&amp;START_MAXIMIZED=FALSE"}</definedName>
    <definedName name="_322__FDSAUDITLINK__" hidden="1">{"fdsup://IBCentral/FAT Viewer?action=UPDATE&amp;creator=factset&amp;DOC_NAME=fat:reuters_annual_source_window.fat&amp;display_string=Audit&amp;DYN_ARGS=TRUE&amp;VAR:ID1=73755L10&amp;VAR:RCODE=FDSINVINCTOT&amp;VAR:SDATE=20071299&amp;VAR:FREQ=Y&amp;VAR:RELITEM=RF&amp;VAR:CURRENCY=&amp;VAR:CURRSOURCE=E","XSHARE&amp;VAR:NATFREQ=ANNUAL&amp;VAR:RFIELD=FINALIZED&amp;VAR:DB_TYPE=&amp;VAR:UNITS=M&amp;window=popup&amp;width=450&amp;height=300&amp;START_MAXIMIZED=FALSE"}</definedName>
    <definedName name="_323__FDSAUDITLINK__" hidden="1">{"fdsup://IBCentral/FAT Viewer?action=UPDATE&amp;creator=factset&amp;DOC_NAME=fat:reuters_annual_source_window.fat&amp;display_string=Audit&amp;DYN_ARGS=TRUE&amp;VAR:ID1=73755L10&amp;VAR:RCODE=FDSINVINCTOT&amp;VAR:SDATE=20081299&amp;VAR:FREQ=Y&amp;VAR:RELITEM=RF&amp;VAR:CURRENCY=&amp;VAR:CURRSOURCE=E","XSHARE&amp;VAR:NATFREQ=ANNUAL&amp;VAR:RFIELD=FINALIZED&amp;VAR:DB_TYPE=&amp;VAR:UNITS=M&amp;window=popup&amp;width=450&amp;height=300&amp;START_MAXIMIZED=FALSE"}</definedName>
    <definedName name="_324__FDSAUDITLINK__" hidden="1">{"fdsup://IBCentral/FAT Viewer?action=UPDATE&amp;creator=factset&amp;DOC_NAME=fat:reuters_annual_source_window.fat&amp;display_string=Audit&amp;DYN_ARGS=TRUE&amp;VAR:ID1=73755L10&amp;VAR:RCODE=FEBIT&amp;VAR:SDATE=20091299&amp;VAR:FREQ=Y&amp;VAR:RELITEM=RF&amp;VAR:CURRENCY=&amp;VAR:CURRSOURCE=EXSHARE&amp;","VAR:NATFREQ=ANNUAL&amp;VAR:RFIELD=FINALIZED&amp;VAR:DB_TYPE=&amp;VAR:UNITS=M&amp;window=popup&amp;width=450&amp;height=300&amp;START_MAXIMIZED=FALSE"}</definedName>
    <definedName name="_325__FDSAUDITLINK__" hidden="1">{"fdsup://IBCentral/FAT Viewer?action=UPDATE&amp;creator=factset&amp;DOC_NAME=fat:reuters_annual_source_window.fat&amp;display_string=Audit&amp;DYN_ARGS=TRUE&amp;VAR:ID1=61945A10&amp;VAR:RCODE=STXI&amp;VAR:SDATE=20100599&amp;VAR:FREQ=Y&amp;VAR:RELITEM=RF&amp;VAR:CURRENCY=&amp;VAR:CURRSOURCE=EXSHARE&amp;V","AR:NATFREQ=ANNUAL&amp;VAR:RFIELD=FINALIZED&amp;VAR:DB_TYPE=&amp;VAR:UNITS=M&amp;window=popup&amp;width=450&amp;height=300&amp;START_MAXIMIZED=FALSE"}</definedName>
    <definedName name="_326__FDSAUDITLINK__" hidden="1">{"fdsup://IBCentral/FAT Viewer?action=UPDATE&amp;creator=factset&amp;DOC_NAME=fat:reuters_annual_source_window.fat&amp;display_string=Audit&amp;DYN_ARGS=TRUE&amp;VAR:ID1=73755L10&amp;VAR:RCODE=FEBITDA&amp;VAR:SDATE=20081299&amp;VAR:FREQ=Y&amp;VAR:RELITEM=RF&amp;VAR:CURRENCY=&amp;VAR:CURRSOURCE=EXSHAR","E&amp;VAR:NATFREQ=ANNUAL&amp;VAR:RFIELD=FINALIZED&amp;VAR:DB_TYPE=&amp;VAR:UNITS=M&amp;window=popup&amp;width=450&amp;height=300&amp;START_MAXIMIZED=FALSE"}</definedName>
    <definedName name="_327__FDSAUDITLINK__" hidden="1">{"fdsup://IBCentral/FAT Viewer?action=UPDATE&amp;creator=factset&amp;DOC_NAME=fat:reuters_annual_source_window.fat&amp;display_string=Audit&amp;DYN_ARGS=TRUE&amp;VAR:ID1=73755L10&amp;VAR:RCODE=STXI&amp;VAR:SDATE=20091299&amp;VAR:FREQ=Y&amp;VAR:RELITEM=RF&amp;VAR:CURRENCY=&amp;VAR:CURRSOURCE=EXSHARE&amp;V","AR:NATFREQ=ANNUAL&amp;VAR:RFIELD=FINALIZED&amp;VAR:DB_TYPE=&amp;VAR:UNITS=M&amp;window=popup&amp;width=450&amp;height=300&amp;START_MAXIMIZED=FALSE"}</definedName>
    <definedName name="_328__FDSAUDITLINK__" hidden="1">{"fdsup://IBCentral/FAT Viewer?action=UPDATE&amp;creator=factset&amp;DOC_NAME=fat:reuters_annual_source_window.fat&amp;display_string=Audit&amp;DYN_ARGS=TRUE&amp;VAR:ID1=61945A10&amp;VAR:RCODE=FEBIT&amp;VAR:SDATE=20100599&amp;VAR:FREQ=Y&amp;VAR:RELITEM=RF&amp;VAR:CURRENCY=&amp;VAR:CURRSOURCE=EXSHARE&amp;","VAR:NATFREQ=ANNUAL&amp;VAR:RFIELD=FINALIZED&amp;VAR:DB_TYPE=&amp;VAR:UNITS=M&amp;window=popup&amp;width=450&amp;height=300&amp;START_MAXIMIZED=FALSE"}</definedName>
    <definedName name="_329__FDSAUDITLINK__" hidden="1">{"fdsup://IBCentral/FAT Viewer?action=UPDATE&amp;creator=factset&amp;DOC_NAME=fat:reuters_annual_source_window.fat&amp;display_string=Audit&amp;DYN_ARGS=TRUE&amp;VAR:ID1=73755L10&amp;VAR:RCODE=FDSINVINCTOT&amp;VAR:SDATE=20091299&amp;VAR:FREQ=Y&amp;VAR:RELITEM=RF&amp;VAR:CURRENCY=&amp;VAR:CURRSOURCE=E","XSHARE&amp;VAR:NATFREQ=ANNUAL&amp;VAR:RFIELD=FINALIZED&amp;VAR:DB_TYPE=&amp;VAR:UNITS=M&amp;window=popup&amp;width=450&amp;height=300&amp;START_MAXIMIZED=FALSE"}</definedName>
    <definedName name="_32i__PE___RIL_MARKET_PRESE">#REF!</definedName>
    <definedName name="_32i_0PE___RIL_MARKET_PRESE">#REF!</definedName>
    <definedName name="_33___0INDUSTRY_MATERIAL_BALA">#REF!</definedName>
    <definedName name="_33__123Graph_AChart_4" hidden="1">#REF!</definedName>
    <definedName name="_33__Excel_BuiltIn_Print_Area_1_2">(#REF!,#REF!)</definedName>
    <definedName name="_33__Excel_BuiltIn_Print_Titles_4_1">(#REF!,#REF!)</definedName>
    <definedName name="_33__FDSAUDITLINK__" hidden="1">{"fdsup://IBCentral/FAT Viewer?action=UPDATE&amp;creator=factset&amp;DOC_NAME=fat:reuters_annual_source_window.fat&amp;display_string=Audit&amp;DYN_ARGS=TRUE&amp;VAR:ID1=74972L10&amp;VAR:RCODE=FDSINTINCTOTAL&amp;VAR:SDATE=20101299&amp;VAR:FREQ=Y&amp;VAR:RELITEM=RP&amp;VAR:CURRENCY=&amp;VAR:CURRSOURCE","=EXSHARE&amp;VAR:NATFREQ=ANNUAL&amp;VAR:RFIELD=FINALIZED&amp;VAR:DB_TYPE=&amp;VAR:UNITS=M&amp;window=popup&amp;width=450&amp;height=300&amp;START_MAXIMIZED=FALSE"}</definedName>
    <definedName name="_330__FDSAUDITLINK__" hidden="1">{"fdsup://IBCentral/FAT Viewer?action=UPDATE&amp;creator=factset&amp;DOC_NAME=fat:reuters_annual_source_window.fat&amp;display_string=Audit&amp;DYN_ARGS=TRUE&amp;VAR:ID1=73755L10&amp;VAR:RCODE=FSALE&amp;VAR:SDATE=20081299&amp;VAR:FREQ=Y&amp;VAR:RELITEM=RF&amp;VAR:CURRENCY=&amp;VAR:CURRSOURCE=EXSHARE&amp;","VAR:NATFREQ=ANNUAL&amp;VAR:RFIELD=FINALIZED&amp;VAR:DB_TYPE=&amp;VAR:UNITS=M&amp;window=popup&amp;width=450&amp;height=300&amp;START_MAXIMIZED=FALSE"}</definedName>
    <definedName name="_331__FDSAUDITLINK__" hidden="1">{"fdsup://IBCentral/FAT Viewer?action=UPDATE&amp;creator=factset&amp;DOC_NAME=fat:reuters_annual_source_window.fat&amp;display_string=Audit&amp;DYN_ARGS=TRUE&amp;VAR:ID1=73755L10&amp;VAR:RCODE=STXI&amp;VAR:SDATE=20081299&amp;VAR:FREQ=Y&amp;VAR:RELITEM=RF&amp;VAR:CURRENCY=&amp;VAR:CURRSOURCE=EXSHARE&amp;V","AR:NATFREQ=ANNUAL&amp;VAR:RFIELD=FINALIZED&amp;VAR:DB_TYPE=&amp;VAR:UNITS=M&amp;window=popup&amp;width=450&amp;height=300&amp;START_MAXIMIZED=FALSE"}</definedName>
    <definedName name="_332__FDSAUDITLINK__" hidden="1">{"fdsup://IBCentral/FAT Viewer?action=UPDATE&amp;creator=factset&amp;DOC_NAME=fat:reuters_annual_source_window.fat&amp;display_string=Audit&amp;DYN_ARGS=TRUE&amp;VAR:ID1=73755L10&amp;VAR:RCODE=FEBIT&amp;VAR:SDATE=20081299&amp;VAR:FREQ=Y&amp;VAR:RELITEM=RF&amp;VAR:CURRENCY=&amp;VAR:CURRSOURCE=EXSHARE&amp;","VAR:NATFREQ=ANNUAL&amp;VAR:RFIELD=FINALIZED&amp;VAR:DB_TYPE=&amp;VAR:UNITS=M&amp;window=popup&amp;width=450&amp;height=300&amp;START_MAXIMIZED=FALSE"}</definedName>
    <definedName name="_333__FDSAUDITLINK__" hidden="1">{"fdsup://IBCentral/FAT Viewer?action=UPDATE&amp;creator=factset&amp;DOC_NAME=fat:reuters_annual_source_window.fat&amp;display_string=Audit&amp;DYN_ARGS=TRUE&amp;VAR:ID1=73755L10&amp;VAR:RCODE=FEBITDA&amp;VAR:SDATE=20091299&amp;VAR:FREQ=Y&amp;VAR:RELITEM=RF&amp;VAR:CURRENCY=&amp;VAR:CURRSOURCE=EXSHAR","E&amp;VAR:NATFREQ=ANNUAL&amp;VAR:RFIELD=FINALIZED&amp;VAR:DB_TYPE=&amp;VAR:UNITS=M&amp;window=popup&amp;width=450&amp;height=300&amp;START_MAXIMIZED=FALSE"}</definedName>
    <definedName name="_334__FDSAUDITLINK__" hidden="1">{"fdsup://IBCentral/FAT Viewer?action=UPDATE&amp;creator=factset&amp;DOC_NAME=fat:reuters_annual_source_window.fat&amp;display_string=Audit&amp;DYN_ARGS=TRUE&amp;VAR:ID1=73755L10&amp;VAR:RCODE=SCEX&amp;VAR:SDATE=20081299&amp;VAR:FREQ=Y&amp;VAR:RELITEM=RF&amp;VAR:CURRENCY=&amp;VAR:CURRSOURCE=EXSHARE&amp;V","AR:NATFREQ=ANNUAL&amp;VAR:RFIELD=FINALIZED&amp;VAR:DB_TYPE=&amp;VAR:UNITS=M&amp;window=popup&amp;width=450&amp;height=300&amp;START_MAXIMIZED=FALSE"}</definedName>
    <definedName name="_335__FDSAUDITLINK__" hidden="1">{"fdsup://IBCentral/FAT Viewer?action=UPDATE&amp;creator=factset&amp;DOC_NAME=fat:reuters_annual_source_window.fat&amp;display_string=Audit&amp;DYN_ARGS=TRUE&amp;VAR:ID1=61945A10&amp;VAR:RCODE=SCEX&amp;VAR:SDATE=20100599&amp;VAR:FREQ=Y&amp;VAR:RELITEM=RF&amp;VAR:CURRENCY=&amp;VAR:CURRSOURCE=EXSHARE&amp;V","AR:NATFREQ=ANNUAL&amp;VAR:RFIELD=FINALIZED&amp;VAR:DB_TYPE=&amp;VAR:UNITS=M&amp;window=popup&amp;width=450&amp;height=300&amp;START_MAXIMIZED=FALSE"}</definedName>
    <definedName name="_336__FDSAUDITLINK__" hidden="1">{"fdsup://IBCentral/FAT Viewer?action=UPDATE&amp;creator=factset&amp;DOC_NAME=fat:reuters_annual_source_window.fat&amp;display_string=Audit&amp;DYN_ARGS=TRUE&amp;VAR:ID1=61945A10&amp;VAR:RCODE=FSALE&amp;VAR:SDATE=20100599&amp;VAR:FREQ=Y&amp;VAR:RELITEM=RF&amp;VAR:CURRENCY=&amp;VAR:CURRSOURCE=EXSHARE&amp;","VAR:NATFREQ=ANNUAL&amp;VAR:RFIELD=FINALIZED&amp;VAR:DB_TYPE=&amp;VAR:UNITS=M&amp;window=popup&amp;width=450&amp;height=300&amp;START_MAXIMIZED=FALSE"}</definedName>
    <definedName name="_337__FDSAUDITLINK__" hidden="1">{"fdsup://IBCentral/FAT Viewer?action=UPDATE&amp;creator=factset&amp;DOC_NAME=fat:reuters_annual_source_window.fat&amp;display_string=Audit&amp;DYN_ARGS=TRUE&amp;VAR:ID1=73755L10&amp;VAR:RCODE=NIBX&amp;VAR:SDATE=20081299&amp;VAR:FREQ=Y&amp;VAR:RELITEM=RF&amp;VAR:CURRENCY=&amp;VAR:CURRSOURCE=EXSHARE&amp;V","AR:NATFREQ=ANNUAL&amp;VAR:RFIELD=FINALIZED&amp;VAR:DB_TYPE=&amp;VAR:UNITS=M&amp;window=popup&amp;width=450&amp;height=300&amp;START_MAXIMIZED=FALSE"}</definedName>
    <definedName name="_338__FDSAUDITLINK__" hidden="1">{"fdsup://IBCentral/FAT Viewer?action=UPDATE&amp;creator=factset&amp;DOC_NAME=fat:reuters_annual_source_window.fat&amp;display_string=Audit&amp;DYN_ARGS=TRUE&amp;VAR:ID1=73755L10&amp;VAR:RCODE=NIBX&amp;VAR:SDATE=20091299&amp;VAR:FREQ=Y&amp;VAR:RELITEM=RF&amp;VAR:CURRENCY=&amp;VAR:CURRSOURCE=EXSHARE&amp;V","AR:NATFREQ=ANNUAL&amp;VAR:RFIELD=FINALIZED&amp;VAR:DB_TYPE=&amp;VAR:UNITS=M&amp;window=popup&amp;width=450&amp;height=300&amp;START_MAXIMIZED=FALSE"}</definedName>
    <definedName name="_339__FDSAUDITLINK__" hidden="1">{"fdsup://IBCentral/FAT Viewer?action=UPDATE&amp;creator=factset&amp;DOC_NAME=fat:reuters_annual_source_window.fat&amp;display_string=Audit&amp;DYN_ARGS=TRUE&amp;VAR:ID1=61945A10&amp;VAR:RCODE=NINC&amp;VAR:SDATE=20100599&amp;VAR:FREQ=Y&amp;VAR:RELITEM=RF&amp;VAR:CURRENCY=&amp;VAR:CURRSOURCE=EXSHARE&amp;V","AR:NATFREQ=ANNUAL&amp;VAR:RFIELD=FINALIZED&amp;VAR:DB_TYPE=&amp;VAR:UNITS=M&amp;window=popup&amp;width=450&amp;height=300&amp;START_MAXIMIZED=FALSE"}</definedName>
    <definedName name="_33INDUSTRY_MATERIAL_BALA">#REF!</definedName>
    <definedName name="_33ø_0PE_CUSTOMER_SPR">#REF!</definedName>
    <definedName name="_34___0PE_REV">#REF!</definedName>
    <definedName name="_34__123Graph_AChart_5" hidden="1">#REF!</definedName>
    <definedName name="_34__Excel_BuiltIn_Print_Area_1_3">#REF!</definedName>
    <definedName name="_34__FDSAUDITLINK__" hidden="1">{"fdsup://IBCentral/FAT Viewer?action=UPDATE&amp;creator=factset&amp;DOC_NAME=fat:reuters_ytd_source_window.fat&amp;display_string=Audit&amp;DYN_ARGS=TRUE&amp;VAR:ID1=91136310&amp;VAR:RCODE=FDSINTINCTOTAL&amp;VAR:SDATE=20110399&amp;VAR:FREQ=Quarterly&amp;VAR:RELITEM=RP&amp;VAR:CURRENCY=&amp;VAR:CURRS","OURCE=EXSHARE&amp;VAR:NATFREQ=Quarterly&amp;VAR:RFIELD=FINALIZED&amp;VAR:DB_TYPE=&amp;VAR:UNITS=M&amp;window=popup&amp;width=450&amp;height=300&amp;START_MAXIMIZED=FALSE"}</definedName>
    <definedName name="_34_0_0PE___Q1_REV">#REF!</definedName>
    <definedName name="_34…_0PRICE_FORECAST___1995">#REF!</definedName>
    <definedName name="_340__FDSAUDITLINK__" hidden="1">{"fdsup://IBCentral/FAT Viewer?action=UPDATE&amp;creator=factset&amp;DOC_NAME=fat:reuters_annual_source_window.fat&amp;display_string=Audit&amp;DYN_ARGS=TRUE&amp;VAR:ID1=61945A10&amp;VAR:RCODE=FEBITDA&amp;VAR:SDATE=20100599&amp;VAR:FREQ=Y&amp;VAR:RELITEM=RF&amp;VAR:CURRENCY=&amp;VAR:CURRSOURCE=EXSHAR","E&amp;VAR:NATFREQ=ANNUAL&amp;VAR:RFIELD=FINALIZED&amp;VAR:DB_TYPE=&amp;VAR:UNITS=M&amp;window=popup&amp;width=450&amp;height=300&amp;START_MAXIMIZED=FALSE"}</definedName>
    <definedName name="_341__FDSAUDITLINK__" hidden="1">{"fdsup://IBCentral/FAT Viewer?action=UPDATE&amp;creator=factset&amp;DOC_NAME=fat:reuters_annual_source_window.fat&amp;display_string=Audit&amp;DYN_ARGS=TRUE&amp;VAR:ID1=61945A10&amp;VAR:RCODE=NIBX&amp;VAR:SDATE=20100599&amp;VAR:FREQ=Y&amp;VAR:RELITEM=RF&amp;VAR:CURRENCY=&amp;VAR:CURRSOURCE=EXSHARE&amp;V","AR:NATFREQ=ANNUAL&amp;VAR:RFIELD=FINALIZED&amp;VAR:DB_TYPE=&amp;VAR:UNITS=M&amp;window=popup&amp;width=450&amp;height=300&amp;START_MAXIMIZED=FALSE"}</definedName>
    <definedName name="_342__FDSAUDITLINK__" hidden="1">{"fdsup://IBCentral/FAT Viewer?action=UPDATE&amp;creator=factset&amp;DOC_NAME=fat:reuters_annual_source_window.fat&amp;display_string=Audit&amp;DYN_ARGS=TRUE&amp;VAR:ID1=61945A10&amp;VAR:RCODE=FDSINVINCTOT&amp;VAR:SDATE=20100599&amp;VAR:FREQ=Y&amp;VAR:RELITEM=RF&amp;VAR:CURRENCY=&amp;VAR:CURRSOURCE=E","XSHARE&amp;VAR:NATFREQ=ANNUAL&amp;VAR:RFIELD=FINALIZED&amp;VAR:DB_TYPE=&amp;VAR:UNITS=M&amp;window=popup&amp;width=450&amp;height=300&amp;START_MAXIMIZED=FALSE"}</definedName>
    <definedName name="_343__FDSAUDITLINK__" hidden="1">{"fdsup://IBCentral/FAT Viewer?action=UPDATE&amp;creator=factset&amp;DOC_NAME=fat:reuters_annual_source_window.fat&amp;display_string=Audit&amp;DYN_ARGS=TRUE&amp;VAR:ID1=73755L10&amp;VAR:RCODE=NINC&amp;VAR:SDATE=20081299&amp;VAR:FREQ=Y&amp;VAR:RELITEM=RF&amp;VAR:CURRENCY=&amp;VAR:CURRSOURCE=EXSHARE&amp;V","AR:NATFREQ=ANNUAL&amp;VAR:RFIELD=FINALIZED&amp;VAR:DB_TYPE=&amp;VAR:UNITS=M&amp;window=popup&amp;width=450&amp;height=300&amp;START_MAXIMIZED=FALSE"}</definedName>
    <definedName name="_344__FDSAUDITLINK__" hidden="1">{"fdsup://IBCentral/FAT Viewer?action=UPDATE&amp;creator=factset&amp;DOC_NAME=fat:reuters_qtrly_source_window.fat&amp;display_string=Audit&amp;DYN_ARGS=TRUE&amp;VAR:ID1=61945A10&amp;VAR:RCODE=SCSI&amp;VAR:SDATE=20110299&amp;VAR:FREQ=Quarterly&amp;VAR:RELITEM=RP&amp;VAR:CURRENCY=&amp;VAR:CURRSOURCE=EX","SHARE&amp;VAR:NATFREQ=QUARTERLY&amp;VAR:RFIELD=FINALIZED&amp;VAR:DB_TYPE=&amp;VAR:UNITS=M&amp;window=popup&amp;width=450&amp;height=300&amp;START_MAXIMIZED=FALSE"}</definedName>
    <definedName name="_345__FDSAUDITLINK__" hidden="1">{"fdsup://IBCentral/FAT Viewer?action=UPDATE&amp;creator=factset&amp;DOC_NAME=fat:reuters_annual_source_window.fat&amp;display_string=Audit&amp;DYN_ARGS=TRUE&amp;VAR:ID1=73755L10&amp;VAR:RCODE=FSALE&amp;VAR:SDATE=20091299&amp;VAR:FREQ=Y&amp;VAR:RELITEM=RF&amp;VAR:CURRENCY=&amp;VAR:CURRSOURCE=EXSHARE&amp;","VAR:NATFREQ=ANNUAL&amp;VAR:RFIELD=FINALIZED&amp;VAR:DB_TYPE=&amp;VAR:UNITS=M&amp;window=popup&amp;width=450&amp;height=300&amp;START_MAXIMIZED=FALSE"}</definedName>
    <definedName name="_346__FDSAUDITLINK__" hidden="1">{"fdsup://IBCentral/FAT Viewer?action=UPDATE&amp;creator=factset&amp;DOC_NAME=fat:reuters_qtrly_source_window.fat&amp;display_string=Audit&amp;DYN_ARGS=TRUE&amp;VAR:ID1=61945A10&amp;VAR:RCODE=AEQI&amp;VAR:SDATE=20110299&amp;VAR:FREQ=Quarterly&amp;VAR:RELITEM=RP&amp;VAR:CURRENCY=&amp;VAR:CURRSOURCE=EX","SHARE&amp;VAR:NATFREQ=QUARTERLY&amp;VAR:RFIELD=FINALIZED&amp;VAR:DB_TYPE=&amp;VAR:UNITS=M&amp;window=popup&amp;width=450&amp;height=300&amp;START_MAXIMIZED=FALSE"}</definedName>
    <definedName name="_347__FDSAUDITLINK__" hidden="1">{"fdsup://IBCentral/FAT Viewer?action=UPDATE&amp;creator=factset&amp;DOC_NAME=fat:reuters_annual_source_window.fat&amp;display_string=Audit&amp;DYN_ARGS=TRUE&amp;VAR:ID1=73755L10&amp;VAR:RCODE=NINC&amp;VAR:SDATE=20091299&amp;VAR:FREQ=Y&amp;VAR:RELITEM=RF&amp;VAR:CURRENCY=&amp;VAR:CURRSOURCE=EXSHARE&amp;V","AR:NATFREQ=ANNUAL&amp;VAR:RFIELD=FINALIZED&amp;VAR:DB_TYPE=&amp;VAR:UNITS=M&amp;window=popup&amp;width=450&amp;height=300&amp;START_MAXIMIZED=FALSE"}</definedName>
    <definedName name="_348__FDSAUDITLINK__" hidden="1">{"fdsup://IBCentral/FAT Viewer?action=UPDATE&amp;creator=factset&amp;DOC_NAME=fat:reuters_annual_source_window.fat&amp;display_string=Audit&amp;DYN_ARGS=TRUE&amp;VAR:ID1=73755L10&amp;VAR:RCODE=SCEX&amp;VAR:SDATE=20091299&amp;VAR:FREQ=Y&amp;VAR:RELITEM=RF&amp;VAR:CURRENCY=&amp;VAR:CURRSOURCE=EXSHARE&amp;V","AR:NATFREQ=ANNUAL&amp;VAR:RFIELD=FINALIZED&amp;VAR:DB_TYPE=&amp;VAR:UNITS=M&amp;window=popup&amp;width=450&amp;height=300&amp;START_MAXIMIZED=FALSE"}</definedName>
    <definedName name="_349__FDSAUDITLINK__" hidden="1">{"fdsup://directions/FAT Viewer?action=UPDATE&amp;creator=factset&amp;DYN_ARGS=TRUE&amp;DOC_NAME=FAT:FQL_AUDITING_CLIENT_TEMPLATE.FAT&amp;display_string=Audit&amp;VAR:KEY=XSNUXCDONS&amp;VAR:QUERY=UkdGX0lOVEFORyhBTk4sNDA2MDIsLCwsLCxOT0FVRElUKQ==&amp;WINDOW=FIRST_POPUP&amp;HEIGHT=450&amp;WIDTH=","450&amp;START_MAXIMIZED=FALSE&amp;VAR:CALENDAR=FIVEDAY&amp;VAR:SYMBOL=61945A10&amp;VAR:INDEX=0"}</definedName>
    <definedName name="_34i__PE___RIL_MARKET_PRESE">#REF!</definedName>
    <definedName name="_34ø__PE_CUSTOMER_SPR">#REF!</definedName>
    <definedName name="_35___0RE">#REF!</definedName>
    <definedName name="_35__123Graph_AChart_6" hidden="1">#REF!</definedName>
    <definedName name="_35__Excel_BuiltIn_Print_Area_1_4">#REF!</definedName>
    <definedName name="_35__FDSAUDITLINK__" hidden="1">{"fdsup://IBCentral/FAT Viewer?action=UPDATE&amp;creator=factset&amp;DOC_NAME=fat:reuters_qtrly_source_window.fat&amp;display_string=Audit&amp;DYN_ARGS=TRUE&amp;VAR:ID1=91136310&amp;VAR:RCODE=SCEX&amp;VAR:SDATE=20110399&amp;VAR:FREQ=Quarterly&amp;VAR:RELITEM=RP&amp;VAR:CURRENCY=&amp;VAR:CURRSOURCE=EX","SHARE&amp;VAR:NATFREQ=QUARTERLY&amp;VAR:RFIELD=FINALIZED&amp;VAR:DB_TYPE=&amp;VAR:UNITS=M&amp;window=popup&amp;width=450&amp;height=300&amp;START_MAXIMIZED=FALSE"}</definedName>
    <definedName name="_350__FDSAUDITLINK__" hidden="1">{"fdsup://IBCentral/FAT Viewer?action=UPDATE&amp;creator=factset&amp;DOC_NAME=fat:reuters_qtrly_source_window.fat&amp;display_string=Audit&amp;DYN_ARGS=TRUE&amp;VAR:ID1=61945A10&amp;VAR:RCODE=DSTT&amp;VAR:SDATE=20110299&amp;VAR:FREQ=Quarterly&amp;VAR:RELITEM=RP&amp;VAR:CURRENCY=&amp;VAR:CURRSOURCE=EX","SHARE&amp;VAR:NATFREQ=QUARTERLY&amp;VAR:RFIELD=FINALIZED&amp;VAR:DB_TYPE=&amp;VAR:UNITS=M&amp;window=popup&amp;width=450&amp;height=300&amp;START_MAXIMIZED=FALSE"}</definedName>
    <definedName name="_351__FDSAUDITLINK__" hidden="1">{"fdsup://IBCentral/FAT Viewer?action=UPDATE&amp;creator=factset&amp;DOC_NAME=fat:reuters_qtrly_source_window.fat&amp;display_string=Audit&amp;DYN_ARGS=TRUE&amp;VAR:ID1=61945A10&amp;VAR:RCODE=LLTD&amp;VAR:SDATE=20110299&amp;VAR:FREQ=Quarterly&amp;VAR:RELITEM=RP&amp;VAR:CURRENCY=&amp;VAR:CURRSOURCE=EX","SHARE&amp;VAR:NATFREQ=QUARTERLY&amp;VAR:RFIELD=FINALIZED&amp;VAR:DB_TYPE=&amp;VAR:UNITS=M&amp;window=popup&amp;width=450&amp;height=300&amp;START_MAXIMIZED=FALSE"}</definedName>
    <definedName name="_352__FDSAUDITLINK__" hidden="1">{"fdsup://IBCentral/FAT Viewer?action=UPDATE&amp;creator=factset&amp;DOC_NAME=fat:reuters_qtrly_source_window.fat&amp;display_string=Audit&amp;DYN_ARGS=TRUE&amp;VAR:ID1=61945A10&amp;VAR:RCODE=LMIN&amp;VAR:SDATE=20110299&amp;VAR:FREQ=Quarterly&amp;VAR:RELITEM=RP&amp;VAR:CURRENCY=&amp;VAR:CURRSOURCE=EX","SHARE&amp;VAR:NATFREQ=QUARTERLY&amp;VAR:RFIELD=FINALIZED&amp;VAR:DB_TYPE=&amp;VAR:UNITS=M&amp;window=popup&amp;width=450&amp;height=300&amp;START_MAXIMIZED=FALSE"}</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4__FDSAUDITLINK__" hidden="1">{"fdsup://IBCentral/FAT Viewer?action=UPDATE&amp;creator=factset&amp;DOC_NAME=fat:reuters_annual_source_window.fat&amp;display_string=Audit&amp;DYN_ARGS=TRUE&amp;VAR:ID1=61945A10&amp;VAR:RCODE=FDSPFDSTKTOTAL&amp;VAR:SDATE=20100599&amp;VAR:FREQ=Y&amp;VAR:RELITEM=RP&amp;VAR:CURRENCY=&amp;VAR:CURRSOURCE","=EXSHARE&amp;VAR:NATFREQ=ANNUAL&amp;VAR:RFIELD=FINALIZED&amp;VAR:DB_TYPE=&amp;VAR:UNITS=M&amp;window=popup&amp;width=450&amp;height=300&amp;START_MAXIMIZED=FALSE"}</definedName>
    <definedName name="_355__FDSAUDITLINK__" hidden="1">{"fdsup://IBCentral/FAT Viewer?action=UPDATE&amp;creator=factset&amp;DOC_NAME=fat:reuters_annual_source_window.fat&amp;display_string=Audit&amp;DYN_ARGS=TRUE&amp;VAR:ID1=73755L10&amp;VAR:RCODE=STXI&amp;VAR:SDATE=20101299&amp;VAR:FREQ=Y&amp;VAR:RELITEM=RF&amp;VAR:CURRENCY=&amp;VAR:CURRSOURCE=EXSHARE&amp;V","AR:NATFREQ=ANNUAL&amp;VAR:RFIELD=FINALIZED&amp;VAR:DB_TYPE=&amp;VAR:UNITS=M&amp;window=popup&amp;width=450&amp;height=300&amp;START_MAXIMIZED=FALSE"}</definedName>
    <definedName name="_356__FDSAUDITLINK__" hidden="1">{"fdsup://IBCentral/FAT Viewer?action=UPDATE&amp;creator=factset&amp;DOC_NAME=fat:reuters_annual_source_window.fat&amp;display_string=Audit&amp;DYN_ARGS=TRUE&amp;VAR:ID1=73755L10&amp;VAR:RCODE=FSALE&amp;VAR:SDATE=20101299&amp;VAR:FREQ=Y&amp;VAR:RELITEM=RF&amp;VAR:CURRENCY=&amp;VAR:CURRSOURCE=EXSHARE&amp;","VAR:NATFREQ=ANNUAL&amp;VAR:RFIELD=FINALIZED&amp;VAR:DB_TYPE=&amp;VAR:UNITS=M&amp;window=popup&amp;width=450&amp;height=300&amp;START_MAXIMIZED=FALSE"}</definedName>
    <definedName name="_357__FDSAUDITLINK__" hidden="1">{"fdsup://IBCentral/FAT Viewer?action=UPDATE&amp;creator=factset&amp;DOC_NAME=fat:reuters_annual_source_window.fat&amp;display_string=Audit&amp;DYN_ARGS=TRUE&amp;VAR:ID1=73755L10&amp;VAR:RCODE=NINC&amp;VAR:SDATE=20101299&amp;VAR:FREQ=Y&amp;VAR:RELITEM=RF&amp;VAR:CURRENCY=&amp;VAR:CURRSOURCE=EXSHARE&amp;V","AR:NATFREQ=ANNUAL&amp;VAR:RFIELD=FINALIZED&amp;VAR:DB_TYPE=&amp;VAR:UNITS=M&amp;window=popup&amp;width=450&amp;height=300&amp;START_MAXIMIZED=FALSE"}</definedName>
    <definedName name="_358__FDSAUDITLINK__" hidden="1">{"fdsup://IBCentral/FAT Viewer?action=UPDATE&amp;creator=factset&amp;DOC_NAME=fat:reuters_annual_source_window.fat&amp;display_string=Audit&amp;DYN_ARGS=TRUE&amp;VAR:ID1=73755L10&amp;VAR:RCODE=SCEX&amp;VAR:SDATE=20101299&amp;VAR:FREQ=Y&amp;VAR:RELITEM=RF&amp;VAR:CURRENCY=&amp;VAR:CURRSOURCE=EXSHARE&amp;V","AR:NATFREQ=ANNUAL&amp;VAR:RFIELD=FINALIZED&amp;VAR:DB_TYPE=&amp;VAR:UNITS=M&amp;window=popup&amp;width=450&amp;height=300&amp;START_MAXIMIZED=FALSE"}</definedName>
    <definedName name="_359__FDSAUDITLINK__" hidden="1">{"fdsup://IBCentral/FAT Viewer?action=UPDATE&amp;creator=factset&amp;DOC_NAME=fat:reuters_annual_source_window.fat&amp;display_string=Audit&amp;DYN_ARGS=TRUE&amp;VAR:ID1=73755L10&amp;VAR:RCODE=NIBX&amp;VAR:SDATE=20101299&amp;VAR:FREQ=Y&amp;VAR:RELITEM=RF&amp;VAR:CURRENCY=&amp;VAR:CURRSOURCE=EXSHARE&amp;V","AR:NATFREQ=ANNUAL&amp;VAR:RFIELD=FINALIZED&amp;VAR:DB_TYPE=&amp;VAR:UNITS=M&amp;window=popup&amp;width=450&amp;height=300&amp;START_MAXIMIZED=FALSE"}</definedName>
    <definedName name="_35ø_0PE_CUSTOMER_SPR">#REF!</definedName>
    <definedName name="_35PE_REV">#REF!</definedName>
    <definedName name="_36__123Graph_B_Chart_1A" hidden="1">#REF!</definedName>
    <definedName name="_36__Excel_BuiltIn_Print_Area_13_1_1">#REF!</definedName>
    <definedName name="_36__FDSAUDITLINK__" hidden="1">{"fdsup://IBCentral/FAT Viewer?action=UPDATE&amp;creator=factset&amp;DOC_NAME=fat:reuters_ytd_source_window.fat&amp;display_string=Audit&amp;DYN_ARGS=TRUE&amp;VAR:ID1=45874310&amp;VAR:RCODE=FIBCEBIT&amp;VAR:SDATE=20091299&amp;VAR:FREQ=Quarterly&amp;VAR:RELITEM=RP&amp;VAR:CURRENCY=&amp;VAR:CURRSOURCE=","EXSHARE&amp;VAR:NATFREQ=Quarterly&amp;VAR:RFIELD=FINALIZED&amp;VAR:DB_TYPE=&amp;VAR:UNITS=M&amp;window=popup&amp;width=450&amp;height=300&amp;START_MAXIMIZED=FALSE"}</definedName>
    <definedName name="_36_0INDUSTRY_MATERIAL_BALA">#REF!</definedName>
    <definedName name="_36_6_0PE_BUSINESS___PAST___FUT">#REF!</definedName>
    <definedName name="_36…__PRICE_FORECAST___1995">#REF!</definedName>
    <definedName name="_360__FDSAUDITLINK__" hidden="1">{"fdsup://IBCentral/FAT Viewer?action=UPDATE&amp;creator=factset&amp;DOC_NAME=fat:reuters_annual_source_window.fat&amp;display_string=Audit&amp;DYN_ARGS=TRUE&amp;VAR:ID1=73755L10&amp;VAR:RCODE=FEBIT&amp;VAR:SDATE=20101299&amp;VAR:FREQ=Y&amp;VAR:RELITEM=RF&amp;VAR:CURRENCY=&amp;VAR:CURRSOURCE=EXSHARE&amp;","VAR:NATFREQ=ANNUAL&amp;VAR:RFIELD=FINALIZED&amp;VAR:DB_TYPE=&amp;VAR:UNITS=M&amp;window=popup&amp;width=450&amp;height=300&amp;START_MAXIMIZED=FALSE"}</definedName>
    <definedName name="_361__FDSAUDITLINK__" hidden="1">{"fdsup://IBCentral/FAT Viewer?action=UPDATE&amp;creator=factset&amp;DOC_NAME=fat:reuters_annual_source_window.fat&amp;display_string=Audit&amp;DYN_ARGS=TRUE&amp;VAR:ID1=73755L10&amp;VAR:RCODE=FDSINVINCTOT&amp;VAR:SDATE=20101299&amp;VAR:FREQ=Y&amp;VAR:RELITEM=RF&amp;VAR:CURRENCY=&amp;VAR:CURRSOURCE=E","XSHARE&amp;VAR:NATFREQ=ANNUAL&amp;VAR:RFIELD=FINALIZED&amp;VAR:DB_TYPE=&amp;VAR:UNITS=M&amp;window=popup&amp;width=450&amp;height=300&amp;START_MAXIMIZED=FALSE"}</definedName>
    <definedName name="_362__FDSAUDITLINK__" hidden="1">{"fdsup://IBCentral/FAT Viewer?action=UPDATE&amp;creator=factset&amp;DOC_NAME=fat:reuters_annual_source_window.fat&amp;display_string=Audit&amp;DYN_ARGS=TRUE&amp;VAR:ID1=73755L10&amp;VAR:RCODE=FEBITDA&amp;VAR:SDATE=20101299&amp;VAR:FREQ=Y&amp;VAR:RELITEM=RF&amp;VAR:CURRENCY=&amp;VAR:CURRSOURCE=EXSHAR","E&amp;VAR:NATFREQ=ANNUAL&amp;VAR:RFIELD=FINALIZED&amp;VAR:DB_TYPE=&amp;VAR:UNITS=M&amp;window=popup&amp;width=450&amp;height=300&amp;START_MAXIMIZED=FALSE"}</definedName>
    <definedName name="_363__FDSAUDITLINK__" hidden="1">{"fdsup://IBCentral/FAT Viewer?action=UPDATE&amp;creator=factset&amp;DOC_NAME=fat:reuters_annual_source_window.fat&amp;display_string=Audit&amp;DYN_ARGS=TRUE&amp;VAR:ID1=73755L10&amp;VAR:RCODE=LPBL&amp;VAR:SDATE=20101299&amp;VAR:FREQ=Y&amp;VAR:RELITEM=RP&amp;VAR:CURRENCY=&amp;VAR:CURRSOURCE=EXSHARE&amp;V","AR:NATFREQ=ANNUAL&amp;VAR:RFIELD=FINALIZED&amp;VAR:DB_TYPE=&amp;VAR:UNITS=M&amp;window=popup&amp;width=450&amp;height=300&amp;START_MAXIMIZED=FALSE"}</definedName>
    <definedName name="_364__FDSAUDITLINK__" hidden="1">{"fdsup://directions/FAT Viewer?action=UPDATE&amp;creator=factset&amp;DYN_ARGS=TRUE&amp;DOC_NAME=FAT:FQL_AUDITING_CLIENT_TEMPLATE.FAT&amp;display_string=Audit&amp;VAR:KEY=DYBWJIDGHM&amp;VAR:QUERY=UkdGX0lOVEFORyhBTk4sNDA2MzMsLCwsLCxOT0FVRElUKQ==&amp;WINDOW=FIRST_POPUP&amp;HEIGHT=450&amp;WIDTH=","450&amp;START_MAXIMIZED=FALSE&amp;VAR:CALENDAR=FIVEDAY&amp;VAR:SYMBOL=269637&amp;VAR:INDEX=0"}</definedName>
    <definedName name="_365__FDSAUDITLINK__" hidden="1">{"fdsup://IBCentral/FAT Viewer?action=UPDATE&amp;creator=factset&amp;DOC_NAME=fat:reuters_qtrly_source_window.fat&amp;display_string=Audit&amp;DYN_ARGS=TRUE&amp;VAR:ID1=73755L10&amp;VAR:RCODE=LLTD&amp;VAR:SDATE=20110399&amp;VAR:FREQ=Quarterly&amp;VAR:RELITEM=RP&amp;VAR:CURRENCY=&amp;VAR:CURRSOURCE=EX","SHARE&amp;VAR:NATFREQ=QUARTERLY&amp;VAR:RFIELD=FINALIZED&amp;VAR:DB_TYPE=&amp;VAR:UNITS=M&amp;window=popup&amp;width=450&amp;height=300&amp;START_MAXIMIZED=FALSE"}</definedName>
    <definedName name="_366__FDSAUDITLINK__" hidden="1">{"fdsup://IBCentral/FAT Viewer?action=UPDATE&amp;creator=factset&amp;DOC_NAME=fat:reuters_qtrly_source_window.fat&amp;display_string=Audit&amp;DYN_ARGS=TRUE&amp;VAR:ID1=73755L10&amp;VAR:RCODE=AEQI&amp;VAR:SDATE=20110399&amp;VAR:FREQ=Quarterly&amp;VAR:RELITEM=RP&amp;VAR:CURRENCY=&amp;VAR:CURRSOURCE=EX","SHARE&amp;VAR:NATFREQ=QUARTERLY&amp;VAR:RFIELD=FINALIZED&amp;VAR:DB_TYPE=&amp;VAR:UNITS=M&amp;window=popup&amp;width=450&amp;height=300&amp;START_MAXIMIZED=FALSE"}</definedName>
    <definedName name="_367__FDSAUDITLINK__" hidden="1">{"fdsup://IBCentral/FAT Viewer?action=UPDATE&amp;creator=factset&amp;DOC_NAME=fat:reuters_qtrly_source_window.fat&amp;display_string=Audit&amp;DYN_ARGS=TRUE&amp;VAR:ID1=73755L10&amp;VAR:RCODE=SCSI&amp;VAR:SDATE=20110399&amp;VAR:FREQ=Quarterly&amp;VAR:RELITEM=RP&amp;VAR:CURRENCY=&amp;VAR:CURRSOURCE=EX","SHARE&amp;VAR:NATFREQ=QUARTERLY&amp;VAR:RFIELD=FINALIZED&amp;VAR:DB_TYPE=&amp;VAR:UNITS=M&amp;window=popup&amp;width=450&amp;height=300&amp;START_MAXIMIZED=FALSE"}</definedName>
    <definedName name="_368__FDSAUDITLINK__" hidden="1">{"fdsup://IBCentral/FAT Viewer?action=UPDATE&amp;creator=factset&amp;DOC_NAME=fat:reuters_annual_source_window.fat&amp;display_string=Audit&amp;DYN_ARGS=TRUE&amp;VAR:ID1=73755L10&amp;VAR:RCODE=FDSPFDSTKTOTAL&amp;VAR:SDATE=20101299&amp;VAR:FREQ=Y&amp;VAR:RELITEM=RP&amp;VAR:CURRENCY=&amp;VAR:CURRSOURCE","=EXSHARE&amp;VAR:NATFREQ=ANNUAL&amp;VAR:RFIELD=FINALIZED&amp;VAR:DB_TYPE=&amp;VAR:UNITS=M&amp;window=popup&amp;width=450&amp;height=300&amp;START_MAXIMIZED=FALSE"}</definedName>
    <definedName name="_369__FDSAUDITLINK__" hidden="1">{"fdsup://IBCentral/FAT Viewer?action=UPDATE&amp;creator=factset&amp;DOC_NAME=fat:reuters_qtrly_source_window.fat&amp;display_string=Audit&amp;DYN_ARGS=TRUE&amp;VAR:ID1=73755L10&amp;VAR:RCODE=DSTT&amp;VAR:SDATE=20110399&amp;VAR:FREQ=Quarterly&amp;VAR:RELITEM=RP&amp;VAR:CURRENCY=&amp;VAR:CURRSOURCE=EX","SHARE&amp;VAR:NATFREQ=QUARTERLY&amp;VAR:RFIELD=FINALIZED&amp;VAR:DB_TYPE=&amp;VAR:UNITS=M&amp;window=popup&amp;width=450&amp;height=300&amp;START_MAXIMIZED=FALSE"}</definedName>
    <definedName name="_36ø__PE_CUSTOMER_SPR">#REF!</definedName>
    <definedName name="_36r_0PROFITABILITY_APR_DEC__1996__">#REF!</definedName>
    <definedName name="_37__123Graph_BCHART_12" hidden="1">#REF!</definedName>
    <definedName name="_37__123Graph_CCHART_111" hidden="1">#REF!</definedName>
    <definedName name="_37__Excel_BuiltIn_Print_Area_13_1_1_1">#REF!</definedName>
    <definedName name="_37__FDSAUDITLINK__" hidden="1">{"fdsup://IBCentral/FAT Viewer?action=UPDATE&amp;creator=factset&amp;DOC_NAME=fat:reuters_annual_source_window.fat&amp;display_string=Audit&amp;DYN_ARGS=TRUE&amp;VAR:ID1=42805T10&amp;VAR:RCODE=FDSINTINCTOTAL&amp;VAR:SDATE=20101299&amp;VAR:FREQ=Y&amp;VAR:RELITEM=RP&amp;VAR:CURRENCY=&amp;VAR:CURRSOURCE","=EXSHARE&amp;VAR:NATFREQ=ANNUAL&amp;VAR:RFIELD=FINALIZED&amp;VAR:DB_TYPE=&amp;VAR:UNITS=M&amp;window=popup&amp;width=450&amp;height=300&amp;START_MAXIMIZED=FALSE"}</definedName>
    <definedName name="_37_7_0End_Use_Analysis___Sectoral_Gro">#REF!</definedName>
    <definedName name="_370__FDSAUDITLINK__" hidden="1">{"fdsup://IBCentral/FAT Viewer?action=UPDATE&amp;creator=factset&amp;DOC_NAME=fat:reuters_annual_source_window.fat&amp;display_string=Audit&amp;DYN_ARGS=TRUE&amp;VAR:ID1=73755L10&amp;VAR:RCODE=LMIN&amp;VAR:SDATE=20101299&amp;VAR:FREQ=Y&amp;VAR:RELITEM=RP&amp;VAR:CURRENCY=&amp;VAR:CURRSOURCE=EXSHARE&amp;V","AR:NATFREQ=ANNUAL&amp;VAR:RFIELD=FINALIZED&amp;VAR:DB_TYPE=&amp;VAR:UNITS=M&amp;window=popup&amp;width=450&amp;height=300&amp;START_MAXIMIZED=FALSE"}</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2__FDSAUDITLINK__" hidden="1">{"fdsup://IBCentral/FAT Viewer?action=UPDATE&amp;creator=factset&amp;DOC_NAME=fat:reuters_annual_source_window.fat&amp;display_string=Audit&amp;DYN_ARGS=TRUE&amp;VAR:ID1=B03BN8&amp;VAR:RCODE=NIBX&amp;VAR:SDATE=20051299&amp;VAR:FREQ=Y&amp;VAR:RELITEM=RF&amp;VAR:CURRENCY=&amp;VAR:CURRSOURCE=EXSHARE&amp;VAR",":NATFREQ=ANNUAL&amp;VAR:RFIELD=FINALIZED&amp;VAR:DB_TYPE=&amp;VAR:UNITS=M&amp;window=popup&amp;width=450&amp;height=300&amp;START_MAXIMIZED=FALSE"}</definedName>
    <definedName name="_373__FDSAUDITLINK__" hidden="1">{"fdsup://IBCentral/FAT Viewer?action=UPDATE&amp;creator=factset&amp;DOC_NAME=fat:reuters_annual_source_window.fat&amp;display_string=Audit&amp;DYN_ARGS=TRUE&amp;VAR:ID1=645553&amp;VAR:RCODE=FSALE&amp;VAR:SDATE=20061299&amp;VAR:FREQ=Y&amp;VAR:RELITEM=RF&amp;VAR:CURRENCY=&amp;VAR:CURRSOURCE=EXSHARE&amp;VA","R:NATFREQ=ANNUAL&amp;VAR:RFIELD=FINALIZED&amp;VAR:DB_TYPE=&amp;VAR:UNITS=M&amp;window=popup&amp;width=450&amp;height=300&amp;START_MAXIMIZED=FALSE"}</definedName>
    <definedName name="_374__FDSAUDITLINK__" hidden="1">{"fdsup://IBCentral/FAT Viewer?action=UPDATE&amp;creator=factset&amp;DOC_NAME=fat:reuters_annual_source_window.fat&amp;display_string=Audit&amp;DYN_ARGS=TRUE&amp;VAR:ID1=645553&amp;VAR:RCODE=STXI&amp;VAR:SDATE=20061299&amp;VAR:FREQ=Y&amp;VAR:RELITEM=RF&amp;VAR:CURRENCY=&amp;VAR:CURRSOURCE=EXSHARE&amp;VAR",":NATFREQ=ANNUAL&amp;VAR:RFIELD=FINALIZED&amp;VAR:DB_TYPE=&amp;VAR:UNITS=M&amp;window=popup&amp;width=450&amp;height=300&amp;START_MAXIMIZED=FALSE"}</definedName>
    <definedName name="_375__FDSAUDITLINK__" hidden="1">{"fdsup://IBCentral/FAT Viewer?action=UPDATE&amp;creator=factset&amp;DOC_NAME=fat:reuters_annual_source_window.fat&amp;display_string=Audit&amp;DYN_ARGS=TRUE&amp;VAR:ID1=645553&amp;VAR:RCODE=SCEX&amp;VAR:SDATE=20051299&amp;VAR:FREQ=Y&amp;VAR:RELITEM=RF&amp;VAR:CURRENCY=&amp;VAR:CURRSOURCE=EXSHARE&amp;VAR",":NATFREQ=ANNUAL&amp;VAR:RFIELD=FINALIZED&amp;VAR:DB_TYPE=&amp;VAR:UNITS=M&amp;window=popup&amp;width=450&amp;height=300&amp;START_MAXIMIZED=FALSE"}</definedName>
    <definedName name="_376__FDSAUDITLINK__" hidden="1">{"fdsup://IBCentral/FAT Viewer?action=UPDATE&amp;creator=factset&amp;DOC_NAME=fat:reuters_annual_source_window.fat&amp;display_string=Audit&amp;DYN_ARGS=TRUE&amp;VAR:ID1=B03BN8&amp;VAR:RCODE=FSALE&amp;VAR:SDATE=20051299&amp;VAR:FREQ=Y&amp;VAR:RELITEM=RF&amp;VAR:CURRENCY=&amp;VAR:CURRSOURCE=EXSHARE&amp;VA","R:NATFREQ=ANNUAL&amp;VAR:RFIELD=FINALIZED&amp;VAR:DB_TYPE=&amp;VAR:UNITS=M&amp;window=popup&amp;width=450&amp;height=300&amp;START_MAXIMIZED=FALSE"}</definedName>
    <definedName name="_377__FDSAUDITLINK__" hidden="1">{"fdsup://IBCentral/FAT Viewer?action=UPDATE&amp;creator=factset&amp;DOC_NAME=fat:reuters_annual_source_window.fat&amp;display_string=Audit&amp;DYN_ARGS=TRUE&amp;VAR:ID1=645553&amp;VAR:RCODE=FEBIT&amp;VAR:SDATE=20051299&amp;VAR:FREQ=Y&amp;VAR:RELITEM=RF&amp;VAR:CURRENCY=&amp;VAR:CURRSOURCE=EXSHARE&amp;VA","R:NATFREQ=ANNUAL&amp;VAR:RFIELD=FINALIZED&amp;VAR:DB_TYPE=&amp;VAR:UNITS=M&amp;window=popup&amp;width=450&amp;height=300&amp;START_MAXIMIZED=FALSE"}</definedName>
    <definedName name="_378__FDSAUDITLINK__" hidden="1">{"fdsup://IBCentral/FAT Viewer?action=UPDATE&amp;creator=factset&amp;DOC_NAME=fat:reuters_annual_source_window.fat&amp;display_string=Audit&amp;DYN_ARGS=TRUE&amp;VAR:ID1=645553&amp;VAR:RCODE=SCEX&amp;VAR:SDATE=20061299&amp;VAR:FREQ=Y&amp;VAR:RELITEM=RF&amp;VAR:CURRENCY=&amp;VAR:CURRSOURCE=EXSHARE&amp;VAR",":NATFREQ=ANNUAL&amp;VAR:RFIELD=FINALIZED&amp;VAR:DB_TYPE=&amp;VAR:UNITS=M&amp;window=popup&amp;width=450&amp;height=300&amp;START_MAXIMIZED=FALSE"}</definedName>
    <definedName name="_379__FDSAUDITLINK__" hidden="1">{"fdsup://IBCentral/FAT Viewer?action=UPDATE&amp;creator=factset&amp;DOC_NAME=fat:reuters_annual_source_window.fat&amp;display_string=Audit&amp;DYN_ARGS=TRUE&amp;VAR:ID1=645553&amp;VAR:RCODE=FEBITDA&amp;VAR:SDATE=20051299&amp;VAR:FREQ=Y&amp;VAR:RELITEM=RF&amp;VAR:CURRENCY=&amp;VAR:CURRSOURCE=EXSHARE&amp;","VAR:NATFREQ=ANNUAL&amp;VAR:RFIELD=FINALIZED&amp;VAR:DB_TYPE=&amp;VAR:UNITS=M&amp;window=popup&amp;width=450&amp;height=300&amp;START_MAXIMIZED=FALSE"}</definedName>
    <definedName name="_37PE_REV">#REF!</definedName>
    <definedName name="_37RE">#REF!</definedName>
    <definedName name="_38__123Graph_C_Chart_1A" hidden="1">#REF!</definedName>
    <definedName name="_38__123Graph_CCHART_112" hidden="1">#REF!</definedName>
    <definedName name="_38__Excel_BuiltIn_Print_Area_8_1_1_1">#REF!</definedName>
    <definedName name="_38__FDSAUDITLINK__" hidden="1">{"fdsup://IBCentral/FAT Viewer?action=UPDATE&amp;creator=factset&amp;DOC_NAME=fat:reuters_annual_source_window.fat&amp;display_string=Audit&amp;DYN_ARGS=TRUE&amp;VAR:ID1=25674310&amp;VAR:RCODE=FDSINTEXPTOTAL&amp;VAR:SDATE=20101299&amp;VAR:FREQ=Y&amp;VAR:RELITEM=RP&amp;VAR:CURRENCY=&amp;VAR:CURRSOURCE","=EXSHARE&amp;VAR:NATFREQ=ANNUAL&amp;VAR:RFIELD=FINALIZED&amp;VAR:DB_TYPE=&amp;VAR:UNITS=M&amp;window=popup&amp;width=450&amp;height=300&amp;START_MAXIMIZED=FALSE"}</definedName>
    <definedName name="_38_0__PE___Q1_REV">#REF!</definedName>
    <definedName name="_38_0_0PE___Q1_REV">#REF!</definedName>
    <definedName name="_38_A_0PE___OUTLOOK_TO_2">#REF!</definedName>
    <definedName name="_380__FDSAUDITLINK__" hidden="1">{"fdsup://IBCentral/FAT Viewer?action=UPDATE&amp;creator=factset&amp;DOC_NAME=fat:reuters_annual_source_window.fat&amp;display_string=Audit&amp;DYN_ARGS=TRUE&amp;VAR:ID1=645553&amp;VAR:RCODE=FEBITDA&amp;VAR:SDATE=20061299&amp;VAR:FREQ=Y&amp;VAR:RELITEM=RF&amp;VAR:CURRENCY=&amp;VAR:CURRSOURCE=EXSHARE&amp;","VAR:NATFREQ=ANNUAL&amp;VAR:RFIELD=FINALIZED&amp;VAR:DB_TYPE=&amp;VAR:UNITS=M&amp;window=popup&amp;width=450&amp;height=300&amp;START_MAXIMIZED=FALSE"}</definedName>
    <definedName name="_381__FDSAUDITLINK__" hidden="1">{"fdsup://IBCentral/FAT Viewer?action=UPDATE&amp;creator=factset&amp;DOC_NAME=fat:reuters_annual_source_window.fat&amp;display_string=Audit&amp;DYN_ARGS=TRUE&amp;VAR:ID1=645553&amp;VAR:RCODE=FEBIT&amp;VAR:SDATE=20061299&amp;VAR:FREQ=Y&amp;VAR:RELITEM=RF&amp;VAR:CURRENCY=&amp;VAR:CURRSOURCE=EXSHARE&amp;VA","R:NATFREQ=ANNUAL&amp;VAR:RFIELD=FINALIZED&amp;VAR:DB_TYPE=&amp;VAR:UNITS=M&amp;window=popup&amp;width=450&amp;height=300&amp;START_MAXIMIZED=FALSE"}</definedName>
    <definedName name="_382__FDSAUDITLINK__" hidden="1">{"fdsup://IBCentral/FAT Viewer?action=UPDATE&amp;creator=factset&amp;DOC_NAME=fat:reuters_annual_source_window.fat&amp;display_string=Audit&amp;DYN_ARGS=TRUE&amp;VAR:ID1=B03BN8&amp;VAR:RCODE=NINC&amp;VAR:SDATE=20051299&amp;VAR:FREQ=Y&amp;VAR:RELITEM=RF&amp;VAR:CURRENCY=&amp;VAR:CURRSOURCE=EXSHARE&amp;VAR",":NATFREQ=ANNUAL&amp;VAR:RFIELD=FINALIZED&amp;VAR:DB_TYPE=&amp;VAR:UNITS=M&amp;window=popup&amp;width=450&amp;height=300&amp;START_MAXIMIZED=FALSE"}</definedName>
    <definedName name="_383__FDSAUDITLINK__" hidden="1">{"fdsup://IBCentral/FAT Viewer?action=UPDATE&amp;creator=factset&amp;DOC_NAME=fat:reuters_annual_source_window.fat&amp;display_string=Audit&amp;DYN_ARGS=TRUE&amp;VAR:ID1=B03BN8&amp;VAR:RCODE=FDSINVINCTOT&amp;VAR:SDATE=20051299&amp;VAR:FREQ=Y&amp;VAR:RELITEM=RF&amp;VAR:CURRENCY=&amp;VAR:CURRSOURCE=EXS","HARE&amp;VAR:NATFREQ=ANNUAL&amp;VAR:RFIELD=FINALIZED&amp;VAR:DB_TYPE=&amp;VAR:UNITS=M&amp;window=popup&amp;width=450&amp;height=300&amp;START_MAXIMIZED=FALSE"}</definedName>
    <definedName name="_384__FDSAUDITLINK__" hidden="1">{"fdsup://IBCentral/FAT Viewer?action=UPDATE&amp;creator=factset&amp;DOC_NAME=fat:reuters_annual_source_window.fat&amp;display_string=Audit&amp;DYN_ARGS=TRUE&amp;VAR:ID1=645553&amp;VAR:RCODE=NINC&amp;VAR:SDATE=20051299&amp;VAR:FREQ=Y&amp;VAR:RELITEM=RF&amp;VAR:CURRENCY=&amp;VAR:CURRSOURCE=EXSHARE&amp;VAR",":NATFREQ=ANNUAL&amp;VAR:RFIELD=FINALIZED&amp;VAR:DB_TYPE=&amp;VAR:UNITS=M&amp;window=popup&amp;width=450&amp;height=300&amp;START_MAXIMIZED=FALSE"}</definedName>
    <definedName name="_385__FDSAUDITLINK__" hidden="1">{"fdsup://IBCentral/FAT Viewer?action=UPDATE&amp;creator=factset&amp;DOC_NAME=fat:reuters_annual_source_window.fat&amp;display_string=Audit&amp;DYN_ARGS=TRUE&amp;VAR:ID1=645553&amp;VAR:RCODE=NIBX&amp;VAR:SDATE=20061299&amp;VAR:FREQ=Y&amp;VAR:RELITEM=RF&amp;VAR:CURRENCY=&amp;VAR:CURRSOURCE=EXSHARE&amp;VAR",":NATFREQ=ANNUAL&amp;VAR:RFIELD=FINALIZED&amp;VAR:DB_TYPE=&amp;VAR:UNITS=M&amp;window=popup&amp;width=450&amp;height=300&amp;START_MAXIMIZED=FALSE"}</definedName>
    <definedName name="_386__FDSAUDITLINK__" hidden="1">{"fdsup://IBCentral/FAT Viewer?action=UPDATE&amp;creator=factset&amp;DOC_NAME=fat:reuters_annual_source_window.fat&amp;display_string=Audit&amp;DYN_ARGS=TRUE&amp;VAR:ID1=645553&amp;VAR:RCODE=FSALE&amp;VAR:SDATE=20051299&amp;VAR:FREQ=Y&amp;VAR:RELITEM=RF&amp;VAR:CURRENCY=&amp;VAR:CURRSOURCE=EXSHARE&amp;VA","R:NATFREQ=ANNUAL&amp;VAR:RFIELD=FINALIZED&amp;VAR:DB_TYPE=&amp;VAR:UNITS=M&amp;window=popup&amp;width=450&amp;height=300&amp;START_MAXIMIZED=FALSE"}</definedName>
    <definedName name="_387__FDSAUDITLINK__" hidden="1">{"fdsup://IBCentral/FAT Viewer?action=UPDATE&amp;creator=factset&amp;DOC_NAME=fat:reuters_annual_source_window.fat&amp;display_string=Audit&amp;DYN_ARGS=TRUE&amp;VAR:ID1=645553&amp;VAR:RCODE=NINC&amp;VAR:SDATE=20061299&amp;VAR:FREQ=Y&amp;VAR:RELITEM=RF&amp;VAR:CURRENCY=&amp;VAR:CURRSOURCE=EXSHARE&amp;VAR",":NATFREQ=ANNUAL&amp;VAR:RFIELD=FINALIZED&amp;VAR:DB_TYPE=&amp;VAR:UNITS=M&amp;window=popup&amp;width=450&amp;height=300&amp;START_MAXIMIZED=FALSE"}</definedName>
    <definedName name="_388__FDSAUDITLINK__" hidden="1">{"fdsup://IBCentral/FAT Viewer?action=UPDATE&amp;creator=factset&amp;DOC_NAME=fat:reuters_annual_source_window.fat&amp;display_string=Audit&amp;DYN_ARGS=TRUE&amp;VAR:ID1=645553&amp;VAR:RCODE=NIBX&amp;VAR:SDATE=20051299&amp;VAR:FREQ=Y&amp;VAR:RELITEM=RF&amp;VAR:CURRENCY=&amp;VAR:CURRSOURCE=EXSHARE&amp;VAR",":NATFREQ=ANNUAL&amp;VAR:RFIELD=FINALIZED&amp;VAR:DB_TYPE=&amp;VAR:UNITS=M&amp;window=popup&amp;width=450&amp;height=300&amp;START_MAXIMIZED=FALSE"}</definedName>
    <definedName name="_389__FDSAUDITLINK__" hidden="1">{"fdsup://IBCentral/FAT Viewer?action=UPDATE&amp;creator=factset&amp;DOC_NAME=fat:reuters_annual_source_window.fat&amp;display_string=Audit&amp;DYN_ARGS=TRUE&amp;VAR:ID1=645553&amp;VAR:RCODE=STXI&amp;VAR:SDATE=20051299&amp;VAR:FREQ=Y&amp;VAR:RELITEM=RF&amp;VAR:CURRENCY=&amp;VAR:CURRSOURCE=EXSHARE&amp;VAR",":NATFREQ=ANNUAL&amp;VAR:RFIELD=FINALIZED&amp;VAR:DB_TYPE=&amp;VAR:UNITS=M&amp;window=popup&amp;width=450&amp;height=300&amp;START_MAXIMIZED=FALSE"}</definedName>
    <definedName name="_38r__PROFITABILITY_APR_DEC__1996__">#REF!</definedName>
    <definedName name="_38r_0PROFITABILITY_APR_DEC__1996__">#REF!</definedName>
    <definedName name="_39__123Graph_CCHART_10" hidden="1">#REF!</definedName>
    <definedName name="_39__123Graph_CCHART_26" hidden="1">#REF!</definedName>
    <definedName name="_39__Excel_BuiltIn_Print_Area_8_1_1_1_1">#REF!</definedName>
    <definedName name="_39__FDSAUDITLINK__" hidden="1">{"fdsup://IBCentral/FAT Viewer?action=UPDATE&amp;creator=factset&amp;DOC_NAME=fat:reuters_qtrly_source_window.fat&amp;display_string=Audit&amp;DYN_ARGS=TRUE&amp;VAR:ID1=25674310&amp;VAR:RCODE=SCEX&amp;VAR:SDATE=20110399&amp;VAR:FREQ=Quarterly&amp;VAR:RELITEM=RP&amp;VAR:CURRENCY=&amp;VAR:CURRSOURCE=EX","SHARE&amp;VAR:NATFREQ=QUARTERLY&amp;VAR:RFIELD=FINALIZED&amp;VAR:DB_TYPE=&amp;VAR:UNITS=M&amp;window=popup&amp;width=450&amp;height=300&amp;START_MAXIMIZED=FALSE"}</definedName>
    <definedName name="_39_g_0TARIFF_ARBITRAGE_ANALYSIS_1996__">#REF!</definedName>
    <definedName name="_390__FDSAUDITLINK__" hidden="1">{"fdsup://IBCentral/FAT Viewer?action=UPDATE&amp;creator=factset&amp;DOC_NAME=fat:reuters_annual_source_window.fat&amp;display_string=Audit&amp;DYN_ARGS=TRUE&amp;VAR:ID1=645553&amp;VAR:RCODE=FDSINVINCTOT&amp;VAR:SDATE=20071299&amp;VAR:FREQ=Y&amp;VAR:RELITEM=RF&amp;VAR:CURRENCY=&amp;VAR:CURRSOURCE=EXS","HARE&amp;VAR:NATFREQ=ANNUAL&amp;VAR:RFIELD=FINALIZED&amp;VAR:DB_TYPE=&amp;VAR:UNITS=M&amp;window=popup&amp;width=450&amp;height=300&amp;START_MAXIMIZED=FALSE"}</definedName>
    <definedName name="_391__FDSAUDITLINK__" hidden="1">{"fdsup://IBCentral/FAT Viewer?action=UPDATE&amp;creator=factset&amp;DOC_NAME=fat:reuters_annual_source_window.fat&amp;display_string=Audit&amp;DYN_ARGS=TRUE&amp;VAR:ID1=645553&amp;VAR:RCODE=FSALE&amp;VAR:SDATE=20071299&amp;VAR:FREQ=Y&amp;VAR:RELITEM=RF&amp;VAR:CURRENCY=&amp;VAR:CURRSOURCE=EXSHARE&amp;VA","R:NATFREQ=ANNUAL&amp;VAR:RFIELD=FINALIZED&amp;VAR:DB_TYPE=&amp;VAR:UNITS=M&amp;window=popup&amp;width=450&amp;height=300&amp;START_MAXIMIZED=FALSE"}</definedName>
    <definedName name="_392__FDSAUDITLINK__" hidden="1">{"fdsup://IBCentral/FAT Viewer?action=UPDATE&amp;creator=factset&amp;DOC_NAME=fat:reuters_annual_source_window.fat&amp;display_string=Audit&amp;DYN_ARGS=TRUE&amp;VAR:ID1=B03BN8&amp;VAR:RCODE=NIBX&amp;VAR:SDATE=20061299&amp;VAR:FREQ=Y&amp;VAR:RELITEM=RF&amp;VAR:CURRENCY=&amp;VAR:CURRSOURCE=EXSHARE&amp;VAR",":NATFREQ=ANNUAL&amp;VAR:RFIELD=FINALIZED&amp;VAR:DB_TYPE=&amp;VAR:UNITS=M&amp;window=popup&amp;width=450&amp;height=300&amp;START_MAXIMIZED=FALSE"}</definedName>
    <definedName name="_393__FDSAUDITLINK__" hidden="1">{"fdsup://IBCentral/FAT Viewer?action=UPDATE&amp;creator=factset&amp;DOC_NAME=fat:reuters_annual_source_window.fat&amp;display_string=Audit&amp;DYN_ARGS=TRUE&amp;VAR:ID1=645553&amp;VAR:RCODE=NIBX&amp;VAR:SDATE=20071299&amp;VAR:FREQ=Y&amp;VAR:RELITEM=RF&amp;VAR:CURRENCY=&amp;VAR:CURRSOURCE=EXSHARE&amp;VAR",":NATFREQ=ANNUAL&amp;VAR:RFIELD=FINALIZED&amp;VAR:DB_TYPE=&amp;VAR:UNITS=M&amp;window=popup&amp;width=450&amp;height=300&amp;START_MAXIMIZED=FALSE"}</definedName>
    <definedName name="_394__FDSAUDITLINK__" hidden="1">{"fdsup://IBCentral/FAT Viewer?action=UPDATE&amp;creator=factset&amp;DOC_NAME=fat:reuters_annual_source_window.fat&amp;display_string=Audit&amp;DYN_ARGS=TRUE&amp;VAR:ID1=B03BN8&amp;VAR:RCODE=STXI&amp;VAR:SDATE=20061299&amp;VAR:FREQ=Y&amp;VAR:RELITEM=RF&amp;VAR:CURRENCY=&amp;VAR:CURRSOURCE=EXSHARE&amp;VAR",":NATFREQ=ANNUAL&amp;VAR:RFIELD=FINALIZED&amp;VAR:DB_TYPE=&amp;VAR:UNITS=M&amp;window=popup&amp;width=450&amp;height=300&amp;START_MAXIMIZED=FALSE"}</definedName>
    <definedName name="_395__FDSAUDITLINK__" hidden="1">{"fdsup://IBCentral/FAT Viewer?action=UPDATE&amp;creator=factset&amp;DOC_NAME=fat:reuters_annual_source_window.fat&amp;display_string=Audit&amp;DYN_ARGS=TRUE&amp;VAR:ID1=B03BN8&amp;VAR:RCODE=STXI&amp;VAR:SDATE=20051299&amp;VAR:FREQ=Y&amp;VAR:RELITEM=RF&amp;VAR:CURRENCY=&amp;VAR:CURRSOURCE=EXSHARE&amp;VAR",":NATFREQ=ANNUAL&amp;VAR:RFIELD=FINALIZED&amp;VAR:DB_TYPE=&amp;VAR:UNITS=M&amp;window=popup&amp;width=450&amp;height=300&amp;START_MAXIMIZED=FALSE"}</definedName>
    <definedName name="_396__FDSAUDITLINK__" hidden="1">{"fdsup://IBCentral/FAT Viewer?action=UPDATE&amp;creator=factset&amp;DOC_NAME=fat:reuters_annual_source_window.fat&amp;display_string=Audit&amp;DYN_ARGS=TRUE&amp;VAR:ID1=B03BN8&amp;VAR:RCODE=SCEX&amp;VAR:SDATE=20061299&amp;VAR:FREQ=Y&amp;VAR:RELITEM=RF&amp;VAR:CURRENCY=&amp;VAR:CURRSOURCE=EXSHARE&amp;VAR",":NATFREQ=ANNUAL&amp;VAR:RFIELD=FINALIZED&amp;VAR:DB_TYPE=&amp;VAR:UNITS=M&amp;window=popup&amp;width=450&amp;height=300&amp;START_MAXIMIZED=FALSE"}</definedName>
    <definedName name="_397__FDSAUDITLINK__" hidden="1">{"fdsup://IBCentral/FAT Viewer?action=UPDATE&amp;creator=factset&amp;DOC_NAME=fat:reuters_annual_source_window.fat&amp;display_string=Audit&amp;DYN_ARGS=TRUE&amp;VAR:ID1=B03BN8&amp;VAR:RCODE=FSALE&amp;VAR:SDATE=20061299&amp;VAR:FREQ=Y&amp;VAR:RELITEM=RF&amp;VAR:CURRENCY=&amp;VAR:CURRSOURCE=EXSHARE&amp;VA","R:NATFREQ=ANNUAL&amp;VAR:RFIELD=FINALIZED&amp;VAR:DB_TYPE=&amp;VAR:UNITS=M&amp;window=popup&amp;width=450&amp;height=300&amp;START_MAXIMIZED=FALSE"}</definedName>
    <definedName name="_398__FDSAUDITLINK__" hidden="1">{"fdsup://IBCentral/FAT Viewer?action=UPDATE&amp;creator=factset&amp;DOC_NAME=fat:reuters_annual_source_window.fat&amp;display_string=Audit&amp;DYN_ARGS=TRUE&amp;VAR:ID1=645553&amp;VAR:RCODE=SCEX&amp;VAR:SDATE=20071299&amp;VAR:FREQ=Y&amp;VAR:RELITEM=RF&amp;VAR:CURRENCY=&amp;VAR:CURRSOURCE=EXSHARE&amp;VAR",":NATFREQ=ANNUAL&amp;VAR:RFIELD=FINALIZED&amp;VAR:DB_TYPE=&amp;VAR:UNITS=M&amp;window=popup&amp;width=450&amp;height=300&amp;START_MAXIMIZED=FALSE"}</definedName>
    <definedName name="_399__FDSAUDITLINK__" hidden="1">{"fdsup://IBCentral/FAT Viewer?action=UPDATE&amp;creator=factset&amp;DOC_NAME=fat:reuters_annual_source_window.fat&amp;display_string=Audit&amp;DYN_ARGS=TRUE&amp;VAR:ID1=645553&amp;VAR:RCODE=NINC&amp;VAR:SDATE=20071299&amp;VAR:FREQ=Y&amp;VAR:RELITEM=RF&amp;VAR:CURRENCY=&amp;VAR:CURRSOURCE=EXSHARE&amp;VAR",":NATFREQ=ANNUAL&amp;VAR:RFIELD=FINALIZED&amp;VAR:DB_TYPE=&amp;VAR:UNITS=M&amp;window=popup&amp;width=450&amp;height=300&amp;START_MAXIMIZED=FALSE"}</definedName>
    <definedName name="_39RE">#REF!</definedName>
    <definedName name="_39Š_0QUARTERLY_PERFORMA">#REF!</definedName>
    <definedName name="_3Área_de_extra">#REF!</definedName>
    <definedName name="_3CF">#REF!</definedName>
    <definedName name="_3Excel_BuiltIn_Print_Area_1">#REF!</definedName>
    <definedName name="_3Excel_BuiltIn_Print_Area_3_1_1_1_1_1_1_1_1_1_1_1_1_1_1_1_1_1_1_1">#REF!</definedName>
    <definedName name="_3Excel_BuiltIn_Print_Area_3_1_1_1_1_1_1_1_1_1_1_1_1_1_1_1_1_1_1_1_1_1_1_1">#REF!</definedName>
    <definedName name="_3Excel_BuiltIn_Print_Area_3_1_1_1_1_1_1_1_1_1_1_1_1_1_1_1_1_1_1_1_1_1_1_1_1_1_1_1">#REF!</definedName>
    <definedName name="_3Excel_BuiltIn_Print_Area_3_1_1_1_1_1_1_1_1_1_1_1_1_1_1_1_1_1_1_1_1_1_1_1_1_1_1_1_1_1_1_1_1_1_1_1_1">#REF!</definedName>
    <definedName name="_3Excel_BuiltIn_Print_Area_3_1_1_1_1_1_1_1_1_1_1_1_1_1_1_1_1_1_1_1_1_1_1_1_1_1_1_1_1_1_1_1_1_1_1_1_1_1">#REF!</definedName>
    <definedName name="_3P">#REF!</definedName>
    <definedName name="_3Quarterwise_Collection_P">#REF!</definedName>
    <definedName name="_4">#REF!</definedName>
    <definedName name="_4____0Quarterwise_Export_P">#REF!</definedName>
    <definedName name="_4__123Graph_ACHART_111" hidden="1">#REF!</definedName>
    <definedName name="_4__123Graph_ACHART_5" hidden="1">#REF!</definedName>
    <definedName name="_4__6_239">#REF!</definedName>
    <definedName name="_4__Excel_BuiltIn_Print_Titles_5_1">(#REF!,#REF!)</definedName>
    <definedName name="_4__FDSAUDITLINK__" hidden="1">{"fdsup://IBCentral/FAT Viewer?action=UPDATE&amp;creator=factset&amp;DOC_NAME=fat:reuters_annual_source_window.fat&amp;display_string=Audit&amp;DYN_ARGS=TRUE&amp;VAR:ID1=490238&amp;VAR:RCODE=LTTD&amp;VAR:SDATE=20091299&amp;VAR:FREQ=Y&amp;VAR:RELITEM=RP&amp;VAR:CURRENCY=&amp;VAR:CURRSOURCE=EXSHARE&amp;VAR",":NATFREQ=ANNUAL&amp;VAR:RFIELD=FINALIZED&amp;VAR:DB_TYPE=&amp;VAR:UNITS=M&amp;window=popup&amp;width=450&amp;height=300&amp;START_MAXIMIZED=FALSE"}</definedName>
    <definedName name="_4_6_239">#REF!</definedName>
    <definedName name="_4_q_1">NA()</definedName>
    <definedName name="_40__123Graph_CCHART_11" hidden="1">#REF!</definedName>
    <definedName name="_40__123Graph_CCHART_30" hidden="1">#REF!</definedName>
    <definedName name="_40__FDSAUDITLINK__" hidden="1">{"fdsup://IBCentral/FAT Viewer?action=UPDATE&amp;creator=factset&amp;DOC_NAME=fat:reuters_annual_source_window.fat&amp;display_string=Audit&amp;DYN_ARGS=TRUE&amp;VAR:ID1=526076&amp;VAR:RCODE=FDSINTINCTOTAL&amp;VAR:SDATE=20101299&amp;VAR:FREQ=Y&amp;VAR:RELITEM=RP&amp;VAR:CURRENCY=&amp;VAR:CURRSOURCE=E","XSHARE&amp;VAR:NATFREQ=ANNUAL&amp;VAR:RFIELD=FINALIZED&amp;VAR:DB_TYPE=&amp;VAR:UNITS=M&amp;window=popup&amp;width=450&amp;height=300&amp;START_MAXIMIZED=FALSE"}</definedName>
    <definedName name="_40_0INDUSTRY_MATERIAL_BALA">#REF!</definedName>
    <definedName name="_40_0PE_REV">#REF!</definedName>
    <definedName name="_40_i_0PE___RIL_MARKET_PRESE">#REF!</definedName>
    <definedName name="_400__FDSAUDITLINK__" hidden="1">{"fdsup://IBCentral/FAT Viewer?action=UPDATE&amp;creator=factset&amp;DOC_NAME=fat:reuters_annual_source_window.fat&amp;display_string=Audit&amp;DYN_ARGS=TRUE&amp;VAR:ID1=645553&amp;VAR:RCODE=FDSINVINCTOT&amp;VAR:SDATE=20061299&amp;VAR:FREQ=Y&amp;VAR:RELITEM=RF&amp;VAR:CURRENCY=&amp;VAR:CURRSOURCE=EXS","HARE&amp;VAR:NATFREQ=ANNUAL&amp;VAR:RFIELD=FINALIZED&amp;VAR:DB_TYPE=&amp;VAR:UNITS=M&amp;window=popup&amp;width=450&amp;height=300&amp;START_MAXIMIZED=FALSE"}</definedName>
    <definedName name="_401__FDSAUDITLINK__" hidden="1">{"fdsup://IBCentral/FAT Viewer?action=UPDATE&amp;creator=factset&amp;DOC_NAME=fat:reuters_annual_source_window.fat&amp;display_string=Audit&amp;DYN_ARGS=TRUE&amp;VAR:ID1=B03BN8&amp;VAR:RCODE=FEBIT&amp;VAR:SDATE=20051299&amp;VAR:FREQ=Y&amp;VAR:RELITEM=RF&amp;VAR:CURRENCY=&amp;VAR:CURRSOURCE=EXSHARE&amp;VA","R:NATFREQ=ANNUAL&amp;VAR:RFIELD=FINALIZED&amp;VAR:DB_TYPE=&amp;VAR:UNITS=M&amp;window=popup&amp;width=450&amp;height=300&amp;START_MAXIMIZED=FALSE"}</definedName>
    <definedName name="_402__FDSAUDITLINK__" hidden="1">{"fdsup://IBCentral/FAT Viewer?action=UPDATE&amp;creator=factset&amp;DOC_NAME=fat:reuters_annual_source_window.fat&amp;display_string=Audit&amp;DYN_ARGS=TRUE&amp;VAR:ID1=B03BN8&amp;VAR:RCODE=FEBITDA&amp;VAR:SDATE=20051299&amp;VAR:FREQ=Y&amp;VAR:RELITEM=RF&amp;VAR:CURRENCY=&amp;VAR:CURRSOURCE=EXSHARE&amp;","VAR:NATFREQ=ANNUAL&amp;VAR:RFIELD=FINALIZED&amp;VAR:DB_TYPE=&amp;VAR:UNITS=M&amp;window=popup&amp;width=450&amp;height=300&amp;START_MAXIMIZED=FALSE"}</definedName>
    <definedName name="_403__FDSAUDITLINK__" hidden="1">{"fdsup://IBCentral/FAT Viewer?action=UPDATE&amp;creator=factset&amp;DOC_NAME=fat:reuters_annual_source_window.fat&amp;display_string=Audit&amp;DYN_ARGS=TRUE&amp;VAR:ID1=645553&amp;VAR:RCODE=FEBIT&amp;VAR:SDATE=20071299&amp;VAR:FREQ=Y&amp;VAR:RELITEM=RF&amp;VAR:CURRENCY=&amp;VAR:CURRSOURCE=EXSHARE&amp;VA","R:NATFREQ=ANNUAL&amp;VAR:RFIELD=FINALIZED&amp;VAR:DB_TYPE=&amp;VAR:UNITS=M&amp;window=popup&amp;width=450&amp;height=300&amp;START_MAXIMIZED=FALSE"}</definedName>
    <definedName name="_404__FDSAUDITLINK__" hidden="1">{"fdsup://IBCentral/FAT Viewer?action=UPDATE&amp;creator=factset&amp;DOC_NAME=fat:reuters_annual_source_window.fat&amp;display_string=Audit&amp;DYN_ARGS=TRUE&amp;VAR:ID1=645553&amp;VAR:RCODE=FEBITDA&amp;VAR:SDATE=20071299&amp;VAR:FREQ=Y&amp;VAR:RELITEM=RF&amp;VAR:CURRENCY=&amp;VAR:CURRSOURCE=EXSHARE&amp;","VAR:NATFREQ=ANNUAL&amp;VAR:RFIELD=FINALIZED&amp;VAR:DB_TYPE=&amp;VAR:UNITS=M&amp;window=popup&amp;width=450&amp;height=300&amp;START_MAXIMIZED=FALSE"}</definedName>
    <definedName name="_405__FDSAUDITLINK__" hidden="1">{"fdsup://IBCentral/FAT Viewer?action=UPDATE&amp;creator=factset&amp;DOC_NAME=fat:reuters_annual_source_window.fat&amp;display_string=Audit&amp;DYN_ARGS=TRUE&amp;VAR:ID1=B03BN8&amp;VAR:RCODE=SCEX&amp;VAR:SDATE=20051299&amp;VAR:FREQ=Y&amp;VAR:RELITEM=RF&amp;VAR:CURRENCY=&amp;VAR:CURRSOURCE=EXSHARE&amp;VAR",":NATFREQ=ANNUAL&amp;VAR:RFIELD=FINALIZED&amp;VAR:DB_TYPE=&amp;VAR:UNITS=M&amp;window=popup&amp;width=450&amp;height=300&amp;START_MAXIMIZED=FALSE"}</definedName>
    <definedName name="_406__FDSAUDITLINK__" hidden="1">{"fdsup://IBCentral/FAT Viewer?action=UPDATE&amp;creator=factset&amp;DOC_NAME=fat:reuters_annual_source_window.fat&amp;display_string=Audit&amp;DYN_ARGS=TRUE&amp;VAR:ID1=B03BN8&amp;VAR:RCODE=FDSINVINCTOT&amp;VAR:SDATE=20061299&amp;VAR:FREQ=Y&amp;VAR:RELITEM=RF&amp;VAR:CURRENCY=&amp;VAR:CURRSOURCE=EXS","HARE&amp;VAR:NATFREQ=ANNUAL&amp;VAR:RFIELD=FINALIZED&amp;VAR:DB_TYPE=&amp;VAR:UNITS=M&amp;window=popup&amp;width=450&amp;height=300&amp;START_MAXIMIZED=FALSE"}</definedName>
    <definedName name="_407__FDSAUDITLINK__" hidden="1">{"fdsup://IBCentral/FAT Viewer?action=UPDATE&amp;creator=factset&amp;DOC_NAME=fat:reuters_annual_source_window.fat&amp;display_string=Audit&amp;DYN_ARGS=TRUE&amp;VAR:ID1=645553&amp;VAR:RCODE=NINC&amp;VAR:SDATE=20081299&amp;VAR:FREQ=Y&amp;VAR:RELITEM=RF&amp;VAR:CURRENCY=&amp;VAR:CURRSOURCE=EXSHARE&amp;VAR",":NATFREQ=ANNUAL&amp;VAR:RFIELD=FINALIZED&amp;VAR:DB_TYPE=&amp;VAR:UNITS=M&amp;window=popup&amp;width=450&amp;height=300&amp;START_MAXIMIZED=FALSE"}</definedName>
    <definedName name="_408__FDSAUDITLINK__" hidden="1">{"fdsup://IBCentral/FAT Viewer?action=UPDATE&amp;creator=factset&amp;DOC_NAME=fat:reuters_annual_source_window.fat&amp;display_string=Audit&amp;DYN_ARGS=TRUE&amp;VAR:ID1=645553&amp;VAR:RCODE=FSALE&amp;VAR:SDATE=20081299&amp;VAR:FREQ=Y&amp;VAR:RELITEM=RF&amp;VAR:CURRENCY=&amp;VAR:CURRSOURCE=EXSHARE&amp;VA","R:NATFREQ=ANNUAL&amp;VAR:RFIELD=FINALIZED&amp;VAR:DB_TYPE=&amp;VAR:UNITS=M&amp;window=popup&amp;width=450&amp;height=300&amp;START_MAXIMIZED=FALSE"}</definedName>
    <definedName name="_409__FDSAUDITLINK__" hidden="1">{"fdsup://IBCentral/FAT Viewer?action=UPDATE&amp;creator=factset&amp;DOC_NAME=fat:reuters_annual_source_window.fat&amp;display_string=Audit&amp;DYN_ARGS=TRUE&amp;VAR:ID1=B03BN8&amp;VAR:RCODE=NINC&amp;VAR:SDATE=20061299&amp;VAR:FREQ=Y&amp;VAR:RELITEM=RF&amp;VAR:CURRENCY=&amp;VAR:CURRSOURCE=EXSHARE&amp;VAR",":NATFREQ=ANNUAL&amp;VAR:RFIELD=FINALIZED&amp;VAR:DB_TYPE=&amp;VAR:UNITS=M&amp;window=popup&amp;width=450&amp;height=300&amp;START_MAXIMIZED=FALSE"}</definedName>
    <definedName name="_40r__PROFITABILITY_APR_DEC__1996__">#REF!</definedName>
    <definedName name="_40Š__QUARTERLY_PERFORMA">#REF!</definedName>
    <definedName name="_41__123Graph_CCHART_12" hidden="1">#REF!</definedName>
    <definedName name="_41__FDSAUDITLINK__" hidden="1">{"fdsup://IBCentral/FAT Viewer?action=UPDATE&amp;creator=factset&amp;DOC_NAME=fat:reuters_ytd_source_window.fat&amp;display_string=Audit&amp;DYN_ARGS=TRUE&amp;VAR:ID1=526076&amp;VAR:RCODE=FDSINTINCTOTAL&amp;VAR:SDATE=20091299&amp;VAR:FREQ=Quarterly&amp;VAR:RELITEM=RP&amp;VAR:CURRENCY=&amp;VAR:CURRSOU","RCE=EXSHARE&amp;VAR:NATFREQ=Quarterly&amp;VAR:RFIELD=FINALIZED&amp;VAR:DB_TYPE=&amp;VAR:UNITS=M&amp;window=popup&amp;width=450&amp;height=300&amp;START_MAXIMIZED=FALSE"}</definedName>
    <definedName name="_41_ø_0PE_CUSTOMER_SPR">#REF!</definedName>
    <definedName name="_410__FDSAUDITLINK__" hidden="1">{"fdsup://IBCentral/FAT Viewer?action=UPDATE&amp;creator=factset&amp;DOC_NAME=fat:reuters_annual_source_window.fat&amp;display_string=Audit&amp;DYN_ARGS=TRUE&amp;VAR:ID1=B03BN8&amp;VAR:RCODE=FEBITDA&amp;VAR:SDATE=20071299&amp;VAR:FREQ=Y&amp;VAR:RELITEM=RF&amp;VAR:CURRENCY=&amp;VAR:CURRSOURCE=EXSHARE&amp;","VAR:NATFREQ=ANNUAL&amp;VAR:RFIELD=FINALIZED&amp;VAR:DB_TYPE=&amp;VAR:UNITS=M&amp;window=popup&amp;width=450&amp;height=300&amp;START_MAXIMIZED=FALSE"}</definedName>
    <definedName name="_411__FDSAUDITLINK__" hidden="1">{"fdsup://IBCentral/FAT Viewer?action=UPDATE&amp;creator=factset&amp;DOC_NAME=fat:reuters_annual_source_window.fat&amp;display_string=Audit&amp;DYN_ARGS=TRUE&amp;VAR:ID1=645553&amp;VAR:RCODE=STXI&amp;VAR:SDATE=20071299&amp;VAR:FREQ=Y&amp;VAR:RELITEM=RF&amp;VAR:CURRENCY=&amp;VAR:CURRSOURCE=EXSHARE&amp;VAR",":NATFREQ=ANNUAL&amp;VAR:RFIELD=FINALIZED&amp;VAR:DB_TYPE=&amp;VAR:UNITS=M&amp;window=popup&amp;width=450&amp;height=300&amp;START_MAXIMIZED=FALSE"}</definedName>
    <definedName name="_412__FDSAUDITLINK__" hidden="1">{"fdsup://IBCentral/FAT Viewer?action=UPDATE&amp;creator=factset&amp;DOC_NAME=fat:reuters_annual_source_window.fat&amp;display_string=Audit&amp;DYN_ARGS=TRUE&amp;VAR:ID1=B03BN8&amp;VAR:RCODE=FEBITDA&amp;VAR:SDATE=20061299&amp;VAR:FREQ=Y&amp;VAR:RELITEM=RF&amp;VAR:CURRENCY=&amp;VAR:CURRSOURCE=EXSHARE&amp;","VAR:NATFREQ=ANNUAL&amp;VAR:RFIELD=FINALIZED&amp;VAR:DB_TYPE=&amp;VAR:UNITS=M&amp;window=popup&amp;width=450&amp;height=300&amp;START_MAXIMIZED=FALSE"}</definedName>
    <definedName name="_413__FDSAUDITLINK__" hidden="1">{"fdsup://IBCentral/FAT Viewer?action=UPDATE&amp;creator=factset&amp;DOC_NAME=fat:reuters_annual_source_window.fat&amp;display_string=Audit&amp;DYN_ARGS=TRUE&amp;VAR:ID1=645553&amp;VAR:RCODE=SCEX&amp;VAR:SDATE=20081299&amp;VAR:FREQ=Y&amp;VAR:RELITEM=RF&amp;VAR:CURRENCY=&amp;VAR:CURRSOURCE=EXSHARE&amp;VAR",":NATFREQ=ANNUAL&amp;VAR:RFIELD=FINALIZED&amp;VAR:DB_TYPE=&amp;VAR:UNITS=M&amp;window=popup&amp;width=450&amp;height=300&amp;START_MAXIMIZED=FALSE"}</definedName>
    <definedName name="_414__FDSAUDITLINK__" hidden="1">{"fdsup://IBCentral/FAT Viewer?action=UPDATE&amp;creator=factset&amp;DOC_NAME=fat:reuters_annual_source_window.fat&amp;display_string=Audit&amp;DYN_ARGS=TRUE&amp;VAR:ID1=B03BN8&amp;VAR:RCODE=FEBIT&amp;VAR:SDATE=20061299&amp;VAR:FREQ=Y&amp;VAR:RELITEM=RF&amp;VAR:CURRENCY=&amp;VAR:CURRSOURCE=EXSHARE&amp;VA","R:NATFREQ=ANNUAL&amp;VAR:RFIELD=FINALIZED&amp;VAR:DB_TYPE=&amp;VAR:UNITS=M&amp;window=popup&amp;width=450&amp;height=300&amp;START_MAXIMIZED=FALSE"}</definedName>
    <definedName name="_415__FDSAUDITLINK__" hidden="1">{"fdsup://IBCentral/FAT Viewer?action=UPDATE&amp;creator=factset&amp;DOC_NAME=fat:reuters_annual_source_window.fat&amp;display_string=Audit&amp;DYN_ARGS=TRUE&amp;VAR:ID1=645553&amp;VAR:RCODE=NIBX&amp;VAR:SDATE=20081299&amp;VAR:FREQ=Y&amp;VAR:RELITEM=RF&amp;VAR:CURRENCY=&amp;VAR:CURRSOURCE=EXSHARE&amp;VAR",":NATFREQ=ANNUAL&amp;VAR:RFIELD=FINALIZED&amp;VAR:DB_TYPE=&amp;VAR:UNITS=M&amp;window=popup&amp;width=450&amp;height=300&amp;START_MAXIMIZED=FALSE"}</definedName>
    <definedName name="_416__FDSAUDITLINK__" hidden="1">{"fdsup://IBCentral/FAT Viewer?action=UPDATE&amp;creator=factset&amp;DOC_NAME=fat:reuters_annual_source_window.fat&amp;display_string=Audit&amp;DYN_ARGS=TRUE&amp;VAR:ID1=645553&amp;VAR:RCODE=STXI&amp;VAR:SDATE=20081299&amp;VAR:FREQ=Y&amp;VAR:RELITEM=RF&amp;VAR:CURRENCY=&amp;VAR:CURRSOURCE=EXSHARE&amp;VAR",":NATFREQ=ANNUAL&amp;VAR:RFIELD=FINALIZED&amp;VAR:DB_TYPE=&amp;VAR:UNITS=M&amp;window=popup&amp;width=450&amp;height=300&amp;START_MAXIMIZED=FALSE"}</definedName>
    <definedName name="_417__FDSAUDITLINK__" hidden="1">{"fdsup://IBCentral/FAT Viewer?action=UPDATE&amp;creator=factset&amp;DOC_NAME=fat:reuters_annual_source_window.fat&amp;display_string=Audit&amp;DYN_ARGS=TRUE&amp;VAR:ID1=B03BN8&amp;VAR:RCODE=SCEX&amp;VAR:SDATE=20071299&amp;VAR:FREQ=Y&amp;VAR:RELITEM=RF&amp;VAR:CURRENCY=&amp;VAR:CURRSOURCE=EXSHARE&amp;VAR",":NATFREQ=ANNUAL&amp;VAR:RFIELD=FINALIZED&amp;VAR:DB_TYPE=&amp;VAR:UNITS=M&amp;window=popup&amp;width=450&amp;height=300&amp;START_MAXIMIZED=FALSE"}</definedName>
    <definedName name="_418__FDSAUDITLINK__" hidden="1">{"fdsup://IBCentral/FAT Viewer?action=UPDATE&amp;creator=factset&amp;DOC_NAME=fat:reuters_annual_source_window.fat&amp;display_string=Audit&amp;DYN_ARGS=TRUE&amp;VAR:ID1=645553&amp;VAR:RCODE=FEBIT&amp;VAR:SDATE=20081299&amp;VAR:FREQ=Y&amp;VAR:RELITEM=RF&amp;VAR:CURRENCY=&amp;VAR:CURRSOURCE=EXSHARE&amp;VA","R:NATFREQ=ANNUAL&amp;VAR:RFIELD=FINALIZED&amp;VAR:DB_TYPE=&amp;VAR:UNITS=M&amp;window=popup&amp;width=450&amp;height=300&amp;START_MAXIMIZED=FALSE"}</definedName>
    <definedName name="_419__FDSAUDITLINK__" hidden="1">{"fdsup://IBCentral/FAT Viewer?action=UPDATE&amp;creator=factset&amp;DOC_NAME=fat:reuters_annual_source_window.fat&amp;display_string=Audit&amp;DYN_ARGS=TRUE&amp;VAR:ID1=B03BN8&amp;VAR:RCODE=NIBX&amp;VAR:SDATE=20071299&amp;VAR:FREQ=Y&amp;VAR:RELITEM=RF&amp;VAR:CURRENCY=&amp;VAR:CURRSOURCE=EXSHARE&amp;VAR",":NATFREQ=ANNUAL&amp;VAR:RFIELD=FINALIZED&amp;VAR:DB_TYPE=&amp;VAR:UNITS=M&amp;window=popup&amp;width=450&amp;height=300&amp;START_MAXIMIZED=FALSE"}</definedName>
    <definedName name="_41BuiltIn_AutoFilter___1___0_1_1">#N/A</definedName>
    <definedName name="_41Š_0QUARTERLY_PERFORMA">#REF!</definedName>
    <definedName name="_41W_0QUARTERWISE_COMPARI">#REF!</definedName>
    <definedName name="_42__123Graph_CCHART_13" hidden="1">#REF!</definedName>
    <definedName name="_42__FDSAUDITLINK__" hidden="1">{"fdsup://IBCentral/FAT Viewer?action=UPDATE&amp;creator=factset&amp;DOC_NAME=fat:reuters_annual_source_window.fat&amp;display_string=Audit&amp;DYN_ARGS=TRUE&amp;VAR:ID1=40403010&amp;VAR:RCODE=FDSINTINCTOTAL&amp;VAR:SDATE=20101299&amp;VAR:FREQ=Y&amp;VAR:RELITEM=RP&amp;VAR:CURRENCY=&amp;VAR:CURRSOURCE","=EXSHARE&amp;VAR:NATFREQ=ANNUAL&amp;VAR:RFIELD=FINALIZED&amp;VAR:DB_TYPE=&amp;VAR:UNITS=M&amp;window=popup&amp;width=450&amp;height=300&amp;START_MAXIMIZED=FALSE"}</definedName>
    <definedName name="_42_0__PE___Q1_REV">#REF!</definedName>
    <definedName name="_42_0RE">#REF!</definedName>
    <definedName name="_42_r_0PROFITABILITY_APR_DEC__1996__">#REF!</definedName>
    <definedName name="_420__FDSAUDITLINK__" hidden="1">{"fdsup://IBCentral/FAT Viewer?action=UPDATE&amp;creator=factset&amp;DOC_NAME=fat:reuters_annual_source_window.fat&amp;display_string=Audit&amp;DYN_ARGS=TRUE&amp;VAR:ID1=B03BN8&amp;VAR:RCODE=STXI&amp;VAR:SDATE=20071299&amp;VAR:FREQ=Y&amp;VAR:RELITEM=RF&amp;VAR:CURRENCY=&amp;VAR:CURRSOURCE=EXSHARE&amp;VAR",":NATFREQ=ANNUAL&amp;VAR:RFIELD=FINALIZED&amp;VAR:DB_TYPE=&amp;VAR:UNITS=M&amp;window=popup&amp;width=450&amp;height=300&amp;START_MAXIMIZED=FALSE"}</definedName>
    <definedName name="_421__FDSAUDITLINK__" hidden="1">{"fdsup://IBCentral/FAT Viewer?action=UPDATE&amp;creator=factset&amp;DOC_NAME=fat:reuters_annual_source_window.fat&amp;display_string=Audit&amp;DYN_ARGS=TRUE&amp;VAR:ID1=B03BN8&amp;VAR:RCODE=FSALE&amp;VAR:SDATE=20071299&amp;VAR:FREQ=Y&amp;VAR:RELITEM=RF&amp;VAR:CURRENCY=&amp;VAR:CURRSOURCE=EXSHARE&amp;VA","R:NATFREQ=ANNUAL&amp;VAR:RFIELD=FINALIZED&amp;VAR:DB_TYPE=&amp;VAR:UNITS=M&amp;window=popup&amp;width=450&amp;height=300&amp;START_MAXIMIZED=FALSE"}</definedName>
    <definedName name="_422__FDSAUDITLINK__" hidden="1">{"fdsup://IBCentral/FAT Viewer?action=UPDATE&amp;creator=factset&amp;DOC_NAME=fat:reuters_annual_source_window.fat&amp;display_string=Audit&amp;DYN_ARGS=TRUE&amp;VAR:ID1=B03BN8&amp;VAR:RCODE=FEBIT&amp;VAR:SDATE=20071299&amp;VAR:FREQ=Y&amp;VAR:RELITEM=RF&amp;VAR:CURRENCY=&amp;VAR:CURRSOURCE=EXSHARE&amp;VA","R:NATFREQ=ANNUAL&amp;VAR:RFIELD=FINALIZED&amp;VAR:DB_TYPE=&amp;VAR:UNITS=M&amp;window=popup&amp;width=450&amp;height=300&amp;START_MAXIMIZED=FALSE"}</definedName>
    <definedName name="_423__FDSAUDITLINK__" hidden="1">{"fdsup://IBCentral/FAT Viewer?action=UPDATE&amp;creator=factset&amp;DOC_NAME=fat:reuters_annual_source_window.fat&amp;display_string=Audit&amp;DYN_ARGS=TRUE&amp;VAR:ID1=645553&amp;VAR:RCODE=FEBITDA&amp;VAR:SDATE=20081299&amp;VAR:FREQ=Y&amp;VAR:RELITEM=RF&amp;VAR:CURRENCY=&amp;VAR:CURRSOURCE=EXSHARE&amp;","VAR:NATFREQ=ANNUAL&amp;VAR:RFIELD=FINALIZED&amp;VAR:DB_TYPE=&amp;VAR:UNITS=M&amp;window=popup&amp;width=450&amp;height=300&amp;START_MAXIMIZED=FALSE"}</definedName>
    <definedName name="_424__FDSAUDITLINK__" hidden="1">{"fdsup://IBCentral/FAT Viewer?action=UPDATE&amp;creator=factset&amp;DOC_NAME=fat:reuters_annual_source_window.fat&amp;display_string=Audit&amp;DYN_ARGS=TRUE&amp;VAR:ID1=B03BN8&amp;VAR:RCODE=NINC&amp;VAR:SDATE=20071299&amp;VAR:FREQ=Y&amp;VAR:RELITEM=RF&amp;VAR:CURRENCY=&amp;VAR:CURRSOURCE=EXSHARE&amp;VAR",":NATFREQ=ANNUAL&amp;VAR:RFIELD=FINALIZED&amp;VAR:DB_TYPE=&amp;VAR:UNITS=M&amp;window=popup&amp;width=450&amp;height=300&amp;START_MAXIMIZED=FALSE"}</definedName>
    <definedName name="_425__FDSAUDITLINK__" hidden="1">{"fdsup://IBCentral/FAT Viewer?action=UPDATE&amp;creator=factset&amp;DOC_NAME=fat:reuters_annual_source_window.fat&amp;display_string=Audit&amp;DYN_ARGS=TRUE&amp;VAR:ID1=645553&amp;VAR:RCODE=FDSINVINCTOT&amp;VAR:SDATE=20081299&amp;VAR:FREQ=Y&amp;VAR:RELITEM=RF&amp;VAR:CURRENCY=&amp;VAR:CURRSOURCE=EXS","HARE&amp;VAR:NATFREQ=ANNUAL&amp;VAR:RFIELD=FINALIZED&amp;VAR:DB_TYPE=&amp;VAR:UNITS=M&amp;window=popup&amp;width=450&amp;height=300&amp;START_MAXIMIZED=FALSE"}</definedName>
    <definedName name="_426__FDSAUDITLINK__" hidden="1">{"fdsup://IBCentral/FAT Viewer?action=UPDATE&amp;creator=factset&amp;DOC_NAME=fat:reuters_annual_source_window.fat&amp;display_string=Audit&amp;DYN_ARGS=TRUE&amp;VAR:ID1=B03BN8&amp;VAR:RCODE=FDSINVINCTOT&amp;VAR:SDATE=20071299&amp;VAR:FREQ=Y&amp;VAR:RELITEM=RF&amp;VAR:CURRENCY=&amp;VAR:CURRSOURCE=EXS","HARE&amp;VAR:NATFREQ=ANNUAL&amp;VAR:RFIELD=FINALIZED&amp;VAR:DB_TYPE=&amp;VAR:UNITS=M&amp;window=popup&amp;width=450&amp;height=300&amp;START_MAXIMIZED=FALSE"}</definedName>
    <definedName name="_427__FDSAUDITLINK__" hidden="1">{"fdsup://IBCentral/FAT Viewer?action=UPDATE&amp;creator=factset&amp;DOC_NAME=fat:reuters_annual_source_window.fat&amp;display_string=Audit&amp;DYN_ARGS=TRUE&amp;VAR:ID1=645553&amp;VAR:RCODE=FEBITDA&amp;VAR:SDATE=20091299&amp;VAR:FREQ=Y&amp;VAR:RELITEM=RF&amp;VAR:CURRENCY=&amp;VAR:CURRSOURCE=EXSHARE&amp;","VAR:NATFREQ=ANNUAL&amp;VAR:RFIELD=FINALIZED&amp;VAR:DB_TYPE=&amp;VAR:UNITS=M&amp;window=popup&amp;width=450&amp;height=300&amp;START_MAXIMIZED=FALSE"}</definedName>
    <definedName name="_428__FDSAUDITLINK__" hidden="1">{"fdsup://IBCentral/FAT Viewer?action=UPDATE&amp;creator=factset&amp;DOC_NAME=fat:reuters_annual_source_window.fat&amp;display_string=Audit&amp;DYN_ARGS=TRUE&amp;VAR:ID1=B03BN8&amp;VAR:RCODE=NINC&amp;VAR:SDATE=20081299&amp;VAR:FREQ=Y&amp;VAR:RELITEM=RF&amp;VAR:CURRENCY=&amp;VAR:CURRSOURCE=EXSHARE&amp;VAR",":NATFREQ=ANNUAL&amp;VAR:RFIELD=FINALIZED&amp;VAR:DB_TYPE=&amp;VAR:UNITS=M&amp;window=popup&amp;width=450&amp;height=300&amp;START_MAXIMIZED=FALSE"}</definedName>
    <definedName name="_429__FDSAUDITLINK__" hidden="1">{"fdsup://IBCentral/FAT Viewer?action=UPDATE&amp;creator=factset&amp;DOC_NAME=fat:reuters_annual_source_window.fat&amp;display_string=Audit&amp;DYN_ARGS=TRUE&amp;VAR:ID1=B03BN8&amp;VAR:RCODE=FSALE&amp;VAR:SDATE=20091299&amp;VAR:FREQ=Y&amp;VAR:RELITEM=RF&amp;VAR:CURRENCY=&amp;VAR:CURRSOURCE=EXSHARE&amp;VA","R:NATFREQ=ANNUAL&amp;VAR:RFIELD=FINALIZED&amp;VAR:DB_TYPE=&amp;VAR:UNITS=M&amp;window=popup&amp;width=450&amp;height=300&amp;START_MAXIMIZED=FALSE"}</definedName>
    <definedName name="_42BuiltIn_AutoFilter___1_1_1">#N/A</definedName>
    <definedName name="_42Š__QUARTERLY_PERFORMA">#REF!</definedName>
    <definedName name="_42W__QUARTERWISE_COMPARI">#REF!</definedName>
    <definedName name="_42wrn.²Ä1­Ó¤ë1_Ü20¤H." hidden="1">{#N/A,#N/A,FALSE,"²Ä1­Ó¤ë"}</definedName>
    <definedName name="_43__123Graph_CCHART_14" hidden="1">#REF!</definedName>
    <definedName name="_43__FDSAUDITLINK__" hidden="1">{"fdsup://IBCentral/FAT Viewer?action=UPDATE&amp;creator=factset&amp;DOC_NAME=fat:reuters_ytd_source_window.fat&amp;display_string=Audit&amp;DYN_ARGS=TRUE&amp;VAR:ID1=45874310&amp;VAR:RCODE=VDES&amp;VAR:SDATE=20091299&amp;VAR:FREQ=Quarterly&amp;VAR:RELITEM=RP&amp;VAR:CURRENCY=&amp;VAR:CURRSOURCE=EXSH","ARE&amp;VAR:NATFREQ=Quarterly&amp;VAR:RFIELD=FINALIZED&amp;VAR:DB_TYPE=&amp;VAR:UNITS=M&amp;window=popup&amp;width=450&amp;height=300&amp;START_MAXIMIZED=FALSE"}</definedName>
    <definedName name="_43_Š_0QUARTERLY_PERFORMA">#REF!</definedName>
    <definedName name="_430__FDSAUDITLINK__" hidden="1">{"fdsup://IBCentral/FAT Viewer?action=UPDATE&amp;creator=factset&amp;DOC_NAME=fat:reuters_annual_source_window.fat&amp;display_string=Audit&amp;DYN_ARGS=TRUE&amp;VAR:ID1=B03BN8&amp;VAR:RCODE=NIBX&amp;VAR:SDATE=20081299&amp;VAR:FREQ=Y&amp;VAR:RELITEM=RF&amp;VAR:CURRENCY=&amp;VAR:CURRSOURCE=EXSHARE&amp;VAR",":NATFREQ=ANNUAL&amp;VAR:RFIELD=FINALIZED&amp;VAR:DB_TYPE=&amp;VAR:UNITS=M&amp;window=popup&amp;width=450&amp;height=300&amp;START_MAXIMIZED=FALSE"}</definedName>
    <definedName name="_431__FDSAUDITLINK__" hidden="1">{"fdsup://IBCentral/FAT Viewer?action=UPDATE&amp;creator=factset&amp;DOC_NAME=fat:reuters_annual_source_window.fat&amp;display_string=Audit&amp;DYN_ARGS=TRUE&amp;VAR:ID1=645553&amp;VAR:RCODE=SCEX&amp;VAR:SDATE=20091299&amp;VAR:FREQ=Y&amp;VAR:RELITEM=RF&amp;VAR:CURRENCY=&amp;VAR:CURRSOURCE=EXSHARE&amp;VAR",":NATFREQ=ANNUAL&amp;VAR:RFIELD=FINALIZED&amp;VAR:DB_TYPE=&amp;VAR:UNITS=M&amp;window=popup&amp;width=450&amp;height=300&amp;START_MAXIMIZED=FALSE"}</definedName>
    <definedName name="_432__FDSAUDITLINK__" hidden="1">{"fdsup://IBCentral/FAT Viewer?action=UPDATE&amp;creator=factset&amp;DOC_NAME=fat:reuters_annual_source_window.fat&amp;display_string=Audit&amp;DYN_ARGS=TRUE&amp;VAR:ID1=645553&amp;VAR:RCODE=STXI&amp;VAR:SDATE=20091299&amp;VAR:FREQ=Y&amp;VAR:RELITEM=RF&amp;VAR:CURRENCY=&amp;VAR:CURRSOURCE=EXSHARE&amp;VAR",":NATFREQ=ANNUAL&amp;VAR:RFIELD=FINALIZED&amp;VAR:DB_TYPE=&amp;VAR:UNITS=M&amp;window=popup&amp;width=450&amp;height=300&amp;START_MAXIMIZED=FALSE"}</definedName>
    <definedName name="_433__FDSAUDITLINK__" hidden="1">{"fdsup://IBCentral/FAT Viewer?action=UPDATE&amp;creator=factset&amp;DOC_NAME=fat:reuters_annual_source_window.fat&amp;display_string=Audit&amp;DYN_ARGS=TRUE&amp;VAR:ID1=B03BN8&amp;VAR:RCODE=FDSINVINCTOT&amp;VAR:SDATE=20081299&amp;VAR:FREQ=Y&amp;VAR:RELITEM=RF&amp;VAR:CURRENCY=&amp;VAR:CURRSOURCE=EXS","HARE&amp;VAR:NATFREQ=ANNUAL&amp;VAR:RFIELD=FINALIZED&amp;VAR:DB_TYPE=&amp;VAR:UNITS=M&amp;window=popup&amp;width=450&amp;height=300&amp;START_MAXIMIZED=FALSE"}</definedName>
    <definedName name="_434__FDSAUDITLINK__" hidden="1">{"fdsup://IBCentral/FAT Viewer?action=UPDATE&amp;creator=factset&amp;DOC_NAME=fat:reuters_annual_source_window.fat&amp;display_string=Audit&amp;DYN_ARGS=TRUE&amp;VAR:ID1=645553&amp;VAR:RCODE=NIBX&amp;VAR:SDATE=20091299&amp;VAR:FREQ=Y&amp;VAR:RELITEM=RF&amp;VAR:CURRENCY=&amp;VAR:CURRSOURCE=EXSHARE&amp;VAR",":NATFREQ=ANNUAL&amp;VAR:RFIELD=FINALIZED&amp;VAR:DB_TYPE=&amp;VAR:UNITS=M&amp;window=popup&amp;width=450&amp;height=300&amp;START_MAXIMIZED=FALSE"}</definedName>
    <definedName name="_435__FDSAUDITLINK__" hidden="1">{"fdsup://IBCentral/FAT Viewer?action=UPDATE&amp;creator=factset&amp;DOC_NAME=fat:reuters_annual_source_window.fat&amp;display_string=Audit&amp;DYN_ARGS=TRUE&amp;VAR:ID1=B03BN8&amp;VAR:RCODE=FEBIT&amp;VAR:SDATE=20081299&amp;VAR:FREQ=Y&amp;VAR:RELITEM=RF&amp;VAR:CURRENCY=&amp;VAR:CURRSOURCE=EXSHARE&amp;VA","R:NATFREQ=ANNUAL&amp;VAR:RFIELD=FINALIZED&amp;VAR:DB_TYPE=&amp;VAR:UNITS=M&amp;window=popup&amp;width=450&amp;height=300&amp;START_MAXIMIZED=FALSE"}</definedName>
    <definedName name="_436__FDSAUDITLINK__" hidden="1">{"fdsup://IBCentral/FAT Viewer?action=UPDATE&amp;creator=factset&amp;DOC_NAME=fat:reuters_annual_source_window.fat&amp;display_string=Audit&amp;DYN_ARGS=TRUE&amp;VAR:ID1=B03BN8&amp;VAR:RCODE=STXI&amp;VAR:SDATE=20091299&amp;VAR:FREQ=Y&amp;VAR:RELITEM=RF&amp;VAR:CURRENCY=&amp;VAR:CURRSOURCE=EXSHARE&amp;VAR",":NATFREQ=ANNUAL&amp;VAR:RFIELD=FINALIZED&amp;VAR:DB_TYPE=&amp;VAR:UNITS=M&amp;window=popup&amp;width=450&amp;height=300&amp;START_MAXIMIZED=FALSE"}</definedName>
    <definedName name="_437__FDSAUDITLINK__" hidden="1">{"fdsup://IBCentral/FAT Viewer?action=UPDATE&amp;creator=factset&amp;DOC_NAME=fat:reuters_annual_source_window.fat&amp;display_string=Audit&amp;DYN_ARGS=TRUE&amp;VAR:ID1=B03BN8&amp;VAR:RCODE=SCEX&amp;VAR:SDATE=20081299&amp;VAR:FREQ=Y&amp;VAR:RELITEM=RF&amp;VAR:CURRENCY=&amp;VAR:CURRSOURCE=EXSHARE&amp;VAR",":NATFREQ=ANNUAL&amp;VAR:RFIELD=FINALIZED&amp;VAR:DB_TYPE=&amp;VAR:UNITS=M&amp;window=popup&amp;width=450&amp;height=300&amp;START_MAXIMIZED=FALSE"}</definedName>
    <definedName name="_438__FDSAUDITLINK__" hidden="1">{"fdsup://IBCentral/FAT Viewer?action=UPDATE&amp;creator=factset&amp;DOC_NAME=fat:reuters_annual_source_window.fat&amp;display_string=Audit&amp;DYN_ARGS=TRUE&amp;VAR:ID1=B03BN8&amp;VAR:RCODE=FSALE&amp;VAR:SDATE=20081299&amp;VAR:FREQ=Y&amp;VAR:RELITEM=RF&amp;VAR:CURRENCY=&amp;VAR:CURRSOURCE=EXSHARE&amp;VA","R:NATFREQ=ANNUAL&amp;VAR:RFIELD=FINALIZED&amp;VAR:DB_TYPE=&amp;VAR:UNITS=M&amp;window=popup&amp;width=450&amp;height=300&amp;START_MAXIMIZED=FALSE"}</definedName>
    <definedName name="_439__FDSAUDITLINK__" hidden="1">{"fdsup://IBCentral/FAT Viewer?action=UPDATE&amp;creator=factset&amp;DOC_NAME=fat:reuters_annual_source_window.fat&amp;display_string=Audit&amp;DYN_ARGS=TRUE&amp;VAR:ID1=645553&amp;VAR:RCODE=FSALE&amp;VAR:SDATE=20091299&amp;VAR:FREQ=Y&amp;VAR:RELITEM=RF&amp;VAR:CURRENCY=&amp;VAR:CURRSOURCE=EXSHARE&amp;VA","R:NATFREQ=ANNUAL&amp;VAR:RFIELD=FINALIZED&amp;VAR:DB_TYPE=&amp;VAR:UNITS=M&amp;window=popup&amp;width=450&amp;height=300&amp;START_MAXIMIZED=FALSE"}</definedName>
    <definedName name="_43BuiltIn_AutoFilter___1_1_2">NA()</definedName>
    <definedName name="_43W_0QUARTERWISE_COMPARI">#REF!</definedName>
    <definedName name="_44__123Graph_CCHART_15" hidden="1">#REF!</definedName>
    <definedName name="_44__Excel_BuiltIn_Print_Titles_5_1">(#REF!,#REF!)</definedName>
    <definedName name="_44__FDSAUDITLINK__" hidden="1">{"fdsup://IBCentral/FAT Viewer?action=UPDATE&amp;creator=factset&amp;DOC_NAME=fat:reuters_ytd_source_window.fat&amp;display_string=Audit&amp;DYN_ARGS=TRUE&amp;VAR:ID1=B08K3S&amp;VAR:RCODE=FIBCEBITDA&amp;VAR:SDATE=20101299&amp;VAR:FREQ=Quarterly&amp;VAR:RELITEM=RP&amp;VAR:CURRENCY=&amp;VAR:CURRSOURCE=","EXSHARE&amp;VAR:NATFREQ=Quarterly&amp;VAR:RFIELD=FINALIZED&amp;VAR:DB_TYPE=&amp;VAR:UNITS=M&amp;window=popup&amp;width=450&amp;height=300&amp;START_MAXIMIZED=FALSE"}</definedName>
    <definedName name="_44_0PE_REV">#REF!</definedName>
    <definedName name="_44_6_0PE_BUSINESS___PAST___FUT">#REF!</definedName>
    <definedName name="_44_W_0QUARTERWISE_COMPARI">#REF!</definedName>
    <definedName name="_440__FDSAUDITLINK__" hidden="1">{"fdsup://IBCentral/FAT Viewer?action=UPDATE&amp;creator=factset&amp;DOC_NAME=fat:reuters_annual_source_window.fat&amp;display_string=Audit&amp;DYN_ARGS=TRUE&amp;VAR:ID1=B03BN8&amp;VAR:RCODE=STXI&amp;VAR:SDATE=20081299&amp;VAR:FREQ=Y&amp;VAR:RELITEM=RF&amp;VAR:CURRENCY=&amp;VAR:CURRSOURCE=EXSHARE&amp;VAR",":NATFREQ=ANNUAL&amp;VAR:RFIELD=FINALIZED&amp;VAR:DB_TYPE=&amp;VAR:UNITS=M&amp;window=popup&amp;width=450&amp;height=300&amp;START_MAXIMIZED=FALSE"}</definedName>
    <definedName name="_441__FDSAUDITLINK__" hidden="1">{"fdsup://IBCentral/FAT Viewer?action=UPDATE&amp;creator=factset&amp;DOC_NAME=fat:reuters_annual_source_window.fat&amp;display_string=Audit&amp;DYN_ARGS=TRUE&amp;VAR:ID1=645553&amp;VAR:RCODE=SCEX&amp;VAR:SDATE=20101299&amp;VAR:FREQ=Y&amp;VAR:RELITEM=RF&amp;VAR:CURRENCY=&amp;VAR:CURRSOURCE=EXSHARE&amp;VAR",":NATFREQ=ANNUAL&amp;VAR:RFIELD=FINALIZED&amp;VAR:DB_TYPE=&amp;VAR:UNITS=M&amp;window=popup&amp;width=450&amp;height=300&amp;START_MAXIMIZED=FALSE"}</definedName>
    <definedName name="_442__FDSAUDITLINK__" hidden="1">{"fdsup://IBCentral/FAT Viewer?action=UPDATE&amp;creator=factset&amp;DOC_NAME=fat:reuters_annual_source_window.fat&amp;display_string=Audit&amp;DYN_ARGS=TRUE&amp;VAR:ID1=B03BN8&amp;VAR:RCODE=FDSINVINCTOT&amp;VAR:SDATE=20091299&amp;VAR:FREQ=Y&amp;VAR:RELITEM=RF&amp;VAR:CURRENCY=&amp;VAR:CURRSOURCE=EXS","HARE&amp;VAR:NATFREQ=ANNUAL&amp;VAR:RFIELD=FINALIZED&amp;VAR:DB_TYPE=&amp;VAR:UNITS=M&amp;window=popup&amp;width=450&amp;height=300&amp;START_MAXIMIZED=FALSE"}</definedName>
    <definedName name="_443__FDSAUDITLINK__" hidden="1">{"fdsup://IBCentral/FAT Viewer?action=UPDATE&amp;creator=factset&amp;DOC_NAME=fat:reuters_annual_source_window.fat&amp;display_string=Audit&amp;DYN_ARGS=TRUE&amp;VAR:ID1=645553&amp;VAR:RCODE=FDSINVINCTOT&amp;VAR:SDATE=20091299&amp;VAR:FREQ=Y&amp;VAR:RELITEM=RF&amp;VAR:CURRENCY=&amp;VAR:CURRSOURCE=EXS","HARE&amp;VAR:NATFREQ=ANNUAL&amp;VAR:RFIELD=FINALIZED&amp;VAR:DB_TYPE=&amp;VAR:UNITS=M&amp;window=popup&amp;width=450&amp;height=300&amp;START_MAXIMIZED=FALSE"}</definedName>
    <definedName name="_444__FDSAUDITLINK__" hidden="1">{"fdsup://IBCentral/FAT Viewer?action=UPDATE&amp;creator=factset&amp;DOC_NAME=fat:reuters_annual_source_window.fat&amp;display_string=Audit&amp;DYN_ARGS=TRUE&amp;VAR:ID1=645553&amp;VAR:RCODE=FEBIT&amp;VAR:SDATE=20091299&amp;VAR:FREQ=Y&amp;VAR:RELITEM=RF&amp;VAR:CURRENCY=&amp;VAR:CURRSOURCE=EXSHARE&amp;VA","R:NATFREQ=ANNUAL&amp;VAR:RFIELD=FINALIZED&amp;VAR:DB_TYPE=&amp;VAR:UNITS=M&amp;window=popup&amp;width=450&amp;height=300&amp;START_MAXIMIZED=FALSE"}</definedName>
    <definedName name="_445__FDSAUDITLINK__" hidden="1">{"fdsup://IBCentral/FAT Viewer?action=UPDATE&amp;creator=factset&amp;DOC_NAME=fat:reuters_annual_source_window.fat&amp;display_string=Audit&amp;DYN_ARGS=TRUE&amp;VAR:ID1=B03BN8&amp;VAR:RCODE=FEBIT&amp;VAR:SDATE=20091299&amp;VAR:FREQ=Y&amp;VAR:RELITEM=RF&amp;VAR:CURRENCY=&amp;VAR:CURRSOURCE=EXSHARE&amp;VA","R:NATFREQ=ANNUAL&amp;VAR:RFIELD=FINALIZED&amp;VAR:DB_TYPE=&amp;VAR:UNITS=M&amp;window=popup&amp;width=450&amp;height=300&amp;START_MAXIMIZED=FALSE"}</definedName>
    <definedName name="_446__FDSAUDITLINK__" hidden="1">{"fdsup://IBCentral/FAT Viewer?action=UPDATE&amp;creator=factset&amp;DOC_NAME=fat:reuters_annual_source_window.fat&amp;display_string=Audit&amp;DYN_ARGS=TRUE&amp;VAR:ID1=645553&amp;VAR:RCODE=NINC&amp;VAR:SDATE=20091299&amp;VAR:FREQ=Y&amp;VAR:RELITEM=RF&amp;VAR:CURRENCY=&amp;VAR:CURRSOURCE=EXSHARE&amp;VAR",":NATFREQ=ANNUAL&amp;VAR:RFIELD=FINALIZED&amp;VAR:DB_TYPE=&amp;VAR:UNITS=M&amp;window=popup&amp;width=450&amp;height=300&amp;START_MAXIMIZED=FALSE"}</definedName>
    <definedName name="_447__FDSAUDITLINK__" hidden="1">{"fdsup://IBCentral/FAT Viewer?action=UPDATE&amp;creator=factset&amp;DOC_NAME=fat:reuters_annual_source_window.fat&amp;display_string=Audit&amp;DYN_ARGS=TRUE&amp;VAR:ID1=B03BN8&amp;VAR:RCODE=FEBITDA&amp;VAR:SDATE=20081299&amp;VAR:FREQ=Y&amp;VAR:RELITEM=RF&amp;VAR:CURRENCY=&amp;VAR:CURRSOURCE=EXSHARE&amp;","VAR:NATFREQ=ANNUAL&amp;VAR:RFIELD=FINALIZED&amp;VAR:DB_TYPE=&amp;VAR:UNITS=M&amp;window=popup&amp;width=450&amp;height=300&amp;START_MAXIMIZED=FALSE"}</definedName>
    <definedName name="_448__FDSAUDITLINK__" hidden="1">{"fdsup://IBCentral/FAT Viewer?action=UPDATE&amp;creator=factset&amp;DOC_NAME=fat:reuters_annual_source_window.fat&amp;display_string=Audit&amp;DYN_ARGS=TRUE&amp;VAR:ID1=645553&amp;VAR:RCODE=NIBX&amp;VAR:SDATE=20101299&amp;VAR:FREQ=Y&amp;VAR:RELITEM=RF&amp;VAR:CURRENCY=&amp;VAR:CURRSOURCE=EXSHARE&amp;VAR",":NATFREQ=ANNUAL&amp;VAR:RFIELD=FINALIZED&amp;VAR:DB_TYPE=&amp;VAR:UNITS=M&amp;window=popup&amp;width=450&amp;height=300&amp;START_MAXIMIZED=FALSE"}</definedName>
    <definedName name="_449__FDSAUDITLINK__" hidden="1">{"fdsup://IBCentral/FAT Viewer?action=UPDATE&amp;creator=factset&amp;DOC_NAME=fat:reuters_annual_source_window.fat&amp;display_string=Audit&amp;DYN_ARGS=TRUE&amp;VAR:ID1=645553&amp;VAR:RCODE=FSALE&amp;VAR:SDATE=20101299&amp;VAR:FREQ=Y&amp;VAR:RELITEM=RF&amp;VAR:CURRENCY=&amp;VAR:CURRSOURCE=EXSHARE&amp;VA","R:NATFREQ=ANNUAL&amp;VAR:RFIELD=FINALIZED&amp;VAR:DB_TYPE=&amp;VAR:UNITS=M&amp;window=popup&amp;width=450&amp;height=300&amp;START_MAXIMIZED=FALSE"}</definedName>
    <definedName name="_44BuiltIn_AutoFilter___1_1___0_1_1">#N/A</definedName>
    <definedName name="_44W__QUARTERWISE_COMPARI">#REF!</definedName>
    <definedName name="_45__123Graph_CCHART_16" hidden="1">#REF!</definedName>
    <definedName name="_45__FDSAUDITLINK__" hidden="1">{"fdsup://IBCentral/FAT Viewer?action=UPDATE&amp;creator=factset&amp;DOC_NAME=fat:reuters_annual_source_window.fat&amp;display_string=Audit&amp;DYN_ARGS=TRUE&amp;VAR:ID1=B08K3S&amp;VAR:RCODE=FDSREVSTOTAL&amp;VAR:SDATE=20101299&amp;VAR:FREQ=Y&amp;VAR:RELITEM=RP&amp;VAR:CURRENCY=&amp;VAR:CURRSOURCE=EXS","HARE&amp;VAR:NATFREQ=ANNUAL&amp;VAR:RFIELD=FINALIZED&amp;VAR:DB_TYPE=&amp;VAR:UNITS=M&amp;window=popup&amp;width=450&amp;height=300&amp;START_MAXIMIZED=FALSE"}</definedName>
    <definedName name="_45_0Quarterwise_Export_P">#REF!</definedName>
    <definedName name="_450__FDSAUDITLINK__" hidden="1">{"fdsup://IBCentral/FAT Viewer?action=UPDATE&amp;creator=factset&amp;DOC_NAME=fat:reuters_annual_source_window.fat&amp;display_string=Audit&amp;DYN_ARGS=TRUE&amp;VAR:ID1=645553&amp;VAR:RCODE=NINC&amp;VAR:SDATE=20101299&amp;VAR:FREQ=Y&amp;VAR:RELITEM=RF&amp;VAR:CURRENCY=&amp;VAR:CURRSOURCE=EXSHARE&amp;VAR",":NATFREQ=ANNUAL&amp;VAR:RFIELD=FINALIZED&amp;VAR:DB_TYPE=&amp;VAR:UNITS=M&amp;window=popup&amp;width=450&amp;height=300&amp;START_MAXIMIZED=FALSE"}</definedName>
    <definedName name="_451__FDSAUDITLINK__" hidden="1">{"fdsup://IBCentral/FAT Viewer?action=UPDATE&amp;creator=factset&amp;DOC_NAME=fat:reuters_annual_source_window.fat&amp;display_string=Audit&amp;DYN_ARGS=TRUE&amp;VAR:ID1=B03BN8&amp;VAR:RCODE=NINC&amp;VAR:SDATE=20091299&amp;VAR:FREQ=Y&amp;VAR:RELITEM=RF&amp;VAR:CURRENCY=&amp;VAR:CURRSOURCE=EXSHARE&amp;VAR",":NATFREQ=ANNUAL&amp;VAR:RFIELD=FINALIZED&amp;VAR:DB_TYPE=&amp;VAR:UNITS=M&amp;window=popup&amp;width=450&amp;height=300&amp;START_MAXIMIZED=FALSE"}</definedName>
    <definedName name="_452__FDSAUDITLINK__" hidden="1">{"fdsup://IBCentral/FAT Viewer?action=UPDATE&amp;creator=factset&amp;DOC_NAME=fat:reuters_annual_source_window.fat&amp;display_string=Audit&amp;DYN_ARGS=TRUE&amp;VAR:ID1=645553&amp;VAR:RCODE=FEBIT&amp;VAR:SDATE=20101299&amp;VAR:FREQ=Y&amp;VAR:RELITEM=RF&amp;VAR:CURRENCY=&amp;VAR:CURRSOURCE=EXSHARE&amp;VA","R:NATFREQ=ANNUAL&amp;VAR:RFIELD=FINALIZED&amp;VAR:DB_TYPE=&amp;VAR:UNITS=M&amp;window=popup&amp;width=450&amp;height=300&amp;START_MAXIMIZED=FALSE"}</definedName>
    <definedName name="_453__FDSAUDITLINK__" hidden="1">{"fdsup://IBCentral/FAT Viewer?action=UPDATE&amp;creator=factset&amp;DOC_NAME=fat:reuters_annual_source_window.fat&amp;display_string=Audit&amp;DYN_ARGS=TRUE&amp;VAR:ID1=B03BN8&amp;VAR:RCODE=FEBITDA&amp;VAR:SDATE=20101299&amp;VAR:FREQ=Y&amp;VAR:RELITEM=RF&amp;VAR:CURRENCY=&amp;VAR:CURRSOURCE=EXSHARE&amp;","VAR:NATFREQ=ANNUAL&amp;VAR:RFIELD=FINALIZED&amp;VAR:DB_TYPE=&amp;VAR:UNITS=M&amp;window=popup&amp;width=450&amp;height=300&amp;START_MAXIMIZED=FALSE"}</definedName>
    <definedName name="_454__FDSAUDITLINK__" hidden="1">{"fdsup://IBCentral/FAT Viewer?action=UPDATE&amp;creator=factset&amp;DOC_NAME=fat:reuters_annual_source_window.fat&amp;display_string=Audit&amp;DYN_ARGS=TRUE&amp;VAR:ID1=645553&amp;VAR:RCODE=STXI&amp;VAR:SDATE=20101299&amp;VAR:FREQ=Y&amp;VAR:RELITEM=RF&amp;VAR:CURRENCY=&amp;VAR:CURRSOURCE=EXSHARE&amp;VAR",":NATFREQ=ANNUAL&amp;VAR:RFIELD=FINALIZED&amp;VAR:DB_TYPE=&amp;VAR:UNITS=M&amp;window=popup&amp;width=450&amp;height=300&amp;START_MAXIMIZED=FALSE"}</definedName>
    <definedName name="_455__FDSAUDITLINK__" hidden="1">{"fdsup://IBCentral/FAT Viewer?action=UPDATE&amp;creator=factset&amp;DOC_NAME=fat:reuters_annual_source_window.fat&amp;display_string=Audit&amp;DYN_ARGS=TRUE&amp;VAR:ID1=B03BN8&amp;VAR:RCODE=FSALE&amp;VAR:SDATE=20101299&amp;VAR:FREQ=Y&amp;VAR:RELITEM=RF&amp;VAR:CURRENCY=&amp;VAR:CURRSOURCE=EXSHARE&amp;VA","R:NATFREQ=ANNUAL&amp;VAR:RFIELD=FINALIZED&amp;VAR:DB_TYPE=&amp;VAR:UNITS=M&amp;window=popup&amp;width=450&amp;height=300&amp;START_MAXIMIZED=FALSE"}</definedName>
    <definedName name="_456__FDSAUDITLINK__" hidden="1">{"fdsup://directions/FAT Viewer?action=UPDATE&amp;creator=factset&amp;DYN_ARGS=TRUE&amp;DOC_NAME=FAT:FQL_AUDITING_CLIENT_TEMPLATE.FAT&amp;display_string=Audit&amp;VAR:KEY=REXGJINIHO&amp;VAR:QUERY=UkdGX0lOVEFORyhBTk4sNDA2MzMsLCwsLCxOT0FVRElUKQ==&amp;WINDOW=FIRST_POPUP&amp;HEIGHT=450&amp;WIDTH=","450&amp;START_MAXIMIZED=FALSE&amp;VAR:CALENDAR=FIVEDAY&amp;VAR:SYMBOL=645553&amp;VAR:INDEX=0"}</definedName>
    <definedName name="_457__FDSAUDITLINK__" hidden="1">{"fdsup://IBCentral/FAT Viewer?action=UPDATE&amp;creator=factset&amp;DOC_NAME=fat:reuters_qtrly_source_window.fat&amp;display_string=Audit&amp;DYN_ARGS=TRUE&amp;VAR:ID1=645553&amp;VAR:RCODE=SCSI&amp;VAR:SDATE=20110399&amp;VAR:FREQ=Quarterly&amp;VAR:RELITEM=RP&amp;VAR:CURRENCY=&amp;VAR:CURRSOURCE=EXSH","ARE&amp;VAR:NATFREQ=QUARTERLY&amp;VAR:RFIELD=FINALIZED&amp;VAR:DB_TYPE=&amp;VAR:UNITS=M&amp;window=popup&amp;width=450&amp;height=300&amp;START_MAXIMIZED=FALSE"}</definedName>
    <definedName name="_458__FDSAUDITLINK__" hidden="1">{"fdsup://IBCentral/FAT Viewer?action=UPDATE&amp;creator=factset&amp;DOC_NAME=fat:reuters_qtrly_source_window.fat&amp;display_string=Audit&amp;DYN_ARGS=TRUE&amp;VAR:ID1=645553&amp;VAR:RCODE=DSTT&amp;VAR:SDATE=20110399&amp;VAR:FREQ=Quarterly&amp;VAR:RELITEM=RP&amp;VAR:CURRENCY=&amp;VAR:CURRSOURCE=EXSH","ARE&amp;VAR:NATFREQ=QUARTERLY&amp;VAR:RFIELD=FINALIZED&amp;VAR:DB_TYPE=&amp;VAR:UNITS=M&amp;window=popup&amp;width=450&amp;height=300&amp;START_MAXIMIZED=FALSE"}</definedName>
    <definedName name="_459__FDSAUDITLINK__" hidden="1">{"fdsup://IBCentral/FAT Viewer?action=UPDATE&amp;creator=factset&amp;DOC_NAME=fat:reuters_annual_source_window.fat&amp;display_string=Audit&amp;DYN_ARGS=TRUE&amp;VAR:ID1=645553&amp;VAR:RCODE=LPBL&amp;VAR:SDATE=20101299&amp;VAR:FREQ=Y&amp;VAR:RELITEM=RP&amp;VAR:CURRENCY=&amp;VAR:CURRSOURCE=EXSHARE&amp;VAR",":NATFREQ=ANNUAL&amp;VAR:RFIELD=FINALIZED&amp;VAR:DB_TYPE=&amp;VAR:UNITS=M&amp;window=popup&amp;width=450&amp;height=300&amp;START_MAXIMIZED=FALSE"}</definedName>
    <definedName name="_45BuiltIn_AutoFilter___1_1_1_1">#N/A</definedName>
    <definedName name="_46__123Graph_CCHART_17" hidden="1">#REF!</definedName>
    <definedName name="_46__FDSAUDITLINK__" hidden="1">{"fdsup://IBCentral/FAT Viewer?action=UPDATE&amp;creator=factset&amp;DOC_NAME=fat:reuters_ytd_source_window.fat&amp;display_string=Audit&amp;DYN_ARGS=TRUE&amp;VAR:ID1=B08K3S&amp;VAR:RCODE=FIBCEBIT&amp;VAR:SDATE=20101299&amp;VAR:FREQ=Quarterly&amp;VAR:RELITEM=RP&amp;VAR:CURRENCY=&amp;VAR:CURRSOURCE=EX","SHARE&amp;VAR:NATFREQ=Quarterly&amp;VAR:RFIELD=FINALIZED&amp;VAR:DB_TYPE=&amp;VAR:UNITS=M&amp;window=popup&amp;width=450&amp;height=300&amp;START_MAXIMIZED=FALSE"}</definedName>
    <definedName name="_46_0RE">#REF!</definedName>
    <definedName name="_46_6__PE_BUSINESS___PAST___FUT">#REF!</definedName>
    <definedName name="_460__FDSAUDITLINK__" hidden="1">{"fdsup://IBCentral/FAT Viewer?action=UPDATE&amp;creator=factset&amp;DOC_NAME=fat:reuters_annual_source_window.fat&amp;display_string=Audit&amp;DYN_ARGS=TRUE&amp;VAR:ID1=645553&amp;VAR:RCODE=FDSINVINCTOT&amp;VAR:SDATE=20101299&amp;VAR:FREQ=Y&amp;VAR:RELITEM=RF&amp;VAR:CURRENCY=&amp;VAR:CURRSOURCE=EXS","HARE&amp;VAR:NATFREQ=ANNUAL&amp;VAR:RFIELD=FINALIZED&amp;VAR:DB_TYPE=&amp;VAR:UNITS=M&amp;window=popup&amp;width=450&amp;height=300&amp;START_MAXIMIZED=FALSE"}</definedName>
    <definedName name="_461__FDSAUDITLINK__" hidden="1">{"fdsup://IBCentral/FAT Viewer?action=UPDATE&amp;creator=factset&amp;DOC_NAME=fat:reuters_annual_source_window.fat&amp;display_string=Audit&amp;DYN_ARGS=TRUE&amp;VAR:ID1=B03BN8&amp;VAR:RCODE=SCEX&amp;VAR:SDATE=20091299&amp;VAR:FREQ=Y&amp;VAR:RELITEM=RF&amp;VAR:CURRENCY=&amp;VAR:CURRSOURCE=EXSHARE&amp;VAR",":NATFREQ=ANNUAL&amp;VAR:RFIELD=FINALIZED&amp;VAR:DB_TYPE=&amp;VAR:UNITS=M&amp;window=popup&amp;width=450&amp;height=300&amp;START_MAXIMIZED=FALSE"}</definedName>
    <definedName name="_462__FDSAUDITLINK__" hidden="1">{"fdsup://IBCentral/FAT Viewer?action=UPDATE&amp;creator=factset&amp;DOC_NAME=fat:reuters_qtrly_source_window.fat&amp;display_string=Audit&amp;DYN_ARGS=TRUE&amp;VAR:ID1=645553&amp;VAR:RCODE=AEQI&amp;VAR:SDATE=20110399&amp;VAR:FREQ=Quarterly&amp;VAR:RELITEM=RP&amp;VAR:CURRENCY=&amp;VAR:CURRSOURCE=EXSH","ARE&amp;VAR:NATFREQ=QUARTERLY&amp;VAR:RFIELD=FINALIZED&amp;VAR:DB_TYPE=&amp;VAR:UNITS=M&amp;window=popup&amp;width=450&amp;height=300&amp;START_MAXIMIZED=FALSE"}</definedName>
    <definedName name="_463__FDSAUDITLINK__" hidden="1">{"fdsup://IBCentral/FAT Viewer?action=UPDATE&amp;creator=factset&amp;DOC_NAME=fat:reuters_annual_source_window.fat&amp;display_string=Audit&amp;DYN_ARGS=TRUE&amp;VAR:ID1=B03BN8&amp;VAR:RCODE=FEBITDA&amp;VAR:SDATE=20091299&amp;VAR:FREQ=Y&amp;VAR:RELITEM=RF&amp;VAR:CURRENCY=&amp;VAR:CURRSOURCE=EXSHARE&amp;","VAR:NATFREQ=ANNUAL&amp;VAR:RFIELD=FINALIZED&amp;VAR:DB_TYPE=&amp;VAR:UNITS=M&amp;window=popup&amp;width=450&amp;height=300&amp;START_MAXIMIZED=FALSE"}</definedName>
    <definedName name="_464__FDSAUDITLINK__" hidden="1">{"fdsup://IBCentral/FAT Viewer?action=UPDATE&amp;creator=factset&amp;DOC_NAME=fat:reuters_qtrly_source_window.fat&amp;display_string=Audit&amp;DYN_ARGS=TRUE&amp;VAR:ID1=645553&amp;VAR:RCODE=LMIN&amp;VAR:SDATE=20110399&amp;VAR:FREQ=Quarterly&amp;VAR:RELITEM=RP&amp;VAR:CURRENCY=&amp;VAR:CURRSOURCE=EXSH","ARE&amp;VAR:NATFREQ=QUARTERLY&amp;VAR:RFIELD=FINALIZED&amp;VAR:DB_TYPE=&amp;VAR:UNITS=M&amp;window=popup&amp;width=450&amp;height=300&amp;START_MAXIMIZED=FALSE"}</definedName>
    <definedName name="_465__FDSAUDITLINK__" hidden="1">{"fdsup://IBCentral/FAT Viewer?action=UPDATE&amp;creator=factset&amp;DOC_NAME=fat:reuters_annual_source_window.fat&amp;display_string=Audit&amp;DYN_ARGS=TRUE&amp;VAR:ID1=645553&amp;VAR:RCODE=FEBITDA&amp;VAR:SDATE=20101299&amp;VAR:FREQ=Y&amp;VAR:RELITEM=RF&amp;VAR:CURRENCY=&amp;VAR:CURRSOURCE=EXSHARE&amp;","VAR:NATFREQ=ANNUAL&amp;VAR:RFIELD=FINALIZED&amp;VAR:DB_TYPE=&amp;VAR:UNITS=M&amp;window=popup&amp;width=450&amp;height=300&amp;START_MAXIMIZED=FALSE"}</definedName>
    <definedName name="_466__FDSAUDITLINK__" hidden="1">{"fdsup://IBCentral/FAT Viewer?action=UPDATE&amp;creator=factset&amp;DOC_NAME=fat:reuters_annual_source_window.fat&amp;display_string=Audit&amp;DYN_ARGS=TRUE&amp;VAR:ID1=B03BN8&amp;VAR:RCODE=NIBX&amp;VAR:SDATE=20091299&amp;VAR:FREQ=Y&amp;VAR:RELITEM=RF&amp;VAR:CURRENCY=&amp;VAR:CURRSOURCE=EXSHARE&amp;VAR",":NATFREQ=ANNUAL&amp;VAR:RFIELD=FINALIZED&amp;VAR:DB_TYPE=&amp;VAR:UNITS=M&amp;window=popup&amp;width=450&amp;height=300&amp;START_MAXIMIZED=FALSE"}</definedName>
    <definedName name="_467__FDSAUDITLINK__" hidden="1">{"fdsup://IBCentral/FAT Viewer?action=UPDATE&amp;creator=factset&amp;DOC_NAME=fat:reuters_annual_source_window.fat&amp;display_string=Audit&amp;DYN_ARGS=TRUE&amp;VAR:ID1=645553&amp;VAR:RCODE=FDSPFDSTKTOTAL&amp;VAR:SDATE=20101299&amp;VAR:FREQ=Y&amp;VAR:RELITEM=RP&amp;VAR:CURRENCY=&amp;VAR:CURRSOURCE=E","XSHARE&amp;VAR:NATFREQ=ANNUAL&amp;VAR:RFIELD=FINALIZED&amp;VAR:DB_TYPE=&amp;VAR:UNITS=M&amp;window=popup&amp;width=450&amp;height=300&amp;START_MAXIMIZED=FALSE"}</definedName>
    <definedName name="_468__FDSAUDITLINK__" hidden="1">{"fdsup://IBCentral/FAT Viewer?action=UPDATE&amp;creator=factset&amp;DOC_NAME=fat:reuters_annual_source_window.fat&amp;display_string=Audit&amp;DYN_ARGS=TRUE&amp;VAR:ID1=B03BN8&amp;VAR:RCODE=SCEX&amp;VAR:SDATE=20101299&amp;VAR:FREQ=Y&amp;VAR:RELITEM=RF&amp;VAR:CURRENCY=&amp;VAR:CURRSOURCE=EXSHARE&amp;VAR",":NATFREQ=ANNUAL&amp;VAR:RFIELD=FINALIZED&amp;VAR:DB_TYPE=&amp;VAR:UNITS=M&amp;window=popup&amp;width=450&amp;height=300&amp;START_MAXIMIZED=FALSE"}</definedName>
    <definedName name="_469__FDSAUDITLINK__" hidden="1">{"fdsup://IBCentral/FAT Viewer?action=UPDATE&amp;creator=factset&amp;DOC_NAME=fat:reuters_qtrly_source_window.fat&amp;display_string=Audit&amp;DYN_ARGS=TRUE&amp;VAR:ID1=645553&amp;VAR:RCODE=LLTD&amp;VAR:SDATE=20110399&amp;VAR:FREQ=Quarterly&amp;VAR:RELITEM=RP&amp;VAR:CURRENCY=&amp;VAR:CURRSOURCE=EXSH","ARE&amp;VAR:NATFREQ=QUARTERLY&amp;VAR:RFIELD=FINALIZED&amp;VAR:DB_TYPE=&amp;VAR:UNITS=M&amp;window=popup&amp;width=450&amp;height=300&amp;START_MAXIMIZED=FALSE"}</definedName>
    <definedName name="_46BuiltIn_AutoFilter___1_1_1_2">NA()</definedName>
    <definedName name="_46Quarterwise_Export_P">#REF!</definedName>
    <definedName name="_47__123Graph_CCHART_18" hidden="1">#REF!</definedName>
    <definedName name="_47__123Graph_DCHART_112" hidden="1">#REF!</definedName>
    <definedName name="_47__FDSAUDITLINK__" hidden="1">{"fdsup://IBCentral/FAT Viewer?action=UPDATE&amp;creator=factset&amp;DOC_NAME=fat:reuters_annual_source_window.fat&amp;display_string=Audit&amp;DYN_ARGS=TRUE&amp;VAR:ID1=B693LN&amp;VAR:RCODE=FDSINTINCTOTAL&amp;VAR:SDATE=20101299&amp;VAR:FREQ=Y&amp;VAR:RELITEM=RP&amp;VAR:CURRENCY=&amp;VAR:CURRSOURCE=E","XSHARE&amp;VAR:NATFREQ=ANNUAL&amp;VAR:RFIELD=FINALIZED&amp;VAR:DB_TYPE=&amp;VAR:UNITS=M&amp;window=popup&amp;width=450&amp;height=300&amp;START_MAXIMIZED=FALSE"}</definedName>
    <definedName name="_47…_0PRICE_FORECAST___1995">#REF!</definedName>
    <definedName name="_470__FDSAUDITLINK__" hidden="1">{"fdsup://IBCentral/FAT Viewer?action=UPDATE&amp;creator=factset&amp;DOC_NAME=fat:reuters_annual_source_window.fat&amp;display_string=Audit&amp;DYN_ARGS=TRUE&amp;VAR:ID1=B03BN8&amp;VAR:RCODE=STXI&amp;VAR:SDATE=20101299&amp;VAR:FREQ=Y&amp;VAR:RELITEM=RF&amp;VAR:CURRENCY=&amp;VAR:CURRSOURCE=EXSHARE&amp;VAR",":NATFREQ=ANNUAL&amp;VAR:RFIELD=FINALIZED&amp;VAR:DB_TYPE=&amp;VAR:UNITS=M&amp;window=popup&amp;width=450&amp;height=300&amp;START_MAXIMIZED=FALSE"}</definedName>
    <definedName name="_471__FDSAUDITLINK__" hidden="1">{"fdsup://IBCentral/FAT Viewer?action=UPDATE&amp;creator=factset&amp;DOC_NAME=fat:reuters_annual_source_window.fat&amp;display_string=Audit&amp;DYN_ARGS=TRUE&amp;VAR:ID1=B03BN8&amp;VAR:RCODE=FDSINVINCTOT&amp;VAR:SDATE=20101299&amp;VAR:FREQ=Y&amp;VAR:RELITEM=RF&amp;VAR:CURRENCY=&amp;VAR:CURRSOURCE=EXS","HARE&amp;VAR:NATFREQ=ANNUAL&amp;VAR:RFIELD=FINALIZED&amp;VAR:DB_TYPE=&amp;VAR:UNITS=M&amp;window=popup&amp;width=450&amp;height=300&amp;START_MAXIMIZED=FALSE"}</definedName>
    <definedName name="_472__FDSAUDITLINK__" hidden="1">{"fdsup://IBCentral/FAT Viewer?action=UPDATE&amp;creator=factset&amp;DOC_NAME=fat:reuters_annual_source_window.fat&amp;display_string=Audit&amp;DYN_ARGS=TRUE&amp;VAR:ID1=B03BN8&amp;VAR:RCODE=FEBIT&amp;VAR:SDATE=20101299&amp;VAR:FREQ=Y&amp;VAR:RELITEM=RF&amp;VAR:CURRENCY=&amp;VAR:CURRSOURCE=EXSHARE&amp;VA","R:NATFREQ=ANNUAL&amp;VAR:RFIELD=FINALIZED&amp;VAR:DB_TYPE=&amp;VAR:UNITS=M&amp;window=popup&amp;width=450&amp;height=300&amp;START_MAXIMIZED=FALSE"}</definedName>
    <definedName name="_473__FDSAUDITLINK__" hidden="1">{"fdsup://IBCentral/FAT Viewer?action=UPDATE&amp;creator=factset&amp;DOC_NAME=fat:reuters_annual_source_window.fat&amp;display_string=Audit&amp;DYN_ARGS=TRUE&amp;VAR:ID1=B03BN8&amp;VAR:RCODE=NINC&amp;VAR:SDATE=20101299&amp;VAR:FREQ=Y&amp;VAR:RELITEM=RF&amp;VAR:CURRENCY=&amp;VAR:CURRSOURCE=EXSHARE&amp;VAR",":NATFREQ=ANNUAL&amp;VAR:RFIELD=FINALIZED&amp;VAR:DB_TYPE=&amp;VAR:UNITS=M&amp;window=popup&amp;width=450&amp;height=300&amp;START_MAXIMIZED=FALSE"}</definedName>
    <definedName name="_474__FDSAUDITLINK__" hidden="1">{"fdsup://IBCentral/FAT Viewer?action=UPDATE&amp;creator=factset&amp;DOC_NAME=fat:reuters_annual_source_window.fat&amp;display_string=Audit&amp;DYN_ARGS=TRUE&amp;VAR:ID1=B03BN8&amp;VAR:RCODE=NIBX&amp;VAR:SDATE=20101299&amp;VAR:FREQ=Y&amp;VAR:RELITEM=RF&amp;VAR:CURRENCY=&amp;VAR:CURRSOURCE=EXSHARE&amp;VAR",":NATFREQ=ANNUAL&amp;VAR:RFIELD=FINALIZED&amp;VAR:DB_TYPE=&amp;VAR:UNITS=M&amp;window=popup&amp;width=450&amp;height=300&amp;START_MAXIMIZED=FALSE"}</definedName>
    <definedName name="_475__FDSAUDITLINK__" hidden="1">{"fdsup://IBCentral/FAT Viewer?action=UPDATE&amp;creator=factset&amp;DOC_NAME=fat:reuters_qtrly_source_window.fat&amp;display_string=Audit&amp;DYN_ARGS=TRUE&amp;VAR:ID1=B03BN8&amp;VAR:RCODE=LLTD&amp;VAR:SDATE=20110399&amp;VAR:FREQ=Quarterly&amp;VAR:RELITEM=RP&amp;VAR:CURRENCY=&amp;VAR:CURRSOURCE=EXSH","ARE&amp;VAR:NATFREQ=QUARTERLY&amp;VAR:RFIELD=FINALIZED&amp;VAR:DB_TYPE=&amp;VAR:UNITS=M&amp;window=popup&amp;width=450&amp;height=300&amp;START_MAXIMIZED=FALSE"}</definedName>
    <definedName name="_476__FDSAUDITLINK__" hidden="1">{"fdsup://IBCentral/FAT Viewer?action=UPDATE&amp;creator=factset&amp;DOC_NAME=fat:reuters_qtrly_source_window.fat&amp;display_string=Audit&amp;DYN_ARGS=TRUE&amp;VAR:ID1=B03BN8&amp;VAR:RCODE=LMIN&amp;VAR:SDATE=20110399&amp;VAR:FREQ=Quarterly&amp;VAR:RELITEM=RP&amp;VAR:CURRENCY=&amp;VAR:CURRSOURCE=EXSH","ARE&amp;VAR:NATFREQ=QUARTERLY&amp;VAR:RFIELD=FINALIZED&amp;VAR:DB_TYPE=&amp;VAR:UNITS=M&amp;window=popup&amp;width=450&amp;height=300&amp;START_MAXIMIZED=FALSE"}</definedName>
    <definedName name="_477__FDSAUDITLINK__" hidden="1">{"fdsup://IBCentral/FAT Viewer?action=UPDATE&amp;creator=factset&amp;DOC_NAME=fat:reuters_qtrly_source_window.fat&amp;display_string=Audit&amp;DYN_ARGS=TRUE&amp;VAR:ID1=B03BN8&amp;VAR:RCODE=DSTT&amp;VAR:SDATE=20110399&amp;VAR:FREQ=Quarterly&amp;VAR:RELITEM=RP&amp;VAR:CURRENCY=&amp;VAR:CURRSOURCE=EXSH","ARE&amp;VAR:NATFREQ=QUARTERLY&amp;VAR:RFIELD=FINALIZED&amp;VAR:DB_TYPE=&amp;VAR:UNITS=M&amp;window=popup&amp;width=450&amp;height=300&amp;START_MAXIMIZED=FALSE"}</definedName>
    <definedName name="_478__FDSAUDITLINK__" hidden="1">{"fdsup://IBCentral/FAT Viewer?action=UPDATE&amp;creator=factset&amp;DOC_NAME=fat:reuters_annual_source_window.fat&amp;display_string=Audit&amp;DYN_ARGS=TRUE&amp;VAR:ID1=B03BN8&amp;VAR:RCODE=FDSPFDSTKTOTAL&amp;VAR:SDATE=20101299&amp;VAR:FREQ=Y&amp;VAR:RELITEM=RP&amp;VAR:CURRENCY=&amp;VAR:CURRSOURCE=E","XSHARE&amp;VAR:NATFREQ=ANNUAL&amp;VAR:RFIELD=FINALIZED&amp;VAR:DB_TYPE=&amp;VAR:UNITS=M&amp;window=popup&amp;width=450&amp;height=300&amp;START_MAXIMIZED=FALSE"}</definedName>
    <definedName name="_479__FDSAUDITLINK__" hidden="1">{"fdsup://IBCentral/FAT Viewer?action=UPDATE&amp;creator=factset&amp;DOC_NAME=fat:reuters_qtrly_source_window.fat&amp;display_string=Audit&amp;DYN_ARGS=TRUE&amp;VAR:ID1=B03BN8&amp;VAR:RCODE=SCSI&amp;VAR:SDATE=20110399&amp;VAR:FREQ=Quarterly&amp;VAR:RELITEM=RP&amp;VAR:CURRENCY=&amp;VAR:CURRSOURCE=EXSH","ARE&amp;VAR:NATFREQ=QUARTERLY&amp;VAR:RFIELD=FINALIZED&amp;VAR:DB_TYPE=&amp;VAR:UNITS=M&amp;window=popup&amp;width=450&amp;height=300&amp;START_MAXIMIZED=FALSE"}</definedName>
    <definedName name="_47BuiltIn_AutoFilter___2_1_1">#REF!</definedName>
    <definedName name="_48__123Graph_CCHART_4" hidden="1">#REF!</definedName>
    <definedName name="_48__FDSAUDITLINK__" hidden="1">{"fdsup://IBCentral/FAT Viewer?action=UPDATE&amp;creator=factset&amp;DOC_NAME=fat:reuters_annual_source_window.fat&amp;display_string=Audit&amp;DYN_ARGS=TRUE&amp;VAR:ID1=74972L10&amp;VAR:RCODE=SCEX&amp;VAR:SDATE=20101299&amp;VAR:FREQ=Y&amp;VAR:RELITEM=RP&amp;VAR:CURRENCY=&amp;VAR:CURRSOURCE=EXSHARE&amp;V","AR:NATFREQ=ANNUAL&amp;VAR:RFIELD=FINALIZED&amp;VAR:DB_TYPE=&amp;VAR:UNITS=M&amp;window=popup&amp;width=450&amp;height=300&amp;START_MAXIMIZED=FALSE"}</definedName>
    <definedName name="_48_6_0PE_BUSINESS___PAST___FUT">#REF!</definedName>
    <definedName name="_48_7_0End_Use_Analysis___Sectoral_Gro">#REF!</definedName>
    <definedName name="_48…__PRICE_FORECAST___1995">#REF!</definedName>
    <definedName name="_480__FDSAUDITLINK__" hidden="1">{"fdsup://IBCentral/FAT Viewer?action=UPDATE&amp;creator=factset&amp;DOC_NAME=fat:reuters_qtrly_source_window.fat&amp;display_string=Audit&amp;DYN_ARGS=TRUE&amp;VAR:ID1=B03BN8&amp;VAR:RCODE=AEQI&amp;VAR:SDATE=20110399&amp;VAR:FREQ=Quarterly&amp;VAR:RELITEM=RP&amp;VAR:CURRENCY=&amp;VAR:CURRSOURCE=EXSH","ARE&amp;VAR:NATFREQ=QUARTERLY&amp;VAR:RFIELD=FINALIZED&amp;VAR:DB_TYPE=&amp;VAR:UNITS=M&amp;window=popup&amp;width=450&amp;height=300&amp;START_MAXIMIZED=FALSE"}</definedName>
    <definedName name="_481__FDSAUDITLINK__" hidden="1">{"fdsup://IBCentral/FAT Viewer?action=UPDATE&amp;creator=factset&amp;DOC_NAME=fat:reuters_annual_source_window.fat&amp;display_string=Audit&amp;DYN_ARGS=TRUE&amp;VAR:ID1=B03BN8&amp;VAR:RCODE=LPBL&amp;VAR:SDATE=20101299&amp;VAR:FREQ=Y&amp;VAR:RELITEM=RP&amp;VAR:CURRENCY=&amp;VAR:CURRSOURCE=EXSHARE&amp;VAR",":NATFREQ=ANNUAL&amp;VAR:RFIELD=FINALIZED&amp;VAR:DB_TYPE=&amp;VAR:UNITS=M&amp;window=popup&amp;width=450&amp;height=300&amp;START_MAXIMIZED=FALSE"}</definedName>
    <definedName name="_482__FDSAUDITLINK__" hidden="1">{"fdsup://directions/FAT Viewer?action=UPDATE&amp;creator=factset&amp;DYN_ARGS=TRUE&amp;DOC_NAME=FAT:FQL_AUDITING_CLIENT_TEMPLATE.FAT&amp;display_string=Audit&amp;VAR:KEY=SLMJOTGNSN&amp;VAR:QUERY=UkdGX0lOVEFORyhBTk4sNDA2MzMsLCwsLCxOT0FVRElUKQ==&amp;WINDOW=FIRST_POPUP&amp;HEIGHT=450&amp;WIDTH=","450&amp;START_MAXIMIZED=FALSE&amp;VAR:CALENDAR=FIVEDAY&amp;VAR:SYMBOL=B03BN8&amp;VAR:INDEX=0"}</definedName>
    <definedName name="_483__FDSAUDITLINK__" hidden="1">{"fdsup://IBCentral/FAT Viewer?action=UPDATE&amp;creator=factset&amp;DOC_NAME=fat:reuters_annual_source_window.fat&amp;display_string=Audit&amp;DYN_ARGS=TRUE&amp;VAR:ID1=12526910&amp;VAR:RCODE=SCEX&amp;VAR:SDATE=20051299&amp;VAR:FREQ=Y&amp;VAR:RELITEM=RF&amp;VAR:CURRENCY=&amp;VAR:CURRSOURCE=EXSHARE&amp;V","AR:NATFREQ=ANNUAL&amp;VAR:RFIELD=FINALIZED&amp;VAR:DB_TYPE=&amp;VAR:UNITS=M&amp;window=popup&amp;width=450&amp;height=300&amp;START_MAXIMIZED=FALSE"}</definedName>
    <definedName name="_484__FDSAUDITLINK__" hidden="1">{"fdsup://IBCentral/FAT Viewer?action=UPDATE&amp;creator=factset&amp;DOC_NAME=fat:reuters_annual_source_window.fat&amp;display_string=Audit&amp;DYN_ARGS=TRUE&amp;VAR:ID1=12526910&amp;VAR:RCODE=FSALE&amp;VAR:SDATE=20051299&amp;VAR:FREQ=Y&amp;VAR:RELITEM=RF&amp;VAR:CURRENCY=&amp;VAR:CURRSOURCE=EXSHARE&amp;","VAR:NATFREQ=ANNUAL&amp;VAR:RFIELD=FINALIZED&amp;VAR:DB_TYPE=&amp;VAR:UNITS=M&amp;window=popup&amp;width=450&amp;height=300&amp;START_MAXIMIZED=FALSE"}</definedName>
    <definedName name="_485__FDSAUDITLINK__" hidden="1">{"fdsup://IBCentral/FAT Viewer?action=UPDATE&amp;creator=factset&amp;DOC_NAME=fat:reuters_annual_source_window.fat&amp;display_string=Audit&amp;DYN_ARGS=TRUE&amp;VAR:ID1=12526910&amp;VAR:RCODE=FEBITDA&amp;VAR:SDATE=20051299&amp;VAR:FREQ=Y&amp;VAR:RELITEM=RF&amp;VAR:CURRENCY=&amp;VAR:CURRSOURCE=EXSHAR","E&amp;VAR:NATFREQ=ANNUAL&amp;VAR:RFIELD=FINALIZED&amp;VAR:DB_TYPE=&amp;VAR:UNITS=M&amp;window=popup&amp;width=450&amp;height=300&amp;START_MAXIMIZED=FALSE"}</definedName>
    <definedName name="_486__FDSAUDITLINK__" hidden="1">{"fdsup://IBCentral/FAT Viewer?action=UPDATE&amp;creator=factset&amp;DOC_NAME=fat:reuters_annual_source_window.fat&amp;display_string=Audit&amp;DYN_ARGS=TRUE&amp;VAR:ID1=12526910&amp;VAR:RCODE=NIBX&amp;VAR:SDATE=20051299&amp;VAR:FREQ=Y&amp;VAR:RELITEM=RF&amp;VAR:CURRENCY=&amp;VAR:CURRSOURCE=EXSHARE&amp;V","AR:NATFREQ=ANNUAL&amp;VAR:RFIELD=FINALIZED&amp;VAR:DB_TYPE=&amp;VAR:UNITS=M&amp;window=popup&amp;width=450&amp;height=300&amp;START_MAXIMIZED=FALSE"}</definedName>
    <definedName name="_487__FDSAUDITLINK__" hidden="1">{"fdsup://IBCentral/FAT Viewer?action=UPDATE&amp;creator=factset&amp;DOC_NAME=fat:reuters_annual_source_window.fat&amp;display_string=Audit&amp;DYN_ARGS=TRUE&amp;VAR:ID1=12526910&amp;VAR:RCODE=STXI&amp;VAR:SDATE=20051299&amp;VAR:FREQ=Y&amp;VAR:RELITEM=RF&amp;VAR:CURRENCY=&amp;VAR:CURRSOURCE=EXSHARE&amp;V","AR:NATFREQ=ANNUAL&amp;VAR:RFIELD=FINALIZED&amp;VAR:DB_TYPE=&amp;VAR:UNITS=M&amp;window=popup&amp;width=450&amp;height=300&amp;START_MAXIMIZED=FALSE"}</definedName>
    <definedName name="_488__FDSAUDITLINK__" hidden="1">{"fdsup://IBCentral/FAT Viewer?action=UPDATE&amp;creator=factset&amp;DOC_NAME=fat:reuters_annual_source_window.fat&amp;display_string=Audit&amp;DYN_ARGS=TRUE&amp;VAR:ID1=12526910&amp;VAR:RCODE=FDSINVINCTOT&amp;VAR:SDATE=20051299&amp;VAR:FREQ=Y&amp;VAR:RELITEM=RF&amp;VAR:CURRENCY=&amp;VAR:CURRSOURCE=E","XSHARE&amp;VAR:NATFREQ=ANNUAL&amp;VAR:RFIELD=FINALIZED&amp;VAR:DB_TYPE=&amp;VAR:UNITS=M&amp;window=popup&amp;width=450&amp;height=300&amp;START_MAXIMIZED=FALSE"}</definedName>
    <definedName name="_489__FDSAUDITLINK__" hidden="1">{"fdsup://IBCentral/FAT Viewer?action=UPDATE&amp;creator=factset&amp;DOC_NAME=fat:reuters_annual_source_window.fat&amp;display_string=Audit&amp;DYN_ARGS=TRUE&amp;VAR:ID1=12526910&amp;VAR:RCODE=FEBIT&amp;VAR:SDATE=20051299&amp;VAR:FREQ=Y&amp;VAR:RELITEM=RF&amp;VAR:CURRENCY=&amp;VAR:CURRSOURCE=EXSHARE&amp;","VAR:NATFREQ=ANNUAL&amp;VAR:RFIELD=FINALIZED&amp;VAR:DB_TYPE=&amp;VAR:UNITS=M&amp;window=popup&amp;width=450&amp;height=300&amp;START_MAXIMIZED=FALSE"}</definedName>
    <definedName name="_48BuiltIn_AutoFilter___2_1_2">#REF!</definedName>
    <definedName name="_49__123Graph_CCHART_6" hidden="1">#REF!</definedName>
    <definedName name="_49__FDSAUDITLINK__" hidden="1">{"fdsup://IBCentral/FAT Viewer?action=UPDATE&amp;creator=factset&amp;DOC_NAME=fat:reuters_ytd_source_window.fat&amp;display_string=Audit&amp;DYN_ARGS=TRUE&amp;VAR:ID1=74972L10&amp;VAR:RCODE=FDSINTINCTOTAL&amp;VAR:SDATE=20110399&amp;VAR:FREQ=Quarterly&amp;VAR:RELITEM=RP&amp;VAR:CURRENCY=&amp;VAR:CURRS","OURCE=EXSHARE&amp;VAR:NATFREQ=Quarterly&amp;VAR:RFIELD=FINALIZED&amp;VAR:DB_TYPE=&amp;VAR:UNITS=M&amp;window=popup&amp;width=450&amp;height=300&amp;START_MAXIMIZED=FALSE"}</definedName>
    <definedName name="_49”_0PE_1996">#REF!</definedName>
    <definedName name="_490__FDSAUDITLINK__" hidden="1">{"fdsup://IBCentral/FAT Viewer?action=UPDATE&amp;creator=factset&amp;DOC_NAME=fat:reuters_annual_source_window.fat&amp;display_string=Audit&amp;DYN_ARGS=TRUE&amp;VAR:ID1=12526910&amp;VAR:RCODE=NINC&amp;VAR:SDATE=20051299&amp;VAR:FREQ=Y&amp;VAR:RELITEM=RF&amp;VAR:CURRENCY=&amp;VAR:CURRSOURCE=EXSHARE&amp;V","AR:NATFREQ=ANNUAL&amp;VAR:RFIELD=FINALIZED&amp;VAR:DB_TYPE=&amp;VAR:UNITS=M&amp;window=popup&amp;width=450&amp;height=300&amp;START_MAXIMIZED=FALSE"}</definedName>
    <definedName name="_491__FDSAUDITLINK__" hidden="1">{"fdsup://IBCentral/FAT Viewer?action=UPDATE&amp;creator=factset&amp;DOC_NAME=fat:reuters_annual_source_window.fat&amp;display_string=Audit&amp;DYN_ARGS=TRUE&amp;VAR:ID1=12526910&amp;VAR:RCODE=STXI&amp;VAR:SDATE=20071299&amp;VAR:FREQ=Y&amp;VAR:RELITEM=RF&amp;VAR:CURRENCY=&amp;VAR:CURRSOURCE=EXSHARE&amp;V","AR:NATFREQ=ANNUAL&amp;VAR:RFIELD=FINALIZED&amp;VAR:DB_TYPE=&amp;VAR:UNITS=M&amp;window=popup&amp;width=450&amp;height=300&amp;START_MAXIMIZED=FALSE"}</definedName>
    <definedName name="_492__FDSAUDITLINK__" hidden="1">{"fdsup://IBCentral/FAT Viewer?action=UPDATE&amp;creator=factset&amp;DOC_NAME=fat:reuters_annual_source_window.fat&amp;display_string=Audit&amp;DYN_ARGS=TRUE&amp;VAR:ID1=12526910&amp;VAR:RCODE=FDSINVINCTOT&amp;VAR:SDATE=20061299&amp;VAR:FREQ=Y&amp;VAR:RELITEM=RF&amp;VAR:CURRENCY=&amp;VAR:CURRSOURCE=E","XSHARE&amp;VAR:NATFREQ=ANNUAL&amp;VAR:RFIELD=FINALIZED&amp;VAR:DB_TYPE=&amp;VAR:UNITS=M&amp;window=popup&amp;width=450&amp;height=300&amp;START_MAXIMIZED=FALSE"}</definedName>
    <definedName name="_493__FDSAUDITLINK__" hidden="1">{"fdsup://IBCentral/FAT Viewer?action=UPDATE&amp;creator=factset&amp;DOC_NAME=fat:reuters_annual_source_window.fat&amp;display_string=Audit&amp;DYN_ARGS=TRUE&amp;VAR:ID1=12526910&amp;VAR:RCODE=NIBX&amp;VAR:SDATE=20071299&amp;VAR:FREQ=Y&amp;VAR:RELITEM=RF&amp;VAR:CURRENCY=&amp;VAR:CURRSOURCE=EXSHARE&amp;V","AR:NATFREQ=ANNUAL&amp;VAR:RFIELD=FINALIZED&amp;VAR:DB_TYPE=&amp;VAR:UNITS=M&amp;window=popup&amp;width=450&amp;height=300&amp;START_MAXIMIZED=FALSE"}</definedName>
    <definedName name="_494__FDSAUDITLINK__" hidden="1">{"fdsup://IBCentral/FAT Viewer?action=UPDATE&amp;creator=factset&amp;DOC_NAME=fat:reuters_annual_source_window.fat&amp;display_string=Audit&amp;DYN_ARGS=TRUE&amp;VAR:ID1=12526910&amp;VAR:RCODE=SCEX&amp;VAR:SDATE=20061299&amp;VAR:FREQ=Y&amp;VAR:RELITEM=RF&amp;VAR:CURRENCY=&amp;VAR:CURRSOURCE=EXSHARE&amp;V","AR:NATFREQ=ANNUAL&amp;VAR:RFIELD=FINALIZED&amp;VAR:DB_TYPE=&amp;VAR:UNITS=M&amp;window=popup&amp;width=450&amp;height=300&amp;START_MAXIMIZED=FALSE"}</definedName>
    <definedName name="_495__FDSAUDITLINK__" hidden="1">{"fdsup://IBCentral/FAT Viewer?action=UPDATE&amp;creator=factset&amp;DOC_NAME=fat:reuters_annual_source_window.fat&amp;display_string=Audit&amp;DYN_ARGS=TRUE&amp;VAR:ID1=12526910&amp;VAR:RCODE=NINC&amp;VAR:SDATE=20071299&amp;VAR:FREQ=Y&amp;VAR:RELITEM=RF&amp;VAR:CURRENCY=&amp;VAR:CURRSOURCE=EXSHARE&amp;V","AR:NATFREQ=ANNUAL&amp;VAR:RFIELD=FINALIZED&amp;VAR:DB_TYPE=&amp;VAR:UNITS=M&amp;window=popup&amp;width=450&amp;height=300&amp;START_MAXIMIZED=FALSE"}</definedName>
    <definedName name="_496__FDSAUDITLINK__" hidden="1">{"fdsup://IBCentral/FAT Viewer?action=UPDATE&amp;creator=factset&amp;DOC_NAME=fat:reuters_annual_source_window.fat&amp;display_string=Audit&amp;DYN_ARGS=TRUE&amp;VAR:ID1=12526910&amp;VAR:RCODE=NIBX&amp;VAR:SDATE=20061299&amp;VAR:FREQ=Y&amp;VAR:RELITEM=RF&amp;VAR:CURRENCY=&amp;VAR:CURRSOURCE=EXSHARE&amp;V","AR:NATFREQ=ANNUAL&amp;VAR:RFIELD=FINALIZED&amp;VAR:DB_TYPE=&amp;VAR:UNITS=M&amp;window=popup&amp;width=450&amp;height=300&amp;START_MAXIMIZED=FALSE"}</definedName>
    <definedName name="_497__FDSAUDITLINK__" hidden="1">{"fdsup://IBCentral/FAT Viewer?action=UPDATE&amp;creator=factset&amp;DOC_NAME=fat:reuters_annual_source_window.fat&amp;display_string=Audit&amp;DYN_ARGS=TRUE&amp;VAR:ID1=12526910&amp;VAR:RCODE=FSALE&amp;VAR:SDATE=20061299&amp;VAR:FREQ=Y&amp;VAR:RELITEM=RF&amp;VAR:CURRENCY=&amp;VAR:CURRSOURCE=EXSHARE&amp;","VAR:NATFREQ=ANNUAL&amp;VAR:RFIELD=FINALIZED&amp;VAR:DB_TYPE=&amp;VAR:UNITS=M&amp;window=popup&amp;width=450&amp;height=300&amp;START_MAXIMIZED=FALSE"}</definedName>
    <definedName name="_498__FDSAUDITLINK__" hidden="1">{"fdsup://IBCentral/FAT Viewer?action=UPDATE&amp;creator=factset&amp;DOC_NAME=fat:reuters_annual_source_window.fat&amp;display_string=Audit&amp;DYN_ARGS=TRUE&amp;VAR:ID1=12526910&amp;VAR:RCODE=SCEX&amp;VAR:SDATE=20071299&amp;VAR:FREQ=Y&amp;VAR:RELITEM=RF&amp;VAR:CURRENCY=&amp;VAR:CURRSOURCE=EXSHARE&amp;V","AR:NATFREQ=ANNUAL&amp;VAR:RFIELD=FINALIZED&amp;VAR:DB_TYPE=&amp;VAR:UNITS=M&amp;window=popup&amp;width=450&amp;height=300&amp;START_MAXIMIZED=FALSE"}</definedName>
    <definedName name="_499__FDSAUDITLINK__" hidden="1">{"fdsup://IBCentral/FAT Viewer?action=UPDATE&amp;creator=factset&amp;DOC_NAME=fat:reuters_annual_source_window.fat&amp;display_string=Audit&amp;DYN_ARGS=TRUE&amp;VAR:ID1=12526910&amp;VAR:RCODE=NINC&amp;VAR:SDATE=20061299&amp;VAR:FREQ=Y&amp;VAR:RELITEM=RF&amp;VAR:CURRENCY=&amp;VAR:CURRSOURCE=EXSHARE&amp;V","AR:NATFREQ=ANNUAL&amp;VAR:RFIELD=FINALIZED&amp;VAR:DB_TYPE=&amp;VAR:UNITS=M&amp;window=popup&amp;width=450&amp;height=300&amp;START_MAXIMIZED=FALSE"}</definedName>
    <definedName name="_49BuiltIn_AutoFilter___2_1_1_1">#REF!</definedName>
    <definedName name="_4BSADJ">#REF!</definedName>
    <definedName name="_4Critér">#REF!</definedName>
    <definedName name="_4Excel_BuiltIn__FilterDatabase_1_2_1">#REF!</definedName>
    <definedName name="_4Excel_BuiltIn_Print_Area_3_1_1">#REF!</definedName>
    <definedName name="_4Excel_BuiltIn_Print_Area_3_1_1_1_1_1_1_1_1_1_1_1_1_1_1_1_1_1_1_1_1_1_1_1_1">#REF!</definedName>
    <definedName name="_4Excel_BuiltIn_Print_Area_3_1_1_1_1_1_1_1_1_1_1_1_1_1_1_1_1_1_1_1_1_1_1_1_1_1_1_1_1_1_1_1_1_1_1_1_1_1_1">#REF!</definedName>
    <definedName name="_4P">#REF!</definedName>
    <definedName name="_4PROFITABILITY__Q3_1996__">#REF!</definedName>
    <definedName name="_4Q3___SUMM">#REF!</definedName>
    <definedName name="_4Quarterwise_Export_P">#REF!</definedName>
    <definedName name="_4QUARTERWISE_PERFORMA">#REF!</definedName>
    <definedName name="_5__…_0PRICE_FORECAST___1995">#REF!</definedName>
    <definedName name="_5__123Graph_BCHART_2" hidden="1">#REF!</definedName>
    <definedName name="_5__FDSAUDITLINK__" hidden="1">{"fdsup://IBCentral/FAT Viewer?action=UPDATE&amp;creator=factset&amp;DOC_NAME=fat:reuters_annual_source_window.fat&amp;display_string=Audit&amp;DYN_ARGS=TRUE&amp;VAR:ID1=45091110&amp;VAR:RCODE=LTTD&amp;VAR:SDATE=20091299&amp;VAR:FREQ=Y&amp;VAR:RELITEM=RP&amp;VAR:CURRENCY=&amp;VAR:CURRSOURCE=EXSHARE&amp;V","AR:NATFREQ=ANNUAL&amp;VAR:RFIELD=FINALIZED&amp;VAR:DB_TYPE=&amp;VAR:UNITS=M&amp;window=popup&amp;width=450&amp;height=300&amp;START_MAXIMIZED=FALSE"}</definedName>
    <definedName name="_5_0BS_minor">#REF!</definedName>
    <definedName name="_5_0Quarterwise_Collection_P">#REF!</definedName>
    <definedName name="_5_0Quarterwise_Export_P">#REF!</definedName>
    <definedName name="_5_6_239">#REF!</definedName>
    <definedName name="_5_Excel_BuiltIn_Print_Titles_4_1">(#REF!,#REF!)</definedName>
    <definedName name="_50__123Graph_CCHART_7" hidden="1">#REF!</definedName>
    <definedName name="_50__FDSAUDITLINK__" hidden="1">{"fdsup://IBCentral/FAT Viewer?action=UPDATE&amp;creator=factset&amp;DOC_NAME=fat:reuters_ytd_source_window.fat&amp;display_string=Audit&amp;DYN_ARGS=TRUE&amp;VAR:ID1=45874310&amp;VAR:RCODE=FDSREVSTOTAL&amp;VAR:SDATE=20101299&amp;VAR:FREQ=Quarterly&amp;VAR:RELITEM=RP&amp;VAR:CURRENCY=&amp;VAR:CURRSOU","RCE=EXSHARE&amp;VAR:NATFREQ=Quarterly&amp;VAR:RFIELD=FINALIZED&amp;VAR:DB_TYPE=&amp;VAR:UNITS=M&amp;window=popup&amp;width=450&amp;height=300&amp;START_MAXIMIZED=FALSE"}</definedName>
    <definedName name="_50_6__PE_BUSINESS___PAST___FUT">#REF!</definedName>
    <definedName name="_50_7__End_Use_Analysis___Sectoral_Gro">#REF!</definedName>
    <definedName name="_50”__PE_1996">#REF!</definedName>
    <definedName name="_500__FDSAUDITLINK__" hidden="1">{"fdsup://IBCentral/FAT Viewer?action=UPDATE&amp;creator=factset&amp;DOC_NAME=fat:reuters_annual_source_window.fat&amp;display_string=Audit&amp;DYN_ARGS=TRUE&amp;VAR:ID1=12526910&amp;VAR:RCODE=STXI&amp;VAR:SDATE=20061299&amp;VAR:FREQ=Y&amp;VAR:RELITEM=RF&amp;VAR:CURRENCY=&amp;VAR:CURRSOURCE=EXSHARE&amp;V","AR:NATFREQ=ANNUAL&amp;VAR:RFIELD=FINALIZED&amp;VAR:DB_TYPE=&amp;VAR:UNITS=M&amp;window=popup&amp;width=450&amp;height=300&amp;START_MAXIMIZED=FALSE"}</definedName>
    <definedName name="_501__FDSAUDITLINK__" hidden="1">{"fdsup://IBCentral/FAT Viewer?action=UPDATE&amp;creator=factset&amp;DOC_NAME=fat:reuters_annual_source_window.fat&amp;display_string=Audit&amp;DYN_ARGS=TRUE&amp;VAR:ID1=12526910&amp;VAR:RCODE=FEBITDA&amp;VAR:SDATE=20061299&amp;VAR:FREQ=Y&amp;VAR:RELITEM=RF&amp;VAR:CURRENCY=&amp;VAR:CURRSOURCE=EXSHAR","E&amp;VAR:NATFREQ=ANNUAL&amp;VAR:RFIELD=FINALIZED&amp;VAR:DB_TYPE=&amp;VAR:UNITS=M&amp;window=popup&amp;width=450&amp;height=300&amp;START_MAXIMIZED=FALSE"}</definedName>
    <definedName name="_502__FDSAUDITLINK__" hidden="1">{"fdsup://IBCentral/FAT Viewer?action=UPDATE&amp;creator=factset&amp;DOC_NAME=fat:reuters_annual_source_window.fat&amp;display_string=Audit&amp;DYN_ARGS=TRUE&amp;VAR:ID1=12526910&amp;VAR:RCODE=FEBIT&amp;VAR:SDATE=20061299&amp;VAR:FREQ=Y&amp;VAR:RELITEM=RF&amp;VAR:CURRENCY=&amp;VAR:CURRSOURCE=EXSHARE&amp;","VAR:NATFREQ=ANNUAL&amp;VAR:RFIELD=FINALIZED&amp;VAR:DB_TYPE=&amp;VAR:UNITS=M&amp;window=popup&amp;width=450&amp;height=300&amp;START_MAXIMIZED=FALSE"}</definedName>
    <definedName name="_503__FDSAUDITLINK__" hidden="1">{"fdsup://IBCentral/FAT Viewer?action=UPDATE&amp;creator=factset&amp;DOC_NAME=fat:reuters_annual_source_window.fat&amp;display_string=Audit&amp;DYN_ARGS=TRUE&amp;VAR:ID1=12526910&amp;VAR:RCODE=FEBIT&amp;VAR:SDATE=20071299&amp;VAR:FREQ=Y&amp;VAR:RELITEM=RF&amp;VAR:CURRENCY=&amp;VAR:CURRSOURCE=EXSHARE&amp;","VAR:NATFREQ=ANNUAL&amp;VAR:RFIELD=FINALIZED&amp;VAR:DB_TYPE=&amp;VAR:UNITS=M&amp;window=popup&amp;width=450&amp;height=300&amp;START_MAXIMIZED=FALSE"}</definedName>
    <definedName name="_504__FDSAUDITLINK__" hidden="1">{"fdsup://IBCentral/FAT Viewer?action=UPDATE&amp;creator=factset&amp;DOC_NAME=fat:reuters_annual_source_window.fat&amp;display_string=Audit&amp;DYN_ARGS=TRUE&amp;VAR:ID1=12526910&amp;VAR:RCODE=FEBITDA&amp;VAR:SDATE=20071299&amp;VAR:FREQ=Y&amp;VAR:RELITEM=RF&amp;VAR:CURRENCY=&amp;VAR:CURRSOURCE=EXSHAR","E&amp;VAR:NATFREQ=ANNUAL&amp;VAR:RFIELD=FINALIZED&amp;VAR:DB_TYPE=&amp;VAR:UNITS=M&amp;window=popup&amp;width=450&amp;height=300&amp;START_MAXIMIZED=FALSE"}</definedName>
    <definedName name="_505__FDSAUDITLINK__" hidden="1">{"fdsup://IBCentral/FAT Viewer?action=UPDATE&amp;creator=factset&amp;DOC_NAME=fat:reuters_annual_source_window.fat&amp;display_string=Audit&amp;DYN_ARGS=TRUE&amp;VAR:ID1=12526910&amp;VAR:RCODE=FSALE&amp;VAR:SDATE=20071299&amp;VAR:FREQ=Y&amp;VAR:RELITEM=RF&amp;VAR:CURRENCY=&amp;VAR:CURRSOURCE=EXSHARE&amp;","VAR:NATFREQ=ANNUAL&amp;VAR:RFIELD=FINALIZED&amp;VAR:DB_TYPE=&amp;VAR:UNITS=M&amp;window=popup&amp;width=450&amp;height=300&amp;START_MAXIMIZED=FALSE"}</definedName>
    <definedName name="_506__FDSAUDITLINK__" hidden="1">{"fdsup://IBCentral/FAT Viewer?action=UPDATE&amp;creator=factset&amp;DOC_NAME=fat:reuters_annual_source_window.fat&amp;display_string=Audit&amp;DYN_ARGS=TRUE&amp;VAR:ID1=12526910&amp;VAR:RCODE=SCEX&amp;VAR:SDATE=20081299&amp;VAR:FREQ=Y&amp;VAR:RELITEM=RF&amp;VAR:CURRENCY=&amp;VAR:CURRSOURCE=EXSHARE&amp;V","AR:NATFREQ=ANNUAL&amp;VAR:RFIELD=FINALIZED&amp;VAR:DB_TYPE=&amp;VAR:UNITS=M&amp;window=popup&amp;width=450&amp;height=300&amp;START_MAXIMIZED=FALSE"}</definedName>
    <definedName name="_507__FDSAUDITLINK__" hidden="1">{"fdsup://IBCentral/FAT Viewer?action=UPDATE&amp;creator=factset&amp;DOC_NAME=fat:reuters_annual_source_window.fat&amp;display_string=Audit&amp;DYN_ARGS=TRUE&amp;VAR:ID1=12526910&amp;VAR:RCODE=FDSINVINCTOT&amp;VAR:SDATE=20071299&amp;VAR:FREQ=Y&amp;VAR:RELITEM=RF&amp;VAR:CURRENCY=&amp;VAR:CURRSOURCE=E","XSHARE&amp;VAR:NATFREQ=ANNUAL&amp;VAR:RFIELD=FINALIZED&amp;VAR:DB_TYPE=&amp;VAR:UNITS=M&amp;window=popup&amp;width=450&amp;height=300&amp;START_MAXIMIZED=FALSE"}</definedName>
    <definedName name="_508__FDSAUDITLINK__" hidden="1">{"fdsup://IBCentral/FAT Viewer?action=UPDATE&amp;creator=factset&amp;DOC_NAME=fat:reuters_annual_source_window.fat&amp;display_string=Audit&amp;DYN_ARGS=TRUE&amp;VAR:ID1=12526910&amp;VAR:RCODE=FEBITDA&amp;VAR:SDATE=20081299&amp;VAR:FREQ=Y&amp;VAR:RELITEM=RF&amp;VAR:CURRENCY=&amp;VAR:CURRSOURCE=EXSHAR","E&amp;VAR:NATFREQ=ANNUAL&amp;VAR:RFIELD=FINALIZED&amp;VAR:DB_TYPE=&amp;VAR:UNITS=M&amp;window=popup&amp;width=450&amp;height=300&amp;START_MAXIMIZED=FALSE"}</definedName>
    <definedName name="_509__FDSAUDITLINK__" hidden="1">{"fdsup://IBCentral/FAT Viewer?action=UPDATE&amp;creator=factset&amp;DOC_NAME=fat:reuters_annual_source_window.fat&amp;display_string=Audit&amp;DYN_ARGS=TRUE&amp;VAR:ID1=12526910&amp;VAR:RCODE=FSALE&amp;VAR:SDATE=20081299&amp;VAR:FREQ=Y&amp;VAR:RELITEM=RF&amp;VAR:CURRENCY=&amp;VAR:CURRSOURCE=EXSHARE&amp;","VAR:NATFREQ=ANNUAL&amp;VAR:RFIELD=FINALIZED&amp;VAR:DB_TYPE=&amp;VAR:UNITS=M&amp;window=popup&amp;width=450&amp;height=300&amp;START_MAXIMIZED=FALSE"}</definedName>
    <definedName name="_50BuiltIn_AutoFilter___3_1_1">#REF!</definedName>
    <definedName name="_51__123Graph_CCHART_8" hidden="1">#REF!</definedName>
    <definedName name="_51__FDSAUDITLINK__" hidden="1">{"fdsup://IBCentral/FAT Viewer?action=UPDATE&amp;creator=factset&amp;DOC_NAME=fat:reuters_ytd_source_window.fat&amp;display_string=Audit&amp;DYN_ARGS=TRUE&amp;VAR:ID1=42805T10&amp;VAR:RCODE=FDSINTINCTOTAL&amp;VAR:SDATE=20110399&amp;VAR:FREQ=Quarterly&amp;VAR:RELITEM=RP&amp;VAR:CURRENCY=&amp;VAR:CURRS","OURCE=EXSHARE&amp;VAR:NATFREQ=Quarterly&amp;VAR:RFIELD=FINALIZED&amp;VAR:DB_TYPE=&amp;VAR:UNITS=M&amp;window=popup&amp;width=450&amp;height=300&amp;START_MAXIMIZED=FALSE"}</definedName>
    <definedName name="_51_0QUARTERWISE_PERFORMA">#REF!</definedName>
    <definedName name="_510__FDSAUDITLINK__" hidden="1">{"fdsup://IBCentral/FAT Viewer?action=UPDATE&amp;creator=factset&amp;DOC_NAME=fat:reuters_annual_source_window.fat&amp;display_string=Audit&amp;DYN_ARGS=TRUE&amp;VAR:ID1=12526910&amp;VAR:RCODE=STXI&amp;VAR:SDATE=20081299&amp;VAR:FREQ=Y&amp;VAR:RELITEM=RF&amp;VAR:CURRENCY=&amp;VAR:CURRSOURCE=EXSHARE&amp;V","AR:NATFREQ=ANNUAL&amp;VAR:RFIELD=FINALIZED&amp;VAR:DB_TYPE=&amp;VAR:UNITS=M&amp;window=popup&amp;width=450&amp;height=300&amp;START_MAXIMIZED=FALSE"}</definedName>
    <definedName name="_511__FDSAUDITLINK__" hidden="1">{"fdsup://IBCentral/FAT Viewer?action=UPDATE&amp;creator=factset&amp;DOC_NAME=fat:reuters_annual_source_window.fat&amp;display_string=Audit&amp;DYN_ARGS=TRUE&amp;VAR:ID1=12526910&amp;VAR:RCODE=NIBX&amp;VAR:SDATE=20081299&amp;VAR:FREQ=Y&amp;VAR:RELITEM=RF&amp;VAR:CURRENCY=&amp;VAR:CURRSOURCE=EXSHARE&amp;V","AR:NATFREQ=ANNUAL&amp;VAR:RFIELD=FINALIZED&amp;VAR:DB_TYPE=&amp;VAR:UNITS=M&amp;window=popup&amp;width=450&amp;height=300&amp;START_MAXIMIZED=FALSE"}</definedName>
    <definedName name="_512__FDSAUDITLINK__" hidden="1">{"fdsup://IBCentral/FAT Viewer?action=UPDATE&amp;creator=factset&amp;DOC_NAME=fat:reuters_annual_source_window.fat&amp;display_string=Audit&amp;DYN_ARGS=TRUE&amp;VAR:ID1=12526910&amp;VAR:RCODE=FEBIT&amp;VAR:SDATE=20091299&amp;VAR:FREQ=Y&amp;VAR:RELITEM=RF&amp;VAR:CURRENCY=&amp;VAR:CURRSOURCE=EXSHARE&amp;","VAR:NATFREQ=ANNUAL&amp;VAR:RFIELD=FINALIZED&amp;VAR:DB_TYPE=&amp;VAR:UNITS=M&amp;window=popup&amp;width=450&amp;height=300&amp;START_MAXIMIZED=FALSE"}</definedName>
    <definedName name="_513__FDSAUDITLINK__" hidden="1">{"fdsup://IBCentral/FAT Viewer?action=UPDATE&amp;creator=factset&amp;DOC_NAME=fat:reuters_annual_source_window.fat&amp;display_string=Audit&amp;DYN_ARGS=TRUE&amp;VAR:ID1=12526910&amp;VAR:RCODE=FDSINVINCTOT&amp;VAR:SDATE=20081299&amp;VAR:FREQ=Y&amp;VAR:RELITEM=RF&amp;VAR:CURRENCY=&amp;VAR:CURRSOURCE=E","XSHARE&amp;VAR:NATFREQ=ANNUAL&amp;VAR:RFIELD=FINALIZED&amp;VAR:DB_TYPE=&amp;VAR:UNITS=M&amp;window=popup&amp;width=450&amp;height=300&amp;START_MAXIMIZED=FALSE"}</definedName>
    <definedName name="_514__FDSAUDITLINK__" hidden="1">{"fdsup://IBCentral/FAT Viewer?action=UPDATE&amp;creator=factset&amp;DOC_NAME=fat:reuters_annual_source_window.fat&amp;display_string=Audit&amp;DYN_ARGS=TRUE&amp;VAR:ID1=12526910&amp;VAR:RCODE=NINC&amp;VAR:SDATE=20081299&amp;VAR:FREQ=Y&amp;VAR:RELITEM=RF&amp;VAR:CURRENCY=&amp;VAR:CURRSOURCE=EXSHARE&amp;V","AR:NATFREQ=ANNUAL&amp;VAR:RFIELD=FINALIZED&amp;VAR:DB_TYPE=&amp;VAR:UNITS=M&amp;window=popup&amp;width=450&amp;height=300&amp;START_MAXIMIZED=FALSE"}</definedName>
    <definedName name="_515__FDSAUDITLINK__" hidden="1">{"fdsup://IBCentral/FAT Viewer?action=UPDATE&amp;creator=factset&amp;DOC_NAME=fat:reuters_annual_source_window.fat&amp;display_string=Audit&amp;DYN_ARGS=TRUE&amp;VAR:ID1=12526910&amp;VAR:RCODE=FEBIT&amp;VAR:SDATE=20081299&amp;VAR:FREQ=Y&amp;VAR:RELITEM=RF&amp;VAR:CURRENCY=&amp;VAR:CURRSOURCE=EXSHARE&amp;","VAR:NATFREQ=ANNUAL&amp;VAR:RFIELD=FINALIZED&amp;VAR:DB_TYPE=&amp;VAR:UNITS=M&amp;window=popup&amp;width=450&amp;height=300&amp;START_MAXIMIZED=FALSE"}</definedName>
    <definedName name="_516__FDSAUDITLINK__" hidden="1">{"fdsup://IBCentral/FAT Viewer?action=UPDATE&amp;creator=factset&amp;DOC_NAME=fat:reuters_annual_source_window.fat&amp;display_string=Audit&amp;DYN_ARGS=TRUE&amp;VAR:ID1=12526910&amp;VAR:RCODE=NIBX&amp;VAR:SDATE=20091299&amp;VAR:FREQ=Y&amp;VAR:RELITEM=RF&amp;VAR:CURRENCY=&amp;VAR:CURRSOURCE=EXSHARE&amp;V","AR:NATFREQ=ANNUAL&amp;VAR:RFIELD=FINALIZED&amp;VAR:DB_TYPE=&amp;VAR:UNITS=M&amp;window=popup&amp;width=450&amp;height=300&amp;START_MAXIMIZED=FALSE"}</definedName>
    <definedName name="_517__FDSAUDITLINK__" hidden="1">{"fdsup://IBCentral/FAT Viewer?action=UPDATE&amp;creator=factset&amp;DOC_NAME=fat:reuters_annual_source_window.fat&amp;display_string=Audit&amp;DYN_ARGS=TRUE&amp;VAR:ID1=12526910&amp;VAR:RCODE=FEBITDA&amp;VAR:SDATE=20091299&amp;VAR:FREQ=Y&amp;VAR:RELITEM=RF&amp;VAR:CURRENCY=&amp;VAR:CURRSOURCE=EXSHAR","E&amp;VAR:NATFREQ=ANNUAL&amp;VAR:RFIELD=FINALIZED&amp;VAR:DB_TYPE=&amp;VAR:UNITS=M&amp;window=popup&amp;width=450&amp;height=300&amp;START_MAXIMIZED=FALSE"}</definedName>
    <definedName name="_518__FDSAUDITLINK__" hidden="1">{"fdsup://IBCentral/FAT Viewer?action=UPDATE&amp;creator=factset&amp;DOC_NAME=fat:reuters_annual_source_window.fat&amp;display_string=Audit&amp;DYN_ARGS=TRUE&amp;VAR:ID1=12526910&amp;VAR:RCODE=FDSINVINCTOT&amp;VAR:SDATE=20091299&amp;VAR:FREQ=Y&amp;VAR:RELITEM=RF&amp;VAR:CURRENCY=&amp;VAR:CURRSOURCE=E","XSHARE&amp;VAR:NATFREQ=ANNUAL&amp;VAR:RFIELD=FINALIZED&amp;VAR:DB_TYPE=&amp;VAR:UNITS=M&amp;window=popup&amp;width=450&amp;height=300&amp;START_MAXIMIZED=FALSE"}</definedName>
    <definedName name="_519__FDSAUDITLINK__" hidden="1">{"fdsup://IBCentral/FAT Viewer?action=UPDATE&amp;creator=factset&amp;DOC_NAME=fat:reuters_annual_source_window.fat&amp;display_string=Audit&amp;DYN_ARGS=TRUE&amp;VAR:ID1=12526910&amp;VAR:RCODE=FSALE&amp;VAR:SDATE=20091299&amp;VAR:FREQ=Y&amp;VAR:RELITEM=RF&amp;VAR:CURRENCY=&amp;VAR:CURRSOURCE=EXSHARE&amp;","VAR:NATFREQ=ANNUAL&amp;VAR:RFIELD=FINALIZED&amp;VAR:DB_TYPE=&amp;VAR:UNITS=M&amp;window=popup&amp;width=450&amp;height=300&amp;START_MAXIMIZED=FALSE"}</definedName>
    <definedName name="_51BuiltIn_AutoFilter___4_1_1">#REF!</definedName>
    <definedName name="_52__123Graph_CCHART_9" hidden="1">#REF!</definedName>
    <definedName name="_52__FDSAUDITLINK__" hidden="1">{"fdsup://IBCentral/FAT Viewer?action=UPDATE&amp;creator=factset&amp;DOC_NAME=fat:reuters_ytd_source_window.fat&amp;display_string=Audit&amp;DYN_ARGS=TRUE&amp;VAR:ID1=25674310&amp;VAR:RCODE=FIBCEBITDA&amp;VAR:SDATE=20110399&amp;VAR:FREQ=Quarterly&amp;VAR:RELITEM=RP&amp;VAR:CURRENCY=&amp;VAR:CURRSOURC","E=EXSHARE&amp;VAR:NATFREQ=Quarterly&amp;VAR:RFIELD=FINALIZED&amp;VAR:DB_TYPE=&amp;VAR:UNITS=M&amp;window=popup&amp;width=450&amp;height=300&amp;START_MAXIMIZED=FALSE"}</definedName>
    <definedName name="_52_7_0End_Use_Analysis___Sectoral_Gro">#REF!</definedName>
    <definedName name="_520__FDSAUDITLINK__" hidden="1">{"fdsup://IBCentral/FAT Viewer?action=UPDATE&amp;creator=factset&amp;DOC_NAME=fat:reuters_annual_source_window.fat&amp;display_string=Audit&amp;DYN_ARGS=TRUE&amp;VAR:ID1=12526910&amp;VAR:RCODE=STXI&amp;VAR:SDATE=20091299&amp;VAR:FREQ=Y&amp;VAR:RELITEM=RF&amp;VAR:CURRENCY=&amp;VAR:CURRSOURCE=EXSHARE&amp;V","AR:NATFREQ=ANNUAL&amp;VAR:RFIELD=FINALIZED&amp;VAR:DB_TYPE=&amp;VAR:UNITS=M&amp;window=popup&amp;width=450&amp;height=300&amp;START_MAXIMIZED=FALSE"}</definedName>
    <definedName name="_521__FDSAUDITLINK__" hidden="1">{"fdsup://IBCentral/FAT Viewer?action=UPDATE&amp;creator=factset&amp;DOC_NAME=fat:reuters_annual_source_window.fat&amp;display_string=Audit&amp;DYN_ARGS=TRUE&amp;VAR:ID1=12526910&amp;VAR:RCODE=SCEX&amp;VAR:SDATE=20091299&amp;VAR:FREQ=Y&amp;VAR:RELITEM=RF&amp;VAR:CURRENCY=&amp;VAR:CURRSOURCE=EXSHARE&amp;V","AR:NATFREQ=ANNUAL&amp;VAR:RFIELD=FINALIZED&amp;VAR:DB_TYPE=&amp;VAR:UNITS=M&amp;window=popup&amp;width=450&amp;height=300&amp;START_MAXIMIZED=FALSE"}</definedName>
    <definedName name="_522__FDSAUDITLINK__" hidden="1">{"fdsup://IBCentral/FAT Viewer?action=UPDATE&amp;creator=factset&amp;DOC_NAME=fat:reuters_annual_source_window.fat&amp;display_string=Audit&amp;DYN_ARGS=TRUE&amp;VAR:ID1=12526910&amp;VAR:RCODE=STXI&amp;VAR:SDATE=20101299&amp;VAR:FREQ=Y&amp;VAR:RELITEM=RF&amp;VAR:CURRENCY=&amp;VAR:CURRSOURCE=EXSHARE&amp;V","AR:NATFREQ=ANNUAL&amp;VAR:RFIELD=FINALIZED&amp;VAR:DB_TYPE=&amp;VAR:UNITS=M&amp;window=popup&amp;width=450&amp;height=300&amp;START_MAXIMIZED=FALSE"}</definedName>
    <definedName name="_523__FDSAUDITLINK__" hidden="1">{"fdsup://IBCentral/FAT Viewer?action=UPDATE&amp;creator=factset&amp;DOC_NAME=fat:reuters_annual_source_window.fat&amp;display_string=Audit&amp;DYN_ARGS=TRUE&amp;VAR:ID1=12526910&amp;VAR:RCODE=NINC&amp;VAR:SDATE=20091299&amp;VAR:FREQ=Y&amp;VAR:RELITEM=RF&amp;VAR:CURRENCY=&amp;VAR:CURRSOURCE=EXSHARE&amp;V","AR:NATFREQ=ANNUAL&amp;VAR:RFIELD=FINALIZED&amp;VAR:DB_TYPE=&amp;VAR:UNITS=M&amp;window=popup&amp;width=450&amp;height=300&amp;START_MAXIMIZED=FALSE"}</definedName>
    <definedName name="_524__FDSAUDITLINK__" hidden="1">{"fdsup://IBCentral/FAT Viewer?action=UPDATE&amp;creator=factset&amp;DOC_NAME=fat:reuters_annual_source_window.fat&amp;display_string=Audit&amp;DYN_ARGS=TRUE&amp;VAR:ID1=12526910&amp;VAR:RCODE=FEBITDA&amp;VAR:SDATE=20101299&amp;VAR:FREQ=Y&amp;VAR:RELITEM=RF&amp;VAR:CURRENCY=&amp;VAR:CURRSOURCE=EXSHAR","E&amp;VAR:NATFREQ=ANNUAL&amp;VAR:RFIELD=FINALIZED&amp;VAR:DB_TYPE=&amp;VAR:UNITS=M&amp;window=popup&amp;width=450&amp;height=300&amp;START_MAXIMIZED=FALSE"}</definedName>
    <definedName name="_525__FDSAUDITLINK__" hidden="1">{"fdsup://IBCentral/FAT Viewer?action=UPDATE&amp;creator=factset&amp;DOC_NAME=fat:reuters_annual_source_window.fat&amp;display_string=Audit&amp;DYN_ARGS=TRUE&amp;VAR:ID1=12526910&amp;VAR:RCODE=FSALE&amp;VAR:SDATE=20101299&amp;VAR:FREQ=Y&amp;VAR:RELITEM=RF&amp;VAR:CURRENCY=&amp;VAR:CURRSOURCE=EXSHARE&amp;","VAR:NATFREQ=ANNUAL&amp;VAR:RFIELD=FINALIZED&amp;VAR:DB_TYPE=&amp;VAR:UNITS=M&amp;window=popup&amp;width=450&amp;height=300&amp;START_MAXIMIZED=FALSE"}</definedName>
    <definedName name="_526__FDSAUDITLINK__" hidden="1">{"fdsup://IBCentral/FAT Viewer?action=UPDATE&amp;creator=factset&amp;DOC_NAME=fat:reuters_annual_source_window.fat&amp;display_string=Audit&amp;DYN_ARGS=TRUE&amp;VAR:ID1=12526910&amp;VAR:RCODE=NIBX&amp;VAR:SDATE=20101299&amp;VAR:FREQ=Y&amp;VAR:RELITEM=RF&amp;VAR:CURRENCY=&amp;VAR:CURRSOURCE=EXSHARE&amp;V","AR:NATFREQ=ANNUAL&amp;VAR:RFIELD=FINALIZED&amp;VAR:DB_TYPE=&amp;VAR:UNITS=M&amp;window=popup&amp;width=450&amp;height=300&amp;START_MAXIMIZED=FALSE"}</definedName>
    <definedName name="_527__FDSAUDITLINK__" hidden="1">{"fdsup://IBCentral/FAT Viewer?action=UPDATE&amp;creator=factset&amp;DOC_NAME=fat:reuters_annual_source_window.fat&amp;display_string=Audit&amp;DYN_ARGS=TRUE&amp;VAR:ID1=12526910&amp;VAR:RCODE=SCEX&amp;VAR:SDATE=20101299&amp;VAR:FREQ=Y&amp;VAR:RELITEM=RF&amp;VAR:CURRENCY=&amp;VAR:CURRSOURCE=EXSHARE&amp;V","AR:NATFREQ=ANNUAL&amp;VAR:RFIELD=FINALIZED&amp;VAR:DB_TYPE=&amp;VAR:UNITS=M&amp;window=popup&amp;width=450&amp;height=300&amp;START_MAXIMIZED=FALSE"}</definedName>
    <definedName name="_528__FDSAUDITLINK__" hidden="1">{"fdsup://IBCentral/FAT Viewer?action=UPDATE&amp;creator=factset&amp;DOC_NAME=fat:reuters_annual_source_window.fat&amp;display_string=Audit&amp;DYN_ARGS=TRUE&amp;VAR:ID1=12526910&amp;VAR:RCODE=FEBIT&amp;VAR:SDATE=20101299&amp;VAR:FREQ=Y&amp;VAR:RELITEM=RF&amp;VAR:CURRENCY=&amp;VAR:CURRSOURCE=EXSHARE&amp;","VAR:NATFREQ=ANNUAL&amp;VAR:RFIELD=FINALIZED&amp;VAR:DB_TYPE=&amp;VAR:UNITS=M&amp;window=popup&amp;width=450&amp;height=300&amp;START_MAXIMIZED=FALSE"}</definedName>
    <definedName name="_529__FDSAUDITLINK__" hidden="1">{"fdsup://IBCentral/FAT Viewer?action=UPDATE&amp;creator=factset&amp;DOC_NAME=fat:reuters_annual_source_window.fat&amp;display_string=Audit&amp;DYN_ARGS=TRUE&amp;VAR:ID1=12526910&amp;VAR:RCODE=FDSINVINCTOT&amp;VAR:SDATE=20101299&amp;VAR:FREQ=Y&amp;VAR:RELITEM=RF&amp;VAR:CURRENCY=&amp;VAR:CURRSOURCE=E","XSHARE&amp;VAR:NATFREQ=ANNUAL&amp;VAR:RFIELD=FINALIZED&amp;VAR:DB_TYPE=&amp;VAR:UNITS=M&amp;window=popup&amp;width=450&amp;height=300&amp;START_MAXIMIZED=FALSE"}</definedName>
    <definedName name="_52A_0PE___OUTLOOK_TO_2">#REF!</definedName>
    <definedName name="_52Excel_BuiltIn__FilterDatabase_1">#REF!</definedName>
    <definedName name="_52QUARTERWISE_PERFORMA">#REF!</definedName>
    <definedName name="_53__123Graph_D_Chart_1A" hidden="1">#REF!</definedName>
    <definedName name="_53__FDSAUDITLINK__" hidden="1">{"fdsup://IBCentral/FAT Viewer?action=UPDATE&amp;creator=factset&amp;DOC_NAME=fat:reuters_ytd_source_window.fat&amp;display_string=Audit&amp;DYN_ARGS=TRUE&amp;VAR:ID1=B08K3S&amp;VAR:RCODE=FDSINTINCTOTAL&amp;VAR:SDATE=20101299&amp;VAR:FREQ=Quarterly&amp;VAR:RELITEM=RP&amp;VAR:CURRENCY=&amp;VAR:CURRSOU","RCE=EXSHARE&amp;VAR:NATFREQ=Quarterly&amp;VAR:RFIELD=FINALIZED&amp;VAR:DB_TYPE=&amp;VAR:UNITS=M&amp;window=popup&amp;width=450&amp;height=300&amp;START_MAXIMIZED=FALSE"}</definedName>
    <definedName name="_53_0PROFITABILITY__Q3_1996__">#REF!</definedName>
    <definedName name="_530__FDSAUDITLINK__" hidden="1">{"fdsup://IBCentral/FAT Viewer?action=UPDATE&amp;creator=factset&amp;DOC_NAME=fat:reuters_annual_source_window.fat&amp;display_string=Audit&amp;DYN_ARGS=TRUE&amp;VAR:ID1=12526910&amp;VAR:RCODE=NINC&amp;VAR:SDATE=20101299&amp;VAR:FREQ=Y&amp;VAR:RELITEM=RF&amp;VAR:CURRENCY=&amp;VAR:CURRSOURCE=EXSHARE&amp;V","AR:NATFREQ=ANNUAL&amp;VAR:RFIELD=FINALIZED&amp;VAR:DB_TYPE=&amp;VAR:UNITS=M&amp;window=popup&amp;width=450&amp;height=300&amp;START_MAXIMIZED=FALSE"}</definedName>
    <definedName name="_531__FDSAUDITLINK__" hidden="1">{"fdsup://IBCentral/FAT Viewer?action=UPDATE&amp;creator=factset&amp;DOC_NAME=fat:reuters_qtrly_source_window.fat&amp;display_string=Audit&amp;DYN_ARGS=TRUE&amp;VAR:ID1=12526910&amp;VAR:RCODE=AEQI&amp;VAR:SDATE=20110399&amp;VAR:FREQ=Quarterly&amp;VAR:RELITEM=RP&amp;VAR:CURRENCY=&amp;VAR:CURRSOURCE=EX","SHARE&amp;VAR:NATFREQ=QUARTERLY&amp;VAR:RFIELD=FINALIZED&amp;VAR:DB_TYPE=&amp;VAR:UNITS=M&amp;window=popup&amp;width=450&amp;height=300&amp;START_MAXIMIZED=FALSE"}</definedName>
    <definedName name="_532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533__FDSAUDITLINK__" hidden="1">{"fdsup://IBCentral/FAT Viewer?action=UPDATE&amp;creator=factset&amp;DOC_NAME=fat:reuters_annual_source_window.fat&amp;display_string=Audit&amp;DYN_ARGS=TRUE&amp;VAR:ID1=12526910&amp;VAR:RCODE=LPBL&amp;VAR:SDATE=20101299&amp;VAR:FREQ=Y&amp;VAR:RELITEM=RP&amp;VAR:CURRENCY=&amp;VAR:CURRSOURCE=EXSHARE&amp;V","AR:NATFREQ=ANNUAL&amp;VAR:RFIELD=FINALIZED&amp;VAR:DB_TYPE=&amp;VAR:UNITS=M&amp;window=popup&amp;width=450&amp;height=300&amp;START_MAXIMIZED=FALSE"}</definedName>
    <definedName name="_534__FDSAUDITLINK__" hidden="1">{"fdsup://directions/FAT Viewer?action=UPDATE&amp;creator=factset&amp;DYN_ARGS=TRUE&amp;DOC_NAME=FAT:FQL_AUDITING_CLIENT_TEMPLATE.FAT&amp;display_string=Audit&amp;VAR:KEY=BUZELQHETY&amp;VAR:QUERY=UkdGX0lOVEFORyhBTk4sNDA2MzMsLCwsLCxOT0FVRElUKQ==&amp;WINDOW=FIRST_POPUP&amp;HEIGHT=450&amp;WIDTH=","450&amp;START_MAXIMIZED=FALSE&amp;VAR:CALENDAR=FIVEDAY&amp;VAR:SYMBOL=12526910&amp;VAR:INDEX=0"}</definedName>
    <definedName name="_535__FDSAUDITLINK__" hidden="1">{"fdsup://IBCentral/FAT Viewer?action=UPDATE&amp;creator=factset&amp;DOC_NAME=fat:reuters_qtrly_source_window.fat&amp;display_string=Audit&amp;DYN_ARGS=TRUE&amp;VAR:ID1=12526910&amp;VAR:RCODE=DSTT&amp;VAR:SDATE=20110399&amp;VAR:FREQ=Quarterly&amp;VAR:RELITEM=RP&amp;VAR:CURRENCY=&amp;VAR:CURRSOURCE=EX","SHARE&amp;VAR:NATFREQ=QUARTERLY&amp;VAR:RFIELD=FINALIZED&amp;VAR:DB_TYPE=&amp;VAR:UNITS=M&amp;window=popup&amp;width=450&amp;height=300&amp;START_MAXIMIZED=FALSE"}</definedName>
    <definedName name="_536__FDSAUDITLINK__" hidden="1">{"fdsup://IBCentral/FAT Viewer?action=UPDATE&amp;creator=factset&amp;DOC_NAME=fat:reuters_qtrly_source_window.fat&amp;display_string=Audit&amp;DYN_ARGS=TRUE&amp;VAR:ID1=12526910&amp;VAR:RCODE=SCSI&amp;VAR:SDATE=20110399&amp;VAR:FREQ=Quarterly&amp;VAR:RELITEM=RP&amp;VAR:CURRENCY=&amp;VAR:CURRSOURCE=EX","SHARE&amp;VAR:NATFREQ=QUARTERLY&amp;VAR:RFIELD=FINALIZED&amp;VAR:DB_TYPE=&amp;VAR:UNITS=M&amp;window=popup&amp;width=450&amp;height=300&amp;START_MAXIMIZED=FALSE"}</definedName>
    <definedName name="_537__FDSAUDITLINK__" hidden="1">{"fdsup://IBCentral/FAT Viewer?action=UPDATE&amp;creator=factset&amp;DOC_NAME=fat:reuters_qtrly_source_window.fat&amp;display_string=Audit&amp;DYN_ARGS=TRUE&amp;VAR:ID1=12526910&amp;VAR:RCODE=LLTD&amp;VAR:SDATE=20110399&amp;VAR:FREQ=Quarterly&amp;VAR:RELITEM=RP&amp;VAR:CURRENCY=&amp;VAR:CURRSOURCE=EX","SHARE&amp;VAR:NATFREQ=QUARTERLY&amp;VAR:RFIELD=FINALIZED&amp;VAR:DB_TYPE=&amp;VAR:UNITS=M&amp;window=popup&amp;width=450&amp;height=300&amp;START_MAXIMIZED=FALSE"}</definedName>
    <definedName name="_538__FDSAUDITLINK__" hidden="1">{"fdsup://IBCentral/FAT Viewer?action=UPDATE&amp;creator=factset&amp;DOC_NAME=fat:reuters_qtrly_source_window.fat&amp;display_string=Audit&amp;DYN_ARGS=TRUE&amp;VAR:ID1=12526910&amp;VAR:RCODE=LMIN&amp;VAR:SDATE=20110399&amp;VAR:FREQ=Quarterly&amp;VAR:RELITEM=RP&amp;VAR:CURRENCY=&amp;VAR:CURRSOURCE=EX","SHARE&amp;VAR:NATFREQ=QUARTERLY&amp;VAR:RFIELD=FINALIZED&amp;VAR:DB_TYPE=&amp;VAR:UNITS=M&amp;window=popup&amp;width=450&amp;height=300&amp;START_MAXIMIZED=FALSE"}</definedName>
    <definedName name="_539__FDSAUDITLINK__" hidden="1">{"fdsup://IBCentral/FAT Viewer?action=UPDATE&amp;creator=factset&amp;DOC_NAME=fat:reuters_annual_source_window.fat&amp;display_string=Audit&amp;DYN_ARGS=TRUE&amp;VAR:ID1=G1696210&amp;VAR:RCODE=FSALE&amp;VAR:SDATE=20051299&amp;VAR:FREQ=Y&amp;VAR:RELITEM=RF&amp;VAR:CURRENCY=&amp;VAR:CURRSOURCE=EXSHARE&amp;","VAR:NATFREQ=ANNUAL&amp;VAR:RFIELD=FINALIZED&amp;VAR:DB_TYPE=&amp;VAR:UNITS=M&amp;window=popup&amp;width=450&amp;height=300&amp;START_MAXIMIZED=FALSE"}</definedName>
    <definedName name="_53Excel_BuiltIn__FilterDatabase_1_1">#REF!</definedName>
    <definedName name="_54__123Graph_DCHART_10" hidden="1">#REF!</definedName>
    <definedName name="_54__123Graph_XCHART_112" hidden="1">#REF!</definedName>
    <definedName name="_54__FDSAUDITLINK__" hidden="1">{"fdsup://IBCentral/FAT Viewer?action=UPDATE&amp;creator=factset&amp;DOC_NAME=fat:reuters_ytd_source_window.fat&amp;display_string=Audit&amp;DYN_ARGS=TRUE&amp;VAR:ID1=40403010&amp;VAR:RCODE=FIBCEBITDA&amp;VAR:SDATE=20110399&amp;VAR:FREQ=Quarterly&amp;VAR:RELITEM=RP&amp;VAR:CURRENCY=&amp;VAR:CURRSOURC","E=EXSHARE&amp;VAR:NATFREQ=Quarterly&amp;VAR:RFIELD=FINALIZED&amp;VAR:DB_TYPE=&amp;VAR:UNITS=M&amp;window=popup&amp;width=450&amp;height=300&amp;START_MAXIMIZED=FALSE"}</definedName>
    <definedName name="_54_7__End_Use_Analysis___Sectoral_Gro">#REF!</definedName>
    <definedName name="_540__FDSAUDITLINK__" hidden="1">{"fdsup://IBCentral/FAT Viewer?action=UPDATE&amp;creator=factset&amp;DOC_NAME=fat:reuters_annual_source_window.fat&amp;display_string=Audit&amp;DYN_ARGS=TRUE&amp;VAR:ID1=G1696210&amp;VAR:RCODE=FDSINVINCTOT&amp;VAR:SDATE=20051299&amp;VAR:FREQ=Y&amp;VAR:RELITEM=RF&amp;VAR:CURRENCY=&amp;VAR:CURRSOURCE=E","XSHARE&amp;VAR:NATFREQ=ANNUAL&amp;VAR:RFIELD=FINALIZED&amp;VAR:DB_TYPE=&amp;VAR:UNITS=M&amp;window=popup&amp;width=450&amp;height=300&amp;START_MAXIMIZED=FALSE"}</definedName>
    <definedName name="_541__FDSAUDITLINK__" hidden="1">{"fdsup://IBCentral/FAT Viewer?action=UPDATE&amp;creator=factset&amp;DOC_NAME=fat:reuters_annual_source_window.fat&amp;display_string=Audit&amp;DYN_ARGS=TRUE&amp;VAR:ID1=G1696210&amp;VAR:RCODE=FEBITDA&amp;VAR:SDATE=20051299&amp;VAR:FREQ=Y&amp;VAR:RELITEM=RF&amp;VAR:CURRENCY=&amp;VAR:CURRSOURCE=EXSHAR","E&amp;VAR:NATFREQ=ANNUAL&amp;VAR:RFIELD=FINALIZED&amp;VAR:DB_TYPE=&amp;VAR:UNITS=M&amp;window=popup&amp;width=450&amp;height=300&amp;START_MAXIMIZED=FALSE"}</definedName>
    <definedName name="_542__FDSAUDITLINK__" hidden="1">{"fdsup://IBCentral/FAT Viewer?action=UPDATE&amp;creator=factset&amp;DOC_NAME=fat:reuters_annual_source_window.fat&amp;display_string=Audit&amp;DYN_ARGS=TRUE&amp;VAR:ID1=G1696210&amp;VAR:RCODE=SCEX&amp;VAR:SDATE=20051299&amp;VAR:FREQ=Y&amp;VAR:RELITEM=RF&amp;VAR:CURRENCY=&amp;VAR:CURRSOURCE=EXSHARE&amp;V","AR:NATFREQ=ANNUAL&amp;VAR:RFIELD=FINALIZED&amp;VAR:DB_TYPE=&amp;VAR:UNITS=M&amp;window=popup&amp;width=450&amp;height=300&amp;START_MAXIMIZED=FALSE"}</definedName>
    <definedName name="_543__FDSAUDITLINK__" hidden="1">{"fdsup://IBCentral/FAT Viewer?action=UPDATE&amp;creator=factset&amp;DOC_NAME=fat:reuters_annual_source_window.fat&amp;display_string=Audit&amp;DYN_ARGS=TRUE&amp;VAR:ID1=G1696210&amp;VAR:RCODE=FEBIT&amp;VAR:SDATE=20051299&amp;VAR:FREQ=Y&amp;VAR:RELITEM=RF&amp;VAR:CURRENCY=&amp;VAR:CURRSOURCE=EXSHARE&amp;","VAR:NATFREQ=ANNUAL&amp;VAR:RFIELD=FINALIZED&amp;VAR:DB_TYPE=&amp;VAR:UNITS=M&amp;window=popup&amp;width=450&amp;height=300&amp;START_MAXIMIZED=FALSE"}</definedName>
    <definedName name="_544__FDSAUDITLINK__" hidden="1">{"fdsup://IBCentral/FAT Viewer?action=UPDATE&amp;creator=factset&amp;DOC_NAME=fat:reuters_annual_source_window.fat&amp;display_string=Audit&amp;DYN_ARGS=TRUE&amp;VAR:ID1=G1696210&amp;VAR:RCODE=NIBX&amp;VAR:SDATE=20051299&amp;VAR:FREQ=Y&amp;VAR:RELITEM=RF&amp;VAR:CURRENCY=&amp;VAR:CURRSOURCE=EXSHARE&amp;V","AR:NATFREQ=ANNUAL&amp;VAR:RFIELD=FINALIZED&amp;VAR:DB_TYPE=&amp;VAR:UNITS=M&amp;window=popup&amp;width=450&amp;height=300&amp;START_MAXIMIZED=FALSE"}</definedName>
    <definedName name="_545__FDSAUDITLINK__" hidden="1">{"fdsup://IBCentral/FAT Viewer?action=UPDATE&amp;creator=factset&amp;DOC_NAME=fat:reuters_annual_source_window.fat&amp;display_string=Audit&amp;DYN_ARGS=TRUE&amp;VAR:ID1=G1696210&amp;VAR:RCODE=NINC&amp;VAR:SDATE=20051299&amp;VAR:FREQ=Y&amp;VAR:RELITEM=RF&amp;VAR:CURRENCY=&amp;VAR:CURRSOURCE=EXSHARE&amp;V","AR:NATFREQ=ANNUAL&amp;VAR:RFIELD=FINALIZED&amp;VAR:DB_TYPE=&amp;VAR:UNITS=M&amp;window=popup&amp;width=450&amp;height=300&amp;START_MAXIMIZED=FALSE"}</definedName>
    <definedName name="_546__FDSAUDITLINK__" hidden="1">{"fdsup://IBCentral/FAT Viewer?action=UPDATE&amp;creator=factset&amp;DOC_NAME=fat:reuters_annual_source_window.fat&amp;display_string=Audit&amp;DYN_ARGS=TRUE&amp;VAR:ID1=G1696210&amp;VAR:RCODE=FSALE&amp;VAR:SDATE=20061299&amp;VAR:FREQ=Y&amp;VAR:RELITEM=RF&amp;VAR:CURRENCY=&amp;VAR:CURRSOURCE=EXSHARE&amp;","VAR:NATFREQ=ANNUAL&amp;VAR:RFIELD=FINALIZED&amp;VAR:DB_TYPE=&amp;VAR:UNITS=M&amp;window=popup&amp;width=450&amp;height=300&amp;START_MAXIMIZED=FALSE"}</definedName>
    <definedName name="_547__FDSAUDITLINK__" hidden="1">{"fdsup://IBCentral/FAT Viewer?action=UPDATE&amp;creator=factset&amp;DOC_NAME=fat:reuters_annual_source_window.fat&amp;display_string=Audit&amp;DYN_ARGS=TRUE&amp;VAR:ID1=G1696210&amp;VAR:RCODE=STXI&amp;VAR:SDATE=20051299&amp;VAR:FREQ=Y&amp;VAR:RELITEM=RF&amp;VAR:CURRENCY=&amp;VAR:CURRSOURCE=EXSHARE&amp;V","AR:NATFREQ=ANNUAL&amp;VAR:RFIELD=FINALIZED&amp;VAR:DB_TYPE=&amp;VAR:UNITS=M&amp;window=popup&amp;width=450&amp;height=300&amp;START_MAXIMIZED=FALSE"}</definedName>
    <definedName name="_548__FDSAUDITLINK__" hidden="1">{"fdsup://IBCentral/FAT Viewer?action=UPDATE&amp;creator=factset&amp;DOC_NAME=fat:reuters_annual_source_window.fat&amp;display_string=Audit&amp;DYN_ARGS=TRUE&amp;VAR:ID1=G1696210&amp;VAR:RCODE=STXI&amp;VAR:SDATE=20061299&amp;VAR:FREQ=Y&amp;VAR:RELITEM=RF&amp;VAR:CURRENCY=&amp;VAR:CURRSOURCE=EXSHARE&amp;V","AR:NATFREQ=ANNUAL&amp;VAR:RFIELD=FINALIZED&amp;VAR:DB_TYPE=&amp;VAR:UNITS=M&amp;window=popup&amp;width=450&amp;height=300&amp;START_MAXIMIZED=FALSE"}</definedName>
    <definedName name="_549__FDSAUDITLINK__" hidden="1">{"fdsup://IBCentral/FAT Viewer?action=UPDATE&amp;creator=factset&amp;DOC_NAME=fat:reuters_annual_source_window.fat&amp;display_string=Audit&amp;DYN_ARGS=TRUE&amp;VAR:ID1=G1696210&amp;VAR:RCODE=NIBX&amp;VAR:SDATE=20061299&amp;VAR:FREQ=Y&amp;VAR:RELITEM=RF&amp;VAR:CURRENCY=&amp;VAR:CURRSOURCE=EXSHARE&amp;V","AR:NATFREQ=ANNUAL&amp;VAR:RFIELD=FINALIZED&amp;VAR:DB_TYPE=&amp;VAR:UNITS=M&amp;window=popup&amp;width=450&amp;height=300&amp;START_MAXIMIZED=FALSE"}</definedName>
    <definedName name="_54A__PE___OUTLOOK_TO_2">#REF!</definedName>
    <definedName name="_54Excel_BuiltIn__FilterDatabase_1_2">#REF!</definedName>
    <definedName name="_54PROFITABILITY__Q3_1996__">#REF!</definedName>
    <definedName name="_55__123Graph_DCHART_11" hidden="1">#REF!</definedName>
    <definedName name="_55__FDSAUDITLINK__" hidden="1">{"fdsup://IBCentral/FAT Viewer?action=UPDATE&amp;creator=factset&amp;DOC_NAME=fat:reuters_ytd_source_window.fat&amp;display_string=Audit&amp;DYN_ARGS=TRUE&amp;VAR:ID1=40403010&amp;VAR:RCODE=FIBCEBITDA&amp;VAR:SDATE=20100399&amp;VAR:FREQ=Quarterly&amp;VAR:RELITEM=RP&amp;VAR:CURRENCY=&amp;VAR:CURRSOURC","E=EXSHARE&amp;VAR:NATFREQ=Quarterly&amp;VAR:RFIELD=FINALIZED&amp;VAR:DB_TYPE=&amp;VAR:UNITS=M&amp;window=popup&amp;width=450&amp;height=300&amp;START_MAXIMIZED=FALSE"}</definedName>
    <definedName name="_55_0Quarterwise_Collection_P">#REF!</definedName>
    <definedName name="_55_Excel_BuiltIn_Print_Titles_4_1">(#REF!,#REF!)</definedName>
    <definedName name="_550__FDSAUDITLINK__" hidden="1">{"fdsup://IBCentral/FAT Viewer?action=UPDATE&amp;creator=factset&amp;DOC_NAME=fat:reuters_annual_source_window.fat&amp;display_string=Audit&amp;DYN_ARGS=TRUE&amp;VAR:ID1=G1696210&amp;VAR:RCODE=FEBIT&amp;VAR:SDATE=20061299&amp;VAR:FREQ=Y&amp;VAR:RELITEM=RF&amp;VAR:CURRENCY=&amp;VAR:CURRSOURCE=EXSHARE&amp;","VAR:NATFREQ=ANNUAL&amp;VAR:RFIELD=FINALIZED&amp;VAR:DB_TYPE=&amp;VAR:UNITS=M&amp;window=popup&amp;width=450&amp;height=300&amp;START_MAXIMIZED=FALSE"}</definedName>
    <definedName name="_551__FDSAUDITLINK__" hidden="1">{"fdsup://IBCentral/FAT Viewer?action=UPDATE&amp;creator=factset&amp;DOC_NAME=fat:reuters_annual_source_window.fat&amp;display_string=Audit&amp;DYN_ARGS=TRUE&amp;VAR:ID1=G1696210&amp;VAR:RCODE=NINC&amp;VAR:SDATE=20061299&amp;VAR:FREQ=Y&amp;VAR:RELITEM=RF&amp;VAR:CURRENCY=&amp;VAR:CURRSOURCE=EXSHARE&amp;V","AR:NATFREQ=ANNUAL&amp;VAR:RFIELD=FINALIZED&amp;VAR:DB_TYPE=&amp;VAR:UNITS=M&amp;window=popup&amp;width=450&amp;height=300&amp;START_MAXIMIZED=FALSE"}</definedName>
    <definedName name="_552__FDSAUDITLINK__" hidden="1">{"fdsup://IBCentral/FAT Viewer?action=UPDATE&amp;creator=factset&amp;DOC_NAME=fat:reuters_annual_source_window.fat&amp;display_string=Audit&amp;DYN_ARGS=TRUE&amp;VAR:ID1=G1696210&amp;VAR:RCODE=FDSINVINCTOT&amp;VAR:SDATE=20061299&amp;VAR:FREQ=Y&amp;VAR:RELITEM=RF&amp;VAR:CURRENCY=&amp;VAR:CURRSOURCE=E","XSHARE&amp;VAR:NATFREQ=ANNUAL&amp;VAR:RFIELD=FINALIZED&amp;VAR:DB_TYPE=&amp;VAR:UNITS=M&amp;window=popup&amp;width=450&amp;height=300&amp;START_MAXIMIZED=FALSE"}</definedName>
    <definedName name="_553__FDSAUDITLINK__" hidden="1">{"fdsup://IBCentral/FAT Viewer?action=UPDATE&amp;creator=factset&amp;DOC_NAME=fat:reuters_annual_source_window.fat&amp;display_string=Audit&amp;DYN_ARGS=TRUE&amp;VAR:ID1=G1696210&amp;VAR:RCODE=NINC&amp;VAR:SDATE=20071299&amp;VAR:FREQ=Y&amp;VAR:RELITEM=RF&amp;VAR:CURRENCY=&amp;VAR:CURRSOURCE=EXSHARE&amp;V","AR:NATFREQ=ANNUAL&amp;VAR:RFIELD=FINALIZED&amp;VAR:DB_TYPE=&amp;VAR:UNITS=M&amp;window=popup&amp;width=450&amp;height=300&amp;START_MAXIMIZED=FALSE"}</definedName>
    <definedName name="_554__FDSAUDITLINK__" hidden="1">{"fdsup://IBCentral/FAT Viewer?action=UPDATE&amp;creator=factset&amp;DOC_NAME=fat:reuters_annual_source_window.fat&amp;display_string=Audit&amp;DYN_ARGS=TRUE&amp;VAR:ID1=G1696210&amp;VAR:RCODE=FEBITDA&amp;VAR:SDATE=20061299&amp;VAR:FREQ=Y&amp;VAR:RELITEM=RF&amp;VAR:CURRENCY=&amp;VAR:CURRSOURCE=EXSHAR","E&amp;VAR:NATFREQ=ANNUAL&amp;VAR:RFIELD=FINALIZED&amp;VAR:DB_TYPE=&amp;VAR:UNITS=M&amp;window=popup&amp;width=450&amp;height=300&amp;START_MAXIMIZED=FALSE"}</definedName>
    <definedName name="_555__FDSAUDITLINK__" hidden="1">{"fdsup://IBCentral/FAT Viewer?action=UPDATE&amp;creator=factset&amp;DOC_NAME=fat:reuters_annual_source_window.fat&amp;display_string=Audit&amp;DYN_ARGS=TRUE&amp;VAR:ID1=G1696210&amp;VAR:RCODE=SCEX&amp;VAR:SDATE=20061299&amp;VAR:FREQ=Y&amp;VAR:RELITEM=RF&amp;VAR:CURRENCY=&amp;VAR:CURRSOURCE=EXSHARE&amp;V","AR:NATFREQ=ANNUAL&amp;VAR:RFIELD=FINALIZED&amp;VAR:DB_TYPE=&amp;VAR:UNITS=M&amp;window=popup&amp;width=450&amp;height=300&amp;START_MAXIMIZED=FALSE"}</definedName>
    <definedName name="_556__FDSAUDITLINK__" hidden="1">{"fdsup://IBCentral/FAT Viewer?action=UPDATE&amp;creator=factset&amp;DOC_NAME=fat:reuters_annual_source_window.fat&amp;display_string=Audit&amp;DYN_ARGS=TRUE&amp;VAR:ID1=G1696210&amp;VAR:RCODE=STXI&amp;VAR:SDATE=20071299&amp;VAR:FREQ=Y&amp;VAR:RELITEM=RF&amp;VAR:CURRENCY=&amp;VAR:CURRSOURCE=EXSHARE&amp;V","AR:NATFREQ=ANNUAL&amp;VAR:RFIELD=FINALIZED&amp;VAR:DB_TYPE=&amp;VAR:UNITS=M&amp;window=popup&amp;width=450&amp;height=300&amp;START_MAXIMIZED=FALSE"}</definedName>
    <definedName name="_557__FDSAUDITLINK__" hidden="1">{"fdsup://IBCentral/FAT Viewer?action=UPDATE&amp;creator=factset&amp;DOC_NAME=fat:reuters_annual_source_window.fat&amp;display_string=Audit&amp;DYN_ARGS=TRUE&amp;VAR:ID1=G1696210&amp;VAR:RCODE=SCEX&amp;VAR:SDATE=20071299&amp;VAR:FREQ=Y&amp;VAR:RELITEM=RF&amp;VAR:CURRENCY=&amp;VAR:CURRSOURCE=EXSHARE&amp;V","AR:NATFREQ=ANNUAL&amp;VAR:RFIELD=FINALIZED&amp;VAR:DB_TYPE=&amp;VAR:UNITS=M&amp;window=popup&amp;width=450&amp;height=300&amp;START_MAXIMIZED=FALSE"}</definedName>
    <definedName name="_558__FDSAUDITLINK__" hidden="1">{"fdsup://IBCentral/FAT Viewer?action=UPDATE&amp;creator=factset&amp;DOC_NAME=fat:reuters_annual_source_window.fat&amp;display_string=Audit&amp;DYN_ARGS=TRUE&amp;VAR:ID1=G1696210&amp;VAR:RCODE=FSALE&amp;VAR:SDATE=20071299&amp;VAR:FREQ=Y&amp;VAR:RELITEM=RF&amp;VAR:CURRENCY=&amp;VAR:CURRSOURCE=EXSHARE&amp;","VAR:NATFREQ=ANNUAL&amp;VAR:RFIELD=FINALIZED&amp;VAR:DB_TYPE=&amp;VAR:UNITS=M&amp;window=popup&amp;width=450&amp;height=300&amp;START_MAXIMIZED=FALSE"}</definedName>
    <definedName name="_559__FDSAUDITLINK__" hidden="1">{"fdsup://IBCentral/FAT Viewer?action=UPDATE&amp;creator=factset&amp;DOC_NAME=fat:reuters_annual_source_window.fat&amp;display_string=Audit&amp;DYN_ARGS=TRUE&amp;VAR:ID1=G1696210&amp;VAR:RCODE=FEBITDA&amp;VAR:SDATE=20071299&amp;VAR:FREQ=Y&amp;VAR:RELITEM=RF&amp;VAR:CURRENCY=&amp;VAR:CURRSOURCE=EXSHAR","E&amp;VAR:NATFREQ=ANNUAL&amp;VAR:RFIELD=FINALIZED&amp;VAR:DB_TYPE=&amp;VAR:UNITS=M&amp;window=popup&amp;width=450&amp;height=300&amp;START_MAXIMIZED=FALSE"}</definedName>
    <definedName name="_55Excel_BuiltIn__FilterDatabase_10_1">#REF!</definedName>
    <definedName name="_56__123Graph_DCHART_12" hidden="1">#REF!</definedName>
    <definedName name="_56__FDSAUDITLINK__" hidden="1">{"fdsup://IBCentral/FAT Viewer?action=UPDATE&amp;creator=factset&amp;DOC_NAME=fat:reuters_ytd_source_window.fat&amp;display_string=Audit&amp;DYN_ARGS=TRUE&amp;VAR:ID1=74972L10&amp;VAR:RCODE=FIBCEBIT&amp;VAR:SDATE=20100399&amp;VAR:FREQ=Quarterly&amp;VAR:RELITEM=RP&amp;VAR:CURRENCY=&amp;VAR:CURRSOURCE=","EXSHARE&amp;VAR:NATFREQ=Quarterly&amp;VAR:RFIELD=FINALIZED&amp;VAR:DB_TYPE=&amp;VAR:UNITS=M&amp;window=popup&amp;width=450&amp;height=300&amp;START_MAXIMIZED=FALSE"}</definedName>
    <definedName name="_560__FDSAUDITLINK__" hidden="1">{"fdsup://IBCentral/FAT Viewer?action=UPDATE&amp;creator=factset&amp;DOC_NAME=fat:reuters_annual_source_window.fat&amp;display_string=Audit&amp;DYN_ARGS=TRUE&amp;VAR:ID1=G1696210&amp;VAR:RCODE=NIBX&amp;VAR:SDATE=20071299&amp;VAR:FREQ=Y&amp;VAR:RELITEM=RF&amp;VAR:CURRENCY=&amp;VAR:CURRSOURCE=EXSHARE&amp;V","AR:NATFREQ=ANNUAL&amp;VAR:RFIELD=FINALIZED&amp;VAR:DB_TYPE=&amp;VAR:UNITS=M&amp;window=popup&amp;width=450&amp;height=300&amp;START_MAXIMIZED=FALSE"}</definedName>
    <definedName name="_561__FDSAUDITLINK__" hidden="1">{"fdsup://IBCentral/FAT Viewer?action=UPDATE&amp;creator=factset&amp;DOC_NAME=fat:reuters_annual_source_window.fat&amp;display_string=Audit&amp;DYN_ARGS=TRUE&amp;VAR:ID1=G1696210&amp;VAR:RCODE=FEBIT&amp;VAR:SDATE=20071299&amp;VAR:FREQ=Y&amp;VAR:RELITEM=RF&amp;VAR:CURRENCY=&amp;VAR:CURRSOURCE=EXSHARE&amp;","VAR:NATFREQ=ANNUAL&amp;VAR:RFIELD=FINALIZED&amp;VAR:DB_TYPE=&amp;VAR:UNITS=M&amp;window=popup&amp;width=450&amp;height=300&amp;START_MAXIMIZED=FALSE"}</definedName>
    <definedName name="_562__FDSAUDITLINK__" hidden="1">{"fdsup://IBCentral/FAT Viewer?action=UPDATE&amp;creator=factset&amp;DOC_NAME=fat:reuters_annual_source_window.fat&amp;display_string=Audit&amp;DYN_ARGS=TRUE&amp;VAR:ID1=G1696210&amp;VAR:RCODE=FDSINVINCTOT&amp;VAR:SDATE=20071299&amp;VAR:FREQ=Y&amp;VAR:RELITEM=RF&amp;VAR:CURRENCY=&amp;VAR:CURRSOURCE=E","XSHARE&amp;VAR:NATFREQ=ANNUAL&amp;VAR:RFIELD=FINALIZED&amp;VAR:DB_TYPE=&amp;VAR:UNITS=M&amp;window=popup&amp;width=450&amp;height=300&amp;START_MAXIMIZED=FALSE"}</definedName>
    <definedName name="_563__FDSAUDITLINK__" hidden="1">{"fdsup://IBCentral/FAT Viewer?action=UPDATE&amp;creator=factset&amp;DOC_NAME=fat:reuters_annual_source_window.fat&amp;display_string=Audit&amp;DYN_ARGS=TRUE&amp;VAR:ID1=G1696210&amp;VAR:RCODE=FEBITDA&amp;VAR:SDATE=20081299&amp;VAR:FREQ=Y&amp;VAR:RELITEM=RF&amp;VAR:CURRENCY=&amp;VAR:CURRSOURCE=EXSHAR","E&amp;VAR:NATFREQ=ANNUAL&amp;VAR:RFIELD=FINALIZED&amp;VAR:DB_TYPE=&amp;VAR:UNITS=M&amp;window=popup&amp;width=450&amp;height=300&amp;START_MAXIMIZED=FALSE"}</definedName>
    <definedName name="_564__FDSAUDITLINK__" hidden="1">{"fdsup://IBCentral/FAT Viewer?action=UPDATE&amp;creator=factset&amp;DOC_NAME=fat:reuters_annual_source_window.fat&amp;display_string=Audit&amp;DYN_ARGS=TRUE&amp;VAR:ID1=G1696210&amp;VAR:RCODE=NIBX&amp;VAR:SDATE=20091299&amp;VAR:FREQ=Y&amp;VAR:RELITEM=RF&amp;VAR:CURRENCY=&amp;VAR:CURRSOURCE=EXSHARE&amp;V","AR:NATFREQ=ANNUAL&amp;VAR:RFIELD=FINALIZED&amp;VAR:DB_TYPE=&amp;VAR:UNITS=M&amp;window=popup&amp;width=450&amp;height=300&amp;START_MAXIMIZED=FALSE"}</definedName>
    <definedName name="_565__FDSAUDITLINK__" hidden="1">{"fdsup://IBCentral/FAT Viewer?action=UPDATE&amp;creator=factset&amp;DOC_NAME=fat:reuters_annual_source_window.fat&amp;display_string=Audit&amp;DYN_ARGS=TRUE&amp;VAR:ID1=G1696210&amp;VAR:RCODE=FDSINVINCTOT&amp;VAR:SDATE=20081299&amp;VAR:FREQ=Y&amp;VAR:RELITEM=RF&amp;VAR:CURRENCY=&amp;VAR:CURRSOURCE=E","XSHARE&amp;VAR:NATFREQ=ANNUAL&amp;VAR:RFIELD=FINALIZED&amp;VAR:DB_TYPE=&amp;VAR:UNITS=M&amp;window=popup&amp;width=450&amp;height=300&amp;START_MAXIMIZED=FALSE"}</definedName>
    <definedName name="_566__FDSAUDITLINK__" hidden="1">{"fdsup://IBCentral/FAT Viewer?action=UPDATE&amp;creator=factset&amp;DOC_NAME=fat:reuters_annual_source_window.fat&amp;display_string=Audit&amp;DYN_ARGS=TRUE&amp;VAR:ID1=G1696210&amp;VAR:RCODE=STXI&amp;VAR:SDATE=20081299&amp;VAR:FREQ=Y&amp;VAR:RELITEM=RF&amp;VAR:CURRENCY=&amp;VAR:CURRSOURCE=EXSHARE&amp;V","AR:NATFREQ=ANNUAL&amp;VAR:RFIELD=FINALIZED&amp;VAR:DB_TYPE=&amp;VAR:UNITS=M&amp;window=popup&amp;width=450&amp;height=300&amp;START_MAXIMIZED=FALSE"}</definedName>
    <definedName name="_567__FDSAUDITLINK__" hidden="1">{"fdsup://IBCentral/FAT Viewer?action=UPDATE&amp;creator=factset&amp;DOC_NAME=fat:reuters_annual_source_window.fat&amp;display_string=Audit&amp;DYN_ARGS=TRUE&amp;VAR:ID1=G1696210&amp;VAR:RCODE=FSALE&amp;VAR:SDATE=20091299&amp;VAR:FREQ=Y&amp;VAR:RELITEM=RF&amp;VAR:CURRENCY=&amp;VAR:CURRSOURCE=EXSHARE&amp;","VAR:NATFREQ=ANNUAL&amp;VAR:RFIELD=FINALIZED&amp;VAR:DB_TYPE=&amp;VAR:UNITS=M&amp;window=popup&amp;width=450&amp;height=300&amp;START_MAXIMIZED=FALSE"}</definedName>
    <definedName name="_568__FDSAUDITLINK__" hidden="1">{"fdsup://IBCentral/FAT Viewer?action=UPDATE&amp;creator=factset&amp;DOC_NAME=fat:reuters_annual_source_window.fat&amp;display_string=Audit&amp;DYN_ARGS=TRUE&amp;VAR:ID1=G1696210&amp;VAR:RCODE=STXI&amp;VAR:SDATE=20091299&amp;VAR:FREQ=Y&amp;VAR:RELITEM=RF&amp;VAR:CURRENCY=&amp;VAR:CURRSOURCE=EXSHARE&amp;V","AR:NATFREQ=ANNUAL&amp;VAR:RFIELD=FINALIZED&amp;VAR:DB_TYPE=&amp;VAR:UNITS=M&amp;window=popup&amp;width=450&amp;height=300&amp;START_MAXIMIZED=FALSE"}</definedName>
    <definedName name="_569__FDSAUDITLINK__" hidden="1">{"fdsup://IBCentral/FAT Viewer?action=UPDATE&amp;creator=factset&amp;DOC_NAME=fat:reuters_annual_source_window.fat&amp;display_string=Audit&amp;DYN_ARGS=TRUE&amp;VAR:ID1=G1696210&amp;VAR:RCODE=NINC&amp;VAR:SDATE=20091299&amp;VAR:FREQ=Y&amp;VAR:RELITEM=RF&amp;VAR:CURRENCY=&amp;VAR:CURRSOURCE=EXSHARE&amp;V","AR:NATFREQ=ANNUAL&amp;VAR:RFIELD=FINALIZED&amp;VAR:DB_TYPE=&amp;VAR:UNITS=M&amp;window=popup&amp;width=450&amp;height=300&amp;START_MAXIMIZED=FALSE"}</definedName>
    <definedName name="_56A_0PE___OUTLOOK_TO_2">#REF!</definedName>
    <definedName name="_56Excel_BuiltIn__FilterDatabase_11_1">#REF!</definedName>
    <definedName name="_56g_0TARIFF_ARBITRAGE_ANALYSIS_1996__">#REF!</definedName>
    <definedName name="_56Quarterwise_Collection_P">#REF!</definedName>
    <definedName name="_57__123Graph_DCHART_13" hidden="1">#REF!</definedName>
    <definedName name="_57__123Graph_XCHART_30" hidden="1">#REF!</definedName>
    <definedName name="_57__FDSAUDITLINK__" hidden="1">{"fdsup://IBCentral/FAT Viewer?action=UPDATE&amp;creator=factset&amp;DOC_NAME=fat:reuters_annual_source_window.fat&amp;display_string=Audit&amp;DYN_ARGS=TRUE&amp;VAR:ID1=91136310&amp;VAR:RCODE=FDSINTEXPTOTAL&amp;VAR:SDATE=20101299&amp;VAR:FREQ=Y&amp;VAR:RELITEM=RP&amp;VAR:CURRENCY=&amp;VAR:CURRSOURCE","=EXSHARE&amp;VAR:NATFREQ=ANNUAL&amp;VAR:RFIELD=FINALIZED&amp;VAR:DB_TYPE=&amp;VAR:UNITS=M&amp;window=popup&amp;width=450&amp;height=300&amp;START_MAXIMIZED=FALSE"}</definedName>
    <definedName name="_57§_0Business___Market_Spr">#REF!</definedName>
    <definedName name="_570__FDSAUDITLINK__" hidden="1">{"fdsup://IBCentral/FAT Viewer?action=UPDATE&amp;creator=factset&amp;DOC_NAME=fat:reuters_annual_source_window.fat&amp;display_string=Audit&amp;DYN_ARGS=TRUE&amp;VAR:ID1=G1696210&amp;VAR:RCODE=FEBIT&amp;VAR:SDATE=20081299&amp;VAR:FREQ=Y&amp;VAR:RELITEM=RF&amp;VAR:CURRENCY=&amp;VAR:CURRSOURCE=EXSHARE&amp;","VAR:NATFREQ=ANNUAL&amp;VAR:RFIELD=FINALIZED&amp;VAR:DB_TYPE=&amp;VAR:UNITS=M&amp;window=popup&amp;width=450&amp;height=300&amp;START_MAXIMIZED=FALSE"}</definedName>
    <definedName name="_571__FDSAUDITLINK__" hidden="1">{"fdsup://IBCentral/FAT Viewer?action=UPDATE&amp;creator=factset&amp;DOC_NAME=fat:reuters_annual_source_window.fat&amp;display_string=Audit&amp;DYN_ARGS=TRUE&amp;VAR:ID1=G1696210&amp;VAR:RCODE=SCEX&amp;VAR:SDATE=20081299&amp;VAR:FREQ=Y&amp;VAR:RELITEM=RF&amp;VAR:CURRENCY=&amp;VAR:CURRSOURCE=EXSHARE&amp;V","AR:NATFREQ=ANNUAL&amp;VAR:RFIELD=FINALIZED&amp;VAR:DB_TYPE=&amp;VAR:UNITS=M&amp;window=popup&amp;width=450&amp;height=300&amp;START_MAXIMIZED=FALSE"}</definedName>
    <definedName name="_572__FDSAUDITLINK__" hidden="1">{"fdsup://IBCentral/FAT Viewer?action=UPDATE&amp;creator=factset&amp;DOC_NAME=fat:reuters_annual_source_window.fat&amp;display_string=Audit&amp;DYN_ARGS=TRUE&amp;VAR:ID1=G1696210&amp;VAR:RCODE=NINC&amp;VAR:SDATE=20081299&amp;VAR:FREQ=Y&amp;VAR:RELITEM=RF&amp;VAR:CURRENCY=&amp;VAR:CURRSOURCE=EXSHARE&amp;V","AR:NATFREQ=ANNUAL&amp;VAR:RFIELD=FINALIZED&amp;VAR:DB_TYPE=&amp;VAR:UNITS=M&amp;window=popup&amp;width=450&amp;height=300&amp;START_MAXIMIZED=FALSE"}</definedName>
    <definedName name="_573__FDSAUDITLINK__" hidden="1">{"fdsup://IBCentral/FAT Viewer?action=UPDATE&amp;creator=factset&amp;DOC_NAME=fat:reuters_annual_source_window.fat&amp;display_string=Audit&amp;DYN_ARGS=TRUE&amp;VAR:ID1=G1696210&amp;VAR:RCODE=FDSINVINCTOT&amp;VAR:SDATE=20091299&amp;VAR:FREQ=Y&amp;VAR:RELITEM=RF&amp;VAR:CURRENCY=&amp;VAR:CURRSOURCE=E","XSHARE&amp;VAR:NATFREQ=ANNUAL&amp;VAR:RFIELD=FINALIZED&amp;VAR:DB_TYPE=&amp;VAR:UNITS=M&amp;window=popup&amp;width=450&amp;height=300&amp;START_MAXIMIZED=FALSE"}</definedName>
    <definedName name="_574__FDSAUDITLINK__" hidden="1">{"fdsup://IBCentral/FAT Viewer?action=UPDATE&amp;creator=factset&amp;DOC_NAME=fat:reuters_annual_source_window.fat&amp;display_string=Audit&amp;DYN_ARGS=TRUE&amp;VAR:ID1=G1696210&amp;VAR:RCODE=NIBX&amp;VAR:SDATE=20081299&amp;VAR:FREQ=Y&amp;VAR:RELITEM=RF&amp;VAR:CURRENCY=&amp;VAR:CURRSOURCE=EXSHARE&amp;V","AR:NATFREQ=ANNUAL&amp;VAR:RFIELD=FINALIZED&amp;VAR:DB_TYPE=&amp;VAR:UNITS=M&amp;window=popup&amp;width=450&amp;height=300&amp;START_MAXIMIZED=FALSE"}</definedName>
    <definedName name="_575__FDSAUDITLINK__" hidden="1">{"fdsup://IBCentral/FAT Viewer?action=UPDATE&amp;creator=factset&amp;DOC_NAME=fat:reuters_annual_source_window.fat&amp;display_string=Audit&amp;DYN_ARGS=TRUE&amp;VAR:ID1=G1696210&amp;VAR:RCODE=FEBIT&amp;VAR:SDATE=20091299&amp;VAR:FREQ=Y&amp;VAR:RELITEM=RF&amp;VAR:CURRENCY=&amp;VAR:CURRSOURCE=EXSHARE&amp;","VAR:NATFREQ=ANNUAL&amp;VAR:RFIELD=FINALIZED&amp;VAR:DB_TYPE=&amp;VAR:UNITS=M&amp;window=popup&amp;width=450&amp;height=300&amp;START_MAXIMIZED=FALSE"}</definedName>
    <definedName name="_576__FDSAUDITLINK__" hidden="1">{"fdsup://IBCentral/FAT Viewer?action=UPDATE&amp;creator=factset&amp;DOC_NAME=fat:reuters_annual_source_window.fat&amp;display_string=Audit&amp;DYN_ARGS=TRUE&amp;VAR:ID1=G1696210&amp;VAR:RCODE=FSALE&amp;VAR:SDATE=20081299&amp;VAR:FREQ=Y&amp;VAR:RELITEM=RF&amp;VAR:CURRENCY=&amp;VAR:CURRSOURCE=EXSHARE&amp;","VAR:NATFREQ=ANNUAL&amp;VAR:RFIELD=FINALIZED&amp;VAR:DB_TYPE=&amp;VAR:UNITS=M&amp;window=popup&amp;width=450&amp;height=300&amp;START_MAXIMIZED=FALSE"}</definedName>
    <definedName name="_577__FDSAUDITLINK__" hidden="1">{"fdsup://IBCentral/FAT Viewer?action=UPDATE&amp;creator=factset&amp;DOC_NAME=fat:reuters_annual_source_window.fat&amp;display_string=Audit&amp;DYN_ARGS=TRUE&amp;VAR:ID1=G1696210&amp;VAR:RCODE=FEBITDA&amp;VAR:SDATE=20091299&amp;VAR:FREQ=Y&amp;VAR:RELITEM=RF&amp;VAR:CURRENCY=&amp;VAR:CURRSOURCE=EXSHAR","E&amp;VAR:NATFREQ=ANNUAL&amp;VAR:RFIELD=FINALIZED&amp;VAR:DB_TYPE=&amp;VAR:UNITS=M&amp;window=popup&amp;width=450&amp;height=300&amp;START_MAXIMIZED=FALSE"}</definedName>
    <definedName name="_578__FDSAUDITLINK__" hidden="1">{"fdsup://IBCentral/FAT Viewer?action=UPDATE&amp;creator=factset&amp;DOC_NAME=fat:reuters_annual_source_window.fat&amp;display_string=Audit&amp;DYN_ARGS=TRUE&amp;VAR:ID1=G1696210&amp;VAR:RCODE=STXI&amp;VAR:SDATE=20101299&amp;VAR:FREQ=Y&amp;VAR:RELITEM=RF&amp;VAR:CURRENCY=&amp;VAR:CURRSOURCE=EXSHARE&amp;V","AR:NATFREQ=ANNUAL&amp;VAR:RFIELD=FINALIZED&amp;VAR:DB_TYPE=&amp;VAR:UNITS=M&amp;window=popup&amp;width=450&amp;height=300&amp;START_MAXIMIZED=FALSE"}</definedName>
    <definedName name="_579__FDSAUDITLINK__" hidden="1">{"fdsup://IBCentral/FAT Viewer?action=UPDATE&amp;creator=factset&amp;DOC_NAME=fat:reuters_annual_source_window.fat&amp;display_string=Audit&amp;DYN_ARGS=TRUE&amp;VAR:ID1=G1696210&amp;VAR:RCODE=FEBIT&amp;VAR:SDATE=20101299&amp;VAR:FREQ=Y&amp;VAR:RELITEM=RF&amp;VAR:CURRENCY=&amp;VAR:CURRSOURCE=EXSHARE&amp;","VAR:NATFREQ=ANNUAL&amp;VAR:RFIELD=FINALIZED&amp;VAR:DB_TYPE=&amp;VAR:UNITS=M&amp;window=popup&amp;width=450&amp;height=300&amp;START_MAXIMIZED=FALSE"}</definedName>
    <definedName name="_57Excel_BuiltIn__FilterDatabase_3_1">#REF!</definedName>
    <definedName name="_58__123Graph_DCHART_14" hidden="1">#REF!</definedName>
    <definedName name="_58__FDSAUDITLINK__" hidden="1">{"fdsup://IBCentral/FAT Viewer?action=UPDATE&amp;creator=factset&amp;DOC_NAME=fat:reuters_ytd_source_window.fat&amp;display_string=Audit&amp;DYN_ARGS=TRUE&amp;VAR:ID1=45874310&amp;VAR:RCODE=FIBCEBIT&amp;VAR:SDATE=20101299&amp;VAR:FREQ=Quarterly&amp;VAR:RELITEM=RP&amp;VAR:CURRENCY=&amp;VAR:CURRSOURCE=","EXSHARE&amp;VAR:NATFREQ=Quarterly&amp;VAR:RFIELD=FINALIZED&amp;VAR:DB_TYPE=&amp;VAR:UNITS=M&amp;window=popup&amp;width=450&amp;height=300&amp;START_MAXIMIZED=FALSE"}</definedName>
    <definedName name="_58§__Business___Market_Spr">#REF!</definedName>
    <definedName name="_580__FDSAUDITLINK__" hidden="1">{"fdsup://IBCentral/FAT Viewer?action=UPDATE&amp;creator=factset&amp;DOC_NAME=fat:reuters_annual_source_window.fat&amp;display_string=Audit&amp;DYN_ARGS=TRUE&amp;VAR:ID1=G1696210&amp;VAR:RCODE=SCEX&amp;VAR:SDATE=20091299&amp;VAR:FREQ=Y&amp;VAR:RELITEM=RF&amp;VAR:CURRENCY=&amp;VAR:CURRSOURCE=EXSHARE&amp;V","AR:NATFREQ=ANNUAL&amp;VAR:RFIELD=FINALIZED&amp;VAR:DB_TYPE=&amp;VAR:UNITS=M&amp;window=popup&amp;width=450&amp;height=300&amp;START_MAXIMIZED=FALSE"}</definedName>
    <definedName name="_581__FDSAUDITLINK__" hidden="1">{"fdsup://IBCentral/FAT Viewer?action=UPDATE&amp;creator=factset&amp;DOC_NAME=fat:reuters_annual_source_window.fat&amp;display_string=Audit&amp;DYN_ARGS=TRUE&amp;VAR:ID1=G1696210&amp;VAR:RCODE=NINC&amp;VAR:SDATE=20101299&amp;VAR:FREQ=Y&amp;VAR:RELITEM=RF&amp;VAR:CURRENCY=&amp;VAR:CURRSOURCE=EXSHARE&amp;V","AR:NATFREQ=ANNUAL&amp;VAR:RFIELD=FINALIZED&amp;VAR:DB_TYPE=&amp;VAR:UNITS=M&amp;window=popup&amp;width=450&amp;height=300&amp;START_MAXIMIZED=FALSE"}</definedName>
    <definedName name="_582__FDSAUDITLINK__" hidden="1">{"fdsup://IBCentral/FAT Viewer?action=UPDATE&amp;creator=factset&amp;DOC_NAME=fat:reuters_annual_source_window.fat&amp;display_string=Audit&amp;DYN_ARGS=TRUE&amp;VAR:ID1=G1696210&amp;VAR:RCODE=FSALE&amp;VAR:SDATE=20101299&amp;VAR:FREQ=Y&amp;VAR:RELITEM=RF&amp;VAR:CURRENCY=&amp;VAR:CURRSOURCE=EXSHARE&amp;","VAR:NATFREQ=ANNUAL&amp;VAR:RFIELD=FINALIZED&amp;VAR:DB_TYPE=&amp;VAR:UNITS=M&amp;window=popup&amp;width=450&amp;height=300&amp;START_MAXIMIZED=FALSE"}</definedName>
    <definedName name="_583__FDSAUDITLINK__" hidden="1">{"fdsup://IBCentral/FAT Viewer?action=UPDATE&amp;creator=factset&amp;DOC_NAME=fat:reuters_annual_source_window.fat&amp;display_string=Audit&amp;DYN_ARGS=TRUE&amp;VAR:ID1=G1696210&amp;VAR:RCODE=FEBITDA&amp;VAR:SDATE=20101299&amp;VAR:FREQ=Y&amp;VAR:RELITEM=RF&amp;VAR:CURRENCY=&amp;VAR:CURRSOURCE=EXSHAR","E&amp;VAR:NATFREQ=ANNUAL&amp;VAR:RFIELD=FINALIZED&amp;VAR:DB_TYPE=&amp;VAR:UNITS=M&amp;window=popup&amp;width=450&amp;height=300&amp;START_MAXIMIZED=FALSE"}</definedName>
    <definedName name="_584__FDSAUDITLINK__" hidden="1">{"fdsup://IBCentral/FAT Viewer?action=UPDATE&amp;creator=factset&amp;DOC_NAME=fat:reuters_annual_source_window.fat&amp;display_string=Audit&amp;DYN_ARGS=TRUE&amp;VAR:ID1=G1696210&amp;VAR:RCODE=SCEX&amp;VAR:SDATE=20101299&amp;VAR:FREQ=Y&amp;VAR:RELITEM=RF&amp;VAR:CURRENCY=&amp;VAR:CURRSOURCE=EXSHARE&amp;V","AR:NATFREQ=ANNUAL&amp;VAR:RFIELD=FINALIZED&amp;VAR:DB_TYPE=&amp;VAR:UNITS=M&amp;window=popup&amp;width=450&amp;height=300&amp;START_MAXIMIZED=FALSE"}</definedName>
    <definedName name="_585__FDSAUDITLINK__" hidden="1">{"fdsup://IBCentral/FAT Viewer?action=UPDATE&amp;creator=factset&amp;DOC_NAME=fat:reuters_annual_source_window.fat&amp;display_string=Audit&amp;DYN_ARGS=TRUE&amp;VAR:ID1=G1696210&amp;VAR:RCODE=NIBX&amp;VAR:SDATE=20101299&amp;VAR:FREQ=Y&amp;VAR:RELITEM=RF&amp;VAR:CURRENCY=&amp;VAR:CURRSOURCE=EXSHARE&amp;V","AR:NATFREQ=ANNUAL&amp;VAR:RFIELD=FINALIZED&amp;VAR:DB_TYPE=&amp;VAR:UNITS=M&amp;window=popup&amp;width=450&amp;height=300&amp;START_MAXIMIZED=FALSE"}</definedName>
    <definedName name="_586__FDSAUDITLINK__" hidden="1">{"fdsup://IBCentral/FAT Viewer?action=UPDATE&amp;creator=factset&amp;DOC_NAME=fat:reuters_annual_source_window.fat&amp;display_string=Audit&amp;DYN_ARGS=TRUE&amp;VAR:ID1=G1696210&amp;VAR:RCODE=FDSINVINCTOT&amp;VAR:SDATE=20101299&amp;VAR:FREQ=Y&amp;VAR:RELITEM=RF&amp;VAR:CURRENCY=&amp;VAR:CURRSOURCE=E","XSHARE&amp;VAR:NATFREQ=ANNUAL&amp;VAR:RFIELD=FINALIZED&amp;VAR:DB_TYPE=&amp;VAR:UNITS=M&amp;window=popup&amp;width=450&amp;height=300&amp;START_MAXIMIZED=FALSE"}</definedName>
    <definedName name="_587__FDSAUDITLINK__" hidden="1">{"fdsup://IBCentral/FAT Viewer?action=UPDATE&amp;creator=factset&amp;DOC_NAME=fat:reuters_annual_source_window.fat&amp;display_string=Audit&amp;DYN_ARGS=TRUE&amp;VAR:ID1=G1696210&amp;VAR:RCODE=LPBL&amp;VAR:SDATE=20101299&amp;VAR:FREQ=Y&amp;VAR:RELITEM=RP&amp;VAR:CURRENCY=&amp;VAR:CURRSOURCE=EXSHARE&amp;V","AR:NATFREQ=ANNUAL&amp;VAR:RFIELD=FINALIZED&amp;VAR:DB_TYPE=&amp;VAR:UNITS=M&amp;window=popup&amp;width=450&amp;height=300&amp;START_MAXIMIZED=FALSE"}</definedName>
    <definedName name="_588__FDSAUDITLINK__" hidden="1">{"fdsup://IBCentral/FAT Viewer?action=UPDATE&amp;creator=factset&amp;DOC_NAME=fat:reuters_qtrly_source_window.fat&amp;display_string=Audit&amp;DYN_ARGS=TRUE&amp;VAR:ID1=G1696210&amp;VAR:RCODE=SCSI&amp;VAR:SDATE=20110399&amp;VAR:FREQ=Quarterly&amp;VAR:RELITEM=RP&amp;VAR:CURRENCY=&amp;VAR:CURRSOURCE=EX","SHARE&amp;VAR:NATFREQ=QUARTERLY&amp;VAR:RFIELD=FINALIZED&amp;VAR:DB_TYPE=&amp;VAR:UNITS=M&amp;window=popup&amp;width=450&amp;height=300&amp;START_MAXIMIZED=FALSE"}</definedName>
    <definedName name="_589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58A__PE___OUTLOOK_TO_2">#REF!</definedName>
    <definedName name="_58Excel_BuiltIn__FilterDatabase_4_1">#REF!</definedName>
    <definedName name="_58g__TARIFF_ARBITRAGE_ANALYSIS_1996__">#REF!</definedName>
    <definedName name="_59__123Graph_DCHART_15" hidden="1">#REF!</definedName>
    <definedName name="_59__FDSAUDITLINK__" hidden="1">{"fdsup://IBCentral/FAT Viewer?action=UPDATE&amp;creator=factset&amp;DOC_NAME=fat:reuters_ytd_source_window.fat&amp;display_string=Audit&amp;DYN_ARGS=TRUE&amp;VAR:ID1=45874310&amp;VAR:RCODE=FDSREVSTOTAL&amp;VAR:SDATE=20091299&amp;VAR:FREQ=Quarterly&amp;VAR:RELITEM=RP&amp;VAR:CURRENCY=&amp;VAR:CURRSOU","RCE=EXSHARE&amp;VAR:NATFREQ=Quarterly&amp;VAR:RFIELD=FINALIZED&amp;VAR:DB_TYPE=&amp;VAR:UNITS=M&amp;window=popup&amp;width=450&amp;height=300&amp;START_MAXIMIZED=FALSE"}</definedName>
    <definedName name="_59_0INDUSTRY_MATERIAL_BALANCE___PROJECTI">#REF!</definedName>
    <definedName name="_590__FDSAUDITLINK__" hidden="1">{"fdsup://IBCentral/FAT Viewer?action=UPDATE&amp;creator=factset&amp;DOC_NAME=fat:reuters_qtrly_source_window.fat&amp;display_string=Audit&amp;DYN_ARGS=TRUE&amp;VAR:ID1=G1696210&amp;VAR:RCODE=DSTT&amp;VAR:SDATE=20110399&amp;VAR:FREQ=Quarterly&amp;VAR:RELITEM=RP&amp;VAR:CURRENCY=&amp;VAR:CURRSOURCE=EX","SHARE&amp;VAR:NATFREQ=QUARTERLY&amp;VAR:RFIELD=FINALIZED&amp;VAR:DB_TYPE=&amp;VAR:UNITS=M&amp;window=popup&amp;width=450&amp;height=300&amp;START_MAXIMIZED=FALSE"}</definedName>
    <definedName name="_591__FDSAUDITLINK__" hidden="1">{"fdsup://IBCentral/FAT Viewer?action=UPDATE&amp;creator=factset&amp;DOC_NAME=fat:reuters_qtrly_source_window.fat&amp;display_string=Audit&amp;DYN_ARGS=TRUE&amp;VAR:ID1=G1696210&amp;VAR:RCODE=AEQI&amp;VAR:SDATE=20110399&amp;VAR:FREQ=Quarterly&amp;VAR:RELITEM=RP&amp;VAR:CURRENCY=&amp;VAR:CURRSOURCE=EX","SHARE&amp;VAR:NATFREQ=QUARTERLY&amp;VAR:RFIELD=FINALIZED&amp;VAR:DB_TYPE=&amp;VAR:UNITS=M&amp;window=popup&amp;width=450&amp;height=300&amp;START_MAXIMIZED=FALSE"}</definedName>
    <definedName name="_592__FDSAUDITLINK__" hidden="1">{"fdsup://directions/FAT Viewer?action=UPDATE&amp;creator=factset&amp;DYN_ARGS=TRUE&amp;DOC_NAME=FAT:FQL_AUDITING_CLIENT_TEMPLATE.FAT&amp;display_string=Audit&amp;VAR:KEY=LQVITAJCBK&amp;VAR:QUERY=UkdGX0lOVEFORyhBTk4sNDA2MzMsLCwsLCxOT0FVRElUKQ==&amp;WINDOW=FIRST_POPUP&amp;HEIGHT=450&amp;WIDTH=","450&amp;START_MAXIMIZED=FALSE&amp;VAR:CALENDAR=FIVEDAY&amp;VAR:SYMBOL=G1696210&amp;VAR:INDEX=0"}</definedName>
    <definedName name="_593__FDSAUDITLINK__" hidden="1">{"fdsup://IBCentral/FAT Viewer?action=UPDATE&amp;creator=factset&amp;DOC_NAME=fat:reuters_qtrly_source_window.fat&amp;display_string=Audit&amp;DYN_ARGS=TRUE&amp;VAR:ID1=G1696210&amp;VAR:RCODE=LMIN&amp;VAR:SDATE=20110399&amp;VAR:FREQ=Quarterly&amp;VAR:RELITEM=RP&amp;VAR:CURRENCY=&amp;VAR:CURRSOURCE=EX","SHARE&amp;VAR:NATFREQ=QUARTERLY&amp;VAR:RFIELD=FINALIZED&amp;VAR:DB_TYPE=&amp;VAR:UNITS=M&amp;window=popup&amp;width=450&amp;height=300&amp;START_MAXIMIZED=FALSE"}</definedName>
    <definedName name="_594__FDSAUDITLINK__" hidden="1">{"fdsup://IBCentral/FAT Viewer?action=UPDATE&amp;creator=factset&amp;DOC_NAME=fat:reuters_qtrly_source_window.fat&amp;display_string=Audit&amp;DYN_ARGS=TRUE&amp;VAR:ID1=G1696210&amp;VAR:RCODE=LLTD&amp;VAR:SDATE=20110399&amp;VAR:FREQ=Quarterly&amp;VAR:RELITEM=RP&amp;VAR:CURRENCY=&amp;VAR:CURRSOURCE=EX","SHARE&amp;VAR:NATFREQ=QUARTERLY&amp;VAR:RFIELD=FINALIZED&amp;VAR:DB_TYPE=&amp;VAR:UNITS=M&amp;window=popup&amp;width=450&amp;height=300&amp;START_MAXIMIZED=FALSE"}</definedName>
    <definedName name="_595__FDSAUDITLINK__" hidden="1">{"fdsup://IBCentral/FAT Viewer?action=UPDATE&amp;creator=factset&amp;DOC_NAME=fat:reuters_annual_source_window.fat&amp;display_string=Audit&amp;DYN_ARGS=TRUE&amp;VAR:ID1=03948310&amp;VAR:RCODE=NINC&amp;VAR:SDATE=20050699&amp;VAR:FREQ=Y&amp;VAR:RELITEM=RF&amp;VAR:CURRENCY=&amp;VAR:CURRSOURCE=EXSHARE&amp;V","AR:NATFREQ=ANNUAL&amp;VAR:RFIELD=FINALIZED&amp;VAR:DB_TYPE=&amp;VAR:UNITS=M&amp;window=popup&amp;width=450&amp;height=300&amp;START_MAXIMIZED=FALSE"}</definedName>
    <definedName name="_596__FDSAUDITLINK__" hidden="1">{"fdsup://IBCentral/FAT Viewer?action=UPDATE&amp;creator=factset&amp;DOC_NAME=fat:reuters_annual_source_window.fat&amp;display_string=Audit&amp;DYN_ARGS=TRUE&amp;VAR:ID1=03948310&amp;VAR:RCODE=SCEX&amp;VAR:SDATE=20050699&amp;VAR:FREQ=Y&amp;VAR:RELITEM=RF&amp;VAR:CURRENCY=&amp;VAR:CURRSOURCE=EXSHARE&amp;V","AR:NATFREQ=ANNUAL&amp;VAR:RFIELD=FINALIZED&amp;VAR:DB_TYPE=&amp;VAR:UNITS=M&amp;window=popup&amp;width=450&amp;height=300&amp;START_MAXIMIZED=FALSE"}</definedName>
    <definedName name="_597__FDSAUDITLINK__" hidden="1">{"fdsup://IBCentral/FAT Viewer?action=UPDATE&amp;creator=factset&amp;DOC_NAME=fat:reuters_annual_source_window.fat&amp;display_string=Audit&amp;DYN_ARGS=TRUE&amp;VAR:ID1=03948310&amp;VAR:RCODE=FEBIT&amp;VAR:SDATE=20050699&amp;VAR:FREQ=Y&amp;VAR:RELITEM=RF&amp;VAR:CURRENCY=&amp;VAR:CURRSOURCE=EXSHARE&amp;","VAR:NATFREQ=ANNUAL&amp;VAR:RFIELD=FINALIZED&amp;VAR:DB_TYPE=&amp;VAR:UNITS=M&amp;window=popup&amp;width=450&amp;height=300&amp;START_MAXIMIZED=FALSE"}</definedName>
    <definedName name="_598__FDSAUDITLINK__" hidden="1">{"fdsup://IBCentral/FAT Viewer?action=UPDATE&amp;creator=factset&amp;DOC_NAME=fat:reuters_annual_source_window.fat&amp;display_string=Audit&amp;DYN_ARGS=TRUE&amp;VAR:ID1=03948310&amp;VAR:RCODE=FEBITDA&amp;VAR:SDATE=20050699&amp;VAR:FREQ=Y&amp;VAR:RELITEM=RF&amp;VAR:CURRENCY=&amp;VAR:CURRSOURCE=EXSHAR","E&amp;VAR:NATFREQ=ANNUAL&amp;VAR:RFIELD=FINALIZED&amp;VAR:DB_TYPE=&amp;VAR:UNITS=M&amp;window=popup&amp;width=450&amp;height=300&amp;START_MAXIMIZED=FALSE"}</definedName>
    <definedName name="_599__FDSAUDITLINK__" hidden="1">{"fdsup://IBCentral/FAT Viewer?action=UPDATE&amp;creator=factset&amp;DOC_NAME=fat:reuters_annual_source_window.fat&amp;display_string=Audit&amp;DYN_ARGS=TRUE&amp;VAR:ID1=03948310&amp;VAR:RCODE=STXI&amp;VAR:SDATE=20050699&amp;VAR:FREQ=Y&amp;VAR:RELITEM=RF&amp;VAR:CURRENCY=&amp;VAR:CURRSOURCE=EXSHARE&amp;V","AR:NATFREQ=ANNUAL&amp;VAR:RFIELD=FINALIZED&amp;VAR:DB_TYPE=&amp;VAR:UNITS=M&amp;window=popup&amp;width=450&amp;height=300&amp;START_MAXIMIZED=FALSE"}</definedName>
    <definedName name="_59Excel_BuiltIn__FilterDatabase_6_1">#REF!</definedName>
    <definedName name="_5BSADJ">#REF!</definedName>
    <definedName name="_5BSTGT">#REF!</definedName>
    <definedName name="_5Excel_BuiltIn_Criteria_1">NA()</definedName>
    <definedName name="_5Excel_BuiltIn_Print_Area_3_1_1_1">(#REF!,#REF!,#REF!)</definedName>
    <definedName name="_5INDUSTRY_MATERIAL_BALANCE___PROJECTI">#REF!</definedName>
    <definedName name="_5P">#REF!</definedName>
    <definedName name="_6___Excel_BuiltIn_Print_Titles_1">(#REF!,#REF!)</definedName>
    <definedName name="_6__”_0PE_1996">#REF!</definedName>
    <definedName name="_6__123Graph_BCHART_3" hidden="1">#REF!</definedName>
    <definedName name="_6__FDSAUDITLINK__" hidden="1">{"fdsup://IBCentral/FAT Viewer?action=UPDATE&amp;creator=factset&amp;DOC_NAME=fat:reuters_annual_source_window.fat&amp;display_string=Audit&amp;DYN_ARGS=TRUE&amp;VAR:ID1=513863&amp;VAR:RCODE=LTTD&amp;VAR:SDATE=20081299&amp;VAR:FREQ=Y&amp;VAR:RELITEM=RP&amp;VAR:CURRENCY=&amp;VAR:CURRSOURCE=EXSHARE&amp;VAR",":NATFREQ=ANNUAL&amp;VAR:RFIELD=FINALIZED&amp;VAR:DB_TYPE=&amp;VAR:UNITS=M&amp;window=popup&amp;width=450&amp;height=300&amp;START_MAXIMIZED=FALSE"}</definedName>
    <definedName name="_6_0CF_minor">#REF!</definedName>
    <definedName name="_6_0Quarterwise_Export_P">#REF!</definedName>
    <definedName name="_6_0QUARTERWISE_PERFORMA">#REF!</definedName>
    <definedName name="_6_239">#REF!</definedName>
    <definedName name="_6_6_239">#REF!</definedName>
    <definedName name="_6_Excel_BuiltIn_Print_Titles_5_1">(#REF!,#REF!)</definedName>
    <definedName name="_6”__PE_1996">#REF!</definedName>
    <definedName name="_60__123Graph_DCHART_16" hidden="1">#REF!</definedName>
    <definedName name="_60__FDSAUDITLINK__" hidden="1">{"fdsup://IBCentral/FAT Viewer?action=UPDATE&amp;creator=factset&amp;DOC_NAME=fat:reuters_annual_source_window.fat&amp;display_string=Audit&amp;DYN_ARGS=TRUE&amp;VAR:ID1=05377410&amp;VAR:RCODE=FDSINTINCTOTAL&amp;VAR:SDATE=20101299&amp;VAR:FREQ=Y&amp;VAR:RELITEM=RP&amp;VAR:CURRENCY=&amp;VAR:CURRSOURCE","=EXSHARE&amp;VAR:NATFREQ=ANNUAL&amp;VAR:RFIELD=FINALIZED&amp;VAR:DB_TYPE=&amp;VAR:UNITS=M&amp;window=popup&amp;width=450&amp;height=300&amp;START_MAXIMIZED=FALSE"}</definedName>
    <definedName name="_600__FDSAUDITLINK__" hidden="1">{"fdsup://IBCentral/FAT Viewer?action=UPDATE&amp;creator=factset&amp;DOC_NAME=fat:reuters_annual_source_window.fat&amp;display_string=Audit&amp;DYN_ARGS=TRUE&amp;VAR:ID1=03948310&amp;VAR:RCODE=NIBX&amp;VAR:SDATE=20050699&amp;VAR:FREQ=Y&amp;VAR:RELITEM=RF&amp;VAR:CURRENCY=&amp;VAR:CURRSOURCE=EXSHARE&amp;V","AR:NATFREQ=ANNUAL&amp;VAR:RFIELD=FINALIZED&amp;VAR:DB_TYPE=&amp;VAR:UNITS=M&amp;window=popup&amp;width=450&amp;height=300&amp;START_MAXIMIZED=FALSE"}</definedName>
    <definedName name="_601__FDSAUDITLINK__" hidden="1">{"fdsup://IBCentral/FAT Viewer?action=UPDATE&amp;creator=factset&amp;DOC_NAME=fat:reuters_annual_source_window.fat&amp;display_string=Audit&amp;DYN_ARGS=TRUE&amp;VAR:ID1=03948310&amp;VAR:RCODE=FEBIT&amp;VAR:SDATE=20060699&amp;VAR:FREQ=Y&amp;VAR:RELITEM=RF&amp;VAR:CURRENCY=&amp;VAR:CURRSOURCE=EXSHARE&amp;","VAR:NATFREQ=ANNUAL&amp;VAR:RFIELD=FINALIZED&amp;VAR:DB_TYPE=&amp;VAR:UNITS=M&amp;window=popup&amp;width=450&amp;height=300&amp;START_MAXIMIZED=FALSE"}</definedName>
    <definedName name="_602__FDSAUDITLINK__" hidden="1">{"fdsup://IBCentral/FAT Viewer?action=UPDATE&amp;creator=factset&amp;DOC_NAME=fat:reuters_annual_source_window.fat&amp;display_string=Audit&amp;DYN_ARGS=TRUE&amp;VAR:ID1=03948310&amp;VAR:RCODE=FDSINVINCTOT&amp;VAR:SDATE=20050699&amp;VAR:FREQ=Y&amp;VAR:RELITEM=RF&amp;VAR:CURRENCY=&amp;VAR:CURRSOURCE=E","XSHARE&amp;VAR:NATFREQ=ANNUAL&amp;VAR:RFIELD=FINALIZED&amp;VAR:DB_TYPE=&amp;VAR:UNITS=M&amp;window=popup&amp;width=450&amp;height=300&amp;START_MAXIMIZED=FALSE"}</definedName>
    <definedName name="_603__FDSAUDITLINK__" hidden="1">{"fdsup://IBCentral/FAT Viewer?action=UPDATE&amp;creator=factset&amp;DOC_NAME=fat:reuters_annual_source_window.fat&amp;display_string=Audit&amp;DYN_ARGS=TRUE&amp;VAR:ID1=03948310&amp;VAR:RCODE=FSALE&amp;VAR:SDATE=20050699&amp;VAR:FREQ=Y&amp;VAR:RELITEM=RF&amp;VAR:CURRENCY=&amp;VAR:CURRSOURCE=EXSHARE&amp;","VAR:NATFREQ=ANNUAL&amp;VAR:RFIELD=FINALIZED&amp;VAR:DB_TYPE=&amp;VAR:UNITS=M&amp;window=popup&amp;width=450&amp;height=300&amp;START_MAXIMIZED=FALSE"}</definedName>
    <definedName name="_604__FDSAUDITLINK__" hidden="1">{"fdsup://IBCentral/FAT Viewer?action=UPDATE&amp;creator=factset&amp;DOC_NAME=fat:reuters_annual_source_window.fat&amp;display_string=Audit&amp;DYN_ARGS=TRUE&amp;VAR:ID1=03948310&amp;VAR:RCODE=NIBX&amp;VAR:SDATE=20060699&amp;VAR:FREQ=Y&amp;VAR:RELITEM=RF&amp;VAR:CURRENCY=&amp;VAR:CURRSOURCE=EXSHARE&amp;V","AR:NATFREQ=ANNUAL&amp;VAR:RFIELD=FINALIZED&amp;VAR:DB_TYPE=&amp;VAR:UNITS=M&amp;window=popup&amp;width=450&amp;height=300&amp;START_MAXIMIZED=FALSE"}</definedName>
    <definedName name="_605__FDSAUDITLINK__" hidden="1">{"fdsup://IBCentral/FAT Viewer?action=UPDATE&amp;creator=factset&amp;DOC_NAME=fat:reuters_annual_source_window.fat&amp;display_string=Audit&amp;DYN_ARGS=TRUE&amp;VAR:ID1=03948310&amp;VAR:RCODE=FSALE&amp;VAR:SDATE=20060699&amp;VAR:FREQ=Y&amp;VAR:RELITEM=RF&amp;VAR:CURRENCY=&amp;VAR:CURRSOURCE=EXSHARE&amp;","VAR:NATFREQ=ANNUAL&amp;VAR:RFIELD=FINALIZED&amp;VAR:DB_TYPE=&amp;VAR:UNITS=M&amp;window=popup&amp;width=450&amp;height=300&amp;START_MAXIMIZED=FALSE"}</definedName>
    <definedName name="_606__FDSAUDITLINK__" hidden="1">{"fdsup://IBCentral/FAT Viewer?action=UPDATE&amp;creator=factset&amp;DOC_NAME=fat:reuters_annual_source_window.fat&amp;display_string=Audit&amp;DYN_ARGS=TRUE&amp;VAR:ID1=03948310&amp;VAR:RCODE=SCEX&amp;VAR:SDATE=20060699&amp;VAR:FREQ=Y&amp;VAR:RELITEM=RF&amp;VAR:CURRENCY=&amp;VAR:CURRSOURCE=EXSHARE&amp;V","AR:NATFREQ=ANNUAL&amp;VAR:RFIELD=FINALIZED&amp;VAR:DB_TYPE=&amp;VAR:UNITS=M&amp;window=popup&amp;width=450&amp;height=300&amp;START_MAXIMIZED=FALSE"}</definedName>
    <definedName name="_607__FDSAUDITLINK__" hidden="1">{"fdsup://IBCentral/FAT Viewer?action=UPDATE&amp;creator=factset&amp;DOC_NAME=fat:reuters_annual_source_window.fat&amp;display_string=Audit&amp;DYN_ARGS=TRUE&amp;VAR:ID1=03948310&amp;VAR:RCODE=STXI&amp;VAR:SDATE=20060699&amp;VAR:FREQ=Y&amp;VAR:RELITEM=RF&amp;VAR:CURRENCY=&amp;VAR:CURRSOURCE=EXSHARE&amp;V","AR:NATFREQ=ANNUAL&amp;VAR:RFIELD=FINALIZED&amp;VAR:DB_TYPE=&amp;VAR:UNITS=M&amp;window=popup&amp;width=450&amp;height=300&amp;START_MAXIMIZED=FALSE"}</definedName>
    <definedName name="_608__FDSAUDITLINK__" hidden="1">{"fdsup://IBCentral/FAT Viewer?action=UPDATE&amp;creator=factset&amp;DOC_NAME=fat:reuters_annual_source_window.fat&amp;display_string=Audit&amp;DYN_ARGS=TRUE&amp;VAR:ID1=03948310&amp;VAR:RCODE=FEBITDA&amp;VAR:SDATE=20060699&amp;VAR:FREQ=Y&amp;VAR:RELITEM=RF&amp;VAR:CURRENCY=&amp;VAR:CURRSOURCE=EXSHAR","E&amp;VAR:NATFREQ=ANNUAL&amp;VAR:RFIELD=FINALIZED&amp;VAR:DB_TYPE=&amp;VAR:UNITS=M&amp;window=popup&amp;width=450&amp;height=300&amp;START_MAXIMIZED=FALSE"}</definedName>
    <definedName name="_609__FDSAUDITLINK__" hidden="1">{"fdsup://IBCentral/FAT Viewer?action=UPDATE&amp;creator=factset&amp;DOC_NAME=fat:reuters_annual_source_window.fat&amp;display_string=Audit&amp;DYN_ARGS=TRUE&amp;VAR:ID1=03948310&amp;VAR:RCODE=FDSINVINCTOT&amp;VAR:SDATE=20060699&amp;VAR:FREQ=Y&amp;VAR:RELITEM=RF&amp;VAR:CURRENCY=&amp;VAR:CURRSOURCE=E","XSHARE&amp;VAR:NATFREQ=ANNUAL&amp;VAR:RFIELD=FINALIZED&amp;VAR:DB_TYPE=&amp;VAR:UNITS=M&amp;window=popup&amp;width=450&amp;height=300&amp;START_MAXIMIZED=FALSE"}</definedName>
    <definedName name="_60Excel_BuiltIn__FilterDatabase_6_1_1">#N/A</definedName>
    <definedName name="_60g_0TARIFF_ARBITRAGE_ANALYSIS_1996__">#REF!</definedName>
    <definedName name="_60i_0PE___RIL_MARKET_PRESE">#REF!</definedName>
    <definedName name="_60INDUSTRY_MATERIAL_BALANCE___PROJECTI">#REF!</definedName>
    <definedName name="_61__123Graph_DCHART_17" hidden="1">#REF!</definedName>
    <definedName name="_61__FDSAUDITLINK__" hidden="1">{"fdsup://IBCentral/FAT Viewer?action=UPDATE&amp;creator=factset&amp;DOC_NAME=fat:reuters_ytd_source_window.fat&amp;display_string=Audit&amp;DYN_ARGS=TRUE&amp;VAR:ID1=25674310&amp;VAR:RCODE=FDSINTEXPTOTAL&amp;VAR:SDATE=20110399&amp;VAR:FREQ=Quarterly&amp;VAR:RELITEM=RP&amp;VAR:CURRENCY=&amp;VAR:CURRS","OURCE=EXSHARE&amp;VAR:NATFREQ=Quarterly&amp;VAR:RFIELD=FINALIZED&amp;VAR:DB_TYPE=&amp;VAR:UNITS=M&amp;window=popup&amp;width=450&amp;height=300&amp;START_MAXIMIZED=FALSE"}</definedName>
    <definedName name="_61_0_0PE___Q1_REV">#REF!</definedName>
    <definedName name="_610__FDSAUDITLINK__" hidden="1">{"fdsup://IBCentral/FAT Viewer?action=UPDATE&amp;creator=factset&amp;DOC_NAME=fat:reuters_annual_source_window.fat&amp;display_string=Audit&amp;DYN_ARGS=TRUE&amp;VAR:ID1=03948310&amp;VAR:RCODE=NINC&amp;VAR:SDATE=20060699&amp;VAR:FREQ=Y&amp;VAR:RELITEM=RF&amp;VAR:CURRENCY=&amp;VAR:CURRSOURCE=EXSHARE&amp;V","AR:NATFREQ=ANNUAL&amp;VAR:RFIELD=FINALIZED&amp;VAR:DB_TYPE=&amp;VAR:UNITS=M&amp;window=popup&amp;width=450&amp;height=300&amp;START_MAXIMIZED=FALSE"}</definedName>
    <definedName name="_611__FDSAUDITLINK__" hidden="1">{"fdsup://IBCentral/FAT Viewer?action=UPDATE&amp;creator=factset&amp;DOC_NAME=fat:reuters_annual_source_window.fat&amp;display_string=Audit&amp;DYN_ARGS=TRUE&amp;VAR:ID1=B06WVL&amp;VAR:RCODE=FEBITDA&amp;VAR:SDATE=20050799&amp;VAR:FREQ=Y&amp;VAR:RELITEM=RF&amp;VAR:CURRENCY=&amp;VAR:CURRSOURCE=EXSHARE&amp;","VAR:NATFREQ=ANNUAL&amp;VAR:RFIELD=FINALIZED&amp;VAR:DB_TYPE=&amp;VAR:UNITS=M&amp;window=popup&amp;width=450&amp;height=300&amp;START_MAXIMIZED=FALSE"}</definedName>
    <definedName name="_612__FDSAUDITLINK__" hidden="1">{"fdsup://IBCentral/FAT Viewer?action=UPDATE&amp;creator=factset&amp;DOC_NAME=fat:reuters_annual_source_window.fat&amp;display_string=Audit&amp;DYN_ARGS=TRUE&amp;VAR:ID1=03948310&amp;VAR:RCODE=FEBIT&amp;VAR:SDATE=20070699&amp;VAR:FREQ=Y&amp;VAR:RELITEM=RF&amp;VAR:CURRENCY=&amp;VAR:CURRSOURCE=EXSHARE&amp;","VAR:NATFREQ=ANNUAL&amp;VAR:RFIELD=FINALIZED&amp;VAR:DB_TYPE=&amp;VAR:UNITS=M&amp;window=popup&amp;width=450&amp;height=300&amp;START_MAXIMIZED=FALSE"}</definedName>
    <definedName name="_613__FDSAUDITLINK__" hidden="1">{"fdsup://IBCentral/FAT Viewer?action=UPDATE&amp;creator=factset&amp;DOC_NAME=fat:reuters_annual_source_window.fat&amp;display_string=Audit&amp;DYN_ARGS=TRUE&amp;VAR:ID1=B06WVL&amp;VAR:RCODE=FDSINVINCTOT&amp;VAR:SDATE=20050799&amp;VAR:FREQ=Y&amp;VAR:RELITEM=RF&amp;VAR:CURRENCY=&amp;VAR:CURRSOURCE=EXS","HARE&amp;VAR:NATFREQ=ANNUAL&amp;VAR:RFIELD=FINALIZED&amp;VAR:DB_TYPE=&amp;VAR:UNITS=M&amp;window=popup&amp;width=450&amp;height=300&amp;START_MAXIMIZED=FALSE"}</definedName>
    <definedName name="_614__FDSAUDITLINK__" hidden="1">{"fdsup://IBCentral/FAT Viewer?action=UPDATE&amp;creator=factset&amp;DOC_NAME=fat:reuters_annual_source_window.fat&amp;display_string=Audit&amp;DYN_ARGS=TRUE&amp;VAR:ID1=03948310&amp;VAR:RCODE=FEBIT&amp;VAR:SDATE=20080699&amp;VAR:FREQ=Y&amp;VAR:RELITEM=RF&amp;VAR:CURRENCY=&amp;VAR:CURRSOURCE=EXSHARE&amp;","VAR:NATFREQ=ANNUAL&amp;VAR:RFIELD=FINALIZED&amp;VAR:DB_TYPE=&amp;VAR:UNITS=M&amp;window=popup&amp;width=450&amp;height=300&amp;START_MAXIMIZED=FALSE"}</definedName>
    <definedName name="_615__FDSAUDITLINK__" hidden="1">{"fdsup://IBCentral/FAT Viewer?action=UPDATE&amp;creator=factset&amp;DOC_NAME=fat:reuters_annual_source_window.fat&amp;display_string=Audit&amp;DYN_ARGS=TRUE&amp;VAR:ID1=03948310&amp;VAR:RCODE=FDSINVINCTOT&amp;VAR:SDATE=20070699&amp;VAR:FREQ=Y&amp;VAR:RELITEM=RF&amp;VAR:CURRENCY=&amp;VAR:CURRSOURCE=E","XSHARE&amp;VAR:NATFREQ=ANNUAL&amp;VAR:RFIELD=FINALIZED&amp;VAR:DB_TYPE=&amp;VAR:UNITS=M&amp;window=popup&amp;width=450&amp;height=300&amp;START_MAXIMIZED=FALSE"}</definedName>
    <definedName name="_616__FDSAUDITLINK__" hidden="1">{"fdsup://IBCentral/FAT Viewer?action=UPDATE&amp;creator=factset&amp;DOC_NAME=fat:reuters_annual_source_window.fat&amp;display_string=Audit&amp;DYN_ARGS=TRUE&amp;VAR:ID1=03948310&amp;VAR:RCODE=NINC&amp;VAR:SDATE=20070699&amp;VAR:FREQ=Y&amp;VAR:RELITEM=RF&amp;VAR:CURRENCY=&amp;VAR:CURRSOURCE=EXSHARE&amp;V","AR:NATFREQ=ANNUAL&amp;VAR:RFIELD=FINALIZED&amp;VAR:DB_TYPE=&amp;VAR:UNITS=M&amp;window=popup&amp;width=450&amp;height=300&amp;START_MAXIMIZED=FALSE"}</definedName>
    <definedName name="_617__FDSAUDITLINK__" hidden="1">{"fdsup://IBCentral/FAT Viewer?action=UPDATE&amp;creator=factset&amp;DOC_NAME=fat:reuters_annual_source_window.fat&amp;display_string=Audit&amp;DYN_ARGS=TRUE&amp;VAR:ID1=03948310&amp;VAR:RCODE=FEBITDA&amp;VAR:SDATE=20070699&amp;VAR:FREQ=Y&amp;VAR:RELITEM=RF&amp;VAR:CURRENCY=&amp;VAR:CURRSOURCE=EXSHAR","E&amp;VAR:NATFREQ=ANNUAL&amp;VAR:RFIELD=FINALIZED&amp;VAR:DB_TYPE=&amp;VAR:UNITS=M&amp;window=popup&amp;width=450&amp;height=300&amp;START_MAXIMIZED=FALSE"}</definedName>
    <definedName name="_618__FDSAUDITLINK__" hidden="1">{"fdsup://IBCentral/FAT Viewer?action=UPDATE&amp;creator=factset&amp;DOC_NAME=fat:reuters_annual_source_window.fat&amp;display_string=Audit&amp;DYN_ARGS=TRUE&amp;VAR:ID1=B06WVL&amp;VAR:RCODE=SCEX&amp;VAR:SDATE=20050799&amp;VAR:FREQ=Y&amp;VAR:RELITEM=RF&amp;VAR:CURRENCY=&amp;VAR:CURRSOURCE=EXSHARE&amp;VAR",":NATFREQ=ANNUAL&amp;VAR:RFIELD=FINALIZED&amp;VAR:DB_TYPE=&amp;VAR:UNITS=M&amp;window=popup&amp;width=450&amp;height=300&amp;START_MAXIMIZED=FALSE"}</definedName>
    <definedName name="_619__FDSAUDITLINK__" hidden="1">{"fdsup://IBCentral/FAT Viewer?action=UPDATE&amp;creator=factset&amp;DOC_NAME=fat:reuters_annual_source_window.fat&amp;display_string=Audit&amp;DYN_ARGS=TRUE&amp;VAR:ID1=03948310&amp;VAR:RCODE=FSALE&amp;VAR:SDATE=20070699&amp;VAR:FREQ=Y&amp;VAR:RELITEM=RF&amp;VAR:CURRENCY=&amp;VAR:CURRSOURCE=EXSHARE&amp;","VAR:NATFREQ=ANNUAL&amp;VAR:RFIELD=FINALIZED&amp;VAR:DB_TYPE=&amp;VAR:UNITS=M&amp;window=popup&amp;width=450&amp;height=300&amp;START_MAXIMIZED=FALSE"}</definedName>
    <definedName name="_61Excel_BuiltIn__FilterDatabase_7_1">#REF!</definedName>
    <definedName name="_62__123Graph_DCHART_18" hidden="1">#REF!</definedName>
    <definedName name="_62__FDSAUDITLINK__" hidden="1">{"fdsup://IBCentral/FAT Viewer?action=UPDATE&amp;creator=factset&amp;DOC_NAME=fat:reuters_annual_source_window.fat&amp;display_string=Audit&amp;DYN_ARGS=TRUE&amp;VAR:ID1=B08K3S&amp;VAR:RCODE=FDSINTINCTOTAL&amp;VAR:SDATE=20101299&amp;VAR:FREQ=Y&amp;VAR:RELITEM=RP&amp;VAR:CURRENCY=&amp;VAR:CURRSOURCE=E","XSHARE&amp;VAR:NATFREQ=ANNUAL&amp;VAR:RFIELD=FINALIZED&amp;VAR:DB_TYPE=&amp;VAR:UNITS=M&amp;window=popup&amp;width=450&amp;height=300&amp;START_MAXIMIZED=FALSE"}</definedName>
    <definedName name="_62_0INDUSTRY_MATERIAL_BALA">#REF!</definedName>
    <definedName name="_620__FDSAUDITLINK__" hidden="1">{"fdsup://IBCentral/FAT Viewer?action=UPDATE&amp;creator=factset&amp;DOC_NAME=fat:reuters_annual_source_window.fat&amp;display_string=Audit&amp;DYN_ARGS=TRUE&amp;VAR:ID1=03948310&amp;VAR:RCODE=FEBITDA&amp;VAR:SDATE=20080699&amp;VAR:FREQ=Y&amp;VAR:RELITEM=RF&amp;VAR:CURRENCY=&amp;VAR:CURRSOURCE=EXSHAR","E&amp;VAR:NATFREQ=ANNUAL&amp;VAR:RFIELD=FINALIZED&amp;VAR:DB_TYPE=&amp;VAR:UNITS=M&amp;window=popup&amp;width=450&amp;height=300&amp;START_MAXIMIZED=FALSE"}</definedName>
    <definedName name="_621__FDSAUDITLINK__" hidden="1">{"fdsup://IBCentral/FAT Viewer?action=UPDATE&amp;creator=factset&amp;DOC_NAME=fat:reuters_annual_source_window.fat&amp;display_string=Audit&amp;DYN_ARGS=TRUE&amp;VAR:ID1=03948310&amp;VAR:RCODE=SCEX&amp;VAR:SDATE=20080699&amp;VAR:FREQ=Y&amp;VAR:RELITEM=RF&amp;VAR:CURRENCY=&amp;VAR:CURRSOURCE=EXSHARE&amp;V","AR:NATFREQ=ANNUAL&amp;VAR:RFIELD=FINALIZED&amp;VAR:DB_TYPE=&amp;VAR:UNITS=M&amp;window=popup&amp;width=450&amp;height=300&amp;START_MAXIMIZED=FALSE"}</definedName>
    <definedName name="_622__FDSAUDITLINK__" hidden="1">{"fdsup://IBCentral/FAT Viewer?action=UPDATE&amp;creator=factset&amp;DOC_NAME=fat:reuters_annual_source_window.fat&amp;display_string=Audit&amp;DYN_ARGS=TRUE&amp;VAR:ID1=B06WVL&amp;VAR:RCODE=STXI&amp;VAR:SDATE=20050799&amp;VAR:FREQ=Y&amp;VAR:RELITEM=RF&amp;VAR:CURRENCY=&amp;VAR:CURRSOURCE=EXSHARE&amp;VAR",":NATFREQ=ANNUAL&amp;VAR:RFIELD=FINALIZED&amp;VAR:DB_TYPE=&amp;VAR:UNITS=M&amp;window=popup&amp;width=450&amp;height=300&amp;START_MAXIMIZED=FALSE"}</definedName>
    <definedName name="_623__FDSAUDITLINK__" hidden="1">{"fdsup://IBCentral/FAT Viewer?action=UPDATE&amp;creator=factset&amp;DOC_NAME=fat:reuters_annual_source_window.fat&amp;display_string=Audit&amp;DYN_ARGS=TRUE&amp;VAR:ID1=03948310&amp;VAR:RCODE=STXI&amp;VAR:SDATE=20080699&amp;VAR:FREQ=Y&amp;VAR:RELITEM=RF&amp;VAR:CURRENCY=&amp;VAR:CURRSOURCE=EXSHARE&amp;V","AR:NATFREQ=ANNUAL&amp;VAR:RFIELD=FINALIZED&amp;VAR:DB_TYPE=&amp;VAR:UNITS=M&amp;window=popup&amp;width=450&amp;height=300&amp;START_MAXIMIZED=FALSE"}</definedName>
    <definedName name="_624__FDSAUDITLINK__" hidden="1">{"fdsup://IBCentral/FAT Viewer?action=UPDATE&amp;creator=factset&amp;DOC_NAME=fat:reuters_annual_source_window.fat&amp;display_string=Audit&amp;DYN_ARGS=TRUE&amp;VAR:ID1=03948310&amp;VAR:RCODE=NIBX&amp;VAR:SDATE=20070699&amp;VAR:FREQ=Y&amp;VAR:RELITEM=RF&amp;VAR:CURRENCY=&amp;VAR:CURRSOURCE=EXSHARE&amp;V","AR:NATFREQ=ANNUAL&amp;VAR:RFIELD=FINALIZED&amp;VAR:DB_TYPE=&amp;VAR:UNITS=M&amp;window=popup&amp;width=450&amp;height=300&amp;START_MAXIMIZED=FALSE"}</definedName>
    <definedName name="_625__FDSAUDITLINK__" hidden="1">{"fdsup://IBCentral/FAT Viewer?action=UPDATE&amp;creator=factset&amp;DOC_NAME=fat:reuters_annual_source_window.fat&amp;display_string=Audit&amp;DYN_ARGS=TRUE&amp;VAR:ID1=B06WVL&amp;VAR:RCODE=FEBIT&amp;VAR:SDATE=20050799&amp;VAR:FREQ=Y&amp;VAR:RELITEM=RF&amp;VAR:CURRENCY=&amp;VAR:CURRSOURCE=EXSHARE&amp;VA","R:NATFREQ=ANNUAL&amp;VAR:RFIELD=FINALIZED&amp;VAR:DB_TYPE=&amp;VAR:UNITS=M&amp;window=popup&amp;width=450&amp;height=300&amp;START_MAXIMIZED=FALSE"}</definedName>
    <definedName name="_626__FDSAUDITLINK__" hidden="1">{"fdsup://IBCentral/FAT Viewer?action=UPDATE&amp;creator=factset&amp;DOC_NAME=fat:reuters_annual_source_window.fat&amp;display_string=Audit&amp;DYN_ARGS=TRUE&amp;VAR:ID1=03948310&amp;VAR:RCODE=STXI&amp;VAR:SDATE=20070699&amp;VAR:FREQ=Y&amp;VAR:RELITEM=RF&amp;VAR:CURRENCY=&amp;VAR:CURRSOURCE=EXSHARE&amp;V","AR:NATFREQ=ANNUAL&amp;VAR:RFIELD=FINALIZED&amp;VAR:DB_TYPE=&amp;VAR:UNITS=M&amp;window=popup&amp;width=450&amp;height=300&amp;START_MAXIMIZED=FALSE"}</definedName>
    <definedName name="_627__FDSAUDITLINK__" hidden="1">{"fdsup://IBCentral/FAT Viewer?action=UPDATE&amp;creator=factset&amp;DOC_NAME=fat:reuters_annual_source_window.fat&amp;display_string=Audit&amp;DYN_ARGS=TRUE&amp;VAR:ID1=B06WVL&amp;VAR:RCODE=NIBX&amp;VAR:SDATE=20050799&amp;VAR:FREQ=Y&amp;VAR:RELITEM=RF&amp;VAR:CURRENCY=&amp;VAR:CURRSOURCE=EXSHARE&amp;VAR",":NATFREQ=ANNUAL&amp;VAR:RFIELD=FINALIZED&amp;VAR:DB_TYPE=&amp;VAR:UNITS=M&amp;window=popup&amp;width=450&amp;height=300&amp;START_MAXIMIZED=FALSE"}</definedName>
    <definedName name="_628__FDSAUDITLINK__" hidden="1">{"fdsup://IBCentral/FAT Viewer?action=UPDATE&amp;creator=factset&amp;DOC_NAME=fat:reuters_annual_source_window.fat&amp;display_string=Audit&amp;DYN_ARGS=TRUE&amp;VAR:ID1=B06WVL&amp;VAR:RCODE=NINC&amp;VAR:SDATE=20050799&amp;VAR:FREQ=Y&amp;VAR:RELITEM=RF&amp;VAR:CURRENCY=&amp;VAR:CURRSOURCE=EXSHARE&amp;VAR",":NATFREQ=ANNUAL&amp;VAR:RFIELD=FINALIZED&amp;VAR:DB_TYPE=&amp;VAR:UNITS=M&amp;window=popup&amp;width=450&amp;height=300&amp;START_MAXIMIZED=FALSE"}</definedName>
    <definedName name="_629__FDSAUDITLINK__" hidden="1">{"fdsup://IBCentral/FAT Viewer?action=UPDATE&amp;creator=factset&amp;DOC_NAME=fat:reuters_annual_source_window.fat&amp;display_string=Audit&amp;DYN_ARGS=TRUE&amp;VAR:ID1=B06WVL&amp;VAR:RCODE=FSALE&amp;VAR:SDATE=20050799&amp;VAR:FREQ=Y&amp;VAR:RELITEM=RF&amp;VAR:CURRENCY=&amp;VAR:CURRSOURCE=EXSHARE&amp;VA","R:NATFREQ=ANNUAL&amp;VAR:RFIELD=FINALIZED&amp;VAR:DB_TYPE=&amp;VAR:UNITS=M&amp;window=popup&amp;width=450&amp;height=300&amp;START_MAXIMIZED=FALSE"}</definedName>
    <definedName name="_62Excel_BuiltIn__FilterDatabase_8_1">#REF!</definedName>
    <definedName name="_62g__TARIFF_ARBITRAGE_ANALYSIS_1996__">#REF!</definedName>
    <definedName name="_62INDUSTRY_MATERIAL_BALA">#REF!</definedName>
    <definedName name="_63__123Graph_DCHART_4" hidden="1">#REF!</definedName>
    <definedName name="_63__FDSAUDITLINK__" hidden="1">{"fdsup://IBCentral/FAT Viewer?action=UPDATE&amp;creator=factset&amp;DOC_NAME=fat:reuters_annual_source_window.fat&amp;display_string=Audit&amp;DYN_ARGS=TRUE&amp;VAR:ID1=005367&amp;VAR:RCODE=FDSREVSTOTAL&amp;VAR:SDATE=20100499&amp;VAR:FREQ=Y&amp;VAR:RELITEM=RP&amp;VAR:CURRENCY=&amp;VAR:CURRSOURCE=EXS","HARE&amp;VAR:NATFREQ=ANNUAL&amp;VAR:RFIELD=FINALIZED&amp;VAR:DB_TYPE=&amp;VAR:UNITS=M&amp;window=popup&amp;width=450&amp;height=300&amp;START_MAXIMIZED=FALSE"}</definedName>
    <definedName name="_63_0__PE___Q1_REV">#REF!</definedName>
    <definedName name="_630__FDSAUDITLINK__" hidden="1">{"fdsup://IBCentral/FAT Viewer?action=UPDATE&amp;creator=factset&amp;DOC_NAME=fat:reuters_annual_source_window.fat&amp;display_string=Audit&amp;DYN_ARGS=TRUE&amp;VAR:ID1=03948310&amp;VAR:RCODE=SCEX&amp;VAR:SDATE=20070699&amp;VAR:FREQ=Y&amp;VAR:RELITEM=RF&amp;VAR:CURRENCY=&amp;VAR:CURRSOURCE=EXSHARE&amp;V","AR:NATFREQ=ANNUAL&amp;VAR:RFIELD=FINALIZED&amp;VAR:DB_TYPE=&amp;VAR:UNITS=M&amp;window=popup&amp;width=450&amp;height=300&amp;START_MAXIMIZED=FALSE"}</definedName>
    <definedName name="_631__FDSAUDITLINK__" hidden="1">{"fdsup://IBCentral/FAT Viewer?action=UPDATE&amp;creator=factset&amp;DOC_NAME=fat:reuters_annual_source_window.fat&amp;display_string=Audit&amp;DYN_ARGS=TRUE&amp;VAR:ID1=B06WVL&amp;VAR:RCODE=NIBX&amp;VAR:SDATE=20060799&amp;VAR:FREQ=Y&amp;VAR:RELITEM=RF&amp;VAR:CURRENCY=&amp;VAR:CURRSOURCE=EXSHARE&amp;VAR",":NATFREQ=ANNUAL&amp;VAR:RFIELD=FINALIZED&amp;VAR:DB_TYPE=&amp;VAR:UNITS=M&amp;window=popup&amp;width=450&amp;height=300&amp;START_MAXIMIZED=FALSE"}</definedName>
    <definedName name="_632__FDSAUDITLINK__" hidden="1">{"fdsup://IBCentral/FAT Viewer?action=UPDATE&amp;creator=factset&amp;DOC_NAME=fat:reuters_annual_source_window.fat&amp;display_string=Audit&amp;DYN_ARGS=TRUE&amp;VAR:ID1=03948310&amp;VAR:RCODE=FSALE&amp;VAR:SDATE=20080699&amp;VAR:FREQ=Y&amp;VAR:RELITEM=RF&amp;VAR:CURRENCY=&amp;VAR:CURRSOURCE=EXSHARE&amp;","VAR:NATFREQ=ANNUAL&amp;VAR:RFIELD=FINALIZED&amp;VAR:DB_TYPE=&amp;VAR:UNITS=M&amp;window=popup&amp;width=450&amp;height=300&amp;START_MAXIMIZED=FALSE"}</definedName>
    <definedName name="_633__FDSAUDITLINK__" hidden="1">{"fdsup://IBCentral/FAT Viewer?action=UPDATE&amp;creator=factset&amp;DOC_NAME=fat:reuters_annual_source_window.fat&amp;display_string=Audit&amp;DYN_ARGS=TRUE&amp;VAR:ID1=03948310&amp;VAR:RCODE=NINC&amp;VAR:SDATE=20080699&amp;VAR:FREQ=Y&amp;VAR:RELITEM=RF&amp;VAR:CURRENCY=&amp;VAR:CURRSOURCE=EXSHARE&amp;V","AR:NATFREQ=ANNUAL&amp;VAR:RFIELD=FINALIZED&amp;VAR:DB_TYPE=&amp;VAR:UNITS=M&amp;window=popup&amp;width=450&amp;height=300&amp;START_MAXIMIZED=FALSE"}</definedName>
    <definedName name="_634__FDSAUDITLINK__" hidden="1">{"fdsup://IBCentral/FAT Viewer?action=UPDATE&amp;creator=factset&amp;DOC_NAME=fat:reuters_annual_source_window.fat&amp;display_string=Audit&amp;DYN_ARGS=TRUE&amp;VAR:ID1=03948310&amp;VAR:RCODE=FEBITDA&amp;VAR:SDATE=20090699&amp;VAR:FREQ=Y&amp;VAR:RELITEM=RF&amp;VAR:CURRENCY=&amp;VAR:CURRSOURCE=EXSHAR","E&amp;VAR:NATFREQ=ANNUAL&amp;VAR:RFIELD=FINALIZED&amp;VAR:DB_TYPE=&amp;VAR:UNITS=M&amp;window=popup&amp;width=450&amp;height=300&amp;START_MAXIMIZED=FALSE"}</definedName>
    <definedName name="_635__FDSAUDITLINK__" hidden="1">{"fdsup://IBCentral/FAT Viewer?action=UPDATE&amp;creator=factset&amp;DOC_NAME=fat:reuters_annual_source_window.fat&amp;display_string=Audit&amp;DYN_ARGS=TRUE&amp;VAR:ID1=B06WVL&amp;VAR:RCODE=STXI&amp;VAR:SDATE=20060799&amp;VAR:FREQ=Y&amp;VAR:RELITEM=RF&amp;VAR:CURRENCY=&amp;VAR:CURRSOURCE=EXSHARE&amp;VAR",":NATFREQ=ANNUAL&amp;VAR:RFIELD=FINALIZED&amp;VAR:DB_TYPE=&amp;VAR:UNITS=M&amp;window=popup&amp;width=450&amp;height=300&amp;START_MAXIMIZED=FALSE"}</definedName>
    <definedName name="_636__FDSAUDITLINK__" hidden="1">{"fdsup://IBCentral/FAT Viewer?action=UPDATE&amp;creator=factset&amp;DOC_NAME=fat:reuters_annual_source_window.fat&amp;display_string=Audit&amp;DYN_ARGS=TRUE&amp;VAR:ID1=B06WVL&amp;VAR:RCODE=FEBIT&amp;VAR:SDATE=20060799&amp;VAR:FREQ=Y&amp;VAR:RELITEM=RF&amp;VAR:CURRENCY=&amp;VAR:CURRSOURCE=EXSHARE&amp;VA","R:NATFREQ=ANNUAL&amp;VAR:RFIELD=FINALIZED&amp;VAR:DB_TYPE=&amp;VAR:UNITS=M&amp;window=popup&amp;width=450&amp;height=300&amp;START_MAXIMIZED=FALSE"}</definedName>
    <definedName name="_637__FDSAUDITLINK__" hidden="1">{"fdsup://IBCentral/FAT Viewer?action=UPDATE&amp;creator=factset&amp;DOC_NAME=fat:reuters_annual_source_window.fat&amp;display_string=Audit&amp;DYN_ARGS=TRUE&amp;VAR:ID1=B06WVL&amp;VAR:RCODE=FDSINVINCTOT&amp;VAR:SDATE=20060799&amp;VAR:FREQ=Y&amp;VAR:RELITEM=RF&amp;VAR:CURRENCY=&amp;VAR:CURRSOURCE=EXS","HARE&amp;VAR:NATFREQ=ANNUAL&amp;VAR:RFIELD=FINALIZED&amp;VAR:DB_TYPE=&amp;VAR:UNITS=M&amp;window=popup&amp;width=450&amp;height=300&amp;START_MAXIMIZED=FALSE"}</definedName>
    <definedName name="_638__FDSAUDITLINK__" hidden="1">{"fdsup://IBCentral/FAT Viewer?action=UPDATE&amp;creator=factset&amp;DOC_NAME=fat:reuters_annual_source_window.fat&amp;display_string=Audit&amp;DYN_ARGS=TRUE&amp;VAR:ID1=03948310&amp;VAR:RCODE=FDSINVINCTOT&amp;VAR:SDATE=20080699&amp;VAR:FREQ=Y&amp;VAR:RELITEM=RF&amp;VAR:CURRENCY=&amp;VAR:CURRSOURCE=E","XSHARE&amp;VAR:NATFREQ=ANNUAL&amp;VAR:RFIELD=FINALIZED&amp;VAR:DB_TYPE=&amp;VAR:UNITS=M&amp;window=popup&amp;width=450&amp;height=300&amp;START_MAXIMIZED=FALSE"}</definedName>
    <definedName name="_639__FDSAUDITLINK__" hidden="1">{"fdsup://IBCentral/FAT Viewer?action=UPDATE&amp;creator=factset&amp;DOC_NAME=fat:reuters_annual_source_window.fat&amp;display_string=Audit&amp;DYN_ARGS=TRUE&amp;VAR:ID1=03948310&amp;VAR:RCODE=NIBX&amp;VAR:SDATE=20080699&amp;VAR:FREQ=Y&amp;VAR:RELITEM=RF&amp;VAR:CURRENCY=&amp;VAR:CURRSOURCE=EXSHARE&amp;V","AR:NATFREQ=ANNUAL&amp;VAR:RFIELD=FINALIZED&amp;VAR:DB_TYPE=&amp;VAR:UNITS=M&amp;window=popup&amp;width=450&amp;height=300&amp;START_MAXIMIZED=FALSE"}</definedName>
    <definedName name="_63Excel_BuiltIn__FilterDatabase_9_1">#REF!</definedName>
    <definedName name="_64__123Graph_DCHART_6" hidden="1">#REF!</definedName>
    <definedName name="_64__FDSAUDITLINK__" hidden="1">{"fdsup://IBCentral/FAT Viewer?action=UPDATE&amp;creator=factset&amp;DOC_NAME=fat:reuters_ytd_source_window.fat&amp;display_string=Audit&amp;DYN_ARGS=TRUE&amp;VAR:ID1=40403010&amp;VAR:RCODE=FDSINTEXPTOTAL&amp;VAR:SDATE=20110399&amp;VAR:FREQ=Quarterly&amp;VAR:RELITEM=RP&amp;VAR:CURRENCY=&amp;VAR:CURRS","OURCE=EXSHARE&amp;VAR:NATFREQ=Quarterly&amp;VAR:RFIELD=FINALIZED&amp;VAR:DB_TYPE=&amp;VAR:UNITS=M&amp;window=popup&amp;width=450&amp;height=300&amp;START_MAXIMIZED=FALSE"}</definedName>
    <definedName name="_64_0PE_REV">#REF!</definedName>
    <definedName name="_640__FDSAUDITLINK__" hidden="1">{"fdsup://IBCentral/FAT Viewer?action=UPDATE&amp;creator=factset&amp;DOC_NAME=fat:reuters_annual_source_window.fat&amp;display_string=Audit&amp;DYN_ARGS=TRUE&amp;VAR:ID1=B06WVL&amp;VAR:RCODE=FSALE&amp;VAR:SDATE=20060799&amp;VAR:FREQ=Y&amp;VAR:RELITEM=RF&amp;VAR:CURRENCY=&amp;VAR:CURRSOURCE=EXSHARE&amp;VA","R:NATFREQ=ANNUAL&amp;VAR:RFIELD=FINALIZED&amp;VAR:DB_TYPE=&amp;VAR:UNITS=M&amp;window=popup&amp;width=450&amp;height=300&amp;START_MAXIMIZED=FALSE"}</definedName>
    <definedName name="_641__FDSAUDITLINK__" hidden="1">{"fdsup://IBCentral/FAT Viewer?action=UPDATE&amp;creator=factset&amp;DOC_NAME=fat:reuters_annual_source_window.fat&amp;display_string=Audit&amp;DYN_ARGS=TRUE&amp;VAR:ID1=B06WVL&amp;VAR:RCODE=NINC&amp;VAR:SDATE=20060799&amp;VAR:FREQ=Y&amp;VAR:RELITEM=RF&amp;VAR:CURRENCY=&amp;VAR:CURRSOURCE=EXSHARE&amp;VAR",":NATFREQ=ANNUAL&amp;VAR:RFIELD=FINALIZED&amp;VAR:DB_TYPE=&amp;VAR:UNITS=M&amp;window=popup&amp;width=450&amp;height=300&amp;START_MAXIMIZED=FALSE"}</definedName>
    <definedName name="_642__FDSAUDITLINK__" hidden="1">{"fdsup://IBCentral/FAT Viewer?action=UPDATE&amp;creator=factset&amp;DOC_NAME=fat:reuters_annual_source_window.fat&amp;display_string=Audit&amp;DYN_ARGS=TRUE&amp;VAR:ID1=B06WVL&amp;VAR:RCODE=SCEX&amp;VAR:SDATE=20060799&amp;VAR:FREQ=Y&amp;VAR:RELITEM=RF&amp;VAR:CURRENCY=&amp;VAR:CURRSOURCE=EXSHARE&amp;VAR",":NATFREQ=ANNUAL&amp;VAR:RFIELD=FINALIZED&amp;VAR:DB_TYPE=&amp;VAR:UNITS=M&amp;window=popup&amp;width=450&amp;height=300&amp;START_MAXIMIZED=FALSE"}</definedName>
    <definedName name="_643__FDSAUDITLINK__" hidden="1">{"fdsup://IBCentral/FAT Viewer?action=UPDATE&amp;creator=factset&amp;DOC_NAME=fat:reuters_annual_source_window.fat&amp;display_string=Audit&amp;DYN_ARGS=TRUE&amp;VAR:ID1=B06WVL&amp;VAR:RCODE=FEBITDA&amp;VAR:SDATE=20060799&amp;VAR:FREQ=Y&amp;VAR:RELITEM=RF&amp;VAR:CURRENCY=&amp;VAR:CURRSOURCE=EXSHARE&amp;","VAR:NATFREQ=ANNUAL&amp;VAR:RFIELD=FINALIZED&amp;VAR:DB_TYPE=&amp;VAR:UNITS=M&amp;window=popup&amp;width=450&amp;height=300&amp;START_MAXIMIZED=FALSE"}</definedName>
    <definedName name="_644__FDSAUDITLINK__" hidden="1">{"fdsup://IBCentral/FAT Viewer?action=UPDATE&amp;creator=factset&amp;DOC_NAME=fat:reuters_annual_source_window.fat&amp;display_string=Audit&amp;DYN_ARGS=TRUE&amp;VAR:ID1=03948310&amp;VAR:RCODE=STXI&amp;VAR:SDATE=20090699&amp;VAR:FREQ=Y&amp;VAR:RELITEM=RF&amp;VAR:CURRENCY=&amp;VAR:CURRSOURCE=EXSHARE&amp;V","AR:NATFREQ=ANNUAL&amp;VAR:RFIELD=FINALIZED&amp;VAR:DB_TYPE=&amp;VAR:UNITS=M&amp;window=popup&amp;width=450&amp;height=300&amp;START_MAXIMIZED=FALSE"}</definedName>
    <definedName name="_645__FDSAUDITLINK__" hidden="1">{"fdsup://IBCentral/FAT Viewer?action=UPDATE&amp;creator=factset&amp;DOC_NAME=fat:reuters_annual_source_window.fat&amp;display_string=Audit&amp;DYN_ARGS=TRUE&amp;VAR:ID1=B06WVL&amp;VAR:RCODE=FEBIT&amp;VAR:SDATE=20081099&amp;VAR:FREQ=Y&amp;VAR:RELITEM=RF&amp;VAR:CURRENCY=&amp;VAR:CURRSOURCE=EXSHARE&amp;VA","R:NATFREQ=ANNUAL&amp;VAR:RFIELD=FINALIZED&amp;VAR:DB_TYPE=&amp;VAR:UNITS=M&amp;window=popup&amp;width=450&amp;height=300&amp;START_MAXIMIZED=FALSE"}</definedName>
    <definedName name="_646__FDSAUDITLINK__" hidden="1">{"fdsup://IBCentral/FAT Viewer?action=UPDATE&amp;creator=factset&amp;DOC_NAME=fat:reuters_annual_source_window.fat&amp;display_string=Audit&amp;DYN_ARGS=TRUE&amp;VAR:ID1=B06WVL&amp;VAR:RCODE=SCEX&amp;VAR:SDATE=20071099&amp;VAR:FREQ=Y&amp;VAR:RELITEM=RF&amp;VAR:CURRENCY=&amp;VAR:CURRSOURCE=EXSHARE&amp;VAR",":NATFREQ=ANNUAL&amp;VAR:RFIELD=FINALIZED&amp;VAR:DB_TYPE=&amp;VAR:UNITS=M&amp;window=popup&amp;width=450&amp;height=300&amp;START_MAXIMIZED=FALSE"}</definedName>
    <definedName name="_647__FDSAUDITLINK__" hidden="1">{"fdsup://IBCentral/FAT Viewer?action=UPDATE&amp;creator=factset&amp;DOC_NAME=fat:reuters_annual_source_window.fat&amp;display_string=Audit&amp;DYN_ARGS=TRUE&amp;VAR:ID1=B06WVL&amp;VAR:RCODE=FEBITDA&amp;VAR:SDATE=20081099&amp;VAR:FREQ=Y&amp;VAR:RELITEM=RF&amp;VAR:CURRENCY=&amp;VAR:CURRSOURCE=EXSHARE&amp;","VAR:NATFREQ=ANNUAL&amp;VAR:RFIELD=FINALIZED&amp;VAR:DB_TYPE=&amp;VAR:UNITS=M&amp;window=popup&amp;width=450&amp;height=300&amp;START_MAXIMIZED=FALSE"}</definedName>
    <definedName name="_648__FDSAUDITLINK__" hidden="1">{"fdsup://IBCentral/FAT Viewer?action=UPDATE&amp;creator=factset&amp;DOC_NAME=fat:reuters_annual_source_window.fat&amp;display_string=Audit&amp;DYN_ARGS=TRUE&amp;VAR:ID1=B06WVL&amp;VAR:RCODE=FEBIT&amp;VAR:SDATE=20071099&amp;VAR:FREQ=Y&amp;VAR:RELITEM=RF&amp;VAR:CURRENCY=&amp;VAR:CURRSOURCE=EXSHARE&amp;VA","R:NATFREQ=ANNUAL&amp;VAR:RFIELD=FINALIZED&amp;VAR:DB_TYPE=&amp;VAR:UNITS=M&amp;window=popup&amp;width=450&amp;height=300&amp;START_MAXIMIZED=FALSE"}</definedName>
    <definedName name="_649__FDSAUDITLINK__" hidden="1">{"fdsup://IBCentral/FAT Viewer?action=UPDATE&amp;creator=factset&amp;DOC_NAME=fat:reuters_annual_source_window.fat&amp;display_string=Audit&amp;DYN_ARGS=TRUE&amp;VAR:ID1=03948310&amp;VAR:RCODE=NINC&amp;VAR:SDATE=20090699&amp;VAR:FREQ=Y&amp;VAR:RELITEM=RF&amp;VAR:CURRENCY=&amp;VAR:CURRSOURCE=EXSHARE&amp;V","AR:NATFREQ=ANNUAL&amp;VAR:RFIELD=FINALIZED&amp;VAR:DB_TYPE=&amp;VAR:UNITS=M&amp;window=popup&amp;width=450&amp;height=300&amp;START_MAXIMIZED=FALSE"}</definedName>
    <definedName name="_64Excel_BuiltIn_Extract_1">#REF!</definedName>
    <definedName name="_64i__PE___RIL_MARKET_PRESE">#REF!</definedName>
    <definedName name="_64i_0PE___RIL_MARKET_PRESE">#REF!</definedName>
    <definedName name="_65__123Graph_DCHART_7" hidden="1">#REF!</definedName>
    <definedName name="_65__FDSAUDITLINK__" hidden="1">{"fdsup://IBCentral/FAT Viewer?action=UPDATE&amp;creator=factset&amp;DOC_NAME=fat:reuters_annual_source_window.fat&amp;display_string=Audit&amp;DYN_ARGS=TRUE&amp;VAR:ID1=45874310&amp;VAR:RCODE=FDSINTINCTOTAL&amp;VAR:SDATE=20101299&amp;VAR:FREQ=Y&amp;VAR:RELITEM=RP&amp;VAR:CURRENCY=&amp;VAR:CURRSOURCE","=EXSHARE&amp;VAR:NATFREQ=ANNUAL&amp;VAR:RFIELD=FINALIZED&amp;VAR:DB_TYPE=&amp;VAR:UNITS=M&amp;window=popup&amp;width=450&amp;height=300&amp;START_MAXIMIZED=FALSE"}</definedName>
    <definedName name="_65_0RE">#REF!</definedName>
    <definedName name="_650__FDSAUDITLINK__" hidden="1">{"fdsup://IBCentral/FAT Viewer?action=UPDATE&amp;creator=factset&amp;DOC_NAME=fat:reuters_annual_source_window.fat&amp;display_string=Audit&amp;DYN_ARGS=TRUE&amp;VAR:ID1=B06WVL&amp;VAR:RCODE=FSALE&amp;VAR:SDATE=20071099&amp;VAR:FREQ=Y&amp;VAR:RELITEM=RF&amp;VAR:CURRENCY=&amp;VAR:CURRSOURCE=EXSHARE&amp;VA","R:NATFREQ=ANNUAL&amp;VAR:RFIELD=FINALIZED&amp;VAR:DB_TYPE=&amp;VAR:UNITS=M&amp;window=popup&amp;width=450&amp;height=300&amp;START_MAXIMIZED=FALSE"}</definedName>
    <definedName name="_651__FDSAUDITLINK__" hidden="1">{"fdsup://IBCentral/FAT Viewer?action=UPDATE&amp;creator=factset&amp;DOC_NAME=fat:reuters_annual_source_window.fat&amp;display_string=Audit&amp;DYN_ARGS=TRUE&amp;VAR:ID1=B06WVL&amp;VAR:RCODE=STXI&amp;VAR:SDATE=20081099&amp;VAR:FREQ=Y&amp;VAR:RELITEM=RF&amp;VAR:CURRENCY=&amp;VAR:CURRSOURCE=EXSHARE&amp;VAR",":NATFREQ=ANNUAL&amp;VAR:RFIELD=FINALIZED&amp;VAR:DB_TYPE=&amp;VAR:UNITS=M&amp;window=popup&amp;width=450&amp;height=300&amp;START_MAXIMIZED=FALSE"}</definedName>
    <definedName name="_652__FDSAUDITLINK__" hidden="1">{"fdsup://IBCentral/FAT Viewer?action=UPDATE&amp;creator=factset&amp;DOC_NAME=fat:reuters_annual_source_window.fat&amp;display_string=Audit&amp;DYN_ARGS=TRUE&amp;VAR:ID1=03948310&amp;VAR:RCODE=NIBX&amp;VAR:SDATE=20090699&amp;VAR:FREQ=Y&amp;VAR:RELITEM=RF&amp;VAR:CURRENCY=&amp;VAR:CURRSOURCE=EXSHARE&amp;V","AR:NATFREQ=ANNUAL&amp;VAR:RFIELD=FINALIZED&amp;VAR:DB_TYPE=&amp;VAR:UNITS=M&amp;window=popup&amp;width=450&amp;height=300&amp;START_MAXIMIZED=FALSE"}</definedName>
    <definedName name="_653__FDSAUDITLINK__" hidden="1">{"fdsup://IBCentral/FAT Viewer?action=UPDATE&amp;creator=factset&amp;DOC_NAME=fat:reuters_annual_source_window.fat&amp;display_string=Audit&amp;DYN_ARGS=TRUE&amp;VAR:ID1=B06WVL&amp;VAR:RCODE=NINC&amp;VAR:SDATE=20071099&amp;VAR:FREQ=Y&amp;VAR:RELITEM=RF&amp;VAR:CURRENCY=&amp;VAR:CURRSOURCE=EXSHARE&amp;VAR",":NATFREQ=ANNUAL&amp;VAR:RFIELD=FINALIZED&amp;VAR:DB_TYPE=&amp;VAR:UNITS=M&amp;window=popup&amp;width=450&amp;height=300&amp;START_MAXIMIZED=FALSE"}</definedName>
    <definedName name="_654__FDSAUDITLINK__" hidden="1">{"fdsup://IBCentral/FAT Viewer?action=UPDATE&amp;creator=factset&amp;DOC_NAME=fat:reuters_annual_source_window.fat&amp;display_string=Audit&amp;DYN_ARGS=TRUE&amp;VAR:ID1=B06WVL&amp;VAR:RCODE=FDSINVINCTOT&amp;VAR:SDATE=20081099&amp;VAR:FREQ=Y&amp;VAR:RELITEM=RF&amp;VAR:CURRENCY=&amp;VAR:CURRSOURCE=EXS","HARE&amp;VAR:NATFREQ=ANNUAL&amp;VAR:RFIELD=FINALIZED&amp;VAR:DB_TYPE=&amp;VAR:UNITS=M&amp;window=popup&amp;width=450&amp;height=300&amp;START_MAXIMIZED=FALSE"}</definedName>
    <definedName name="_655__FDSAUDITLINK__" hidden="1">{"fdsup://IBCentral/FAT Viewer?action=UPDATE&amp;creator=factset&amp;DOC_NAME=fat:reuters_annual_source_window.fat&amp;display_string=Audit&amp;DYN_ARGS=TRUE&amp;VAR:ID1=03948310&amp;VAR:RCODE=FEBIT&amp;VAR:SDATE=20090699&amp;VAR:FREQ=Y&amp;VAR:RELITEM=RF&amp;VAR:CURRENCY=&amp;VAR:CURRSOURCE=EXSHARE&amp;","VAR:NATFREQ=ANNUAL&amp;VAR:RFIELD=FINALIZED&amp;VAR:DB_TYPE=&amp;VAR:UNITS=M&amp;window=popup&amp;width=450&amp;height=300&amp;START_MAXIMIZED=FALSE"}</definedName>
    <definedName name="_656__FDSAUDITLINK__" hidden="1">{"fdsup://IBCentral/FAT Viewer?action=UPDATE&amp;creator=factset&amp;DOC_NAME=fat:reuters_annual_source_window.fat&amp;display_string=Audit&amp;DYN_ARGS=TRUE&amp;VAR:ID1=03948310&amp;VAR:RCODE=SCEX&amp;VAR:SDATE=20090699&amp;VAR:FREQ=Y&amp;VAR:RELITEM=RF&amp;VAR:CURRENCY=&amp;VAR:CURRSOURCE=EXSHARE&amp;V","AR:NATFREQ=ANNUAL&amp;VAR:RFIELD=FINALIZED&amp;VAR:DB_TYPE=&amp;VAR:UNITS=M&amp;window=popup&amp;width=450&amp;height=300&amp;START_MAXIMIZED=FALSE"}</definedName>
    <definedName name="_657__FDSAUDITLINK__" hidden="1">{"fdsup://IBCentral/FAT Viewer?action=UPDATE&amp;creator=factset&amp;DOC_NAME=fat:reuters_annual_source_window.fat&amp;display_string=Audit&amp;DYN_ARGS=TRUE&amp;VAR:ID1=03948310&amp;VAR:RCODE=FDSINVINCTOT&amp;VAR:SDATE=20090699&amp;VAR:FREQ=Y&amp;VAR:RELITEM=RF&amp;VAR:CURRENCY=&amp;VAR:CURRSOURCE=E","XSHARE&amp;VAR:NATFREQ=ANNUAL&amp;VAR:RFIELD=FINALIZED&amp;VAR:DB_TYPE=&amp;VAR:UNITS=M&amp;window=popup&amp;width=450&amp;height=300&amp;START_MAXIMIZED=FALSE"}</definedName>
    <definedName name="_658__FDSAUDITLINK__" hidden="1">{"fdsup://IBCentral/FAT Viewer?action=UPDATE&amp;creator=factset&amp;DOC_NAME=fat:reuters_annual_source_window.fat&amp;display_string=Audit&amp;DYN_ARGS=TRUE&amp;VAR:ID1=B06WVL&amp;VAR:RCODE=FDSINVINCTOT&amp;VAR:SDATE=20071099&amp;VAR:FREQ=Y&amp;VAR:RELITEM=RF&amp;VAR:CURRENCY=&amp;VAR:CURRSOURCE=EXS","HARE&amp;VAR:NATFREQ=ANNUAL&amp;VAR:RFIELD=FINALIZED&amp;VAR:DB_TYPE=&amp;VAR:UNITS=M&amp;window=popup&amp;width=450&amp;height=300&amp;START_MAXIMIZED=FALSE"}</definedName>
    <definedName name="_659__FDSAUDITLINK__" hidden="1">{"fdsup://IBCentral/FAT Viewer?action=UPDATE&amp;creator=factset&amp;DOC_NAME=fat:reuters_annual_source_window.fat&amp;display_string=Audit&amp;DYN_ARGS=TRUE&amp;VAR:ID1=B06WVL&amp;VAR:RCODE=STXI&amp;VAR:SDATE=20071099&amp;VAR:FREQ=Y&amp;VAR:RELITEM=RF&amp;VAR:CURRENCY=&amp;VAR:CURRSOURCE=EXSHARE&amp;VAR",":NATFREQ=ANNUAL&amp;VAR:RFIELD=FINALIZED&amp;VAR:DB_TYPE=&amp;VAR:UNITS=M&amp;window=popup&amp;width=450&amp;height=300&amp;START_MAXIMIZED=FALSE"}</definedName>
    <definedName name="_65Excel_BuiltIn_Print_Area_1">#REF!</definedName>
    <definedName name="_66__123Graph_DCHART_8" hidden="1">#REF!</definedName>
    <definedName name="_66__FDSAUDITLINK__" hidden="1">{"fdsup://IBCentral/FAT Viewer?action=UPDATE&amp;creator=factset&amp;DOC_NAME=fat:reuters_ytd_source_window.fat&amp;display_string=Audit&amp;DYN_ARGS=TRUE&amp;VAR:ID1=05377410&amp;VAR:RCODE=FDSINTINCTOTAL&amp;VAR:SDATE=20110399&amp;VAR:FREQ=Quarterly&amp;VAR:RELITEM=RP&amp;VAR:CURRENCY=&amp;VAR:CURRS","OURCE=EXSHARE&amp;VAR:NATFREQ=Quarterly&amp;VAR:RFIELD=FINALIZED&amp;VAR:DB_TYPE=&amp;VAR:UNITS=M&amp;window=popup&amp;width=450&amp;height=300&amp;START_MAXIMIZED=FALSE"}</definedName>
    <definedName name="_66_6_0PE_BUSINESS___PAST___FUT">#REF!</definedName>
    <definedName name="_66_Excel_BuiltIn_Print_Titles_5_1">(#REF!,#REF!)</definedName>
    <definedName name="_660__FDSAUDITLINK__" hidden="1">{"fdsup://IBCentral/FAT Viewer?action=UPDATE&amp;creator=factset&amp;DOC_NAME=fat:reuters_annual_source_window.fat&amp;display_string=Audit&amp;DYN_ARGS=TRUE&amp;VAR:ID1=B06WVL&amp;VAR:RCODE=FEBITDA&amp;VAR:SDATE=20071099&amp;VAR:FREQ=Y&amp;VAR:RELITEM=RF&amp;VAR:CURRENCY=&amp;VAR:CURRSOURCE=EXSHARE&amp;","VAR:NATFREQ=ANNUAL&amp;VAR:RFIELD=FINALIZED&amp;VAR:DB_TYPE=&amp;VAR:UNITS=M&amp;window=popup&amp;width=450&amp;height=300&amp;START_MAXIMIZED=FALSE"}</definedName>
    <definedName name="_661__FDSAUDITLINK__" hidden="1">{"fdsup://IBCentral/FAT Viewer?action=UPDATE&amp;creator=factset&amp;DOC_NAME=fat:reuters_annual_source_window.fat&amp;display_string=Audit&amp;DYN_ARGS=TRUE&amp;VAR:ID1=B06WVL&amp;VAR:RCODE=NIBX&amp;VAR:SDATE=20081099&amp;VAR:FREQ=Y&amp;VAR:RELITEM=RF&amp;VAR:CURRENCY=&amp;VAR:CURRSOURCE=EXSHARE&amp;VAR",":NATFREQ=ANNUAL&amp;VAR:RFIELD=FINALIZED&amp;VAR:DB_TYPE=&amp;VAR:UNITS=M&amp;window=popup&amp;width=450&amp;height=300&amp;START_MAXIMIZED=FALSE"}</definedName>
    <definedName name="_662__FDSAUDITLINK__" hidden="1">{"fdsup://IBCentral/FAT Viewer?action=UPDATE&amp;creator=factset&amp;DOC_NAME=fat:reuters_annual_source_window.fat&amp;display_string=Audit&amp;DYN_ARGS=TRUE&amp;VAR:ID1=B06WVL&amp;VAR:RCODE=SCEX&amp;VAR:SDATE=20081099&amp;VAR:FREQ=Y&amp;VAR:RELITEM=RF&amp;VAR:CURRENCY=&amp;VAR:CURRSOURCE=EXSHARE&amp;VAR",":NATFREQ=ANNUAL&amp;VAR:RFIELD=FINALIZED&amp;VAR:DB_TYPE=&amp;VAR:UNITS=M&amp;window=popup&amp;width=450&amp;height=300&amp;START_MAXIMIZED=FALSE"}</definedName>
    <definedName name="_663__FDSAUDITLINK__" hidden="1">{"fdsup://IBCentral/FAT Viewer?action=UPDATE&amp;creator=factset&amp;DOC_NAME=fat:reuters_annual_source_window.fat&amp;display_string=Audit&amp;DYN_ARGS=TRUE&amp;VAR:ID1=B06WVL&amp;VAR:RCODE=NIBX&amp;VAR:SDATE=20071099&amp;VAR:FREQ=Y&amp;VAR:RELITEM=RF&amp;VAR:CURRENCY=&amp;VAR:CURRSOURCE=EXSHARE&amp;VAR",":NATFREQ=ANNUAL&amp;VAR:RFIELD=FINALIZED&amp;VAR:DB_TYPE=&amp;VAR:UNITS=M&amp;window=popup&amp;width=450&amp;height=300&amp;START_MAXIMIZED=FALSE"}</definedName>
    <definedName name="_664__FDSAUDITLINK__" hidden="1">{"fdsup://IBCentral/FAT Viewer?action=UPDATE&amp;creator=factset&amp;DOC_NAME=fat:reuters_annual_source_window.fat&amp;display_string=Audit&amp;DYN_ARGS=TRUE&amp;VAR:ID1=03948310&amp;VAR:RCODE=FSALE&amp;VAR:SDATE=20090699&amp;VAR:FREQ=Y&amp;VAR:RELITEM=RF&amp;VAR:CURRENCY=&amp;VAR:CURRSOURCE=EXSHARE&amp;","VAR:NATFREQ=ANNUAL&amp;VAR:RFIELD=FINALIZED&amp;VAR:DB_TYPE=&amp;VAR:UNITS=M&amp;window=popup&amp;width=450&amp;height=300&amp;START_MAXIMIZED=FALSE"}</definedName>
    <definedName name="_665__FDSAUDITLINK__" hidden="1">{"fdsup://IBCentral/FAT Viewer?action=UPDATE&amp;creator=factset&amp;DOC_NAME=fat:reuters_annual_source_window.fat&amp;display_string=Audit&amp;DYN_ARGS=TRUE&amp;VAR:ID1=B06WVL&amp;VAR:RCODE=NINC&amp;VAR:SDATE=20081099&amp;VAR:FREQ=Y&amp;VAR:RELITEM=RF&amp;VAR:CURRENCY=&amp;VAR:CURRSOURCE=EXSHARE&amp;VAR",":NATFREQ=ANNUAL&amp;VAR:RFIELD=FINALIZED&amp;VAR:DB_TYPE=&amp;VAR:UNITS=M&amp;window=popup&amp;width=450&amp;height=300&amp;START_MAXIMIZED=FALSE"}</definedName>
    <definedName name="_666__FDSAUDITLINK__" hidden="1">{"fdsup://IBCentral/FAT Viewer?action=UPDATE&amp;creator=factset&amp;DOC_NAME=fat:reuters_annual_source_window.fat&amp;display_string=Audit&amp;DYN_ARGS=TRUE&amp;VAR:ID1=03948310&amp;VAR:RCODE=FDSINVINCTOT&amp;VAR:SDATE=20100699&amp;VAR:FREQ=Y&amp;VAR:RELITEM=RF&amp;VAR:CURRENCY=&amp;VAR:CURRSOURCE=E","XSHARE&amp;VAR:NATFREQ=ANNUAL&amp;VAR:RFIELD=FINALIZED&amp;VAR:DB_TYPE=&amp;VAR:UNITS=M&amp;window=popup&amp;width=450&amp;height=300&amp;START_MAXIMIZED=FALSE"}</definedName>
    <definedName name="_667__FDSAUDITLINK__" hidden="1">{"fdsup://IBCentral/FAT Viewer?action=UPDATE&amp;creator=factset&amp;DOC_NAME=fat:reuters_annual_source_window.fat&amp;display_string=Audit&amp;DYN_ARGS=TRUE&amp;VAR:ID1=B06WVL&amp;VAR:RCODE=NIBX&amp;VAR:SDATE=20091099&amp;VAR:FREQ=Y&amp;VAR:RELITEM=RF&amp;VAR:CURRENCY=&amp;VAR:CURRSOURCE=EXSHARE&amp;VAR",":NATFREQ=ANNUAL&amp;VAR:RFIELD=FINALIZED&amp;VAR:DB_TYPE=&amp;VAR:UNITS=M&amp;window=popup&amp;width=450&amp;height=300&amp;START_MAXIMIZED=FALSE"}</definedName>
    <definedName name="_668__FDSAUDITLINK__" hidden="1">{"fdsup://IBCentral/FAT Viewer?action=UPDATE&amp;creator=factset&amp;DOC_NAME=fat:reuters_annual_source_window.fat&amp;display_string=Audit&amp;DYN_ARGS=TRUE&amp;VAR:ID1=B06WVL&amp;VAR:RCODE=FSALE&amp;VAR:SDATE=20081099&amp;VAR:FREQ=Y&amp;VAR:RELITEM=RF&amp;VAR:CURRENCY=&amp;VAR:CURRSOURCE=EXSHARE&amp;VA","R:NATFREQ=ANNUAL&amp;VAR:RFIELD=FINALIZED&amp;VAR:DB_TYPE=&amp;VAR:UNITS=M&amp;window=popup&amp;width=450&amp;height=300&amp;START_MAXIMIZED=FALSE"}</definedName>
    <definedName name="_669__FDSAUDITLINK__" hidden="1">{"fdsup://IBCentral/FAT Viewer?action=UPDATE&amp;creator=factset&amp;DOC_NAME=fat:reuters_annual_source_window.fat&amp;display_string=Audit&amp;DYN_ARGS=TRUE&amp;VAR:ID1=B06WVL&amp;VAR:RCODE=FDSINVINCTOT&amp;VAR:SDATE=20091099&amp;VAR:FREQ=Y&amp;VAR:RELITEM=RF&amp;VAR:CURRENCY=&amp;VAR:CURRSOURCE=EXS","HARE&amp;VAR:NATFREQ=ANNUAL&amp;VAR:RFIELD=FINALIZED&amp;VAR:DB_TYPE=&amp;VAR:UNITS=M&amp;window=popup&amp;width=450&amp;height=300&amp;START_MAXIMIZED=FALSE"}</definedName>
    <definedName name="_66Excel_BuiltIn_Print_Area_1_1">#REF!</definedName>
    <definedName name="_66INDUSTRY_MATERIAL_BALA">#REF!</definedName>
    <definedName name="_66ø_0PE_CUSTOMER_SPR">#REF!</definedName>
    <definedName name="_67__123Graph_DCHART_9" hidden="1">#REF!</definedName>
    <definedName name="_67__FDSAUDITLINK__" hidden="1">{"fdsup://IBCentral/FAT Viewer?action=UPDATE&amp;creator=factset&amp;DOC_NAME=fat:reuters_ytd_source_window.fat&amp;display_string=Audit&amp;DYN_ARGS=TRUE&amp;VAR:ID1=526076&amp;VAR:RCODE=FDSINTINCTOTAL&amp;VAR:SDATE=20101299&amp;VAR:FREQ=Quarterly&amp;VAR:RELITEM=RP&amp;VAR:CURRENCY=&amp;VAR:CURRSOU","RCE=EXSHARE&amp;VAR:NATFREQ=Quarterly&amp;VAR:RFIELD=FINALIZED&amp;VAR:DB_TYPE=&amp;VAR:UNITS=M&amp;window=popup&amp;width=450&amp;height=300&amp;START_MAXIMIZED=FALSE"}</definedName>
    <definedName name="_67_6__PE_BUSINESS___PAST___FUT">#REF!</definedName>
    <definedName name="_670__FDSAUDITLINK__" hidden="1">{"fdsup://IBCentral/FAT Viewer?action=UPDATE&amp;creator=factset&amp;DOC_NAME=fat:reuters_annual_source_window.fat&amp;display_string=Audit&amp;DYN_ARGS=TRUE&amp;VAR:ID1=03948310&amp;VAR:RCODE=FEBIT&amp;VAR:SDATE=20100699&amp;VAR:FREQ=Y&amp;VAR:RELITEM=RF&amp;VAR:CURRENCY=&amp;VAR:CURRSOURCE=EXSHARE&amp;","VAR:NATFREQ=ANNUAL&amp;VAR:RFIELD=FINALIZED&amp;VAR:DB_TYPE=&amp;VAR:UNITS=M&amp;window=popup&amp;width=450&amp;height=300&amp;START_MAXIMIZED=FALSE"}</definedName>
    <definedName name="_671__FDSAUDITLINK__" hidden="1">{"fdsup://IBCentral/FAT Viewer?action=UPDATE&amp;creator=factset&amp;DOC_NAME=fat:reuters_qtrly_source_window.fat&amp;display_string=Audit&amp;DYN_ARGS=TRUE&amp;VAR:ID1=03948310&amp;VAR:RCODE=LLTD&amp;VAR:SDATE=20110399&amp;VAR:FREQ=Quarterly&amp;VAR:RELITEM=RP&amp;VAR:CURRENCY=&amp;VAR:CURRSOURCE=EX","SHARE&amp;VAR:NATFREQ=QUARTERLY&amp;VAR:RFIELD=FINALIZED&amp;VAR:DB_TYPE=&amp;VAR:UNITS=M&amp;window=popup&amp;width=450&amp;height=300&amp;START_MAXIMIZED=FALSE"}</definedName>
    <definedName name="_672__FDSAUDITLINK__" hidden="1">{"fdsup://IBCentral/FAT Viewer?action=UPDATE&amp;creator=factset&amp;DOC_NAME=fat:reuters_annual_source_window.fat&amp;display_string=Audit&amp;DYN_ARGS=TRUE&amp;VAR:ID1=03948310&amp;VAR:RCODE=NINC&amp;VAR:SDATE=20100699&amp;VAR:FREQ=Y&amp;VAR:RELITEM=RF&amp;VAR:CURRENCY=&amp;VAR:CURRSOURCE=EXSHARE&amp;V","AR:NATFREQ=ANNUAL&amp;VAR:RFIELD=FINALIZED&amp;VAR:DB_TYPE=&amp;VAR:UNITS=M&amp;window=popup&amp;width=450&amp;height=300&amp;START_MAXIMIZED=FALSE"}</definedName>
    <definedName name="_673__FDSAUDITLINK__" hidden="1">{"fdsup://IBCentral/FAT Viewer?action=UPDATE&amp;creator=factset&amp;DOC_NAME=fat:reuters_annual_source_window.fat&amp;display_string=Audit&amp;DYN_ARGS=TRUE&amp;VAR:ID1=B06WVL&amp;VAR:RCODE=SCEX&amp;VAR:SDATE=20091099&amp;VAR:FREQ=Y&amp;VAR:RELITEM=RF&amp;VAR:CURRENCY=&amp;VAR:CURRSOURCE=EXSHARE&amp;VAR",":NATFREQ=ANNUAL&amp;VAR:RFIELD=FINALIZED&amp;VAR:DB_TYPE=&amp;VAR:UNITS=M&amp;window=popup&amp;width=450&amp;height=300&amp;START_MAXIMIZED=FALSE"}</definedName>
    <definedName name="_674__FDSAUDITLINK__" hidden="1">{"fdsup://IBCentral/FAT Viewer?action=UPDATE&amp;creator=factset&amp;DOC_NAME=fat:reuters_annual_source_window.fat&amp;display_string=Audit&amp;DYN_ARGS=TRUE&amp;VAR:ID1=03948310&amp;VAR:RCODE=SCEX&amp;VAR:SDATE=20100699&amp;VAR:FREQ=Y&amp;VAR:RELITEM=RF&amp;VAR:CURRENCY=&amp;VAR:CURRSOURCE=EXSHARE&amp;V","AR:NATFREQ=ANNUAL&amp;VAR:RFIELD=FINALIZED&amp;VAR:DB_TYPE=&amp;VAR:UNITS=M&amp;window=popup&amp;width=450&amp;height=300&amp;START_MAXIMIZED=FALSE"}</definedName>
    <definedName name="_675__FDSAUDITLINK__" hidden="1">{"fdsup://IBCentral/FAT Viewer?action=UPDATE&amp;creator=factset&amp;DOC_NAME=fat:reuters_annual_source_window.fat&amp;display_string=Audit&amp;DYN_ARGS=TRUE&amp;VAR:ID1=B06WVL&amp;VAR:RCODE=FEBITDA&amp;VAR:SDATE=20091099&amp;VAR:FREQ=Y&amp;VAR:RELITEM=RF&amp;VAR:CURRENCY=&amp;VAR:CURRSOURCE=EXSHARE&amp;","VAR:NATFREQ=ANNUAL&amp;VAR:RFIELD=FINALIZED&amp;VAR:DB_TYPE=&amp;VAR:UNITS=M&amp;window=popup&amp;width=450&amp;height=300&amp;START_MAXIMIZED=FALSE"}</definedName>
    <definedName name="_676__FDSAUDITLINK__" hidden="1">{"fdsup://IBCentral/FAT Viewer?action=UPDATE&amp;creator=factset&amp;DOC_NAME=fat:reuters_qtrly_source_window.fat&amp;display_string=Audit&amp;DYN_ARGS=TRUE&amp;VAR:ID1=03948310&amp;VAR:RCODE=LMIN&amp;VAR:SDATE=20110399&amp;VAR:FREQ=Quarterly&amp;VAR:RELITEM=RP&amp;VAR:CURRENCY=&amp;VAR:CURRSOURCE=EX","SHARE&amp;VAR:NATFREQ=QUARTERLY&amp;VAR:RFIELD=FINALIZED&amp;VAR:DB_TYPE=&amp;VAR:UNITS=M&amp;window=popup&amp;width=450&amp;height=300&amp;START_MAXIMIZED=FALSE"}</definedName>
    <definedName name="_677__FDSAUDITLINK__" hidden="1">{"fdsup://IBCentral/FAT Viewer?action=UPDATE&amp;creator=factset&amp;DOC_NAME=fat:reuters_annual_source_window.fat&amp;display_string=Audit&amp;DYN_ARGS=TRUE&amp;VAR:ID1=03948310&amp;VAR:RCODE=NIBX&amp;VAR:SDATE=20100699&amp;VAR:FREQ=Y&amp;VAR:RELITEM=RF&amp;VAR:CURRENCY=&amp;VAR:CURRSOURCE=EXSHARE&amp;V","AR:NATFREQ=ANNUAL&amp;VAR:RFIELD=FINALIZED&amp;VAR:DB_TYPE=&amp;VAR:UNITS=M&amp;window=popup&amp;width=450&amp;height=300&amp;START_MAXIMIZED=FALSE"}</definedName>
    <definedName name="_678__FDSAUDITLINK__" hidden="1">{"fdsup://IBCentral/FAT Viewer?action=UPDATE&amp;creator=factset&amp;DOC_NAME=fat:reuters_annual_source_window.fat&amp;display_string=Audit&amp;DYN_ARGS=TRUE&amp;VAR:ID1=03948310&amp;VAR:RCODE=FDSPFDSTKTOTAL&amp;VAR:SDATE=20100699&amp;VAR:FREQ=Y&amp;VAR:RELITEM=RP&amp;VAR:CURRENCY=&amp;VAR:CURRSOURCE","=EXSHARE&amp;VAR:NATFREQ=ANNUAL&amp;VAR:RFIELD=FINALIZED&amp;VAR:DB_TYPE=&amp;VAR:UNITS=M&amp;window=popup&amp;width=450&amp;height=300&amp;START_MAXIMIZED=FALSE"}</definedName>
    <definedName name="_679__FDSAUDITLINK__" hidden="1">{"fdsup://IBCentral/FAT Viewer?action=UPDATE&amp;creator=factset&amp;DOC_NAME=fat:reuters_annual_source_window.fat&amp;display_string=Audit&amp;DYN_ARGS=TRUE&amp;VAR:ID1=03948310&amp;VAR:RCODE=STXI&amp;VAR:SDATE=20100699&amp;VAR:FREQ=Y&amp;VAR:RELITEM=RF&amp;VAR:CURRENCY=&amp;VAR:CURRSOURCE=EXSHARE&amp;V","AR:NATFREQ=ANNUAL&amp;VAR:RFIELD=FINALIZED&amp;VAR:DB_TYPE=&amp;VAR:UNITS=M&amp;window=popup&amp;width=450&amp;height=300&amp;START_MAXIMIZED=FALSE"}</definedName>
    <definedName name="_67Excel_BuiltIn_Print_Area_1_2">(#REF!,#REF!)</definedName>
    <definedName name="_68__123Graph_E_Chart_1A" hidden="1">#REF!</definedName>
    <definedName name="_68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7_0End_Use_Analysis___Sectoral_Gro">#REF!</definedName>
    <definedName name="_680__FDSAUDITLINK__" hidden="1">{"fdsup://IBCentral/FAT Viewer?action=UPDATE&amp;creator=factset&amp;DOC_NAME=fat:reuters_qtrly_source_window.fat&amp;display_string=Audit&amp;DYN_ARGS=TRUE&amp;VAR:ID1=03948310&amp;VAR:RCODE=DSTT&amp;VAR:SDATE=20110399&amp;VAR:FREQ=Quarterly&amp;VAR:RELITEM=RP&amp;VAR:CURRENCY=&amp;VAR:CURRSOURCE=EX","SHARE&amp;VAR:NATFREQ=QUARTERLY&amp;VAR:RFIELD=FINALIZED&amp;VAR:DB_TYPE=&amp;VAR:UNITS=M&amp;window=popup&amp;width=450&amp;height=300&amp;START_MAXIMIZED=FALSE"}</definedName>
    <definedName name="_681__FDSAUDITLINK__" hidden="1">{"fdsup://directions/FAT Viewer?action=UPDATE&amp;creator=factset&amp;DYN_ARGS=TRUE&amp;DOC_NAME=FAT:FQL_AUDITING_CLIENT_TEMPLATE.FAT&amp;display_string=Audit&amp;VAR:KEY=BGFEHATUFU&amp;VAR:QUERY=UkdGX0lOVEFORyhBTk4sNDA2MzMsLCwsLCxOT0FVRElUKQ==&amp;WINDOW=FIRST_POPUP&amp;HEIGHT=450&amp;WIDTH=","450&amp;START_MAXIMIZED=FALSE&amp;VAR:CALENDAR=FIVEDAY&amp;VAR:SYMBOL=03948310&amp;VAR:INDEX=0"}</definedName>
    <definedName name="_682__FDSAUDITLINK__" hidden="1">{"fdsup://IBCentral/FAT Viewer?action=UPDATE&amp;creator=factset&amp;DOC_NAME=fat:reuters_annual_source_window.fat&amp;display_string=Audit&amp;DYN_ARGS=TRUE&amp;VAR:ID1=03948310&amp;VAR:RCODE=FSALE&amp;VAR:SDATE=20100699&amp;VAR:FREQ=Y&amp;VAR:RELITEM=RF&amp;VAR:CURRENCY=&amp;VAR:CURRSOURCE=EXSHARE&amp;","VAR:NATFREQ=ANNUAL&amp;VAR:RFIELD=FINALIZED&amp;VAR:DB_TYPE=&amp;VAR:UNITS=M&amp;window=popup&amp;width=450&amp;height=300&amp;START_MAXIMIZED=FALSE"}</definedName>
    <definedName name="_683__FDSAUDITLINK__" hidden="1">{"fdsup://IBCentral/FAT Viewer?action=UPDATE&amp;creator=factset&amp;DOC_NAME=fat:reuters_annual_source_window.fat&amp;display_string=Audit&amp;DYN_ARGS=TRUE&amp;VAR:ID1=03948310&amp;VAR:RCODE=FEBITDA&amp;VAR:SDATE=20100699&amp;VAR:FREQ=Y&amp;VAR:RELITEM=RF&amp;VAR:CURRENCY=&amp;VAR:CURRSOURCE=EXSHAR","E&amp;VAR:NATFREQ=ANNUAL&amp;VAR:RFIELD=FINALIZED&amp;VAR:DB_TYPE=&amp;VAR:UNITS=M&amp;window=popup&amp;width=450&amp;height=300&amp;START_MAXIMIZED=FALSE"}</definedName>
    <definedName name="_684__FDSAUDITLINK__" hidden="1">{"fdsup://IBCentral/FAT Viewer?action=UPDATE&amp;creator=factset&amp;DOC_NAME=fat:reuters_annual_source_window.fat&amp;display_string=Audit&amp;DYN_ARGS=TRUE&amp;VAR:ID1=03948310&amp;VAR:RCODE=LPBL&amp;VAR:SDATE=20100699&amp;VAR:FREQ=Y&amp;VAR:RELITEM=RP&amp;VAR:CURRENCY=&amp;VAR:CURRSOURCE=EXSHARE&amp;V","AR:NATFREQ=ANNUAL&amp;VAR:RFIELD=FINALIZED&amp;VAR:DB_TYPE=&amp;VAR:UNITS=M&amp;window=popup&amp;width=450&amp;height=300&amp;START_MAXIMIZED=FALSE"}</definedName>
    <definedName name="_685__FDSAUDITLINK__" hidden="1">{"fdsup://IBCentral/FAT Viewer?action=UPDATE&amp;creator=factset&amp;DOC_NAME=fat:reuters_annual_source_window.fat&amp;display_string=Audit&amp;DYN_ARGS=TRUE&amp;VAR:ID1=B06WVL&amp;VAR:RCODE=STXI&amp;VAR:SDATE=20091099&amp;VAR:FREQ=Y&amp;VAR:RELITEM=RF&amp;VAR:CURRENCY=&amp;VAR:CURRSOURCE=EXSHARE&amp;VAR",":NATFREQ=ANNUAL&amp;VAR:RFIELD=FINALIZED&amp;VAR:DB_TYPE=&amp;VAR:UNITS=M&amp;window=popup&amp;width=450&amp;height=300&amp;START_MAXIMIZED=FALSE"}</definedName>
    <definedName name="_686__FDSAUDITLINK__" hidden="1">{"fdsup://IBCentral/FAT Viewer?action=UPDATE&amp;creator=factset&amp;DOC_NAME=fat:reuters_annual_source_window.fat&amp;display_string=Audit&amp;DYN_ARGS=TRUE&amp;VAR:ID1=B06WVL&amp;VAR:RCODE=NINC&amp;VAR:SDATE=20091099&amp;VAR:FREQ=Y&amp;VAR:RELITEM=RF&amp;VAR:CURRENCY=&amp;VAR:CURRSOURCE=EXSHARE&amp;VAR",":NATFREQ=ANNUAL&amp;VAR:RFIELD=FINALIZED&amp;VAR:DB_TYPE=&amp;VAR:UNITS=M&amp;window=popup&amp;width=450&amp;height=300&amp;START_MAXIMIZED=FALSE"}</definedName>
    <definedName name="_687__FDSAUDITLINK__" hidden="1">{"fdsup://IBCentral/FAT Viewer?action=UPDATE&amp;creator=factset&amp;DOC_NAME=fat:reuters_qtrly_source_window.fat&amp;display_string=Audit&amp;DYN_ARGS=TRUE&amp;VAR:ID1=03948310&amp;VAR:RCODE=AEQI&amp;VAR:SDATE=20110399&amp;VAR:FREQ=Quarterly&amp;VAR:RELITEM=RP&amp;VAR:CURRENCY=&amp;VAR:CURRSOURCE=EX","SHARE&amp;VAR:NATFREQ=QUARTERLY&amp;VAR:RFIELD=FINALIZED&amp;VAR:DB_TYPE=&amp;VAR:UNITS=M&amp;window=popup&amp;width=450&amp;height=300&amp;START_MAXIMIZED=FALSE"}</definedName>
    <definedName name="_688__FDSAUDITLINK__" hidden="1">{"fdsup://IBCentral/FAT Viewer?action=UPDATE&amp;creator=factset&amp;DOC_NAME=fat:reuters_annual_source_window.fat&amp;display_string=Audit&amp;DYN_ARGS=TRUE&amp;VAR:ID1=B06WVL&amp;VAR:RCODE=FSALE&amp;VAR:SDATE=20091099&amp;VAR:FREQ=Y&amp;VAR:RELITEM=RF&amp;VAR:CURRENCY=&amp;VAR:CURRSOURCE=EXSHARE&amp;VA","R:NATFREQ=ANNUAL&amp;VAR:RFIELD=FINALIZED&amp;VAR:DB_TYPE=&amp;VAR:UNITS=M&amp;window=popup&amp;width=450&amp;height=300&amp;START_MAXIMIZED=FALSE"}</definedName>
    <definedName name="_689__FDSAUDITLINK__" hidden="1">{"fdsup://IBCentral/FAT Viewer?action=UPDATE&amp;creator=factset&amp;DOC_NAME=fat:reuters_annual_source_window.fat&amp;display_string=Audit&amp;DYN_ARGS=TRUE&amp;VAR:ID1=B06WVL&amp;VAR:RCODE=FEBIT&amp;VAR:SDATE=20091099&amp;VAR:FREQ=Y&amp;VAR:RELITEM=RF&amp;VAR:CURRENCY=&amp;VAR:CURRSOURCE=EXSHARE&amp;VA","R:NATFREQ=ANNUAL&amp;VAR:RFIELD=FINALIZED&amp;VAR:DB_TYPE=&amp;VAR:UNITS=M&amp;window=popup&amp;width=450&amp;height=300&amp;START_MAXIMIZED=FALSE"}</definedName>
    <definedName name="_68Excel_BuiltIn_Print_Area_1_3">#REF!</definedName>
    <definedName name="_68i__PE___RIL_MARKET_PRESE">#REF!</definedName>
    <definedName name="_68ø__PE_CUSTOMER_SPR">#REF!</definedName>
    <definedName name="_69__123Graph_ECHART_10" hidden="1">#REF!</definedName>
    <definedName name="_69__FDSAUDITLINK__" hidden="1">{"fdsup://IBCentral/FAT Viewer?action=UPDATE&amp;creator=factset&amp;DOC_NAME=fat:reuters_ytd_source_window.fat&amp;display_string=Audit&amp;DYN_ARGS=TRUE&amp;VAR:ID1=005367&amp;VAR:RCODE=FDSINTEXPTOTAL&amp;VAR:SDATE=20110199&amp;VAR:FREQ=Quarterly&amp;VAR:RELITEM=RP&amp;VAR:CURRENCY=&amp;VAR:CURRSOU","RCE=EXSHARE&amp;VAR:NATFREQ=Quarterly&amp;VAR:RFIELD=FINALIZED&amp;VAR:DB_TYPE=&amp;VAR:UNITS=M&amp;window=popup&amp;width=450&amp;height=300&amp;START_MAXIMIZED=FALSE"}</definedName>
    <definedName name="_69_7__End_Use_Analysis___Sectoral_Gro">#REF!</definedName>
    <definedName name="_690__FDSAUDITLINK__" hidden="1">{"fdsup://IBCentral/FAT Viewer?action=UPDATE&amp;creator=factset&amp;DOC_NAME=fat:reuters_qtrly_source_window.fat&amp;display_string=Audit&amp;DYN_ARGS=TRUE&amp;VAR:ID1=03948310&amp;VAR:RCODE=SCSI&amp;VAR:SDATE=20110399&amp;VAR:FREQ=Quarterly&amp;VAR:RELITEM=RP&amp;VAR:CURRENCY=&amp;VAR:CURRSOURCE=EX","SHARE&amp;VAR:NATFREQ=QUARTERLY&amp;VAR:RFIELD=FINALIZED&amp;VAR:DB_TYPE=&amp;VAR:UNITS=M&amp;window=popup&amp;width=450&amp;height=300&amp;START_MAXIMIZED=FALSE"}</definedName>
    <definedName name="_691__FDSAUDITLINK__" hidden="1">{"fdsup://IBCentral/FAT Viewer?action=UPDATE&amp;creator=factset&amp;DOC_NAME=fat:reuters_annual_source_window.fat&amp;display_string=Audit&amp;DYN_ARGS=TRUE&amp;VAR:ID1=B06WVL&amp;VAR:RCODE=STXI&amp;VAR:SDATE=20101099&amp;VAR:FREQ=Y&amp;VAR:RELITEM=RF&amp;VAR:CURRENCY=&amp;VAR:CURRSOURCE=EXSHARE&amp;VAR",":NATFREQ=ANNUAL&amp;VAR:RFIELD=FINALIZED&amp;VAR:DB_TYPE=&amp;VAR:UNITS=M&amp;window=popup&amp;width=450&amp;height=300&amp;START_MAXIMIZED=FALSE"}</definedName>
    <definedName name="_692__FDSAUDITLINK__" hidden="1">{"fdsup://IBCentral/FAT Viewer?action=UPDATE&amp;creator=factset&amp;DOC_NAME=fat:reuters_annual_source_window.fat&amp;display_string=Audit&amp;DYN_ARGS=TRUE&amp;VAR:ID1=B06WVL&amp;VAR:RCODE=NIBX&amp;VAR:SDATE=20101099&amp;VAR:FREQ=Y&amp;VAR:RELITEM=RF&amp;VAR:CURRENCY=&amp;VAR:CURRSOURCE=EXSHARE&amp;VAR",":NATFREQ=ANNUAL&amp;VAR:RFIELD=FINALIZED&amp;VAR:DB_TYPE=&amp;VAR:UNITS=M&amp;window=popup&amp;width=450&amp;height=300&amp;START_MAXIMIZED=FALSE"}</definedName>
    <definedName name="_693__FDSAUDITLINK__" hidden="1">{"fdsup://IBCentral/FAT Viewer?action=UPDATE&amp;creator=factset&amp;DOC_NAME=fat:reuters_annual_source_window.fat&amp;display_string=Audit&amp;DYN_ARGS=TRUE&amp;VAR:ID1=B06WVL&amp;VAR:RCODE=SCEX&amp;VAR:SDATE=20101099&amp;VAR:FREQ=Y&amp;VAR:RELITEM=RF&amp;VAR:CURRENCY=&amp;VAR:CURRSOURCE=EXSHARE&amp;VAR",":NATFREQ=ANNUAL&amp;VAR:RFIELD=FINALIZED&amp;VAR:DB_TYPE=&amp;VAR:UNITS=M&amp;window=popup&amp;width=450&amp;height=300&amp;START_MAXIMIZED=FALSE"}</definedName>
    <definedName name="_694__FDSAUDITLINK__" hidden="1">{"fdsup://IBCentral/FAT Viewer?action=UPDATE&amp;creator=factset&amp;DOC_NAME=fat:reuters_annual_source_window.fat&amp;display_string=Audit&amp;DYN_ARGS=TRUE&amp;VAR:ID1=B06WVL&amp;VAR:RCODE=FEBITDA&amp;VAR:SDATE=20101099&amp;VAR:FREQ=Y&amp;VAR:RELITEM=RF&amp;VAR:CURRENCY=&amp;VAR:CURRSOURCE=EXSHARE&amp;","VAR:NATFREQ=ANNUAL&amp;VAR:RFIELD=FINALIZED&amp;VAR:DB_TYPE=&amp;VAR:UNITS=M&amp;window=popup&amp;width=450&amp;height=300&amp;START_MAXIMIZED=FALSE"}</definedName>
    <definedName name="_695__FDSAUDITLINK__" hidden="1">{"fdsup://IBCentral/FAT Viewer?action=UPDATE&amp;creator=factset&amp;DOC_NAME=fat:reuters_annual_source_window.fat&amp;display_string=Audit&amp;DYN_ARGS=TRUE&amp;VAR:ID1=B06WVL&amp;VAR:RCODE=FEBIT&amp;VAR:SDATE=20101099&amp;VAR:FREQ=Y&amp;VAR:RELITEM=RF&amp;VAR:CURRENCY=&amp;VAR:CURRSOURCE=EXSHARE&amp;VA","R:NATFREQ=ANNUAL&amp;VAR:RFIELD=FINALIZED&amp;VAR:DB_TYPE=&amp;VAR:UNITS=M&amp;window=popup&amp;width=450&amp;height=300&amp;START_MAXIMIZED=FALSE"}</definedName>
    <definedName name="_696__FDSAUDITLINK__" hidden="1">{"fdsup://IBCentral/FAT Viewer?action=UPDATE&amp;creator=factset&amp;DOC_NAME=fat:reuters_annual_source_window.fat&amp;display_string=Audit&amp;DYN_ARGS=TRUE&amp;VAR:ID1=B06WVL&amp;VAR:RCODE=FDSINVINCTOT&amp;VAR:SDATE=20101099&amp;VAR:FREQ=Y&amp;VAR:RELITEM=RF&amp;VAR:CURRENCY=&amp;VAR:CURRSOURCE=EXS","HARE&amp;VAR:NATFREQ=ANNUAL&amp;VAR:RFIELD=FINALIZED&amp;VAR:DB_TYPE=&amp;VAR:UNITS=M&amp;window=popup&amp;width=450&amp;height=300&amp;START_MAXIMIZED=FALSE"}</definedName>
    <definedName name="_697__FDSAUDITLINK__" hidden="1">{"fdsup://IBCentral/FAT Viewer?action=UPDATE&amp;creator=factset&amp;DOC_NAME=fat:reuters_annual_source_window.fat&amp;display_string=Audit&amp;DYN_ARGS=TRUE&amp;VAR:ID1=B06WVL&amp;VAR:RCODE=FSALE&amp;VAR:SDATE=20101099&amp;VAR:FREQ=Y&amp;VAR:RELITEM=RF&amp;VAR:CURRENCY=&amp;VAR:CURRSOURCE=EXSHARE&amp;VA","R:NATFREQ=ANNUAL&amp;VAR:RFIELD=FINALIZED&amp;VAR:DB_TYPE=&amp;VAR:UNITS=M&amp;window=popup&amp;width=450&amp;height=300&amp;START_MAXIMIZED=FALSE"}</definedName>
    <definedName name="_698__FDSAUDITLINK__" hidden="1">{"fdsup://IBCentral/FAT Viewer?action=UPDATE&amp;creator=factset&amp;DOC_NAME=fat:reuters_annual_source_window.fat&amp;display_string=Audit&amp;DYN_ARGS=TRUE&amp;VAR:ID1=B06WVL&amp;VAR:RCODE=NINC&amp;VAR:SDATE=20101099&amp;VAR:FREQ=Y&amp;VAR:RELITEM=RF&amp;VAR:CURRENCY=&amp;VAR:CURRSOURCE=EXSHARE&amp;VAR",":NATFREQ=ANNUAL&amp;VAR:RFIELD=FINALIZED&amp;VAR:DB_TYPE=&amp;VAR:UNITS=M&amp;window=popup&amp;width=450&amp;height=300&amp;START_MAXIMIZED=FALSE"}</definedName>
    <definedName name="_699__FDSAUDITLINK__" hidden="1">{"fdsup://IBCentral/FAT Viewer?action=UPDATE&amp;creator=factset&amp;DOC_NAME=fat:reuters_qtrly_source_window.fat&amp;display_string=Audit&amp;DYN_ARGS=TRUE&amp;VAR:ID1=B06WVL&amp;VAR:RCODE=SCSI&amp;VAR:SDATE=20110199&amp;VAR:FREQ=Quarterly&amp;VAR:RELITEM=RP&amp;VAR:CURRENCY=&amp;VAR:CURRSOURCE=EXSH","ARE&amp;VAR:NATFREQ=QUARTERLY&amp;VAR:RFIELD=FINALIZED&amp;VAR:DB_TYPE=&amp;VAR:UNITS=M&amp;window=popup&amp;width=450&amp;height=300&amp;START_MAXIMIZED=FALSE"}</definedName>
    <definedName name="_69Excel_BuiltIn_Print_Area_1_4">#REF!</definedName>
    <definedName name="_6BSTGT">#REF!</definedName>
    <definedName name="_6Excel_BuiltIn_Database_1">NA()</definedName>
    <definedName name="_6P">#REF!</definedName>
    <definedName name="_6Quarterwise_Collection_P">#REF!</definedName>
    <definedName name="_6Quarterwise_Export_P">#REF!</definedName>
    <definedName name="_7____0QUARTERWISE_PERFORMA">#REF!</definedName>
    <definedName name="_7__123Graph_ACHART_26" hidden="1">#REF!</definedName>
    <definedName name="_7__123Graph_BCHART_4" hidden="1">#REF!</definedName>
    <definedName name="_7__BuiltIn_AutoFilter___1___0_1_1">#N/A</definedName>
    <definedName name="_7__FDSAUDITLINK__" hidden="1">{"fdsup://IBCentral/FAT Viewer?action=UPDATE&amp;creator=factset&amp;DOC_NAME=fat:reuters_ytd_source_window.fat&amp;display_string=Audit&amp;DYN_ARGS=TRUE&amp;VAR:ID1=B08K3S&amp;VAR:RCODE=FDSINTINCTOTAL&amp;VAR:SDATE=20091299&amp;VAR:FREQ=Quarterly&amp;VAR:RELITEM=RP&amp;VAR:CURRENCY=&amp;VAR:CURRSOU","RCE=EXSHARE&amp;VAR:NATFREQ=Quarterly&amp;VAR:RFIELD=FINALIZED&amp;VAR:DB_TYPE=&amp;VAR:UNITS=M&amp;window=popup&amp;width=450&amp;height=300&amp;START_MAXIMIZED=FALSE"}</definedName>
    <definedName name="_7_0HData_Segm_spli">#REF!</definedName>
    <definedName name="_7_0PROFITABILITY__Q3_1996__">#REF!</definedName>
    <definedName name="_7_0Quarterwise_Collection_P">#REF!</definedName>
    <definedName name="_7§__Business___Market_Spr">#REF!</definedName>
    <definedName name="_70__123Graph_ECHART_11" hidden="1">#REF!</definedName>
    <definedName name="_70__FDSAUDITLINK__" hidden="1">{"fdsup://IBCentral/FAT Viewer?action=UPDATE&amp;creator=factset&amp;DOC_NAME=fat:reuters_ytd_source_window.fat&amp;display_string=Audit&amp;DYN_ARGS=TRUE&amp;VAR:ID1=005367&amp;VAR:RCODE=FDSREVSTOTAL&amp;VAR:SDATE=20100199&amp;VAR:FREQ=Quarterly&amp;VAR:RELITEM=RP&amp;VAR:CURRENCY=&amp;VAR:CURRSOURC","E=EXSHARE&amp;VAR:NATFREQ=Quarterly&amp;VAR:RFIELD=FINALIZED&amp;VAR:DB_TYPE=&amp;VAR:UNITS=M&amp;window=popup&amp;width=450&amp;height=300&amp;START_MAXIMIZED=FALSE"}</definedName>
    <definedName name="_700__FDSAUDITLINK__" hidden="1">{"fdsup://IBCentral/FAT Viewer?action=UPDATE&amp;creator=factset&amp;DOC_NAME=fat:reuters_annual_source_window.fat&amp;display_string=Audit&amp;DYN_ARGS=TRUE&amp;VAR:ID1=B06WVL&amp;VAR:RCODE=LPBL&amp;VAR:SDATE=20101099&amp;VAR:FREQ=Y&amp;VAR:RELITEM=RP&amp;VAR:CURRENCY=&amp;VAR:CURRSOURCE=EXSHARE&amp;VAR",":NATFREQ=ANNUAL&amp;VAR:RFIELD=FINALIZED&amp;VAR:DB_TYPE=&amp;VAR:UNITS=M&amp;window=popup&amp;width=450&amp;height=300&amp;START_MAXIMIZED=FALSE"}</definedName>
    <definedName name="_701__FDSAUDITLINK__" hidden="1">{"fdsup://IBCentral/FAT Viewer?action=UPDATE&amp;creator=factset&amp;DOC_NAME=fat:reuters_annual_source_window.fat&amp;display_string=Audit&amp;DYN_ARGS=TRUE&amp;VAR:ID1=B06WVL&amp;VAR:RCODE=FDSPFDSTKTOTAL&amp;VAR:SDATE=20101099&amp;VAR:FREQ=Y&amp;VAR:RELITEM=RP&amp;VAR:CURRENCY=&amp;VAR:CURRSOURCE=E","XSHARE&amp;VAR:NATFREQ=ANNUAL&amp;VAR:RFIELD=FINALIZED&amp;VAR:DB_TYPE=&amp;VAR:UNITS=M&amp;window=popup&amp;width=450&amp;height=300&amp;START_MAXIMIZED=FALSE"}</definedName>
    <definedName name="_702__FDSAUDITLINK__" hidden="1">{"fdsup://IBCentral/FAT Viewer?action=UPDATE&amp;creator=factset&amp;DOC_NAME=fat:reuters_qtrly_source_window.fat&amp;display_string=Audit&amp;DYN_ARGS=TRUE&amp;VAR:ID1=B06WVL&amp;VAR:RCODE=LLTD&amp;VAR:SDATE=20110199&amp;VAR:FREQ=Quarterly&amp;VAR:RELITEM=RP&amp;VAR:CURRENCY=&amp;VAR:CURRSOURCE=EXSH","ARE&amp;VAR:NATFREQ=QUARTERLY&amp;VAR:RFIELD=FINALIZED&amp;VAR:DB_TYPE=&amp;VAR:UNITS=M&amp;window=popup&amp;width=450&amp;height=300&amp;START_MAXIMIZED=FALSE"}</definedName>
    <definedName name="_703__FDSAUDITLINK__" hidden="1">{"fdsup://directions/FAT Viewer?action=UPDATE&amp;creator=factset&amp;DYN_ARGS=TRUE&amp;DOC_NAME=FAT:FQL_AUDITING_CLIENT_TEMPLATE.FAT&amp;display_string=Audit&amp;VAR:KEY=ZIJKXQZUVW&amp;VAR:QUERY=UkdGX0lOVEFORyhBTk4sNDA1NzQsLCwsLCxOT0FVRElUKQ==&amp;WINDOW=FIRST_POPUP&amp;HEIGHT=450&amp;WIDTH=","450&amp;START_MAXIMIZED=FALSE&amp;VAR:CALENDAR=FIVEDAY&amp;VAR:SYMBOL=B06WVL&amp;VAR:INDEX=0"}</definedName>
    <definedName name="_704__FDSAUDITLINK__" hidden="1">{"fdsup://IBCentral/FAT Viewer?action=UPDATE&amp;creator=factset&amp;DOC_NAME=fat:reuters_annual_source_window.fat&amp;display_string=Audit&amp;DYN_ARGS=TRUE&amp;VAR:ID1=B06WVL&amp;VAR:RCODE=LMIN&amp;VAR:SDATE=20101099&amp;VAR:FREQ=Y&amp;VAR:RELITEM=RP&amp;VAR:CURRENCY=&amp;VAR:CURRSOURCE=EXSHARE&amp;VAR",":NATFREQ=ANNUAL&amp;VAR:RFIELD=FINALIZED&amp;VAR:DB_TYPE=&amp;VAR:UNITS=M&amp;window=popup&amp;width=450&amp;height=300&amp;START_MAXIMIZED=FALSE"}</definedName>
    <definedName name="_705__FDSAUDITLINK__" hidden="1">{"fdsup://IBCentral/FAT Viewer?action=UPDATE&amp;creator=factset&amp;DOC_NAME=fat:reuters_qtrly_source_window.fat&amp;display_string=Audit&amp;DYN_ARGS=TRUE&amp;VAR:ID1=B06WVL&amp;VAR:RCODE=DSTT&amp;VAR:SDATE=20110199&amp;VAR:FREQ=Quarterly&amp;VAR:RELITEM=RP&amp;VAR:CURRENCY=&amp;VAR:CURRSOURCE=EXSH","ARE&amp;VAR:NATFREQ=QUARTERLY&amp;VAR:RFIELD=FINALIZED&amp;VAR:DB_TYPE=&amp;VAR:UNITS=M&amp;window=popup&amp;width=450&amp;height=300&amp;START_MAXIMIZED=FALSE"}</definedName>
    <definedName name="_706__FDSAUDITLINK__" hidden="1">{"fdsup://IBCentral/FAT Viewer?action=UPDATE&amp;creator=factset&amp;DOC_NAME=fat:reuters_annual_source_window.fat&amp;display_string=Audit&amp;DYN_ARGS=TRUE&amp;VAR:ID1=B06WVL&amp;VAR:RCODE=AEQI&amp;VAR:SDATE=20101099&amp;VAR:FREQ=Y&amp;VAR:RELITEM=RP&amp;VAR:CURRENCY=&amp;VAR:CURRSOURCE=EXSHARE&amp;VAR",":NATFREQ=ANNUAL&amp;VAR:RFIELD=FINALIZED&amp;VAR:DB_TYPE=&amp;VAR:UNITS=M&amp;window=popup&amp;width=450&amp;height=300&amp;START_MAXIMIZED=FALSE"}</definedName>
    <definedName name="_707__FDSAUDITLINK__" hidden="1">{"fdsup://IBCentral/FAT Viewer?action=UPDATE&amp;creator=factset&amp;DOC_NAME=fat:reuters_qtrly_source_window.fat&amp;display_string=Audit&amp;DYN_ARGS=TRUE&amp;VAR:ID1=03948310&amp;VAR:RCODE=STLD&amp;VAR:SDATE=20110399&amp;VAR:FREQ=Quarterly&amp;VAR:RELITEM=RP&amp;VAR:CURRENCY=&amp;VAR:CURRSOURCE=EX","SHARE&amp;VAR:NATFREQ=QUARTERLY&amp;VAR:RFIELD=FINALIZED&amp;VAR:DB_TYPE=&amp;VAR:UNITS=M&amp;window=popup&amp;width=450&amp;height=300&amp;START_MAXIMIZED=FALSE"}</definedName>
    <definedName name="_708__FDSAUDITLINK__" hidden="1">{"fdsup://IBCentral/FAT Viewer?action=UPDATE&amp;creator=factset&amp;DOC_NAME=fat:reuters_qtrly_source_window.fat&amp;display_string=Audit&amp;DYN_ARGS=TRUE&amp;VAR:ID1=B06WVL&amp;VAR:RCODE=STLD&amp;VAR:SDATE=20110199&amp;VAR:FREQ=Quarterly&amp;VAR:RELITEM=RP&amp;VAR:CURRENCY=&amp;VAR:CURRSOURCE=EXSH","ARE&amp;VAR:NATFREQ=QUARTERLY&amp;VAR:RFIELD=FINALIZED&amp;VAR:DB_TYPE=&amp;VAR:UNITS=M&amp;window=popup&amp;width=450&amp;height=300&amp;START_MAXIMIZED=FALSE"}</definedName>
    <definedName name="_709__FDSAUDITLINK__" hidden="1">{"fdsup://IBCentral/FAT Viewer?action=UPDATE&amp;creator=factset&amp;DOC_NAME=fat:reuters_qtrly_source_window.fat&amp;display_string=Audit&amp;DYN_ARGS=TRUE&amp;VAR:ID1=G1696210&amp;VAR:RCODE=STLD&amp;VAR:SDATE=20110399&amp;VAR:FREQ=Quarterly&amp;VAR:RELITEM=RP&amp;VAR:CURRENCY=&amp;VAR:CURRSOURCE=EX","SHARE&amp;VAR:NATFREQ=QUARTERLY&amp;VAR:RFIELD=FINALIZED&amp;VAR:DB_TYPE=&amp;VAR:UNITS=M&amp;window=popup&amp;width=450&amp;height=300&amp;START_MAXIMIZED=FALSE"}</definedName>
    <definedName name="_70A_0PE___OUTLOOK_TO_2">#REF!</definedName>
    <definedName name="_70Excel_BuiltIn_Print_Area_13_1_1">#REF!</definedName>
    <definedName name="_70ø_0PE_CUSTOMER_SPR">#REF!</definedName>
    <definedName name="_70PE_REV">#REF!</definedName>
    <definedName name="_71__123Graph_ECHART_12" hidden="1">#REF!</definedName>
    <definedName name="_71__FDSAUDITLINK__" hidden="1">{"fdsup://IBCentral/FAT Viewer?action=UPDATE&amp;creator=factset&amp;DOC_NAME=fat:reuters_ytd_source_window.fat&amp;display_string=Audit&amp;DYN_ARGS=TRUE&amp;VAR:ID1=45874310&amp;VAR:RCODE=FIBCEBITDA&amp;VAR:SDATE=20101299&amp;VAR:FREQ=Quarterly&amp;VAR:RELITEM=RP&amp;VAR:CURRENCY=&amp;VAR:CURRSOURC","E=EXSHARE&amp;VAR:NATFREQ=Quarterly&amp;VAR:RFIELD=FINALIZED&amp;VAR:DB_TYPE=&amp;VAR:UNITS=M&amp;window=popup&amp;width=450&amp;height=300&amp;START_MAXIMIZED=FALSE"}</definedName>
    <definedName name="_710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711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12__FDSAUDITLINK__" hidden="1">{"fdsup://IBCentral/FAT Viewer?action=UPDATE&amp;creator=factset&amp;DOC_NAME=fat:reuters_qtrly_shs_src_window.fat&amp;display_string=Audit&amp;DYN_ARGS=TRUE&amp;VAR:ID1=576162&amp;VAR:RCODE=FDSSHSOUTDEPS&amp;VAR:SDATE=20110399&amp;VAR:FREQ=Quarterly&amp;VAR:RELITEM=RP&amp;VAR:CURRENCY=&amp;VAR:CURRS","OURCE=EXSHARE&amp;VAR:NATFREQ=QUARTERLY&amp;VAR:RFIELD=FINALIZED&amp;VAR:DB_TYPE=&amp;VAR:UNITS=M&amp;window=popup&amp;width=450&amp;height=300&amp;START_MAXIMIZED=FALSE"}</definedName>
    <definedName name="_713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14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15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16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17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18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19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1A__PE___OUTLOOK_TO_2">#REF!</definedName>
    <definedName name="_71Excel_BuiltIn_Print_Area_13_1_1_1">#REF!</definedName>
    <definedName name="_72__123Graph_ECHART_13" hidden="1">#REF!</definedName>
    <definedName name="_72__FDSAUDITLINK__" hidden="1">{"fdsup://IBCentral/FAT Viewer?action=UPDATE&amp;creator=factset&amp;DOC_NAME=fat:reuters_ytd_source_window.fat&amp;display_string=Audit&amp;DYN_ARGS=TRUE&amp;VAR:ID1=45874310&amp;VAR:RCODE=NIBX&amp;VAR:SDATE=20101299&amp;VAR:FREQ=Quarterly&amp;VAR:RELITEM=RP&amp;VAR:CURRENCY=&amp;VAR:CURRSOURCE=EXSH","ARE&amp;VAR:NATFREQ=Quarterly&amp;VAR:RFIELD=FINALIZED&amp;VAR:DB_TYPE=&amp;VAR:UNITS=M&amp;window=popup&amp;width=450&amp;height=300&amp;START_MAXIMIZED=FALSE"}</definedName>
    <definedName name="_720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21__FDSAUDITLINK__" hidden="1">{"fdsup://IBCentral/FAT Viewer?action=UPDATE&amp;creator=factset&amp;DOC_NAME=fat:reuters_qtrly_shs_src_window.fat&amp;display_string=Audit&amp;DYN_ARGS=TRUE&amp;VAR:ID1=221353&amp;VAR:RCODE=FDSSHSOUTDEPS&amp;VAR:SDATE=20110399&amp;VAR:FREQ=Quarterly&amp;VAR:RELITEM=RP&amp;VAR:CURRENCY=&amp;VAR:CURRS","OURCE=EXSHARE&amp;VAR:NATFREQ=QUARTERLY&amp;VAR:RFIELD=FINALIZED&amp;VAR:DB_TYPE=&amp;VAR:UNITS=M&amp;window=popup&amp;width=450&amp;height=300&amp;START_MAXIMIZED=FALSE"}</definedName>
    <definedName name="_722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23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24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25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26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27__FDSAUDITLINK__" hidden="1">{"fdsup://IBCentral/FAT Viewer?action=UPDATE&amp;creator=factset&amp;DOC_NAME=fat:reuters_qtrly_shs_src_window.fat&amp;display_string=Audit&amp;DYN_ARGS=TRUE&amp;VAR:ID1=775125&amp;VAR:RCODE=FDSSHSOUTDEPS&amp;VAR:SDATE=20110399&amp;VAR:FREQ=Quarterly&amp;VAR:RELITEM=RP&amp;VAR:CURRENCY=&amp;VAR:CURRS","OURCE=EXSHARE&amp;VAR:NATFREQ=QUARTERLY&amp;VAR:RFIELD=FINALIZED&amp;VAR:DB_TYPE=&amp;VAR:UNITS=M&amp;window=popup&amp;width=450&amp;height=300&amp;START_MAXIMIZED=FALSE"}</definedName>
    <definedName name="_728__FDSAUDITLINK__" hidden="1">{"fdsup://IBCentral/FAT Viewer?action=UPDATE&amp;creator=factset&amp;DOC_NAME=fat:reuters_qtrly_shs_src_window.fat&amp;display_string=Audit&amp;DYN_ARGS=TRUE&amp;VAR:ID1=73755L10&amp;VAR:RCODE=FDSSHSOUTDEPS&amp;VAR:SDATE=20110399&amp;VAR:FREQ=Quarterly&amp;VAR:RELITEM=RP&amp;VAR:CURRENCY=&amp;VAR:CUR","RSOURCE=EXSHARE&amp;VAR:NATFREQ=QUARTERLY&amp;VAR:RFIELD=FINALIZED&amp;VAR:DB_TYPE=&amp;VAR:UNITS=M&amp;window=popup&amp;width=450&amp;height=300&amp;START_MAXIMIZED=FALSE"}</definedName>
    <definedName name="_729__FDSAUDITLINK__" hidden="1">{"fdsup://IBCentral/FAT Viewer?action=UPDATE&amp;creator=factset&amp;DOC_NAME=fat:reuters_qtrly_shs_src_window.fat&amp;display_string=Audit&amp;DYN_ARGS=TRUE&amp;VAR:ID1=61945A10&amp;VAR:RCODE=FDSSHSOUTDEPS&amp;VAR:SDATE=20110299&amp;VAR:FREQ=Quarterly&amp;VAR:RELITEM=RP&amp;VAR:CURRENCY=&amp;VAR:CUR","RSOURCE=EXSHARE&amp;VAR:NATFREQ=QUARTERLY&amp;VAR:RFIELD=FINALIZED&amp;VAR:DB_TYPE=&amp;VAR:UNITS=M&amp;window=popup&amp;width=450&amp;height=300&amp;START_MAXIMIZED=FALSE"}</definedName>
    <definedName name="_72Excel_BuiltIn_Print_Area_8_1_1_1">#REF!</definedName>
    <definedName name="_72g_0TARIFF_ARBITRAGE_ANALYSIS_1996__">#REF!</definedName>
    <definedName name="_72ø__PE_CUSTOMER_SPR">#REF!</definedName>
    <definedName name="_72r_0PROFITABILITY_APR_DEC__1996__">#REF!</definedName>
    <definedName name="_73__123Graph_ECHART_14" hidden="1">#REF!</definedName>
    <definedName name="_73__FDSAUDITLINK__" hidden="1">{"fdsup://IBCentral/FAT Viewer?action=UPDATE&amp;creator=factset&amp;DOC_NAME=fat:reuters_ytd_source_window.fat&amp;display_string=Audit&amp;DYN_ARGS=TRUE&amp;VAR:ID1=45874310&amp;VAR:RCODE=FDSINTINCTOTAL&amp;VAR:SDATE=20091299&amp;VAR:FREQ=Quarterly&amp;VAR:RELITEM=RP&amp;VAR:CURRENCY=&amp;VAR:CURRS","OURCE=EXSHARE&amp;VAR:NATFREQ=Quarterly&amp;VAR:RFIELD=FINALIZED&amp;VAR:DB_TYPE=&amp;VAR:UNITS=M&amp;window=popup&amp;width=450&amp;height=300&amp;START_MAXIMIZED=FALSE"}</definedName>
    <definedName name="_730__FDSAUDITLINK__" hidden="1">{"fdsup://IBCentral/FAT Viewer?action=UPDATE&amp;creator=factset&amp;DOC_NAME=fat:reuters_qtrly_shs_src_window.fat&amp;display_string=Audit&amp;DYN_ARGS=TRUE&amp;VAR:ID1=12526910&amp;VAR:RCODE=FDSSHSOUTDEPS&amp;VAR:SDATE=20110399&amp;VAR:FREQ=Quarterly&amp;VAR:RELITEM=RP&amp;VAR:CURRENCY=&amp;VAR:CUR","RSOURCE=EXSHARE&amp;VAR:NATFREQ=QUARTERLY&amp;VAR:RFIELD=FINALIZED&amp;VAR:DB_TYPE=&amp;VAR:UNITS=M&amp;window=popup&amp;width=450&amp;height=300&amp;START_MAXIMIZED=FALSE"}</definedName>
    <definedName name="_731__FDSAUDITLINK__" hidden="1">{"fdsup://IBCentral/FAT Viewer?action=UPDATE&amp;creator=factset&amp;DOC_NAME=fat:reuters_qtrly_shs_src_window.fat&amp;display_string=Audit&amp;DYN_ARGS=TRUE&amp;VAR:ID1=645553&amp;VAR:RCODE=FDSSHSOUTDEPS&amp;VAR:SDATE=20110399&amp;VAR:FREQ=Quarterly&amp;VAR:RELITEM=RP&amp;VAR:CURRENCY=&amp;VAR:CURRS","OURCE=EXSHARE&amp;VAR:NATFREQ=QUARTERLY&amp;VAR:RFIELD=FINALIZED&amp;VAR:DB_TYPE=&amp;VAR:UNITS=M&amp;window=popup&amp;width=450&amp;height=300&amp;START_MAXIMIZED=FALSE"}</definedName>
    <definedName name="_732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3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34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35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36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37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38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9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Excel_BuiltIn_Print_Area_8_1_1_1_1">#REF!</definedName>
    <definedName name="_73g__TARIFF_ARBITRAGE_ANALYSIS_1996__">#REF!</definedName>
    <definedName name="_74__123Graph_ECHART_15" hidden="1">#REF!</definedName>
    <definedName name="_74__FDSAUDITLINK__" hidden="1">{"fdsup://IBCentral/FAT Viewer?action=UPDATE&amp;creator=factset&amp;DOC_NAME=fat:reuters_ytd_source_window.fat&amp;display_string=Audit&amp;DYN_ARGS=TRUE&amp;VAR:ID1=25674310&amp;VAR:RCODE=FDSREVSTOTAL&amp;VAR:SDATE=20110399&amp;VAR:FREQ=Quarterly&amp;VAR:RELITEM=RP&amp;VAR:CURRENCY=&amp;VAR:CURRSOU","RCE=EXSHARE&amp;VAR:NATFREQ=Quarterly&amp;VAR:RFIELD=FINALIZED&amp;VAR:DB_TYPE=&amp;VAR:UNITS=M&amp;window=popup&amp;width=450&amp;height=300&amp;START_MAXIMIZED=FALSE"}</definedName>
    <definedName name="_740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41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42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43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44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45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46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47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48__FDSAUDITLINK__" hidden="1">{"fdsup://IBCentral/FAT Viewer?action=UPDATE&amp;creator=factset&amp;DOC_NAME=fat:reuters_qtrly_shs_src_window.fat&amp;display_string=Audit&amp;DYN_ARGS=TRUE&amp;VAR:ID1=576162&amp;VAR:RCODE=FDSSHSOUTDEPS&amp;VAR:SDATE=20110399&amp;VAR:FREQ=Quarterly&amp;VAR:RELITEM=RP&amp;VAR:CURRENCY=&amp;VAR:CURRS","OURCE=EXSHARE&amp;VAR:NATFREQ=QUARTERLY&amp;VAR:RFIELD=FINALIZED&amp;VAR:DB_TYPE=&amp;VAR:UNITS=M&amp;window=popup&amp;width=450&amp;height=300&amp;START_MAXIMIZED=FALSE"}</definedName>
    <definedName name="_749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4Excel_BuiltIn_Print_Titles_1">(#REF!,#REF!)</definedName>
    <definedName name="_74i_0PE___RIL_MARKET_PRESE">#REF!</definedName>
    <definedName name="_74PE_REV">#REF!</definedName>
    <definedName name="_74RE">#REF!</definedName>
    <definedName name="_75__123Graph_ECHART_16" hidden="1">#REF!</definedName>
    <definedName name="_75__FDSAUDITLINK__" hidden="1">{"fdsup://IBCentral/FAT Viewer?action=UPDATE&amp;creator=factset&amp;DOC_NAME=fat:reuters_ytd_source_window.fat&amp;display_string=Audit&amp;DYN_ARGS=TRUE&amp;VAR:ID1=B08K3S&amp;VAR:RCODE=FDSREVSTOTAL&amp;VAR:SDATE=20101299&amp;VAR:FREQ=Quarterly&amp;VAR:RELITEM=RP&amp;VAR:CURRENCY=&amp;VAR:CURRSOURC","E=EXSHARE&amp;VAR:NATFREQ=Quarterly&amp;VAR:RFIELD=FINALIZED&amp;VAR:DB_TYPE=&amp;VAR:UNITS=M&amp;window=popup&amp;width=450&amp;height=300&amp;START_MAXIMIZED=FALSE"}</definedName>
    <definedName name="_750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51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52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53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54__FDSAUDITLINK__" hidden="1">{"fdsup://IBCentral/FAT Viewer?action=UPDATE&amp;creator=factset&amp;DOC_NAME=fat:reuters_qtrly_source_window.fat&amp;display_string=Audit&amp;DYN_ARGS=TRUE&amp;VAR:ID1=B06WVL&amp;VAR:RCODE=STLD&amp;VAR:SDATE=20110199&amp;VAR:FREQ=Quarterly&amp;VAR:RELITEM=RP&amp;VAR:CURRENCY=&amp;VAR:CURRSOURCE=EXSH","ARE&amp;VAR:NATFREQ=QUARTERLY&amp;VAR:RFIELD=FINALIZED&amp;VAR:DB_TYPE=&amp;VAR:UNITS=M&amp;window=popup&amp;width=450&amp;height=300&amp;START_MAXIMIZED=FALSE"}</definedName>
    <definedName name="_755__FDSAUDITLINK__" hidden="1">{"fdsup://IBCentral/FAT Viewer?action=UPDATE&amp;creator=factset&amp;DOC_NAME=fat:reuters_qtrly_source_window.fat&amp;display_string=Audit&amp;DYN_ARGS=TRUE&amp;VAR:ID1=03948310&amp;VAR:RCODE=STLD&amp;VAR:SDATE=20110399&amp;VAR:FREQ=Quarterly&amp;VAR:RELITEM=RP&amp;VAR:CURRENCY=&amp;VAR:CURRSOURCE=EX","SHARE&amp;VAR:NATFREQ=QUARTERLY&amp;VAR:RFIELD=FINALIZED&amp;VAR:DB_TYPE=&amp;VAR:UNITS=M&amp;window=popup&amp;width=450&amp;height=300&amp;START_MAXIMIZED=FALSE"}</definedName>
    <definedName name="_756__FDSAUDITLINK__" hidden="1">{"fdsup://IBCentral/FAT Viewer?action=UPDATE&amp;creator=factset&amp;DOC_NAME=fat:reuters_qtrly_source_window.fat&amp;display_string=Audit&amp;DYN_ARGS=TRUE&amp;VAR:ID1=G1696210&amp;VAR:RCODE=STLD&amp;VAR:SDATE=20110399&amp;VAR:FREQ=Quarterly&amp;VAR:RELITEM=RP&amp;VAR:CURRENCY=&amp;VAR:CURRSOURCE=EX","SHARE&amp;VAR:NATFREQ=QUARTERLY&amp;VAR:RFIELD=FINALIZED&amp;VAR:DB_TYPE=&amp;VAR:UNITS=M&amp;window=popup&amp;width=450&amp;height=300&amp;START_MAXIMIZED=FALSE"}</definedName>
    <definedName name="_757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758__FDSAUDITLINK__" hidden="1">{"fdsup://IBCentral/FAT Viewer?action=UPDATE&amp;creator=factset&amp;DOC_NAME=fat:reuters_qtrly_shs_src_window.fat&amp;display_string=Audit&amp;DYN_ARGS=TRUE&amp;VAR:ID1=B06WVL&amp;VAR:RCODE=FDSSHSOUTDEPS&amp;VAR:SDATE=20110199&amp;VAR:FREQ=Quarterly&amp;VAR:RELITEM=RP&amp;VAR:CURRENCY=&amp;VAR:CURRS","OURCE=EXSHARE&amp;VAR:NATFREQ=QUARTERLY&amp;VAR:RFIELD=FINALIZED&amp;VAR:DB_TYPE=&amp;VAR:UNITS=M&amp;window=popup&amp;width=450&amp;height=300&amp;START_MAXIMIZED=FALSE"}</definedName>
    <definedName name="_759__FDSAUDITLINK__" hidden="1">{"fdsup://IBCentral/FAT Viewer?action=UPDATE&amp;creator=factset&amp;DOC_NAME=fat:reuters_qtrly_shs_src_window.fat&amp;display_string=Audit&amp;DYN_ARGS=TRUE&amp;VAR:ID1=03948310&amp;VAR:RCODE=FDSSHSOUTDEPS&amp;VAR:SDATE=20110399&amp;VAR:FREQ=Quarterly&amp;VAR:RELITEM=RP&amp;VAR:CURRENCY=&amp;VAR:CUR","RSOURCE=EXSHARE&amp;VAR:NATFREQ=QUARTERLY&amp;VAR:RFIELD=FINALIZED&amp;VAR:DB_TYPE=&amp;VAR:UNITS=M&amp;window=popup&amp;width=450&amp;height=300&amp;START_MAXIMIZED=FALSE"}</definedName>
    <definedName name="_75i__PE___RIL_MARKET_PRESE">#REF!</definedName>
    <definedName name="_76__123Graph_ECHART_17" hidden="1">#REF!</definedName>
    <definedName name="_76__FDSAUDITLINK__" hidden="1">{"fdsup://IBCentral/FAT Viewer?action=UPDATE&amp;creator=factset&amp;DOC_NAME=fat:reuters_annual_source_window.fat&amp;display_string=Audit&amp;DYN_ARGS=TRUE&amp;VAR:ID1=005367&amp;VAR:RCODE=FDSINTEXPTOTAL&amp;VAR:SDATE=20100499&amp;VAR:FREQ=Y&amp;VAR:RELITEM=RP&amp;VAR:CURRENCY=&amp;VAR:CURRSOURCE=E","XSHARE&amp;VAR:NATFREQ=ANNUAL&amp;VAR:RFIELD=FINALIZED&amp;VAR:DB_TYPE=&amp;VAR:UNITS=M&amp;window=popup&amp;width=450&amp;height=300&amp;START_MAXIMIZED=FALSE"}</definedName>
    <definedName name="_760__FDSAUDITLINK__" hidden="1">{"fdsup://IBCentral/FAT Viewer?action=UPDATE&amp;creator=factset&amp;DOC_NAME=fat:reuters_qtrly_shs_src_window.fat&amp;display_string=Audit&amp;DYN_ARGS=TRUE&amp;VAR:ID1=G1696210&amp;VAR:RCODE=FDSSHSOUTDEPS&amp;VAR:SDATE=20110399&amp;VAR:FREQ=Quarterly&amp;VAR:RELITEM=RP&amp;VAR:CURRENCY=&amp;VAR:CUR","RSOURCE=EXSHARE&amp;VAR:NATFREQ=QUARTERLY&amp;VAR:RFIELD=FINALIZED&amp;VAR:DB_TYPE=&amp;VAR:UNITS=M&amp;window=popup&amp;width=450&amp;height=300&amp;START_MAXIMIZED=FALSE"}</definedName>
    <definedName name="_76ø_0PE_CUSTOMER_SPR">#REF!</definedName>
    <definedName name="_76r__PROFITABILITY_APR_DEC__1996__">#REF!</definedName>
    <definedName name="_76r_0PROFITABILITY_APR_DEC__1996__">#REF!</definedName>
    <definedName name="_77__123Graph_ECHART_18" hidden="1">#REF!</definedName>
    <definedName name="_77__FDSAUDITLINK__" hidden="1">{"fdsup://IBCentral/FAT Viewer?action=UPDATE&amp;creator=factset&amp;DOC_NAME=fat:reuters_annual_source_window.fat&amp;display_string=Audit&amp;DYN_ARGS=TRUE&amp;VAR:ID1=40403010&amp;VAR:RCODE=FDSREVSTOTAL&amp;VAR:SDATE=20101299&amp;VAR:FREQ=Y&amp;VAR:RELITEM=RP&amp;VAR:CURRENCY=&amp;VAR:CURRSOURCE=E","XSHARE&amp;VAR:NATFREQ=ANNUAL&amp;VAR:RFIELD=FINALIZED&amp;VAR:DB_TYPE=&amp;VAR:UNITS=M&amp;window=popup&amp;width=450&amp;height=300&amp;START_MAXIMIZED=FALSE"}</definedName>
    <definedName name="_77Excel_BuiltIn_Print_Titles_4_1">(#REF!,#REF!)</definedName>
    <definedName name="_77ø__PE_CUSTOMER_SPR">#REF!</definedName>
    <definedName name="_78__123Graph_ECHART_4" hidden="1">#REF!</definedName>
    <definedName name="_78__FDSAUDITLINK__" hidden="1">{"fdsup://IBCentral/FAT Viewer?action=UPDATE&amp;creator=factset&amp;DOC_NAME=fat:reuters_ytd_source_window.fat&amp;display_string=Audit&amp;DYN_ARGS=TRUE&amp;VAR:ID1=74972L10&amp;VAR:RCODE=FIBCEBITDA&amp;VAR:SDATE=20100399&amp;VAR:FREQ=Quarterly&amp;VAR:RELITEM=RP&amp;VAR:CURRENCY=&amp;VAR:CURRSOURC","E=EXSHARE&amp;VAR:NATFREQ=Quarterly&amp;VAR:RFIELD=FINALIZED&amp;VAR:DB_TYPE=&amp;VAR:UNITS=M&amp;window=popup&amp;width=450&amp;height=300&amp;START_MAXIMIZED=FALSE"}</definedName>
    <definedName name="_78r_0PROFITABILITY_APR_DEC__1996__">#REF!</definedName>
    <definedName name="_78RE">#REF!</definedName>
    <definedName name="_78Š_0QUARTERLY_PERFORMA">#REF!</definedName>
    <definedName name="_79__123Graph_ECHART_6" hidden="1">#REF!</definedName>
    <definedName name="_79__FDSAUDITLINK__" hidden="1">{"fdsup://IBCentral/FAT Viewer?action=UPDATE&amp;creator=factset&amp;DOC_NAME=fat:reuters_ytd_source_window.fat&amp;display_string=Audit&amp;DYN_ARGS=TRUE&amp;VAR:ID1=74972L10&amp;VAR:RCODE=FDSREVSTOTAL&amp;VAR:SDATE=20100399&amp;VAR:FREQ=Quarterly&amp;VAR:RELITEM=RP&amp;VAR:CURRENCY=&amp;VAR:CURRSOU","RCE=EXSHARE&amp;VAR:NATFREQ=Quarterly&amp;VAR:RFIELD=FINALIZED&amp;VAR:DB_TYPE=&amp;VAR:UNITS=M&amp;window=popup&amp;width=450&amp;height=300&amp;START_MAXIMIZED=FALSE"}</definedName>
    <definedName name="_79r__PROFITABILITY_APR_DEC__1996__">#REF!</definedName>
    <definedName name="_7BSADJ">#REF!</definedName>
    <definedName name="_7Excel_BuiltIn_Extract_1">#REF!</definedName>
    <definedName name="_7Excel_BuiltIn_Print_Area_1_1_1">(#REF!,#REF!)</definedName>
    <definedName name="_7Excel_BuiltIn_Print_Titles_4_1">(#REF!,#REF!)</definedName>
    <definedName name="_7P">#REF!</definedName>
    <definedName name="_8____0PROFITABILITY__Q3_1996__">#REF!</definedName>
    <definedName name="_8__123Graph_BCHART_5" hidden="1">#REF!</definedName>
    <definedName name="_8__BuiltIn_AutoFilter___1_1_1">#N/A</definedName>
    <definedName name="_8__FDSAUDITLINK__" hidden="1">{"fdsup://IBCentral/FAT Viewer?action=UPDATE&amp;creator=factset&amp;DOC_NAME=fat:reuters_ytd_source_window.fat&amp;display_string=Audit&amp;DYN_ARGS=TRUE&amp;VAR:ID1=91136310&amp;VAR:RCODE=FDSINTINCTOTAL&amp;VAR:SDATE=20100399&amp;VAR:FREQ=Quarterly&amp;VAR:RELITEM=RP&amp;VAR:CURRENCY=&amp;VAR:CURRS","OURCE=EXSHARE&amp;VAR:NATFREQ=Quarterly&amp;VAR:RFIELD=FINALIZED&amp;VAR:DB_TYPE=&amp;VAR:UNITS=M&amp;window=popup&amp;width=450&amp;height=300&amp;START_MAXIMIZED=FALSE"}</definedName>
    <definedName name="_8_0IS_convpref">#REF!</definedName>
    <definedName name="_8…__PRICE_FORECAST___1995">#REF!</definedName>
    <definedName name="_80__123Graph_ECHART_7" hidden="1">#REF!</definedName>
    <definedName name="_80__FDSAUDITLINK__" hidden="1">{"fdsup://IBCentral/FAT Viewer?action=UPDATE&amp;creator=factset&amp;DOC_NAME=fat:reuters_ytd_source_window.fat&amp;display_string=Audit&amp;DYN_ARGS=TRUE&amp;VAR:ID1=45874310&amp;VAR:RCODE=VDES&amp;VAR:SDATE=20101299&amp;VAR:FREQ=Quarterly&amp;VAR:RELITEM=RP&amp;VAR:CURRENCY=&amp;VAR:CURRSOURCE=EXSH","ARE&amp;VAR:NATFREQ=Quarterly&amp;VAR:RFIELD=FINALIZED&amp;VAR:DB_TYPE=&amp;VAR:UNITS=M&amp;window=popup&amp;width=450&amp;height=300&amp;START_MAXIMIZED=FALSE"}</definedName>
    <definedName name="_80r__PROFITABILITY_APR_DEC__1996__">#REF!</definedName>
    <definedName name="_80Š__QUARTERLY_PERFORMA">#REF!</definedName>
    <definedName name="_80Š_0QUARTERLY_PERFORMA">#REF!</definedName>
    <definedName name="_81__123Graph_ECHART_8" hidden="1">#REF!</definedName>
    <definedName name="_81__FDSAUDITLINK__" hidden="1">{"fdsup://directions/FAT Viewer?action=UPDATE&amp;creator=factset&amp;DYN_ARGS=TRUE&amp;DOC_NAME=FAT:FQL_AUDITING_CLIENT_TEMPLATE.FAT&amp;display_string=Audit&amp;VAR:KEY=CPCRGJOXSD&amp;VAR:QUERY=UkdGX0VOVFJQUl9WQUwoQU5OLDQwNTQzLCwsLFVTRCwsTk9BVURJVCk=&amp;WINDOW=FIRST_POPUP&amp;HEIGHT=45","0&amp;WIDTH=450&amp;START_MAXIMIZED=FALSE&amp;VAR:CALENDAR=FIVEDAY&amp;VAR:INDEX=0"}</definedName>
    <definedName name="_81Š__QUARTERLY_PERFORMA">#REF!</definedName>
    <definedName name="_82__123Graph_ECHART_9" hidden="1">#REF!</definedName>
    <definedName name="_82__FDSAUDITLINK__" hidden="1">{"fdsup://directions/FAT Viewer?action=UPDATE&amp;creator=factset&amp;DYN_ARGS=TRUE&amp;DOC_NAME=FAT:FQL_AUDITING_CLIENT_TEMPLATE.FAT&amp;display_string=Audit&amp;VAR:KEY=CPCRGJOXSD&amp;VAR:QUERY=UkdGX0VOVFJQUl9WQUwoQU5OLDQwNTQzLCwsLFVTRCwsTk9BVURJVCk=&amp;WINDOW=FIRST_POPUP&amp;HEIGHT=45","0&amp;WIDTH=450&amp;START_MAXIMIZED=FALSE&amp;VAR:CALENDAR=FIVEDAY&amp;VAR:INDEX=0"}</definedName>
    <definedName name="_82Š_0QUARTERLY_PERFORMA">#REF!</definedName>
    <definedName name="_82W_0QUARTERWISE_COMPARI">#REF!</definedName>
    <definedName name="_83__123Graph_F_Chart_1A" hidden="1">#REF!</definedName>
    <definedName name="_83__FDSAUDITLINK__" hidden="1">{"fdsup://directions/FAT Viewer?action=UPDATE&amp;creator=factset&amp;DYN_ARGS=TRUE&amp;DOC_NAME=FAT:FQL_AUDITING_CLIENT_TEMPLATE.FAT&amp;display_string=Audit&amp;VAR:KEY=EPKPEBABGZ&amp;VAR:QUERY=UkdGX0VOVFJQUl9WQUwoQU5OLDQwNjMzLCwsLFVTRCwsTk9BVURJVCk=&amp;WINDOW=FIRST_POPUP&amp;HEIGHT=45","0&amp;WIDTH=450&amp;START_MAXIMIZED=FALSE&amp;VAR:CALENDAR=FIVEDAY&amp;VAR:INDEX=0"}</definedName>
    <definedName name="_83W__QUARTERWISE_COMPARI">#REF!</definedName>
    <definedName name="_84__123Graph_FCHART_10" hidden="1">#REF!</definedName>
    <definedName name="_84__FDSAUDITLINK__" hidden="1">{"fdsup://directions/FAT Viewer?action=UPDATE&amp;creator=factset&amp;DYN_ARGS=TRUE&amp;DOC_NAME=FAT:FQL_AUDITING_CLIENT_TEMPLATE.FAT&amp;display_string=Audit&amp;VAR:KEY=CLCRSDAPSX&amp;VAR:QUERY=UkdGX0VOVFJQUl9WQUwoQU5OLDQwNjMzLCwsLFVTRCwsTk9BVURJVCk=&amp;WINDOW=FIRST_POPUP&amp;HEIGHT=45","0&amp;WIDTH=450&amp;START_MAXIMIZED=FALSE&amp;VAR:CALENDAR=FIVEDAY&amp;VAR:SYMBOL=545717&amp;VAR:INDEX=0"}</definedName>
    <definedName name="_84Š__QUARTERLY_PERFORMA">#REF!</definedName>
    <definedName name="_84W__QUARTERWISE_COMPARI">#REF!</definedName>
    <definedName name="_85__123Graph_FCHART_11" hidden="1">#REF!</definedName>
    <definedName name="_85__FDSAUDITLINK__" hidden="1">{"fdsup://directions/FAT Viewer?action=UPDATE&amp;creator=factset&amp;DYN_ARGS=TRUE&amp;DOC_NAME=FAT:FQL_AUDITING_CLIENT_TEMPLATE.FAT&amp;display_string=Audit&amp;VAR:KEY=YLCVWFIZGL&amp;VAR:QUERY=UkdGX0VOVFJQUl9WQUwoQU5OLDQwNjMzLCwsLFVTRCwsTk9BVURJVCk=&amp;WINDOW=FIRST_POPUP&amp;HEIGHT=45","0&amp;WIDTH=450&amp;START_MAXIMIZED=FALSE&amp;VAR:CALENDAR=FIVEDAY&amp;VAR:SYMBOL=472266&amp;VAR:INDEX=0"}</definedName>
    <definedName name="_86__123Graph_FCHART_12" hidden="1">#REF!</definedName>
    <definedName name="_86__FDSAUDITLINK__" hidden="1">{"fdsup://directions/FAT Viewer?action=UPDATE&amp;creator=factset&amp;DYN_ARGS=TRUE&amp;DOC_NAME=FAT:FQL_AUDITING_CLIENT_TEMPLATE.FAT&amp;display_string=Audit&amp;VAR:KEY=IRGRQDQTWB&amp;VAR:QUERY=UkdGX0VOVFJQUl9WQUwoQU5OLDQwNjMzLCwsLFVTRCwsTk9BVURJVCk=&amp;WINDOW=FIRST_POPUP&amp;HEIGHT=45","0&amp;WIDTH=450&amp;START_MAXIMIZED=FALSE&amp;VAR:CALENDAR=FIVEDAY&amp;VAR:INDEX=0"}</definedName>
    <definedName name="_86W_0QUARTERWISE_COMPARI">#REF!</definedName>
    <definedName name="_87__123Graph_FCHART_13" hidden="1">#REF!</definedName>
    <definedName name="_87__FDSAUDITLINK__" hidden="1">{"fdsup://directions/FAT Viewer?action=UPDATE&amp;creator=factset&amp;DYN_ARGS=TRUE&amp;DOC_NAME=FAT:FQL_AUDITING_CLIENT_TEMPLATE.FAT&amp;display_string=Audit&amp;VAR:KEY=YLCVWFIZGL&amp;VAR:QUERY=UkdGX0VOVFJQUl9WQUwoQU5OLDQwNjMzLCwsLFVTRCwsTk9BVURJVCk=&amp;WINDOW=FIRST_POPUP&amp;HEIGHT=45","0&amp;WIDTH=450&amp;START_MAXIMIZED=FALSE&amp;VAR:CALENDAR=FIVEDAY&amp;VAR:SYMBOL=472266&amp;VAR:INDEX=0"}</definedName>
    <definedName name="_88__123Graph_FCHART_14" hidden="1">#REF!</definedName>
    <definedName name="_88__FDSAUDITLINK__" hidden="1">{"fdsup://directions/FAT Viewer?action=UPDATE&amp;creator=factset&amp;DYN_ARGS=TRUE&amp;DOC_NAME=FAT:FQL_AUDITING_CLIENT_TEMPLATE.FAT&amp;display_string=Audit&amp;VAR:KEY=CLCRSDAPSX&amp;VAR:QUERY=UkdGX0VOVFJQUl9WQUwoQU5OLDQwNjMzLCwsLFVTRCwsTk9BVURJVCk=&amp;WINDOW=FIRST_POPUP&amp;HEIGHT=45","0&amp;WIDTH=450&amp;START_MAXIMIZED=FALSE&amp;VAR:CALENDAR=FIVEDAY&amp;VAR:SYMBOL=545717&amp;VAR:INDEX=0"}</definedName>
    <definedName name="_88Excel_BuiltIn_Print_Titles_5_1">(#REF!,#REF!)</definedName>
    <definedName name="_88W__QUARTERWISE_COMPARI">#REF!</definedName>
    <definedName name="_89__123Graph_FCHART_15" hidden="1">#REF!</definedName>
    <definedName name="_89__FDSAUDITLINK__" hidden="1">{"fdsup://directions/FAT Viewer?action=UPDATE&amp;creator=factset&amp;DYN_ARGS=TRUE&amp;DOC_NAME=FAT:FQL_AUDITING_CLIENT_TEMPLATE.FAT&amp;display_string=Audit&amp;VAR:KEY=QHQDUZKFCH&amp;VAR:QUERY=UkdGX0VOVFJQUl9WQUwoQU5OLDQwNTQzLCwsLFVTRCwsTk9BVURJVCk=&amp;WINDOW=FIRST_POPUP&amp;HEIGHT=45","0&amp;WIDTH=450&amp;START_MAXIMIZED=FALSE&amp;VAR:CALENDAR=FIVEDAY&amp;VAR:SYMBOL=545717&amp;VAR:INDEX=0"}</definedName>
    <definedName name="_8BSTGT">#REF!</definedName>
    <definedName name="_8Excel_BuiltIn_Print_Area_1">#REF!</definedName>
    <definedName name="_8Excel_BuiltIn_Print_Titles_1">NA()</definedName>
    <definedName name="_8Excel_BuiltIn_Print_Titles_5_1">(#REF!,#REF!)</definedName>
    <definedName name="_8Macros_.Commentaires">#REF!</definedName>
    <definedName name="_8PROFITABILITY__Q3_1996__">#REF!</definedName>
    <definedName name="_8Quarterwise_Collection_P">#REF!</definedName>
    <definedName name="_8Quarterwise_Export_P">#REF!</definedName>
    <definedName name="_8QUARTERWISE_PERFORMA">#REF!</definedName>
    <definedName name="_9____0Quarterwise_Collection_P">#REF!</definedName>
    <definedName name="_9__123Graph_CCHART_2" hidden="1">#REF!</definedName>
    <definedName name="_9__BuiltIn_AutoFilter___1_1_2">NA()</definedName>
    <definedName name="_9__FDSAUDITLINK__" hidden="1">{"fdsup://IBCentral/FAT Viewer?action=UPDATE&amp;creator=factset&amp;DOC_NAME=fat:reuters_ytd_source_window.fat&amp;display_string=Audit&amp;DYN_ARGS=TRUE&amp;VAR:ID1=91136310&amp;VAR:RCODE=NIBX&amp;VAR:SDATE=20100399&amp;VAR:FREQ=Quarterly&amp;VAR:RELITEM=RP&amp;VAR:CURRENCY=&amp;VAR:CURRSOURCE=EXSH","ARE&amp;VAR:NATFREQ=Quarterly&amp;VAR:RFIELD=FINALIZED&amp;VAR:DB_TYPE=&amp;VAR:UNITS=M&amp;window=popup&amp;width=450&amp;height=300&amp;START_MAXIMIZED=FALSE"}</definedName>
    <definedName name="_9_0__PE___Q1_REV">#REF!</definedName>
    <definedName name="_9_0INDUSTRY_MATERIAL_BALANCE___PROJECTI">#REF!</definedName>
    <definedName name="_9_0IS_intconv">#REF!</definedName>
    <definedName name="_9_0PROFITABILITY__Q3_1996__">#REF!</definedName>
    <definedName name="_90__123Graph_FCHART_16" hidden="1">#REF!</definedName>
    <definedName name="_90__FDSAUDITLINK__" hidden="1">{"fdsup://directions/FAT Viewer?action=UPDATE&amp;creator=factset&amp;DYN_ARGS=TRUE&amp;DOC_NAME=FAT:FQL_AUDITING_CLIENT_TEMPLATE.FAT&amp;display_string=Audit&amp;VAR:KEY=OPGHWHAPUT&amp;VAR:QUERY=UkdGX0VOVFJQUl9WQUwoQU5OLDQwNTQzLCwsLFVTRCwsTk9BVURJVCk=&amp;WINDOW=FIRST_POPUP&amp;HEIGHT=45","0&amp;WIDTH=450&amp;START_MAXIMIZED=FALSE&amp;VAR:CALENDAR=FIVEDAY&amp;VAR:SYMBOL=472266&amp;VAR:INDEX=0"}</definedName>
    <definedName name="_91__123Graph_FCHART_4" hidden="1">#REF!</definedName>
    <definedName name="_91__FDSAUDITLINK__" hidden="1">{"fdsup://IBCentral/FAT Viewer?action=UPDATE&amp;creator=factset&amp;DOC_NAME=fat:reuters_annual_source_window.fat&amp;display_string=Audit&amp;DYN_ARGS=TRUE&amp;VAR:ID1=775125&amp;VAR:RCODE=FEBITDA&amp;VAR:SDATE=20051299&amp;VAR:FREQ=Y&amp;VAR:RELITEM=RF&amp;VAR:CURRENCY=&amp;VAR:CURRSOURCE=EXSHARE&amp;","VAR:NATFREQ=ANNUAL&amp;VAR:RFIELD=FINALIZED&amp;VAR:DB_TYPE=&amp;VAR:UNITS=M&amp;window=popup&amp;width=450&amp;height=300&amp;START_MAXIMIZED=FALSE"}</definedName>
    <definedName name="_92__123Graph_FCHART_6" hidden="1">#REF!</definedName>
    <definedName name="_92__FDSAUDITLINK__" hidden="1">{"fdsup://IBCentral/FAT Viewer?action=UPDATE&amp;creator=factset&amp;DOC_NAME=fat:reuters_annual_source_window.fat&amp;display_string=Audit&amp;DYN_ARGS=TRUE&amp;VAR:ID1=775125&amp;VAR:RCODE=FEBIT&amp;VAR:SDATE=20051299&amp;VAR:FREQ=Y&amp;VAR:RELITEM=RF&amp;VAR:CURRENCY=&amp;VAR:CURRSOURCE=EXSHARE&amp;VA","R:NATFREQ=ANNUAL&amp;VAR:RFIELD=FINALIZED&amp;VAR:DB_TYPE=&amp;VAR:UNITS=M&amp;window=popup&amp;width=450&amp;height=300&amp;START_MAXIMIZED=FALSE"}</definedName>
    <definedName name="_93__123Graph_FCHART_7" hidden="1">#REF!</definedName>
    <definedName name="_93__FDSAUDITLINK__" hidden="1">{"fdsup://IBCentral/FAT Viewer?action=UPDATE&amp;creator=factset&amp;DOC_NAME=fat:reuters_annual_source_window.fat&amp;display_string=Audit&amp;DYN_ARGS=TRUE&amp;VAR:ID1=775125&amp;VAR:RCODE=FSALE&amp;VAR:SDATE=20051299&amp;VAR:FREQ=Y&amp;VAR:RELITEM=RF&amp;VAR:CURRENCY=&amp;VAR:CURRSOURCE=EXSHARE&amp;VA","R:NATFREQ=ANNUAL&amp;VAR:RFIELD=FINALIZED&amp;VAR:DB_TYPE=&amp;VAR:UNITS=M&amp;window=popup&amp;width=450&amp;height=300&amp;START_MAXIMIZED=FALSE"}</definedName>
    <definedName name="_94__123Graph_FCHART_8" hidden="1">#REF!</definedName>
    <definedName name="_94__FDSAUDITLINK__" hidden="1">{"fdsup://IBCentral/FAT Viewer?action=UPDATE&amp;creator=factset&amp;DOC_NAME=fat:reuters_annual_source_window.fat&amp;display_string=Audit&amp;DYN_ARGS=TRUE&amp;VAR:ID1=775125&amp;VAR:RCODE=FDSINVINCTOT&amp;VAR:SDATE=20051299&amp;VAR:FREQ=Y&amp;VAR:RELITEM=RF&amp;VAR:CURRENCY=&amp;VAR:CURRSOURCE=EXS","HARE&amp;VAR:NATFREQ=ANNUAL&amp;VAR:RFIELD=FINALIZED&amp;VAR:DB_TYPE=&amp;VAR:UNITS=M&amp;window=popup&amp;width=450&amp;height=300&amp;START_MAXIMIZED=FALSE"}</definedName>
    <definedName name="_95__123Graph_FCHART_9" hidden="1">#REF!</definedName>
    <definedName name="_95__FDSAUDITLINK__" hidden="1">{"fdsup://IBCentral/FAT Viewer?action=UPDATE&amp;creator=factset&amp;DOC_NAME=fat:reuters_annual_source_window.fat&amp;display_string=Audit&amp;DYN_ARGS=TRUE&amp;VAR:ID1=775125&amp;VAR:RCODE=NIBX&amp;VAR:SDATE=20051299&amp;VAR:FREQ=Y&amp;VAR:RELITEM=RF&amp;VAR:CURRENCY=&amp;VAR:CURRSOURCE=EXSHARE&amp;VAR",":NATFREQ=ANNUAL&amp;VAR:RFIELD=FINALIZED&amp;VAR:DB_TYPE=&amp;VAR:UNITS=M&amp;window=popup&amp;width=450&amp;height=300&amp;START_MAXIMIZED=FALSE"}</definedName>
    <definedName name="_96__123Graph_X_Chart_1A" hidden="1">#REF!</definedName>
    <definedName name="_96__FDSAUDITLINK__" hidden="1">{"fdsup://IBCentral/FAT Viewer?action=UPDATE&amp;creator=factset&amp;DOC_NAME=fat:reuters_annual_source_window.fat&amp;display_string=Audit&amp;DYN_ARGS=TRUE&amp;VAR:ID1=775125&amp;VAR:RCODE=NIBX&amp;VAR:SDATE=20061299&amp;VAR:FREQ=Y&amp;VAR:RELITEM=RF&amp;VAR:CURRENCY=&amp;VAR:CURRSOURCE=EXSHARE&amp;VAR",":NATFREQ=ANNUAL&amp;VAR:RFIELD=FINALIZED&amp;VAR:DB_TYPE=&amp;VAR:UNITS=M&amp;window=popup&amp;width=450&amp;height=300&amp;START_MAXIMIZED=FALSE"}</definedName>
    <definedName name="_97__123Graph_XChart_1" hidden="1">#REF!</definedName>
    <definedName name="_97__FDSAUDITLINK__" hidden="1">{"fdsup://IBCentral/FAT Viewer?action=UPDATE&amp;creator=factset&amp;DOC_NAME=fat:reuters_annual_source_window.fat&amp;display_string=Audit&amp;DYN_ARGS=TRUE&amp;VAR:ID1=775125&amp;VAR:RCODE=SCEX&amp;VAR:SDATE=20061299&amp;VAR:FREQ=Y&amp;VAR:RELITEM=RF&amp;VAR:CURRENCY=&amp;VAR:CURRSOURCE=EXSHARE&amp;VAR",":NATFREQ=ANNUAL&amp;VAR:RFIELD=FINALIZED&amp;VAR:DB_TYPE=&amp;VAR:UNITS=M&amp;window=popup&amp;width=450&amp;height=300&amp;START_MAXIMIZED=FALSE"}</definedName>
    <definedName name="_98__123Graph_XChart_2" hidden="1">#REF!</definedName>
    <definedName name="_98__FDSAUDITLINK__" hidden="1">{"fdsup://IBCentral/FAT Viewer?action=UPDATE&amp;creator=factset&amp;DOC_NAME=fat:reuters_annual_source_window.fat&amp;display_string=Audit&amp;DYN_ARGS=TRUE&amp;VAR:ID1=775125&amp;VAR:RCODE=NINC&amp;VAR:SDATE=20051299&amp;VAR:FREQ=Y&amp;VAR:RELITEM=RF&amp;VAR:CURRENCY=&amp;VAR:CURRSOURCE=EXSHARE&amp;VAR",":NATFREQ=ANNUAL&amp;VAR:RFIELD=FINALIZED&amp;VAR:DB_TYPE=&amp;VAR:UNITS=M&amp;window=popup&amp;width=450&amp;height=300&amp;START_MAXIMIZED=FALSE"}</definedName>
    <definedName name="_99__123Graph_XCHART_20" hidden="1">#REF!</definedName>
    <definedName name="_99__FDSAUDITLINK__" hidden="1">{"fdsup://IBCentral/FAT Viewer?action=UPDATE&amp;creator=factset&amp;DOC_NAME=fat:reuters_annual_source_window.fat&amp;display_string=Audit&amp;DYN_ARGS=TRUE&amp;VAR:ID1=775125&amp;VAR:RCODE=NINC&amp;VAR:SDATE=20061299&amp;VAR:FREQ=Y&amp;VAR:RELITEM=RF&amp;VAR:CURRENCY=&amp;VAR:CURRSOURCE=EXSHARE&amp;VAR",":NATFREQ=ANNUAL&amp;VAR:RFIELD=FINALIZED&amp;VAR:DB_TYPE=&amp;VAR:UNITS=M&amp;window=popup&amp;width=450&amp;height=300&amp;START_MAXIMIZED=FALSE"}</definedName>
    <definedName name="_9Excel_BuiltIn_Print_Area_1_1_1_2_1">#REF!</definedName>
    <definedName name="_9Excel_BuiltIn_Recorder_1">#REF!</definedName>
    <definedName name="_a">#N/A</definedName>
    <definedName name="_a_1">NA()</definedName>
    <definedName name="_a_1_1">NA()</definedName>
    <definedName name="_a1" hidden="1">{#N/A,#N/A,FALSE,"FlCx99";#N/A,#N/A,FALSE,"Dívida99"}</definedName>
    <definedName name="_a1_1" hidden="1">{#N/A,#N/A,FALSE,"FlCx99";#N/A,#N/A,FALSE,"Dívida99"}</definedName>
    <definedName name="_a1_2" hidden="1">{#N/A,#N/A,FALSE,"FlCx99";#N/A,#N/A,FALSE,"Dívida99"}</definedName>
    <definedName name="_a1_3" hidden="1">{#N/A,#N/A,FALSE,"FlCx99";#N/A,#N/A,FALSE,"Dívida99"}</definedName>
    <definedName name="_a1_4" hidden="1">{#N/A,#N/A,FALSE,"FlCx99";#N/A,#N/A,FALSE,"Dívida99"}</definedName>
    <definedName name="_a1_5" hidden="1">{#N/A,#N/A,FALSE,"FlCx99";#N/A,#N/A,FALSE,"Dívida99"}</definedName>
    <definedName name="_A11" hidden="1">{#N/A,#N/A,FALSE,"Umsatz 99";#N/A,#N/A,FALSE,"ER 99 "}</definedName>
    <definedName name="_a3" hidden="1">{#N/A,#N/A,FALSE,"FlCx99";#N/A,#N/A,FALSE,"Dívida99"}</definedName>
    <definedName name="_a3_1" hidden="1">{#N/A,#N/A,FALSE,"FlCx99";#N/A,#N/A,FALSE,"Dívida99"}</definedName>
    <definedName name="_a3_2" hidden="1">{#N/A,#N/A,FALSE,"FlCx99";#N/A,#N/A,FALSE,"Dívida99"}</definedName>
    <definedName name="_a3_3" hidden="1">{#N/A,#N/A,FALSE,"FlCx99";#N/A,#N/A,FALSE,"Dívida99"}</definedName>
    <definedName name="_a3_4" hidden="1">{#N/A,#N/A,FALSE,"FlCx99";#N/A,#N/A,FALSE,"Dívida99"}</definedName>
    <definedName name="_a3_5" hidden="1">{#N/A,#N/A,FALSE,"FlCx99";#N/A,#N/A,FALSE,"Dívida99"}</definedName>
    <definedName name="_a4" hidden="1">{#N/A,#N/A,FALSE,"FlCx99";#N/A,#N/A,FALSE,"Dívida99"}</definedName>
    <definedName name="_a4_1" hidden="1">{#N/A,#N/A,FALSE,"FlCx99";#N/A,#N/A,FALSE,"Dívida99"}</definedName>
    <definedName name="_a4_2" hidden="1">{#N/A,#N/A,FALSE,"FlCx99";#N/A,#N/A,FALSE,"Dívida99"}</definedName>
    <definedName name="_a4_3" hidden="1">{#N/A,#N/A,FALSE,"FlCx99";#N/A,#N/A,FALSE,"Dívida99"}</definedName>
    <definedName name="_a4_4" hidden="1">{#N/A,#N/A,FALSE,"FlCx99";#N/A,#N/A,FALSE,"Dívida99"}</definedName>
    <definedName name="_a4_5" hidden="1">{#N/A,#N/A,FALSE,"FlCx99";#N/A,#N/A,FALSE,"Dívida99"}</definedName>
    <definedName name="_a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aaa1" hidden="1">{#N/A,#N/A,FALSE,"REPORT"}</definedName>
    <definedName name="_aaa234">INDEX(#REF!,0,2)</definedName>
    <definedName name="_aas1" hidden="1">{#N/A,#N/A,FALSE,"REPORT"}</definedName>
    <definedName name="_ac1" hidden="1">{#N/A,#N/A,FALSE,"COVER1.XLS ";#N/A,#N/A,FALSE,"RACT1.XLS";#N/A,#N/A,FALSE,"RACT2.XLS";#N/A,#N/A,FALSE,"ECCMP";#N/A,#N/A,FALSE,"WELDER.XLS"}</definedName>
    <definedName name="_ACS2000" hidden="1">{#N/A,#N/A,FALSE,"REPORT"}</definedName>
    <definedName name="_All1">#REF!</definedName>
    <definedName name="_All2">#REF!</definedName>
    <definedName name="_ANN1">#REF!</definedName>
    <definedName name="_AP1">#N/A</definedName>
    <definedName name="_AP2">#N/A</definedName>
    <definedName name="_AP3">#N/A</definedName>
    <definedName name="_apr09">#REF!</definedName>
    <definedName name="_ASA1" hidden="1">{#N/A,#N/A,FALSE,"CAT3516";#N/A,#N/A,FALSE,"CAT3608";#N/A,#N/A,FALSE,"Wartsila";#N/A,#N/A,FALSE,"Asm";#N/A,#N/A,FALSE,"DG cost"}</definedName>
    <definedName name="_ASA1_1" hidden="1">{#N/A,#N/A,FALSE,"CAT3516";#N/A,#N/A,FALSE,"CAT3608";#N/A,#N/A,FALSE,"Wartsila";#N/A,#N/A,FALSE,"Asm";#N/A,#N/A,FALSE,"DG cost"}</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111" hidden="1">{#N/A,#N/A,FALSE,"Pharm";#N/A,#N/A,FALSE,"WWCM"}</definedName>
    <definedName name="_b2" hidden="1">{"PVGraph2",#N/A,FALSE,"PV Data"}</definedName>
    <definedName name="_b2_1" hidden="1">{"PVGraph2",#N/A,FALSE,"PV Data"}</definedName>
    <definedName name="_b2_2" hidden="1">{"PVGraph2",#N/A,FALSE,"PV Data"}</definedName>
    <definedName name="_b2_3" hidden="1">{"PVGraph2",#N/A,FALSE,"PV Data"}</definedName>
    <definedName name="_b2_4" hidden="1">{"PVGraph2",#N/A,FALSE,"PV Data"}</definedName>
    <definedName name="_b2_5" hidden="1">{"PVGraph2",#N/A,FALSE,"PV Data"}</definedName>
    <definedName name="_b5">#N/A</definedName>
    <definedName name="_b6">#N/A</definedName>
    <definedName name="_BA1" hidden="1">{"'Directory'!$A$72:$E$91"}</definedName>
    <definedName name="_BA12" hidden="1">{"'Directory'!$A$72:$E$91"}</definedName>
    <definedName name="_BA14" hidden="1">{"'Directory'!$A$72:$E$91"}</definedName>
    <definedName name="_BA15" hidden="1">{"'Directory'!$A$72:$E$91"}</definedName>
    <definedName name="_BA16" hidden="1">{"'Directory'!$A$72:$E$91"}</definedName>
    <definedName name="_BA17" hidden="1">{#N/A,#N/A,FALSE,"Earn'gs &amp; Val'n";#N/A,#N/A,FALSE,"Interim"}</definedName>
    <definedName name="_BA2" hidden="1">{"'Directory'!$A$72:$E$91"}</definedName>
    <definedName name="_BA3" hidden="1">{"'Directory'!$A$72:$E$91"}</definedName>
    <definedName name="_BA4" hidden="1">{"'Directory'!$A$72:$E$91"}</definedName>
    <definedName name="_bdm.0A7799A20A7B4EABAE083AD6C1BD859E.edm" hidden="1">#REF!</definedName>
    <definedName name="_bdm.1333164AD65445D0B9CF0E01353A6BEF.edm" hidden="1">#REF!</definedName>
    <definedName name="_bdm.21D7D386D9E84985AF664F3C7799C259.edm" hidden="1">#REF!</definedName>
    <definedName name="_bdm.2A91C1ED3A2545C59EA4503C8F8573E9.edm" hidden="1">#REF!</definedName>
    <definedName name="_bdm.33B70CF3A0F2437297087AD3DF03D4F0.edm" hidden="1">#REF!</definedName>
    <definedName name="_bdm.37F654CA053B431DAD5B675C9DB59A1F.edm" hidden="1">#REF!</definedName>
    <definedName name="_bdm.623926599D314EB19888B270F00CE46B.edm" hidden="1">#REF!</definedName>
    <definedName name="_bdm.66EB2CED205C4212998F04F10A7D7AC6.edm" hidden="1">#REF!</definedName>
    <definedName name="_bdm.67BC21E674014F51BAAC0A526DF5929B.edm" hidden="1">#REF!</definedName>
    <definedName name="_bdm.6BBE47BA1A9C4BAF8B7D9D4618823018.edm" hidden="1">#REF!</definedName>
    <definedName name="_bdm.861AF31121C74C0B9AEF83C8AB3BB91C.edm" hidden="1">#REF!</definedName>
    <definedName name="_bdm.86CF4161BD9E44EDA61CA69429042A87.edm" hidden="1">#REF!</definedName>
    <definedName name="_bdm.8FD9BA0D910D449A86620F1DEDE09F5F.edm" hidden="1">#REF!</definedName>
    <definedName name="_bdm.91A4EE26DF9A4178B6136735ACF67D2F.edm" hidden="1">#REF!</definedName>
    <definedName name="_bdm.94552F8284444FBD945B72D49DE5FB6E.edm" hidden="1">#REF!</definedName>
    <definedName name="_bdm.B53DB447370A4BBE95B1CA8145D1BC90.edm" hidden="1">#REF!</definedName>
    <definedName name="_bdm.C540E9950CBF4F60951F2074C39BADB6.edm" hidden="1">#REF!</definedName>
    <definedName name="_bdm.C5B790F3F2A94CA48C158E8DC5C43C61.edm" hidden="1">#REF!</definedName>
    <definedName name="_bdm.DD6CA6C4BD064C8CB247ED367297AB45.edm" hidden="1">#REF!</definedName>
    <definedName name="_bdm.EB4A45E593104102B34B7741F00678B2.edm" hidden="1">#REF!</definedName>
    <definedName name="_bdm.ED408283517448EAAA78235AD8A1FEAD.edm" hidden="1">#REF!</definedName>
    <definedName name="_beq3">#REF!</definedName>
    <definedName name="_beq4">#REF!</definedName>
    <definedName name="_beq5">#REF!</definedName>
    <definedName name="_beq6">#REF!</definedName>
    <definedName name="_brl2">#REF!</definedName>
    <definedName name="_bs1">#REF!</definedName>
    <definedName name="_BSADJ">#REF!</definedName>
    <definedName name="_BSTGT">#REF!</definedName>
    <definedName name="_c" hidden="1">{"Fiesta Facer Page",#N/A,FALSE,"Q_C_S";"Fiesta Main Page",#N/A,FALSE,"V_L";"Fiesta 95BP Struct",#N/A,FALSE,"StructBP";"Fiesta Post 95BP Struct",#N/A,FALSE,"AdjStructBP"}</definedName>
    <definedName name="_c01234">#N/A</definedName>
    <definedName name="_c0321">#N/A</definedName>
    <definedName name="_C2">#REF!</definedName>
    <definedName name="_C2_1">#REF!</definedName>
    <definedName name="_C2_10">"'file:///Z:/Cons-Dec`10/Consolidation Dec 10.xls'#$BS.$#REF!$#REF!:$#REF!$#REF!"</definedName>
    <definedName name="_C2_11">"'file:///Z:/Cons-Dec`10/Consolidation Dec 10.xls'#$BS.$#REF!$#REF!:$#REF!$#REF!"</definedName>
    <definedName name="_C2_12">"'file:///Z:/Cons-Dec`10/Consolidation Dec 10.xls'#$BS.$#REF!$#REF!:$#REF!$#REF!"</definedName>
    <definedName name="_C2_13">"'file:///Z:/Cons-Dec`10/Consolidation Dec 10.xls'#$BS.$#REF!$#REF!:$#REF!$#REF!"</definedName>
    <definedName name="_C2_15">"'file:///Z:/Cons-Dec`10/Consolidation Dec 10.xls'#$BS.$#REF!$#REF!:$#REF!$#REF!"</definedName>
    <definedName name="_C2_4">"'file:///Z:/Cons-Dec`10/Consolidation Dec 10.xls'#$BS.$#REF!$#REF!:$#REF!$#REF!"</definedName>
    <definedName name="_C2_5">#REF!</definedName>
    <definedName name="_C2_6">"'file:///Z:/Cons-Dec`10/Consolidation Dec 10.xls'#$BS.$#REF!$#REF!:$#REF!$#REF!"</definedName>
    <definedName name="_C2_7">"'file:///Z:/Cons-Dec`10/Consolidation Dec 10.xls'#$BS.$#REF!$#REF!:$#REF!$#REF!"</definedName>
    <definedName name="_C2_8">"'file:///Z:/Cons-Dec`10/Consolidation Dec 10.xls'#$BS.$#REF!$#REF!:$#REF!$#REF!"</definedName>
    <definedName name="_C2_9">"'file:///Z:/Cons-Dec`10/Consolidation Dec 10.xls'#$BS.$#REF!$#REF!:$#REF!$#REF!"</definedName>
    <definedName name="_CAO2">#REF!</definedName>
    <definedName name="_CAO3">#REF!</definedName>
    <definedName name="_cap10">#REF!</definedName>
    <definedName name="_cap11">#REF!</definedName>
    <definedName name="_cap12">#REF!</definedName>
    <definedName name="_cap13">#REF!</definedName>
    <definedName name="_cap14">#REF!</definedName>
    <definedName name="_cap15">#REF!</definedName>
    <definedName name="_cap6">#REF!</definedName>
    <definedName name="_cap7">#REF!</definedName>
    <definedName name="_cap8">#REF!</definedName>
    <definedName name="_cap9">#REF!</definedName>
    <definedName name="_CBS1">#N/A</definedName>
    <definedName name="_cc">INDEX(#REF!,0,1)</definedName>
    <definedName name="_ccc">INDEX(#REF!,0,1)</definedName>
    <definedName name="_cccc">INDEX(#REF!,0,1)</definedName>
    <definedName name="_chf2">#REF!</definedName>
    <definedName name="_co1">#N/A</definedName>
    <definedName name="_co10">#N/A</definedName>
    <definedName name="_co12">#N/A</definedName>
    <definedName name="_co123">#N/A</definedName>
    <definedName name="_co1233">#N/A</definedName>
    <definedName name="_co1234">#N/A</definedName>
    <definedName name="_co124">#N/A</definedName>
    <definedName name="_CO18">#N/A</definedName>
    <definedName name="_co2">#N/A</definedName>
    <definedName name="_co21">#N/A</definedName>
    <definedName name="_co22">#N/A</definedName>
    <definedName name="_co222">#N/A</definedName>
    <definedName name="_co23">#N/A</definedName>
    <definedName name="_co24">#N/A</definedName>
    <definedName name="_co25">#N/A</definedName>
    <definedName name="_co3">#N/A</definedName>
    <definedName name="_co32">#REF!</definedName>
    <definedName name="_co333">#N/A</definedName>
    <definedName name="_co34">#N/A</definedName>
    <definedName name="_co345">#N/A</definedName>
    <definedName name="_co4">#N/A</definedName>
    <definedName name="_co456">#N/A</definedName>
    <definedName name="_co5">#N/A</definedName>
    <definedName name="_co556">#N/A</definedName>
    <definedName name="_co56">#N/A</definedName>
    <definedName name="_co78">#N/A</definedName>
    <definedName name="_co79">#N/A</definedName>
    <definedName name="_co8">#N/A</definedName>
    <definedName name="_co9">#N/A</definedName>
    <definedName name="_co911">#N/A</definedName>
    <definedName name="_co912">#N/A</definedName>
    <definedName name="_CP2">#N/A</definedName>
    <definedName name="_cp3">#N/A</definedName>
    <definedName name="_cp4">#N/A</definedName>
    <definedName name="_CWT1">"$"</definedName>
    <definedName name="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D2" hidden="1">#REF!</definedName>
    <definedName name="_DAP1">"#REF!"</definedName>
    <definedName name="_DAP2">"#REF!"</definedName>
    <definedName name="_DAP3">#N/A</definedName>
    <definedName name="_DAP3_1">#N/A</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5">#REF!</definedName>
    <definedName name="_DAT6">#REF!</definedName>
    <definedName name="_DAT7">#REF!</definedName>
    <definedName name="_DAT8">#REF!</definedName>
    <definedName name="_DAT9">#REF!</definedName>
    <definedName name="_DCB2">#REF!</definedName>
    <definedName name="_DFG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Dist_Values" hidden="1">#REF!</definedName>
    <definedName name="_dkk1">#REF!</definedName>
    <definedName name="_dkk2">#REF!</definedName>
    <definedName name="_DLX1.USE">#REF!</definedName>
    <definedName name="_DLX2.USE">#REF!</definedName>
    <definedName name="_DLX3.USE">#REF!</definedName>
    <definedName name="_DLX4.USE">#REF!</definedName>
    <definedName name="_dol2">#REF!</definedName>
    <definedName name="_DRE0700" hidden="1">{"'PXR_6500'!$A$1:$I$124"}</definedName>
    <definedName name="_DT1">#N/A</definedName>
    <definedName name="_dt2">#N/A</definedName>
    <definedName name="_EPRCS_REPORT_PACKAGE_ID_" hidden="1">"ea17fdc5-41be-4ae1-a81f-09418cbeed2e"</definedName>
    <definedName name="_EPRCS_RP_DOCLET_ID_" hidden="1">"5f3763fc-eca6-4724-b15f-d5c6c85fbf10"</definedName>
    <definedName name="_err2">#REF!</definedName>
    <definedName name="_exp10">#REF!</definedName>
    <definedName name="_exp11">#REF!</definedName>
    <definedName name="_exp12">#REF!</definedName>
    <definedName name="_EXP22">#REF!</definedName>
    <definedName name="_exp5">#REF!</definedName>
    <definedName name="_exp7">#REF!</definedName>
    <definedName name="_exp8">#REF!</definedName>
    <definedName name="_exp9">#REF!</definedName>
    <definedName name="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feb09">#REF!</definedName>
    <definedName name="_FEB1">#REF!</definedName>
    <definedName name="_FEB107" hidden="1">#REF!</definedName>
    <definedName name="_FEB2">#REF!</definedName>
    <definedName name="_Fill" hidden="1">#REF!</definedName>
    <definedName name="_xlnm._FilterDatabase" localSheetId="0" hidden="1">'AR - slide BoD'!$A$21:$T$129</definedName>
    <definedName name="_xlnm._FilterDatabase" localSheetId="19" hidden="1">'Bad Debt Provision'!$A$3:$AE$607</definedName>
    <definedName name="_xlnm._FilterDatabase" localSheetId="13" hidden="1">'Cliente Aditivo'!$A$3:$AL$172</definedName>
    <definedName name="_xlnm._FilterDatabase" localSheetId="14" hidden="1">'Cliente Fertilizante'!$A$3:$AL$62</definedName>
    <definedName name="_xlnm._FilterDatabase" localSheetId="15" hidden="1">'Cliente Internacional'!$A$3:$AL$37</definedName>
    <definedName name="_xlnm._FilterDatabase" localSheetId="8" hidden="1">'Clientes Consolidado.'!$A$3:$AL$47</definedName>
    <definedName name="_xlnm._FilterDatabase" localSheetId="5" hidden="1">'Data Additive'!$A$2:$R$286</definedName>
    <definedName name="_xlnm._FilterDatabase" localSheetId="7" hidden="1">'Data Fertilizers'!$A$2:$S$391</definedName>
    <definedName name="_xlnm._FilterDatabase" localSheetId="6" hidden="1">'Data International'!$A$2:$S$41</definedName>
    <definedName name="_xlnm._FilterDatabase" localSheetId="3" hidden="1">'Data total'!$A$2:$R$778</definedName>
    <definedName name="_xlnm._FilterDatabase" localSheetId="4" hidden="1">'freight debit notes'!$A$2:$Q$2</definedName>
    <definedName name="_xlnm._FilterDatabase" localSheetId="17" hidden="1">'Limite de crédito'!$A$1:$Q$178</definedName>
    <definedName name="_xlnm._FilterDatabase" localSheetId="10" hidden="1">'Nova Versão '!$B$2:$AA$126</definedName>
    <definedName name="_xlnm._FilterDatabase" localSheetId="11" hidden="1">'Painel Additive'!$A$3:$AK$135</definedName>
    <definedName name="_xlnm._FilterDatabase" localSheetId="12" hidden="1">'Painel Fertilizers'!$A$3:$AK$62</definedName>
    <definedName name="_xlnm._FilterDatabase" localSheetId="16" hidden="1">'Painel International'!$A$3:$AL$28</definedName>
    <definedName name="_xlnm._FilterDatabase" localSheetId="20" hidden="1">Planilha3!$A$1:$C$240</definedName>
    <definedName name="_xlnm._FilterDatabase" hidden="1">#REF!</definedName>
    <definedName name="_fx1">#REF!</definedName>
    <definedName name="_FX2">#N/A</definedName>
    <definedName name="_gfa10">#REF!</definedName>
    <definedName name="_gfa11">#REF!</definedName>
    <definedName name="_gfa12">#REF!</definedName>
    <definedName name="_gfa13">#REF!</definedName>
    <definedName name="_gfa14">#REF!</definedName>
    <definedName name="_gfa15">#REF!</definedName>
    <definedName name="_gfa6">#REF!</definedName>
    <definedName name="_gfa7">#REF!</definedName>
    <definedName name="_gfa8">#REF!</definedName>
    <definedName name="_gfa9">#REF!</definedName>
    <definedName name="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GPg1">#REF!</definedName>
    <definedName name="_GPg2">#REF!</definedName>
    <definedName name="_Grp12">#REF!</definedName>
    <definedName name="_Grp13">#REF!</definedName>
    <definedName name="_Grp14">#REF!</definedName>
    <definedName name="_Grp15">#REF!</definedName>
    <definedName name="_Grp2">#REF!</definedName>
    <definedName name="_h9999">#N/A</definedName>
    <definedName name="_Hal2">#REF!</definedName>
    <definedName name="_HTM1">#REF!</definedName>
    <definedName name="_HTM2">#REF!</definedName>
    <definedName name="_HTM3">#REF!</definedName>
    <definedName name="_h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I">#REF!</definedName>
    <definedName name="_I_1">"#REF!"</definedName>
    <definedName name="_I_1_1">NA()</definedName>
    <definedName name="_I_2">#REF!</definedName>
    <definedName name="_I_3">#REF!</definedName>
    <definedName name="_I_31">#REF!</definedName>
    <definedName name="_I_4">#REF!</definedName>
    <definedName name="_I2" hidden="1">{"PVGraph2",#N/A,FALSE,"PV Data"}</definedName>
    <definedName name="_I2_1" hidden="1">{"PVGraph2",#N/A,FALSE,"PV Data"}</definedName>
    <definedName name="_I2_2" hidden="1">{"PVGraph2",#N/A,FALSE,"PV Data"}</definedName>
    <definedName name="_I2_3" hidden="1">{"PVGraph2",#N/A,FALSE,"PV Data"}</definedName>
    <definedName name="_I2_4" hidden="1">{"PVGraph2",#N/A,FALSE,"PV Data"}</definedName>
    <definedName name="_I2_5" hidden="1">{"PVGraph2",#N/A,FALSE,"PV Data"}</definedName>
    <definedName name="_I22" hidden="1">{"PVGraph2",#N/A,FALSE,"PV Data"}</definedName>
    <definedName name="_I22_1" hidden="1">{"PVGraph2",#N/A,FALSE,"PV Data"}</definedName>
    <definedName name="_I22_2" hidden="1">{"PVGraph2",#N/A,FALSE,"PV Data"}</definedName>
    <definedName name="_I22_3" hidden="1">{"PVGraph2",#N/A,FALSE,"PV Data"}</definedName>
    <definedName name="_I22_4" hidden="1">{"PVGraph2",#N/A,FALSE,"PV Data"}</definedName>
    <definedName name="_I22_5" hidden="1">{"PVGraph2",#N/A,FALSE,"PV Data"}</definedName>
    <definedName name="_I3" hidden="1">{"PVGraph2",#N/A,FALSE,"PV Data"}</definedName>
    <definedName name="_I3_1" hidden="1">{"PVGraph2",#N/A,FALSE,"PV Data"}</definedName>
    <definedName name="_I3_2" hidden="1">{"PVGraph2",#N/A,FALSE,"PV Data"}</definedName>
    <definedName name="_I3_3" hidden="1">{"PVGraph2",#N/A,FALSE,"PV Data"}</definedName>
    <definedName name="_I3_4" hidden="1">{"PVGraph2",#N/A,FALSE,"PV Data"}</definedName>
    <definedName name="_I3_5" hidden="1">{"PVGraph2",#N/A,FALSE,"PV Data"}</definedName>
    <definedName name="_I7">#N/A</definedName>
    <definedName name="_II2" hidden="1">{"PVGraph2",#N/A,FALSE,"PV Data"}</definedName>
    <definedName name="_II2_1" hidden="1">{"PVGraph2",#N/A,FALSE,"PV Data"}</definedName>
    <definedName name="_II2_2" hidden="1">{"PVGraph2",#N/A,FALSE,"PV Data"}</definedName>
    <definedName name="_II2_3" hidden="1">{"PVGraph2",#N/A,FALSE,"PV Data"}</definedName>
    <definedName name="_II2_4" hidden="1">{"PVGraph2",#N/A,FALSE,"PV Data"}</definedName>
    <definedName name="_II2_5" hidden="1">{"PVGraph2",#N/A,FALSE,"PV Data"}</definedName>
    <definedName name="_INDUSTRY_MATERIAL_BALA">#REF!</definedName>
    <definedName name="_inv3">#REF!</definedName>
    <definedName name="_inv4">#REF!</definedName>
    <definedName name="_inv5">#REF!</definedName>
    <definedName name="_inv6">#REF!</definedName>
    <definedName name="_jan09">#REF!</definedName>
    <definedName name="_JAN10" hidden="1">{#N/A,#N/A,FALSE,"Ut";#N/A,#N/A,FALSE,"UT-h"}</definedName>
    <definedName name="_JAN2">#REF!</definedName>
    <definedName name="_JAN2010" hidden="1">{#N/A,#N/A,FALSE,"Ut";#N/A,#N/A,FALSE,"UT-h"}</definedName>
    <definedName name="_jan98">#REF!</definedName>
    <definedName name="_Jnr1">#REF!</definedName>
    <definedName name="_Jnr3">#REF!</definedName>
    <definedName name="_Jnr4">#REF!</definedName>
    <definedName name="_JU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2">#N/A</definedName>
    <definedName name="_kedar" hidden="1">#REF!</definedName>
    <definedName name="_key" hidden="1">#REF!</definedName>
    <definedName name="_Key1" hidden="1">#REF!</definedName>
    <definedName name="_Key2" hidden="1">#REF!</definedName>
    <definedName name="_kj1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16"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8"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vs1" hidden="1">{#N/A,#N/A,FALSE,"COVER1.XLS ";#N/A,#N/A,FALSE,"RACT1.XLS";#N/A,#N/A,FALSE,"RACT2.XLS";#N/A,#N/A,FALSE,"ECCMP";#N/A,#N/A,FALSE,"WELDER.XLS"}</definedName>
    <definedName name="_kvs2" hidden="1">{#N/A,#N/A,FALSE,"COVER1.XLS ";#N/A,#N/A,FALSE,"RACT1.XLS";#N/A,#N/A,FALSE,"RACT2.XLS";#N/A,#N/A,FALSE,"ECCMP";#N/A,#N/A,FALSE,"WELDER.XLS"}</definedName>
    <definedName name="_kvs5" hidden="1">{#N/A,#N/A,FALSE,"COVER.XLS";#N/A,#N/A,FALSE,"RACT1.XLS";#N/A,#N/A,FALSE,"RACT2.XLS";#N/A,#N/A,FALSE,"ECCMP";#N/A,#N/A,FALSE,"WELDER.XLS"}</definedName>
    <definedName name="_kvs8" hidden="1">{#N/A,#N/A,FALSE,"COVER1.XLS ";#N/A,#N/A,FALSE,"RACT1.XLS";#N/A,#N/A,FALSE,"RACT2.XLS";#N/A,#N/A,FALSE,"ECCMP";#N/A,#N/A,FALSE,"WELDER.XLS"}</definedName>
    <definedName name="_LinkPic_99F7FE748B644402A364491752B83E6F">#REF!</definedName>
    <definedName name="_lit1">#REF!</definedName>
    <definedName name="_lit2">#REF!</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2">#N/A</definedName>
    <definedName name="_MA01">#REF!</definedName>
    <definedName name="_MA012011">#REF!</definedName>
    <definedName name="_MA02">#REF!</definedName>
    <definedName name="_MA022011">#REF!</definedName>
    <definedName name="_MA03">#REF!</definedName>
    <definedName name="_MA032011">#REF!</definedName>
    <definedName name="_MA04">#REF!</definedName>
    <definedName name="_MA042011">#REF!</definedName>
    <definedName name="_MA05">#REF!</definedName>
    <definedName name="_MA052011">#REF!</definedName>
    <definedName name="_MA06">#REF!</definedName>
    <definedName name="_MA062011">#REF!</definedName>
    <definedName name="_mar09">#REF!</definedName>
    <definedName name="_MAR1">#REF!</definedName>
    <definedName name="_MAR2">#REF!</definedName>
    <definedName name="_may09">#REF!</definedName>
    <definedName name="_MB01">#REF!</definedName>
    <definedName name="_MB02">#REF!</definedName>
    <definedName name="_MB03">#REF!</definedName>
    <definedName name="_MB04">#REF!</definedName>
    <definedName name="_MB05">#REF!</definedName>
    <definedName name="_MB06">#REF!</definedName>
    <definedName name="_mf12">#REF!</definedName>
    <definedName name="_mfA12">#REF!</definedName>
    <definedName name="_mil3">#REF!</definedName>
    <definedName name="_mxn2">#REF!</definedName>
    <definedName name="_new1" hidden="1">{#N/A,#N/A,FALSE,"Pharm";#N/A,#N/A,FALSE,"WWCM"}</definedName>
    <definedName name="_nfa10">#REF!</definedName>
    <definedName name="_nfa11">#REF!</definedName>
    <definedName name="_nfa12">#REF!</definedName>
    <definedName name="_nfa13">#REF!</definedName>
    <definedName name="_nfa14">#REF!</definedName>
    <definedName name="_nfa15">#REF!</definedName>
    <definedName name="_nfa6">#REF!</definedName>
    <definedName name="_nfa7">#REF!</definedName>
    <definedName name="_nfa8">#REF!</definedName>
    <definedName name="_nfa9">#REF!</definedName>
    <definedName name="_NPK1">"#REF!"</definedName>
    <definedName name="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NPK2">"#REF!"</definedName>
    <definedName name="_NSR1" hidden="1">{"Financial Performance_SP",#N/A,FALSE,"Fin Perf(Sp)";"Operational Indicators_SP",#N/A,FALSE,"Op Ind(sp)";"Resources Utilisation_SP",#N/A,FALSE,"ResUtil (Sp)"}</definedName>
    <definedName name="_NSR2"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_NSR4" hidden="1">{"Financial Performance_SP",#N/A,FALSE,"Fin Perf(Sp)";"Operational Indicators_SP",#N/A,FALSE,"Op Ind(sp)";"Resources Utilisation_SP",#N/A,FALSE,"ResUtil (Sp)"}</definedName>
    <definedName name="_NSR5" hidden="1">{"Financial Performance_SP",#N/A,FALSE,"Fin Perf(Sp)";"Operational Indicators_SP",#N/A,FALSE,"Op Ind(sp)";"Resources Utilisation_SP",#N/A,FALSE,"ResUtil (Sp)"}</definedName>
    <definedName name="_Num01">#REF!</definedName>
    <definedName name="_Num97">#REF!</definedName>
    <definedName name="_Num98">#REF!</definedName>
    <definedName name="_Num99">#REF!</definedName>
    <definedName name="_Order1" hidden="1">255</definedName>
    <definedName name="_Order1_1" hidden="1">0</definedName>
    <definedName name="_Order2" hidden="1">255</definedName>
    <definedName name="_owc3">#REF!</definedName>
    <definedName name="_owc4">#REF!</definedName>
    <definedName name="_owc5">#REF!</definedName>
    <definedName name="_owc6">#REF!</definedName>
    <definedName name="_p">#REF!</definedName>
    <definedName name="_p_1">NA()</definedName>
    <definedName name="_p_1_1">NA()</definedName>
    <definedName name="_p_2">#REF!</definedName>
    <definedName name="_p_3">#REF!</definedName>
    <definedName name="_p_31">#REF!</definedName>
    <definedName name="_p_33">#REF!</definedName>
    <definedName name="_p_4">#REF!</definedName>
    <definedName name="_PAG1">#REF!</definedName>
    <definedName name="_PAG10">#REF!</definedName>
    <definedName name="_PAG11">#REF!</definedName>
    <definedName name="_PAG2">#REF!</definedName>
    <definedName name="_PAG3">#REF!</definedName>
    <definedName name="_PAG4">#REF!</definedName>
    <definedName name="_PAG5">#REF!</definedName>
    <definedName name="_PAG6">#REF!</definedName>
    <definedName name="_PAG7">#REF!</definedName>
    <definedName name="_PAG8">#REF!</definedName>
    <definedName name="_PAG9">#REF!</definedName>
    <definedName name="_Parse_Out" hidden="1">#REF!</definedName>
    <definedName name="_PB01">#REF!</definedName>
    <definedName name="_PB02">#REF!</definedName>
    <definedName name="_PB04">#REF!</definedName>
    <definedName name="_PC01">#REF!</definedName>
    <definedName name="_PC02">#REF!</definedName>
    <definedName name="_PC03">#REF!</definedName>
    <definedName name="_PC11">#REF!</definedName>
    <definedName name="_PC12">#REF!</definedName>
    <definedName name="_PC2">#REF!</definedName>
    <definedName name="_PC3">#REF!</definedName>
    <definedName name="_PC4">#REF!</definedName>
    <definedName name="_PC5">#REF!</definedName>
    <definedName name="_PC6">#REF!</definedName>
    <definedName name="_PC7">#REF!</definedName>
    <definedName name="_PC8">#REF!</definedName>
    <definedName name="_PC9">#REF!</definedName>
    <definedName name="_pcc36">#REF!</definedName>
    <definedName name="_pcc37">#REF!</definedName>
    <definedName name="_PDA1">#REF!</definedName>
    <definedName name="_PDA2">#REF!</definedName>
    <definedName name="_PDA3">#REF!</definedName>
    <definedName name="_pdg1">#REF!</definedName>
    <definedName name="_pdg2">#REF!</definedName>
    <definedName name="_PE_REV">#REF!</definedName>
    <definedName name="_Pg1">#REF!</definedName>
    <definedName name="_pg10">"#REF!"</definedName>
    <definedName name="_pg11">"#REF!"</definedName>
    <definedName name="_pg14">"#REF!"</definedName>
    <definedName name="_pg15">"#REF!"</definedName>
    <definedName name="_pg16">"#REF!"</definedName>
    <definedName name="_pg17">"#REF!"</definedName>
    <definedName name="_pg18">"#REF!"</definedName>
    <definedName name="_PG2">#REF!</definedName>
    <definedName name="_PG22">"#REF!"</definedName>
    <definedName name="_PG23">"#REF!"</definedName>
    <definedName name="_PG24">"#REF!"</definedName>
    <definedName name="_PG3">#REF!</definedName>
    <definedName name="_PG4">#REF!</definedName>
    <definedName name="_pg40">#N/A</definedName>
    <definedName name="_PG9">#REF!</definedName>
    <definedName name="_pjt2">#REF!</definedName>
    <definedName name="_pl3">#REF!</definedName>
    <definedName name="_PLN2">#REF!</definedName>
    <definedName name="_PRD1">237</definedName>
    <definedName name="_PRD3">#REF!</definedName>
    <definedName name="_PRN1" hidden="1">{#N/A,#N/A,FALSE,"COVER.XLS";#N/A,#N/A,FALSE,"RACT1.XLS";#N/A,#N/A,FALSE,"RACT2.XLS";#N/A,#N/A,FALSE,"ECCMP";#N/A,#N/A,FALSE,"WELDER.XLS"}</definedName>
    <definedName name="_PRT1">#REF!</definedName>
    <definedName name="_PS1">#REF!</definedName>
    <definedName name="_ps2">#REF!</definedName>
    <definedName name="_ps3">#REF!</definedName>
    <definedName name="_PSF1">#REF!</definedName>
    <definedName name="_PSF2">#REF!</definedName>
    <definedName name="_PSF3">#REF!</definedName>
    <definedName name="_PSF4">#REF!</definedName>
    <definedName name="_PSF5">#REF!</definedName>
    <definedName name="_PSF6">#REF!</definedName>
    <definedName name="_PST1">#REF!</definedName>
    <definedName name="_PT1">#REF!</definedName>
    <definedName name="_PT2">#REF!</definedName>
    <definedName name="_PWR2">620</definedName>
    <definedName name="_PZ01">#REF!</definedName>
    <definedName name="_PZ02">#REF!</definedName>
    <definedName name="_PZ03">#REF!</definedName>
    <definedName name="_PZ04">#REF!</definedName>
    <definedName name="_PZ05">#REF!</definedName>
    <definedName name="_PZ06">#REF!</definedName>
    <definedName name="_q">#N/A</definedName>
    <definedName name="_q_1">NA()</definedName>
    <definedName name="_q_1_1">NA()</definedName>
    <definedName name="_Q1">#N/A</definedName>
    <definedName name="_q22">#N/A</definedName>
    <definedName name="_q234" hidden="1">#REF!</definedName>
    <definedName name="_QTR1">#REF!</definedName>
    <definedName name="_QTR2">#REF!</definedName>
    <definedName name="_QTR3">#REF!</definedName>
    <definedName name="_QTR4">#REF!</definedName>
    <definedName name="_r" hidden="1">{#N/A,#N/A,FALSE,"Pharm";#N/A,#N/A,FALSE,"WWCM"}</definedName>
    <definedName name="_RE">#REF!</definedName>
    <definedName name="_Regression_Int" hidden="1">1</definedName>
    <definedName name="_Regression_Out" hidden="1">#REF!</definedName>
    <definedName name="_Regression_X" hidden="1">#REF!</definedName>
    <definedName name="_Regression_Y" hidden="1">#REF!</definedName>
    <definedName name="_res1">#REF!</definedName>
    <definedName name="_res2">#REF!</definedName>
    <definedName name="_res3">#REF!</definedName>
    <definedName name="_rev2">#REF!</definedName>
    <definedName name="_RM1">#REF!</definedName>
    <definedName name="_RM2">#REF!</definedName>
    <definedName name="_RM3">#REF!</definedName>
    <definedName name="_s1" hidden="1">#REF!</definedName>
    <definedName name="_s2" hidden="1">#REF!</definedName>
    <definedName name="_s3" hidden="1">#REF!</definedName>
    <definedName name="_s4" hidden="1">#REF!</definedName>
    <definedName name="_s5" hidden="1">#REF!</definedName>
    <definedName name="_s6" hidden="1">#REF!</definedName>
    <definedName name="_SCB1">#REF!</definedName>
    <definedName name="_SCB2">#REF!</definedName>
    <definedName name="_Sch10">#REF!</definedName>
    <definedName name="_Sch11">#REF!</definedName>
    <definedName name="_Sch12">#REF!</definedName>
    <definedName name="_Sch13">#REF!</definedName>
    <definedName name="_Sch14">#REF!</definedName>
    <definedName name="_Sch15">#REF!</definedName>
    <definedName name="_Sch2">#REF!</definedName>
    <definedName name="_Sch4">#REF!</definedName>
    <definedName name="_Sch5">#REF!</definedName>
    <definedName name="_Sch6">#REF!</definedName>
    <definedName name="_Sch7">#REF!</definedName>
    <definedName name="_Sch8">#REF!</definedName>
    <definedName name="_Sch9">#REF!</definedName>
    <definedName name="_SDY2" hidden="1">#REF!</definedName>
    <definedName name="_sh5">#REF!</definedName>
    <definedName name="_slm10">#REF!</definedName>
    <definedName name="_slm11">#REF!</definedName>
    <definedName name="_slm12">#REF!</definedName>
    <definedName name="_slm13">#REF!</definedName>
    <definedName name="_slm14">#REF!</definedName>
    <definedName name="_slm15">#REF!</definedName>
    <definedName name="_slm6">#REF!</definedName>
    <definedName name="_slm7">#REF!</definedName>
    <definedName name="_slm8">#REF!</definedName>
    <definedName name="_slm9">#REF!</definedName>
    <definedName name="_SLP37">"#REF!"</definedName>
    <definedName name="_Sort" hidden="1">#REF!</definedName>
    <definedName name="_ss1">#REF!</definedName>
    <definedName name="_ss2">#REF!</definedName>
    <definedName name="_ss3">#REF!</definedName>
    <definedName name="_ss4">#REF!</definedName>
    <definedName name="_ss5">#REF!</definedName>
    <definedName name="_ss6">#REF!</definedName>
    <definedName name="_ss7">#REF!</definedName>
    <definedName name="_t2">#REF!</definedName>
    <definedName name="_t3">#REF!</definedName>
    <definedName name="_t5">#REF!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able3_In3" hidden="1">#REF!</definedName>
    <definedName name="_TC1">#N/A</definedName>
    <definedName name="_TC2">#N/A</definedName>
    <definedName name="_TC3">#N/A</definedName>
    <definedName name="_tm1" hidden="1">{#N/A,#N/A,FALSE,"Pharm";#N/A,#N/A,FALSE,"WWCM"}</definedName>
    <definedName name="_TR1">"$"</definedName>
    <definedName name="_ts1">#REF!</definedName>
    <definedName name="_ts2">#REF!</definedName>
    <definedName name="_Us1">#REF!</definedName>
    <definedName name="_Us2">#REF!</definedName>
    <definedName name="_USD1">#REF!</definedName>
    <definedName name="_V1" hidden="1">{#N/A,#N/A,FALSE,"FlCx99";#N/A,#N/A,FALSE,"Dívida99"}</definedName>
    <definedName name="_V1_1" hidden="1">{#N/A,#N/A,FALSE,"FlCx99";#N/A,#N/A,FALSE,"Dívida99"}</definedName>
    <definedName name="_V1_2" hidden="1">{#N/A,#N/A,FALSE,"FlCx99";#N/A,#N/A,FALSE,"Dívida99"}</definedName>
    <definedName name="_V1_3" hidden="1">{#N/A,#N/A,FALSE,"FlCx99";#N/A,#N/A,FALSE,"Dívida99"}</definedName>
    <definedName name="_V1_4" hidden="1">{#N/A,#N/A,FALSE,"FlCx99";#N/A,#N/A,FALSE,"Dívida99"}</definedName>
    <definedName name="_V1_5" hidden="1">{#N/A,#N/A,FALSE,"FlCx99";#N/A,#N/A,FALSE,"Dívida99"}</definedName>
    <definedName name="_V10" hidden="1">{#N/A,#N/A,FALSE,"FlCx99";#N/A,#N/A,FALSE,"Dívida99"}</definedName>
    <definedName name="_V10_1" hidden="1">{#N/A,#N/A,FALSE,"FlCx99";#N/A,#N/A,FALSE,"Dívida99"}</definedName>
    <definedName name="_V10_2" hidden="1">{#N/A,#N/A,FALSE,"FlCx99";#N/A,#N/A,FALSE,"Dívida99"}</definedName>
    <definedName name="_V10_3" hidden="1">{#N/A,#N/A,FALSE,"FlCx99";#N/A,#N/A,FALSE,"Dívida99"}</definedName>
    <definedName name="_V10_4" hidden="1">{#N/A,#N/A,FALSE,"FlCx99";#N/A,#N/A,FALSE,"Dívida99"}</definedName>
    <definedName name="_V10_5" hidden="1">{#N/A,#N/A,FALSE,"FlCx99";#N/A,#N/A,FALSE,"Dívida99"}</definedName>
    <definedName name="_V11" hidden="1">{#N/A,#N/A,FALSE,"FlCx99";#N/A,#N/A,FALSE,"Dívida99"}</definedName>
    <definedName name="_V11_1" hidden="1">{#N/A,#N/A,FALSE,"FlCx99";#N/A,#N/A,FALSE,"Dívida99"}</definedName>
    <definedName name="_V11_2" hidden="1">{#N/A,#N/A,FALSE,"FlCx99";#N/A,#N/A,FALSE,"Dívida99"}</definedName>
    <definedName name="_V11_3" hidden="1">{#N/A,#N/A,FALSE,"FlCx99";#N/A,#N/A,FALSE,"Dívida99"}</definedName>
    <definedName name="_V11_4" hidden="1">{#N/A,#N/A,FALSE,"FlCx99";#N/A,#N/A,FALSE,"Dívida99"}</definedName>
    <definedName name="_V11_5" hidden="1">{#N/A,#N/A,FALSE,"FlCx99";#N/A,#N/A,FALSE,"Dívida99"}</definedName>
    <definedName name="_V12" hidden="1">{#N/A,#N/A,FALSE,"FlCx99";#N/A,#N/A,FALSE,"Dívida99"}</definedName>
    <definedName name="_V12_1" hidden="1">{#N/A,#N/A,FALSE,"FlCx99";#N/A,#N/A,FALSE,"Dívida99"}</definedName>
    <definedName name="_V12_2" hidden="1">{#N/A,#N/A,FALSE,"FlCx99";#N/A,#N/A,FALSE,"Dívida99"}</definedName>
    <definedName name="_V12_3" hidden="1">{#N/A,#N/A,FALSE,"FlCx99";#N/A,#N/A,FALSE,"Dívida99"}</definedName>
    <definedName name="_V12_4" hidden="1">{#N/A,#N/A,FALSE,"FlCx99";#N/A,#N/A,FALSE,"Dívida99"}</definedName>
    <definedName name="_V12_5" hidden="1">{#N/A,#N/A,FALSE,"FlCx99";#N/A,#N/A,FALSE,"Dívida99"}</definedName>
    <definedName name="_V13" hidden="1">{#N/A,#N/A,FALSE,"FlCx99";#N/A,#N/A,FALSE,"Dívida99"}</definedName>
    <definedName name="_V13_1" hidden="1">{#N/A,#N/A,FALSE,"FlCx99";#N/A,#N/A,FALSE,"Dívida99"}</definedName>
    <definedName name="_V13_2" hidden="1">{#N/A,#N/A,FALSE,"FlCx99";#N/A,#N/A,FALSE,"Dívida99"}</definedName>
    <definedName name="_V13_3" hidden="1">{#N/A,#N/A,FALSE,"FlCx99";#N/A,#N/A,FALSE,"Dívida99"}</definedName>
    <definedName name="_V13_4" hidden="1">{#N/A,#N/A,FALSE,"FlCx99";#N/A,#N/A,FALSE,"Dívida99"}</definedName>
    <definedName name="_V13_5" hidden="1">{#N/A,#N/A,FALSE,"FlCx99";#N/A,#N/A,FALSE,"Dívida99"}</definedName>
    <definedName name="_V14" hidden="1">{#N/A,#N/A,FALSE,"FlCx99";#N/A,#N/A,FALSE,"Dívida99"}</definedName>
    <definedName name="_V14_1" hidden="1">{#N/A,#N/A,FALSE,"FlCx99";#N/A,#N/A,FALSE,"Dívida99"}</definedName>
    <definedName name="_V14_2" hidden="1">{#N/A,#N/A,FALSE,"FlCx99";#N/A,#N/A,FALSE,"Dívida99"}</definedName>
    <definedName name="_V14_3" hidden="1">{#N/A,#N/A,FALSE,"FlCx99";#N/A,#N/A,FALSE,"Dívida99"}</definedName>
    <definedName name="_V14_4" hidden="1">{#N/A,#N/A,FALSE,"FlCx99";#N/A,#N/A,FALSE,"Dívida99"}</definedName>
    <definedName name="_V14_5" hidden="1">{#N/A,#N/A,FALSE,"FlCx99";#N/A,#N/A,FALSE,"Dívida99"}</definedName>
    <definedName name="_V15" hidden="1">{#N/A,#N/A,FALSE,"FlCx99";#N/A,#N/A,FALSE,"Dívida99"}</definedName>
    <definedName name="_V15_1" hidden="1">{#N/A,#N/A,FALSE,"FlCx99";#N/A,#N/A,FALSE,"Dívida99"}</definedName>
    <definedName name="_V15_2" hidden="1">{#N/A,#N/A,FALSE,"FlCx99";#N/A,#N/A,FALSE,"Dívida99"}</definedName>
    <definedName name="_V15_3" hidden="1">{#N/A,#N/A,FALSE,"FlCx99";#N/A,#N/A,FALSE,"Dívida99"}</definedName>
    <definedName name="_V15_4" hidden="1">{#N/A,#N/A,FALSE,"FlCx99";#N/A,#N/A,FALSE,"Dívida99"}</definedName>
    <definedName name="_V15_5" hidden="1">{#N/A,#N/A,FALSE,"FlCx99";#N/A,#N/A,FALSE,"Dívida99"}</definedName>
    <definedName name="_V3" hidden="1">{#N/A,#N/A,FALSE,"FlCx99";#N/A,#N/A,FALSE,"Dívida99"}</definedName>
    <definedName name="_V3_1" hidden="1">{#N/A,#N/A,FALSE,"FlCx99";#N/A,#N/A,FALSE,"Dívida99"}</definedName>
    <definedName name="_V3_2" hidden="1">{#N/A,#N/A,FALSE,"FlCx99";#N/A,#N/A,FALSE,"Dívida99"}</definedName>
    <definedName name="_V3_3" hidden="1">{#N/A,#N/A,FALSE,"FlCx99";#N/A,#N/A,FALSE,"Dívida99"}</definedName>
    <definedName name="_V3_4" hidden="1">{#N/A,#N/A,FALSE,"FlCx99";#N/A,#N/A,FALSE,"Dívida99"}</definedName>
    <definedName name="_V3_5" hidden="1">{#N/A,#N/A,FALSE,"FlCx99";#N/A,#N/A,FALSE,"Dívida99"}</definedName>
    <definedName name="_V4" hidden="1">{#N/A,#N/A,FALSE,"FlCx99";#N/A,#N/A,FALSE,"Dívida99"}</definedName>
    <definedName name="_V4_1" hidden="1">{#N/A,#N/A,FALSE,"FlCx99";#N/A,#N/A,FALSE,"Dívida99"}</definedName>
    <definedName name="_V4_2" hidden="1">{#N/A,#N/A,FALSE,"FlCx99";#N/A,#N/A,FALSE,"Dívida99"}</definedName>
    <definedName name="_V4_3" hidden="1">{#N/A,#N/A,FALSE,"FlCx99";#N/A,#N/A,FALSE,"Dívida99"}</definedName>
    <definedName name="_V4_4" hidden="1">{#N/A,#N/A,FALSE,"FlCx99";#N/A,#N/A,FALSE,"Dívida99"}</definedName>
    <definedName name="_V4_5" hidden="1">{#N/A,#N/A,FALSE,"FlCx99";#N/A,#N/A,FALSE,"Dívida99"}</definedName>
    <definedName name="_V5" hidden="1">{#N/A,#N/A,FALSE,"FlCx99";#N/A,#N/A,FALSE,"Dívida99"}</definedName>
    <definedName name="_V5_1" hidden="1">{#N/A,#N/A,FALSE,"FlCx99";#N/A,#N/A,FALSE,"Dívida99"}</definedName>
    <definedName name="_V5_2" hidden="1">{#N/A,#N/A,FALSE,"FlCx99";#N/A,#N/A,FALSE,"Dívida99"}</definedName>
    <definedName name="_V5_3" hidden="1">{#N/A,#N/A,FALSE,"FlCx99";#N/A,#N/A,FALSE,"Dívida99"}</definedName>
    <definedName name="_V5_4" hidden="1">{#N/A,#N/A,FALSE,"FlCx99";#N/A,#N/A,FALSE,"Dívida99"}</definedName>
    <definedName name="_V5_5" hidden="1">{#N/A,#N/A,FALSE,"FlCx99";#N/A,#N/A,FALSE,"Dívida99"}</definedName>
    <definedName name="_v5555">#N/A</definedName>
    <definedName name="_V6" hidden="1">{#N/A,#N/A,FALSE,"FlCx99";#N/A,#N/A,FALSE,"Dívida99"}</definedName>
    <definedName name="_V6_1" hidden="1">{#N/A,#N/A,FALSE,"FlCx99";#N/A,#N/A,FALSE,"Dívida99"}</definedName>
    <definedName name="_V6_2" hidden="1">{#N/A,#N/A,FALSE,"FlCx99";#N/A,#N/A,FALSE,"Dívida99"}</definedName>
    <definedName name="_V6_3" hidden="1">{#N/A,#N/A,FALSE,"FlCx99";#N/A,#N/A,FALSE,"Dívida99"}</definedName>
    <definedName name="_V6_4" hidden="1">{#N/A,#N/A,FALSE,"FlCx99";#N/A,#N/A,FALSE,"Dívida99"}</definedName>
    <definedName name="_V6_5" hidden="1">{#N/A,#N/A,FALSE,"FlCx99";#N/A,#N/A,FALSE,"Dívida99"}</definedName>
    <definedName name="_V7" hidden="1">{#N/A,#N/A,FALSE,"FlCx99";#N/A,#N/A,FALSE,"Dívida99"}</definedName>
    <definedName name="_V7_1" hidden="1">{#N/A,#N/A,FALSE,"FlCx99";#N/A,#N/A,FALSE,"Dívida99"}</definedName>
    <definedName name="_V7_2" hidden="1">{#N/A,#N/A,FALSE,"FlCx99";#N/A,#N/A,FALSE,"Dívida99"}</definedName>
    <definedName name="_V7_3" hidden="1">{#N/A,#N/A,FALSE,"FlCx99";#N/A,#N/A,FALSE,"Dívida99"}</definedName>
    <definedName name="_V7_4" hidden="1">{#N/A,#N/A,FALSE,"FlCx99";#N/A,#N/A,FALSE,"Dívida99"}</definedName>
    <definedName name="_V7_5" hidden="1">{#N/A,#N/A,FALSE,"FlCx99";#N/A,#N/A,FALSE,"Dívida99"}</definedName>
    <definedName name="_V8" hidden="1">{#N/A,#N/A,FALSE,"FlCx99";#N/A,#N/A,FALSE,"Dívida99"}</definedName>
    <definedName name="_V8_1" hidden="1">{#N/A,#N/A,FALSE,"FlCx99";#N/A,#N/A,FALSE,"Dívida99"}</definedName>
    <definedName name="_V8_2" hidden="1">{#N/A,#N/A,FALSE,"FlCx99";#N/A,#N/A,FALSE,"Dívida99"}</definedName>
    <definedName name="_V8_3" hidden="1">{#N/A,#N/A,FALSE,"FlCx99";#N/A,#N/A,FALSE,"Dívida99"}</definedName>
    <definedName name="_V8_4" hidden="1">{#N/A,#N/A,FALSE,"FlCx99";#N/A,#N/A,FALSE,"Dívida99"}</definedName>
    <definedName name="_V8_5" hidden="1">{#N/A,#N/A,FALSE,"FlCx99";#N/A,#N/A,FALSE,"Dívida99"}</definedName>
    <definedName name="_V9" hidden="1">{#N/A,#N/A,FALSE,"FlCx99";#N/A,#N/A,FALSE,"Dívida99"}</definedName>
    <definedName name="_V9_1" hidden="1">{#N/A,#N/A,FALSE,"FlCx99";#N/A,#N/A,FALSE,"Dívida99"}</definedName>
    <definedName name="_V9_2" hidden="1">{#N/A,#N/A,FALSE,"FlCx99";#N/A,#N/A,FALSE,"Dívida99"}</definedName>
    <definedName name="_V9_3" hidden="1">{#N/A,#N/A,FALSE,"FlCx99";#N/A,#N/A,FALSE,"Dívida99"}</definedName>
    <definedName name="_V9_4" hidden="1">{#N/A,#N/A,FALSE,"FlCx99";#N/A,#N/A,FALSE,"Dívida99"}</definedName>
    <definedName name="_V9_5" hidden="1">{#N/A,#N/A,FALSE,"FlCx99";#N/A,#N/A,FALSE,"Dívida99"}</definedName>
    <definedName name="_vhc1" hidden="1">{#N/A,#N/A,FALSE,"FlCx99";#N/A,#N/A,FALSE,"Dívida99"}</definedName>
    <definedName name="_vhc1_1" hidden="1">{#N/A,#N/A,FALSE,"FlCx99";#N/A,#N/A,FALSE,"Dívida99"}</definedName>
    <definedName name="_vhc1_2" hidden="1">{#N/A,#N/A,FALSE,"FlCx99";#N/A,#N/A,FALSE,"Dívida99"}</definedName>
    <definedName name="_vhc1_3" hidden="1">{#N/A,#N/A,FALSE,"FlCx99";#N/A,#N/A,FALSE,"Dívida99"}</definedName>
    <definedName name="_vhc1_4" hidden="1">{#N/A,#N/A,FALSE,"FlCx99";#N/A,#N/A,FALSE,"Dívida99"}</definedName>
    <definedName name="_vhc1_5" hidden="1">{#N/A,#N/A,FALSE,"FlCx99";#N/A,#N/A,FALSE,"Dívida99"}</definedName>
    <definedName name="_vl5">#REF!</definedName>
    <definedName name="_w1" hidden="1">{"PVGraph2",#N/A,FALSE,"PV Data"}</definedName>
    <definedName name="_w1_1" hidden="1">{"PVGraph2",#N/A,FALSE,"PV Data"}</definedName>
    <definedName name="_w1_2" hidden="1">{"PVGraph2",#N/A,FALSE,"PV Data"}</definedName>
    <definedName name="_w1_3" hidden="1">{"PVGraph2",#N/A,FALSE,"PV Data"}</definedName>
    <definedName name="_w1_4" hidden="1">{"PVGraph2",#N/A,FALSE,"PV Data"}</definedName>
    <definedName name="_w1_5" hidden="1">{"PVGraph2",#N/A,FALSE,"PV Data"}</definedName>
    <definedName name="_w2" hidden="1">{"PVGraph2",#N/A,FALSE,"PV Data"}</definedName>
    <definedName name="_w2_1" hidden="1">{"PVGraph2",#N/A,FALSE,"PV Data"}</definedName>
    <definedName name="_w2_2" hidden="1">{"PVGraph2",#N/A,FALSE,"PV Data"}</definedName>
    <definedName name="_w2_3" hidden="1">{"PVGraph2",#N/A,FALSE,"PV Data"}</definedName>
    <definedName name="_w2_4" hidden="1">{"PVGraph2",#N/A,FALSE,"PV Data"}</definedName>
    <definedName name="_w2_5" hidden="1">{"PVGraph2",#N/A,FALSE,"PV Data"}</definedName>
    <definedName name="_w3" hidden="1">{"PVGraph2",#N/A,FALSE,"PV Data"}</definedName>
    <definedName name="_w3_1" hidden="1">{"PVGraph2",#N/A,FALSE,"PV Data"}</definedName>
    <definedName name="_w3_2" hidden="1">{"PVGraph2",#N/A,FALSE,"PV Data"}</definedName>
    <definedName name="_w3_3" hidden="1">{"PVGraph2",#N/A,FALSE,"PV Data"}</definedName>
    <definedName name="_w3_4" hidden="1">{"PVGraph2",#N/A,FALSE,"PV Data"}</definedName>
    <definedName name="_w3_5" hidden="1">{"PVGraph2",#N/A,FALSE,"PV Data"}</definedName>
    <definedName name="_w4">#N/A</definedName>
    <definedName name="_w5">#N/A</definedName>
    <definedName name="_w9" hidden="1">{"PVGraph2",#N/A,FALSE,"PV Data"}</definedName>
    <definedName name="_w9_1" hidden="1">{"PVGraph2",#N/A,FALSE,"PV Data"}</definedName>
    <definedName name="_w9_2" hidden="1">{"PVGraph2",#N/A,FALSE,"PV Data"}</definedName>
    <definedName name="_w9_3" hidden="1">{"PVGraph2",#N/A,FALSE,"PV Data"}</definedName>
    <definedName name="_w9_4" hidden="1">{"PVGraph2",#N/A,FALSE,"PV Data"}</definedName>
    <definedName name="_w9_5" hidden="1">{"PVGraph2",#N/A,FALSE,"PV Data"}</definedName>
    <definedName name="_wdv10">#REF!</definedName>
    <definedName name="_wdv11">#REF!</definedName>
    <definedName name="_wdv12">#REF!</definedName>
    <definedName name="_wdv13">#REF!</definedName>
    <definedName name="_wdv14">#REF!</definedName>
    <definedName name="_wdv15">#REF!</definedName>
    <definedName name="_wdv6">#REF!</definedName>
    <definedName name="_wdv7">#REF!</definedName>
    <definedName name="_wdv8">#REF!</definedName>
    <definedName name="_wdv9">#REF!</definedName>
    <definedName name="_WHT1">#REF!</definedName>
    <definedName name="_WRN1" hidden="1">{#N/A,#N/A,FALSE,"COVER1.XLS ";#N/A,#N/A,FALSE,"RACT1.XLS";#N/A,#N/A,FALSE,"RACT2.XLS";#N/A,#N/A,FALSE,"ECCMP";#N/A,#N/A,FALSE,"WELDER.XLS"}</definedName>
    <definedName name="_WRN2" hidden="1">{#N/A,#N/A,FALSE,"COVER1.XLS ";#N/A,#N/A,FALSE,"RACT1.XLS";#N/A,#N/A,FALSE,"RACT2.XLS";#N/A,#N/A,FALSE,"ECCMP";#N/A,#N/A,FALSE,"WELDER.XLS"}</definedName>
    <definedName name="_WRN3" hidden="1">{#N/A,#N/A,FALSE,"consu_cover";#N/A,#N/A,FALSE,"consu_strategy";#N/A,#N/A,FALSE,"consu_flow";#N/A,#N/A,FALSE,"Summary_reqmt";#N/A,#N/A,FALSE,"field_ppg";#N/A,#N/A,FALSE,"ppg_shop";#N/A,#N/A,FALSE,"strl";#N/A,#N/A,FALSE,"tankages";#N/A,#N/A,FALSE,"gases"}</definedName>
    <definedName name="_x">INDEX(#REF!,0,1)</definedName>
    <definedName name="_x2" hidden="1">{"PVGraph2",#N/A,FALSE,"PV Data"}</definedName>
    <definedName name="_x2_1" hidden="1">{"PVGraph2",#N/A,FALSE,"PV Data"}</definedName>
    <definedName name="_x2_2" hidden="1">{"PVGraph2",#N/A,FALSE,"PV Data"}</definedName>
    <definedName name="_x2_3" hidden="1">{"PVGraph2",#N/A,FALSE,"PV Data"}</definedName>
    <definedName name="_x2_4" hidden="1">{"PVGraph2",#N/A,FALSE,"PV Data"}</definedName>
    <definedName name="_x2_5" hidden="1">{"PVGraph2",#N/A,FALSE,"PV Data"}</definedName>
    <definedName name="_xx">INDEX(#REF!,0,5)</definedName>
    <definedName name="_xxx">INDEX(#REF!,0,1)</definedName>
    <definedName name="_xxxx">INDEX(#REF!,0,1)</definedName>
    <definedName name="_xxxxx">INDEX(#REF!,0,2)</definedName>
    <definedName name="_xxxxxx">INDEX(#REF!,0,4)</definedName>
    <definedName name="_xxxxxxx">INDEX(#REF!,0,3)</definedName>
    <definedName name="_y2" hidden="1">{"PVGraph2",#N/A,FALSE,"PV Data"}</definedName>
    <definedName name="_y2_1" hidden="1">{"PVGraph2",#N/A,FALSE,"PV Data"}</definedName>
    <definedName name="_y2_2" hidden="1">{"PVGraph2",#N/A,FALSE,"PV Data"}</definedName>
    <definedName name="_y2_3" hidden="1">{"PVGraph2",#N/A,FALSE,"PV Data"}</definedName>
    <definedName name="_y2_4" hidden="1">{"PVGraph2",#N/A,FALSE,"PV Data"}</definedName>
    <definedName name="_y2_5" hidden="1">{"PVGraph2",#N/A,FALSE,"PV Data"}</definedName>
    <definedName name="_z">INDEX(#REF!,0,2)</definedName>
    <definedName name="_ZZ">INDEX(#REF!,0,3)</definedName>
    <definedName name="_zzz">INDEX(#REF!,0,5)</definedName>
    <definedName name="_zzzz">INDEX(#REF!,0,5)</definedName>
    <definedName name="_zzzzz">INDEX(#REF!,0,2)</definedName>
    <definedName name="_zzzzzz">INDEX(#REF!,0,3)</definedName>
    <definedName name="_zzzzzzz">INDEX(#REF!,0,1)</definedName>
    <definedName name="a">#N/A</definedName>
    <definedName name="A_?PE___OUTLOOK_TO_2">#REF!</definedName>
    <definedName name="a_1">NA()</definedName>
    <definedName name="A_11">#REF!</definedName>
    <definedName name="a0" hidden="1">{#N/A,#N/A,FALSE,"FlCx99";#N/A,#N/A,FALSE,"Dívida99"}</definedName>
    <definedName name="a0_1" hidden="1">{#N/A,#N/A,FALSE,"FlCx99";#N/A,#N/A,FALSE,"Dívida99"}</definedName>
    <definedName name="a0_2" hidden="1">{#N/A,#N/A,FALSE,"FlCx99";#N/A,#N/A,FALSE,"Dívida99"}</definedName>
    <definedName name="a0_3" hidden="1">{#N/A,#N/A,FALSE,"FlCx99";#N/A,#N/A,FALSE,"Dívida99"}</definedName>
    <definedName name="a0_4" hidden="1">{#N/A,#N/A,FALSE,"FlCx99";#N/A,#N/A,FALSE,"Dívida99"}</definedName>
    <definedName name="a0_5" hidden="1">{#N/A,#N/A,FALSE,"FlCx99";#N/A,#N/A,FALSE,"Dívida99"}</definedName>
    <definedName name="AA" hidden="1">{"'CONSOLIDADO'!$B$10:$R$57"}</definedName>
    <definedName name="aa_1">"#REF!"</definedName>
    <definedName name="aaa" hidden="1">{"'CONSOLIDADO'!$B$10:$R$57"}</definedName>
    <definedName name="AAA_DOCTOPS" hidden="1">"AAA_SET"</definedName>
    <definedName name="AAA_duser" hidden="1">"OFF"</definedName>
    <definedName name="aaaa">#REF!</definedName>
    <definedName name="aaaaa" hidden="1">{#N/A,#N/A,FALSE,"Resultado x Rev"}</definedName>
    <definedName name="aaaaaa" hidden="1">{#N/A,#N/A,FALSE,"REPORT"}</definedName>
    <definedName name="aaaaaaa">#N/A</definedName>
    <definedName name="aaaaaaaa" hidden="1">{#N/A,#N/A,FALSE,"CAT3516";#N/A,#N/A,FALSE,"CAT3608";#N/A,#N/A,FALSE,"Wartsila";#N/A,#N/A,FALSE,"Asm";#N/A,#N/A,FALSE,"DG cost"}</definedName>
    <definedName name="aaaaaaaaaa" hidden="1">{#N/A,#N/A,FALSE,"CAT3516";#N/A,#N/A,FALSE,"CAT3608";#N/A,#N/A,FALSE,"Wartsila";#N/A,#N/A,FALSE,"Asm";#N/A,#N/A,FALSE,"DG cost"}</definedName>
    <definedName name="aaaaaaaaaaa" hidden="1">{#N/A,#N/A,FALSE,"REPORT"}</definedName>
    <definedName name="AAAAAAAAAAAA" hidden="1">{#N/A,#N/A,FALSE,"Relatórios";"Vendas e Custos",#N/A,FALSE,"Vendas e Custos";"Premissas",#N/A,FALSE,"Premissas";"Projeções",#N/A,FALSE,"Projeções";"Dolar",#N/A,FALSE,"Dolar";"Original",#N/A,FALSE,"Original e UFIR"}</definedName>
    <definedName name="aaaaaaaaaaaaa" hidden="1">#REF!</definedName>
    <definedName name="aaaaaaaaaaaaaa" hidden="1">{"Revs",#N/A,TRUE,"Revs";"Costs",#N/A,TRUE,"Revs";"EBITDA",#N/A,TRUE,"Revs";"IS",#N/A,TRUE,"Revs";"CF",#N/A,TRUE,"Revs";"D/E",#N/A,TRUE,"Revs";"Debt Stats",#N/A,TRUE,"Revs";"DCFu",#N/A,TRUE,"Revs";"Sensitivity1",#N/A,TRUE,"Revs";"DCFl",#N/A,TRUE,"Revs"}</definedName>
    <definedName name="aaaaaaaaaaaaaaa" hidden="1">{#N/A,#N/A,FALSE,"Pharm";#N/A,#N/A,FALSE,"WWCM"}</definedName>
    <definedName name="aaaaaaaaaaaaaaaa" hidden="1">#REF!</definedName>
    <definedName name="aaaaaaaaaaaaaaaaa" hidden="1">{#N/A,#N/A,FALSE,"Highlights";#N/A,#N/A,FALSE,"Proj Cost";#N/A,#N/A,FALSE,"Income";#N/A,#N/A,FALSE,"Cash Flow";#N/A,#N/A,FALSE,"Balance Sheet";#N/A,#N/A,FALSE,"Sup Calc";#N/A,#N/A,FALSE,"Sales &amp; RMC";#N/A,#N/A,FALSE,"Utilities";#N/A,#N/A,FALSE,"Manpower Cost";#N/A,#N/A,FALSE,"P&amp;M";#N/A,#N/A,FALSE,"Ancillary"}</definedName>
    <definedName name="aaaaaaaaaaaaaaaaaa" hidden="1">#REF!</definedName>
    <definedName name="aaaaaaaaaaaaaaaaaaaa" hidden="1">#REF!,#REF!</definedName>
    <definedName name="aaaaaaaaaaaaaaaaaaaaaaaaaaaaaaaaaaaaaaaaaaa" hidden="1">{"'CONSOLIDADO'!$B$10:$R$57"}</definedName>
    <definedName name="aaaaaaaaaaaaaaaaazzz">#REF!</definedName>
    <definedName name="aaasb"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cw">#REF!</definedName>
    <definedName name="aad2eesqbvf">#REF!</definedName>
    <definedName name="AADCG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addd" hidden="1">{#N/A,#N/A,FALSE,"REPORT"}</definedName>
    <definedName name="AAGE">#REF!</definedName>
    <definedName name="aaqa" hidden="1">#REF!</definedName>
    <definedName name="aas">#REF!</definedName>
    <definedName name="aasaqqqqqq" hidden="1">{#N/A,#N/A,FALSE,"Resultado x Rev"}</definedName>
    <definedName name="aasd">INDEX(#REF!,0,1)</definedName>
    <definedName name="aazz" hidden="1">#REF!</definedName>
    <definedName name="ab">#N/A</definedName>
    <definedName name="ababa" hidden="1">{"Financial Performance_SP",#N/A,FALSE,"Fin Perf(Sp)";"Operational Indicators_SP",#N/A,FALSE,"Op Ind(sp)";"Resources Utilisation_SP",#N/A,FALSE,"ResUtil (Sp)"}</definedName>
    <definedName name="abad">#REF!</definedName>
    <definedName name="ABB">#REF!</definedName>
    <definedName name="abc">#REF!</definedName>
    <definedName name="ABCD">#REF!</definedName>
    <definedName name="abcdef" hidden="1">{"'PXR_6500'!$A$1:$I$124"}</definedName>
    <definedName name="ab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m" hidden="1">{"GroupVSum",#N/A,FALSE,"GRVSUMM";"Expected_Merged",#N/A,FALSE,"EXP9798CONS";"Budget_GroupV_Merged",#N/A,FALSE,"BUDGRVCONS";"ACW_Merged",#N/A,FALSE,"ACW&amp;CPP";"HCW_Merged",#N/A,FALSE,"HCW&amp;JCW";"GCW_Merged",#N/A,FALSE,"GCWI&amp;II";"APCP_Details",#N/A,FALSE,"TCP I BUD"}</definedName>
    <definedName name="ABN" hidden="1">{"'PXR_6500'!$A$1:$I$124"}</definedName>
    <definedName name="Abndr">#N/A</definedName>
    <definedName name="AC">#REF!</definedName>
    <definedName name="acc">#REF!</definedName>
    <definedName name="AccessDatabase" hidden="1">"C:\My Documents\MIS\new formats\HO\RepOprHO.mdb"</definedName>
    <definedName name="ACCOUNT">#REF!</definedName>
    <definedName name="ACCOUNT_3">"#REF!"</definedName>
    <definedName name="ACCOUNT_3_1">"#REF!"</definedName>
    <definedName name="ACCOUNT_3_3">"#REF!"</definedName>
    <definedName name="Account_Balance">#REF!</definedName>
    <definedName name="accounttype">#REF!</definedName>
    <definedName name="ACCSH">#REF!</definedName>
    <definedName name="ACCSH_1">"#REF!"</definedName>
    <definedName name="ACCSH_2">#REF!</definedName>
    <definedName name="ACCSH_3">#REF!</definedName>
    <definedName name="ACCSH_31">#REF!</definedName>
    <definedName name="ACCSH_33">#REF!</definedName>
    <definedName name="ACCSH_4">#REF!</definedName>
    <definedName name="ACCSH_5">#REF!</definedName>
    <definedName name="ACCTPOL98">#REF!</definedName>
    <definedName name="ACCTPOLICY">#REF!</definedName>
    <definedName name="ACH">#REF!</definedName>
    <definedName name="ACH___0">#REF!</definedName>
    <definedName name="ACH_21">"#REF!"</definedName>
    <definedName name="ACH_22">"#REF!"</definedName>
    <definedName name="ACH_6">"#REF!"</definedName>
    <definedName name="ACH_8">#REF!</definedName>
    <definedName name="acquisition1">#REF!,#REF!</definedName>
    <definedName name="ACRY">#REF!</definedName>
    <definedName name="ACRYFIBEX">#REF!</definedName>
    <definedName name="ACRYFIBEX___0">#REF!</definedName>
    <definedName name="ACRYFIBEX___6">#REF!</definedName>
    <definedName name="ACRYFIBLC">#REF!</definedName>
    <definedName name="ACRYFIBLC___0">#REF!</definedName>
    <definedName name="ACRYFIBLC___6">#REF!</definedName>
    <definedName name="act" hidden="1">{#N/A,#N/A,TRUE,"GW-Cond";#N/A,#N/A,TRUE,"HW"}</definedName>
    <definedName name="Act_F1_YTD">#REF!</definedName>
    <definedName name="Action">#REF!</definedName>
    <definedName name="Activecode">#REF!</definedName>
    <definedName name="ActiveRow">57</definedName>
    <definedName name="ACTTP2"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ual_Batches">#REF!</definedName>
    <definedName name="ActualColor">#REF!</definedName>
    <definedName name="ActualFinYTD">#REF!</definedName>
    <definedName name="ActualLower">#REF!</definedName>
    <definedName name="ActualsCatagory">#REF!</definedName>
    <definedName name="ActualsYTD">#REF!</definedName>
    <definedName name="ActualTotal">#REF!</definedName>
    <definedName name="ActualTotalDetail">#REF!</definedName>
    <definedName name="ActualTotalWeighted">#REF!</definedName>
    <definedName name="ActualUpper">#REF!</definedName>
    <definedName name="ACwvu.Long._.Range." hidden="1">#REF!</definedName>
    <definedName name="ACwvu.Months." hidden="1">#REF!</definedName>
    <definedName name="ad" hidden="1">#REF!</definedName>
    <definedName name="adasd">#N/A</definedName>
    <definedName name="add">#REF!</definedName>
    <definedName name="AddOne">#REF!</definedName>
    <definedName name="AddOne___0">#REF!</definedName>
    <definedName name="AddOne_14">#REF!</definedName>
    <definedName name="AddOne_18">"2]nbca_2001_completed!#REF!"</definedName>
    <definedName name="AddOne_21">"2]nbca_2001_completed!#REF!"</definedName>
    <definedName name="AddOne_22">"2]nbca_2001_completed!#REF!"</definedName>
    <definedName name="AddOne_37">#REF!</definedName>
    <definedName name="AddOne_50">#REF!</definedName>
    <definedName name="AddOne_6">"2]nbca_2001_completed!#REF!"</definedName>
    <definedName name="AddOne_7">#REF!</definedName>
    <definedName name="AddOne_8">"2]nbca_2001_completed!#REF!"</definedName>
    <definedName name="AddOne_9">#REF!</definedName>
    <definedName name="Address">#REF!</definedName>
    <definedName name="adep10">#REF!</definedName>
    <definedName name="adep11">#REF!</definedName>
    <definedName name="adep12">#REF!</definedName>
    <definedName name="adep13">#REF!</definedName>
    <definedName name="adep14">#REF!</definedName>
    <definedName name="adep15">#REF!</definedName>
    <definedName name="adep6">#REF!</definedName>
    <definedName name="adep7">#REF!</definedName>
    <definedName name="adep8">#REF!</definedName>
    <definedName name="adep9">#REF!</definedName>
    <definedName name="adf" hidden="1">{#N/A,#N/A,FALSE,"COVER1.XLS ";#N/A,#N/A,FALSE,"RACT1.XLS";#N/A,#N/A,FALSE,"RACT2.XLS";#N/A,#N/A,FALSE,"ECCMP";#N/A,#N/A,FALSE,"WELDER.XLS"}</definedName>
    <definedName name="adfa" hidden="1">#REF!</definedName>
    <definedName name="adfgasdysty" hidden="1">{#N/A,#N/A,FALSE,"REPORT"}</definedName>
    <definedName name="adfsfjfjky" hidden="1">{#N/A,#N/A,FALSE,"REPORT"}</definedName>
    <definedName name="ADJ">#REF!</definedName>
    <definedName name="AdminExpensesAprActual">#REF!</definedName>
    <definedName name="AdminExpensesAprilActual">#REF!</definedName>
    <definedName name="AdminExpensesAugProj">#REF!</definedName>
    <definedName name="AdminExpensesAugust">#REF!</definedName>
    <definedName name="AdminExpensesDecProj">#REF!</definedName>
    <definedName name="AdminExpensesDevToLE">#REF!</definedName>
    <definedName name="AdminExpensesDevToLY">#REF!</definedName>
    <definedName name="AdminExpensesFeb">#REF!</definedName>
    <definedName name="AdminExpensesFebProj">#REF!</definedName>
    <definedName name="AdminExpensesJan">#REF!</definedName>
    <definedName name="AdminExpensesJanProj">#REF!</definedName>
    <definedName name="AdminExpensesJuly">#REF!</definedName>
    <definedName name="AdminExpensesJulyActual">#REF!</definedName>
    <definedName name="AdminExpensesJune">#REF!</definedName>
    <definedName name="AdminExpensesJuneProj">#REF!</definedName>
    <definedName name="AdminExpensesLE">#REF!</definedName>
    <definedName name="AdminExpensesLY">#REF!</definedName>
    <definedName name="AdminExpensesMar">#REF!</definedName>
    <definedName name="AdminExpensesMarProj">#REF!</definedName>
    <definedName name="AdminExpensesMay">#REF!</definedName>
    <definedName name="AdminExpensesMayActual">#REF!</definedName>
    <definedName name="AdminExpensesMonth">#REF!</definedName>
    <definedName name="AdminExpensesMonthActual">#REF!</definedName>
    <definedName name="AdminExpensesMonthActuals">#REF!</definedName>
    <definedName name="AdminExpensesMonthBudget">#REF!</definedName>
    <definedName name="AdminExpensesMonthDevToBud">#REF!</definedName>
    <definedName name="AdminExpensesMonthDevToLE">#REF!</definedName>
    <definedName name="AdminExpensesMonthLE">#REF!</definedName>
    <definedName name="AdminExpensesNov">#REF!</definedName>
    <definedName name="AdminExpensesNovProj">#REF!</definedName>
    <definedName name="AdminExpensesOct">#REF!</definedName>
    <definedName name="AdminExpensesOctProj">#REF!</definedName>
    <definedName name="AdminExpensesSep">#REF!</definedName>
    <definedName name="AdminExpensesSepProj">#REF!</definedName>
    <definedName name="AdminExpensesTotalLE">#REF!</definedName>
    <definedName name="AdminExpensesTotLE">#REF!</definedName>
    <definedName name="AdminExpensesYearActual">#REF!</definedName>
    <definedName name="AdminExpensesYearActuals">#REF!</definedName>
    <definedName name="AdminExpensesYearBudget">#REF!</definedName>
    <definedName name="AdminExpensesYearDevToBud">#REF!</definedName>
    <definedName name="AdminExpensesYearDevToLY">#REF!</definedName>
    <definedName name="AdminExpensesYearLY">#REF!</definedName>
    <definedName name="ADRESSE">#REF!</definedName>
    <definedName name="ADRESSE__COMPLETE">#REF!</definedName>
    <definedName name="adri">#REF!</definedName>
    <definedName name="ADSas" hidden="1">IF(COUNTA(#REF!)=0,0,INDEX(#REF!,MATCH(ROW(#REF!),#REF!,TRUE)))+1</definedName>
    <definedName name="adsda">#REF!</definedName>
    <definedName name="adsEF">#REF!</definedName>
    <definedName name="adsfadfadsf" hidden="1">#REF!</definedName>
    <definedName name="ADSHLAusuhaS">INDEX(#REF!,0,2)</definedName>
    <definedName name="ADSORB">#REF!</definedName>
    <definedName name="ADTL">#REF!</definedName>
    <definedName name="ADV_IT" hidden="1">{#N/A,#N/A,FALSE,"A"}</definedName>
    <definedName name="ADV_LIA_PRO">#REF!</definedName>
    <definedName name="ADV_LIA_PRO_31">#REF!</definedName>
    <definedName name="AE">#REF!</definedName>
    <definedName name="af" hidden="1">{"ARL",#N/A,FALSE,"ARL"}</definedName>
    <definedName name="afasd" hidden="1">{"Assumptions1",#N/A,FALSE,"Assumptions";"MergerPlans1","20yearamort",FALSE,"MergerPlans";"MergerPlans1","40yearamort",FALSE,"MergerPlans";"MergerPlans2",#N/A,FALSE,"MergerPlans";"inputs",#N/A,FALSE,"MergerPlans"}</definedName>
    <definedName name="afdaa">#REF!</definedName>
    <definedName name="AFDADSFDAS" hidden="1">{#N/A,#N/A,FALSE,"REPORT"}</definedName>
    <definedName name="africa" hidden="1">{#N/A,#N/A,FALSE,"CNS";#N/A,#N/A,FALSE,"Serz";#N/A,#N/A,FALSE,"Ace"}</definedName>
    <definedName name="afsdfassd" hidden="1">#REF!</definedName>
    <definedName name="AG">#REF!</definedName>
    <definedName name="agafdhsdh" hidden="1">{#N/A,#N/A,FALSE,"REPORT"}</definedName>
    <definedName name="agar">#REF!</definedName>
    <definedName name="agsgaghgfj" hidden="1">{#N/A,#N/A,FALSE,"Pharm";#N/A,#N/A,FALSE,"WWCM"}</definedName>
    <definedName name="ah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hmedabad" hidden="1">{"Flash_Analysis",#N/A,FALSE,"Analysis(Flash)";"Flash_Summ",#N/A,FALSE,"Flash"}</definedName>
    <definedName name="ai" hidden="1">{"'Eng (page2)'!$A$1:$D$52"}</definedName>
    <definedName name="ai_1" hidden="1">{"'Eng (page2)'!$A$1:$D$52"}</definedName>
    <definedName name="ai_1_1" hidden="1">{"'Eng (page2)'!$A$1:$D$52"}</definedName>
    <definedName name="aisduauidhajkhcsda" hidden="1">#N/A</definedName>
    <definedName name="AJ">"#REF!"</definedName>
    <definedName name="aj_2">#REF!</definedName>
    <definedName name="AJ_3">"#REF!"</definedName>
    <definedName name="aj_31">#REF!</definedName>
    <definedName name="aj_33">#REF!</definedName>
    <definedName name="aj_4">#REF!</definedName>
    <definedName name="ajn">#REF!</definedName>
    <definedName name="ajn___0">#REF!</definedName>
    <definedName name="ajuste_pj">108%</definedName>
    <definedName name="akka">#REF!</definedName>
    <definedName name="AKS">#REF!</definedName>
    <definedName name="AKS___0">#REF!</definedName>
    <definedName name="AKS_21">"#REF!"</definedName>
    <definedName name="AKS_22">"#REF!"</definedName>
    <definedName name="AKS_6">"#REF!"</definedName>
    <definedName name="AKS_8">#REF!</definedName>
    <definedName name="AL">#REF!</definedName>
    <definedName name="alex" hidden="1">{#N/A,#N/A,FALSE,"REPORT"}</definedName>
    <definedName name="alexan" hidden="1">{#N/A,#N/A,FALSE,"REPORT"}</definedName>
    <definedName name="ALL">#REF!</definedName>
    <definedName name="ALL___0">#REF!</definedName>
    <definedName name="ALL_31">#REF!</definedName>
    <definedName name="All_Accounts">#REF!</definedName>
    <definedName name="All_Product_Houses">#REF!</definedName>
    <definedName name="All_Product_Lines">#REF!</definedName>
    <definedName name="AllCountries">#REF!</definedName>
    <definedName name="AllJnr">#REF!</definedName>
    <definedName name="AllJnr1">#REF!</definedName>
    <definedName name="AllJnr2">#REF!</definedName>
    <definedName name="AllJnr3">#REF!</definedName>
    <definedName name="Allocation">#REF!</definedName>
    <definedName name="almena" hidden="1">#REF!</definedName>
    <definedName name="Alok">#REF!</definedName>
    <definedName name="alokcode">#REF!</definedName>
    <definedName name="alp">#REF!</definedName>
    <definedName name="ALTERNOS">#REF!</definedName>
    <definedName name="am" hidden="1">"iQHideSelected"</definedName>
    <definedName name="amnt.fclty1">#REF!</definedName>
    <definedName name="amnt.fclty3">#REF!</definedName>
    <definedName name="amort">#REF!</definedName>
    <definedName name="amort_print">#REF!</definedName>
    <definedName name="amreli" hidden="1">{"Financial Performance_SP",#N/A,FALSE,"Fin Perf(Sp)";"Operational Indicators_SP",#N/A,FALSE,"Op Ind(sp)";"Resources Utilisation_SP",#N/A,FALSE,"ResUtil (Sp)"}</definedName>
    <definedName name="Analist_resp">#REF!</definedName>
    <definedName name="anand">#REF!</definedName>
    <definedName name="ANAptaA">"$#REF!.$#REF!$#REF!"</definedName>
    <definedName name="ANAptaB">"$#REF!.$#REF!$#REF!"</definedName>
    <definedName name="ANAptaC">"$#REF!.$#REF!$#REF!"</definedName>
    <definedName name="Anchor">#REF!</definedName>
    <definedName name="Anchor_2">#REF!</definedName>
    <definedName name="Anchor_31">#REF!</definedName>
    <definedName name="Anchor_4">#REF!</definedName>
    <definedName name="Anchor_5">#REF!</definedName>
    <definedName name="andy" hidden="1">{#N/A,#N/A,FALSE,"REPORT"}</definedName>
    <definedName name="ANil">INDEX(#REF!,0,2)</definedName>
    <definedName name="AN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n">#REF!</definedName>
    <definedName name="année">#REF!</definedName>
    <definedName name="Annex">#REF!</definedName>
    <definedName name="Annex_1">NA()</definedName>
    <definedName name="Annexure">#REF!</definedName>
    <definedName name="Annexure1">#REF!</definedName>
    <definedName name="Annotate_Area">#REF!</definedName>
    <definedName name="AnnotateNote1">#REF!</definedName>
    <definedName name="AnnotateStart">#REF!</definedName>
    <definedName name="annual" hidden="1">{"GroupVSum",#N/A,FALSE,"GRVSUMM";"Expected_Merged",#N/A,FALSE,"EXP9798CONS";"Budget_GroupV_Merged",#N/A,FALSE,"BUDGRVCONS";"ACW_Merged",#N/A,FALSE,"ACW&amp;CPP";"HCW_Merged",#N/A,FALSE,"HCW&amp;JCW";"GCW_Merged",#N/A,FALSE,"GCWI&amp;II";"APCP_Details",#N/A,FALSE,"TCP I BUD"}</definedName>
    <definedName name="ANNUNIT2">#REF!</definedName>
    <definedName name="añomes">#REF!</definedName>
    <definedName name="Anos_do_Empréstimo">#REF!</definedName>
    <definedName name="anscount" hidden="1">3</definedName>
    <definedName name="antonio" hidden="1">{#N/A,"70% Success",FALSE,"Sales Forecast";#N/A,#N/A,FALSE,"Sheet2"}</definedName>
    <definedName name="antonio_1" hidden="1">{#N/A,"70% Success",FALSE,"Sales Forecast";#N/A,#N/A,FALSE,"Sheet2"}</definedName>
    <definedName name="antonio_2" hidden="1">{#N/A,"70% Success",FALSE,"Sales Forecast";#N/A,#N/A,FALSE,"Sheet2"}</definedName>
    <definedName name="antonio_3" hidden="1">{#N/A,"70% Success",FALSE,"Sales Forecast";#N/A,#N/A,FALSE,"Sheet2"}</definedName>
    <definedName name="antonio_4" hidden="1">{#N/A,"70% Success",FALSE,"Sales Forecast";#N/A,#N/A,FALSE,"Sheet2"}</definedName>
    <definedName name="antonio_5" hidden="1">{#N/A,"70% Success",FALSE,"Sales Forecast";#N/A,#N/A,FALSE,"Sheet2"}</definedName>
    <definedName name="Août">#REF!</definedName>
    <definedName name="ap" hidden="1">{"'0103'!$A$455:$O$585"}</definedName>
    <definedName name="apagingnew">#N/A</definedName>
    <definedName name="aparna">#REF!</definedName>
    <definedName name="appp">#N/A</definedName>
    <definedName name="apr">#REF!</definedName>
    <definedName name="April">#REF!</definedName>
    <definedName name="APSUMMARY">#REF!</definedName>
    <definedName name="aqa">#REF!,#REF!,#REF!,#REF!,#REF!,#REF!</definedName>
    <definedName name="aqaw" hidden="1">{#N/A,#N/A,FALSE,"Invest"}</definedName>
    <definedName name="AR">#REF!</definedName>
    <definedName name="AR___0">#REF!</definedName>
    <definedName name="AR_21">"#REF!"</definedName>
    <definedName name="AR_22">"#REF!"</definedName>
    <definedName name="AR_6">"#REF!"</definedName>
    <definedName name="AR_8">#REF!</definedName>
    <definedName name="ARA_Threshold">#REF!</definedName>
    <definedName name="aRCW" hidden="1">{"Financial Performance_SP",#N/A,FALSE,"Fin Perf(Sp)";"Operational Indicators_SP",#N/A,FALSE,"Op Ind(sp)";"Resources Utilisation_SP",#N/A,FALSE,"ResUtil (Sp)"}</definedName>
    <definedName name="arcw_mpcs_aug2001" hidden="1">{"Financial Performance_SP",#N/A,FALSE,"Fin Perf(Sp)";"Operational Indicators_SP",#N/A,FALSE,"Op Ind(sp)";"Resources Utilisation_SP",#N/A,FALSE,"ResUtil (Sp)"}</definedName>
    <definedName name="AREA">#REF!</definedName>
    <definedName name="AREA_9">#REF!</definedName>
    <definedName name="_xlnm.Extract">#REF!</definedName>
    <definedName name="_xlnm.Print_Area">#REF!</definedName>
    <definedName name="area1">#REF!,#REF!,#REF!,#REF!</definedName>
    <definedName name="area2">#REF!,#REF!,#REF!,#REF!,#REF!,#REF!,#REF!,#REF!,#REF!,#REF!,#REF!,#REF!,#REF!,#REF!</definedName>
    <definedName name="area3">#REF!,#REF!,#REF!,#REF!,#REF!,#REF!,#REF!,#REF!,#REF!,#REF!</definedName>
    <definedName name="AREADOM">#REF!</definedName>
    <definedName name="AREADOM_9">#REF!</definedName>
    <definedName name="AreaPrint">#REF!</definedName>
    <definedName name="AResid">#REF!</definedName>
    <definedName name="AROMAI">#REF!</definedName>
    <definedName name="AROMAI_31">#REF!</definedName>
    <definedName name="AROMAT">#REF!</definedName>
    <definedName name="AROMAT_31">#REF!</definedName>
    <definedName name="ARP_Threshold">#REF!</definedName>
    <definedName name="arun">#REF!</definedName>
    <definedName name="Arv_LE">#REF!</definedName>
    <definedName name="Arv_MC34">#REF!</definedName>
    <definedName name="Arv_MC510">#REF!</definedName>
    <definedName name="Arv_MC67">#REF!</definedName>
    <definedName name="Arv_MC89">#REF!</definedName>
    <definedName name="AS" hidden="1">{"'TG'!$A$1:$L$37"}</definedName>
    <definedName name="AS_3">"#REF!"</definedName>
    <definedName name="AS2DocOpenMode" hidden="1">"AS2DocumentEdit"</definedName>
    <definedName name="AS2HasNoAutoHeaderFooter" hidden="1">" "</definedName>
    <definedName name="AS2NamedRange" hidden="1">5</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{#N/A,#N/A,FALSE,"CAT3516";#N/A,#N/A,FALSE,"CAT3608";#N/A,#N/A,FALSE,"Wartsila";#N/A,#N/A,FALSE,"Asm";#N/A,#N/A,FALSE,"DG cost"}</definedName>
    <definedName name="ASA_1" hidden="1">{#N/A,#N/A,FALSE,"CAT3516";#N/A,#N/A,FALSE,"CAT3608";#N/A,#N/A,FALSE,"Wartsila";#N/A,#N/A,FALSE,"Asm";#N/A,#N/A,FALSE,"DG cost"}</definedName>
    <definedName name="asad">#REF!</definedName>
    <definedName name="asas" hidden="1">{#N/A,#N/A,FALSE,"Pharm";#N/A,#N/A,FALSE,"WWCM"}</definedName>
    <definedName name="asasa">#REF!</definedName>
    <definedName name="asd" hidden="1">{#N/A,#N/A,FALSE,"Pharm";#N/A,#N/A,FALSE,"WWCM"}</definedName>
    <definedName name="ASDAS" hidden="1">#REF!</definedName>
    <definedName name="ASDasa">#N/A</definedName>
    <definedName name="asddasd">#REF!</definedName>
    <definedName name="asdf">#REF!</definedName>
    <definedName name="asdfad" hidden="1">#REF!</definedName>
    <definedName name="asdfasd" hidden="1">#REF!</definedName>
    <definedName name="asdfasdf">#N/A</definedName>
    <definedName name="asdfasefasd" hidden="1">#REF!</definedName>
    <definedName name="ASDFASF" hidden="1">#REF!</definedName>
    <definedName name="asdfasfs">#REF!</definedName>
    <definedName name="asdfg" hidden="1">{#N/A,#N/A,FALSE,"Pharm";#N/A,#N/A,FALSE,"WWCM"}</definedName>
    <definedName name="asdfghjj" hidden="1">#REF!</definedName>
    <definedName name="asdfre" hidden="1">#REF!</definedName>
    <definedName name="asdfsd" hidden="1">#REF!</definedName>
    <definedName name="asdgahdfhth" hidden="1">{#N/A,#N/A,FALSE,"REPORT"}</definedName>
    <definedName name="ASDGASGS" hidden="1">{"GroupVSum",#N/A,FALSE,"GRVSUMM";"Expected_Merged",#N/A,FALSE,"EXP9798CONS";"Budget_GroupV_Merged",#N/A,FALSE,"BUDGRVCONS";"ACW_Merged",#N/A,FALSE,"ACW&amp;CPP";"HCW_Merged",#N/A,FALSE,"HCW&amp;JCW";"GCW_Merged",#N/A,FALSE,"GCWI&amp;II";"APCP_Details",#N/A,FALSE,"TCP I BUD"}</definedName>
    <definedName name="asdgayery" hidden="1">{#N/A,#N/A,FALSE,"Pharm";#N/A,#N/A,FALSE,"WWCM"}</definedName>
    <definedName name="asdgfdytyet" hidden="1">{#N/A,#N/A,FALSE,"REPORT"}</definedName>
    <definedName name="asdgtryukuio" hidden="1">{#N/A,#N/A,FALSE,"REPORT"}</definedName>
    <definedName name="asdjgkl" hidden="1">{#N/A,#N/A,FALSE,"Pharm";#N/A,#N/A,FALSE,"WWCM"}</definedName>
    <definedName name="asdsad">#N/A</definedName>
    <definedName name="ase">#REF!</definedName>
    <definedName name="asffghujyki" hidden="1">{#N/A,#N/A,FALSE,"Pharm";#N/A,#N/A,FALSE,"WWCM"}</definedName>
    <definedName name="ASG">"#REF!"</definedName>
    <definedName name="ASG_3">"#REF!"</definedName>
    <definedName name="ASS">#REF!</definedName>
    <definedName name="ASSA" hidden="1">{#N/A,#N/A,FALSE,"1";#N/A,#N/A,FALSE,"2";#N/A,#N/A,FALSE,"16 - 17";#N/A,#N/A,FALSE,"18 - 19";#N/A,#N/A,FALSE,"26";#N/A,#N/A,FALSE,"27";#N/A,#N/A,FALSE,"28"}</definedName>
    <definedName name="AssetValue">#REF!</definedName>
    <definedName name="AssetValueLC">#REF!</definedName>
    <definedName name="Asstes">#REF!</definedName>
    <definedName name="Assumptions">#REF!</definedName>
    <definedName name="assumptions1">#REF!,#REF!,#REF!,#REF!,#REF!,#REF!,#REF!</definedName>
    <definedName name="assumptions2">#REF!,#REF!,#REF!,#REF!,#REF!,#REF!</definedName>
    <definedName name="at">#REF!</definedName>
    <definedName name="ATH">#REF!</definedName>
    <definedName name="ATH___0">#REF!</definedName>
    <definedName name="ATH_8">#REF!</definedName>
    <definedName name="ATR">#REF!</definedName>
    <definedName name="ATT">#REF!</definedName>
    <definedName name="Aud">#REF!</definedName>
    <definedName name="aug">#REF!</definedName>
    <definedName name="August">#REF!</definedName>
    <definedName name="auto">#REF!</definedName>
    <definedName name="automatic">#REF!</definedName>
    <definedName name="Automation">#REF!</definedName>
    <definedName name="AUXILIARES">#REF!</definedName>
    <definedName name="av">#REF!</definedName>
    <definedName name="Availability">#REF!</definedName>
    <definedName name="Avg_Apr">#REF!</definedName>
    <definedName name="Avg_Aug">#REF!</definedName>
    <definedName name="Avg_Dec">#REF!</definedName>
    <definedName name="Avg_Feb">#REF!</definedName>
    <definedName name="Avg_Jan">#REF!</definedName>
    <definedName name="Avg_Jul">#REF!</definedName>
    <definedName name="Avg_Jun">#REF!</definedName>
    <definedName name="Avg_Mar">#REF!</definedName>
    <definedName name="Avg_May">#REF!</definedName>
    <definedName name="Avg_Nov">#REF!</definedName>
    <definedName name="Avg_Oct">#REF!</definedName>
    <definedName name="Avg_Sep">#REF!</definedName>
    <definedName name="AvgDep">#REF!</definedName>
    <definedName name="AvgPrice">#REF!</definedName>
    <definedName name="avnil">#N/A</definedName>
    <definedName name="Avril">#REF!</definedName>
    <definedName name="AW">#REF!</definedName>
    <definedName name="AW___0">#REF!</definedName>
    <definedName name="AW_8">#REF!</definedName>
    <definedName name="awas">#REF!</definedName>
    <definedName name="awr" hidden="1">#REF!</definedName>
    <definedName name="awwwwwwwww">INDEX(#REF!,0,2)</definedName>
    <definedName name="AX" hidden="1">{#N/A,#N/A,FALSE,"Pharm";#N/A,#N/A,FALSE,"WWCM"}</definedName>
    <definedName name="axcqwd">#REF!</definedName>
    <definedName name="AxesFormat">#N/A</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z">#REF!</definedName>
    <definedName name="azaXZ">#REF!</definedName>
    <definedName name="azeazr" hidden="1">{#N/A,#N/A,FALSE,"Sales Graph";#N/A,#N/A,FALSE,"BUC Graph";#N/A,#N/A,FALSE,"P&amp;L - YTD"}</definedName>
    <definedName name="azerety" hidden="1">{#N/A,#N/A,FALSE,"Pharm";#N/A,#N/A,FALSE,"WWCM"}</definedName>
    <definedName name="azerty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b" hidden="1">#N/A</definedName>
    <definedName name="B.1.a.babr">#REF!</definedName>
    <definedName name="B.1.a.bago">#REF!</definedName>
    <definedName name="B.1.a.bdez">#REF!</definedName>
    <definedName name="B.1.a.bfev">#REF!</definedName>
    <definedName name="B.1.a.bjan">#REF!</definedName>
    <definedName name="B.1.a.bjul">#REF!</definedName>
    <definedName name="B.1.a.bjun">#REF!</definedName>
    <definedName name="B.1.a.bmai">#REF!</definedName>
    <definedName name="B.1.a.bmar">#REF!</definedName>
    <definedName name="B.1.a.bnov">#REF!</definedName>
    <definedName name="B.1.a.bout">#REF!</definedName>
    <definedName name="B.1.a.bset">#REF!</definedName>
    <definedName name="B.1.a.dabr">#REF!</definedName>
    <definedName name="B.1.a.dago">#REF!</definedName>
    <definedName name="B.1.a.ddez">#REF!</definedName>
    <definedName name="B.1.a.dfev">#REF!</definedName>
    <definedName name="B.1.a.djul">#REF!</definedName>
    <definedName name="B.1.a.djun">#REF!</definedName>
    <definedName name="B.1.a.dmai">#REF!</definedName>
    <definedName name="B.1.a.dmar">#REF!</definedName>
    <definedName name="B.1.a.dnov">#REF!</definedName>
    <definedName name="B.1.a.dout">#REF!</definedName>
    <definedName name="B.1.a.dset">#REF!</definedName>
    <definedName name="B.1.a.dstart">#REF!</definedName>
    <definedName name="B.1.aabr">#REF!</definedName>
    <definedName name="B.1.aago">#REF!</definedName>
    <definedName name="B.1.adez">#REF!</definedName>
    <definedName name="B.1.afev">#REF!</definedName>
    <definedName name="B.1.ajan">#REF!</definedName>
    <definedName name="B.1.ajul">#REF!</definedName>
    <definedName name="B.1.ajun">#REF!</definedName>
    <definedName name="B.1.amai">#REF!</definedName>
    <definedName name="B.1.amar">#REF!</definedName>
    <definedName name="B.1.anov">#REF!</definedName>
    <definedName name="B.1.aout">#REF!</definedName>
    <definedName name="B.1.aset">#REF!</definedName>
    <definedName name="B.1.babr">#REF!</definedName>
    <definedName name="B.1.bago">#REF!</definedName>
    <definedName name="B.1.bdez">#REF!</definedName>
    <definedName name="B.1.bfev">#REF!</definedName>
    <definedName name="B.1.bjan">#REF!</definedName>
    <definedName name="B.1.bjul">#REF!</definedName>
    <definedName name="B.1.bjun">#REF!</definedName>
    <definedName name="B.1.bmai">#REF!</definedName>
    <definedName name="B.1.bmar">#REF!</definedName>
    <definedName name="B.1.bnov">#REF!</definedName>
    <definedName name="B.1.bout">#REF!</definedName>
    <definedName name="B.1.bset">#REF!</definedName>
    <definedName name="B.1.fabr">#REF!</definedName>
    <definedName name="B.1.fago">#REF!</definedName>
    <definedName name="B.1.fdez">#REF!</definedName>
    <definedName name="B.1.ffev">#REF!</definedName>
    <definedName name="B.1.fjan">#REF!</definedName>
    <definedName name="B.1.fjul">#REF!</definedName>
    <definedName name="B.1.fjun">#REF!</definedName>
    <definedName name="B.1.fmai">#REF!</definedName>
    <definedName name="B.1.fmar">#REF!</definedName>
    <definedName name="B.1.fnov">#REF!</definedName>
    <definedName name="B.1.fout">#REF!</definedName>
    <definedName name="B.1.fset">#REF!</definedName>
    <definedName name="B.1.gabr">#REF!</definedName>
    <definedName name="B.1.gago">#REF!</definedName>
    <definedName name="B.1.gdez">#REF!</definedName>
    <definedName name="B.1.gfev">#REF!</definedName>
    <definedName name="B.1.gjan">#REF!</definedName>
    <definedName name="B.1.gjul">#REF!</definedName>
    <definedName name="B.1.gjun">#REF!</definedName>
    <definedName name="B.1.gmai">#REF!</definedName>
    <definedName name="B.1.gmar">#REF!</definedName>
    <definedName name="B.1.gnov">#REF!</definedName>
    <definedName name="B.1.gout">#REF!</definedName>
    <definedName name="B.1.gset">#REF!</definedName>
    <definedName name="B.2.aabr">#REF!</definedName>
    <definedName name="B.2.aago">#REF!</definedName>
    <definedName name="B.2.adez">#REF!</definedName>
    <definedName name="B.2.afev">#REF!</definedName>
    <definedName name="B.2.ajan">#REF!</definedName>
    <definedName name="B.2.ajul">#REF!</definedName>
    <definedName name="B.2.ajun">#REF!</definedName>
    <definedName name="B.2.amai">#REF!</definedName>
    <definedName name="B.2.amar">#REF!</definedName>
    <definedName name="B.2.anov">#REF!</definedName>
    <definedName name="B.2.aout">#REF!</definedName>
    <definedName name="B.2.aset">#REF!</definedName>
    <definedName name="B.SHEET">#REF!</definedName>
    <definedName name="B_S">#REF!</definedName>
    <definedName name="BA" hidden="1">{#N/A,#N/A,FALSE,"Earn'gs &amp; Val'n";#N/A,#N/A,FALSE,"Interim"}</definedName>
    <definedName name="BABL">#REF!</definedName>
    <definedName name="BAGE">#REF!</definedName>
    <definedName name="BAGGED_2002_2003">#REF!</definedName>
    <definedName name="BAGS_CONSUMPTION">#REF!</definedName>
    <definedName name="BAL_SHEET">#REF!</definedName>
    <definedName name="BAL_SHEET_31">#REF!</definedName>
    <definedName name="Balance_Sheet">#REF!</definedName>
    <definedName name="BALANCE000999">#REF!</definedName>
    <definedName name="BalanceSheet">#REF!</definedName>
    <definedName name="BalanceSheetReport">#REF!</definedName>
    <definedName name="BalanceSheetReportMonthActual">#REF!</definedName>
    <definedName name="BalanceSheetReportMonthBudget">#REF!</definedName>
    <definedName name="BalanceSheetReportMonthDevToBud">#REF!</definedName>
    <definedName name="BalanceSheetReportMonthDevTOLE">#REF!</definedName>
    <definedName name="BalanceSheetReportMonthLE">#REF!</definedName>
    <definedName name="BalanceSheetReportYearAcxtual">#REF!</definedName>
    <definedName name="BalanceSheetReportYearBudget">#REF!</definedName>
    <definedName name="BalanceSheetReportYearDevToBud">#REF!</definedName>
    <definedName name="BalanceSheetReportYearDevToLE">#REF!</definedName>
    <definedName name="BalanceSheetReportYearDevToLY">#REF!</definedName>
    <definedName name="BalanceSheetReportYearLY">#REF!</definedName>
    <definedName name="BALSHEET">#REF!</definedName>
    <definedName name="BalSheetBudgetAprActual">#REF!</definedName>
    <definedName name="BalSheetBudgetAugProj">#REF!</definedName>
    <definedName name="BalSheetBudgetDecProj">#REF!</definedName>
    <definedName name="BalSheetBudgetFebProj">#REF!</definedName>
    <definedName name="BalSheetBudgetJanProj">#REF!</definedName>
    <definedName name="BalSheetBudgetJulyProj">#REF!</definedName>
    <definedName name="BalSheetBudgetJuneProj">#REF!</definedName>
    <definedName name="BalSheetBudgetMarProj">#REF!</definedName>
    <definedName name="BalSheetBudgetMayActual">#REF!</definedName>
    <definedName name="BalSheetBudgetNovProj">#REF!</definedName>
    <definedName name="BalSheetBudgetOctProj">#REF!</definedName>
    <definedName name="BalSheetBudgetSepProj">#REF!</definedName>
    <definedName name="BalSheetBudgetTotalLE">#REF!</definedName>
    <definedName name="BAN">#REF!</definedName>
    <definedName name="BAN___0">#REF!</definedName>
    <definedName name="_xlnm.Database">#REF!</definedName>
    <definedName name="Band0">#REF!</definedName>
    <definedName name="Band2">#REF!</definedName>
    <definedName name="Band3">#REF!</definedName>
    <definedName name="Band4">#REF!</definedName>
    <definedName name="Band6">#REF!</definedName>
    <definedName name="Banks">#REF!</definedName>
    <definedName name="BarclaysTrance3">#REF!</definedName>
    <definedName name="BarclaysTranche1">#REF!</definedName>
    <definedName name="BarclaysTranche10">#REF!</definedName>
    <definedName name="BarclaysTranche11">#REF!</definedName>
    <definedName name="BarclaysTranche12">#REF!</definedName>
    <definedName name="BarclaysTranche13">#REF!</definedName>
    <definedName name="BarclaysTranche2">#REF!</definedName>
    <definedName name="BarclaysTranche4">#REF!</definedName>
    <definedName name="BarclaysTranche5">#REF!</definedName>
    <definedName name="BarclaysTranche6">#REF!</definedName>
    <definedName name="BarclaysTranche7">#REF!</definedName>
    <definedName name="BarclaysTranche8">#REF!</definedName>
    <definedName name="BarclaysTranche9">#REF!</definedName>
    <definedName name="BarWidTh">#REF!</definedName>
    <definedName name="base">#REF!</definedName>
    <definedName name="base_12_meses">#REF!</definedName>
    <definedName name="base_12_meses2">#REF!</definedName>
    <definedName name="BASE_19">#REF!</definedName>
    <definedName name="BASE_7">#REF!</definedName>
    <definedName name="BASE_9">#REF!</definedName>
    <definedName name="base_ano2">#REF!</definedName>
    <definedName name="base_mes_anterior">#REF!</definedName>
    <definedName name="base_mes2">#REF!</definedName>
    <definedName name="basia_1">#REF!</definedName>
    <definedName name="BASIC">#REF!</definedName>
    <definedName name="BASIC1">#REF!</definedName>
    <definedName name="basis">#REF!</definedName>
    <definedName name="basis___0">#REF!</definedName>
    <definedName name="basis_2">#REF!</definedName>
    <definedName name="basis_3">#REF!</definedName>
    <definedName name="basis_4">#REF!</definedName>
    <definedName name="BatchSSP">#REF!</definedName>
    <definedName name="bb">#REF!</definedName>
    <definedName name="bbb" hidden="1">{#N/A,#N/A,FALSE,"Pharm";#N/A,#N/A,FALSE,"WWCM"}</definedName>
    <definedName name="bbbb">#REF!</definedName>
    <definedName name="bbbbb" hidden="1">{#N/A,#N/A,FALSE,"Pharm";#N/A,#N/A,FALSE,"WWCM"}</definedName>
    <definedName name="BBBBBB" hidden="1">{#N/A,#N/A,FALSE,"REPORT"}</definedName>
    <definedName name="bbbbbbbb">INDEX(#REF!,0,3)</definedName>
    <definedName name="BBBBBBBBB" hidden="1">{#N/A,#N/A,FALSE,"REPORT"}</definedName>
    <definedName name="bbbbbbbbbbbb" hidden="1">#REF!</definedName>
    <definedName name="bbbbbbbbbbbbb" hidden="1">{#N/A,#N/A,FALSE,"Pharm";#N/A,#N/A,FALSE,"WWCM"}</definedName>
    <definedName name="BBL">#REF!</definedName>
    <definedName name="bbv">#REF!</definedName>
    <definedName name="bc" hidden="1">{"Financial Performance_SP",#N/A,FALSE,"Fin Perf(Sp)";"Operational Indicators_SP",#N/A,FALSE,"Op Ind(sp)";"Resources Utilisation_SP",#N/A,FALSE,"ResUtil (Sp)"}</definedName>
    <definedName name="BCTE_DTVM">#REF!</definedName>
    <definedName name="BCTE_HF">#REF!</definedName>
    <definedName name="BCTE_HNF">#REF!</definedName>
    <definedName name="BCTE_VX">#REF!</definedName>
    <definedName name="BD">#REF!</definedName>
    <definedName name="bdados_pl_mes_ant">#REF!</definedName>
    <definedName name="BDADOS2">#REF!</definedName>
    <definedName name="bdanal">#REF!</definedName>
    <definedName name="bdc.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bdebt3">#REF!</definedName>
    <definedName name="bdebt4">#REF!</definedName>
    <definedName name="bdebt5">#REF!</definedName>
    <definedName name="bdebt6">#REF!</definedName>
    <definedName name="BdEmp01">#REF!</definedName>
    <definedName name="BDNET">#REF!</definedName>
    <definedName name="BDNET1">#REF!</definedName>
    <definedName name="BeginDate">#REF!</definedName>
    <definedName name="BeginDate2">#REF!</definedName>
    <definedName name="BeginDate3">#REF!</definedName>
    <definedName name="BeginDate4">#REF!</definedName>
    <definedName name="belnew" hidden="1">{"IS",#N/A,FALSE,"IS";"RPTIS",#N/A,FALSE,"RPTIS";"STATS",#N/A,FALSE,"STATS";"CELL",#N/A,FALSE,"CELL";"BS",#N/A,FALSE,"BS"}</definedName>
    <definedName name="beta_observed">#REF!</definedName>
    <definedName name="beta_observed_unlevered">#REF!</definedName>
    <definedName name="beta_unlev_comps">#REF!</definedName>
    <definedName name="BEx0017DGUEDPCFJUPUZOOLJCS2B" hidden="1">#REF!</definedName>
    <definedName name="BEx001CNWHJ5RULCSFM36ZCGJ1UH" hidden="1">#REF!</definedName>
    <definedName name="BEx004791UAJIJSN57OT7YBLNP82" hidden="1">#REF!</definedName>
    <definedName name="BEx008P2NVFDLBHL7IZ5WTMVOQ1F" hidden="1">#REF!</definedName>
    <definedName name="BEx008P35KZGW268LAOIL8UJ1IPU" hidden="1">#REF!</definedName>
    <definedName name="BEx009G00IN0JUIAQ4WE9NHTMQE2" hidden="1">#REF!</definedName>
    <definedName name="BEx00DXTY2JDVGWQKV8H7FG4SV30" hidden="1">#REF!</definedName>
    <definedName name="BEx00GHLTYRH5N2S6P78YW1CD30N" hidden="1">#REF!</definedName>
    <definedName name="BEx00JC31DY11L45SEU4B10BIN6W" hidden="1">#REF!</definedName>
    <definedName name="BEx00KZHZBHP3TDV1YMX4B19B95O" hidden="1">#REF!</definedName>
    <definedName name="BEx00O4NXM28ZVR1II1YTT0RW8Y8" hidden="1">#REF!</definedName>
    <definedName name="BEx00OKTFD6BI2JK3UKS41UV5XKE" hidden="1">#REF!</definedName>
    <definedName name="BEx00U4HAJXUJG47MGRQPNYGBWEG" hidden="1">#REF!</definedName>
    <definedName name="BEx00X4DEJJHRT7WQYWQA3A11SMT" hidden="1">#REF!</definedName>
    <definedName name="BEx019PJFHI3RVI8F06N9M4TUB4U" hidden="1">#REF!</definedName>
    <definedName name="BEx01B7HF8MM9SQ550TEET6KV9Y4" hidden="1">#REF!</definedName>
    <definedName name="BEx01ENI86CGAR0G242YO7HFPMA5" hidden="1">#REF!</definedName>
    <definedName name="BEx01HY6E3GJ66ABU5ABN26V6Q13" hidden="1">#REF!</definedName>
    <definedName name="BEx01PW5YQKEGAR8JDDI5OARYXDF" hidden="1">#REF!</definedName>
    <definedName name="BEx01U8JGOB3ZJFKSU8XJZE1ZRT4" hidden="1">#REF!</definedName>
    <definedName name="BEx01WXMSWUHMKJ7EDPERHTUHWEO" hidden="1">#REF!</definedName>
    <definedName name="BEx01XJ94SHJ1YQ7ORPW0RQGKI2H" hidden="1">#REF!</definedName>
    <definedName name="BEx01Y4T75VHPL3GDKYSEGT6IH0O" hidden="1">#REF!</definedName>
    <definedName name="BEx022HDRWMJGYEJT4GFYGFIN9XF" hidden="1">#REF!</definedName>
    <definedName name="BEx02MPKJF6CQS7WWKHKA03098N5" hidden="1">#REF!</definedName>
    <definedName name="BEx02Q08R9G839Q4RFGG9026C7PX" hidden="1">#REF!</definedName>
    <definedName name="BEx02SEL3Z1QWGAHXDPUA9WLTTPS" hidden="1">#REF!</definedName>
    <definedName name="BEx02Y3KJZH5BGDM9QEZ1PVVI114" hidden="1">#REF!</definedName>
    <definedName name="BEx0313GRLLASDTVPW5DHTXHE74M" hidden="1">#REF!</definedName>
    <definedName name="BEx1EOIAQ9PUEHPNT3Z09P02JKJ9" hidden="1">#REF!</definedName>
    <definedName name="BEx1F0SOZ3H5XUHXD7O01TCR8T6J" hidden="1">#REF!</definedName>
    <definedName name="BEx1F2W7KMYY8EX2TWWUYI3MDIC6" hidden="1">#REF!</definedName>
    <definedName name="BEx1F9HL824UCNCVZ2U62J4KZCX8" hidden="1">#REF!</definedName>
    <definedName name="BEx1FEVSJKTI1Q1Z874QZVFSJSVA" hidden="1">#REF!</definedName>
    <definedName name="BEx1FGDRUHHLI1GBHELT4PK0LY4V" hidden="1">#REF!</definedName>
    <definedName name="BEx1FJZ74EUSTX8YHOHDZBG0SJ7P" hidden="1">#REF!</definedName>
    <definedName name="BEx1FJZ7GKO99IYTP6GGGF7EUL3Z" hidden="1">#REF!</definedName>
    <definedName name="BEx1FMDK1E78JTVQIGL8AJH51SO0" hidden="1">#REF!</definedName>
    <definedName name="BEx1FVO093NOMAUVBNLLN31FS2TX" hidden="1">#REF!</definedName>
    <definedName name="BEx1FZKACTFJ3N5OVNEFGDFX5DJN" hidden="1">#REF!</definedName>
    <definedName name="BEx1FZV2CM77TBH1R6YYV9P06KA2" hidden="1">#REF!</definedName>
    <definedName name="BEx1G59AY8195JTUM6P18VXUFJ3E" hidden="1">#REF!</definedName>
    <definedName name="BEx1GFW89F9VOXZ231OCH4DNT39Z" hidden="1">#REF!</definedName>
    <definedName name="BEx1GG1Q9L0YKTMG6S9UYF2U7LXY" hidden="1">#REF!</definedName>
    <definedName name="BEx1GPHIANCR1Z1H2VKAIW5IMFYR" hidden="1">#REF!</definedName>
    <definedName name="BEx1GVMRHFXUP6XYYY9NR12PV5TF" hidden="1">#REF!</definedName>
    <definedName name="BEx1H6KIT7BHUH6MDDWC935V9N47" hidden="1">#REF!</definedName>
    <definedName name="BEx1HABB35SYBV2UCZ3KS71KTZFQ" hidden="1">#REF!</definedName>
    <definedName name="BEx1HDGOOJ3SKHYMWUZJ1P0RQZ9N" hidden="1">#REF!</definedName>
    <definedName name="BEx1HDM5ZXSJG6JQEMSFV52PZ10V" hidden="1">#REF!</definedName>
    <definedName name="BEx1HETBBZVN5F43LKOFMC4QB0CR" hidden="1">#REF!</definedName>
    <definedName name="BEx1HFUZQIJ08UWKSQGY71UZP84S" hidden="1">#REF!</definedName>
    <definedName name="BEx1HGWNWPLNXICOTP90TKQVVE4E" hidden="1">#REF!</definedName>
    <definedName name="BEx1HIPLJZABY0EMUOTZN0EQMDPU" hidden="1">#REF!</definedName>
    <definedName name="BEx1HO94JIRX219MPWMB5E5XZ04X" hidden="1">#REF!</definedName>
    <definedName name="BEx1HPAYHDCAN7SGCT3DJNZ3SSZD" hidden="1">#REF!</definedName>
    <definedName name="BEx1HQNF6KHM21E3XLW0NMSSEI9S" hidden="1">#REF!</definedName>
    <definedName name="BEx1HSLNWIW4S97ZBYY7I7M5YVH4" hidden="1">#REF!</definedName>
    <definedName name="BEx1HT76X4OK2H7RKO1JPFSHH45H" hidden="1">#REF!</definedName>
    <definedName name="BEx1HT77FHAAZGLBP3HSEHBOWQ8X" hidden="1">#REF!</definedName>
    <definedName name="BEx1HTCIIT1EQG0M8Q7BJOEX2ULN" hidden="1">#REF!</definedName>
    <definedName name="BEx1HTCJOU9ANAI87F6L85JM6KRL" hidden="1">#REF!</definedName>
    <definedName name="BEx1I4QKTILCKZUSOJCVZN7SNHL5" hidden="1">#REF!</definedName>
    <definedName name="BEx1ICDLTH5XAB4O99AGMJHKUOLE" hidden="1">#REF!</definedName>
    <definedName name="BEx1IE0ZP7RIFM9FI24S9I6AAJ14" hidden="1">#REF!</definedName>
    <definedName name="BEx1IF871TGR2F4BOAHDDNAML67N" hidden="1">#REF!</definedName>
    <definedName name="BEx1IG9UQIOMYZXT55PVZGUHMYFM" hidden="1">#REF!</definedName>
    <definedName name="BEx1IGQ5B697MNDOE06MVSR0H58E" hidden="1">#REF!</definedName>
    <definedName name="BEx1IJF9SDMLKD1NN3QYIEY3I793" hidden="1">#REF!</definedName>
    <definedName name="BEx1IKRPW8MLB9Y485M1TL2IT9SH" hidden="1">#REF!</definedName>
    <definedName name="BEx1IWB6UJZ8EXR9GXN0GFHBSG7Z" hidden="1">#REF!</definedName>
    <definedName name="BEx1J0CSSHDJGBJUHVOEMCF2P4DL" hidden="1">#REF!</definedName>
    <definedName name="BEx1J7E8VCGLPYU82QXVUG5N3ZAI" hidden="1">#REF!</definedName>
    <definedName name="BEx1J85AAELJWRTE8S1T9NXRXZEM" hidden="1">#REF!</definedName>
    <definedName name="BEx1JGE2YQWH8S25USOY08XVGO0D" hidden="1">#REF!</definedName>
    <definedName name="BEx1JJJC9T1W7HY4V7HP1S1W4JO1" hidden="1">#REF!</definedName>
    <definedName name="BEx1JKKZSJ7DI4PTFVI9VVFMB1X2" hidden="1">#REF!</definedName>
    <definedName name="BEx1JUBQFRVMASSFK4B3V0AD7YP9" hidden="1">#REF!</definedName>
    <definedName name="BEx1JUXBL6Y1A9P4KA7DK9SG7N0M" hidden="1">#REF!</definedName>
    <definedName name="BEx1JXBM5W4YRWNQ0P95QQS6JWD6" hidden="1">#REF!</definedName>
    <definedName name="BEx1K77O0AULMVJV51Q6PPU2UI25" hidden="1">#REF!</definedName>
    <definedName name="BEx1KGY9NUAFONYC7NUP983PKIO4" hidden="1">#REF!</definedName>
    <definedName name="BEx1KGY9QEHZ9QSARMQUTQKRK4UX" hidden="1">#REF!</definedName>
    <definedName name="BEx1KIQZ76E5W951WLHM5PT1Z3EA" hidden="1">#REF!</definedName>
    <definedName name="BEx1KIR0NGC2OHNMDIEAQVI8L2OF" hidden="1">#REF!</definedName>
    <definedName name="BEx1KKP1ELIF2UII2FWVGL7M1X7J" hidden="1">#REF!</definedName>
    <definedName name="BEx1KKUJ9UJC17K2L2JEGHO36KMR" hidden="1">#REF!</definedName>
    <definedName name="BEx1KOG0HJP8OQS3NNGQP2JOPSGQ" hidden="1">#REF!</definedName>
    <definedName name="BEx1KQJJHDTHAYQ6OFMOYMSA19GK" hidden="1">#REF!</definedName>
    <definedName name="BEx1KUVWMB0QCWA3RBE4CADFVRIS" hidden="1">#REF!</definedName>
    <definedName name="BEx1L2OG1SDFK2TPXELJ77YP4NI2" hidden="1">#REF!</definedName>
    <definedName name="BEx1L3VSF5NNGPPL8XPIMYSD8SSR" hidden="1">#REF!</definedName>
    <definedName name="BEx1L6Q60MWRDJB4L20LK0XPA0Z2" hidden="1">#REF!</definedName>
    <definedName name="BEx1L7BQX3CCMG7RMBERARCHVIJC" hidden="1">#REF!</definedName>
    <definedName name="BEx1L7H3TX9W706BIGFJVC123NLI" hidden="1">#REF!</definedName>
    <definedName name="BEx1LAMF3FUYVYT97B9HL387Z647" hidden="1">#REF!</definedName>
    <definedName name="BEx1LBO3EJLKLQWZ4CB23UZH5ZJF" hidden="1">#REF!</definedName>
    <definedName name="BEx1LCKHT7JJ1C6W48OPT4ZQ81NV" hidden="1">#REF!</definedName>
    <definedName name="BEx1LD63FP2Z4BR9TKSHOZW9KKZ5" hidden="1">#REF!</definedName>
    <definedName name="BEx1LDMB9RW982DUILM2WPT5VWQ3" hidden="1">#REF!</definedName>
    <definedName name="BEx1LRPGDQCOEMW8YT80J1XCDCIV" hidden="1">#REF!</definedName>
    <definedName name="BEx1LRUSJW4JG54X07QWD9R27WV9" hidden="1">#REF!</definedName>
    <definedName name="BEx1LTCP94PSWTWIPGFUI3XP7NM7" hidden="1">#REF!</definedName>
    <definedName name="BEx1M1WBK5T0LP1AK2JYV6W87ID6" hidden="1">#REF!</definedName>
    <definedName name="BEx1M4QPNZLXEJYTG1EQ0U5VZPS3" hidden="1">#REF!</definedName>
    <definedName name="BEx1M51HHDYGIT8PON7U8ICL2S95" hidden="1">#REF!</definedName>
    <definedName name="BEx1M5CC201QTN4U8RD54LNG5GUR" hidden="1">#REF!</definedName>
    <definedName name="BEx1MAL1N6C2892SSNXZ49P9AWNG" hidden="1">#REF!</definedName>
    <definedName name="BEx1MJFEK2R2BJUKDALBUEO4M3ST" hidden="1">#REF!</definedName>
    <definedName name="BEx1MJQ7XSXPXF4Y4TOSXTY64R30" hidden="1">#REF!</definedName>
    <definedName name="BEx1MNRSNCMZPZL8E014TLO849GS" hidden="1">#REF!</definedName>
    <definedName name="BEx1MRIQJ77HAMLK0WRTS8PICVHR" hidden="1">#REF!</definedName>
    <definedName name="BEx1MS4BYFMJU5GZ6UHU2JT7ZL32" hidden="1">#REF!</definedName>
    <definedName name="BEx1MTM943OGCMZA3P1HXMWA0TRM" hidden="1">#REF!</definedName>
    <definedName name="BEx1MTRKKVCHOZ0YGID6HZ49LJTO" hidden="1">#REF!</definedName>
    <definedName name="BEx1N25ORWG6KC2J1B06P45YJJOQ" hidden="1">#REF!</definedName>
    <definedName name="BEx1N3CUJ3UX61X38ZAJVPEN4KMC" hidden="1">#REF!</definedName>
    <definedName name="BEx1N43PBD48221H53Q8Z49I2OTZ" hidden="1">#REF!</definedName>
    <definedName name="BEx1N4EOLV2I1X8L5PPH9QYDFOTT" hidden="1">#REF!</definedName>
    <definedName name="BEx1N7PCYM0UQ18QUF8ORFMJLG9Y" hidden="1">#REF!</definedName>
    <definedName name="BEx1NG3GD1TI329E8O2KA99YGK9Z" hidden="1">#REF!</definedName>
    <definedName name="BEx1NKL6HKRVSBZTT971DK9903TU" hidden="1">#REF!</definedName>
    <definedName name="BEx1NM34KQTO1LDNSAFD1L82UZFG" hidden="1">#REF!</definedName>
    <definedName name="BEx1NO6TXZVOGCUWCCRTXRXWW0XL" hidden="1">#REF!</definedName>
    <definedName name="BEx1NS8EU5P9FQV3S0WRTXI5L361" hidden="1">#REF!</definedName>
    <definedName name="BEx1NUBX5VUYZFKQH69FN6BTLWCR" hidden="1">#REF!</definedName>
    <definedName name="BEx1NZ4K1L8UON80Y2A4RASKWGNP" hidden="1">#REF!</definedName>
    <definedName name="BEx1ODCY6EO6SIW38CZANCJU92RT" hidden="1">#REF!</definedName>
    <definedName name="BEx1OHEPEHO9VLTNI6EKAW71FZYC" hidden="1">#REF!</definedName>
    <definedName name="BEx1OLAZ915OGYWP0QP1QQWDLCRX" hidden="1">#REF!</definedName>
    <definedName name="BEx1OO5ER042IS6IC4TLDI75JNVH" hidden="1">#REF!</definedName>
    <definedName name="BEx1OTE54CBSUT8FWKRALEDCUWN4" hidden="1">#REF!</definedName>
    <definedName name="BEx1OVN5L4VO10U9PH1NSO5IP96E" hidden="1">#REF!</definedName>
    <definedName name="BEx1OVSMPADTX95QUOX34KZQ8EDY" hidden="1">#REF!</definedName>
    <definedName name="BEx1OX544IO9FQJI7YYQGZCEHB3O" hidden="1">#REF!</definedName>
    <definedName name="BEx1OXL6IW6LC6EQURWFALEIDWKB" hidden="1">#REF!</definedName>
    <definedName name="BEx1OY6SVEUT2EQ26P7EKEND342G" hidden="1">#REF!</definedName>
    <definedName name="BEx1OYN1LPIPI12O9G6F7QAOS9T4" hidden="1">#REF!</definedName>
    <definedName name="BEx1P1HHKJA799O3YZXQAX6KFH58" hidden="1">#REF!</definedName>
    <definedName name="BEx1P34W467WGPOXPK292QFJIPHJ" hidden="1">#REF!</definedName>
    <definedName name="BEx1P4XNEGARF0ZYIGP25GCFC4H5" hidden="1">#REF!</definedName>
    <definedName name="BEx1P6VO4BEB41U8I57H9CBFES13" hidden="1">#REF!</definedName>
    <definedName name="BEx1P7S1J4TKGVJ43C2Q2R3M9WRB" hidden="1">#REF!</definedName>
    <definedName name="BEx1P9QA4E9YLWEGVGSO4B6VI84I" hidden="1">#REF!</definedName>
    <definedName name="BEx1PA11BLPVZM8RC5BL46WX8YB5" hidden="1">#REF!</definedName>
    <definedName name="BEx1PBZ4BEFIPGMQXT9T8S4PZ2IM" hidden="1">#REF!</definedName>
    <definedName name="BEx1PDMITJKAIYT3X8OINEFB16W7" hidden="1">#REF!</definedName>
    <definedName name="BEx1PLF2CFSXBZPVI6CJ534EIJDN" hidden="1">#REF!</definedName>
    <definedName name="BEx1PMWZB2DO6EM9BKLUICZJ65HD" hidden="1">#REF!</definedName>
    <definedName name="BEx1PVLWXBF1JBI3BLI7HVMDU9FN" hidden="1">#REF!</definedName>
    <definedName name="BEx1PVR7CBIMP3ZDZDVQS4N8UVQ3" hidden="1">#REF!</definedName>
    <definedName name="BEx1Q6P4ATO4LNO8VL897QOO4FPQ" hidden="1">#REF!</definedName>
    <definedName name="BEx1QA54J2A4I7IBQR19BTY28ZMR" hidden="1">#REF!</definedName>
    <definedName name="BEx1QFONMNR9XJ8FMKGWQJ1L3GSR" hidden="1">#REF!</definedName>
    <definedName name="BEx1QIU11UB77I4KHN9453SPKXN7" hidden="1">#REF!</definedName>
    <definedName name="BEx1QMQAHG3KQUK59DVM68SWKZIZ" hidden="1">#REF!</definedName>
    <definedName name="BEx1R9YFKJCMSEST8OVCAO5E47FO" hidden="1">#REF!</definedName>
    <definedName name="BEx1RAEO3SK32NJ0IVE0WQG0E85J" hidden="1">#REF!</definedName>
    <definedName name="BEx1RBGC06B3T52OIC0EQ1KGVP1I" hidden="1">#REF!</definedName>
    <definedName name="BEx1RBGCRWVGNVX2YQ4TEDLJLH0C" hidden="1">#REF!</definedName>
    <definedName name="BEx1RLHWHZY5QPOETMAUO3LZ7IIX" hidden="1">#REF!</definedName>
    <definedName name="BEx1RRC7X4NI1CU4EO5XYE2GVARJ" hidden="1">#REF!</definedName>
    <definedName name="BEx1RRHIT79H7HQTRPFBSRWG2GJK" hidden="1">#REF!</definedName>
    <definedName name="BEx1RTAEM41MMAN1B31K4J905OP2" hidden="1">#REF!</definedName>
    <definedName name="BEx1RXXJGDM0JX3EP661SN1M5QR8" hidden="1">#REF!</definedName>
    <definedName name="BEx1RY8CHAXH2KP1LUXWX6DXFV5O" hidden="1">#REF!</definedName>
    <definedName name="BEx1RZA1NCGT832L7EMR7GMF588W" hidden="1">#REF!</definedName>
    <definedName name="BEx1S0XGIPUSZQUCSGWSK10GKW7Y" hidden="1">#REF!</definedName>
    <definedName name="BEx1S1ODA0Y4ADV72LXX9EYBBHKH" hidden="1">#REF!</definedName>
    <definedName name="BEx1S310NITBBORVMUAU0NSHJKNY" hidden="1">#REF!</definedName>
    <definedName name="BEx1S5VFNKIXHTTCWSV60UC50EZ8" hidden="1">#REF!</definedName>
    <definedName name="BEx1SCRLGJU6DNUV034HZ5CT1F6D" hidden="1">#REF!</definedName>
    <definedName name="BEx1SFRGYRWMPI463KJ422IS5Y68" hidden="1">#REF!</definedName>
    <definedName name="BEx1SH9FU3TQPB7CVA5XZSBOLKS3" hidden="1">#REF!</definedName>
    <definedName name="BEx1SK3U02H0RGKEYXW7ZMCEOF3V" hidden="1">#REF!</definedName>
    <definedName name="BEx1SRLQOEW4VDPXWWR4XJ8MUCHG" hidden="1">#REF!</definedName>
    <definedName name="BEx1SSNEZINBJT29QVS62VS1THT4" hidden="1">#REF!</definedName>
    <definedName name="BEx1SU5DWZFJZR2K82Y0C3TE20BR" hidden="1">#REF!</definedName>
    <definedName name="BEx1SVNCHNANBJIDIQVB8AFK4HAN" hidden="1">#REF!</definedName>
    <definedName name="BEx1SYY04D4DT9OYJM33TA36YBDN" hidden="1">#REF!</definedName>
    <definedName name="BEx1T46QPDU703YZT1CYK64GPABS" hidden="1">#REF!</definedName>
    <definedName name="BEx1T8U2PVBC33L23SWWS08BL0GH" hidden="1">#REF!</definedName>
    <definedName name="BEx1TJ0WLS9O7KNSGIPWTYHDYI1D" hidden="1">#REF!</definedName>
    <definedName name="BEx1TOKHGYQOKT45DZT5X8TTBUNE" hidden="1">#REF!</definedName>
    <definedName name="BEx1U21ZTW6WQVJ6VXCISU3WXTRP" hidden="1">#REF!</definedName>
    <definedName name="BEx1U27FOLKYSKASES9X9X2Y1FSI" hidden="1">#REF!</definedName>
    <definedName name="BEx1U75ERQSOX7FCMP1EVBMYGZAY" hidden="1">#REF!</definedName>
    <definedName name="BEx1U7WFO8OZKB1EBF4H386JW91L" hidden="1">#REF!</definedName>
    <definedName name="BEx1U87938YR9N6HYI24KVBKLOS3" hidden="1">#REF!</definedName>
    <definedName name="BEx1UESH4KDWHYESQU2IE55RS3LI" hidden="1">#REF!</definedName>
    <definedName name="BEx1UI8N9KTCPSOJ7RDW0T8UEBNP" hidden="1">#REF!</definedName>
    <definedName name="BEx1UJAAQLIITU0C4E1JCLJQWJHU" hidden="1">#REF!</definedName>
    <definedName name="BEx1UK6NEYI81A7OSC9BJDIINARQ" hidden="1">#REF!</definedName>
    <definedName name="BEx1UML0HHJFHA5TBOYQ24I3RV1W" hidden="1">#REF!</definedName>
    <definedName name="BEx1UOJ7FUWTP25IBO7ORKAJGCYL" hidden="1">#REF!</definedName>
    <definedName name="BEx1UUDIQPZ23XQ79GUL0RAWRSCK" hidden="1">#REF!</definedName>
    <definedName name="BEx1V4V4W1BOPFPKB5Q32KBR8QP6" hidden="1">#REF!</definedName>
    <definedName name="BEx1V67SEV778NVW68J8W5SND1J7" hidden="1">#REF!</definedName>
    <definedName name="BEx1VEWPKWGNCGBT8BNYAPS9R65X" hidden="1">#REF!</definedName>
    <definedName name="BEx1VG3TQ2KPM9F9TZTY47WO469S" hidden="1">#REF!</definedName>
    <definedName name="BEx1VIY9SQLRESD11CC4PHYT0XSG" hidden="1">#REF!</definedName>
    <definedName name="BEx1WC67EH10SC38QWX3WEA5KH3A" hidden="1">#REF!</definedName>
    <definedName name="BEx1WG7Y1FK7TT1NK914F1IYR2RB" hidden="1">#REF!</definedName>
    <definedName name="BEx1WGD8842UGPDFKIUJEVEFA276" hidden="1">#REF!</definedName>
    <definedName name="BEx1WGYTKZZIPM1577W5FEYKFH3V" hidden="1">#REF!</definedName>
    <definedName name="BEx1WHPURIV3D3PTJJ359H1OP7ZV" hidden="1">#REF!</definedName>
    <definedName name="BEx1WLWY2CR1WRD694JJSWSDFAIR" hidden="1">#REF!</definedName>
    <definedName name="BEx1WMD1LWPWRIK6GGAJRJAHJM8I" hidden="1">#REF!</definedName>
    <definedName name="BEx1WMNZDZZ9MQ12SMAR8UMSOH5T" hidden="1">#REF!</definedName>
    <definedName name="BEx1WOM1IFJHT9SSVKMA8PVNWGUV" hidden="1">#REF!</definedName>
    <definedName name="BEx1WR0D41MR174LBF3P9E3K0J51" hidden="1">#REF!</definedName>
    <definedName name="BEx1WUB1FAS5PHU33TJ60SUHR618" hidden="1">#REF!</definedName>
    <definedName name="BEx1WX04G0INSPPG9NTNR3DYR6PZ" hidden="1">#REF!</definedName>
    <definedName name="BEx1X3LHU9DPG01VWX2IF65TRATF" hidden="1">#REF!</definedName>
    <definedName name="BEx1X58SWLU533FLFY3CKEA9UZJ3" hidden="1">#REF!</definedName>
    <definedName name="BEx1X8JFZWMSHLG62ZVEWOSGG5JV" hidden="1">#REF!</definedName>
    <definedName name="BEx1X951UPRD0QTUKNNLILRIHNTP" hidden="1">#REF!</definedName>
    <definedName name="BEx1XK8AAMO0AH0Z1OUKW30CA7EQ" hidden="1">#REF!</definedName>
    <definedName name="BEx1XL4MZ7C80495GHQRWOBS16PQ" hidden="1">#REF!</definedName>
    <definedName name="BEx1XLVOX93WF7BKPLSXO4C79CTP" hidden="1">#REF!</definedName>
    <definedName name="BEx1XOFBPTJ3H8YQEJSLQBPZM68D" hidden="1">#REF!</definedName>
    <definedName name="BEx1Y2IGS2K95E1M51PEF9KJZ0KB" hidden="1">#REF!</definedName>
    <definedName name="BEx1Y3PKK83X2FN9SAALFHOWKMRQ" hidden="1">#REF!</definedName>
    <definedName name="BEx1YFP62SMR30M1W1FWTSZVZ8DG" hidden="1">#REF!</definedName>
    <definedName name="BEx1YGAR9X4K4YTX9CZYMLMJZBL9" hidden="1">#REF!</definedName>
    <definedName name="BEx1YKHSXUXWVXXXF9N2FIXK7LH8" hidden="1">#REF!</definedName>
    <definedName name="BEx1YKSLUXYQ0ZS2HBVKXKN389AG" hidden="1">#REF!</definedName>
    <definedName name="BEx1YL3DJ7Y4AZ01ERCOGW0FJ26T" hidden="1">#REF!</definedName>
    <definedName name="BEx1Z2RYHSVD1H37817SN93VMURZ" hidden="1">#REF!</definedName>
    <definedName name="BEx3AMAKWI6458B67VKZO56MCNJW" hidden="1">#REF!</definedName>
    <definedName name="BEx3AOOVM42G82TNF53W0EKXLUSI" hidden="1">#REF!</definedName>
    <definedName name="BEx3AZH9W4SUFCAHNDOQ728R9V4L" hidden="1">#REF!</definedName>
    <definedName name="BEx3B7VEM5JWX45OTXQ5C4VHMRCP" hidden="1">#REF!</definedName>
    <definedName name="BEx3BD9M4XD6TCNZERIS5JRDWFNI" hidden="1">#REF!</definedName>
    <definedName name="BEx3BNR9ES4KY7Q1DK83KC5NDGL8" hidden="1">#REF!</definedName>
    <definedName name="BEx3BQR5VZXNQ4H949ORM8ESU3B3" hidden="1">#REF!</definedName>
    <definedName name="BEx3BTLL3ASJN134DLEQTQM70VZM" hidden="1">#REF!</definedName>
    <definedName name="BEx3BW5CTV0DJU5AQS3ZQFK2VLF3" hidden="1">#REF!</definedName>
    <definedName name="BEx3BXY4MPD4EN4R9HMD2JJA6TGJ" hidden="1">#REF!</definedName>
    <definedName name="BEx3BYP0FG369M7G3JEFLMMXAKTS" hidden="1">#REF!</definedName>
    <definedName name="BEx3C2QR0WUD19QSVO8EMIPNQJKH" hidden="1">#REF!</definedName>
    <definedName name="BEx3CBFNG9Z2XVHTTMOPZR39QNVV" hidden="1">#REF!</definedName>
    <definedName name="BEx3CKFCCPZZ6ROLAT5C1DZNIC1U" hidden="1">#REF!</definedName>
    <definedName name="BEx3CO0SVO4WLH0DO43DCHYDTH1P" hidden="1">#REF!</definedName>
    <definedName name="BEx3CSIO1TFT28SF67E8Z71KYJPT" hidden="1">#REF!</definedName>
    <definedName name="BEx3CW43VL74SOJUN0AQX9C8N4TE" hidden="1">#REF!</definedName>
    <definedName name="BEx3D1NO0Y83RRGBJYCIVOWB4ON9" hidden="1">#REF!</definedName>
    <definedName name="BEx3D9G6QTSPF9UYI4X0XY0VE896" hidden="1">#REF!</definedName>
    <definedName name="BEx3DCQU9PBRXIMLO62KS5RLH447" hidden="1">#REF!</definedName>
    <definedName name="BEx3DDCFVJTLGJKOXZISVHC20CF7" hidden="1">#REF!</definedName>
    <definedName name="BEx3DR4SW2ZEYFL5B6M9POLH2YK5" hidden="1">#REF!</definedName>
    <definedName name="BEx3DRKW0HKKBPMKGNI8D6CY7GFH" hidden="1">#REF!</definedName>
    <definedName name="BEx3ECK4CTP74S43NP3U1ZS8YJQ5" hidden="1">#REF!</definedName>
    <definedName name="BEx3EF99FD6QNNCNOKDEE67JHTUJ" hidden="1">#REF!</definedName>
    <definedName name="BEx3EHCSERZ2O2OAG8Y95UPG2IY9" hidden="1">#REF!</definedName>
    <definedName name="BEx3EI96O3UKL8XK6GFM4O8UIZ4N" hidden="1">#REF!</definedName>
    <definedName name="BEx3EJR3TCJDYS7ZXNDS5N9KTGIK" hidden="1">#REF!</definedName>
    <definedName name="BEx3EKNHKR88KDD2W0ITW0FWFTP4" hidden="1">#REF!</definedName>
    <definedName name="BEx3EKY9Z9Z1JTAWGDTFD2XMLZBL" hidden="1">#REF!</definedName>
    <definedName name="BEx3ELJTTBS6P05CNISMGOJOA60V" hidden="1">#REF!</definedName>
    <definedName name="BEx3EQSLJBDDJRHNX19PBFCKNY2I" hidden="1">#REF!</definedName>
    <definedName name="BEx3EUUAX947Q5N6MY6W0KSNY78Y" hidden="1">#REF!</definedName>
    <definedName name="BEx3EZ6VGI4ZSOWXXINXT649BGBQ" hidden="1">#REF!</definedName>
    <definedName name="BEx3FHMD1P5XBCH23ZKIFO6ZTCNB" hidden="1">#REF!</definedName>
    <definedName name="BEx3FI2G3YYIACQHXNXEA15M8ZK5" hidden="1">#REF!</definedName>
    <definedName name="BEx3FI7XDVW9T1HMCEL8EU0K73C7" hidden="1">#REF!</definedName>
    <definedName name="BEx3FJ9MHSLDK8W91GO85FX1GX57" hidden="1">#REF!</definedName>
    <definedName name="BEx3FR251HFU7A33PU01SJUENL2B" hidden="1">#REF!</definedName>
    <definedName name="BEx3FX7EJL47JSLSWP3EOC265WAE" hidden="1">#REF!</definedName>
    <definedName name="BEx3G01U1RQYMXREM2Z8N5Z8U6HT" hidden="1">#REF!</definedName>
    <definedName name="BEx3G201R8NLJ6FIHO2QS0SW9QVV" hidden="1">#REF!</definedName>
    <definedName name="BEx3G2LL2II66XY5YCDPG4JE13A3" hidden="1">#REF!</definedName>
    <definedName name="BEx3G2WA0DTYY9D8AGHHOBTPE2B2" hidden="1">#REF!</definedName>
    <definedName name="BEx3G6HQ9383DX0ODL5XV6OKKYLC" hidden="1">#REF!</definedName>
    <definedName name="BEx3G855FK2KMQ5A2H8LU8M09PAE" hidden="1">#REF!</definedName>
    <definedName name="BEx3GC6Q0ER8IO04AZZAV0X7HUL4" hidden="1">#REF!</definedName>
    <definedName name="BEx3GCXR6IAS0B6WJ03GJVH7CO52" hidden="1">#REF!</definedName>
    <definedName name="BEx3GEVV18SEQDI1JGY7EN6D1GT1" hidden="1">#REF!</definedName>
    <definedName name="BEx3GJ8E6ZPT4DRHPA38PUGBT39I" hidden="1">#REF!</definedName>
    <definedName name="BEx3GKFH64MKQX61S7DYTZ15JCPY" hidden="1">#REF!</definedName>
    <definedName name="BEx3GM897XLEAWAF3B2ND5K170NH" hidden="1">#REF!</definedName>
    <definedName name="BEx3GMJ1Y6UU02DLRL0QXCEKDA6C" hidden="1">#REF!</definedName>
    <definedName name="BEx3GMZ47FZTBC85UJCCXC026NU9" hidden="1">#REF!</definedName>
    <definedName name="BEx3GN4LY0135CBDIN1TU2UEODGF" hidden="1">#REF!</definedName>
    <definedName name="BEx3GPDH2AH4QKT4OOSN563XUHBD" hidden="1">#REF!</definedName>
    <definedName name="BEx3GVYUM32MVBW3C43FSLLHON77" hidden="1">#REF!</definedName>
    <definedName name="BEx3H5UX2GZFZZT657YR76RHW5I6" hidden="1">#REF!</definedName>
    <definedName name="BEx3HBJWBV98LDAH35Q7DLBFW92B" hidden="1">#REF!</definedName>
    <definedName name="BEx3HC5H5RINXDP4O57SRI1RIZ0O" hidden="1">#REF!</definedName>
    <definedName name="BEx3HD1TNQ1X22IWFNYVK52J3GBJ" hidden="1">#REF!</definedName>
    <definedName name="BEx3HMSEFOP6DBM4R97XA6B7NFG6" hidden="1">#REF!</definedName>
    <definedName name="BEx3HWJ5SQSD2CVCQNR183X44FR8" hidden="1">#REF!</definedName>
    <definedName name="BEx3HYMPJOH6IJ13VW8057F66XB7" hidden="1">#REF!</definedName>
    <definedName name="BEx3I09YVXO0G4X7KGSA4WGORM35" hidden="1">#REF!</definedName>
    <definedName name="BEx3I0KQZD0A4UDRFE96ROM9E1MS" hidden="1">#REF!</definedName>
    <definedName name="BEx3I40WG9GCWGZS4QN8BSHPDW1V" hidden="1">#REF!</definedName>
    <definedName name="BEx3I4MHM3VGFXAH4OIN65DG8567" hidden="1">#REF!</definedName>
    <definedName name="BEx3I582Q14VGHX5PCJHJJSBBJ3A" hidden="1">#REF!</definedName>
    <definedName name="BEx3ICF1GY8HQEBIU9S43PDJ90BX" hidden="1">#REF!</definedName>
    <definedName name="BEx3IEIKGSECOHRK1BQULB7VPEGG" hidden="1">#REF!</definedName>
    <definedName name="BEx3IJ0EFMEELTAGV7LCZ2KD77SO" hidden="1">#REF!</definedName>
    <definedName name="BEx3IJ5PWE2LKHBPW7KEG1XGKP44" hidden="1">#REF!</definedName>
    <definedName name="BEx3IK7JVB1QD9G81SNMOJT9YIQQ" hidden="1">#REF!</definedName>
    <definedName name="BEx3INYCZRYQ78K0V2U4V1APFJ93" hidden="1">#REF!</definedName>
    <definedName name="BEx3IO94HNICJXUVQKCHO2DKJMHX" hidden="1">#REF!</definedName>
    <definedName name="BEx3IUUHG3YR82USU0W6Z7YQX9MC" hidden="1">#REF!</definedName>
    <definedName name="BEx3IW70GY6R0PH0BVNRORR4N6G6" hidden="1">#REF!</definedName>
    <definedName name="BEx3IYAH2DEBFWO8F94H4MXE3RLY" hidden="1">#REF!</definedName>
    <definedName name="BEx3IZXXSYEW50379N2EAFWO8DZV" hidden="1">#REF!</definedName>
    <definedName name="BEx3J1VZVGTKT4ATPO9O5JCSFTTR" hidden="1">#REF!</definedName>
    <definedName name="BEx3J3U7LSFL49EPGKWXCKCQ1013" hidden="1">#REF!</definedName>
    <definedName name="BEx3JAFKP5KLZ0KV41W9C4DLQZQV" hidden="1">#REF!</definedName>
    <definedName name="BEx3JC2TY7JNAAC3L7QHVPQXLGQ8" hidden="1">#REF!</definedName>
    <definedName name="BEx3JI84SYKX3OWVA5K921D29MNY" hidden="1">#REF!</definedName>
    <definedName name="BEx3JKGYTCMVOLL03M7NNCL7VT9H" hidden="1">#REF!</definedName>
    <definedName name="BEx3JX23SYDIGOGM4Y0CQFBW8ZBV" hidden="1">#REF!</definedName>
    <definedName name="BEx3JXCXCVBZJGV5VEG9MJEI01AL" hidden="1">#REF!</definedName>
    <definedName name="BEx3JYK2N7X59TPJSKYZ77ENY8SS" hidden="1">#REF!</definedName>
    <definedName name="BEx3K491ZTG6W4VI9VLL5ZAJ7BD1" hidden="1">#REF!</definedName>
    <definedName name="BEx3K4EII7GU1CG0BN7UL15M6J8Z" hidden="1">#REF!</definedName>
    <definedName name="BEx3K4ZXQUQ2KYZF74B84SO48XMW" hidden="1">#REF!</definedName>
    <definedName name="BEx3K85AZ7GSHREV1YJH0PAOTESZ" hidden="1">#REF!</definedName>
    <definedName name="BEx3K975T27QGOIPF6VY8WAPP3QI" hidden="1">#REF!</definedName>
    <definedName name="BEx3KEFXUCVNVPH7KSEGAZYX13B5" hidden="1">#REF!</definedName>
    <definedName name="BEx3KFXUAF6YXAA47B7Q6X9B3VGB" hidden="1">#REF!</definedName>
    <definedName name="BEx3KIXQYOGMPK4WJJAVBRX4NR28" hidden="1">#REF!</definedName>
    <definedName name="BEx3KJOMVOSFZVJUL3GKCNP6DQDS" hidden="1">#REF!</definedName>
    <definedName name="BEx3KP2VRBMORK0QEAZUYCXL3DHJ" hidden="1">#REF!</definedName>
    <definedName name="BEx3L1YTLG9UO5Y8JNN3TVFO9ZMY" hidden="1">#REF!</definedName>
    <definedName name="BEx3L4IN3LI4C26SITKTGAH27CDU" hidden="1">#REF!</definedName>
    <definedName name="BEx3L4YQ0J7ZU0M5QM6YIPCEYC9K" hidden="1">#REF!</definedName>
    <definedName name="BEx3L60DJOR7NQN42G7YSAODP1EX" hidden="1">#REF!</definedName>
    <definedName name="BEx3L7D0PI38HWZ7VADU16C9E33D" hidden="1">#REF!</definedName>
    <definedName name="BEx3LD2113BIW4AKH0N64A3EAQTM" hidden="1">#REF!</definedName>
    <definedName name="BEx3LFR5E121GANS29WOLUKZPCZ5" hidden="1">#REF!</definedName>
    <definedName name="BEx3LM1PR4Y7KINKMTMKR984GX8Q" hidden="1">#REF!</definedName>
    <definedName name="BEx3LOG1N7EVLYP8WR45GLU8YBTA" hidden="1">#REF!</definedName>
    <definedName name="BEx3LPCEZ1C0XEKNCM3YT09JWCUO" hidden="1">#REF!</definedName>
    <definedName name="BEx3LV1EM37XGVFL19PDX1CF27DC" hidden="1">#REF!</definedName>
    <definedName name="BEx3LWE1UOEPWZHHU0S81YYFZOY3" hidden="1">#REF!</definedName>
    <definedName name="BEx3M1MR1K1NQD03H74BFWOK4MWQ" hidden="1">#REF!</definedName>
    <definedName name="BEx3M2OHEWWOI2AH20OLNVY7FMTA" hidden="1">#REF!</definedName>
    <definedName name="BEx3M4H77MYUKOOD31H9F80NMVK8" hidden="1">#REF!</definedName>
    <definedName name="BEx3M9VFX329PZWYC4DMZ6P3W9R2" hidden="1">#REF!</definedName>
    <definedName name="BEx3MCQ0VEBV0CZXDS505L38EQ8N" hidden="1">#REF!</definedName>
    <definedName name="BEx3MEYV5LQY0BAL7V3CFAFVOM3T" hidden="1">#REF!</definedName>
    <definedName name="BEx3MPB0X81EYLX6ANWM22IL6IJZ" hidden="1">#REF!</definedName>
    <definedName name="BEx3MPRA8N5ABPWVT68G9TQNKTDZ" hidden="1">#REF!</definedName>
    <definedName name="BEx3MREOFWJQEYMCMBL7ZE06NBN6" hidden="1">#REF!</definedName>
    <definedName name="BEx3MS5KYGQ7N6VSBAR70J7HQ6JS" hidden="1">#REF!</definedName>
    <definedName name="BEx3MS5L658AYENA54BMBZCV89E7" hidden="1">#REF!</definedName>
    <definedName name="BEx3MVLQPTKL4PBZRFWBLA0YGHT2" hidden="1">#REF!</definedName>
    <definedName name="BEx3N5HN60PLGARFMRPQXVTKDKBW" hidden="1">#REF!</definedName>
    <definedName name="BEx3N7FV4NWS6OUGA3HTHE4GTUPZ" hidden="1">#REF!</definedName>
    <definedName name="BEx3NDQFS0IDWQ0VIZCL6DUOR7XS" hidden="1">#REF!</definedName>
    <definedName name="BEx3NKXF7GYXHBK75UI6MDRUSU0J" hidden="1">#REF!</definedName>
    <definedName name="BEx3NLIZ7PHF2XE59ECZ3MD04ZG1" hidden="1">#REF!</definedName>
    <definedName name="BEx3NMQ4BVC94728AUM7CCX7UHTU" hidden="1">#REF!</definedName>
    <definedName name="BEx3NR2I4OUFP3Z2QZEDU2PIFIDI" hidden="1">#REF!</definedName>
    <definedName name="BEx3NWBE159LA8OB0KSLN573C17P" hidden="1">#REF!</definedName>
    <definedName name="BEx3O19B8FTTAPVT5DZXQGQXWFR8" hidden="1">#REF!</definedName>
    <definedName name="BEx3O4EOPBTNMQ201M9L5SBH4L0N" hidden="1">#REF!</definedName>
    <definedName name="BEx3O85IKWARA6NCJOLRBRJFMEWW" hidden="1">#REF!</definedName>
    <definedName name="BEx3OJZSCGFRW7SVGBFI0X9DNVMM" hidden="1">#REF!</definedName>
    <definedName name="BEx3ORSBUXAF21MKEY90YJV9AY9A" hidden="1">#REF!</definedName>
    <definedName name="BEx3OUXINAVXUBUM3O80QMA6I6OF" hidden="1">#REF!</definedName>
    <definedName name="BEx3OV8BH6PYNZT7C246LOAU9SVX" hidden="1">#REF!</definedName>
    <definedName name="BEx3OXRYJZUEY6E72UJU0PHLMYAR" hidden="1">#REF!</definedName>
    <definedName name="BEx3OYOC0QH4BOTV77BDPSX9EBWR" hidden="1">#REF!</definedName>
    <definedName name="BEx3OZKN7424PB1K6LAFPBYWIHBX" hidden="1">#REF!</definedName>
    <definedName name="BEx3P2VDM44M8YGHVTF2KY6GQN7S" hidden="1">#REF!</definedName>
    <definedName name="BEx3P59TTRSGQY888P5C1O7M2PQT" hidden="1">#REF!</definedName>
    <definedName name="BEx3P8KDE2O1H8UJQAGV0PTBZ18N" hidden="1">#REF!</definedName>
    <definedName name="BEx3P95YUDGBMX5Y4NYG3GAHWIV8" hidden="1">#REF!</definedName>
    <definedName name="BEx3PDNRRNKD5GOUBUQFXAHIXLD9" hidden="1">#REF!</definedName>
    <definedName name="BEx3PDT8GNPWLLN02IH1XPV90XYK" hidden="1">#REF!</definedName>
    <definedName name="BEx3PKEMDW8KZEP11IL927C5O7I2" hidden="1">#REF!</definedName>
    <definedName name="BEx3PKJZ1Z7L9S6KV8KXVS6B2FX4" hidden="1">#REF!</definedName>
    <definedName name="BEx3PMNG53Z5HY138H99QOMTX8W3" hidden="1">#REF!</definedName>
    <definedName name="BEx3PNUNA15ON53P54N3VJ3YGIPV" hidden="1">#REF!</definedName>
    <definedName name="BEx3PP1RRSFZ8UC0JC9R91W6LNKW" hidden="1">#REF!</definedName>
    <definedName name="BEx3PSSKHYQDAAXSJ73MMJISII5W" hidden="1">#REF!</definedName>
    <definedName name="BEx3PVXYZC8WB9ZJE7OCKUXZ46EA" hidden="1">#REF!</definedName>
    <definedName name="BEx3PY6YC8F3D2ACXFLAI6YDA2KI" hidden="1">#REF!</definedName>
    <definedName name="BEx3Q0VWPU5EQECK7MQ47TYJ3SWW" hidden="1">#REF!</definedName>
    <definedName name="BEx3Q11CUKJOIGXMYULOXMSLSF1Z" hidden="1">#REF!</definedName>
    <definedName name="BEx3Q52YB7RZZYB6EEGLIPJQHFVS" hidden="1">#REF!</definedName>
    <definedName name="BEx3Q7BZ9PUXK2RLIOFSIS9AHU1B" hidden="1">#REF!</definedName>
    <definedName name="BEx3Q8J42S9VU6EAN2Y28MR6DF88" hidden="1">#REF!</definedName>
    <definedName name="BEx3QEDFOYFY5NBTININ5W4RLD4Q" hidden="1">#REF!</definedName>
    <definedName name="BEx3QFFBI0L9QILR0LWF2Y2INKB2" hidden="1">#REF!</definedName>
    <definedName name="BEx3QIKJ3U962US1Q564NZDLU8LD" hidden="1">#REF!</definedName>
    <definedName name="BEx3QPWX02OZ15K9BCAG3BM3UBJ1" hidden="1">#REF!</definedName>
    <definedName name="BEx3QR9D45DHW50VQ7Y3Q1AXPOB9" hidden="1">#REF!</definedName>
    <definedName name="BEx3QSRC2GVHVJUNVOSS3L2TVHRZ" hidden="1">#REF!</definedName>
    <definedName name="BEx3QSWT2S5KWG6U2V9711IYDQBM" hidden="1">#REF!</definedName>
    <definedName name="BEx3QVGG7Q2X4HZHJAM35A8T3VR7" hidden="1">#REF!</definedName>
    <definedName name="BEx3R0JUB9YN8PHPPQTAMIT1IHWK" hidden="1">#REF!</definedName>
    <definedName name="BEx3R6JNW41YEEXS069LR1M7NG8O" hidden="1">#REF!</definedName>
    <definedName name="BEx3R81NFRO7M81VHVKOBFT0QBIL" hidden="1">#REF!</definedName>
    <definedName name="BEx3RCDZYXE9B9KXNVMN018BP51K" hidden="1">#REF!</definedName>
    <definedName name="BEx3RDFUSKFZERHCX7AJHL18T679" hidden="1">#REF!</definedName>
    <definedName name="BEx3REXSFY1MM446B6BM7QVLLUYB" hidden="1">#REF!</definedName>
    <definedName name="BEx3RHC2ZD5UFS6QD4OPFCNNMWH1" hidden="1">#REF!</definedName>
    <definedName name="BEx3RNH6HA52OBTCPXM18LNPWMS4" hidden="1">#REF!</definedName>
    <definedName name="BEx3RQ10QIWBAPHALAA91BUUCM2X" hidden="1">#REF!</definedName>
    <definedName name="BEx3RQBSSVT4PJ10UEZYM75Y0O72" hidden="1">#REF!</definedName>
    <definedName name="BEx3RUIUM5O59DV6776F61PQXT8B" hidden="1">#REF!</definedName>
    <definedName name="BEx3RV4E1WT43SZBUN09RTB8EK1O" hidden="1">#REF!</definedName>
    <definedName name="BEx3RWMDB42DOXVLV81KTPEM65QD" hidden="1">#REF!</definedName>
    <definedName name="BEx3RXYU0QLFXSFTM5EB20GD03W5" hidden="1">#REF!</definedName>
    <definedName name="BEx3RYKLC3QQO3XTUN7BEW2AQL98" hidden="1">#REF!</definedName>
    <definedName name="BEx3RZGS0HQ3API32HK715QBMA6C" hidden="1">#REF!</definedName>
    <definedName name="BEx3S44488DAU01B5E8OUZZY0PTZ" hidden="1">#REF!</definedName>
    <definedName name="BEx3S6IGG1B063V0SLHSVLEE31J3" hidden="1">#REF!</definedName>
    <definedName name="BEx3S807Z68P510R7SPSQ5NUEVGD" hidden="1">#REF!</definedName>
    <definedName name="BEx3SCCQ062FIDPG9NJAH22LV3IZ" hidden="1">#REF!</definedName>
    <definedName name="BEx3SICJ45BYT6FHBER86PJT25FC" hidden="1">#REF!</definedName>
    <definedName name="BEx3SMUCMJVGQ2H4EHQI5ZFHEF0P" hidden="1">#REF!</definedName>
    <definedName name="BEx3SN56F03CPDRDA7LZ763V0N4I" hidden="1">#REF!</definedName>
    <definedName name="BEx3SPE6N1ORXPRCDL3JPZD73Z9F" hidden="1">#REF!</definedName>
    <definedName name="BEx3T29ZTULQE0OMSMWUMZDU9ZZ0" hidden="1">#REF!</definedName>
    <definedName name="BEx3T2VPRPPTD4353WBH50YHLGQD" hidden="1">#REF!</definedName>
    <definedName name="BEx3T6MJ1QDJ929WMUDVZ0O3UW0Y" hidden="1">#REF!</definedName>
    <definedName name="BEx3T7IUW09VQMOA7K96ZEBYP7JI" hidden="1">#REF!</definedName>
    <definedName name="BEx3TPCSI16OAB2L9M9IULQMQ9J9" hidden="1">#REF!</definedName>
    <definedName name="BEx3U2UATOJH48PTIL85PXAR61HZ" hidden="1">#REF!</definedName>
    <definedName name="BEx3U64YUOZ419BAJS2W78UMATAW" hidden="1">#REF!</definedName>
    <definedName name="BEx3U94WCEA5DKMWBEX1GU0LKYG2" hidden="1">#REF!</definedName>
    <definedName name="BEx3U9AEEWINX9QB8QTFTAH3IR1G" hidden="1">#REF!</definedName>
    <definedName name="BEx3U9VZ8SQVYS6ZA038J7AP7ZGW" hidden="1">#REF!</definedName>
    <definedName name="BEx3UIQ5WRJBGNTFCCLOR4N7B1OQ" hidden="1">#REF!</definedName>
    <definedName name="BEx3UJMIX2NUSSWGMSI25A5DM4CH" hidden="1">#REF!</definedName>
    <definedName name="BEx3UKOCOQG7S1YQ436S997K1KWV" hidden="1">#REF!</definedName>
    <definedName name="BEx3UOVFNEHPFOXVH1FYF7PEB89Q" hidden="1">#REF!</definedName>
    <definedName name="BEx3UYM19VIXLA0EU7LB9NHA77PB" hidden="1">#REF!</definedName>
    <definedName name="BEx3V1B4Q61MKZ2T0L1BF59454ZJ" hidden="1">#REF!</definedName>
    <definedName name="BEx3V408XCC8VWLJ4ERGHZFQVQZM" hidden="1">#REF!</definedName>
    <definedName name="BEx3VML7CG70HPISMVYIUEN3711Q" hidden="1">#REF!</definedName>
    <definedName name="BEx56ZID5H04P9AIYLP1OASFGV56" hidden="1">#REF!</definedName>
    <definedName name="BEx587EYSS57E3PI8DT973HLJM9E" hidden="1">#REF!</definedName>
    <definedName name="BEx587KFQ3VKCOCY1SA5F24PQGUI" hidden="1">#REF!</definedName>
    <definedName name="BEx58O780PQ05NF0Z1SKKRB3N099" hidden="1">#REF!</definedName>
    <definedName name="BEx58VUE2ANJ9POY0I03GMMQH3YT" hidden="1">#REF!</definedName>
    <definedName name="BEx58WFZNI4AWHCHV67VB3337DTE" hidden="1">#REF!</definedName>
    <definedName name="BEx58WQSSWPS33R7BCW0T3RRH9C9" hidden="1">#REF!</definedName>
    <definedName name="BEx58XHO7ZULLF2EUD7YIS0MGQJ5" hidden="1">#REF!</definedName>
    <definedName name="BEx58ZW0HAIGIPEX9CVA1PQQTR6X" hidden="1">#REF!</definedName>
    <definedName name="BEx595QGE76YD5DOBB5RU4OYLRLA" hidden="1">#REF!</definedName>
    <definedName name="BEx59BA1KH3RG6K1LHL7YS2VB79N" hidden="1">#REF!</definedName>
    <definedName name="BEx59DTRLSQYSDM30KCFSECLMSX0" hidden="1">#REF!</definedName>
    <definedName name="BEx59E9WABJP2TN71QAIKK79HPK9" hidden="1">#REF!</definedName>
    <definedName name="BEx59IMAYI61OSR256NZTDRLG29U" hidden="1">#REF!</definedName>
    <definedName name="BEx59P7MAPNU129ZTC5H3EH892G1" hidden="1">#REF!</definedName>
    <definedName name="BEx59TPNGMCHZK76VI5MAXVT63H7" hidden="1">#REF!</definedName>
    <definedName name="BEx59WK3EDO25IHSSAQIHNG8IB56" hidden="1">#REF!</definedName>
    <definedName name="BEx5A11WZRQSIE089QE119AOX9ZG" hidden="1">#REF!</definedName>
    <definedName name="BEx5A7CIGCOTHJKHGUBDZG91JGPZ" hidden="1">#REF!</definedName>
    <definedName name="BEx5A8UFLT2SWVSG5COFA9B8P376" hidden="1">#REF!</definedName>
    <definedName name="BEx5AFFTN3IXIBHDKM0FYC4OFL1S" hidden="1">#REF!</definedName>
    <definedName name="BEx5AFW2U91J2FD3KBP7V7PR2JW4" hidden="1">#REF!</definedName>
    <definedName name="BEx5AN2VD376IK1XHDZM20P6OVNL" hidden="1">#REF!</definedName>
    <definedName name="BEx5AOFIO8KVRHIZ1RII337AA8ML" hidden="1">#REF!</definedName>
    <definedName name="BEx5APRZ66L5BWHFE8E4YYNEDTI4" hidden="1">#REF!</definedName>
    <definedName name="BEx5AUVDSQ35VO4BD9AKKGBM5S7D" hidden="1">#REF!</definedName>
    <definedName name="BEx5B4RHHX0J1BF2FZKEA0SPP29O" hidden="1">#REF!</definedName>
    <definedName name="BEx5B5YMSWP0OVI5CIQRP5V18D0C" hidden="1">#REF!</definedName>
    <definedName name="BEx5B825RW35M5H0UB2IZGGRS4ER" hidden="1">#REF!</definedName>
    <definedName name="BEx5BAWPMY0TL684WDXX6KKJLRCN" hidden="1">#REF!</definedName>
    <definedName name="BEx5BBI61U4Y65GD0ARMTALPP7SJ" hidden="1">#REF!</definedName>
    <definedName name="BEx5BDR56MEV4IHY6CIH2SVNG1UB" hidden="1">#REF!</definedName>
    <definedName name="BEx5BESZC5H329SKHGJOHZFILYJJ" hidden="1">#REF!</definedName>
    <definedName name="BEx5BG5HASQTKAS9ZGP85WCZWDP2" hidden="1">#REF!</definedName>
    <definedName name="BEx5BH1UWG0L2KWZGJLMGT52VXDU" hidden="1">#REF!</definedName>
    <definedName name="BEx5BHSQ42B50IU1TEQFUXFX9XQD" hidden="1">#REF!</definedName>
    <definedName name="BEx5BKSM4UN4C1DM3EYKM79MRC5K" hidden="1">#REF!</definedName>
    <definedName name="BEx5BNN8NPH9KVOBARB9CDD9WLB6" hidden="1">#REF!</definedName>
    <definedName name="BEx5BOUEI44G1LP3HY6JEL8IUJM9" hidden="1">#REF!</definedName>
    <definedName name="BEx5BPL8MOPKVFC5RQ3SA7U11PJ6" hidden="1">#REF!</definedName>
    <definedName name="BEx5BQN4SRFSQBUQY6Y5H3ZA9MNP" hidden="1">#REF!</definedName>
    <definedName name="BEx5BUZG9IHYDG19XT5CN4MCMZCA" hidden="1">#REF!</definedName>
    <definedName name="BEx5BVA9CCWB5TVRH839MMFNTKHW" hidden="1">#REF!</definedName>
    <definedName name="BEx5BYFMZ80TDDN2EZO8CF39AIAC" hidden="1">#REF!</definedName>
    <definedName name="BEx5C2BWFW6SHZBFDEISKGXHZCQW" hidden="1">#REF!</definedName>
    <definedName name="BEx5C49ZFH8TO9ZU55729C3F7XG7" hidden="1">#REF!</definedName>
    <definedName name="BEx5C8GZQK13G60ZM70P63I5OS0L" hidden="1">#REF!</definedName>
    <definedName name="BEx5CAPTVN2NBT3UOMA1UFAL1C2R" hidden="1">#REF!</definedName>
    <definedName name="BEx5CEGU8OF8JYBH6BU1XPN48CBT" hidden="1">#REF!</definedName>
    <definedName name="BEx5CEM3SYF9XP0ZZVE0GEPCLV3F" hidden="1">#REF!</definedName>
    <definedName name="BEx5CFYQ0F1Z6P8SCVJ0I3UPVFE4" hidden="1">#REF!</definedName>
    <definedName name="BEx5CINUDCSDCAJSNNV7XVNU8Q79" hidden="1">#REF!</definedName>
    <definedName name="BEx5CKM1RAW5R043KONI6GKDREQE" hidden="1">#REF!</definedName>
    <definedName name="BEx5CM9BSQGC3AJKIQ4P39HBYY3X" hidden="1">#REF!</definedName>
    <definedName name="BEx5CNLUIOYU8EODGA03Z3547I9T" hidden="1">#REF!</definedName>
    <definedName name="BEx5CPEKNSJORIPFQC2E1LTRYY8L" hidden="1">#REF!</definedName>
    <definedName name="BEx5CSUOL05D8PAM2TRDA9VRJT1O" hidden="1">#REF!</definedName>
    <definedName name="BEx5CUNFOO4YDFJ22HCMI2QKIGKM" hidden="1">#REF!</definedName>
    <definedName name="BEx5D6HJD20Y1DCOQTTWCDKERHTK" hidden="1">#REF!</definedName>
    <definedName name="BEx5D8L47OF0WHBPFWXGZINZWUBZ" hidden="1">#REF!</definedName>
    <definedName name="BEx5DAJAHQ2SKUPCKSCR3PYML67L" hidden="1">#REF!</definedName>
    <definedName name="BEx5DC18JM1KJCV44PF18E0LNRKA" hidden="1">#REF!</definedName>
    <definedName name="BEx5DGOEESGN9ISDBKTPAY01CAD0" hidden="1">#REF!</definedName>
    <definedName name="BEx5DJIZBTNS011R9IIG2OQ2L6ZX" hidden="1">#REF!</definedName>
    <definedName name="BEx5DJOB98H09KWHQBK05JF6FPCB" hidden="1">#REF!</definedName>
    <definedName name="BEx5E123OLO9WQUOIRIDJ967KAGK" hidden="1">#REF!</definedName>
    <definedName name="BEx5E2K2CW59WNBJWSYJ96RHPTVT" hidden="1">#REF!</definedName>
    <definedName name="BEx5E2UU5NES6W779W2OZTZOB4O7" hidden="1">#REF!</definedName>
    <definedName name="BEx5E4CSE5G83J5K32WENF7BXL82" hidden="1">#REF!</definedName>
    <definedName name="BEx5E8P4XQHQ58ZKQBA9QHS8U5QS" hidden="1">#REF!</definedName>
    <definedName name="BEx5EH8PPXIORC22YMP1CG60V4KZ" hidden="1">#REF!</definedName>
    <definedName name="BEx5ELQL9B0VR6UT18KP11DHOTFX" hidden="1">#REF!</definedName>
    <definedName name="BEx5ER4TJTFPN7IB1MNEB1ZFR5M6" hidden="1">#REF!</definedName>
    <definedName name="BEx5EUA1ARG2TTI09NKKLI4LQHHY" hidden="1">#REF!</definedName>
    <definedName name="BEx5F6V72QTCK7O39Y59R0EVM6CW" hidden="1">#REF!</definedName>
    <definedName name="BEx5F9V363B8TZPIBKLQ4YI8Y5LT" hidden="1">#REF!</definedName>
    <definedName name="BEx5FDM0MD5TJ3NJYGTKNNK259EX" hidden="1">#REF!</definedName>
    <definedName name="BEx5FGLQVACD5F5YZG4DGSCHCGO2" hidden="1">#REF!</definedName>
    <definedName name="BEx5FLJWHLW3BTZILDPN5NMA449V" hidden="1">#REF!</definedName>
    <definedName name="BEx5FNI2O10YN2SI1NO4X5GP3GTF" hidden="1">#REF!</definedName>
    <definedName name="BEx5FO8YRFSZCG3L608EHIHIHFY4" hidden="1">#REF!</definedName>
    <definedName name="BEx5FQNA6V4CNYSH013K45RI4BCV" hidden="1">#REF!</definedName>
    <definedName name="BEx5FVQPPEU32CPNV9RRQ9MNLLVE" hidden="1">#REF!</definedName>
    <definedName name="BEx5FXDYWZ0I2VQ6IH00LT3PMW1W" hidden="1">#REF!</definedName>
    <definedName name="BEx5G08KGMG5X2AQKDGPFYG5GH94" hidden="1">#REF!</definedName>
    <definedName name="BEx5G1A8TFN4C4QII35U9DKYNIS8" hidden="1">#REF!</definedName>
    <definedName name="BEx5G1L0QO91KEPDMV1D8OT4BT73" hidden="1">#REF!</definedName>
    <definedName name="BEx5G51871XBDESOC51UOGVE0H6M" hidden="1">#REF!</definedName>
    <definedName name="BEx5G6J6ANAGSI6969POWSYTR0JE" hidden="1">#REF!</definedName>
    <definedName name="BEx5G86DZL1VYUX6KWODAP3WFAWP" hidden="1">#REF!</definedName>
    <definedName name="BEx5G8BV2GIOCM3C7IUFK8L04A6M" hidden="1">#REF!</definedName>
    <definedName name="BEx5GID9MVBUPFFT9M8K8B5MO9NV" hidden="1">#REF!</definedName>
    <definedName name="BEx5GN0EWA9SCQDPQ7NTUQH82QVK" hidden="1">#REF!</definedName>
    <definedName name="BEx5GNBCU4WZ74I0UXFL9ZG2XSGJ" hidden="1">#REF!</definedName>
    <definedName name="BEx5GUCTYC7QCWGWU5BTO7Y7HDZX" hidden="1">#REF!</definedName>
    <definedName name="BEx5GX1Z7X7215VMJGT6IHLMWIO5" hidden="1">#REF!</definedName>
    <definedName name="BEx5GYUPJULJQ624TEESYFG1NFOH" hidden="1">#REF!</definedName>
    <definedName name="BEx5H0NEE0AIN5E2UHJ9J9ISU9N1" hidden="1">#REF!</definedName>
    <definedName name="BEx5H1UJSEUQM2K8QHQXO5THVHSO" hidden="1">#REF!</definedName>
    <definedName name="BEx5H73CEM9HINY533ESOSGXZGOJ" hidden="1">#REF!</definedName>
    <definedName name="BEx5HAOT9XWUF7XIFRZZS8B9F5TZ" hidden="1">#REF!</definedName>
    <definedName name="BEx5HE4XRF9BUY04MENWY9CHHN5H" hidden="1">#REF!</definedName>
    <definedName name="BEx5HFHMABAT0H9KKS754X4T304E" hidden="1">#REF!</definedName>
    <definedName name="BEx5HGDT3TMCGF9VSV3QG6MIFQZF" hidden="1">#REF!</definedName>
    <definedName name="BEx5HGDZ7MX1S3KNXLRL9WU565V4" hidden="1">#REF!</definedName>
    <definedName name="BEx5HJZ9FAVNZSSBTAYRPZDYM9NU" hidden="1">#REF!</definedName>
    <definedName name="BEx5HN4NMFOAPFXF9IFXHGCKLR1Z" hidden="1">#REF!</definedName>
    <definedName name="BEx5HNVJ8RYV9XCRAT0AH6VIIJCO" hidden="1">#REF!</definedName>
    <definedName name="BEx5HV7YWT43YDK2EXN8JQ9UCMQM" hidden="1">#REF!</definedName>
    <definedName name="BEx5HZ9JMKHNLFWLVUB1WP5B39BL" hidden="1">#REF!</definedName>
    <definedName name="BEx5I244LQHZTF3XI66J8705R9XX" hidden="1">#REF!</definedName>
    <definedName name="BEx5I5UWSPGC9EGHFFPYXVMWZYA0" hidden="1">#REF!</definedName>
    <definedName name="BEx5I6R9QO4MGVXCFD2P424B8ZEC" hidden="1">#REF!</definedName>
    <definedName name="BEx5I8PBP4LIXDGID5BP0THLO0AQ" hidden="1">#REF!</definedName>
    <definedName name="BEx5I8USVUB3JP4S9OXGMZVMOQXR" hidden="1">#REF!</definedName>
    <definedName name="BEx5I9GDQSYIAL65UQNDMNFQCS9Y" hidden="1">#REF!</definedName>
    <definedName name="BEx5IBUPG9AWNW5PK7JGRGEJ4OLM" hidden="1">#REF!</definedName>
    <definedName name="BEx5IBUQHLIZZIWD149Z29QL5Q78" hidden="1">#REF!</definedName>
    <definedName name="BEx5IC06RVN8BSAEPREVKHKLCJ2L" hidden="1">#REF!</definedName>
    <definedName name="BEx5IIAKZGT988I8PJTS63G1G2C8" hidden="1">#REF!</definedName>
    <definedName name="BEx5IM70DZ92TH3TFDCGAEJ8ZPQ1" hidden="1">#REF!</definedName>
    <definedName name="BEx5IMCCC14GMJGWQK300TO59DBZ" hidden="1">#REF!</definedName>
    <definedName name="BEx5INOYYFG15R9IC6OJKCS2FJ2S" hidden="1">#REF!</definedName>
    <definedName name="BEx5IOFV34BH79FBUR2J31SFW1TN" hidden="1">#REF!</definedName>
    <definedName name="BEx5IYH8O427JKWZCE5VKPN7LHTQ" hidden="1">#REF!</definedName>
    <definedName name="BEx5J0FFP1KS4NGY20AEJI8VREEA" hidden="1">#REF!</definedName>
    <definedName name="BEx5J0VKO8G8AVMOIQCUWLCHWQRU" hidden="1">#REF!</definedName>
    <definedName name="BEx5J64HODL02AKDYJIKT0JLPT50" hidden="1">#REF!</definedName>
    <definedName name="BEx5JF3ZXLDIS8VNKDCY7ZI7H1CI" hidden="1">#REF!</definedName>
    <definedName name="BEx5JHCZJ8G6OOOW6EF3GABXKH6F" hidden="1">#REF!</definedName>
    <definedName name="BEx5JJB6W446THXQCRUKD3I7RKLP" hidden="1">#REF!</definedName>
    <definedName name="BEx5JKSZVYCY53ZCKXRFPO3509F7" hidden="1">#REF!</definedName>
    <definedName name="BEx5JNCT8Z7XSSPD5EMNAJELCU2V" hidden="1">#REF!</definedName>
    <definedName name="BEx5JO3TT3KAPT19WEUL60HY4J7E" hidden="1">#REF!</definedName>
    <definedName name="BEx5JQCNT9Y4RM306CHC8IPY3HBZ" hidden="1">#REF!</definedName>
    <definedName name="BEx5JYG19J1KZ71XU8C6VZ180JU3" hidden="1">#REF!</definedName>
    <definedName name="BEx5K08PYKE6JOKBYIB006TX619P" hidden="1">#REF!</definedName>
    <definedName name="BEx5K51DSERT1TR7B4A29R41W4NX" hidden="1">#REF!</definedName>
    <definedName name="BEx5KKRR6UU2ZWJ3EFWVG374W1M0" hidden="1">#REF!</definedName>
    <definedName name="BEx5KN632A9RQ1VIC3TK6VX0LNVM" hidden="1">#REF!</definedName>
    <definedName name="BEx5KYER580I4T7WTLMUN7NLNP5K" hidden="1">#REF!</definedName>
    <definedName name="BEx5L13VJFTYES2XPKRA16THPFMX" hidden="1">#REF!</definedName>
    <definedName name="BEx5L4JUVVXKABBBKRKZ44I3Y6LT" hidden="1">#REF!</definedName>
    <definedName name="BEx5L5LL5EIBNI8UB9J25V7REJCS" hidden="1">#REF!</definedName>
    <definedName name="BEx5L8ATYU44MMQMVGDGNE7BS24C" hidden="1">#REF!</definedName>
    <definedName name="BEx5LCCFRN6LWY0J05ZXP6D60E0E" hidden="1">#REF!</definedName>
    <definedName name="BEx5LHLB3M6K4ZKY2F42QBZT30ZH" hidden="1">#REF!</definedName>
    <definedName name="BEx5LIC6G54IIMUJIP5E7RC8GN0R" hidden="1">#REF!</definedName>
    <definedName name="BEx5LKL1C3ZVWTYDTY4GSIBQ6AFA" hidden="1">#REF!</definedName>
    <definedName name="BEx5LRMNU3HXIE1BUMDHRU31F7JJ" hidden="1">#REF!</definedName>
    <definedName name="BEx5LSJ1LPUAX3ENSPECWPG4J7D1" hidden="1">#REF!</definedName>
    <definedName name="BEx5LTKQ8RQWJE4BC88OP928893U" hidden="1">#REF!</definedName>
    <definedName name="BEx5LU6FKG0ZHYO4PMPGCDY8R7VS" hidden="1">#REF!</definedName>
    <definedName name="BEx5M0ROMGM156D17MP42IQ9ICEN" hidden="1">#REF!</definedName>
    <definedName name="BEx5M3GS0MAAG38PUAEF7UV9RW2V" hidden="1">#REF!</definedName>
    <definedName name="BEx5MB9BR71LZDG7XXQ2EO58JC5F" hidden="1">#REF!</definedName>
    <definedName name="BEx5MG1XYSEL3C3BQ8084DE5NZKR" hidden="1">#REF!</definedName>
    <definedName name="BEx5MJCMSE5AVWDML1GM2VNOF2Y1" hidden="1">#REF!</definedName>
    <definedName name="BEx5MLQZM68YQSKARVWTTPINFQ2C" hidden="1">#REF!</definedName>
    <definedName name="BEx5MVXTKNBXHNWTL43C670E4KXC" hidden="1">#REF!</definedName>
    <definedName name="BEx5MWZN59NNHGHGHREFMJVC6W8B" hidden="1">#REF!</definedName>
    <definedName name="BEx5MZ8HKDPMJFSOBV4CJR5ZR6GE" hidden="1">#REF!</definedName>
    <definedName name="BEx5N4XI4PWB1W9PMZ4O5R0HWTYD" hidden="1">#REF!</definedName>
    <definedName name="BEx5NA68N6FJFX9UJXK4M14U487F" hidden="1">#REF!</definedName>
    <definedName name="BEx5NAMHTOX655811R86RLTC3YAF" hidden="1">#REF!</definedName>
    <definedName name="BEx5NC4FDNMQF9AFRKO8NC37TQUA" hidden="1">#REF!</definedName>
    <definedName name="BEx5NIKBG2GDJOYGE3WCXKU7YY51" hidden="1">#REF!</definedName>
    <definedName name="BEx5NNNRJB8D9AL4FTMTFFFMQI4Z" hidden="1">#REF!</definedName>
    <definedName name="BEx5NV06L5J5IMKGOMGKGJ4PBZCD" hidden="1">#REF!</definedName>
    <definedName name="BEx5NZSSQ6PY99ZX2D7Q9IGOR34W" hidden="1">#REF!</definedName>
    <definedName name="BEx5O3ZUQ2OARA1CDOZ3NC4UE5AA" hidden="1">#REF!</definedName>
    <definedName name="BEx5O6E1YLRPP89WWVFX949M9OXT" hidden="1">#REF!</definedName>
    <definedName name="BEx5OAFS0NJ2CB86A02E1JYHMLQ1" hidden="1">#REF!</definedName>
    <definedName name="BEx5ODVSDL5AXQE2AG0VQ294MM09" hidden="1">#REF!</definedName>
    <definedName name="BEx5OG4RPU8W1ETWDWM234NYYYEN" hidden="1">#REF!</definedName>
    <definedName name="BEx5OITWLJWWSZ1T4XOZH38TZEE9" hidden="1">#REF!</definedName>
    <definedName name="BEx5OP9Y43F99O2IT69MKCCXGL61" hidden="1">#REF!</definedName>
    <definedName name="BEx5OPQ15IIX8CS5U9MTC2S5NL75" hidden="1">#REF!</definedName>
    <definedName name="BEx5P1PN4IHJ08S0WTM0V8F0MOB8" hidden="1">#REF!</definedName>
    <definedName name="BEx5P3CWD532WJ3GSKM6NJU69XJK" hidden="1">#REF!</definedName>
    <definedName name="BEx5P9Y9RDXNUAJ6CZ2LHMM8IM7T" hidden="1">#REF!</definedName>
    <definedName name="BEx5PEQVEHWQODHKFBQFM4O6PFJA" hidden="1">#REF!</definedName>
    <definedName name="BEx5PGUFZ39Z0U1CZ07SZ233TY3A" hidden="1">#REF!</definedName>
    <definedName name="BEx5PHWB2C0D5QLP3BZIP3UO7DIZ" hidden="1">#REF!</definedName>
    <definedName name="BEx5PJP02W68K2E46L5C5YBSNU6T" hidden="1">#REF!</definedName>
    <definedName name="BEx5PKQO7649OXQO9JK0D19Q6F9B" hidden="1">#REF!</definedName>
    <definedName name="BEx5PLCA8DOMAU315YCS5275L2HS" hidden="1">#REF!</definedName>
    <definedName name="BEx5POMZ14PXB9WW55T3P1NAJ73K" hidden="1">#REF!</definedName>
    <definedName name="BEx5PRXMZ5M65Z732WNNGV564C2J" hidden="1">#REF!</definedName>
    <definedName name="BEx5QLWMPC9GJL9ZPL1R3FM3WRY5" hidden="1">#REF!</definedName>
    <definedName name="BEx5QPSW4IPLH50WSR87HRER05RF" hidden="1">#REF!</definedName>
    <definedName name="BEx5QUWATMD62CYPTLBGM6HAI6RW" hidden="1">#REF!</definedName>
    <definedName name="BEx5QWZU0ABRZ1G80LETOB6STAX9" hidden="1">#REF!</definedName>
    <definedName name="BEx73V0EP8EMNRC3EZJJKKVKWQVB" hidden="1">#REF!</definedName>
    <definedName name="BEx741WJHIJVXUX131SBXTVW8D71" hidden="1">#REF!</definedName>
    <definedName name="BEx74Q6H3O7133AWQXWC21MI2UFT" hidden="1">#REF!</definedName>
    <definedName name="BEx74W6BJ8ENO3J25WNM5H5APKA3" hidden="1">#REF!</definedName>
    <definedName name="BEx7549N009WDWCCMFTJCKHN4RNT" hidden="1">#REF!</definedName>
    <definedName name="BEx754V6HW8FS2KS6880RYZO29IW" hidden="1">#REF!</definedName>
    <definedName name="BEx755GRRD9BL27YHLH5QWIYLWB7" hidden="1">#REF!</definedName>
    <definedName name="BEx759D1D5SXS5ELLZVBI0SXYUNF" hidden="1">#REF!</definedName>
    <definedName name="BEx75DUX6KDIFOWQZCLE35B74WIS" hidden="1">#REF!</definedName>
    <definedName name="BEx75GJZSZHUDN6OOAGQYFUDA2LP" hidden="1">#REF!</definedName>
    <definedName name="BEx75HGCCV5K4UCJWYV8EV9AG5YT" hidden="1">#REF!</definedName>
    <definedName name="BEx75PZT8TY5P13U978NVBUXKHT4" hidden="1">#REF!</definedName>
    <definedName name="BEx75SE3N4QR24AQZFCNVZQ58SOZ" hidden="1">#REF!</definedName>
    <definedName name="BEx75T55F7GML8V1DMWL26WRT006" hidden="1">#REF!</definedName>
    <definedName name="BEx75VJGR07JY6UUWURQ4PJ29UKC" hidden="1">#REF!</definedName>
    <definedName name="BEx76HKF6VS7IH44AH5PFZ2I3GMB" hidden="1">#REF!</definedName>
    <definedName name="BEx7741OUGLA0WJQLQRUJSL4DE00" hidden="1">#REF!</definedName>
    <definedName name="BEx774N83DXLJZ54Q42PWIJZ2DN1" hidden="1">#REF!</definedName>
    <definedName name="BEx779QNIY3061ZV9BR462WKEGRW" hidden="1">#REF!</definedName>
    <definedName name="BEx77G19QU9A95CNHE6QMVSQR2T3" hidden="1">#REF!</definedName>
    <definedName name="BEx77KZ6K1TXTCW02RLD23MZ5WXI" hidden="1">#REF!</definedName>
    <definedName name="BEx77P0S3GVMS7BJUL9OWUGJ1B02" hidden="1">#REF!</definedName>
    <definedName name="BEx77Q2LUPBGZ9QKN1IDHO2YOPG4" hidden="1">#REF!</definedName>
    <definedName name="BEx77QDESURI6WW5582YXSK3A972" hidden="1">#REF!</definedName>
    <definedName name="BEx77R9SDFNOEVO9X3UFERXHS2I1" hidden="1">#REF!</definedName>
    <definedName name="BEx77VBI9XOPFHKEWU5EHQ9J675Y" hidden="1">#REF!</definedName>
    <definedName name="BEx77X48F8ZC6SQTL2PWHJDB1UMN" hidden="1">#REF!</definedName>
    <definedName name="BEx77YB9CAVPC9F411N2W7JAS8KR" hidden="1">#REF!</definedName>
    <definedName name="BEx77ZD30RGICVNOADSCCJQ2URI6" hidden="1">#REF!</definedName>
    <definedName name="BEx7809GQOCLHSNH95VOYIX7P1TV" hidden="1">#REF!</definedName>
    <definedName name="BEx780K8XAXUHGVZGZWQ74DK4CI3" hidden="1">#REF!</definedName>
    <definedName name="BEx78226TN58UE0CTY98YEDU0LSL" hidden="1">#REF!</definedName>
    <definedName name="BEx7881ZZBWHRAX6W2GY19J8MGEQ" hidden="1">#REF!</definedName>
    <definedName name="BEx789JYKF61W7XPIFUYLEG5N5HA" hidden="1">#REF!</definedName>
    <definedName name="BEx78BY9EXOIDU03KWLIGXBEV10T" hidden="1">#REF!</definedName>
    <definedName name="BEx78H705PUOOX1TUN2EVKRQODKB" hidden="1">#REF!</definedName>
    <definedName name="BEx78HHRIWDLHQX2LG0HWFRYEL1T" hidden="1">#REF!</definedName>
    <definedName name="BEx78QMXZ2P1ZB3HJ9O50DWHCMXR" hidden="1">#REF!</definedName>
    <definedName name="BEx78SFO5VR28677DWZEMDN7G86X" hidden="1">#REF!</definedName>
    <definedName name="BEx78SFOYH1Z0ZDTO47W2M60TW6K" hidden="1">#REF!</definedName>
    <definedName name="BEx78TMUOM1HV1KQBUJS3VVTA4Y5" hidden="1">#REF!</definedName>
    <definedName name="BEx78VQDQSPBLZ5C47YNU9EODVI3" hidden="1">#REF!</definedName>
    <definedName name="BEx78ZBOBWKW0WFOVJFKWXPALYKM" hidden="1">#REF!</definedName>
    <definedName name="BEx796O5GFC6MKD58U91KGP5P25R" hidden="1">#REF!</definedName>
    <definedName name="BEx79E5UGU8A253MWMYY50HUGUGP" hidden="1">#REF!</definedName>
    <definedName name="BEx79JK3E6JO8MX4O35A5G8NZCC8" hidden="1">#REF!</definedName>
    <definedName name="BEx79MUS5NHBV4EP5TXG6K08LDML" hidden="1">#REF!</definedName>
    <definedName name="BEx79OCP4HQ6XP8EWNGEUDLOZBBS" hidden="1">#REF!</definedName>
    <definedName name="BEx79SEAYKUZB0H4LYBCD6WWJBG2" hidden="1">#REF!</definedName>
    <definedName name="BEx79SJRHTLS9PYM69O9BWW1FMJK" hidden="1">#REF!</definedName>
    <definedName name="BEx79UN9DJO0C214MRQNWSI83S1W" hidden="1">#REF!</definedName>
    <definedName name="BEx79WAJXBU3TJCYJL96EIMGQZYI" hidden="1">#REF!</definedName>
    <definedName name="BEx79YJJLBELICW9F9FRYSCQ101L" hidden="1">#REF!</definedName>
    <definedName name="BEx79YUC7B0V77FSBGIRCY1BR4VK" hidden="1">#REF!</definedName>
    <definedName name="BEx79ZW133UX2AOC2Z9ME8CZD2HB" hidden="1">#REF!</definedName>
    <definedName name="BEx7A06T3RC2891FUX05G3QPRAUE" hidden="1">#REF!</definedName>
    <definedName name="BEx7A9S3JA1X7FH4CFSQLTZC4691" hidden="1">#REF!</definedName>
    <definedName name="BEx7ABA2C9IWH5VSLVLLLCY62161" hidden="1">#REF!</definedName>
    <definedName name="BEx7ACBUYJ4XYYXE2F6GKJU6KTJI" hidden="1">#REF!</definedName>
    <definedName name="BEx7AE4LPLX8N85BYB0WCO5S7ZPV" hidden="1">#REF!</definedName>
    <definedName name="BEx7AGZ0CN2AJC54A27VTFTFP09Z" hidden="1">#REF!</definedName>
    <definedName name="BEx7AQ40J8OUCT9XDV0XGPOJ2YVG" hidden="1">#REF!</definedName>
    <definedName name="BEx7ASD1I654MEDCO6GGWA95PXSC" hidden="1">#REF!</definedName>
    <definedName name="BEx7AVCX9S5RJP3NSZ4QM4E6ERDT" hidden="1">#REF!</definedName>
    <definedName name="BEx7AVYIGP0930MV5JEBWRYCJN68" hidden="1">#REF!</definedName>
    <definedName name="BEx7AZPHXXU70KLV3FQ56SHHWJQO" hidden="1">#REF!</definedName>
    <definedName name="BEx7B0R4UWHJZNZTF5ZQ9MHUX6D8" hidden="1">#REF!</definedName>
    <definedName name="BEx7B6LH6917TXOSAAQ6U7HVF018" hidden="1">#REF!</definedName>
    <definedName name="BEx7BPXFZXJ79FQ0E8AQE21PGVHA" hidden="1">#REF!</definedName>
    <definedName name="BEx7BV0WEWTDQKQ7OXHPV9FEWP05" hidden="1">#REF!</definedName>
    <definedName name="BEx7BZYUUSR017BYUY94LG11WZD2" hidden="1">#REF!</definedName>
    <definedName name="BEx7C04AM39DQMC1TIX7CFZ2ADHX" hidden="1">#REF!</definedName>
    <definedName name="BEx7C1GRVK4OHN62QAGSSHZ8HJDN" hidden="1">#REF!</definedName>
    <definedName name="BEx7C1RLF9DL8LEEUCR370XX1WNT" hidden="1">#REF!</definedName>
    <definedName name="BEx7C40F0PQURHPI6YQ39NFIR86Z" hidden="1">#REF!</definedName>
    <definedName name="BEx7C4B84EXLKPFY0JF61HIF81IO" hidden="1">#REF!</definedName>
    <definedName name="BEx7C8NQTB0VCGI775FXFRQDHVTK" hidden="1">#REF!</definedName>
    <definedName name="BEx7C93VR7SYRIJS1JO8YZKSFAW9" hidden="1">#REF!</definedName>
    <definedName name="BEx7C99CHPPFWHUPSRZFNT9QMXB4" hidden="1">#REF!</definedName>
    <definedName name="BEx7CB22L3VEFVGT06WV06YWVWVX" hidden="1">#REF!</definedName>
    <definedName name="BEx7CCPC6R1KQQZ2JQU6EFI1G0RM" hidden="1">#REF!</definedName>
    <definedName name="BEx7CDLOYB86O5UFY7H67TOJBEFU" hidden="1">#REF!</definedName>
    <definedName name="BEx7CDR5QQA3Z9K609JSQLRYST7C" hidden="1">#REF!</definedName>
    <definedName name="BEx7CE1Z4O5J1YV2NR0BRXMYNH4U" hidden="1">#REF!</definedName>
    <definedName name="BEx7CIJST9GLS2QD383UK7VUDTGL" hidden="1">#REF!</definedName>
    <definedName name="BEx7CO8T2XKC7GHDSYNAWTZ9L7YR" hidden="1">#REF!</definedName>
    <definedName name="BEx7CW1CF00DO8A36UNC2X7K65C2" hidden="1">#REF!</definedName>
    <definedName name="BEx7CW6NFRL2P4XWP0MWHIYA97KF" hidden="1">#REF!</definedName>
    <definedName name="BEx7D0TYYYV63NN0IWUS4JHX08JL" hidden="1">#REF!</definedName>
    <definedName name="BEx7D3ODGVP1HD642XTD2OIBG868" hidden="1">#REF!</definedName>
    <definedName name="BEx7D4FGERXA46SGO2YWSSVD8QA9" hidden="1">#REF!</definedName>
    <definedName name="BEx7D5RWKRS4W71J4NZ6ZSFHPKFT" hidden="1">#REF!</definedName>
    <definedName name="BEx7D8H1TPOX1UN17QZYEV7Q58GA" hidden="1">#REF!</definedName>
    <definedName name="BEx7D9TP1NUDKSJFWHR2CHKLI5BO" hidden="1">#REF!</definedName>
    <definedName name="BEx7DA9T0KV63DFYI9L970388UKZ" hidden="1">#REF!</definedName>
    <definedName name="BEx7DG9KM5F7LT2U15KYCBA1BMP5" hidden="1">#REF!</definedName>
    <definedName name="BEx7DGF13H2074LRWFZQ45PZ6JPX" hidden="1">#REF!</definedName>
    <definedName name="BEx7DKWUXEDIISSX4GDD4YYT887F" hidden="1">#REF!</definedName>
    <definedName name="BEx7DMUYR2HC26WW7AOB1TULERMB" hidden="1">#REF!</definedName>
    <definedName name="BEx7DVJTRV44IMJIBFXELE67SZ7S" hidden="1">#REF!</definedName>
    <definedName name="BEx7DVUMFCI5INHMVFIJ44RTTSTT" hidden="1">#REF!</definedName>
    <definedName name="BEx7E070US7H2O4NZ88SUIS4XLQI" hidden="1">#REF!</definedName>
    <definedName name="BEx7E2QT2U8THYOKBPXONB1B47WH" hidden="1">#REF!</definedName>
    <definedName name="BEx7E5FW5WIZWQBTM3WY6COV9NWG" hidden="1">#REF!</definedName>
    <definedName name="BEx7E5QP7W6UKO74F5Y0VJ741HS5" hidden="1">#REF!</definedName>
    <definedName name="BEx7E6N29HGH3I47AFB2DCS6MVS6" hidden="1">#REF!</definedName>
    <definedName name="BEx7EAU2RE2219WP3WVQ3OR1W2C8" hidden="1">#REF!</definedName>
    <definedName name="BEx7EBA8IYHQKT7IQAOAML660SYA" hidden="1">#REF!</definedName>
    <definedName name="BEx7EI6C8MCRZFEQYUBE5FSUTIHK" hidden="1">#REF!</definedName>
    <definedName name="BEx7EI6DL1Z6UWLFBXAKVGZTKHWJ" hidden="1">#REF!</definedName>
    <definedName name="BEx7EPO3IJJ1U17SQD75XVSOW04A" hidden="1">#REF!</definedName>
    <definedName name="BEx7EQKHX7GZYOLXRDU534TT4H64" hidden="1">#REF!</definedName>
    <definedName name="BEx7ETV6L1TM7JSXJIGK3FC6RVZW" hidden="1">#REF!</definedName>
    <definedName name="BEx7EVIKH03IKKLF5EP4DAZJNJCV" hidden="1">#REF!</definedName>
    <definedName name="BEx7EYYLHMBYQTH6I377FCQS7CSX" hidden="1">#REF!</definedName>
    <definedName name="BEx7F0GKDDMWWYL3UONC5RYU90DB" hidden="1">#REF!</definedName>
    <definedName name="BEx7F17GPR1IE92TM33XNI9RBRQV" hidden="1">#REF!</definedName>
    <definedName name="BEx7F95G0KTZZSIRD0LH8DSP25FG" hidden="1">#REF!</definedName>
    <definedName name="BEx7FC5CTYG21DD4M4UMNGM5PAXR" hidden="1">#REF!</definedName>
    <definedName name="BEx7FCLG1RYI2SNOU1Y2GQZNZSWA" hidden="1">#REF!</definedName>
    <definedName name="BEx7FLVXJCVUCI9Y6MJVV0QDIUOM" hidden="1">#REF!</definedName>
    <definedName name="BEx7FN32ZGWOAA4TTH79KINTDWR9" hidden="1">#REF!</definedName>
    <definedName name="BEx7FYXD0MPBKHHOHEW5Y0G4T4MT" hidden="1">#REF!</definedName>
    <definedName name="BEx7G04CAKWTDQPNNA44KT3Z5Z5S" hidden="1">#REF!</definedName>
    <definedName name="BEx7G82CKM3NIY1PHNFK28M09PCH" hidden="1">#REF!</definedName>
    <definedName name="BEx7GC3XJRFNSDVY1FQRLH64631P" hidden="1">#REF!</definedName>
    <definedName name="BEx7GC43FW7EICFG6VUBQDEDLU5K" hidden="1">#REF!</definedName>
    <definedName name="BEx7GE26L8MOUNLYGF0I65P5TJCQ" hidden="1">#REF!</definedName>
    <definedName name="BEx7GOUKTRMHTHP0YRKUB3Y2722Z" hidden="1">#REF!</definedName>
    <definedName name="BEx7GOZX29W28SMUPXXBGG8Z2MEG" hidden="1">#REF!</definedName>
    <definedName name="BEx7GR3ENYWRXXS5IT0UMEGOLGUH" hidden="1">#REF!</definedName>
    <definedName name="BEx7GRP5M3UMDDGRV8JCXRTA8PET" hidden="1">#REF!</definedName>
    <definedName name="BEx7GSAL6P7TASL8MB63RFST1LJL" hidden="1">#REF!</definedName>
    <definedName name="BEx7GSLDJAV901P63NJRTRMCOH2R" hidden="1">#REF!</definedName>
    <definedName name="BEx7GX8NXBNNIYWV33OE40B1HBDH" hidden="1">#REF!</definedName>
    <definedName name="BEx7H0JCZW0TOV75O8QO9QGAG9ZL" hidden="1">#REF!</definedName>
    <definedName name="BEx7H0JD6I5I8WQLLWOYWY5YWPQE" hidden="1">#REF!</definedName>
    <definedName name="BEx7H14XCXH7WEXEY1HVO53A6AGH" hidden="1">#REF!</definedName>
    <definedName name="BEx7HFTIA8AC8BR8HKIN81VE1SGW" hidden="1">#REF!</definedName>
    <definedName name="BEx7HGVBEF4LEIF6RC14N3PSU461" hidden="1">#REF!</definedName>
    <definedName name="BEx7HLYQZBBTABZDK3992Z5VAP6F" hidden="1">#REF!</definedName>
    <definedName name="BEx7HQ5T9FZ42QWS09UO4DT42Y0R" hidden="1">#REF!</definedName>
    <definedName name="BEx7HRCZE3CVGON1HV07MT5MNDZ3" hidden="1">#REF!</definedName>
    <definedName name="BEx7HWGE2CANG5M17X4C8YNC3N8F" hidden="1">#REF!</definedName>
    <definedName name="BEx7HZWIIJJACWS2JZXLE8Y6218O" hidden="1">#REF!</definedName>
    <definedName name="BEx7IBVYN47SFZIA0K4MDKQZNN9V" hidden="1">#REF!</definedName>
    <definedName name="BEx7IFS97OUE6DM7DEPT8BNOBX5Q" hidden="1">#REF!</definedName>
    <definedName name="BEx7IQ9W26JHA6W3A091A9WG65C0" hidden="1">#REF!</definedName>
    <definedName name="BEx7IV2IJ5WT7UC0UG7WP0WF2JZI" hidden="1">#REF!</definedName>
    <definedName name="BEx7IXGU74GE5E4S6W4Z13AR092Y" hidden="1">#REF!</definedName>
    <definedName name="BEx7J0B8JP94EU33Z4Y2VPCPPOBA" hidden="1">#REF!</definedName>
    <definedName name="BEx7J30IUOUKLHKT9HI8Q9OSL07A" hidden="1">#REF!</definedName>
    <definedName name="BEx7J4YL8Q3BI1MLH16YYQ18IJRD" hidden="1">#REF!</definedName>
    <definedName name="BEx7J8K1U8E2TN7ZZOUMND1TAMD8" hidden="1">#REF!</definedName>
    <definedName name="BEx7JA2065BCDY4P37RQVZW9TD4H" hidden="1">#REF!</definedName>
    <definedName name="BEx7JH3HGBPI07OHZ5LFYK0UFZQR" hidden="1">#REF!</definedName>
    <definedName name="BEx7JUVSYNSCTRUC4SB986TNUBF5" hidden="1">#REF!</definedName>
    <definedName name="BEx7JV194190CNM6WWGQ3UBJ3CHH" hidden="1">#REF!</definedName>
    <definedName name="BEx7JZ2V097BG3M1ILZKFIAIWVC1" hidden="1">#REF!</definedName>
    <definedName name="BEx7K7GZ607XQOGB81A1HINBTGOZ" hidden="1">#REF!</definedName>
    <definedName name="BEx7KEYPBDXSNROH8M6CDCBN6B50" hidden="1">#REF!</definedName>
    <definedName name="BEx7KJWSVGF4P3MQY1EPKAKI35E2" hidden="1">#REF!</definedName>
    <definedName name="BEx7KMGFM3PJFKCCM0Z2UP4B0NAU" hidden="1">#REF!</definedName>
    <definedName name="BEx7KSAS8BZT6H8OQCZ5DNSTMO07" hidden="1">#REF!</definedName>
    <definedName name="BEx7KWHTBD21COXVI4HNEQH0Z3L8" hidden="1">#REF!</definedName>
    <definedName name="BEx7KXUGRMRSUXCM97Z7VRZQ9JH2" hidden="1">#REF!</definedName>
    <definedName name="BEx7L21IQVP1N1TTQLRMANSSLSLE" hidden="1">#REF!</definedName>
    <definedName name="BEx7L5C6U8MP6IZ67BD649WQYJEK" hidden="1">#REF!</definedName>
    <definedName name="BEx7L8HEYEVTATR0OG5JJO647KNI" hidden="1">#REF!</definedName>
    <definedName name="BEx7L8XOV64OMS15ZFURFEUXLMWF" hidden="1">#REF!</definedName>
    <definedName name="BEx7LG4M5TBGEHGVG0PM524HBRDF" hidden="1">#REF!</definedName>
    <definedName name="BEx7LH6B6QHTSG3KD17GOK6GCFAX" hidden="1">#REF!</definedName>
    <definedName name="BEx7LKGZG2J88TQK8VB1J1Q5LM8B" hidden="1">#REF!</definedName>
    <definedName name="BEx7M6Y7W4BLV1YH0UL9KH0XQY89" hidden="1">#REF!</definedName>
    <definedName name="BEx7MAUI1JJFDIJGDW4RWY5384LY" hidden="1">#REF!</definedName>
    <definedName name="BEx7MDEAJ78ZQK6UIP1OXPLR2GQ5" hidden="1">#REF!</definedName>
    <definedName name="BEx7MFN4WE6C3AG6T7M175L84UP2" hidden="1">#REF!</definedName>
    <definedName name="BEx7MJJCZZOFK91OYFOFSJUQBKW2" hidden="1">#REF!</definedName>
    <definedName name="BEx7MJZO3UKAMJ53UWOJ5ZD4GGMQ" hidden="1">#REF!</definedName>
    <definedName name="BEx7MSTUWXOICSFKYC7MNUMNQFO4" hidden="1">#REF!</definedName>
    <definedName name="BEx7MT4MFNXIVQGAT6D971GZW7CA" hidden="1">#REF!</definedName>
    <definedName name="BEx7N0BKVPB6SLDM71BVTZGOH60P" hidden="1">#REF!</definedName>
    <definedName name="BEx7N8PP9RVX2WWGV1PBXGHEBBGW" hidden="1">#REF!</definedName>
    <definedName name="BEx7NC0DWJTV02U2TXZIYWD2US9F" hidden="1">#REF!</definedName>
    <definedName name="BEx7NI062THZAM6I8AJWTFJL91CS" hidden="1">#REF!</definedName>
    <definedName name="BEx7NILR9AYE5DCZQK5VE31QBOXJ" hidden="1">#REF!</definedName>
    <definedName name="BEx8ZAT8XRH1XELLYPG9069UPA0U" hidden="1">#REF!</definedName>
    <definedName name="BEx8ZZDZZZSCGVY9Q4FXBMDWLNWG" hidden="1">#REF!</definedName>
    <definedName name="BEx900VXJQTAAMHD7I2106EO97XC" hidden="1">#REF!</definedName>
    <definedName name="BEx904S75BPRYMHF0083JF7ES4NG" hidden="1">#REF!</definedName>
    <definedName name="BEx90HDD4RWF7JZGA8GCGG7D63MG" hidden="1">#REF!</definedName>
    <definedName name="BEx90KD9RR3VV0DSNFAYRBTOGPB4" hidden="1">#REF!</definedName>
    <definedName name="BEx90VGH5H09ON2QXYC9WIIEU98T" hidden="1">#REF!</definedName>
    <definedName name="BEx90WNNETDO1GTH9L7CL7AND9FP" hidden="1">#REF!</definedName>
    <definedName name="BEx90YGEAL4XU2N96AF4F8EMQM5E" hidden="1">#REF!</definedName>
    <definedName name="BEx915CIGW44C9FK8JZ3ZH9NL0GQ" hidden="1">#REF!</definedName>
    <definedName name="BEx9175B70QXYAU5A8DJPGZQ46L9" hidden="1">#REF!</definedName>
    <definedName name="BEx917QUT6C3016WWRL8KEJ6EAS7" hidden="1">#REF!</definedName>
    <definedName name="BEx9198SUMWRD5V4EL01ZC1SK0R4" hidden="1">#REF!</definedName>
    <definedName name="BEx91AQQRTV87AO27VWHSFZAD4ZR" hidden="1">#REF!</definedName>
    <definedName name="BEx91B1JH8D5H2GOT7OWLLNGNDKQ" hidden="1">#REF!</definedName>
    <definedName name="BEx91GAAUF1R9I5L81LRUID58AMJ" hidden="1">#REF!</definedName>
    <definedName name="BEx91HHGDQ8ZZYXB7Q18BSWSU1PI" hidden="1">#REF!</definedName>
    <definedName name="BEx91J4VF2QL7O5WOZSBMS9J72RU" hidden="1">#REF!</definedName>
    <definedName name="BEx91L8FLL5CWLA2CDHKCOMGVDZN" hidden="1">#REF!</definedName>
    <definedName name="BEx91OTVH9ZDBC3QTORU8RZX4EOC" hidden="1">#REF!</definedName>
    <definedName name="BEx91QH5JRZKQP1GPN2SQMR3CKAG" hidden="1">#REF!</definedName>
    <definedName name="BEx91ROALDNHO7FI4X8L61RH4UJE" hidden="1">#REF!</definedName>
    <definedName name="BEx91S4KOBNG1K7Y8ECAAJ6A8OKC" hidden="1">#REF!</definedName>
    <definedName name="BEx91TMID71GVYH0U16QM1RV3PX0" hidden="1">#REF!</definedName>
    <definedName name="BEx91VF2D78PAF337E3L2L81K9W2" hidden="1">#REF!</definedName>
    <definedName name="BEx91WX06C934NXBTYWV8DEUWSYH" hidden="1">#REF!</definedName>
    <definedName name="BEx921PNZ46VORG2VRMWREWIC0SE" hidden="1">#REF!</definedName>
    <definedName name="BEx9225XL7F3KGMW3IC0KOR29R9E" hidden="1">#REF!</definedName>
    <definedName name="BEx92DPEKL5WM5A3CN8674JI0PR3" hidden="1">#REF!</definedName>
    <definedName name="BEx92ER2RMY93TZK0D9L9T3H0GI5" hidden="1">#REF!</definedName>
    <definedName name="BEx92FI04PJT4LI23KKIHRXWJDTT" hidden="1">#REF!</definedName>
    <definedName name="BEx92HR14HQ9D5JXCSPA4SS4RT62" hidden="1">#REF!</definedName>
    <definedName name="BEx92HWA2D6A5EX9MFG68G0NOMSN" hidden="1">#REF!</definedName>
    <definedName name="BEx92N57JSJFLBITCN9JMOAVTMW7" hidden="1">#REF!</definedName>
    <definedName name="BEx92PUBDIXAU1FW5ZAXECMAU0LN" hidden="1">#REF!</definedName>
    <definedName name="BEx92S8MHFFIVRQ2YSHZNQGOFUHD" hidden="1">#REF!</definedName>
    <definedName name="BEx92U1CMBDZGRSY9MVTO3E720ZQ" hidden="1">#REF!</definedName>
    <definedName name="BEx92UMYP8E18CEXORVVXB4B3ML7" hidden="1">#REF!</definedName>
    <definedName name="BEx933H54NWOGGUHDZ8TQ6I41ILM" hidden="1">#REF!</definedName>
    <definedName name="BEx938Q14YL9Z8E91W1TC84A2BDL" hidden="1">#REF!</definedName>
    <definedName name="BEx93B9OULL2YGC896XXYAAJSTRK" hidden="1">#REF!</definedName>
    <definedName name="BEx93FRKF99NRT3LH99UTIH7AAYF" hidden="1">#REF!</definedName>
    <definedName name="BEx93M7FSHP50OG34A4W8W8DF12U" hidden="1">#REF!</definedName>
    <definedName name="BEx93OLWY2O3PRA74U41VG5RXT4Q" hidden="1">#REF!</definedName>
    <definedName name="BEx93RWFAF6YJGYUTITVM445C02U" hidden="1">#REF!</definedName>
    <definedName name="BEx93SY9RWG3HUV4YXQKXJH9FH14" hidden="1">#REF!</definedName>
    <definedName name="BEx93TJUX3U0FJDBG6DDSNQ91R5J" hidden="1">#REF!</definedName>
    <definedName name="BEx93UG7YP0ZPNWC3L4D9R7TY6Y7" hidden="1">#REF!</definedName>
    <definedName name="BEx93VY6C3RR65156HLARTM6J2ET" hidden="1">#REF!</definedName>
    <definedName name="BEx941N6MEX4LWALTL1ZU5SLE3UT" hidden="1">#REF!</definedName>
    <definedName name="BEx941SHUND12MSNM9JS6HBTZBWO" hidden="1">#REF!</definedName>
    <definedName name="BEx942UCRHMI4B0US31HO95GSC2X" hidden="1">#REF!</definedName>
    <definedName name="BEx948ZFFQWVIDNG4AZAUGGGEB5U" hidden="1">#REF!</definedName>
    <definedName name="BEx94CKXG92OMURH41SNU6IOHK4J" hidden="1">#REF!</definedName>
    <definedName name="BEx94GXG30CIVB6ZQN3X3IK6BZXQ" hidden="1">#REF!</definedName>
    <definedName name="BEx94HZ5LURYM9ST744ALV6ZCKYP" hidden="1">#REF!</definedName>
    <definedName name="BEx94IQ75E90YUMWJ9N591LR7DQQ" hidden="1">#REF!</definedName>
    <definedName name="BEx94L4C4MQTO49FB8MFEFB659AL" hidden="1">#REF!</definedName>
    <definedName name="BEx94N7W5T3U7UOE97D6OVIBUCXS" hidden="1">#REF!</definedName>
    <definedName name="BEx955NIAWX5OLAHMTV6QFUZPR30" hidden="1">#REF!</definedName>
    <definedName name="BEx9581TYVI2M5TT4ISDAJV4W7Z6" hidden="1">#REF!</definedName>
    <definedName name="BEx95K6Q98ZP17NVAU9M9AE0312Q" hidden="1">#REF!</definedName>
    <definedName name="BEx95NHF4RVUE0YDOAFZEIVBYJXD" hidden="1">#REF!</definedName>
    <definedName name="BEx95Q6JU34KJPD8FC02K5BPFC5S" hidden="1">#REF!</definedName>
    <definedName name="BEx95QBZMG0E2KQ9BERJ861QLYN3" hidden="1">#REF!</definedName>
    <definedName name="BEx95QHBVDN795UNQJLRXG3RDU49" hidden="1">#REF!</definedName>
    <definedName name="BEx95TBVUWV7L7OMFMZDQEXGVHU6" hidden="1">#REF!</definedName>
    <definedName name="BEx95U89DZZSVO39TGS62CX8G9N4" hidden="1">#REF!</definedName>
    <definedName name="BEx9602K2GHNBUEUVT9ONRQU1GMD" hidden="1">#REF!</definedName>
    <definedName name="BEx9614GBIQJFFMB4Y4SFAZMLL5A" hidden="1">#REF!</definedName>
    <definedName name="BEx962BL3Y4LA53EBYI64ZYMZE8U" hidden="1">#REF!</definedName>
    <definedName name="BEx96KR21O7H9R29TN0S45Y3QPUK" hidden="1">#REF!</definedName>
    <definedName name="BEx96SUFKHHFE8XQ6UUO6ILDOXHO" hidden="1">#REF!</definedName>
    <definedName name="BEx96UN4YWXBDEZ1U1ZUIPP41Z7I" hidden="1">#REF!</definedName>
    <definedName name="BEx970MYCPJ6DQ44TKLOIGZO5LHH" hidden="1">#REF!</definedName>
    <definedName name="BEx978KSD61YJH3S9DGO050R2EHA" hidden="1">#REF!</definedName>
    <definedName name="BEx97AIZOZCNEW30KV7PS5PP5JT1" hidden="1">#REF!</definedName>
    <definedName name="BEx97H9O1NAKAPK4MX4PKO34ICL5" hidden="1">#REF!</definedName>
    <definedName name="BEx97HVA5F2I0D6ID81KCUDEQOIH" hidden="1">#REF!</definedName>
    <definedName name="BEx97M7RE8YGJHEW0EC7PJ5JD7WF" hidden="1">#REF!</definedName>
    <definedName name="BEx97MNUZQ1Z0AO2FL7XQYVNCPR7" hidden="1">#REF!</definedName>
    <definedName name="BEx97NPQBACJVD9K1YXI08RTW9E2" hidden="1">#REF!</definedName>
    <definedName name="BEx97RWQLXS0OORDCN69IGA58CWU" hidden="1">#REF!</definedName>
    <definedName name="BEx97SCW2ETPODUFIW6L2KM7M4SW" hidden="1">#REF!</definedName>
    <definedName name="BEx97UWII6DN7PX0OK246667DVN1" hidden="1">#REF!</definedName>
    <definedName name="BEx97UWIOKSYQEPM5KHZHGS0154Y" hidden="1">#REF!</definedName>
    <definedName name="BEx97YNGGDFIXHTMGFL2IHAQX9MI" hidden="1">#REF!</definedName>
    <definedName name="BEx97ZP52KMPM742ZGI9X3JBOJK8" hidden="1">#REF!</definedName>
    <definedName name="BEx981HW73BUZWT14TBTZHC0ZTJ4" hidden="1">#REF!</definedName>
    <definedName name="BEx9871KU0N99P0900EAK69VFYT2" hidden="1">#REF!</definedName>
    <definedName name="BEx987HOU7RO9F3CP8UAM9Y43PMW" hidden="1">#REF!</definedName>
    <definedName name="BEx98AC8TYPSTO7OFZ9AY5K9F1TU" hidden="1">#REF!</definedName>
    <definedName name="BEx98BZJIFVA0GRJ40DNX7SV41NV" hidden="1">#REF!</definedName>
    <definedName name="BEx98DSAJJN5BWKXY1857HD2SXYE" hidden="1">#REF!</definedName>
    <definedName name="BEx98H8EMAZKGXR8A61E1R4APL20" hidden="1">#REF!</definedName>
    <definedName name="BEx98IFKNJFGZFLID1YTRFEG1SXY" hidden="1">#REF!</definedName>
    <definedName name="BEx98MH59164SK47REUU4RIVBMYS" hidden="1">#REF!</definedName>
    <definedName name="BEx98UF5ABF1ZFY1UJY8CEGZMA8W" hidden="1">#REF!</definedName>
    <definedName name="BEx98VWYT5AIRZHDCF4W2XTA98CE" hidden="1">#REF!</definedName>
    <definedName name="BEx9915UVD4G7RA3IMLFZ0LG3UA2" hidden="1">#REF!</definedName>
    <definedName name="BEx992CZON8AO7U7V88VN1JBO0MG" hidden="1">#REF!</definedName>
    <definedName name="BEx9952469XMFGSPXL7CMXHPJF90" hidden="1">#REF!</definedName>
    <definedName name="BEx99B77I7TUSHRR4HIZ9FU2EIUT" hidden="1">#REF!</definedName>
    <definedName name="BEx99CUNI4O2NLG3U7W1D72NYIC3" hidden="1">#REF!</definedName>
    <definedName name="BEx99ENE0GIGTXMMNQGDM2GTQJ62" hidden="1">#REF!</definedName>
    <definedName name="BEx99GQW3818JF5VZQXHWA5T8C4O" hidden="1">#REF!</definedName>
    <definedName name="BEx99I3E9C76S8C29I0IOLAWIHGL" hidden="1">#REF!</definedName>
    <definedName name="BEx99NSDRWRFF1S43GXJP23ZXA5G" hidden="1">#REF!</definedName>
    <definedName name="BEx99Q6PH5F3OQKCCAAO75PYDEFN" hidden="1">#REF!</definedName>
    <definedName name="BEx99U8GZOSYT39BCYNNF9X02689" hidden="1">#REF!</definedName>
    <definedName name="BEx99WBYT2D6UUC1PT7A40ENYID4" hidden="1">#REF!</definedName>
    <definedName name="BEx99X2WCBP5X078XYBG0OIY28C1" hidden="1">#REF!</definedName>
    <definedName name="BEx99ZRZ4I7FHDPGRAT5VW7NVBPU" hidden="1">#REF!</definedName>
    <definedName name="BEx9A0DKB7CWFRDSWS3U98LY1ZK3" hidden="1">#REF!</definedName>
    <definedName name="BEx9A4KLXV2W4MTRQG1SQ9PJCLQ8" hidden="1">#REF!</definedName>
    <definedName name="BEx9A5GZP22JRLQ7RHFAUMEJBJ6S" hidden="1">#REF!</definedName>
    <definedName name="BEx9AG9FDUZMA06LTSPX7ROU7H21" hidden="1">#REF!</definedName>
    <definedName name="BEx9AHWO15EY054GILEFZ8SHFMFH" hidden="1">#REF!</definedName>
    <definedName name="BEx9AICXD7LRGTTQCFJCFT1J5EKV" hidden="1">#REF!</definedName>
    <definedName name="BEx9AT5E3ZSHKSOL35O38L8HF9TH" hidden="1">#REF!</definedName>
    <definedName name="BEx9AUNBECTVLB5GD92DHGFY6OOT" hidden="1">#REF!</definedName>
    <definedName name="BEx9AV8W1FAWF5BHATYEN47X12JN" hidden="1">#REF!</definedName>
    <definedName name="BEx9AXY014SGG7L2TXHNVEAQ7W26" hidden="1">#REF!</definedName>
    <definedName name="BEx9B0SF6Q83WYUH8EOFPPZ8UJ8P" hidden="1">#REF!</definedName>
    <definedName name="BEx9B8A5186FNTQQNLIO5LK02ABI" hidden="1">#REF!</definedName>
    <definedName name="BEx9B8VR20E2CILU4CDQUQQ9ONXK" hidden="1">#REF!</definedName>
    <definedName name="BEx9B917EUP13X6FQ3NPQL76XM5V" hidden="1">#REF!</definedName>
    <definedName name="BEx9BA2WPSX897I2UN9A4V9KUIAY" hidden="1">#REF!</definedName>
    <definedName name="BEx9BAJ5WYEQ623HUT9NNCMP3RUG" hidden="1">#REF!</definedName>
    <definedName name="BEx9BBFJ3VO88ML7ELFBM9GN34IS" hidden="1">#REF!</definedName>
    <definedName name="BEx9BIH0VJWWTSRG3TM0UU6N7GZF" hidden="1">#REF!</definedName>
    <definedName name="BEx9BVYK9E9DJBF6DRYP3ZBYKK13" hidden="1">#REF!</definedName>
    <definedName name="BEx9BYSYW7QCPXS2NAVLFAU5Y2Z2" hidden="1">#REF!</definedName>
    <definedName name="BEx9C590HJ2O31IWJB73C1HR74AI" hidden="1">#REF!</definedName>
    <definedName name="BEx9C9W6GRGKP0DUF28ZQAEKEIGM" hidden="1">#REF!</definedName>
    <definedName name="BEx9CCQRMYYOGIOYTOM73VKDIPS1" hidden="1">#REF!</definedName>
    <definedName name="BEx9CGSBMP7C1QZI6259SGRNH6Z1" hidden="1">#REF!</definedName>
    <definedName name="BEx9CTIZ3BHLTPO112H5B1WYPPRK" hidden="1">#REF!</definedName>
    <definedName name="BEx9D1BC9FT19KY0INAABNDBAMR1" hidden="1">#REF!</definedName>
    <definedName name="BEx9D6EWVIZY1J2RTL8VUJVGWUW4" hidden="1">#REF!</definedName>
    <definedName name="BEx9DHY9AKLS8E1OGFF0AJ1PW8I8" hidden="1">#REF!</definedName>
    <definedName name="BEx9DN6ZMF18Q39MPMXSDJTZQNJ3" hidden="1">#REF!</definedName>
    <definedName name="BEx9E14TDNSEMI784W0OTIEQMWN6" hidden="1">#REF!</definedName>
    <definedName name="BEx9E2BZ2B1R41FMGJCJ7JLGLUAJ" hidden="1">#REF!</definedName>
    <definedName name="BEx9E3Z7VZXOOQHPF2CXZHZS1MJ7" hidden="1">#REF!</definedName>
    <definedName name="BEx9E7VHYNC3CMD3H92T85MLBS7E" hidden="1">#REF!</definedName>
    <definedName name="BEx9E8XBQB45P30UEREMLJJA2YGB" hidden="1">#REF!</definedName>
    <definedName name="BEx9EDKHENPVL7S9IAGM4FS4OQIS" hidden="1">#REF!</definedName>
    <definedName name="BEx9EG9KBJ77M8LEOR9ITOKN5KXY" hidden="1">#REF!</definedName>
    <definedName name="BEx9EGPV5D2H4I8FGB5OUW81QBZO" hidden="1">#REF!</definedName>
    <definedName name="BEx9EH5YR1V2GAC52UT2423IX728" hidden="1">#REF!</definedName>
    <definedName name="BEx9EJV1WOA32VFWAHD41K34Z7JT" hidden="1">#REF!</definedName>
    <definedName name="BEx9EMK6HAJJMVYZTN5AUIV7O1E6" hidden="1">#REF!</definedName>
    <definedName name="BEx9ENB2IKHCURMPN778CMTFGBB7" hidden="1">#REF!</definedName>
    <definedName name="BEx9EOIELWSYR0O5ED5AGRQMGLTD" hidden="1">#REF!</definedName>
    <definedName name="BEx9EQLVZHYQ1TPX7WH3SOWXCZLE" hidden="1">#REF!</definedName>
    <definedName name="BEx9ETLU0EK5LGEM1QCNYN2S8O5F" hidden="1">#REF!</definedName>
    <definedName name="BEx9EZG53L389LZ3EN2RJIR556CH" hidden="1">#REF!</definedName>
    <definedName name="BEx9F0Y2ESUNE3U7TQDLMPE9BO67" hidden="1">#REF!</definedName>
    <definedName name="BEx9F1OZ598T66XBYNGV1K6QTXH7" hidden="1">#REF!</definedName>
    <definedName name="BEx9F5W18ZGFOKGRE8PR6T1MO6GT" hidden="1">#REF!</definedName>
    <definedName name="BEx9F78N4HY0XFGBQ4UJRD52L1EI" hidden="1">#REF!</definedName>
    <definedName name="BEx9FF16LOQP5QIR4UHW5EIFGQB8" hidden="1">#REF!</definedName>
    <definedName name="BEx9FJTSRCZ3ZXT3QVBJT5NF8T7V" hidden="1">#REF!</definedName>
    <definedName name="BEx9FORR6E7MR414V0XYX4WQLZDK" hidden="1">#REF!</definedName>
    <definedName name="BEx9FRBEEYPS5HLS3XT34AKZN94G" hidden="1">#REF!</definedName>
    <definedName name="BEx9FWV3BPE4M428OJJ3C7XK3ZUX" hidden="1">#REF!</definedName>
    <definedName name="BEx9FYNVF04WBCNGGRVSKZGCL3DF" hidden="1">#REF!</definedName>
    <definedName name="BEx9GACNIS2PSHVIB0J0EWEEGH33" hidden="1">#REF!</definedName>
    <definedName name="BEx9GAHY80VQ95R85OV3XB4X3UWN" hidden="1">#REF!</definedName>
    <definedName name="BEx9GDY4D8ZPQJCYFIMYM0V0C51Y" hidden="1">#REF!</definedName>
    <definedName name="BEx9GFG2JEJSPSGXZSGNQWRQP2TV" hidden="1">#REF!</definedName>
    <definedName name="BEx9GGY04V0ZWI6O9KZH4KSBB389" hidden="1">#REF!</definedName>
    <definedName name="BEx9GL529VC8W0V2FH3NY0GKUG16" hidden="1">#REF!</definedName>
    <definedName name="BEx9GNOPB6OZ2RH3FCDNJR38RJOS" hidden="1">#REF!</definedName>
    <definedName name="BEx9GP6NUZUSHF4NOFXQYYI0RVMT" hidden="1">#REF!</definedName>
    <definedName name="BEx9GUQALUWCD30UKUQGSWW8KBQ7" hidden="1">#REF!</definedName>
    <definedName name="BEx9GV151S0HGTTKYTIPJD770S0X" hidden="1">#REF!</definedName>
    <definedName name="BEx9GVS0KPE7BCQMQ9X44LXBEXMT" hidden="1">#REF!</definedName>
    <definedName name="BEx9GY6BVFQGCLMOWVT6PIC9WP5X" hidden="1">#REF!</definedName>
    <definedName name="BEx9GYRX24V51USOFFTEZ2U73IN0" hidden="1">#REF!</definedName>
    <definedName name="BEx9GZ2P3FDHKXEBXX2VS0BG2NP2" hidden="1">#REF!</definedName>
    <definedName name="BEx9GZDHJFY38SYI7IEAOWBYUAXX" hidden="1">#REF!</definedName>
    <definedName name="BEx9H04IB14E1437FF2OIRRWBSD7" hidden="1">#REF!</definedName>
    <definedName name="BEx9H5O1KDZJCW91Q29VRPY5YS6P" hidden="1">#REF!</definedName>
    <definedName name="BEx9H8YR0E906F1JXZMBX3LNT004" hidden="1">#REF!</definedName>
    <definedName name="BEx9HHIBE2X0VFB4YG0RTAWWOKZB" hidden="1">#REF!</definedName>
    <definedName name="BEx9HIK121OPKAKMNRJH12X9W271" hidden="1">#REF!</definedName>
    <definedName name="BEx9HO909QIC4ZSI4ZKE4MP44CKL" hidden="1">#REF!</definedName>
    <definedName name="BEx9I8XIG7E5NB48QQHXP23FIN60" hidden="1">#REF!</definedName>
    <definedName name="BEx9IF82LMRM9XGXWW6ROS88QTMC" hidden="1">#REF!</definedName>
    <definedName name="BEx9ILIOI04E6EVJT6408JOO1W01" hidden="1">#REF!</definedName>
    <definedName name="BEx9ILNZRAZ6ESYI991WD2306LWG" hidden="1">#REF!</definedName>
    <definedName name="BEx9IQRF01ATLVK0YE60ARKQJ68L" hidden="1">#REF!</definedName>
    <definedName name="BEx9IT5QNZWKM6YQ5WER0DC2PMMU" hidden="1">#REF!</definedName>
    <definedName name="BEx9IW0B5GDTZURYFR7B78SJF9E8" hidden="1">#REF!</definedName>
    <definedName name="BEx9IW5MFLXTVCJHVUZTUH93AXOS" hidden="1">#REF!</definedName>
    <definedName name="BEx9IXCSPSZC80YZUPRCYTG326KV" hidden="1">#REF!</definedName>
    <definedName name="BEx9IXYDNBUI5EUZFXQZD40JYHM2" hidden="1">#REF!</definedName>
    <definedName name="BEx9IZR39NHDGOM97H4E6F81RTQW" hidden="1">#REF!</definedName>
    <definedName name="BEx9J0SXNAG5Z6S552YGIJKVGV30" hidden="1">#REF!</definedName>
    <definedName name="BEx9J3ND7E6BPQV46L7PVXCP6PQY" hidden="1">#REF!</definedName>
    <definedName name="BEx9J43N62KKBWYCDOHO8QONN85D" hidden="1">#REF!</definedName>
    <definedName name="BEx9J55C7MTMUTKF1GOUTGBR3TOY" hidden="1">#REF!</definedName>
    <definedName name="BEx9J6CH5E7YZPER7HXEIOIKGPCA" hidden="1">#REF!</definedName>
    <definedName name="BEx9JJTZKVUJAVPTRE0RAVTEH41G" hidden="1">#REF!</definedName>
    <definedName name="BEx9JLBYK239B3F841C7YG1GT7ST" hidden="1">#REF!</definedName>
    <definedName name="BEx9JR0Y699BKNQD5X7C5Y4L5F2W" hidden="1">#REF!</definedName>
    <definedName name="BEx9JUMFNRQKE3KDT1OBPX3MJKET" hidden="1">#REF!</definedName>
    <definedName name="BEx9JX0QZCSWCXZM9OBCE0899FKD" hidden="1">#REF!</definedName>
    <definedName name="BExAW4IIW5D0MDY6TJ3G4FOLPYIR" hidden="1">#REF!</definedName>
    <definedName name="BExAW6WSUG19O13YVWZBCQTS4H6U" hidden="1">#REF!</definedName>
    <definedName name="BExAW77LDVG0U2S9EF0QAXLJL4B4" hidden="1">#REF!</definedName>
    <definedName name="BExAWBENHTDI5LQMTH82FVFAPVBA" hidden="1">#REF!</definedName>
    <definedName name="BExAWH3N4V9B7ARVSSREVQLPKAUG" hidden="1">#REF!</definedName>
    <definedName name="BExAWKZWU2QGKRFV18ZQUBS5HVWR" hidden="1">#REF!</definedName>
    <definedName name="BExAX410NB4F2XOB84OR2197H8M5" hidden="1">#REF!</definedName>
    <definedName name="BExAX76D5F2QQNBUZK6EH3HZYN13" hidden="1">#REF!</definedName>
    <definedName name="BExAX8TNG8LQ5Q4904SAYQIPGBSV" hidden="1">#REF!</definedName>
    <definedName name="BExAXEO3U03DZM8G8GE0QP6IYSVH" hidden="1">#REF!</definedName>
    <definedName name="BExAXGRN1QGZGO0FNUWN9HIQAYO2" hidden="1">#REF!</definedName>
    <definedName name="BExAXHD84T17QXSZPHT0STUVPY5H" hidden="1">#REF!</definedName>
    <definedName name="BExAXTCTHEGW475QX4LENYYWV7PW" hidden="1">#REF!</definedName>
    <definedName name="BExAY0EAT2LXR5MFGM0DLIB45PLO" hidden="1">#REF!</definedName>
    <definedName name="BExAYE6LNIEBR9DSNI5JGNITGKIT" hidden="1">#REF!</definedName>
    <definedName name="BExAYHMLXGGO25P8HYB2S75DEB4F" hidden="1">#REF!</definedName>
    <definedName name="BExAYIOGC5T8JL2YWKY4UIZFDDDU" hidden="1">#REF!</definedName>
    <definedName name="BExAYKXAUWGDOPG952TEJ2UKZKWN" hidden="1">#REF!</definedName>
    <definedName name="BExAYO843XPD9M3I8F5J2R6NKDIA" hidden="1">#REF!</definedName>
    <definedName name="BExAYP9TDTI2MBP6EYE0H39CPMXN" hidden="1">#REF!</definedName>
    <definedName name="BExAYPPWJPWDKU59O051WMGB7O0J" hidden="1">#REF!</definedName>
    <definedName name="BExAYR2JZCJBUH6F1LZC2A7JIVRJ" hidden="1">#REF!</definedName>
    <definedName name="BExAYRDCM6WJWW2132VA3T7MTNVK" hidden="1">#REF!</definedName>
    <definedName name="BExAYTGVRD3DLKO75RFPMBKCIWB8" hidden="1">#REF!</definedName>
    <definedName name="BExAYW0O1ZAO1EYAXKW53QKAES9O" hidden="1">#REF!</definedName>
    <definedName name="BExAYY9H9COOT46HJLPVDLTO12UL" hidden="1">#REF!</definedName>
    <definedName name="BExAYYV3HE2DC8MJOFF4117XPX0B" hidden="1">#REF!</definedName>
    <definedName name="BExAZ4ENEUWJCVZ5T3M239W1EU2L" hidden="1">#REF!</definedName>
    <definedName name="BExAZ73QG7P4V286P2XQ3I300AA6" hidden="1">#REF!</definedName>
    <definedName name="BExAZ7EOLBJHT0LKZWO41B4STCJK" hidden="1">#REF!</definedName>
    <definedName name="BExAZCNEGB4JYHC8CZ51KTN890US" hidden="1">#REF!</definedName>
    <definedName name="BExAZFCI302YFYRDJYQDWQQL0Q0O" hidden="1">#REF!</definedName>
    <definedName name="BExAZFCINHHF2M7B6W3CU2TFACGQ" hidden="1">#REF!</definedName>
    <definedName name="BExAZFNAYLCWMLP7BHPCGN2SOTOG" hidden="1">#REF!</definedName>
    <definedName name="BExAZG3ECDXVOK2SOZ265RXYSUQ7" hidden="1">#REF!</definedName>
    <definedName name="BExAZJZOGYEY3XQ6WRGNT69XYWZS" hidden="1">#REF!</definedName>
    <definedName name="BExAZKQKJXVKFQ10VT6IL8LCEEHS" hidden="1">#REF!</definedName>
    <definedName name="BExAZL6TG7MKP1IQLANGTN8X4TNS" hidden="1">#REF!</definedName>
    <definedName name="BExAZLHLST9OP89R1HJMC1POQG8H" hidden="1">#REF!</definedName>
    <definedName name="BExAZMDYMIAA7RX1BMCKU1VLBRGY" hidden="1">#REF!</definedName>
    <definedName name="BExAZNL6BHI8DCQWXOX4I2P839UX" hidden="1">#REF!</definedName>
    <definedName name="BExAZOSBJPADWQ2U7Y740N4ZCMMB" hidden="1">#REF!</definedName>
    <definedName name="BExAZRMWSONMCG9KDUM4KAQ7BONM" hidden="1">#REF!</definedName>
    <definedName name="BExAZTFG4SJRG4TW6JXRF7N08JFI" hidden="1">#REF!</definedName>
    <definedName name="BExAZUS4A8OHDZK0MWAOCCCKTH73" hidden="1">#REF!</definedName>
    <definedName name="BExAZWQCGZQBKZWLLNFT4Y541MHK" hidden="1">#REF!</definedName>
    <definedName name="BExAZX6FECVK3E07KXM2XPYKGM6U" hidden="1">#REF!</definedName>
    <definedName name="BExB012NJ8GASTNNPBRRFTLHIOC9" hidden="1">#REF!</definedName>
    <definedName name="BExB05VAN9EOBEB39ZZ1LWZSM31B" hidden="1">#REF!</definedName>
    <definedName name="BExB072HHXVMUC0VYNGG48GRSH5Q" hidden="1">#REF!</definedName>
    <definedName name="BExB09MA3V7127PBZ30VJOWT8G1D" hidden="1">#REF!</definedName>
    <definedName name="BExB0CGO301SYXUAK2Y48TKLO49M" hidden="1">#REF!</definedName>
    <definedName name="BExB0FRDEYDEUEAB1W8KD6D965XA" hidden="1">#REF!</definedName>
    <definedName name="BExB0KPCN7YJORQAYUCF4YKIKPMC" hidden="1">#REF!</definedName>
    <definedName name="BExB0VCFCF38FPXPGK4C2JV7WDOH" hidden="1">#REF!</definedName>
    <definedName name="BExB0WE4PI3NOBXXVO9CTEN4DIU2" hidden="1">#REF!</definedName>
    <definedName name="BExB0XQQSP4P58SU2F4RPNXZ8NOK" hidden="1">#REF!</definedName>
    <definedName name="BExB10QNIVITUYS55OAEKK3VLJFE" hidden="1">#REF!</definedName>
    <definedName name="BExB14S7K3K7JNIYW7DRUXI1D15R" hidden="1">#REF!</definedName>
    <definedName name="BExB15ZDRY4CIJ911DONP0KCY9KU" hidden="1">#REF!</definedName>
    <definedName name="BExB16VQY0O0RLZYJFU3OFEONVTE" hidden="1">#REF!</definedName>
    <definedName name="BExB1FKNY2UO4W5FUGFHJOA2WFGG" hidden="1">#REF!</definedName>
    <definedName name="BExB1GMD0PIDGTFBGQOPRWQSP9I4" hidden="1">#REF!</definedName>
    <definedName name="BExB1PWT7ZKU713WV0JMSTD48WUZ" hidden="1">#REF!</definedName>
    <definedName name="BExB1Q29OO6LNFNT1EQLA3KYE7MX" hidden="1">#REF!</definedName>
    <definedName name="BExB1TNRV5EBWZEHYLHI76T0FVA7" hidden="1">#REF!</definedName>
    <definedName name="BExB1WI6M8I0EEP1ANUQZCFY24EV" hidden="1">#REF!</definedName>
    <definedName name="BExB1YGEIQUZ6WO7MCN98HSTM52J" hidden="1">#REF!</definedName>
    <definedName name="BExB203OWC9QZA3BYOKQ18L4FUJE" hidden="1">#REF!</definedName>
    <definedName name="BExB2CJHTU7C591BR4WRL5L2F2K6" hidden="1">#REF!</definedName>
    <definedName name="BExB2K1AV4PGNS1O6C7D7AO411AX" hidden="1">#REF!</definedName>
    <definedName name="BExB2O2UYHKI324YE324E1N7FVIB" hidden="1">#REF!</definedName>
    <definedName name="BExB2Q0VJ0MU2URO3JOVUAVHEI3V" hidden="1">#REF!</definedName>
    <definedName name="BExB2V4A71W2NBJ1SCNRGQ9QY2PB" hidden="1">#REF!</definedName>
    <definedName name="BExB2X2JXA4BRLE547LKS9ZBO0NM" hidden="1">#REF!</definedName>
    <definedName name="BExB2X2K0HB7Q7Q8JO4QM4DYBZY2" hidden="1">#REF!</definedName>
    <definedName name="BExB30IP1DNKNQ6PZ5ERUGR5MK4Z" hidden="1">#REF!</definedName>
    <definedName name="BExB325ZDHB9QSRUOF1BDXFUFR2T" hidden="1">#REF!</definedName>
    <definedName name="BExB33D42X60KK4HTS1XMVBXF48O" hidden="1">#REF!</definedName>
    <definedName name="BExB36NRTWLS7LPZCIX0E4YCXLR7" hidden="1">#REF!</definedName>
    <definedName name="BExB3IHWHA75CYANN3095L6C1H2E" hidden="1">#REF!</definedName>
    <definedName name="BExB3TFTIZJZH8YGJ7BCTP28GOMW" hidden="1">#REF!</definedName>
    <definedName name="BExB442RX0T3L6HUL6X5T21CENW6" hidden="1">#REF!</definedName>
    <definedName name="BExB4ADD0L7417CII901XTFKXD1J" hidden="1">#REF!</definedName>
    <definedName name="BExB4B9OB0RWH0OCLKUVQU7ER5XM" hidden="1">#REF!</definedName>
    <definedName name="BExB4DO1V1NL2AVK5YE1RSL5RYHL" hidden="1">#REF!</definedName>
    <definedName name="BExB4DYU06HCGRIPBSWRCXK804UM" hidden="1">#REF!</definedName>
    <definedName name="BExB4SYBDRXBTNRZIKN4ZA8HCDFR" hidden="1">#REF!</definedName>
    <definedName name="BExB4WEA7NRAAXR1U0TJ5ESFN6ME" hidden="1">#REF!</definedName>
    <definedName name="BExB4Z3EZBGYYI33U0KQ8NEIH8PY" hidden="1">#REF!</definedName>
    <definedName name="BExB54HM2IKI7ETPF20AX8W1WHB7" hidden="1">#REF!</definedName>
    <definedName name="BExB55368XW7UX657ZSPC6BFE92S" hidden="1">#REF!</definedName>
    <definedName name="BExB57MZEPL2SA2ONPK66YFLZWJU" hidden="1">#REF!</definedName>
    <definedName name="BExB5833OAOJ22VK1YK47FHUSVK2" hidden="1">#REF!</definedName>
    <definedName name="BExB58JDIHS42JZT9DJJMKA8QFCO" hidden="1">#REF!</definedName>
    <definedName name="BExB58U5FQC5JWV9CGC83HLLZUZI" hidden="1">#REF!</definedName>
    <definedName name="BExB5BDSVZE7QEA2JZN59FXAFZS0" hidden="1">#REF!</definedName>
    <definedName name="BExB5EDO9XUKHF74X3HAU2WPPHZH" hidden="1">#REF!</definedName>
    <definedName name="BExB5G6EH68AYEP1UT0GHUEL3SLN" hidden="1">#REF!</definedName>
    <definedName name="BExB5J6AEZ18THP1F72T6LN9QEBZ" hidden="1">#REF!</definedName>
    <definedName name="BExB5QYVEZWFE5DQVHAM760EV05X" hidden="1">#REF!</definedName>
    <definedName name="BExB5TNXDB0QY5DET8D0MVVH8G1C" hidden="1">#REF!</definedName>
    <definedName name="BExB5U9IRH14EMOE0YGIE3WIVLFS" hidden="1">#REF!</definedName>
    <definedName name="BExB5VWYMOV6BAIH7XUBBVPU7MMD" hidden="1">#REF!</definedName>
    <definedName name="BExB5X9ESWD5RUUIIGCTPYNX4EQJ" hidden="1">#REF!</definedName>
    <definedName name="BExB5YRCXCHE4KEV46D166GXTO26" hidden="1">#REF!</definedName>
    <definedName name="BExB5ZCXPR00MQD5DVDDSC23JS5L" hidden="1">#REF!</definedName>
    <definedName name="BExB60K3Y8MBR03LQFVN4B93Q7N0" hidden="1">#REF!</definedName>
    <definedName name="BExB610DZWIJP1B72U9QM42COH2B" hidden="1">#REF!</definedName>
    <definedName name="BExB69JRWJNPE9DP0NLJR7DCQLPI" hidden="1">#REF!</definedName>
    <definedName name="BExB6A5CQ0K3PVPECZK5982492HH" hidden="1">#REF!</definedName>
    <definedName name="BExB6C3FUAKK9ML5T767NMWGA9YB" hidden="1">#REF!</definedName>
    <definedName name="BExB6C8X6JYRLKZKK17VE3QUNL3D" hidden="1">#REF!</definedName>
    <definedName name="BExB6E6Z87NBIH4PTV3JWTVP3NW9" hidden="1">#REF!</definedName>
    <definedName name="BExB6HN3QRFPXM71MDUK21BKM7PF" hidden="1">#REF!</definedName>
    <definedName name="BExB6IZMHCZ3LB7N73KD90YB1HBZ" hidden="1">#REF!</definedName>
    <definedName name="BExB6Z68RNFJBGFOO224ZTN2LP7Z" hidden="1">#REF!</definedName>
    <definedName name="BExB719SGNX4Y8NE6JEXC555K596" hidden="1">#REF!</definedName>
    <definedName name="BExB7265DCHKS7V2OWRBXCZTEIW9" hidden="1">#REF!</definedName>
    <definedName name="BExB73DBXCW03ZIJU1KT436MTOT6" hidden="1">#REF!</definedName>
    <definedName name="BExB74PS5P9G0P09Y6DZSCX0FLTJ" hidden="1">#REF!</definedName>
    <definedName name="BExB74V8GMG86I4PTZ3QIH8RMY1D" hidden="1">#REF!</definedName>
    <definedName name="BExB78RH79J0MIF7H8CAZ0CFE88Q" hidden="1">#REF!</definedName>
    <definedName name="BExB7DPMB8IRZM7GWQWBW1ZG4UQN" hidden="1">#REF!</definedName>
    <definedName name="BExB7ELT09HGDVO5BJC1ZY9D09GZ" hidden="1">#REF!</definedName>
    <definedName name="BExB7JPA81Q8E7UOEY1KMGGR4LCV" hidden="1">#REF!</definedName>
    <definedName name="BExB806PAXX70XUTA3ZI7OORD78R" hidden="1">#REF!</definedName>
    <definedName name="BExB8HF4UBVZKQCSRFRUQL2EE6VL" hidden="1">#REF!</definedName>
    <definedName name="BExB8HKHKZ1ORJZUYGG2M4VSCC39" hidden="1">#REF!</definedName>
    <definedName name="BExB8IGVL4NNGGXD7UJB8G8ME3U7" hidden="1">#REF!</definedName>
    <definedName name="BExB8QPH8DC5BESEVPSMBCWVN6PO" hidden="1">#REF!</definedName>
    <definedName name="BExB8TUTPML07WX940D936HVKCO7" hidden="1">#REF!</definedName>
    <definedName name="BExB8U5N0D85YR8APKN3PPKG0FWP" hidden="1">#REF!</definedName>
    <definedName name="BExB94Y29DPLYEH9NPAJ5EDOLPLS" hidden="1">#REF!</definedName>
    <definedName name="BExB95ZR09VKMFMW4ERG185VN92T" hidden="1">#REF!</definedName>
    <definedName name="BExB9DHI5I2TJ2LXYPM98EE81L27" hidden="1">#REF!</definedName>
    <definedName name="BExB9EZG93GKIOKVB2LD1OFK4AVM" hidden="1">#REF!</definedName>
    <definedName name="BExB9K2VPIC3L1SSNI9CO493CS3H" hidden="1">#REF!</definedName>
    <definedName name="BExB9Q2MZZHBGW8QQKVEYIMJBPIE" hidden="1">#REF!</definedName>
    <definedName name="BExBA0KA9MLVJZMCEVF1AS9RCNC3" hidden="1">#REF!</definedName>
    <definedName name="BExBA1GON0EZRJ20UYPILAPLNQWM" hidden="1">#REF!</definedName>
    <definedName name="BExBA69ASGYRZW1G1DYIS9QRRTBN" hidden="1">#REF!</definedName>
    <definedName name="BExBA6K42582A14WFFWQ3Q8QQWB6" hidden="1">#REF!</definedName>
    <definedName name="BExBA8I5D4R8R2PYQ1K16TWGTOEP" hidden="1">#REF!</definedName>
    <definedName name="BExBA8YEXATVAQ60WT3HDFRPW0O2" hidden="1">#REF!</definedName>
    <definedName name="BExBA93PE0DGUUTA7LLSIGBIXWE5" hidden="1">#REF!</definedName>
    <definedName name="BExBAI8X0FKDQJ6YZJQDTTG4ZCWY" hidden="1">#REF!</definedName>
    <definedName name="BExBAJW5ZO78NOQIOOV1A97TIKF9" hidden="1">#REF!</definedName>
    <definedName name="BExBAKN7XIBAXCF9PCNVS038PCQO" hidden="1">#REF!</definedName>
    <definedName name="BExBAKXZ7PBW3DDKKA5MWC1ZUC7O" hidden="1">#REF!</definedName>
    <definedName name="BExBAO8NLXZXHO6KCIECSFCH3RR0" hidden="1">#REF!</definedName>
    <definedName name="BExBAOOT1KBSIEISN1ADL4RMY879" hidden="1">#REF!</definedName>
    <definedName name="BExBATMWQBSR7ORHJ8O50EYE3KJD" hidden="1">#REF!</definedName>
    <definedName name="BExBAUOKW3I1FJ75L1195TDGQ21H" hidden="1">#REF!</definedName>
    <definedName name="BExBAVKX8Q09370X1GCZWJ4E91YJ" hidden="1">#REF!</definedName>
    <definedName name="BExBAX2X2ENJYO4QTR5VAIQ86L7B" hidden="1">#REF!</definedName>
    <definedName name="BExBAZ13D3F1DVJQ6YJ8JGUYEYJE" hidden="1">#REF!</definedName>
    <definedName name="BExBBBGSIUHFBW6JGMP0X70XC0TA" hidden="1">#REF!</definedName>
    <definedName name="BExBBC2DN749HF49MHN6MVAEWSWQ" hidden="1">#REF!</definedName>
    <definedName name="BExBBM3VGSK61MGXU3USTINIOONX" hidden="1">#REF!</definedName>
    <definedName name="BExBBMUSK9H7CDHPEDD39GGN49NH" hidden="1">#REF!</definedName>
    <definedName name="BExBBR1V5P9A7RWZM1BAYIDLF88I" hidden="1">#REF!</definedName>
    <definedName name="BExBBTG649R9I0CT042JLL8LXV18" hidden="1">#REF!</definedName>
    <definedName name="BExBBUCJQRR74Q7GPWDEZXYK2KJL" hidden="1">#REF!</definedName>
    <definedName name="BExBBV8XVMD9CKZY711T0BN7H3PM" hidden="1">#REF!</definedName>
    <definedName name="BExBC1OUP4PHRC81YJXB760UE23W" hidden="1">#REF!</definedName>
    <definedName name="BExBC78HXWXHO3XAB6E8NVTBGLJS" hidden="1">#REF!</definedName>
    <definedName name="BExBCKKJTIRKC1RZJRTK65HHLX4W" hidden="1">#REF!</definedName>
    <definedName name="BExBCLMEPAN3XXX174TU8SS0627Q" hidden="1">#REF!</definedName>
    <definedName name="BExBCN9NT0KDNM71DP7WCMGJ90ZH" hidden="1">#REF!</definedName>
    <definedName name="BExBCQV5QYJLIVIN1LS1FMQY6SJS" hidden="1">#REF!</definedName>
    <definedName name="BExBCRBEYR2KZ8FAQFZ2NHY13WIY" hidden="1">#REF!</definedName>
    <definedName name="BExBCRM2KTT9PYTHN6YF40UM1BUF" hidden="1">#REF!</definedName>
    <definedName name="BExBCW9DGCHY96SYD59P17R1BS62" hidden="1">#REF!</definedName>
    <definedName name="BExBD17I3193A3JTVPF30O6HFEHQ" hidden="1">#REF!</definedName>
    <definedName name="BExBD1I4KKJ698KAWRG6XVCDMENJ" hidden="1">#REF!</definedName>
    <definedName name="BExBD3WJUIKXLHOO64LQNPNKK6XR" hidden="1">#REF!</definedName>
    <definedName name="BExBD4I559NXSV6J07Q343TKYMVJ" hidden="1">#REF!</definedName>
    <definedName name="BExBD8P6CZOI084OAWBTRIPQF42U" hidden="1">#REF!</definedName>
    <definedName name="BExBDASLXGHUCC0V002V90DKCFED" hidden="1">#REF!</definedName>
    <definedName name="BExBDBZQLTX3OGFYGULQFK5WEZU5" hidden="1">#REF!</definedName>
    <definedName name="BExBDJS9TUEU8Z84IV59E5V4T8K6" hidden="1">#REF!</definedName>
    <definedName name="BExBDKOMSVH4XMH52CFJ3F028I9R" hidden="1">#REF!</definedName>
    <definedName name="BExBDQTWV8VUOM5WE04HWD9QQSEY" hidden="1">#REF!</definedName>
    <definedName name="BExBDSRXVZQ0W5WXQMP5XD00GRRL" hidden="1">#REF!</definedName>
    <definedName name="BExBDUVGK3E1J4JY9ZYTS7V14BLY" hidden="1">#REF!</definedName>
    <definedName name="BExBDVH3386WLNOWNPAPRZ6KDJJM" hidden="1">#REF!</definedName>
    <definedName name="BExBE0PXME8ELW8IX2FG4BZ40J4O" hidden="1">#REF!</definedName>
    <definedName name="BExBE162OSBKD30I7T1DKKPT3I9I" hidden="1">#REF!</definedName>
    <definedName name="BExBE163P9TAKQ9EDQB9R01SNVNW" hidden="1">#REF!</definedName>
    <definedName name="BExBE5ILQHA7G97POFMKWHMUL1HF" hidden="1">#REF!</definedName>
    <definedName name="BExBEARB8O1ETGR70G86OKZSVWZO" hidden="1">#REF!</definedName>
    <definedName name="BExBEC9ATLQZF86W1M3APSM4HEOH" hidden="1">#REF!</definedName>
    <definedName name="BExBED5NSMTXNH4PKP4MGCZUNTSF" hidden="1">#REF!</definedName>
    <definedName name="BExBEY4WIEUZZ5RCI5N70FODN70J" hidden="1">#REF!</definedName>
    <definedName name="BExBEYFQJE9YK12A6JBMRFKEC7RN" hidden="1">#REF!</definedName>
    <definedName name="BExBF3J5R296JJKA0NW6WAFX1FAW" hidden="1">#REF!</definedName>
    <definedName name="BExBG1ED81J2O4A2S5F5Y3BPHMCR" hidden="1">#REF!</definedName>
    <definedName name="BExCQW1E9I0PIYVII530ZO599OBG" hidden="1">#REF!</definedName>
    <definedName name="BExCREX4ESYWJHM556ETS4C8L47R" hidden="1">#REF!</definedName>
    <definedName name="BExCRL7QIN5WHNOK2KVPZ9LPX12W" hidden="1">#REF!</definedName>
    <definedName name="BExCRLIHS7466WFJ3RPIUGGXYESZ" hidden="1">#REF!</definedName>
    <definedName name="BExCRPES9CU6XB5FXFGJQ4MTKYGI" hidden="1">#REF!</definedName>
    <definedName name="BExCS1EDDUEAEWHVYXHIP9I1WCJH" hidden="1">#REF!</definedName>
    <definedName name="BExCS6SLRCBH006GNRE27HFRHP40" hidden="1">#REF!</definedName>
    <definedName name="BExCS7ZPMHFJ4UJDAL8CQOLSZ13B" hidden="1">#REF!</definedName>
    <definedName name="BExCS8W4NJUZH9S1CYB6XSDLEPBW" hidden="1">#REF!</definedName>
    <definedName name="BExCSAE1M6G20R41J0Y24YNN0YC1" hidden="1">#REF!</definedName>
    <definedName name="BExCSAOUZOYKHN7HV511TO8VDJ02" hidden="1">#REF!</definedName>
    <definedName name="BExCSJ2Z50LRN9KCBJTFEWG6ZSFZ" hidden="1">#REF!</definedName>
    <definedName name="BExCSMOFTXSUEC1T46LR1UPYRCX5" hidden="1">#REF!</definedName>
    <definedName name="BExCSMTS3IH4O0UHMUV7GOJ54H5P" hidden="1">#REF!</definedName>
    <definedName name="BExCSRBLQ6N2RLT9L4HPDU2Z98UZ" hidden="1">#REF!</definedName>
    <definedName name="BExCSSDG3TM6TPKS19E9QYJEELZ6" hidden="1">#REF!</definedName>
    <definedName name="BExCSXRO3NXSAST56PV0JEU8ZAJG" hidden="1">#REF!</definedName>
    <definedName name="BExCSZV7U67UWXL2HKJNM5W1E4OO" hidden="1">#REF!</definedName>
    <definedName name="BExCT4NSDT61OCH04Y2QIFIOP75H" hidden="1">#REF!</definedName>
    <definedName name="BExCT53WZRRH1EX1VHRWE4AJ8A7G" hidden="1">#REF!</definedName>
    <definedName name="BExCTBJZOZJCVQFH937MOWDBAW54" hidden="1">#REF!</definedName>
    <definedName name="BExCTLAKINM2E0Y1M8PJC9KE2K5R" hidden="1">#REF!</definedName>
    <definedName name="BExCTVC2WQGF4GUE29ZOOOGW2ZJW" hidden="1">#REF!</definedName>
    <definedName name="BExCTW8G3VCZ55S09HTUGXKB1P2M" hidden="1">#REF!</definedName>
    <definedName name="BExCTYS2KX0QANOLT8LGZ9WV3S3T" hidden="1">#REF!</definedName>
    <definedName name="BExCTZZ9JNES4EDHW97NP0EGQALX" hidden="1">#REF!</definedName>
    <definedName name="BExCU0A1V6NMZQ9ASYJ8QIVQ5UR2" hidden="1">#REF!</definedName>
    <definedName name="BExCU2834920JBHSPCRC4UF80OLL" hidden="1">#REF!</definedName>
    <definedName name="BExCU289BWNKDM50FIYQACF6BR85" hidden="1">#REF!</definedName>
    <definedName name="BExCU8O54I3P3WRYWY1CRP3S78QY" hidden="1">#REF!</definedName>
    <definedName name="BExCUDRJO23YOKT8GPWOVQ4XEHF5" hidden="1">#REF!</definedName>
    <definedName name="BExCUPAXFR16YMWL30ME3F3BSRDZ" hidden="1">#REF!</definedName>
    <definedName name="BExCUR94DHCE47PUUWEMT5QZOYR2" hidden="1">#REF!</definedName>
    <definedName name="BExCUSLM6D8EL8P2OL0N2TD1YQOQ" hidden="1">#REF!</definedName>
    <definedName name="BExCV634L7SVHGB0UDDTRRQ2Q72H" hidden="1">#REF!</definedName>
    <definedName name="BExCVBXGSXT9FWJRG62PX9S1RK83" hidden="1">#REF!</definedName>
    <definedName name="BExCVHBNLOHNFS0JAV3I1XGPNH9W" hidden="1">#REF!</definedName>
    <definedName name="BExCVI86R31A2IOZIEBY1FJLVILD" hidden="1">#REF!</definedName>
    <definedName name="BExCVKGZXE0I9EIXKBZVSGSEY2RR" hidden="1">#REF!</definedName>
    <definedName name="BExCVRTH8IVEJ6Z2ILAWTME6UDZ6" hidden="1">#REF!</definedName>
    <definedName name="BExCVTWSH8CENYAJGDMDL4CNHCH6" hidden="1">#REF!</definedName>
    <definedName name="BExCVV44WY5807WGMTGKPW0GT256" hidden="1">#REF!</definedName>
    <definedName name="BExCVZ5PN4V6MRBZ04PZJW3GEF8S" hidden="1">#REF!</definedName>
    <definedName name="BExCW13R0GWJYGXZBNCPAHQN4NR2" hidden="1">#REF!</definedName>
    <definedName name="BExCW3YBRBBETGXDZP3P5O2JJP1N" hidden="1">#REF!</definedName>
    <definedName name="BExCW9Y5HWU4RJTNX74O6L24VGCK" hidden="1">#REF!</definedName>
    <definedName name="BExCWPDPESGZS07QGBLSBWDNVJLZ" hidden="1">#REF!</definedName>
    <definedName name="BExCWQQC1EGX738EEB0RBHMX63H3" hidden="1">#REF!</definedName>
    <definedName name="BExCWS84RN22WSWFWYMYPUNYHX7Y" hidden="1">#REF!</definedName>
    <definedName name="BExCWSZ7GD0A8M8RQYINVR4GUTER" hidden="1">#REF!</definedName>
    <definedName name="BExCWTVKHIVCRHF8GC39KI58YM5K" hidden="1">#REF!</definedName>
    <definedName name="BExCX2KGRZBRVLZNM8SUSIE6A0RL" hidden="1">#REF!</definedName>
    <definedName name="BExCX3X451T70LZ1VF95L7W4Y4TM" hidden="1">#REF!</definedName>
    <definedName name="BExCX4NZ2N1OUGXM7EV0U7VULJMM" hidden="1">#REF!</definedName>
    <definedName name="BExCXGSVVSHVWF0A6G86W6WN559S" hidden="1">#REF!</definedName>
    <definedName name="BExCXILMURGYMAH6N5LF5DV6K3GM" hidden="1">#REF!</definedName>
    <definedName name="BExCXQUFBMXQ1650735H48B1AZT3" hidden="1">#REF!</definedName>
    <definedName name="BExCY2DQO9VLA77Q7EG3T0XNXX4F" hidden="1">#REF!</definedName>
    <definedName name="BExCY2OIGTGTPY61EISBBNQY6PGP" hidden="1">#REF!</definedName>
    <definedName name="BExCY4MKWZHOGQ0YTROGP4BQ760Z" hidden="1">#REF!</definedName>
    <definedName name="BExCY6VMJ68MX3C981R5Q0BX5791" hidden="1">#REF!</definedName>
    <definedName name="BExCYAH2SAZCPW6XCB7V7PMMCAWO" hidden="1">#REF!</definedName>
    <definedName name="BExCYJBB52X8B3AREHCC1L5QNPX7" hidden="1">#REF!</definedName>
    <definedName name="BExCYLV39APVU4EABK5GW64UBIJD" hidden="1">#REF!</definedName>
    <definedName name="BExCYPRC5HJE6N2XQTHCT6NXGP8N" hidden="1">#REF!</definedName>
    <definedName name="BExCYUK0I3UEXZNFDW71G6Z6D8XR" hidden="1">#REF!</definedName>
    <definedName name="BExCZ03J5WWA5HX2I89DJQQ47NUI" hidden="1">#REF!</definedName>
    <definedName name="BExCZDA97Y64JCFJ7EIYG115CUYK" hidden="1">#REF!</definedName>
    <definedName name="BExCZFZCXMLY5DWESYJ9NGTJYQ8M" hidden="1">#REF!</definedName>
    <definedName name="BExCZJ4P8WS0BDT31WDXI0ROE7D6" hidden="1">#REF!</definedName>
    <definedName name="BExCZKH6NI0EE02L995IFVBD1J59" hidden="1">#REF!</definedName>
    <definedName name="BExCZTBKY46JS43BJ0SMS9E96R92" hidden="1">#REF!</definedName>
    <definedName name="BExCZUD9FEOJBKDJ51Z3JON9LKJ8" hidden="1">#REF!</definedName>
    <definedName name="BExD0508DAALLU00PHFPBC8SRRKT" hidden="1">#REF!</definedName>
    <definedName name="BExD05WLDT5DFAGRB7OUIA8U41VX" hidden="1">#REF!</definedName>
    <definedName name="BExD08R58V218TSC14E5T98MY19Z" hidden="1">#REF!</definedName>
    <definedName name="BExD0F730AR0HHJ51195KPBGOCAX" hidden="1">#REF!</definedName>
    <definedName name="BExD0HALIN0JR4JTPGDEVAEE5EX5" hidden="1">#REF!</definedName>
    <definedName name="BExD0LCCDPG16YLY5WQSZF1XI5DA" hidden="1">#REF!</definedName>
    <definedName name="BExD0RMWSB4TRECEHTH6NN4K9DFZ" hidden="1">#REF!</definedName>
    <definedName name="BExD0U6KG10QGVDI1XSHK0J10A2V" hidden="1">#REF!</definedName>
    <definedName name="BExD0WQAZHKN2U3M5YOOJGGOB3YU" hidden="1">#REF!</definedName>
    <definedName name="BExD13RUIBGRXDL4QDZ305UKUR12" hidden="1">#REF!</definedName>
    <definedName name="BExD14DETV5R4OOTMAXD5NAKWRO3" hidden="1">#REF!</definedName>
    <definedName name="BExD1HEO913TAREAPNDB5JEFCVDN" hidden="1">#REF!</definedName>
    <definedName name="BExD1HPH4ENXVZRMRRTUOU7594OL" hidden="1">#REF!</definedName>
    <definedName name="BExD1ILSLVRBHODB5CPWIIIGQDRL" hidden="1">#REF!</definedName>
    <definedName name="BExD1OATRK1EPDOWW617W2KSOINA" hidden="1">#REF!</definedName>
    <definedName name="BExD1OAU9OXQAZA4D70HP72CU6GB" hidden="1">#REF!</definedName>
    <definedName name="BExD1RAQD1GAQ8SBWPYD7J63FX7O" hidden="1">#REF!</definedName>
    <definedName name="BExD1TP2HN5JG04BTWOF4LF72CQS" hidden="1">#REF!</definedName>
    <definedName name="BExD1UAMK0JH1CHNJMNRII4ZP062" hidden="1">#REF!</definedName>
    <definedName name="BExD1Y1JV61416YA1XRQHKWPZIE7" hidden="1">#REF!</definedName>
    <definedName name="BExD1ZE0JAT2TENI14CCM792FIDN" hidden="1">#REF!</definedName>
    <definedName name="BExD20VZTS44HZKSWJ64LGQT2M0V" hidden="1">#REF!</definedName>
    <definedName name="BExD234YT8C5WKP1YAACXHKH32JZ" hidden="1">#REF!</definedName>
    <definedName name="BExD2AH90HRNHZ6WOQZ1WXNWXTOR" hidden="1">#REF!</definedName>
    <definedName name="BExD2CFHIRMBKN5KXE5QP4XXEWFS" hidden="1">#REF!</definedName>
    <definedName name="BExD2DMHH1HWXQ9W0YYMDP8AAX8Q" hidden="1">#REF!</definedName>
    <definedName name="BExD2H2MXAX1GCF7SFKPVTGCUEI3" hidden="1">#REF!</definedName>
    <definedName name="BExD2HTPC7IWBAU6OSQ67MQA8BYZ" hidden="1">#REF!</definedName>
    <definedName name="BExD2HZ0XGI17IMNVJ7IVD773L3U" hidden="1">#REF!</definedName>
    <definedName name="BExD2REXMP9UNJ4D6N0BXVH7OM28" hidden="1">#REF!</definedName>
    <definedName name="BExD2TIHKGRBVGDKP9D5N9LXG4KJ" hidden="1">#REF!</definedName>
    <definedName name="BExD2V5QSVNE6C62X5T7FEGT5GQF" hidden="1">#REF!</definedName>
    <definedName name="BExD363H2VGFIQUCE6LS4AC5J0ZT" hidden="1">#REF!</definedName>
    <definedName name="BExD37QXAGT42A1LPUJQ7Z2A6B94" hidden="1">#REF!</definedName>
    <definedName name="BExD3A588E939V61P1XEW0FI5Q0S" hidden="1">#REF!</definedName>
    <definedName name="BExD3CJJDKVR9M18XI3WDZH80WL6" hidden="1">#REF!</definedName>
    <definedName name="BExD3CJK19HUFV1ODBVJGNQPEB08" hidden="1">#REF!</definedName>
    <definedName name="BExD3ESD9WYJIB3TRDPJ1CKXRAVL" hidden="1">#REF!</definedName>
    <definedName name="BExD3F368X5S25MWSUNIV57RDB57" hidden="1">#REF!</definedName>
    <definedName name="BExD3I32LVAMP5ZWF5R6I68BFKIR" hidden="1">#REF!</definedName>
    <definedName name="BExD3IJ5IT335SOSNV9L85WKAOSI" hidden="1">#REF!</definedName>
    <definedName name="BExD3J4X0KOW3FNS7XRT961BRU3H" hidden="1">#REF!</definedName>
    <definedName name="BExD3KBVUY57GMMQTOFEU6S6G1AY" hidden="1">#REF!</definedName>
    <definedName name="BExD3LDS9RTCVQBBFTHMY67C75OH" hidden="1">#REF!</definedName>
    <definedName name="BExD3NMR7AW2Z6V8SC79VQR37NA6" hidden="1">#REF!</definedName>
    <definedName name="BExD3QXA2UQ2W4N7NYLUEOG40BZB" hidden="1">#REF!</definedName>
    <definedName name="BExD3RTSYFX5B4QKRZHN62RT6SW8" hidden="1">#REF!</definedName>
    <definedName name="BExD3U2N041TEJ7GCN005UTPHNXY" hidden="1">#REF!</definedName>
    <definedName name="BExD40O0CFTNJFOFMMM1KH0P7BUI" hidden="1">#REF!</definedName>
    <definedName name="BExD425ZSOITJ20V0GKDTPDLT0EC" hidden="1">#REF!</definedName>
    <definedName name="BExD4441D9P2RWR1Q5U3D9W3YU9E" hidden="1">#REF!</definedName>
    <definedName name="BExD44KA0KVQ5P8KDSOG9X4F0YYO" hidden="1">#REF!</definedName>
    <definedName name="BExD48LWHPKDVPR53W5ZK45GIXYG" hidden="1">#REF!</definedName>
    <definedName name="BExD4BR9HJ3MWWZ5KLVZWX9FJAUS" hidden="1">#REF!</definedName>
    <definedName name="BExD4CYFI4HLXQ12IJ0FRY5IRJE7" hidden="1">#REF!</definedName>
    <definedName name="BExD4F1WTKT3H0N9MF4H1LX7MBSY" hidden="1">#REF!</definedName>
    <definedName name="BExD4H5GQWXBS6LUL3TSP36DVO38" hidden="1">#REF!</definedName>
    <definedName name="BExD4HR2MD425S54CE1ACG9W76H9" hidden="1">#REF!</definedName>
    <definedName name="BExD4JEAQ0W452FZ0FY3JJTKW6C7" hidden="1">#REF!</definedName>
    <definedName name="BExD4JEBG9OU37SS8M0VZ8W4OWWK" hidden="1">#REF!</definedName>
    <definedName name="BExD4JJSS3QDBLABCJCHD45SRNPI" hidden="1">#REF!</definedName>
    <definedName name="BExD4R1I0MKF033I5LPUYIMTZ6E8" hidden="1">#REF!</definedName>
    <definedName name="BExD4UXSXKO8XU420T8UIR7HNDC4" hidden="1">#REF!</definedName>
    <definedName name="BExD4WQC69OCXWCWB6843RRQ1A8H" hidden="1">#REF!</definedName>
    <definedName name="BExD50MT3M6XZLNUP9JL93EG6D9R" hidden="1">#REF!</definedName>
    <definedName name="BExD54ODGKP5TXM7MEXYIFIL3YVE" hidden="1">#REF!</definedName>
    <definedName name="BExD58VG6PGPG0FHGCWTGSH4JG7E" hidden="1">#REF!</definedName>
    <definedName name="BExD5EV7KDSVF1CJT38M4IBPFLPY" hidden="1">#REF!</definedName>
    <definedName name="BExD5FRK547OESJRYAW574DZEZ7J" hidden="1">#REF!</definedName>
    <definedName name="BExD5GNY0D5DDHZO67HNJCKOJ3FG" hidden="1">#REF!</definedName>
    <definedName name="BExD5H9INUYR296ZUP9HOZCBLD6C" hidden="1">#REF!</definedName>
    <definedName name="BExD5I5X2YA2YNCTCDSMEL4CWF4N" hidden="1">#REF!</definedName>
    <definedName name="BExD5QUSRFJWRQ1ZM50WYLCF74DF" hidden="1">#REF!</definedName>
    <definedName name="BExD5SSUIF6AJQHBHK8PNMFBPRYB" hidden="1">#REF!</definedName>
    <definedName name="BExD6059FS52QY6JNRNYYOVDW9GJ" hidden="1">#REF!</definedName>
    <definedName name="BExD623C9LRX18BE0W2V6SZLQUXX" hidden="1">#REF!</definedName>
    <definedName name="BExD6CQA7UMJBXV7AIFAIHUF2ICX" hidden="1">#REF!</definedName>
    <definedName name="BExD6FKUYP2F3RP3LVWTP5KRX7TC" hidden="1">#REF!</definedName>
    <definedName name="BExD6FKVK8WJWNYPVENR7Q8Q30PK" hidden="1">#REF!</definedName>
    <definedName name="BExD6GMP0LK8WKVWMIT1NNH8CHLF" hidden="1">#REF!</definedName>
    <definedName name="BExD6H2TE0WWAUIWVSSCLPZ6B88N" hidden="1">#REF!</definedName>
    <definedName name="BExD71LTOE015TV5RSAHM8NT8GVW" hidden="1">#REF!</definedName>
    <definedName name="BExD73USXVADC7EHGHVTQNCT06ZA" hidden="1">#REF!</definedName>
    <definedName name="BExD77WD9RBLRLX2AMO0C6UDPLWX" hidden="1">#REF!</definedName>
    <definedName name="BExD7BSO7CIQV7UXAN7L3SHIEGCC" hidden="1">#REF!</definedName>
    <definedName name="BExD7GAIGULTB3YHM1OS9RBQOTEC" hidden="1">#REF!</definedName>
    <definedName name="BExD7IE1DHIS52UFDCTSKPJQNRD5" hidden="1">#REF!</definedName>
    <definedName name="BExD7IE1KBB42AH0PJG5XHS7BQ86" hidden="1">#REF!</definedName>
    <definedName name="BExD7IUBGUWHYC9UNZ1IY5XFYKQN" hidden="1">#REF!</definedName>
    <definedName name="BExD7JQOJ35HGL8U2OCEI2P2JT7I" hidden="1">#REF!</definedName>
    <definedName name="BExD7KSDKNDNH95NDT3S7GM3MUU2" hidden="1">#REF!</definedName>
    <definedName name="BExD7WXA0CWYB252VOPUVASPMFFN" hidden="1">#REF!</definedName>
    <definedName name="BExD8H5O087KQVWIVPUUID5VMGMS" hidden="1">#REF!</definedName>
    <definedName name="BExD8OCLZMFN5K3VZYI4Q4ITVKUA" hidden="1">#REF!</definedName>
    <definedName name="BExD8ONCJSCE8UVKCWSSK2GSFH5T" hidden="1">#REF!</definedName>
    <definedName name="BExD93C1R6LC0631ECHVFYH0R0PD" hidden="1">#REF!</definedName>
    <definedName name="BExD97TXIO0COVNN4OH3DEJ33YLM" hidden="1">#REF!</definedName>
    <definedName name="BExD98Q51ZRHKSWO1NS964QTHCX3" hidden="1">#REF!</definedName>
    <definedName name="BExD99RZ1RFIMK6O1ZHSPJ68X9Y5" hidden="1">#REF!</definedName>
    <definedName name="BExD9BKPZVOUPRUP7HBSFG7KBI15" hidden="1">#REF!</definedName>
    <definedName name="BExD9HKHQSAAM1KQJG429N8CRLDI" hidden="1">#REF!</definedName>
    <definedName name="BExD9L0ID3VSOU609GKWYTA5BFMA" hidden="1">#REF!</definedName>
    <definedName name="BExD9M7SEMG0JK2FUTTZXWIEBTKB" hidden="1">#REF!</definedName>
    <definedName name="BExD9MNYBYB1AICQL5165G472IE2" hidden="1">#REF!</definedName>
    <definedName name="BExD9NPR29UPZHQC7XQU6CB6GRBT" hidden="1">#REF!</definedName>
    <definedName name="BExD9O0K66PXXOQO4ZEWDZYIU5C2" hidden="1">#REF!</definedName>
    <definedName name="BExD9OGP38QO39T45J8CT4O68XAJ" hidden="1">#REF!</definedName>
    <definedName name="BExD9PNSYT7GASEGUVL48MUQ02WO" hidden="1">#REF!</definedName>
    <definedName name="BExD9R5ROT57KXX9D80WPH964F91" hidden="1">#REF!</definedName>
    <definedName name="BExD9RRCQT9GAU5D8DPSOE8UE8HG" hidden="1">#REF!</definedName>
    <definedName name="BExD9TK2MIWFH5SKUYU9ZKF4NPHQ" hidden="1">#REF!</definedName>
    <definedName name="BExDA5P0TE2Z9UXRBVIXNDYDG4PG" hidden="1">#REF!</definedName>
    <definedName name="BExDA6LD9061UULVKUUI4QP8SK13" hidden="1">#REF!</definedName>
    <definedName name="BExDAGMVMNLQ6QXASB9R6D8DIT12" hidden="1">#REF!</definedName>
    <definedName name="BExDAYBHU9ADLXI8VRC7F608RVGM" hidden="1">#REF!</definedName>
    <definedName name="BExDAZ7UGWTAX9CGBQLNGYEH0AXO" hidden="1">#REF!</definedName>
    <definedName name="BExDBDR1XR0FV0CYUCB2OJ7CJCZU" hidden="1">#REF!</definedName>
    <definedName name="BExDBFEHW62HTYKYJTQ2OFLOX186" hidden="1">#REF!</definedName>
    <definedName name="BExDBHY5MNUKFF8WHUIATIW16BES" hidden="1">#REF!</definedName>
    <definedName name="BExDBWMSTXSSE33N9KASVYT3Q7MR" hidden="1">#REF!</definedName>
    <definedName name="BExDC7F818VN0S18ID7XRCRVYPJ4" hidden="1">#REF!</definedName>
    <definedName name="BExDCC7UC94OG3PQKWGT8H34AJCP" hidden="1">#REF!</definedName>
    <definedName name="BExDCL7K96PC9VZYB70ZW3QPVIJE" hidden="1">#REF!</definedName>
    <definedName name="BExDCP3UZ3C2O4C1F7KMU0Z9U32N" hidden="1">#REF!</definedName>
    <definedName name="BExEOBX3WECDMYCV9RLN49APTXMM" hidden="1">#REF!</definedName>
    <definedName name="BExEORSY1CBMSR7GT6C7YK7V7EJB" hidden="1">#REF!</definedName>
    <definedName name="BExEOVP6E4439SSGBCNM8YAXNHFF" hidden="1">#REF!</definedName>
    <definedName name="BExEP4E4F36662JDI0TOD85OP7X9" hidden="1">#REF!</definedName>
    <definedName name="BExEP6MYCPDSBVOMRJ84XB0PIQPN" hidden="1">#REF!</definedName>
    <definedName name="BExEP8VZ1TGTRTZNE7KX4S5Q2DVK" hidden="1">#REF!</definedName>
    <definedName name="BExEPKVK8NJYN908XPVVVBB7BEFV" hidden="1">#REF!</definedName>
    <definedName name="BExEPN9VIYI0FVL0HLZQXJFO6TT0" hidden="1">#REF!</definedName>
    <definedName name="BExEPXB7T81AXU1H8UPJVXOV0G1I" hidden="1">#REF!</definedName>
    <definedName name="BExEPYD2UBY6YGX1C1TKJ870A7KR" hidden="1">#REF!</definedName>
    <definedName name="BExEPYT6VDSMR8MU2341Q5GM2Y9V" hidden="1">#REF!</definedName>
    <definedName name="BExEQ2ENYLMY8K1796XBB31CJHNN" hidden="1">#REF!</definedName>
    <definedName name="BExEQ2PFE4N40LEPGDPS90WDL6BN" hidden="1">#REF!</definedName>
    <definedName name="BExEQ2PFURT24NQYGYVE8NKX1EGA" hidden="1">#REF!</definedName>
    <definedName name="BExEQ8EG5Q0L3XAK3D9ORKPHY4K1" hidden="1">#REF!</definedName>
    <definedName name="BExEQA76B8YLNW6PER89BTW3IBYX" hidden="1">#REF!</definedName>
    <definedName name="BExEQB8ZWXO6IIGOEPWTLOJGE2NR" hidden="1">#REF!</definedName>
    <definedName name="BExEQBZX0EL6LIKPY01197ACK65H" hidden="1">#REF!</definedName>
    <definedName name="BExEQDNCXYXRNS6X9SYEFAYPIFJ3" hidden="1">#REF!</definedName>
    <definedName name="BExEQDXZALJLD4OBF74IKZBR13SR" hidden="1">#REF!</definedName>
    <definedName name="BExEQEZUDEWJ5BO4JSLJXR2BUPNX" hidden="1">#REF!</definedName>
    <definedName name="BExEQFLE2RPWGMWQAI4JMKUEFRPT" hidden="1">#REF!</definedName>
    <definedName name="BExEQTU00N0CEYWF4QH48VC8PRR5" hidden="1">#REF!</definedName>
    <definedName name="BExEQTZAP8R69U31W4LKGTKKGKQE" hidden="1">#REF!</definedName>
    <definedName name="BExER2O72H1F9WV6S1J04C15PXX7" hidden="1">#REF!</definedName>
    <definedName name="BExER3F375WT6UTA5QHG82MWUF43" hidden="1">#REF!</definedName>
    <definedName name="BExER3F3O0RKFWLQM20T2NUWOW59" hidden="1">#REF!</definedName>
    <definedName name="BExER5YX199XLBDI5KTS43WNYWIE" hidden="1">#REF!</definedName>
    <definedName name="BExERJG8YFBD1GEB60KS6ORNZGB6" hidden="1">#REF!</definedName>
    <definedName name="BExERN1WPASGFCM0ZXMQL1GG7JXQ" hidden="1">#REF!</definedName>
    <definedName name="BExERRUIKIOATPZ9U4HQ0V52RJAU" hidden="1">#REF!</definedName>
    <definedName name="BExERSANFNM1O7T65PC5MJ301YET" hidden="1">#REF!</definedName>
    <definedName name="BExERTHSSZQLBF5X93CX4T3N14NA" hidden="1">#REF!</definedName>
    <definedName name="BExERUE5N43BC4AGV0B2HL45OWPZ" hidden="1">#REF!</definedName>
    <definedName name="BExERUZRZMRWVZDCJ1BWNYHF6QSJ" hidden="1">#REF!</definedName>
    <definedName name="BExERWCEBKQRYWRQLYJ4UCMMKTHG" hidden="1">#REF!</definedName>
    <definedName name="BExERYW13AG4AN7PIMH6YCE9A04D" hidden="1">#REF!</definedName>
    <definedName name="BExES44RHHDL3V7FLV6M20834WF1" hidden="1">#REF!</definedName>
    <definedName name="BExES4A7VE2X3RYYTVRLKZD4I7WU" hidden="1">#REF!</definedName>
    <definedName name="BExES6ZC8R7PHJ21OVJFLIR7DY30" hidden="1">#REF!</definedName>
    <definedName name="BExESFO8GNGIL35NQ4YS177DJ6JP" hidden="1">#REF!</definedName>
    <definedName name="BExESMKD95A649M0WRSG6CXXP326" hidden="1">#REF!</definedName>
    <definedName name="BExESR27ZXJG5VMY4PR9D940VS7T" hidden="1">#REF!</definedName>
    <definedName name="BExESXI4YRXU5BOBR2EL8KQRIF6Z" hidden="1">#REF!</definedName>
    <definedName name="BExESY978RVHPKU5TSI7SQ9YCYQL" hidden="1">#REF!</definedName>
    <definedName name="BExESZ03KXL8DQ2591HLR56ZML94" hidden="1">#REF!</definedName>
    <definedName name="BExESZAW5N443NRTKIP59OEI1CR6" hidden="1">#REF!</definedName>
    <definedName name="BExESZR5AVHMUVAFW1O0B4IGBT5Z" hidden="1">#REF!</definedName>
    <definedName name="BExET3HXQ60A4O2OLKX8QNXRI6LQ" hidden="1">#REF!</definedName>
    <definedName name="BExET43I7OR6BKXJ2FF7NJ40HKA6" hidden="1">#REF!</definedName>
    <definedName name="BExET78UI46Z0U0ZPG2PH6T7PU6K" hidden="1">#REF!</definedName>
    <definedName name="BExET9Y0D8YPTT8RK2YAP0TVEZZT" hidden="1">#REF!</definedName>
    <definedName name="BExETA3B1FCIOA80H94K90FWXQKE" hidden="1">#REF!</definedName>
    <definedName name="BExETAZOYT4CJIT8RRKC9F2HJG1D" hidden="1">#REF!</definedName>
    <definedName name="BExETF6QD5A9GEINE1KZRRC2LXWM" hidden="1">#REF!</definedName>
    <definedName name="BExETHFP253LV2PJIPA8UE0QMV30" hidden="1">#REF!</definedName>
    <definedName name="BExETJZCNXUGZE65GNYNSN4OGQ46" hidden="1">#REF!</definedName>
    <definedName name="BExETO0X97X73I10T4EJL9TGZW0I" hidden="1">#REF!</definedName>
    <definedName name="BExETO0YX6DIFM2NY7G9KJ4GIIVX" hidden="1">#REF!</definedName>
    <definedName name="BExETQ9XRXLUACN82805SPSPNKHI" hidden="1">#REF!</definedName>
    <definedName name="BExETR0YRMOR63E6DHLEHV9QVVON" hidden="1">#REF!</definedName>
    <definedName name="BExETRBMBS93ZSZ9VSQLG338UPK7" hidden="1">#REF!</definedName>
    <definedName name="BExETUMBQQ4U7M0PBBKCY5M662L3" hidden="1">#REF!</definedName>
    <definedName name="BExETVTGY38YXYYF7N73OYN6FYY3" hidden="1">#REF!</definedName>
    <definedName name="BExETXBEK6QI1UA26IO549NBAXSZ" hidden="1">#REF!</definedName>
    <definedName name="BExEU8EMRZQLCP1KRG92K3W9X84A" hidden="1">#REF!</definedName>
    <definedName name="BExEU8EN0BB6TAY5RJDTBPKNSO4H" hidden="1">#REF!</definedName>
    <definedName name="BExEUNE4T242Y59C6MS28MXEUGCP" hidden="1">#REF!</definedName>
    <definedName name="BExEUVS8AP4Z15W13KBQJ7YLAZRY" hidden="1">#REF!</definedName>
    <definedName name="BExEUZOHQ39YMDTTFWBKP0E5Q6G6" hidden="1">#REF!</definedName>
    <definedName name="BExEV2TP7NA3ZR6RJGH5ER370OUM" hidden="1">#REF!</definedName>
    <definedName name="BExEV69USLNYO2QRJRC0J92XUF00" hidden="1">#REF!</definedName>
    <definedName name="BExEV6KNTQOCFD7GV726XQEVQ7R6" hidden="1">#REF!</definedName>
    <definedName name="BExEV6VGM4POO9QT9KH3QA3VYCWM" hidden="1">#REF!</definedName>
    <definedName name="BExEVDGU47U3Z67IZK5D8RNHYYL7" hidden="1">#REF!</definedName>
    <definedName name="BExEVET98G3FU6QBF9LHYWSAMV0O" hidden="1">#REF!</definedName>
    <definedName name="BExEVEYRIUJ8YNCNWNF9P7W2AM1E" hidden="1">#REF!</definedName>
    <definedName name="BExEVNCUT0PDUYNJH7G6BSEWZOT2" hidden="1">#REF!</definedName>
    <definedName name="BExEVNCVK48SGOWHOR95506RGR5F" hidden="1">#REF!</definedName>
    <definedName name="BExEVOPBC14CNVSJF4KYSWNZ8SD5" hidden="1">#REF!</definedName>
    <definedName name="BExEVPGF4V5J0WQRZKUM8F9TTKZJ" hidden="1">#REF!</definedName>
    <definedName name="BExEVVLIEVWYRF2UUC1H0H5QU1CP" hidden="1">#REF!</definedName>
    <definedName name="BExEVWCKO8T84GW9Z3X47915XKSH" hidden="1">#REF!</definedName>
    <definedName name="BExEVZSJWMZ5L2ZE7AZC57CXKW6T" hidden="1">#REF!</definedName>
    <definedName name="BExEW0JL1GFFCXMDGW54CI7Y8FZN" hidden="1">#REF!</definedName>
    <definedName name="BExEW2SF6BS134L072KF8PK9Z2H5" hidden="1">#REF!</definedName>
    <definedName name="BExEW68M9WL8214QH9C7VCK7BN08" hidden="1">#REF!</definedName>
    <definedName name="BExEW8HFKH6F47KIHYBDRUEFZ2ZZ" hidden="1">#REF!</definedName>
    <definedName name="BExEW9ON1CJNDOEQE4XWO4WHETZ5" hidden="1">#REF!</definedName>
    <definedName name="BExEWAKYM0SA08HLO53I70KN5L1F" hidden="1">#REF!</definedName>
    <definedName name="BExEWJ9W6CPG5OFZU0KFBKLBKJXL" hidden="1">#REF!</definedName>
    <definedName name="BExEWLO75K95C6IRKHXSP7VP81T4" hidden="1">#REF!</definedName>
    <definedName name="BExEWNBGQS1U2LW3W84T4LSJ9K00" hidden="1">#REF!</definedName>
    <definedName name="BExEWO7STL7HNZSTY8VQBPTX1WK6" hidden="1">#REF!</definedName>
    <definedName name="BExEWQ0M1N3KMKTDJ73H10QSG4W1" hidden="1">#REF!</definedName>
    <definedName name="BExEWZWMSD39B9B9LDBWBW1V05U1" hidden="1">#REF!</definedName>
    <definedName name="BExEX85F3OSW8NSCYGYPS9372Z1Q" hidden="1">#REF!</definedName>
    <definedName name="BExEX8G893ETDGPPC5WZBRSKUYWR" hidden="1">#REF!</definedName>
    <definedName name="BExEX9HWY2G6928ZVVVQF77QCM2C" hidden="1">#REF!</definedName>
    <definedName name="BExEXBQWAYKMVBRJRHB8PFCSYFVN" hidden="1">#REF!</definedName>
    <definedName name="BExEXKVWQY7CZCQXOKJLSA4PFKW0" hidden="1">#REF!</definedName>
    <definedName name="BExEXNA75OBTL0QRKLK3Q4PMELXO" hidden="1">#REF!</definedName>
    <definedName name="BExEXOMV3FXIN53SBSY8SJYCZSRQ" hidden="1">#REF!</definedName>
    <definedName name="BExEXRBZ0DI9E2UFLLKYWGN66B61" hidden="1">#REF!</definedName>
    <definedName name="BExEXU6ET0JAFRQMHOMHTUHIM08I" hidden="1">#REF!</definedName>
    <definedName name="BExEXXH247KOTN7FMWJVUQGU2GXS" hidden="1">#REF!</definedName>
    <definedName name="BExEXXH3QO81K2I3SOAAVVHF70EQ" hidden="1">#REF!</definedName>
    <definedName name="BExEY12KOZEF098R8BGU6KK4QL15" hidden="1">#REF!</definedName>
    <definedName name="BExEYF06UN5Q0Q6BDFLG7HHFGO2M" hidden="1">#REF!</definedName>
    <definedName name="BExEYLG9FL9V1JPPNZ3FUDNSEJ4V" hidden="1">#REF!</definedName>
    <definedName name="BExEYLLKKU6R44DM4ZJTSMAOMNJL" hidden="1">#REF!</definedName>
    <definedName name="BExEYNP2XF1GK129HDND9B0KBX42" hidden="1">#REF!</definedName>
    <definedName name="BExEYOW8C1B3OUUCIGEC7L8OOW1Z" hidden="1">#REF!</definedName>
    <definedName name="BExEYQ3DE2CLDNUSJRRUE514FHVJ" hidden="1">#REF!</definedName>
    <definedName name="BExEYUQJXZT6N5HJH8ACJF6SRWEE" hidden="1">#REF!</definedName>
    <definedName name="BExEYVXR1F7MBP5RZBAFRBUPSYV3" hidden="1">#REF!</definedName>
    <definedName name="BExEZ0VUUG9MXMGQ6UU6WEOKII36" hidden="1">#REF!</definedName>
    <definedName name="BExEZ1MWA5HCJE9R9PUMY95KA1Y7" hidden="1">#REF!</definedName>
    <definedName name="BExEZ1S6VZCG01ZPLBSS9Z1SBOJ2" hidden="1">#REF!</definedName>
    <definedName name="BExEZ8TNTKJM91REP6WBSY9YDNVX" hidden="1">#REF!</definedName>
    <definedName name="BExEZGBFNJR8DLPN0V11AU22L6WY" hidden="1">#REF!</definedName>
    <definedName name="BExF02Y3V3QEPO2XLDSK47APK9XJ" hidden="1">#REF!</definedName>
    <definedName name="BExF09E07JL3Y66ADYSHTWSH2ZED" hidden="1">#REF!</definedName>
    <definedName name="BExF09OS91RT7N7IW8JLMZ121ZP3" hidden="1">#REF!</definedName>
    <definedName name="BExF0D4YSKJDFA5JXYI5UVE8N9MY" hidden="1">#REF!</definedName>
    <definedName name="BExF0JA1JTD44BQ3GQYHPS2BHZHU" hidden="1">#REF!</definedName>
    <definedName name="BExF0LOEHV42P2DV7QL8O7HOQ3N9" hidden="1">#REF!</definedName>
    <definedName name="BExF0MQ8S35WOWLUHBJS5ZCJUSUZ" hidden="1">#REF!</definedName>
    <definedName name="BExF0WRM9VO25RLSO03ZOCE8H7K5" hidden="1">#REF!</definedName>
    <definedName name="BExF0ZRI7W4RSLIDLHTSM0AWXO3S" hidden="1">#REF!</definedName>
    <definedName name="BExF15LTEP8YQ9XETOBFQGPNIAFC" hidden="1">#REF!</definedName>
    <definedName name="BExF18LPYWKZX8ZB9WO72DPT7MUS" hidden="1">#REF!</definedName>
    <definedName name="BExF19CT3MMZZ2T5EWMDNG3UOJ01" hidden="1">#REF!</definedName>
    <definedName name="BExF1AUPCFRYJFSIX441XJEPUQ00" hidden="1">#REF!</definedName>
    <definedName name="BExF1M38U6NX17YJA8YU359B5Z4M" hidden="1">#REF!</definedName>
    <definedName name="BExF1MU4W3NPEY0OHRDWP5IANCBB" hidden="1">#REF!</definedName>
    <definedName name="BExF1MZN8MWMOKOARHJ1QAF9HPGT" hidden="1">#REF!</definedName>
    <definedName name="BExF1O1GPEXVDI1HJW5BI4SIFG0G" hidden="1">#REF!</definedName>
    <definedName name="BExF1US4ZIQYSU5LBFYNRA9N0K2O" hidden="1">#REF!</definedName>
    <definedName name="BExF1XS222NYCQELP8C38LDCP0TW" hidden="1">#REF!</definedName>
    <definedName name="BExF1ZQ91AQ8O0JUM7BWPNDLVZZZ" hidden="1">#REF!</definedName>
    <definedName name="BExF24IQJ7XGERNV4T2GMUCFVM4P" hidden="1">#REF!</definedName>
    <definedName name="BExF2CWZN6E87RGTBMD4YQI2QT7R" hidden="1">#REF!</definedName>
    <definedName name="BExF2D7MUBFL9OYZ191GQJVF8GGA" hidden="1">#REF!</definedName>
    <definedName name="BExF2DYO1WQ7GMXSTAQRDBW1NSFG" hidden="1">#REF!</definedName>
    <definedName name="BExF2F5U3562RDWZ9E1PDQCQZ8QC" hidden="1">#REF!</definedName>
    <definedName name="BExF2MSWNUY9Z6BZJQZ538PPTION" hidden="1">#REF!</definedName>
    <definedName name="BExF2OR3BRXKB54HPN38RFUKKE5F" hidden="1">#REF!</definedName>
    <definedName name="BExF2QZYWHTYGUTTXR15CKCV3LS7" hidden="1">#REF!</definedName>
    <definedName name="BExF2S1OFCAJU60FWSEPF2TTOBEL" hidden="1">#REF!</definedName>
    <definedName name="BExF2T8Y6TSJ74RMSZOA9CEH4OZ6" hidden="1">#REF!</definedName>
    <definedName name="BExF2Y6W7ZR1IXNZZROZTOQN1L3O" hidden="1">#REF!</definedName>
    <definedName name="BExF30FWFTOPWBIDMX45A4E8ZGX6" hidden="1">#REF!</definedName>
    <definedName name="BExF316SSU4FJVZHIKXZ3LNSZYDC" hidden="1">#REF!</definedName>
    <definedName name="BExF31N3YM4F37EOOY8M8VI1KXN8" hidden="1">#REF!</definedName>
    <definedName name="BExF37C1YKBT79Z9SOJAG5MXQGTU" hidden="1">#REF!</definedName>
    <definedName name="BExF37MVGCG6LA4ZODHR3T6PKW71" hidden="1">#REF!</definedName>
    <definedName name="BExF3A6HPA6DGYALZNHHJPMCUYZR" hidden="1">#REF!</definedName>
    <definedName name="BExF3I9T44X7DV9HHV51DVDDPPZG" hidden="1">#REF!</definedName>
    <definedName name="BExF3JMFX5DILOIFUDIO1HZUK875" hidden="1">#REF!</definedName>
    <definedName name="BExF3LPT0FD9CZQDYF46S239ZJ31" hidden="1">#REF!</definedName>
    <definedName name="BExF3NTC4BGZEM6B87TCFX277QCS" hidden="1">#REF!</definedName>
    <definedName name="BExF3Q7NI90WT31QHYSJDIG0LLLJ" hidden="1">#REF!</definedName>
    <definedName name="BExF3QD55TIY1MSBSRK9TUJKBEWO" hidden="1">#REF!</definedName>
    <definedName name="BExF3QNWCTBEQSAUIRBXXS0JE4BZ" hidden="1">#REF!</definedName>
    <definedName name="BExF3QT8J6RIF1L3R700MBSKIOKW" hidden="1">#REF!</definedName>
    <definedName name="BExF3SM05UDF72P7880T0EZPZ38X" hidden="1">#REF!</definedName>
    <definedName name="BExF42SSBVPMLK2UB3B7FPEIY9TU" hidden="1">#REF!</definedName>
    <definedName name="BExF4CJKIT6WGW7VLUVE2OJE5NII" hidden="1">#REF!</definedName>
    <definedName name="BExF4G50WMY1C8U6KR5OM80ZMGLR" hidden="1">#REF!</definedName>
    <definedName name="BExF4HXSWB50BKYPWA0HTT8W56H6" hidden="1">#REF!</definedName>
    <definedName name="BExF4JVUXBRIN50BGBKGXDRD7OF7" hidden="1">#REF!</definedName>
    <definedName name="BExF4KHF04IWW4LQ95FHQPFE4Y9K" hidden="1">#REF!</definedName>
    <definedName name="BExF4MVQM5Y0QRDLDFSKWWTF709C" hidden="1">#REF!</definedName>
    <definedName name="BExF4PVMZYV36E8HOYY06J81AMBI" hidden="1">#REF!</definedName>
    <definedName name="BExF4SF9NEX1FZE9N8EXT89PM54D" hidden="1">#REF!</definedName>
    <definedName name="BExF507Y6NEF7Z29CHQFGBAR1ATS" hidden="1">#REF!</definedName>
    <definedName name="BExF51KEF7FMWFKOR1LXGILT7A7C" hidden="1">#REF!</definedName>
    <definedName name="BExF52GTGP8MHGII4KJ8TJGR8W8U" hidden="1">#REF!</definedName>
    <definedName name="BExF57K7L3UC1I2FSAWURR4SN0UN" hidden="1">#REF!</definedName>
    <definedName name="BExF5HR2GFV7O8LKG9SJ4BY78LYA" hidden="1">#REF!</definedName>
    <definedName name="BExF5L1QPRWBCCS5REMPIDC3ZA1I" hidden="1">#REF!</definedName>
    <definedName name="BExF5ZFO2A29GHWR5ES64Z9OS16J" hidden="1">#REF!</definedName>
    <definedName name="BExF606J6HE1VAF4DM1STGGQ1M57" hidden="1">#REF!</definedName>
    <definedName name="BExF618FCK40X0RKPED7NA2DCVRB" hidden="1">#REF!</definedName>
    <definedName name="BExF63S045JO7H2ZJCBTBVH3SUIF" hidden="1">#REF!</definedName>
    <definedName name="BExF642TEGTXCI9A61ZOONJCB0U1" hidden="1">#REF!</definedName>
    <definedName name="BExF64IVXR00LH1EDNRDLMJA43DL" hidden="1">#REF!</definedName>
    <definedName name="BExF67O951CF8UJF3KBDNR0E83C1" hidden="1">#REF!</definedName>
    <definedName name="BExF6EV7I35NVMIJGYTB6E24YVPA" hidden="1">#REF!</definedName>
    <definedName name="BExF6FGUF393KTMBT40S5BYAFG00" hidden="1">#REF!</definedName>
    <definedName name="BExF6GNYXWY8A0SY4PW1B6KJMMTM" hidden="1">#REF!</definedName>
    <definedName name="BExF6H9J3P7UD3WBQLH9SUOCV6V8" hidden="1">#REF!</definedName>
    <definedName name="BExF6IB8K74Z0AFT05GPOKKZW7C9" hidden="1">#REF!</definedName>
    <definedName name="BExF6NUXJI11W2IAZNAM1QWC0459" hidden="1">#REF!</definedName>
    <definedName name="BExF6RR76KNVIXGJOVFO8GDILKGZ" hidden="1">#REF!</definedName>
    <definedName name="BExF6ZE8D5CMPJPRWT6S4HM56LPF" hidden="1">#REF!</definedName>
    <definedName name="BExF6ZZU09XWXX0K3FCRH81T1XCY" hidden="1">#REF!</definedName>
    <definedName name="BExF76FV8SF7AJK7B35AL7VTZF6D" hidden="1">#REF!</definedName>
    <definedName name="BExF7EOIMC1OYL1N7835KGOI0FIZ" hidden="1">#REF!</definedName>
    <definedName name="BExF7K88K7ASGV6RAOAGH52G04VR" hidden="1">#REF!</definedName>
    <definedName name="BExF7NO6KUSPTKTX4YZXXNKB6FRT" hidden="1">#REF!</definedName>
    <definedName name="BExF7OVDRP3LHNAF2CX4V84CKKIR" hidden="1">#REF!</definedName>
    <definedName name="BExF7QO41X2A2SL8UXDNP99GY7U9" hidden="1">#REF!</definedName>
    <definedName name="BExF7WD4U5F1Q1NPT0GW2OA30ZUR" hidden="1">#REF!</definedName>
    <definedName name="BExF81GI8B8WBHXFTET68A9358BR" hidden="1">#REF!</definedName>
    <definedName name="BExF88NITDJF749HJXOT7EL6E9BR" hidden="1">#REF!</definedName>
    <definedName name="BExF9E0G4N39KT4988ZYMO9DMK46" hidden="1">#REF!</definedName>
    <definedName name="BExGKRJ96M5534CRDO4R4VVFUKVG" hidden="1">#REF!</definedName>
    <definedName name="BExGL97US0Y3KXXASUTVR26XLT70" hidden="1">#REF!</definedName>
    <definedName name="BExGLC7R4C33RO0PID97ZPPVCW4M" hidden="1">#REF!</definedName>
    <definedName name="BExGLEB9DXFQOVG5UE5ZXSZ8ONI3" hidden="1">#REF!</definedName>
    <definedName name="BExGLFIF7HCFSHNQHKEV6RY0WCO3" hidden="1">#REF!</definedName>
    <definedName name="BExGLKWLZSORK8P6S2TDRR0MRPN0" hidden="1">#REF!</definedName>
    <definedName name="BExGLTARRL0J772UD2TXEYAVPY6E" hidden="1">#REF!</definedName>
    <definedName name="BExGLVP1IU8K5A8J1340XFMYPR88" hidden="1">#REF!</definedName>
    <definedName name="BExGLYE6RZTAAWHJBG2QFJPTDS2Q" hidden="1">#REF!</definedName>
    <definedName name="BExGM2AFU5OVPRI1E243PA46DR17" hidden="1">#REF!</definedName>
    <definedName name="BExGM4DZ65OAQP7MA4LN6QMYZOFF" hidden="1">#REF!</definedName>
    <definedName name="BExGMBKWKUT6VIN4JTIWUGEL1V0O" hidden="1">#REF!</definedName>
    <definedName name="BExGMCXCWEC9XNUOEMZ61TMI6CUO" hidden="1">#REF!</definedName>
    <definedName name="BExGMIX5ZB8NAGF410DGKAT8VZBK" hidden="1">#REF!</definedName>
    <definedName name="BExGMJDGIH0MEPC2TUSFUCY2ROTB" hidden="1">#REF!</definedName>
    <definedName name="BExGMKPW2HPKN0M0XKF3AZ8YP0D6" hidden="1">#REF!</definedName>
    <definedName name="BExGMP2F175LGL6QVSJGP6GKYHHA" hidden="1">#REF!</definedName>
    <definedName name="BExGMPIIP8GKML2VVA8OEFL43NCS" hidden="1">#REF!</definedName>
    <definedName name="BExGMQPOR3XWUYMIBNWOM6LGJ49T" hidden="1">#REF!</definedName>
    <definedName name="BExGMZ3SRIXLXMWBVOXXV3M4U4YL" hidden="1">#REF!</definedName>
    <definedName name="BExGMZ3UBN48IXU1ZEFYECEMZ1IM" hidden="1">#REF!</definedName>
    <definedName name="BExGN3WG0GIHU2VTZF8SLKNQ3E2Z" hidden="1">#REF!</definedName>
    <definedName name="BExGN4I0QATXNZCLZJM1KH1OIJQH" hidden="1">#REF!</definedName>
    <definedName name="BExGN9FZ2RWCMSY1YOBJKZMNIM9R" hidden="1">#REF!</definedName>
    <definedName name="BExGN9W9FYMGQJ9LEGSJRFTIOGOI" hidden="1">#REF!</definedName>
    <definedName name="BExGNDC8OKH9GP0BJZOQJ5WVGS1Q" hidden="1">#REF!</definedName>
    <definedName name="BExGNDSIMTHOCXXG6QOGR6DA8SGG" hidden="1">#REF!</definedName>
    <definedName name="BExGNIQM4R5GGE2S053B4KVPIHZU" hidden="1">#REF!</definedName>
    <definedName name="BExGNL4R59PMD7TGURKB8Z59TFEI" hidden="1">#REF!</definedName>
    <definedName name="BExGNN2YQ9BDAZXT2GLCSAPXKIM7" hidden="1">#REF!</definedName>
    <definedName name="BExGNSS0CKRPKHO25R3TDBEL2NHX" hidden="1">#REF!</definedName>
    <definedName name="BExGNWZ2K59ME6LM678Z75KNQ7MT" hidden="1">#REF!</definedName>
    <definedName name="BExGNY0QJAUI8DEL4S23127HBVDK" hidden="1">#REF!</definedName>
    <definedName name="BExGNYH0MO8NOVS85L15G0RWX4GW" hidden="1">#REF!</definedName>
    <definedName name="BExGNZO44DEG8CGIDYSEGDUQ531R" hidden="1">#REF!</definedName>
    <definedName name="BExGO2O0V6UYDY26AX8OSN72F77N" hidden="1">#REF!</definedName>
    <definedName name="BExGO2YUBOVLYHY1QSIHRE1KLAFV" hidden="1">#REF!</definedName>
    <definedName name="BExGO4BAL3NRV277W8LDYPLH9JNL" hidden="1">#REF!</definedName>
    <definedName name="BExGO70E2O70LF46V8T26YFPL4V8" hidden="1">#REF!</definedName>
    <definedName name="BExGO93Y8BVVVVO6GSG5LKFG3Z3J" hidden="1">#REF!</definedName>
    <definedName name="BExGOAGKBIX65YGVQRUF04GPUL8N" hidden="1">#REF!</definedName>
    <definedName name="BExGOB25QJMQCQE76MRW9X58OIOO" hidden="1">#REF!</definedName>
    <definedName name="BExGODAZKJ9EXMQZNQR5YDBSS525" hidden="1">#REF!</definedName>
    <definedName name="BExGODR8ZSMUC11I56QHSZ686XV5" hidden="1">#REF!</definedName>
    <definedName name="BExGOXJDHUDPDT8I8IVGVW9J0R5Q" hidden="1">#REF!</definedName>
    <definedName name="BExGP1KZYC1ZYXGK87SOLSJ086WK" hidden="1">#REF!</definedName>
    <definedName name="BExGPHGT5KDOCMV2EFS4OVKTWBRD" hidden="1">#REF!</definedName>
    <definedName name="BExGPID72Y4Y619LWASUQZKZHJNC" hidden="1">#REF!</definedName>
    <definedName name="BExGPJPMGS1JXVMGIH9LDOYGG0UL" hidden="1">#REF!</definedName>
    <definedName name="BExGPPENQIANVGLVQJ77DK5JPRTB" hidden="1">#REF!</definedName>
    <definedName name="BExGPT5L6ZSOCBFM17A4JEWHIISK" hidden="1">#REF!</definedName>
    <definedName name="BExGPTLPOH575399IKFZXAODNAAL" hidden="1">#REF!</definedName>
    <definedName name="BExGPY3JNISXCE89YA6V0CIQFYU8" hidden="1">#REF!</definedName>
    <definedName name="BExGQ1ZSAJB0PQ8NSGN3MKJ1G34Q" hidden="1">#REF!</definedName>
    <definedName name="BExGQ1ZU4967P72AHF4V1D0FOL5C" hidden="1">#REF!</definedName>
    <definedName name="BExGQ36ZOMR9GV8T05M605MMOY3Y" hidden="1">#REF!</definedName>
    <definedName name="BExGQ61DTJ0SBFMDFBAK3XZ9O0ZO" hidden="1">#REF!</definedName>
    <definedName name="BExGQ6SG9XEOD0VMBAR22YPZWSTA" hidden="1">#REF!</definedName>
    <definedName name="BExGQB4ZWBH0K4WFJ3Y36W34QS0K" hidden="1">#REF!</definedName>
    <definedName name="BExGQGJ1A7LNZUS8QSMOG8UNGLMK" hidden="1">#REF!</definedName>
    <definedName name="BExGQPO7ENFEQC0NC6MC9OZR2LHY" hidden="1">#REF!</definedName>
    <definedName name="BExGQW43Q0VNZWHSMK2PU1N1XTKI" hidden="1">#REF!</definedName>
    <definedName name="BExGQX0H4EZMXBJTKJJE4ICJWN5O" hidden="1">#REF!</definedName>
    <definedName name="BExGR4CW3WRIID17GGX4MI9ZDHFE" hidden="1">#REF!</definedName>
    <definedName name="BExGR65GJX27MU2OL6NI5PB8XVB4" hidden="1">#REF!</definedName>
    <definedName name="BExGR6LQ97HETGS3CT96L4IK0JSH" hidden="1">#REF!</definedName>
    <definedName name="BExGR9ATP2LVT7B9OCPSLJ11H9SX" hidden="1">#REF!</definedName>
    <definedName name="BExGRIQSR0V8NC5YSUKEWPOKSRYK" hidden="1">#REF!</definedName>
    <definedName name="BExGRJSGKUFCVY261INY3VKQ78EL" hidden="1">#REF!</definedName>
    <definedName name="BExGRLFVC5W2TNT0RXTW3T3IQYQ9" hidden="1">#REF!</definedName>
    <definedName name="BExGRUKVVKDL8483WI70VN2QZDGD" hidden="1">#REF!</definedName>
    <definedName name="BExGRV6HPY4XGDV95V8EFK9PLSH7" hidden="1">#REF!</definedName>
    <definedName name="BExGRWOEPUTOAMWTOERG33UP1KQE" hidden="1">#REF!</definedName>
    <definedName name="BExGS2IWB5A9OEFQJ7QU3M0LRMMY" hidden="1">#REF!</definedName>
    <definedName name="BExGS2IWR5DUNJ1U9PAKIV8CMBNI" hidden="1">#REF!</definedName>
    <definedName name="BExGS647H5Y7MQOUL8F72YCVXZGH" hidden="1">#REF!</definedName>
    <definedName name="BExGS69P9FFTEOPDS0MWFKF45G47" hidden="1">#REF!</definedName>
    <definedName name="BExGS6F1JFHM5MUJ1RFO50WP6D05" hidden="1">#REF!</definedName>
    <definedName name="BExGSA5YB5ZGE4NHDVCZ55TQAJTL" hidden="1">#REF!</definedName>
    <definedName name="BExGSCEUCQQVDEEKWJ677QTGUVTE" hidden="1">#REF!</definedName>
    <definedName name="BExGSHI9HMU6A3BFL9QUGFKKDL7M" hidden="1">#REF!</definedName>
    <definedName name="BExGSOJWE4MU3MNY5MFYAI191ICF" hidden="1">#REF!</definedName>
    <definedName name="BExGSQY65LH1PCKKM5WHDW83F35O" hidden="1">#REF!</definedName>
    <definedName name="BExGSYQQLZO7Y6NTTEOUAXD89XXV" hidden="1">#REF!</definedName>
    <definedName name="BExGSYW1GKISF0PMUAK3XJK9PEW9" hidden="1">#REF!</definedName>
    <definedName name="BExGT0DZJB6LSF6L693UUB9EY1VQ" hidden="1">#REF!</definedName>
    <definedName name="BExGT14VUEI0ACFVP59IAQXND0TI" hidden="1">#REF!</definedName>
    <definedName name="BExGTDKQAQJF1CPPKB8Y6AK4RGL1" hidden="1">#REF!</definedName>
    <definedName name="BExGTGVFIF8HOQXR54SK065A8M4K" hidden="1">#REF!</definedName>
    <definedName name="BExGTIYX3OWPIINOGY1E4QQYSKHP" hidden="1">#REF!</definedName>
    <definedName name="BExGTJVB96KGVAQFR8NT6ECY7SX0" hidden="1">#REF!</definedName>
    <definedName name="BExGTKGUN0KUU3C0RL2LK98D8MEK" hidden="1">#REF!</definedName>
    <definedName name="BExGTPV3NCFUTSG3BY3J8QOBWF9B" hidden="1">#REF!</definedName>
    <definedName name="BExGTUI952W9U0R4DD6DGSLLANYK" hidden="1">#REF!</definedName>
    <definedName name="BExGTWGHGBAR0VTRXVJKLSH94UJF" hidden="1">#REF!</definedName>
    <definedName name="BExGTWLTP18EM2JAAVRFLB8W9KK9" hidden="1">#REF!</definedName>
    <definedName name="BExGTZ046J7VMUG4YPKFN2K8TWB7" hidden="1">#REF!</definedName>
    <definedName name="BExGU0I1QPMRFMJPCXWFV9B3RR0C" hidden="1">#REF!</definedName>
    <definedName name="BExGU2G9OPRZRIU9YGF6NX9FUW0J" hidden="1">#REF!</definedName>
    <definedName name="BExGU5LGDOHB7ZEIV9LXWV1JG47B" hidden="1">#REF!</definedName>
    <definedName name="BExGU672FJ3RJRU1O01ID8GLF5XY" hidden="1">#REF!</definedName>
    <definedName name="BExGU6HTKLRZO8UOI3DTAM5RFDBA" hidden="1">#REF!</definedName>
    <definedName name="BExGUC1D6RGP5HMGW8RLIMVYGOZ3" hidden="1">#REF!</definedName>
    <definedName name="BExGUDDZXFFQHAF4UZF8ZB1HO7H6" hidden="1">#REF!</definedName>
    <definedName name="BExGUIBXBRHGM97ZX6GBA4ZDQ79C" hidden="1">#REF!</definedName>
    <definedName name="BExGUJDSZWZOJO4I0JGML58XQ2NH" hidden="1">#REF!</definedName>
    <definedName name="BExGUM8D91UNPCOO4TKP9FGX85TF" hidden="1">#REF!</definedName>
    <definedName name="BExGUOH77Y4Y0G063RV08JCBZEPJ" hidden="1">#REF!</definedName>
    <definedName name="BExGUQF9N9FKI7S0H30WUAEB5LPD" hidden="1">#REF!</definedName>
    <definedName name="BExGUR6BA03XPBK60SQUW197GJ5X" hidden="1">#REF!</definedName>
    <definedName name="BExGUVIP60TA4B7X2PFGMBFUSKGX" hidden="1">#REF!</definedName>
    <definedName name="BExGUX640R6M4A36R0YTFY33IPFU" hidden="1">#REF!</definedName>
    <definedName name="BExGUZKF06F209XL1IZWVJEQ82EE" hidden="1">#REF!</definedName>
    <definedName name="BExGV0BAY95LQUIA9EGWW1QKJ94D" hidden="1">#REF!</definedName>
    <definedName name="BExGV2EVT380QHD4AP2RL9MR8L5L" hidden="1">#REF!</definedName>
    <definedName name="BExGV3GOCDAX4LWR3EMS5KTKY720" hidden="1">#REF!</definedName>
    <definedName name="BExGVFR2LMF6C24XGYF4DT2O7TBE" hidden="1">#REF!</definedName>
    <definedName name="BExGVJ1SHUHNLJP4HJAUGLRFZ21R" hidden="1">#REF!</definedName>
    <definedName name="BExGVSXT60ACQZCPS5GUN87PC04S" hidden="1">#REF!</definedName>
    <definedName name="BExGVV6OOLDQ3TXZK51TTF3YX0WN" hidden="1">#REF!</definedName>
    <definedName name="BExGVWOLP53C5Q93BU9U6QX5DH0M" hidden="1">#REF!</definedName>
    <definedName name="BExGW0KVS7U0C87XFZ78QW991IEV" hidden="1">#REF!</definedName>
    <definedName name="BExGW2Z7AMPG6H9EXA9ML6EZVGGA" hidden="1">#REF!</definedName>
    <definedName name="BExGW587WJLHPMT3F5GR2YUV2C4P" hidden="1">#REF!</definedName>
    <definedName name="BExGW5OB2FYFRB7QB20OYHQ9ZADD" hidden="1">#REF!</definedName>
    <definedName name="BExGWABG5VT5XO1A196RK61AXA8C" hidden="1">#REF!</definedName>
    <definedName name="BExGWAGXSLMWHR94LGN1VBX8G04I" hidden="1">#REF!</definedName>
    <definedName name="BExGWEO0JDG84NYLEAV5NSOAGMJZ" hidden="1">#REF!</definedName>
    <definedName name="BExGWLEOC70Z8QAJTPT2PDHTNM4L" hidden="1">#REF!</definedName>
    <definedName name="BExGWNCXLCRTLBVMTXYJ5PHQI6SS" hidden="1">#REF!</definedName>
    <definedName name="BExGWUUHNK8I3GQ42TB3T2V9H09Y" hidden="1">#REF!</definedName>
    <definedName name="BExGX6U988MCFIGDA1282F92U9AA" hidden="1">#REF!</definedName>
    <definedName name="BExGX7FTB1CKAT5HUW6H531FIY6I" hidden="1">#REF!</definedName>
    <definedName name="BExGX817VCVL1GBZLWQDXM6MKN7F" hidden="1">#REF!</definedName>
    <definedName name="BExGX9DVACJQIZ4GH6YAD2A7F70O" hidden="1">#REF!</definedName>
    <definedName name="BExGXDVP2S2Y8Z8Q43I78RCIK3DD" hidden="1">#REF!</definedName>
    <definedName name="BExGXH6DH0SZY8TNNYUN3PFV9900" hidden="1">#REF!</definedName>
    <definedName name="BExGXJ9W5JU7TT9S0BKL5Y6VVB39" hidden="1">#REF!</definedName>
    <definedName name="BExGXWB73RJ4BASBQTQ8EY0EC1EB" hidden="1">#REF!</definedName>
    <definedName name="BExGXZ0ABB43C7SMRKZHWOSU9EQX" hidden="1">#REF!</definedName>
    <definedName name="BExGY6SU3SYVCJ3AG2ITY59SAZ5A" hidden="1">#REF!</definedName>
    <definedName name="BExGY6YA4P5KMY2VHT0DYK3YTFAX" hidden="1">#REF!</definedName>
    <definedName name="BExGY8G88PVVRYHPHRPJZFSX6HSC" hidden="1">#REF!</definedName>
    <definedName name="BExGYAE9RTCDV4K3KHWAA8F9M3GZ" hidden="1">#REF!</definedName>
    <definedName name="BExGYBG5FR4474FL3AFJ2LXKYDFD" hidden="1">#REF!</definedName>
    <definedName name="BExGYC718HTZ80PNKYPVIYGRJVF6" hidden="1">#REF!</definedName>
    <definedName name="BExGYCNATXZY2FID93B17YWIPPRD" hidden="1">#REF!</definedName>
    <definedName name="BExGYCXYJUY6E0EQ4QKMLN58ML72" hidden="1">#REF!</definedName>
    <definedName name="BExGYGJJJ3BBCQAOA51WHP01HN73" hidden="1">#REF!</definedName>
    <definedName name="BExGYL6Q60AHD4Q40EZWRO3WHUEX" hidden="1">#REF!</definedName>
    <definedName name="BExGYMZGSLSAIFIP2PRSYR5AIPMK" hidden="1">#REF!</definedName>
    <definedName name="BExGYNVTCWSM8NLPVLW4D9VACP5B" hidden="1">#REF!</definedName>
    <definedName name="BExGYOHEVRRUEW6T8NGEAX5A1BWG" hidden="1">#REF!</definedName>
    <definedName name="BExGYOS6TV2C72PLRFU8RP1I58GY" hidden="1">#REF!</definedName>
    <definedName name="BExGYQ4V1VDPZ3ZX61LO9H6MWBL6" hidden="1">#REF!</definedName>
    <definedName name="BExGYVIWRPNZ1B2DU4VQ90KRB6G2" hidden="1">#REF!</definedName>
    <definedName name="BExGYZF4P4EI5GNOT4WBULU0NU8O" hidden="1">#REF!</definedName>
    <definedName name="BExGZ3RPHREBYH13DYTKEG50WQ8B" hidden="1">#REF!</definedName>
    <definedName name="BExGZ42HC0FTASPS63SEBBEERSUT" hidden="1">#REF!</definedName>
    <definedName name="BExGZ4IKGF0Q0DI77S5JFXPK99H4" hidden="1">#REF!</definedName>
    <definedName name="BExGZCRDLTTKHQEOJ614Y8G99YN3" hidden="1">#REF!</definedName>
    <definedName name="BExGZHPANSD3C4RMCXZ0GYP9V6OF" hidden="1">#REF!</definedName>
    <definedName name="BExGZJ78ZWZCVHZ3BKEKFJZ6MAEO" hidden="1">#REF!</definedName>
    <definedName name="BExGZNEBUBDQ1HST0JPXSVVIGOZB" hidden="1">#REF!</definedName>
    <definedName name="BExGZOLH2QV73J3M9IWDDPA62TP4" hidden="1">#REF!</definedName>
    <definedName name="BExGZP1PWGFKVVVN4YDIS22DZPCR" hidden="1">#REF!</definedName>
    <definedName name="BExGZP1QMHJV29L2BGUCXUS6XY1Z" hidden="1">#REF!</definedName>
    <definedName name="BExGZQJNN19H9MLAPOKUOH2RX9B8" hidden="1">#REF!</definedName>
    <definedName name="BExGZS6YW7IMYHOTS07AIK2S0I6A" hidden="1">#REF!</definedName>
    <definedName name="BExH00L21GZX5YJJGVMOAWBERLP5" hidden="1">#REF!</definedName>
    <definedName name="BExH02ZD6VAY1KQLAQYBBI6WWIZB" hidden="1">#REF!</definedName>
    <definedName name="BExH03FNI4WGTA206J7NK9IRZ0HB" hidden="1">#REF!</definedName>
    <definedName name="BExH08Z6LQCGGSGSAILMHX4X7JMD" hidden="1">#REF!</definedName>
    <definedName name="BExH0KT9Z8HEVRRQRGQ8YHXRLIJA" hidden="1">#REF!</definedName>
    <definedName name="BExH0M0FDN12YBOCKL3XL2Z7T7Y8" hidden="1">#REF!</definedName>
    <definedName name="BExH0ND27PVAE6IFUOYEG4TZLAQ4" hidden="1">#REF!</definedName>
    <definedName name="BExH0O9G06YPZ5TN9RYT326I1CP2" hidden="1">#REF!</definedName>
    <definedName name="BExH0SGIGQ2KC3RI1ZOEJKMQETW7" hidden="1">#REF!</definedName>
    <definedName name="BExH0WNJAKTJRCKMTX8O4KNMIIJM" hidden="1">#REF!</definedName>
    <definedName name="BExH0YR3YL44AMVGX5Y5QRNL8930" hidden="1">#REF!</definedName>
    <definedName name="BExH0ZCNLDR5RRXJSZP9Q02SSY6K" hidden="1">#REF!</definedName>
    <definedName name="BExH12Y4WX542WI3ZEM15AK4UM9J" hidden="1">#REF!</definedName>
    <definedName name="BExH16JL91GVY1KE7GAXGS1CNYVT" hidden="1">#REF!</definedName>
    <definedName name="BExH17AHD3BDFLJSTPGKF13JIPFR" hidden="1">#REF!</definedName>
    <definedName name="BExH1FDTQXR9QQ31WDB7OPXU7MPT" hidden="1">#REF!</definedName>
    <definedName name="BExH1FOMEUIJNIDJAUY0ZQFBJSY9" hidden="1">#REF!</definedName>
    <definedName name="BExH1JFFHEBFX9BWJMNIA3N66R3Z" hidden="1">#REF!</definedName>
    <definedName name="BExH1KS0VUAYPDH95E7TV3YS6K9Q" hidden="1">#REF!</definedName>
    <definedName name="BExH1PKPL1TK91DMQ1JBMZAGTA68" hidden="1">#REF!</definedName>
    <definedName name="BExH1YKDJS8XE0V2HJE5ZK1HX8ZL" hidden="1">#REF!</definedName>
    <definedName name="BExH1Z0GIUSVTF2H1G1I3PDGBNK2" hidden="1">#REF!</definedName>
    <definedName name="BExH225UTM6S9FW4MUDZS7F1PQSH" hidden="1">#REF!</definedName>
    <definedName name="BExH23271RF7AYZ542KHQTH68GQ7" hidden="1">#REF!</definedName>
    <definedName name="BExH23NT4OEUSID373JVHS0MV4VX" hidden="1">#REF!</definedName>
    <definedName name="BExH2AEH445YM4482Y93J0T7A7Q7" hidden="1">#REF!</definedName>
    <definedName name="BExH2GJQR4JALNB314RY0LDI49VH" hidden="1">#REF!</definedName>
    <definedName name="BExH2HQW19G9IVK5O2GBFTQGOW6R" hidden="1">#REF!</definedName>
    <definedName name="BExH2ISLGWN9KAUXT6SKR078KP9K" hidden="1">#REF!</definedName>
    <definedName name="BExH2JZR49T7644JFVE7B3N7RZM9" hidden="1">#REF!</definedName>
    <definedName name="BExH2NFWHZ27LFT4H6KGED68P0RH" hidden="1">#REF!</definedName>
    <definedName name="BExH2UHF0QTJG107MULYB16WBJM9" hidden="1">#REF!</definedName>
    <definedName name="BExH2WKXV8X5S2GSBBTWGI0NLNAH" hidden="1">#REF!</definedName>
    <definedName name="BExH2XS1UFYFGU0S0EBXX90W2WE8" hidden="1">#REF!</definedName>
    <definedName name="BExH2XS2TND9SB0GC295R4FP6K5Y" hidden="1">#REF!</definedName>
    <definedName name="BExH2ZA0SZ4SSITL50NA8LZ3OEX6" hidden="1">#REF!</definedName>
    <definedName name="BExH31Z3JNVJPESWKXHILGXZHP2M" hidden="1">#REF!</definedName>
    <definedName name="BExH39X40B6AB076IAKQ24372PF3" hidden="1">#REF!</definedName>
    <definedName name="BExH3E9HZ3QJCDZW7WI7YACFQCHE" hidden="1">#REF!</definedName>
    <definedName name="BExH3IRB6764RQ5HBYRLH6XCT29X" hidden="1">#REF!</definedName>
    <definedName name="BExH3N97M7Y8ZC6TD0B14FWITU76" hidden="1">#REF!</definedName>
    <definedName name="BExH4CQAK7YHP96F99E8SJU9S06M" hidden="1">#REF!</definedName>
    <definedName name="BExH4CQBRBL80JGHQFR68DI7A6ZC" hidden="1">#REF!</definedName>
    <definedName name="BExH4MBK9X8QXIKN4DWWDKGCT2ZX" hidden="1">#REF!</definedName>
    <definedName name="BExIG2U8V6RSB47SXLCQG3Q68YRO" hidden="1">#REF!</definedName>
    <definedName name="BExIGJBO8R13LV7CZ7C1YCP974NN" hidden="1">#REF!</definedName>
    <definedName name="BExIGV0HK9MT8Q4NUDN2RHNLLF10" hidden="1">#REF!</definedName>
    <definedName name="BExIGWIEJQW72JI7DRGUHTQZTVMH" hidden="1">#REF!</definedName>
    <definedName name="BExIGWT86FPOEYTI8GXCGU5Y3KGK" hidden="1">#REF!</definedName>
    <definedName name="BExIGWYIYO1YUAN5P8G2YJQLIW3K" hidden="1">#REF!</definedName>
    <definedName name="BExIH1B2YI20VW4616PDJF7E48XL" hidden="1">#REF!</definedName>
    <definedName name="BExIHBHXA7E7VUTBVHXXXCH3A5CL" hidden="1">#REF!</definedName>
    <definedName name="BExIHPQCQTGEW8QOJVIQ4VX0P6DX" hidden="1">#REF!</definedName>
    <definedName name="BExIHXZ57H7KGLOJT612HCQ29YHL" hidden="1">#REF!</definedName>
    <definedName name="BExII1KN91Q7DLW0UB7W2TJ5ACT9" hidden="1">#REF!</definedName>
    <definedName name="BExII50LI8I0CDOOZEMIVHVA2V95" hidden="1">#REF!</definedName>
    <definedName name="BExIIS3FHKLP4BHLEXFYNERK241H" hidden="1">#REF!</definedName>
    <definedName name="BExIIXMY38TQD12CVV4S57L3I809" hidden="1">#REF!</definedName>
    <definedName name="BExIIY37NEVU2LGS1JE4VR9AN6W4" hidden="1">#REF!</definedName>
    <definedName name="BExIIYE0CLQLR05TETPWAXTMQQ1F" hidden="1">#REF!</definedName>
    <definedName name="BExIIYJAGXR8TPZ1KCYM7EGJ79UW" hidden="1">#REF!</definedName>
    <definedName name="BExIJ18MD3Z72EMVDN3EKZ7RY7BL" hidden="1">#REF!</definedName>
    <definedName name="BExIJ3160YCWGAVEU0208ZGXXG3P" hidden="1">#REF!</definedName>
    <definedName name="BExIJ7TTAQOHX5AX9U66XEIG4M0J" hidden="1">#REF!</definedName>
    <definedName name="BExIJFGZJ5ED9D6KAY4PGQYLELAX" hidden="1">#REF!</definedName>
    <definedName name="BExIJGIORJFLMQREB95M5ENHAGQP" hidden="1">#REF!</definedName>
    <definedName name="BExIJHV5V18T5YCVFG70WNPIFRQF" hidden="1">#REF!</definedName>
    <definedName name="BExIJIX18Y0G0ORB01O8Z9VVHBNK" hidden="1">#REF!</definedName>
    <definedName name="BExIJK9NZTN7R0W48RV6HZDUWTN7" hidden="1">#REF!</definedName>
    <definedName name="BExIJQK80ZEKSTV62E59AYJYUNLI" hidden="1">#REF!</definedName>
    <definedName name="BExIJQPJY6JI5LSRATMOBL758V54" hidden="1">#REF!</definedName>
    <definedName name="BExIJRLX3M0YQLU1D5Y9V7HM5QNM" hidden="1">#REF!</definedName>
    <definedName name="BExIJS7HD0VYT6QXSICQ76BDYMOY" hidden="1">#REF!</definedName>
    <definedName name="BExIJSCZPK3VXBVCDCH21NYRG867" hidden="1">#REF!</definedName>
    <definedName name="BExIJT3U0BGS8ZDDSTCFUE6XQQ7A" hidden="1">#REF!</definedName>
    <definedName name="BExIJV22J0QA7286KNPMHO1ZUCB3" hidden="1">#REF!</definedName>
    <definedName name="BExIJVI6OC7B6ZE9V4PAOYZXKNER" hidden="1">#REF!</definedName>
    <definedName name="BExIJWEJYW0T4GVBV13E84U20DXK" hidden="1">#REF!</definedName>
    <definedName name="BExIJWK0NGTGQ4X7D5VIVXD14JHI" hidden="1">#REF!</definedName>
    <definedName name="BExIJWPCIYINEJUTXU74VK7WG031" hidden="1">#REF!</definedName>
    <definedName name="BExIK6W69YR4DRBHREWN525D1R13" hidden="1">#REF!</definedName>
    <definedName name="BExIKBOU2QQ30LW5OKJY2EVRW0AU" hidden="1">#REF!</definedName>
    <definedName name="BExIKHTXPZR5A8OHB6HDP6QWDHAD" hidden="1">#REF!</definedName>
    <definedName name="BExIKK2X3YA9GUZY788S3ENRX8KA" hidden="1">#REF!</definedName>
    <definedName name="BExIKMMJOETSAXJYY1SIKM58LMA2" hidden="1">#REF!</definedName>
    <definedName name="BExIKMMK0SBHDAFR1L5SVDYNIJ3J" hidden="1">#REF!</definedName>
    <definedName name="BExIKRF6AQ6VOO9KCIWSM6FY8M7D" hidden="1">#REF!</definedName>
    <definedName name="BExIKTYZESFT3LC0ASFMFKSE0D1X" hidden="1">#REF!</definedName>
    <definedName name="BExIKXVA6M8K0PTRYAGXS666L335" hidden="1">#REF!</definedName>
    <definedName name="BExIL0PMZ2SXK9R6MLP43KBU1J2P" hidden="1">#REF!</definedName>
    <definedName name="BExIL93S6T2WZ3C5IYBZJ9NXFQFB" hidden="1">#REF!</definedName>
    <definedName name="BExILAAXRTRAD18K74M6MGUEEPUM" hidden="1">#REF!</definedName>
    <definedName name="BExILG5F338C0FFLMVOKMKF8X5ZP" hidden="1">#REF!</definedName>
    <definedName name="BExILGQTQM0HOD0BJI90YO7GOIN3" hidden="1">#REF!</definedName>
    <definedName name="BExILGQVKR7YBWTJYXKMYHU22RBG" hidden="1">#REF!</definedName>
    <definedName name="BExIM80PEIZBOI3U3Z89YC3WGFUV" hidden="1">#REF!</definedName>
    <definedName name="BExIM9DBUB7ZGF4B20FVUO9QGOX2" hidden="1">#REF!</definedName>
    <definedName name="BExIMBWYMNX17ZEDIL2WOR1Z6JOH" hidden="1">#REF!</definedName>
    <definedName name="BExIMGK9Z94TFPWWZFMD10HV0IF6" hidden="1">#REF!</definedName>
    <definedName name="BExIMGV3JT48B3Y9X1TVA4WYPSWA" hidden="1">#REF!</definedName>
    <definedName name="BExIML7G417YHB0WIEQJ8AOXPMRK" hidden="1">#REF!</definedName>
    <definedName name="BExIMPEGKG18TELVC33T4OQTNBWC" hidden="1">#REF!</definedName>
    <definedName name="BExIMQ5JANQR1TANVMZDS6PI4MGP" hidden="1">#REF!</definedName>
    <definedName name="BExIN1E3SOG04XVYE68MMMLWONEM" hidden="1">#REF!</definedName>
    <definedName name="BExIN4OR435DL1US13JQPOQK8GD5" hidden="1">#REF!</definedName>
    <definedName name="BExINBQ8MDEYM4HQXQLKBBAF81GH" hidden="1">#REF!</definedName>
    <definedName name="BExINBQ8TU9QK695XF2XLSCYXM6E" hidden="1">#REF!</definedName>
    <definedName name="BExINCXKJYBVP3F27K08BC46FOK0" hidden="1">#REF!</definedName>
    <definedName name="BExING2SORL454LCM27VSWXFBU9K" hidden="1">#REF!</definedName>
    <definedName name="BExINI6A7H3KSFRFA6UBBDPKW37F" hidden="1">#REF!</definedName>
    <definedName name="BExINIMK8XC3JOBT2EXYFHHH52H0" hidden="1">#REF!</definedName>
    <definedName name="BExINLX401ZKEGWU168DS4JUM2J6" hidden="1">#REF!</definedName>
    <definedName name="BExINMYYJO1FTV1CZF6O5XCFAMQX" hidden="1">#REF!</definedName>
    <definedName name="BExINP2H4KI05FRFV5PKZFE00HKO" hidden="1">#REF!</definedName>
    <definedName name="BExINQEWWHE2VRV2XU9LW6X986M4" hidden="1">#REF!</definedName>
    <definedName name="BExINZELVWYGU876QUUZCIMXPBQC" hidden="1">#REF!</definedName>
    <definedName name="BExINZENAP50LB7Y0UUD72HLB9YX" hidden="1">#REF!</definedName>
    <definedName name="BExIO007UKDGP5HADCED53LXU03G" hidden="1">#REF!</definedName>
    <definedName name="BExIO0WK2X9DHIQD4ESLBSFFAH4T" hidden="1">#REF!</definedName>
    <definedName name="BExIOACIT512JO4ODD8CJGP76SJE" hidden="1">#REF!</definedName>
    <definedName name="BExIOCQUQHKUU1KONGSDOLQTQEIC" hidden="1">#REF!</definedName>
    <definedName name="BExIOFL8Y5O61VLKTB4H20IJNWS1" hidden="1">#REF!</definedName>
    <definedName name="BExIOGHM6D130626XAZLN6H5XHML" hidden="1">#REF!</definedName>
    <definedName name="BExIOL4YC6J0R0HP3JSOXN5H3EEV" hidden="1">#REF!</definedName>
    <definedName name="BExIOMBXRW5NS4ZPYX9G5QREZ5J6" hidden="1">#REF!</definedName>
    <definedName name="BExIOMHFJXZFT8D643PP4J05OTH6" hidden="1">#REF!</definedName>
    <definedName name="BExIORA3GK78T7C7SNBJJUONJ0LS" hidden="1">#REF!</definedName>
    <definedName name="BExIORFDXP4AVIEBLSTZ8ETSXMNM" hidden="1">#REF!</definedName>
    <definedName name="BExIOSS043CT9OIZY1ER07QNLOXS" hidden="1">#REF!</definedName>
    <definedName name="BExIOTZ5EFZ2NASVQ05RH15HRSW6" hidden="1">#REF!</definedName>
    <definedName name="BExIP8YNN6UUE1GZ223SWH7DLGKO" hidden="1">#REF!</definedName>
    <definedName name="BExIPAB4AOL592OJCC1CFAXTLF1A" hidden="1">#REF!</definedName>
    <definedName name="BExIPB25DKX4S2ZCKQN7KWSC3JBF" hidden="1">#REF!</definedName>
    <definedName name="BExIPDLT8JYAMGE5HTN4D1YHZF3V" hidden="1">#REF!</definedName>
    <definedName name="BExIPE7DI6HVS74AN0QHIXDPZNRR" hidden="1">#REF!</definedName>
    <definedName name="BExIPFEITLJI3EBB4Y33J9UCQL0E" hidden="1">#REF!</definedName>
    <definedName name="BExIPG040Q08EWIWL6CAVR3GRI43" hidden="1">#REF!</definedName>
    <definedName name="BExIPKNFUDPDKOSH5GHDVNA8D66S" hidden="1">#REF!</definedName>
    <definedName name="BExIPQHS9S81IYFNN9JCDXOMN5DP" hidden="1">#REF!</definedName>
    <definedName name="BExIQ1VS9A2FHVD9TUHKG9K8EVVP" hidden="1">#REF!</definedName>
    <definedName name="BExIQ2S47E9LW6U9HWDIRUXLGWD9" hidden="1">#REF!</definedName>
    <definedName name="BExIQ38829CYI2X26XUR3TGQJFU0" hidden="1">#REF!</definedName>
    <definedName name="BExIQ3J19L30PSQ2CXNT6IHW0I7V" hidden="1">#REF!</definedName>
    <definedName name="BExIQ3OJ7M04XCY276IO0LJA5XUK" hidden="1">#REF!</definedName>
    <definedName name="BExIQ5S19ITB0NDRUN4XV7B905ED" hidden="1">#REF!</definedName>
    <definedName name="BExIQ6J418BEXXC4007ZYLCJJ1CR" hidden="1">#REF!</definedName>
    <definedName name="BExIQ7FA84DY9Q8R1FMYY8XHH3EV" hidden="1">#REF!</definedName>
    <definedName name="BExIQ9TMQT2EIXSVQW7GVSOAW2VJ" hidden="1">#REF!</definedName>
    <definedName name="BExIQAVGP2YDMQ39Z5X37MJL6BHW" hidden="1">#REF!</definedName>
    <definedName name="BExIQBMDE1L6J4H27K1FMSHQKDSE" hidden="1">#REF!</definedName>
    <definedName name="BExIQE65LVXUOF3UZFO7SDHFJH22" hidden="1">#REF!</definedName>
    <definedName name="BExIQEBFXWIBHVID3HRY31QJKHES" hidden="1">#REF!</definedName>
    <definedName name="BExIQG9OO2KKBOWTMD1OXY36TEGA" hidden="1">#REF!</definedName>
    <definedName name="BExIQL7M98G5ODEF1NZO4N8772MO" hidden="1">#REF!</definedName>
    <definedName name="BExIQU1ZIAOR7QFYSAXWOSMPVIIC" hidden="1">#REF!</definedName>
    <definedName name="BExIQX1XBB31HZTYEEVOBSE3C5A6" hidden="1">#REF!</definedName>
    <definedName name="BExIQYP5T1TPAQYW7QU1Q98BKX7W" hidden="1">#REF!</definedName>
    <definedName name="BExIR0SNOCJN8LOGTGWEPMJGTP7T" hidden="1">#REF!</definedName>
    <definedName name="BExIR2ALYRP9FW99DK2084J7IIDC" hidden="1">#REF!</definedName>
    <definedName name="BExIR8FQETPTQYW37DBVDWG3J4JW" hidden="1">#REF!</definedName>
    <definedName name="BExIRAJA4WNFEJE0PAXTLLT4MYLM" hidden="1">#REF!</definedName>
    <definedName name="BExIRCSA7TX0FEBL43PWFEC35C7S" hidden="1">#REF!</definedName>
    <definedName name="BExIRRBGTY01OQOI3U5SW59RFDFI" hidden="1">#REF!</definedName>
    <definedName name="BExIS0LZFN1AK6UE2EKCAJPB65LK" hidden="1">#REF!</definedName>
    <definedName name="BExIS4T0DRF57HYO7OGG72KBOFOI" hidden="1">#REF!</definedName>
    <definedName name="BExIS77BJDDK18PGI9DSEYZPIL7P" hidden="1">#REF!</definedName>
    <definedName name="BExIS7Y7WLIOJS5ON1X64DRXO2KW" hidden="1">#REF!</definedName>
    <definedName name="BExIS8USL1T3Z97CZ30HJ98E2GXQ" hidden="1">#REF!</definedName>
    <definedName name="BExIS9GD96O3B5QIFVVVD043MWBL" hidden="1">#REF!</definedName>
    <definedName name="BExISC5B700MZUBFTQ9K4IKTF7HR" hidden="1">#REF!</definedName>
    <definedName name="BExISDHXS49S1H56ENBPRF1NLD5C" hidden="1">#REF!</definedName>
    <definedName name="BExISM1JLV54A21A164IURMPGUMU" hidden="1">#REF!</definedName>
    <definedName name="BExISN379HY87OZN7OTEDP9CUQ7C" hidden="1">#REF!</definedName>
    <definedName name="BExISRFKJYUZ4AKW44IJF7RF9Y90" hidden="1">#REF!</definedName>
    <definedName name="BExISRFPWGXE4A8H6DS1ABNXHB8E" hidden="1">#REF!</definedName>
    <definedName name="BExISYRZOSOC4JAV757YRAE6MBCR" hidden="1">#REF!</definedName>
    <definedName name="BExIT1MK8TBAK3SNP36A8FKDQSOK" hidden="1">#REF!</definedName>
    <definedName name="BExIT7GWWBPG77JBKCFBJ7L7JLVE" hidden="1">#REF!</definedName>
    <definedName name="BExITBNYANV2S8KD56GOGCKW393R" hidden="1">#REF!</definedName>
    <definedName name="BExITBT8DI4IG4V8UZ8TX2BZOOEB" hidden="1">#REF!</definedName>
    <definedName name="BExITNNIKMZ5RB7DU5RTIM4BHRKF" hidden="1">#REF!</definedName>
    <definedName name="BExITR3JEFE1NKI3WL9NY7EOZ4DJ" hidden="1">#REF!</definedName>
    <definedName name="BExITSLG269B5EF0U2LCGMHIN223" hidden="1">#REF!</definedName>
    <definedName name="BExITVQOROM0CM77E1EWPPUQ532J" hidden="1">#REF!</definedName>
    <definedName name="BExITVQUR8A0DHOVYPLYP7FU8758" hidden="1">#REF!</definedName>
    <definedName name="BExITWCA91TX0DZ7AHGJUWE4CNY1" hidden="1">#REF!</definedName>
    <definedName name="BExIUD4OJGH65NFNQ4VMCE3R4J1X" hidden="1">#REF!</definedName>
    <definedName name="BExIUQ0G8A0X90DBLH7PSI3EQWHE" hidden="1">#REF!</definedName>
    <definedName name="BExIUTB5OAAXYW0OFMP0PS40SPOB" hidden="1">#REF!</definedName>
    <definedName name="BExIUUT2MHIOV6R3WHA0DPM1KBKY" hidden="1">#REF!</definedName>
    <definedName name="BExIUYPDT1AM6MWGWQS646PIZIWC" hidden="1">#REF!</definedName>
    <definedName name="BExIUYUSRY6R7RVUJ66078AAGXNB" hidden="1">#REF!</definedName>
    <definedName name="BExIV0I2O9F8D1UK1SI8AEYR6U0A" hidden="1">#REF!</definedName>
    <definedName name="BExIV2LM38XPLRTWT0R44TMQ59E5" hidden="1">#REF!</definedName>
    <definedName name="BExIV3HY4S0YRV1F7XEMF2YHAR2I" hidden="1">#REF!</definedName>
    <definedName name="BExIV43K8RGKB3FJCUB3YBPILQSB" hidden="1">#REF!</definedName>
    <definedName name="BExIV6HUZFRIFLXW2SICKGTAH1PV" hidden="1">#REF!</definedName>
    <definedName name="BExIVC6WZMHRBRGIBUVX0CO2RK05" hidden="1">#REF!</definedName>
    <definedName name="BExIVCXWL6H5LD9DHDIA4F5U9TQL" hidden="1">#REF!</definedName>
    <definedName name="BExIVMOIPSEWSIHIDDLOXESQ28A0" hidden="1">#REF!</definedName>
    <definedName name="BExIVNFJ8F1JRL7BKWFHHH2BPZ3H" hidden="1">#REF!</definedName>
    <definedName name="BExIVNVNJX9BYDLC88NG09YF5XQ6" hidden="1">#REF!</definedName>
    <definedName name="BExIVQVKLMGSRYT1LFZH0KUIA4OR" hidden="1">#REF!</definedName>
    <definedName name="BExIVYTFI35KNR2XSA6N8OJYUTUR" hidden="1">#REF!</definedName>
    <definedName name="BExIW1TBWJ31LI54QVOMYWMP3RSD" hidden="1">#REF!</definedName>
    <definedName name="BExIW2V5LUD48BCZAMYTMR4MZPAN" hidden="1">#REF!</definedName>
    <definedName name="BExIWB3SY3WRIVIOF988DNNODBOA" hidden="1">#REF!</definedName>
    <definedName name="BExIWB99CG0H52LRD6QWPN4L6DV2" hidden="1">#REF!</definedName>
    <definedName name="BExIWDYD36VOAKOU3AKRBQG8VDZL" hidden="1">#REF!</definedName>
    <definedName name="BExIWG1W7XP9DFYYSZAIOSHM0QLQ" hidden="1">#REF!</definedName>
    <definedName name="BExIWH3KUK94B7833DD4TB0Y6KP9" hidden="1">#REF!</definedName>
    <definedName name="BExIWHP546RWRELGDSW311RH9EVM" hidden="1">#REF!</definedName>
    <definedName name="BExIWKE9MGIDWORBI43AWTUNYFAN" hidden="1">#REF!</definedName>
    <definedName name="BExIWKUDMFYOO8UXFHSQGECKYX4K" hidden="1">#REF!</definedName>
    <definedName name="BExIWS1CE03R9WHFJ9RH38NSPURQ" hidden="1">#REF!</definedName>
    <definedName name="BExIX34PM5DBTRHRQWP6PL6WIX88" hidden="1">#REF!</definedName>
    <definedName name="BExIX5OAP9KSUE5SIZCW9P39Q4WE" hidden="1">#REF!</definedName>
    <definedName name="BExIX7MDNKHXZ0MA9EG3J307NEN2" hidden="1">#REF!</definedName>
    <definedName name="BExIXGRJPVJMUDGSG7IHPXPNO69B" hidden="1">#REF!</definedName>
    <definedName name="BExIXJ0FB0U4QXM47EESPVPSLC3C" hidden="1">#REF!</definedName>
    <definedName name="BExIXL42ILWZC0ZVF1SNCIJE42OZ" hidden="1">#REF!</definedName>
    <definedName name="BExIXM5R87ZL3FHALWZXYCPHGX3E" hidden="1">#REF!</definedName>
    <definedName name="BExIXNCVZSMFGGT92DSFTP7268Z2" hidden="1">#REF!</definedName>
    <definedName name="BExIXOK2NUZQSLAS9KX8NR1VHGHJ" hidden="1">#REF!</definedName>
    <definedName name="BExIXS036ZCKT2Z8XZKLZ8PFWQGL" hidden="1">#REF!</definedName>
    <definedName name="BExIXY5CF9PFM0P40AZ4U51TMWV0" hidden="1">#REF!</definedName>
    <definedName name="BExIXZHTBAODVSS412V0AR4V9HPJ" hidden="1">#REF!</definedName>
    <definedName name="BExIY1W4P0JK4D6GKVN8GQO9IQMF" hidden="1">#REF!</definedName>
    <definedName name="BExIYEMS4S4R47Q5NQXPC0JYLP4Q" hidden="1">#REF!</definedName>
    <definedName name="BExIYEXE9IJ2NDFJ40R8B4KCUED8" hidden="1">#REF!</definedName>
    <definedName name="BExIYEXJBK8JDWIRSVV4RJSKZVV1" hidden="1">#REF!</definedName>
    <definedName name="BExIYF8CFOQC9R8VXTU5O5DP3PEB" hidden="1">#REF!</definedName>
    <definedName name="BExIYHMIT2DGWL4FX6OMNTXY43JN" hidden="1">#REF!</definedName>
    <definedName name="BExIYI2RH0K4225XO970K2IQ1E79" hidden="1">#REF!</definedName>
    <definedName name="BExIYMPZ0KS2KOJFQAUQJ77L7701" hidden="1">#REF!</definedName>
    <definedName name="BExIYOITUPJ34TKOB92E0ZWPRINM" hidden="1">#REF!</definedName>
    <definedName name="BExIYP9Q6FV9T0R9G3UDKLS4TTYX" hidden="1">#REF!</definedName>
    <definedName name="BExIYSKDZ4QHHMX814WYJ0RY27I0" hidden="1">#REF!</definedName>
    <definedName name="BExIYZGLDQ1TN7BIIN4RLDP31GIM" hidden="1">#REF!</definedName>
    <definedName name="BExIZ4K0EZJK6PW3L8SVKTJFSWW9" hidden="1">#REF!</definedName>
    <definedName name="BExIZ5LNJF164B74RR47KM7WTIU9" hidden="1">#REF!</definedName>
    <definedName name="BExIZAECOEZGBAO29QMV14E6XDIV" hidden="1">#REF!</definedName>
    <definedName name="BExIZD8WBD1BYP5TTH3ETAY3YCSS" hidden="1">#REF!</definedName>
    <definedName name="BExIZHQQIILNI36U9VS1HNHA2ZWG" hidden="1">#REF!</definedName>
    <definedName name="BExIZKVXYD5O2JBU81F2UFJZLLSI" hidden="1">#REF!</definedName>
    <definedName name="BExIZPZDHC8HGER83WHCZAHOX7LK" hidden="1">#REF!</definedName>
    <definedName name="BExIZY2PUZ0OF9YKK1B13IW0VS6G" hidden="1">#REF!</definedName>
    <definedName name="BExJ07TGKK6N254VC4BBQMVHJ2HS" hidden="1">#REF!</definedName>
    <definedName name="BExJ08KBRR2XMWW3VZMPSQKXHZUH" hidden="1">#REF!</definedName>
    <definedName name="BExJ0DYJWXGE7DA39PYL3WM05U9O" hidden="1">#REF!</definedName>
    <definedName name="BExJ0H997TDNAQ15NCGVHBXLUI5H" hidden="1">#REF!</definedName>
    <definedName name="BExJ0MY8SY5J5V50H3UKE78ODTVB" hidden="1">#REF!</definedName>
    <definedName name="BExJ0O5EKSMAAMTKY04K25FLBRDC" hidden="1">#REF!</definedName>
    <definedName name="BExJ0SCGMLQI04XFK1N4UQ71M54Y" hidden="1">#REF!</definedName>
    <definedName name="BExJ0XQO0OJPQN4Z7EV3OQYILGD3" hidden="1">#REF!</definedName>
    <definedName name="BExJ0YC98G37ML4N8FLP8D95EFRF" hidden="1">#REF!</definedName>
    <definedName name="BExKCDYKAEV45AFXHVHZZ62E5BM3" hidden="1">#REF!</definedName>
    <definedName name="BExKCQUIVN0ADL4HGM858S8LMCZZ" hidden="1">#REF!</definedName>
    <definedName name="BExKDKO0W4AGQO1V7K6Q4VM750FT" hidden="1">#REF!</definedName>
    <definedName name="BExKDLF10G7W77J87QWH3ZGLUCLW" hidden="1">#REF!</definedName>
    <definedName name="BExKDXENRTTUG3PXN3BN79Y2GD2T" hidden="1">#REF!</definedName>
    <definedName name="BExKE5HY7H4DMXQ3L2WL8RH27959" hidden="1">#REF!</definedName>
    <definedName name="BExKEFE0I3MT6ZLC4T1L9465HKTN" hidden="1">#REF!</definedName>
    <definedName name="BExKEK6O5BVJP4VY02FY7JNAZ6BT" hidden="1">#REF!</definedName>
    <definedName name="BExKEKXK6E6QX339ELPXDIRZSJE0" hidden="1">#REF!</definedName>
    <definedName name="BExKEOOIBMP7N8033EY2CJYCBX6H" hidden="1">#REF!</definedName>
    <definedName name="BExKEOOIRF5WQYNMJFY4F1IVFOEW" hidden="1">#REF!</definedName>
    <definedName name="BExKEW0RR5LA3VC46A2BEOOMQE56" hidden="1">#REF!</definedName>
    <definedName name="BExKF32DU7CG48ZHY7AME93KKA62" hidden="1">#REF!</definedName>
    <definedName name="BExKFA3VI1CZK21SM0N3LZWT9LA1" hidden="1">#REF!</definedName>
    <definedName name="BExKFFI3CRB8QWV7417IRRNF8ZJ8" hidden="1">#REF!</definedName>
    <definedName name="BExKFG3O095WRJDM5SKS6UTKZRZP" hidden="1">#REF!</definedName>
    <definedName name="BExKFI77AJO6DO2P52XOJL24V3PH" hidden="1">#REF!</definedName>
    <definedName name="BExKFINBFV5J2NFRCL4YUO3YF0ZE" hidden="1">#REF!</definedName>
    <definedName name="BExKFISRBFACTAMJSALEYMY66F6X" hidden="1">#REF!</definedName>
    <definedName name="BExKFOSK5DJ151C4E8544UWMYTOC" hidden="1">#REF!</definedName>
    <definedName name="BExKFYJC4EVEV54F82K6VKP7Q3OU" hidden="1">#REF!</definedName>
    <definedName name="BExKG4IYHBKQQ8J8FN10GB2IKO33" hidden="1">#REF!</definedName>
    <definedName name="BExKGF0L44S78D33WMQ1A75TRKB9" hidden="1">#REF!</definedName>
    <definedName name="BExKGFRN31B3G20LMQ4LRF879J68" hidden="1">#REF!</definedName>
    <definedName name="BExKGIM2XT3S8AZGO2M2MDHGYQU5" hidden="1">#REF!</definedName>
    <definedName name="BExKGJD3U3ADZILP20U3EURP0UQP" hidden="1">#REF!</definedName>
    <definedName name="BExKGL5OOTM4HVVRPPS819VTCRQD" hidden="1">#REF!</definedName>
    <definedName name="BExKGNK5YGKP0YHHTAAOV17Z9EIM" hidden="1">#REF!</definedName>
    <definedName name="BExKGO0A3KDPLF0WJ8RWZWUOJKSL" hidden="1">#REF!</definedName>
    <definedName name="BExKGV77YH9YXIQTRKK2331QGYKF" hidden="1">#REF!</definedName>
    <definedName name="BExKH3FTZ5VGTB86W9M4AB39R0G8" hidden="1">#REF!</definedName>
    <definedName name="BExKH3FV5U5O6XZM7STS3NZKQFGJ" hidden="1">#REF!</definedName>
    <definedName name="BExKH9QFFQUHXYG7BN6Z0GC6RG2M" hidden="1">#REF!</definedName>
    <definedName name="BExKHAMUH8NR3HRV0V6FHJE3ROLN" hidden="1">#REF!</definedName>
    <definedName name="BExKHCFKOWFHO2WW0N7Y5XDXEWAO" hidden="1">#REF!</definedName>
    <definedName name="BExKHIVLONZ46HLMR50DEXKEUNEP" hidden="1">#REF!</definedName>
    <definedName name="BExKHNIRWNA7GQSRH2E7WY6N27BN" hidden="1">#REF!</definedName>
    <definedName name="BExKHPM9XA0ADDK7TUR0N38EXWEP" hidden="1">#REF!</definedName>
    <definedName name="BExKHQ2JJD71P05CP9HUEF1Y6DO3" hidden="1">#REF!</definedName>
    <definedName name="BExKHS0LOV5KU0UPXQCXYMFUDJY8" hidden="1">#REF!</definedName>
    <definedName name="BExKHTYUOF7RLMNE7U6HJ9NYLVGP" hidden="1">#REF!</definedName>
    <definedName name="BExKHWNWV9KC4VDFPBQ2JQVHV09K" hidden="1">#REF!</definedName>
    <definedName name="BExKI39B783DR3KGN9Y4S7B6CA6Y" hidden="1">#REF!</definedName>
    <definedName name="BExKI3K3BXJDEQA5KIAVNE4QZRIL" hidden="1">#REF!</definedName>
    <definedName name="BExKI4076KXCDE5KXL79KT36OKLO" hidden="1">#REF!</definedName>
    <definedName name="BExKI7LO70WYISR7Q0Y1ZDWO9M3B" hidden="1">#REF!</definedName>
    <definedName name="BExKIGQV6TXIZG039HBOJU62WP2U" hidden="1">#REF!</definedName>
    <definedName name="BExKILE008SF3KTAN8WML3XKI1NZ" hidden="1">#REF!</definedName>
    <definedName name="BExKINSBB6RS7I489QHMCOMU4Z2X" hidden="1">#REF!</definedName>
    <definedName name="BExKINXMUAYO91Q4VUU3WSSH3ONH" hidden="1">#REF!</definedName>
    <definedName name="BExKIU87ZKSOC2DYZWFK6SAK9I8E" hidden="1">#REF!</definedName>
    <definedName name="BExKIZBN36S5S29U39ZK5J2VGK1E" hidden="1">#REF!</definedName>
    <definedName name="BExKJ1VEPWPG9G06VPBYV6V1ZNXT" hidden="1">#REF!</definedName>
    <definedName name="BExKJ449HLYX2DJ9UF0H9GTPSQ73" hidden="1">#REF!</definedName>
    <definedName name="BExKJAKBXFQEKBABFZA4QC2WY71C" hidden="1">#REF!</definedName>
    <definedName name="BExKJC7KF6HURNT83HSQGATUUSZ5" hidden="1">#REF!</definedName>
    <definedName name="BExKJELX2RUC8UEC56IZPYYZXHA7" hidden="1">#REF!</definedName>
    <definedName name="BExKJGPGC7OA48AT97GH0R24AK6I" hidden="1">#REF!</definedName>
    <definedName name="BExKJINMXS61G2TZEXCJAWVV4F57" hidden="1">#REF!</definedName>
    <definedName name="BExKJK5ME8KB7HA0180L7OUZDDGV" hidden="1">#REF!</definedName>
    <definedName name="BExKJN5IF0VMDILJ5K8ZENF2QYV1" hidden="1">#REF!</definedName>
    <definedName name="BExKJUSJPFUIK20FTVAFJWR2OUYX" hidden="1">#REF!</definedName>
    <definedName name="BExKK1JELHSXOWDF8GO6IDDOR29T" hidden="1">#REF!</definedName>
    <definedName name="BExKK8VP5RS3D0UXZVKA37C4SYBP" hidden="1">#REF!</definedName>
    <definedName name="BExKKE9V10JYIZVJE4T3BEQDQ1T4" hidden="1">#REF!</definedName>
    <definedName name="BExKKHVCAF4SUF997ETI094WGICY" hidden="1">#REF!</definedName>
    <definedName name="BExKKIM9NPF6B3SPMPIQB27HQME4" hidden="1">#REF!</definedName>
    <definedName name="BExKKIX1BCBQ4R3K41QD8NTV0OV0" hidden="1">#REF!</definedName>
    <definedName name="BExKKQ3ZWADYV03YHMXDOAMU90EB" hidden="1">#REF!</definedName>
    <definedName name="BExKKUGD2HMJWQEYZ8H3X1BMXFS9" hidden="1">#REF!</definedName>
    <definedName name="BExKKX05KCZZZPKOR1NE5A8RGVT4" hidden="1">#REF!</definedName>
    <definedName name="BExKKZJYCWI3J09F53IX1TWNZ2XY" hidden="1">#REF!</definedName>
    <definedName name="BExKL2ULQ8ACMYYAT22YEXPU97LK" hidden="1">#REF!</definedName>
    <definedName name="BExKL3G8C4Z2T86NZU90K0M38GIH" hidden="1">#REF!</definedName>
    <definedName name="BExKLCW0W6YVZZNRCODIB74JBNY4" hidden="1">#REF!</definedName>
    <definedName name="BExKLD6S9L66QYREYHBE5J44OK7X" hidden="1">#REF!</definedName>
    <definedName name="BExKLEZK32L28GYJWVO63BZ5E1JD" hidden="1">#REF!</definedName>
    <definedName name="BExKLGS8V3GVSJF3JKCDIDXBDIXO" hidden="1">#REF!</definedName>
    <definedName name="BExKLLKVVHT06LA55JB2FC871DC5" hidden="1">#REF!</definedName>
    <definedName name="BExKM0KECCMQS4N6T9WP9N04KSAZ" hidden="1">#REF!</definedName>
    <definedName name="BExKM3V2T5IL6JNTQ1YFXBIO68EV" hidden="1">#REF!</definedName>
    <definedName name="BExKMLOZM5P73THM6HDZLL2M39EW" hidden="1">#REF!</definedName>
    <definedName name="BExKMN6X7TV8SQAPBA33SU6AFFXG" hidden="1">#REF!</definedName>
    <definedName name="BExKMTSAQK200TRBW0DJL9H4XEP7" hidden="1">#REF!</definedName>
    <definedName name="BExKMVFJVCDR84JACQYU0CFC04X5" hidden="1">#REF!</definedName>
    <definedName name="BExKMWBX4EH3EYJ07UFEM08NB40Z" hidden="1">#REF!</definedName>
    <definedName name="BExKNBGV2IR3S7M0BX4810KZB4V3" hidden="1">#REF!</definedName>
    <definedName name="BExKNCTBZTSY3MO42VU5PLV6YUHZ" hidden="1">#REF!</definedName>
    <definedName name="BExKNGV2YY749C42AQ2T9QNIE5C3" hidden="1">#REF!</definedName>
    <definedName name="BExKNLIA8WS1ITWAHAR9FS1JNR6V" hidden="1">#REF!</definedName>
    <definedName name="BExKNOCT09YRBJO1JYH517CTADP4" hidden="1">#REF!</definedName>
    <definedName name="BExKNV8UOHVWEHDJWI2WMJ9X6QHZ" hidden="1">#REF!</definedName>
    <definedName name="BExKNXCJ36LQVDFNH6FGTCB468IV" hidden="1">#REF!</definedName>
    <definedName name="BExKNZLD7UATC1MYRNJD8H2NH4KU" hidden="1">#REF!</definedName>
    <definedName name="BExKNZQUKQQG2Y97R74G4O4BJP1L" hidden="1">#REF!</definedName>
    <definedName name="BExKO06X0EAD3ABEG1E8PWLDWHBA" hidden="1">#REF!</definedName>
    <definedName name="BExKO2AHHSGNI1AZOIOW21KPXKPE" hidden="1">#REF!</definedName>
    <definedName name="BExKO2FXWJWC5IZLDN8JHYILQJ2N" hidden="1">#REF!</definedName>
    <definedName name="BExKO438WZ8FKOU00NURGFMOYXWN" hidden="1">#REF!</definedName>
    <definedName name="BExKODIZGWW2EQD0FEYW6WK6XLCM" hidden="1">#REF!</definedName>
    <definedName name="BExKOL68DJW4C44CS71787GHQ5T0" hidden="1">#REF!</definedName>
    <definedName name="BExKOPO2HPWVQGAKW8LOZMPIDEFG" hidden="1">#REF!</definedName>
    <definedName name="BExKP0LSJTHDOWS0PHK2XLNR9FZR" hidden="1">#REF!</definedName>
    <definedName name="BExKP7CIMD1BSY21RPHDLID7CHW0" hidden="1">#REF!</definedName>
    <definedName name="BExKP7NAFJN7PG7ODNA1US9DAYZI" hidden="1">#REF!</definedName>
    <definedName name="BExKP8ECHV287LBBL1OKE2H4UV17" hidden="1">#REF!</definedName>
    <definedName name="BExKP9AP97MA45MAF83425WLEQ41" hidden="1">#REF!</definedName>
    <definedName name="BExKPEZP0QTKOTLIMMIFSVTHQEEK" hidden="1">#REF!</definedName>
    <definedName name="BExKPF507WT671T3YRYJDQ724R8L" hidden="1">#REF!</definedName>
    <definedName name="BExKPLQJX0HJ8OTXBXH9IC9J2V0W" hidden="1">#REF!</definedName>
    <definedName name="BExKPN8C7GN36ZJZHLOB74LU6KT0" hidden="1">#REF!</definedName>
    <definedName name="BExKPQZBQEY1TU2HAI17R93QN26X" hidden="1">#REF!</definedName>
    <definedName name="BExKPS0YZ42IDMCSEIXQ1UZPKP06" hidden="1">#REF!</definedName>
    <definedName name="BExKPX9VZ1J5021Q98K60HMPJU58" hidden="1">#REF!</definedName>
    <definedName name="BExKPYBL9S1U3J79CJ4XK9OBIGTF" hidden="1">#REF!</definedName>
    <definedName name="BExKQGWJFA8L22K6GRTTAJ5W5LHY" hidden="1">#REF!</definedName>
    <definedName name="BExKQJGAAWNM3NT19E9I0CQDBTU0" hidden="1">#REF!</definedName>
    <definedName name="BExKQM5GJ1ZN5REKFE7YVBQ0KXWF" hidden="1">#REF!</definedName>
    <definedName name="BExKQOEA7HV9U5DH9C8JXFD62EKH" hidden="1">#REF!</definedName>
    <definedName name="BExKQQ71278061G7ZFYGPWOMOMY2" hidden="1">#REF!</definedName>
    <definedName name="BExKQTXRG3ECU8NT47UR7643LO5G" hidden="1">#REF!</definedName>
    <definedName name="BExKQU39WW9FIAX8N2ON309T8RYP" hidden="1">#REF!</definedName>
    <definedName name="BExKQVL7HPOIZ4FHANDFMVOJLEPR" hidden="1">#REF!</definedName>
    <definedName name="BExKQXZJP38RYITJ51EQOBA5DPP1" hidden="1">#REF!</definedName>
    <definedName name="BExKR32XG1WY77WDT8KW9FJPGQTU" hidden="1">#REF!</definedName>
    <definedName name="BExKR8RZSEHW184G0Z56B4EGNU72" hidden="1">#REF!</definedName>
    <definedName name="BExKRGF6GDXPM6Q1W2M57MOVS3L2" hidden="1">#REF!</definedName>
    <definedName name="BExKRHWZA936QF94GAQ8GZHNLPQW" hidden="1">#REF!</definedName>
    <definedName name="BExKRVUSQ6PA7ZYQSTEQL3X7PB9P" hidden="1">#REF!</definedName>
    <definedName name="BExKRY3KZ7F7RB2KH8HXSQ85IEQO" hidden="1">#REF!</definedName>
    <definedName name="BExKRZWBU4G642SN8WAA1FVD3WLJ" hidden="1">#REF!</definedName>
    <definedName name="BExKS1ZVUVFTCGZJN022M99IF8UG" hidden="1">#REF!</definedName>
    <definedName name="BExKS8W25S018ZUR2AEZNV1BNJB7" hidden="1">#REF!</definedName>
    <definedName name="BExKSA37DZTCK6H13HPIKR0ZFVL8" hidden="1">#REF!</definedName>
    <definedName name="BExKSFMOMSZYDE0WNC94F40S6636" hidden="1">#REF!</definedName>
    <definedName name="BExKSGZBYLEUTZ6GB143ED2QIC9I" hidden="1">#REF!</definedName>
    <definedName name="BExKSHQ9K79S8KYUWIV5M5LAHHF1" hidden="1">#REF!</definedName>
    <definedName name="BExKSIS3VA1NCEFCZZSIK8B3YIBZ" hidden="1">#REF!</definedName>
    <definedName name="BExKSJTWG9L3FCX8FLK4EMUJMF27" hidden="1">#REF!</definedName>
    <definedName name="BExKSU0MKNAVZYYPKCYTZDWQX4R8" hidden="1">#REF!</definedName>
    <definedName name="BExKSUX0I8Q7M1JMGMVSR44GSMCS" hidden="1">#REF!</definedName>
    <definedName name="BExKSV2GYHXMTDHXJQNXXV0ZGKXN" hidden="1">#REF!</definedName>
    <definedName name="BExKSX60G1MUS689FXIGYP2F7C62" hidden="1">#REF!</definedName>
    <definedName name="BExKSZV32W3K1FTWVRWS1OGZ70FK" hidden="1">#REF!</definedName>
    <definedName name="BExKT2UZ7Y2VWF5NQE18SJRLD2RN" hidden="1">#REF!</definedName>
    <definedName name="BExKT3GJFNGAM09H5F615E36A38C" hidden="1">#REF!</definedName>
    <definedName name="BExKT3RDVS9J14L7TRP8JEUREANY" hidden="1">#REF!</definedName>
    <definedName name="BExKT722EPZJUR7GVF4OBP2GZLN3" hidden="1">#REF!</definedName>
    <definedName name="BExKTFLFRIPH7879AMXA41SIDLHG" hidden="1">#REF!</definedName>
    <definedName name="BExKTQU0IADGPJTAS7WWM4Y0EPDY" hidden="1">#REF!</definedName>
    <definedName name="BExKTQZGN8GI3XGSEXMPCCA3S19H" hidden="1">#REF!</definedName>
    <definedName name="BExKTUKYYU0F6TUW1RXV24LRAZFE" hidden="1">#REF!</definedName>
    <definedName name="BExKTV6JGZTA8N6BYJHVJRY6MHKS" hidden="1">#REF!</definedName>
    <definedName name="BExKTWZA6KT1I26O0KAABPZQ8B8G" hidden="1">#REF!</definedName>
    <definedName name="BExKTYS0XV8QVS9MC7E0VMZXHUD8" hidden="1">#REF!</definedName>
    <definedName name="BExKU3FBLHQBIUTN6XEZW5GC9OG1" hidden="1">#REF!</definedName>
    <definedName name="BExKU82I99FEUIZLODXJDOJC96CQ" hidden="1">#REF!</definedName>
    <definedName name="BExKU8DAXLJTVCUHPB58WZ7LTO7I" hidden="1">#REF!</definedName>
    <definedName name="BExKUDM0DFSCM3D91SH0XLXJSL18" hidden="1">#REF!</definedName>
    <definedName name="BExKUHNRFC0IFK1EOYK7G1C8Y0SZ" hidden="1">#REF!</definedName>
    <definedName name="BExKUI9BJEVF21GXA0FGGULOUB5X" hidden="1">#REF!</definedName>
    <definedName name="BExKUL3R7572KSW2IW9CKLOQJM5A" hidden="1">#REF!</definedName>
    <definedName name="BExKULEKJLA77AUQPDUHSM94Y76Z" hidden="1">#REF!</definedName>
    <definedName name="BExKULUTJWZJVJXPFVUPGA41SCOE" hidden="1">#REF!</definedName>
    <definedName name="BExKUYAIUD1ZOCYMJYOKJA4L179P" hidden="1">#REF!</definedName>
    <definedName name="BExKV08R85MKI3MAX9E2HERNQUNL" hidden="1">#REF!</definedName>
    <definedName name="BExKV4AAUNNJL5JWD7PX6BFKVS6O" hidden="1">#REF!</definedName>
    <definedName name="BExKV7A6VNN5TFOQF5OWPTR6P3JS" hidden="1">#REF!</definedName>
    <definedName name="BExKVB14EHNC2OF60DBT375YA5HM" hidden="1">#REF!</definedName>
    <definedName name="BExKVDVK6HN74GQPTXICP9BFC8CF" hidden="1">#REF!</definedName>
    <definedName name="BExKVFZ3ZZGIC1QI8XN6BYFWN0ZY" hidden="1">#REF!</definedName>
    <definedName name="BExKVG4KGO28KPGTAFL1R8TTZ10N" hidden="1">#REF!</definedName>
    <definedName name="BExKW0CSH7DA02YSNV64PSEIXB2P" hidden="1">#REF!</definedName>
    <definedName name="BExKW2R3GEW8AOBC9HYU7DDDXMDI" hidden="1">#REF!</definedName>
    <definedName name="BExKWB57PD4T4UVZKQJZPMQI3DGE" hidden="1">#REF!</definedName>
    <definedName name="BExM99RCQHXR1P4EQCKE47M4QMF9" hidden="1">#REF!</definedName>
    <definedName name="BExM9JNEDFSLNOLKRW7NGT56IK3T" hidden="1">#REF!</definedName>
    <definedName name="BExM9KUJS21JKR8EZICS1RLNIGVS" hidden="1">#REF!</definedName>
    <definedName name="BExM9NUG3Q31X01AI9ZJCZIX25CS" hidden="1">#REF!</definedName>
    <definedName name="BExM9OG182RP30MY23PG49LVPZ1C" hidden="1">#REF!</definedName>
    <definedName name="BExMA64MW1S18NH8DCKPCCEI5KCB" hidden="1">#REF!</definedName>
    <definedName name="BExMA710LBMZFXYOVGPGPD45Y1CZ" hidden="1">#REF!</definedName>
    <definedName name="BExMALEWFUEM8Y686IT03ECURUBR" hidden="1">#REF!</definedName>
    <definedName name="BExMAPWPPXD0MHK223IRSZXGLXF5" hidden="1">#REF!</definedName>
    <definedName name="BExMATYC6MQGNJ323WAFLJ5MVN5D" hidden="1">#REF!</definedName>
    <definedName name="BExMAXJS82ZJ8RS22VLE0V0LDUII" hidden="1">#REF!</definedName>
    <definedName name="BExMB4QRS0R3MTB4CMUHFZ84LNZQ" hidden="1">#REF!</definedName>
    <definedName name="BExMBC35WKQY5CWQJLV4D05O6971" hidden="1">#REF!</definedName>
    <definedName name="BExMBFTZV4Q1A5KG25C1N9PHQNSW" hidden="1">#REF!</definedName>
    <definedName name="BExMBK6ISK3U7KHZKUJXIDKGF6VW" hidden="1">#REF!</definedName>
    <definedName name="BExMBS4DDXDQ6QLI3ZIENNKWNPCV" hidden="1">#REF!</definedName>
    <definedName name="BExMBYPQDG9AYDQ5E8IECVFREPO6" hidden="1">#REF!</definedName>
    <definedName name="BExMC37LEH6W1QF7ELV12PXAREIW" hidden="1">#REF!</definedName>
    <definedName name="BExMC5LUX74LL201G1BTS2RQ7CH2" hidden="1">#REF!</definedName>
    <definedName name="BExMC8AZUTX8LG89K2JJR7ZG62XX" hidden="1">#REF!</definedName>
    <definedName name="BExMCA96YR10V72G2R0SCIKPZLIZ" hidden="1">#REF!</definedName>
    <definedName name="BExMCB5JU5I2VQDUBS4O42BTEVKI" hidden="1">#REF!</definedName>
    <definedName name="BExMCDP7YXWCOQYHGZ6W65UL2H75" hidden="1">#REF!</definedName>
    <definedName name="BExMCE5G8DRHVCI1O0L06KFZEXME" hidden="1">#REF!</definedName>
    <definedName name="BExMCF1NN0HV8B96S60F1ELJ93GL" hidden="1">#REF!</definedName>
    <definedName name="BExMCF74CVEPYTZO77NT8EKNXHYM" hidden="1">#REF!</definedName>
    <definedName name="BExMCFSQFSEMPY5IXDIRKZDASDBR" hidden="1">#REF!</definedName>
    <definedName name="BExMCJ8UZTXMZE0UKDSWFRKM6WI1" hidden="1">#REF!</definedName>
    <definedName name="BExMCMZOEYWVOOJ98TBHTTCS7XB8" hidden="1">#REF!</definedName>
    <definedName name="BExMCQQHV6CPZ9T0LQ5B4C9XYQPN" hidden="1">#REF!</definedName>
    <definedName name="BExMCS8EF2W3FS9QADNKREYSI8P0" hidden="1">#REF!</definedName>
    <definedName name="BExMCUS7GSOM96J0HJ7EH0FFM2AC" hidden="1">#REF!</definedName>
    <definedName name="BExMCYTT6TVDWMJXO1NZANRTVNAN" hidden="1">#REF!</definedName>
    <definedName name="BExMD0S0O6UWXMRMWI104D7SIE8V" hidden="1">#REF!</definedName>
    <definedName name="BExMD2Q2CMBXI9PFBKL01JXAL9AW" hidden="1">#REF!</definedName>
    <definedName name="BExMD5F6IAV108XYJLXUO9HD0IT6" hidden="1">#REF!</definedName>
    <definedName name="BExMDANV66W9T3XAXID40XFJ0J93" hidden="1">#REF!</definedName>
    <definedName name="BExMDG2A4S9YQMRXNCWJOZO6UFJ9" hidden="1">#REF!</definedName>
    <definedName name="BExMDGD1KQP7NNR78X2ZX4FCBQ1S" hidden="1">#REF!</definedName>
    <definedName name="BExMDIRDK0DI8P86HB7WPH8QWLSQ" hidden="1">#REF!</definedName>
    <definedName name="BExMDPI2FVMORSWDDCVAJ85WYAYO" hidden="1">#REF!</definedName>
    <definedName name="BExMDTP4X1T58BERTWEO20MRHGJE" hidden="1">#REF!</definedName>
    <definedName name="BExMDUWB7VWHFFR266QXO46BNV2S" hidden="1">#REF!</definedName>
    <definedName name="BExMDWP0UULBAOAXQ7IHCR83EGZ1" hidden="1">#REF!</definedName>
    <definedName name="BExME0L9PJNE6JNWAMDSHTQWE9NJ" hidden="1">#REF!</definedName>
    <definedName name="BExME1N4E2BUKRSD8E88PYQVG480" hidden="1">#REF!</definedName>
    <definedName name="BExME2U47N8LZG0BPJ49ANY5QVV2" hidden="1">#REF!</definedName>
    <definedName name="BExME7BZ46VI3VUHZ6IS3V7XNZK2" hidden="1">#REF!</definedName>
    <definedName name="BExME88DH5DUKMUFI9FNVECXFD2E" hidden="1">#REF!</definedName>
    <definedName name="BExME9A7MOGAK7YTTQYXP5DL6VYA" hidden="1">#REF!</definedName>
    <definedName name="BExMEOV9YFRY5C3GDLU60GIX10BY" hidden="1">#REF!</definedName>
    <definedName name="BExMEXEP01ORU9NM74HX6PN1EURN" hidden="1">#REF!</definedName>
    <definedName name="BExMEY09ESM4H2YGKEQQRYUD114R" hidden="1">#REF!</definedName>
    <definedName name="BExMF4G4IUPQY1Y5GEY5N3E04CL6" hidden="1">#REF!</definedName>
    <definedName name="BExMF9UIGYMOAQK0ELUWP0S0HZZY" hidden="1">#REF!</definedName>
    <definedName name="BExMFDLBSWFMRDYJ2DZETI3EXKN2" hidden="1">#REF!</definedName>
    <definedName name="BExMFHHLEOZH5RYOD1TZJU17EINE" hidden="1">#REF!</definedName>
    <definedName name="BExMFHSBV8AR2QIP7WK1XL5T47KK" hidden="1">#REF!</definedName>
    <definedName name="BExMFJAB6KC5KDBE533O9KEYE9C5" hidden="1">#REF!</definedName>
    <definedName name="BExMFLDTMRTCHKA37LQW67BG8D5C" hidden="1">#REF!</definedName>
    <definedName name="BExMFQBS62MZ4GSLEA6AQ75EMJWU" hidden="1">#REF!</definedName>
    <definedName name="BExMGG3PFIHPHX7NXB7HDFI3N12L" hidden="1">#REF!</definedName>
    <definedName name="BExMGKG7YFJR1FAO8SZCND7ANETZ" hidden="1">#REF!</definedName>
    <definedName name="BExMGLCGTC7QURU6MBKMR8HSCZTN" hidden="1">#REF!</definedName>
    <definedName name="BExMGWVXR88382SS8LCWLJ1IDHMW" hidden="1">#REF!</definedName>
    <definedName name="BExMH3H9TW5TJCNU5Z1EWXP3BAEP" hidden="1">#REF!</definedName>
    <definedName name="BExMHOWPB34KPZ76M2KIX2C9R2VB" hidden="1">#REF!</definedName>
    <definedName name="BExMHSSYC6KVHA3QDTSYPN92TWMI" hidden="1">#REF!</definedName>
    <definedName name="BExMHUGC7HTK0RVYD07K2429IP2G" hidden="1">#REF!</definedName>
    <definedName name="BExMI0WA793SF41LQ40A28U8OXQY" hidden="1">#REF!</definedName>
    <definedName name="BExMI3AJ9477KDL4T9DHET4LJJTW" hidden="1">#REF!</definedName>
    <definedName name="BExMI4SIN84BOVCQMOZUPZ5U23I4" hidden="1">#REF!</definedName>
    <definedName name="BExMI6L9KX05GAK523JFKICJMTA5" hidden="1">#REF!</definedName>
    <definedName name="BExMI6QQ20XHD0NWJUN741B37182" hidden="1">#REF!</definedName>
    <definedName name="BExMI8DZXP4SIE4OA1QMYXSZVL7E" hidden="1">#REF!</definedName>
    <definedName name="BExMI8JB94SBD9EMNJEK7Y2T6GYU" hidden="1">#REF!</definedName>
    <definedName name="BExMI8OS85YTW3KYVE4YD0R7Z6UV" hidden="1">#REF!</definedName>
    <definedName name="BExMIBOOZU40JS3F89OMPSRCE9MM" hidden="1">#REF!</definedName>
    <definedName name="BExMIC4RSI9DQIK5BCZZIVF4VISM" hidden="1">#REF!</definedName>
    <definedName name="BExMIHJ02SZXBMPU4IZ0RGDQDG3D" hidden="1">#REF!</definedName>
    <definedName name="BExMIIFDLOED0O1GHRR972JANEO0" hidden="1">#REF!</definedName>
    <definedName name="BExMIIFE6DHEA2LIF148K2KBO320" hidden="1">#REF!</definedName>
    <definedName name="BExMIIQ5MBWSIHTFWAQADXMZC22Q" hidden="1">#REF!</definedName>
    <definedName name="BExMIJH7GR3XS5WS3JLQENAASLXM" hidden="1">#REF!</definedName>
    <definedName name="BExMIL4I2GE866I25CR5JBLJWJ6A" hidden="1">#REF!</definedName>
    <definedName name="BExMILKQYQ55JLCG2E1ZFWTS743Q" hidden="1">#REF!</definedName>
    <definedName name="BExMIRKIPF27SNO82SPFSB3T5U17" hidden="1">#REF!</definedName>
    <definedName name="BExMIV0KC8555D5E42ZGWG15Y0MO" hidden="1">#REF!</definedName>
    <definedName name="BExMIX42FMQBD04Z48YMDP08H2T5" hidden="1">#REF!</definedName>
    <definedName name="BExMIZT6AN7E6YMW2S87CTCN2UXH" hidden="1">#REF!</definedName>
    <definedName name="BExMJ15T9F3475M0896SG60TN0SR" hidden="1">#REF!</definedName>
    <definedName name="BExMJ2I9UKAI8F8YV7HPG5BU3W9Z" hidden="1">#REF!</definedName>
    <definedName name="BExMJ6EINZ7U8JLBR3LNEEMRZW5M" hidden="1">#REF!</definedName>
    <definedName name="BExMJIE4MZ89BUUY29ILL037WWSC" hidden="1">#REF!</definedName>
    <definedName name="BExMJL37ZN3GDU8UAT70B72UVU6O" hidden="1">#REF!</definedName>
    <definedName name="BExMJNC8ZFB9DRFOJ961ZAJ8U3A8" hidden="1">#REF!</definedName>
    <definedName name="BExMJRTXKH410RJVS0OV50V4LLK6" hidden="1">#REF!</definedName>
    <definedName name="BExMJTBV8A3D31W2IQHP9RDFPPHQ" hidden="1">#REF!</definedName>
    <definedName name="BExMK1PZJD4GHVYHAPJZGU5UGXPM" hidden="1">#REF!</definedName>
    <definedName name="BExMK2RTXN4QJWEUNX002XK8VQP8" hidden="1">#REF!</definedName>
    <definedName name="BExMKBGQDUZ8AWXYHA3QVMSDVZ3D" hidden="1">#REF!</definedName>
    <definedName name="BExMKBM1467553LDFZRRKVSHN374" hidden="1">#REF!</definedName>
    <definedName name="BExMKFT3JMVPWRODTCUAOT218TJL" hidden="1">#REF!</definedName>
    <definedName name="BExMKGK5FJUC0AU8MABRGDC5ZM70" hidden="1">#REF!</definedName>
    <definedName name="BExMKGPGR76VAMYCZ9PX2GO59T1G" hidden="1">#REF!</definedName>
    <definedName name="BExMKHLTQ88VCHQWVV8HNBMI30SH" hidden="1">#REF!</definedName>
    <definedName name="BExMKIYGZ13ZRNTZUSWEIL1U2D30" hidden="1">#REF!</definedName>
    <definedName name="BExMKTW7R5SOV4PHAFGHU3W73DYE" hidden="1">#REF!</definedName>
    <definedName name="BExMKU7051J2W1RQXGZGE62NBRUZ" hidden="1">#REF!</definedName>
    <definedName name="BExMKUN3WPECJR2XRID2R7GZRGNX" hidden="1">#REF!</definedName>
    <definedName name="BExMKV3CHGD2Z8WPGEIJW62G1SXN" hidden="1">#REF!</definedName>
    <definedName name="BExMKZ535P011X4TNV16GCOH4H21" hidden="1">#REF!</definedName>
    <definedName name="BExML0MWFCJTLP86RXAX6CJDD7KX" hidden="1">#REF!</definedName>
    <definedName name="BExML3XQNDIMX55ZCHHXKUV3D6E6" hidden="1">#REF!</definedName>
    <definedName name="BExML5QGSWHLI18BGY4CGOTD3UWH" hidden="1">#REF!</definedName>
    <definedName name="BExML5QH22SOS5C3HANWSD9YQQX1" hidden="1">#REF!</definedName>
    <definedName name="BExMLGO8AMWKDCCA3VYHZ3W74FW2" hidden="1">#REF!</definedName>
    <definedName name="BExMLO5Z61RE85X8HHX2G4IU3AZW" hidden="1">#REF!</definedName>
    <definedName name="BExMLR0E46BKDNDLLYGOBO52LH9K" hidden="1">#REF!</definedName>
    <definedName name="BExMLVI7UORSHM9FMO8S2EI0TMTS" hidden="1">#REF!</definedName>
    <definedName name="BExMM5UCOT2HSSN0ZIPZW55GSOVO" hidden="1">#REF!</definedName>
    <definedName name="BExMM6LFT3RGU87BFLXRYCI9UAAV" hidden="1">#REF!</definedName>
    <definedName name="BExMM7N4W5RV6JF8J3CE97JFOVFO" hidden="1">#REF!</definedName>
    <definedName name="BExMM8ZRS5RQ8H1H55RVPVTDL5NL" hidden="1">#REF!</definedName>
    <definedName name="BExMMCW1XL06J72H2Q8IWIXOLZ1B" hidden="1">#REF!</definedName>
    <definedName name="BExMMH8EAZB09XXQ5X4LR0P4NHG9" hidden="1">#REF!</definedName>
    <definedName name="BExMMIQH5BABNZVCIQ7TBCQ10AY5" hidden="1">#REF!</definedName>
    <definedName name="BExMMNIZ2T7M22WECMUQXEF4NJ71" hidden="1">#REF!</definedName>
    <definedName name="BExMMPMIOU7BURTV0L1K6ACW9X73" hidden="1">#REF!</definedName>
    <definedName name="BExMMPRZ70JNBV30RBMP3C071JIP" hidden="1">#REF!</definedName>
    <definedName name="BExMMQ835AJDHS4B419SS645P67Q" hidden="1">#REF!</definedName>
    <definedName name="BExMMQIUVPCOBISTEJJYNCCLUCPY" hidden="1">#REF!</definedName>
    <definedName name="BExMMTIXETA5VAKBSOFDD5SRU887" hidden="1">#REF!</definedName>
    <definedName name="BExMMV0P6P5YS3C35G0JYYHI7992" hidden="1">#REF!</definedName>
    <definedName name="BExMMXV9ZGQ6BFYZ1R9AHXZ1DJGH" hidden="1">#REF!</definedName>
    <definedName name="BExMN10HSJIY9ZIFHKI7DPQ6OY4T" hidden="1">#REF!</definedName>
    <definedName name="BExMN8I8JH2DC9N61OODQ0IEEA1F" hidden="1">#REF!</definedName>
    <definedName name="BExMN9PEEY57Z8DIXTFNTMC7ZIOS" hidden="1">#REF!</definedName>
    <definedName name="BExMNCP9SOWOJWQKUVQ7FEDFAP17" hidden="1">#REF!</definedName>
    <definedName name="BExMNDR4V2VG5RFZDGTAGD3Q9PPG" hidden="1">#REF!</definedName>
    <definedName name="BExMNFEF6BSZQ9UHVR6XGA9X40FO" hidden="1">#REF!</definedName>
    <definedName name="BExMNFP7107RCKAWLNTULDJUTCT4" hidden="1">#REF!</definedName>
    <definedName name="BExMNGLKHJ5GG2KZXRJU4YT8H89I" hidden="1">#REF!</definedName>
    <definedName name="BExMNJLFWZBRN9PZF1IO9CYWV1B2" hidden="1">#REF!</definedName>
    <definedName name="BExMNKCJ0FA57YEUUAJE43U1QN5P" hidden="1">#REF!</definedName>
    <definedName name="BExMNKN5D1WEF2OOJVP6LZ6DLU3Y" hidden="1">#REF!</definedName>
    <definedName name="BExMNMG0LOZ9915ALXFPD04QF82J" hidden="1">#REF!</definedName>
    <definedName name="BExMNNCAISLE9BYTN0BDWWI9CDFY" hidden="1">#REF!</definedName>
    <definedName name="BExMNR38HMPLWAJRQ9MMS3ZAZ9IU" hidden="1">#REF!</definedName>
    <definedName name="BExMNRDZU688R284SBVQOYYYM2MD" hidden="1">#REF!</definedName>
    <definedName name="BExMNRDZULKJMVY2VKIIRM2M5A1M" hidden="1">#REF!</definedName>
    <definedName name="BExMNXZCW1KJ1YCC6B25R7QEK5RV" hidden="1">#REF!</definedName>
    <definedName name="BExMO3IW61GB35FMKF98B1LC1O4U" hidden="1">#REF!</definedName>
    <definedName name="BExMO9IOWKTWHO8LQJJQI5P3INWY" hidden="1">#REF!</definedName>
    <definedName name="BExMOI29DOEK5R1A5QZPUDKF7N6T" hidden="1">#REF!</definedName>
    <definedName name="BExMOR7B7LEOT6LMTI84CYBZXGJI" hidden="1">#REF!</definedName>
    <definedName name="BExMOSEFYYDKPUXTWZDCE281LXXO" hidden="1">#REF!</definedName>
    <definedName name="BExMP4JCEVKIWU4AYOTYV3382YPC" hidden="1">#REF!</definedName>
    <definedName name="BExMP78M390O1OTO6JGKKJ1FUJBL" hidden="1">#REF!</definedName>
    <definedName name="BExMPAJ5AJAXGKGK3F6H3ODS6RF4" hidden="1">#REF!</definedName>
    <definedName name="BExMPD2X55FFBVJ6CBUKNPROIOEU" hidden="1">#REF!</definedName>
    <definedName name="BExMPGZ6FMW9G0GYTMLIQNT5FXFU" hidden="1">#REF!</definedName>
    <definedName name="BExMPGZ848E38FUH1JBQN97DGWAT" hidden="1">#REF!</definedName>
    <definedName name="BExMPJTL4L6ELFB33FSL7S632HLV" hidden="1">#REF!</definedName>
    <definedName name="BExMPMTICOSMQENOFKQ18K0ZT4S8" hidden="1">#REF!</definedName>
    <definedName name="BExMPMZ07II0R4KGWQQ7PGS3RZS4" hidden="1">#REF!</definedName>
    <definedName name="BExMPOBH04JMDO6Z8DMSEJZM4ANN" hidden="1">#REF!</definedName>
    <definedName name="BExMPR61WY2PGZ3VQSZF6CAT4D1J" hidden="1">#REF!</definedName>
    <definedName name="BExMPSD77XQ3HA6A4FZOJK8G2JP3" hidden="1">#REF!</definedName>
    <definedName name="BExMQ0RA6DF8AOGZ767WEW26EOA3" hidden="1">#REF!</definedName>
    <definedName name="BExMQ4I3Q7F0BMPHSFMFW9TZ87UD" hidden="1">#REF!</definedName>
    <definedName name="BExMQ4SWDWI4N16AZ0T5CJ6HH8WC" hidden="1">#REF!</definedName>
    <definedName name="BExMQ71WHW50GVX45JU951AGPLFQ" hidden="1">#REF!</definedName>
    <definedName name="BExMQE3D885PJ4T6YFRO0NOLL1M8" hidden="1">#REF!</definedName>
    <definedName name="BExMQGXSLPT4A6N47LE6FBVHWBOF" hidden="1">#REF!</definedName>
    <definedName name="BExMQSBR7PL4KLB1Q4961QO45Y4G" hidden="1">#REF!</definedName>
    <definedName name="BExMR1MA4I1X77714ZEPUVC8W398" hidden="1">#REF!</definedName>
    <definedName name="BExMR6EWHUSXFCZO7S2IVS71K7P9" hidden="1">#REF!</definedName>
    <definedName name="BExMR8YQHA7N77HGHY4Y6R30I3XT" hidden="1">#REF!</definedName>
    <definedName name="BExMRENOIARWRYOIVPDIEBVNRDO7" hidden="1">#REF!</definedName>
    <definedName name="BExMRLP6SYOUA1BQMYJ2ITZA5L6E" hidden="1">#REF!</definedName>
    <definedName name="BExMRRJNUMGRSDD5GGKKGEIZ6FTS" hidden="1">#REF!</definedName>
    <definedName name="BExMRSW4XH98TGKST1DNLTDSE1UR" hidden="1">#REF!</definedName>
    <definedName name="BExMRU3ACIU0RD2BNWO55LH5U2BR" hidden="1">#REF!</definedName>
    <definedName name="BExMRZC7EL4OC58DREMKUK6YS4LH" hidden="1">#REF!</definedName>
    <definedName name="BExMS2HEGS2OAT1PLKGGZ3FEAQTM" hidden="1">#REF!</definedName>
    <definedName name="BExMS6OG0GA5TQ92T7KOXI20TZFS" hidden="1">#REF!</definedName>
    <definedName name="BExMSQRCC40AP8BDUPL2I2DNC210" hidden="1">#REF!</definedName>
    <definedName name="BExO4J9LR712G00TVA82VNTG8O7H" hidden="1">#REF!</definedName>
    <definedName name="BExO4PK8UNZQA2YGFB6X7667LYCR" hidden="1">#REF!</definedName>
    <definedName name="BExO55G2KVZ7MIJ30N827CLH0I2A" hidden="1">#REF!</definedName>
    <definedName name="BExO5A8PZD9EUHC5CMPU6N3SQ15L" hidden="1">#REF!</definedName>
    <definedName name="BExO5XBHSM0WSCSZRY161DBU01A9" hidden="1">#REF!</definedName>
    <definedName name="BExO5XMAHL7CY3X0B1OPKZ28DCJ5" hidden="1">#REF!</definedName>
    <definedName name="BExO66LZJKY4PTQVREELI6POS4AY" hidden="1">#REF!</definedName>
    <definedName name="BExO67CW4PAPVVDZBRL3JIWI38OQ" hidden="1">#REF!</definedName>
    <definedName name="BExO6GY4HBV9DQGQVIPBOMF9ZMCM" hidden="1">#REF!</definedName>
    <definedName name="BExO6LLHCYTF7CIVHKAO0NMET14Q" hidden="1">#REF!</definedName>
    <definedName name="BExO6TJAZCD86EVELBJTSUSN9G1S" hidden="1">#REF!</definedName>
    <definedName name="BExO6UFNMUMQ1OBR8K4HPAGXTO2M" hidden="1">#REF!</definedName>
    <definedName name="BExO6UVXCCPJOO0K5G69R0TSCQDM" hidden="1">#REF!</definedName>
    <definedName name="BExO6VMU3VH42GFCOU2IB99PTS5X" hidden="1">#REF!</definedName>
    <definedName name="BExO74RZTLB1XAEIQ2FHBZXGGNSQ" hidden="1">#REF!</definedName>
    <definedName name="BExO79PXD9F912LSQBZTMH8OY0V1" hidden="1">#REF!</definedName>
    <definedName name="BExO7MB4G6O5VD7I93ZYQ4KS86UF" hidden="1">#REF!</definedName>
    <definedName name="BExO7OUQS3XTUQ2LDKGQ8AAQ3OJJ" hidden="1">#REF!</definedName>
    <definedName name="BExO7RUSODZC2NQZMT2AFSMV2ONF" hidden="1">#REF!</definedName>
    <definedName name="BExO85HMYXZJ7SONWBKKIAXMCI3C" hidden="1">#REF!</definedName>
    <definedName name="BExO863922O4PBGQMUNEQKGN3K96" hidden="1">#REF!</definedName>
    <definedName name="BExO89ZIOXN0HOKHY24F7HDZ87UT" hidden="1">#REF!</definedName>
    <definedName name="BExO8CDTBCABLEUD6PE2UM2EZ6C4" hidden="1">#REF!</definedName>
    <definedName name="BExO8IZ05ZG0XVOL3W41KBQE176A" hidden="1">#REF!</definedName>
    <definedName name="BExO8KMEWNVH2Z768VTKX0E3RY3M" hidden="1">#REF!</definedName>
    <definedName name="BExO8OIQSE20J3YD7ATO7T260JG3" hidden="1">#REF!</definedName>
    <definedName name="BExO8P9RWKGNAL2WK3UJ9HFWGSLM" hidden="1">#REF!</definedName>
    <definedName name="BExO8UTAGQWDBQZEEF4HUNMLQCVU" hidden="1">#REF!</definedName>
    <definedName name="BExO91K541ZGGXX7HOSQTAJ88BID" hidden="1">#REF!</definedName>
    <definedName name="BExO937E20IHMGQOZMECL3VZC7OX" hidden="1">#REF!</definedName>
    <definedName name="BExO94UTJKQQ7TJTTJRTSR70YVJC" hidden="1">#REF!</definedName>
    <definedName name="BExO9A3J73IUCJ7AAPS7ZXWLEQ1E" hidden="1">#REF!</definedName>
    <definedName name="BExO9J3A438976RXIUX5U9SU5T55" hidden="1">#REF!</definedName>
    <definedName name="BExO9MJ8UZJ3N2H61N1X2DFBTQ3J" hidden="1">#REF!</definedName>
    <definedName name="BExO9RS5RXFJ1911HL3CCK6M74EP" hidden="1">#REF!</definedName>
    <definedName name="BExO9SDRI1M6KMHXSG3AE5L0F2U3" hidden="1">#REF!</definedName>
    <definedName name="BExO9V2U2YXAY904GYYGU6TD8Y7M" hidden="1">#REF!</definedName>
    <definedName name="BExOA0BL1N9A7QNU84B7VVIABXL1" hidden="1">#REF!</definedName>
    <definedName name="BExOA4IMW76ZIR3S3MDJNTXK2EZA" hidden="1">#REF!</definedName>
    <definedName name="BExOA59OD6H1Q7L7NO6I3PRJVIUE" hidden="1">#REF!</definedName>
    <definedName name="BExOA9M11GID9YIHLOFEPIEROTVU" hidden="1">#REF!</definedName>
    <definedName name="BExOAAT763V5VMNXNTGC0U05QNU9" hidden="1">#REF!</definedName>
    <definedName name="BExOAJNM2WWS5A0HHAX3LXG71GDQ" hidden="1">#REF!</definedName>
    <definedName name="BExOAQ3GKCT7YZW1EMVU3EILSZL2" hidden="1">#REF!</definedName>
    <definedName name="BExOB16PDHXEVX93XKZA7ZEN53IE" hidden="1">#REF!</definedName>
    <definedName name="BExOB5DQWQR8X4L2H81Z9E6H0H8O" hidden="1">#REF!</definedName>
    <definedName name="BExOB7XDJJSUI7PC1Z9TJH5WDUMN" hidden="1">#REF!</definedName>
    <definedName name="BExOB9KT2THGV4SPLDVFTFXS4B14" hidden="1">#REF!</definedName>
    <definedName name="BExOBEZ0IE2WBEYY3D3CMRI72N1K" hidden="1">#REF!</definedName>
    <definedName name="BExOBIPU8760ITY0C8N27XZ3KWEF" hidden="1">#REF!</definedName>
    <definedName name="BExOBM0I5L0MZ1G4H9MGMD87SBMZ" hidden="1">#REF!</definedName>
    <definedName name="BExOBOUXMP88KJY2BX2JLUJH5N0K" hidden="1">#REF!</definedName>
    <definedName name="BExOBP0FKQ4SVR59FB48UNLKCOR6" hidden="1">#REF!</definedName>
    <definedName name="BExOBYAVUCQ0IGM0Y6A75QHP0Q1A" hidden="1">#REF!</definedName>
    <definedName name="BExOBYLP5IPY04LUJMAKG65M51I3" hidden="1">#REF!</definedName>
    <definedName name="BExOC3UEHB1CZNINSQHZANWJYKR8" hidden="1">#REF!</definedName>
    <definedName name="BExOC8CEZQR7BGBZQNAD1EEV905I" hidden="1">#REF!</definedName>
    <definedName name="BExOCBSF3XGO9YJ23LX2H78VOUR7" hidden="1">#REF!</definedName>
    <definedName name="BExOCE196NZ9I7MZOSYL8EY6UARZ" hidden="1">#REF!</definedName>
    <definedName name="BExOCF8F425PMNZRSIVNI068NCTZ" hidden="1">#REF!</definedName>
    <definedName name="BExOCKXFMOW6WPFEVX1I7R7FNDSS" hidden="1">#REF!</definedName>
    <definedName name="BExOCOIWSW9US6NJF2EXWHQXQ10J" hidden="1">#REF!</definedName>
    <definedName name="BExOCU2LEYWP3XX6ZCOWC1STCB64" hidden="1">#REF!</definedName>
    <definedName name="BExOCXIJY6OBJ2BYD1CLHJWHZN1H" hidden="1">#REF!</definedName>
    <definedName name="BExOCXIKJB3RRXYV8JMOW0I0SR7D" hidden="1">#REF!</definedName>
    <definedName name="BExOCYEXOB95DH5NOB0M5NOYX398" hidden="1">#REF!</definedName>
    <definedName name="BExOD4ERMDMFD8X1016N4EXOUR0S" hidden="1">#REF!</definedName>
    <definedName name="BExOD55RS7BQUHRQ6H3USVGKR0P7" hidden="1">#REF!</definedName>
    <definedName name="BExOD9I69ZIZZLJSM94STWAXUBXG" hidden="1">#REF!</definedName>
    <definedName name="BExODEG8WZEJVJDE3AFBUWH8Q3IA" hidden="1">#REF!</definedName>
    <definedName name="BExODEWDDEABM4ZY3XREJIBZ8IVP" hidden="1">#REF!</definedName>
    <definedName name="BExODJ3GO0HFI4NGL8H29L2P3F2H" hidden="1">#REF!</definedName>
    <definedName name="BExODLC9134TPGWPP03UDEOPJCQ3" hidden="1">#REF!</definedName>
    <definedName name="BExODNW3GQAQRC4X1WB64JATQXDW" hidden="1">#REF!</definedName>
    <definedName name="BExODVOLDSVWCHU4N8XOSJIV84QM" hidden="1">#REF!</definedName>
    <definedName name="BExODVOLKF0JZQ6CQ5PQV1HYKYB2" hidden="1">#REF!</definedName>
    <definedName name="BExODW4P9IPUKLUCA2CYRN89L41K" hidden="1">#REF!</definedName>
    <definedName name="BExODZFEIWV26E8RFU7XQYX1J458" hidden="1">#REF!</definedName>
    <definedName name="BExOE1IVXZS361RKMVNF8X7GD71Q" hidden="1">#REF!</definedName>
    <definedName name="BExOE59PZYOBCNNZEQEXNFB0EFB0" hidden="1">#REF!</definedName>
    <definedName name="BExOEBKG55EROA2VL360A06LKASE" hidden="1">#REF!</definedName>
    <definedName name="BExOEGD2SQW4BFFTXWT4M79MRC8X" hidden="1">#REF!</definedName>
    <definedName name="BExOERG5LWXYYEN1DY1H2FWRJS9T" hidden="1">#REF!</definedName>
    <definedName name="BExOEV1S6JJVO5PP4BZ20SNGZR7D" hidden="1">#REF!</definedName>
    <definedName name="BExOEZ8OIU0S93IZ2ZBIIGKJ11DI" hidden="1">#REF!</definedName>
    <definedName name="BExOFCQ7Z8I5AZRKQU88X08XYXUL" hidden="1">#REF!</definedName>
    <definedName name="BExOFEDNCYI2TPTMQ8SJN3AW4YMF" hidden="1">#REF!</definedName>
    <definedName name="BExOFHOBG3R043TRQIISHW4JK03F" hidden="1">#REF!</definedName>
    <definedName name="BExOFRPOR2HCHU7GWX31J0QUT46T" hidden="1">#REF!</definedName>
    <definedName name="BExOFS5Z4W86Y8EAXRUTTY5YGWWH" hidden="1">#REF!</definedName>
    <definedName name="BExOFVLXVD6RVHSQO8KZOOACSV24" hidden="1">#REF!</definedName>
    <definedName name="BExOFYLU8YCO9AI21CSFOTQL0GJW" hidden="1">#REF!</definedName>
    <definedName name="BExOG2SW3XOGP9VAPQ3THV3VWV12" hidden="1">#REF!</definedName>
    <definedName name="BExOG45J81K4OPA40KW5VQU54KY3" hidden="1">#REF!</definedName>
    <definedName name="BExOG4G67PQZ7MOX2ILD8PEBJ1EO" hidden="1">#REF!</definedName>
    <definedName name="BExOGBSL4NCPSKK2NMW81VRULZDF" hidden="1">#REF!</definedName>
    <definedName name="BExOGFE2SCL8HHT4DFAXKLUTJZOG" hidden="1">#REF!</definedName>
    <definedName name="BExOGHSD0VZYYL2P4DCBFCDC2AAE" hidden="1">#REF!</definedName>
    <definedName name="BExOGM4RJY9ZLA14QT55SRIB88JN" hidden="1">#REF!</definedName>
    <definedName name="BExOGRDNBI1D2JL4MSSESUB1ZR1R" hidden="1">#REF!</definedName>
    <definedName name="BExOGT6D0LJ3C22RDW8COECKB1J5" hidden="1">#REF!</definedName>
    <definedName name="BExOGTMI1HT31M1RGWVRAVHAK7DE" hidden="1">#REF!</definedName>
    <definedName name="BExOGTMI6TUZNNT2FZHSXSR2VJ0K" hidden="1">#REF!</definedName>
    <definedName name="BExOGXO9JE5XSE9GC3I6O21UEKAO" hidden="1">#REF!</definedName>
    <definedName name="BExOH07W12U59MSFJW18YCGQ30R1" hidden="1">#REF!</definedName>
    <definedName name="BExOH9ICZ13C1LAW8OTYTR9S7ZP3" hidden="1">#REF!</definedName>
    <definedName name="BExOHER8D4Y559BBW99IQ0GSYM4J" hidden="1">#REF!</definedName>
    <definedName name="BExOHG3QERQRHEBH4PYFM8XCR4O6" hidden="1">#REF!</definedName>
    <definedName name="BExOHG915AMPYS8ZXED1A09JW0CJ" hidden="1">#REF!</definedName>
    <definedName name="BExOHL75H3OT4WAKKPUXIVXWFVDS" hidden="1">#REF!</definedName>
    <definedName name="BExOHLHXXJL6363CC082M9M5VVXQ" hidden="1">#REF!</definedName>
    <definedName name="BExOHLSQ0BWM2X0P33QJJAZBA8JN" hidden="1">#REF!</definedName>
    <definedName name="BExOHNAO5UDXSO73BK2ARHWKS90Y" hidden="1">#REF!</definedName>
    <definedName name="BExOHO72O4WT1TVLR052PV5PGP8Q" hidden="1">#REF!</definedName>
    <definedName name="BExOHPUBKTCUD07C2X8OMRRTR2UR" hidden="1">#REF!</definedName>
    <definedName name="BExOHR1G1I9A9CI1HG94EWBLWNM2" hidden="1">#REF!</definedName>
    <definedName name="BExOHTQPP8LQ98L6PYUI6QW08YID" hidden="1">#REF!</definedName>
    <definedName name="BExOHV36U87I9KLV1E8Z3U94WFZE" hidden="1">#REF!</definedName>
    <definedName name="BExOHX6Q6NJI793PGX59O5EKTP4G" hidden="1">#REF!</definedName>
    <definedName name="BExOI5VMTHH7Y8MQQ1N635CHYI0P" hidden="1">#REF!</definedName>
    <definedName name="BExOI9BMU1KN2PDZ0YO08X7AWJGW" hidden="1">#REF!</definedName>
    <definedName name="BExOIB4E7IVJ04427931SXZULZFF" hidden="1">#REF!</definedName>
    <definedName name="BExOICBIL89QWW4J889VUFL7GG62" hidden="1">#REF!</definedName>
    <definedName name="BExOIEVCP4Y6VDS23AK84MCYYHRT" hidden="1">#REF!</definedName>
    <definedName name="BExOIHPQIXR0NDR5WD01BZKPKEO3" hidden="1">#REF!</definedName>
    <definedName name="BExOIM7L0Z3LSII9P7ZTV4KJ8RMA" hidden="1">#REF!</definedName>
    <definedName name="BExOIR5OY24O14MIYN17GNRN2J41" hidden="1">#REF!</definedName>
    <definedName name="BExOIWJVMJ6MG6JC4SPD1L00OHU1" hidden="1">#REF!</definedName>
    <definedName name="BExOIYCN8Z4JK3OOG86KYUCV0ME8" hidden="1">#REF!</definedName>
    <definedName name="BExOJ3AKZ9BCBZT3KD8WMSLK6MN2" hidden="1">#REF!</definedName>
    <definedName name="BExOJ7XQK71I4YZDD29AKOOWZ47E" hidden="1">#REF!</definedName>
    <definedName name="BExOJIVNRVHFMK3L0G8121LYJ3U0" hidden="1">#REF!</definedName>
    <definedName name="BExOJL9ZJGMHKZ2N9WCHUNT2CYL9" hidden="1">#REF!</definedName>
    <definedName name="BExOJM0W6XGSW5MXPTTX0GNF6SFT" hidden="1">#REF!</definedName>
    <definedName name="BExOJXEUJJ9SYRJXKYYV2NCCDT2R" hidden="1">#REF!</definedName>
    <definedName name="BExOK0EQYM9JUMAGWOUN7QDH7VMZ" hidden="1">#REF!</definedName>
    <definedName name="BExOK1B5J1L3R5ZHSIP9LGL3HFOH" hidden="1">#REF!</definedName>
    <definedName name="BExOK4WM9O7QNG6O57FOASI5QSN1" hidden="1">#REF!</definedName>
    <definedName name="BExOKEY5JYXEXJ1JKMOZFQ4G5MG4" hidden="1">#REF!</definedName>
    <definedName name="BExOKKHOPWUVRJGQJ5ONR2U40JX8" hidden="1">#REF!</definedName>
    <definedName name="BExOKTXMJP351VXKH8VT6SXUNIMF" hidden="1">#REF!</definedName>
    <definedName name="BExOKU8GMLOCNVORDE329819XN67" hidden="1">#REF!</definedName>
    <definedName name="BExOKX8C7DWKXJ9F0ZCCOTRVZO7U" hidden="1">#REF!</definedName>
    <definedName name="BExOL0Z3Z7IAMHPB91EO2MF49U57" hidden="1">#REF!</definedName>
    <definedName name="BExOL7KH12VAR0LG741SIOJTLWFD" hidden="1">#REF!</definedName>
    <definedName name="BExOL85W88BVXMBIXSALJIMHIQON" hidden="1">#REF!</definedName>
    <definedName name="BExOLICXFHJLILCJVFMJE5MGGWKR" hidden="1">#REF!</definedName>
    <definedName name="BExOLNLNMUNUT63N3A9IBD62MY95" hidden="1">#REF!</definedName>
    <definedName name="BExOLOI0WJS3QC12I3ISL0D9AWOF" hidden="1">#REF!</definedName>
    <definedName name="BExOLUCHED8RDAVHTXMMPVXP8CUX" hidden="1">#REF!</definedName>
    <definedName name="BExOLUCHS8I3SNMF2Z39JNGQWLQB" hidden="1">#REF!</definedName>
    <definedName name="BExOLYZNG5RBD0BTS1OEZJNU92Q5" hidden="1">#REF!</definedName>
    <definedName name="BExOM1JAK8Z55P416JZZJY6FM9EN" hidden="1">#REF!</definedName>
    <definedName name="BExOM3HIJ3UZPOKJI68KPBJAHPDC" hidden="1">#REF!</definedName>
    <definedName name="BExOM5FKBSXN5LV572JHG2EK8W3T" hidden="1">#REF!</definedName>
    <definedName name="BExOMATYAZ9LQT3PEBJULTKTUQX6" hidden="1">#REF!</definedName>
    <definedName name="BExOMKPURE33YQ3K1JG9NVQD4W49" hidden="1">#REF!</definedName>
    <definedName name="BExOMLM825MPD2F5N3Z6YPQTFIH7" hidden="1">#REF!</definedName>
    <definedName name="BExOMP7NGCLUNFK50QD2LPKRG078" hidden="1">#REF!</definedName>
    <definedName name="BExOMP7O78H63A2LGAA34PRYF44H" hidden="1">#REF!</definedName>
    <definedName name="BExOMTEPTW7MN58F21ADH612AI8E" hidden="1">#REF!</definedName>
    <definedName name="BExOMU0A6XMY48SZRYL4WQZD13BI" hidden="1">#REF!</definedName>
    <definedName name="BExOMVT0HSNC59DJP4CLISASGHKL" hidden="1">#REF!</definedName>
    <definedName name="BExOMYSXCGCDVPWNB97ZDYWC7U2Q" hidden="1">#REF!</definedName>
    <definedName name="BExON0AX35F2SI0UCVMGWGVIUNI3" hidden="1">#REF!</definedName>
    <definedName name="BExON41U4296DV3DPG6I5EF3OEYF" hidden="1">#REF!</definedName>
    <definedName name="BExONB3A7CO4YD8RB41PHC93BQ9M" hidden="1">#REF!</definedName>
    <definedName name="BExONFQH6UUXF8V0GI4BRIST9RFO" hidden="1">#REF!</definedName>
    <definedName name="BExONIL31DZWU7IFVN3VV0XTXJA1" hidden="1">#REF!</definedName>
    <definedName name="BExONJ1BU17R0F5A2UP1UGJBOGKS" hidden="1">#REF!</definedName>
    <definedName name="BExONKDS7PK2RS6ASJVIMAXQN0LH" hidden="1">#REF!</definedName>
    <definedName name="BExONMXK3LSQ3SETECBSB5K4AOTR" hidden="1">#REF!</definedName>
    <definedName name="BExONNZ9VMHVX3J6NLNJY7KZA61O" hidden="1">#REF!</definedName>
    <definedName name="BExONRQ1BAA4F3TXP2MYQ4YCZ09S" hidden="1">#REF!</definedName>
    <definedName name="BExONTZ32DNZJDQMNO3PXB202I51" hidden="1">#REF!</definedName>
    <definedName name="BExOO1WWIZSGB0YTGKESB45TSVMZ" hidden="1">#REF!</definedName>
    <definedName name="BExOO4B8FPAFYPHCTYTX37P1TQM5" hidden="1">#REF!</definedName>
    <definedName name="BExOO7WP0ZVUEFAVSRA0HHFHK7O3" hidden="1">#REF!</definedName>
    <definedName name="BExOOIULUDOJRMYABWV5CCL906X6" hidden="1">#REF!</definedName>
    <definedName name="BExOOTN0KTXJCL7E476XBN1CJ553" hidden="1">#REF!</definedName>
    <definedName name="BExOP9DEBV5W5P4Q25J3XCJBP5S9" hidden="1">#REF!</definedName>
    <definedName name="BExOPDKHBDXVMU5RO2HL9I5KI1L3" hidden="1">#REF!</definedName>
    <definedName name="BExOPFNYRBL0BFM23LZBJTADNOE4" hidden="1">#REF!</definedName>
    <definedName name="BExOPINVFSIZMCVT9YGT2AODVCX3" hidden="1">#REF!</definedName>
    <definedName name="BExOPUNHVUZU376J3BRNK3D3J3NU" hidden="1">#REF!</definedName>
    <definedName name="BExOQ1JN4SAC44RTMZIGHSW023WA" hidden="1">#REF!</definedName>
    <definedName name="BExOQ256YMF115DJL3KBPNKABJ90" hidden="1">#REF!</definedName>
    <definedName name="BExOQ553L68Y52ABCC75QLWW0SMT" hidden="1">#REF!</definedName>
    <definedName name="BExQ18RTSW5B132ZODMDQ6H16H04" hidden="1">#REF!</definedName>
    <definedName name="BExQ19DEUOLC11IW32E2AMVZLFF1" hidden="1">#REF!</definedName>
    <definedName name="BExQ1CYVKGJDX0QFAJYK78BABTHD" hidden="1">#REF!</definedName>
    <definedName name="BExQ1FD6KISGYU1JWEQ4G243ZPVD" hidden="1">#REF!</definedName>
    <definedName name="BExQ29C73XR33S3668YYSYZAIHTG" hidden="1">#REF!</definedName>
    <definedName name="BExQ2FS228IUDUP2023RA1D4AO4C" hidden="1">#REF!</definedName>
    <definedName name="BExQ2L0XYWLY9VPZWXYYFRIRQRJ1" hidden="1">#REF!</definedName>
    <definedName name="BExQ2M841F5Z1BQYR8DG5FKK0LIU" hidden="1">#REF!</definedName>
    <definedName name="BExQ300G8I8TK45A0MVHV15422EU" hidden="1">#REF!</definedName>
    <definedName name="BExQ323ZJNIKOTRJBYH7ZU50A2P5" hidden="1">#REF!</definedName>
    <definedName name="BExQ36WLTLDBB50PNWYVYWWH8V5O" hidden="1">#REF!</definedName>
    <definedName name="BExQ39R28MXSG2SEV956F0KZ20AN" hidden="1">#REF!</definedName>
    <definedName name="BExQ3D1P3M5Z3HLMEZ17E0BLEE4U" hidden="1">#REF!</definedName>
    <definedName name="BExQ3DCIAAUYCO5SMC5CNKHYQB5R" hidden="1">#REF!</definedName>
    <definedName name="BExQ3EUG25SNW62XKKVWJUHLPOBC" hidden="1">#REF!</definedName>
    <definedName name="BExQ3JXV5CET33XVXRS7K5WSHO4K" hidden="1">#REF!</definedName>
    <definedName name="BExQ3O4W7QF8BOXTUT4IOGF6YKUD" hidden="1">#REF!</definedName>
    <definedName name="BExQ3OQILBJ4U1PASWS3TSU0QDRZ" hidden="1">#REF!</definedName>
    <definedName name="BExQ3PXOWSN8561ZR8IEY8ZASI3B" hidden="1">#REF!</definedName>
    <definedName name="BExQ3QOQDCL5P049ZXIZ8IDSDYIP" hidden="1">#REF!</definedName>
    <definedName name="BExQ3TZESVDEU0XBKW2GVWHNGPHW" hidden="1">#REF!</definedName>
    <definedName name="BExQ3TZF04IPY0B0UG9CQQ5736UA" hidden="1">#REF!</definedName>
    <definedName name="BExQ42DJHM0FYQTP3DPBA2RETVV6" hidden="1">#REF!</definedName>
    <definedName name="BExQ42IU9MNDYLODP41DL6YTZMAR" hidden="1">#REF!</definedName>
    <definedName name="BExQ44MD2FB5Z1F5BBH6A1Q5UE5F" hidden="1">#REF!</definedName>
    <definedName name="BExQ452HF7N1HYPXJXQ8WD6SOWUV" hidden="1">#REF!</definedName>
    <definedName name="BExQ482ISAEDPVM3G588SOAULE0Q" hidden="1">#REF!</definedName>
    <definedName name="BExQ499KBJ5W7A1G293A0K14EVQB" hidden="1">#REF!</definedName>
    <definedName name="BExQ4BTBSHPHVEDRCXC2ROW8PLFC" hidden="1">#REF!</definedName>
    <definedName name="BExQ4DGKF54SRKQUTUT4B1CZSS62" hidden="1">#REF!</definedName>
    <definedName name="BExQ4HNN47GTDC2Y70MG8IDC5MF3" hidden="1">#REF!</definedName>
    <definedName name="BExQ4I3X0YRM4CSQKNE83ZQ24F80" hidden="1">#REF!</definedName>
    <definedName name="BExQ4LUP1J9V3GGE00NTRKNTZ5ME" hidden="1">#REF!</definedName>
    <definedName name="BExQ4Q772BDV28FH209YAJLHEABM" hidden="1">#REF!</definedName>
    <definedName name="BExQ4SLJGB2TIHHP58BGH81827X8" hidden="1">#REF!</definedName>
    <definedName name="BExQ4T74LQ5PYTV1MUQUW75A4BDY" hidden="1">#REF!</definedName>
    <definedName name="BExQ4XJHD7EJCNH7S1MJDZJ2MNWG" hidden="1">#REF!</definedName>
    <definedName name="BExQ5039ZCEWBUJHU682G4S89J03" hidden="1">#REF!</definedName>
    <definedName name="BExQ56Z9W6YHZHRXOFFI8EFA7CDI" hidden="1">#REF!</definedName>
    <definedName name="BExQ5G4FOOO2QRE3FG1IZY37W13O" hidden="1">#REF!</definedName>
    <definedName name="BExQ5KX3Z668H1KUCKZ9J24HUQ1F" hidden="1">#REF!</definedName>
    <definedName name="BExQ5PPPQJSH0IEOQ4HMVQT3FOIM" hidden="1">#REF!</definedName>
    <definedName name="BExQ5SK9FEYCFFFK28WZSME6UQN4" hidden="1">#REF!</definedName>
    <definedName name="BExQ5SPMSOCJYLAY20NB5A6O32RE" hidden="1">#REF!</definedName>
    <definedName name="BExQ5UICMGTMK790KTLK49MAGXRC" hidden="1">#REF!</definedName>
    <definedName name="BExQ5YELVVV97MADZEJVI6TAPNAI" hidden="1">#REF!</definedName>
    <definedName name="BExQ5YUUK9FD0QGTY4WD0W90O7OL" hidden="1">#REF!</definedName>
    <definedName name="BExQ63793YQ9BH7JLCNRIATIGTRG" hidden="1">#REF!</definedName>
    <definedName name="BExQ6AZRVZ4T1FRZ4AY7E5RM8IAI" hidden="1">#REF!</definedName>
    <definedName name="BExQ6CN1EF2UPZ57ZYMGK8TUJQSS" hidden="1">#REF!</definedName>
    <definedName name="BExQ6DJEN1SPHTNIVWKLN7H77R5O" hidden="1">#REF!</definedName>
    <definedName name="BExQ6FSEK7NCFU075RM5U81B3FIL" hidden="1">#REF!</definedName>
    <definedName name="BExQ6IXMHK365L28UBYEV1QCB7SG" hidden="1">#REF!</definedName>
    <definedName name="BExQ6M2YXJ8AMRJF3QGHC40ADAHZ" hidden="1">#REF!</definedName>
    <definedName name="BExQ6M2Z1L61MNCVV9SE6LTQA75N" hidden="1">#REF!</definedName>
    <definedName name="BExQ6M8B0X44N9TV56ATUVHGDI00" hidden="1">#REF!</definedName>
    <definedName name="BExQ6POH065GV0I74XXVD0VUPBJW" hidden="1">#REF!</definedName>
    <definedName name="BExQ6WV9KPSMXPPLGZ3KK4WNYTHU" hidden="1">#REF!</definedName>
    <definedName name="BExQ730I70ZGBYGWGR9NQYWF0MI2" hidden="1">#REF!</definedName>
    <definedName name="BExQ73BAQ11ML9JB5WJJ28VMVBXG" hidden="1">#REF!</definedName>
    <definedName name="BExQ783XTMM2A9I3UKCFWJH1PP2N" hidden="1">#REF!</definedName>
    <definedName name="BExQ79LX01ZPQB8EGD1ZHR2VK2H3" hidden="1">#REF!</definedName>
    <definedName name="BExQ7B3V9MGDK2OIJ61XXFBFLJFZ" hidden="1">#REF!</definedName>
    <definedName name="BExQ7CB046NVPF9ZXDGA7OXOLSLX" hidden="1">#REF!</definedName>
    <definedName name="BExQ7IQVRG4B9NN2GX65NA2LSAAG" hidden="1">#REF!</definedName>
    <definedName name="BExQ7IWDCGGOO1HTJ97YGO1CK3R9" hidden="1">#REF!</definedName>
    <definedName name="BExQ7JNFIEGS2HKNBALH3Q2N5G7Z" hidden="1">#REF!</definedName>
    <definedName name="BExQ7MY3U2Z1IZ71U5LJUD00VVB4" hidden="1">#REF!</definedName>
    <definedName name="BExQ7XL2Q1GVUFL1F9KK0K0EXMWG" hidden="1">#REF!</definedName>
    <definedName name="BExQ8469L3ZRZ3KYZPYMSJIDL7Y5" hidden="1">#REF!</definedName>
    <definedName name="BExQ84MJB94HL3BWRN50M4NCB6Z0" hidden="1">#REF!</definedName>
    <definedName name="BExQ84XD7YXOQMKYZ8EBSHJHPE5H" hidden="1">#REF!</definedName>
    <definedName name="BExQ8583ZE00NW7T9OF11OT9IA14" hidden="1">#REF!</definedName>
    <definedName name="BExQ88Z2VQ31X1UHB5E63JWHRWUE" hidden="1">#REF!</definedName>
    <definedName name="BExQ8A0RPE3IMIFIZLUE7KD2N21W" hidden="1">#REF!</definedName>
    <definedName name="BExQ8ABK6H1ADV2R2OYT8NFFYG2N" hidden="1">#REF!</definedName>
    <definedName name="BExQ8DM90XJ6GCJIK9LC5O82I2TJ" hidden="1">#REF!</definedName>
    <definedName name="BExQ8ETE8AL59EKJ51FZIF1IUCF6" hidden="1">#REF!</definedName>
    <definedName name="BExQ8G0K46ZORA0QVQTDI7Z8LXGF" hidden="1">#REF!</definedName>
    <definedName name="BExQ8O3WEU8HNTTGKTW5T0QSKCLP" hidden="1">#REF!</definedName>
    <definedName name="BExQ8ZCEDBOBJA3D9LDP5TU2WYGR" hidden="1">#REF!</definedName>
    <definedName name="BExQ908RVK1J3UZDSIWY1OE4AWQ1" hidden="1">#REF!</definedName>
    <definedName name="BExQ94LAW6MAQBWY25WTBFV5PPZJ" hidden="1">#REF!</definedName>
    <definedName name="BExQ97QIPOSSRK978N8P234Y1XA4" hidden="1">#REF!</definedName>
    <definedName name="BExQ9E6FBAXTHGF3RXANFIA77GXP" hidden="1">#REF!</definedName>
    <definedName name="BExQ9F2YH4UUCCMQITJ475B3S3NP" hidden="1">#REF!</definedName>
    <definedName name="BExQ9H6GF7DJFPBYOV4WNXSOLAIB" hidden="1">#REF!</definedName>
    <definedName name="BExQ9KX9734KIAK7IMRLHCPYDHO2" hidden="1">#REF!</definedName>
    <definedName name="BExQ9L81FF4I7816VTPFBDWVU4CW" hidden="1">#REF!</definedName>
    <definedName name="BExQ9M4E2ACZOWWWP1JJIQO8AHUM" hidden="1">#REF!</definedName>
    <definedName name="BExQ9R2JZX0XG2L2C39A46OD2X1D" hidden="1">#REF!</definedName>
    <definedName name="BExQ9UTANMJCK7LJ4OQMD6F2Q01L" hidden="1">#REF!</definedName>
    <definedName name="BExQ9YV1FX3P6CTIH3LXMXFRXI2K" hidden="1">#REF!</definedName>
    <definedName name="BExQ9ZLYHWABXAA9NJDW8ZS0UQ9P" hidden="1">#REF!</definedName>
    <definedName name="BExQ9ZR957YD8AAAKGWOFOWL9W8U" hidden="1">#REF!</definedName>
    <definedName name="BExQA324HSCK40ENJUT9CS9EC71B" hidden="1">#REF!</definedName>
    <definedName name="BExQA506AHFTKUY7PIMCM66OMQKU" hidden="1">#REF!</definedName>
    <definedName name="BExQA55GY0STSNBWQCWN8E31ZXCS" hidden="1">#REF!</definedName>
    <definedName name="BExQA9HZIN9XEMHEEVHT99UU9Z82" hidden="1">#REF!</definedName>
    <definedName name="BExQAAEDGO38CYGMZ06W1SXUCMW5" hidden="1">#REF!</definedName>
    <definedName name="BExQAELFYH92K8CJL155181UDORO" hidden="1">#REF!</definedName>
    <definedName name="BExQAG8PP8R5NJKNQD1U4QOSD6X5" hidden="1">#REF!</definedName>
    <definedName name="BExQAK4YRMCKICCB1JHNVDZUXX7X" hidden="1">#REF!</definedName>
    <definedName name="BExQANFNKL1L0IH5G5FGUB9ZL4BR" hidden="1">#REF!</definedName>
    <definedName name="BExQASDQHE9AU5VH3MNOBEFSA1WA" hidden="1">#REF!</definedName>
    <definedName name="BExQB7TBMNL0ETMW81HBK7I3O34I" hidden="1">#REF!</definedName>
    <definedName name="BExQBBESPG1PRMPNFVTXMBMK5TJ5" hidden="1">#REF!</definedName>
    <definedName name="BExQBDICMZTSA1X73TMHNO4JSFLN" hidden="1">#REF!</definedName>
    <definedName name="BExQBEER6CRCRPSSL61S0OMH57ZA" hidden="1">#REF!</definedName>
    <definedName name="BExQBIGGY5TXI2FJVVZSLZ0LTZYH" hidden="1">#REF!</definedName>
    <definedName name="BExQBM1RUSIQ85LLMM2159BYDPIP" hidden="1">#REF!</definedName>
    <definedName name="BExQBPSOZ47V81YAEURP0NQJNTJH" hidden="1">#REF!</definedName>
    <definedName name="BExQC5TWT21CGBKD0IHAXTIN2QB8" hidden="1">#REF!</definedName>
    <definedName name="BExQC7HBA4SQFGRICKTQICD8U1R8" hidden="1">#REF!</definedName>
    <definedName name="BExQC94JL9F5GW4S8DQCAF4WB2DA" hidden="1">#REF!</definedName>
    <definedName name="BExQCC9XSE8Y9AEXG9QN368G3RZJ" hidden="1">#REF!</definedName>
    <definedName name="BExQCDRWBCOAGB4CX5QAGOIPILZT" hidden="1">#REF!</definedName>
    <definedName name="BExQCKTD8AT0824LGWREXM1B5D1X" hidden="1">#REF!</definedName>
    <definedName name="BExQCYLPMN2A9FM6YCP11VRZPZW6" hidden="1">#REF!</definedName>
    <definedName name="BExQD03NCSJFCRFBW2YD7FR13CTO" hidden="1">#REF!</definedName>
    <definedName name="BExQD2SQZHGR99HTBZKYMVA007YX" hidden="1">#REF!</definedName>
    <definedName name="BExQD571YWOXKR2SX85K5MKQ0AO2" hidden="1">#REF!</definedName>
    <definedName name="BExQD9ZPEO3ETGROX46QDFREVWM3" hidden="1">#REF!</definedName>
    <definedName name="BExQDB6VCHN8PNX8EA6JNIEQ2JC2" hidden="1">#REF!</definedName>
    <definedName name="BExQDE1B6U2Q9B73KBENABP71YM1" hidden="1">#REF!</definedName>
    <definedName name="BExQDGQCN7ZW41QDUHOBJUGQAX40" hidden="1">#REF!</definedName>
    <definedName name="BExQDN0YH15BPXSCET9W5OC78NIM" hidden="1">#REF!</definedName>
    <definedName name="BExQDNBQF4HBVT9Y9ZOE2QORZUHG" hidden="1">#REF!</definedName>
    <definedName name="BExQDUIQE7LIPY956TISH9FCS52B" hidden="1">#REF!</definedName>
    <definedName name="BExQE2M275AUYK1E2SL78QMOTRHY" hidden="1">#REF!</definedName>
    <definedName name="BExQEC7BRIJ30PTU3UPFOIP2HPE3" hidden="1">#REF!</definedName>
    <definedName name="BExQELHRGG1HQSBK645BQ07JCQHG" hidden="1">#REF!</definedName>
    <definedName name="BExQEMUA4HEFM4OVO8M8MA8PIAW1" hidden="1">#REF!</definedName>
    <definedName name="BExQEQ4XZQFIKUXNU9H7WE7AMZ1U" hidden="1">#REF!</definedName>
    <definedName name="BExQEVOMHJG3PH0WN7MNN9W8WJ4W" hidden="1">#REF!</definedName>
    <definedName name="BExQEY89DY52P5O9R7AP5SL1NRO0" hidden="1">#REF!</definedName>
    <definedName name="BExQF1OEB07CRAP6ALNNMJNJ3P2D" hidden="1">#REF!</definedName>
    <definedName name="BExQF5F8BP0Z2NHXGQZRU2W2ZZF6" hidden="1">#REF!</definedName>
    <definedName name="BExQF9X2AQPFJZTCHTU5PTTR0JAH" hidden="1">#REF!</definedName>
    <definedName name="BExQFC0M9KKFMQKPLPEO2RQDB7MM" hidden="1">#REF!</definedName>
    <definedName name="BExQFEEV7627R8TYZCM28C6V6WHE" hidden="1">#REF!</definedName>
    <definedName name="BExQFEK8NUD04X2OBRA275ADPSDL" hidden="1">#REF!</definedName>
    <definedName name="BExQFGYIWDR4W0YF7XR6E4EWWJ02" hidden="1">#REF!</definedName>
    <definedName name="BExQFI0COW993T4S3U5UJU4HE7VB" hidden="1">#REF!</definedName>
    <definedName name="BExQFJCV21VL7Z51VQ5QM3L74UYJ" hidden="1">#REF!</definedName>
    <definedName name="BExQFPNFKA36IAPS22LAUMBDI4KE" hidden="1">#REF!</definedName>
    <definedName name="BExQFPSWEMA8WBUZ4WK20LR13VSU" hidden="1">#REF!</definedName>
    <definedName name="BExQFQEGCXQ7WD7L34LJLSKNGGZD" hidden="1">#REF!</definedName>
    <definedName name="BExQFVSPOSCCPF1TLJPIWYWYB8A9" hidden="1">#REF!</definedName>
    <definedName name="BExQFWJQXNQAW6LUMOEDS6KMJMYL" hidden="1">#REF!</definedName>
    <definedName name="BExQFYSMCM8DGDIBM6RFM3KI79Z2" hidden="1">#REF!</definedName>
    <definedName name="BExQG2ZN7JF93OSN7XD8TQ2SV8H1" hidden="1">#REF!</definedName>
    <definedName name="BExQG7C0SGOGYCHYIQW8SMOULM22" hidden="1">#REF!</definedName>
    <definedName name="BExQG8TYRD2G42UA5ZPCRLNKUDMX" hidden="1">#REF!</definedName>
    <definedName name="BExQGCQ8R0X24OJNUY6FPGMY0DYH" hidden="1">#REF!</definedName>
    <definedName name="BExQGFVLSJW9QLQJYWXW653482UB" hidden="1">#REF!</definedName>
    <definedName name="BExQGIF8RB1ED6AEODSB7XUETQDO" hidden="1">#REF!</definedName>
    <definedName name="BExQGNYWQRGVO06L5QDT5784X924" hidden="1">#REF!</definedName>
    <definedName name="BExQGO48J9MPCDQ96RBB9UN9AIGT" hidden="1">#REF!</definedName>
    <definedName name="BExQGPM61Y8BR7PSPQB63LRTG0RX" hidden="1">#REF!</definedName>
    <definedName name="BExQGSBB6MJWDW7AYWA0MSFTXKRR" hidden="1">#REF!</definedName>
    <definedName name="BExQH0UURAJ13AVO5UI04HSRGVYW" hidden="1">#REF!</definedName>
    <definedName name="BExQH6ZZQC558YINKWF1S7DV8271" hidden="1">#REF!</definedName>
    <definedName name="BExQH6ZZY0NR8SE48PSI9D0CU1TC" hidden="1">#REF!</definedName>
    <definedName name="BExQH9P2MCXAJOVEO4GFQT6MNW22" hidden="1">#REF!</definedName>
    <definedName name="BExQHBSLX2T33HK0WEWN5O7L26YP" hidden="1">#REF!</definedName>
    <definedName name="BExQHCZSBYUY8OKKJXFYWKBBM6AH" hidden="1">#REF!</definedName>
    <definedName name="BExQHDLCRZV46P78PAEEYQZVJLVT" hidden="1">#REF!</definedName>
    <definedName name="BExQHPKXZ1K33V2F90NZIQRZYIAW" hidden="1">#REF!</definedName>
    <definedName name="BExQHROI4HJYQ6WPK1L6SDIL925F" hidden="1">#REF!</definedName>
    <definedName name="BExQHU84CS8VYPXWCN659J6E6WNN" hidden="1">#REF!</definedName>
    <definedName name="BExQHVF9KD06AG2RXUQJ9X4PVGX4" hidden="1">#REF!</definedName>
    <definedName name="BExQHZBHVN2L4HC7ACTR73T5OCV0" hidden="1">#REF!</definedName>
    <definedName name="BExQI85V9TNLDJT5LTRZS10Y26SG" hidden="1">#REF!</definedName>
    <definedName name="BExQIAPKHVEV8CU1L3TTHJW67FJ5" hidden="1">#REF!</definedName>
    <definedName name="BExQIBB4I3Z6AUU0HYV1DHRS13M4" hidden="1">#REF!</definedName>
    <definedName name="BExQIBWPAXU7HJZLKGJZY3EB7MIS" hidden="1">#REF!</definedName>
    <definedName name="BExQICI9M247SZHUBLU30YHYVR2H" hidden="1">#REF!</definedName>
    <definedName name="BExQIL772RGZ24ZQLTZ8OIM18NA8" hidden="1">#REF!</definedName>
    <definedName name="BExQILSR4HS21OBS38ASULYJ21VC" hidden="1">#REF!</definedName>
    <definedName name="BExQIS8O6R36CI01XRY9ISM99TW9" hidden="1">#REF!</definedName>
    <definedName name="BExQITW26JNMWABJ4VIR7TA8Z4BE" hidden="1">#REF!</definedName>
    <definedName name="BExQIVJB9MJ25NDUHTCVMSODJY2C" hidden="1">#REF!</definedName>
    <definedName name="BExQJ2QAGC1WDCBE1TZO11JWN0Z8" hidden="1">#REF!</definedName>
    <definedName name="BExQJ8VJ2UWQNG22DG4AWPMAMK0T" hidden="1">#REF!</definedName>
    <definedName name="BExQJBF7LAX128WR7VTMJC88ZLPG" hidden="1">#REF!</definedName>
    <definedName name="BExQJEVCKX6KZHNCLYXY7D0MX5KN" hidden="1">#REF!</definedName>
    <definedName name="BExQJG2HDRVX9LR2NVV1G4HIU9CZ" hidden="1">#REF!</definedName>
    <definedName name="BExQJJYSDX8B0J1QGF2HL071KKA3" hidden="1">#REF!</definedName>
    <definedName name="BExQJN3Y0HD1CU8WMVJM9ZP0LU8C" hidden="1">#REF!</definedName>
    <definedName name="BExQK1HV6SQQ7CP8H8IUKI9TYXTD" hidden="1">#REF!</definedName>
    <definedName name="BExQK3LE5CSBW1E4H4KHW548FL2R" hidden="1">#REF!</definedName>
    <definedName name="BExQK4N8T0T0FW3VCAH6F6EHIKFU" hidden="1">#REF!</definedName>
    <definedName name="BExQKG6LD6PLNDGNGO9DJXY865BR" hidden="1">#REF!</definedName>
    <definedName name="BExQKRKLWB9BSO2G3L8B96H8AH1G" hidden="1">#REF!</definedName>
    <definedName name="BExQLE1TOW3A287TQB0AVWENT8O1" hidden="1">#REF!</definedName>
    <definedName name="BExQLLJJ0M57PD1146NM7AYQN667" hidden="1">#REF!</definedName>
    <definedName name="BExRYB5ZF48DMUNX6JRPCT3O5V36" hidden="1">#REF!</definedName>
    <definedName name="BExRYOYB4A3E5F6MTROY69LR0PMG" hidden="1">#REF!</definedName>
    <definedName name="BExRYZLA9EW71H4SXQR525S72LLP" hidden="1">#REF!</definedName>
    <definedName name="BExRZ1UAPKDBEL4FGZEQXVKXFSSO" hidden="1">#REF!</definedName>
    <definedName name="BExRZ66M8G9FQ0VFP077QSZBSOA5" hidden="1">#REF!</definedName>
    <definedName name="BExRZ8FMQQL46I8AQWU17LRNZD5T" hidden="1">#REF!</definedName>
    <definedName name="BExRZIRRIXRUMZ5GOO95S7460BMP" hidden="1">#REF!</definedName>
    <definedName name="BExRZK9RAHMM0ZLTNSK7A4LDC42D" hidden="1">#REF!</definedName>
    <definedName name="BExRZOGSR69INI6GAEPHDWSNK5Q4" hidden="1">#REF!</definedName>
    <definedName name="BExRZU0HZ0CJ4DZCLH5TJTN2AGIT" hidden="1">#REF!</definedName>
    <definedName name="BExRZYT4VKGFBPEF99JV1GIIP56Q" hidden="1">#REF!</definedName>
    <definedName name="BExS00B39EIUKT7NP4INUYDM0ARY" hidden="1">#REF!</definedName>
    <definedName name="BExS00WMG721T8V6RA85IAQSQ56B" hidden="1">#REF!</definedName>
    <definedName name="BExS0ASQBKRTPDWFK0KUDFOS9LE5" hidden="1">#REF!</definedName>
    <definedName name="BExS0GHQUF6YT0RU3TKDEO8CSJYB" hidden="1">#REF!</definedName>
    <definedName name="BExS0IFQOPH0YBLIAHVTS0QVJGC4" hidden="1">#REF!</definedName>
    <definedName name="BExS0K8IHC45I78DMZBOJ1P13KQA" hidden="1">#REF!</definedName>
    <definedName name="BExS152B2LFCRAUHSLI5T6QRNII0" hidden="1">#REF!</definedName>
    <definedName name="BExS15IJV0WW662NXQUVT3FGP4ST" hidden="1">#REF!</definedName>
    <definedName name="BExS18T9OWGP44ES19ZCUR3GRURO" hidden="1">#REF!</definedName>
    <definedName name="BExS194110MR25BYJI3CJ2EGZ8XT" hidden="1">#REF!</definedName>
    <definedName name="BExS1BNVGNSGD4EP90QL8WXYWZ66" hidden="1">#REF!</definedName>
    <definedName name="BExS1DB3WWRL7GHAJE1FR0XXR6RR" hidden="1">#REF!</definedName>
    <definedName name="BExS1M5AUWK4N08IEB9AEJ7K5YYN" hidden="1">#REF!</definedName>
    <definedName name="BExS1O8U573F0HQQGKUSRMBE5NHR" hidden="1">#REF!</definedName>
    <definedName name="BExS1UE39N6NCND7MAARSBWXS6HU" hidden="1">#REF!</definedName>
    <definedName name="BExS1WXQBT8VICMKDYCQNSHF1NLK" hidden="1">#REF!</definedName>
    <definedName name="BExS226HTWL5WVC76MP5A1IBI8WD" hidden="1">#REF!</definedName>
    <definedName name="BExS26DJ34FGTKREJ2I7U1QF3ATS" hidden="1">#REF!</definedName>
    <definedName name="BExS26OGRSS2M2FBJQF3O0QM3IV6" hidden="1">#REF!</definedName>
    <definedName name="BExS26OI2QNNAH2WMDD95Z400048" hidden="1">#REF!</definedName>
    <definedName name="BExS29DLMVESZ4Z73MYBT7P13QZK" hidden="1">#REF!</definedName>
    <definedName name="BExS2CDHUHJC481W2L4FSTH5FO10" hidden="1">#REF!</definedName>
    <definedName name="BExS2DF6B4ZUF3VZLI4G6LJ3BF38" hidden="1">#REF!</definedName>
    <definedName name="BExS2QB5FS5LYTFYO4BROTWG3OV5" hidden="1">#REF!</definedName>
    <definedName name="BExS2RNLCTECIZ0HKHTIJDQV37K8" hidden="1">#REF!</definedName>
    <definedName name="BExS2TLU1HONYV6S3ZD9T12D7CIG" hidden="1">#REF!</definedName>
    <definedName name="BExS2W055TLV1XQ54M557OEDYKBF" hidden="1">#REF!</definedName>
    <definedName name="BExS318UV9I2FXPQQWUKKX00QLPJ" hidden="1">#REF!</definedName>
    <definedName name="BExS318V1G9CGW5SPDVQ2MLWSV2G" hidden="1">#REF!</definedName>
    <definedName name="BExS3LBS0SMTHALVM4NRI1BAV1NP" hidden="1">#REF!</definedName>
    <definedName name="BExS3MTQ75VBXDGEBURP6YT8RROE" hidden="1">#REF!</definedName>
    <definedName name="BExS3NKS3I7E85B203H43BVYFWK5" hidden="1">#REF!</definedName>
    <definedName name="BExS3OMGYO0DFN5186UFKEXZ2RX3" hidden="1">#REF!</definedName>
    <definedName name="BExS3SDERJ27OER67TIGOVZU13A2" hidden="1">#REF!</definedName>
    <definedName name="BExS3XRMM9043X8E3GM8YVRXKE0C" hidden="1">#REF!</definedName>
    <definedName name="BExS46R5WDNU5KL04FKY5LHJUCB8" hidden="1">#REF!</definedName>
    <definedName name="BExS4ASWKM93XA275AXHYP8AG6SU" hidden="1">#REF!</definedName>
    <definedName name="BExS4DSTH74O9D8L1QJ94RCGJ1W5" hidden="1">#REF!</definedName>
    <definedName name="BExS4HP1DYU2QU3N6JERZ11VPCSX" hidden="1">#REF!</definedName>
    <definedName name="BExS4JN3Y6SVBKILQK0R9HS45Y52" hidden="1">#REF!</definedName>
    <definedName name="BExS4P6S41O6Z6BED77U3GD9PNH1" hidden="1">#REF!</definedName>
    <definedName name="BExS4RAAUHSLWPZ992EHD0CI82EV" hidden="1">#REF!</definedName>
    <definedName name="BExS51H0N51UT0FZOPZRCF1GU063" hidden="1">#REF!</definedName>
    <definedName name="BExS54X72TJFC41FJK72MLRR2OO7" hidden="1">#REF!</definedName>
    <definedName name="BExS59F0PA1V2ZC7S5TN6IT41SXP" hidden="1">#REF!</definedName>
    <definedName name="BExS5A0LN0KLN3Z7T16KF1UV7OWK" hidden="1">#REF!</definedName>
    <definedName name="BExS5DRER9US6NXY9ATYT41KZII3" hidden="1">#REF!</definedName>
    <definedName name="BExS5ENRF7GBO6JDET72UBEUFF60" hidden="1">#REF!</definedName>
    <definedName name="BExS5EYPHR4KDDSUEUKXSYOTBLYH" hidden="1">#REF!</definedName>
    <definedName name="BExS5G0DLTELOO7OFGWXRHPAI3N8" hidden="1">#REF!</definedName>
    <definedName name="BExS5KT115F856JB1SWGVGWBNN9B" hidden="1">#REF!</definedName>
    <definedName name="BExS5L3TGB8JVW9ROYWTKYTUPW27" hidden="1">#REF!</definedName>
    <definedName name="BExS5ZHQ7WMYJDFF5CYG1VIGIKJA" hidden="1">#REF!</definedName>
    <definedName name="BExS6039VRP5YJUM01MM1EI4161D" hidden="1">#REF!</definedName>
    <definedName name="BExS6CZ9SD2ZEC01DRADRT5F9K2G" hidden="1">#REF!</definedName>
    <definedName name="BExS6GKQ96EHVLYWNJDWXZXUZW90" hidden="1">#REF!</definedName>
    <definedName name="BExS6ITKSZFRR01YD5B0F676SYN7" hidden="1">#REF!</definedName>
    <definedName name="BExS6N0LI574IAC89EFW6CLTCQ33" hidden="1">#REF!</definedName>
    <definedName name="BExS6NROQPI7A01S88S506X9YVFX" hidden="1">#REF!</definedName>
    <definedName name="BExS6U28S2XZSN35KJXC0LR1DPPJ" hidden="1">#REF!</definedName>
    <definedName name="BExS6WRDBF3ST86ZOBBUL3GTCR11" hidden="1">#REF!</definedName>
    <definedName name="BExS6XNRKR0C3MTA0LV5B60UB908" hidden="1">#REF!</definedName>
    <definedName name="BExS74ZZ3CSXC4ZQCGHC97D0L1R0" hidden="1">#REF!</definedName>
    <definedName name="BExS761P4JSCCT82AODNA2RXSJVU" hidden="1">#REF!</definedName>
    <definedName name="BExS7O6IPDGL7O407UWBPICVHH5S" hidden="1">#REF!</definedName>
    <definedName name="BExS7TKQYLRZGM93UY3ZJZJBQNFJ" hidden="1">#REF!</definedName>
    <definedName name="BExS7Y2LNGVHSIBKC7C3R6X4LDR6" hidden="1">#REF!</definedName>
    <definedName name="BExS81TE0EY44Y3W2M4Z4MGNP5OM" hidden="1">#REF!</definedName>
    <definedName name="BExS81YPDZDVJJVS15HV2HDXAC3Y" hidden="1">#REF!</definedName>
    <definedName name="BExS82PRVNUTEKQZS56YT2DVF6C2" hidden="1">#REF!</definedName>
    <definedName name="BExS84YKX9VJXZJ3ZKEUNFDECW7E" hidden="1">#REF!</definedName>
    <definedName name="BExS859EHTURZAX1FZR8QMRN0IDH" hidden="1">#REF!</definedName>
    <definedName name="BExS87NV3KIAFC8ZOXWXFVRO6WZI" hidden="1">#REF!</definedName>
    <definedName name="BExS8BPG5A0GR5AO1U951NDGGR0L" hidden="1">#REF!</definedName>
    <definedName name="BExS8GSUS17UY50TEM2AWF36BR9Z" hidden="1">#REF!</definedName>
    <definedName name="BExS8HJRBVG0XI6PWA9KTMJZMQXK" hidden="1">#REF!</definedName>
    <definedName name="BExS8HJWMGEUQY8MT7Z1XZ123QRF" hidden="1">#REF!</definedName>
    <definedName name="BExS8MN6L1658N37D874WQ76WH5B" hidden="1">#REF!</definedName>
    <definedName name="BExS8R51C8RM2FS6V6IRTYO9GA4A" hidden="1">#REF!</definedName>
    <definedName name="BExS8UQIEE8KM7EO6GME8QUUTWMV" hidden="1">#REF!</definedName>
    <definedName name="BExS8WDX408F60MH1X9B9UZ2H4R7" hidden="1">#REF!</definedName>
    <definedName name="BExS8Z2W2QEC3MH0BZIYLDFQNUIP" hidden="1">#REF!</definedName>
    <definedName name="BExS92DKGRFFCIA9C0IXDOLO57EP" hidden="1">#REF!</definedName>
    <definedName name="BExS98OB4321YCHLCQ022PXKTT2W" hidden="1">#REF!</definedName>
    <definedName name="BExS9C9N8GFISC6HUERJ0EI06GB2" hidden="1">#REF!</definedName>
    <definedName name="BExS9DX13CACP3J8JDREK30JB1SQ" hidden="1">#REF!</definedName>
    <definedName name="BExS9FPRPQ2YKUDGP7G4DC7M7ZDI" hidden="1">#REF!</definedName>
    <definedName name="BExS9FPRS2KRRCS33SE6WFNF5GYL" hidden="1">#REF!</definedName>
    <definedName name="BExS9WI0A6PSEB8N9GPXF2Z7MWHM" hidden="1">#REF!</definedName>
    <definedName name="BExS9YQU1EH9VHR71XGP9W6IOPFV" hidden="1">#REF!</definedName>
    <definedName name="BExSA270QONHU4IMC15A8UVK7ZPU" hidden="1">#REF!</definedName>
    <definedName name="BExSA5HP306TN9XJS0TU619DLRR7" hidden="1">#REF!</definedName>
    <definedName name="BExSAAVWQOOIA6B3JHQVGP08HFEM" hidden="1">#REF!</definedName>
    <definedName name="BExSAFJ3IICU2M7QPVE4ARYMXZKX" hidden="1">#REF!</definedName>
    <definedName name="BExSAH6ID8OHX379UXVNGFO8J6KQ" hidden="1">#REF!</definedName>
    <definedName name="BExSAN63U585LQWLP9A59HN38ISJ" hidden="1">#REF!</definedName>
    <definedName name="BExSAOO7XPMPFC4TPMDBZGXRS9X8" hidden="1">#REF!</definedName>
    <definedName name="BExSAOZ0AIZTELP4J24DFPRDA4UE" hidden="1">#REF!</definedName>
    <definedName name="BExSAPV8RZQ573BUKROTXYVL6EJU" hidden="1">#REF!</definedName>
    <definedName name="BExSAQBGXDMN11706N6MJ588KRMK" hidden="1">#REF!</definedName>
    <definedName name="BExSAQBHIXGQRNIRGCJMBXUPCZQA" hidden="1">#REF!</definedName>
    <definedName name="BExSAUTCT4P7JP57NOR9MTX33QJZ" hidden="1">#REF!</definedName>
    <definedName name="BExSAY9CA9TFXQ9M9FBJRGJO9T9E" hidden="1">#REF!</definedName>
    <definedName name="BExSB4JYKQ3MINI7RAYK5M8BLJDC" hidden="1">#REF!</definedName>
    <definedName name="BExSBA8WMDPY55DMM6RACADHMZ7R" hidden="1">#REF!</definedName>
    <definedName name="BExSBMOS41ZRLWYLOU29V6Y7YORR" hidden="1">#REF!</definedName>
    <definedName name="BExSBRBXXQMBU1TYDW1BXTEVEPRU" hidden="1">#REF!</definedName>
    <definedName name="BExSBVTQUDOBGBM2FJFOS0HYM3E2" hidden="1">#REF!</definedName>
    <definedName name="BExSBZQ2LEVIKCQVJ1G834OZ7W0H" hidden="1">#REF!</definedName>
    <definedName name="BExSC0RX16OEB8AQHFYSVDM50A5P" hidden="1">#REF!</definedName>
    <definedName name="BExSC3X2XCETLPGYBOOWVEOE8PFY" hidden="1">#REF!</definedName>
    <definedName name="BExSC54998WTZ21DSL0R8UN0Y9JH" hidden="1">#REF!</definedName>
    <definedName name="BExSC60N7WR9PJSNC9B7ORCX9NGY" hidden="1">#REF!</definedName>
    <definedName name="BExSC72B1AY25I9A1K7DNRV7VBUQ" hidden="1">#REF!</definedName>
    <definedName name="BExSC7YTFEA8JBAO74A2C3AW8TTG" hidden="1">#REF!</definedName>
    <definedName name="BExSC8EXWG8KJVHADULD001YJMW7" hidden="1">#REF!</definedName>
    <definedName name="BExSCE99EZTILTTCE4NJJF96OYYM" hidden="1">#REF!</definedName>
    <definedName name="BExSCF0BJVF0VES1UFLUOM3ENQMU" hidden="1">#REF!</definedName>
    <definedName name="BExSCHUQZ2HFEWS54X67DIS8OSXZ" hidden="1">#REF!</definedName>
    <definedName name="BExSCL037D2TSLE3LZFA0NB1QJ5P" hidden="1">#REF!</definedName>
    <definedName name="BExSCOG41SKKG4GYU76WRWW1CTE6" hidden="1">#REF!</definedName>
    <definedName name="BExSCP76LE5VFW3W4XCMPOF3XD7M" hidden="1">#REF!</definedName>
    <definedName name="BExSCULDLTDRXUBZHK9UW1CLCPBE" hidden="1">#REF!</definedName>
    <definedName name="BExSCVC9P86YVFMRKKUVRV29MZXZ" hidden="1">#REF!</definedName>
    <definedName name="BExSD233CH4MU9ZMGNRF97ZV7KWU" hidden="1">#REF!</definedName>
    <definedName name="BExSD2U0F3BN6IN9N4R2DTTJG15H" hidden="1">#REF!</definedName>
    <definedName name="BExSD6A6NY15YSMFH51ST6XJY429" hidden="1">#REF!</definedName>
    <definedName name="BExSD6KZASD3EE8SJ8KGU2T95TBV" hidden="1">#REF!</definedName>
    <definedName name="BExSD9VH6PF6RQ135VOEE08YXPAW" hidden="1">#REF!</definedName>
    <definedName name="BExSDP5Y04WWMX2WWRITWOX8R5I9" hidden="1">#REF!</definedName>
    <definedName name="BExSDQIDT46W1P89SDZBKYG9NTXY" hidden="1">#REF!</definedName>
    <definedName name="BExSDSGM203BJTNS9MKCBX453HMD" hidden="1">#REF!</definedName>
    <definedName name="BExSDSLWX7YOST3ATOZBT16KH8CR" hidden="1">#REF!</definedName>
    <definedName name="BExSDT20XUFXTDM37M148AXAP7HN" hidden="1">#REF!</definedName>
    <definedName name="BExSDV09H6Q2RT7EPOAY989WR72P" hidden="1">#REF!</definedName>
    <definedName name="BExSDZY6O9KW899MHCIQ0CVQTK2Z" hidden="1">#REF!</definedName>
    <definedName name="BExSEEHK1VLWD7JBV9SVVVIKQZ3I" hidden="1">#REF!</definedName>
    <definedName name="BExSEJKZLX37P3V33TRTFJ30BFRK" hidden="1">#REF!</definedName>
    <definedName name="BExSEP9UVOAI6TMXKNK587PQ3328" hidden="1">#REF!</definedName>
    <definedName name="BExSEQ0W14SUGTDZ2LECMWR1G9AB" hidden="1">#REF!</definedName>
    <definedName name="BExSETRP7IVG8PRBIDQ7NFY5Y96Y" hidden="1">#REF!</definedName>
    <definedName name="BExSEZGTZLZH01XOCNHFIXV5ENMB" hidden="1">#REF!</definedName>
    <definedName name="BExSF07QFLZCO4P6K6QF05XG7PH1" hidden="1">#REF!</definedName>
    <definedName name="BExSF0YM13JBMEA4N6S4W9WRZ21Q" hidden="1">#REF!</definedName>
    <definedName name="BExSFBAXXT6VPSMGG95BX8DPLCPL" hidden="1">#REF!</definedName>
    <definedName name="BExSFDP9HPTNDG9OHHKW9B6REDRD" hidden="1">#REF!</definedName>
    <definedName name="BExSFELNPJYUZX393PKWKNNZYV1N" hidden="1">#REF!</definedName>
    <definedName name="BExSFJ8ZAGQ63A4MVMZRQWLVRGQ5" hidden="1">#REF!</definedName>
    <definedName name="BExSFKQRST2S9KXWWLCXYLKSF4G1" hidden="1">#REF!</definedName>
    <definedName name="BExSFYDRRTAZVPXRWUF5PDQ97WFF" hidden="1">#REF!</definedName>
    <definedName name="BExSFZVPFTXA3F0IJ2NGH1GXX9R7" hidden="1">#REF!</definedName>
    <definedName name="BExSG2FDENA4U3IOXA2H7JXUPD1G" hidden="1">#REF!</definedName>
    <definedName name="BExSG54GJUBJC6LBTHUJLY33F72L" hidden="1">#REF!</definedName>
    <definedName name="BExSG90Q4ZUU2IPGDYOM169NJV9S" hidden="1">#REF!</definedName>
    <definedName name="BExSG9X3DU845PNXYJGGLBQY2UHG" hidden="1">#REF!</definedName>
    <definedName name="BExSGB47OCDIJC3FX5C3D7XK7V0R" hidden="1">#REF!</definedName>
    <definedName name="BExSGDTC71GWLD5AGCW1P8EJBPCO" hidden="1">#REF!</definedName>
    <definedName name="BExSGE45J27MDUUNXW7Z8Q33UAON" hidden="1">#REF!</definedName>
    <definedName name="BExSGE9LY91Q0URHB4YAMX0UAMYI" hidden="1">#REF!</definedName>
    <definedName name="BExSGEV5N6HES5ULGDJ7NGW53NWI" hidden="1">#REF!</definedName>
    <definedName name="BExSGK3WTYQ93PWH3X07ARL393C7" hidden="1">#REF!</definedName>
    <definedName name="BExSGLB2URTLBCKBB4Y885W925F2" hidden="1">#REF!</definedName>
    <definedName name="BExSGOAYG73SFWOPAQV80P710GID" hidden="1">#REF!</definedName>
    <definedName name="BExSGOWJHRW7FWKLO2EHUOOGHNAF" hidden="1">#REF!</definedName>
    <definedName name="BExSGOWJTAP41ZV5Q23H7MI9C76W" hidden="1">#REF!</definedName>
    <definedName name="BExSGR5JQVX2HQ0PKCGZNSSUM1RV" hidden="1">#REF!</definedName>
    <definedName name="BExSGRLO315VNYHXW5U0JNTKNEBM" hidden="1">#REF!</definedName>
    <definedName name="BExSGVHX69GJZHD99DKE4RZ042B1" hidden="1">#REF!</definedName>
    <definedName name="BExSGYCI4D2DCMNSXVZRKHRHI6TZ" hidden="1">#REF!</definedName>
    <definedName name="BExSGZJO4J4ZO04E2N2ECVYS9DEZ" hidden="1">#REF!</definedName>
    <definedName name="BExSHAHFHS7MMNJR8JPVABRGBVIT" hidden="1">#REF!</definedName>
    <definedName name="BExSHGH88QZWW4RNAX4YKAZ5JEBL" hidden="1">#REF!</definedName>
    <definedName name="BExSHHOBYZF72K9PXUKU31AZF4MW" hidden="1">#REF!</definedName>
    <definedName name="BExSHOKK1OO3CX9Z28C58E5J1D9W" hidden="1">#REF!</definedName>
    <definedName name="BExSHQD8KYLTQGDXIRKCHQQ7MKIH" hidden="1">#REF!</definedName>
    <definedName name="BExSHVGPIAHXI97UBLI9G4I4M29F" hidden="1">#REF!</definedName>
    <definedName name="BExSI0K2YL3HTCQAD8A7TR4QCUR6" hidden="1">#REF!</definedName>
    <definedName name="BExSIFUDNRWXWIWNGCCFOOD8WIAZ" hidden="1">#REF!</definedName>
    <definedName name="BExTTIKR45A5P5P8BJR9KKY515P6" hidden="1">#REF!</definedName>
    <definedName name="BExTTNDDGNBAW2NNYF8W02C7DQW6" hidden="1">#REF!</definedName>
    <definedName name="BExTTZNS2PBCR93C9IUW49UZ4I6T" hidden="1">#REF!</definedName>
    <definedName name="BExTU1R9WXMD9AV0YW3E8N7C0QYB" hidden="1">#REF!</definedName>
    <definedName name="BExTU2YFQ25JQ6MEMRHHN66VLTPJ" hidden="1">#REF!</definedName>
    <definedName name="BExTU4R6WHZBYM1HTP3W7EGOE39U" hidden="1">#REF!</definedName>
    <definedName name="BExTU75IOII1V5O0C9X2VAYYVJUG" hidden="1">#REF!</definedName>
    <definedName name="BExTUA5F7V4LUIIAM17J3A8XF3JE" hidden="1">#REF!</definedName>
    <definedName name="BExTUD5B883K5MZ0K08F7DRMVC07" hidden="1">#REF!</definedName>
    <definedName name="BExTUDG31MEUB8N8KSUVIP027Z9C" hidden="1">#REF!</definedName>
    <definedName name="BExTUJ53ANGZ3H1KDK4CR4Q0OD6P" hidden="1">#REF!</definedName>
    <definedName name="BExTUKXSZBM7C57G6NGLWGU4WOHY" hidden="1">#REF!</definedName>
    <definedName name="BExTUSQCFFYZCDNHWHADBC2E1ZP1" hidden="1">#REF!</definedName>
    <definedName name="BExTUVFGOJEYS28JURA5KHQFDU5J" hidden="1">#REF!</definedName>
    <definedName name="BExTUVFHE569X4R8GDY61LJBPRWZ" hidden="1">#REF!</definedName>
    <definedName name="BExTUW10U40QCYGHM5NJ3YR1O5SP" hidden="1">#REF!</definedName>
    <definedName name="BExTUWXFQHINU66YG82BI20ATMB5" hidden="1">#REF!</definedName>
    <definedName name="BExTUY9WNSJ91GV8CP0SKJTEIV82" hidden="1">#REF!</definedName>
    <definedName name="BExTV67VIM8PV6KO253M4DUBJQLC" hidden="1">#REF!</definedName>
    <definedName name="BExTV97RVZR4T2RP1DB3ZTAP38UC" hidden="1">#REF!</definedName>
    <definedName name="BExTV9NUZ4A99QMLUY5TYC7B0HQ7" hidden="1">#REF!</definedName>
    <definedName name="BExTVELZCF2YA5L6F23BYZZR6WHF" hidden="1">#REF!</definedName>
    <definedName name="BExTVGPIQZ99YFXUC8OONUX5BD42" hidden="1">#REF!</definedName>
    <definedName name="BExTVLI4QGRFDKZPVVY3HLTTOR2U" hidden="1">#REF!</definedName>
    <definedName name="BExTVZQLP9VFLEYQ9280W13X7E8K" hidden="1">#REF!</definedName>
    <definedName name="BExTW01EJ5NZPJEQ7AYNEIIOGI6W" hidden="1">#REF!</definedName>
    <definedName name="BExTWB4LA1PODQOH4LDTHQKBN16K" hidden="1">#REF!</definedName>
    <definedName name="BExTWI0Q8AWXUA3ZN7I5V3QK2KM1" hidden="1">#REF!</definedName>
    <definedName name="BExTWJTIA3WUW1PUWXAOP9O8NKLZ" hidden="1">#REF!</definedName>
    <definedName name="BExTWW95OX07FNA01WF5MSSSFQLX" hidden="1">#REF!</definedName>
    <definedName name="BExTWX0878HL609A9YMUTVASXFH5" hidden="1">#REF!</definedName>
    <definedName name="BExTX476KI0RNB71XI5TYMANSGBG" hidden="1">#REF!</definedName>
    <definedName name="BExTXDHI0TTIDP6YGMBSIW1B5JEK" hidden="1">#REF!</definedName>
    <definedName name="BExTXHZBYDRJEETUKBGCCLHC1RD8" hidden="1">#REF!</definedName>
    <definedName name="BExTXJ6HBAIXMMWKZTJNFDYVZCAY" hidden="1">#REF!</definedName>
    <definedName name="BExTXS65X2IDPQY9N3Z91CPGJK64" hidden="1">#REF!</definedName>
    <definedName name="BExTXT812NQT8GAEGH738U29BI0D" hidden="1">#REF!</definedName>
    <definedName name="BExTXVX4NFHU4QPPMOBNR714EZ0L" hidden="1">#REF!</definedName>
    <definedName name="BExTXWIP2TFPTQ76NHFOB72NICRZ" hidden="1">#REF!</definedName>
    <definedName name="BExTY0KAXRARCUIMQC4NYQ0CPQZR" hidden="1">#REF!</definedName>
    <definedName name="BExTY5T62H651VC86QM4X7E28JVA" hidden="1">#REF!</definedName>
    <definedName name="BExTY9K02IXKLYM83JO0RCZL181T" hidden="1">#REF!</definedName>
    <definedName name="BExTYHCJJ2NWRM1RV59FYR41534U" hidden="1">#REF!</definedName>
    <definedName name="BExTYKCEFJ83LZM95M1V7CSFQVEA" hidden="1">#REF!</definedName>
    <definedName name="BExTYO3CKZHCKC6XQW21H81X40H2" hidden="1">#REF!</definedName>
    <definedName name="BExTYPLA9N640MFRJJQPKXT7P88M" hidden="1">#REF!</definedName>
    <definedName name="BExTZ7F71SNTOX4LLZCK5R9VUMIJ" hidden="1">#REF!</definedName>
    <definedName name="BExTZ8X5G9S3PA4FPSNK7T69W7QT" hidden="1">#REF!</definedName>
    <definedName name="BExTZ97Y0RMR8V5BI9F2H4MFB77O" hidden="1">#REF!</definedName>
    <definedName name="BExTZG9FMGT8O1T6CV3VBJCWFT0U" hidden="1">#REF!</definedName>
    <definedName name="BExTZK5PMCAXJL4DUIGL6H9Y8U4C" hidden="1">#REF!</definedName>
    <definedName name="BExTZKB6L5SXV5UN71YVTCBEIGWY" hidden="1">#REF!</definedName>
    <definedName name="BExTZLICVKK4NBJFEGL270GJ2VQO" hidden="1">#REF!</definedName>
    <definedName name="BExTZO2596CBZKPI7YNA1QQNPAIJ" hidden="1">#REF!</definedName>
    <definedName name="BExTZUCK6SKTQZBTCOEGG3W2WDWY" hidden="1">#REF!</definedName>
    <definedName name="BExTZUY50WJ34SJQG3VAEYFKCWPH" hidden="1">#REF!</definedName>
    <definedName name="BExTZY8TDV4U7FQL7O10G6VKWKPJ" hidden="1">#REF!</definedName>
    <definedName name="BExU02QNT4LT7H9JPUC4FXTLVGZT" hidden="1">#REF!</definedName>
    <definedName name="BExU06MXW7BOIZ4FCZTY35K72F75" hidden="1">#REF!</definedName>
    <definedName name="BExU0BFJJQO1HJZKI14QGOQ6JROO" hidden="1">#REF!</definedName>
    <definedName name="BExU0BVSUB2FC43GD2ONU7J3UWT8" hidden="1">#REF!</definedName>
    <definedName name="BExU0FH5WTGW8MRFUFMDDSMJ6YQ5" hidden="1">#REF!</definedName>
    <definedName name="BExU0GDOIL9U33QGU9ZU3YX3V1I4" hidden="1">#REF!</definedName>
    <definedName name="BExU0HKTO8WJDQDWRTUK5TETM3HS" hidden="1">#REF!</definedName>
    <definedName name="BExU0MTJQPE041ZN7H8UKGV6MZT7" hidden="1">#REF!</definedName>
    <definedName name="BExU0X0E5E8WKG8G30I5IQ5M2KZQ" hidden="1">#REF!</definedName>
    <definedName name="BExU0ZUUFYHLUK4M4E8GLGIBBNT0" hidden="1">#REF!</definedName>
    <definedName name="BExU100A78ZWZ0IFZO2R5PDJYZT4" hidden="1">#REF!</definedName>
    <definedName name="BExU147D6RPG6ZVTSXRKFSVRHSBG" hidden="1">#REF!</definedName>
    <definedName name="BExU14YALRGNOD8HCL5X14K09E7C" hidden="1">#REF!</definedName>
    <definedName name="BExU16R10W1SOAPNG4CDJ01T7JRE" hidden="1">#REF!</definedName>
    <definedName name="BExU17CKOR3GNIHDNVLH9L1IOJS9" hidden="1">#REF!</definedName>
    <definedName name="BExU195CJ37XATIANXW7OUN4I34J" hidden="1">#REF!</definedName>
    <definedName name="BExU1GXUTLRPJN4MRINLAPHSZQFG" hidden="1">#REF!</definedName>
    <definedName name="BExU1IL9AOHFO85BZB6S60DK3N8H" hidden="1">#REF!</definedName>
    <definedName name="BExU1KU4RRTU9YI0Q5JADG0F8VH9" hidden="1">#REF!</definedName>
    <definedName name="BExU1NOPS09CLFZL1O31RAF9BQNQ" hidden="1">#REF!</definedName>
    <definedName name="BExU1PH9MOEX1JZVZ3D5M9DXB191" hidden="1">#REF!</definedName>
    <definedName name="BExU1QZEEKJA35IMEOLOJ3ODX0ZA" hidden="1">#REF!</definedName>
    <definedName name="BExU1VRURIWWVJ95O40WA23LMTJD" hidden="1">#REF!</definedName>
    <definedName name="BExU1W84LALIJQN65PPAW6Q67AU6" hidden="1">#REF!</definedName>
    <definedName name="BExU20VF52TJ5ISHWRZOE0QT6GYL" hidden="1">#REF!</definedName>
    <definedName name="BExU24WZVWLHEB1A9OARDCA263BI" hidden="1">#REF!</definedName>
    <definedName name="BExU287PNFO17L6BXQTIVCBW62Z2" hidden="1">#REF!</definedName>
    <definedName name="BExU2JAWUYUJFS4YT1F48U33IPII" hidden="1">#REF!</definedName>
    <definedName name="BExU2M5CK6XK55UIHDVYRXJJJRI4" hidden="1">#REF!</definedName>
    <definedName name="BExU2TXVT25ZTOFQAF6CM53Z1RLF" hidden="1">#REF!</definedName>
    <definedName name="BExU2V50103KQRM8R2F1B5WIXVP5" hidden="1">#REF!</definedName>
    <definedName name="BExU2XZLYIU19G7358W5T9E87AFR" hidden="1">#REF!</definedName>
    <definedName name="BExU34A0UFMLNW0Z1G02P62LRXS6" hidden="1">#REF!</definedName>
    <definedName name="BExU3B66MCKJFSKT3HL8B5EJGVX0" hidden="1">#REF!</definedName>
    <definedName name="BExU3FYZOUQOG850O8OC4II8K3TA" hidden="1">#REF!</definedName>
    <definedName name="BExU3UNI9NR1RNZR07NSLSZMDOQQ" hidden="1">#REF!</definedName>
    <definedName name="BExU401R18N6XKZKL7CNFOZQCM14" hidden="1">#REF!</definedName>
    <definedName name="BExU42QVGY7TK39W1BIN6CDRG2OE" hidden="1">#REF!</definedName>
    <definedName name="BExU44P2AEX6PD8VC4ISCROUCQSP" hidden="1">#REF!</definedName>
    <definedName name="BExU47OZMS6TCWMEHHF0UCSFLLPI" hidden="1">#REF!</definedName>
    <definedName name="BExU48W3XXEJ7AYQMLG5DYN1IMQH" hidden="1">#REF!</definedName>
    <definedName name="BExU4D36E8TXN0M8KSNGEAFYP4DQ" hidden="1">#REF!</definedName>
    <definedName name="BExU4G31RRVLJ3AC6E1FNEFMXM3O" hidden="1">#REF!</definedName>
    <definedName name="BExU4GDVLPUEWBA4MRYRTQAUNO7B" hidden="1">#REF!</definedName>
    <definedName name="BExU4I148DA7PRCCISLWQ6ABXFK6" hidden="1">#REF!</definedName>
    <definedName name="BExU4L101H2KQHVKCKQ4PBAWZV6K" hidden="1">#REF!</definedName>
    <definedName name="BExU4NA00RRRBGRT6TOB0MXZRCRZ" hidden="1">#REF!</definedName>
    <definedName name="BExU4Q4EQD27MOYM65FOT7G120L3" hidden="1">#REF!</definedName>
    <definedName name="BExU4VINTOEXJ7IG230IISIDNXVX" hidden="1">#REF!</definedName>
    <definedName name="BExU51IFNZXPBDES28457LR8X60M" hidden="1">#REF!</definedName>
    <definedName name="BExU529I6YHVOG83TJHWSILIQU1S" hidden="1">#REF!</definedName>
    <definedName name="BExU53B5S14U04C9EFGM17PE0OWO" hidden="1">#REF!</definedName>
    <definedName name="BExU53B70U7RECTAN52EIOM5AWJL" hidden="1">#REF!</definedName>
    <definedName name="BExU57YCIKPRD8QWL6EU0YR3NG3J" hidden="1">#REF!</definedName>
    <definedName name="BExU5DSTBWXLN6E59B757KRWRI6E" hidden="1">#REF!</definedName>
    <definedName name="BExU5TDWM8NNDHYPQ7OQODTQ368A" hidden="1">#REF!</definedName>
    <definedName name="BExU5W8AZ8S7YPM7ECDZNFYMOUWV" hidden="1">#REF!</definedName>
    <definedName name="BExU5X4OX1V1XHS6WSSORVQPP6Z3" hidden="1">#REF!</definedName>
    <definedName name="BExU5XVPARTFMRYHNUTBKDIL4UJN" hidden="1">#REF!</definedName>
    <definedName name="BExU66KMFBAP8JCVG9VM1RD1TNFF" hidden="1">#REF!</definedName>
    <definedName name="BExU68IOM3CB3TACNAE9565TW7SH" hidden="1">#REF!</definedName>
    <definedName name="BExU6ABER6Y5SERHQ6NFDTEBL55Q" hidden="1">#REF!</definedName>
    <definedName name="BExU6AM82KN21E82HMWVP3LWP9IL" hidden="1">#REF!</definedName>
    <definedName name="BExU6FEU1MRHU98R9YOJC5OKUJ6L" hidden="1">#REF!</definedName>
    <definedName name="BExU6IUVFOX25046KXNJDM34MDYU" hidden="1">#REF!</definedName>
    <definedName name="BExU6J0B2PSOQ02OCVWI1CMOYUW1" hidden="1">#REF!</definedName>
    <definedName name="BExU6KIAJ663Y8W8QMU4HCF183DF" hidden="1">#REF!</definedName>
    <definedName name="BExU6KT19B4PG6SHXFBGBPLM66KT" hidden="1">#REF!</definedName>
    <definedName name="BExU6PAVKIOAIMQ9XQIHHF1SUAGO" hidden="1">#REF!</definedName>
    <definedName name="BExU6PWIH3DNZO3C01Q2O1WAPHT1" hidden="1">#REF!</definedName>
    <definedName name="BExU6WXXC7SSQDMHSLUN5C2V4IYX" hidden="1">#REF!</definedName>
    <definedName name="BExU6XZTZKP6Z9B4HONC4TR1O8Y0" hidden="1">#REF!</definedName>
    <definedName name="BExU73387E74XE8A9UKZLZNJYY65" hidden="1">#REF!</definedName>
    <definedName name="BExU76ZHCJM8I7VSICCMSTC33O6U" hidden="1">#REF!</definedName>
    <definedName name="BExU7BBTUF8BQ42DSGM94X5TG5GF" hidden="1">#REF!</definedName>
    <definedName name="BExU7HH4EAHFQHT4AXKGWAWZP3I0" hidden="1">#REF!</definedName>
    <definedName name="BExU7MF1ZVPDHOSMCAXOSYICHZ4I" hidden="1">#REF!</definedName>
    <definedName name="BExU7O2BJ6D5YCKEL6FD2EFCWYRX" hidden="1">#REF!</definedName>
    <definedName name="BExU7PV8ZEKA67W4FBCDH0RFUXHT" hidden="1">#REF!</definedName>
    <definedName name="BExU7Q0JS9YIUKUPNSSAIDK2KJAV" hidden="1">#REF!</definedName>
    <definedName name="BExU7YPGRHFKLNVO8K06SHC1VRXV" hidden="1">#REF!</definedName>
    <definedName name="BExU807DTQL5OOHWUV92HXNPTTPM" hidden="1">#REF!</definedName>
    <definedName name="BExU80I6AE5OU7P7F5V7HWIZBJ4P" hidden="1">#REF!</definedName>
    <definedName name="BExU82LPP5Z8UAOMKK2QAOEFJ3SB" hidden="1">#REF!</definedName>
    <definedName name="BExU86NB26MCPYIISZ36HADONGT2" hidden="1">#REF!</definedName>
    <definedName name="BExU87UFKSNKSEWCUHRDCNGK590B" hidden="1">#REF!</definedName>
    <definedName name="BExU885EZZNSZV3GP298UJ8LB7OL" hidden="1">#REF!</definedName>
    <definedName name="BExU8FSAUP9TUZ1NO9WXK80QPHWV" hidden="1">#REF!</definedName>
    <definedName name="BExU8KFLAN778MBN93NYZB0FV30G" hidden="1">#REF!</definedName>
    <definedName name="BExU8QFF8A75FQCYF4AOK7WT3YUH" hidden="1">#REF!</definedName>
    <definedName name="BExU8STP8ABU2K7381QNK1UR3UMU" hidden="1">#REF!</definedName>
    <definedName name="BExU8UBO8BAPWA1WQTHYS3V0GSL6" hidden="1">#REF!</definedName>
    <definedName name="BExU8UX9JX3XLB47YZ8GFXE0V7R2" hidden="1">#REF!</definedName>
    <definedName name="BExU8X68MCUPILYEOIL7JU5NQA4T" hidden="1">#REF!</definedName>
    <definedName name="BExU8Y7YGQ2BWK1PUSF07YBL186G" hidden="1">#REF!</definedName>
    <definedName name="BExU91DC3DGKPZD6LTER2IRTF89C" hidden="1">#REF!</definedName>
    <definedName name="BExU96M1J7P9DZQ3S9H0C12KGYTW" hidden="1">#REF!</definedName>
    <definedName name="BExU9F05OR1GZ3057R6UL3WPEIYI" hidden="1">#REF!</definedName>
    <definedName name="BExU9GCSO5YILIKG6VAHN13DL75K" hidden="1">#REF!</definedName>
    <definedName name="BExU9KJOZLO15N11MJVN782NFGJ0" hidden="1">#REF!</definedName>
    <definedName name="BExU9LG29XU2K1GNKRO4438JYQZE" hidden="1">#REF!</definedName>
    <definedName name="BExU9RW36I5Z6JIXUIUB3PJH86LT" hidden="1">#REF!</definedName>
    <definedName name="BExUA28AO7OWDG3H23Q0CL4B7BHW" hidden="1">#REF!</definedName>
    <definedName name="BExUA52UTIBYQJ6BYAFHU9XHIEPU" hidden="1">#REF!</definedName>
    <definedName name="BExUA5O923FFNEBY8BPO1TU3QGBM" hidden="1">#REF!</definedName>
    <definedName name="BExUA6Q4K25VH452AQ3ZIRBCMS61" hidden="1">#REF!</definedName>
    <definedName name="BExUAFV4JMBSM2SKBQL9NHL0NIBS" hidden="1">#REF!</definedName>
    <definedName name="BExUAMWQODKBXMRH1QCMJLJBF8M7" hidden="1">#REF!</definedName>
    <definedName name="BExUANNO47YZKB0QRGC2X2E4O2W0" hidden="1">#REF!</definedName>
    <definedName name="BExUAX8WS5OPVLCDXRGKTU2QMTFO" hidden="1">#REF!</definedName>
    <definedName name="BExUB8HLEXSBVPZ5AXNQEK96F1N4" hidden="1">#REF!</definedName>
    <definedName name="BExUB9U4FKBDDFLEB5HH7YO2RDRC" hidden="1">#REF!</definedName>
    <definedName name="BExUBA4UZ373MR7QZSU9ZJYTMJFM" hidden="1">#REF!</definedName>
    <definedName name="BExUBCDVZIEA7YT0LPSMHL5ZSERQ" hidden="1">#REF!</definedName>
    <definedName name="BExUBKXBUCN760QYU7Q8GESBWOQH" hidden="1">#REF!</definedName>
    <definedName name="BExUBL83ED0P076RN9RJ8P1MZ299" hidden="1">#REF!</definedName>
    <definedName name="BExUBMQ1AP8KTZPMN3PIBRF8USJW" hidden="1">#REF!</definedName>
    <definedName name="BExUC5GI9640NZY4BBT7H77OUJ3N" hidden="1">#REF!</definedName>
    <definedName name="BExUC623BDYEODBN0N4DO6PJQ7NU" hidden="1">#REF!</definedName>
    <definedName name="BExUC8WH8TCKBB5313JGYYQ1WFLT" hidden="1">#REF!</definedName>
    <definedName name="BExUCFCDK6SPH86I6STXX8X3WMC4" hidden="1">#REF!</definedName>
    <definedName name="BExUCFN4YV365AG2M858MOB5M7KX" hidden="1">#REF!</definedName>
    <definedName name="BExUCJOXAUIFVYPO7DC43ZQH812O" hidden="1">#REF!</definedName>
    <definedName name="BExUCLC6AQ5KR6LXSAXV4QQ8ASVG" hidden="1">#REF!</definedName>
    <definedName name="BExUCVTU10DQNDAAJDE8STLDAMBE" hidden="1">#REF!</definedName>
    <definedName name="BExUD3X4LKCPHO3399IAQ4KB7RAO" hidden="1">#REF!</definedName>
    <definedName name="BExUD4IOJ12X3PJG5WXNNGDRCKAP" hidden="1">#REF!</definedName>
    <definedName name="BExUD9WX9BWK72UWVSLYZJLAY5VY" hidden="1">#REF!</definedName>
    <definedName name="BExUDBEUJH9IACZDBL1VAUWPG0QW" hidden="1">#REF!</definedName>
    <definedName name="BExUDDID58FPLCLZI509GZZ9QBCN" hidden="1">#REF!</definedName>
    <definedName name="BExUDEV0CYVO7Y5IQQBEJ6FUY9S6" hidden="1">#REF!</definedName>
    <definedName name="BExUDFB5BY3IE82E4QKMWZ1VYNUZ" hidden="1">#REF!</definedName>
    <definedName name="BExUDFWPKPWCBEX619KWYV4SG02U" hidden="1">#REF!</definedName>
    <definedName name="BExUDLWI3SFFY9TB7LMDG6ZOPFTQ" hidden="1">#REF!</definedName>
    <definedName name="BExUDPHZ2IXOSI60HQ1FZAJX2E3A" hidden="1">#REF!</definedName>
    <definedName name="BExUDWOXQGIZW0EAIIYLQUPXF8YV" hidden="1">#REF!</definedName>
    <definedName name="BExUDXAIC17W1FUU8Z10XUAVB7CS" hidden="1">#REF!</definedName>
    <definedName name="BExUE5OMY7OAJQ9WR8C8HG311ORP" hidden="1">#REF!</definedName>
    <definedName name="BExUEDH4SXSASXJW8YTJNYCUYIL5" hidden="1">#REF!</definedName>
    <definedName name="BExUEFKOQWXXGRNLAOJV2BJ66UB8" hidden="1">#REF!</definedName>
    <definedName name="BExUEJGX3OQQP5KFRJSRCZ70EI9V" hidden="1">#REF!</definedName>
    <definedName name="BExUEYR71COFS2X8PDNU21IPMQEU" hidden="1">#REF!</definedName>
    <definedName name="BExVPRLJ9I6RX45EDVFSQGCPJSOK" hidden="1">#REF!</definedName>
    <definedName name="BExVQTCZQ35BWE8YVFVH1YQVEPL6" hidden="1">#REF!</definedName>
    <definedName name="BExVQZNK41RBONC17MKJFDJHJ2FH" hidden="1">#REF!</definedName>
    <definedName name="BExVR6ZTXFWZZOUEET5IVLCYF9NH" hidden="1">#REF!</definedName>
    <definedName name="BExVRBN7FHDW2X70WZVI2VBPKS5H" hidden="1">#REF!</definedName>
    <definedName name="BExVRHMZFCLVJD1CEJYK5DPT6L10" hidden="1">#REF!</definedName>
    <definedName name="BExVS5GOXEG1U0U1RQXZ5YAPU71C" hidden="1">#REF!</definedName>
    <definedName name="BExVS80GG2EPF5EIWJLEIL92IHUS" hidden="1">#REF!</definedName>
    <definedName name="BExVS97LH11L7R2279SSD516NWW5" hidden="1">#REF!</definedName>
    <definedName name="BExVSHR206ZB2UUAB1MBD8DSD30H" hidden="1">#REF!</definedName>
    <definedName name="BExVSL787C8E4HFQZ2NVLT35I2XV" hidden="1">#REF!</definedName>
    <definedName name="BExVSPJKRCNLXY6OH24KDV1VOTV8" hidden="1">#REF!</definedName>
    <definedName name="BExVSR710FS6NNNRCF0524YZU56V" hidden="1">#REF!</definedName>
    <definedName name="BExVSS8NN5P1FYO9GHFLY45KLQEV" hidden="1">#REF!</definedName>
    <definedName name="BExVSTFTVV14SFGHQUOJL5SQ5TX9" hidden="1">#REF!</definedName>
    <definedName name="BExVSWVZI3HLXVOGHED4G02UI1YR" hidden="1">#REF!</definedName>
    <definedName name="BExVSXSCYMEA4K772SCM74OBM2F0" hidden="1">#REF!</definedName>
    <definedName name="BExVT36KV9J0PB4GOA6JVOHZB0UU" hidden="1">#REF!</definedName>
    <definedName name="BExVT3MPE8LQ5JFN3HQIFKSQ80U4" hidden="1">#REF!</definedName>
    <definedName name="BExVT66GZ91VTZ9P15L61W0P4987" hidden="1">#REF!</definedName>
    <definedName name="BExVT7TRK3NZHPME2TFBXOF1WBR9" hidden="1">#REF!</definedName>
    <definedName name="BExVT8A0C3S4OFKGP9A81WCY7ZAW" hidden="1">#REF!</definedName>
    <definedName name="BExVT9H0R0T7WGQAAC0HABMG54YM" hidden="1">#REF!</definedName>
    <definedName name="BExVT9MHUYN5XAGFA0JHLZ971YJB" hidden="1">#REF!</definedName>
    <definedName name="BExVTAO65UPNVB6BB2Y6KM3GSZWP" hidden="1">#REF!</definedName>
    <definedName name="BExVTCMDDEDGLUIMUU6BSFHEWTOP" hidden="1">#REF!</definedName>
    <definedName name="BExVTCMDQMLKRA2NQR72XU6Y54IK" hidden="1">#REF!</definedName>
    <definedName name="BExVTCRV8FQ5U9OYWWL44N6KFNHU" hidden="1">#REF!</definedName>
    <definedName name="BExVTE9N8N6TBS06YUYGRGNPOZUF" hidden="1">#REF!</definedName>
    <definedName name="BExVTFBHR6SU1S4W45EU5WAMST2V" hidden="1">#REF!</definedName>
    <definedName name="BExVTHF0MZ1CQFLP74M695OQVWGA" hidden="1">#REF!</definedName>
    <definedName name="BExVTM7MA2YR42U39G90BC1OF4J1" hidden="1">#REF!</definedName>
    <definedName name="BExVTNESHPVG0A0KZ7BRX26MS0PF" hidden="1">#REF!</definedName>
    <definedName name="BExVTTJVTNRSBHBTUZ78WG2JM5MK" hidden="1">#REF!</definedName>
    <definedName name="BExVTU06WVMGMICY1N0SCWVW00XC" hidden="1">#REF!</definedName>
    <definedName name="BExVTXG55N0HZWWJCL01MQBE1FT2" hidden="1">#REF!</definedName>
    <definedName name="BExVTXLMYR87BC04D1ERALPUFVPG" hidden="1">#REF!</definedName>
    <definedName name="BExVU2JKY01QHH23BYTZHYIC7SNM" hidden="1">#REF!</definedName>
    <definedName name="BExVUBZK8P8AWPCMNX8J2IHMJ6CU" hidden="1">#REF!</definedName>
    <definedName name="BExVUG13Q2VTWTBYO87XC4JV1ISF" hidden="1">#REF!</definedName>
    <definedName name="BExVUL9V3H8ZF6Y72LQBBN639YAA" hidden="1">#REF!</definedName>
    <definedName name="BExVUUPUF8UBYTXIV1OCJ5XZ5BKL" hidden="1">#REF!</definedName>
    <definedName name="BExVV5T14N2HZIK7HQ4P2KG09U0J" hidden="1">#REF!</definedName>
    <definedName name="BExVV6JXS3W0A87IOOMXEH1977S6" hidden="1">#REF!</definedName>
    <definedName name="BExVV7R410VYLADLX9LNG63ID6H1" hidden="1">#REF!</definedName>
    <definedName name="BExVV9EIJT38PNJT6XEFRSV54WTF" hidden="1">#REF!</definedName>
    <definedName name="BExVVCEED4JEKF59OV0G3T4XFMFO" hidden="1">#REF!</definedName>
    <definedName name="BExVVLJEK5JVWJIAJ3753XLTSSGB" hidden="1">#REF!</definedName>
    <definedName name="BExVVMVVZ64UQFJ59SCHM73TP5G2" hidden="1">#REF!</definedName>
    <definedName name="BExVVPFO2J7FMSRPD36909HN4BZJ" hidden="1">#REF!</definedName>
    <definedName name="BExVVQ19AQ3VCARJOC38SF7OYE9Y" hidden="1">#REF!</definedName>
    <definedName name="BExVVQ19TAECID45CS4HXT1RD3AQ" hidden="1">#REF!</definedName>
    <definedName name="BExVVWBTUNT7GHGK4YPIDSBUS7T6" hidden="1">#REF!</definedName>
    <definedName name="BExVW3YV5XGIVJ97UUPDJGJ2P15B" hidden="1">#REF!</definedName>
    <definedName name="BExVW5X571GEYR5SCU1Z2DHKWM79" hidden="1">#REF!</definedName>
    <definedName name="BExVW6YTKA098AF57M4PHNQ54XMH" hidden="1">#REF!</definedName>
    <definedName name="BExVWG9ANRYTAV2QKOGKSMUU3KKX" hidden="1">#REF!</definedName>
    <definedName name="BExVWINKCH0V0NUWH363SMXAZE62" hidden="1">#REF!</definedName>
    <definedName name="BExVWK5K1W0HNLMX9IMRUYQ4TS9W" hidden="1">#REF!</definedName>
    <definedName name="BExVWMUOBEUBF34FWT1O0RVFPB8Q" hidden="1">#REF!</definedName>
    <definedName name="BExVWNLPQOO8D7Q7GGA63VPAS3UG" hidden="1">#REF!</definedName>
    <definedName name="BExVWYU8EK669NP172GEIGCTVPPA" hidden="1">#REF!</definedName>
    <definedName name="BExVX3MVJ0GHWPP1EL59ZQNKMX0B" hidden="1">#REF!</definedName>
    <definedName name="BExVX3XN2DRJKL8EDBIG58RYQ36R" hidden="1">#REF!</definedName>
    <definedName name="BExVXAOI1MZK1BCZRUHWVI2O9HCM" hidden="1">#REF!</definedName>
    <definedName name="BExVXDZ63PUART77BBR5SI63TPC6" hidden="1">#REF!</definedName>
    <definedName name="BExVXHKI6LFYMGWISMPACMO247HL" hidden="1">#REF!</definedName>
    <definedName name="BExVXI69ZGG27529F6SJYTWR5WR2" hidden="1">#REF!</definedName>
    <definedName name="BExVXLX2BZ5EF2X6R41BTKRJR1NM" hidden="1">#REF!</definedName>
    <definedName name="BExVXP7PTKM5ZSPQI14M597DN7VE" hidden="1">#REF!</definedName>
    <definedName name="BExVXPTBJOQESPB5C454O4CX61YJ" hidden="1">#REF!</definedName>
    <definedName name="BExVXPYSCJ5B542F3X06I38P9324" hidden="1">#REF!</definedName>
    <definedName name="BExVXUWRC9GQAOZ2GGRCBDDSER0U" hidden="1">#REF!</definedName>
    <definedName name="BExVXV7ISFJ6H8GMSP85MTVP9ZBW" hidden="1">#REF!</definedName>
    <definedName name="BExVY11V7U1SAY4QKYE0PBSPD7LW" hidden="1">#REF!</definedName>
    <definedName name="BExVY1SV37DL5YU59HS4IG3VBCP4" hidden="1">#REF!</definedName>
    <definedName name="BExVY3WFGJKSQA08UF9NCMST928Y" hidden="1">#REF!</definedName>
    <definedName name="BExVY954UOEVQEIC5OFO4NEWVKAQ" hidden="1">#REF!</definedName>
    <definedName name="BExVYHDYIV5397LC02V4FEP8VD6W" hidden="1">#REF!</definedName>
    <definedName name="BExVYOVIZDA18YIQ0A30Q052PCAK" hidden="1">#REF!</definedName>
    <definedName name="BExVYQIXPEM6J4JVP78BRHIC05PV" hidden="1">#REF!</definedName>
    <definedName name="BExVYUF7WR009JMRPHT3G8ZQ10X9" hidden="1">#REF!</definedName>
    <definedName name="BExVYVGWN7SONLVDH9WJ2F1JS264" hidden="1">#REF!</definedName>
    <definedName name="BExVYWO28VHRSC0DZ72HHHKF3FHV" hidden="1">#REF!</definedName>
    <definedName name="BExVYZ7UX5CAQC3HGC5X910JNIFM" hidden="1">#REF!</definedName>
    <definedName name="BExVZ5T7M7TSZDXPRDGBLGV1TVA6" hidden="1">#REF!</definedName>
    <definedName name="BExVZ9EO732IK6MNMG17Y1EFTJQC" hidden="1">#REF!</definedName>
    <definedName name="BExVZB1Y5J4UL2LKK0363EU7GIJ1" hidden="1">#REF!</definedName>
    <definedName name="BExVZJQVO5LQ0BJH5JEN5NOBIAF6" hidden="1">#REF!</definedName>
    <definedName name="BExVZMQR3E3JM4OOTXNFHC9T2T0B" hidden="1">#REF!</definedName>
    <definedName name="BExVZNXWS91RD7NXV5NE2R3C8WW7" hidden="1">#REF!</definedName>
    <definedName name="BExW02BSSQWL6R6HNKNT80VUH8SO" hidden="1">#REF!</definedName>
    <definedName name="BExW0386REQRCQCVT9BCX80UPTRY" hidden="1">#REF!</definedName>
    <definedName name="BExW0FYP4WXY71CYUG40SUBG9UWU" hidden="1">#REF!</definedName>
    <definedName name="BExW0I7P3CVH6OR4HIH8A9UJHXRB" hidden="1">#REF!</definedName>
    <definedName name="BExW0JPMF7OSQL83KYGKNUQ8UGPH" hidden="1">#REF!</definedName>
    <definedName name="BExW0N5N6FYHI7O54PPVSAQ4PKNI" hidden="1">#REF!</definedName>
    <definedName name="BExW0RI61B4VV0ARXTFVBAWRA1C5" hidden="1">#REF!</definedName>
    <definedName name="BExW0VP6Z05RH03RZHGKLH3E1CS8" hidden="1">#REF!</definedName>
    <definedName name="BExW10XXQ7NHS01ZF7ZR211LEVOF" hidden="1">#REF!</definedName>
    <definedName name="BExW1BVUYQTKMOR56MW7RVRX4L1L" hidden="1">#REF!</definedName>
    <definedName name="BExW1CMQM5IBANT0JPB9LGANW51F" hidden="1">#REF!</definedName>
    <definedName name="BExW1F1220628FOMTW5UAATHRJHK" hidden="1">#REF!</definedName>
    <definedName name="BExW1TKA0Z9OP2DTG50GZR5EG8C7" hidden="1">#REF!</definedName>
    <definedName name="BExW1U0JLKQ094DW5MMOI8UHO09V" hidden="1">#REF!</definedName>
    <definedName name="BExW283NP9D366XFPXLGSCI5UB0L" hidden="1">#REF!</definedName>
    <definedName name="BExW28EG6JZAUS4YSM850ODWL4WJ" hidden="1">#REF!</definedName>
    <definedName name="BExW2H3C8WJSBW5FGTFKVDVJC4CL" hidden="1">#REF!</definedName>
    <definedName name="BExW2I50XG83L7YNHTC0GT59D3J7" hidden="1">#REF!</definedName>
    <definedName name="BExW2SMO90FU9W8DVVES6Q4E6BZR" hidden="1">#REF!</definedName>
    <definedName name="BExW2VBRM3Q6WD5221TKFI05WA5E" hidden="1">#REF!</definedName>
    <definedName name="BExW32IQWFSRJXOH8QAEERKG2Q5R" hidden="1">#REF!</definedName>
    <definedName name="BExW3646K8HB09RKE8LOBHJGMETZ" hidden="1">#REF!</definedName>
    <definedName name="BExW3EIBA1J9Q9NA9VCGZGRS8WV7" hidden="1">#REF!</definedName>
    <definedName name="BExW3FEO8FI8N6AGQKYEG4SQVJWB" hidden="1">#REF!</definedName>
    <definedName name="BExW3GB28STOMJUSZEIA7YKYNS4Y" hidden="1">#REF!</definedName>
    <definedName name="BExW3I3S0GI5M4ZUF9BV73MB1H5W" hidden="1">#REF!</definedName>
    <definedName name="BExW3KSVW40C0IAWGTU223DSEKP1" hidden="1">#REF!</definedName>
    <definedName name="BExW3QY0BIYNL8A03DTMYP1VRTH9" hidden="1">#REF!</definedName>
    <definedName name="BExW3T1K638HT5E0Y8MMK108P5JT" hidden="1">#REF!</definedName>
    <definedName name="BExW40ZJ98H4LOETRW1GTVVPTTN4" hidden="1">#REF!</definedName>
    <definedName name="BExW4217ZHL9VO39POSTJOD090WU" hidden="1">#REF!</definedName>
    <definedName name="BExW426PWNRZWYSQ4RCRR3QTH3CR" hidden="1">#REF!</definedName>
    <definedName name="BExW42S9Y6F7XWTXN9UE3GRBE3KH" hidden="1">#REF!</definedName>
    <definedName name="BExW4G4BNLHXUGYXI6LLFBOZJWVD" hidden="1">#REF!</definedName>
    <definedName name="BExW4GPW71EBF8XPS2QGVQHBCDX3" hidden="1">#REF!</definedName>
    <definedName name="BExW4JKC5837JBPCOJV337ZVYYY3" hidden="1">#REF!</definedName>
    <definedName name="BExW4L7RKNJ6Z2K8W6XAKJLKDQPP" hidden="1">#REF!</definedName>
    <definedName name="BExW4QR9FV9MP5K610THBSM51RYO" hidden="1">#REF!</definedName>
    <definedName name="BExW4WWKGT2AN5WTNHYK1VAC9MZD" hidden="1">#REF!</definedName>
    <definedName name="BExW4Y911QLMQAGXI660KCGPLGQ4" hidden="1">#REF!</definedName>
    <definedName name="BExW4Z029R9E19ZENN3WEA3VDAD1" hidden="1">#REF!</definedName>
    <definedName name="BExW4ZWG1DMFWED363HPI1LTNIU5" hidden="1">#REF!</definedName>
    <definedName name="BExW53Y0IE2NP8Z7CF1E8MRK2GII" hidden="1">#REF!</definedName>
    <definedName name="BExW57JI3J4A78GS2TLS77SGUN1W" hidden="1">#REF!</definedName>
    <definedName name="BExW5AZNT6IAZGNF2C879ODHY1B8" hidden="1">#REF!</definedName>
    <definedName name="BExW5B501OQX8DDDRB05YIAK3CZD" hidden="1">#REF!</definedName>
    <definedName name="BExW5EVWV4QDFQFALM53ZSB57GG9" hidden="1">#REF!</definedName>
    <definedName name="BExW5U0PQK8T73C22EZ3DS6JPKP1" hidden="1">#REF!</definedName>
    <definedName name="BExW5WPU27WD4NWZOT0ZEJIDLX5J" hidden="1">#REF!</definedName>
    <definedName name="BExW63M045TFAMM5HJC8ILWKFLTA" hidden="1">#REF!</definedName>
    <definedName name="BExW63M0IGHLQVD1CX6XKJLFB4Z3" hidden="1">#REF!</definedName>
    <definedName name="BExW660AV1TUV2XNUPD65RZR3QOO" hidden="1">#REF!</definedName>
    <definedName name="BExW66LVVZK656PQY1257QMHP2AY" hidden="1">#REF!</definedName>
    <definedName name="BExW6EJPHAP1TWT380AZLXNHR22P" hidden="1">#REF!</definedName>
    <definedName name="BExW6FATHT9I6S06ENWIRTSUJ5JD" hidden="1">#REF!</definedName>
    <definedName name="BExW6G1PJ38H10DVLL8WPQ736OEB" hidden="1">#REF!</definedName>
    <definedName name="BExW6OW2U2L26F3CFVP5AHL0E0ZK" hidden="1">#REF!</definedName>
    <definedName name="BExW6Z8720311LHB0FE6Q3LX8KSF" hidden="1">#REF!</definedName>
    <definedName name="BExW74GYUJSEQ1EFXYJHVDJII6NG" hidden="1">#REF!</definedName>
    <definedName name="BExW794A74Z5F2K8LVQLD6VSKXUE" hidden="1">#REF!</definedName>
    <definedName name="BExW7E27NLTZUO9ZOFZSRGLVPPMA" hidden="1">#REF!</definedName>
    <definedName name="BExW7F9D2V3R0AQORSRO3MQ3SKA4" hidden="1">#REF!</definedName>
    <definedName name="BExW7KYEV5MC3XMGXYLF69NHOLMZ" hidden="1">#REF!</definedName>
    <definedName name="BExW7LJYPUGX4H0OXHPVN4ICRZLA" hidden="1">#REF!</definedName>
    <definedName name="BExW7UJNOUQ0747QSFCXVKSMSEU6" hidden="1">#REF!</definedName>
    <definedName name="BExW7VQTOT1TOEP8X4B2LEY4ZXHW" hidden="1">#REF!</definedName>
    <definedName name="BExW81LAJUQ1VDMZWZO8CCIQBR6B" hidden="1">#REF!</definedName>
    <definedName name="BExW89OLMZ0QDZWY4GRZ3RQSTX05" hidden="1">#REF!</definedName>
    <definedName name="BExW8K0SSIPSKBVP06IJ71600HJZ" hidden="1">#REF!</definedName>
    <definedName name="BExW8R7Q77UJJ7S7IBQ36Q9UO82Y" hidden="1">#REF!</definedName>
    <definedName name="BExW8R7QFYS8L6I3PRVHOWLKJMGH" hidden="1">#REF!</definedName>
    <definedName name="BExW8T0GVY3ZYO4ACSBLHS8SH895" hidden="1">#REF!</definedName>
    <definedName name="BExW8YEP73JMMU9HZ08PM4WHJQZ4" hidden="1">#REF!</definedName>
    <definedName name="BExW937AT53OZQRHNWQZ5BVH24IE" hidden="1">#REF!</definedName>
    <definedName name="BExW95LN5N0LYFFVP7GJEGDVDLF0" hidden="1">#REF!</definedName>
    <definedName name="BExW967733Q8RAJOHR2GJ3HO8JIW" hidden="1">#REF!</definedName>
    <definedName name="BExW9POK1KIOI0ALS5MZIKTDIYMA" hidden="1">#REF!</definedName>
    <definedName name="BExW9VOBMABVL1UKUEDX6CG42SGS" hidden="1">#REF!</definedName>
    <definedName name="BExXL8ARTXBOY4IL4D89AOU436NU" hidden="1">#REF!</definedName>
    <definedName name="BExXL9HVOURL16F6M2XRVU5H93SJ" hidden="1">#REF!</definedName>
    <definedName name="BExXLDE6PN4ESWT3LXJNQCY94NE4" hidden="1">#REF!</definedName>
    <definedName name="BExXLPDQNO3QONN9NTOQQL1QBIK7" hidden="1">#REF!</definedName>
    <definedName name="BExXLQVPK2H3IF0NDDA5CT612EUK" hidden="1">#REF!</definedName>
    <definedName name="BExXLR6IO70TYTACKQH9M5PGV24J" hidden="1">#REF!</definedName>
    <definedName name="BExXLYO8H77DHO6EPNL6Z8ZQGTRL" hidden="1">#REF!</definedName>
    <definedName name="BExXM065WOLYRYHGHOJE0OOFXA4M" hidden="1">#REF!</definedName>
    <definedName name="BExXM3GUNXVDM82KUR17NNUMQCNI" hidden="1">#REF!</definedName>
    <definedName name="BExXMA28M8SH7MKIGETSDA72WUIZ" hidden="1">#REF!</definedName>
    <definedName name="BExXMD25EJZD5P8J5CNLQCGKMD6K" hidden="1">#REF!</definedName>
    <definedName name="BExXMLG901AHFHEDV1XJFN66FQ8I" hidden="1">#REF!</definedName>
    <definedName name="BExXMOLHIAHDLFSA31PUB36SC3I9" hidden="1">#REF!</definedName>
    <definedName name="BExXMPNAM1Z2X5QL6H7DIWUVKRTK" hidden="1">#REF!</definedName>
    <definedName name="BExXMT8T5Z3M2JBQN65X2LKH0YQI" hidden="1">#REF!</definedName>
    <definedName name="BExXN1XNO7H60M9X1E7EVWFJDM5N" hidden="1">#REF!</definedName>
    <definedName name="BExXN22ZOTIW49GPLWFYKVM90FNZ" hidden="1">#REF!</definedName>
    <definedName name="BExXN3QEW51DV5C2HQA7R9ZW1LQ6" hidden="1">#REF!</definedName>
    <definedName name="BExXN6QAP8UJQVN4R4BQKPP4QK35" hidden="1">#REF!</definedName>
    <definedName name="BExXNBDI39DUSIUCUHP979YVWVTE" hidden="1">#REF!</definedName>
    <definedName name="BExXNBOA39T2X6Y5Y5GZ5DDNA1AX" hidden="1">#REF!</definedName>
    <definedName name="BExXND6872VJ3M2PGT056WQMWBHD" hidden="1">#REF!</definedName>
    <definedName name="BExXNPM24UN2PGVL9D1TUBFRIKR4" hidden="1">#REF!</definedName>
    <definedName name="BExXNWYB165VO9MHARCL5WLCHWS0" hidden="1">#REF!</definedName>
    <definedName name="BExXNY5GVSHL3LBWZ9JRSB8SUB9U" hidden="1">#REF!</definedName>
    <definedName name="BExXO21QI0G09A5IPNBR7MN9BWUK" hidden="1">#REF!</definedName>
    <definedName name="BExXO278QHQN8JDK5425EJ615ECC" hidden="1">#REF!</definedName>
    <definedName name="BExXO5N7UTXJZ9XIAVNK5BHE3BRN" hidden="1">#REF!</definedName>
    <definedName name="BExXO7AMOPK6V954VBUCW0F3N6PU" hidden="1">#REF!</definedName>
    <definedName name="BExXO8HOEKHFKV15G4AQ3QJ75OX5" hidden="1">#REF!</definedName>
    <definedName name="BExXO9JGKMB3EYMBECL811VSIKH1" hidden="1">#REF!</definedName>
    <definedName name="BExXOBHOP0WGFHI2Y9AO4L440UVQ" hidden="1">#REF!</definedName>
    <definedName name="BExXOHHCRLIL1HUIH70449J60P1S" hidden="1">#REF!</definedName>
    <definedName name="BExXOHSAD2NSHOLLMZ2JWA4I3I1R" hidden="1">#REF!</definedName>
    <definedName name="BExXOK6GN1CZO3PQ7S1YZTRH690B" hidden="1">#REF!</definedName>
    <definedName name="BExXOUIRFUNDEVW4HE7JG6CNAI23" hidden="1">#REF!</definedName>
    <definedName name="BExXP80B5FGA00JCM7UXKPI3PB7Y" hidden="1">#REF!</definedName>
    <definedName name="BExXP85M4WXYVN1UVHUTOEKEG5XS" hidden="1">#REF!</definedName>
    <definedName name="BExXPELOTHOAG0OWILLAH94OZV5J" hidden="1">#REF!</definedName>
    <definedName name="BExXPJOX9G193JZXALT86TYH0AWN" hidden="1">#REF!</definedName>
    <definedName name="BExXPKFZMN5XXTP7Z9ZKTVM1BD9J" hidden="1">#REF!</definedName>
    <definedName name="BExXPS31W1VD2NMIE4E37LHVDF0L" hidden="1">#REF!</definedName>
    <definedName name="BExXPX14J1R4K0J13XAAFW13HVI9" hidden="1">#REF!</definedName>
    <definedName name="BExXPZKYEMVF5JOC14HYOOYQK6JK" hidden="1">#REF!</definedName>
    <definedName name="BExXQ4DKYE34464UU04SBF2SZPOT" hidden="1">#REF!</definedName>
    <definedName name="BExXQ89PA10X79WBWOEP1AJX1OQM" hidden="1">#REF!</definedName>
    <definedName name="BExXQCGQGGYSI0LTRVR73MUO50AW" hidden="1">#REF!</definedName>
    <definedName name="BExXQEEXFHDQ8DSRAJSB5ET6J004" hidden="1">#REF!</definedName>
    <definedName name="BExXQH41O5HZAH8BO6HCFY8YC3TU" hidden="1">#REF!</definedName>
    <definedName name="BExXQH42GQSU477HGNNYSUH5QTF5" hidden="1">#REF!</definedName>
    <definedName name="BExXQIRBLQSLAJTFL7224FCFUTKH" hidden="1">#REF!</definedName>
    <definedName name="BExXQJIEF5R3QQ6D8HO3NGPU0IQC" hidden="1">#REF!</definedName>
    <definedName name="BExXQPSY8F9RHBK430AIK9P75NAB" hidden="1">#REF!</definedName>
    <definedName name="BExXQU00K9ER4I1WM7T9J0W1E7ZC" hidden="1">#REF!</definedName>
    <definedName name="BExXQU00KOR7XLM8B13DGJ1MIQDY" hidden="1">#REF!</definedName>
    <definedName name="BExXQXG18PS8HGBOS03OSTQ0KEYC" hidden="1">#REF!</definedName>
    <definedName name="BExXQXQT4OAFQT5B0YB3USDJOJOB" hidden="1">#REF!</definedName>
    <definedName name="BExXR3FSEXAHSXEQNJORWFCPX86N" hidden="1">#REF!</definedName>
    <definedName name="BExXR3W3FKYQBLR299HO9RZ70C43" hidden="1">#REF!</definedName>
    <definedName name="BExXR46U23CRRBV6IZT982MAEQKI" hidden="1">#REF!</definedName>
    <definedName name="BExXR6VTPKK4NAPXG655C6O0EEE5" hidden="1">#REF!</definedName>
    <definedName name="BExXR8OKAVX7O70V5IYG2PRKXSTI" hidden="1">#REF!</definedName>
    <definedName name="BExXRA6N6XCLQM6XDV724ZIH6G93" hidden="1">#REF!</definedName>
    <definedName name="BExXRABZ1CNKCG6K1MR6OUFHF7J9" hidden="1">#REF!</definedName>
    <definedName name="BExXRBOFETC0OTJ6WY3VPMFH03VB" hidden="1">#REF!</definedName>
    <definedName name="BExXRD13K1S9Y3JGR7CXSONT7RJZ" hidden="1">#REF!</definedName>
    <definedName name="BExXRDHCDRC0CB9NFZM5JFI3QJIQ" hidden="1">#REF!</definedName>
    <definedName name="BExXRIFB4QQ87QIGA9AG0NXP577K" hidden="1">#REF!</definedName>
    <definedName name="BExXRIQ2JF2CVTRDQX2D9SPH7FTN" hidden="1">#REF!</definedName>
    <definedName name="BExXRLF676DLX6MNIT3FXZS9L0U0" hidden="1">#REF!</definedName>
    <definedName name="BExXRO4A6VUH1F4XV8N1BRJ4896W" hidden="1">#REF!</definedName>
    <definedName name="BExXRO9N1SNJZGKD90P4K7FU1J0P" hidden="1">#REF!</definedName>
    <definedName name="BExXRV5QP3Z0KAQ1EQT9JYT2FV0L" hidden="1">#REF!</definedName>
    <definedName name="BExXRXK2MO7AWGXN9HDXTR5CWR1F" hidden="1">#REF!</definedName>
    <definedName name="BExXRXK39AFL1ICD1PYQ5XTTJHGP" hidden="1">#REF!</definedName>
    <definedName name="BExXRZ20LZZCW8LVGDK0XETOTSAI" hidden="1">#REF!</definedName>
    <definedName name="BExXRZNM651EJ5HJPGKGTVYLAZQ1" hidden="1">#REF!</definedName>
    <definedName name="BExXS63O4OMWMNXXAODZQFSDG33N" hidden="1">#REF!</definedName>
    <definedName name="BExXSBSP1TOY051HSPEPM0AEIO2M" hidden="1">#REF!</definedName>
    <definedName name="BExXSC8RFK5D68FJD2HI4K66SA6I" hidden="1">#REF!</definedName>
    <definedName name="BExXSJ4Y0X2EH837YNNM6EVO7YX2" hidden="1">#REF!</definedName>
    <definedName name="BExXSKHFB8OH2O6V75OBLZZL44D1" hidden="1">#REF!</definedName>
    <definedName name="BExXSNHC88W4UMXEOIOOATJAIKZO" hidden="1">#REF!</definedName>
    <definedName name="BExXSTBS08WIA9TLALV3UQ2Z3MRG" hidden="1">#REF!</definedName>
    <definedName name="BExXSVQ2WOJJ73YEO8Q2FK60V4G8" hidden="1">#REF!</definedName>
    <definedName name="BExXT4PTYSMRNEBSYMVAGKA1UI40" hidden="1">#REF!</definedName>
    <definedName name="BExXT6YOG1HRYN5M5SDJXCYZY06I" hidden="1">#REF!</definedName>
    <definedName name="BExXTB5OB475TOW0RKKB3U33AMND" hidden="1">#REF!</definedName>
    <definedName name="BExXTD3XFD8ZEPRX9AVET7QT3EFP" hidden="1">#REF!</definedName>
    <definedName name="BExXTHLRNL82GN7KZY3TOLO508N7" hidden="1">#REF!</definedName>
    <definedName name="BExXTL72MKEQSQH9L2OTFLU8DM2B" hidden="1">#REF!</definedName>
    <definedName name="BExXTM3M4RTCRSX7VGAXGQNPP668" hidden="1">#REF!</definedName>
    <definedName name="BExXTOCF78J7WY6FOVBRY1N2RBBR" hidden="1">#REF!</definedName>
    <definedName name="BExXTP3GYO6Z9RTKKT10XA0UTV3T" hidden="1">#REF!</definedName>
    <definedName name="BExXTR70W7ZHVUDN4L9CIH041ARP" hidden="1">#REF!</definedName>
    <definedName name="BExXTS8OWVD3D2U7JRA0R1V1M1ZU" hidden="1">#REF!</definedName>
    <definedName name="BExXTZKZ4CG92ZQLIRKEXXH9BFIR" hidden="1">#REF!</definedName>
    <definedName name="BExXTZQGP54HYA3PCTORGWS3WJZE" hidden="1">#REF!</definedName>
    <definedName name="BExXU4J2BM2964GD5UZHM752Q4NS" hidden="1">#REF!</definedName>
    <definedName name="BExXU6XDTT7RM93KILIDEYPA9XKF" hidden="1">#REF!</definedName>
    <definedName name="BExXU8VLZA7WLPZ3RAQZGNERUD26" hidden="1">#REF!</definedName>
    <definedName name="BExXU968U1Q6GPWPON86EZQBNIGT" hidden="1">#REF!</definedName>
    <definedName name="BExXUB9RSLSCNN5ETLXY72DAPZZM" hidden="1">#REF!</definedName>
    <definedName name="BExXUEV8A9SRDW7I76V985ZQKYCY" hidden="1">#REF!</definedName>
    <definedName name="BExXUFRM82XQIN2T8KGLDQL1IBQW" hidden="1">#REF!</definedName>
    <definedName name="BExXUNETSPM1O368SEND3I9L1MAR" hidden="1">#REF!</definedName>
    <definedName name="BExXUPCVKZBH42J28HZFXEEAHQ3N" hidden="1">#REF!</definedName>
    <definedName name="BExXUQEQBF6FI240ZGIF9YXZSRAU" hidden="1">#REF!</definedName>
    <definedName name="BExXUYND6EJO7CJ5KRICV4O1JNWK" hidden="1">#REF!</definedName>
    <definedName name="BExXUZ8XEQZEJ6EZTRLXM83CX23V" hidden="1">#REF!</definedName>
    <definedName name="BExXV6FWG4H3S2QEUJZYIXILNGJ7" hidden="1">#REF!</definedName>
    <definedName name="BExXV9QJBJ2MDM87WZHZGRRJFJQR" hidden="1">#REF!</definedName>
    <definedName name="BExXV9QL3BRKHFFP4806SQHZ6AC0" hidden="1">#REF!</definedName>
    <definedName name="BExXVDXM6CUC3LO8LXGHWH5FEGZ1" hidden="1">#REF!</definedName>
    <definedName name="BExXVK87BMMO6LHKV0CFDNIQVIBS" hidden="1">#REF!</definedName>
    <definedName name="BExXVKZ9WXPGL6IVY6T61IDD771I" hidden="1">#REF!</definedName>
    <definedName name="BExXVXKAW1NS7GG116WMTMOV7QDQ" hidden="1">#REF!</definedName>
    <definedName name="BExXVY0ITYQ56JN4IXKB3IIKPB4N" hidden="1">#REF!</definedName>
    <definedName name="BExXVYWWI66OH6KGDADK58OQSTVH" hidden="1">#REF!</definedName>
    <definedName name="BExXW0K72T1Y8K1I4VZT87UY9S2G" hidden="1">#REF!</definedName>
    <definedName name="BExXW27MMXHXUXX78SDTBE1JYTHT" hidden="1">#REF!</definedName>
    <definedName name="BExXW2YIM2MYBSHRIX0RP9D4PRMN" hidden="1">#REF!</definedName>
    <definedName name="BExXW5YD9CWSRYOL1WX2HUBP05HC" hidden="1">#REF!</definedName>
    <definedName name="BExXWBNE4KTFSXKVSRF6WX039WPB" hidden="1">#REF!</definedName>
    <definedName name="BExXWCJS6FVG3XG3NNCP3LXSMQNU" hidden="1">#REF!</definedName>
    <definedName name="BExXWFP5AYE7EHYTJWBZSQ8PQ0YX" hidden="1">#REF!</definedName>
    <definedName name="BExXWNMZ1T7RMHDFQ9QKWRSXDIM3" hidden="1">#REF!</definedName>
    <definedName name="BExXWNMZ33B1HQUP3459O68EKN85" hidden="1">#REF!</definedName>
    <definedName name="BExXWVFIBQT8OY1O41FRFPFGXQHK" hidden="1">#REF!</definedName>
    <definedName name="BExXWWXHBZHA9J3N8K47F84X0M0L" hidden="1">#REF!</definedName>
    <definedName name="BExXX1VDW0R2WE2A6NCDW6F8XOYW" hidden="1">#REF!</definedName>
    <definedName name="BExXX49PQLG3KTWT7YDI1OS625UZ" hidden="1">#REF!</definedName>
    <definedName name="BExXX67XJOXIW1U6BL5KFTVSS1XJ" hidden="1">#REF!</definedName>
    <definedName name="BExXXBM521DL8R4ZX7NZ3DBCUOR5" hidden="1">#REF!</definedName>
    <definedName name="BExXXC7OZI33XZ03NRMEP7VRLQK4" hidden="1">#REF!</definedName>
    <definedName name="BExXXH5N3NKBQ7BCJPJTBF8CYM2Q" hidden="1">#REF!</definedName>
    <definedName name="BExXXICUJGHIR4XZ317FWTHCNJ6Z" hidden="1">#REF!</definedName>
    <definedName name="BExXXIIAC12RLDY9O7GDNN36MN1B" hidden="1">#REF!</definedName>
    <definedName name="BExXXKWLM4D541BH6O8GOJMHFHMW" hidden="1">#REF!</definedName>
    <definedName name="BExXXLNJBKGSH6IZD8UQQ95FMWEQ" hidden="1">#REF!</definedName>
    <definedName name="BExXXOI4OTGJOKHF7Q8SSRVWEIAD" hidden="1">#REF!</definedName>
    <definedName name="BExXXPPA1Q87XPI97X0OXCPBPDON" hidden="1">#REF!</definedName>
    <definedName name="BExXXVUDA98IZTQ6MANKU4MTTDVR" hidden="1">#REF!</definedName>
    <definedName name="BExXXZQNZY6IZI45DJXJK0MQZWA7" hidden="1">#REF!</definedName>
    <definedName name="BExXY0XS71GN5EVWF488LB14DX1M" hidden="1">#REF!</definedName>
    <definedName name="BExXY3C45GDZ7F3VK81MQWZWDZBT" hidden="1">#REF!</definedName>
    <definedName name="BExXY5QFG6QP94SFT3935OBM8Y4K" hidden="1">#REF!</definedName>
    <definedName name="BExXY7TYEBFXRYUYIFHTN65RJ8EW" hidden="1">#REF!</definedName>
    <definedName name="BExXYA88S6T896I3SQ2JZKYCGECK" hidden="1">#REF!</definedName>
    <definedName name="BExXYBKRE3D50Q1B863RRSEDWT5V" hidden="1">#REF!</definedName>
    <definedName name="BExXYKKGF8FOOXYH7OTO8J6AQ8NE" hidden="1">#REF!</definedName>
    <definedName name="BExXYLBHANUXC5FCTDDTGOVD3GQS" hidden="1">#REF!</definedName>
    <definedName name="BExXYMNYAYH3WA2ZCFAYKZID9ZCI" hidden="1">#REF!</definedName>
    <definedName name="BExXYRM1OETDUVNJ9QB9NPIL5JQ4" hidden="1">#REF!</definedName>
    <definedName name="BExXYRM30MSCCQB6UQ7H5VSU4841" hidden="1">#REF!</definedName>
    <definedName name="BExXYULYPGYPLCYFRC3KMQZM29WW" hidden="1">#REF!</definedName>
    <definedName name="BExXYYT12SVN2VDMLVNV4P3ISD8T" hidden="1">#REF!</definedName>
    <definedName name="BExXZ9W8QRH6HEBRBYZY8W24H54F" hidden="1">#REF!</definedName>
    <definedName name="BExXZEDWUYH25UZMW2QU2RXFILJE" hidden="1">#REF!</definedName>
    <definedName name="BExXZFVV4YB42AZ3H1I40YG3JAPU" hidden="1">#REF!</definedName>
    <definedName name="BExXZHJ9T2JELF12CHHGD54J1B0C" hidden="1">#REF!</definedName>
    <definedName name="BExXZHJBGTAOABAMNK1VXWS2UA2G" hidden="1">#REF!</definedName>
    <definedName name="BExXZL4RY9NY12I361B378N588XN" hidden="1">#REF!</definedName>
    <definedName name="BExXZMH8K9LKRQKLSSL6CR5ZL7N8" hidden="1">#REF!</definedName>
    <definedName name="BExXZNJ2X1TK2LRK5ZY3MX49H5T7" hidden="1">#REF!</definedName>
    <definedName name="BExXZOVPCEP495TQSON6PSRQ8XCY" hidden="1">#REF!</definedName>
    <definedName name="BExXZVBMATPBAX891BZPNQ9GCCXW" hidden="1">#REF!</definedName>
    <definedName name="BExXZWO3Z8ABVB71W9XNN9W502AI" hidden="1">#REF!</definedName>
    <definedName name="BExXZXKH7NBARQQAZM69Z57IH1MM" hidden="1">#REF!</definedName>
    <definedName name="BExY07WSDH5QEVM7BJXJK2ZRAI1O" hidden="1">#REF!</definedName>
    <definedName name="BExY0BYBXUCC3656QS5HZ2JC7LGL" hidden="1">#REF!</definedName>
    <definedName name="BExY0C3UBVC4M59JIRXVQ8OWAJC1" hidden="1">#REF!</definedName>
    <definedName name="BExY0E1VZG267CFSV45BCNURK6I4" hidden="1">#REF!</definedName>
    <definedName name="BExY0E1W0XTPX413RDYJQUTTXFZW" hidden="1">#REF!</definedName>
    <definedName name="BExY0OE8GFHMLLTEAFIOQTOPEVPB" hidden="1">#REF!</definedName>
    <definedName name="BExY0OJHW85S0VKBA8T4HTYPYBOS" hidden="1">#REF!</definedName>
    <definedName name="BExY0T1E034D7XAXNC6F7540LLIE" hidden="1">#REF!</definedName>
    <definedName name="BExY0U8IPB9V3ZDV1O1D2SGI8OMI" hidden="1">#REF!</definedName>
    <definedName name="BExY0XTZLHN49J2JH94BYTKBJLT3" hidden="1">#REF!</definedName>
    <definedName name="BExY11FH9TXHERUYGG8FE50U7H7J" hidden="1">#REF!</definedName>
    <definedName name="BExY12HC5E4QETO1BL5MAH4M8HJK" hidden="1">#REF!</definedName>
    <definedName name="BExY14FCDBYB3545EA1TCX66HB2J" hidden="1">#REF!</definedName>
    <definedName name="BExY14FEJ7ND36J4UDIAN67D0B11" hidden="1">#REF!</definedName>
    <definedName name="BExY14KPMBPZE8PIJB1RGFHJTT96" hidden="1">#REF!</definedName>
    <definedName name="BExY180UKNW5NIAWD6ZUYTFEH8QS" hidden="1">#REF!</definedName>
    <definedName name="BExY180URA0QKB3MQTIBHRYUD83J" hidden="1">#REF!</definedName>
    <definedName name="BExY1DPTV4LSY9MEOUGXF8X052NA" hidden="1">#REF!</definedName>
    <definedName name="BExY1G45NZU6R1EMFXFZOS726C54" hidden="1">#REF!</definedName>
    <definedName name="BExY1GK9ELBEKDD7O6HR6DUO8YGO" hidden="1">#REF!</definedName>
    <definedName name="BExY1MERO7GO07IJFKTMI7F74AA6" hidden="1">#REF!</definedName>
    <definedName name="BExY1NWOXXFV9GGZ3PX444LZ8TVX" hidden="1">#REF!</definedName>
    <definedName name="BExY1UCL0RND63LLSM9X5SFRG117" hidden="1">#REF!</definedName>
    <definedName name="BExY1V3N9WUQCSQ95RTHD5DU35EN" hidden="1">#REF!</definedName>
    <definedName name="BExY1WAT3937L08HLHIRQHMP2A3H" hidden="1">#REF!</definedName>
    <definedName name="BExY1YEBOSLMID7LURP8QB46AI91" hidden="1">#REF!</definedName>
    <definedName name="BExY278JQOS0G0F62EXQMT5P3VRL" hidden="1">#REF!</definedName>
    <definedName name="BExY2FS4LFX9OHOTQT7SJ2PXAC25" hidden="1">#REF!</definedName>
    <definedName name="BExY2GDPCZPVU0IQ6IJIB1YQQRQ6" hidden="1">#REF!</definedName>
    <definedName name="BExY2GTSZ3VA9TXLY7KW1LIAKJ61" hidden="1">#REF!</definedName>
    <definedName name="BExY2IXBR1SGYZH08T7QHKEFS8HA" hidden="1">#REF!</definedName>
    <definedName name="BExY2KVDPPZGLE3P3UDUWSV9GHAG" hidden="1">#REF!</definedName>
    <definedName name="BExY2LMGWD53CGDNGZNS3IB2CE3F" hidden="1">#REF!</definedName>
    <definedName name="BExY2Q4B5FUDA5VU4VRUHX327QN0" hidden="1">#REF!</definedName>
    <definedName name="BExY35EL7DFJ07DIR5RO7FOS4ODS" hidden="1">#REF!</definedName>
    <definedName name="BExY36WIEBJNKBEALUOUIW0WEKRT" hidden="1">#REF!</definedName>
    <definedName name="BExY3A77VTLB6SUDOJGFOFPKSR3Z" hidden="1">#REF!</definedName>
    <definedName name="BExY3HOSK7YI364K15OX70AVR6F1" hidden="1">#REF!</definedName>
    <definedName name="BExY3I52HM90VWB0TY6R7BLKAKX7" hidden="1">#REF!</definedName>
    <definedName name="BExY3I52KTHEBENH33A2QL3OO4HD" hidden="1">#REF!</definedName>
    <definedName name="BExY3T89AUR83SOAZZ3OMDEJDQ39" hidden="1">#REF!</definedName>
    <definedName name="BExY3TJ1RXPCXFIAV2UGE6I9Z0WK" hidden="1">#REF!</definedName>
    <definedName name="BExY41RV75TTR2IDK5VAT87XIA5T" hidden="1">#REF!</definedName>
    <definedName name="BExY47ROAXFLA3ZDKO1GPP6UEPUB" hidden="1">#REF!</definedName>
    <definedName name="BExY4MAW15LJ56HY6GWYK1H4LTJO" hidden="1">#REF!</definedName>
    <definedName name="BExY4MG771JQ84EMIVB6HQGGHZY7" hidden="1">#REF!</definedName>
    <definedName name="BExY4PWCSFB8P3J3TBQB2MD67263" hidden="1">#REF!</definedName>
    <definedName name="BExY4RZW3KK11JLYBA4DWZ92M6LQ" hidden="1">#REF!</definedName>
    <definedName name="BExY4XOVTTNVZ577RLIEC7NZQFIX" hidden="1">#REF!</definedName>
    <definedName name="BExY50JAF5CG01GTHAUS7I4ZLUDC" hidden="1">#REF!</definedName>
    <definedName name="BExY53J7EXFEOFTRNAHLK7IH3ACB" hidden="1">#REF!</definedName>
    <definedName name="BExY5515SJTJS3VM80M3YYR0WF37" hidden="1">#REF!</definedName>
    <definedName name="BExY5515WE39FQ3EG5QHG67V9C0O" hidden="1">#REF!</definedName>
    <definedName name="BExY5986WNAD8NFCPXC9TVLBU4FG" hidden="1">#REF!</definedName>
    <definedName name="BExY5DF9MS25IFNWGJ1YAS5MDN8R" hidden="1">#REF!</definedName>
    <definedName name="BExY5EMEQ36SNX0T4MEN2A1LNX69" hidden="1">#REF!</definedName>
    <definedName name="BExY5ERVGL3UM2MGT8LJ0XPKTZEK" hidden="1">#REF!</definedName>
    <definedName name="BExY5EX6NJFK8W754ZVZDN5DS04K" hidden="1">#REF!</definedName>
    <definedName name="BExY5O7O1X6US76KQ5O1WP2ZE92X" hidden="1">#REF!</definedName>
    <definedName name="BExY5S3XD1NJT109CV54IFOHVLQ6" hidden="1">#REF!</definedName>
    <definedName name="BExY6GZIS7KY5AXI7IZ60UJX8PIU" hidden="1">#REF!</definedName>
    <definedName name="BExY6KVS1MMZ2R34PGEFR2BMTU9W" hidden="1">#REF!</definedName>
    <definedName name="BExY6POE8KYH92UJLNV3AK5Y9D20" hidden="1">#REF!</definedName>
    <definedName name="BExY6Q9YY7LW745GP7CYOGGSPHGE" hidden="1">#REF!</definedName>
    <definedName name="BExZIA3C8LKJTEH3MKQ57KJH5TA2" hidden="1">#REF!</definedName>
    <definedName name="BExZIIHH3QNQE3GFMHEE4UMHY6WQ" hidden="1">#REF!</definedName>
    <definedName name="BExZINVMJU08812AIRZSXDFWSDPN" hidden="1">#REF!</definedName>
    <definedName name="BExZIYO22G5UXOB42GDLYGVRJ6U7" hidden="1">#REF!</definedName>
    <definedName name="BExZJ7I9T8XU4MZRKJ1VVU76V2LZ" hidden="1">#REF!</definedName>
    <definedName name="BExZJMY170JCUU1RWASNZ1HJPRTA" hidden="1">#REF!</definedName>
    <definedName name="BExZJOQR77H0P4SUKVYACDCFBBXO" hidden="1">#REF!</definedName>
    <definedName name="BExZJS6RG34ODDY9HMZ0O34MEMSB" hidden="1">#REF!</definedName>
    <definedName name="BExZJWZEXROFEJV38K61KLAPVOUT" hidden="1">#REF!</definedName>
    <definedName name="BExZK34NR4BAD7HJAP7SQ926UQP3" hidden="1">#REF!</definedName>
    <definedName name="BExZK3FGPHH5H771U7D5XY7XBS6E" hidden="1">#REF!</definedName>
    <definedName name="BExZK3VJXQC718L3OET4W2RLEKJ6" hidden="1">#REF!</definedName>
    <definedName name="BExZKABMB7MS5UQ0TKLDWD0DCNR8" hidden="1">#REF!</definedName>
    <definedName name="BExZKD62OREVYOGN9V4RTJQLGFSG" hidden="1">#REF!</definedName>
    <definedName name="BExZKHYORG3O8C772XPFHM1N8T80" hidden="1">#REF!</definedName>
    <definedName name="BExZKJRF2IRR57DG9CLC7MSHWNNN" hidden="1">#REF!</definedName>
    <definedName name="BExZKQCSBFN67E61AJJKVNWSQ9T0" hidden="1">#REF!</definedName>
    <definedName name="BExZKV5GYXO0X760SBD9TWTIQHGI" hidden="1">#REF!</definedName>
    <definedName name="BExZL6E4YVXRUN7ZGF2BIGIXFR8K" hidden="1">#REF!</definedName>
    <definedName name="BExZLAL72EGV3H7781BOKEXR8FM6" hidden="1">#REF!</definedName>
    <definedName name="BExZLCOJ6H2Q0N9T7RB6LMLCZNAI" hidden="1">#REF!</definedName>
    <definedName name="BExZLGVLMKTPFXG42QYT0PO81G7F" hidden="1">#REF!</definedName>
    <definedName name="BExZLKMK7LRK14S09WLMH7MXSQXM" hidden="1">#REF!</definedName>
    <definedName name="BExZLO7ZYDZJ7XSBVW8YQMTHUP6O" hidden="1">#REF!</definedName>
    <definedName name="BExZLY9DQUJ1T7NLSDVDXUUOC14L" hidden="1">#REF!</definedName>
    <definedName name="BExZM3CU14TDVIGKPHUVU3OHWNK1" hidden="1">#REF!</definedName>
    <definedName name="BExZM7JVLG0W8EG5RBU915U3SKBY" hidden="1">#REF!</definedName>
    <definedName name="BExZM85FOVUFF110XMQ9O2ODSJUK" hidden="1">#REF!</definedName>
    <definedName name="BExZMELI2KT650XS4A3YJYR2YIN4" hidden="1">#REF!</definedName>
    <definedName name="BExZMF1MMTZ1TA14PZ8ASSU2CBSP" hidden="1">#REF!</definedName>
    <definedName name="BExZMH55QXQ7H6VAEXDWMD8NJSZI" hidden="1">#REF!</definedName>
    <definedName name="BExZMKL5YQZD7F0FUCSVFGLPFK52" hidden="1">#REF!</definedName>
    <definedName name="BExZMOC3VNZALJM71X2T6FV91GTB" hidden="1">#REF!</definedName>
    <definedName name="BExZMP2ZZPSX904S1KV9EBAE0UKT" hidden="1">#REF!</definedName>
    <definedName name="BExZMSZEIFQFE6Z4NS8QD2B9JJZV" hidden="1">#REF!</definedName>
    <definedName name="BExZMXH39OB0I43XEL3K11U3G9PM" hidden="1">#REF!</definedName>
    <definedName name="BExZMZQ3RBKDHT5GLFNLS52OSJA0" hidden="1">#REF!</definedName>
    <definedName name="BExZN2F7Y2J2L2LN5WZRG949MS4A" hidden="1">#REF!</definedName>
    <definedName name="BExZN4O29JZQ31K0VB6D4K08NHH9" hidden="1">#REF!</definedName>
    <definedName name="BExZN847WUWKRYTZWG9TCQZJS3OL" hidden="1">#REF!</definedName>
    <definedName name="BExZNANUQPFACZ8I0YO7HJ8FXPZB" hidden="1">#REF!</definedName>
    <definedName name="BExZNH3VISFF4NQI11BZDP5IQ7VG" hidden="1">#REF!</definedName>
    <definedName name="BExZNJYCFYVMAOI62GB2BABK1ELE" hidden="1">#REF!</definedName>
    <definedName name="BExZNV707LIU6Z5H6QI6H67LHTI1" hidden="1">#REF!</definedName>
    <definedName name="BExZNVCBKB930QQ9QW7KSGOZ0V1M" hidden="1">#REF!</definedName>
    <definedName name="BExZNW8QJ18X0RSGFDWAE9ZSDX39" hidden="1">#REF!</definedName>
    <definedName name="BExZNZDWRS6Q40L8OCWFEIVI0A1O" hidden="1">#REF!</definedName>
    <definedName name="BExZO1C4LY30VYHSIAMFHZYYN19T" hidden="1">#REF!</definedName>
    <definedName name="BExZOBO9NYLGVJQ31LVQ9XS2ZT4N" hidden="1">#REF!</definedName>
    <definedName name="BExZOEO66GH7CC0KY2QNNOG8VK7D" hidden="1">#REF!</definedName>
    <definedName name="BExZOETNB1CJ3Y2RKLI1ZK0S8Z6H" hidden="1">#REF!</definedName>
    <definedName name="BExZOL9K1RUXBTLZ6FJ65BIE9G5R" hidden="1">#REF!</definedName>
    <definedName name="BExZOREMVSK4E5VSWM838KHUB8AI" hidden="1">#REF!</definedName>
    <definedName name="BExZOVR745T5P1KS9NV2PXZPZVRG" hidden="1">#REF!</definedName>
    <definedName name="BExZOZSWGLSY2XYVRIS6VSNJDSGD" hidden="1">#REF!</definedName>
    <definedName name="BExZP6ZQB8LZVJO16EX0A0CLGAXQ" hidden="1">#REF!</definedName>
    <definedName name="BExZP7AIJKLM6C6CSUIIFAHFBNX2" hidden="1">#REF!</definedName>
    <definedName name="BExZP7QQWN2CSE4L4YZ05N6WVE1Q" hidden="1">#REF!</definedName>
    <definedName name="BExZPEMXDB0JJ3DG5UTYY451G1HI" hidden="1">#REF!</definedName>
    <definedName name="BExZPHXNHMZ8B1MOFKJSSB3TLAAM" hidden="1">#REF!</definedName>
    <definedName name="BExZPQ0XY507N8FJMVPKCTK8HC9H" hidden="1">#REF!</definedName>
    <definedName name="BExZPXIQ84B9QGBQVQOJBPFU7BP5" hidden="1">#REF!</definedName>
    <definedName name="BExZPY9QSVQB128UC5MT4TFNBEFC" hidden="1">#REF!</definedName>
    <definedName name="BExZQ37OVBR25U32CO2YYVPZOMR5" hidden="1">#REF!</definedName>
    <definedName name="BExZQ3NT7H06VO0AR48WHZULZB93" hidden="1">#REF!</definedName>
    <definedName name="BExZQ7PJU07SEJMDX18U9YVDC2GU" hidden="1">#REF!</definedName>
    <definedName name="BExZQCI5LT5EPPZ3GKOKICYFU94W" hidden="1">#REF!</definedName>
    <definedName name="BExZQEWC9FH0XFGXBJVIWTZ9IEQL" hidden="1">#REF!</definedName>
    <definedName name="BExZQIHTGHK7OOI2Y2PN3JYBY82I" hidden="1">#REF!</definedName>
    <definedName name="BExZQJ3EK76S72XKGZ0H8INXY9CC" hidden="1">#REF!</definedName>
    <definedName name="BExZQJJMGU5MHQOILGXGJPAQI5XI" hidden="1">#REF!</definedName>
    <definedName name="BExZQOC9QU5YILZDZUD2F9PR9EJ2" hidden="1">#REF!</definedName>
    <definedName name="BExZQXBYEBN28QUH1KOVW6KKA5UM" hidden="1">#REF!</definedName>
    <definedName name="BExZQZKT146WEN8FTVZ7Y5TSB8L5" hidden="1">#REF!</definedName>
    <definedName name="BExZQZVSOMR59J0JL6QMHKD4LZRM" hidden="1">#REF!</definedName>
    <definedName name="BExZR485AKBH93YZ08CMUC3WROED" hidden="1">#REF!</definedName>
    <definedName name="BExZR7TL98P2PPUVGIZYR5873DWW" hidden="1">#REF!</definedName>
    <definedName name="BExZRGD1603X5ACFALUUDKCD7X48" hidden="1">#REF!</definedName>
    <definedName name="BExZRP1X6UVLN1UOLHH5VF4STP1O" hidden="1">#REF!</definedName>
    <definedName name="BExZRPYBWTWKICV412GIBP5G67PH" hidden="1">#REF!</definedName>
    <definedName name="BExZRQ930U6OCYNV00CH5I0Q4LPE" hidden="1">#REF!</definedName>
    <definedName name="BExZRRR1YAXVA79GMOYAO3OJOKHN" hidden="1">#REF!</definedName>
    <definedName name="BExZRUQX1SZMDMELBH23392OD2XH" hidden="1">#REF!</definedName>
    <definedName name="BExZRW8W514W8OZ72YBONYJ64GXF" hidden="1">#REF!</definedName>
    <definedName name="BExZRWJP2BUVFJPO8U8ATQEP0LZU" hidden="1">#REF!</definedName>
    <definedName name="BExZS055EVJU2VTCE7BAYY5G9ZNQ" hidden="1">#REF!</definedName>
    <definedName name="BExZS2OY9JTSSP01ZQ6V2T2LO5R9" hidden="1">#REF!</definedName>
    <definedName name="BExZSB2W4VEFXZD4K04ZECEH75G9" hidden="1">#REF!</definedName>
    <definedName name="BExZSCVRQ3OTL6226CNRFXDZKUV0" hidden="1">#REF!</definedName>
    <definedName name="BExZSHTQ8C3MFI7VGD40DMD98Z3K" hidden="1">#REF!</definedName>
    <definedName name="BExZSI9USDLZAN8LI8M4YYQL24GZ" hidden="1">#REF!</definedName>
    <definedName name="BExZSS0LA2JY4ZLJ1Z5YCMLJJZCH" hidden="1">#REF!</definedName>
    <definedName name="BExZSTNVMLL2D0Q8VI3FQYIDDKW9" hidden="1">#REF!</definedName>
    <definedName name="BExZSYWQPEAMD8E4V0B8N97FJCD6" hidden="1">#REF!</definedName>
    <definedName name="BExZTAQV2QVSZY5Y3VCCWUBSBW9P" hidden="1">#REF!</definedName>
    <definedName name="BExZTHHPCM1R3TYTH4H41YUO4NOC" hidden="1">#REF!</definedName>
    <definedName name="BExZTHSI2FX56PWRSNX9H5EWTZFO" hidden="1">#REF!</definedName>
    <definedName name="BExZTJL3HVBFY139H6CJHEQCT1EL" hidden="1">#REF!</definedName>
    <definedName name="BExZTKSET1P86F65UUXQKS2938WC" hidden="1">#REF!</definedName>
    <definedName name="BExZTLOL8OPABZI453E0KVNA1GJS" hidden="1">#REF!</definedName>
    <definedName name="BExZTMFNZ43Y5SIZI3VY8RYYJVKF" hidden="1">#REF!</definedName>
    <definedName name="BExZTT6J3X0TOX0ZY6YPLUVMCW9X" hidden="1">#REF!</definedName>
    <definedName name="BExZTTXEZFMSS6DYL7Z95WQRE7EY" hidden="1">#REF!</definedName>
    <definedName name="BExZTVVFB028GGBNXL0YZYO9Z8VG" hidden="1">#REF!</definedName>
    <definedName name="BExZTW6ECBRA0BBITWBQ8R93RMCL" hidden="1">#REF!</definedName>
    <definedName name="BExZTZ64GRMYVX73ZQ0PGKNPLHFL" hidden="1">#REF!</definedName>
    <definedName name="BExZU0DAS14ETVYIPASOLKO60HT4" hidden="1">#REF!</definedName>
    <definedName name="BExZU14CLLKO00PRFXR59W7VNK0L" hidden="1">#REF!</definedName>
    <definedName name="BExZU2BHYAOKSCBM3C5014ZF6IXS" hidden="1">#REF!</definedName>
    <definedName name="BExZU2RMJTXOCS0ROPMYPE6WTD87" hidden="1">#REF!</definedName>
    <definedName name="BExZUF7G8FENTJKH9R1XUWXM6CWD" hidden="1">#REF!</definedName>
    <definedName name="BExZUNARUJBIZ08VCAV3GEVBIR3D" hidden="1">#REF!</definedName>
    <definedName name="BExZUSZT5496UMBP4LFSLTR1GVEW" hidden="1">#REF!</definedName>
    <definedName name="BExZUT54340I38GVCV79EL116WR0" hidden="1">#REF!</definedName>
    <definedName name="BExZUV35HXSYKN8L195BJC7IDMCB" hidden="1">#REF!</definedName>
    <definedName name="BExZUYDULCX65H9OZ9JHPBNKF3MI" hidden="1">#REF!</definedName>
    <definedName name="BExZV2QD5ZDK3AGDRULLA7JB46C3" hidden="1">#REF!</definedName>
    <definedName name="BExZVBQ29OM0V8XAL3HL0JIM0MMU" hidden="1">#REF!</definedName>
    <definedName name="BExZVDYWJ19F24JUDMV3FTFFG0AV" hidden="1">#REF!</definedName>
    <definedName name="BExZVF0QUBQ7EKSLNWX1TGCYQ8O4" hidden="1">#REF!</definedName>
    <definedName name="BExZVHKD3OTNHXVJH5SLLWZY453K" hidden="1">#REF!</definedName>
    <definedName name="BExZVLM4T9ORS4ZWHME46U4Q103C" hidden="1">#REF!</definedName>
    <definedName name="BExZVM7OZWPPRH5YQW50EYMMIW1A" hidden="1">#REF!</definedName>
    <definedName name="BExZVO0EWWEBVBCTUQEOXT7350H0" hidden="1">#REF!</definedName>
    <definedName name="BExZVPYGX2C5OSHMZ6F0KBKZ6B1S" hidden="1">#REF!</definedName>
    <definedName name="BExZVQ3YW5O5O07MCQL033BXMUGM" hidden="1">#REF!</definedName>
    <definedName name="BExZVT95X2J0XBMW8457S96E6Q8N" hidden="1">#REF!</definedName>
    <definedName name="BExZW5UARC8W9AQNLJX2I5WQWS5F" hidden="1">#REF!</definedName>
    <definedName name="BExZW7HRGN6A9YS41KI2B2UUMJ7X" hidden="1">#REF!</definedName>
    <definedName name="BExZW8E56RQZ9DY5ZGSD9YSXNSCT" hidden="1">#REF!</definedName>
    <definedName name="BExZW8ZPNV43UXGOT98FDNIBQHZY" hidden="1">#REF!</definedName>
    <definedName name="BExZWKZ5N3RDXU8MZ8HQVYYD8O0F" hidden="1">#REF!</definedName>
    <definedName name="BExZWO4HA28T41JOFW866WJZBOQM" hidden="1">#REF!</definedName>
    <definedName name="BExZWSMC9T48W74GFGQCIUJ8ZPP3" hidden="1">#REF!</definedName>
    <definedName name="BExZWUF2V4HY3HI8JN9ZVPRWK1H3" hidden="1">#REF!</definedName>
    <definedName name="BExZWX45URTK9KYDJHEXL1OTZ833" hidden="1">#REF!</definedName>
    <definedName name="BExZX0EWQEZO86WDAD9A4EAEZ012" hidden="1">#REF!</definedName>
    <definedName name="BExZX2T6ZT2DZLYSDJJBPVIT5OK2" hidden="1">#REF!</definedName>
    <definedName name="BExZX4B4XUQC1CZ0PRIGH9SPBZCB" hidden="1">#REF!</definedName>
    <definedName name="BExZX4GGSPEQZWEB7QV9XKXCP0R0" hidden="1">#REF!</definedName>
    <definedName name="BExZX8YAQ1MY49NYN2EWRYIS9TA4" hidden="1">#REF!</definedName>
    <definedName name="BExZXEY36ZDBA48EF3M2H0YZCL3W" hidden="1">#REF!</definedName>
    <definedName name="BExZXGLIMU5JH4QPESJ9HQGZTB7J" hidden="1">#REF!</definedName>
    <definedName name="BExZXH72WW1694KANGEIH98LGNJU" hidden="1">#REF!</definedName>
    <definedName name="BExZXOJDELULNLEH7WG0OYJT0NJ4" hidden="1">#REF!</definedName>
    <definedName name="BExZXOOTRNUK8LGEAZ8ZCFW9KXQ1" hidden="1">#REF!</definedName>
    <definedName name="BExZXPFPYP867Y81RZ7IEWY4ZEKN" hidden="1">#REF!</definedName>
    <definedName name="BExZXT6JOXNKEDU23DKL8XZAJZIH" hidden="1">#REF!</definedName>
    <definedName name="BExZXUTYW1HWEEZ1LIX4OQWC7HL1" hidden="1">#REF!</definedName>
    <definedName name="BExZXVA6MPF9NNLWPA3NTZROBH8Q" hidden="1">#REF!</definedName>
    <definedName name="BExZXY4NKQL9QD76YMQJ15U1C2G8" hidden="1">#REF!</definedName>
    <definedName name="BExZXYQ7U5G08FQGUIGYT14QCBOF" hidden="1">#REF!</definedName>
    <definedName name="BExZY02V77YJBMODJSWZOYCMPS5X" hidden="1">#REF!</definedName>
    <definedName name="BExZY49QRZIR6CA41LFA9LM6EULU" hidden="1">#REF!</definedName>
    <definedName name="BExZYE0H69L566QIG5DDAFAHN4LX" hidden="1">#REF!</definedName>
    <definedName name="BExZYPEH4P0LJTZ607BKHWZSM2WI" hidden="1">#REF!</definedName>
    <definedName name="BExZYRNCQWPZOG39YOAGPT038I1W" hidden="1">#REF!</definedName>
    <definedName name="BExZZ2FQA9A8C7CJKMEFQ9VPSLCE" hidden="1">#REF!</definedName>
    <definedName name="BExZZ31D8R4UJEWBOAYQ23O9EFRQ" hidden="1">#REF!</definedName>
    <definedName name="BExZZCHAVHW8C2H649KRGVQ0WVRT" hidden="1">#REF!</definedName>
    <definedName name="BExZZJDGR1E6KRHIUMHUAB8LG4OW" hidden="1">#REF!</definedName>
    <definedName name="BExZZTK54OTLF2YB68BHGOS27GEN" hidden="1">#REF!</definedName>
    <definedName name="BExZZXB3JQQG4SIZS4MRU6NNW7HI" hidden="1">#REF!</definedName>
    <definedName name="BExZZZEMIIFKMLLV4DJKX5TB9R5V" hidden="1">#REF!</definedName>
    <definedName name="BF_ID">#REF!</definedName>
    <definedName name="BF_OD">#REF!</definedName>
    <definedName name="BFOC" hidden="1">{"'0103'!$A$455:$O$585"}</definedName>
    <definedName name="BFOC1">#REF!</definedName>
    <definedName name="BFOC2">#REF!</definedName>
    <definedName name="BFOC3">#REF!</definedName>
    <definedName name="BG_Del" hidden="1">15</definedName>
    <definedName name="BG_Ins" hidden="1">4</definedName>
    <definedName name="BG_Mod" hidden="1">6</definedName>
    <definedName name="bilan">#REF!</definedName>
    <definedName name="Billion">#REF!</definedName>
    <definedName name="Billions">#REF!</definedName>
    <definedName name="Binder_Lay_1">#REF!</definedName>
    <definedName name="Binder_Lay_2">#REF!</definedName>
    <definedName name="Binder_yarn_excess_length">#REF!</definedName>
    <definedName name="BK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BKS">#REF!</definedName>
    <definedName name="BKS___0">#REF!</definedName>
    <definedName name="BKS_21">"#REF!"</definedName>
    <definedName name="BKS_22">"#REF!"</definedName>
    <definedName name="BKS_6">"#REF!"</definedName>
    <definedName name="BKS_8">#REF!</definedName>
    <definedName name="BlackWhiteNote">#REF!</definedName>
    <definedName name="bln">1000000000</definedName>
    <definedName name="BlockA">#REF!</definedName>
    <definedName name="BlockB">#REF!</definedName>
    <definedName name="BlockC">#REF!</definedName>
    <definedName name="BlockD">#REF!</definedName>
    <definedName name="BlockE">#REF!</definedName>
    <definedName name="BLOW_OUT">#REF!</definedName>
    <definedName name="BLPH1" hidden="1">#REF!</definedName>
    <definedName name="BLPH10" hidden="1">#REF!</definedName>
    <definedName name="BLPH100" hidden="1">#REF!</definedName>
    <definedName name="BLPH1000" hidden="1">#REF!</definedName>
    <definedName name="BLPH1001" hidden="1">#REF!</definedName>
    <definedName name="BLPH1002" hidden="1">#REF!</definedName>
    <definedName name="BLPH1003" hidden="1">#REF!</definedName>
    <definedName name="BLPH1004" hidden="1">#REF!</definedName>
    <definedName name="BLPH1005" hidden="1">#REF!</definedName>
    <definedName name="BLPH1006" hidden="1">#REF!</definedName>
    <definedName name="BLPH1007" hidden="1">#REF!</definedName>
    <definedName name="BLPH1008" hidden="1">#REF!</definedName>
    <definedName name="BLPH1009" hidden="1">#REF!</definedName>
    <definedName name="BLPH101" hidden="1">#REF!</definedName>
    <definedName name="BLPH1010" hidden="1">#REF!</definedName>
    <definedName name="BLPH1011" hidden="1">#REF!</definedName>
    <definedName name="BLPH1012" hidden="1">#REF!</definedName>
    <definedName name="BLPH1013" hidden="1">#REF!</definedName>
    <definedName name="BLPH1014" hidden="1">#REF!</definedName>
    <definedName name="BLPH1015" hidden="1">#REF!</definedName>
    <definedName name="BLPH1016" hidden="1">#REF!</definedName>
    <definedName name="BLPH1017" hidden="1">#REF!</definedName>
    <definedName name="BLPH1018" hidden="1">#REF!</definedName>
    <definedName name="BLPH1019" hidden="1">#REF!</definedName>
    <definedName name="BLPH102" hidden="1">#REF!</definedName>
    <definedName name="BLPH1020" hidden="1">#REF!</definedName>
    <definedName name="BLPH1021" hidden="1">#REF!</definedName>
    <definedName name="BLPH1022" hidden="1">#REF!</definedName>
    <definedName name="BLPH1023" hidden="1">#REF!</definedName>
    <definedName name="BLPH1024" hidden="1">#REF!</definedName>
    <definedName name="BLPH1025" hidden="1">#REF!</definedName>
    <definedName name="BLPH1026" hidden="1">#REF!</definedName>
    <definedName name="BLPH1027" hidden="1">#REF!</definedName>
    <definedName name="BLPH1028" hidden="1">#REF!</definedName>
    <definedName name="BLPH1029" hidden="1">#REF!</definedName>
    <definedName name="BLPH103" hidden="1">#REF!</definedName>
    <definedName name="BLPH1030" hidden="1">#REF!</definedName>
    <definedName name="BLPH1031" hidden="1">#REF!</definedName>
    <definedName name="BLPH1032" hidden="1">#REF!</definedName>
    <definedName name="BLPH1033" hidden="1">#REF!</definedName>
    <definedName name="BLPH1034" hidden="1">#REF!</definedName>
    <definedName name="BLPH1035" hidden="1">#REF!</definedName>
    <definedName name="BLPH1036" hidden="1">#REF!</definedName>
    <definedName name="BLPH1037" hidden="1">#REF!</definedName>
    <definedName name="BLPH1038" hidden="1">#REF!</definedName>
    <definedName name="BLPH1039" hidden="1">#REF!</definedName>
    <definedName name="BLPH104" hidden="1">#REF!</definedName>
    <definedName name="BLPH1040" hidden="1">#REF!</definedName>
    <definedName name="BLPH1041" hidden="1">#REF!</definedName>
    <definedName name="BLPH1042" hidden="1">#REF!</definedName>
    <definedName name="BLPH1043" hidden="1">#REF!</definedName>
    <definedName name="BLPH1044" hidden="1">#REF!</definedName>
    <definedName name="BLPH1045" hidden="1">#REF!</definedName>
    <definedName name="BLPH1046" hidden="1">#REF!</definedName>
    <definedName name="BLPH1047" hidden="1">#REF!</definedName>
    <definedName name="BLPH1048" hidden="1">#REF!</definedName>
    <definedName name="BLPH1049" hidden="1">#REF!</definedName>
    <definedName name="BLPH105" hidden="1">#REF!</definedName>
    <definedName name="BLPH1050" hidden="1">#REF!</definedName>
    <definedName name="BLPH1051" hidden="1">#REF!</definedName>
    <definedName name="BLPH1052" hidden="1">#REF!</definedName>
    <definedName name="BLPH1053" hidden="1">#REF!</definedName>
    <definedName name="BLPH1054" hidden="1">#REF!</definedName>
    <definedName name="BLPH1055" hidden="1">#REF!</definedName>
    <definedName name="BLPH1056" hidden="1">#REF!</definedName>
    <definedName name="BLPH1057" hidden="1">#REF!</definedName>
    <definedName name="BLPH1058" hidden="1">#REF!</definedName>
    <definedName name="BLPH1059" hidden="1">#REF!</definedName>
    <definedName name="BLPH106" hidden="1">#REF!</definedName>
    <definedName name="BLPH1060" hidden="1">#REF!</definedName>
    <definedName name="BLPH1061" hidden="1">#REF!</definedName>
    <definedName name="BLPH1062" hidden="1">#REF!</definedName>
    <definedName name="BLPH1063" hidden="1">#REF!</definedName>
    <definedName name="BLPH1064" hidden="1">#REF!</definedName>
    <definedName name="BLPH1065" hidden="1">#REF!</definedName>
    <definedName name="BLPH1066" hidden="1">#REF!</definedName>
    <definedName name="BLPH1067" hidden="1">#REF!</definedName>
    <definedName name="BLPH1068" hidden="1">#REF!</definedName>
    <definedName name="BLPH1069" hidden="1">#REF!</definedName>
    <definedName name="BLPH107" hidden="1">#REF!</definedName>
    <definedName name="BLPH1070" hidden="1">#REF!</definedName>
    <definedName name="BLPH1071" hidden="1">#REF!</definedName>
    <definedName name="BLPH1072" hidden="1">#REF!</definedName>
    <definedName name="BLPH1073" hidden="1">#REF!</definedName>
    <definedName name="BLPH1074" hidden="1">#REF!</definedName>
    <definedName name="BLPH1075" hidden="1">#REF!</definedName>
    <definedName name="BLPH1076" hidden="1">#REF!</definedName>
    <definedName name="BLPH1077" hidden="1">#REF!</definedName>
    <definedName name="BLPH1078" hidden="1">#REF!</definedName>
    <definedName name="BLPH1079" hidden="1">#REF!</definedName>
    <definedName name="BLPH108" hidden="1">#REF!</definedName>
    <definedName name="BLPH1080" hidden="1">#REF!</definedName>
    <definedName name="BLPH1081" hidden="1">#REF!</definedName>
    <definedName name="BLPH1082" hidden="1">#REF!</definedName>
    <definedName name="BLPH1083" hidden="1">#REF!</definedName>
    <definedName name="BLPH1084" hidden="1">#REF!</definedName>
    <definedName name="BLPH1085" hidden="1">#REF!</definedName>
    <definedName name="BLPH1086" hidden="1">#REF!</definedName>
    <definedName name="BLPH1087" hidden="1">#REF!</definedName>
    <definedName name="BLPH1088" hidden="1">#REF!</definedName>
    <definedName name="BLPH1089" hidden="1">#REF!</definedName>
    <definedName name="BLPH109" hidden="1">#REF!</definedName>
    <definedName name="BLPH1090" hidden="1">#REF!</definedName>
    <definedName name="BLPH1091" hidden="1">#REF!</definedName>
    <definedName name="BLPH1092" hidden="1">#REF!</definedName>
    <definedName name="BLPH1093" hidden="1">#REF!</definedName>
    <definedName name="BLPH1094" hidden="1">#REF!</definedName>
    <definedName name="BLPH1095" hidden="1">#REF!</definedName>
    <definedName name="BLPH1096" hidden="1">#REF!</definedName>
    <definedName name="BLPH1097" hidden="1">#REF!</definedName>
    <definedName name="BLPH1098" hidden="1">#REF!</definedName>
    <definedName name="BLPH1099" hidden="1">#REF!</definedName>
    <definedName name="BLPH11" hidden="1">#REF!</definedName>
    <definedName name="BLPH110" hidden="1">#REF!</definedName>
    <definedName name="BLPH1100" hidden="1">#REF!</definedName>
    <definedName name="BLPH1101" hidden="1">#REF!</definedName>
    <definedName name="BLPH1102" hidden="1">#REF!</definedName>
    <definedName name="BLPH1103" hidden="1">#REF!</definedName>
    <definedName name="BLPH1104" hidden="1">#REF!</definedName>
    <definedName name="BLPH1105" hidden="1">#REF!</definedName>
    <definedName name="BLPH1106" hidden="1">#REF!</definedName>
    <definedName name="BLPH1107" hidden="1">#REF!</definedName>
    <definedName name="BLPH1108" hidden="1">#REF!</definedName>
    <definedName name="BLPH1109" hidden="1">#REF!</definedName>
    <definedName name="BLPH111" hidden="1">#REF!</definedName>
    <definedName name="BLPH1110" hidden="1">#REF!</definedName>
    <definedName name="BLPH1111" hidden="1">#REF!</definedName>
    <definedName name="BLPH1112" hidden="1">#REF!</definedName>
    <definedName name="BLPH1113" hidden="1">#REF!</definedName>
    <definedName name="BLPH1114" hidden="1">#REF!</definedName>
    <definedName name="BLPH1115" hidden="1">#REF!</definedName>
    <definedName name="BLPH1116" hidden="1">#REF!</definedName>
    <definedName name="BLPH1117" hidden="1">#REF!</definedName>
    <definedName name="BLPH1118" hidden="1">#REF!</definedName>
    <definedName name="BLPH1119" hidden="1">#REF!</definedName>
    <definedName name="BLPH112" hidden="1">#REF!</definedName>
    <definedName name="BLPH1120" hidden="1">#REF!</definedName>
    <definedName name="BLPH1121" hidden="1">#REF!</definedName>
    <definedName name="BLPH1122" hidden="1">#REF!</definedName>
    <definedName name="BLPH1123" hidden="1">#REF!</definedName>
    <definedName name="BLPH1124" hidden="1">#REF!</definedName>
    <definedName name="BLPH1125" hidden="1">#REF!</definedName>
    <definedName name="BLPH1126" hidden="1">#REF!</definedName>
    <definedName name="BLPH1127" hidden="1">#REF!</definedName>
    <definedName name="BLPH1128" hidden="1">#REF!</definedName>
    <definedName name="BLPH1129" hidden="1">#REF!</definedName>
    <definedName name="BLPH113" hidden="1">#REF!</definedName>
    <definedName name="BLPH1130" hidden="1">#REF!</definedName>
    <definedName name="BLPH1131" hidden="1">#REF!</definedName>
    <definedName name="BLPH1132" hidden="1">#REF!</definedName>
    <definedName name="BLPH1133" hidden="1">#REF!</definedName>
    <definedName name="BLPH1134" hidden="1">#REF!</definedName>
    <definedName name="BLPH1135" hidden="1">#REF!</definedName>
    <definedName name="BLPH1136" hidden="1">#REF!</definedName>
    <definedName name="BLPH1137" hidden="1">#REF!</definedName>
    <definedName name="BLPH1138" hidden="1">#REF!</definedName>
    <definedName name="BLPH1139" hidden="1">#REF!</definedName>
    <definedName name="BLPH114" hidden="1">#REF!</definedName>
    <definedName name="BLPH1140" hidden="1">#REF!</definedName>
    <definedName name="BLPH1141" hidden="1">#REF!</definedName>
    <definedName name="BLPH1142" hidden="1">#REF!</definedName>
    <definedName name="BLPH1143" hidden="1">#REF!</definedName>
    <definedName name="BLPH1144" hidden="1">#REF!</definedName>
    <definedName name="BLPH1145" hidden="1">#REF!</definedName>
    <definedName name="BLPH1146" hidden="1">#REF!</definedName>
    <definedName name="BLPH1147" hidden="1">#REF!</definedName>
    <definedName name="BLPH1148" hidden="1">#REF!</definedName>
    <definedName name="BLPH1149" hidden="1">#REF!</definedName>
    <definedName name="BLPH115" hidden="1">#REF!</definedName>
    <definedName name="BLPH1150" hidden="1">#REF!</definedName>
    <definedName name="BLPH1151" hidden="1">#REF!</definedName>
    <definedName name="BLPH1152" hidden="1">#REF!</definedName>
    <definedName name="BLPH1153" hidden="1">#REF!</definedName>
    <definedName name="BLPH1154" hidden="1">#REF!</definedName>
    <definedName name="BLPH1155" hidden="1">#REF!</definedName>
    <definedName name="BLPH1156" hidden="1">#REF!</definedName>
    <definedName name="BLPH1157" hidden="1">#REF!</definedName>
    <definedName name="BLPH1158" hidden="1">#REF!</definedName>
    <definedName name="BLPH1159" hidden="1">#REF!</definedName>
    <definedName name="BLPH116" hidden="1">#REF!</definedName>
    <definedName name="BLPH1160" hidden="1">#REF!</definedName>
    <definedName name="BLPH1161" hidden="1">#REF!</definedName>
    <definedName name="BLPH1162" hidden="1">#REF!</definedName>
    <definedName name="BLPH1163" hidden="1">#REF!</definedName>
    <definedName name="BLPH1164" hidden="1">#REF!</definedName>
    <definedName name="BLPH1165" hidden="1">#REF!</definedName>
    <definedName name="BLPH1166" hidden="1">#REF!</definedName>
    <definedName name="BLPH1167" hidden="1">#REF!</definedName>
    <definedName name="BLPH1168" hidden="1">#REF!</definedName>
    <definedName name="BLPH1169" hidden="1">#REF!</definedName>
    <definedName name="BLPH117" hidden="1">#REF!</definedName>
    <definedName name="BLPH1170" hidden="1">#REF!</definedName>
    <definedName name="BLPH1171" hidden="1">#REF!</definedName>
    <definedName name="BLPH1172" hidden="1">#REF!</definedName>
    <definedName name="BLPH1173" hidden="1">#REF!</definedName>
    <definedName name="BLPH1174" hidden="1">#REF!</definedName>
    <definedName name="BLPH1175" hidden="1">#REF!</definedName>
    <definedName name="BLPH1176" hidden="1">#REF!</definedName>
    <definedName name="BLPH1177" hidden="1">#REF!</definedName>
    <definedName name="BLPH1178" hidden="1">#REF!</definedName>
    <definedName name="BLPH1179" hidden="1">#REF!</definedName>
    <definedName name="BLPH118" hidden="1">#REF!</definedName>
    <definedName name="BLPH1180" hidden="1">#REF!</definedName>
    <definedName name="BLPH1181" hidden="1">#REF!</definedName>
    <definedName name="BLPH1182" hidden="1">#REF!</definedName>
    <definedName name="BLPH1183" hidden="1">#REF!</definedName>
    <definedName name="BLPH1184" hidden="1">#REF!</definedName>
    <definedName name="BLPH1185" hidden="1">#REF!</definedName>
    <definedName name="BLPH1186" hidden="1">#REF!</definedName>
    <definedName name="BLPH1187" hidden="1">#REF!</definedName>
    <definedName name="BLPH1188" hidden="1">#REF!</definedName>
    <definedName name="BLPH1189" hidden="1">#REF!</definedName>
    <definedName name="BLPH119" hidden="1">#REF!</definedName>
    <definedName name="BLPH1190" hidden="1">#REF!</definedName>
    <definedName name="BLPH1191" hidden="1">#REF!</definedName>
    <definedName name="BLPH1192" hidden="1">#REF!</definedName>
    <definedName name="BLPH1193" hidden="1">#REF!</definedName>
    <definedName name="BLPH1194" hidden="1">#REF!</definedName>
    <definedName name="BLPH1195" hidden="1">#REF!</definedName>
    <definedName name="BLPH1196" hidden="1">#REF!</definedName>
    <definedName name="BLPH1197" hidden="1">#REF!</definedName>
    <definedName name="BLPH1198" hidden="1">#REF!</definedName>
    <definedName name="BLPH1199" hidden="1">#REF!</definedName>
    <definedName name="BLPH12" hidden="1">#REF!</definedName>
    <definedName name="BLPH120" hidden="1">#REF!</definedName>
    <definedName name="BLPH1200" hidden="1">#REF!</definedName>
    <definedName name="BLPH1201" hidden="1">#REF!</definedName>
    <definedName name="BLPH1202" hidden="1">#REF!</definedName>
    <definedName name="BLPH1203" hidden="1">#REF!</definedName>
    <definedName name="BLPH1204" hidden="1">#REF!</definedName>
    <definedName name="BLPH1205" hidden="1">#REF!</definedName>
    <definedName name="BLPH1206" hidden="1">#REF!</definedName>
    <definedName name="BLPH1207" hidden="1">#REF!</definedName>
    <definedName name="BLPH1208" hidden="1">#REF!</definedName>
    <definedName name="BLPH1209" hidden="1">#REF!</definedName>
    <definedName name="BLPH121" hidden="1">#REF!</definedName>
    <definedName name="BLPH1210" hidden="1">#REF!</definedName>
    <definedName name="BLPH1211" hidden="1">#REF!</definedName>
    <definedName name="BLPH1212" hidden="1">#REF!</definedName>
    <definedName name="BLPH1213" hidden="1">#REF!</definedName>
    <definedName name="BLPH1214" hidden="1">#REF!</definedName>
    <definedName name="BLPH1215" hidden="1">#REF!</definedName>
    <definedName name="BLPH1216" hidden="1">#REF!</definedName>
    <definedName name="BLPH1217" hidden="1">#REF!</definedName>
    <definedName name="BLPH1218" hidden="1">#REF!</definedName>
    <definedName name="BLPH1219" hidden="1">#REF!</definedName>
    <definedName name="BLPH122" hidden="1">#REF!</definedName>
    <definedName name="BLPH1220" hidden="1">#REF!</definedName>
    <definedName name="BLPH1221" hidden="1">#REF!</definedName>
    <definedName name="BLPH1222" hidden="1">#REF!</definedName>
    <definedName name="BLPH1223" hidden="1">#REF!</definedName>
    <definedName name="BLPH1224" hidden="1">#REF!</definedName>
    <definedName name="BLPH1225" hidden="1">#REF!</definedName>
    <definedName name="BLPH1226" hidden="1">#REF!</definedName>
    <definedName name="BLPH1227" hidden="1">#REF!</definedName>
    <definedName name="BLPH1228" hidden="1">#REF!</definedName>
    <definedName name="BLPH1229" hidden="1">#REF!</definedName>
    <definedName name="BLPH123" hidden="1">#REF!</definedName>
    <definedName name="BLPH1230" hidden="1">#REF!</definedName>
    <definedName name="BLPH1231" hidden="1">#REF!</definedName>
    <definedName name="BLPH1232" hidden="1">#REF!</definedName>
    <definedName name="BLPH1233" hidden="1">#REF!</definedName>
    <definedName name="BLPH1234" hidden="1">#REF!</definedName>
    <definedName name="BLPH1235" hidden="1">#REF!</definedName>
    <definedName name="BLPH1236" hidden="1">#REF!</definedName>
    <definedName name="BLPH1237" hidden="1">#REF!</definedName>
    <definedName name="BLPH1238" hidden="1">#REF!</definedName>
    <definedName name="BLPH1239" hidden="1">#REF!</definedName>
    <definedName name="BLPH124" hidden="1">#REF!</definedName>
    <definedName name="BLPH1240" hidden="1">#REF!</definedName>
    <definedName name="BLPH1241" hidden="1">#REF!</definedName>
    <definedName name="BLPH1242" hidden="1">#REF!</definedName>
    <definedName name="BLPH1243" hidden="1">#REF!</definedName>
    <definedName name="BLPH1244" hidden="1">#REF!</definedName>
    <definedName name="BLPH1245" hidden="1">#REF!</definedName>
    <definedName name="BLPH1246" hidden="1">#REF!</definedName>
    <definedName name="BLPH1247" hidden="1">#REF!</definedName>
    <definedName name="BLPH1248" hidden="1">#REF!</definedName>
    <definedName name="BLPH1249" hidden="1">#REF!</definedName>
    <definedName name="BLPH125" hidden="1">#REF!</definedName>
    <definedName name="BLPH1250" hidden="1">#REF!</definedName>
    <definedName name="BLPH1251" hidden="1">#REF!</definedName>
    <definedName name="BLPH1252" hidden="1">#REF!</definedName>
    <definedName name="BLPH1253" hidden="1">#REF!</definedName>
    <definedName name="BLPH1254" hidden="1">#REF!</definedName>
    <definedName name="BLPH1255" hidden="1">#REF!</definedName>
    <definedName name="BLPH1256" hidden="1">#REF!</definedName>
    <definedName name="BLPH1257" hidden="1">#REF!</definedName>
    <definedName name="BLPH1258" hidden="1">#REF!</definedName>
    <definedName name="BLPH1259" hidden="1">#REF!</definedName>
    <definedName name="BLPH126" hidden="1">#REF!</definedName>
    <definedName name="BLPH1260" hidden="1">#REF!</definedName>
    <definedName name="BLPH1261" hidden="1">#REF!</definedName>
    <definedName name="BLPH1262" hidden="1">#REF!</definedName>
    <definedName name="BLPH1263" hidden="1">#REF!</definedName>
    <definedName name="BLPH1264" hidden="1">#REF!</definedName>
    <definedName name="BLPH1265" hidden="1">#REF!</definedName>
    <definedName name="BLPH1266" hidden="1">#REF!</definedName>
    <definedName name="BLPH1267" hidden="1">#REF!</definedName>
    <definedName name="BLPH1268" hidden="1">#REF!</definedName>
    <definedName name="BLPH1269" hidden="1">#REF!</definedName>
    <definedName name="BLPH127" hidden="1">#REF!</definedName>
    <definedName name="BLPH1270" hidden="1">#REF!</definedName>
    <definedName name="BLPH1271" hidden="1">#REF!</definedName>
    <definedName name="BLPH1272" hidden="1">#REF!</definedName>
    <definedName name="BLPH1273" hidden="1">#REF!</definedName>
    <definedName name="BLPH1274" hidden="1">#REF!</definedName>
    <definedName name="BLPH1275" hidden="1">#REF!</definedName>
    <definedName name="BLPH1276" hidden="1">#REF!</definedName>
    <definedName name="BLPH1277" hidden="1">#REF!</definedName>
    <definedName name="BLPH1278" hidden="1">#REF!</definedName>
    <definedName name="BLPH1279" hidden="1">#REF!</definedName>
    <definedName name="BLPH128" hidden="1">#REF!</definedName>
    <definedName name="BLPH1280" hidden="1">#REF!</definedName>
    <definedName name="BLPH1281" hidden="1">#REF!</definedName>
    <definedName name="BLPH1282" hidden="1">#REF!</definedName>
    <definedName name="BLPH1283" hidden="1">#REF!</definedName>
    <definedName name="BLPH1284" hidden="1">#REF!</definedName>
    <definedName name="BLPH1285" hidden="1">#REF!</definedName>
    <definedName name="BLPH1286" hidden="1">#REF!</definedName>
    <definedName name="BLPH1287" hidden="1">#REF!</definedName>
    <definedName name="BLPH1288" hidden="1">#REF!</definedName>
    <definedName name="BLPH1289" hidden="1">#REF!</definedName>
    <definedName name="BLPH129" hidden="1">#REF!</definedName>
    <definedName name="BLPH1290" hidden="1">#REF!</definedName>
    <definedName name="BLPH1291" hidden="1">#REF!</definedName>
    <definedName name="BLPH1292" hidden="1">#REF!</definedName>
    <definedName name="BLPH1293" hidden="1">#REF!</definedName>
    <definedName name="BLPH1294" hidden="1">#REF!</definedName>
    <definedName name="BLPH1295" hidden="1">#REF!</definedName>
    <definedName name="BLPH1296" hidden="1">#REF!</definedName>
    <definedName name="BLPH1297" hidden="1">#REF!</definedName>
    <definedName name="BLPH1298" hidden="1">#REF!</definedName>
    <definedName name="BLPH1299" hidden="1">#REF!</definedName>
    <definedName name="BLPH13" hidden="1">#REF!</definedName>
    <definedName name="BLPH130" hidden="1">#REF!</definedName>
    <definedName name="BLPH1300" hidden="1">#REF!</definedName>
    <definedName name="BLPH1301" hidden="1">#REF!</definedName>
    <definedName name="BLPH1302" hidden="1">#REF!</definedName>
    <definedName name="BLPH1303" hidden="1">#REF!</definedName>
    <definedName name="BLPH1304" hidden="1">#REF!</definedName>
    <definedName name="BLPH1305" hidden="1">#REF!</definedName>
    <definedName name="BLPH1306" hidden="1">#REF!</definedName>
    <definedName name="BLPH1307" hidden="1">#REF!</definedName>
    <definedName name="BLPH1308" hidden="1">#REF!</definedName>
    <definedName name="BLPH1309" hidden="1">#REF!</definedName>
    <definedName name="BLPH131" hidden="1">#REF!</definedName>
    <definedName name="BLPH1310" hidden="1">#REF!</definedName>
    <definedName name="BLPH1311" hidden="1">#REF!</definedName>
    <definedName name="BLPH1312" hidden="1">#REF!</definedName>
    <definedName name="BLPH1313" hidden="1">#REF!</definedName>
    <definedName name="BLPH1314" hidden="1">#REF!</definedName>
    <definedName name="BLPH1315" hidden="1">#REF!</definedName>
    <definedName name="BLPH1316" hidden="1">#REF!</definedName>
    <definedName name="BLPH1317" hidden="1">#REF!</definedName>
    <definedName name="BLPH1318" hidden="1">#REF!</definedName>
    <definedName name="BLPH1319" hidden="1">#REF!</definedName>
    <definedName name="BLPH132" hidden="1">#REF!</definedName>
    <definedName name="BLPH1320" hidden="1">#REF!</definedName>
    <definedName name="BLPH1321" hidden="1">#REF!</definedName>
    <definedName name="BLPH1322" hidden="1">#REF!</definedName>
    <definedName name="BLPH1323" hidden="1">#REF!</definedName>
    <definedName name="BLPH1324" hidden="1">#REF!</definedName>
    <definedName name="BLPH1325" hidden="1">#REF!</definedName>
    <definedName name="BLPH1326" hidden="1">#REF!</definedName>
    <definedName name="BLPH1327" hidden="1">#REF!</definedName>
    <definedName name="BLPH1328" hidden="1">#REF!</definedName>
    <definedName name="BLPH1329" hidden="1">#REF!</definedName>
    <definedName name="BLPH133" hidden="1">#REF!</definedName>
    <definedName name="BLPH1330" hidden="1">#REF!</definedName>
    <definedName name="BLPH1331" hidden="1">#REF!</definedName>
    <definedName name="BLPH1332" hidden="1">#REF!</definedName>
    <definedName name="BLPH1333" hidden="1">#REF!</definedName>
    <definedName name="BLPH1334" hidden="1">#REF!</definedName>
    <definedName name="BLPH1335" hidden="1">#REF!</definedName>
    <definedName name="BLPH1336" hidden="1">#REF!</definedName>
    <definedName name="BLPH1337" hidden="1">#REF!</definedName>
    <definedName name="BLPH1338" hidden="1">#REF!</definedName>
    <definedName name="BLPH1339" hidden="1">#REF!</definedName>
    <definedName name="BLPH134" hidden="1">#REF!</definedName>
    <definedName name="BLPH1340" hidden="1">#REF!</definedName>
    <definedName name="BLPH1341" hidden="1">#REF!</definedName>
    <definedName name="BLPH1342" hidden="1">#REF!</definedName>
    <definedName name="BLPH1343" hidden="1">#REF!</definedName>
    <definedName name="BLPH1344" hidden="1">#REF!</definedName>
    <definedName name="BLPH1345" hidden="1">#REF!</definedName>
    <definedName name="BLPH1346" hidden="1">#REF!</definedName>
    <definedName name="BLPH1347" hidden="1">#REF!</definedName>
    <definedName name="BLPH1348" hidden="1">#REF!</definedName>
    <definedName name="BLPH1349" hidden="1">#REF!</definedName>
    <definedName name="BLPH135" hidden="1">#REF!</definedName>
    <definedName name="BLPH1350" hidden="1">#REF!</definedName>
    <definedName name="BLPH1351" hidden="1">#REF!</definedName>
    <definedName name="BLPH1352" hidden="1">#REF!</definedName>
    <definedName name="BLPH1353" hidden="1">#REF!</definedName>
    <definedName name="BLPH1354" hidden="1">#REF!</definedName>
    <definedName name="BLPH1355" hidden="1">#REF!</definedName>
    <definedName name="BLPH1356" hidden="1">#REF!</definedName>
    <definedName name="BLPH1357" hidden="1">#REF!</definedName>
    <definedName name="BLPH1358" hidden="1">#REF!</definedName>
    <definedName name="BLPH1359" hidden="1">#REF!</definedName>
    <definedName name="BLPH136" hidden="1">#REF!</definedName>
    <definedName name="BLPH1360" hidden="1">#REF!</definedName>
    <definedName name="BLPH1361" hidden="1">#REF!</definedName>
    <definedName name="BLPH1362" hidden="1">#REF!</definedName>
    <definedName name="BLPH1363" hidden="1">#REF!</definedName>
    <definedName name="BLPH1364" hidden="1">#REF!</definedName>
    <definedName name="BLPH1365" hidden="1">#REF!</definedName>
    <definedName name="BLPH1366" hidden="1">#REF!</definedName>
    <definedName name="BLPH1367" hidden="1">#REF!</definedName>
    <definedName name="BLPH1368" hidden="1">#REF!</definedName>
    <definedName name="BLPH1369" hidden="1">#REF!</definedName>
    <definedName name="BLPH137" hidden="1">#REF!</definedName>
    <definedName name="BLPH1370" hidden="1">#REF!</definedName>
    <definedName name="BLPH1371" hidden="1">#REF!</definedName>
    <definedName name="BLPH1372" hidden="1">#REF!</definedName>
    <definedName name="BLPH1373" hidden="1">#REF!</definedName>
    <definedName name="BLPH1374" hidden="1">#REF!</definedName>
    <definedName name="BLPH1375" hidden="1">#REF!</definedName>
    <definedName name="BLPH1376" hidden="1">#REF!</definedName>
    <definedName name="BLPH1377" hidden="1">#REF!</definedName>
    <definedName name="BLPH1378" hidden="1">#REF!</definedName>
    <definedName name="BLPH1379" hidden="1">#REF!</definedName>
    <definedName name="BLPH138" hidden="1">#REF!</definedName>
    <definedName name="BLPH1380" hidden="1">#REF!</definedName>
    <definedName name="BLPH1381" hidden="1">#REF!</definedName>
    <definedName name="BLPH1382" hidden="1">#REF!</definedName>
    <definedName name="BLPH1383" hidden="1">#REF!</definedName>
    <definedName name="BLPH1384" hidden="1">#REF!</definedName>
    <definedName name="BLPH1385" hidden="1">#REF!</definedName>
    <definedName name="BLPH1386" hidden="1">#REF!</definedName>
    <definedName name="BLPH1387" hidden="1">#REF!</definedName>
    <definedName name="BLPH1388" hidden="1">#REF!</definedName>
    <definedName name="BLPH1389" hidden="1">#REF!</definedName>
    <definedName name="BLPH139" hidden="1">#REF!</definedName>
    <definedName name="BLPH1390" hidden="1">#REF!</definedName>
    <definedName name="BLPH1391" hidden="1">#REF!</definedName>
    <definedName name="BLPH1392" hidden="1">#REF!</definedName>
    <definedName name="BLPH1393" hidden="1">#REF!</definedName>
    <definedName name="BLPH1394" hidden="1">#REF!</definedName>
    <definedName name="BLPH1395" hidden="1">#REF!</definedName>
    <definedName name="BLPH1396" hidden="1">#REF!</definedName>
    <definedName name="BLPH1397" hidden="1">#REF!</definedName>
    <definedName name="BLPH1398" hidden="1">#REF!</definedName>
    <definedName name="BLPH1399" hidden="1">#REF!</definedName>
    <definedName name="BLPH14" hidden="1">#REF!</definedName>
    <definedName name="BLPH140" hidden="1">#REF!</definedName>
    <definedName name="BLPH1400" hidden="1">#REF!</definedName>
    <definedName name="BLPH1401" hidden="1">#REF!</definedName>
    <definedName name="BLPH1402" hidden="1">#REF!</definedName>
    <definedName name="BLPH1403" hidden="1">#REF!</definedName>
    <definedName name="BLPH1404" hidden="1">#REF!</definedName>
    <definedName name="BLPH1405" hidden="1">#REF!</definedName>
    <definedName name="BLPH1406" hidden="1">#REF!</definedName>
    <definedName name="BLPH1407" hidden="1">#REF!</definedName>
    <definedName name="BLPH1408" hidden="1">#REF!</definedName>
    <definedName name="BLPH1409" hidden="1">#REF!</definedName>
    <definedName name="BLPH141" hidden="1">#REF!</definedName>
    <definedName name="BLPH1410" hidden="1">#REF!</definedName>
    <definedName name="BLPH1411" hidden="1">#REF!</definedName>
    <definedName name="BLPH1412" hidden="1">#REF!</definedName>
    <definedName name="BLPH1413" hidden="1">#REF!</definedName>
    <definedName name="BLPH1414" hidden="1">#REF!</definedName>
    <definedName name="BLPH1415" hidden="1">#REF!</definedName>
    <definedName name="BLPH1416" hidden="1">#REF!</definedName>
    <definedName name="BLPH1417" hidden="1">#REF!</definedName>
    <definedName name="BLPH1418" hidden="1">#REF!</definedName>
    <definedName name="BLPH1419" hidden="1">#REF!</definedName>
    <definedName name="BLPH142" hidden="1">#REF!</definedName>
    <definedName name="BLPH1420" hidden="1">#REF!</definedName>
    <definedName name="BLPH1421" hidden="1">#REF!</definedName>
    <definedName name="BLPH1422" hidden="1">#REF!</definedName>
    <definedName name="BLPH1423" hidden="1">#REF!</definedName>
    <definedName name="BLPH1424" hidden="1">#REF!</definedName>
    <definedName name="BLPH1425" hidden="1">#REF!</definedName>
    <definedName name="BLPH1426" hidden="1">#REF!</definedName>
    <definedName name="BLPH1427" hidden="1">#REF!</definedName>
    <definedName name="BLPH1428" hidden="1">#REF!</definedName>
    <definedName name="BLPH1429" hidden="1">#REF!</definedName>
    <definedName name="BLPH143" hidden="1">#REF!</definedName>
    <definedName name="BLPH1430" hidden="1">#REF!</definedName>
    <definedName name="BLPH1431" hidden="1">#REF!</definedName>
    <definedName name="BLPH1432" hidden="1">#REF!</definedName>
    <definedName name="BLPH1433" hidden="1">#REF!</definedName>
    <definedName name="BLPH1434" hidden="1">#REF!</definedName>
    <definedName name="BLPH1435" hidden="1">#REF!</definedName>
    <definedName name="BLPH1436" hidden="1">#REF!</definedName>
    <definedName name="BLPH1437" hidden="1">#REF!</definedName>
    <definedName name="BLPH1438" hidden="1">#REF!</definedName>
    <definedName name="BLPH1439" hidden="1">#REF!</definedName>
    <definedName name="BLPH144" hidden="1">#REF!</definedName>
    <definedName name="BLPH1440" hidden="1">#REF!</definedName>
    <definedName name="BLPH1441" hidden="1">#REF!</definedName>
    <definedName name="BLPH1442" hidden="1">#REF!</definedName>
    <definedName name="BLPH1443" hidden="1">#REF!</definedName>
    <definedName name="BLPH1444" hidden="1">#REF!</definedName>
    <definedName name="BLPH1445" hidden="1">#REF!</definedName>
    <definedName name="BLPH1446" hidden="1">#REF!</definedName>
    <definedName name="BLPH1447" hidden="1">#REF!</definedName>
    <definedName name="BLPH1448" hidden="1">#REF!</definedName>
    <definedName name="BLPH1449" hidden="1">#REF!</definedName>
    <definedName name="BLPH145" hidden="1">#REF!</definedName>
    <definedName name="BLPH1450" hidden="1">#REF!</definedName>
    <definedName name="BLPH1451" hidden="1">#REF!</definedName>
    <definedName name="BLPH1452" hidden="1">#REF!</definedName>
    <definedName name="BLPH1453" hidden="1">#REF!</definedName>
    <definedName name="BLPH1454" hidden="1">#REF!</definedName>
    <definedName name="BLPH1455" hidden="1">#REF!</definedName>
    <definedName name="BLPH1456" hidden="1">#REF!</definedName>
    <definedName name="BLPH1457" hidden="1">#REF!</definedName>
    <definedName name="BLPH1458" hidden="1">#REF!</definedName>
    <definedName name="BLPH1459" hidden="1">#REF!</definedName>
    <definedName name="BLPH146" hidden="1">#REF!</definedName>
    <definedName name="BLPH1460" hidden="1">#REF!</definedName>
    <definedName name="BLPH1461" hidden="1">#REF!</definedName>
    <definedName name="BLPH1462" hidden="1">#REF!</definedName>
    <definedName name="BLPH1463" hidden="1">#REF!</definedName>
    <definedName name="BLPH1464" hidden="1">#REF!</definedName>
    <definedName name="BLPH1465" hidden="1">#REF!</definedName>
    <definedName name="BLPH1466" hidden="1">#REF!</definedName>
    <definedName name="BLPH1467" hidden="1">#REF!</definedName>
    <definedName name="BLPH1468" hidden="1">#REF!</definedName>
    <definedName name="BLPH1469" hidden="1">#REF!</definedName>
    <definedName name="BLPH147" hidden="1">#REF!</definedName>
    <definedName name="BLPH1470" hidden="1">#REF!</definedName>
    <definedName name="BLPH1471" hidden="1">#REF!</definedName>
    <definedName name="BLPH1472" hidden="1">#REF!</definedName>
    <definedName name="BLPH1473" hidden="1">#REF!</definedName>
    <definedName name="BLPH1474" hidden="1">#REF!</definedName>
    <definedName name="BLPH1475" hidden="1">#REF!</definedName>
    <definedName name="BLPH1476" hidden="1">#REF!</definedName>
    <definedName name="BLPH1477" hidden="1">#REF!</definedName>
    <definedName name="BLPH1478" hidden="1">#REF!</definedName>
    <definedName name="BLPH1479" hidden="1">#REF!</definedName>
    <definedName name="BLPH148" hidden="1">#REF!</definedName>
    <definedName name="BLPH1480" hidden="1">#REF!</definedName>
    <definedName name="BLPH1481" hidden="1">#REF!</definedName>
    <definedName name="BLPH1482" hidden="1">#REF!</definedName>
    <definedName name="BLPH1483" hidden="1">#REF!</definedName>
    <definedName name="BLPH1484" hidden="1">#REF!</definedName>
    <definedName name="BLPH1485" hidden="1">#REF!</definedName>
    <definedName name="BLPH1486" hidden="1">#REF!</definedName>
    <definedName name="BLPH1487" hidden="1">#REF!</definedName>
    <definedName name="BLPH1488" hidden="1">#REF!</definedName>
    <definedName name="BLPH1489" hidden="1">#REF!</definedName>
    <definedName name="BLPH149" hidden="1">#REF!</definedName>
    <definedName name="BLPH1490" hidden="1">#REF!</definedName>
    <definedName name="BLPH1491" hidden="1">#REF!</definedName>
    <definedName name="BLPH1492" hidden="1">#REF!</definedName>
    <definedName name="BLPH1493" hidden="1">#REF!</definedName>
    <definedName name="BLPH1494" hidden="1">#REF!</definedName>
    <definedName name="BLPH1495" hidden="1">#REF!</definedName>
    <definedName name="BLPH1496" hidden="1">#REF!</definedName>
    <definedName name="BLPH1497" hidden="1">#REF!</definedName>
    <definedName name="BLPH1498" hidden="1">#REF!</definedName>
    <definedName name="BLPH1499" hidden="1">#REF!</definedName>
    <definedName name="BLPH15" hidden="1">#REF!</definedName>
    <definedName name="BLPH150" hidden="1">#REF!</definedName>
    <definedName name="BLPH1500" hidden="1">#REF!</definedName>
    <definedName name="BLPH1501" hidden="1">#REF!</definedName>
    <definedName name="BLPH1502" hidden="1">#REF!</definedName>
    <definedName name="BLPH1503" hidden="1">#REF!</definedName>
    <definedName name="BLPH1504" hidden="1">#REF!</definedName>
    <definedName name="BLPH1505" hidden="1">#REF!</definedName>
    <definedName name="BLPH1506" hidden="1">#REF!</definedName>
    <definedName name="BLPH1507" hidden="1">#REF!</definedName>
    <definedName name="BLPH1508" hidden="1">#REF!</definedName>
    <definedName name="BLPH1509" hidden="1">#REF!</definedName>
    <definedName name="BLPH151" hidden="1">#REF!</definedName>
    <definedName name="BLPH1510" hidden="1">#REF!</definedName>
    <definedName name="BLPH1511" hidden="1">#REF!</definedName>
    <definedName name="BLPH1512" hidden="1">#REF!</definedName>
    <definedName name="BLPH1513" hidden="1">#REF!</definedName>
    <definedName name="BLPH1514" hidden="1">#REF!</definedName>
    <definedName name="BLPH1515" hidden="1">#REF!</definedName>
    <definedName name="BLPH1516" hidden="1">#REF!</definedName>
    <definedName name="BLPH1517" hidden="1">#REF!</definedName>
    <definedName name="BLPH1518" hidden="1">#REF!</definedName>
    <definedName name="BLPH1519" hidden="1">#REF!</definedName>
    <definedName name="BLPH152" hidden="1">#REF!</definedName>
    <definedName name="BLPH1520" hidden="1">#REF!</definedName>
    <definedName name="BLPH1521" hidden="1">#REF!</definedName>
    <definedName name="BLPH1522" hidden="1">#REF!</definedName>
    <definedName name="BLPH1523" hidden="1">#REF!</definedName>
    <definedName name="BLPH1524" hidden="1">#REF!</definedName>
    <definedName name="BLPH1525" hidden="1">#REF!</definedName>
    <definedName name="BLPH1526" hidden="1">#REF!</definedName>
    <definedName name="BLPH1527" hidden="1">#REF!</definedName>
    <definedName name="BLPH1528" hidden="1">#REF!</definedName>
    <definedName name="BLPH1529" hidden="1">#REF!</definedName>
    <definedName name="BLPH153" hidden="1">#REF!</definedName>
    <definedName name="BLPH1530" hidden="1">#REF!</definedName>
    <definedName name="BLPH1531" hidden="1">#REF!</definedName>
    <definedName name="BLPH1532" hidden="1">#REF!</definedName>
    <definedName name="BLPH1533" hidden="1">#REF!</definedName>
    <definedName name="BLPH1534" hidden="1">#REF!</definedName>
    <definedName name="BLPH1535" hidden="1">#REF!</definedName>
    <definedName name="BLPH1536" hidden="1">#REF!</definedName>
    <definedName name="BLPH1537" hidden="1">#REF!</definedName>
    <definedName name="BLPH1538" hidden="1">#REF!</definedName>
    <definedName name="BLPH1539" hidden="1">#REF!</definedName>
    <definedName name="BLPH154" hidden="1">#REF!</definedName>
    <definedName name="BLPH1540" hidden="1">#REF!</definedName>
    <definedName name="BLPH1541" hidden="1">#REF!</definedName>
    <definedName name="BLPH1542" hidden="1">#REF!</definedName>
    <definedName name="BLPH1543" hidden="1">#REF!</definedName>
    <definedName name="BLPH1544" hidden="1">#REF!</definedName>
    <definedName name="BLPH1545" hidden="1">#REF!</definedName>
    <definedName name="BLPH1546" hidden="1">#REF!</definedName>
    <definedName name="BLPH1547" hidden="1">#REF!</definedName>
    <definedName name="BLPH1548" hidden="1">#REF!</definedName>
    <definedName name="BLPH1549" hidden="1">#REF!</definedName>
    <definedName name="BLPH155" hidden="1">#REF!</definedName>
    <definedName name="BLPH1550" hidden="1">#REF!</definedName>
    <definedName name="BLPH1551" hidden="1">#REF!</definedName>
    <definedName name="BLPH1552" hidden="1">#REF!</definedName>
    <definedName name="BLPH1553" hidden="1">#REF!</definedName>
    <definedName name="BLPH1554" hidden="1">#REF!</definedName>
    <definedName name="BLPH1555" hidden="1">#REF!</definedName>
    <definedName name="BLPH1556" hidden="1">#REF!</definedName>
    <definedName name="BLPH1557" hidden="1">#REF!</definedName>
    <definedName name="BLPH1558" hidden="1">#REF!</definedName>
    <definedName name="BLPH1559" hidden="1">#REF!</definedName>
    <definedName name="BLPH156" hidden="1">#REF!</definedName>
    <definedName name="BLPH1560" hidden="1">#REF!</definedName>
    <definedName name="BLPH1561" hidden="1">#REF!</definedName>
    <definedName name="BLPH1562" hidden="1">#REF!</definedName>
    <definedName name="BLPH1563" hidden="1">#REF!</definedName>
    <definedName name="BLPH1564" hidden="1">#REF!</definedName>
    <definedName name="BLPH1565" hidden="1">#REF!</definedName>
    <definedName name="BLPH1566" hidden="1">#REF!</definedName>
    <definedName name="BLPH1567" hidden="1">#REF!</definedName>
    <definedName name="BLPH1568" hidden="1">#REF!</definedName>
    <definedName name="BLPH1569" hidden="1">#REF!</definedName>
    <definedName name="BLPH1570" hidden="1">#REF!</definedName>
    <definedName name="BLPH1571" hidden="1">#REF!</definedName>
    <definedName name="BLPH1572" hidden="1">#REF!</definedName>
    <definedName name="BLPH1573" hidden="1">#REF!</definedName>
    <definedName name="BLPH1574" hidden="1">#REF!</definedName>
    <definedName name="BLPH1575" hidden="1">#REF!</definedName>
    <definedName name="BLPH1576" hidden="1">#REF!</definedName>
    <definedName name="BLPH1577" hidden="1">#REF!</definedName>
    <definedName name="BLPH1578" hidden="1">#REF!</definedName>
    <definedName name="BLPH1579" hidden="1">#REF!</definedName>
    <definedName name="BLPH1580" hidden="1">#REF!</definedName>
    <definedName name="BLPH1581" hidden="1">#REF!</definedName>
    <definedName name="BLPH1582" hidden="1">#REF!</definedName>
    <definedName name="BLPH1583" hidden="1">#REF!</definedName>
    <definedName name="BLPH1584" hidden="1">#REF!</definedName>
    <definedName name="BLPH1585" hidden="1">#REF!</definedName>
    <definedName name="BLPH1586" hidden="1">#REF!</definedName>
    <definedName name="BLPH1587" hidden="1">#REF!</definedName>
    <definedName name="BLPH1588" hidden="1">#REF!</definedName>
    <definedName name="BLPH1589" hidden="1">#REF!</definedName>
    <definedName name="BLPH1590" hidden="1">#REF!</definedName>
    <definedName name="BLPH1591" hidden="1">#REF!</definedName>
    <definedName name="BLPH1592" hidden="1">#REF!</definedName>
    <definedName name="BLPH1593" hidden="1">#REF!</definedName>
    <definedName name="BLPH1594" hidden="1">#REF!</definedName>
    <definedName name="BLPH1595" hidden="1">#REF!</definedName>
    <definedName name="BLPH1596" hidden="1">#REF!</definedName>
    <definedName name="BLPH1597" hidden="1">#REF!</definedName>
    <definedName name="BLPH1598" hidden="1">#REF!</definedName>
    <definedName name="BLPH1599" hidden="1">#REF!</definedName>
    <definedName name="BLPH16" hidden="1">#REF!</definedName>
    <definedName name="BLPH1600" hidden="1">#REF!</definedName>
    <definedName name="BLPH1601" hidden="1">#REF!</definedName>
    <definedName name="BLPH1602" hidden="1">#REF!</definedName>
    <definedName name="BLPH1603" hidden="1">#REF!</definedName>
    <definedName name="BLPH1604" hidden="1">#REF!</definedName>
    <definedName name="BLPH1605" hidden="1">#REF!</definedName>
    <definedName name="BLPH1606" hidden="1">#REF!</definedName>
    <definedName name="BLPH1607" hidden="1">#REF!</definedName>
    <definedName name="BLPH1608" hidden="1">#REF!</definedName>
    <definedName name="BLPH1609" hidden="1">#REF!</definedName>
    <definedName name="BLPH1610" hidden="1">#REF!</definedName>
    <definedName name="BLPH1611" hidden="1">#REF!</definedName>
    <definedName name="BLPH1612" hidden="1">#REF!</definedName>
    <definedName name="BLPH1613" hidden="1">#REF!</definedName>
    <definedName name="BLPH1614" hidden="1">#REF!</definedName>
    <definedName name="BLPH1615" hidden="1">#REF!</definedName>
    <definedName name="BLPH1616" hidden="1">#REF!</definedName>
    <definedName name="BLPH1617" hidden="1">#REF!</definedName>
    <definedName name="BLPH1618" hidden="1">#REF!</definedName>
    <definedName name="BLPH1619" hidden="1">#REF!</definedName>
    <definedName name="BLPH1620" hidden="1">#REF!</definedName>
    <definedName name="BLPH1621" hidden="1">#REF!</definedName>
    <definedName name="BLPH1622" hidden="1">#REF!</definedName>
    <definedName name="BLPH1623" hidden="1">#REF!</definedName>
    <definedName name="BLPH1624" hidden="1">#REF!</definedName>
    <definedName name="BLPH1625" hidden="1">#REF!</definedName>
    <definedName name="BLPH1626" hidden="1">#REF!</definedName>
    <definedName name="BLPH1627" hidden="1">#REF!</definedName>
    <definedName name="BLPH1628" hidden="1">#REF!</definedName>
    <definedName name="BLPH1629" hidden="1">#REF!</definedName>
    <definedName name="BLPH1630" hidden="1">#REF!</definedName>
    <definedName name="BLPH1631" hidden="1">#REF!</definedName>
    <definedName name="BLPH1632" hidden="1">#REF!</definedName>
    <definedName name="BLPH1633" hidden="1">#REF!</definedName>
    <definedName name="BLPH1634" hidden="1">#REF!</definedName>
    <definedName name="BLPH1635" hidden="1">#REF!</definedName>
    <definedName name="BLPH1636" hidden="1">#REF!</definedName>
    <definedName name="BLPH1637" hidden="1">#REF!</definedName>
    <definedName name="BLPH1638" hidden="1">#REF!</definedName>
    <definedName name="BLPH1639" hidden="1">#REF!</definedName>
    <definedName name="BLPH1640" hidden="1">#REF!</definedName>
    <definedName name="BLPH1641" hidden="1">#REF!</definedName>
    <definedName name="BLPH1642" hidden="1">#REF!</definedName>
    <definedName name="BLPH1643" hidden="1">#REF!</definedName>
    <definedName name="BLPH1644" hidden="1">#REF!</definedName>
    <definedName name="BLPH1645" hidden="1">#REF!</definedName>
    <definedName name="BLPH1646" hidden="1">#REF!</definedName>
    <definedName name="BLPH1647" hidden="1">#REF!</definedName>
    <definedName name="BLPH1648" hidden="1">#REF!</definedName>
    <definedName name="BLPH1649" hidden="1">#REF!</definedName>
    <definedName name="BLPH1650" hidden="1">#REF!</definedName>
    <definedName name="BLPH1651" hidden="1">#REF!</definedName>
    <definedName name="BLPH1652" hidden="1">#REF!</definedName>
    <definedName name="BLPH1653" hidden="1">#REF!</definedName>
    <definedName name="BLPH1654" hidden="1">#REF!</definedName>
    <definedName name="BLPH1655" hidden="1">#REF!</definedName>
    <definedName name="BLPH1656" hidden="1">#REF!</definedName>
    <definedName name="BLPH1657" hidden="1">#REF!</definedName>
    <definedName name="BLPH1658" hidden="1">#REF!</definedName>
    <definedName name="BLPH1659" hidden="1">#REF!</definedName>
    <definedName name="BLPH1660" hidden="1">#REF!</definedName>
    <definedName name="BLPH1661" hidden="1">#REF!</definedName>
    <definedName name="BLPH1662" hidden="1">#REF!</definedName>
    <definedName name="BLPH1663" hidden="1">#REF!</definedName>
    <definedName name="BLPH1664" hidden="1">#REF!</definedName>
    <definedName name="BLPH1665" hidden="1">#REF!</definedName>
    <definedName name="BLPH1666" hidden="1">#REF!</definedName>
    <definedName name="BLPH1667" hidden="1">#REF!</definedName>
    <definedName name="BLPH1668" hidden="1">#REF!</definedName>
    <definedName name="BLPH1669" hidden="1">#REF!</definedName>
    <definedName name="BLPH1670" hidden="1">#REF!</definedName>
    <definedName name="BLPH1671" hidden="1">#REF!</definedName>
    <definedName name="BLPH1672" hidden="1">#REF!</definedName>
    <definedName name="BLPH1673" hidden="1">#REF!</definedName>
    <definedName name="BLPH1674" hidden="1">#REF!</definedName>
    <definedName name="BLPH1675" hidden="1">#REF!</definedName>
    <definedName name="BLPH1676" hidden="1">#REF!</definedName>
    <definedName name="BLPH1677" hidden="1">#REF!</definedName>
    <definedName name="BLPH1678" hidden="1">#REF!</definedName>
    <definedName name="BLPH1679" hidden="1">#REF!</definedName>
    <definedName name="BLPH1680" hidden="1">#REF!</definedName>
    <definedName name="BLPH1681" hidden="1">#REF!</definedName>
    <definedName name="BLPH1682" hidden="1">#REF!</definedName>
    <definedName name="BLPH1683" hidden="1">#REF!</definedName>
    <definedName name="BLPH1684" hidden="1">#REF!</definedName>
    <definedName name="BLPH1685" hidden="1">#REF!</definedName>
    <definedName name="BLPH1686" hidden="1">#REF!</definedName>
    <definedName name="BLPH1687" hidden="1">#REF!</definedName>
    <definedName name="BLPH1688" hidden="1">#REF!</definedName>
    <definedName name="BLPH1689" hidden="1">#REF!</definedName>
    <definedName name="BLPH1690" hidden="1">#REF!</definedName>
    <definedName name="BLPH1691" hidden="1">#REF!</definedName>
    <definedName name="BLPH1692" hidden="1">#REF!</definedName>
    <definedName name="BLPH1693" hidden="1">#REF!</definedName>
    <definedName name="BLPH1694" hidden="1">#REF!</definedName>
    <definedName name="BLPH1695" hidden="1">#REF!</definedName>
    <definedName name="BLPH1696" hidden="1">#REF!</definedName>
    <definedName name="BLPH1697" hidden="1">#REF!</definedName>
    <definedName name="BLPH1698" hidden="1">#REF!</definedName>
    <definedName name="BLPH1699" hidden="1">#REF!</definedName>
    <definedName name="BLPH17" hidden="1">#REF!</definedName>
    <definedName name="BLPH1700" hidden="1">#REF!</definedName>
    <definedName name="BLPH1701" hidden="1">#REF!</definedName>
    <definedName name="BLPH1702" hidden="1">#REF!</definedName>
    <definedName name="BLPH1703" hidden="1">#REF!</definedName>
    <definedName name="BLPH1704" hidden="1">#REF!</definedName>
    <definedName name="BLPH1705" hidden="1">#REF!</definedName>
    <definedName name="BLPH1706" hidden="1">#REF!</definedName>
    <definedName name="BLPH1707" hidden="1">#REF!</definedName>
    <definedName name="BLPH1708" hidden="1">#REF!</definedName>
    <definedName name="BLPH1709" hidden="1">#REF!</definedName>
    <definedName name="BLPH1710" hidden="1">#REF!</definedName>
    <definedName name="BLPH1711" hidden="1">#REF!</definedName>
    <definedName name="BLPH1712" hidden="1">#REF!</definedName>
    <definedName name="BLPH1713" hidden="1">#REF!</definedName>
    <definedName name="BLPH1714" hidden="1">#REF!</definedName>
    <definedName name="BLPH1715" hidden="1">#REF!</definedName>
    <definedName name="BLPH1716" hidden="1">#REF!</definedName>
    <definedName name="BLPH1717" hidden="1">#REF!</definedName>
    <definedName name="BLPH1718" hidden="1">#REF!</definedName>
    <definedName name="BLPH1719" hidden="1">#REF!</definedName>
    <definedName name="BLPH1720" hidden="1">#REF!</definedName>
    <definedName name="BLPH1721" hidden="1">#REF!</definedName>
    <definedName name="BLPH1722" hidden="1">#REF!</definedName>
    <definedName name="BLPH1723" hidden="1">#REF!</definedName>
    <definedName name="BLPH1724" hidden="1">#REF!</definedName>
    <definedName name="BLPH1725" hidden="1">#REF!</definedName>
    <definedName name="BLPH1726" hidden="1">#REF!</definedName>
    <definedName name="BLPH1727" hidden="1">#REF!</definedName>
    <definedName name="BLPH1728" hidden="1">#REF!</definedName>
    <definedName name="BLPH1729" hidden="1">#REF!</definedName>
    <definedName name="BLPH1730" hidden="1">#REF!</definedName>
    <definedName name="BLPH1731" hidden="1">#REF!</definedName>
    <definedName name="BLPH1732" hidden="1">#REF!</definedName>
    <definedName name="BLPH1733" hidden="1">#REF!</definedName>
    <definedName name="BLPH1734" hidden="1">#REF!</definedName>
    <definedName name="BLPH1735" hidden="1">#REF!</definedName>
    <definedName name="BLPH1736" hidden="1">#REF!</definedName>
    <definedName name="BLPH1737" hidden="1">#REF!</definedName>
    <definedName name="BLPH1738" hidden="1">#REF!</definedName>
    <definedName name="BLPH1739" hidden="1">#REF!</definedName>
    <definedName name="BLPH1740" hidden="1">#REF!</definedName>
    <definedName name="BLPH1741" hidden="1">#REF!</definedName>
    <definedName name="BLPH1742" hidden="1">#REF!</definedName>
    <definedName name="BLPH1743" hidden="1">#REF!</definedName>
    <definedName name="BLPH1744" hidden="1">#REF!</definedName>
    <definedName name="BLPH1745" hidden="1">#REF!</definedName>
    <definedName name="BLPH1746" hidden="1">#REF!</definedName>
    <definedName name="BLPH1747" hidden="1">#REF!</definedName>
    <definedName name="BLPH1748" hidden="1">#REF!</definedName>
    <definedName name="BLPH1749" hidden="1">#REF!</definedName>
    <definedName name="BLPH1750" hidden="1">#REF!</definedName>
    <definedName name="BLPH1751" hidden="1">#REF!</definedName>
    <definedName name="BLPH1752" hidden="1">#REF!</definedName>
    <definedName name="BLPH1753" hidden="1">#REF!</definedName>
    <definedName name="BLPH1754" hidden="1">#REF!</definedName>
    <definedName name="BLPH1755" hidden="1">#REF!</definedName>
    <definedName name="BLPH1756" hidden="1">#REF!</definedName>
    <definedName name="BLPH1757" hidden="1">#REF!</definedName>
    <definedName name="BLPH1758" hidden="1">#REF!</definedName>
    <definedName name="BLPH1759" hidden="1">#REF!</definedName>
    <definedName name="BLPH1760" hidden="1">#REF!</definedName>
    <definedName name="BLPH1761" hidden="1">#REF!</definedName>
    <definedName name="BLPH1762" hidden="1">#REF!</definedName>
    <definedName name="BLPH1763" hidden="1">#REF!</definedName>
    <definedName name="BLPH1764" hidden="1">#REF!</definedName>
    <definedName name="BLPH1765" hidden="1">#REF!</definedName>
    <definedName name="BLPH1766" hidden="1">#REF!</definedName>
    <definedName name="BLPH1767" hidden="1">#REF!</definedName>
    <definedName name="BLPH1768" hidden="1">#REF!</definedName>
    <definedName name="BLPH1769" hidden="1">#REF!</definedName>
    <definedName name="BLPH1770" hidden="1">#REF!</definedName>
    <definedName name="BLPH1771" hidden="1">#REF!</definedName>
    <definedName name="BLPH1772" hidden="1">#REF!</definedName>
    <definedName name="BLPH1773" hidden="1">#REF!</definedName>
    <definedName name="BLPH1774" hidden="1">#REF!</definedName>
    <definedName name="BLPH1775" hidden="1">#REF!</definedName>
    <definedName name="BLPH1776" hidden="1">#REF!</definedName>
    <definedName name="BLPH1777" hidden="1">#REF!</definedName>
    <definedName name="BLPH1778" hidden="1">#REF!</definedName>
    <definedName name="BLPH1779" hidden="1">#REF!</definedName>
    <definedName name="BLPH1780" hidden="1">#REF!</definedName>
    <definedName name="BLPH1781" hidden="1">#REF!</definedName>
    <definedName name="BLPH1782" hidden="1">#REF!</definedName>
    <definedName name="BLPH1783" hidden="1">#REF!</definedName>
    <definedName name="BLPH1784" hidden="1">#REF!</definedName>
    <definedName name="BLPH1785" hidden="1">#REF!</definedName>
    <definedName name="BLPH1786" hidden="1">#REF!</definedName>
    <definedName name="BLPH1787" hidden="1">#REF!</definedName>
    <definedName name="BLPH1788" hidden="1">#REF!</definedName>
    <definedName name="BLPH1789" hidden="1">#REF!</definedName>
    <definedName name="BLPH1790" hidden="1">#REF!</definedName>
    <definedName name="BLPH1791" hidden="1">#REF!</definedName>
    <definedName name="BLPH1792" hidden="1">#REF!</definedName>
    <definedName name="BLPH1793" hidden="1">#REF!</definedName>
    <definedName name="BLPH1794" hidden="1">#REF!</definedName>
    <definedName name="BLPH1795" hidden="1">#REF!</definedName>
    <definedName name="BLPH1796" hidden="1">#REF!</definedName>
    <definedName name="BLPH1797" hidden="1">#REF!</definedName>
    <definedName name="BLPH1798" hidden="1">#REF!</definedName>
    <definedName name="BLPH1799" hidden="1">#REF!</definedName>
    <definedName name="BLPH18" hidden="1">#REF!</definedName>
    <definedName name="BLPH1800" hidden="1">#REF!</definedName>
    <definedName name="BLPH1801" hidden="1">#REF!</definedName>
    <definedName name="BLPH1802" hidden="1">#REF!</definedName>
    <definedName name="BLPH1803" hidden="1">#REF!</definedName>
    <definedName name="BLPH1804" hidden="1">#REF!</definedName>
    <definedName name="BLPH1805" hidden="1">#REF!</definedName>
    <definedName name="BLPH1806" hidden="1">#REF!</definedName>
    <definedName name="BLPH1807" hidden="1">#REF!</definedName>
    <definedName name="BLPH1808" hidden="1">#REF!</definedName>
    <definedName name="BLPH1809" hidden="1">#REF!</definedName>
    <definedName name="BLPH1810" hidden="1">#REF!</definedName>
    <definedName name="BLPH1811" hidden="1">#REF!</definedName>
    <definedName name="BLPH1812" hidden="1">#REF!</definedName>
    <definedName name="BLPH1813" hidden="1">#REF!</definedName>
    <definedName name="BLPH1814" hidden="1">#REF!</definedName>
    <definedName name="BLPH1815" hidden="1">#REF!</definedName>
    <definedName name="BLPH1816" hidden="1">#REF!</definedName>
    <definedName name="BLPH1817" hidden="1">#REF!</definedName>
    <definedName name="BLPH1818" hidden="1">#REF!</definedName>
    <definedName name="BLPH1819" hidden="1">#REF!</definedName>
    <definedName name="BLPH1820" hidden="1">#REF!</definedName>
    <definedName name="BLPH1821" hidden="1">#REF!</definedName>
    <definedName name="BLPH1822" hidden="1">#REF!</definedName>
    <definedName name="BLPH1823" hidden="1">#REF!</definedName>
    <definedName name="BLPH1824" hidden="1">#REF!</definedName>
    <definedName name="BLPH1825" hidden="1">#REF!</definedName>
    <definedName name="BLPH1826" hidden="1">#REF!</definedName>
    <definedName name="BLPH1827" hidden="1">#REF!</definedName>
    <definedName name="BLPH1828" hidden="1">#REF!</definedName>
    <definedName name="BLPH1829" hidden="1">#REF!</definedName>
    <definedName name="BLPH1830" hidden="1">#REF!</definedName>
    <definedName name="BLPH1831" hidden="1">#REF!</definedName>
    <definedName name="BLPH1832" hidden="1">#REF!</definedName>
    <definedName name="BLPH1833" hidden="1">#REF!</definedName>
    <definedName name="BLPH1834" hidden="1">#REF!</definedName>
    <definedName name="BLPH1835" hidden="1">#REF!</definedName>
    <definedName name="BLPH1836" hidden="1">#REF!</definedName>
    <definedName name="BLPH1837" hidden="1">#REF!</definedName>
    <definedName name="BLPH1838" hidden="1">#REF!</definedName>
    <definedName name="BLPH1839" hidden="1">#REF!</definedName>
    <definedName name="BLPH1840" hidden="1">#REF!</definedName>
    <definedName name="BLPH1841" hidden="1">#REF!</definedName>
    <definedName name="BLPH1842" hidden="1">#REF!</definedName>
    <definedName name="BLPH1843" hidden="1">#REF!</definedName>
    <definedName name="BLPH1844" hidden="1">#REF!</definedName>
    <definedName name="BLPH1845" hidden="1">#REF!</definedName>
    <definedName name="BLPH1846" hidden="1">#REF!</definedName>
    <definedName name="BLPH1847" hidden="1">#REF!</definedName>
    <definedName name="BLPH1848" hidden="1">#REF!</definedName>
    <definedName name="BLPH1849" hidden="1">#REF!</definedName>
    <definedName name="BLPH1850" hidden="1">#REF!</definedName>
    <definedName name="BLPH1851" hidden="1">#REF!</definedName>
    <definedName name="BLPH1852" hidden="1">#REF!</definedName>
    <definedName name="BLPH1853" hidden="1">#REF!</definedName>
    <definedName name="BLPH1854" hidden="1">#REF!</definedName>
    <definedName name="BLPH1855" hidden="1">#REF!</definedName>
    <definedName name="BLPH1856" hidden="1">#REF!</definedName>
    <definedName name="BLPH1857" hidden="1">#REF!</definedName>
    <definedName name="BLPH1858" hidden="1">#REF!</definedName>
    <definedName name="BLPH1859" hidden="1">#REF!</definedName>
    <definedName name="BLPH1860" hidden="1">#REF!</definedName>
    <definedName name="BLPH1861" hidden="1">#REF!</definedName>
    <definedName name="BLPH1862" hidden="1">#REF!</definedName>
    <definedName name="BLPH1863" hidden="1">#REF!</definedName>
    <definedName name="BLPH1864" hidden="1">#REF!</definedName>
    <definedName name="BLPH1865" hidden="1">#REF!</definedName>
    <definedName name="BLPH1866" hidden="1">#REF!</definedName>
    <definedName name="BLPH1867" hidden="1">#REF!</definedName>
    <definedName name="BLPH1868" hidden="1">#REF!</definedName>
    <definedName name="BLPH1869" hidden="1">#REF!</definedName>
    <definedName name="BLPH1870" hidden="1">#REF!</definedName>
    <definedName name="BLPH1871" hidden="1">#REF!</definedName>
    <definedName name="BLPH1872" hidden="1">#REF!</definedName>
    <definedName name="BLPH1873" hidden="1">#REF!</definedName>
    <definedName name="BLPH1874" hidden="1">#REF!</definedName>
    <definedName name="BLPH1875" hidden="1">#REF!</definedName>
    <definedName name="BLPH1876" hidden="1">#REF!</definedName>
    <definedName name="BLPH1877" hidden="1">#REF!</definedName>
    <definedName name="BLPH1878" hidden="1">#REF!</definedName>
    <definedName name="BLPH1879" hidden="1">#REF!</definedName>
    <definedName name="BLPH1880" hidden="1">#REF!</definedName>
    <definedName name="BLPH1881" hidden="1">#REF!</definedName>
    <definedName name="BLPH1882" hidden="1">#REF!</definedName>
    <definedName name="BLPH1883" hidden="1">#REF!</definedName>
    <definedName name="BLPH1884" hidden="1">#REF!</definedName>
    <definedName name="BLPH1885" hidden="1">#REF!</definedName>
    <definedName name="BLPH1886" hidden="1">#REF!</definedName>
    <definedName name="BLPH1887" hidden="1">#REF!</definedName>
    <definedName name="BLPH1888" hidden="1">#REF!</definedName>
    <definedName name="BLPH1889" hidden="1">#REF!</definedName>
    <definedName name="BLPH1890" hidden="1">#REF!</definedName>
    <definedName name="BLPH1891" hidden="1">#REF!</definedName>
    <definedName name="BLPH1892" hidden="1">#REF!</definedName>
    <definedName name="BLPH1893" hidden="1">#REF!</definedName>
    <definedName name="BLPH1894" hidden="1">#REF!</definedName>
    <definedName name="BLPH1895" hidden="1">#REF!</definedName>
    <definedName name="BLPH1896" hidden="1">#REF!</definedName>
    <definedName name="BLPH1897" hidden="1">#REF!</definedName>
    <definedName name="BLPH1898" hidden="1">#REF!</definedName>
    <definedName name="BLPH1899" hidden="1">#REF!</definedName>
    <definedName name="BLPH19" hidden="1">#REF!</definedName>
    <definedName name="BLPH1900" hidden="1">#REF!</definedName>
    <definedName name="BLPH1901" hidden="1">#REF!</definedName>
    <definedName name="BLPH1902" hidden="1">#REF!</definedName>
    <definedName name="BLPH1903" hidden="1">#REF!</definedName>
    <definedName name="BLPH1904" hidden="1">#REF!</definedName>
    <definedName name="BLPH1905" hidden="1">#REF!</definedName>
    <definedName name="BLPH1906" hidden="1">#REF!</definedName>
    <definedName name="BLPH1907" hidden="1">#REF!</definedName>
    <definedName name="BLPH1908" hidden="1">#REF!</definedName>
    <definedName name="BLPH1909" hidden="1">#REF!</definedName>
    <definedName name="BLPH1910" hidden="1">#REF!</definedName>
    <definedName name="BLPH1911" hidden="1">#REF!</definedName>
    <definedName name="BLPH1912" hidden="1">#REF!</definedName>
    <definedName name="BLPH1913" hidden="1">#REF!</definedName>
    <definedName name="BLPH1914" hidden="1">#REF!</definedName>
    <definedName name="BLPH1915" hidden="1">#REF!</definedName>
    <definedName name="BLPH1916" hidden="1">#REF!</definedName>
    <definedName name="BLPH1917" hidden="1">#REF!</definedName>
    <definedName name="BLPH1918" hidden="1">#REF!</definedName>
    <definedName name="BLPH1919" hidden="1">#REF!</definedName>
    <definedName name="BLPH1920" hidden="1">#REF!</definedName>
    <definedName name="BLPH1921" hidden="1">#REF!</definedName>
    <definedName name="BLPH1922" hidden="1">#REF!</definedName>
    <definedName name="BLPH1923" hidden="1">#REF!</definedName>
    <definedName name="BLPH1924" hidden="1">#REF!</definedName>
    <definedName name="BLPH1925" hidden="1">#REF!</definedName>
    <definedName name="BLPH1926" hidden="1">#REF!</definedName>
    <definedName name="BLPH1927" hidden="1">#REF!</definedName>
    <definedName name="BLPH1928" hidden="1">#REF!</definedName>
    <definedName name="BLPH1929" hidden="1">#REF!</definedName>
    <definedName name="BLPH1930" hidden="1">#REF!</definedName>
    <definedName name="BLPH1931" hidden="1">#REF!</definedName>
    <definedName name="BLPH1932" hidden="1">#REF!</definedName>
    <definedName name="BLPH1933" hidden="1">#REF!</definedName>
    <definedName name="BLPH1934" hidden="1">#REF!</definedName>
    <definedName name="BLPH1935" hidden="1">#REF!</definedName>
    <definedName name="BLPH1936" hidden="1">#REF!</definedName>
    <definedName name="BLPH1937" hidden="1">#REF!</definedName>
    <definedName name="BLPH1938" hidden="1">#REF!</definedName>
    <definedName name="BLPH1939" hidden="1">#REF!</definedName>
    <definedName name="BLPH1940" hidden="1">#REF!</definedName>
    <definedName name="BLPH1941" hidden="1">#REF!</definedName>
    <definedName name="BLPH1942" hidden="1">#REF!</definedName>
    <definedName name="BLPH1943" hidden="1">#REF!</definedName>
    <definedName name="BLPH1944" hidden="1">#REF!</definedName>
    <definedName name="BLPH1945" hidden="1">#REF!</definedName>
    <definedName name="BLPH1946" hidden="1">#REF!</definedName>
    <definedName name="BLPH1947" hidden="1">#REF!</definedName>
    <definedName name="BLPH1948" hidden="1">#REF!</definedName>
    <definedName name="BLPH1949" hidden="1">#REF!</definedName>
    <definedName name="BLPH1950" hidden="1">#REF!</definedName>
    <definedName name="BLPH1951" hidden="1">#REF!</definedName>
    <definedName name="BLPH1952" hidden="1">#REF!</definedName>
    <definedName name="BLPH1953" hidden="1">#REF!</definedName>
    <definedName name="BLPH1954" hidden="1">#REF!</definedName>
    <definedName name="BLPH1955" hidden="1">#REF!</definedName>
    <definedName name="BLPH1956" hidden="1">#REF!</definedName>
    <definedName name="BLPH1957" hidden="1">#REF!</definedName>
    <definedName name="BLPH1958" hidden="1">#REF!</definedName>
    <definedName name="BLPH1959" hidden="1">#REF!</definedName>
    <definedName name="BLPH1960" hidden="1">#REF!</definedName>
    <definedName name="BLPH1961" hidden="1">#REF!</definedName>
    <definedName name="BLPH1962" hidden="1">#REF!</definedName>
    <definedName name="BLPH1963" hidden="1">#REF!</definedName>
    <definedName name="BLPH1964" hidden="1">#REF!</definedName>
    <definedName name="BLPH1965" hidden="1">#REF!</definedName>
    <definedName name="BLPH1966" hidden="1">#REF!</definedName>
    <definedName name="BLPH1967" hidden="1">#REF!</definedName>
    <definedName name="BLPH1968" hidden="1">#REF!</definedName>
    <definedName name="BLPH1969" hidden="1">#REF!</definedName>
    <definedName name="BLPH1970" hidden="1">#REF!</definedName>
    <definedName name="BLPH1971" hidden="1">#REF!</definedName>
    <definedName name="BLPH1972" hidden="1">#REF!</definedName>
    <definedName name="BLPH1973" hidden="1">#REF!</definedName>
    <definedName name="BLPH1974" hidden="1">#REF!</definedName>
    <definedName name="BLPH1975" hidden="1">#REF!</definedName>
    <definedName name="BLPH1976" hidden="1">#REF!</definedName>
    <definedName name="BLPH1977" hidden="1">#REF!</definedName>
    <definedName name="BLPH1978" hidden="1">#REF!</definedName>
    <definedName name="BLPH1979" hidden="1">#REF!</definedName>
    <definedName name="BLPH1980" hidden="1">#REF!</definedName>
    <definedName name="BLPH1981" hidden="1">#REF!</definedName>
    <definedName name="BLPH1982" hidden="1">#REF!</definedName>
    <definedName name="BLPH1983" hidden="1">#REF!</definedName>
    <definedName name="BLPH1984" hidden="1">#REF!</definedName>
    <definedName name="BLPH1985" hidden="1">#REF!</definedName>
    <definedName name="BLPH1986" hidden="1">#REF!</definedName>
    <definedName name="BLPH1987" hidden="1">#REF!</definedName>
    <definedName name="BLPH1988" hidden="1">#REF!</definedName>
    <definedName name="BLPH1989" hidden="1">#REF!</definedName>
    <definedName name="BLPH1990" hidden="1">#REF!</definedName>
    <definedName name="BLPH1991" hidden="1">#REF!</definedName>
    <definedName name="BLPH1992" hidden="1">#REF!</definedName>
    <definedName name="BLPH1993" hidden="1">#REF!</definedName>
    <definedName name="BLPH1994" hidden="1">#REF!</definedName>
    <definedName name="BLPH1995" hidden="1">#REF!</definedName>
    <definedName name="BLPH1996" hidden="1">#REF!</definedName>
    <definedName name="BLPH1997" hidden="1">#REF!</definedName>
    <definedName name="BLPH1998" hidden="1">#REF!</definedName>
    <definedName name="BLPH1999" hidden="1">#REF!</definedName>
    <definedName name="BLPH2" hidden="1">#REF!</definedName>
    <definedName name="BLPH20" hidden="1">#REF!</definedName>
    <definedName name="BLPH2000" hidden="1">#REF!</definedName>
    <definedName name="BLPH2000000001" hidden="1">#REF!</definedName>
    <definedName name="BLPH2000000002" hidden="1">#REF!</definedName>
    <definedName name="BLPH2000000003" hidden="1">#REF!</definedName>
    <definedName name="BLPH2000000004" hidden="1">#REF!</definedName>
    <definedName name="BLPH2000000005" hidden="1">#REF!</definedName>
    <definedName name="BLPH2000000006" hidden="1">#REF!</definedName>
    <definedName name="BLPH2000000007" hidden="1">#REF!</definedName>
    <definedName name="BLPH2000000008" hidden="1">#REF!</definedName>
    <definedName name="BLPH2000000009" hidden="1">#REF!</definedName>
    <definedName name="BLPH2000000010" hidden="1">#REF!</definedName>
    <definedName name="BLPH2000000011" hidden="1">#REF!</definedName>
    <definedName name="BLPH2000000012" hidden="1">#REF!</definedName>
    <definedName name="BLPH2000000013" hidden="1">#REF!</definedName>
    <definedName name="BLPH2000000014" hidden="1">#REF!</definedName>
    <definedName name="BLPH2000000015" hidden="1">#REF!</definedName>
    <definedName name="BLPH2000000016" hidden="1">#REF!</definedName>
    <definedName name="BLPH2000000017" hidden="1">#REF!</definedName>
    <definedName name="BLPH2000000018" hidden="1">#REF!</definedName>
    <definedName name="BLPH2000000019" hidden="1">#REF!</definedName>
    <definedName name="BLPH2000000020" hidden="1">#REF!</definedName>
    <definedName name="BLPH2000000021" hidden="1">#REF!</definedName>
    <definedName name="BLPH2000000022" hidden="1">#REF!</definedName>
    <definedName name="BLPH2000000023" hidden="1">#REF!</definedName>
    <definedName name="BLPH2000000024" hidden="1">#REF!</definedName>
    <definedName name="BLPH2000000025" hidden="1">#REF!</definedName>
    <definedName name="BLPH2000000026" hidden="1">#REF!</definedName>
    <definedName name="BLPH2000000027" hidden="1">#REF!</definedName>
    <definedName name="BLPH2000000028" hidden="1">#REF!</definedName>
    <definedName name="BLPH2000000029" hidden="1">#REF!</definedName>
    <definedName name="BLPH2000000030" hidden="1">#REF!</definedName>
    <definedName name="BLPH2000000031" hidden="1">#REF!</definedName>
    <definedName name="BLPH2000000032" hidden="1">#REF!</definedName>
    <definedName name="BLPH2000000033" hidden="1">#REF!</definedName>
    <definedName name="BLPH2000000034" hidden="1">#REF!</definedName>
    <definedName name="BLPH2000000035" hidden="1">#REF!</definedName>
    <definedName name="BLPH2000000036" hidden="1">#REF!</definedName>
    <definedName name="BLPH2000000037" hidden="1">#REF!</definedName>
    <definedName name="BLPH2000000038" hidden="1">#REF!</definedName>
    <definedName name="BLPH2000000039" hidden="1">#REF!</definedName>
    <definedName name="BLPH2000000040" hidden="1">#REF!</definedName>
    <definedName name="BLPH2000000041" hidden="1">#REF!</definedName>
    <definedName name="BLPH2000000042" hidden="1">#REF!</definedName>
    <definedName name="BLPH2000000043" hidden="1">#REF!</definedName>
    <definedName name="BLPH2000000044" hidden="1">#REF!</definedName>
    <definedName name="BLPH2000000045" hidden="1">#REF!</definedName>
    <definedName name="BLPH2000000046" hidden="1">#REF!</definedName>
    <definedName name="BLPH2000000047" hidden="1">#REF!</definedName>
    <definedName name="BLPH2000000048" hidden="1">#REF!</definedName>
    <definedName name="BLPH2000000049" hidden="1">#REF!</definedName>
    <definedName name="BLPH2000000050" hidden="1">#REF!</definedName>
    <definedName name="BLPH2000000051" hidden="1">#REF!</definedName>
    <definedName name="BLPH2000000052" hidden="1">#REF!</definedName>
    <definedName name="BLPH2000000053" hidden="1">#REF!</definedName>
    <definedName name="BLPH2000000054" hidden="1">#REF!</definedName>
    <definedName name="BLPH2000000055" hidden="1">#REF!</definedName>
    <definedName name="BLPH2000000056" hidden="1">#REF!</definedName>
    <definedName name="BLPH2000000057" hidden="1">#REF!</definedName>
    <definedName name="BLPH2000000058" hidden="1">#REF!</definedName>
    <definedName name="BLPH2000000059" hidden="1">#REF!</definedName>
    <definedName name="BLPH2000000060" hidden="1">#REF!</definedName>
    <definedName name="BLPH2000000061" hidden="1">#REF!</definedName>
    <definedName name="BLPH2000000062" hidden="1">#REF!</definedName>
    <definedName name="BLPH2000000063" hidden="1">#REF!</definedName>
    <definedName name="BLPH2000000064" hidden="1">#REF!</definedName>
    <definedName name="BLPH2000000065" hidden="1">#REF!</definedName>
    <definedName name="BLPH2000000066" hidden="1">#REF!</definedName>
    <definedName name="BLPH2000000067" hidden="1">#REF!</definedName>
    <definedName name="BLPH2000000068" hidden="1">#REF!</definedName>
    <definedName name="BLPH2000000069" hidden="1">#REF!</definedName>
    <definedName name="BLPH2000000070" hidden="1">#REF!</definedName>
    <definedName name="BLPH2000000071" hidden="1">#REF!</definedName>
    <definedName name="BLPH2000000072" hidden="1">#REF!</definedName>
    <definedName name="BLPH2000000073" hidden="1">#REF!</definedName>
    <definedName name="BLPH2000000074" hidden="1">#REF!</definedName>
    <definedName name="BLPH2000000075" hidden="1">#REF!</definedName>
    <definedName name="BLPH2000000076" hidden="1">#REF!</definedName>
    <definedName name="BLPH2000000077" hidden="1">#REF!</definedName>
    <definedName name="BLPH2000000078" hidden="1">#REF!</definedName>
    <definedName name="BLPH2000000079" hidden="1">#REF!</definedName>
    <definedName name="BLPH2000000080" hidden="1">#REF!</definedName>
    <definedName name="BLPH2000000081" hidden="1">#REF!</definedName>
    <definedName name="BLPH2000000082" hidden="1">#REF!</definedName>
    <definedName name="BLPH2000000083" hidden="1">#REF!</definedName>
    <definedName name="BLPH2000000084" hidden="1">#REF!</definedName>
    <definedName name="BLPH2000000085" hidden="1">#REF!</definedName>
    <definedName name="BLPH2000000086" hidden="1">#REF!</definedName>
    <definedName name="BLPH2000000087" hidden="1">#REF!</definedName>
    <definedName name="BLPH2000000088" hidden="1">#REF!</definedName>
    <definedName name="BLPH2000000089" hidden="1">#REF!</definedName>
    <definedName name="BLPH2000000090" hidden="1">#REF!</definedName>
    <definedName name="BLPH2000000091" hidden="1">#REF!</definedName>
    <definedName name="BLPH2000000092" hidden="1">#REF!</definedName>
    <definedName name="BLPH2000000093" hidden="1">#REF!</definedName>
    <definedName name="BLPH2000000094" hidden="1">#REF!</definedName>
    <definedName name="BLPH2000000095" hidden="1">#REF!</definedName>
    <definedName name="BLPH2000000096" hidden="1">#REF!</definedName>
    <definedName name="BLPH2000000097" hidden="1">#REF!</definedName>
    <definedName name="BLPH2000000098" hidden="1">#REF!</definedName>
    <definedName name="BLPH2000000099" hidden="1">#REF!</definedName>
    <definedName name="BLPH2000000100" hidden="1">#REF!</definedName>
    <definedName name="BLPH2000000101" hidden="1">#REF!</definedName>
    <definedName name="BLPH2000000102" hidden="1">#REF!</definedName>
    <definedName name="BLPH2000000103" hidden="1">#REF!</definedName>
    <definedName name="BLPH2000000104" hidden="1">#REF!</definedName>
    <definedName name="BLPH2000000105" hidden="1">#REF!</definedName>
    <definedName name="BLPH2000000106" hidden="1">#REF!</definedName>
    <definedName name="BLPH2000000107" hidden="1">#REF!</definedName>
    <definedName name="BLPH2000000108" hidden="1">#REF!</definedName>
    <definedName name="BLPH2000000109" hidden="1">#REF!</definedName>
    <definedName name="BLPH2000000110" hidden="1">#REF!</definedName>
    <definedName name="BLPH2000000111" hidden="1">#REF!</definedName>
    <definedName name="BLPH2000000112" hidden="1">#REF!</definedName>
    <definedName name="BLPH2000000113" hidden="1">#REF!</definedName>
    <definedName name="BLPH2000000114" hidden="1">#REF!</definedName>
    <definedName name="BLPH2000000115" hidden="1">#REF!</definedName>
    <definedName name="BLPH2000000116" hidden="1">#REF!</definedName>
    <definedName name="BLPH2000000117" hidden="1">#REF!</definedName>
    <definedName name="BLPH2000000118" hidden="1">#REF!</definedName>
    <definedName name="BLPH2000000119" hidden="1">#REF!</definedName>
    <definedName name="BLPH2000000120" hidden="1">#REF!</definedName>
    <definedName name="BLPH2000000121" hidden="1">#REF!</definedName>
    <definedName name="BLPH2000000122" hidden="1">#REF!</definedName>
    <definedName name="BLPH2000000123" hidden="1">#REF!</definedName>
    <definedName name="BLPH2000000124" hidden="1">#REF!</definedName>
    <definedName name="BLPH2000000125" hidden="1">#REF!</definedName>
    <definedName name="BLPH2000000126" hidden="1">#REF!</definedName>
    <definedName name="BLPH2000000127" hidden="1">#REF!</definedName>
    <definedName name="BLPH2000000128" hidden="1">#REF!</definedName>
    <definedName name="BLPH2000000129" hidden="1">#REF!</definedName>
    <definedName name="BLPH2000000130" hidden="1">#REF!</definedName>
    <definedName name="BLPH2000000131" hidden="1">#REF!</definedName>
    <definedName name="BLPH2000000132" hidden="1">#REF!</definedName>
    <definedName name="BLPH2000000133" hidden="1">#REF!</definedName>
    <definedName name="BLPH2000000134" hidden="1">#REF!</definedName>
    <definedName name="BLPH2000000135" hidden="1">#REF!</definedName>
    <definedName name="BLPH2000000136" hidden="1">#REF!</definedName>
    <definedName name="BLPH2000000137" hidden="1">#REF!</definedName>
    <definedName name="BLPH2000000138" hidden="1">#REF!</definedName>
    <definedName name="BLPH2000000139" hidden="1">#REF!</definedName>
    <definedName name="BLPH2000000140" hidden="1">#REF!</definedName>
    <definedName name="BLPH2000000141" hidden="1">#REF!</definedName>
    <definedName name="BLPH2000000142" hidden="1">#REF!</definedName>
    <definedName name="BLPH2000000143" hidden="1">#REF!</definedName>
    <definedName name="BLPH2000000144" hidden="1">#REF!</definedName>
    <definedName name="BLPH2000000145" hidden="1">#REF!</definedName>
    <definedName name="BLPH2000000146" hidden="1">#REF!</definedName>
    <definedName name="BLPH2000000147" hidden="1">#REF!</definedName>
    <definedName name="BLPH2000000148" hidden="1">#REF!</definedName>
    <definedName name="BLPH2000000149" hidden="1">#REF!</definedName>
    <definedName name="BLPH2000000150" hidden="1">#REF!</definedName>
    <definedName name="BLPH2000000151" hidden="1">#REF!</definedName>
    <definedName name="BLPH2000000152" hidden="1">#REF!</definedName>
    <definedName name="BLPH2000000153" hidden="1">#REF!</definedName>
    <definedName name="BLPH2000000154" hidden="1">#REF!</definedName>
    <definedName name="BLPH2000000155" hidden="1">#REF!</definedName>
    <definedName name="BLPH2000000156" hidden="1">#REF!</definedName>
    <definedName name="BLPH2000000157" hidden="1">#REF!</definedName>
    <definedName name="BLPH2000000158" hidden="1">#REF!</definedName>
    <definedName name="BLPH2000000159" hidden="1">#REF!</definedName>
    <definedName name="BLPH2000000160" hidden="1">#REF!</definedName>
    <definedName name="BLPH2000000161" hidden="1">#REF!</definedName>
    <definedName name="BLPH2000000162" hidden="1">#REF!</definedName>
    <definedName name="BLPH2000000163" hidden="1">#REF!</definedName>
    <definedName name="BLPH2000000164" hidden="1">#REF!</definedName>
    <definedName name="BLPH2000000165" hidden="1">#REF!</definedName>
    <definedName name="BLPH2000000166" hidden="1">#REF!</definedName>
    <definedName name="BLPH2000000167" hidden="1">#REF!</definedName>
    <definedName name="BLPH2000000168" hidden="1">#REF!</definedName>
    <definedName name="BLPH2000000169" hidden="1">#REF!</definedName>
    <definedName name="BLPH2000000170" hidden="1">#REF!</definedName>
    <definedName name="BLPH2000000171" hidden="1">#REF!</definedName>
    <definedName name="BLPH2000000172" hidden="1">#REF!</definedName>
    <definedName name="BLPH2000000173" hidden="1">#REF!</definedName>
    <definedName name="BLPH2000000174" hidden="1">#REF!</definedName>
    <definedName name="BLPH2000000175" hidden="1">#REF!</definedName>
    <definedName name="BLPH2000000176" hidden="1">#REF!</definedName>
    <definedName name="BLPH2000000177" hidden="1">#REF!</definedName>
    <definedName name="BLPH2000000178" hidden="1">#REF!</definedName>
    <definedName name="BLPH2000000179" hidden="1">#REF!</definedName>
    <definedName name="BLPH2000000180" hidden="1">#REF!</definedName>
    <definedName name="BLPH2000000181" hidden="1">#REF!</definedName>
    <definedName name="BLPH2000000182" hidden="1">#REF!</definedName>
    <definedName name="BLPH2000000183" hidden="1">#REF!</definedName>
    <definedName name="BLPH2000000184" hidden="1">#REF!</definedName>
    <definedName name="BLPH2000000185" hidden="1">#REF!</definedName>
    <definedName name="BLPH2000000186" hidden="1">#REF!</definedName>
    <definedName name="BLPH2000000187" hidden="1">#REF!</definedName>
    <definedName name="BLPH2000000188" hidden="1">#REF!</definedName>
    <definedName name="BLPH2000000189" hidden="1">#REF!</definedName>
    <definedName name="BLPH2000000190" hidden="1">#REF!</definedName>
    <definedName name="BLPH2000000191" hidden="1">#REF!</definedName>
    <definedName name="BLPH2000000192" hidden="1">#REF!</definedName>
    <definedName name="BLPH2000000193" hidden="1">#REF!</definedName>
    <definedName name="BLPH2000000194" hidden="1">#REF!</definedName>
    <definedName name="BLPH2000000195" hidden="1">#REF!</definedName>
    <definedName name="BLPH2000000196" hidden="1">#REF!</definedName>
    <definedName name="BLPH2000000197" hidden="1">#REF!</definedName>
    <definedName name="BLPH2000000198" hidden="1">#REF!</definedName>
    <definedName name="BLPH2000000199" hidden="1">#REF!</definedName>
    <definedName name="BLPH2000000200" hidden="1">#REF!</definedName>
    <definedName name="BLPH2000000201" hidden="1">#REF!</definedName>
    <definedName name="BLPH2000000202" hidden="1">#REF!</definedName>
    <definedName name="BLPH2000000203" hidden="1">#REF!</definedName>
    <definedName name="BLPH2000000204" hidden="1">#REF!</definedName>
    <definedName name="BLPH2000000205" hidden="1">#REF!</definedName>
    <definedName name="BLPH2000000206" hidden="1">#REF!</definedName>
    <definedName name="BLPH2000000207" hidden="1">#REF!</definedName>
    <definedName name="BLPH2000000208" hidden="1">#REF!</definedName>
    <definedName name="BLPH2000000209" hidden="1">#REF!</definedName>
    <definedName name="BLPH2000000210" hidden="1">#REF!</definedName>
    <definedName name="BLPH2000000211" hidden="1">#REF!</definedName>
    <definedName name="BLPH2000000212" hidden="1">#REF!</definedName>
    <definedName name="BLPH2000000213" hidden="1">#REF!</definedName>
    <definedName name="BLPH2000000214" hidden="1">#REF!</definedName>
    <definedName name="BLPH2000000215" hidden="1">#REF!</definedName>
    <definedName name="BLPH2000000216" hidden="1">#REF!</definedName>
    <definedName name="BLPH2000000217" hidden="1">#REF!</definedName>
    <definedName name="BLPH2000000218" hidden="1">#REF!</definedName>
    <definedName name="BLPH2000000219" hidden="1">#REF!</definedName>
    <definedName name="BLPH2000000220" hidden="1">#REF!</definedName>
    <definedName name="BLPH2000000221" hidden="1">#REF!</definedName>
    <definedName name="BLPH2000000222" hidden="1">#REF!</definedName>
    <definedName name="BLPH2000000223" hidden="1">#REF!</definedName>
    <definedName name="BLPH2000000224" hidden="1">#REF!</definedName>
    <definedName name="BLPH2000000225" hidden="1">#REF!</definedName>
    <definedName name="BLPH2000000226" hidden="1">#REF!</definedName>
    <definedName name="BLPH2000000227" hidden="1">#REF!</definedName>
    <definedName name="BLPH2000000228" hidden="1">#REF!</definedName>
    <definedName name="BLPH2000000229" hidden="1">#REF!</definedName>
    <definedName name="BLPH2000000230" hidden="1">#REF!</definedName>
    <definedName name="BLPH2000000231" hidden="1">#REF!</definedName>
    <definedName name="BLPH2000000232" hidden="1">#REF!</definedName>
    <definedName name="BLPH2000000233" hidden="1">#REF!</definedName>
    <definedName name="BLPH2000000234" hidden="1">#REF!</definedName>
    <definedName name="BLPH2000000235" hidden="1">#REF!</definedName>
    <definedName name="BLPH2000000236" hidden="1">#REF!</definedName>
    <definedName name="BLPH2000000237" hidden="1">#REF!</definedName>
    <definedName name="BLPH2000000238" hidden="1">#REF!</definedName>
    <definedName name="BLPH2000000239" hidden="1">#REF!</definedName>
    <definedName name="BLPH2000000240" hidden="1">#REF!</definedName>
    <definedName name="BLPH2000000241" hidden="1">#REF!</definedName>
    <definedName name="BLPH2000000242" hidden="1">#REF!</definedName>
    <definedName name="BLPH2000000243" hidden="1">#REF!</definedName>
    <definedName name="BLPH2000000244" hidden="1">#REF!</definedName>
    <definedName name="BLPH2000000245" hidden="1">#REF!</definedName>
    <definedName name="BLPH2000000246" hidden="1">#REF!</definedName>
    <definedName name="BLPH2000000247" hidden="1">#REF!</definedName>
    <definedName name="BLPH2000000248" hidden="1">#REF!</definedName>
    <definedName name="BLPH2000000249" hidden="1">#REF!</definedName>
    <definedName name="BLPH2000000250" hidden="1">#REF!</definedName>
    <definedName name="BLPH2000000251" hidden="1">#REF!</definedName>
    <definedName name="BLPH2000000252" hidden="1">#REF!</definedName>
    <definedName name="BLPH2000000253" hidden="1">#REF!</definedName>
    <definedName name="BLPH2000000254" hidden="1">#REF!</definedName>
    <definedName name="BLPH2000000255" hidden="1">#REF!</definedName>
    <definedName name="BLPH2000000256" hidden="1">#REF!</definedName>
    <definedName name="BLPH2000000257" hidden="1">#REF!</definedName>
    <definedName name="BLPH2000000258" hidden="1">#REF!</definedName>
    <definedName name="BLPH2000000259" hidden="1">#REF!</definedName>
    <definedName name="BLPH2000000260" hidden="1">#REF!</definedName>
    <definedName name="BLPH2000000261" hidden="1">#REF!</definedName>
    <definedName name="BLPH2000000262" hidden="1">#REF!</definedName>
    <definedName name="BLPH2000000263" hidden="1">#REF!</definedName>
    <definedName name="BLPH2000000264" hidden="1">#REF!</definedName>
    <definedName name="BLPH2000000265" hidden="1">#REF!</definedName>
    <definedName name="BLPH2000000266" hidden="1">#REF!</definedName>
    <definedName name="BLPH2000000267" hidden="1">#REF!</definedName>
    <definedName name="BLPH2000000268" hidden="1">#REF!</definedName>
    <definedName name="BLPH2000000269" hidden="1">#REF!</definedName>
    <definedName name="BLPH2000000270" hidden="1">#REF!</definedName>
    <definedName name="BLPH2000000271" hidden="1">#REF!</definedName>
    <definedName name="BLPH2000000272" hidden="1">#REF!</definedName>
    <definedName name="BLPH2000000273" hidden="1">#REF!</definedName>
    <definedName name="BLPH2000000274" hidden="1">#REF!</definedName>
    <definedName name="BLPH2000000275" hidden="1">#REF!</definedName>
    <definedName name="BLPH2000000276" hidden="1">#REF!</definedName>
    <definedName name="BLPH2000000277" hidden="1">#REF!</definedName>
    <definedName name="BLPH2000000278" hidden="1">#REF!</definedName>
    <definedName name="BLPH2000000279" hidden="1">#REF!</definedName>
    <definedName name="BLPH2000000280" hidden="1">#REF!</definedName>
    <definedName name="BLPH2000000281" hidden="1">#REF!</definedName>
    <definedName name="BLPH2000000282" hidden="1">#REF!</definedName>
    <definedName name="BLPH2000000283" hidden="1">#REF!</definedName>
    <definedName name="BLPH2000000284" hidden="1">#REF!</definedName>
    <definedName name="BLPH2000000285" hidden="1">#REF!</definedName>
    <definedName name="BLPH2000000286" hidden="1">#REF!</definedName>
    <definedName name="BLPH2000000287" hidden="1">#REF!</definedName>
    <definedName name="BLPH2000000288" hidden="1">#REF!</definedName>
    <definedName name="BLPH2000000289" hidden="1">#REF!</definedName>
    <definedName name="BLPH2000000290" hidden="1">#REF!</definedName>
    <definedName name="BLPH2000000291" hidden="1">#REF!</definedName>
    <definedName name="BLPH2000000292" hidden="1">#REF!</definedName>
    <definedName name="BLPH2000000293" hidden="1">#REF!</definedName>
    <definedName name="BLPH2000000294" hidden="1">#REF!</definedName>
    <definedName name="BLPH2000000295" hidden="1">#REF!</definedName>
    <definedName name="BLPH2000000296" hidden="1">#REF!</definedName>
    <definedName name="BLPH2000000297" hidden="1">#REF!</definedName>
    <definedName name="BLPH2000000298" hidden="1">#REF!</definedName>
    <definedName name="BLPH2000000299" hidden="1">#REF!</definedName>
    <definedName name="BLPH2000000300" hidden="1">#REF!</definedName>
    <definedName name="BLPH2000000301" hidden="1">#REF!</definedName>
    <definedName name="BLPH2000000302" hidden="1">#REF!</definedName>
    <definedName name="BLPH2000000303" hidden="1">#REF!</definedName>
    <definedName name="BLPH2000000304" hidden="1">#REF!</definedName>
    <definedName name="BLPH2000000305" hidden="1">#REF!</definedName>
    <definedName name="BLPH2000000306" hidden="1">#REF!</definedName>
    <definedName name="BLPH2000000307" hidden="1">#REF!</definedName>
    <definedName name="BLPH2000000308" hidden="1">#REF!</definedName>
    <definedName name="BLPH2000000309" hidden="1">#REF!</definedName>
    <definedName name="BLPH2000000310" hidden="1">#REF!</definedName>
    <definedName name="BLPH2000000311" hidden="1">#REF!</definedName>
    <definedName name="BLPH2000000312" hidden="1">#REF!</definedName>
    <definedName name="BLPH2000000313" hidden="1">#REF!</definedName>
    <definedName name="BLPH2000000314" hidden="1">#REF!</definedName>
    <definedName name="BLPH2000000315" hidden="1">#REF!</definedName>
    <definedName name="BLPH2000000316" hidden="1">#REF!</definedName>
    <definedName name="BLPH2000000317" hidden="1">#REF!</definedName>
    <definedName name="BLPH2000000318" hidden="1">#REF!</definedName>
    <definedName name="BLPH2000000319" hidden="1">#REF!</definedName>
    <definedName name="BLPH2000000320" hidden="1">#REF!</definedName>
    <definedName name="BLPH2000000321" hidden="1">#REF!</definedName>
    <definedName name="BLPH2000000322" hidden="1">#REF!</definedName>
    <definedName name="BLPH2000000323" hidden="1">#REF!</definedName>
    <definedName name="BLPH2000000324" hidden="1">#REF!</definedName>
    <definedName name="BLPH2000000325" hidden="1">#REF!</definedName>
    <definedName name="BLPH2000000326" hidden="1">#REF!</definedName>
    <definedName name="BLPH2000000327" hidden="1">#REF!</definedName>
    <definedName name="BLPH2000000328" hidden="1">#REF!</definedName>
    <definedName name="BLPH2000000329" hidden="1">#REF!</definedName>
    <definedName name="BLPH2000000330" hidden="1">#REF!</definedName>
    <definedName name="BLPH2000000331" hidden="1">#REF!</definedName>
    <definedName name="BLPH2000000332" hidden="1">#REF!</definedName>
    <definedName name="BLPH2000000333" hidden="1">#REF!</definedName>
    <definedName name="BLPH2000000334" hidden="1">#REF!</definedName>
    <definedName name="BLPH2000000335" hidden="1">#REF!</definedName>
    <definedName name="BLPH2000000336" hidden="1">#REF!</definedName>
    <definedName name="BLPH2000000337" hidden="1">#REF!</definedName>
    <definedName name="BLPH2000000338" hidden="1">#REF!</definedName>
    <definedName name="BLPH2000000339" hidden="1">#REF!</definedName>
    <definedName name="BLPH2000000340" hidden="1">#REF!</definedName>
    <definedName name="BLPH2000000341" hidden="1">#REF!</definedName>
    <definedName name="BLPH2000000342" hidden="1">#REF!</definedName>
    <definedName name="BLPH2000000343" hidden="1">#REF!</definedName>
    <definedName name="BLPH2000000344" hidden="1">#REF!</definedName>
    <definedName name="BLPH2000000345" hidden="1">#REF!</definedName>
    <definedName name="BLPH2000000346" hidden="1">#REF!</definedName>
    <definedName name="BLPH2000000347" hidden="1">#REF!</definedName>
    <definedName name="BLPH2000000348" hidden="1">#REF!</definedName>
    <definedName name="BLPH2000000349" hidden="1">#REF!</definedName>
    <definedName name="BLPH2000000350" hidden="1">#REF!</definedName>
    <definedName name="BLPH2000000351" hidden="1">#REF!</definedName>
    <definedName name="BLPH2000000352" hidden="1">#REF!</definedName>
    <definedName name="BLPH2000000353" hidden="1">#REF!</definedName>
    <definedName name="BLPH2000000382" hidden="1">#REF!</definedName>
    <definedName name="BLPH2000000383" hidden="1">#REF!</definedName>
    <definedName name="BLPH2000000384" hidden="1">#REF!</definedName>
    <definedName name="BLPH2000000385" hidden="1">#REF!</definedName>
    <definedName name="BLPH2000000386" hidden="1">#REF!</definedName>
    <definedName name="BLPH2000000387" hidden="1">#REF!</definedName>
    <definedName name="BLPH2000000388" hidden="1">#REF!</definedName>
    <definedName name="BLPH2000000389" hidden="1">#REF!</definedName>
    <definedName name="BLPH2000000390" hidden="1">#REF!</definedName>
    <definedName name="BLPH2000000391" hidden="1">#REF!</definedName>
    <definedName name="BLPH2000000392" hidden="1">#REF!</definedName>
    <definedName name="BLPH2000000393" hidden="1">#REF!</definedName>
    <definedName name="BLPH2000000394" hidden="1">#REF!</definedName>
    <definedName name="BLPH2000000395" hidden="1">#REF!</definedName>
    <definedName name="BLPH2000000396" hidden="1">#REF!</definedName>
    <definedName name="BLPH2000000397" hidden="1">#REF!</definedName>
    <definedName name="BLPH2000000398" hidden="1">#REF!</definedName>
    <definedName name="BLPH2000000399" hidden="1">#REF!</definedName>
    <definedName name="BLPH2000000400" hidden="1">#REF!</definedName>
    <definedName name="BLPH2000000401" hidden="1">#REF!</definedName>
    <definedName name="BLPH2000000402" hidden="1">#REF!</definedName>
    <definedName name="BLPH2000000403" hidden="1">#REF!</definedName>
    <definedName name="BLPH2000000404" hidden="1">#REF!</definedName>
    <definedName name="BLPH2000000405" hidden="1">#REF!</definedName>
    <definedName name="BLPH2000000406" hidden="1">#REF!</definedName>
    <definedName name="BLPH2000000407" hidden="1">#REF!</definedName>
    <definedName name="BLPH2000000408" hidden="1">#REF!</definedName>
    <definedName name="BLPH2000000409" hidden="1">#REF!</definedName>
    <definedName name="BLPH2000000410" hidden="1">#REF!</definedName>
    <definedName name="BLPH2000000411" hidden="1">#REF!</definedName>
    <definedName name="BLPH2000000412" hidden="1">#REF!</definedName>
    <definedName name="BLPH2000000413" hidden="1">#REF!</definedName>
    <definedName name="BLPH2000000414" hidden="1">#REF!</definedName>
    <definedName name="BLPH2000000415" hidden="1">#REF!</definedName>
    <definedName name="BLPH2000000416" hidden="1">#REF!</definedName>
    <definedName name="BLPH2000000417" hidden="1">#REF!</definedName>
    <definedName name="BLPH2000000418" hidden="1">#REF!</definedName>
    <definedName name="BLPH2000000419" hidden="1">#REF!</definedName>
    <definedName name="BLPH2000000420" hidden="1">#REF!</definedName>
    <definedName name="BLPH2000000421" hidden="1">#REF!</definedName>
    <definedName name="BLPH2000000422" hidden="1">#REF!</definedName>
    <definedName name="BLPH2000000423" hidden="1">#REF!</definedName>
    <definedName name="BLPH2000000424" hidden="1">#REF!</definedName>
    <definedName name="BLPH2000000425" hidden="1">#REF!</definedName>
    <definedName name="BLPH2000000426" hidden="1">#REF!</definedName>
    <definedName name="BLPH2000000427" hidden="1">#REF!</definedName>
    <definedName name="BLPH2000000428" hidden="1">#REF!</definedName>
    <definedName name="BLPH2000000429" hidden="1">#REF!</definedName>
    <definedName name="BLPH2000000430" hidden="1">#REF!</definedName>
    <definedName name="BLPH2000000431" hidden="1">#REF!</definedName>
    <definedName name="BLPH2000000432" hidden="1">#REF!</definedName>
    <definedName name="BLPH2000000433" hidden="1">#REF!</definedName>
    <definedName name="BLPH2000000434" hidden="1">#REF!</definedName>
    <definedName name="BLPH2000000435" hidden="1">#REF!</definedName>
    <definedName name="BLPH2000000436" hidden="1">#REF!</definedName>
    <definedName name="BLPH2000000437" hidden="1">#REF!</definedName>
    <definedName name="BLPH2000000438" hidden="1">#REF!</definedName>
    <definedName name="BLPH2000000439" hidden="1">#REF!</definedName>
    <definedName name="BLPH2000000440" hidden="1">#REF!</definedName>
    <definedName name="BLPH2000000441" hidden="1">#REF!</definedName>
    <definedName name="BLPH2000000442" hidden="1">#REF!</definedName>
    <definedName name="BLPH2000000443" hidden="1">#REF!</definedName>
    <definedName name="BLPH2000000444" hidden="1">#REF!</definedName>
    <definedName name="BLPH2000000445" hidden="1">#REF!</definedName>
    <definedName name="BLPH2000000446" hidden="1">#REF!</definedName>
    <definedName name="BLPH2001" hidden="1">#REF!</definedName>
    <definedName name="BLPH2002" hidden="1">#REF!</definedName>
    <definedName name="BLPH2003" hidden="1">#REF!</definedName>
    <definedName name="BLPH2004" hidden="1">#REF!</definedName>
    <definedName name="BLPH2005" hidden="1">#REF!</definedName>
    <definedName name="BLPH2006" hidden="1">#REF!</definedName>
    <definedName name="BLPH2007" hidden="1">#REF!</definedName>
    <definedName name="BLPH2008" hidden="1">#REF!</definedName>
    <definedName name="BLPH2009" hidden="1">#REF!</definedName>
    <definedName name="BLPH2010" hidden="1">#REF!</definedName>
    <definedName name="BLPH2011" hidden="1">#REF!</definedName>
    <definedName name="BLPH2012" hidden="1">#REF!</definedName>
    <definedName name="BLPH2013" hidden="1">#REF!</definedName>
    <definedName name="BLPH2014" hidden="1">#REF!</definedName>
    <definedName name="BLPH2015" hidden="1">#REF!</definedName>
    <definedName name="BLPH2016" hidden="1">#REF!</definedName>
    <definedName name="BLPH2017" hidden="1">#REF!</definedName>
    <definedName name="BLPH2018" hidden="1">#REF!</definedName>
    <definedName name="BLPH2019" hidden="1">#REF!</definedName>
    <definedName name="BLPH2020" hidden="1">#REF!</definedName>
    <definedName name="BLPH2021" hidden="1">#REF!</definedName>
    <definedName name="BLPH2022" hidden="1">#REF!</definedName>
    <definedName name="BLPH2023" hidden="1">#REF!</definedName>
    <definedName name="BLPH2024" hidden="1">#REF!</definedName>
    <definedName name="BLPH2025" hidden="1">#REF!</definedName>
    <definedName name="BLPH2026" hidden="1">#REF!</definedName>
    <definedName name="BLPH2027" hidden="1">#REF!</definedName>
    <definedName name="BLPH2028" hidden="1">#REF!</definedName>
    <definedName name="BLPH2029" hidden="1">#REF!</definedName>
    <definedName name="BLPH2030" hidden="1">#REF!</definedName>
    <definedName name="BLPH2031" hidden="1">#REF!</definedName>
    <definedName name="BLPH2032" hidden="1">#REF!</definedName>
    <definedName name="BLPH2033" hidden="1">#REF!</definedName>
    <definedName name="BLPH2034" hidden="1">#REF!</definedName>
    <definedName name="BLPH2035" hidden="1">#REF!</definedName>
    <definedName name="BLPH2036" hidden="1">#REF!</definedName>
    <definedName name="BLPH2037" hidden="1">#REF!</definedName>
    <definedName name="BLPH2038" hidden="1">#REF!</definedName>
    <definedName name="BLPH2039" hidden="1">#REF!</definedName>
    <definedName name="BLPH2040" hidden="1">#REF!</definedName>
    <definedName name="BLPH2041" hidden="1">#REF!</definedName>
    <definedName name="BLPH2042" hidden="1">#REF!</definedName>
    <definedName name="BLPH2043" hidden="1">#REF!</definedName>
    <definedName name="BLPH2044" hidden="1">#REF!</definedName>
    <definedName name="BLPH2045" hidden="1">#REF!</definedName>
    <definedName name="BLPH2046" hidden="1">#REF!</definedName>
    <definedName name="BLPH2047" hidden="1">#REF!</definedName>
    <definedName name="BLPH2048" hidden="1">#REF!</definedName>
    <definedName name="BLPH2049" hidden="1">#REF!</definedName>
    <definedName name="BLPH2050" hidden="1">#REF!</definedName>
    <definedName name="BLPH2051" hidden="1">#REF!</definedName>
    <definedName name="BLPH2052" hidden="1">#REF!</definedName>
    <definedName name="BLPH2053" hidden="1">#REF!</definedName>
    <definedName name="BLPH2054" hidden="1">#REF!</definedName>
    <definedName name="BLPH2055" hidden="1">#REF!</definedName>
    <definedName name="BLPH2056" hidden="1">#REF!</definedName>
    <definedName name="BLPH2057" hidden="1">#REF!</definedName>
    <definedName name="BLPH2058" hidden="1">#REF!</definedName>
    <definedName name="BLPH2059" hidden="1">#REF!</definedName>
    <definedName name="BLPH2060" hidden="1">#REF!</definedName>
    <definedName name="BLPH2061" hidden="1">#REF!</definedName>
    <definedName name="BLPH2062" hidden="1">#REF!</definedName>
    <definedName name="BLPH2063" hidden="1">#REF!</definedName>
    <definedName name="BLPH2064" hidden="1">#REF!</definedName>
    <definedName name="BLPH2065" hidden="1">#REF!</definedName>
    <definedName name="BLPH2066" hidden="1">#REF!</definedName>
    <definedName name="BLPH2067" hidden="1">#REF!</definedName>
    <definedName name="BLPH2068" hidden="1">#REF!</definedName>
    <definedName name="BLPH2069" hidden="1">#REF!</definedName>
    <definedName name="BLPH2070" hidden="1">#REF!</definedName>
    <definedName name="BLPH2071" hidden="1">#REF!</definedName>
    <definedName name="BLPH2072" hidden="1">#REF!</definedName>
    <definedName name="BLPH2073" hidden="1">#REF!</definedName>
    <definedName name="BLPH2074" hidden="1">#REF!</definedName>
    <definedName name="BLPH2075" hidden="1">#REF!</definedName>
    <definedName name="BLPH2076" hidden="1">#REF!</definedName>
    <definedName name="BLPH2077" hidden="1">#REF!</definedName>
    <definedName name="BLPH2078" hidden="1">#REF!</definedName>
    <definedName name="BLPH2079" hidden="1">#REF!</definedName>
    <definedName name="BLPH2080" hidden="1">#REF!</definedName>
    <definedName name="BLPH2081" hidden="1">#REF!</definedName>
    <definedName name="BLPH2082" hidden="1">#REF!</definedName>
    <definedName name="BLPH2083" hidden="1">#REF!</definedName>
    <definedName name="BLPH2084" hidden="1">#REF!</definedName>
    <definedName name="BLPH2085" hidden="1">#REF!</definedName>
    <definedName name="BLPH2086" hidden="1">#REF!</definedName>
    <definedName name="BLPH2087" hidden="1">#REF!</definedName>
    <definedName name="BLPH2088" hidden="1">#REF!</definedName>
    <definedName name="BLPH2089" hidden="1">#REF!</definedName>
    <definedName name="BLPH2090" hidden="1">#REF!</definedName>
    <definedName name="BLPH2091" hidden="1">#REF!</definedName>
    <definedName name="BLPH2092" hidden="1">#REF!</definedName>
    <definedName name="BLPH2093" hidden="1">#REF!</definedName>
    <definedName name="BLPH2094" hidden="1">#REF!</definedName>
    <definedName name="BLPH2095" hidden="1">#REF!</definedName>
    <definedName name="BLPH2096" hidden="1">#REF!</definedName>
    <definedName name="BLPH2097" hidden="1">#REF!</definedName>
    <definedName name="BLPH2098" hidden="1">#REF!</definedName>
    <definedName name="BLPH2099" hidden="1">#REF!</definedName>
    <definedName name="BLPH21" hidden="1">#REF!</definedName>
    <definedName name="BLPH2100" hidden="1">#REF!</definedName>
    <definedName name="BLPH2101" hidden="1">#REF!</definedName>
    <definedName name="BLPH2102" hidden="1">#REF!</definedName>
    <definedName name="BLPH2103" hidden="1">#REF!</definedName>
    <definedName name="BLPH2104" hidden="1">#REF!</definedName>
    <definedName name="BLPH2105" hidden="1">#REF!</definedName>
    <definedName name="BLPH2106" hidden="1">#REF!</definedName>
    <definedName name="BLPH2107" hidden="1">#REF!</definedName>
    <definedName name="BLPH2108" hidden="1">#REF!</definedName>
    <definedName name="BLPH2109" hidden="1">#REF!</definedName>
    <definedName name="BLPH2110" hidden="1">#REF!</definedName>
    <definedName name="BLPH2111" hidden="1">#REF!</definedName>
    <definedName name="BLPH2112" hidden="1">#REF!</definedName>
    <definedName name="BLPH2113" hidden="1">#REF!</definedName>
    <definedName name="BLPH2114" hidden="1">#REF!</definedName>
    <definedName name="BLPH2115" hidden="1">#REF!</definedName>
    <definedName name="BLPH2116" hidden="1">#REF!</definedName>
    <definedName name="BLPH2117" hidden="1">#REF!</definedName>
    <definedName name="BLPH2118" hidden="1">#REF!</definedName>
    <definedName name="BLPH2119" hidden="1">#REF!</definedName>
    <definedName name="BLPH2120" hidden="1">#REF!</definedName>
    <definedName name="BLPH2121" hidden="1">#REF!</definedName>
    <definedName name="BLPH2122" hidden="1">#REF!</definedName>
    <definedName name="BLPH2123" hidden="1">#REF!</definedName>
    <definedName name="BLPH2124" hidden="1">#REF!</definedName>
    <definedName name="BLPH2125" hidden="1">#REF!</definedName>
    <definedName name="BLPH2126" hidden="1">#REF!</definedName>
    <definedName name="BLPH2127" hidden="1">#REF!</definedName>
    <definedName name="BLPH2128" hidden="1">#REF!</definedName>
    <definedName name="BLPH2129" hidden="1">#REF!</definedName>
    <definedName name="BLPH2130" hidden="1">#REF!</definedName>
    <definedName name="BLPH2131" hidden="1">#REF!</definedName>
    <definedName name="BLPH2132" hidden="1">#REF!</definedName>
    <definedName name="BLPH2133" hidden="1">#REF!</definedName>
    <definedName name="BLPH2134" hidden="1">#REF!</definedName>
    <definedName name="BLPH2135" hidden="1">#REF!</definedName>
    <definedName name="BLPH2136" hidden="1">#REF!</definedName>
    <definedName name="BLPH2137" hidden="1">#REF!</definedName>
    <definedName name="BLPH2138" hidden="1">#REF!</definedName>
    <definedName name="BLPH2139" hidden="1">#REF!</definedName>
    <definedName name="BLPH2140" hidden="1">#REF!</definedName>
    <definedName name="BLPH2141" hidden="1">#REF!</definedName>
    <definedName name="BLPH2142" hidden="1">#REF!</definedName>
    <definedName name="BLPH2143" hidden="1">#REF!</definedName>
    <definedName name="BLPH2144" hidden="1">#REF!</definedName>
    <definedName name="BLPH2145" hidden="1">#REF!</definedName>
    <definedName name="BLPH2146" hidden="1">#REF!</definedName>
    <definedName name="BLPH2147" hidden="1">#REF!</definedName>
    <definedName name="BLPH2148" hidden="1">#REF!</definedName>
    <definedName name="BLPH2149" hidden="1">#REF!</definedName>
    <definedName name="BLPH2150" hidden="1">#REF!</definedName>
    <definedName name="BLPH2151" hidden="1">#REF!</definedName>
    <definedName name="BLPH2152" hidden="1">#REF!</definedName>
    <definedName name="BLPH2153" hidden="1">#REF!</definedName>
    <definedName name="BLPH2154" hidden="1">#REF!</definedName>
    <definedName name="BLPH2155" hidden="1">#REF!</definedName>
    <definedName name="BLPH2156" hidden="1">#REF!</definedName>
    <definedName name="BLPH2157" hidden="1">#REF!</definedName>
    <definedName name="BLPH2158" hidden="1">#REF!</definedName>
    <definedName name="BLPH2159" hidden="1">#REF!</definedName>
    <definedName name="BLPH2160" hidden="1">#REF!</definedName>
    <definedName name="BLPH2161" hidden="1">#REF!</definedName>
    <definedName name="BLPH2162" hidden="1">#REF!</definedName>
    <definedName name="BLPH2163" hidden="1">#REF!</definedName>
    <definedName name="BLPH2164" hidden="1">#REF!</definedName>
    <definedName name="BLPH2165" hidden="1">#REF!</definedName>
    <definedName name="BLPH2166" hidden="1">#REF!</definedName>
    <definedName name="BLPH2167" hidden="1">#REF!</definedName>
    <definedName name="BLPH2168" hidden="1">#REF!</definedName>
    <definedName name="BLPH2169" hidden="1">#REF!</definedName>
    <definedName name="BLPH2170" hidden="1">#REF!</definedName>
    <definedName name="BLPH2171" hidden="1">#REF!</definedName>
    <definedName name="BLPH2172" hidden="1">#REF!</definedName>
    <definedName name="BLPH2173" hidden="1">#REF!</definedName>
    <definedName name="BLPH2174" hidden="1">#REF!</definedName>
    <definedName name="BLPH2175" hidden="1">#REF!</definedName>
    <definedName name="BLPH2176" hidden="1">#REF!</definedName>
    <definedName name="BLPH2177" hidden="1">#REF!</definedName>
    <definedName name="BLPH2178" hidden="1">#REF!</definedName>
    <definedName name="BLPH2179" hidden="1">#REF!</definedName>
    <definedName name="BLPH2180" hidden="1">#REF!</definedName>
    <definedName name="BLPH2181" hidden="1">#REF!</definedName>
    <definedName name="BLPH2182" hidden="1">#REF!</definedName>
    <definedName name="BLPH2183" hidden="1">#REF!</definedName>
    <definedName name="BLPH2184" hidden="1">#REF!</definedName>
    <definedName name="BLPH2185" hidden="1">#REF!</definedName>
    <definedName name="BLPH2186" hidden="1">#REF!</definedName>
    <definedName name="BLPH2187" hidden="1">#REF!</definedName>
    <definedName name="BLPH2188" hidden="1">#REF!</definedName>
    <definedName name="BLPH2189" hidden="1">#REF!</definedName>
    <definedName name="BLPH2190" hidden="1">#REF!</definedName>
    <definedName name="BLPH2191" hidden="1">#REF!</definedName>
    <definedName name="BLPH2192" hidden="1">#REF!</definedName>
    <definedName name="BLPH2193" hidden="1">#REF!</definedName>
    <definedName name="BLPH2194" hidden="1">#REF!</definedName>
    <definedName name="BLPH2195" hidden="1">#REF!</definedName>
    <definedName name="BLPH2196" hidden="1">#REF!</definedName>
    <definedName name="BLPH2197" hidden="1">#REF!</definedName>
    <definedName name="BLPH2198" hidden="1">#REF!</definedName>
    <definedName name="BLPH2199" hidden="1">#REF!</definedName>
    <definedName name="BLPH22" hidden="1">#REF!</definedName>
    <definedName name="BLPH2200" hidden="1">#REF!</definedName>
    <definedName name="BLPH2201" hidden="1">#REF!</definedName>
    <definedName name="BLPH2202" hidden="1">#REF!</definedName>
    <definedName name="BLPH2203" hidden="1">#REF!</definedName>
    <definedName name="BLPH2204" hidden="1">#REF!</definedName>
    <definedName name="BLPH2205" hidden="1">#REF!</definedName>
    <definedName name="BLPH2206" hidden="1">#REF!</definedName>
    <definedName name="BLPH2207" hidden="1">#REF!</definedName>
    <definedName name="BLPH2208" hidden="1">#REF!</definedName>
    <definedName name="BLPH2209" hidden="1">#REF!</definedName>
    <definedName name="BLPH2210" hidden="1">#REF!</definedName>
    <definedName name="BLPH2211" hidden="1">#REF!</definedName>
    <definedName name="BLPH2212" hidden="1">#REF!</definedName>
    <definedName name="BLPH2213" hidden="1">#REF!</definedName>
    <definedName name="BLPH2214" hidden="1">#REF!</definedName>
    <definedName name="BLPH2215" hidden="1">#REF!</definedName>
    <definedName name="BLPH2216" hidden="1">#REF!</definedName>
    <definedName name="BLPH2217" hidden="1">#REF!</definedName>
    <definedName name="BLPH2218" hidden="1">#REF!</definedName>
    <definedName name="BLPH2219" hidden="1">#REF!</definedName>
    <definedName name="BLPH2220" hidden="1">#REF!</definedName>
    <definedName name="BLPH2221" hidden="1">#REF!</definedName>
    <definedName name="BLPH2222" hidden="1">#REF!</definedName>
    <definedName name="BLPH2223" hidden="1">#REF!</definedName>
    <definedName name="BLPH2224" hidden="1">#REF!</definedName>
    <definedName name="BLPH2225" hidden="1">#REF!</definedName>
    <definedName name="BLPH2226" hidden="1">#REF!</definedName>
    <definedName name="BLPH2227" hidden="1">#REF!</definedName>
    <definedName name="BLPH2228" hidden="1">#REF!</definedName>
    <definedName name="BLPH2229" hidden="1">#REF!</definedName>
    <definedName name="BLPH2230" hidden="1">#REF!</definedName>
    <definedName name="BLPH2231" hidden="1">#REF!</definedName>
    <definedName name="BLPH2232" hidden="1">#REF!</definedName>
    <definedName name="BLPH2233" hidden="1">#REF!</definedName>
    <definedName name="BLPH2234" hidden="1">#REF!</definedName>
    <definedName name="BLPH2235" hidden="1">#REF!</definedName>
    <definedName name="BLPH2236" hidden="1">#REF!</definedName>
    <definedName name="BLPH2237" hidden="1">#REF!</definedName>
    <definedName name="BLPH2238" hidden="1">#REF!</definedName>
    <definedName name="BLPH2239" hidden="1">#REF!</definedName>
    <definedName name="BLPH2240" hidden="1">#REF!</definedName>
    <definedName name="BLPH2241" hidden="1">#REF!</definedName>
    <definedName name="BLPH2242" hidden="1">#REF!</definedName>
    <definedName name="BLPH2243" hidden="1">#REF!</definedName>
    <definedName name="BLPH2244" hidden="1">#REF!</definedName>
    <definedName name="BLPH2245" hidden="1">#REF!</definedName>
    <definedName name="BLPH2246" hidden="1">#REF!</definedName>
    <definedName name="BLPH2247" hidden="1">#REF!</definedName>
    <definedName name="BLPH2248" hidden="1">#REF!</definedName>
    <definedName name="BLPH2249" hidden="1">#REF!</definedName>
    <definedName name="BLPH2250" hidden="1">#REF!</definedName>
    <definedName name="BLPH2251" hidden="1">#REF!</definedName>
    <definedName name="BLPH2252" hidden="1">#REF!</definedName>
    <definedName name="BLPH2253" hidden="1">#REF!</definedName>
    <definedName name="BLPH2254" hidden="1">#REF!</definedName>
    <definedName name="BLPH2255" hidden="1">#REF!</definedName>
    <definedName name="BLPH2256" hidden="1">#REF!</definedName>
    <definedName name="BLPH2257" hidden="1">#REF!</definedName>
    <definedName name="BLPH2258" hidden="1">#REF!</definedName>
    <definedName name="BLPH2259" hidden="1">#REF!</definedName>
    <definedName name="BLPH2260" hidden="1">#REF!</definedName>
    <definedName name="BLPH2261" hidden="1">#REF!</definedName>
    <definedName name="BLPH2262" hidden="1">#REF!</definedName>
    <definedName name="BLPH2263" hidden="1">#REF!</definedName>
    <definedName name="BLPH2264" hidden="1">#REF!</definedName>
    <definedName name="BLPH2265" hidden="1">#REF!</definedName>
    <definedName name="BLPH2266" hidden="1">#REF!</definedName>
    <definedName name="BLPH2267" hidden="1">#REF!</definedName>
    <definedName name="BLPH2268" hidden="1">#REF!</definedName>
    <definedName name="BLPH2269" hidden="1">#REF!</definedName>
    <definedName name="BLPH2270" hidden="1">#REF!</definedName>
    <definedName name="BLPH2271" hidden="1">#REF!</definedName>
    <definedName name="BLPH2272" hidden="1">#REF!</definedName>
    <definedName name="BLPH2273" hidden="1">#REF!</definedName>
    <definedName name="BLPH2274" hidden="1">#REF!</definedName>
    <definedName name="BLPH2275" hidden="1">#REF!</definedName>
    <definedName name="BLPH2276" hidden="1">#REF!</definedName>
    <definedName name="BLPH2277" hidden="1">#REF!</definedName>
    <definedName name="BLPH2278" hidden="1">#REF!</definedName>
    <definedName name="BLPH2279" hidden="1">#REF!</definedName>
    <definedName name="BLPH2280" hidden="1">#REF!</definedName>
    <definedName name="BLPH2281" hidden="1">#REF!</definedName>
    <definedName name="BLPH2282" hidden="1">#REF!</definedName>
    <definedName name="BLPH2283" hidden="1">#REF!</definedName>
    <definedName name="BLPH2284" hidden="1">#REF!</definedName>
    <definedName name="BLPH2285" hidden="1">#REF!</definedName>
    <definedName name="BLPH2286" hidden="1">#REF!</definedName>
    <definedName name="BLPH2287" hidden="1">#REF!</definedName>
    <definedName name="BLPH2288" hidden="1">#REF!</definedName>
    <definedName name="BLPH2289" hidden="1">#REF!</definedName>
    <definedName name="BLPH2290" hidden="1">#REF!</definedName>
    <definedName name="BLPH2291" hidden="1">#REF!</definedName>
    <definedName name="BLPH2292" hidden="1">#REF!</definedName>
    <definedName name="BLPH2293" hidden="1">#REF!</definedName>
    <definedName name="BLPH2294" hidden="1">#REF!</definedName>
    <definedName name="BLPH2295" hidden="1">#REF!</definedName>
    <definedName name="BLPH2296" hidden="1">#REF!</definedName>
    <definedName name="BLPH2297" hidden="1">#REF!</definedName>
    <definedName name="BLPH2298" hidden="1">#REF!</definedName>
    <definedName name="BLPH2299" hidden="1">#REF!</definedName>
    <definedName name="BLPH23" hidden="1">#REF!</definedName>
    <definedName name="BLPH2300" hidden="1">#REF!</definedName>
    <definedName name="BLPH2301" hidden="1">#REF!</definedName>
    <definedName name="BLPH2302" hidden="1">#REF!</definedName>
    <definedName name="BLPH2303" hidden="1">#REF!</definedName>
    <definedName name="BLPH2304" hidden="1">#REF!</definedName>
    <definedName name="BLPH2305" hidden="1">#REF!</definedName>
    <definedName name="BLPH2306" hidden="1">#REF!</definedName>
    <definedName name="BLPH2307" hidden="1">#REF!</definedName>
    <definedName name="BLPH2308" hidden="1">#REF!</definedName>
    <definedName name="BLPH2309" hidden="1">#REF!</definedName>
    <definedName name="BLPH2310" hidden="1">#REF!</definedName>
    <definedName name="BLPH2311" hidden="1">#REF!</definedName>
    <definedName name="BLPH2312" hidden="1">#REF!</definedName>
    <definedName name="BLPH2313" hidden="1">#REF!</definedName>
    <definedName name="BLPH2314" hidden="1">#REF!</definedName>
    <definedName name="BLPH2315" hidden="1">#REF!</definedName>
    <definedName name="BLPH2316" hidden="1">#REF!</definedName>
    <definedName name="BLPH2317" hidden="1">#REF!</definedName>
    <definedName name="BLPH2318" hidden="1">#REF!</definedName>
    <definedName name="BLPH2319" hidden="1">#REF!</definedName>
    <definedName name="BLPH2320" hidden="1">#REF!</definedName>
    <definedName name="BLPH2321" hidden="1">#REF!</definedName>
    <definedName name="BLPH2322" hidden="1">#REF!</definedName>
    <definedName name="BLPH2323" hidden="1">#REF!</definedName>
    <definedName name="BLPH2324" hidden="1">#REF!</definedName>
    <definedName name="BLPH2325" hidden="1">#REF!</definedName>
    <definedName name="BLPH2326" hidden="1">#REF!</definedName>
    <definedName name="BLPH2327" hidden="1">#REF!</definedName>
    <definedName name="BLPH2328" hidden="1">#REF!</definedName>
    <definedName name="BLPH2329" hidden="1">#REF!</definedName>
    <definedName name="BLPH2330" hidden="1">#REF!</definedName>
    <definedName name="BLPH2331" hidden="1">#REF!</definedName>
    <definedName name="BLPH2332" hidden="1">#REF!</definedName>
    <definedName name="BLPH2333" hidden="1">#REF!</definedName>
    <definedName name="BLPH2334" hidden="1">#REF!</definedName>
    <definedName name="BLPH2335" hidden="1">#REF!</definedName>
    <definedName name="BLPH2336" hidden="1">#REF!</definedName>
    <definedName name="BLPH2337" hidden="1">#REF!</definedName>
    <definedName name="BLPH2338" hidden="1">#REF!</definedName>
    <definedName name="BLPH2339" hidden="1">#REF!</definedName>
    <definedName name="BLPH2340" hidden="1">#REF!</definedName>
    <definedName name="BLPH2341" hidden="1">#REF!</definedName>
    <definedName name="BLPH2342" hidden="1">#REF!</definedName>
    <definedName name="BLPH2343" hidden="1">#REF!</definedName>
    <definedName name="BLPH2344" hidden="1">#REF!</definedName>
    <definedName name="BLPH2345" hidden="1">#REF!</definedName>
    <definedName name="BLPH2346" hidden="1">#REF!</definedName>
    <definedName name="BLPH2347" hidden="1">#REF!</definedName>
    <definedName name="BLPH2348" hidden="1">#REF!</definedName>
    <definedName name="BLPH2349" hidden="1">#REF!</definedName>
    <definedName name="BLPH2350" hidden="1">#REF!</definedName>
    <definedName name="BLPH2351" hidden="1">#REF!</definedName>
    <definedName name="BLPH2352" hidden="1">#REF!</definedName>
    <definedName name="BLPH2353" hidden="1">#REF!</definedName>
    <definedName name="BLPH2354" hidden="1">#REF!</definedName>
    <definedName name="BLPH2355" hidden="1">#REF!</definedName>
    <definedName name="BLPH2356" hidden="1">#REF!</definedName>
    <definedName name="BLPH2357" hidden="1">#REF!</definedName>
    <definedName name="BLPH2358" hidden="1">#REF!</definedName>
    <definedName name="BLPH2359" hidden="1">#REF!</definedName>
    <definedName name="BLPH2360" hidden="1">#REF!</definedName>
    <definedName name="BLPH2361" hidden="1">#REF!</definedName>
    <definedName name="BLPH2362" hidden="1">#REF!</definedName>
    <definedName name="BLPH2363" hidden="1">#REF!</definedName>
    <definedName name="BLPH2364" hidden="1">#REF!</definedName>
    <definedName name="BLPH2365" hidden="1">#REF!</definedName>
    <definedName name="BLPH2366" hidden="1">#REF!</definedName>
    <definedName name="BLPH2367" hidden="1">#REF!</definedName>
    <definedName name="BLPH2368" hidden="1">#REF!</definedName>
    <definedName name="BLPH2369" hidden="1">#REF!</definedName>
    <definedName name="BLPH2370" hidden="1">#REF!</definedName>
    <definedName name="BLPH2371" hidden="1">#REF!</definedName>
    <definedName name="BLPH2372" hidden="1">#REF!</definedName>
    <definedName name="BLPH2373" hidden="1">#REF!</definedName>
    <definedName name="BLPH2374" hidden="1">#REF!</definedName>
    <definedName name="BLPH2375" hidden="1">#REF!</definedName>
    <definedName name="BLPH2376" hidden="1">#REF!</definedName>
    <definedName name="BLPH2377" hidden="1">#REF!</definedName>
    <definedName name="BLPH2378" hidden="1">#REF!</definedName>
    <definedName name="BLPH2379" hidden="1">#REF!</definedName>
    <definedName name="BLPH2380" hidden="1">#REF!</definedName>
    <definedName name="BLPH2381" hidden="1">#REF!</definedName>
    <definedName name="BLPH2382" hidden="1">#REF!</definedName>
    <definedName name="BLPH2383" hidden="1">#REF!</definedName>
    <definedName name="BLPH2384" hidden="1">#REF!</definedName>
    <definedName name="BLPH2385" hidden="1">#REF!</definedName>
    <definedName name="BLPH2386" hidden="1">#REF!</definedName>
    <definedName name="BLPH2387" hidden="1">#REF!</definedName>
    <definedName name="BLPH2388" hidden="1">#REF!</definedName>
    <definedName name="BLPH2389" hidden="1">#REF!</definedName>
    <definedName name="BLPH2390" hidden="1">#REF!</definedName>
    <definedName name="BLPH2391" hidden="1">#REF!</definedName>
    <definedName name="BLPH2392" hidden="1">#REF!</definedName>
    <definedName name="BLPH2393" hidden="1">#REF!</definedName>
    <definedName name="BLPH2394" hidden="1">#REF!</definedName>
    <definedName name="BLPH2395" hidden="1">#REF!</definedName>
    <definedName name="BLPH2396" hidden="1">#REF!</definedName>
    <definedName name="BLPH2397" hidden="1">#REF!</definedName>
    <definedName name="BLPH2398" hidden="1">#REF!</definedName>
    <definedName name="BLPH2399" hidden="1">#REF!</definedName>
    <definedName name="BLPH24" hidden="1">#REF!</definedName>
    <definedName name="BLPH2400" hidden="1">#REF!</definedName>
    <definedName name="BLPH2401" hidden="1">#REF!</definedName>
    <definedName name="BLPH2402" hidden="1">#REF!</definedName>
    <definedName name="BLPH2403" hidden="1">#REF!</definedName>
    <definedName name="BLPH2404" hidden="1">#REF!</definedName>
    <definedName name="BLPH2405" hidden="1">#REF!</definedName>
    <definedName name="BLPH2406" hidden="1">#REF!</definedName>
    <definedName name="BLPH2407" hidden="1">#REF!</definedName>
    <definedName name="BLPH2408" hidden="1">#REF!</definedName>
    <definedName name="BLPH2409" hidden="1">#REF!</definedName>
    <definedName name="BLPH2410" hidden="1">#REF!</definedName>
    <definedName name="BLPH2411" hidden="1">#REF!</definedName>
    <definedName name="BLPH2412" hidden="1">#REF!</definedName>
    <definedName name="BLPH2413" hidden="1">#REF!</definedName>
    <definedName name="BLPH2414" hidden="1">#REF!</definedName>
    <definedName name="BLPH2415" hidden="1">#REF!</definedName>
    <definedName name="BLPH2416" hidden="1">#REF!</definedName>
    <definedName name="BLPH2417" hidden="1">#REF!</definedName>
    <definedName name="BLPH2418" hidden="1">#REF!</definedName>
    <definedName name="BLPH2419" hidden="1">#REF!</definedName>
    <definedName name="BLPH2420" hidden="1">#REF!</definedName>
    <definedName name="BLPH2421" hidden="1">#REF!</definedName>
    <definedName name="BLPH2422" hidden="1">#REF!</definedName>
    <definedName name="BLPH2423" hidden="1">#REF!</definedName>
    <definedName name="BLPH2424" hidden="1">#REF!</definedName>
    <definedName name="BLPH2425" hidden="1">#REF!</definedName>
    <definedName name="BLPH2426" hidden="1">#REF!</definedName>
    <definedName name="BLPH2427" hidden="1">#REF!</definedName>
    <definedName name="BLPH2428" hidden="1">#REF!</definedName>
    <definedName name="BLPH2429" hidden="1">#REF!</definedName>
    <definedName name="BLPH2430" hidden="1">#REF!</definedName>
    <definedName name="BLPH2431" hidden="1">#REF!</definedName>
    <definedName name="BLPH2432" hidden="1">#REF!</definedName>
    <definedName name="BLPH2433" hidden="1">#REF!</definedName>
    <definedName name="BLPH2434" hidden="1">#REF!</definedName>
    <definedName name="BLPH2435" hidden="1">#REF!</definedName>
    <definedName name="BLPH2436" hidden="1">#REF!</definedName>
    <definedName name="BLPH2437" hidden="1">#REF!</definedName>
    <definedName name="BLPH2438" hidden="1">#REF!</definedName>
    <definedName name="BLPH2439" hidden="1">#REF!</definedName>
    <definedName name="BLPH2440" hidden="1">#REF!</definedName>
    <definedName name="BLPH2441" hidden="1">#REF!</definedName>
    <definedName name="BLPH2442" hidden="1">#REF!</definedName>
    <definedName name="BLPH2443" hidden="1">#REF!</definedName>
    <definedName name="BLPH2444" hidden="1">#REF!</definedName>
    <definedName name="BLPH2445" hidden="1">#REF!</definedName>
    <definedName name="BLPH2446" hidden="1">#REF!</definedName>
    <definedName name="BLPH2447" hidden="1">#REF!</definedName>
    <definedName name="BLPH2448" hidden="1">#REF!</definedName>
    <definedName name="BLPH2449" hidden="1">#REF!</definedName>
    <definedName name="BLPH2450" hidden="1">#REF!</definedName>
    <definedName name="BLPH2451" hidden="1">#REF!</definedName>
    <definedName name="BLPH2452" hidden="1">#REF!</definedName>
    <definedName name="BLPH2453" hidden="1">#REF!</definedName>
    <definedName name="BLPH2454" hidden="1">#REF!</definedName>
    <definedName name="BLPH2455" hidden="1">#REF!</definedName>
    <definedName name="BLPH2456" hidden="1">#REF!</definedName>
    <definedName name="BLPH2457" hidden="1">#REF!</definedName>
    <definedName name="BLPH2458" hidden="1">#REF!</definedName>
    <definedName name="BLPH2459" hidden="1">#REF!</definedName>
    <definedName name="BLPH2460" hidden="1">#REF!</definedName>
    <definedName name="BLPH2461" hidden="1">#REF!</definedName>
    <definedName name="BLPH2462" hidden="1">#REF!</definedName>
    <definedName name="BLPH2463" hidden="1">#REF!</definedName>
    <definedName name="BLPH2464" hidden="1">#REF!</definedName>
    <definedName name="BLPH2465" hidden="1">#REF!</definedName>
    <definedName name="BLPH2466" hidden="1">#REF!</definedName>
    <definedName name="BLPH2467" hidden="1">#REF!</definedName>
    <definedName name="BLPH2468" hidden="1">#REF!</definedName>
    <definedName name="BLPH2469" hidden="1">#REF!</definedName>
    <definedName name="BLPH2470" hidden="1">#REF!</definedName>
    <definedName name="BLPH2471" hidden="1">#REF!</definedName>
    <definedName name="BLPH2472" hidden="1">#REF!</definedName>
    <definedName name="BLPH2473" hidden="1">#REF!</definedName>
    <definedName name="BLPH2474" hidden="1">#REF!</definedName>
    <definedName name="BLPH2475" hidden="1">#REF!</definedName>
    <definedName name="BLPH2476" hidden="1">#REF!</definedName>
    <definedName name="BLPH2477" hidden="1">#REF!</definedName>
    <definedName name="BLPH2478" hidden="1">#REF!</definedName>
    <definedName name="BLPH2479" hidden="1">#REF!</definedName>
    <definedName name="BLPH2480" hidden="1">#REF!</definedName>
    <definedName name="BLPH2481" hidden="1">#REF!</definedName>
    <definedName name="BLPH2482" hidden="1">#REF!</definedName>
    <definedName name="BLPH2483" hidden="1">#REF!</definedName>
    <definedName name="BLPH2484" hidden="1">#REF!</definedName>
    <definedName name="BLPH2485" hidden="1">#REF!</definedName>
    <definedName name="BLPH2486" hidden="1">#REF!</definedName>
    <definedName name="BLPH2487" hidden="1">#REF!</definedName>
    <definedName name="BLPH2488" hidden="1">#REF!</definedName>
    <definedName name="BLPH2489" hidden="1">#REF!</definedName>
    <definedName name="BLPH2490" hidden="1">#REF!</definedName>
    <definedName name="BLPH2491" hidden="1">#REF!</definedName>
    <definedName name="BLPH2492" hidden="1">#REF!</definedName>
    <definedName name="BLPH2493" hidden="1">#REF!</definedName>
    <definedName name="BLPH2494" hidden="1">#REF!</definedName>
    <definedName name="BLPH2495" hidden="1">#REF!</definedName>
    <definedName name="BLPH2496" hidden="1">#REF!</definedName>
    <definedName name="BLPH2497" hidden="1">#REF!</definedName>
    <definedName name="BLPH2498" hidden="1">#REF!</definedName>
    <definedName name="BLPH2499" hidden="1">#REF!</definedName>
    <definedName name="BLPH25" hidden="1">#REF!</definedName>
    <definedName name="BLPH2500" hidden="1">#REF!</definedName>
    <definedName name="BLPH2501" hidden="1">#REF!</definedName>
    <definedName name="BLPH2502" hidden="1">#REF!</definedName>
    <definedName name="BLPH2503" hidden="1">#REF!</definedName>
    <definedName name="BLPH2504" hidden="1">#REF!</definedName>
    <definedName name="BLPH2505" hidden="1">#REF!</definedName>
    <definedName name="BLPH2506" hidden="1">#REF!</definedName>
    <definedName name="BLPH2507" hidden="1">#REF!</definedName>
    <definedName name="BLPH2508" hidden="1">#REF!</definedName>
    <definedName name="BLPH2509" hidden="1">#REF!</definedName>
    <definedName name="BLPH2510" hidden="1">#REF!</definedName>
    <definedName name="BLPH2511" hidden="1">#REF!</definedName>
    <definedName name="BLPH2512" hidden="1">#REF!</definedName>
    <definedName name="BLPH2513" hidden="1">#REF!</definedName>
    <definedName name="BLPH2514" hidden="1">#REF!</definedName>
    <definedName name="BLPH2515" hidden="1">#REF!</definedName>
    <definedName name="BLPH2516" hidden="1">#REF!</definedName>
    <definedName name="BLPH2517" hidden="1">#REF!</definedName>
    <definedName name="BLPH2518" hidden="1">#REF!</definedName>
    <definedName name="BLPH2519" hidden="1">#REF!</definedName>
    <definedName name="BLPH2520" hidden="1">#REF!</definedName>
    <definedName name="BLPH2521" hidden="1">#REF!</definedName>
    <definedName name="BLPH2522" hidden="1">#REF!</definedName>
    <definedName name="BLPH2523" hidden="1">#REF!</definedName>
    <definedName name="BLPH2524" hidden="1">#REF!</definedName>
    <definedName name="BLPH2525" hidden="1">#REF!</definedName>
    <definedName name="BLPH2526" hidden="1">#REF!</definedName>
    <definedName name="BLPH2527" hidden="1">#REF!</definedName>
    <definedName name="BLPH2528" hidden="1">#REF!</definedName>
    <definedName name="BLPH2529" hidden="1">#REF!</definedName>
    <definedName name="BLPH2530" hidden="1">#REF!</definedName>
    <definedName name="BLPH2531" hidden="1">#REF!</definedName>
    <definedName name="BLPH2532" hidden="1">#REF!</definedName>
    <definedName name="BLPH2533" hidden="1">#REF!</definedName>
    <definedName name="BLPH2534" hidden="1">#REF!</definedName>
    <definedName name="BLPH2535" hidden="1">#REF!</definedName>
    <definedName name="BLPH2536" hidden="1">#REF!</definedName>
    <definedName name="BLPH2537" hidden="1">#REF!</definedName>
    <definedName name="BLPH2538" hidden="1">#REF!</definedName>
    <definedName name="BLPH2539" hidden="1">#REF!</definedName>
    <definedName name="BLPH2540" hidden="1">#REF!</definedName>
    <definedName name="BLPH2541" hidden="1">#REF!</definedName>
    <definedName name="BLPH2542" hidden="1">#REF!</definedName>
    <definedName name="BLPH2543" hidden="1">#REF!</definedName>
    <definedName name="BLPH2544" hidden="1">#REF!</definedName>
    <definedName name="BLPH2545" hidden="1">#REF!</definedName>
    <definedName name="BLPH2546" hidden="1">#REF!</definedName>
    <definedName name="BLPH2547" hidden="1">#REF!</definedName>
    <definedName name="BLPH2548" hidden="1">#REF!</definedName>
    <definedName name="BLPH2549" hidden="1">#REF!</definedName>
    <definedName name="BLPH2550" hidden="1">#REF!</definedName>
    <definedName name="BLPH2551" hidden="1">#REF!</definedName>
    <definedName name="BLPH2552" hidden="1">#REF!</definedName>
    <definedName name="BLPH2553" hidden="1">#REF!</definedName>
    <definedName name="BLPH2554" hidden="1">#REF!</definedName>
    <definedName name="BLPH2555" hidden="1">#REF!</definedName>
    <definedName name="BLPH2556" hidden="1">#REF!</definedName>
    <definedName name="BLPH2557" hidden="1">#REF!</definedName>
    <definedName name="BLPH2558" hidden="1">#REF!</definedName>
    <definedName name="BLPH2559" hidden="1">#REF!</definedName>
    <definedName name="BLPH2560" hidden="1">#REF!</definedName>
    <definedName name="BLPH2561" hidden="1">#REF!</definedName>
    <definedName name="BLPH2562" hidden="1">#REF!</definedName>
    <definedName name="BLPH2563" hidden="1">#REF!</definedName>
    <definedName name="BLPH2564" hidden="1">#REF!</definedName>
    <definedName name="BLPH2565" hidden="1">#REF!</definedName>
    <definedName name="BLPH2566" hidden="1">#REF!</definedName>
    <definedName name="BLPH2567" hidden="1">#REF!</definedName>
    <definedName name="BLPH2568" hidden="1">#REF!</definedName>
    <definedName name="BLPH2569" hidden="1">#REF!</definedName>
    <definedName name="BLPH2570" hidden="1">#REF!</definedName>
    <definedName name="BLPH2571" hidden="1">#REF!</definedName>
    <definedName name="BLPH2572" hidden="1">#REF!</definedName>
    <definedName name="BLPH2573" hidden="1">#REF!</definedName>
    <definedName name="BLPH2574" hidden="1">#REF!</definedName>
    <definedName name="BLPH2575" hidden="1">#REF!</definedName>
    <definedName name="BLPH2576" hidden="1">#REF!</definedName>
    <definedName name="BLPH2577" hidden="1">#REF!</definedName>
    <definedName name="BLPH2578" hidden="1">#REF!</definedName>
    <definedName name="BLPH2579" hidden="1">#REF!</definedName>
    <definedName name="BLPH2580" hidden="1">#REF!</definedName>
    <definedName name="BLPH2581" hidden="1">#REF!</definedName>
    <definedName name="BLPH2582" hidden="1">#REF!</definedName>
    <definedName name="BLPH2583" hidden="1">#REF!</definedName>
    <definedName name="BLPH2584" hidden="1">#REF!</definedName>
    <definedName name="BLPH2585" hidden="1">#REF!</definedName>
    <definedName name="BLPH2586" hidden="1">#REF!</definedName>
    <definedName name="BLPH2587" hidden="1">#REF!</definedName>
    <definedName name="BLPH2588" hidden="1">#REF!</definedName>
    <definedName name="BLPH2589" hidden="1">#REF!</definedName>
    <definedName name="BLPH2590" hidden="1">#REF!</definedName>
    <definedName name="BLPH2591" hidden="1">#REF!</definedName>
    <definedName name="BLPH2592" hidden="1">#REF!</definedName>
    <definedName name="BLPH2593" hidden="1">#REF!</definedName>
    <definedName name="BLPH2594" hidden="1">#REF!</definedName>
    <definedName name="BLPH2595" hidden="1">#REF!</definedName>
    <definedName name="BLPH2596" hidden="1">#REF!</definedName>
    <definedName name="BLPH2597" hidden="1">#REF!</definedName>
    <definedName name="BLPH2598" hidden="1">#REF!</definedName>
    <definedName name="BLPH2599" hidden="1">#REF!</definedName>
    <definedName name="BLPH26" hidden="1">#REF!</definedName>
    <definedName name="BLPH2600" hidden="1">#REF!</definedName>
    <definedName name="BLPH2601" hidden="1">#REF!</definedName>
    <definedName name="BLPH2602" hidden="1">#REF!</definedName>
    <definedName name="BLPH2603" hidden="1">#REF!</definedName>
    <definedName name="BLPH2604" hidden="1">#REF!</definedName>
    <definedName name="BLPH2605" hidden="1">#REF!</definedName>
    <definedName name="BLPH2606" hidden="1">#REF!</definedName>
    <definedName name="BLPH2607" hidden="1">#REF!</definedName>
    <definedName name="BLPH2608" hidden="1">#REF!</definedName>
    <definedName name="BLPH2609" hidden="1">#REF!</definedName>
    <definedName name="BLPH2610" hidden="1">#REF!</definedName>
    <definedName name="BLPH2611" hidden="1">#REF!</definedName>
    <definedName name="BLPH2612" hidden="1">#REF!</definedName>
    <definedName name="BLPH2613" hidden="1">#REF!</definedName>
    <definedName name="BLPH2614" hidden="1">#REF!</definedName>
    <definedName name="BLPH2615" hidden="1">#REF!</definedName>
    <definedName name="BLPH2616" hidden="1">#REF!</definedName>
    <definedName name="BLPH2617" hidden="1">#REF!</definedName>
    <definedName name="BLPH2618" hidden="1">#REF!</definedName>
    <definedName name="BLPH2619" hidden="1">#REF!</definedName>
    <definedName name="BLPH2620" hidden="1">#REF!</definedName>
    <definedName name="BLPH2621" hidden="1">#REF!</definedName>
    <definedName name="BLPH2622" hidden="1">#REF!</definedName>
    <definedName name="BLPH2623" hidden="1">#REF!</definedName>
    <definedName name="BLPH2624" hidden="1">#REF!</definedName>
    <definedName name="BLPH2625" hidden="1">#REF!</definedName>
    <definedName name="BLPH2626" hidden="1">#REF!</definedName>
    <definedName name="BLPH2627" hidden="1">#REF!</definedName>
    <definedName name="BLPH2628" hidden="1">#REF!</definedName>
    <definedName name="BLPH2629" hidden="1">#REF!</definedName>
    <definedName name="BLPH2630" hidden="1">#REF!</definedName>
    <definedName name="BLPH2631" hidden="1">#REF!</definedName>
    <definedName name="BLPH2632" hidden="1">#REF!</definedName>
    <definedName name="BLPH2633" hidden="1">#REF!</definedName>
    <definedName name="BLPH2634" hidden="1">#REF!</definedName>
    <definedName name="BLPH2635" hidden="1">#REF!</definedName>
    <definedName name="BLPH2636" hidden="1">#REF!</definedName>
    <definedName name="BLPH2637" hidden="1">#REF!</definedName>
    <definedName name="BLPH2638" hidden="1">#REF!</definedName>
    <definedName name="BLPH2639" hidden="1">#REF!</definedName>
    <definedName name="BLPH2640" hidden="1">#REF!</definedName>
    <definedName name="BLPH2641" hidden="1">#REF!</definedName>
    <definedName name="BLPH2642" hidden="1">#REF!</definedName>
    <definedName name="BLPH2643" hidden="1">#REF!</definedName>
    <definedName name="BLPH2644" hidden="1">#REF!</definedName>
    <definedName name="BLPH2645" hidden="1">#REF!</definedName>
    <definedName name="BLPH2646" hidden="1">#REF!</definedName>
    <definedName name="BLPH2647" hidden="1">#REF!</definedName>
    <definedName name="BLPH2648" hidden="1">#REF!</definedName>
    <definedName name="BLPH2649" hidden="1">#REF!</definedName>
    <definedName name="BLPH2650" hidden="1">#REF!</definedName>
    <definedName name="BLPH2651" hidden="1">#REF!</definedName>
    <definedName name="BLPH2652" hidden="1">#REF!</definedName>
    <definedName name="BLPH2653" hidden="1">#REF!</definedName>
    <definedName name="BLPH2654" hidden="1">#REF!</definedName>
    <definedName name="BLPH2655" hidden="1">#REF!</definedName>
    <definedName name="BLPH2656" hidden="1">#REF!</definedName>
    <definedName name="BLPH2657" hidden="1">#REF!</definedName>
    <definedName name="BLPH2658" hidden="1">#REF!</definedName>
    <definedName name="BLPH2659" hidden="1">#REF!</definedName>
    <definedName name="BLPH2660" hidden="1">#REF!</definedName>
    <definedName name="BLPH2661" hidden="1">#REF!</definedName>
    <definedName name="BLPH2662" hidden="1">#REF!</definedName>
    <definedName name="BLPH2663" hidden="1">#REF!</definedName>
    <definedName name="BLPH2664" hidden="1">#REF!</definedName>
    <definedName name="BLPH2665" hidden="1">#REF!</definedName>
    <definedName name="BLPH2666" hidden="1">#REF!</definedName>
    <definedName name="BLPH2667" hidden="1">#REF!</definedName>
    <definedName name="BLPH2668" hidden="1">#REF!</definedName>
    <definedName name="BLPH2669" hidden="1">#REF!</definedName>
    <definedName name="BLPH2670" hidden="1">#REF!</definedName>
    <definedName name="BLPH2671" hidden="1">#REF!</definedName>
    <definedName name="BLPH2672" hidden="1">#REF!</definedName>
    <definedName name="BLPH2673" hidden="1">#REF!</definedName>
    <definedName name="BLPH2674" hidden="1">#REF!</definedName>
    <definedName name="BLPH2675" hidden="1">#REF!</definedName>
    <definedName name="BLPH2676" hidden="1">#REF!</definedName>
    <definedName name="BLPH2677" hidden="1">#REF!</definedName>
    <definedName name="BLPH2678" hidden="1">#REF!</definedName>
    <definedName name="BLPH2679" hidden="1">#REF!</definedName>
    <definedName name="BLPH2680" hidden="1">#REF!</definedName>
    <definedName name="BLPH2681" hidden="1">#REF!</definedName>
    <definedName name="BLPH2682" hidden="1">#REF!</definedName>
    <definedName name="BLPH2683" hidden="1">#REF!</definedName>
    <definedName name="BLPH2684" hidden="1">#REF!</definedName>
    <definedName name="BLPH2685" hidden="1">#REF!</definedName>
    <definedName name="BLPH2686" hidden="1">#REF!</definedName>
    <definedName name="BLPH2687" hidden="1">#REF!</definedName>
    <definedName name="BLPH2688" hidden="1">#REF!</definedName>
    <definedName name="BLPH2689" hidden="1">#REF!</definedName>
    <definedName name="BLPH2690" hidden="1">#REF!</definedName>
    <definedName name="BLPH2691" hidden="1">#REF!</definedName>
    <definedName name="BLPH2692" hidden="1">#REF!</definedName>
    <definedName name="BLPH2693" hidden="1">#REF!</definedName>
    <definedName name="BLPH2694" hidden="1">#REF!</definedName>
    <definedName name="BLPH2695" hidden="1">#REF!</definedName>
    <definedName name="BLPH2696" hidden="1">#REF!</definedName>
    <definedName name="BLPH2697" hidden="1">#REF!</definedName>
    <definedName name="BLPH2698" hidden="1">#REF!</definedName>
    <definedName name="BLPH2699" hidden="1">#REF!</definedName>
    <definedName name="BLPH27" hidden="1">#REF!</definedName>
    <definedName name="BLPH2700" hidden="1">#REF!</definedName>
    <definedName name="BLPH2701" hidden="1">#REF!</definedName>
    <definedName name="BLPH2702" hidden="1">#REF!</definedName>
    <definedName name="BLPH2703" hidden="1">#REF!</definedName>
    <definedName name="BLPH2704" hidden="1">#REF!</definedName>
    <definedName name="BLPH2705" hidden="1">#REF!</definedName>
    <definedName name="BLPH2706" hidden="1">#REF!</definedName>
    <definedName name="BLPH2707" hidden="1">#REF!</definedName>
    <definedName name="BLPH2708" hidden="1">#REF!</definedName>
    <definedName name="BLPH2709" hidden="1">#REF!</definedName>
    <definedName name="BLPH2710" hidden="1">#REF!</definedName>
    <definedName name="BLPH2711" hidden="1">#REF!</definedName>
    <definedName name="BLPH2712" hidden="1">#REF!</definedName>
    <definedName name="BLPH2713" hidden="1">#REF!</definedName>
    <definedName name="BLPH2714" hidden="1">#REF!</definedName>
    <definedName name="BLPH2715" hidden="1">#REF!</definedName>
    <definedName name="BLPH2716" hidden="1">#REF!</definedName>
    <definedName name="BLPH2717" hidden="1">#REF!</definedName>
    <definedName name="BLPH2718" hidden="1">#REF!</definedName>
    <definedName name="BLPH2719" hidden="1">#REF!</definedName>
    <definedName name="BLPH2720" hidden="1">#REF!</definedName>
    <definedName name="BLPH2721" hidden="1">#REF!</definedName>
    <definedName name="BLPH2722" hidden="1">#REF!</definedName>
    <definedName name="BLPH2723" hidden="1">#REF!</definedName>
    <definedName name="BLPH2724" hidden="1">#REF!</definedName>
    <definedName name="BLPH2725" hidden="1">#REF!</definedName>
    <definedName name="BLPH2726" hidden="1">#REF!</definedName>
    <definedName name="BLPH2727" hidden="1">#REF!</definedName>
    <definedName name="BLPH2728" hidden="1">#REF!</definedName>
    <definedName name="BLPH2729" hidden="1">#REF!</definedName>
    <definedName name="BLPH2730" hidden="1">#REF!</definedName>
    <definedName name="BLPH2731" hidden="1">#REF!</definedName>
    <definedName name="BLPH2732" hidden="1">#REF!</definedName>
    <definedName name="BLPH2733" hidden="1">#REF!</definedName>
    <definedName name="BLPH2734" hidden="1">#REF!</definedName>
    <definedName name="BLPH2735" hidden="1">#REF!</definedName>
    <definedName name="BLPH2736" hidden="1">#REF!</definedName>
    <definedName name="BLPH2737" hidden="1">#REF!</definedName>
    <definedName name="BLPH2738" hidden="1">#REF!</definedName>
    <definedName name="BLPH2739" hidden="1">#REF!</definedName>
    <definedName name="BLPH2740" hidden="1">#REF!</definedName>
    <definedName name="BLPH2741" hidden="1">#REF!</definedName>
    <definedName name="BLPH2742" hidden="1">#REF!</definedName>
    <definedName name="BLPH2743" hidden="1">#REF!</definedName>
    <definedName name="BLPH2744" hidden="1">#REF!</definedName>
    <definedName name="BLPH2745" hidden="1">#REF!</definedName>
    <definedName name="BLPH2746" hidden="1">#REF!</definedName>
    <definedName name="BLPH2747" hidden="1">#REF!</definedName>
    <definedName name="BLPH2748" hidden="1">#REF!</definedName>
    <definedName name="BLPH2749" hidden="1">#REF!</definedName>
    <definedName name="BLPH2750" hidden="1">#REF!</definedName>
    <definedName name="BLPH2751" hidden="1">#REF!</definedName>
    <definedName name="BLPH2752" hidden="1">#REF!</definedName>
    <definedName name="BLPH2753" hidden="1">#REF!</definedName>
    <definedName name="BLPH2754" hidden="1">#REF!</definedName>
    <definedName name="BLPH2755" hidden="1">#REF!</definedName>
    <definedName name="BLPH2756" hidden="1">#REF!</definedName>
    <definedName name="BLPH2757" hidden="1">#REF!</definedName>
    <definedName name="BLPH2758" hidden="1">#REF!</definedName>
    <definedName name="BLPH2759" hidden="1">#REF!</definedName>
    <definedName name="BLPH2760" hidden="1">#REF!</definedName>
    <definedName name="BLPH2761" hidden="1">#REF!</definedName>
    <definedName name="BLPH2762" hidden="1">#REF!</definedName>
    <definedName name="BLPH2763" hidden="1">#REF!</definedName>
    <definedName name="BLPH2764" hidden="1">#REF!</definedName>
    <definedName name="BLPH2765" hidden="1">#REF!</definedName>
    <definedName name="BLPH2766" hidden="1">#REF!</definedName>
    <definedName name="BLPH2767" hidden="1">#REF!</definedName>
    <definedName name="BLPH2768" hidden="1">#REF!</definedName>
    <definedName name="BLPH2769" hidden="1">#REF!</definedName>
    <definedName name="BLPH2770" hidden="1">#REF!</definedName>
    <definedName name="BLPH2771" hidden="1">#REF!</definedName>
    <definedName name="BLPH2772" hidden="1">#REF!</definedName>
    <definedName name="BLPH2773" hidden="1">#REF!</definedName>
    <definedName name="BLPH2774" hidden="1">#REF!</definedName>
    <definedName name="BLPH2775" hidden="1">#REF!</definedName>
    <definedName name="BLPH2776" hidden="1">#REF!</definedName>
    <definedName name="BLPH2777" hidden="1">#REF!</definedName>
    <definedName name="BLPH2778" hidden="1">#REF!</definedName>
    <definedName name="BLPH2779" hidden="1">#REF!</definedName>
    <definedName name="BLPH2780" hidden="1">#REF!</definedName>
    <definedName name="BLPH2781" hidden="1">#REF!</definedName>
    <definedName name="BLPH2782" hidden="1">#REF!</definedName>
    <definedName name="BLPH2783" hidden="1">#REF!</definedName>
    <definedName name="BLPH2784" hidden="1">#REF!</definedName>
    <definedName name="BLPH2785" hidden="1">#REF!</definedName>
    <definedName name="BLPH2786" hidden="1">#REF!</definedName>
    <definedName name="BLPH2787" hidden="1">#REF!</definedName>
    <definedName name="BLPH2788" hidden="1">#REF!</definedName>
    <definedName name="BLPH2789" hidden="1">#REF!</definedName>
    <definedName name="BLPH2790" hidden="1">#REF!</definedName>
    <definedName name="BLPH2791" hidden="1">#REF!</definedName>
    <definedName name="BLPH2792" hidden="1">#REF!</definedName>
    <definedName name="BLPH2793" hidden="1">#REF!</definedName>
    <definedName name="BLPH2794" hidden="1">#REF!</definedName>
    <definedName name="BLPH2795" hidden="1">#REF!</definedName>
    <definedName name="BLPH2796" hidden="1">#REF!</definedName>
    <definedName name="BLPH2797" hidden="1">#REF!</definedName>
    <definedName name="BLPH2798" hidden="1">#REF!</definedName>
    <definedName name="BLPH2799" hidden="1">#REF!</definedName>
    <definedName name="BLPH28" hidden="1">#REF!</definedName>
    <definedName name="BLPH2800" hidden="1">#REF!</definedName>
    <definedName name="BLPH2801" hidden="1">#REF!</definedName>
    <definedName name="BLPH2802" hidden="1">#REF!</definedName>
    <definedName name="BLPH2803" hidden="1">#REF!</definedName>
    <definedName name="BLPH2804" hidden="1">#REF!</definedName>
    <definedName name="BLPH2805" hidden="1">#REF!</definedName>
    <definedName name="BLPH2806" hidden="1">#REF!</definedName>
    <definedName name="BLPH2807" hidden="1">#REF!</definedName>
    <definedName name="BLPH2808" hidden="1">#REF!</definedName>
    <definedName name="BLPH2809" hidden="1">#REF!</definedName>
    <definedName name="BLPH2810" hidden="1">#REF!</definedName>
    <definedName name="BLPH2811" hidden="1">#REF!</definedName>
    <definedName name="BLPH2812" hidden="1">#REF!</definedName>
    <definedName name="BLPH2813" hidden="1">#REF!</definedName>
    <definedName name="BLPH2814" hidden="1">#REF!</definedName>
    <definedName name="BLPH2815" hidden="1">#REF!</definedName>
    <definedName name="BLPH2816" hidden="1">#REF!</definedName>
    <definedName name="BLPH2817" hidden="1">#REF!</definedName>
    <definedName name="BLPH2818" hidden="1">#REF!</definedName>
    <definedName name="BLPH2819" hidden="1">#REF!</definedName>
    <definedName name="BLPH2820" hidden="1">#REF!</definedName>
    <definedName name="BLPH2821" hidden="1">#REF!</definedName>
    <definedName name="BLPH2822" hidden="1">#REF!</definedName>
    <definedName name="BLPH2823" hidden="1">#REF!</definedName>
    <definedName name="BLPH2824" hidden="1">#REF!</definedName>
    <definedName name="BLPH2825" hidden="1">#REF!</definedName>
    <definedName name="BLPH2826" hidden="1">#REF!</definedName>
    <definedName name="BLPH2827" hidden="1">#REF!</definedName>
    <definedName name="BLPH2828" hidden="1">#REF!</definedName>
    <definedName name="BLPH2829" hidden="1">#REF!</definedName>
    <definedName name="BLPH2830" hidden="1">#REF!</definedName>
    <definedName name="BLPH2831" hidden="1">#REF!</definedName>
    <definedName name="BLPH2832" hidden="1">#REF!</definedName>
    <definedName name="BLPH2833" hidden="1">#REF!</definedName>
    <definedName name="BLPH2834" hidden="1">#REF!</definedName>
    <definedName name="BLPH2835" hidden="1">#REF!</definedName>
    <definedName name="BLPH2836" hidden="1">#REF!</definedName>
    <definedName name="BLPH2837" hidden="1">#REF!</definedName>
    <definedName name="BLPH2838" hidden="1">#REF!</definedName>
    <definedName name="BLPH2839" hidden="1">#REF!</definedName>
    <definedName name="BLPH2840" hidden="1">#REF!</definedName>
    <definedName name="BLPH2841" hidden="1">#REF!</definedName>
    <definedName name="BLPH2842" hidden="1">#REF!</definedName>
    <definedName name="BLPH2843" hidden="1">#REF!</definedName>
    <definedName name="BLPH2844" hidden="1">#REF!</definedName>
    <definedName name="BLPH2845" hidden="1">#REF!</definedName>
    <definedName name="BLPH2846" hidden="1">#REF!</definedName>
    <definedName name="BLPH2847" hidden="1">#REF!</definedName>
    <definedName name="BLPH2848" hidden="1">#REF!</definedName>
    <definedName name="BLPH2849" hidden="1">#REF!</definedName>
    <definedName name="BLPH2850" hidden="1">#REF!</definedName>
    <definedName name="BLPH2851" hidden="1">#REF!</definedName>
    <definedName name="BLPH2852" hidden="1">#REF!</definedName>
    <definedName name="BLPH2853" hidden="1">#REF!</definedName>
    <definedName name="BLPH2854" hidden="1">#REF!</definedName>
    <definedName name="BLPH2855" hidden="1">#REF!</definedName>
    <definedName name="BLPH2856" hidden="1">#REF!</definedName>
    <definedName name="BLPH2857" hidden="1">#REF!</definedName>
    <definedName name="BLPH2858" hidden="1">#REF!</definedName>
    <definedName name="BLPH2859" hidden="1">#REF!</definedName>
    <definedName name="BLPH2860" hidden="1">#REF!</definedName>
    <definedName name="BLPH2861" hidden="1">#REF!</definedName>
    <definedName name="BLPH2862" hidden="1">#REF!</definedName>
    <definedName name="BLPH2863" hidden="1">#REF!</definedName>
    <definedName name="BLPH2864" hidden="1">#REF!</definedName>
    <definedName name="BLPH2865" hidden="1">#REF!</definedName>
    <definedName name="BLPH2866" hidden="1">#REF!</definedName>
    <definedName name="BLPH2867" hidden="1">#REF!</definedName>
    <definedName name="BLPH2868" hidden="1">#REF!</definedName>
    <definedName name="BLPH2869" hidden="1">#REF!</definedName>
    <definedName name="BLPH2870" hidden="1">#REF!</definedName>
    <definedName name="BLPH2871" hidden="1">#REF!</definedName>
    <definedName name="BLPH2872" hidden="1">#REF!</definedName>
    <definedName name="BLPH2873" hidden="1">#REF!</definedName>
    <definedName name="BLPH2874" hidden="1">#REF!</definedName>
    <definedName name="BLPH2875" hidden="1">#REF!</definedName>
    <definedName name="BLPH2876" hidden="1">#REF!</definedName>
    <definedName name="BLPH2877" hidden="1">#REF!</definedName>
    <definedName name="BLPH2878" hidden="1">#REF!</definedName>
    <definedName name="BLPH2879" hidden="1">#REF!</definedName>
    <definedName name="BLPH2880" hidden="1">#REF!</definedName>
    <definedName name="BLPH2881" hidden="1">#REF!</definedName>
    <definedName name="BLPH2882" hidden="1">#REF!</definedName>
    <definedName name="BLPH2883" hidden="1">#REF!</definedName>
    <definedName name="BLPH2884" hidden="1">#REF!</definedName>
    <definedName name="BLPH2885" hidden="1">#REF!</definedName>
    <definedName name="BLPH2886" hidden="1">#REF!</definedName>
    <definedName name="BLPH2887" hidden="1">#REF!</definedName>
    <definedName name="BLPH2888" hidden="1">#REF!</definedName>
    <definedName name="BLPH2889" hidden="1">#REF!</definedName>
    <definedName name="BLPH2890" hidden="1">#REF!</definedName>
    <definedName name="BLPH2891" hidden="1">#REF!</definedName>
    <definedName name="BLPH2892" hidden="1">#REF!</definedName>
    <definedName name="BLPH2893" hidden="1">#REF!</definedName>
    <definedName name="BLPH2894" hidden="1">#REF!</definedName>
    <definedName name="BLPH2895" hidden="1">#REF!</definedName>
    <definedName name="BLPH2896" hidden="1">#REF!</definedName>
    <definedName name="BLPH2897" hidden="1">#REF!</definedName>
    <definedName name="BLPH2898" hidden="1">#REF!</definedName>
    <definedName name="BLPH2899" hidden="1">#REF!</definedName>
    <definedName name="BLPH29" hidden="1">#REF!</definedName>
    <definedName name="BLPH2900" hidden="1">#REF!</definedName>
    <definedName name="BLPH2901" hidden="1">#REF!</definedName>
    <definedName name="BLPH2902" hidden="1">#REF!</definedName>
    <definedName name="BLPH2903" hidden="1">#REF!</definedName>
    <definedName name="BLPH2904" hidden="1">#REF!</definedName>
    <definedName name="BLPH2905" hidden="1">#REF!</definedName>
    <definedName name="BLPH2906" hidden="1">#REF!</definedName>
    <definedName name="BLPH2907" hidden="1">#REF!</definedName>
    <definedName name="BLPH2908" hidden="1">#REF!</definedName>
    <definedName name="BLPH2909" hidden="1">#REF!</definedName>
    <definedName name="BLPH2910" hidden="1">#REF!</definedName>
    <definedName name="BLPH2911" hidden="1">#REF!</definedName>
    <definedName name="BLPH2912" hidden="1">#REF!</definedName>
    <definedName name="BLPH2913" hidden="1">#REF!</definedName>
    <definedName name="BLPH2914" hidden="1">#REF!</definedName>
    <definedName name="BLPH2915" hidden="1">#REF!</definedName>
    <definedName name="BLPH2916" hidden="1">#REF!</definedName>
    <definedName name="BLPH2917" hidden="1">#REF!</definedName>
    <definedName name="BLPH2918" hidden="1">#REF!</definedName>
    <definedName name="BLPH2919" hidden="1">#REF!</definedName>
    <definedName name="BLPH2920" hidden="1">#REF!</definedName>
    <definedName name="BLPH2921" hidden="1">#REF!</definedName>
    <definedName name="BLPH2922" hidden="1">#REF!</definedName>
    <definedName name="BLPH2923" hidden="1">#REF!</definedName>
    <definedName name="BLPH2924" hidden="1">#REF!</definedName>
    <definedName name="BLPH2925" hidden="1">#REF!</definedName>
    <definedName name="BLPH2926" hidden="1">#REF!</definedName>
    <definedName name="BLPH2927" hidden="1">#REF!</definedName>
    <definedName name="BLPH2928" hidden="1">#REF!</definedName>
    <definedName name="BLPH2929" hidden="1">#REF!</definedName>
    <definedName name="BLPH2930" hidden="1">#REF!</definedName>
    <definedName name="BLPH2931" hidden="1">#REF!</definedName>
    <definedName name="BLPH2932" hidden="1">#REF!</definedName>
    <definedName name="BLPH2933" hidden="1">#REF!</definedName>
    <definedName name="BLPH2934" hidden="1">#REF!</definedName>
    <definedName name="BLPH2935" hidden="1">#REF!</definedName>
    <definedName name="BLPH2936" hidden="1">#REF!</definedName>
    <definedName name="BLPH2937" hidden="1">#REF!</definedName>
    <definedName name="BLPH2938" hidden="1">#REF!</definedName>
    <definedName name="BLPH2939" hidden="1">#REF!</definedName>
    <definedName name="BLPH2940" hidden="1">#REF!</definedName>
    <definedName name="BLPH2941" hidden="1">#REF!</definedName>
    <definedName name="BLPH2942" hidden="1">#REF!</definedName>
    <definedName name="BLPH2943" hidden="1">#REF!</definedName>
    <definedName name="BLPH2944" hidden="1">#REF!</definedName>
    <definedName name="BLPH2945" hidden="1">#REF!</definedName>
    <definedName name="BLPH2946" hidden="1">#REF!</definedName>
    <definedName name="BLPH2947" hidden="1">#REF!</definedName>
    <definedName name="BLPH2948" hidden="1">#REF!</definedName>
    <definedName name="BLPH2949" hidden="1">#REF!</definedName>
    <definedName name="BLPH2950" hidden="1">#REF!</definedName>
    <definedName name="BLPH2951" hidden="1">#REF!</definedName>
    <definedName name="BLPH2952" hidden="1">#REF!</definedName>
    <definedName name="BLPH2953" hidden="1">#REF!</definedName>
    <definedName name="BLPH2954" hidden="1">#REF!</definedName>
    <definedName name="BLPH2955" hidden="1">#REF!</definedName>
    <definedName name="BLPH2956" hidden="1">#REF!</definedName>
    <definedName name="BLPH2957" hidden="1">#REF!</definedName>
    <definedName name="BLPH2958" hidden="1">#REF!</definedName>
    <definedName name="BLPH2959" hidden="1">#REF!</definedName>
    <definedName name="BLPH2960" hidden="1">#REF!</definedName>
    <definedName name="BLPH2961" hidden="1">#REF!</definedName>
    <definedName name="BLPH2962" hidden="1">#REF!</definedName>
    <definedName name="BLPH2963" hidden="1">#REF!</definedName>
    <definedName name="BLPH2964" hidden="1">#REF!</definedName>
    <definedName name="BLPH2965" hidden="1">#REF!</definedName>
    <definedName name="BLPH2966" hidden="1">#REF!</definedName>
    <definedName name="BLPH2967" hidden="1">#REF!</definedName>
    <definedName name="BLPH2968" hidden="1">#REF!</definedName>
    <definedName name="BLPH2969" hidden="1">#REF!</definedName>
    <definedName name="BLPH2970" hidden="1">#REF!</definedName>
    <definedName name="BLPH2971" hidden="1">#REF!</definedName>
    <definedName name="BLPH2972" hidden="1">#REF!</definedName>
    <definedName name="BLPH2973" hidden="1">#REF!</definedName>
    <definedName name="BLPH2974" hidden="1">#REF!</definedName>
    <definedName name="BLPH2975" hidden="1">#REF!</definedName>
    <definedName name="BLPH2976" hidden="1">#REF!</definedName>
    <definedName name="BLPH2977" hidden="1">#REF!</definedName>
    <definedName name="BLPH2978" hidden="1">#REF!</definedName>
    <definedName name="BLPH2979" hidden="1">#REF!</definedName>
    <definedName name="BLPH2980" hidden="1">#REF!</definedName>
    <definedName name="BLPH2981" hidden="1">#REF!</definedName>
    <definedName name="BLPH2982" hidden="1">#REF!</definedName>
    <definedName name="BLPH2983" hidden="1">#REF!</definedName>
    <definedName name="BLPH2984" hidden="1">#REF!</definedName>
    <definedName name="BLPH2985" hidden="1">#REF!</definedName>
    <definedName name="BLPH2986" hidden="1">#REF!</definedName>
    <definedName name="BLPH2987" hidden="1">#REF!</definedName>
    <definedName name="BLPH2988" hidden="1">#REF!</definedName>
    <definedName name="BLPH2989" hidden="1">#REF!</definedName>
    <definedName name="BLPH2990" hidden="1">#REF!</definedName>
    <definedName name="BLPH2991" hidden="1">#REF!</definedName>
    <definedName name="BLPH2992" hidden="1">#REF!</definedName>
    <definedName name="BLPH2993" hidden="1">#REF!</definedName>
    <definedName name="BLPH2994" hidden="1">#REF!</definedName>
    <definedName name="BLPH2995" hidden="1">#REF!</definedName>
    <definedName name="BLPH2996" hidden="1">#REF!</definedName>
    <definedName name="BLPH2997" hidden="1">#REF!</definedName>
    <definedName name="BLPH2998" hidden="1">#REF!</definedName>
    <definedName name="BLPH2999" hidden="1">#REF!</definedName>
    <definedName name="BLPH3" hidden="1">#REF!</definedName>
    <definedName name="BLPH30" hidden="1">#REF!</definedName>
    <definedName name="BLPH3000" hidden="1">#REF!</definedName>
    <definedName name="BLPH3001" hidden="1">#REF!</definedName>
    <definedName name="BLPH3002" hidden="1">#REF!</definedName>
    <definedName name="BLPH3003" hidden="1">#REF!</definedName>
    <definedName name="BLPH3004" hidden="1">#REF!</definedName>
    <definedName name="BLPH3005" hidden="1">#REF!</definedName>
    <definedName name="BLPH3006" hidden="1">#REF!</definedName>
    <definedName name="BLPH3007" hidden="1">#REF!</definedName>
    <definedName name="BLPH3008" hidden="1">#REF!</definedName>
    <definedName name="BLPH3009" hidden="1">#REF!</definedName>
    <definedName name="BLPH3010" hidden="1">#REF!</definedName>
    <definedName name="BLPH3011" hidden="1">#REF!</definedName>
    <definedName name="BLPH3012" hidden="1">#REF!</definedName>
    <definedName name="BLPH3013" hidden="1">#REF!</definedName>
    <definedName name="BLPH3014" hidden="1">#REF!</definedName>
    <definedName name="BLPH3015" hidden="1">#REF!</definedName>
    <definedName name="BLPH3016" hidden="1">#REF!</definedName>
    <definedName name="BLPH3017" hidden="1">#REF!</definedName>
    <definedName name="BLPH3018" hidden="1">#REF!</definedName>
    <definedName name="BLPH3019" hidden="1">#REF!</definedName>
    <definedName name="BLPH3020" hidden="1">#REF!</definedName>
    <definedName name="BLPH3021" hidden="1">#REF!</definedName>
    <definedName name="BLPH3022" hidden="1">#REF!</definedName>
    <definedName name="BLPH3023" hidden="1">#REF!</definedName>
    <definedName name="BLPH3024" hidden="1">#REF!</definedName>
    <definedName name="BLPH3025" hidden="1">#REF!</definedName>
    <definedName name="BLPH3026" hidden="1">#REF!</definedName>
    <definedName name="BLPH3027" hidden="1">#REF!</definedName>
    <definedName name="BLPH3028" hidden="1">#REF!</definedName>
    <definedName name="BLPH3029" hidden="1">#REF!</definedName>
    <definedName name="BLPH3030" hidden="1">#REF!</definedName>
    <definedName name="BLPH3031" hidden="1">#REF!</definedName>
    <definedName name="BLPH3032" hidden="1">#REF!</definedName>
    <definedName name="BLPH3033" hidden="1">#REF!</definedName>
    <definedName name="BLPH3034" hidden="1">#REF!</definedName>
    <definedName name="BLPH3035" hidden="1">#REF!</definedName>
    <definedName name="BLPH3036" hidden="1">#REF!</definedName>
    <definedName name="BLPH3037" hidden="1">#REF!</definedName>
    <definedName name="BLPH3038" hidden="1">#REF!</definedName>
    <definedName name="BLPH3039" hidden="1">#REF!</definedName>
    <definedName name="BLPH3040" hidden="1">#REF!</definedName>
    <definedName name="BLPH3041" hidden="1">#REF!</definedName>
    <definedName name="BLPH3042" hidden="1">#REF!</definedName>
    <definedName name="BLPH3043" hidden="1">#REF!</definedName>
    <definedName name="BLPH3044" hidden="1">#REF!</definedName>
    <definedName name="BLPH3045" hidden="1">#REF!</definedName>
    <definedName name="BLPH3046" hidden="1">#REF!</definedName>
    <definedName name="BLPH3047" hidden="1">#REF!</definedName>
    <definedName name="BLPH3048" hidden="1">#REF!</definedName>
    <definedName name="BLPH3049" hidden="1">#REF!</definedName>
    <definedName name="BLPH3050" hidden="1">#REF!</definedName>
    <definedName name="BLPH3051" hidden="1">#REF!</definedName>
    <definedName name="BLPH3052" hidden="1">#REF!</definedName>
    <definedName name="BLPH3053" hidden="1">#REF!</definedName>
    <definedName name="BLPH3054" hidden="1">#REF!</definedName>
    <definedName name="BLPH3055" hidden="1">#REF!</definedName>
    <definedName name="BLPH3056" hidden="1">#REF!</definedName>
    <definedName name="BLPH3057" hidden="1">#REF!</definedName>
    <definedName name="BLPH3058" hidden="1">#REF!</definedName>
    <definedName name="BLPH3059" hidden="1">#REF!</definedName>
    <definedName name="BLPH3060" hidden="1">#REF!</definedName>
    <definedName name="BLPH3061" hidden="1">#REF!</definedName>
    <definedName name="BLPH3062" hidden="1">#REF!</definedName>
    <definedName name="BLPH3063" hidden="1">#REF!</definedName>
    <definedName name="BLPH3064" hidden="1">#REF!</definedName>
    <definedName name="BLPH3065" hidden="1">#REF!</definedName>
    <definedName name="BLPH3066" hidden="1">#REF!</definedName>
    <definedName name="BLPH3067" hidden="1">#REF!</definedName>
    <definedName name="BLPH3068" hidden="1">#REF!</definedName>
    <definedName name="BLPH3069" hidden="1">#REF!</definedName>
    <definedName name="BLPH3070" hidden="1">#REF!</definedName>
    <definedName name="BLPH3071" hidden="1">#REF!</definedName>
    <definedName name="BLPH3072" hidden="1">#REF!</definedName>
    <definedName name="BLPH3073" hidden="1">#REF!</definedName>
    <definedName name="BLPH3074" hidden="1">#REF!</definedName>
    <definedName name="BLPH3075" hidden="1">#REF!</definedName>
    <definedName name="BLPH3076" hidden="1">#REF!</definedName>
    <definedName name="BLPH3077" hidden="1">#REF!</definedName>
    <definedName name="BLPH3078" hidden="1">#REF!</definedName>
    <definedName name="BLPH3079" hidden="1">#REF!</definedName>
    <definedName name="BLPH3080" hidden="1">#REF!</definedName>
    <definedName name="BLPH3081" hidden="1">#REF!</definedName>
    <definedName name="BLPH3082" hidden="1">#REF!</definedName>
    <definedName name="BLPH3083" hidden="1">#REF!</definedName>
    <definedName name="BLPH3084" hidden="1">#REF!</definedName>
    <definedName name="BLPH3085" hidden="1">#REF!</definedName>
    <definedName name="BLPH3086" hidden="1">#REF!</definedName>
    <definedName name="BLPH3087" hidden="1">#REF!</definedName>
    <definedName name="BLPH3088" hidden="1">#REF!</definedName>
    <definedName name="BLPH3089" hidden="1">#REF!</definedName>
    <definedName name="BLPH3090" hidden="1">#REF!</definedName>
    <definedName name="BLPH3091" hidden="1">#REF!</definedName>
    <definedName name="BLPH3092" hidden="1">#REF!</definedName>
    <definedName name="BLPH3093" hidden="1">#REF!</definedName>
    <definedName name="BLPH3094" hidden="1">#REF!</definedName>
    <definedName name="BLPH3095" hidden="1">#REF!</definedName>
    <definedName name="BLPH3096" hidden="1">#REF!</definedName>
    <definedName name="BLPH3097" hidden="1">#REF!</definedName>
    <definedName name="BLPH3098" hidden="1">#REF!</definedName>
    <definedName name="BLPH3099" hidden="1">#REF!</definedName>
    <definedName name="BLPH31" hidden="1">#REF!</definedName>
    <definedName name="BLPH3100" hidden="1">#REF!</definedName>
    <definedName name="BLPH3101" hidden="1">#REF!</definedName>
    <definedName name="BLPH3102" hidden="1">#REF!</definedName>
    <definedName name="BLPH3103" hidden="1">#REF!</definedName>
    <definedName name="BLPH3104" hidden="1">#REF!</definedName>
    <definedName name="BLPH3105" hidden="1">#REF!</definedName>
    <definedName name="BLPH3106" hidden="1">#REF!</definedName>
    <definedName name="BLPH3107" hidden="1">#REF!</definedName>
    <definedName name="BLPH3108" hidden="1">#REF!</definedName>
    <definedName name="BLPH3109" hidden="1">#REF!</definedName>
    <definedName name="BLPH3110" hidden="1">#REF!</definedName>
    <definedName name="BLPH3111" hidden="1">#REF!</definedName>
    <definedName name="BLPH3112" hidden="1">#REF!</definedName>
    <definedName name="BLPH3113" hidden="1">#REF!</definedName>
    <definedName name="BLPH3114" hidden="1">#REF!</definedName>
    <definedName name="BLPH3115" hidden="1">#REF!</definedName>
    <definedName name="BLPH3116" hidden="1">#REF!</definedName>
    <definedName name="BLPH3117" hidden="1">#REF!</definedName>
    <definedName name="BLPH3118" hidden="1">#REF!</definedName>
    <definedName name="BLPH3119" hidden="1">#REF!</definedName>
    <definedName name="BLPH3120" hidden="1">#REF!</definedName>
    <definedName name="BLPH3121" hidden="1">#REF!</definedName>
    <definedName name="BLPH3122" hidden="1">#REF!</definedName>
    <definedName name="BLPH3123" hidden="1">#REF!</definedName>
    <definedName name="BLPH3124" hidden="1">#REF!</definedName>
    <definedName name="BLPH3125" hidden="1">#REF!</definedName>
    <definedName name="BLPH3126" hidden="1">#REF!</definedName>
    <definedName name="BLPH3127" hidden="1">#REF!</definedName>
    <definedName name="BLPH3128" hidden="1">#REF!</definedName>
    <definedName name="BLPH3129" hidden="1">#REF!</definedName>
    <definedName name="BLPH3130" hidden="1">#REF!</definedName>
    <definedName name="BLPH3131" hidden="1">#REF!</definedName>
    <definedName name="BLPH3132" hidden="1">#REF!</definedName>
    <definedName name="BLPH3133" hidden="1">#REF!</definedName>
    <definedName name="BLPH3134" hidden="1">#REF!</definedName>
    <definedName name="BLPH3135" hidden="1">#REF!</definedName>
    <definedName name="BLPH3136" hidden="1">#REF!</definedName>
    <definedName name="BLPH3137" hidden="1">#REF!</definedName>
    <definedName name="BLPH3138" hidden="1">#REF!</definedName>
    <definedName name="BLPH3139" hidden="1">#REF!</definedName>
    <definedName name="BLPH3140" hidden="1">#REF!</definedName>
    <definedName name="BLPH3141" hidden="1">#REF!</definedName>
    <definedName name="BLPH3142" hidden="1">#REF!</definedName>
    <definedName name="BLPH3143" hidden="1">#REF!</definedName>
    <definedName name="BLPH3144" hidden="1">#REF!</definedName>
    <definedName name="BLPH3145" hidden="1">#REF!</definedName>
    <definedName name="BLPH3146" hidden="1">#REF!</definedName>
    <definedName name="BLPH3147" hidden="1">#REF!</definedName>
    <definedName name="BLPH3148" hidden="1">#REF!</definedName>
    <definedName name="BLPH3149" hidden="1">#REF!</definedName>
    <definedName name="BLPH3150" hidden="1">#REF!</definedName>
    <definedName name="BLPH3151" hidden="1">#REF!</definedName>
    <definedName name="BLPH3152" hidden="1">#REF!</definedName>
    <definedName name="BLPH3153" hidden="1">#REF!</definedName>
    <definedName name="BLPH3154" hidden="1">#REF!</definedName>
    <definedName name="BLPH3155" hidden="1">#REF!</definedName>
    <definedName name="BLPH3156" hidden="1">#REF!</definedName>
    <definedName name="BLPH3157" hidden="1">#REF!</definedName>
    <definedName name="BLPH3158" hidden="1">#REF!</definedName>
    <definedName name="BLPH3159" hidden="1">#REF!</definedName>
    <definedName name="BLPH3160" hidden="1">#REF!</definedName>
    <definedName name="BLPH3161" hidden="1">#REF!</definedName>
    <definedName name="BLPH3162" hidden="1">#REF!</definedName>
    <definedName name="BLPH3163" hidden="1">#REF!</definedName>
    <definedName name="BLPH3164" hidden="1">#REF!</definedName>
    <definedName name="BLPH3165" hidden="1">#REF!</definedName>
    <definedName name="BLPH3166" hidden="1">#REF!</definedName>
    <definedName name="BLPH3167" hidden="1">#REF!</definedName>
    <definedName name="BLPH3168" hidden="1">#REF!</definedName>
    <definedName name="BLPH3169" hidden="1">#REF!</definedName>
    <definedName name="BLPH3170" hidden="1">#REF!</definedName>
    <definedName name="BLPH3171" hidden="1">#REF!</definedName>
    <definedName name="BLPH3172" hidden="1">#REF!</definedName>
    <definedName name="BLPH3173" hidden="1">#REF!</definedName>
    <definedName name="BLPH3174" hidden="1">#REF!</definedName>
    <definedName name="BLPH3175" hidden="1">#REF!</definedName>
    <definedName name="BLPH3176" hidden="1">#REF!</definedName>
    <definedName name="BLPH3177" hidden="1">#REF!</definedName>
    <definedName name="BLPH3178" hidden="1">#REF!</definedName>
    <definedName name="BLPH3179" hidden="1">#REF!</definedName>
    <definedName name="BLPH3180" hidden="1">#REF!</definedName>
    <definedName name="BLPH3181" hidden="1">#REF!</definedName>
    <definedName name="BLPH3182" hidden="1">#REF!</definedName>
    <definedName name="BLPH3183" hidden="1">#REF!</definedName>
    <definedName name="BLPH3184" hidden="1">#REF!</definedName>
    <definedName name="BLPH3185" hidden="1">#REF!</definedName>
    <definedName name="BLPH3186" hidden="1">#REF!</definedName>
    <definedName name="BLPH3187" hidden="1">#REF!</definedName>
    <definedName name="BLPH3188" hidden="1">#REF!</definedName>
    <definedName name="BLPH3189" hidden="1">#REF!</definedName>
    <definedName name="BLPH3190" hidden="1">#REF!</definedName>
    <definedName name="BLPH3191" hidden="1">#REF!</definedName>
    <definedName name="BLPH3192" hidden="1">#REF!</definedName>
    <definedName name="BLPH3193" hidden="1">#REF!</definedName>
    <definedName name="BLPH3194" hidden="1">#REF!</definedName>
    <definedName name="BLPH3195" hidden="1">#REF!</definedName>
    <definedName name="BLPH3196" hidden="1">#REF!</definedName>
    <definedName name="BLPH3197" hidden="1">#REF!</definedName>
    <definedName name="BLPH3198" hidden="1">#REF!</definedName>
    <definedName name="BLPH3199" hidden="1">#REF!</definedName>
    <definedName name="BLPH32" hidden="1">#REF!</definedName>
    <definedName name="BLPH3200" hidden="1">#REF!</definedName>
    <definedName name="BLPH3201" hidden="1">#REF!</definedName>
    <definedName name="BLPH3202" hidden="1">#REF!</definedName>
    <definedName name="BLPH3203" hidden="1">#REF!</definedName>
    <definedName name="BLPH3204" hidden="1">#REF!</definedName>
    <definedName name="BLPH3205" hidden="1">#REF!</definedName>
    <definedName name="BLPH3206" hidden="1">#REF!</definedName>
    <definedName name="BLPH3207" hidden="1">#REF!</definedName>
    <definedName name="BLPH3208" hidden="1">#REF!</definedName>
    <definedName name="BLPH3209" hidden="1">#REF!</definedName>
    <definedName name="BLPH3210" hidden="1">#REF!</definedName>
    <definedName name="BLPH3211" hidden="1">#REF!</definedName>
    <definedName name="BLPH3212" hidden="1">#REF!</definedName>
    <definedName name="BLPH3213" hidden="1">#REF!</definedName>
    <definedName name="BLPH3214" hidden="1">#REF!</definedName>
    <definedName name="BLPH3215" hidden="1">#REF!</definedName>
    <definedName name="BLPH3216" hidden="1">#REF!</definedName>
    <definedName name="BLPH3217" hidden="1">#REF!</definedName>
    <definedName name="BLPH3218" hidden="1">#REF!</definedName>
    <definedName name="BLPH3219" hidden="1">#REF!</definedName>
    <definedName name="BLPH3220" hidden="1">#REF!</definedName>
    <definedName name="BLPH3221" hidden="1">#REF!</definedName>
    <definedName name="BLPH3222" hidden="1">#REF!</definedName>
    <definedName name="BLPH3223" hidden="1">#REF!</definedName>
    <definedName name="BLPH3224" hidden="1">#REF!</definedName>
    <definedName name="BLPH3225" hidden="1">#REF!</definedName>
    <definedName name="BLPH3226" hidden="1">#REF!</definedName>
    <definedName name="BLPH3227" hidden="1">#REF!</definedName>
    <definedName name="BLPH3228" hidden="1">#REF!</definedName>
    <definedName name="BLPH3229" hidden="1">#REF!</definedName>
    <definedName name="BLPH3230" hidden="1">#REF!</definedName>
    <definedName name="BLPH3231" hidden="1">#REF!</definedName>
    <definedName name="BLPH3232" hidden="1">#REF!</definedName>
    <definedName name="BLPH3233" hidden="1">#REF!</definedName>
    <definedName name="BLPH3234" hidden="1">#REF!</definedName>
    <definedName name="BLPH3235" hidden="1">#REF!</definedName>
    <definedName name="BLPH3236" hidden="1">#REF!</definedName>
    <definedName name="BLPH3237" hidden="1">#REF!</definedName>
    <definedName name="BLPH3238" hidden="1">#REF!</definedName>
    <definedName name="BLPH3239" hidden="1">#REF!</definedName>
    <definedName name="BLPH3240" hidden="1">#REF!</definedName>
    <definedName name="BLPH3241" hidden="1">#REF!</definedName>
    <definedName name="BLPH3242" hidden="1">#REF!</definedName>
    <definedName name="BLPH3243" hidden="1">#REF!</definedName>
    <definedName name="BLPH3244" hidden="1">#REF!</definedName>
    <definedName name="BLPH3245" hidden="1">#REF!</definedName>
    <definedName name="BLPH3246" hidden="1">#REF!</definedName>
    <definedName name="BLPH3247" hidden="1">#REF!</definedName>
    <definedName name="BLPH3248" hidden="1">#REF!</definedName>
    <definedName name="BLPH3249" hidden="1">#REF!</definedName>
    <definedName name="BLPH3250" hidden="1">#REF!</definedName>
    <definedName name="BLPH3251" hidden="1">#REF!</definedName>
    <definedName name="BLPH3252" hidden="1">#REF!</definedName>
    <definedName name="BLPH33" hidden="1">#REF!</definedName>
    <definedName name="BLPH34" hidden="1">#REF!</definedName>
    <definedName name="BLPH4" hidden="1">#REF!</definedName>
    <definedName name="BLPH488" hidden="1">#REF!</definedName>
    <definedName name="BLPH48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hidden="1">#REF!</definedName>
    <definedName name="BLPH500" hidden="1">#REF!</definedName>
    <definedName name="BLPH501" hidden="1">#REF!</definedName>
    <definedName name="BLPH502" hidden="1">#REF!</definedName>
    <definedName name="BLPH503" hidden="1">#REF!</definedName>
    <definedName name="BLPH504" hidden="1">#REF!</definedName>
    <definedName name="BLPH505" hidden="1">#REF!</definedName>
    <definedName name="BLPH506" hidden="1">#REF!</definedName>
    <definedName name="BLPH507" hidden="1">#REF!</definedName>
    <definedName name="BLPH508" hidden="1">#REF!</definedName>
    <definedName name="BLPH509" hidden="1">#REF!</definedName>
    <definedName name="BLPH510" hidden="1">#REF!</definedName>
    <definedName name="BLPH511" hidden="1">#REF!</definedName>
    <definedName name="BLPH512" hidden="1">#REF!</definedName>
    <definedName name="BLPH513" hidden="1">#REF!</definedName>
    <definedName name="BLPH514" hidden="1">#REF!</definedName>
    <definedName name="BLPH515" hidden="1">#REF!</definedName>
    <definedName name="BLPH516" hidden="1">#REF!</definedName>
    <definedName name="BLPH517" hidden="1">#REF!</definedName>
    <definedName name="BLPH518" hidden="1">#REF!</definedName>
    <definedName name="BLPH519" hidden="1">#REF!</definedName>
    <definedName name="BLPH520" hidden="1">#REF!</definedName>
    <definedName name="BLPH521" hidden="1">#REF!</definedName>
    <definedName name="BLPH522" hidden="1">#REF!</definedName>
    <definedName name="BLPH523" hidden="1">#REF!</definedName>
    <definedName name="BLPH524" hidden="1">#REF!</definedName>
    <definedName name="BLPH525" hidden="1">#REF!</definedName>
    <definedName name="BLPH526" hidden="1">#REF!</definedName>
    <definedName name="BLPH527" hidden="1">#REF!</definedName>
    <definedName name="BLPH528" hidden="1">#REF!</definedName>
    <definedName name="BLPH529" hidden="1">#REF!</definedName>
    <definedName name="BLPH530" hidden="1">#REF!</definedName>
    <definedName name="BLPH531" hidden="1">#REF!</definedName>
    <definedName name="BLPH532" hidden="1">#REF!</definedName>
    <definedName name="BLPH533" hidden="1">#REF!</definedName>
    <definedName name="BLPH534" hidden="1">#REF!</definedName>
    <definedName name="BLPH535" hidden="1">#REF!</definedName>
    <definedName name="BLPH536" hidden="1">#REF!</definedName>
    <definedName name="BLPH537" hidden="1">#REF!</definedName>
    <definedName name="BLPH538" hidden="1">#REF!</definedName>
    <definedName name="BLPH539" hidden="1">#REF!</definedName>
    <definedName name="BLPH540" hidden="1">#REF!</definedName>
    <definedName name="BLPH541" hidden="1">#REF!</definedName>
    <definedName name="BLPH542" hidden="1">#REF!</definedName>
    <definedName name="BLPH543" hidden="1">#REF!</definedName>
    <definedName name="BLPH544" hidden="1">#REF!</definedName>
    <definedName name="BLPH545" hidden="1">#REF!</definedName>
    <definedName name="BLPH546" hidden="1">#REF!</definedName>
    <definedName name="BLPH547" hidden="1">#REF!</definedName>
    <definedName name="BLPH548" hidden="1">#REF!</definedName>
    <definedName name="BLPH549" hidden="1">#REF!</definedName>
    <definedName name="BLPH550" hidden="1">#REF!</definedName>
    <definedName name="BLPH551" hidden="1">#REF!</definedName>
    <definedName name="BLPH552" hidden="1">#REF!</definedName>
    <definedName name="BLPH553" hidden="1">#REF!</definedName>
    <definedName name="BLPH554" hidden="1">#REF!</definedName>
    <definedName name="BLPH555" hidden="1">#REF!</definedName>
    <definedName name="BLPH556" hidden="1">#REF!</definedName>
    <definedName name="BLPH557" hidden="1">#REF!</definedName>
    <definedName name="BLPH558" hidden="1">#REF!</definedName>
    <definedName name="BLPH559" hidden="1">#REF!</definedName>
    <definedName name="BLPH560" hidden="1">#REF!</definedName>
    <definedName name="BLPH561" hidden="1">#REF!</definedName>
    <definedName name="BLPH562" hidden="1">#REF!</definedName>
    <definedName name="BLPH563" hidden="1">#REF!</definedName>
    <definedName name="BLPH564" hidden="1">#REF!</definedName>
    <definedName name="BLPH565" hidden="1">#REF!</definedName>
    <definedName name="BLPH566" hidden="1">#REF!</definedName>
    <definedName name="BLPH567" hidden="1">#REF!</definedName>
    <definedName name="BLPH568" hidden="1">#REF!</definedName>
    <definedName name="BLPH569" hidden="1">#REF!</definedName>
    <definedName name="BLPH570" hidden="1">#REF!</definedName>
    <definedName name="BLPH571" hidden="1">#REF!</definedName>
    <definedName name="BLPH572" hidden="1">#REF!</definedName>
    <definedName name="BLPH573" hidden="1">#REF!</definedName>
    <definedName name="BLPH574" hidden="1">#REF!</definedName>
    <definedName name="BLPH575" hidden="1">#REF!</definedName>
    <definedName name="BLPH576" hidden="1">#REF!</definedName>
    <definedName name="BLPH577" hidden="1">#REF!</definedName>
    <definedName name="BLPH578" hidden="1">#REF!</definedName>
    <definedName name="BLPH579" hidden="1">#REF!</definedName>
    <definedName name="BLPH580" hidden="1">#REF!</definedName>
    <definedName name="BLPH581" hidden="1">#REF!</definedName>
    <definedName name="BLPH582" hidden="1">#REF!</definedName>
    <definedName name="BLPH583" hidden="1">#REF!</definedName>
    <definedName name="BLPH584" hidden="1">#REF!</definedName>
    <definedName name="BLPH585" hidden="1">#REF!</definedName>
    <definedName name="BLPH586" hidden="1">#REF!</definedName>
    <definedName name="BLPH587" hidden="1">#REF!</definedName>
    <definedName name="BLPH588" hidden="1">#REF!</definedName>
    <definedName name="BLPH589" hidden="1">#REF!</definedName>
    <definedName name="BLPH590" hidden="1">#REF!</definedName>
    <definedName name="BLPH591" hidden="1">#REF!</definedName>
    <definedName name="BLPH592" hidden="1">#REF!</definedName>
    <definedName name="BLPH593" hidden="1">#REF!</definedName>
    <definedName name="BLPH594" hidden="1">#REF!</definedName>
    <definedName name="BLPH595" hidden="1">#REF!</definedName>
    <definedName name="BLPH596" hidden="1">#REF!</definedName>
    <definedName name="BLPH597" hidden="1">#REF!</definedName>
    <definedName name="BLPH598" hidden="1">#REF!</definedName>
    <definedName name="BLPH599" hidden="1">#REF!</definedName>
    <definedName name="BLPH6" hidden="1">#REF!</definedName>
    <definedName name="BLPH600" hidden="1">#REF!</definedName>
    <definedName name="BLPH601" hidden="1">#REF!</definedName>
    <definedName name="BLPH602" hidden="1">#REF!</definedName>
    <definedName name="BLPH603" hidden="1">#REF!</definedName>
    <definedName name="BLPH604" hidden="1">#REF!</definedName>
    <definedName name="BLPH605" hidden="1">#REF!</definedName>
    <definedName name="BLPH606" hidden="1">#REF!</definedName>
    <definedName name="BLPH607" hidden="1">#REF!</definedName>
    <definedName name="BLPH608" hidden="1">#REF!</definedName>
    <definedName name="BLPH609" hidden="1">#REF!</definedName>
    <definedName name="BLPH610" hidden="1">#REF!</definedName>
    <definedName name="BLPH611" hidden="1">#REF!</definedName>
    <definedName name="BLPH612" hidden="1">#REF!</definedName>
    <definedName name="BLPH613" hidden="1">#REF!</definedName>
    <definedName name="BLPH614" hidden="1">#REF!</definedName>
    <definedName name="BLPH615" hidden="1">#REF!</definedName>
    <definedName name="BLPH616" hidden="1">#REF!</definedName>
    <definedName name="BLPH617" hidden="1">#REF!</definedName>
    <definedName name="BLPH618" hidden="1">#REF!</definedName>
    <definedName name="BLPH619" hidden="1">#REF!</definedName>
    <definedName name="BLPH620" hidden="1">#REF!</definedName>
    <definedName name="BLPH621" hidden="1">#REF!</definedName>
    <definedName name="BLPH622" hidden="1">#REF!</definedName>
    <definedName name="BLPH623" hidden="1">#REF!</definedName>
    <definedName name="BLPH624" hidden="1">#REF!</definedName>
    <definedName name="BLPH625" hidden="1">#REF!</definedName>
    <definedName name="BLPH626" hidden="1">#REF!</definedName>
    <definedName name="BLPH627" hidden="1">#REF!</definedName>
    <definedName name="BLPH628" hidden="1">#REF!</definedName>
    <definedName name="BLPH629" hidden="1">#REF!</definedName>
    <definedName name="BLPH630" hidden="1">#REF!</definedName>
    <definedName name="BLPH631" hidden="1">#REF!</definedName>
    <definedName name="BLPH632" hidden="1">#REF!</definedName>
    <definedName name="BLPH633" hidden="1">#REF!</definedName>
    <definedName name="BLPH634" hidden="1">#REF!</definedName>
    <definedName name="BLPH635" hidden="1">#REF!</definedName>
    <definedName name="BLPH636" hidden="1">#REF!</definedName>
    <definedName name="BLPH637" hidden="1">#REF!</definedName>
    <definedName name="BLPH638" hidden="1">#REF!</definedName>
    <definedName name="BLPH639" hidden="1">#REF!</definedName>
    <definedName name="BLPH640" hidden="1">#REF!</definedName>
    <definedName name="BLPH641" hidden="1">#REF!</definedName>
    <definedName name="BLPH642" hidden="1">#REF!</definedName>
    <definedName name="BLPH643" hidden="1">#REF!</definedName>
    <definedName name="BLPH644" hidden="1">#REF!</definedName>
    <definedName name="BLPH645" hidden="1">#REF!</definedName>
    <definedName name="BLPH646" hidden="1">#REF!</definedName>
    <definedName name="BLPH647" hidden="1">#REF!</definedName>
    <definedName name="BLPH648" hidden="1">#REF!</definedName>
    <definedName name="BLPH649" hidden="1">#REF!</definedName>
    <definedName name="BLPH650" hidden="1">#REF!</definedName>
    <definedName name="BLPH651" hidden="1">#REF!</definedName>
    <definedName name="BLPH652" hidden="1">#REF!</definedName>
    <definedName name="BLPH653" hidden="1">#REF!</definedName>
    <definedName name="BLPH654" hidden="1">#REF!</definedName>
    <definedName name="BLPH655" hidden="1">#REF!</definedName>
    <definedName name="BLPH656" hidden="1">#REF!</definedName>
    <definedName name="BLPH657" hidden="1">#REF!</definedName>
    <definedName name="BLPH658" hidden="1">#REF!</definedName>
    <definedName name="BLPH659" hidden="1">#REF!</definedName>
    <definedName name="BLPH660" hidden="1">#REF!</definedName>
    <definedName name="BLPH661" hidden="1">#REF!</definedName>
    <definedName name="BLPH662" hidden="1">#REF!</definedName>
    <definedName name="BLPH663" hidden="1">#REF!</definedName>
    <definedName name="BLPH664" hidden="1">#REF!</definedName>
    <definedName name="BLPH665" hidden="1">#REF!</definedName>
    <definedName name="BLPH666" hidden="1">#REF!</definedName>
    <definedName name="BLPH667" hidden="1">#REF!</definedName>
    <definedName name="BLPH668" hidden="1">#REF!</definedName>
    <definedName name="BLPH669" hidden="1">#REF!</definedName>
    <definedName name="BLPH670" hidden="1">#REF!</definedName>
    <definedName name="BLPH671" hidden="1">#REF!</definedName>
    <definedName name="BLPH672" hidden="1">#REF!</definedName>
    <definedName name="BLPH673" hidden="1">#REF!</definedName>
    <definedName name="BLPH674" hidden="1">#REF!</definedName>
    <definedName name="BLPH675" hidden="1">#REF!</definedName>
    <definedName name="BLPH676" hidden="1">#REF!</definedName>
    <definedName name="BLPH677" hidden="1">#REF!</definedName>
    <definedName name="BLPH678" hidden="1">#REF!</definedName>
    <definedName name="BLPH679" hidden="1">#REF!</definedName>
    <definedName name="BLPH680" hidden="1">#REF!</definedName>
    <definedName name="BLPH681" hidden="1">#REF!</definedName>
    <definedName name="BLPH682" hidden="1">#REF!</definedName>
    <definedName name="BLPH683" hidden="1">#REF!</definedName>
    <definedName name="BLPH684" hidden="1">#REF!</definedName>
    <definedName name="BLPH685" hidden="1">#REF!</definedName>
    <definedName name="BLPH686" hidden="1">#REF!</definedName>
    <definedName name="BLPH687" hidden="1">#REF!</definedName>
    <definedName name="BLPH688" hidden="1">#REF!</definedName>
    <definedName name="BLPH689" hidden="1">#REF!</definedName>
    <definedName name="BLPH690" hidden="1">#REF!</definedName>
    <definedName name="BLPH691" hidden="1">#REF!</definedName>
    <definedName name="BLPH692" hidden="1">#REF!</definedName>
    <definedName name="BLPH693" hidden="1">#REF!</definedName>
    <definedName name="BLPH694" hidden="1">#REF!</definedName>
    <definedName name="BLPH695" hidden="1">#REF!</definedName>
    <definedName name="BLPH696" hidden="1">#REF!</definedName>
    <definedName name="BLPH697" hidden="1">#REF!</definedName>
    <definedName name="BLPH698" hidden="1">#REF!</definedName>
    <definedName name="BLPH699" hidden="1">#REF!</definedName>
    <definedName name="BLPH7" hidden="1">#REF!</definedName>
    <definedName name="BLPH700" hidden="1">#REF!</definedName>
    <definedName name="BLPH701" hidden="1">#REF!</definedName>
    <definedName name="BLPH702" hidden="1">#REF!</definedName>
    <definedName name="BLPH703" hidden="1">#REF!</definedName>
    <definedName name="BLPH704" hidden="1">#REF!</definedName>
    <definedName name="BLPH705" hidden="1">#REF!</definedName>
    <definedName name="BLPH706" hidden="1">#REF!</definedName>
    <definedName name="BLPH707" hidden="1">#REF!</definedName>
    <definedName name="BLPH708" hidden="1">#REF!</definedName>
    <definedName name="BLPH709" hidden="1">#REF!</definedName>
    <definedName name="BLPH710" hidden="1">#REF!</definedName>
    <definedName name="BLPH711" hidden="1">#REF!</definedName>
    <definedName name="BLPH712" hidden="1">#REF!</definedName>
    <definedName name="BLPH713" hidden="1">#REF!</definedName>
    <definedName name="BLPH714" hidden="1">#REF!</definedName>
    <definedName name="BLPH715" hidden="1">#REF!</definedName>
    <definedName name="BLPH716" hidden="1">#REF!</definedName>
    <definedName name="BLPH717" hidden="1">#REF!</definedName>
    <definedName name="BLPH718" hidden="1">#REF!</definedName>
    <definedName name="BLPH719" hidden="1">#REF!</definedName>
    <definedName name="BLPH720" hidden="1">#REF!</definedName>
    <definedName name="BLPH721" hidden="1">#REF!</definedName>
    <definedName name="BLPH722" hidden="1">#REF!</definedName>
    <definedName name="BLPH723" hidden="1">#REF!</definedName>
    <definedName name="BLPH724" hidden="1">#REF!</definedName>
    <definedName name="BLPH725" hidden="1">#REF!</definedName>
    <definedName name="BLPH726" hidden="1">#REF!</definedName>
    <definedName name="BLPH727" hidden="1">#REF!</definedName>
    <definedName name="BLPH728" hidden="1">#REF!</definedName>
    <definedName name="BLPH729" hidden="1">#REF!</definedName>
    <definedName name="BLPH730" hidden="1">#REF!</definedName>
    <definedName name="BLPH731" hidden="1">#REF!</definedName>
    <definedName name="BLPH732" hidden="1">#REF!</definedName>
    <definedName name="BLPH733" hidden="1">#REF!</definedName>
    <definedName name="BLPH734" hidden="1">#REF!</definedName>
    <definedName name="BLPH735" hidden="1">#REF!</definedName>
    <definedName name="BLPH736" hidden="1">#REF!</definedName>
    <definedName name="BLPH737" hidden="1">#REF!</definedName>
    <definedName name="BLPH738" hidden="1">#REF!</definedName>
    <definedName name="BLPH739" hidden="1">#REF!</definedName>
    <definedName name="BLPH740" hidden="1">#REF!</definedName>
    <definedName name="BLPH741" hidden="1">#REF!</definedName>
    <definedName name="BLPH742" hidden="1">#REF!</definedName>
    <definedName name="BLPH743" hidden="1">#REF!</definedName>
    <definedName name="BLPH744" hidden="1">#REF!</definedName>
    <definedName name="BLPH745" hidden="1">#REF!</definedName>
    <definedName name="BLPH746" hidden="1">#REF!</definedName>
    <definedName name="BLPH747" hidden="1">#REF!</definedName>
    <definedName name="BLPH748" hidden="1">#REF!</definedName>
    <definedName name="BLPH749" hidden="1">#REF!</definedName>
    <definedName name="BLPH750" hidden="1">#REF!</definedName>
    <definedName name="BLPH751" hidden="1">#REF!</definedName>
    <definedName name="BLPH752" hidden="1">#REF!</definedName>
    <definedName name="BLPH753" hidden="1">#REF!</definedName>
    <definedName name="BLPH754" hidden="1">#REF!</definedName>
    <definedName name="BLPH755" hidden="1">#REF!</definedName>
    <definedName name="BLPH756" hidden="1">#REF!</definedName>
    <definedName name="BLPH757" hidden="1">#REF!</definedName>
    <definedName name="BLPH758" hidden="1">#REF!</definedName>
    <definedName name="BLPH759" hidden="1">#REF!</definedName>
    <definedName name="BLPH760" hidden="1">#REF!</definedName>
    <definedName name="BLPH761" hidden="1">#REF!</definedName>
    <definedName name="BLPH762" hidden="1">#REF!</definedName>
    <definedName name="BLPH763" hidden="1">#REF!</definedName>
    <definedName name="BLPH764" hidden="1">#REF!</definedName>
    <definedName name="BLPH765" hidden="1">#REF!</definedName>
    <definedName name="BLPH766" hidden="1">#REF!</definedName>
    <definedName name="BLPH767" hidden="1">#REF!</definedName>
    <definedName name="BLPH768" hidden="1">#REF!</definedName>
    <definedName name="BLPH769" hidden="1">#REF!</definedName>
    <definedName name="BLPH77" hidden="1">#REF!</definedName>
    <definedName name="BLPH770" hidden="1">#REF!</definedName>
    <definedName name="BLPH771" hidden="1">#REF!</definedName>
    <definedName name="BLPH772" hidden="1">#REF!</definedName>
    <definedName name="BLPH773" hidden="1">#REF!</definedName>
    <definedName name="BLPH774" hidden="1">#REF!</definedName>
    <definedName name="BLPH775" hidden="1">#REF!</definedName>
    <definedName name="BLPH776" hidden="1">#REF!</definedName>
    <definedName name="BLPH777" hidden="1">#REF!</definedName>
    <definedName name="BLPH778" hidden="1">#REF!</definedName>
    <definedName name="BLPH779" hidden="1">#REF!</definedName>
    <definedName name="BLPH78" hidden="1">#REF!</definedName>
    <definedName name="BLPH780" hidden="1">#REF!</definedName>
    <definedName name="BLPH781" hidden="1">#REF!</definedName>
    <definedName name="BLPH782" hidden="1">#REF!</definedName>
    <definedName name="BLPH783" hidden="1">#REF!</definedName>
    <definedName name="BLPH784" hidden="1">#REF!</definedName>
    <definedName name="BLPH785" hidden="1">#REF!</definedName>
    <definedName name="BLPH786" hidden="1">#REF!</definedName>
    <definedName name="BLPH787" hidden="1">#REF!</definedName>
    <definedName name="BLPH788" hidden="1">#REF!</definedName>
    <definedName name="BLPH789" hidden="1">#REF!</definedName>
    <definedName name="BLPH79" hidden="1">#REF!</definedName>
    <definedName name="BLPH790" hidden="1">#REF!</definedName>
    <definedName name="BLPH791" hidden="1">#REF!</definedName>
    <definedName name="BLPH792" hidden="1">#REF!</definedName>
    <definedName name="BLPH793" hidden="1">#REF!</definedName>
    <definedName name="BLPH794" hidden="1">#REF!</definedName>
    <definedName name="BLPH795" hidden="1">#REF!</definedName>
    <definedName name="BLPH796" hidden="1">#REF!</definedName>
    <definedName name="BLPH797" hidden="1">#REF!</definedName>
    <definedName name="BLPH798" hidden="1">#REF!</definedName>
    <definedName name="BLPH799" hidden="1">#REF!</definedName>
    <definedName name="BLPH8" hidden="1">#REF!</definedName>
    <definedName name="BLPH80" hidden="1">#REF!</definedName>
    <definedName name="BLPH800" hidden="1">#REF!</definedName>
    <definedName name="BLPH801" hidden="1">#REF!</definedName>
    <definedName name="BLPH802" hidden="1">#REF!</definedName>
    <definedName name="BLPH803" hidden="1">#REF!</definedName>
    <definedName name="BLPH804" hidden="1">#REF!</definedName>
    <definedName name="BLPH805" hidden="1">#REF!</definedName>
    <definedName name="BLPH806" hidden="1">#REF!</definedName>
    <definedName name="BLPH807" hidden="1">#REF!</definedName>
    <definedName name="BLPH808" hidden="1">#REF!</definedName>
    <definedName name="BLPH809" hidden="1">#REF!</definedName>
    <definedName name="BLPH81" hidden="1">#REF!</definedName>
    <definedName name="BLPH810" hidden="1">#REF!</definedName>
    <definedName name="BLPH811" hidden="1">#REF!</definedName>
    <definedName name="BLPH812" hidden="1">#REF!</definedName>
    <definedName name="BLPH813" hidden="1">#REF!</definedName>
    <definedName name="BLPH814" hidden="1">#REF!</definedName>
    <definedName name="BLPH815" hidden="1">#REF!</definedName>
    <definedName name="BLPH816" hidden="1">#REF!</definedName>
    <definedName name="BLPH817" hidden="1">#REF!</definedName>
    <definedName name="BLPH818" hidden="1">#REF!</definedName>
    <definedName name="BLPH819" hidden="1">#REF!</definedName>
    <definedName name="BLPH82" hidden="1">#REF!</definedName>
    <definedName name="BLPH820" hidden="1">#REF!</definedName>
    <definedName name="BLPH821" hidden="1">#REF!</definedName>
    <definedName name="BLPH822" hidden="1">#REF!</definedName>
    <definedName name="BLPH823" hidden="1">#REF!</definedName>
    <definedName name="BLPH824" hidden="1">#REF!</definedName>
    <definedName name="BLPH825" hidden="1">#REF!</definedName>
    <definedName name="BLPH826" hidden="1">#REF!</definedName>
    <definedName name="BLPH827" hidden="1">#REF!</definedName>
    <definedName name="BLPH828" hidden="1">#REF!</definedName>
    <definedName name="BLPH829" hidden="1">#REF!</definedName>
    <definedName name="BLPH83" hidden="1">#REF!</definedName>
    <definedName name="BLPH830" hidden="1">#REF!</definedName>
    <definedName name="BLPH831" hidden="1">#REF!</definedName>
    <definedName name="BLPH832" hidden="1">#REF!</definedName>
    <definedName name="BLPH833" hidden="1">#REF!</definedName>
    <definedName name="BLPH834" hidden="1">#REF!</definedName>
    <definedName name="BLPH835" hidden="1">#REF!</definedName>
    <definedName name="BLPH836" hidden="1">#REF!</definedName>
    <definedName name="BLPH837" hidden="1">#REF!</definedName>
    <definedName name="BLPH838" hidden="1">#REF!</definedName>
    <definedName name="BLPH839" hidden="1">#REF!</definedName>
    <definedName name="BLPH84" hidden="1">#REF!</definedName>
    <definedName name="BLPH840" hidden="1">#REF!</definedName>
    <definedName name="BLPH841" hidden="1">#REF!</definedName>
    <definedName name="BLPH842" hidden="1">#REF!</definedName>
    <definedName name="BLPH843" hidden="1">#REF!</definedName>
    <definedName name="BLPH844" hidden="1">#REF!</definedName>
    <definedName name="BLPH845" hidden="1">#REF!</definedName>
    <definedName name="BLPH846" hidden="1">#REF!</definedName>
    <definedName name="BLPH847" hidden="1">#REF!</definedName>
    <definedName name="BLPH848" hidden="1">#REF!</definedName>
    <definedName name="BLPH849" hidden="1">#REF!</definedName>
    <definedName name="BLPH85" hidden="1">#REF!</definedName>
    <definedName name="BLPH850" hidden="1">#REF!</definedName>
    <definedName name="BLPH851" hidden="1">#REF!</definedName>
    <definedName name="BLPH852" hidden="1">#REF!</definedName>
    <definedName name="BLPH853" hidden="1">#REF!</definedName>
    <definedName name="BLPH854" hidden="1">#REF!</definedName>
    <definedName name="BLPH855" hidden="1">#REF!</definedName>
    <definedName name="BLPH856" hidden="1">#REF!</definedName>
    <definedName name="BLPH857" hidden="1">#REF!</definedName>
    <definedName name="BLPH858" hidden="1">#REF!</definedName>
    <definedName name="BLPH859" hidden="1">#REF!</definedName>
    <definedName name="BLPH86" hidden="1">#REF!</definedName>
    <definedName name="BLPH860" hidden="1">#REF!</definedName>
    <definedName name="BLPH861" hidden="1">#REF!</definedName>
    <definedName name="BLPH862" hidden="1">#REF!</definedName>
    <definedName name="BLPH863" hidden="1">#REF!</definedName>
    <definedName name="BLPH864" hidden="1">#REF!</definedName>
    <definedName name="BLPH865" hidden="1">#REF!</definedName>
    <definedName name="BLPH866" hidden="1">#REF!</definedName>
    <definedName name="BLPH867" hidden="1">#REF!</definedName>
    <definedName name="BLPH868" hidden="1">#REF!</definedName>
    <definedName name="BLPH869" hidden="1">#REF!</definedName>
    <definedName name="BLPH87" hidden="1">#REF!</definedName>
    <definedName name="BLPH870" hidden="1">#REF!</definedName>
    <definedName name="BLPH871" hidden="1">#REF!</definedName>
    <definedName name="BLPH872" hidden="1">#REF!</definedName>
    <definedName name="BLPH873" hidden="1">#REF!</definedName>
    <definedName name="BLPH874" hidden="1">#REF!</definedName>
    <definedName name="BLPH875" hidden="1">#REF!</definedName>
    <definedName name="BLPH876" hidden="1">#REF!</definedName>
    <definedName name="BLPH877" hidden="1">#REF!</definedName>
    <definedName name="BLPH878" hidden="1">#REF!</definedName>
    <definedName name="BLPH879" hidden="1">#REF!</definedName>
    <definedName name="BLPH88" hidden="1">#REF!</definedName>
    <definedName name="BLPH880" hidden="1">#REF!</definedName>
    <definedName name="BLPH881" hidden="1">#REF!</definedName>
    <definedName name="BLPH882" hidden="1">#REF!</definedName>
    <definedName name="BLPH883" hidden="1">#REF!</definedName>
    <definedName name="BLPH884" hidden="1">#REF!</definedName>
    <definedName name="BLPH885" hidden="1">#REF!</definedName>
    <definedName name="BLPH886" hidden="1">#REF!</definedName>
    <definedName name="BLPH887" hidden="1">#REF!</definedName>
    <definedName name="BLPH888" hidden="1">#REF!</definedName>
    <definedName name="BLPH889" hidden="1">#REF!</definedName>
    <definedName name="BLPH89" hidden="1">#REF!</definedName>
    <definedName name="BLPH890" hidden="1">#REF!</definedName>
    <definedName name="BLPH891" hidden="1">#REF!</definedName>
    <definedName name="BLPH892" hidden="1">#REF!</definedName>
    <definedName name="BLPH893" hidden="1">#REF!</definedName>
    <definedName name="BLPH894" hidden="1">#REF!</definedName>
    <definedName name="BLPH895" hidden="1">#REF!</definedName>
    <definedName name="BLPH896" hidden="1">#REF!</definedName>
    <definedName name="BLPH897" hidden="1">#REF!</definedName>
    <definedName name="BLPH898" hidden="1">#REF!</definedName>
    <definedName name="BLPH899" hidden="1">#REF!</definedName>
    <definedName name="BLPH9" hidden="1">#REF!</definedName>
    <definedName name="BLPH90" hidden="1">#REF!</definedName>
    <definedName name="BLPH900" hidden="1">#REF!</definedName>
    <definedName name="BLPH901" hidden="1">#REF!</definedName>
    <definedName name="BLPH902" hidden="1">#REF!</definedName>
    <definedName name="BLPH903" hidden="1">#REF!</definedName>
    <definedName name="BLPH904" hidden="1">#REF!</definedName>
    <definedName name="BLPH905" hidden="1">#REF!</definedName>
    <definedName name="BLPH906" hidden="1">#REF!</definedName>
    <definedName name="BLPH907" hidden="1">#REF!</definedName>
    <definedName name="BLPH908" hidden="1">#REF!</definedName>
    <definedName name="BLPH909" hidden="1">#REF!</definedName>
    <definedName name="BLPH910" hidden="1">#REF!</definedName>
    <definedName name="BLPH911" hidden="1">#REF!</definedName>
    <definedName name="BLPH912" hidden="1">#REF!</definedName>
    <definedName name="BLPH913" hidden="1">#REF!</definedName>
    <definedName name="BLPH914" hidden="1">#REF!</definedName>
    <definedName name="BLPH915" hidden="1">#REF!</definedName>
    <definedName name="BLPH916" hidden="1">#REF!</definedName>
    <definedName name="BLPH917" hidden="1">#REF!</definedName>
    <definedName name="BLPH918" hidden="1">#REF!</definedName>
    <definedName name="BLPH919" hidden="1">#REF!</definedName>
    <definedName name="BLPH92" hidden="1">#REF!</definedName>
    <definedName name="BLPH920" hidden="1">#REF!</definedName>
    <definedName name="BLPH921" hidden="1">#REF!</definedName>
    <definedName name="BLPH922" hidden="1">#REF!</definedName>
    <definedName name="BLPH923" hidden="1">#REF!</definedName>
    <definedName name="BLPH924" hidden="1">#REF!</definedName>
    <definedName name="BLPH925" hidden="1">#REF!</definedName>
    <definedName name="BLPH926" hidden="1">#REF!</definedName>
    <definedName name="BLPH927" hidden="1">#REF!</definedName>
    <definedName name="BLPH928" hidden="1">#REF!</definedName>
    <definedName name="BLPH929" hidden="1">#REF!</definedName>
    <definedName name="BLPH93" hidden="1">#REF!</definedName>
    <definedName name="BLPH930" hidden="1">#REF!</definedName>
    <definedName name="BLPH931" hidden="1">#REF!</definedName>
    <definedName name="BLPH932" hidden="1">#REF!</definedName>
    <definedName name="BLPH933" hidden="1">#REF!</definedName>
    <definedName name="BLPH934" hidden="1">#REF!</definedName>
    <definedName name="BLPH935" hidden="1">#REF!</definedName>
    <definedName name="BLPH936" hidden="1">#REF!</definedName>
    <definedName name="BLPH937" hidden="1">#REF!</definedName>
    <definedName name="BLPH938" hidden="1">#REF!</definedName>
    <definedName name="BLPH939" hidden="1">#REF!</definedName>
    <definedName name="BLPH94" hidden="1">#REF!</definedName>
    <definedName name="BLPH940" hidden="1">#REF!</definedName>
    <definedName name="BLPH941" hidden="1">#REF!</definedName>
    <definedName name="BLPH942" hidden="1">#REF!</definedName>
    <definedName name="BLPH943" hidden="1">#REF!</definedName>
    <definedName name="BLPH944" hidden="1">#REF!</definedName>
    <definedName name="BLPH945" hidden="1">#REF!</definedName>
    <definedName name="BLPH946" hidden="1">#REF!</definedName>
    <definedName name="BLPH947" hidden="1">#REF!</definedName>
    <definedName name="BLPH948" hidden="1">#REF!</definedName>
    <definedName name="BLPH949" hidden="1">#REF!</definedName>
    <definedName name="BLPH95" hidden="1">#REF!</definedName>
    <definedName name="BLPH950" hidden="1">#REF!</definedName>
    <definedName name="BLPH951" hidden="1">#REF!</definedName>
    <definedName name="BLPH952" hidden="1">#REF!</definedName>
    <definedName name="BLPH953" hidden="1">#REF!</definedName>
    <definedName name="BLPH954" hidden="1">#REF!</definedName>
    <definedName name="BLPH955" hidden="1">#REF!</definedName>
    <definedName name="BLPH956" hidden="1">#REF!</definedName>
    <definedName name="BLPH957" hidden="1">#REF!</definedName>
    <definedName name="BLPH958" hidden="1">#REF!</definedName>
    <definedName name="BLPH959" hidden="1">#REF!</definedName>
    <definedName name="BLPH96" hidden="1">#REF!</definedName>
    <definedName name="BLPH960" hidden="1">#REF!</definedName>
    <definedName name="BLPH961" hidden="1">#REF!</definedName>
    <definedName name="BLPH962" hidden="1">#REF!</definedName>
    <definedName name="BLPH963" hidden="1">#REF!</definedName>
    <definedName name="BLPH964" hidden="1">#REF!</definedName>
    <definedName name="BLPH965" hidden="1">#REF!</definedName>
    <definedName name="BLPH966" hidden="1">#REF!</definedName>
    <definedName name="BLPH967" hidden="1">#REF!</definedName>
    <definedName name="BLPH968" hidden="1">#REF!</definedName>
    <definedName name="BLPH969" hidden="1">#REF!</definedName>
    <definedName name="BLPH97" hidden="1">#REF!</definedName>
    <definedName name="BLPH970" hidden="1">#REF!</definedName>
    <definedName name="BLPH971" hidden="1">#REF!</definedName>
    <definedName name="BLPH972" hidden="1">#REF!</definedName>
    <definedName name="BLPH973" hidden="1">#REF!</definedName>
    <definedName name="BLPH974" hidden="1">#REF!</definedName>
    <definedName name="BLPH975" hidden="1">#REF!</definedName>
    <definedName name="BLPH976" hidden="1">#REF!</definedName>
    <definedName name="BLPH977" hidden="1">#REF!</definedName>
    <definedName name="BLPH978" hidden="1">#REF!</definedName>
    <definedName name="BLPH979" hidden="1">#REF!</definedName>
    <definedName name="BLPH98" hidden="1">#REF!</definedName>
    <definedName name="BLPH980" hidden="1">#REF!</definedName>
    <definedName name="BLPH981" hidden="1">#REF!</definedName>
    <definedName name="BLPH982" hidden="1">#REF!</definedName>
    <definedName name="BLPH983" hidden="1">#REF!</definedName>
    <definedName name="BLPH984" hidden="1">#REF!</definedName>
    <definedName name="BLPH985" hidden="1">#REF!</definedName>
    <definedName name="BLPH986" hidden="1">#REF!</definedName>
    <definedName name="BLPH987" hidden="1">#REF!</definedName>
    <definedName name="BLPH988" hidden="1">#REF!</definedName>
    <definedName name="BLPH989" hidden="1">#REF!</definedName>
    <definedName name="BLPH99" hidden="1">#REF!</definedName>
    <definedName name="BLPH990" hidden="1">#REF!</definedName>
    <definedName name="BLPH991" hidden="1">#REF!</definedName>
    <definedName name="BLPH992" hidden="1">#REF!</definedName>
    <definedName name="BLPH993" hidden="1">#REF!</definedName>
    <definedName name="BLPH994" hidden="1">#REF!</definedName>
    <definedName name="BLPH995" hidden="1">#REF!</definedName>
    <definedName name="BLPH996" hidden="1">#REF!</definedName>
    <definedName name="BLPH997" hidden="1">#REF!</definedName>
    <definedName name="BLPH998" hidden="1">#REF!</definedName>
    <definedName name="BLPH999" hidden="1">#REF!</definedName>
    <definedName name="BLPR10020040303143550017" hidden="1">#REF!</definedName>
    <definedName name="BLPR10020040303143550017_1_1" hidden="1">#REF!</definedName>
    <definedName name="BLPR10120040303143550017" hidden="1">#REF!</definedName>
    <definedName name="BLPR10120040303143550017_1_1" hidden="1">#REF!</definedName>
    <definedName name="BLPR1020040303143540803" hidden="1">#REF!</definedName>
    <definedName name="BLPR1020040303143540803_1_3" hidden="1">#REF!</definedName>
    <definedName name="BLPR1020040303143540803_2_3" hidden="1">#REF!</definedName>
    <definedName name="BLPR1020040303143540803_3_3" hidden="1">#REF!</definedName>
    <definedName name="BLPR10220040303143550017" hidden="1">#REF!</definedName>
    <definedName name="BLPR10220040303143550017_1_1" hidden="1">#REF!</definedName>
    <definedName name="BLPR10320040303143550017" hidden="1">#REF!</definedName>
    <definedName name="BLPR10320040303143550017_1_1" hidden="1">#REF!</definedName>
    <definedName name="BLPR10420040303143550027" hidden="1">#REF!</definedName>
    <definedName name="BLPR10420040303143550027_1_1" hidden="1">#REF!</definedName>
    <definedName name="BLPR10520040303143550027" hidden="1">#REF!</definedName>
    <definedName name="BLPR10520040303143550027_1_1" hidden="1">#REF!</definedName>
    <definedName name="BLPR10620040303143550027" hidden="1">#REF!</definedName>
    <definedName name="BLPR10620040303143550027_1_1" hidden="1">#REF!</definedName>
    <definedName name="BLPR10720040303143550027" hidden="1">#REF!</definedName>
    <definedName name="BLPR10720040303143550027_1_1" hidden="1">#REF!</definedName>
    <definedName name="BLPR10820040303143550027" hidden="1">#REF!</definedName>
    <definedName name="BLPR10820040303143550027_1_1" hidden="1">#REF!</definedName>
    <definedName name="BLPR10920040303143550027" hidden="1">#REF!</definedName>
    <definedName name="BLPR10920040303143550027_1_1" hidden="1">#REF!</definedName>
    <definedName name="BLPR11020040303143550027" hidden="1">#REF!</definedName>
    <definedName name="BLPR11020040303143550027_1_1" hidden="1">#REF!</definedName>
    <definedName name="BLPR11120040303143550037" hidden="1">#REF!</definedName>
    <definedName name="BLPR11120040303143550037_1_1" hidden="1">#REF!</definedName>
    <definedName name="BLPR1120040303143540803" hidden="1">#REF!</definedName>
    <definedName name="BLPR1120040303143540803_1_3" hidden="1">#REF!</definedName>
    <definedName name="BLPR1120040303143540803_2_3" hidden="1">#REF!</definedName>
    <definedName name="BLPR1120040303143540803_3_3" hidden="1">#REF!</definedName>
    <definedName name="BLPR11220040303143550037" hidden="1">#REF!</definedName>
    <definedName name="BLPR11220040303143550037_1_1" hidden="1">#REF!</definedName>
    <definedName name="BLPR11320040303143550037" hidden="1">#REF!</definedName>
    <definedName name="BLPR11320040303143550037_1_1" hidden="1">#REF!</definedName>
    <definedName name="BLPR11420040303143550037" hidden="1">#REF!</definedName>
    <definedName name="BLPR11420040303143550037_1_1" hidden="1">#REF!</definedName>
    <definedName name="BLPR11520040303143550037" hidden="1">#REF!</definedName>
    <definedName name="BLPR11520040303143550037_1_1" hidden="1">#REF!</definedName>
    <definedName name="BLPR11620040303143550037" hidden="1">#REF!</definedName>
    <definedName name="BLPR11620040303143550037_1_1" hidden="1">#REF!</definedName>
    <definedName name="BLPR11720040303143550047" hidden="1">#REF!</definedName>
    <definedName name="BLPR11720040303143550047_1_1" hidden="1">#REF!</definedName>
    <definedName name="BLPR11820040303143550047" hidden="1">#REF!</definedName>
    <definedName name="BLPR11820040303143550047_1_1" hidden="1">#REF!</definedName>
    <definedName name="BLPR11920040303143550047" hidden="1">#REF!</definedName>
    <definedName name="BLPR11920040303143550047_1_1" hidden="1">#REF!</definedName>
    <definedName name="BLPR120040303143540763" hidden="1">#REF!</definedName>
    <definedName name="BLPR120040303143540763_1_3" hidden="1">#REF!</definedName>
    <definedName name="BLPR120040303143540763_2_3" hidden="1">#REF!</definedName>
    <definedName name="BLPR120040303143540763_3_3" hidden="1">#REF!</definedName>
    <definedName name="BLPR12020040303143550047" hidden="1">#REF!</definedName>
    <definedName name="BLPR12020040303143550047_1_1" hidden="1">#REF!</definedName>
    <definedName name="BLPR12120040303143550047" hidden="1">#REF!</definedName>
    <definedName name="BLPR12120040303143550047_1_1" hidden="1">#REF!</definedName>
    <definedName name="BLPR1220040303143540803" hidden="1">#REF!</definedName>
    <definedName name="BLPR1220040303143540803_1_3" hidden="1">#REF!</definedName>
    <definedName name="BLPR1220040303143540803_2_3" hidden="1">#REF!</definedName>
    <definedName name="BLPR1220040303143540803_3_3" hidden="1">#REF!</definedName>
    <definedName name="BLPR12220040303143550047" hidden="1">#REF!</definedName>
    <definedName name="BLPR12220040303143550047_1_1" hidden="1">#REF!</definedName>
    <definedName name="BLPR12320040303143550047" hidden="1">#REF!</definedName>
    <definedName name="BLPR12320040303143550047_1_1" hidden="1">#REF!</definedName>
    <definedName name="BLPR12420040303143550057" hidden="1">#REF!</definedName>
    <definedName name="BLPR12420040303143550057_1_1" hidden="1">#REF!</definedName>
    <definedName name="BLPR12520040303143550057" hidden="1">#REF!</definedName>
    <definedName name="BLPR12520040303143550057_1_1" hidden="1">#REF!</definedName>
    <definedName name="BLPR12620040303143550057" hidden="1">#REF!</definedName>
    <definedName name="BLPR12620040303143550057_1_1" hidden="1">#REF!</definedName>
    <definedName name="BLPR12720040303143550057" hidden="1">#REF!</definedName>
    <definedName name="BLPR12720040303143550057_1_1" hidden="1">#REF!</definedName>
    <definedName name="BLPR12820040303143550057" hidden="1">#REF!</definedName>
    <definedName name="BLPR12820040303143550057_1_1" hidden="1">#REF!</definedName>
    <definedName name="BLPR12920040303143550057" hidden="1">#REF!</definedName>
    <definedName name="BLPR12920040303143550057_1_1" hidden="1">#REF!</definedName>
    <definedName name="BLPR13020040303143550067" hidden="1">#REF!</definedName>
    <definedName name="BLPR13020040303143550067_1_1" hidden="1">#REF!</definedName>
    <definedName name="BLPR13120040303143550067" hidden="1">#REF!</definedName>
    <definedName name="BLPR13120040303143550067_1_1" hidden="1">#REF!</definedName>
    <definedName name="BLPR1320040303143540813" hidden="1">#REF!</definedName>
    <definedName name="BLPR1320040303143540813_1_3" hidden="1">#REF!</definedName>
    <definedName name="BLPR1320040303143540813_2_3" hidden="1">#REF!</definedName>
    <definedName name="BLPR1320040303143540813_3_3" hidden="1">#REF!</definedName>
    <definedName name="BLPR13220040303143550067" hidden="1">#REF!</definedName>
    <definedName name="BLPR13220040303143550067_1_1" hidden="1">#REF!</definedName>
    <definedName name="BLPR13320040303143550067" hidden="1">#REF!</definedName>
    <definedName name="BLPR13320040303143550067_1_1" hidden="1">#REF!</definedName>
    <definedName name="BLPR13420040303143550067" hidden="1">#REF!</definedName>
    <definedName name="BLPR13420040303143550067_1_1" hidden="1">#REF!</definedName>
    <definedName name="BLPR13520040303143550067" hidden="1">#REF!</definedName>
    <definedName name="BLPR13520040303143550067_1_1" hidden="1">#REF!</definedName>
    <definedName name="BLPR13620040303143550077" hidden="1">#REF!</definedName>
    <definedName name="BLPR13620040303143550077_1_1" hidden="1">#REF!</definedName>
    <definedName name="BLPR13720040303143550077" hidden="1">#REF!</definedName>
    <definedName name="BLPR13720040303143550077_1_1" hidden="1">#REF!</definedName>
    <definedName name="BLPR13820040303143550077" hidden="1">#REF!</definedName>
    <definedName name="BLPR13820040303143550077_1_1" hidden="1">#REF!</definedName>
    <definedName name="BLPR13920040303143550077" hidden="1">#REF!</definedName>
    <definedName name="BLPR13920040303143550077_1_1" hidden="1">#REF!</definedName>
    <definedName name="BLPR14020040303143550077" hidden="1">#REF!</definedName>
    <definedName name="BLPR14020040303143550077_1_1" hidden="1">#REF!</definedName>
    <definedName name="BLPR14120040303143550077" hidden="1">#REF!</definedName>
    <definedName name="BLPR14120040303143550077_1_1" hidden="1">#REF!</definedName>
    <definedName name="BLPR1420040303143540813" hidden="1">#REF!</definedName>
    <definedName name="BLPR1420040303143540813_1_3" hidden="1">#REF!</definedName>
    <definedName name="BLPR1420040303143540813_2_3" hidden="1">#REF!</definedName>
    <definedName name="BLPR1420040303143540813_3_3" hidden="1">#REF!</definedName>
    <definedName name="BLPR14220040303143550077" hidden="1">#REF!</definedName>
    <definedName name="BLPR14220040303143550077_1_1" hidden="1">#REF!</definedName>
    <definedName name="BLPR14320040303143550077" hidden="1">#REF!</definedName>
    <definedName name="BLPR14320040303143550077_1_1" hidden="1">#REF!</definedName>
    <definedName name="BLPR14420040303143550077" hidden="1">#REF!</definedName>
    <definedName name="BLPR14420040303143550077_1_1" hidden="1">#REF!</definedName>
    <definedName name="BLPR14520040303143550077" hidden="1">#REF!</definedName>
    <definedName name="BLPR14520040303143550077_1_1" hidden="1">#REF!</definedName>
    <definedName name="BLPR14620040303143550077" hidden="1">#REF!</definedName>
    <definedName name="BLPR14620040303143550077_1_1" hidden="1">#REF!</definedName>
    <definedName name="BLPR14720040303143550077" hidden="1">#REF!</definedName>
    <definedName name="BLPR14720040303143550077_1_1" hidden="1">#REF!</definedName>
    <definedName name="BLPR14820040303143550077" hidden="1">#REF!</definedName>
    <definedName name="BLPR14820040303143550077_1_1" hidden="1">#REF!</definedName>
    <definedName name="BLPR14920040303143550077" hidden="1">#REF!</definedName>
    <definedName name="BLPR14920040303143550077_1_1" hidden="1">#REF!</definedName>
    <definedName name="BLPR15020040303143550087" hidden="1">#REF!</definedName>
    <definedName name="BLPR15020040303143550087_1_1" hidden="1">#REF!</definedName>
    <definedName name="BLPR15120040303143550087" hidden="1">#REF!</definedName>
    <definedName name="BLPR15120040303143550087_1_1" hidden="1">#REF!</definedName>
    <definedName name="BLPR1520040303143540813" hidden="1">#REF!</definedName>
    <definedName name="BLPR1520040303143540813_1_3" hidden="1">#REF!</definedName>
    <definedName name="BLPR1520040303143540813_2_3" hidden="1">#REF!</definedName>
    <definedName name="BLPR1520040303143540813_3_3" hidden="1">#REF!</definedName>
    <definedName name="BLPR15220040303143550087" hidden="1">#REF!</definedName>
    <definedName name="BLPR15220040303143550087_1_1" hidden="1">#REF!</definedName>
    <definedName name="BLPR15320040303143550087" hidden="1">#REF!</definedName>
    <definedName name="BLPR15320040303143550087_1_1" hidden="1">#REF!</definedName>
    <definedName name="BLPR15420040303143550087" hidden="1">#REF!</definedName>
    <definedName name="BLPR15420040303143550087_1_1" hidden="1">#REF!</definedName>
    <definedName name="BLPR15520040303143550207" hidden="1">#REF!</definedName>
    <definedName name="BLPR15520040303143550207_1_2" hidden="1">#REF!</definedName>
    <definedName name="BLPR15520040303143550207_2_2" hidden="1">#REF!</definedName>
    <definedName name="BLPR15620040303143550227" hidden="1">#REF!</definedName>
    <definedName name="BLPR15620040303143550227_1_2" hidden="1">#REF!</definedName>
    <definedName name="BLPR15620040303143550227_2_2" hidden="1">#REF!</definedName>
    <definedName name="BLPR15720040303143550237" hidden="1">#REF!</definedName>
    <definedName name="BLPR15720040303143550237_1_2" hidden="1">#REF!</definedName>
    <definedName name="BLPR15720040303143550237_2_2" hidden="1">#REF!</definedName>
    <definedName name="BLPR15820040303143550257" hidden="1">#REF!</definedName>
    <definedName name="BLPR15820040303143550257_1_2" hidden="1">#REF!</definedName>
    <definedName name="BLPR15820040303143550257_2_2" hidden="1">#REF!</definedName>
    <definedName name="BLPR15920040303143550267" hidden="1">#REF!</definedName>
    <definedName name="BLPR15920040303143550267_1_2" hidden="1">#REF!</definedName>
    <definedName name="BLPR15920040303143550267_2_2" hidden="1">#REF!</definedName>
    <definedName name="BLPR16020040303143550287" hidden="1">#REF!</definedName>
    <definedName name="BLPR16020040303143550287_1_2" hidden="1">#REF!</definedName>
    <definedName name="BLPR16020040303143550287_2_2" hidden="1">#REF!</definedName>
    <definedName name="BLPR16120040303143550297" hidden="1">#REF!</definedName>
    <definedName name="BLPR16120040303143550297_1_2" hidden="1">#REF!</definedName>
    <definedName name="BLPR16120040303143550297_2_2" hidden="1">#REF!</definedName>
    <definedName name="BLPR1620040303143540813" hidden="1">#REF!</definedName>
    <definedName name="BLPR1620040303143540813_1_3" hidden="1">#REF!</definedName>
    <definedName name="BLPR1620040303143540813_2_3" hidden="1">#REF!</definedName>
    <definedName name="BLPR1620040303143540813_3_3" hidden="1">#REF!</definedName>
    <definedName name="BLPR16220040303143550317" hidden="1">#REF!</definedName>
    <definedName name="BLPR16220040303143550317_1_2" hidden="1">#REF!</definedName>
    <definedName name="BLPR16220040303143550317_2_2" hidden="1">#REF!</definedName>
    <definedName name="BLPR16320040303143550327" hidden="1">#REF!</definedName>
    <definedName name="BLPR16320040303143550327_1_2" hidden="1">#REF!</definedName>
    <definedName name="BLPR16320040303143550327_2_2" hidden="1">#REF!</definedName>
    <definedName name="BLPR16420040303143550347" hidden="1">#REF!</definedName>
    <definedName name="BLPR16420040303143550347_1_2" hidden="1">#REF!</definedName>
    <definedName name="BLPR16420040303143550347_2_2" hidden="1">#REF!</definedName>
    <definedName name="BLPR16520040303143550357" hidden="1">#REF!</definedName>
    <definedName name="BLPR16520040303143550357_1_2" hidden="1">#REF!</definedName>
    <definedName name="BLPR16520040303143550357_2_2" hidden="1">#REF!</definedName>
    <definedName name="BLPR16620040303143550377" hidden="1">#REF!</definedName>
    <definedName name="BLPR16620040303143550377_1_2" hidden="1">#REF!</definedName>
    <definedName name="BLPR16620040303143550377_2_2" hidden="1">#REF!</definedName>
    <definedName name="BLPR16720040303143550397" hidden="1">#REF!</definedName>
    <definedName name="BLPR16720040303143550397_1_2" hidden="1">#REF!</definedName>
    <definedName name="BLPR16720040303143550397_2_2" hidden="1">#REF!</definedName>
    <definedName name="BLPR16820040303143550407" hidden="1">#REF!</definedName>
    <definedName name="BLPR16820040303143550407_1_2" hidden="1">#REF!</definedName>
    <definedName name="BLPR16820040303143550407_2_2" hidden="1">#REF!</definedName>
    <definedName name="BLPR16920040303143550427" hidden="1">#REF!</definedName>
    <definedName name="BLPR16920040303143550427_1_2" hidden="1">#REF!</definedName>
    <definedName name="BLPR16920040303143550427_2_2" hidden="1">#REF!</definedName>
    <definedName name="BLPR17020040303143550437" hidden="1">#REF!</definedName>
    <definedName name="BLPR17020040303143550437_1_2" hidden="1">#REF!</definedName>
    <definedName name="BLPR17020040303143550437_2_2" hidden="1">#REF!</definedName>
    <definedName name="BLPR17120040303143550457" hidden="1">#REF!</definedName>
    <definedName name="BLPR17120040303143550457_1_2" hidden="1">#REF!</definedName>
    <definedName name="BLPR17120040303143550457_2_2" hidden="1">#REF!</definedName>
    <definedName name="BLPR1720040303143540823" hidden="1">#REF!</definedName>
    <definedName name="BLPR1720040303143540823_1_3" hidden="1">#REF!</definedName>
    <definedName name="BLPR1720040303143540823_2_3" hidden="1">#REF!</definedName>
    <definedName name="BLPR1720040303143540823_3_3" hidden="1">#REF!</definedName>
    <definedName name="BLPR17220040303143550477" hidden="1">#REF!</definedName>
    <definedName name="BLPR17220040303143550477_1_2" hidden="1">#REF!</definedName>
    <definedName name="BLPR17220040303143550477_2_2" hidden="1">#REF!</definedName>
    <definedName name="BLPR17320040303143550487" hidden="1">#REF!</definedName>
    <definedName name="BLPR17320040303143550487_1_2" hidden="1">#REF!</definedName>
    <definedName name="BLPR17320040303143550487_2_2" hidden="1">#REF!</definedName>
    <definedName name="BLPR17420040303143550507" hidden="1">#REF!</definedName>
    <definedName name="BLPR17420040303143550507_1_2" hidden="1">#REF!</definedName>
    <definedName name="BLPR17420040303143550507_2_2" hidden="1">#REF!</definedName>
    <definedName name="BLPR17520040303143550527" hidden="1">#REF!</definedName>
    <definedName name="BLPR17520040303143550527_1_2" hidden="1">#REF!</definedName>
    <definedName name="BLPR17520040303143550527_2_2" hidden="1">#REF!</definedName>
    <definedName name="BLPR17620040303143550547" hidden="1">#REF!</definedName>
    <definedName name="BLPR17620040303143550547_1_2" hidden="1">#REF!</definedName>
    <definedName name="BLPR17620040303143550547_2_2" hidden="1">#REF!</definedName>
    <definedName name="BLPR17720040303143550557" hidden="1">#REF!</definedName>
    <definedName name="BLPR17720040303143550557_1_2" hidden="1">#REF!</definedName>
    <definedName name="BLPR17720040303143550557_2_2" hidden="1">#REF!</definedName>
    <definedName name="BLPR17820040303143550577" hidden="1">#REF!</definedName>
    <definedName name="BLPR17820040303143550577_1_2" hidden="1">#REF!</definedName>
    <definedName name="BLPR17820040303143550577_2_2" hidden="1">#REF!</definedName>
    <definedName name="BLPR17920040303143550597" hidden="1">#REF!</definedName>
    <definedName name="BLPR17920040303143550597_1_2" hidden="1">#REF!</definedName>
    <definedName name="BLPR17920040303143550597_2_2" hidden="1">#REF!</definedName>
    <definedName name="BLPR18020040303143550617" hidden="1">#REF!</definedName>
    <definedName name="BLPR18020040303143550617_1_2" hidden="1">#REF!</definedName>
    <definedName name="BLPR18020040303143550617_2_2" hidden="1">#REF!</definedName>
    <definedName name="BLPR18120040303143550637" hidden="1">#REF!</definedName>
    <definedName name="BLPR18120040303143550637_1_2" hidden="1">#REF!</definedName>
    <definedName name="BLPR18120040303143550637_2_2" hidden="1">#REF!</definedName>
    <definedName name="BLPR1820040303143540823" hidden="1">#REF!</definedName>
    <definedName name="BLPR1820040303143540823_1_3" hidden="1">#REF!</definedName>
    <definedName name="BLPR1820040303143540823_2_3" hidden="1">#REF!</definedName>
    <definedName name="BLPR1820040303143540823_3_3" hidden="1">#REF!</definedName>
    <definedName name="BLPR18220040303143550657" hidden="1">#REF!</definedName>
    <definedName name="BLPR18220040303143550657_1_2" hidden="1">#REF!</definedName>
    <definedName name="BLPR18220040303143550657_2_2" hidden="1">#REF!</definedName>
    <definedName name="BLPR18320040303143550678" hidden="1">#REF!</definedName>
    <definedName name="BLPR18320040303143550678_1_2" hidden="1">#REF!</definedName>
    <definedName name="BLPR18320040303143550678_2_2" hidden="1">#REF!</definedName>
    <definedName name="BLPR18420040303143550698" hidden="1">#REF!</definedName>
    <definedName name="BLPR18420040303143550698_1_2" hidden="1">#REF!</definedName>
    <definedName name="BLPR18420040303143550698_2_2" hidden="1">#REF!</definedName>
    <definedName name="BLPR18520040303143550718" hidden="1">#REF!</definedName>
    <definedName name="BLPR18520040303143550718_1_2" hidden="1">#REF!</definedName>
    <definedName name="BLPR18520040303143550718_2_2" hidden="1">#REF!</definedName>
    <definedName name="BLPR18620040303143550738" hidden="1">#REF!</definedName>
    <definedName name="BLPR18620040303143550738_1_2" hidden="1">#REF!</definedName>
    <definedName name="BLPR18620040303143550738_2_2" hidden="1">#REF!</definedName>
    <definedName name="BLPR18720040303143550758" hidden="1">#REF!</definedName>
    <definedName name="BLPR18720040303143550758_1_2" hidden="1">#REF!</definedName>
    <definedName name="BLPR18720040303143550758_2_2" hidden="1">#REF!</definedName>
    <definedName name="BLPR18820040303143550778" hidden="1">#REF!</definedName>
    <definedName name="BLPR18820040303143550778_1_2" hidden="1">#REF!</definedName>
    <definedName name="BLPR18820040303143550778_2_2" hidden="1">#REF!</definedName>
    <definedName name="BLPR18920040303143550798" hidden="1">#REF!</definedName>
    <definedName name="BLPR18920040303143550798_1_2" hidden="1">#REF!</definedName>
    <definedName name="BLPR18920040303143550798_2_2" hidden="1">#REF!</definedName>
    <definedName name="BLPR19020040303143550818" hidden="1">#REF!</definedName>
    <definedName name="BLPR19020040303143550818_1_2" hidden="1">#REF!</definedName>
    <definedName name="BLPR19020040303143550818_2_2" hidden="1">#REF!</definedName>
    <definedName name="BLPR19120040303143550838" hidden="1">#REF!</definedName>
    <definedName name="BLPR19120040303143550838_1_2" hidden="1">#REF!</definedName>
    <definedName name="BLPR19120040303143550838_2_2" hidden="1">#REF!</definedName>
    <definedName name="BLPR1920040303143540823" hidden="1">#REF!</definedName>
    <definedName name="BLPR1920040303143540823_1_3" hidden="1">#REF!</definedName>
    <definedName name="BLPR1920040303143540823_2_3" hidden="1">#REF!</definedName>
    <definedName name="BLPR1920040303143540823_3_3" hidden="1">#REF!</definedName>
    <definedName name="BLPR19220040303143550858" hidden="1">#REF!</definedName>
    <definedName name="BLPR19220040303143550858_1_2" hidden="1">#REF!</definedName>
    <definedName name="BLPR19220040303143550858_2_2" hidden="1">#REF!</definedName>
    <definedName name="BLPR19320040303143550878" hidden="1">#REF!</definedName>
    <definedName name="BLPR19320040303143550878_1_2" hidden="1">#REF!</definedName>
    <definedName name="BLPR19320040303143550878_2_2" hidden="1">#REF!</definedName>
    <definedName name="BLPR19420040303143550898" hidden="1">#REF!</definedName>
    <definedName name="BLPR19420040303143550898_1_2" hidden="1">#REF!</definedName>
    <definedName name="BLPR19420040303143550898_2_2" hidden="1">#REF!</definedName>
    <definedName name="BLPR19520040303143550928" hidden="1">#REF!</definedName>
    <definedName name="BLPR19520040303143550928_1_2" hidden="1">#REF!</definedName>
    <definedName name="BLPR19520040303143550928_2_2" hidden="1">#REF!</definedName>
    <definedName name="BLPR19620040303143550948" hidden="1">#REF!</definedName>
    <definedName name="BLPR19620040303143550948_1_2" hidden="1">#REF!</definedName>
    <definedName name="BLPR19620040303143550948_2_2" hidden="1">#REF!</definedName>
    <definedName name="BLPR19720040303143550968" hidden="1">#REF!</definedName>
    <definedName name="BLPR19720040303143550968_1_2" hidden="1">#REF!</definedName>
    <definedName name="BLPR19720040303143550968_2_2" hidden="1">#REF!</definedName>
    <definedName name="BLPR19820040303143550988" hidden="1">#REF!</definedName>
    <definedName name="BLPR19820040303143550988_1_2" hidden="1">#REF!</definedName>
    <definedName name="BLPR19820040303143550988_2_2" hidden="1">#REF!</definedName>
    <definedName name="BLPR19920040303143551999" hidden="1">#REF!</definedName>
    <definedName name="BLPR19920040303143551999_1_1" hidden="1">#REF!</definedName>
    <definedName name="BLPR20020040303143551999" hidden="1">#REF!</definedName>
    <definedName name="BLPR20020040303143551999_1_1" hidden="1">#REF!</definedName>
    <definedName name="BLPR20120040303143551999" hidden="1">#REF!</definedName>
    <definedName name="BLPR20120040303143551999_1_1" hidden="1">#REF!</definedName>
    <definedName name="BLPR2020040303143540823" hidden="1">#REF!</definedName>
    <definedName name="BLPR2020040303143540823_1_3" hidden="1">#REF!</definedName>
    <definedName name="BLPR2020040303143540823_2_3" hidden="1">#REF!</definedName>
    <definedName name="BLPR2020040303143540823_3_3" hidden="1">#REF!</definedName>
    <definedName name="BLPR20220040303143551999" hidden="1">#REF!</definedName>
    <definedName name="BLPR20220040303143551999_1_1" hidden="1">#REF!</definedName>
    <definedName name="BLPR20320040303143552009" hidden="1">#REF!</definedName>
    <definedName name="BLPR20320040303143552009_1_1" hidden="1">#REF!</definedName>
    <definedName name="BLPR20420040303143552009" hidden="1">#REF!</definedName>
    <definedName name="BLPR20420040303143552009_1_1" hidden="1">#REF!</definedName>
    <definedName name="BLPR20520040303143552009" hidden="1">#REF!</definedName>
    <definedName name="BLPR20520040303143552009_1_1" hidden="1">#REF!</definedName>
    <definedName name="BLPR20620040303143552009" hidden="1">#REF!</definedName>
    <definedName name="BLPR20620040303143552009_1_1" hidden="1">#REF!</definedName>
    <definedName name="BLPR20720040303143552009" hidden="1">#REF!</definedName>
    <definedName name="BLPR20720040303143552009_1_1" hidden="1">#REF!</definedName>
    <definedName name="BLPR20820040303143552009" hidden="1">#REF!</definedName>
    <definedName name="BLPR20820040303143552009_1_1" hidden="1">#REF!</definedName>
    <definedName name="BLPR20920040303143552009" hidden="1">#REF!</definedName>
    <definedName name="BLPR20920040303143552009_1_1" hidden="1">#REF!</definedName>
    <definedName name="BLPR21020040303143552009" hidden="1">#REF!</definedName>
    <definedName name="BLPR21020040303143552009_1_1" hidden="1">#REF!</definedName>
    <definedName name="BLPR21120040303143552009" hidden="1">#REF!</definedName>
    <definedName name="BLPR21120040303143552009_1_1" hidden="1">#REF!</definedName>
    <definedName name="BLPR2120040303143540823" hidden="1">#REF!</definedName>
    <definedName name="BLPR2120040303143540823_1_3" hidden="1">#REF!</definedName>
    <definedName name="BLPR2120040303143540823_2_3" hidden="1">#REF!</definedName>
    <definedName name="BLPR2120040303143540823_3_3" hidden="1">#REF!</definedName>
    <definedName name="BLPR21220040303143552009" hidden="1">#REF!</definedName>
    <definedName name="BLPR21220040303143552009_1_1" hidden="1">#REF!</definedName>
    <definedName name="BLPR21320040303143552009" hidden="1">#REF!</definedName>
    <definedName name="BLPR21320040303143552009_1_1" hidden="1">#REF!</definedName>
    <definedName name="BLPR21420040303143552019" hidden="1">#REF!</definedName>
    <definedName name="BLPR21420040303143552019_1_1" hidden="1">#REF!</definedName>
    <definedName name="BLPR21520040303143552080" hidden="1">#REF!</definedName>
    <definedName name="BLPR21520040303143552080_1_2" hidden="1">#REF!</definedName>
    <definedName name="BLPR21520040303143552080_2_2" hidden="1">#REF!</definedName>
    <definedName name="BLPR21620040303143552110" hidden="1">#REF!</definedName>
    <definedName name="BLPR21620040303143552110_1_2" hidden="1">#REF!</definedName>
    <definedName name="BLPR21620040303143552110_2_2" hidden="1">#REF!</definedName>
    <definedName name="BLPR21720040303143552130" hidden="1">#REF!</definedName>
    <definedName name="BLPR21720040303143552130_1_2" hidden="1">#REF!</definedName>
    <definedName name="BLPR21720040303143552130_2_2" hidden="1">#REF!</definedName>
    <definedName name="BLPR21820040303143552160" hidden="1">#REF!</definedName>
    <definedName name="BLPR21820040303143552160_1_2" hidden="1">#REF!</definedName>
    <definedName name="BLPR21820040303143552160_2_2" hidden="1">#REF!</definedName>
    <definedName name="BLPR21920040303143552180" hidden="1">#REF!</definedName>
    <definedName name="BLPR21920040303143552180_1_2" hidden="1">#REF!</definedName>
    <definedName name="BLPR21920040303143552180_2_2" hidden="1">#REF!</definedName>
    <definedName name="BLPR220040303143540773" hidden="1">#REF!</definedName>
    <definedName name="BLPR220040303143540773_1_3" hidden="1">#REF!</definedName>
    <definedName name="BLPR220040303143540773_2_3" hidden="1">#REF!</definedName>
    <definedName name="BLPR220040303143540773_3_3" hidden="1">#REF!</definedName>
    <definedName name="BLPR22020040303143552210" hidden="1">#REF!</definedName>
    <definedName name="BLPR22020040303143552210_1_2" hidden="1">#REF!</definedName>
    <definedName name="BLPR22020040303143552210_2_2" hidden="1">#REF!</definedName>
    <definedName name="BLPR22120040303143552230" hidden="1">#REF!</definedName>
    <definedName name="BLPR22120040303143552230_1_2" hidden="1">#REF!</definedName>
    <definedName name="BLPR22120040303143552230_2_2" hidden="1">#REF!</definedName>
    <definedName name="BLPR2220040303143540833" hidden="1">#REF!</definedName>
    <definedName name="BLPR2220040303143540833_1_3" hidden="1">#REF!</definedName>
    <definedName name="BLPR2220040303143540833_2_3" hidden="1">#REF!</definedName>
    <definedName name="BLPR2220040303143540833_3_3" hidden="1">#REF!</definedName>
    <definedName name="BLPR22220040303143552260" hidden="1">#REF!</definedName>
    <definedName name="BLPR22220040303143552260_1_2" hidden="1">#REF!</definedName>
    <definedName name="BLPR22220040303143552260_2_2" hidden="1">#REF!</definedName>
    <definedName name="BLPR2320040303143540833" hidden="1">#REF!</definedName>
    <definedName name="BLPR2320040303143540833_1_3" hidden="1">#REF!</definedName>
    <definedName name="BLPR2320040303143540833_2_3" hidden="1">#REF!</definedName>
    <definedName name="BLPR2320040303143540833_3_3" hidden="1">#REF!</definedName>
    <definedName name="BLPR2420040303143540833" hidden="1">#REF!</definedName>
    <definedName name="BLPR2420040303143540833_1_3" hidden="1">#REF!</definedName>
    <definedName name="BLPR2420040303143540833_2_3" hidden="1">#REF!</definedName>
    <definedName name="BLPR2420040303143540833_3_3" hidden="1">#REF!</definedName>
    <definedName name="BLPR2520040303143540833" hidden="1">#REF!</definedName>
    <definedName name="BLPR2520040303143540833_1_3" hidden="1">#REF!</definedName>
    <definedName name="BLPR2520040303143540833_2_3" hidden="1">#REF!</definedName>
    <definedName name="BLPR2520040303143540833_3_3" hidden="1">#REF!</definedName>
    <definedName name="BLPR2620040303143540833" hidden="1">#REF!</definedName>
    <definedName name="BLPR2620040303143540833_1_3" hidden="1">#REF!</definedName>
    <definedName name="BLPR2620040303143540833_2_3" hidden="1">#REF!</definedName>
    <definedName name="BLPR2620040303143540833_3_3" hidden="1">#REF!</definedName>
    <definedName name="BLPR2720040303143540843" hidden="1">#REF!</definedName>
    <definedName name="BLPR2720040303143540843_1_3" hidden="1">#REF!</definedName>
    <definedName name="BLPR2720040303143540843_2_3" hidden="1">#REF!</definedName>
    <definedName name="BLPR2720040303143540843_3_3" hidden="1">#REF!</definedName>
    <definedName name="BLPR2820040303143540843" hidden="1">#REF!</definedName>
    <definedName name="BLPR2820040303143540843_1_3" hidden="1">#REF!</definedName>
    <definedName name="BLPR2820040303143540843_2_3" hidden="1">#REF!</definedName>
    <definedName name="BLPR2820040303143540843_3_3" hidden="1">#REF!</definedName>
    <definedName name="BLPR2920040303143540843" hidden="1">#REF!</definedName>
    <definedName name="BLPR2920040303143540843_1_3" hidden="1">#REF!</definedName>
    <definedName name="BLPR2920040303143540843_2_3" hidden="1">#REF!</definedName>
    <definedName name="BLPR2920040303143540843_3_3" hidden="1">#REF!</definedName>
    <definedName name="BLPR3020040303143540843" hidden="1">#REF!</definedName>
    <definedName name="BLPR3020040303143540843_1_3" hidden="1">#REF!</definedName>
    <definedName name="BLPR3020040303143540843_2_3" hidden="1">#REF!</definedName>
    <definedName name="BLPR3020040303143540843_3_3" hidden="1">#REF!</definedName>
    <definedName name="BLPR3120040303143540853" hidden="1">#REF!</definedName>
    <definedName name="BLPR3120040303143540853_1_3" hidden="1">#REF!</definedName>
    <definedName name="BLPR3120040303143540853_2_3" hidden="1">#REF!</definedName>
    <definedName name="BLPR3120040303143540853_3_3" hidden="1">#REF!</definedName>
    <definedName name="BLPR320040303143540773" hidden="1">#REF!</definedName>
    <definedName name="BLPR320040303143540773_1_3" hidden="1">#REF!</definedName>
    <definedName name="BLPR320040303143540773_2_3" hidden="1">#REF!</definedName>
    <definedName name="BLPR320040303143540773_3_3" hidden="1">#REF!</definedName>
    <definedName name="BLPR3220040303143540853" hidden="1">#REF!</definedName>
    <definedName name="BLPR3220040303143540853_1_3" hidden="1">#REF!</definedName>
    <definedName name="BLPR3220040303143540853_2_3" hidden="1">#REF!</definedName>
    <definedName name="BLPR3220040303143540853_3_3" hidden="1">#REF!</definedName>
    <definedName name="BLPR3320040303143540853" hidden="1">#REF!</definedName>
    <definedName name="BLPR3320040303143540853_1_3" hidden="1">#REF!</definedName>
    <definedName name="BLPR3320040303143540853_2_3" hidden="1">#REF!</definedName>
    <definedName name="BLPR3320040303143540853_3_3" hidden="1">#REF!</definedName>
    <definedName name="BLPR3420040303143540853" hidden="1">#REF!</definedName>
    <definedName name="BLPR3420040303143540853_1_3" hidden="1">#REF!</definedName>
    <definedName name="BLPR3420040303143540853_2_3" hidden="1">#REF!</definedName>
    <definedName name="BLPR3420040303143540853_3_3" hidden="1">#REF!</definedName>
    <definedName name="BLPR3520040303143540853" hidden="1">#REF!</definedName>
    <definedName name="BLPR3520040303143540853_1_3" hidden="1">#REF!</definedName>
    <definedName name="BLPR3520040303143540853_2_3" hidden="1">#REF!</definedName>
    <definedName name="BLPR3520040303143540853_3_3" hidden="1">#REF!</definedName>
    <definedName name="BLPR3620040303143540863" hidden="1">#REF!</definedName>
    <definedName name="BLPR3620040303143540863_1_3" hidden="1">#REF!</definedName>
    <definedName name="BLPR3620040303143540863_2_3" hidden="1">#REF!</definedName>
    <definedName name="BLPR3620040303143540863_3_3" hidden="1">#REF!</definedName>
    <definedName name="BLPR3720040303143540863" hidden="1">#REF!</definedName>
    <definedName name="BLPR3720040303143540863_1_3" hidden="1">#REF!</definedName>
    <definedName name="BLPR3720040303143540863_2_3" hidden="1">#REF!</definedName>
    <definedName name="BLPR3720040303143540863_3_3" hidden="1">#REF!</definedName>
    <definedName name="BLPR3820040303143540863" hidden="1">#REF!</definedName>
    <definedName name="BLPR3820040303143540863_1_3" hidden="1">#REF!</definedName>
    <definedName name="BLPR3820040303143540863_2_3" hidden="1">#REF!</definedName>
    <definedName name="BLPR3820040303143540863_3_3" hidden="1">#REF!</definedName>
    <definedName name="BLPR3920040303143540863" hidden="1">#REF!</definedName>
    <definedName name="BLPR3920040303143540863_1_3" hidden="1">#REF!</definedName>
    <definedName name="BLPR3920040303143540863_2_3" hidden="1">#REF!</definedName>
    <definedName name="BLPR3920040303143540863_3_3" hidden="1">#REF!</definedName>
    <definedName name="BLPR4020040303143540873" hidden="1">#REF!</definedName>
    <definedName name="BLPR4020040303143540873_1_3" hidden="1">#REF!</definedName>
    <definedName name="BLPR4020040303143540873_2_3" hidden="1">#REF!</definedName>
    <definedName name="BLPR4020040303143540873_3_3" hidden="1">#REF!</definedName>
    <definedName name="BLPR4120040303143540873" hidden="1">#REF!</definedName>
    <definedName name="BLPR4120040303143540873_1_3" hidden="1">#REF!</definedName>
    <definedName name="BLPR4120040303143540873_2_3" hidden="1">#REF!</definedName>
    <definedName name="BLPR4120040303143540873_3_3" hidden="1">#REF!</definedName>
    <definedName name="BLPR420040303143540783" hidden="1">#REF!</definedName>
    <definedName name="BLPR420040303143540783_1_3" hidden="1">#REF!</definedName>
    <definedName name="BLPR420040303143540783_2_3" hidden="1">#REF!</definedName>
    <definedName name="BLPR420040303143540783_3_3" hidden="1">#REF!</definedName>
    <definedName name="BLPR4220040303143540873" hidden="1">#REF!</definedName>
    <definedName name="BLPR4220040303143540873_1_3" hidden="1">#REF!</definedName>
    <definedName name="BLPR4220040303143540873_2_3" hidden="1">#REF!</definedName>
    <definedName name="BLPR4220040303143540873_3_3" hidden="1">#REF!</definedName>
    <definedName name="BLPR4320040303143540873" hidden="1">#REF!</definedName>
    <definedName name="BLPR4320040303143540873_1_3" hidden="1">#REF!</definedName>
    <definedName name="BLPR4320040303143540873_2_3" hidden="1">#REF!</definedName>
    <definedName name="BLPR4320040303143540873_3_3" hidden="1">#REF!</definedName>
    <definedName name="BLPR4420040303143540883" hidden="1">#REF!</definedName>
    <definedName name="BLPR4420040303143540883_1_3" hidden="1">#REF!</definedName>
    <definedName name="BLPR4420040303143540883_2_3" hidden="1">#REF!</definedName>
    <definedName name="BLPR4420040303143540883_3_3" hidden="1">#REF!</definedName>
    <definedName name="BLPR4520040303143540883" hidden="1">#REF!</definedName>
    <definedName name="BLPR4520040303143540883_1_3" hidden="1">#REF!</definedName>
    <definedName name="BLPR4520040303143540883_2_3" hidden="1">#REF!</definedName>
    <definedName name="BLPR4520040303143540883_3_3" hidden="1">#REF!</definedName>
    <definedName name="BLPR4620040303143540883" hidden="1">#REF!</definedName>
    <definedName name="BLPR4620040303143540883_1_3" hidden="1">#REF!</definedName>
    <definedName name="BLPR4620040303143540883_2_3" hidden="1">#REF!</definedName>
    <definedName name="BLPR4620040303143540883_3_3" hidden="1">#REF!</definedName>
    <definedName name="BLPR4720040303143540893" hidden="1">#REF!</definedName>
    <definedName name="BLPR4720040303143540893_1_3" hidden="1">#REF!</definedName>
    <definedName name="BLPR4720040303143540893_2_3" hidden="1">#REF!</definedName>
    <definedName name="BLPR4720040303143540893_3_3" hidden="1">#REF!</definedName>
    <definedName name="BLPR4820040303143540893" hidden="1">#REF!</definedName>
    <definedName name="BLPR4820040303143540893_1_3" hidden="1">#REF!</definedName>
    <definedName name="BLPR4820040303143540893_2_3" hidden="1">#REF!</definedName>
    <definedName name="BLPR4820040303143540893_3_3" hidden="1">#REF!</definedName>
    <definedName name="BLPR4920040303143542085" hidden="1">#REF!</definedName>
    <definedName name="BLPR4920040303143542085_1_3" hidden="1">#REF!</definedName>
    <definedName name="BLPR4920040303143542085_2_3" hidden="1">#REF!</definedName>
    <definedName name="BLPR4920040303143542085_3_3" hidden="1">#REF!</definedName>
    <definedName name="BLPR5020040303143542085" hidden="1">#REF!</definedName>
    <definedName name="BLPR5020040303143542085_1_3" hidden="1">#REF!</definedName>
    <definedName name="BLPR5020040303143542085_2_3" hidden="1">#REF!</definedName>
    <definedName name="BLPR5020040303143542085_3_3" hidden="1">#REF!</definedName>
    <definedName name="BLPR5120040303143542095" hidden="1">#REF!</definedName>
    <definedName name="BLPR5120040303143542095_1_3" hidden="1">#REF!</definedName>
    <definedName name="BLPR5120040303143542095_2_3" hidden="1">#REF!</definedName>
    <definedName name="BLPR5120040303143542095_3_3" hidden="1">#REF!</definedName>
    <definedName name="BLPR520040303143540783" hidden="1">#REF!</definedName>
    <definedName name="BLPR520040303143540783_1_3" hidden="1">#REF!</definedName>
    <definedName name="BLPR520040303143540783_2_3" hidden="1">#REF!</definedName>
    <definedName name="BLPR520040303143540783_3_3" hidden="1">#REF!</definedName>
    <definedName name="BLPR5220040303143542095" hidden="1">#REF!</definedName>
    <definedName name="BLPR5220040303143542095_1_3" hidden="1">#REF!</definedName>
    <definedName name="BLPR5220040303143542095_2_3" hidden="1">#REF!</definedName>
    <definedName name="BLPR5220040303143542095_3_3" hidden="1">#REF!</definedName>
    <definedName name="BLPR5320040303143542095" hidden="1">#REF!</definedName>
    <definedName name="BLPR5320040303143542095_1_3" hidden="1">#REF!</definedName>
    <definedName name="BLPR5320040303143542095_2_3" hidden="1">#REF!</definedName>
    <definedName name="BLPR5320040303143542095_3_3" hidden="1">#REF!</definedName>
    <definedName name="BLPR5420040303143542095" hidden="1">#REF!</definedName>
    <definedName name="BLPR5420040303143542095_1_3" hidden="1">#REF!</definedName>
    <definedName name="BLPR5420040303143542095_2_3" hidden="1">#REF!</definedName>
    <definedName name="BLPR5420040303143542095_3_3" hidden="1">#REF!</definedName>
    <definedName name="BLPR5520040303143542095" hidden="1">#REF!</definedName>
    <definedName name="BLPR5520040303143542095_1_3" hidden="1">#REF!</definedName>
    <definedName name="BLPR5520040303143542095_2_3" hidden="1">#REF!</definedName>
    <definedName name="BLPR5520040303143542095_3_3" hidden="1">#REF!</definedName>
    <definedName name="BLPR5620040303143542105" hidden="1">#REF!</definedName>
    <definedName name="BLPR5620040303143542105_1_3" hidden="1">#REF!</definedName>
    <definedName name="BLPR5620040303143542105_2_3" hidden="1">#REF!</definedName>
    <definedName name="BLPR5620040303143542105_3_3" hidden="1">#REF!</definedName>
    <definedName name="BLPR5720040303143542105" hidden="1">#REF!</definedName>
    <definedName name="BLPR5720040303143542105_1_3" hidden="1">#REF!</definedName>
    <definedName name="BLPR5720040303143542105_2_3" hidden="1">#REF!</definedName>
    <definedName name="BLPR5720040303143542105_3_3" hidden="1">#REF!</definedName>
    <definedName name="BLPR5820040303143548064" hidden="1">#REF!</definedName>
    <definedName name="BLPR5820040303143548064_1_1" hidden="1">#REF!</definedName>
    <definedName name="BLPR5920040303143548074" hidden="1">#REF!</definedName>
    <definedName name="BLPR5920040303143548074_1_1" hidden="1">#REF!</definedName>
    <definedName name="BLPR6020040303143548074" hidden="1">#REF!</definedName>
    <definedName name="BLPR6020040303143548074_1_1" hidden="1">#REF!</definedName>
    <definedName name="BLPR6120040303143548074" hidden="1">#REF!</definedName>
    <definedName name="BLPR6120040303143548074_1_1" hidden="1">#REF!</definedName>
    <definedName name="BLPR620040303143540783" hidden="1">#REF!</definedName>
    <definedName name="BLPR620040303143540783_1_3" hidden="1">#REF!</definedName>
    <definedName name="BLPR620040303143540783_2_3" hidden="1">#REF!</definedName>
    <definedName name="BLPR620040303143540783_3_3" hidden="1">#REF!</definedName>
    <definedName name="BLPR6220040303143548074" hidden="1">#REF!</definedName>
    <definedName name="BLPR6220040303143548074_1_1" hidden="1">#REF!</definedName>
    <definedName name="BLPR6320040303143548074" hidden="1">#REF!</definedName>
    <definedName name="BLPR6320040303143548074_1_1" hidden="1">#REF!</definedName>
    <definedName name="BLPR6420040303143548104" hidden="1">#REF!</definedName>
    <definedName name="BLPR6420040303143548104_1_2" hidden="1">#REF!</definedName>
    <definedName name="BLPR6420040303143548104_2_2" hidden="1">#REF!</definedName>
    <definedName name="BLPR6520040303143548114" hidden="1">#REF!</definedName>
    <definedName name="BLPR6520040303143548114_1_2" hidden="1">#REF!</definedName>
    <definedName name="BLPR6520040303143548114_2_2" hidden="1">#REF!</definedName>
    <definedName name="BLPR6620040303143548134" hidden="1">#REF!</definedName>
    <definedName name="BLPR6620040303143548134_1_2" hidden="1">#REF!</definedName>
    <definedName name="BLPR6620040303143548134_2_2" hidden="1">#REF!</definedName>
    <definedName name="BLPR6720040303143549966" hidden="1">#REF!</definedName>
    <definedName name="BLPR6720040303143549966_1_1" hidden="1">#REF!</definedName>
    <definedName name="BLPR6820040303143549966" hidden="1">#REF!</definedName>
    <definedName name="BLPR6820040303143549966_1_1" hidden="1">#REF!</definedName>
    <definedName name="BLPR6920040303143549966" hidden="1">#REF!</definedName>
    <definedName name="BLPR6920040303143549966_1_1" hidden="1">#REF!</definedName>
    <definedName name="BLPR7020040303143549966" hidden="1">#REF!</definedName>
    <definedName name="BLPR7020040303143549966_1_1" hidden="1">#REF!</definedName>
    <definedName name="BLPR7120040303143549966" hidden="1">#REF!</definedName>
    <definedName name="BLPR7120040303143549966_1_1" hidden="1">#REF!</definedName>
    <definedName name="BLPR720040303143540783" hidden="1">#REF!</definedName>
    <definedName name="BLPR720040303143540783_1_3" hidden="1">#REF!</definedName>
    <definedName name="BLPR720040303143540783_2_3" hidden="1">#REF!</definedName>
    <definedName name="BLPR720040303143540783_3_3" hidden="1">#REF!</definedName>
    <definedName name="BLPR7220040303143549966" hidden="1">#REF!</definedName>
    <definedName name="BLPR7220040303143549966_1_1" hidden="1">#REF!</definedName>
    <definedName name="BLPR7320040303143549976" hidden="1">#REF!</definedName>
    <definedName name="BLPR7320040303143549976_1_1" hidden="1">#REF!</definedName>
    <definedName name="BLPR7420040303143549976" hidden="1">#REF!</definedName>
    <definedName name="BLPR7420040303143549976_1_1" hidden="1">#REF!</definedName>
    <definedName name="BLPR7520040303143549976" hidden="1">#REF!</definedName>
    <definedName name="BLPR7520040303143549976_1_1" hidden="1">#REF!</definedName>
    <definedName name="BLPR7620040303143549976" hidden="1">#REF!</definedName>
    <definedName name="BLPR7620040303143549976_1_1" hidden="1">#REF!</definedName>
    <definedName name="BLPR7720040303143549976" hidden="1">#REF!</definedName>
    <definedName name="BLPR7720040303143549976_1_1" hidden="1">#REF!</definedName>
    <definedName name="BLPR7820040303143549976" hidden="1">#REF!</definedName>
    <definedName name="BLPR7820040303143549976_1_1" hidden="1">#REF!</definedName>
    <definedName name="BLPR7920040303143549987" hidden="1">#REF!</definedName>
    <definedName name="BLPR7920040303143549987_1_1" hidden="1">#REF!</definedName>
    <definedName name="BLPR8020040303143549987" hidden="1">#REF!</definedName>
    <definedName name="BLPR8020040303143549987_1_1" hidden="1">#REF!</definedName>
    <definedName name="BLPR8120040303143549987" hidden="1">#REF!</definedName>
    <definedName name="BLPR8120040303143549987_1_1" hidden="1">#REF!</definedName>
    <definedName name="BLPR820040303143540793" hidden="1">#REF!</definedName>
    <definedName name="BLPR820040303143540793_1_3" hidden="1">#REF!</definedName>
    <definedName name="BLPR820040303143540793_2_3" hidden="1">#REF!</definedName>
    <definedName name="BLPR820040303143540793_3_3" hidden="1">#REF!</definedName>
    <definedName name="BLPR8220040303143549987" hidden="1">#REF!</definedName>
    <definedName name="BLPR8220040303143549987_1_1" hidden="1">#REF!</definedName>
    <definedName name="BLPR8320040303143549987" hidden="1">#REF!</definedName>
    <definedName name="BLPR8320040303143549987_1_1" hidden="1">#REF!</definedName>
    <definedName name="BLPR8420040303143549987" hidden="1">#REF!</definedName>
    <definedName name="BLPR8420040303143549987_1_1" hidden="1">#REF!</definedName>
    <definedName name="BLPR8520040303143549987" hidden="1">#REF!</definedName>
    <definedName name="BLPR8520040303143549987_1_1" hidden="1">#REF!</definedName>
    <definedName name="BLPR8620040303143549997" hidden="1">#REF!</definedName>
    <definedName name="BLPR8620040303143549997_1_1" hidden="1">#REF!</definedName>
    <definedName name="BLPR8720040303143549997" hidden="1">#REF!</definedName>
    <definedName name="BLPR8720040303143549997_1_1" hidden="1">#REF!</definedName>
    <definedName name="BLPR8820040303143549997" hidden="1">#REF!</definedName>
    <definedName name="BLPR8820040303143549997_1_1" hidden="1">#REF!</definedName>
    <definedName name="BLPR8920040303143549997" hidden="1">#REF!</definedName>
    <definedName name="BLPR8920040303143549997_1_1" hidden="1">#REF!</definedName>
    <definedName name="BLPR9020040303143549997" hidden="1">#REF!</definedName>
    <definedName name="BLPR9020040303143549997_1_1" hidden="1">#REF!</definedName>
    <definedName name="BLPR9120040303143549997" hidden="1">#REF!</definedName>
    <definedName name="BLPR9120040303143549997_1_1" hidden="1">#REF!</definedName>
    <definedName name="BLPR920040303143540803" hidden="1">#REF!</definedName>
    <definedName name="BLPR920040303143540803_1_3" hidden="1">#REF!</definedName>
    <definedName name="BLPR920040303143540803_2_3" hidden="1">#REF!</definedName>
    <definedName name="BLPR920040303143540803_3_3" hidden="1">#REF!</definedName>
    <definedName name="BLPR9220040303143550007" hidden="1">#REF!</definedName>
    <definedName name="BLPR9220040303143550007_1_1" hidden="1">#REF!</definedName>
    <definedName name="BLPR9320040303143550007" hidden="1">#REF!</definedName>
    <definedName name="BLPR9320040303143550007_1_1" hidden="1">#REF!</definedName>
    <definedName name="BLPR9420040303143550007" hidden="1">#REF!</definedName>
    <definedName name="BLPR9420040303143550007_1_1" hidden="1">#REF!</definedName>
    <definedName name="BLPR9520040303143550007" hidden="1">#REF!</definedName>
    <definedName name="BLPR9520040303143550007_1_1" hidden="1">#REF!</definedName>
    <definedName name="BLPR9620040303143550007" hidden="1">#REF!</definedName>
    <definedName name="BLPR9620040303143550007_1_1" hidden="1">#REF!</definedName>
    <definedName name="BLPR9720040303143550007" hidden="1">#REF!</definedName>
    <definedName name="BLPR9720040303143550007_1_1" hidden="1">#REF!</definedName>
    <definedName name="BLPR9820040303143550017" hidden="1">#REF!</definedName>
    <definedName name="BLPR9820040303143550017_1_1" hidden="1">#REF!</definedName>
    <definedName name="BLPR9920040303143550017" hidden="1">#REF!</definedName>
    <definedName name="BLPR9920040303143550017_1_1" hidden="1">#REF!</definedName>
    <definedName name="BM">#REF!</definedName>
    <definedName name="BM___0">#REF!</definedName>
    <definedName name="BM_8">#REF!</definedName>
    <definedName name="bmsd_Annual_Turnaround_Report">#REF!</definedName>
    <definedName name="bmsd_CTADryer">#REF!</definedName>
    <definedName name="bmsd_e1102a">#REF!</definedName>
    <definedName name="bmsd_e2201a">#REF!</definedName>
    <definedName name="bmsd_Future_Plan__1">#REF!</definedName>
    <definedName name="bmsd_Future_Plan__2">#REF!</definedName>
    <definedName name="bmsd_Shutdown_expense__1">#REF!</definedName>
    <definedName name="bmsd_Shutdown_expense__2">#REF!</definedName>
    <definedName name="bmsd_Shutdown_Report_Content">#REF!</definedName>
    <definedName name="bmsd_Start_Up_Schedule">#REF!</definedName>
    <definedName name="BNE_MESSAGES_HIDDEN" hidden="1">#REF!</definedName>
    <definedName name="bnm" hidden="1">{#N/A,#N/A,FALSE,"REPORT"}</definedName>
    <definedName name="Boiler">#REF!</definedName>
    <definedName name="bola" hidden="1">{#N/A,#N/A,FALSE,"A"}</definedName>
    <definedName name="bomic" hidden="1">{#N/A,#N/A,FALSE,"COVER1.XLS ";#N/A,#N/A,FALSE,"RACT1.XLS";#N/A,#N/A,FALSE,"RACT2.XLS";#N/A,#N/A,FALSE,"ECCMP";#N/A,#N/A,FALSE,"WELDER.XLS"}</definedName>
    <definedName name="BONreco">#REF!</definedName>
    <definedName name="BP">"#REF!"</definedName>
    <definedName name="BP_3">"#REF!"</definedName>
    <definedName name="BREAK_LOAD">#REF!</definedName>
    <definedName name="BRIX">#REF!</definedName>
    <definedName name="BRIX2">#REF!</definedName>
    <definedName name="brk">#REF!</definedName>
    <definedName name="brl">#REF!</definedName>
    <definedName name="Brut_Imposable">#REF!</definedName>
    <definedName name="BS">#REF!</definedName>
    <definedName name="bs.date">#REF!</definedName>
    <definedName name="BS_2">#REF!</definedName>
    <definedName name="BS_3">#REF!</definedName>
    <definedName name="BS_31">#REF!</definedName>
    <definedName name="BS_33">#REF!</definedName>
    <definedName name="BS_4">#REF!</definedName>
    <definedName name="bs_print">#REF!</definedName>
    <definedName name="BSC">#REF!</definedName>
    <definedName name="BSHEET">#REF!</definedName>
    <definedName name="BSP">#REF!</definedName>
    <definedName name="btd.wrk">#REF!</definedName>
    <definedName name="btd.wrk.cpy">#REF!</definedName>
    <definedName name="BU" hidden="1">#REF!</definedName>
    <definedName name="BUBUBU">#REF!</definedName>
    <definedName name="bud" hidden="1">#REF!</definedName>
    <definedName name="BUDGET">#REF!</definedName>
    <definedName name="BudgetCalenderYear">#REF!</definedName>
    <definedName name="BudgetCalenderYTD">#REF!</definedName>
    <definedName name="BudgetCostCentre">#REF!</definedName>
    <definedName name="BudgetCurrentMonth">#REF!</definedName>
    <definedName name="BudgetFinancialYear">#REF!</definedName>
    <definedName name="BudgetFinancialYTD">#REF!</definedName>
    <definedName name="Buffer_excess_length_L1">#REF!</definedName>
    <definedName name="Buffer_Tube_Size">#REF!</definedName>
    <definedName name="BuiltIn_AutoFilter___1">NA()</definedName>
    <definedName name="BuiltIn_AutoFilter___1___0">"ugimin/Documents and Settings/pwrririn/Local Settings/Temporary Internet Files/OLK2EB/MPI/Documents and Settings/jktamit/Local Settings/Temporary Internet Files/OLK9B/Alldoc-old/EXCEL/Complaints/Comp\'04/List 4 all complaints 2004.xls'#$ALL.$A$3:$AG$66"""</definedName>
    <definedName name="BuiltIn_AutoFilter___1___0_1">#N/A</definedName>
    <definedName name="BuiltIn_AutoFilter___1_1">NA()</definedName>
    <definedName name="BuiltIn_AutoFilter___1_1___0">"ugimin/Documents and Settings/pwrririn/Local Settings/Temporary Internet Files/OLK2EB/MPI/Documents and Settings/jktamit/Local Settings/Temporary Internet Files/OLK9B/Alldoc-old/EXCEL/Complaints/Comp\'04/List 4 all complaints 2004.xls'#$ALL.$A$3:$AG$66"""</definedName>
    <definedName name="BuiltIn_AutoFilter___1_1___0_1">#N/A</definedName>
    <definedName name="BuiltIn_AutoFilter___1_1_1">#N/A</definedName>
    <definedName name="BuiltIn_AutoFilter___1_1_2">NA()</definedName>
    <definedName name="BuiltIn_AutoFilter___1_10">"$#REF!.$A$6:$C$623"</definedName>
    <definedName name="BuiltIn_AutoFilter___1_11">"$#REF!.$A$6:$C$623"</definedName>
    <definedName name="BuiltIn_AutoFilter___1_12">"$#REF!.$A$6:$C$623"</definedName>
    <definedName name="BuiltIn_AutoFilter___1_13">"$#REF!.$A$6:$C$623"</definedName>
    <definedName name="BuiltIn_AutoFilter___1_14">"$#REF!.$A$6:$C$623"</definedName>
    <definedName name="BuiltIn_AutoFilter___1_15">"$#REF!.$A$6:$C$623"</definedName>
    <definedName name="BuiltIn_AutoFilter___1_16">"$#REF!.$A$6:$C$623"</definedName>
    <definedName name="BuiltIn_AutoFilter___1_17">"$#REF!.$A$6:$C$623"</definedName>
    <definedName name="BuiltIn_AutoFilter___1_18">"$#REF!.$A$6:$C$623"</definedName>
    <definedName name="BuiltIn_AutoFilter___1_19">"$#REF!.$A$6:$C$623"</definedName>
    <definedName name="BuiltIn_AutoFilter___1_2">#REF!</definedName>
    <definedName name="BuiltIn_AutoFilter___1_20">"$#REF!.$A$6:$C$623"</definedName>
    <definedName name="BuiltIn_AutoFilter___1_21">"$#REF!.$A$6:$C$623"</definedName>
    <definedName name="BuiltIn_AutoFilter___1_22">"$#REF!.$A$6:$C$623"</definedName>
    <definedName name="BuiltIn_AutoFilter___1_23">"$#REF!.$A$6:$C$623"</definedName>
    <definedName name="BuiltIn_AutoFilter___1_24">"$#REF!.$A$6:$C$623"</definedName>
    <definedName name="BuiltIn_AutoFilter___1_25">"$#REF!.$A$6:$C$623"</definedName>
    <definedName name="BuiltIn_AutoFilter___1_26">"$#REF!.$A$6:$C$623"</definedName>
    <definedName name="BuiltIn_AutoFilter___1_27">"$#REF!.$A$6:$C$623"</definedName>
    <definedName name="BuiltIn_AutoFilter___1_28">"$#REF!.$A$6:$C$623"</definedName>
    <definedName name="BuiltIn_AutoFilter___1_29">"$#REF!.$A$6:$C$623"</definedName>
    <definedName name="BuiltIn_AutoFilter___1_3">#REF!</definedName>
    <definedName name="BuiltIn_AutoFilter___1_30">"$#REF!.$A$6:$C$623"</definedName>
    <definedName name="BuiltIn_AutoFilter___1_31">"$#REF!.$A$6:$C$623"</definedName>
    <definedName name="BuiltIn_AutoFilter___1_32">"$#REF!.$A$6:$C$623"</definedName>
    <definedName name="BuiltIn_AutoFilter___1_33">"$#REF!.$A$6:$C$623"</definedName>
    <definedName name="BuiltIn_AutoFilter___1_34">"$#REF!.$A$6:$C$623"</definedName>
    <definedName name="BuiltIn_AutoFilter___1_35">"$#REF!.$A$6:$C$623"</definedName>
    <definedName name="BuiltIn_AutoFilter___1_4">"$#REF!.$A$6:$C$623"</definedName>
    <definedName name="BuiltIn_AutoFilter___1_5">"$#REF!.$A$6:$C$623"</definedName>
    <definedName name="BuiltIn_AutoFilter___1_6">"$#REF!.$A$6:$C$623"</definedName>
    <definedName name="BuiltIn_AutoFilter___1_7">"$#REF!.$A$6:$C$623"</definedName>
    <definedName name="BuiltIn_AutoFilter___1_8">"$#REF!.$A$6:$C$623"</definedName>
    <definedName name="BuiltIn_AutoFilter___1_9">"$#REF!.$A$6:$C$623"</definedName>
    <definedName name="BuiltIn_AutoFilter___2">"$#REF!.$#REF!$#REF!"</definedName>
    <definedName name="BuiltIn_AutoFilter___2_1">"$#REF!.$#REF!$#REF!"</definedName>
    <definedName name="BuiltIn_AutoFilter___2_1_1">#REF!</definedName>
    <definedName name="BuiltIn_AutoFilter___2_2">#REF!</definedName>
    <definedName name="BuiltIn_AutoFilter___2_3">#REF!</definedName>
    <definedName name="BuiltIn_AutoFilter___2_36">"$#REF!.$A$6:$C$623"</definedName>
    <definedName name="BuiltIn_AutoFilter___2_37">"$#REF!.$A$6:$C$623"</definedName>
    <definedName name="BuiltIn_AutoFilter___2_4">#REF!</definedName>
    <definedName name="BuiltIn_AutoFilter___3">"$#REF!.$#REF!$#REF!"</definedName>
    <definedName name="BuiltIn_AutoFilter___3_1">#REF!</definedName>
    <definedName name="BuiltIn_AutoFilter___3_2">"$#REF!.$A$633:$F$978"</definedName>
    <definedName name="BuiltIn_AutoFilter___3_3">"$#REF!.$A$633:$F$978"</definedName>
    <definedName name="BuiltIn_AutoFilter___3_4">"$#REF!.$A$633:$F$978"</definedName>
    <definedName name="BuiltIn_AutoFilter___4">"$#REF!.$#REF!$#REF!"</definedName>
    <definedName name="BuiltIn_AutoFilter___4_1">#REF!</definedName>
    <definedName name="BuiltIn_AutoFilter___4_36">"$#REF!.$A$633:$F$978"</definedName>
    <definedName name="BuiltIn_AutoFilter___4_37">"$#REF!.$A$633:$F$978"</definedName>
    <definedName name="BuiltIn_AutoFilter___7">#REF!</definedName>
    <definedName name="BuiltIn_AutoFilter___7_1">#REF!</definedName>
    <definedName name="BuiltIn_AutoFilter___7_10">"$#REF!.#REF!#REF!:#REF!#REF!"</definedName>
    <definedName name="BuiltIn_AutoFilter___7_11">"$#REF!.#REF!#REF!:#REF!#REF!"</definedName>
    <definedName name="BuiltIn_AutoFilter___7_12">"$#REF!.#REF!#REF!:#REF!#REF!"</definedName>
    <definedName name="BuiltIn_AutoFilter___7_13">"$#REF!.#REF!#REF!:#REF!#REF!"</definedName>
    <definedName name="BuiltIn_AutoFilter___7_15">"$#REF!.#REF!#REF!:#REF!#REF!"</definedName>
    <definedName name="BuiltIn_AutoFilter___7_4">"$#REF!.#REF!#REF!:#REF!#REF!"</definedName>
    <definedName name="BuiltIn_AutoFilter___7_5">"$#REF!.#REF!#REF!:#REF!#REF!"</definedName>
    <definedName name="BuiltIn_AutoFilter___7_6">"$#REF!.#REF!#REF!:#REF!#REF!"</definedName>
    <definedName name="BuiltIn_AutoFilter___7_7">"$#REF!.#REF!#REF!:#REF!#REF!"</definedName>
    <definedName name="BuiltIn_AutoFilter___7_8">"$#REF!.#REF!#REF!:#REF!#REF!"</definedName>
    <definedName name="BuiltIn_AutoFilter___7_9">"$#REF!.#REF!#REF!:#REF!#REF!"</definedName>
    <definedName name="BuiltIn_AutoFilter___9">#REF!</definedName>
    <definedName name="BuiltIn_AutoFilter___9_1">#REF!</definedName>
    <definedName name="BuiltIn_AutoFilter___9_10">"$#REF!.#REF!#REF!:$#REF!$#REF!"</definedName>
    <definedName name="BuiltIn_AutoFilter___9_11">"$#REF!.#REF!#REF!:$#REF!$#REF!"</definedName>
    <definedName name="BuiltIn_AutoFilter___9_12">"$#REF!.#REF!#REF!:$#REF!$#REF!"</definedName>
    <definedName name="BuiltIn_AutoFilter___9_13">"$#REF!.#REF!#REF!:$#REF!$#REF!"</definedName>
    <definedName name="BuiltIn_AutoFilter___9_15">"$#REF!.#REF!#REF!:$#REF!$#REF!"</definedName>
    <definedName name="BuiltIn_AutoFilter___9_4">"$#REF!.#REF!#REF!:$#REF!$#REF!"</definedName>
    <definedName name="BuiltIn_AutoFilter___9_5">"$#REF!.#REF!#REF!:$#REF!$#REF!"</definedName>
    <definedName name="BuiltIn_AutoFilter___9_6">"$#REF!.#REF!#REF!:$#REF!$#REF!"</definedName>
    <definedName name="BuiltIn_AutoFilter___9_7">"$#REF!.#REF!#REF!:$#REF!$#REF!"</definedName>
    <definedName name="BuiltIn_AutoFilter___9_8">"$#REF!.#REF!#REF!:$#REF!$#REF!"</definedName>
    <definedName name="BuiltIn_AutoFilter___9_9">"$#REF!.#REF!#REF!:$#REF!$#REF!"</definedName>
    <definedName name="BuiltIn_Print_Area">#REF!</definedName>
    <definedName name="BuiltIn_Print_Area___0">#REF!</definedName>
    <definedName name="BuiltIn_Print_Titles">#REF!</definedName>
    <definedName name="BuiltIn_Print_Titles___0">#REF!</definedName>
    <definedName name="Busget_Usd__Month">9200</definedName>
    <definedName name="Business___Market_Spread">#REF!</definedName>
    <definedName name="Business_area">"FILTER_01"</definedName>
    <definedName name="Business_Area_2">#REF!</definedName>
    <definedName name="BUTENE">#REF!</definedName>
    <definedName name="BUTENE_98">#REF!</definedName>
    <definedName name="Butene1_june01">#REF!</definedName>
    <definedName name="Butene1_Mar2K">#REF!</definedName>
    <definedName name="butenesd_98">#REF!</definedName>
    <definedName name="BUTIBORI">#REF!</definedName>
    <definedName name="bvvg" hidden="1">{#N/A,#N/A,TRUE,"GW-Cond";#N/A,#N/A,TRUE,"HW"}</definedName>
    <definedName name="BWTB">#REF!</definedName>
    <definedName name="Bx">#REF!</definedName>
    <definedName name="BYD" hidden="1">{#N/A,#N/A,FALSE,"Earn'gs &amp; Val'n";#N/A,#N/A,FALSE,"Interim"}</definedName>
    <definedName name="C.4">#REF!</definedName>
    <definedName name="C.SOCIAL.2TRIM">#REF!</definedName>
    <definedName name="C.SOCIAL.3TRIM">#REF!</definedName>
    <definedName name="C.SOCIAL.4TRIM">#REF!</definedName>
    <definedName name="c_">#REF!</definedName>
    <definedName name="C_C_Balance">#REF!</definedName>
    <definedName name="CA">#REF!</definedName>
    <definedName name="CABLE_DIA">#REF!</definedName>
    <definedName name="cable_diameter">#REF!</definedName>
    <definedName name="CABLE_FORCE">#REF!</definedName>
    <definedName name="CABLE_MODLUS">#REF!</definedName>
    <definedName name="CABLE_WEIGHT">#REF!</definedName>
    <definedName name="cac" hidden="1">{#N/A,#N/A,FALSE,"A"}</definedName>
    <definedName name="CADAVERAGE">#REF!</definedName>
    <definedName name="CADCLOSING">#REF!</definedName>
    <definedName name="CAGE">#REF!</definedName>
    <definedName name="CAJE">#N/A</definedName>
    <definedName name="cal" hidden="1">{#N/A,#N/A,FALSE,"A"}</definedName>
    <definedName name="Calander_Month">#REF!</definedName>
    <definedName name="calculos">#REF!</definedName>
    <definedName name="calculos2">#REF!</definedName>
    <definedName name="calender">#REF!</definedName>
    <definedName name="CalloutFontSize">#REF!</definedName>
    <definedName name="Campain">#REF!</definedName>
    <definedName name="CAN">#REF!</definedName>
    <definedName name="CAN___0">#REF!</definedName>
    <definedName name="CAOColor">#REF!</definedName>
    <definedName name="CAOTotal">#REF!</definedName>
    <definedName name="CAOTotalDetail">#REF!</definedName>
    <definedName name="CAOTotalWeighted">#REF!</definedName>
    <definedName name="cap" hidden="1">{"Financial Performance_SP",#N/A,FALSE,"Fin Perf(Sp)";"Operational Indicators_SP",#N/A,FALSE,"Op Ind(sp)";"Resources Utilisation_SP",#N/A,FALSE,"ResUtil (Sp)"}</definedName>
    <definedName name="CAPACITY">#REF!</definedName>
    <definedName name="capchrg">#REF!</definedName>
    <definedName name="capchrgadj">#REF!</definedName>
    <definedName name="Capex">#REF!</definedName>
    <definedName name="Capex_Range">#REF!</definedName>
    <definedName name="Capex_Schedule">#REF!</definedName>
    <definedName name="CapFMAAA">#REF!</definedName>
    <definedName name="capital">#REF!</definedName>
    <definedName name="capitaladj">#REF!</definedName>
    <definedName name="CapitalExpenditureAprActual">#REF!</definedName>
    <definedName name="CapitalExpenditureAugProj">#REF!</definedName>
    <definedName name="CapitalExpenditureDecProj">#REF!</definedName>
    <definedName name="CapitalExpenditureFebProj">#REF!</definedName>
    <definedName name="CapitalExpenditureJanProj">#REF!</definedName>
    <definedName name="CapitalExpenditureJulyProj">#REF!</definedName>
    <definedName name="CapitalExpenditureJuneProj">#REF!</definedName>
    <definedName name="CapitalExpenditureMarProj">#REF!</definedName>
    <definedName name="CapitalExpenditureMayActual">#REF!</definedName>
    <definedName name="CapitalExpenditureMonthBudget">#REF!</definedName>
    <definedName name="CapitalExpenditureMonthDevToBud">#REF!</definedName>
    <definedName name="CapitalExpenditureMonthDevToLE">#REF!</definedName>
    <definedName name="CapitalExpenditureMonthLE">#REF!</definedName>
    <definedName name="CapitalExpenditureNovProj">#REF!</definedName>
    <definedName name="CapitalExpenditureOctProj">#REF!</definedName>
    <definedName name="CapitalExpenditureSepProj">#REF!</definedName>
    <definedName name="CapitalExpenditureTotalLE">#REF!</definedName>
    <definedName name="CapitalExpenditureYearActual">#REF!</definedName>
    <definedName name="CapitalExpenditureYearBudget">#REF!</definedName>
    <definedName name="CapitalExpenditureYearDevToBud">#REF!</definedName>
    <definedName name="CapitalExpenditureYearDevToLY">#REF!</definedName>
    <definedName name="CapitalExpenditureYearLY">#REF!</definedName>
    <definedName name="CapitalStructure" hidden="1">#REF!</definedName>
    <definedName name="carlos" hidden="1">{#N/A,"10% Success",FALSE,"Sales Forecast";#N/A,#N/A,FALSE,"Sheet2"}</definedName>
    <definedName name="carlos_1" hidden="1">{#N/A,"10% Success",FALSE,"Sales Forecast";#N/A,#N/A,FALSE,"Sheet2"}</definedName>
    <definedName name="carlos_2" hidden="1">{#N/A,"10% Success",FALSE,"Sales Forecast";#N/A,#N/A,FALSE,"Sheet2"}</definedName>
    <definedName name="carlos_3" hidden="1">{#N/A,"10% Success",FALSE,"Sales Forecast";#N/A,#N/A,FALSE,"Sheet2"}</definedName>
    <definedName name="carlos_4" hidden="1">{#N/A,"10% Success",FALSE,"Sales Forecast";#N/A,#N/A,FALSE,"Sheet2"}</definedName>
    <definedName name="carlos_5" hidden="1">{#N/A,"10% Success",FALSE,"Sales Forecast";#N/A,#N/A,FALSE,"Sheet2"}</definedName>
    <definedName name="carteira">#REF!</definedName>
    <definedName name="case">#REF!</definedName>
    <definedName name="case_choose">#REF!</definedName>
    <definedName name="case_title">#REF!</definedName>
    <definedName name="Caseàcocher10_QuandClic">#REF!</definedName>
    <definedName name="Caseàcocher42_QuandClic">#REF!</definedName>
    <definedName name="CASH">#REF!</definedName>
    <definedName name="Cash.bal">#REF!</definedName>
    <definedName name="Cash.bal.cpy">#REF!</definedName>
    <definedName name="Cash_Flow">#REF!</definedName>
    <definedName name="Cash_target_308B">#REF!</definedName>
    <definedName name="Cash_target_406B">#REF!</definedName>
    <definedName name="Cash_target_475B">#REF!</definedName>
    <definedName name="Cash_target_498B">#REF!</definedName>
    <definedName name="Cash_target_506B">#REF!</definedName>
    <definedName name="Cash_target_508B">#REF!</definedName>
    <definedName name="Cash_target_525B">#REF!</definedName>
    <definedName name="Cash_target_539B">#REF!</definedName>
    <definedName name="Cash_target_543B">#REF!</definedName>
    <definedName name="Cash_target_545B">#REF!</definedName>
    <definedName name="Cash_target_605B">#REF!</definedName>
    <definedName name="Cash_target_668B">#REF!</definedName>
    <definedName name="Cash_target_703B">#REF!</definedName>
    <definedName name="Cash_target_728B">#REF!</definedName>
    <definedName name="Cash_target_729B">#REF!</definedName>
    <definedName name="Cash_target_730B">#REF!</definedName>
    <definedName name="Cash_target_741B">#REF!</definedName>
    <definedName name="Cash_target_846B">#REF!</definedName>
    <definedName name="Cash_target_901B">#REF!</definedName>
    <definedName name="Cash_target_902B">#REF!</definedName>
    <definedName name="Cash_target_915B">#REF!</definedName>
    <definedName name="Cash_target_924B">#REF!</definedName>
    <definedName name="Cash_target_926B">#REF!</definedName>
    <definedName name="Cash_target_986B">#REF!</definedName>
    <definedName name="Cash_target_995B">#REF!</definedName>
    <definedName name="Cash_target_998B">#REF!</definedName>
    <definedName name="cash2">#REF!</definedName>
    <definedName name="cash3">#REF!</definedName>
    <definedName name="CashBalanceCY">#REF!</definedName>
    <definedName name="CashBalanceLY">#REF!</definedName>
    <definedName name="Cashcosth">#REF!</definedName>
    <definedName name="cashflow">#REF!</definedName>
    <definedName name="CashflowMonth1Actuals">#REF!</definedName>
    <definedName name="CashflowMonth1Budget">#REF!</definedName>
    <definedName name="CashflowMonth2Actuals">#REF!</definedName>
    <definedName name="CashflowMonth2Budget">#REF!</definedName>
    <definedName name="CashflowMonth3Actuals">#REF!</definedName>
    <definedName name="CashflowMonth3Budget">#REF!</definedName>
    <definedName name="CashflowMonth4Actuals">#REF!</definedName>
    <definedName name="CashflowMonth4Budget">#REF!</definedName>
    <definedName name="cashflowor">#REF!</definedName>
    <definedName name="CashflowYTDActuals">#REF!</definedName>
    <definedName name="CashflowYTDBudget">#REF!</definedName>
    <definedName name="cashform">#REF!</definedName>
    <definedName name="CashProfitActuals">#REF!</definedName>
    <definedName name="CashProfitBudget">#REF!</definedName>
    <definedName name="CashProfitMonth1Actuals">#REF!</definedName>
    <definedName name="CashProfitMonth1Budget">#REF!</definedName>
    <definedName name="CashProfitMonth2Actuals">#REF!</definedName>
    <definedName name="CashProfitMonth2Budget">#REF!</definedName>
    <definedName name="CashProfitMonth3Actuals">#REF!</definedName>
    <definedName name="CashProfitMonth3Budget">#REF!</definedName>
    <definedName name="CashProfitMonth4Actuals">#REF!</definedName>
    <definedName name="CashProfitMonth4Budget">#REF!</definedName>
    <definedName name="CashProfitYTDActuals">#REF!</definedName>
    <definedName name="CashProfitYTDBudget">#REF!</definedName>
    <definedName name="cashval">#REF!</definedName>
    <definedName name="CASHWORK">#REF!</definedName>
    <definedName name="CAT">#REF!</definedName>
    <definedName name="Category">#REF!</definedName>
    <definedName name="CB">#REF!</definedName>
    <definedName name="cboBusiness">#REF!</definedName>
    <definedName name="CBS">#N/A</definedName>
    <definedName name="cc">INDEX(#REF!,0,1)</definedName>
    <definedName name="CC_Description">#REF!</definedName>
    <definedName name="cc5.inv.dys">#REF!</definedName>
    <definedName name="ccc" hidden="1">{"'CONSOLIDADO'!$B$10:$R$57"}</definedName>
    <definedName name="cccc">#REF!</definedName>
    <definedName name="ccccc" hidden="1">{"10yp key data",#N/A,FALSE,"Market Data"}</definedName>
    <definedName name="CCCCCC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ccccccc" hidden="1">#REF!</definedName>
    <definedName name="ccccccccccccccc">INDEX(#REF!,0,5)</definedName>
    <definedName name="CCD">#REF!</definedName>
    <definedName name="CCHL">#REF!</definedName>
    <definedName name="ccom">#REF!</definedName>
    <definedName name="CCVBB" hidden="1">{"GroupVSum",#N/A,FALSE,"GRVSUMM";"Expected_Merged",#N/A,FALSE,"EXP9798CONS";"Budget_GroupV_Merged",#N/A,FALSE,"BUDGRVCONS";"ACW_Merged",#N/A,FALSE,"ACW&amp;CPP";"HCW_Merged",#N/A,FALSE,"HCW&amp;JCW";"GCW_Merged",#N/A,FALSE,"GCWI&amp;II";"APCP_Details",#N/A,FALSE,"TCP I BUD"}</definedName>
    <definedName name="CCVCB" hidden="1">{"Flash_Analysis",#N/A,FALSE,"Analysis(Flash)";"Flash_Summ",#N/A,FALSE,"Flash"}</definedName>
    <definedName name="CCY">#REF!</definedName>
    <definedName name="CCZXDZD" hidden="1">{"Financial Performance_SP",#N/A,FALSE,"Fin Perf(Sp)";"Operational Indicators_SP",#N/A,FALSE,"Op Ind(sp)";"Resources Utilisation_SP",#N/A,FALSE,"ResUtil (Sp)"}</definedName>
    <definedName name="cd">INDEX(#REF!,0,4)</definedName>
    <definedName name="CDI_CDB">#REF!</definedName>
    <definedName name="CDOEFIBEX">#REF!</definedName>
    <definedName name="CDOEFIBEX___0">#REF!</definedName>
    <definedName name="CDOEFIBEX___6">#REF!</definedName>
    <definedName name="CDOEFIBLC">#REF!</definedName>
    <definedName name="CDOEFIBLC___0">#REF!</definedName>
    <definedName name="CDOEFIBLC___6">#REF!</definedName>
    <definedName name="cdsc" hidden="1">{#N/A,#N/A,FALSE,"FFCXOUT3"}</definedName>
    <definedName name="cdu" hidden="1">{#N/A,#N/A,FALSE,"COVER.XLS";#N/A,#N/A,FALSE,"RACT1.XLS";#N/A,#N/A,FALSE,"RACT2.XLS";#N/A,#N/A,FALSE,"ECCMP";#N/A,#N/A,FALSE,"WELDER.XLS"}</definedName>
    <definedName name="CEAprActual">#REF!</definedName>
    <definedName name="CEAugProj">#REF!</definedName>
    <definedName name="CEaUGpRTOJ">#REF!</definedName>
    <definedName name="CEDecProj">#REF!</definedName>
    <definedName name="CEFebProj">#REF!</definedName>
    <definedName name="CEJanProj">#REF!</definedName>
    <definedName name="CEjULYpROJ">#REF!</definedName>
    <definedName name="CEJuneProj">#REF!</definedName>
    <definedName name="CellNow">#REF!</definedName>
    <definedName name="CellNow___0">#REF!</definedName>
    <definedName name="CellNow_18">"2]nbca_2001_completed!#REF!"</definedName>
    <definedName name="CellNow_21">"2]nbca_2001_completed!#REF!"</definedName>
    <definedName name="CellNow_22">"2]nbca_2001_completed!#REF!"</definedName>
    <definedName name="CellNow_37">#REF!</definedName>
    <definedName name="CellNow_6">"2]nbca_2001_completed!#REF!"</definedName>
    <definedName name="CellNow_7">#REF!</definedName>
    <definedName name="CellNow_8">"2]nbca_2001_completed!#REF!"</definedName>
    <definedName name="CellNow_9">#REF!</definedName>
    <definedName name="Cellsdown">#REF!</definedName>
    <definedName name="CEMarProj">#REF!</definedName>
    <definedName name="CEMayActual">#REF!</definedName>
    <definedName name="cemen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cement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CEMENTO">#REF!</definedName>
    <definedName name="CEMENTO1">#REF!</definedName>
    <definedName name="CEMENTO2">#REF!</definedName>
    <definedName name="CEMonthBudget">#REF!</definedName>
    <definedName name="CEMonthDevToBud">#REF!</definedName>
    <definedName name="CEMonthDevToLE">#REF!</definedName>
    <definedName name="CEMonthLE">#REF!</definedName>
    <definedName name="CEMYearActual">#REF!</definedName>
    <definedName name="CEMYearbudget">#REF!</definedName>
    <definedName name="CEMYearDevToBud">#REF!</definedName>
    <definedName name="CEMYearDevToLY">#REF!</definedName>
    <definedName name="CEMYearLY">#REF!</definedName>
    <definedName name="CENABCLAST">#REF!</definedName>
    <definedName name="CENABCLAST_27">"$"</definedName>
    <definedName name="cenário_preço">#REF!</definedName>
    <definedName name="CENovProj">#REF!</definedName>
    <definedName name="CENTAC">#REF!</definedName>
    <definedName name="CENTAC_27">"$#REF!.$D$194"</definedName>
    <definedName name="CENTACDG">#REF!</definedName>
    <definedName name="CENTACDG_27">"$"</definedName>
    <definedName name="CENTACDGLAST">#REF!</definedName>
    <definedName name="CENTACDGLAST_27">"$"</definedName>
    <definedName name="CENTACPLN">#REF!</definedName>
    <definedName name="CENTACPLN_27">"$"</definedName>
    <definedName name="CENTACPLNLAST">#REF!</definedName>
    <definedName name="CENTACPLNLAST_27">"$"</definedName>
    <definedName name="CEOctProj">#REF!</definedName>
    <definedName name="cep">#REF!</definedName>
    <definedName name="Certificate">#REF!</definedName>
    <definedName name="CESepProj">#REF!</definedName>
    <definedName name="CETotalLE">#REF!</definedName>
    <definedName name="cf">#REF!</definedName>
    <definedName name="cf_print">#REF!</definedName>
    <definedName name="CF3_">#REF!</definedName>
    <definedName name="CFC">#REF!</definedName>
    <definedName name="CF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FM">#REF!</definedName>
    <definedName name="cfnote">#REF!</definedName>
    <definedName name="cgctctcytcy" hidden="1">{"fdsup://IBCentral/FAT Viewer?action=UPDATE&amp;creator=factset&amp;DOC_NAME=fat:reuters_annual_source_window.fat&amp;display_string=Audit&amp;DYN_ARGS=TRUE&amp;VAR:ID1=775125&amp;VAR:RCODE=SCEX&amp;VAR:SDATE=20061299&amp;VAR:FREQ=Y&amp;VAR:RELITEM=RF&amp;VAR:CURRENCY=&amp;VAR:CURRSOURCE=EXSHARE&amp;VAR",":NATFREQ=ANNUAL&amp;VAR:RFIELD=FINALIZED&amp;VAR:DB_TYPE=&amp;VAR:UNITS=M&amp;window=popup&amp;width=450&amp;height=300&amp;START_MAXIMIZED=FALSE"}</definedName>
    <definedName name="ChangeInCVAAprActual">#REF!</definedName>
    <definedName name="ChangeInCVADecProj">#REF!</definedName>
    <definedName name="ChangeInCVAFebProj">#REF!</definedName>
    <definedName name="ChangeInCVAJanProj">#REF!</definedName>
    <definedName name="ChangeInCVAJulyProj">#REF!</definedName>
    <definedName name="ChangeInCVAJuneProj">#REF!</definedName>
    <definedName name="ChangeInCVAMayActual">#REF!</definedName>
    <definedName name="ChangeInCVAMKarPRoj">#REF!</definedName>
    <definedName name="ChangeInCVAMonthActual">#REF!</definedName>
    <definedName name="ChangeInCVAMonthBudget">#REF!</definedName>
    <definedName name="ChangeInCVAMonthDevbToBud">#REF!</definedName>
    <definedName name="ChangeInCVAMonthDevToBud">#REF!</definedName>
    <definedName name="ChangeInCVAMonthDevToLE">#REF!</definedName>
    <definedName name="ChangeInCVAMonthLE">#REF!</definedName>
    <definedName name="ChangeInCVANovProj">#REF!</definedName>
    <definedName name="ChangeInCVAOctProj">#REF!</definedName>
    <definedName name="ChangeInCVAQuarterlyPrevYearActual">#REF!</definedName>
    <definedName name="ChangeInCVAQuarterlyPrevYearAnnualBudget">#REF!</definedName>
    <definedName name="ChangeInCVAQuarterlyPrevYearDeviation">#REF!</definedName>
    <definedName name="ChangeInCVAQuarterlyPrevYearPercentDeviationtoBudget">#REF!</definedName>
    <definedName name="ChangeInCVAQuarterlyYearAnnaulBudget">#REF!</definedName>
    <definedName name="ChangeInCVAQuarterlyYearDeviation">#REF!</definedName>
    <definedName name="ChangeInCVAQuarterlyYearLatestEstimate">#REF!</definedName>
    <definedName name="ChangeInCVAQuarterlyYearPercentDeviationToBudget">#REF!</definedName>
    <definedName name="ChangeInCVASepProj">#REF!</definedName>
    <definedName name="ChangeInCVATotalLE">#REF!</definedName>
    <definedName name="ChangeInCVAYearActual">#REF!</definedName>
    <definedName name="ChangeInCVAYearBudget">#REF!</definedName>
    <definedName name="ChangeInCVAYearDevToBud">#REF!</definedName>
    <definedName name="ChangeInCVAYearDevToLY">#REF!</definedName>
    <definedName name="ChangeInCVAYearLY">#REF!</definedName>
    <definedName name="Charges">#REF!</definedName>
    <definedName name="Chart" hidden="1">{#N/A,#N/A,FALSE,"Pharm";#N/A,#N/A,FALSE,"WWCM"}</definedName>
    <definedName name="Chart_FCFF">OFFSET(#REF!,,#REF!,,#REF!)</definedName>
    <definedName name="ChartType">#REF!</definedName>
    <definedName name="Check">#REF!</definedName>
    <definedName name="chem.inv.dys">#REF!</definedName>
    <definedName name="chf">#REF!</definedName>
    <definedName name="chgchgc" hidden="1">{"fdsup://IBCentral/FAT Viewer?action=UPDATE&amp;creator=factset&amp;DOC_NAME=fat:reuters_annual_source_window.fat&amp;display_string=Audit&amp;DYN_ARGS=TRUE&amp;VAR:ID1=73755L10&amp;VAR:RCODE=FEBIT&amp;VAR:SDATE=20051299&amp;VAR:FREQ=Y&amp;VAR:RELITEM=RF&amp;VAR:CURRENCY=&amp;VAR:CURRSOURCE=EXSHARE&amp;","VAR:NATFREQ=ANNUAL&amp;VAR:RFIELD=FINALIZED&amp;VAR:DB_TYPE=&amp;VAR:UNITS=M&amp;window=popup&amp;width=450&amp;height=300&amp;START_MAXIMIZED=FALSE"}</definedName>
    <definedName name="CHILLWTR">#REF!</definedName>
    <definedName name="CHILLWTR_27">"$"</definedName>
    <definedName name="CHILLWTRLAST">#REF!</definedName>
    <definedName name="CHILLWTRLAST_27">"$"</definedName>
    <definedName name="CHILWTR">"$#REF!.$D$149"</definedName>
    <definedName name="CHIP">#REF!</definedName>
    <definedName name="CHIP_27">"$"</definedName>
    <definedName name="chip1">#REF!</definedName>
    <definedName name="chip2">#REF!</definedName>
    <definedName name="chip3">#REF!</definedName>
    <definedName name="CHIPLAST">#REF!</definedName>
    <definedName name="CHIPLAST_27">"$"</definedName>
    <definedName name="CHIPPS">"$"</definedName>
    <definedName name="CHIPPS1">#REF!</definedName>
    <definedName name="CHIPPS1_27">"$"</definedName>
    <definedName name="CHIPS">#REF!</definedName>
    <definedName name="CHIPS___0">#REF!</definedName>
    <definedName name="Chk">#REF!</definedName>
    <definedName name="chkIpoPrice">#REF!</definedName>
    <definedName name="chl_candy">#REF!</definedName>
    <definedName name="chl_gum">#REF!</definedName>
    <definedName name="Choix_Imprimantes">#REF!</definedName>
    <definedName name="Chosen_Accounts">#REF!</definedName>
    <definedName name="Chosen_Product_Houses">#REF!</definedName>
    <definedName name="Chosen_Product_Lines">#REF!</definedName>
    <definedName name="ChosenCountries">#REF!</definedName>
    <definedName name="chosie" hidden="1">{#N/A,#N/A,FALSE,"Pharm";#N/A,#N/A,FALSE,"WWCM"}</definedName>
    <definedName name="cia">"Projeto Ohio"</definedName>
    <definedName name="CIQWBGuid" hidden="1">"3a76856e-063b-4329-b2c5-ae285df6792b"</definedName>
    <definedName name="circ">#REF!</definedName>
    <definedName name="circ2">#REF!</definedName>
    <definedName name="circref">#REF!</definedName>
    <definedName name="City">#REF!</definedName>
    <definedName name="ck">#REF!</definedName>
    <definedName name="CL">0.05</definedName>
    <definedName name="Cl_Apr">#REF!</definedName>
    <definedName name="Cl_Aug">#REF!</definedName>
    <definedName name="Cl_Dec">#REF!</definedName>
    <definedName name="Cl_Feb">#REF!</definedName>
    <definedName name="Cl_Jan">#REF!</definedName>
    <definedName name="Cl_Jul">#REF!</definedName>
    <definedName name="Cl_Jun">#REF!</definedName>
    <definedName name="Cl_Mar">#REF!</definedName>
    <definedName name="Cl_May">#REF!</definedName>
    <definedName name="Cl_Nov">#REF!</definedName>
    <definedName name="Cl_Oct">#REF!</definedName>
    <definedName name="Cl_Sep">#REF!</definedName>
    <definedName name="class" hidden="1">{#N/A,#N/A,FALSE,"A"}</definedName>
    <definedName name="Class_of_City">#REF!</definedName>
    <definedName name="Classe_ADF">#REF!</definedName>
    <definedName name="Classe_AH">#REF!</definedName>
    <definedName name="Classe_AM">#REF!</definedName>
    <definedName name="claudia" hidden="1">{#N/A,"70% Success",FALSE,"Sales Forecast";#N/A,#N/A,FALSE,"Sheet2"}</definedName>
    <definedName name="claudia_1" hidden="1">{#N/A,"70% Success",FALSE,"Sales Forecast";#N/A,#N/A,FALSE,"Sheet2"}</definedName>
    <definedName name="claudia_2" hidden="1">{#N/A,"70% Success",FALSE,"Sales Forecast";#N/A,#N/A,FALSE,"Sheet2"}</definedName>
    <definedName name="claudia_3" hidden="1">{#N/A,"70% Success",FALSE,"Sales Forecast";#N/A,#N/A,FALSE,"Sheet2"}</definedName>
    <definedName name="claudia_4" hidden="1">{#N/A,"70% Success",FALSE,"Sales Forecast";#N/A,#N/A,FALSE,"Sheet2"}</definedName>
    <definedName name="claudia_5" hidden="1">{#N/A,"70% Success",FALSE,"Sales Forecast";#N/A,#N/A,FALSE,"Sheet2"}</definedName>
    <definedName name="CLEAN_RPT">#REF!</definedName>
    <definedName name="cliente1" hidden="1">{"CLIENTE",#N/A,TRUE,"Resumo";"CLIENTE",#N/A,TRUE,"HW";"CLIENTE",#N/A,TRUE,"SW";"CLIENTE",#N/A,TRUE,"TELESSUP.";"CLIENTE",#N/A,TRUE,"DCN &amp; Acess";"CLIENTE",#N/A,TRUE,"Sobressalentes";"CLIENTE",#N/A,TRUE,"Mat. Instal.";"CLIENTE",#N/A,TRUE,"Doc. Técnica";"CLIENTE",#N/A,TRUE,"Serviços";"CLIENTE",#N/A,TRUE,"Treinamento"}</definedName>
    <definedName name="CLINKER">#REF!</definedName>
    <definedName name="CM">#REF!</definedName>
    <definedName name="CM___0">#REF!</definedName>
    <definedName name="CM___6">#REF!</definedName>
    <definedName name="CM_Chart_CaixaDisp">OFFSET(#REF!,,#REF!,,#REF!)</definedName>
    <definedName name="CM_Chart_CaixaRetido">OFFSET(#REF!,,#REF!,,#REF!)</definedName>
    <definedName name="CM_Chart_CaixaRPercent">OFFSET(#REF!,,#REF!,,#REF!)</definedName>
    <definedName name="CM_Chart_CaixaToal">OFFSET(#REF!,,#REF!,,#REF!)</definedName>
    <definedName name="CM_Chart_Cash">OFFSET(#REF!,,#REF!,,#REF!)</definedName>
    <definedName name="CM_Chart_Date">OFFSET(#REF!,,#REF!,,#REF!)</definedName>
    <definedName name="CMA" hidden="1">{"'Sheet3'!$A$1:$B$30"}</definedName>
    <definedName name="CNABf">#REF!</definedName>
    <definedName name="CNTR">#REF!</definedName>
    <definedName name="Coal_Btu_1">#REF!</definedName>
    <definedName name="COC">#REF!</definedName>
    <definedName name="cod.dt">#REF!</definedName>
    <definedName name="Cód_projeto">#REF!</definedName>
    <definedName name="Code" hidden="1">#REF!</definedName>
    <definedName name="CodePL" hidden="1">#REF!</definedName>
    <definedName name="COGstandard" hidden="1">{#N/A,#N/A,FALSE,"Pharm";#N/A,#N/A,FALSE,"WWCM"}</definedName>
    <definedName name="colony1">#REF!</definedName>
    <definedName name="colony2">#REF!</definedName>
    <definedName name="ColourIndex">#REF!</definedName>
    <definedName name="Column.Display">#REF!</definedName>
    <definedName name="Column.Display_2">#REF!</definedName>
    <definedName name="Column.Display_31">#REF!</definedName>
    <definedName name="Column.Display_4">#REF!</definedName>
    <definedName name="Column.Display_5">#REF!</definedName>
    <definedName name="Comm">#REF!</definedName>
    <definedName name="Comma_Range">#REF!</definedName>
    <definedName name="Comma_Range2">#REF!</definedName>
    <definedName name="commentaires">#REF!</definedName>
    <definedName name="COMMENTS">#REF!</definedName>
    <definedName name="COMMERC">#REF!</definedName>
    <definedName name="commission">#REF!</definedName>
    <definedName name="COMMISSION_7">#REF!</definedName>
    <definedName name="COMP">#REF!</definedName>
    <definedName name="Comp_Categories">#REF!</definedName>
    <definedName name="Comp_Data">#REF!</definedName>
    <definedName name="Company">#REF!</definedName>
    <definedName name="CompanyName1">#REF!</definedName>
    <definedName name="CompanyTicker1">#REF!</definedName>
    <definedName name="Comparison">#REF!</definedName>
    <definedName name="CompMetrics">#REF!</definedName>
    <definedName name="Components">#REF!</definedName>
    <definedName name="compstatus">#REF!</definedName>
    <definedName name="Concern">"#REF!"</definedName>
    <definedName name="Concern_3">"#REF!"</definedName>
    <definedName name="Concessão_Malha_Sul" hidden="1">{#N/A,"100% Success",TRUE,"Sales Forecast";#N/A,#N/A,TRUE,"Sheet2"}</definedName>
    <definedName name="Concessão_Malha_Sul_1" hidden="1">{#N/A,"100% Success",TRUE,"Sales Forecast";#N/A,#N/A,TRUE,"Sheet2"}</definedName>
    <definedName name="Concessão_Malha_Sul_2" hidden="1">{#N/A,"100% Success",TRUE,"Sales Forecast";#N/A,#N/A,TRUE,"Sheet2"}</definedName>
    <definedName name="Concessão_Malha_Sul_3" hidden="1">{#N/A,"100% Success",TRUE,"Sales Forecast";#N/A,#N/A,TRUE,"Sheet2"}</definedName>
    <definedName name="Concessão_Malha_Sul_4" hidden="1">{#N/A,"100% Success",TRUE,"Sales Forecast";#N/A,#N/A,TRUE,"Sheet2"}</definedName>
    <definedName name="Concessão_Malha_Sul_5" hidden="1">{#N/A,"100% Success",TRUE,"Sales Forecast";#N/A,#N/A,TRUE,"Sheet2"}</definedName>
    <definedName name="CONN">#REF!</definedName>
    <definedName name="CONS">#REF!</definedName>
    <definedName name="CONS_31">#REF!</definedName>
    <definedName name="CONS_98">#REF!</definedName>
    <definedName name="CONSLAST">"$"</definedName>
    <definedName name="consolac">#REF!</definedName>
    <definedName name="consolidation">#REF!</definedName>
    <definedName name="constn" hidden="1">{#N/A,#N/A,FALSE,"COVER1.XLS ";#N/A,#N/A,FALSE,"RACT1.XLS";#N/A,#N/A,FALSE,"RACT2.XLS";#N/A,#N/A,FALSE,"ECCMP";#N/A,#N/A,FALSE,"WELDER.XLS"}</definedName>
    <definedName name="CONT">"B99"</definedName>
    <definedName name="CONT_LIA">#REF!</definedName>
    <definedName name="CONT_LIA_31">#REF!</definedName>
    <definedName name="container">#REF!</definedName>
    <definedName name="CONTAINER_7">#REF!</definedName>
    <definedName name="CONTELE">#REF!</definedName>
    <definedName name="Continuation">#REF!</definedName>
    <definedName name="CONTINUE">#REF!</definedName>
    <definedName name="ContractedColor">#REF!</definedName>
    <definedName name="ContractedLower">#REF!</definedName>
    <definedName name="ContractedUpper">#REF!</definedName>
    <definedName name="control_input_2">#REF!</definedName>
    <definedName name="Cooling_Tower">#REF!</definedName>
    <definedName name="COOLING_WATER_CP1">#REF!</definedName>
    <definedName name="COOLING_WATER_CP1_19">#REF!</definedName>
    <definedName name="COOLING_WATER_CP1_7">#REF!</definedName>
    <definedName name="COOLWTR">#REF!</definedName>
    <definedName name="COOLWTR_27">"$"</definedName>
    <definedName name="COOLWTRLAST">#REF!</definedName>
    <definedName name="COOLWTRLAST_27">"$"</definedName>
    <definedName name="cOPY">#REF!</definedName>
    <definedName name="copy_area">#REF!</definedName>
    <definedName name="copy1" hidden="1">{#N/A,#N/A,FALSE,"Pharm";#N/A,#N/A,FALSE,"WWCM"}</definedName>
    <definedName name="COPY2" hidden="1">{#N/A,#N/A,FALSE,"Pharm";#N/A,#N/A,FALSE,"WWCM"}</definedName>
    <definedName name="copy233" hidden="1">{#N/A,#N/A,FALSE,"Pharm";#N/A,#N/A,FALSE,"WWCM"}</definedName>
    <definedName name="copy33" hidden="1">{#N/A,#N/A,FALSE,"Pharm";#N/A,#N/A,FALSE,"WWCM"}</definedName>
    <definedName name="copy38" hidden="1">{#N/A,#N/A,FALSE,"Pharm";#N/A,#N/A,FALSE,"WWCM"}</definedName>
    <definedName name="CorporateGuaranteefromIRC">#REF!</definedName>
    <definedName name="Corr_48">#REF!</definedName>
    <definedName name="Corr_5">#REF!</definedName>
    <definedName name="Corr_AA">#REF!</definedName>
    <definedName name="Corr_CTA">#REF!</definedName>
    <definedName name="Corr_DW">#REF!</definedName>
    <definedName name="Corr_FO1">#REF!</definedName>
    <definedName name="Corr_FO2">#REF!</definedName>
    <definedName name="Corr_FO3">#REF!</definedName>
    <definedName name="Corr_N2">#REF!</definedName>
    <definedName name="Corr_N2B">#REF!</definedName>
    <definedName name="Corr_W">#REF!</definedName>
    <definedName name="CorrCMB_A">#REF!</definedName>
    <definedName name="CorrCMB_B">#REF!</definedName>
    <definedName name="CORREÇÃO">#REF!</definedName>
    <definedName name="CorrHCL">#REF!</definedName>
    <definedName name="CorrN2">#REF!</definedName>
    <definedName name="CorrPX_A1">#REF!</definedName>
    <definedName name="CorrPX_B1">#REF!</definedName>
    <definedName name="CorrPX_C1">#REF!</definedName>
    <definedName name="corte">#REF!</definedName>
    <definedName name="CosOfGoodsProducedDevToLE">#REF!</definedName>
    <definedName name="CosOfGoodsProducedDevToLY">#REF!</definedName>
    <definedName name="CosOfGoodsProducedLE">#REF!</definedName>
    <definedName name="CosOfGoodsProducedLY">#REF!</definedName>
    <definedName name="CosOfGoodsProducedMonthActual">#REF!</definedName>
    <definedName name="CosOfGoodsProducedMonthBudget">#REF!</definedName>
    <definedName name="CosOfGoodsProducedMonthDevToBud">#REF!</definedName>
    <definedName name="CosOfGoodsProducedYearActual">#REF!</definedName>
    <definedName name="CosOfGoodsProducedYearBudget">#REF!</definedName>
    <definedName name="CosOfGoodsProducedYearDevToBud">#REF!</definedName>
    <definedName name="cost_g">#REF!</definedName>
    <definedName name="cost_per_unit">#REF!</definedName>
    <definedName name="CostData">#REF!</definedName>
    <definedName name="costdebtfirm">#REF!</definedName>
    <definedName name="costequity">#REF!</definedName>
    <definedName name="CostOfGoodsProducedApr">#REF!</definedName>
    <definedName name="CostOfGoodsProducedAprActual">#REF!</definedName>
    <definedName name="CostOfGoodsProducedAug">#REF!</definedName>
    <definedName name="CostOfGoodsProducedAugProj">#REF!</definedName>
    <definedName name="CostOfGoodsProducedDecProj">#REF!</definedName>
    <definedName name="CostOfGoodsProducedFebProj">#REF!</definedName>
    <definedName name="CostOfGoodsProducedJanProj">#REF!</definedName>
    <definedName name="CostOfGoodsProducedJulyProj">#REF!</definedName>
    <definedName name="CostOfGoodsProducedJuneProj">#REF!</definedName>
    <definedName name="CostOfGoodsProducedMarProj">#REF!</definedName>
    <definedName name="CostOfGoodsProducedMayActual">#REF!</definedName>
    <definedName name="CostOfGoodsProducedMonthActual">#REF!</definedName>
    <definedName name="CostOfGoodsProducedMonthBudget">#REF!</definedName>
    <definedName name="CostOfGoodsProducedMonthDevToBud">#REF!</definedName>
    <definedName name="CostOfGoodsProducedMonthDevToLE">#REF!</definedName>
    <definedName name="CostOfGoodsProducedMonthLE">#REF!</definedName>
    <definedName name="CostOfGoodsProducedNovProj">#REF!</definedName>
    <definedName name="CostOfGoodsProducedOctProj">#REF!</definedName>
    <definedName name="CostOfGoodsProducedPrevYearActual">#REF!</definedName>
    <definedName name="CostOfGoodsProducedPrevYearAnnualBudget">#REF!</definedName>
    <definedName name="CostOfGoodsProducedPrevYearLatestEstimate">#REF!</definedName>
    <definedName name="CostOfGoodsProducedPrvYearDevToBudget">#REF!</definedName>
    <definedName name="CostOfGoodsProducedSepProj">#REF!</definedName>
    <definedName name="CostOfGoodsProducedTotalLE">#REF!</definedName>
    <definedName name="CostOfGoodsProducedYearActual">#REF!</definedName>
    <definedName name="CostOfGoodsProducedYearAnnualBudget">#REF!</definedName>
    <definedName name="CostOfGoodsProducedYearBudget">#REF!</definedName>
    <definedName name="CostOfGoodsProducedYearDeviation">#REF!</definedName>
    <definedName name="CostOfGoodsProducedYearDevTOBud">#REF!</definedName>
    <definedName name="CostOfGoodsProducedYearDevToLY">#REF!</definedName>
    <definedName name="CostOfGoodsProducedYearLatestEstimate">#REF!</definedName>
    <definedName name="CostOfGoodsProducedYearLY">#REF!</definedName>
    <definedName name="CostOfGoodsProducedYearPercentDeviationToBudget">#REF!</definedName>
    <definedName name="CostOfGoodsSoldAnnualBudget">#REF!</definedName>
    <definedName name="CostOfGoodsSoldAprActual">#REF!</definedName>
    <definedName name="CostOfGoodsSoldAugActual">#REF!</definedName>
    <definedName name="CostOfGoodsSoldDecProj">#REF!</definedName>
    <definedName name="CostOfGoodsSoldDevToLE">#REF!</definedName>
    <definedName name="CostOfGoodsSoldDevToLY">#REF!</definedName>
    <definedName name="CostOfGoodsSoldFebProj">#REF!</definedName>
    <definedName name="CostOfGoodsSoldJanProj">#REF!</definedName>
    <definedName name="CostOfGoodsSoldJulyActual">#REF!</definedName>
    <definedName name="CostOfGoodsSoldJuneActual">#REF!</definedName>
    <definedName name="CostOfGoodsSoldLatestEstimate">#REF!</definedName>
    <definedName name="CostOfGoodsSoldLE">#REF!</definedName>
    <definedName name="CostOfGoodsSoldLY">#REF!</definedName>
    <definedName name="CostOfGoodsSoldMarActual">#REF!</definedName>
    <definedName name="CostOfGoodsSoldMarProj">#REF!</definedName>
    <definedName name="CostOfGoodsSoldMayActual">#REF!</definedName>
    <definedName name="CostOfGoodsSoldMonthActual">#REF!</definedName>
    <definedName name="CostOfGoodsSoldMonthBudget">#REF!</definedName>
    <definedName name="CostOfGoodsSoldMonthDevToBud">#REF!</definedName>
    <definedName name="CostOfGoodsSoldMonthDevToLE">#REF!</definedName>
    <definedName name="CostOfGoodsSoldMonthLE">#REF!</definedName>
    <definedName name="CostOfGoodsSoldNovProj">#REF!</definedName>
    <definedName name="CostOfGoodsSoldOctProj">#REF!</definedName>
    <definedName name="CostOfGoodsSoldPrevYearActual">#REF!</definedName>
    <definedName name="CostOfGoodsSoldPrevYearAnnualBudget">#REF!</definedName>
    <definedName name="CostOfGoodsSoldPrevYearDeviation">#REF!</definedName>
    <definedName name="CostOfGoodsSoldPrevYearPercentToDeviation">#REF!</definedName>
    <definedName name="CostOfGoodsSoldSepActual">#REF!</definedName>
    <definedName name="CostOfGoodsSoldSepProj">#REF!</definedName>
    <definedName name="CostOfGoodsSoldTotalLE">#REF!</definedName>
    <definedName name="CostOfGoodsSoldYear">#REF!</definedName>
    <definedName name="CostOfGoodsSoldYearActual">#REF!</definedName>
    <definedName name="CostOfGoodsSoldYearAnnualBudget">#REF!</definedName>
    <definedName name="CostOfGoodsSoldYearBudget">#REF!</definedName>
    <definedName name="CostOfGoodsSoldYearDeviation">#REF!</definedName>
    <definedName name="CostOfGoodsSoldYearDevToBud">#REF!</definedName>
    <definedName name="CostOfGoodsSoldYearDevToLY">#REF!</definedName>
    <definedName name="CostOfGoodsSoldYearLatestEstimate">#REF!</definedName>
    <definedName name="CostOfGoodsSoldYearLY">#REF!</definedName>
    <definedName name="CostOfGoodsSoldYearPercentDeviationToBudget">#REF!</definedName>
    <definedName name="CostsChoose">#REF!</definedName>
    <definedName name="cosumm_q2" hidden="1">#REF!</definedName>
    <definedName name="COTOE">#REF!</definedName>
    <definedName name="COTOE___6">#REF!</definedName>
    <definedName name="Count">#REF!</definedName>
    <definedName name="COUNT_VAR">#REF!</definedName>
    <definedName name="Country" hidden="1">#REF!</definedName>
    <definedName name="Cover">#REF!</definedName>
    <definedName name="CP">#REF!</definedName>
    <definedName name="cp1_dm_water">#REF!</definedName>
    <definedName name="cp1_nitrogen">#REF!</definedName>
    <definedName name="cp1_raw_water">#REF!</definedName>
    <definedName name="cp13total">#REF!</definedName>
    <definedName name="cp1boiler">#REF!</definedName>
    <definedName name="CP1CENABC">#REF!</definedName>
    <definedName name="CP1CENABC_27">"$"</definedName>
    <definedName name="CP1CHILWTR">#REF!</definedName>
    <definedName name="CP1CHILWTR_27">"$"</definedName>
    <definedName name="CP1CHIP">"$"</definedName>
    <definedName name="CP1Chipps">"$"</definedName>
    <definedName name="CP1COOLWTR">#REF!</definedName>
    <definedName name="CP1COOLWTR_27">"$"</definedName>
    <definedName name="CP1DCB">#REF!</definedName>
    <definedName name="CP1DCB_27">#REF!</definedName>
    <definedName name="cp1dcb1">#REF!</definedName>
    <definedName name="cp1dcb2">#REF!</definedName>
    <definedName name="cp1dcb3">#REF!</definedName>
    <definedName name="cp1dcb5">#REF!</definedName>
    <definedName name="cp1dcb6">#REF!</definedName>
    <definedName name="CP1DMWTR">#REF!</definedName>
    <definedName name="CP1DMWTR_27">"$"</definedName>
    <definedName name="CP1DMWTRLAST">#REF!</definedName>
    <definedName name="CP1DMWTRLAST_27">"$"</definedName>
    <definedName name="CP1DT">#REF!</definedName>
    <definedName name="CP1DT_27">"$"</definedName>
    <definedName name="cp1dt1">#REF!</definedName>
    <definedName name="cp1dt2">#REF!</definedName>
    <definedName name="cp1dt3">#REF!</definedName>
    <definedName name="cp1dt4">#REF!</definedName>
    <definedName name="cp1dt5">#REF!</definedName>
    <definedName name="cp1dt6">#REF!</definedName>
    <definedName name="cp1dt7">#REF!</definedName>
    <definedName name="cp1dt8">#REF!</definedName>
    <definedName name="CP1DTY">#REF!</definedName>
    <definedName name="CP1DTY_27">"$"</definedName>
    <definedName name="cp1dty1">#REF!</definedName>
    <definedName name="cp1dty10">#REF!</definedName>
    <definedName name="cp1dty11">#REF!</definedName>
    <definedName name="cp1dty12">#REF!</definedName>
    <definedName name="cp1dty13">#REF!</definedName>
    <definedName name="cp1dty14">#REF!</definedName>
    <definedName name="cp1dty15">#REF!</definedName>
    <definedName name="cp1dty16">#REF!</definedName>
    <definedName name="cp1dty17">#REF!</definedName>
    <definedName name="cp1dty18">#REF!</definedName>
    <definedName name="cp1dty19">#REF!</definedName>
    <definedName name="cp1dty2">#REF!</definedName>
    <definedName name="cp1dty20">#REF!</definedName>
    <definedName name="cp1dty21">#REF!</definedName>
    <definedName name="cp1dty22">#REF!</definedName>
    <definedName name="cp1dty23">#REF!</definedName>
    <definedName name="cp1dty24">#REF!</definedName>
    <definedName name="cp1dty25">#REF!</definedName>
    <definedName name="cp1dty26">#REF!</definedName>
    <definedName name="cp1dty27">#REF!</definedName>
    <definedName name="cp1dty28">#REF!</definedName>
    <definedName name="cp1dty29">#REF!</definedName>
    <definedName name="cp1dty3">#REF!</definedName>
    <definedName name="cp1dty30">#REF!</definedName>
    <definedName name="cp1dty31">#REF!</definedName>
    <definedName name="cp1dty32">#REF!</definedName>
    <definedName name="cp1dty33">#REF!</definedName>
    <definedName name="cp1dty34">#REF!</definedName>
    <definedName name="cp1dty4">#REF!</definedName>
    <definedName name="cp1dty5">#REF!</definedName>
    <definedName name="cp1dty6">#REF!</definedName>
    <definedName name="cp1dty7">#REF!</definedName>
    <definedName name="cp1dty8">#REF!</definedName>
    <definedName name="cp1dty9">#REF!</definedName>
    <definedName name="CP1ETP">#REF!</definedName>
    <definedName name="CP1ETP_27">"$"</definedName>
    <definedName name="CP1ETPLAST">#REF!</definedName>
    <definedName name="CP1ETPLAST_27">"$"</definedName>
    <definedName name="CP1FDY">#REF!</definedName>
    <definedName name="CP1FDY_27">"$"</definedName>
    <definedName name="cp1fdy1">#REF!</definedName>
    <definedName name="cp1fdy2">#REF!</definedName>
    <definedName name="cp1fdy3">#REF!</definedName>
    <definedName name="cp1fdy4">#REF!</definedName>
    <definedName name="cp1fdy5">#REF!</definedName>
    <definedName name="CP1FL">#REF!</definedName>
    <definedName name="CP1FL_27">"$"</definedName>
    <definedName name="CP1HTM">#REF!</definedName>
    <definedName name="CP1HTM_27">"$"</definedName>
    <definedName name="cp1htm1">#REF!</definedName>
    <definedName name="cp1htm2">#REF!</definedName>
    <definedName name="cp1htm3">#REF!</definedName>
    <definedName name="cp1htm4">#REF!</definedName>
    <definedName name="cp1htm5">#REF!</definedName>
    <definedName name="CP1HTMLAST">#REF!</definedName>
    <definedName name="CP1HTMLAST_27">"$"</definedName>
    <definedName name="CP1IL">#REF!</definedName>
    <definedName name="cp1ligh1">#REF!</definedName>
    <definedName name="cp1ligh2">#REF!</definedName>
    <definedName name="cp1ligh3">#REF!</definedName>
    <definedName name="cp1ligh4">#REF!</definedName>
    <definedName name="cp1ligh5">#REF!</definedName>
    <definedName name="cp1ligh6">#REF!</definedName>
    <definedName name="cp1ligh7">#REF!</definedName>
    <definedName name="cp1ligh8">#REF!</definedName>
    <definedName name="CP1N2">#REF!</definedName>
    <definedName name="CP1N2_27">"$"</definedName>
    <definedName name="CP1PLINST">#REF!</definedName>
    <definedName name="CP1PLINST_27">"$"</definedName>
    <definedName name="CP1PLY">#REF!</definedName>
    <definedName name="CP1PLY_27">"$"</definedName>
    <definedName name="cp1poly1">#REF!</definedName>
    <definedName name="cp1poly10">#REF!</definedName>
    <definedName name="cp1poly11">#REF!</definedName>
    <definedName name="cp1poly12">#REF!</definedName>
    <definedName name="cp1poly13">#REF!</definedName>
    <definedName name="cp1poly14">#REF!</definedName>
    <definedName name="cp1poly15">#REF!</definedName>
    <definedName name="cp1poly2">#REF!</definedName>
    <definedName name="cp1poly3">#REF!</definedName>
    <definedName name="cp1poly4">#REF!</definedName>
    <definedName name="cp1poly5">#REF!</definedName>
    <definedName name="cp1poly6">#REF!</definedName>
    <definedName name="cp1poly7">#REF!</definedName>
    <definedName name="cp1poly8">#REF!</definedName>
    <definedName name="cp1poly9">#REF!</definedName>
    <definedName name="CP1POY">#REF!</definedName>
    <definedName name="CP1POY_27">"$"</definedName>
    <definedName name="cp1poy_fdy1">#REF!</definedName>
    <definedName name="cp1poy_fdy2">#REF!</definedName>
    <definedName name="cp1poy_fdy3">#REF!</definedName>
    <definedName name="cp1poy_fdy4">#REF!</definedName>
    <definedName name="cp1poy_fdy5">#REF!</definedName>
    <definedName name="cp1poy1">#REF!</definedName>
    <definedName name="cp1poy10">#REF!</definedName>
    <definedName name="cp1poy11">#REF!</definedName>
    <definedName name="cp1poy12">#REF!</definedName>
    <definedName name="cp1poy13">#REF!</definedName>
    <definedName name="cp1poy14">#REF!</definedName>
    <definedName name="cp1poy15">#REF!</definedName>
    <definedName name="cp1poy16">#REF!</definedName>
    <definedName name="cp1poy17">#REF!</definedName>
    <definedName name="cp1poy18">#REF!</definedName>
    <definedName name="cp1poy19">#REF!</definedName>
    <definedName name="cp1poy2">#REF!</definedName>
    <definedName name="cp1poy20">#REF!</definedName>
    <definedName name="cp1poy21">#REF!</definedName>
    <definedName name="cp1poy22">#REF!</definedName>
    <definedName name="cp1poy23">#REF!</definedName>
    <definedName name="cp1poy24">#REF!</definedName>
    <definedName name="cp1poy25">#REF!</definedName>
    <definedName name="cp1poy3">#REF!</definedName>
    <definedName name="cp1poy4">#REF!</definedName>
    <definedName name="cp1poy5">#REF!</definedName>
    <definedName name="cp1poy6">#REF!</definedName>
    <definedName name="cp1poy7">#REF!</definedName>
    <definedName name="cp1poy8">#REF!</definedName>
    <definedName name="cp1poy9">#REF!</definedName>
    <definedName name="CP1PSF">#REF!</definedName>
    <definedName name="CP1PSF_27">"$"</definedName>
    <definedName name="cp1psf1">#REF!</definedName>
    <definedName name="cp1psf10">#REF!</definedName>
    <definedName name="cp1psf11">#REF!</definedName>
    <definedName name="cp1psf12">#REF!</definedName>
    <definedName name="cp1psf13">#REF!</definedName>
    <definedName name="cp1psf14">#REF!</definedName>
    <definedName name="cp1psf15">#REF!</definedName>
    <definedName name="cp1psf16">#REF!</definedName>
    <definedName name="cp1psf17">#REF!</definedName>
    <definedName name="cp1psf18">#REF!</definedName>
    <definedName name="cp1psf19">#REF!</definedName>
    <definedName name="cp1psf2">#REF!</definedName>
    <definedName name="cp1psf20">#REF!</definedName>
    <definedName name="cp1psf21">#REF!</definedName>
    <definedName name="cp1psf22">#REF!</definedName>
    <definedName name="cp1psf23">#REF!</definedName>
    <definedName name="cp1psf3">#REF!</definedName>
    <definedName name="cp1psf4">#REF!</definedName>
    <definedName name="cp1psf5">#REF!</definedName>
    <definedName name="cp1psf6">#REF!</definedName>
    <definedName name="cp1psf7">#REF!</definedName>
    <definedName name="cp1psf8">#REF!</definedName>
    <definedName name="cp1psf9">#REF!</definedName>
    <definedName name="CP1PTA">"$"</definedName>
    <definedName name="cp1pta1">#REF!</definedName>
    <definedName name="cp1pta2">#REF!</definedName>
    <definedName name="cp1pta3">#REF!</definedName>
    <definedName name="cp1pta4">#REF!</definedName>
    <definedName name="CP1RAWTR">#REF!</definedName>
    <definedName name="CP1RAWTR_27">"$"</definedName>
    <definedName name="CP1RECCHIP">#REF!</definedName>
    <definedName name="CP1RECCHIP_27">"$"</definedName>
    <definedName name="CP1SS">#REF!</definedName>
    <definedName name="CP1SS_27">"$"</definedName>
    <definedName name="CP1STEAM">#REF!</definedName>
    <definedName name="CP1STEAM_27">"$"</definedName>
    <definedName name="CP1SUCGUN">#REF!</definedName>
    <definedName name="CP1SUCGUN_27">"$"</definedName>
    <definedName name="CP1TR1">#REF!</definedName>
    <definedName name="CP1TR1_27">"$"</definedName>
    <definedName name="CP1TR1LAST">#REF!</definedName>
    <definedName name="CP1TR1LAST_27">"$"</definedName>
    <definedName name="CP1TR2">#REF!</definedName>
    <definedName name="CP1TR2_27">"$"</definedName>
    <definedName name="CP1TR2LAST">#REF!</definedName>
    <definedName name="CP1TR2LAST_27">"$"</definedName>
    <definedName name="CP1TR3">#REF!</definedName>
    <definedName name="CP1TR3_27">"$"</definedName>
    <definedName name="CP1TR3LAST">#REF!</definedName>
    <definedName name="CP1TR3LAST_27">"$"</definedName>
    <definedName name="CP1TR4">#REF!</definedName>
    <definedName name="CP1TR4_27">"$"</definedName>
    <definedName name="CP1TR4LAST">#REF!</definedName>
    <definedName name="CP1TR4LAST_27">"$"</definedName>
    <definedName name="CP1TR4PLN">#REF!</definedName>
    <definedName name="CP1TR4PLN_27">"$"</definedName>
    <definedName name="CP1TR5">#REF!</definedName>
    <definedName name="CP1TR5_27">"$"</definedName>
    <definedName name="CP1TR5LAST">#REF!</definedName>
    <definedName name="CP1TR5LAST_27">"$"</definedName>
    <definedName name="CP1TR6">#REF!</definedName>
    <definedName name="CP1TR6_27">"$"</definedName>
    <definedName name="CP1TR6LAST">#REF!</definedName>
    <definedName name="CP1TR6LAST_27">"$"</definedName>
    <definedName name="CP1TR7">#REF!</definedName>
    <definedName name="CP1TR7_27">"$"</definedName>
    <definedName name="CP1TR7LAST">#REF!</definedName>
    <definedName name="CP1TR7LAST_27">"$"</definedName>
    <definedName name="CP1TR8">#REF!</definedName>
    <definedName name="CP1TR8_27">"$"</definedName>
    <definedName name="CP1TR8LAST">#REF!</definedName>
    <definedName name="CP1TR8LAST_27">"$"</definedName>
    <definedName name="CP2DG">#REF!</definedName>
    <definedName name="cp2g1">#REF!</definedName>
    <definedName name="cp2g10">#REF!</definedName>
    <definedName name="cp2g11">#REF!</definedName>
    <definedName name="cp2g12">#REF!</definedName>
    <definedName name="cp2g13">#REF!</definedName>
    <definedName name="cp2g14">#REF!</definedName>
    <definedName name="cp2g15">#REF!</definedName>
    <definedName name="cp2g16">#REF!</definedName>
    <definedName name="cp2g17">#REF!</definedName>
    <definedName name="cp2g18">#REF!</definedName>
    <definedName name="cp2g19">#REF!</definedName>
    <definedName name="cp2g2">#REF!</definedName>
    <definedName name="cp2g20">#REF!</definedName>
    <definedName name="cp2g3">#REF!</definedName>
    <definedName name="cp2g4">#REF!</definedName>
    <definedName name="cp2g5">#REF!</definedName>
    <definedName name="cp2g6">#REF!</definedName>
    <definedName name="cp2g7">#REF!</definedName>
    <definedName name="cp2g8">#REF!</definedName>
    <definedName name="cp2g9">#REF!</definedName>
    <definedName name="cp2htm1">#REF!</definedName>
    <definedName name="cp2htm2">#REF!</definedName>
    <definedName name="cp2htm3">#REF!</definedName>
    <definedName name="cp2htm4">#REF!</definedName>
    <definedName name="cp2total">#REF!</definedName>
    <definedName name="CP2TR1">#REF!</definedName>
    <definedName name="CP2TR1_27">"$"</definedName>
    <definedName name="CP2TR1LAST">#REF!</definedName>
    <definedName name="CP2TR1LAST_27">"$"</definedName>
    <definedName name="CP2TR2">#REF!</definedName>
    <definedName name="CP2TR2_27">"$"</definedName>
    <definedName name="CP2TR2LAST">#REF!</definedName>
    <definedName name="CP2TR2LAST_27">"$"</definedName>
    <definedName name="cp3_dm_water">#REF!</definedName>
    <definedName name="cp3_raw_water">#REF!</definedName>
    <definedName name="CP3BOIL1">#REF!</definedName>
    <definedName name="CP3BOIL1_27">#REF!</definedName>
    <definedName name="CP3BOIL1LAST">#REF!</definedName>
    <definedName name="CP3BOIL1LAST_27">"$"</definedName>
    <definedName name="CP3BOIL2COM">#REF!</definedName>
    <definedName name="CP3BOIL2COM_27">"$"</definedName>
    <definedName name="CP3BOIL2COMLAST">#REF!</definedName>
    <definedName name="CP3BOIL2COMLAST_27">"$"</definedName>
    <definedName name="CP3BOILCOMLAST">"$"</definedName>
    <definedName name="CP3CENTACDG">#REF!</definedName>
    <definedName name="CP3CENTACDG_27">"$"</definedName>
    <definedName name="CP3CENTACDGLAST">#REF!</definedName>
    <definedName name="CP3CENTACDGLAST_27">"$"</definedName>
    <definedName name="CP3DG">#REF!</definedName>
    <definedName name="CP3DMWTR">#REF!</definedName>
    <definedName name="CP3DMWTR_27">"$"</definedName>
    <definedName name="CP3DMWTRLAST">#REF!</definedName>
    <definedName name="CP3DMWTRLAST_27">"$"</definedName>
    <definedName name="cp3dty1">#REF!</definedName>
    <definedName name="cp3dty10">#REF!</definedName>
    <definedName name="cp3dty11">#REF!</definedName>
    <definedName name="cp3dty12">#REF!</definedName>
    <definedName name="cp3dty13">#REF!</definedName>
    <definedName name="cp3dty14">#REF!</definedName>
    <definedName name="cp3dty15">#REF!</definedName>
    <definedName name="cp3dty16">#REF!</definedName>
    <definedName name="cp3dty17">#REF!</definedName>
    <definedName name="cp3dty18">#REF!</definedName>
    <definedName name="cp3dty19">#REF!</definedName>
    <definedName name="cp3dty2">#REF!</definedName>
    <definedName name="cp3dty20">#REF!</definedName>
    <definedName name="cp3dty21">#REF!</definedName>
    <definedName name="cp3dty22">#REF!</definedName>
    <definedName name="cp3dty23">#REF!</definedName>
    <definedName name="cp3dty24">#REF!</definedName>
    <definedName name="cp3dty25">#REF!</definedName>
    <definedName name="cp3dty26">#REF!</definedName>
    <definedName name="cp3dty27">#REF!</definedName>
    <definedName name="cp3dty28">#REF!</definedName>
    <definedName name="cp3dty29">#REF!</definedName>
    <definedName name="cp3dty3">#REF!</definedName>
    <definedName name="cp3dty30">#REF!</definedName>
    <definedName name="cp3dty4">#REF!</definedName>
    <definedName name="cp3dty5">#REF!</definedName>
    <definedName name="cp3dty6">#REF!</definedName>
    <definedName name="cp3dty7">#REF!</definedName>
    <definedName name="cp3dty8">#REF!</definedName>
    <definedName name="cp3dty9">#REF!</definedName>
    <definedName name="cp3fdy">#REF!</definedName>
    <definedName name="cp3fdy1">#REF!</definedName>
    <definedName name="cp3fdy10">#REF!</definedName>
    <definedName name="cp3fdy11">#REF!</definedName>
    <definedName name="cp3fdy12">#REF!</definedName>
    <definedName name="cp3fdy2">#REF!</definedName>
    <definedName name="cp3fdy3">#REF!</definedName>
    <definedName name="cp3fdy4">#REF!</definedName>
    <definedName name="cp3fdy5">#REF!</definedName>
    <definedName name="cp3fdy6">#REF!</definedName>
    <definedName name="cp3fdy7">#REF!</definedName>
    <definedName name="cp3fdy8">#REF!</definedName>
    <definedName name="cp3fdy9">#REF!</definedName>
    <definedName name="cp3htm">#REF!</definedName>
    <definedName name="cp3htm1">#REF!</definedName>
    <definedName name="cp3htm2">#REF!</definedName>
    <definedName name="cp3htm3">#REF!</definedName>
    <definedName name="cp3htm4">#REF!</definedName>
    <definedName name="cp3htm5">#REF!</definedName>
    <definedName name="cp3htm6">#REF!</definedName>
    <definedName name="cp3ligh1">#REF!</definedName>
    <definedName name="cp3ligh2">#REF!</definedName>
    <definedName name="cp3ligh3">#REF!</definedName>
    <definedName name="cp3ligh4">#REF!</definedName>
    <definedName name="cp3ligh5">#REF!</definedName>
    <definedName name="cp3poly1">#REF!</definedName>
    <definedName name="cp3poly10">#REF!</definedName>
    <definedName name="cp3poly11">#REF!</definedName>
    <definedName name="cp3poly12">#REF!</definedName>
    <definedName name="cp3poly13">#REF!</definedName>
    <definedName name="cp3poly14">#REF!</definedName>
    <definedName name="cp3poly15">#REF!</definedName>
    <definedName name="cp3poly16">#REF!</definedName>
    <definedName name="cp3poly17">#REF!</definedName>
    <definedName name="cp3poly2">#REF!</definedName>
    <definedName name="cp3poly3">#REF!</definedName>
    <definedName name="cp3poly4">#REF!</definedName>
    <definedName name="cp3poly5">#REF!</definedName>
    <definedName name="cp3poly6">#REF!</definedName>
    <definedName name="cp3poly7">#REF!</definedName>
    <definedName name="cp3poly8">#REF!</definedName>
    <definedName name="cp3poly9">#REF!</definedName>
    <definedName name="cp3poy">#REF!</definedName>
    <definedName name="cp3poy1">#REF!</definedName>
    <definedName name="cp3poy10">#REF!</definedName>
    <definedName name="cp3poy11">#REF!</definedName>
    <definedName name="cp3poy12">#REF!</definedName>
    <definedName name="cp3poy13">#REF!</definedName>
    <definedName name="cp3poy2">#REF!</definedName>
    <definedName name="cp3poy3">#REF!</definedName>
    <definedName name="cp3poy4">#REF!</definedName>
    <definedName name="cp3poy5">#REF!</definedName>
    <definedName name="cp3poy6">#REF!</definedName>
    <definedName name="cp3poy7">#REF!</definedName>
    <definedName name="cp3poy8">#REF!</definedName>
    <definedName name="cp3poy9">#REF!</definedName>
    <definedName name="cp3psf1">#REF!</definedName>
    <definedName name="cp3psf2">#REF!</definedName>
    <definedName name="cp3psf3">#REF!</definedName>
    <definedName name="cp3psf4">#REF!</definedName>
    <definedName name="cp3psf5">#REF!</definedName>
    <definedName name="cp3psf6">#REF!</definedName>
    <definedName name="cp3pta1">#REF!</definedName>
    <definedName name="cp3pta2">#REF!</definedName>
    <definedName name="cp3pta3">#REF!</definedName>
    <definedName name="CP3TR31">#REF!</definedName>
    <definedName name="CP3TR31_27">"$"</definedName>
    <definedName name="CP3TR31LAST">#REF!</definedName>
    <definedName name="CP3TR31LAST_27">"$"</definedName>
    <definedName name="CP3TR32">#REF!</definedName>
    <definedName name="CP3TR32_27">"$"</definedName>
    <definedName name="CP3TR32LAST">#REF!</definedName>
    <definedName name="CP3TR32LAST_27">"$"</definedName>
    <definedName name="CP3TR33">#REF!</definedName>
    <definedName name="CP3TR33_27">"$"</definedName>
    <definedName name="CP3TR33LAST">#REF!</definedName>
    <definedName name="CP3TR33LAST_27">"$"</definedName>
    <definedName name="CP3TR34">#REF!</definedName>
    <definedName name="CP3TR34_27">"$"</definedName>
    <definedName name="CP3TR34LAST">#REF!</definedName>
    <definedName name="CP3TR34LAST_27">"$"</definedName>
    <definedName name="CP3TR35">#REF!</definedName>
    <definedName name="CP3TR35_27">"$"</definedName>
    <definedName name="CP3TR35LAST">#REF!</definedName>
    <definedName name="CP3TR35LAST_27">"$"</definedName>
    <definedName name="CP3TR36">#REF!</definedName>
    <definedName name="CP3TR36_27">"$"</definedName>
    <definedName name="CP3TR36LAST">#REF!</definedName>
    <definedName name="CP3TR36LAST_27">"$"</definedName>
    <definedName name="CP3TR37">#REF!</definedName>
    <definedName name="CP3TR37_27">"$"</definedName>
    <definedName name="CP3TR37LAST">#REF!</definedName>
    <definedName name="CP3TR37LAST_27">"$"</definedName>
    <definedName name="CP3TR38">#REF!</definedName>
    <definedName name="CP3TR38_27">"$"</definedName>
    <definedName name="CP3TR38LAST">#REF!</definedName>
    <definedName name="CP3TR38LAST_27">"$"</definedName>
    <definedName name="CPFI">#REF!</definedName>
    <definedName name="CPGRD">#REF!</definedName>
    <definedName name="CPI___0">#REF!</definedName>
    <definedName name="CPIII___0">#REF!</definedName>
    <definedName name="CPL">#N/A</definedName>
    <definedName name="CPP">#REF!</definedName>
    <definedName name="CPP_1_Fr_Poly">#REF!</definedName>
    <definedName name="CPP_2_Fr_Poly">#REF!</definedName>
    <definedName name="CPP_IMP">#REF!</definedName>
    <definedName name="CPP6.3KV">#REF!</definedName>
    <definedName name="CPP6.3KVImp">#REF!</definedName>
    <definedName name="cqqxs">#REF!</definedName>
    <definedName name="cqwer3r">#REF!</definedName>
    <definedName name="Create.Format.Line">#REF!</definedName>
    <definedName name="Create.Format.Line_2">#REF!</definedName>
    <definedName name="Create.Format.Line_31">#REF!</definedName>
    <definedName name="Create.Format.Line_4">#REF!</definedName>
    <definedName name="Create.Format.Line_5">#REF!</definedName>
    <definedName name="cred3">#REF!</definedName>
    <definedName name="cred4">#REF!</definedName>
    <definedName name="cred5">#REF!</definedName>
    <definedName name="cred6">#REF!</definedName>
    <definedName name="Credit0000">#REF!</definedName>
    <definedName name="Credit0101">#REF!</definedName>
    <definedName name="Credit9797">#REF!</definedName>
    <definedName name="Credit9898">#REF!</definedName>
    <definedName name="Credit9999">#REF!</definedName>
    <definedName name="CREDITORS1">#REF!</definedName>
    <definedName name="CreditorsOfTradingBusinessAprActual">#REF!</definedName>
    <definedName name="CreditorsOfTradingBusinessAugProj">#REF!</definedName>
    <definedName name="CreditorsOfTradingBusinessBudget">#REF!</definedName>
    <definedName name="CreditorsOfTradingBusinessDecProj">#REF!</definedName>
    <definedName name="CreditorsOfTradingBusinessDevtoBudget">#REF!</definedName>
    <definedName name="CreditorsOfTradingBusinessFebProj">#REF!</definedName>
    <definedName name="CreditorsOfTradingBusinessJanProj">#REF!</definedName>
    <definedName name="CreditorsOfTradingBusinessJulyProj">#REF!</definedName>
    <definedName name="CreditorsOfTradingBusinessJuneActual">#REF!</definedName>
    <definedName name="CreditorsOfTradingBusinessMarProj">#REF!</definedName>
    <definedName name="CreditorsOfTradingBusinessMayActual">#REF!</definedName>
    <definedName name="CreditorsOfTradingBusinessMonthActual">#REF!</definedName>
    <definedName name="CreditorsOfTRadingBusinessMonthBudget">#REF!</definedName>
    <definedName name="CreditorsOfTRadingBusinessMonthDevToBud">#REF!</definedName>
    <definedName name="CreditorsOfTRadingBusinessMonthDevToLE">#REF!</definedName>
    <definedName name="CreditorsOfTRadingBusinessMonthLE">#REF!</definedName>
    <definedName name="CreditorsOfTradingBusinessNovProj">#REF!</definedName>
    <definedName name="CreditorsOfTradingBusinessOctProj">#REF!</definedName>
    <definedName name="CreditorsOfTradingBusinessSepProj">#REF!</definedName>
    <definedName name="CreditorsOfTradingBusinessTotalLE">#REF!</definedName>
    <definedName name="CreditorsOfTRadingBusinessYEarActual">#REF!</definedName>
    <definedName name="CreditorsOfTRadingBusinessYEarBudget">#REF!</definedName>
    <definedName name="CreditorsOfTRadingBusinessYEarDevTOBud">#REF!</definedName>
    <definedName name="CreditorsOfTRadingBusinessYEarDevToLY">#REF!</definedName>
    <definedName name="CreditorsOfTRadingBusinessYEarLY">#REF!</definedName>
    <definedName name="CreditsAndTradingBusinessPrevYearActual">#REF!</definedName>
    <definedName name="CreditsAndTradingBusinessPrevYearAnnualBudget">#REF!</definedName>
    <definedName name="CreditsAndTradingBusinessPrevYearDeviation">#REF!</definedName>
    <definedName name="CreditsAndTradingBusinessPrevYearPercentDeviationToBudget">#REF!</definedName>
    <definedName name="CreditsAndTradingBusinessYearAnnualBudget">#REF!</definedName>
    <definedName name="CreditsAndTradingBusinessYearDeviation">#REF!</definedName>
    <definedName name="CreditsAndTradingBusinessYearLatestEstimate">#REF!</definedName>
    <definedName name="CreditsAndTradingBusinessYearPercentDeviationToBudget">#REF!</definedName>
    <definedName name="crit">#REF!</definedName>
    <definedName name="Crit_BSY">#REF!</definedName>
    <definedName name="Crit_BSY_DT">#REF!</definedName>
    <definedName name="Crit_DTY">#REF!</definedName>
    <definedName name="Crit_FDY">#REF!</definedName>
    <definedName name="Crit_FDY_Cons">#REF!</definedName>
    <definedName name="Crit_POY">#REF!</definedName>
    <definedName name="Crit_POY_Cons">#REF!</definedName>
    <definedName name="Crit_POY_Extr">#REF!</definedName>
    <definedName name="Crit_POY_Extr_Cons">#REF!</definedName>
    <definedName name="Crit_PSF">#REF!</definedName>
    <definedName name="Criterion">#REF!</definedName>
    <definedName name="_xlnm.Criteria">#REF!</definedName>
    <definedName name="CRITICAL" hidden="1">{#N/A,#N/A,FALSE,"consu_cover";#N/A,#N/A,FALSE,"consu_strategy";#N/A,#N/A,FALSE,"consu_flow";#N/A,#N/A,FALSE,"Summary_reqmt";#N/A,#N/A,FALSE,"field_ppg";#N/A,#N/A,FALSE,"ppg_shop";#N/A,#N/A,FALSE,"strl";#N/A,#N/A,FALSE,"tankages";#N/A,#N/A,FALSE,"gases"}</definedName>
    <definedName name="Critical_Component">#REF!</definedName>
    <definedName name="critical_copy" hidden="1">{#N/A,#N/A,FALSE,"COVER1.XLS ";#N/A,#N/A,FALSE,"RACT1.XLS";#N/A,#N/A,FALSE,"RACT2.XLS";#N/A,#N/A,FALSE,"ECCMP";#N/A,#N/A,FALSE,"WELDER.XLS"}</definedName>
    <definedName name="Crng_Landscape">#REF!</definedName>
    <definedName name="Crng_Normal">#REF!</definedName>
    <definedName name="Crng_Portrait">#REF!</definedName>
    <definedName name="Crng_WPane">#REF!</definedName>
    <definedName name="crs">#REF!</definedName>
    <definedName name="CRUDO">#REF!</definedName>
    <definedName name="CRUDO2">#REF!</definedName>
    <definedName name="csc">#REF!</definedName>
    <definedName name="csh">#REF!</definedName>
    <definedName name="CT" hidden="1">{#N/A,#N/A,FALSE,"A"}</definedName>
    <definedName name="CTA_Prod_TPD">#REF!</definedName>
    <definedName name="ctspusd">#REF!</definedName>
    <definedName name="ctWB">#REF!</definedName>
    <definedName name="ctWB2">#REF!</definedName>
    <definedName name="cu102.ShareScalingFactor" hidden="1">1000000</definedName>
    <definedName name="cu103.EmployeeScalingFactor" hidden="1">1000</definedName>
    <definedName name="cu107.DPSSymbol" hidden="1">"R$"</definedName>
    <definedName name="cu107.EPSSymbol" hidden="1">"R$"</definedName>
    <definedName name="cu71.ScalingFactor" hidden="1">1000000</definedName>
    <definedName name="cum_98">#REF!</definedName>
    <definedName name="Cum_Int">#REF!</definedName>
    <definedName name="Cumul">#REF!</definedName>
    <definedName name="cur.cmnt">#REF!</definedName>
    <definedName name="CURR2">#REF!</definedName>
    <definedName name="CURRENCIES">#REF!</definedName>
    <definedName name="Currency">#REF!</definedName>
    <definedName name="CurrencyCell">#REF!</definedName>
    <definedName name="CurrencySymbol">#REF!</definedName>
    <definedName name="Current.Cell.">#REF!</definedName>
    <definedName name="CurrentMonth">#REF!</definedName>
    <definedName name="CurrentUPLAMonth">#REF!</definedName>
    <definedName name="CurrMonth">#REF!</definedName>
    <definedName name="Curve" hidden="1">{#N/A,#N/A,FALSE,"COVER1.XLS ";#N/A,#N/A,FALSE,"RACT1.XLS";#N/A,#N/A,FALSE,"RACT2.XLS";#N/A,#N/A,FALSE,"ECCMP";#N/A,#N/A,FALSE,"WELDER.XLS"}</definedName>
    <definedName name="cust.adv.dys">#REF!</definedName>
    <definedName name="CUSTO" hidden="1">{#N/A,#N/A,FALSE,"Relatórios";"Vendas e Custos",#N/A,FALSE,"Vendas e Custos";"Premissas",#N/A,FALSE,"Premissas";"Projeções",#N/A,FALSE,"Projeções";"Dolar",#N/A,FALSE,"Dolar";"Original",#N/A,FALSE,"Original e UFIR"}</definedName>
    <definedName name="CustomIndexDate">#REF!</definedName>
    <definedName name="CustomIndexValue">#REF!</definedName>
    <definedName name="CVAAprActual">#REF!</definedName>
    <definedName name="CVAAugProj">#REF!</definedName>
    <definedName name="CVADecProj">#REF!</definedName>
    <definedName name="CVAFebProj">#REF!</definedName>
    <definedName name="CVAJanProj">#REF!</definedName>
    <definedName name="CVAJulyProj">#REF!</definedName>
    <definedName name="CVAJuneActual">#REF!</definedName>
    <definedName name="CVAMarProj">#REF!</definedName>
    <definedName name="CVAMayActual">#REF!</definedName>
    <definedName name="CVAMonthActual">#REF!</definedName>
    <definedName name="CVAMonthBudget">#REF!</definedName>
    <definedName name="CVAMonthDevToBud">#REF!</definedName>
    <definedName name="CVAMonthDevToLE">#REF!</definedName>
    <definedName name="CVAMonthLE">#REF!</definedName>
    <definedName name="CVANovProj">#REF!</definedName>
    <definedName name="CVAOctProj">#REF!</definedName>
    <definedName name="CVAPrevYearActual">#REF!</definedName>
    <definedName name="CVAPrevYearAnnualBudget">#REF!</definedName>
    <definedName name="CVAPrevYearDeviation">#REF!</definedName>
    <definedName name="CVAPrevYearPercentDeviationToBudget">#REF!</definedName>
    <definedName name="CVASepProj">#REF!</definedName>
    <definedName name="CVATotalLE">#REF!</definedName>
    <definedName name="CVAYearAnnualBudget">#REF!</definedName>
    <definedName name="CVAYearBudget">#REF!</definedName>
    <definedName name="CVAYearDEviation">#REF!</definedName>
    <definedName name="CVAYearDevToBud">#REF!</definedName>
    <definedName name="CVAYearDevToLY">#REF!</definedName>
    <definedName name="CVAYearLatestBudget">#REF!</definedName>
    <definedName name="CVAYearLY">#REF!</definedName>
    <definedName name="CVAYearPercentDeviationToBudget">#REF!</definedName>
    <definedName name="CVC">#REF!</definedName>
    <definedName name="CVC___0">#REF!</definedName>
    <definedName name="CVC___6">#REF!</definedName>
    <definedName name="CVCX" hidden="1">{"Financial Performance_SP",#N/A,FALSE,"Fin Perf(Sp)";"Operational Indicators_SP",#N/A,FALSE,"Op Ind(sp)";"Resources Utilisation_SP",#N/A,FALSE,"ResUtil (Sp)"}</definedName>
    <definedName name="CVDF"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CVDTD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vfiliais" hidden="1">{#N/A,#N/A,FALSE,"Invest"}</definedName>
    <definedName name="CW">20000</definedName>
    <definedName name="CW_1">20000</definedName>
    <definedName name="CW_2">20000</definedName>
    <definedName name="CWL">#REF!</definedName>
    <definedName name="CWT">"$"</definedName>
    <definedName name="CWTR">"$"</definedName>
    <definedName name="CWV_MultActual">#REF!</definedName>
    <definedName name="CWV_MultContracted">#REF!</definedName>
    <definedName name="CWV_MultHigh">#REF!</definedName>
    <definedName name="CWV_MultLow">#REF!</definedName>
    <definedName name="CWV_MultMedium">#REF!</definedName>
    <definedName name="CWVColor">#REF!</definedName>
    <definedName name="CWVTotal">#REF!</definedName>
    <definedName name="CWVTotalDetail">#REF!</definedName>
    <definedName name="CWVTotalWeighted">#REF!</definedName>
    <definedName name="cx">0.2</definedName>
    <definedName name="cxxxx" hidden="1">{#N/A,#N/A,FALSE,"CAT3516";#N/A,#N/A,FALSE,"CAT3608";#N/A,#N/A,FALSE,"Wartsila";#N/A,#N/A,FALSE,"Asm";#N/A,#N/A,FALSE,"DG cost"}</definedName>
    <definedName name="CY2000bs">#REF!</definedName>
    <definedName name="CY2000cf">#REF!</definedName>
    <definedName name="CY2000pl">#REF!</definedName>
    <definedName name="CY2001bs">#REF!</definedName>
    <definedName name="CY2001cf">#REF!</definedName>
    <definedName name="CY2001pl">#REF!</definedName>
    <definedName name="CY2002bs">#REF!</definedName>
    <definedName name="CY2002cf">#REF!</definedName>
    <definedName name="CY2002pl">#REF!</definedName>
    <definedName name="CYActualMonths">#REF!</definedName>
    <definedName name="czscwgf">#REF!</definedName>
    <definedName name="d" hidden="1">{#N/A,"70% Success",FALSE,"Sales Forecast";#N/A,#N/A,FALSE,"Sheet2"}</definedName>
    <definedName name="D.central_member">#REF!</definedName>
    <definedName name="D.colored_fiber">#REF!</definedName>
    <definedName name="D.fiber">#REF!</definedName>
    <definedName name="D___0">#REF!</definedName>
    <definedName name="d_1" hidden="1">{#N/A,"70% Success",FALSE,"Sales Forecast";#N/A,#N/A,FALSE,"Sheet2"}</definedName>
    <definedName name="d_2" hidden="1">{#N/A,"70% Success",FALSE,"Sales Forecast";#N/A,#N/A,FALSE,"Sheet2"}</definedName>
    <definedName name="d_3" hidden="1">{#N/A,"70% Success",FALSE,"Sales Forecast";#N/A,#N/A,FALSE,"Sheet2"}</definedName>
    <definedName name="d_4" hidden="1">{#N/A,"70% Success",FALSE,"Sales Forecast";#N/A,#N/A,FALSE,"Sheet2"}</definedName>
    <definedName name="d_5" hidden="1">{#N/A,"70% Success",FALSE,"Sales Forecast";#N/A,#N/A,FALSE,"Sheet2"}</definedName>
    <definedName name="D_binder_yarn">#REF!</definedName>
    <definedName name="D_outer_LDPE_2Y10">#REF!</definedName>
    <definedName name="D_tensile_yarn_DTEX">#REF!</definedName>
    <definedName name="d46.">#REF!</definedName>
    <definedName name="DA">#REF!</definedName>
    <definedName name="DABBU"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d" hidden="1">#REF!</definedName>
    <definedName name="DADF" hidden="1">{#N/A,#N/A,FALSE,"REPORT"}</definedName>
    <definedName name="Dados">#REF!</definedName>
    <definedName name="dados_primarios">#REF!</definedName>
    <definedName name="daf" hidden="1">{#N/A,#N/A,FALSE,"1";#N/A,#N/A,FALSE,"2";#N/A,#N/A,FALSE,"16 - 17";#N/A,#N/A,FALSE,"18 - 19";#N/A,#N/A,FALSE,"26";#N/A,#N/A,FALSE,"27";#N/A,#N/A,FALSE,"28"}</definedName>
    <definedName name="Daily_report">#REF!</definedName>
    <definedName name="dakfkjafgkeaj" hidden="1">{#N/A,#N/A,FALSE,"Pharm";#N/A,#N/A,FALSE,"WWCM"}</definedName>
    <definedName name="daldjaio" hidden="1">{#N/A,#N/A,FALSE,"Despesas"}</definedName>
    <definedName name="damran"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P3_1">#N/A</definedName>
    <definedName name="DAP3_3">#REF!</definedName>
    <definedName name="DAP3_31">#REF!</definedName>
    <definedName name="DAP3_33">#REF!</definedName>
    <definedName name="DAPNEW">#REF!</definedName>
    <definedName name="DAPNEW_31">#REF!</definedName>
    <definedName name="DAPOLD">#REF!</definedName>
    <definedName name="DAPOLD_31">#REF!</definedName>
    <definedName name="DARSGGREW">#REF!</definedName>
    <definedName name="das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sfdsfa" hidden="1">{"Assumptions1",#N/A,FALSE,"Assumptions";"MergerPlans1","20yearamort",FALSE,"MergerPlans";"MergerPlans1","40yearamort",FALSE,"MergerPlans";"MergerPlans2",#N/A,FALSE,"MergerPlans";"inputs",#N/A,FALSE,"MergerPlans"}</definedName>
    <definedName name="Dashboard_CS">#REF!</definedName>
    <definedName name="DAT">#REF!</definedName>
    <definedName name="DAT1_1">#N/A</definedName>
    <definedName name="DAT1_2">#REF!</definedName>
    <definedName name="DAT1_3">#REF!</definedName>
    <definedName name="DAT1_31">#REF!</definedName>
    <definedName name="DAT1_32">#REF!</definedName>
    <definedName name="DAT1_33">#REF!</definedName>
    <definedName name="DAT1_37">#REF!</definedName>
    <definedName name="DAT1_39">#REF!</definedName>
    <definedName name="DAT1_4">#REF!</definedName>
    <definedName name="DAT1_43">#REF!</definedName>
    <definedName name="DAT10_1">#N/A</definedName>
    <definedName name="DAT10_31">#REF!</definedName>
    <definedName name="DAT10_4">#REF!</definedName>
    <definedName name="DAT11_1">#N/A</definedName>
    <definedName name="DAT11_31">#REF!</definedName>
    <definedName name="DAT11_4">#REF!</definedName>
    <definedName name="DAT12_1">#N/A</definedName>
    <definedName name="DAT12_31">#REF!</definedName>
    <definedName name="DAT12_4">#REF!</definedName>
    <definedName name="DAT13_1">#N/A</definedName>
    <definedName name="DAT13_31">#REF!</definedName>
    <definedName name="DAT13_4">#REF!</definedName>
    <definedName name="DAT14_1">#N/A</definedName>
    <definedName name="DAT14_31">#REF!</definedName>
    <definedName name="DAT14_4">#REF!</definedName>
    <definedName name="DAT15_1">#N/A</definedName>
    <definedName name="DAT15_31">#REF!</definedName>
    <definedName name="DAT15_4">#REF!</definedName>
    <definedName name="DAT16_1">#N/A</definedName>
    <definedName name="DAT16_31">#REF!</definedName>
    <definedName name="DAT16_4">#REF!</definedName>
    <definedName name="DAT17_1">#N/A</definedName>
    <definedName name="DAT17_31">#REF!</definedName>
    <definedName name="DAT17_4">#REF!</definedName>
    <definedName name="DAT18_1">#N/A</definedName>
    <definedName name="DAT18_31">#REF!</definedName>
    <definedName name="DAT18_4">#REF!</definedName>
    <definedName name="DAT19_1">#N/A</definedName>
    <definedName name="DAT19_31">#REF!</definedName>
    <definedName name="DAT19_4">#REF!</definedName>
    <definedName name="DAT2_1">#N/A</definedName>
    <definedName name="DAT2_2">#REF!</definedName>
    <definedName name="DAT2_3">#REF!</definedName>
    <definedName name="DAT2_31">#REF!</definedName>
    <definedName name="DAT2_32">#REF!</definedName>
    <definedName name="DAT2_33">#REF!</definedName>
    <definedName name="DAT2_37">#REF!</definedName>
    <definedName name="DAT2_39">#REF!</definedName>
    <definedName name="DAT2_4">#REF!</definedName>
    <definedName name="DAT2_43">#REF!</definedName>
    <definedName name="DAT20_1">#N/A</definedName>
    <definedName name="DAT20_31">#REF!</definedName>
    <definedName name="DAT20_4">#REF!</definedName>
    <definedName name="DAT21_1">#N/A</definedName>
    <definedName name="DAT21_31">#REF!</definedName>
    <definedName name="DAT21_4">#REF!</definedName>
    <definedName name="DAT22_1">#N/A</definedName>
    <definedName name="DAT22_31">#REF!</definedName>
    <definedName name="DAT22_4">#REF!</definedName>
    <definedName name="DAT23_1">#N/A</definedName>
    <definedName name="DAT23_31">#REF!</definedName>
    <definedName name="DAT23_4">#REF!</definedName>
    <definedName name="DAT24_31">#REF!</definedName>
    <definedName name="DAT25_31">#REF!</definedName>
    <definedName name="DAT26_31">#REF!</definedName>
    <definedName name="DAT27_1">#N/A</definedName>
    <definedName name="DAT27_31">#REF!</definedName>
    <definedName name="DAT27_4">#REF!</definedName>
    <definedName name="DAT28_1">#N/A</definedName>
    <definedName name="DAT28_31">#REF!</definedName>
    <definedName name="DAT28_4">#REF!</definedName>
    <definedName name="DAT29_1">#N/A</definedName>
    <definedName name="DAT29_31">#REF!</definedName>
    <definedName name="DAT29_4">#REF!</definedName>
    <definedName name="DAT3_2">#REF!</definedName>
    <definedName name="DAT3_3">#REF!</definedName>
    <definedName name="DAT3_31">#REF!</definedName>
    <definedName name="DAT3_32">#REF!</definedName>
    <definedName name="DAT3_33">#REF!</definedName>
    <definedName name="DAT3_37">#REF!</definedName>
    <definedName name="DAT3_39">#REF!</definedName>
    <definedName name="DAT3_4">#REF!</definedName>
    <definedName name="DAT3_43">#REF!</definedName>
    <definedName name="DAT30_1">#N/A</definedName>
    <definedName name="DAT30_31">#REF!</definedName>
    <definedName name="DAT30_4">#REF!</definedName>
    <definedName name="DAT31_1">#N/A</definedName>
    <definedName name="DAT31_31">#REF!</definedName>
    <definedName name="DAT31_4">#REF!</definedName>
    <definedName name="DAT32_1">#N/A</definedName>
    <definedName name="DAT32_31">#REF!</definedName>
    <definedName name="DAT32_4">#REF!</definedName>
    <definedName name="DAT4_1">#N/A</definedName>
    <definedName name="DAT4_2">#REF!</definedName>
    <definedName name="DAT4_3">#REF!</definedName>
    <definedName name="DAT4_31">#REF!</definedName>
    <definedName name="DAT4_32">#REF!</definedName>
    <definedName name="DAT4_33">#REF!</definedName>
    <definedName name="DAT4_37">#REF!</definedName>
    <definedName name="DAT4_39">#REF!</definedName>
    <definedName name="DAT4_4">#REF!</definedName>
    <definedName name="DAT4_43">#REF!</definedName>
    <definedName name="DAT5_2">#REF!</definedName>
    <definedName name="DAT5_3">#REF!</definedName>
    <definedName name="DAT5_31">#REF!</definedName>
    <definedName name="DAT5_32">#REF!</definedName>
    <definedName name="DAT5_33">#REF!</definedName>
    <definedName name="DAT5_37">#REF!</definedName>
    <definedName name="DAT5_39">#REF!</definedName>
    <definedName name="DAT5_4">#REF!</definedName>
    <definedName name="DAT5_43">#REF!</definedName>
    <definedName name="DAT6_2">#REF!</definedName>
    <definedName name="DAT6_3">#REF!</definedName>
    <definedName name="DAT6_31">#REF!</definedName>
    <definedName name="DAT6_32">#REF!</definedName>
    <definedName name="DAT6_33">#REF!</definedName>
    <definedName name="DAT6_37">#REF!</definedName>
    <definedName name="DAT6_39">#REF!</definedName>
    <definedName name="DAT6_4">#REF!</definedName>
    <definedName name="DAT6_43">#REF!</definedName>
    <definedName name="DAT7_1">#N/A</definedName>
    <definedName name="DAT7_2">#REF!</definedName>
    <definedName name="DAT7_3">#REF!</definedName>
    <definedName name="DAT7_31">#REF!</definedName>
    <definedName name="DAT7_32">#REF!</definedName>
    <definedName name="DAT7_33">#REF!</definedName>
    <definedName name="DAT7_37">#REF!</definedName>
    <definedName name="DAT7_39">#REF!</definedName>
    <definedName name="DAT7_4">#REF!</definedName>
    <definedName name="DAT7_43">#REF!</definedName>
    <definedName name="DAT8_2">#REF!</definedName>
    <definedName name="DAT8_3">#REF!</definedName>
    <definedName name="DAT8_31">#REF!</definedName>
    <definedName name="DAT8_32">#REF!</definedName>
    <definedName name="DAT8_33">#REF!</definedName>
    <definedName name="DAT8_37">#REF!</definedName>
    <definedName name="DAT8_39">#REF!</definedName>
    <definedName name="DAT8_4">#REF!</definedName>
    <definedName name="DAT8_43">#REF!</definedName>
    <definedName name="DAT9_1">#N/A</definedName>
    <definedName name="DAT9_2">#REF!</definedName>
    <definedName name="DAT9_3">#REF!</definedName>
    <definedName name="DAT9_31">#REF!</definedName>
    <definedName name="DAT9_32">#REF!</definedName>
    <definedName name="DAT9_33">#REF!</definedName>
    <definedName name="DAT9_37">#REF!</definedName>
    <definedName name="DAT9_39">#REF!</definedName>
    <definedName name="DAT9_4">#REF!</definedName>
    <definedName name="DAT9_43">#REF!</definedName>
    <definedName name="DATA">#REF!</definedName>
    <definedName name="Data.Distribution">#REF!</definedName>
    <definedName name="Data.Distribution_2">#REF!</definedName>
    <definedName name="Data.Distribution_31">#REF!</definedName>
    <definedName name="Data.Distribution_4">#REF!</definedName>
    <definedName name="Data.Distribution_5">#REF!</definedName>
    <definedName name="Data.Fill">#REF!</definedName>
    <definedName name="Data.Fill_2">#REF!</definedName>
    <definedName name="Data.Fill_31">#REF!</definedName>
    <definedName name="Data.Fill_4">#REF!</definedName>
    <definedName name="Data.Fill_5">#REF!</definedName>
    <definedName name="Data.Parse">#REF!</definedName>
    <definedName name="Data.Parse_2">#REF!</definedName>
    <definedName name="Data.Parse_31">#REF!</definedName>
    <definedName name="Data.Parse_4">#REF!</definedName>
    <definedName name="Data.Parse_5">#REF!</definedName>
    <definedName name="Data.Regression">#REF!</definedName>
    <definedName name="Data.Regression_2">#REF!</definedName>
    <definedName name="Data.Regression_31">#REF!</definedName>
    <definedName name="Data.Regression_4">#REF!</definedName>
    <definedName name="Data.Regression_5">#REF!</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10" hidden="1">#REF!</definedName>
    <definedName name="DATA_9">#REF!</definedName>
    <definedName name="Data_blore">OFFSET(#REF!,0,0,COUNTA(#REF!),COUNTA(#REF!))</definedName>
    <definedName name="data_chnai">OFFSET(#REF!,0,0,COUNTA(#REF!),COUNTA(#REF!))</definedName>
    <definedName name="Data_de_Pagamento">#REF!</definedName>
    <definedName name="Data_Pagamento">#N/A</definedName>
    <definedName name="data_pune">OFFSET(#REF!,0,0,COUNTA(#REF!),COUNTA(#REF!))</definedName>
    <definedName name="data_ref">#REF!</definedName>
    <definedName name="DATA1">#REF!</definedName>
    <definedName name="DATA1_1">#N/A</definedName>
    <definedName name="DATA1_2">#REF!</definedName>
    <definedName name="DATA1_3">NA()</definedName>
    <definedName name="DATA1_31">#REF!</definedName>
    <definedName name="DATA1_6">NA()</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1PL" hidden="1">#REF!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PL" hidden="1">#REF!</definedName>
    <definedName name="DATA3">#REF!</definedName>
    <definedName name="data3PL" hidden="1">#REF!</definedName>
    <definedName name="DATA4">#REF!</definedName>
    <definedName name="DATA5">#REF!</definedName>
    <definedName name="data5a">#REF!</definedName>
    <definedName name="data5b">#REF!</definedName>
    <definedName name="data5c">#REF!</definedName>
    <definedName name="DATA6">#REF!</definedName>
    <definedName name="DATA7">#REF!</definedName>
    <definedName name="DATA8">#REF!</definedName>
    <definedName name="DATA9">#REF!</definedName>
    <definedName name="DataAccount">#REF!</definedName>
    <definedName name="DataAdjust">#REF!</definedName>
    <definedName name="DataApr2001Rev">#REF!</definedName>
    <definedName name="DataApr2001SGP">#REF!</definedName>
    <definedName name="DataApr2002Rev">#REF!</definedName>
    <definedName name="DataApr2002SGP">#REF!</definedName>
    <definedName name="DataApr2003Rev">#REF!</definedName>
    <definedName name="DataApr2003SGP">#REF!</definedName>
    <definedName name="DataAug2001Rev">#REF!</definedName>
    <definedName name="DataAug2001SGP">#REF!</definedName>
    <definedName name="DataAug2002Rev">#REF!</definedName>
    <definedName name="DataAug2002SGP">#REF!</definedName>
    <definedName name="DataAug2003Rev">#REF!</definedName>
    <definedName name="DataAug2003SGP">#REF!</definedName>
    <definedName name="Database_MI">#REF!</definedName>
    <definedName name="DATABASE1">#REF!</definedName>
    <definedName name="DataBLGCode">#REF!</definedName>
    <definedName name="DataBLGDescription">#REF!</definedName>
    <definedName name="DataCloseDate">#REF!</definedName>
    <definedName name="DataCountry">#REF!</definedName>
    <definedName name="DataCriticalSuccessFactors">#REF!</definedName>
    <definedName name="DataDec2000Rev">#REF!</definedName>
    <definedName name="DataDec2000SGP">#REF!</definedName>
    <definedName name="DataDec2001Rev">#REF!</definedName>
    <definedName name="DataDec2001SGP">#REF!</definedName>
    <definedName name="DataDec2002Rev">#REF!</definedName>
    <definedName name="DataDec2002SGP">#REF!</definedName>
    <definedName name="DataFeb2001Rev">#REF!</definedName>
    <definedName name="DataFeb2001SGP">#REF!</definedName>
    <definedName name="DataFeb2002Rev">#REF!</definedName>
    <definedName name="DataFeb2002SGP">#REF!</definedName>
    <definedName name="DataFeb2003Rev">#REF!</definedName>
    <definedName name="DataFeb2003SGP">#REF!</definedName>
    <definedName name="DataFinancingRequired">#REF!</definedName>
    <definedName name="DataFind.Pause">#REF!</definedName>
    <definedName name="DataFind.Pause_2">#REF!</definedName>
    <definedName name="DataFind.Pause_31">#REF!</definedName>
    <definedName name="DataFind.Pause_4">#REF!</definedName>
    <definedName name="DataFind.Pause_5">#REF!</definedName>
    <definedName name="DataFPN">#REF!</definedName>
    <definedName name="DataFQ12001Rev">#REF!</definedName>
    <definedName name="DataFQ12001SGP">#REF!</definedName>
    <definedName name="DataFQ12002Rev">#REF!</definedName>
    <definedName name="DataFQ12002SGP">#REF!</definedName>
    <definedName name="DataFQ12003Rev">#REF!</definedName>
    <definedName name="DataFQ12003SGP">#REF!</definedName>
    <definedName name="DataFQ22001Rev">#REF!</definedName>
    <definedName name="DataFQ22001SGP">#REF!</definedName>
    <definedName name="DataFQ22002Rev">#REF!</definedName>
    <definedName name="DataFQ22002SGP">#REF!</definedName>
    <definedName name="DataFQ22003Rev">#REF!</definedName>
    <definedName name="DataFQ22003SGP">#REF!</definedName>
    <definedName name="DataFQ32001Rev">#REF!</definedName>
    <definedName name="DataFQ32001SGP">#REF!</definedName>
    <definedName name="DataFQ32002Rev">#REF!</definedName>
    <definedName name="DataFQ32002SGP">#REF!</definedName>
    <definedName name="DataFQ32003Rev">#REF!</definedName>
    <definedName name="DataFQ32003SGP">#REF!</definedName>
    <definedName name="DataFQ42001Rev">#REF!</definedName>
    <definedName name="DataFQ42001SGP">#REF!</definedName>
    <definedName name="DataFQ42002Rev">#REF!</definedName>
    <definedName name="DataFQ42002SGP">#REF!</definedName>
    <definedName name="DataFQ42003Rev">#REF!</definedName>
    <definedName name="DataFQ42003SGP">#REF!</definedName>
    <definedName name="DataFY2001Rev">#REF!</definedName>
    <definedName name="DataFY2001SGP">#REF!</definedName>
    <definedName name="DataFY2001YTDActualRev">#REF!</definedName>
    <definedName name="DataFY2001YTDActualSGP">#REF!</definedName>
    <definedName name="DataFY2002Rev">#REF!</definedName>
    <definedName name="DataFY2002SGP">#REF!</definedName>
    <definedName name="DataFY2003Rev">#REF!</definedName>
    <definedName name="DataFY2003SGP">#REF!</definedName>
    <definedName name="DataIOC">#REF!</definedName>
    <definedName name="DataIOCCode">#REF!</definedName>
    <definedName name="DataJan2001Rev">#REF!</definedName>
    <definedName name="DataJan2001SGP">#REF!</definedName>
    <definedName name="DataJan2002Rev">#REF!</definedName>
    <definedName name="DataJan2002SGP">#REF!</definedName>
    <definedName name="DataJan2003Rev">#REF!</definedName>
    <definedName name="DataJan2003SGP">#REF!</definedName>
    <definedName name="DataJul2001Rev">#REF!</definedName>
    <definedName name="DataJul2001SGP">#REF!</definedName>
    <definedName name="DataJul2002Rev">#REF!</definedName>
    <definedName name="DataJul2002SGP">#REF!</definedName>
    <definedName name="DataJul2003Rev">#REF!</definedName>
    <definedName name="DataJul2003SGP">#REF!</definedName>
    <definedName name="DataJun2001Rev">#REF!</definedName>
    <definedName name="DataJun2001SGP">#REF!</definedName>
    <definedName name="DataJun2002Rev">#REF!</definedName>
    <definedName name="DataJun2002SGP">#REF!</definedName>
    <definedName name="DataJun2003Rev">#REF!</definedName>
    <definedName name="DataJun2003SGP">#REF!</definedName>
    <definedName name="DataMar2001Rev">#REF!</definedName>
    <definedName name="DataMar2001SGP">#REF!</definedName>
    <definedName name="DataMar2002Rev">#REF!</definedName>
    <definedName name="DataMar2002SGP">#REF!</definedName>
    <definedName name="DataMar2003Rev">#REF!</definedName>
    <definedName name="DataMar2003SGP">#REF!</definedName>
    <definedName name="DataMay2001Rev">#REF!</definedName>
    <definedName name="DataMay2001SGP">#REF!</definedName>
    <definedName name="DataMay2002Rev">#REF!</definedName>
    <definedName name="DataMay2002SGP">#REF!</definedName>
    <definedName name="DataMay2003Rev">#REF!</definedName>
    <definedName name="DataMay2003SGP">#REF!</definedName>
    <definedName name="DataNov2000Rev">#REF!</definedName>
    <definedName name="DataNov2000SGP">#REF!</definedName>
    <definedName name="DataNov2001Rev">#REF!</definedName>
    <definedName name="DataNov2001SGP">#REF!</definedName>
    <definedName name="DataNov2002Rev">#REF!</definedName>
    <definedName name="DataNov2002SGP">#REF!</definedName>
    <definedName name="DATANT">#REF!</definedName>
    <definedName name="DataOct2000Rev">#REF!</definedName>
    <definedName name="DataOct2000SGP">#REF!</definedName>
    <definedName name="DataOct2001Rev">#REF!</definedName>
    <definedName name="DataOct2001SGP">#REF!</definedName>
    <definedName name="DataOct2002Rev">#REF!</definedName>
    <definedName name="DataOct2002SGP">#REF!</definedName>
    <definedName name="DataOpportunity">#REF!</definedName>
    <definedName name="DataOpportunityDescription">#REF!</definedName>
    <definedName name="DataOpptyRevenue">#REF!</definedName>
    <definedName name="DataOpptySGP">#REF!</definedName>
    <definedName name="DataParentOppty">#REF!</definedName>
    <definedName name="DataProbGrouping">#REF!</definedName>
    <definedName name="DataRange">#REF!</definedName>
    <definedName name="DataRequestedDelivery">#REF!</definedName>
    <definedName name="DataSalesStage">#REF!</definedName>
    <definedName name="DataSep2001Rev">#REF!</definedName>
    <definedName name="DataSep2001SGP">#REF!</definedName>
    <definedName name="DataSep2002Rev">#REF!</definedName>
    <definedName name="DataSep2002Rev1">#REF!</definedName>
    <definedName name="DataSep2002SGP">#REF!</definedName>
    <definedName name="DataSep2003Rev">#REF!</definedName>
    <definedName name="DataSep2003SGP">#REF!</definedName>
    <definedName name="DataTotalFinancingRequired">#REF!</definedName>
    <definedName name="DATCAR">#REF!</definedName>
    <definedName name="Date">#REF!</definedName>
    <definedName name="Date_REFF">#REF!</definedName>
    <definedName name="date3">#REF!</definedName>
    <definedName name="Dates">#REF!</definedName>
    <definedName name="datos">#REF!</definedName>
    <definedName name="DATROT">#REF!</definedName>
    <definedName name="DATVENTAS">#REF!</definedName>
    <definedName name="day">#REF!</definedName>
    <definedName name="day_27">"$"</definedName>
    <definedName name="DAYLAST">#REF!</definedName>
    <definedName name="DAYLAST_27">"$"</definedName>
    <definedName name="DayProd.DB">#REF!:#REF!</definedName>
    <definedName name="DAYS">360</definedName>
    <definedName name="DAYS_1">360</definedName>
    <definedName name="DAYS_10">360</definedName>
    <definedName name="DAYS_13">360</definedName>
    <definedName name="DAYS_2">360</definedName>
    <definedName name="DAYS_49">360</definedName>
    <definedName name="DAYS_7">360</definedName>
    <definedName name="DAYS_9">360</definedName>
    <definedName name="Days_In_Wk">#REF!</definedName>
    <definedName name="DB">"WIREUK"</definedName>
    <definedName name="DBL___0">#REF!</definedName>
    <definedName name="dbt.dd.prfl.qtrly">#REF!</definedName>
    <definedName name="dbt.rpymnt">#REF!</definedName>
    <definedName name="DC">#REF!</definedName>
    <definedName name="dcb2_1">#REF!</definedName>
    <definedName name="dcb2_2">#REF!</definedName>
    <definedName name="dcb2_3">#REF!</definedName>
    <definedName name="dcb2_4">#REF!</definedName>
    <definedName name="dcb2_5">#REF!</definedName>
    <definedName name="dcb2_6">#REF!</definedName>
    <definedName name="DCD">#REF!</definedName>
    <definedName name="DCD___0">#REF!</definedName>
    <definedName name="DCD_8">#REF!</definedName>
    <definedName name="dcf">#REF!</definedName>
    <definedName name="DCF_analysis___Standard_model">#REF!</definedName>
    <definedName name="dd" hidden="1">{#N/A,#N/A,FALSE,"Pharm";#N/A,#N/A,FALSE,"WWCM"}</definedName>
    <definedName name="DD_Denom">#REF!</definedName>
    <definedName name="DD_Fin_YE_Mth">#REF!</definedName>
    <definedName name="DD_Model_Per_Type">#REF!</definedName>
    <definedName name="dda" hidden="1">{#N/A,#N/A,FALSE,"CAT3516";#N/A,#N/A,FALSE,"CAT3608";#N/A,#N/A,FALSE,"Wartsila";#N/A,#N/A,FALSE,"Asm";#N/A,#N/A,FALSE,"DG cost"}</definedName>
    <definedName name="DDCAC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dd" hidden="1">{"'CONSOLIDADO'!$B$10:$R$57"}</definedName>
    <definedName name="dddaz" hidden="1">{#N/A,#N/A,FALSE,"Pharm";#N/A,#N/A,FALSE,"WWCM"}</definedName>
    <definedName name="DDDD" hidden="1">#REF!</definedName>
    <definedName name="ddddd">#N/A</definedName>
    <definedName name="dddddd" hidden="1">{#N/A,#N/A,FALSE,"Pharm";#N/A,#N/A,FALSE,"WWCM"}</definedName>
    <definedName name="dddddddd">#N/A</definedName>
    <definedName name="DDDDDDDDDD">#REF!</definedName>
    <definedName name="dddddffghjkklk">INDEX(#REF!,0,2)</definedName>
    <definedName name="ddf" hidden="1">{#N/A,#N/A,FALSE,"CAT3516";#N/A,#N/A,FALSE,"CAT3608";#N/A,#N/A,FALSE,"Wartsila";#N/A,#N/A,FALSE,"Asm";#N/A,#N/A,FALSE,"DG cost"}</definedName>
    <definedName name="ddsa">#REF!</definedName>
    <definedName name="ddt" hidden="1">{"mgmt forecast",#N/A,FALSE,"Mgmt Forecast";"dcf table",#N/A,FALSE,"Mgmt Forecast";"sensitivity",#N/A,FALSE,"Mgmt Forecast";"table inputs",#N/A,FALSE,"Mgmt Forecast";"calculations",#N/A,FALSE,"Mgmt Forecast"}</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ratio">#REF!</definedName>
    <definedName name="De_buffer">#REF!</definedName>
    <definedName name="Debt">#REF!</definedName>
    <definedName name="debt_interest">#REF!</definedName>
    <definedName name="debt_print">#REF!</definedName>
    <definedName name="Debt_Schedule">#REF!</definedName>
    <definedName name="debt_weight">#REF!</definedName>
    <definedName name="debt3">#REF!</definedName>
    <definedName name="debt4">#REF!</definedName>
    <definedName name="debt5">#REF!</definedName>
    <definedName name="debt6">#REF!</definedName>
    <definedName name="DebtorsOfTradeBusinessAprActual">#REF!</definedName>
    <definedName name="DebtorsOfTradeBusinessDecProj">#REF!</definedName>
    <definedName name="DebtorsOfTradeBusinessFebProj">#REF!</definedName>
    <definedName name="DebtorsOfTradeBusinessJanProj">#REF!</definedName>
    <definedName name="DebtorsOfTradeBusinessJulyProj">#REF!</definedName>
    <definedName name="DebtorsOfTradeBusinessJuneProj">#REF!</definedName>
    <definedName name="DebtorsOfTradeBusinessMarProj">#REF!</definedName>
    <definedName name="DebtorsOfTradeBusinessMayProj">#REF!</definedName>
    <definedName name="DebtorsOfTradeBusinessNovProj">#REF!</definedName>
    <definedName name="DebtorsOfTradeBusinessOctProj">#REF!</definedName>
    <definedName name="DebtorsOfTradeBusinessSepProj">#REF!</definedName>
    <definedName name="DebtorsOfTradeBusinessTotalLE">#REF!</definedName>
    <definedName name="DebtorsOfTradingBusinessMonthBudget">#REF!</definedName>
    <definedName name="DebtorsOfTradingBusinessMonthDevToBud">#REF!</definedName>
    <definedName name="DebtorsOfTradingBusinessMonthDevTOLE">#REF!</definedName>
    <definedName name="DebtorsOfTradingBusinessMonthLE">#REF!</definedName>
    <definedName name="DebtorsOfTradingBusinessPrevYearActual">#REF!</definedName>
    <definedName name="DebtorsOfTradingBusinessPrevYearAnnualBudget">#REF!</definedName>
    <definedName name="DebtorsOfTradingBusinessPrevYearDEviation">#REF!</definedName>
    <definedName name="DebtorsOfTradingBusinessPrevYearPercentToDeviation">#REF!</definedName>
    <definedName name="DebtorsOfTradingBusinessYearActual">#REF!</definedName>
    <definedName name="DebtorsOfTradingBusinessYearAnnualBudget">#REF!</definedName>
    <definedName name="DebtorsOfTradingBusinessYearBudget">#REF!</definedName>
    <definedName name="DebtorsOfTradingBusinessYearDeviation">#REF!</definedName>
    <definedName name="DebtorsOfTradingBusinessYearDevToBud">#REF!</definedName>
    <definedName name="DebtorsOfTradingBusinessYearDevToLY">#REF!</definedName>
    <definedName name="DebtorsOfTradingBusinessYearLY">#REF!</definedName>
    <definedName name="DebtorsOfTradingBusinessYearPercentDeviationToBudget">#REF!</definedName>
    <definedName name="dec">#REF!</definedName>
    <definedName name="Déc.">#REF!</definedName>
    <definedName name="dec_98">#REF!</definedName>
    <definedName name="December">#REF!</definedName>
    <definedName name="December08">#REF!</definedName>
    <definedName name="Decembre">#REF!</definedName>
    <definedName name="DecInWorkingCapitalMonth1Actuals">#REF!</definedName>
    <definedName name="DecInWorkingCapitalMonth1Budget">#REF!</definedName>
    <definedName name="DecInWorkingCapitalMonth2Actuals">#REF!</definedName>
    <definedName name="DecInWorkingCapitalMonth2Budget">#REF!</definedName>
    <definedName name="DecInWorkingCapitalMonth3Actuals">#REF!</definedName>
    <definedName name="DecInWorkingCapitalMonth3Budget">#REF!</definedName>
    <definedName name="DecInWorkingCapitalMonth4Actuals">#REF!</definedName>
    <definedName name="DecInWorkingCapitalMonth4Budget">#REF!</definedName>
    <definedName name="DecInWorkingCapitalYTDActuals">#REF!</definedName>
    <definedName name="DecInWorkingCapitalYTDBudget">#REF!</definedName>
    <definedName name="ded">#REF!</definedName>
    <definedName name="dede" hidden="1">{#N/A,#N/A,FALSE,"Pharm";#N/A,#N/A,FALSE,"WWCM"}</definedName>
    <definedName name="DEDED" hidden="1">{#N/A,#N/A,FALSE,"Card";#N/A,#N/A,FALSE,"Prav";#N/A,#N/A,FALSE,"Irbe";#N/A,#N/A,FALSE,"Plavix";#N/A,#N/A,FALSE,"Capt";#N/A,#N/A,FALSE,"Fosi"}</definedName>
    <definedName name="DEDEDZE" hidden="1">{#N/A,#N/A,FALSE,"Pharm";#N/A,#N/A,FALSE,"WWCM"}</definedName>
    <definedName name="DEDZD" hidden="1">{#N/A,#N/A,FALSE,"Pharm";#N/A,#N/A,FALSE,"WWCM"}</definedName>
    <definedName name="DEE" hidden="1">{#N/A,#N/A,FALSE,"Pharm";#N/A,#N/A,FALSE,"WWCM"}</definedName>
    <definedName name="DELTA">20</definedName>
    <definedName name="DELTA_1">20</definedName>
    <definedName name="DELTA_2">20</definedName>
    <definedName name="DEM">NA()</definedName>
    <definedName name="DEM_32">NA()</definedName>
    <definedName name="DENIER">#REF!</definedName>
    <definedName name="Denier_Filament">#REF!</definedName>
    <definedName name="Dep">#REF!</definedName>
    <definedName name="dep.rt">#REF!</definedName>
    <definedName name="DEP_1">#REF!</definedName>
    <definedName name="DEP_10">"$#REF!.#REF!#REF!:$#REF!$#REF!"</definedName>
    <definedName name="DEP_11">"$#REF!.#REF!#REF!:$#REF!$#REF!"</definedName>
    <definedName name="DEP_12">"$#REF!.#REF!#REF!:$#REF!$#REF!"</definedName>
    <definedName name="DEP_13">"$#REF!.#REF!#REF!:$#REF!$#REF!"</definedName>
    <definedName name="DEP_15">"$#REF!.#REF!#REF!:$#REF!$#REF!"</definedName>
    <definedName name="DEP_2">#REF!</definedName>
    <definedName name="DEP_4">"$#REF!.#REF!#REF!:$#REF!$#REF!"</definedName>
    <definedName name="DEP_5">#REF!</definedName>
    <definedName name="DEP_6">"$#REF!.#REF!#REF!:$#REF!$#REF!"</definedName>
    <definedName name="DEP_7">#REF!</definedName>
    <definedName name="DEP_8">"$#REF!.#REF!#REF!:$#REF!$#REF!"</definedName>
    <definedName name="DEP_9">"$#REF!.#REF!#REF!:$#REF!$#REF!"</definedName>
    <definedName name="DEP_CO_MARCH_07" hidden="1">{#N/A,#N/A,FALSE,"Aging Summary";#N/A,#N/A,FALSE,"Ratio Analysis";#N/A,#N/A,FALSE,"Test 120 Day Accts";#N/A,#N/A,FALSE,"Tickmarks"}</definedName>
    <definedName name="dep_print">#REF!</definedName>
    <definedName name="Departmental">#REF!</definedName>
    <definedName name="DepChgCY">#REF!</definedName>
    <definedName name="Depn">#REF!</definedName>
    <definedName name="DepositsAprActual">#REF!</definedName>
    <definedName name="DepositsAugProj">#REF!</definedName>
    <definedName name="DepositsDecProj">#REF!</definedName>
    <definedName name="DepositsFebProj">#REF!</definedName>
    <definedName name="DepositsJanProj">#REF!</definedName>
    <definedName name="DepositsJulyProj">#REF!</definedName>
    <definedName name="DepositsJuneProj">#REF!</definedName>
    <definedName name="DepositsMarProj">#REF!</definedName>
    <definedName name="DepositsMayActual">#REF!</definedName>
    <definedName name="DepositsMonthActual">#REF!</definedName>
    <definedName name="DepositsMonthBudget">#REF!</definedName>
    <definedName name="DepositsMonthDevToBud">#REF!</definedName>
    <definedName name="DepositsMonthDevToLE">#REF!</definedName>
    <definedName name="DepositsMonthLE">#REF!</definedName>
    <definedName name="DepositsNovProj">#REF!</definedName>
    <definedName name="DepositsOctProj">#REF!</definedName>
    <definedName name="DepositsSepProj">#REF!</definedName>
    <definedName name="DepositsTotalLE">#REF!</definedName>
    <definedName name="DepositsYearActual">#REF!</definedName>
    <definedName name="DepositsYearBudget">#REF!</definedName>
    <definedName name="DepositsYearDevToBud">#REF!</definedName>
    <definedName name="DepositsYearDevToLE">#REF!</definedName>
    <definedName name="DepositsYearDevToLY">#REF!</definedName>
    <definedName name="DepositsYearLE">#REF!</definedName>
    <definedName name="DepositsYearLY">#REF!</definedName>
    <definedName name="DEPP">#REF!</definedName>
    <definedName name="DEPREC" hidden="1">{"GroupVSum",#N/A,FALSE,"GRVSUMM";"Expected_Merged",#N/A,FALSE,"EXP9798CONS";"Budget_GroupV_Merged",#N/A,FALSE,"BUDGRVCONS";"ACW_Merged",#N/A,FALSE,"ACW&amp;CPP";"HCW_Merged",#N/A,FALSE,"HCW&amp;JCW";"GCW_Merged",#N/A,FALSE,"GCWI&amp;II";"APCP_Details",#N/A,FALSE,"TCP I BUD"}</definedName>
    <definedName name="DEPRECIATION">#REF!</definedName>
    <definedName name="DepreciationDevToLE">#REF!</definedName>
    <definedName name="DepreciationDevToLY">#REF!</definedName>
    <definedName name="DepreciationLE">#REF!</definedName>
    <definedName name="DepreciationLY">#REF!</definedName>
    <definedName name="DepreciationMonth">#REF!</definedName>
    <definedName name="DepreciationMonthActual">#REF!</definedName>
    <definedName name="DepreciationMonthBudget">#REF!</definedName>
    <definedName name="DepreciationMonthDevToBud">#REF!</definedName>
    <definedName name="DepreciationYear">#REF!</definedName>
    <definedName name="DepreciationYearActual">#REF!</definedName>
    <definedName name="DepreciationYearBudget">#REF!</definedName>
    <definedName name="DepreciationYearDevToBud">#REF!</definedName>
    <definedName name="DepriciationAprActual">#REF!</definedName>
    <definedName name="DepriciationAugProj">#REF!</definedName>
    <definedName name="DepriciationDecProj">#REF!</definedName>
    <definedName name="DepriciationFebProj">#REF!</definedName>
    <definedName name="DepriciationJanProj">#REF!</definedName>
    <definedName name="DepriciationJulyProj">#REF!</definedName>
    <definedName name="DepriciationJuneProj">#REF!</definedName>
    <definedName name="DepriciationMarProj">#REF!</definedName>
    <definedName name="DepriciationMayActual">#REF!</definedName>
    <definedName name="DepriciationMonthActual">#REF!</definedName>
    <definedName name="DepriciationMonthBudget">#REF!</definedName>
    <definedName name="DepriciationMonthDevToLE">#REF!</definedName>
    <definedName name="DepriciationMonthDwevToBud">#REF!</definedName>
    <definedName name="DepriciationMonthLE">#REF!</definedName>
    <definedName name="DepriciationMonthYear">#REF!</definedName>
    <definedName name="DepriciationNovProj">#REF!</definedName>
    <definedName name="DepriciationOctProj">#REF!</definedName>
    <definedName name="DepriciationPrevYearActual">#REF!</definedName>
    <definedName name="DepriciationPrevYearAnnualBudget">#REF!</definedName>
    <definedName name="DepriciationPrevYearDeviation">#REF!</definedName>
    <definedName name="DepriciationPrevYearPercentDeviationToBudget">#REF!</definedName>
    <definedName name="DepriciationSepProj">#REF!</definedName>
    <definedName name="DepriciationTotalLE">#REF!</definedName>
    <definedName name="DepriciationYearActual">#REF!</definedName>
    <definedName name="DepriciationYearAnnualBudget">#REF!</definedName>
    <definedName name="DepriciationYearBudget">#REF!</definedName>
    <definedName name="DepriciationYearDeviation">#REF!</definedName>
    <definedName name="DepriciationYearDevToBud">#REF!</definedName>
    <definedName name="DepriciationYearDevToLY">#REF!</definedName>
    <definedName name="DepriciationYearLatestEstimate">#REF!</definedName>
    <definedName name="DepriciationYearLY">#REF!</definedName>
    <definedName name="DepriciationYearPerntDeviationToBudget">#REF!</definedName>
    <definedName name="DERR" hidden="1">#REF!</definedName>
    <definedName name="DES">#REF!</definedName>
    <definedName name="Désactiver">#REF!</definedName>
    <definedName name="DescontoUF" hidden="1">#REF!</definedName>
    <definedName name="description">#REF!</definedName>
    <definedName name="Desp" hidden="1">{#N/A,#N/A,FALSE,"Invest"}</definedName>
    <definedName name="Desp_1" hidden="1">{#N/A,#N/A,FALSE,"Invest"}</definedName>
    <definedName name="DET_PL">#REF!</definedName>
    <definedName name="DET_PL_31">#REF!</definedName>
    <definedName name="DETAIL" hidden="1">{#N/A,#N/A,FALSE,"Ut";#N/A,#N/A,FALSE,"UT-h"}</definedName>
    <definedName name="DETRO1">#REF!</definedName>
    <definedName name="DETRO1_27">"$"</definedName>
    <definedName name="DETRO2">#REF!</definedName>
    <definedName name="DETRO2_27">"$"</definedName>
    <definedName name="DEZLFEZKLHF" hidden="1">{#N/A,#N/A,FALSE,"Pharm";#N/A,#N/A,FALSE,"WWCM"}</definedName>
    <definedName name="df">#REF!</definedName>
    <definedName name="DFASGFASD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d">#REF!</definedName>
    <definedName name="DFDD" hidden="1">{#N/A,#N/A,FALSE,"REPORT"}</definedName>
    <definedName name="dfdfddfdf" hidden="1">{"'CONSOLIDADO'!$B$10:$R$57"}</definedName>
    <definedName name="dfdfdfd" hidden="1">{#N/A,#N/A,FALSE,"Resultado x Orig"}</definedName>
    <definedName name="dff">#REF!</definedName>
    <definedName name="DFG" hidden="1">{#N/A,#N/A,FALSE,"A"}</definedName>
    <definedName name="dfgdf" hidden="1">#REF!</definedName>
    <definedName name="DFGDSFG" hidden="1">{"Financial Performance_SP",#N/A,FALSE,"Fin Perf(Sp)";"Operational Indicators_SP",#N/A,FALSE,"Op Ind(sp)";"Resources Utilisation_SP",#N/A,FALSE,"ResUtil (Sp)"}</definedName>
    <definedName name="dfgsdfsd" hidden="1">#REF!</definedName>
    <definedName name="dfr" hidden="1">{#N/A,#N/A,FALSE,"Pharm";#N/A,#N/A,FALSE,"WWCM"}</definedName>
    <definedName name="dfsd">#REF!</definedName>
    <definedName name="DG">#REF!</definedName>
    <definedName name="DG_27">#REF!</definedName>
    <definedName name="DGASDGS"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GDSA" hidden="1">{"GroupVSum",#N/A,FALSE,"GRVSUMM";"Expected_Merged",#N/A,FALSE,"EXP9798CONS";"Budget_GroupV_Merged",#N/A,FALSE,"BUDGRVCONS";"ACW_Merged",#N/A,FALSE,"ACW&amp;CPP";"HCW_Merged",#N/A,FALSE,"HCW&amp;JCW";"GCW_Merged",#N/A,FALSE,"GCWI&amp;II";"APCP_Details",#N/A,FALSE,"TCP I BUD"}</definedName>
    <definedName name="DGDIF">#REF!</definedName>
    <definedName name="dgfgfd" hidden="1">{#N/A,#N/A,FALSE,"COVER.XLS";#N/A,#N/A,FALSE,"RACT1.XLS";#N/A,#N/A,FALSE,"RACT2.XLS";#N/A,#N/A,FALSE,"ECCMP";#N/A,#N/A,FALSE,"WELDER.XLS"}</definedName>
    <definedName name="DGLAST">#REF!</definedName>
    <definedName name="DGLAST_27">"$"</definedName>
    <definedName name="DGOTHER">#REF!</definedName>
    <definedName name="dgrf">#REF!</definedName>
    <definedName name="DGSAG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h">#REF!</definedName>
    <definedName name="Di_buffer">#REF!</definedName>
    <definedName name="diaanterior2">#REF!</definedName>
    <definedName name="dias_ano">360</definedName>
    <definedName name="Difference">#REF!</definedName>
    <definedName name="DIGptaA">"$#REF!.$#REF!$#REF!"</definedName>
    <definedName name="DIGptaB">"$#REF!.$#REF!$#REF!"</definedName>
    <definedName name="DIGptaC">"$#REF!.$#REF!$#REF!"</definedName>
    <definedName name="Dir._Risco">#REF!</definedName>
    <definedName name="DIR_REM">#REF!</definedName>
    <definedName name="DIR_REM_31">#REF!</definedName>
    <definedName name="DIRREAC">#REF!</definedName>
    <definedName name="Disaggregations">#REF!</definedName>
    <definedName name="Discount" hidden="1">#REF!</definedName>
    <definedName name="DiscountPL" hidden="1">#REF!</definedName>
    <definedName name="DiscretionaryBudgetedCompletionDate">#REF!</definedName>
    <definedName name="DiscretionaryCommitted">#REF!</definedName>
    <definedName name="DiscretionaryExpectedCompletionDate">#REF!</definedName>
    <definedName name="DiscretionaryExpectedTotalExpenditure">#REF!</definedName>
    <definedName name="DiscretionaryExpenditureToDate">#REF!</definedName>
    <definedName name="DiscretionaryPercentComp.">#REF!</definedName>
    <definedName name="DiscretionaryPercentSanctioned">#REF!</definedName>
    <definedName name="DiscretionaryReviewRequired">#REF!</definedName>
    <definedName name="DiscretionarySanctioned">#REF!</definedName>
    <definedName name="display_area_2" hidden="1">#REF!</definedName>
    <definedName name="display_area_2PL" hidden="1">#REF!</definedName>
    <definedName name="DisputedProvisions4Actuals">#REF!</definedName>
    <definedName name="DisputedProvisions4Budget">#REF!</definedName>
    <definedName name="DisputedProvisionsMonth1Actuals">#REF!</definedName>
    <definedName name="DisputedProvisionsMonth1Budget">#REF!</definedName>
    <definedName name="DisputedProvisionsMonth2Actuals">#REF!</definedName>
    <definedName name="DisputedProvisionsMonth2Budget">#REF!</definedName>
    <definedName name="DisputedProvisionsMonth3Actuals">#REF!</definedName>
    <definedName name="DisputedProvisionsMonth3Budget">#REF!</definedName>
    <definedName name="DisputedProvisionsYTDActuals">#REF!</definedName>
    <definedName name="DisputedProvisionsYTDBudget">#REF!</definedName>
    <definedName name="DisputedProvisionYTDActuals">#REF!</definedName>
    <definedName name="DisputedProvisionYTDBudget">#REF!</definedName>
    <definedName name="Dist_FM">#REF!</definedName>
    <definedName name="Dist2_FM">#REF!</definedName>
    <definedName name="Dist3_FM">#REF!</definedName>
    <definedName name="Dist8_FM">#REF!</definedName>
    <definedName name="div">#REF!</definedName>
    <definedName name="Div_Method">#REF!</definedName>
    <definedName name="djdhadpjfg" hidden="1">{"'CONSOLIDADO'!$B$10:$R$57"}</definedName>
    <definedName name="djksljd" hidden="1">{#N/A,#N/A,FALSE,"Other";#N/A,#N/A,FALSE,"Ace";#N/A,#N/A,FALSE,"Derm"}</definedName>
    <definedName name="DK">#REF!</definedName>
    <definedName name="dkgahirghigf" hidden="1">{#N/A,#N/A,FALSE,"Pharm";#N/A,#N/A,FALSE,"WWCM"}</definedName>
    <definedName name="DKK">#REF!</definedName>
    <definedName name="DM">#REF!</definedName>
    <definedName name="dm_32">#REF!</definedName>
    <definedName name="Dm_carbonat">#REF!</definedName>
    <definedName name="DM_WATERCP1">#REF!</definedName>
    <definedName name="DM_WATERCP1_19">#REF!</definedName>
    <definedName name="DM_WATERCP1_7">#REF!</definedName>
    <definedName name="DM_WATERCP3">#REF!</definedName>
    <definedName name="DM_WATERCP3_19">#REF!</definedName>
    <definedName name="DM_WATERCP3_7">#REF!</definedName>
    <definedName name="DME_Dirty" hidden="1">"False"</definedName>
    <definedName name="DME_LocalFile" hidden="1">"True"</definedName>
    <definedName name="DMWTR">#REF!</definedName>
    <definedName name="DMWTR_27">"$"</definedName>
    <definedName name="DO">#REF!</definedName>
    <definedName name="DOB">#REF!</definedName>
    <definedName name="DocType">#N/A</definedName>
    <definedName name="DOH">#REF!</definedName>
    <definedName name="dol">#REF!</definedName>
    <definedName name="Dollar">#REF!</definedName>
    <definedName name="DOLLAR1">#REF!</definedName>
    <definedName name="DOLLART">#REF!</definedName>
    <definedName name="DOLLART___0">#REF!</definedName>
    <definedName name="DOLLART___6">#REF!</definedName>
    <definedName name="dom.dbtrs">#REF!</definedName>
    <definedName name="domestic_SSP_Firm">#REF!</definedName>
    <definedName name="Donation">#REF!</definedName>
    <definedName name="DOP">#REF!</definedName>
    <definedName name="DOR">#REF!</definedName>
    <definedName name="DouterPA">#REF!</definedName>
    <definedName name="DOV">#REF!</definedName>
    <definedName name="DownGrade">#REF!</definedName>
    <definedName name="DownGrade2">#REF!</definedName>
    <definedName name="DR">#REF!</definedName>
    <definedName name="DR_Date">#REF!</definedName>
    <definedName name="draft">#REF!</definedName>
    <definedName name="drt">#REF!</definedName>
    <definedName name="DRUCKBEREI03">#REF!</definedName>
    <definedName name="DryBlock">#REF!</definedName>
    <definedName name="Dryer">#REF!</definedName>
    <definedName name="ds">#REF!</definedName>
    <definedName name="DSC">#REF!</definedName>
    <definedName name="dscr">#REF!</definedName>
    <definedName name="DSD">#REF!</definedName>
    <definedName name="dse">#REF!</definedName>
    <definedName name="dsf">#REF!</definedName>
    <definedName name="dsfsffss" hidden="1">{#N/A,#N/A,FALSE,"Pharm";#N/A,#N/A,FALSE,"WWCM"}</definedName>
    <definedName name="dsra.fndg.optn">#REF!</definedName>
    <definedName name="DT">#REF!</definedName>
    <definedName name="DT_27">"$"</definedName>
    <definedName name="DTHBENA">#REF!</definedName>
    <definedName name="DTHBENB">#REF!</definedName>
    <definedName name="DTHPEN">#REF!</definedName>
    <definedName name="DTLAST">#REF!</definedName>
    <definedName name="DTLAST_27">"$"</definedName>
    <definedName name="DTS">#REF!</definedName>
    <definedName name="DTY">#REF!</definedName>
    <definedName name="DTY_27">"$"</definedName>
    <definedName name="DTY_450">#REF!</definedName>
    <definedName name="DTY_450_7">#REF!</definedName>
    <definedName name="DTYCHANGES">#REF!</definedName>
    <definedName name="DTYLAST">#REF!</definedName>
    <definedName name="DTYLAST_27">"$"</definedName>
    <definedName name="du" hidden="1">IF(COUNTA(#REF!)=0,0,INDEX(#REF!,MATCH(ROW(#REF!),#REF!,TRUE)))+1</definedName>
    <definedName name="dum" hidden="1">{#N/A,#N/A,TRUE,"GW-Cond";#N/A,#N/A,TRUE,"HW"}</definedName>
    <definedName name="dummyweek" hidden="1">{#N/A,#N/A,FALSE,"str_title";#N/A,#N/A,FALSE,"SUM";#N/A,#N/A,FALSE,"Scope";#N/A,#N/A,FALSE,"PIE-Jn";#N/A,#N/A,FALSE,"PIE-Jn_Hz";#N/A,#N/A,FALSE,"Liq_Plan";#N/A,#N/A,FALSE,"S_Curve";#N/A,#N/A,FALSE,"Liq_Prof";#N/A,#N/A,FALSE,"Man_Pwr";#N/A,#N/A,FALSE,"Man_Prof"}</definedName>
    <definedName name="DURATION_DISC.">#REF!</definedName>
    <definedName name="DURDISC">#REF!</definedName>
    <definedName name="DUREE">#REF!</definedName>
    <definedName name="DUTY">#REF!</definedName>
    <definedName name="DV_ContasBP">#REF!</definedName>
    <definedName name="DV_DebtType">#REF!</definedName>
    <definedName name="DV_FluxosCaixa">#REF!</definedName>
    <definedName name="DV_PeriodoDividendos">#REF!</definedName>
    <definedName name="DV_TrueFalse">#REF!</definedName>
    <definedName name="DW">#REF!</definedName>
    <definedName name="dwd">#REF!</definedName>
    <definedName name="DWT">#REF!</definedName>
    <definedName name="DWT___0">#REF!</definedName>
    <definedName name="DWT_8">#REF!</definedName>
    <definedName name="DX">35.5796</definedName>
    <definedName name="DxXao_SalesNetTp.AGG_rmc_0">#REF!</definedName>
    <definedName name="DxXao_SalesNetTp.CEM_cc_0">#REF!</definedName>
    <definedName name="dzygdsrtg" hidden="1">{"'0103'!$A$455:$O$585"}</definedName>
    <definedName name="e">#REF!</definedName>
    <definedName name="e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2er">#REF!</definedName>
    <definedName name="EA">#REF!</definedName>
    <definedName name="eaeaeas">#REF!</definedName>
    <definedName name="EAGE">#REF!</definedName>
    <definedName name="ebitda">#N/A</definedName>
    <definedName name="EBITDA09E">#REF!</definedName>
    <definedName name="EBITDABase">#REF!</definedName>
    <definedName name="EBITDABear">#REF!</definedName>
    <definedName name="EBITDABull">#REF!</definedName>
    <definedName name="EBITDAEvolution">#REF!</definedName>
    <definedName name="EBITDARange">#REF!</definedName>
    <definedName name="Ec.Taxes">#REF!</definedName>
    <definedName name="ECCLU" hidden="1">{"GroupVSum",#N/A,FALSE,"GRVSUMM";"Expected_Merged",#N/A,FALSE,"EXP9798CONS";"Budget_GroupV_Merged",#N/A,FALSE,"BUDGRVCONS";"ACW_Merged",#N/A,FALSE,"ACW&amp;CPP";"HCW_Merged",#N/A,FALSE,"HCW&amp;JCW";"GCW_Merged",#N/A,FALSE,"GCWI&amp;II";"APCP_Details",#N/A,FALSE,"TCP I BUD"}</definedName>
    <definedName name="ECNOFIBRAS" hidden="1">{"'PXR_6500'!$A$1:$I$124"}</definedName>
    <definedName name="ECNOFIBRAS2" hidden="1">{"'PXR_6500'!$A$1:$I$124"}</definedName>
    <definedName name="ECO">#REF!</definedName>
    <definedName name="edffff">INDEX(#REF!,0,1)</definedName>
    <definedName name="edition">#REF!</definedName>
    <definedName name="edu.tax.rat">#REF!</definedName>
    <definedName name="ee" hidden="1">{#N/A,#N/A,FALSE,"Table of Contents";#N/A,#N/A,FALSE,"Overview";#N/A,#N/A,FALSE,"Data"}</definedName>
    <definedName name="EEDATA">#REF!</definedName>
    <definedName name="EEE" hidden="1">{"'PXR_6500'!$A$1:$I$124"}</definedName>
    <definedName name="eeee">#REF!</definedName>
    <definedName name="eeeee" hidden="1">{#N/A,#N/A,FALSE,"Pharm";#N/A,#N/A,FALSE,"WWCM"}</definedName>
    <definedName name="eeeeeeee">INDEX(#REF!,0,1)</definedName>
    <definedName name="eeeeeeeeeeee" hidden="1">#REF!</definedName>
    <definedName name="eeeeeeeeeeeee" hidden="1">#REF!</definedName>
    <definedName name="EfComum">#REF!</definedName>
    <definedName name="EfDest">#REF!</definedName>
    <definedName name="Effective_Tax_Rate">#REF!</definedName>
    <definedName name="EfFerm">#REF!</definedName>
    <definedName name="EFGH">#REF!</definedName>
    <definedName name="EGOD">#REF!</definedName>
    <definedName name="ejkfgkjze" hidden="1">{#N/A,#N/A,FALSE,"Pharm";#N/A,#N/A,FALSE,"WWCM"}</definedName>
    <definedName name="Elec_CTA">#REF!</definedName>
    <definedName name="ELEC_PTA">#REF!</definedName>
    <definedName name="Elec_UTL">#REF!</definedName>
    <definedName name="Elec_WWT">#REF!</definedName>
    <definedName name="Elim">#REF!</definedName>
    <definedName name="Em_spg1">#REF!</definedName>
    <definedName name="Em_spg2">#REF!</definedName>
    <definedName name="Email">#REF!</definedName>
    <definedName name="embarque">#REF!</definedName>
    <definedName name="empl.esc.rt">#REF!</definedName>
    <definedName name="Employee_Listing">#REF!</definedName>
    <definedName name="Employee_Listing_1">"#REF!"</definedName>
    <definedName name="END">#REF!</definedName>
    <definedName name="End_Use_Analysis___Sectoral_Growth">#REF!</definedName>
    <definedName name="endcell">#REF!</definedName>
    <definedName name="EndDate">#REF!</definedName>
    <definedName name="EndDate2">#REF!</definedName>
    <definedName name="EndDate3">#REF!</definedName>
    <definedName name="EndDate4">#REF!</definedName>
    <definedName name="ENDS_KEVLAR">#REF!</definedName>
    <definedName name="ENT">#REF!</definedName>
    <definedName name="ENT_LONG_NAME">#REF!</definedName>
    <definedName name="ENT_NAME">#REF!</definedName>
    <definedName name="ENT_TABLE">#REF!</definedName>
    <definedName name="ENTA">#REF!</definedName>
    <definedName name="Entity_Name">#REF!</definedName>
    <definedName name="ENTRADA">#REF!</definedName>
    <definedName name="EPS">#REF!</definedName>
    <definedName name="EPSFinal" hidden="1">#REF!</definedName>
    <definedName name="eqeq">#REF!</definedName>
    <definedName name="Equ_01">#N/A</definedName>
    <definedName name="equity">#REF!</definedName>
    <definedName name="Equity_IRR">#REF!</definedName>
    <definedName name="Equity_NPV">#REF!</definedName>
    <definedName name="equity_print">#REF!</definedName>
    <definedName name="eqw" hidden="1">{"'CONSOLIDADO'!$B$10:$R$57"}</definedName>
    <definedName name="er">#REF!</definedName>
    <definedName name="ERBENA">#REF!</definedName>
    <definedName name="ERBENB">#REF!</definedName>
    <definedName name="erd" hidden="1">{#N/A,#N/A,FALSE,"Pharm";#N/A,#N/A,FALSE,"WWCM"}</definedName>
    <definedName name="erggee">#REF!</definedName>
    <definedName name="ERPEN">#REF!</definedName>
    <definedName name="err">#REF!</definedName>
    <definedName name="ERR_MSG">#REF!</definedName>
    <definedName name="erryeyetyuu" hidden="1">{#N/A,#N/A,FALSE,"Pharm";#N/A,#N/A,FALSE,"WWCM"}</definedName>
    <definedName name="ert">#REF!</definedName>
    <definedName name="ERTY" hidden="1">#REF!</definedName>
    <definedName name="erwr" hidden="1">{"'0103'!$A$455:$O$585"}</definedName>
    <definedName name="esnrc20c1_values" hidden="1">{"FTSE22","COMPANIES",TRUE}</definedName>
    <definedName name="esnrc25c1_values" hidden="1">{"FTSE21","COMPANIES",TRUE}</definedName>
    <definedName name="esnrc29c1" hidden="1">#REF!</definedName>
    <definedName name="esnrc37c1_values" hidden="1">{"FTSE21","COMPANIES",TRUE}</definedName>
    <definedName name="esnrc41c1" hidden="1">#REF!</definedName>
    <definedName name="esnrc48c1" hidden="1">#REF!</definedName>
    <definedName name="esnrc48c2" hidden="1">#REF!</definedName>
    <definedName name="esnrc48c3" hidden="1">#REF!</definedName>
    <definedName name="esnrc48c4" hidden="1">#REF!</definedName>
    <definedName name="esnrc48c5" hidden="1">#REF!</definedName>
    <definedName name="esnrc5c1" hidden="1">#REF!</definedName>
    <definedName name="ESSAI" hidden="1">{#N/A,#N/A,FALSE,"Pharm";#N/A,#N/A,FALSE,"WWCM"}</definedName>
    <definedName name="est">#REF!</definedName>
    <definedName name="ESTIMATED_PROFITABILITY__1996___97">#REF!</definedName>
    <definedName name="EstimatedTaxAprActual">#REF!</definedName>
    <definedName name="EstimatedTaxAugProj">#REF!</definedName>
    <definedName name="EstimatedTaxDecProj">#REF!</definedName>
    <definedName name="EstimatedTaxDevToLY">#REF!</definedName>
    <definedName name="EstimatedTaxFebProj">#REF!</definedName>
    <definedName name="EstimatedTaxJanProj">#REF!</definedName>
    <definedName name="EstimatedTaxJulyActual">#REF!</definedName>
    <definedName name="EstimatedTaxJuneProj">#REF!</definedName>
    <definedName name="EstimatedTaxle">#REF!</definedName>
    <definedName name="EstimatedTaxLY">#REF!</definedName>
    <definedName name="EstimatedTaxMarProj">#REF!</definedName>
    <definedName name="EstimatedTaxMayActual">#REF!</definedName>
    <definedName name="EstimatedTaxMonth">#REF!</definedName>
    <definedName name="EstimatedTaxMonth1Actuals">#REF!</definedName>
    <definedName name="EstimatedTaxMonth1Budget">#REF!</definedName>
    <definedName name="EstimatedTaxMonth2Actuals">#REF!</definedName>
    <definedName name="EstimatedTaxMonth2Budget">#REF!</definedName>
    <definedName name="EstimatedTaxMonth3Actuals">#REF!</definedName>
    <definedName name="EstimatedTaxMonth3Budget">#REF!</definedName>
    <definedName name="EstimatedTaxMonth4Actuals">#REF!</definedName>
    <definedName name="EstimatedTaxMonth4Budget">#REF!</definedName>
    <definedName name="EstimatedTaxMonth5Actuals">#REF!</definedName>
    <definedName name="EstimatedTaxMonth5Budget">#REF!</definedName>
    <definedName name="EstimatedTaxMonthActual">#REF!</definedName>
    <definedName name="EstimatedTaxMonthBudget">#REF!</definedName>
    <definedName name="EstimatedTaxMonthDevToBud">#REF!</definedName>
    <definedName name="EstimatedTaxMonthDevToLE">#REF!</definedName>
    <definedName name="EstimatedTaxMonthLE">#REF!</definedName>
    <definedName name="EstimatedTaxNovProj">#REF!</definedName>
    <definedName name="EstimatedTaxOctProj">#REF!</definedName>
    <definedName name="EstimatedTaxSepProj">#REF!</definedName>
    <definedName name="EstimatedTaxTotalLE">#REF!</definedName>
    <definedName name="EstimatedTaxYearActual">#REF!</definedName>
    <definedName name="EstimatedTaxYearBudget">#REF!</definedName>
    <definedName name="EstimatedTaxYearDevToBud">#REF!</definedName>
    <definedName name="EstimatedTaxYearDevToLY">#REF!</definedName>
    <definedName name="EstimatedTaxYearLY">#REF!</definedName>
    <definedName name="ETAPA11">#REF!</definedName>
    <definedName name="ETAPA12">#REF!</definedName>
    <definedName name="ETAPA21">#REF!</definedName>
    <definedName name="ETAPA31">#REF!</definedName>
    <definedName name="ETAPA32">#REF!</definedName>
    <definedName name="ETAPA33">#REF!</definedName>
    <definedName name="ETAPA51">#REF!</definedName>
    <definedName name="ETAPA61">#REF!</definedName>
    <definedName name="ETAPA71">#REF!</definedName>
    <definedName name="ETAPA72">#REF!</definedName>
    <definedName name="ETAPA73">#REF!</definedName>
    <definedName name="ETAPA81">#REF!</definedName>
    <definedName name="ETAPA82">#REF!</definedName>
    <definedName name="ETAPA83">#REF!</definedName>
    <definedName name="ETAPA91">#REF!</definedName>
    <definedName name="ETAPA92">#REF!</definedName>
    <definedName name="ETP">"$"</definedName>
    <definedName name="ETPLAST">"$"</definedName>
    <definedName name="ETXAcces">"ETAT.ACC"</definedName>
    <definedName name="EU">#REF!</definedName>
    <definedName name="EUR">#REF!</definedName>
    <definedName name="EUR_19">#REF!</definedName>
    <definedName name="EUR_32">#REF!</definedName>
    <definedName name="EUR_45">1.35</definedName>
    <definedName name="EUR_46">1.35</definedName>
    <definedName name="EUR_7">#REF!</definedName>
    <definedName name="EUR_9">#REF!</definedName>
    <definedName name="EUR_FX">#REF!</definedName>
    <definedName name="EURBOR">#REF!</definedName>
    <definedName name="EURIBOR">#REF!</definedName>
    <definedName name="euro">#REF!</definedName>
    <definedName name="EURO_FX">#REF!</definedName>
    <definedName name="euro2">#REF!</definedName>
    <definedName name="ev.Calculation" hidden="1">-4135</definedName>
    <definedName name="ev.Initialized" hidden="1">FALSE</definedName>
    <definedName name="EV__LASTREFTIME__" hidden="1">38611.4102430556</definedName>
    <definedName name="eva">#REF!</definedName>
    <definedName name="EVA_Chart">#REF!</definedName>
    <definedName name="EVL" hidden="1">{"Econ Consolidado",#N/A,FALSE,"Econ Consol";"Fluxo de Caixa",#N/A,FALSE,"Fluxo Caixa";"Investimentos",#N/A,FALSE,"Investimentos"}</definedName>
    <definedName name="Evol." hidden="1">{"Econ Consolidado",#N/A,FALSE,"Econ Consol";"Fluxo de Caixa",#N/A,FALSE,"Fluxo Caixa";"Investimentos",#N/A,FALSE,"Investimentos"}</definedName>
    <definedName name="Evolu_teste" hidden="1">{"'CONSOLIDADO'!$B$10:$R$57"}</definedName>
    <definedName name="Evolution">#REF!</definedName>
    <definedName name="EWQV4">#REF!</definedName>
    <definedName name="EWR" hidden="1">#REF!</definedName>
    <definedName name="ewwe" hidden="1">{#N/A,#N/A,FALSE,"REPORT"}</definedName>
    <definedName name="ex">#REF!</definedName>
    <definedName name="Ex_Apr">#REF!</definedName>
    <definedName name="Ex_Aug">#REF!</definedName>
    <definedName name="Ex_Dec">#REF!</definedName>
    <definedName name="Ex_Feb">#REF!</definedName>
    <definedName name="Ex_Jan">#REF!</definedName>
    <definedName name="Ex_Jul">#REF!</definedName>
    <definedName name="Ex_Jun">#REF!</definedName>
    <definedName name="Ex_Mar">#REF!</definedName>
    <definedName name="Ex_May">#REF!</definedName>
    <definedName name="Ex_Nov">#REF!</definedName>
    <definedName name="Ex_Oct">#REF!</definedName>
    <definedName name="Ex_Sep">#REF!</definedName>
    <definedName name="EXA">#REF!</definedName>
    <definedName name="EXAC">#REF!</definedName>
    <definedName name="EXAC___6">#REF!</definedName>
    <definedName name="EXACRY">#REF!</definedName>
    <definedName name="EXACRY___0">#REF!</definedName>
    <definedName name="EXACRY___6">#REF!</definedName>
    <definedName name="ExactAddinReports" hidden="1">1</definedName>
    <definedName name="EXCD">#REF!</definedName>
    <definedName name="EXCD___6">#REF!</definedName>
    <definedName name="eXCEL">#REF!</definedName>
    <definedName name="EXCEL_1">"#REF!"</definedName>
    <definedName name="EXCEL_2">#REF!</definedName>
    <definedName name="EXCEL_3">#REF!</definedName>
    <definedName name="EXCEL_31">#REF!</definedName>
    <definedName name="EXCEL_33">#REF!</definedName>
    <definedName name="EXCEL_4">#REF!</definedName>
    <definedName name="EXCEL_5">#REF!</definedName>
    <definedName name="Excel_BuiltIn__FilterDatabase">#REF!</definedName>
    <definedName name="Excel_BuiltIn__FilterDatabase_1">#REF!</definedName>
    <definedName name="Excel_BuiltIn__FilterDatabase_1_1">#REF!</definedName>
    <definedName name="Excel_BuiltIn__FilterDatabase_1_1_1">#REF!</definedName>
    <definedName name="Excel_BuiltIn__FilterDatabase_1_1_1_1">#REF!</definedName>
    <definedName name="Excel_BuiltIn__FilterDatabase_1_1_1_1_1">#REF!</definedName>
    <definedName name="Excel_BuiltIn__FilterDatabase_1_1_1_1_1_1">#REF!</definedName>
    <definedName name="Excel_BuiltIn__FilterDatabase_1_1_1_1_1_1_1">#REF!</definedName>
    <definedName name="Excel_BuiltIn__FilterDatabase_1_1_1_1_1_1_1_1">#REF!</definedName>
    <definedName name="Excel_BuiltIn__FilterDatabase_1_1_1_1_1_1_1_1_1">#REF!</definedName>
    <definedName name="Excel_BuiltIn__FilterDatabase_1_1_2">NA()</definedName>
    <definedName name="Excel_BuiltIn__FilterDatabase_1_1_3">"#REF!"</definedName>
    <definedName name="Excel_BuiltIn__FilterDatabase_1_2">NA()</definedName>
    <definedName name="Excel_BuiltIn__FilterDatabase_10">#REF!</definedName>
    <definedName name="Excel_BuiltIn__FilterDatabase_10_1">#REF!</definedName>
    <definedName name="Excel_BuiltIn__FilterDatabase_11">#REF!</definedName>
    <definedName name="Excel_BuiltIn__FilterDatabase_11_1">#REF!</definedName>
    <definedName name="Excel_BuiltIn__FilterDatabase_12">#REF!</definedName>
    <definedName name="Excel_BuiltIn__FilterDatabase_12_1">#REF!</definedName>
    <definedName name="Excel_BuiltIn__FilterDatabase_13">#REF!</definedName>
    <definedName name="Excel_BuiltIn__FilterDatabase_14">#REF!</definedName>
    <definedName name="Excel_BuiltIn__FilterDatabase_15">#REF!</definedName>
    <definedName name="Excel_BuiltIn__FilterDatabase_16">#REF!</definedName>
    <definedName name="Excel_BuiltIn__FilterDatabase_19">#REF!</definedName>
    <definedName name="Excel_BuiltIn__FilterDatabase_2">#REF!</definedName>
    <definedName name="Excel_BuiltIn__FilterDatabase_2_1">#REF!</definedName>
    <definedName name="Excel_BuiltIn__FilterDatabase_2_1_3">"#REF!"</definedName>
    <definedName name="Excel_BuiltIn__FilterDatabase_2_3">"#REF!"</definedName>
    <definedName name="Excel_BuiltIn__FilterDatabase_20">#REF!</definedName>
    <definedName name="Excel_BuiltIn__FilterDatabase_21">#REF!</definedName>
    <definedName name="Excel_BuiltIn__FilterDatabase_22">#REF!</definedName>
    <definedName name="Excel_BuiltIn__FilterDatabase_25">#REF!</definedName>
    <definedName name="Excel_BuiltIn__FilterDatabase_28">#REF!</definedName>
    <definedName name="Excel_BuiltIn__FilterDatabase_3">#REF!</definedName>
    <definedName name="Excel_BuiltIn__FilterDatabase_3_1">#REF!</definedName>
    <definedName name="Excel_BuiltIn__FilterDatabase_3_3">"#REF!"</definedName>
    <definedName name="Excel_BuiltIn__FilterDatabase_37">#REF!</definedName>
    <definedName name="Excel_BuiltIn__FilterDatabase_4">#REF!</definedName>
    <definedName name="Excel_BuiltIn__FilterDatabase_4_1">#REF!</definedName>
    <definedName name="Excel_BuiltIn__FilterDatabase_4_1_1">#REF!</definedName>
    <definedName name="Excel_BuiltIn__FilterDatabase_4_1_1_1">#REF!</definedName>
    <definedName name="Excel_BuiltIn__FilterDatabase_4_2">#REF!</definedName>
    <definedName name="Excel_BuiltIn__FilterDatabase_43">#REF!</definedName>
    <definedName name="Excel_BuiltIn__FilterDatabase_49">#REF!</definedName>
    <definedName name="Excel_BuiltIn__FilterDatabase_5">#REF!</definedName>
    <definedName name="Excel_BuiltIn__FilterDatabase_5_1_1">#REF!</definedName>
    <definedName name="Excel_BuiltIn__FilterDatabase_50">#REF!</definedName>
    <definedName name="Excel_BuiltIn__FilterDatabase_51">#REF!</definedName>
    <definedName name="Excel_BuiltIn__FilterDatabase_6">#REF!</definedName>
    <definedName name="Excel_BuiltIn__FilterDatabase_6_1">#REF!</definedName>
    <definedName name="Excel_BuiltIn__FilterDatabase_6_1_1">#REF!</definedName>
    <definedName name="Excel_BuiltIn__FilterDatabase_6_1_1_1">#REF!</definedName>
    <definedName name="Excel_BuiltIn__FilterDatabase_6_1_1_1_1">#REF!</definedName>
    <definedName name="Excel_BuiltIn__FilterDatabase_6_1_5">#REF!</definedName>
    <definedName name="Excel_BuiltIn__FilterDatabase_6_1_6">#REF!</definedName>
    <definedName name="Excel_BuiltIn__FilterDatabase_6_1_8">#REF!</definedName>
    <definedName name="Excel_BuiltIn__FilterDatabase_6_6">#REF!</definedName>
    <definedName name="Excel_BuiltIn__FilterDatabase_7">#REF!</definedName>
    <definedName name="Excel_BuiltIn__FilterDatabase_7_1">#REF!</definedName>
    <definedName name="Excel_BuiltIn__FilterDatabase_8">#REF!</definedName>
    <definedName name="Excel_BuiltIn__FilterDatabase_8_1">#REF!</definedName>
    <definedName name="Excel_BuiltIn__FilterDatabase_8_1_1">#REF!</definedName>
    <definedName name="Excel_BuiltIn__FilterDatabase_8_5">#REF!</definedName>
    <definedName name="Excel_BuiltIn__FilterDatabase_8_8">#REF!</definedName>
    <definedName name="Excel_BuiltIn__FilterDatabase_9">#REF!</definedName>
    <definedName name="Excel_BuiltIn__FilterDatabase_9_1">#REF!</definedName>
    <definedName name="Excel_BuiltIn_Criteria">#N/A</definedName>
    <definedName name="Excel_BuiltIn_Criteria_1">#N/A</definedName>
    <definedName name="Excel_BuiltIn_Criteria_1_1">NA()</definedName>
    <definedName name="Excel_BuiltIn_Criteria_2">#REF!</definedName>
    <definedName name="Excel_BuiltIn_Criteria_4">#REF!</definedName>
    <definedName name="Excel_BuiltIn_Criteria_5">#REF!</definedName>
    <definedName name="Excel_BuiltIn_Database">#REF!</definedName>
    <definedName name="Excel_BuiltIn_Database_1">#N/A</definedName>
    <definedName name="Excel_BuiltIn_Database_1_1">NA()</definedName>
    <definedName name="Excel_BuiltIn_Database_2">#REF!</definedName>
    <definedName name="Excel_BuiltIn_Database_4">#REF!</definedName>
    <definedName name="Excel_BuiltIn_Database_5">#REF!</definedName>
    <definedName name="Excel_BuiltIn_Extract">#REF!</definedName>
    <definedName name="Excel_BuiltIn_Extract_1">#REF!</definedName>
    <definedName name="Excel_BuiltIn_Extract_1_1">NA()</definedName>
    <definedName name="Excel_BuiltIn_Extract_11">#REF!</definedName>
    <definedName name="Excel_BuiltIn_Extract_2">#REF!</definedName>
    <definedName name="Excel_BuiltIn_Extract_4">#REF!</definedName>
    <definedName name="Excel_BuiltIn_Extract_5">#REF!</definedName>
    <definedName name="Excel_BuiltIn_Extract_7">#REF!</definedName>
    <definedName name="Excel_BuiltIn_Extract_9">#REF!</definedName>
    <definedName name="Excel_BuiltIn_Print_Area">#REF!</definedName>
    <definedName name="Excel_BuiltIn_Print_Area_0">#REF!</definedName>
    <definedName name="Excel_BuiltIn_Print_Area_0_7">#REF!</definedName>
    <definedName name="Excel_BuiltIn_Print_Area_1">#REF!</definedName>
    <definedName name="Excel_BuiltIn_Print_Area_1_1">"#REF!"</definedName>
    <definedName name="Excel_BuiltIn_Print_Area_1_1___0">"$#REF!.$A$1:$G$11"</definedName>
    <definedName name="Excel_BuiltIn_Print_Area_1_1_1">#REF!</definedName>
    <definedName name="Excel_BuiltIn_Print_Area_1_1_1_1">#REF!</definedName>
    <definedName name="Excel_BuiltIn_Print_Area_1_1_1_1_1">#REF!</definedName>
    <definedName name="Excel_BuiltIn_Print_Area_1_1_1_1_1_1">#REF!</definedName>
    <definedName name="Excel_BuiltIn_Print_Area_1_1_1_1_1_1_1">"#REF!"</definedName>
    <definedName name="Excel_BuiltIn_Print_Area_1_1_1_1_1_1_1_1">"#REF!"</definedName>
    <definedName name="Excel_BuiltIn_Print_Area_1_1_1_1_1_1_1_1_1">"#REF!"</definedName>
    <definedName name="Excel_BuiltIn_Print_Area_1_1_1_1_1_1_1_1_1_1">"#REF!"</definedName>
    <definedName name="Excel_BuiltIn_Print_Area_1_1_1_1_1_1_1_1_1_1_1">"#REF!"</definedName>
    <definedName name="Excel_BuiltIn_Print_Area_1_1_1_1_1_1_1_1_1_1_1_1">"#REF!"</definedName>
    <definedName name="Excel_BuiltIn_Print_Area_1_1_1_1_1_1_1_1_1_1_1_1_1">"#REF!"</definedName>
    <definedName name="Excel_BuiltIn_Print_Area_1_1_1_1_1_1_1_1_1_1_1_1_1_1">"#REF!"</definedName>
    <definedName name="Excel_BuiltIn_Print_Area_1_1_1_1_1_1_1_1_1_1_1_1_1_1_1">"#REF!"</definedName>
    <definedName name="Excel_BuiltIn_Print_Area_1_1_1_1_1_1_1_1_1_1_1_1_1_1_1_1">"#REF!"</definedName>
    <definedName name="Excel_BuiltIn_Print_Area_1_1_1_1_1_1_1_1_1_1_1_1_1_1_1_1_1">"#REF!"</definedName>
    <definedName name="Excel_BuiltIn_Print_Area_1_1_1_1_1_1_1_1_1_1_1_1_1_1_1_1_1_1">"#REF!"</definedName>
    <definedName name="Excel_BuiltIn_Print_Area_1_1_1_1_1_1_1_1_1_1_1_1_1_1_1_1_1_1_1">"#REF!"</definedName>
    <definedName name="Excel_BuiltIn_Print_Area_1_1_1_1_1_1_1_1_1_1_1_1_1_1_1_1_1_1_1_1">"#REF!"</definedName>
    <definedName name="Excel_BuiltIn_Print_Area_1_1_1_1_1_1_1_1_1_1_1_1_1_1_1_1_1_1_1_1_1">"#REF!"</definedName>
    <definedName name="Excel_BuiltIn_Print_Area_1_1_1_1_1_1_1_1_1_1_1_1_1_1_1_1_1_1_1_1_1_1">"#REF!"</definedName>
    <definedName name="Excel_BuiltIn_Print_Area_1_1_1_1_1_1_1_1_1_1_1_1_1_1_1_1_1_1_1_1_1_1_1">"#REF!"</definedName>
    <definedName name="Excel_BuiltIn_Print_Area_1_1_1_1_1_1_1_1_1_1_1_1_1_1_1_1_1_1_1_1_1_1_1_1">"#REF!"</definedName>
    <definedName name="Excel_BuiltIn_Print_Area_1_1_1_1_1_1_1_1_1_1_1_1_1_1_1_1_1_1_1_1_1_1_1_1_1">"#REF!"</definedName>
    <definedName name="Excel_BuiltIn_Print_Area_1_1_1_1_1_1_1_1_1_1_1_1_1_1_1_1_1_1_1_1_1_1_1_1_1_1">"#REF!"</definedName>
    <definedName name="Excel_BuiltIn_Print_Area_1_1_1_1_1_1_1_1_1_1_1_1_1_1_1_1_1_1_1_1_1_1_1_1_1_1_1">"#REF!"</definedName>
    <definedName name="Excel_BuiltIn_Print_Area_1_1_1_1_1_1_1_1_1_1_1_1_1_1_1_1_1_1_1_1_1_1_1_1_1_1_1_1">"#REF!"</definedName>
    <definedName name="Excel_BuiltIn_Print_Area_1_1_1_1_1_1_1_1_1_1_1_1_1_1_1_1_1_1_1_1_1_1_1_1_1_1_1_1_1">"#REF!"</definedName>
    <definedName name="Excel_BuiltIn_Print_Area_1_1_1_1_1_1_1_1_1_1_1_1_1_1_1_1_1_1_1_1_1_1_1_1_1_1_1_1_1_1">"#REF!"</definedName>
    <definedName name="Excel_BuiltIn_Print_Area_1_1_1_1_1_1_1_1_1_1_1_1_1_1_1_1_1_1_1_1_1_1_1_1_1_1_1_2">"#REF!"</definedName>
    <definedName name="Excel_BuiltIn_Print_Area_1_1_1_1_1_1_1_1_1_1_1_1_1_1_1_1_1_1_1_1_1_1_1_1_1_1_2">"#REF!"</definedName>
    <definedName name="Excel_BuiltIn_Print_Area_1_1_1_1_1_1_1_1_1_1_1_1_1_1_1_1_1_1_1_1_1_1_1_1_1_2">"#REF!"</definedName>
    <definedName name="Excel_BuiltIn_Print_Area_1_1_1_1_1_1_1_1_1_1_1_1_1_1_1_1_1_1_1_1_1_1_1_1_2">"#REF!"</definedName>
    <definedName name="Excel_BuiltIn_Print_Area_1_1_1_1_1_1_1_1_1_1_1_1_1_1_1_1_1_1_1_1_1_1_1_2">"#REF!"</definedName>
    <definedName name="Excel_BuiltIn_Print_Area_1_1_1_1_1_1_1_1_1_1_1_1_1_1_1_1_1_1_1_1_1_1_2">"#REF!"</definedName>
    <definedName name="Excel_BuiltIn_Print_Area_1_1_1_1_1_1_1_1_1_1_1_1_1_1_1_1_1_1_1_1_1_1_2_1">"#REF!"</definedName>
    <definedName name="Excel_BuiltIn_Print_Area_1_1_1_1_1_1_1_1_1_1_1_1_1_1_1_1_1_1_1_1_1_1_2_2">"#REF!"</definedName>
    <definedName name="Excel_BuiltIn_Print_Area_1_1_1_1_1_1_1_1_1_1_1_1_1_1_1_1_1_1_1_1_1_1_2_2_1">"#REF!"</definedName>
    <definedName name="Excel_BuiltIn_Print_Area_1_1_1_1_1_1_1_1_1_1_1_1_1_1_1_1_1_1_1_1_1_1_2_2_2">"#REF!"</definedName>
    <definedName name="Excel_BuiltIn_Print_Area_1_1_1_1_1_1_1_1_1_1_1_1_1_1_1_1_1_1_1_1_1_1_2_2_2_1">"#REF!"</definedName>
    <definedName name="Excel_BuiltIn_Print_Area_1_1_1_1_1_1_1_1_1_1_1_1_1_1_1_1_1_1_1_1_1_1_2_2_2_1_1">"#REF!"</definedName>
    <definedName name="Excel_BuiltIn_Print_Area_1_1_1_1_1_1_1_1_1_1_1_1_1_1_1_1_1_1_1_1_1_1_2_2_2_1_2">"#REF!"</definedName>
    <definedName name="Excel_BuiltIn_Print_Area_1_1_1_1_1_1_1_1_1_1_1_1_1_1_1_1_1_1_1_1_1_1_2_2_2_2">"#REF!"</definedName>
    <definedName name="Excel_BuiltIn_Print_Area_1_1_1_1_1_1_1_1_1_1_1_1_1_1_1_1_1_1_1_1_1_1_2_2_2_2_1">"#REF!"</definedName>
    <definedName name="Excel_BuiltIn_Print_Area_1_1_1_1_1_1_1_1_1_1_1_1_1_1_1_1_1_1_1_1_1_1_2_2_2_2_2">"#REF!"</definedName>
    <definedName name="Excel_BuiltIn_Print_Area_1_1_1_1_1_1_1_1_1_1_1_1_1_1_1_1_1_1_1_1_1_1_2_2_2_2_2_1">"#REF!"</definedName>
    <definedName name="Excel_BuiltIn_Print_Area_1_1_1_1_1_1_1_1_1_1_1_1_1_1_1_1_1_1_1_1_1_1_2_2_2_2_2_2">"#REF!"</definedName>
    <definedName name="Excel_BuiltIn_Print_Area_1_1_1_1_1_1_1_1_1_1_1_1_1_1_1_1_1_1_1_1_1_1_2_2_2_2_2_2_1">"#REF!"</definedName>
    <definedName name="Excel_BuiltIn_Print_Area_1_1_1_1_1_1_1_1_1_1_1_1_1_1_1_1_1_1_1_1_1_1_2_2_2_2_2_2_2">"#REF!"</definedName>
    <definedName name="Excel_BuiltIn_Print_Area_1_1_1_1_1_1_1_1_1_1_1_1_1_1_1_1_1_1_1_1_1_1_2_2_2_2_2_2_2_1">"#REF!"</definedName>
    <definedName name="Excel_BuiltIn_Print_Area_1_1_1_1_1_1_1_1_1_1_1_1_1_1_1_1_1_1_1_1_1_1_2_2_2_2_2_2_2_2">"#REF!"</definedName>
    <definedName name="Excel_BuiltIn_Print_Area_1_1_1_1_1_1_1_1_1_1_1_1_1_1_1_1_1_1_1_1_1_1_2_2_2_2_2_2_2_2_1">"#REF!"</definedName>
    <definedName name="Excel_BuiltIn_Print_Area_1_1_1_1_1_1_1_1_1_1_1_1_1_1_1_1_1_1_1_1_1_1_2_2_2_2_2_2_2_2_2">"#REF!"</definedName>
    <definedName name="Excel_BuiltIn_Print_Area_1_1_1_1_1_1_1_1_1_1_1_1_1_1_1_1_1_1_1_1_1_1_2_2_2_2_3">"#REF!"</definedName>
    <definedName name="Excel_BuiltIn_Print_Area_1_1_1_1_1_1_1_1_1_1_1_1_1_1_1_1_1_1_1_1_1_1_2_2_2_2_3_1">"#REF!"</definedName>
    <definedName name="Excel_BuiltIn_Print_Area_1_1_1_1_1_1_1_1_1_1_1_1_1_1_1_1_1_1_1_1_1_1_2_2_3">"#REF!"</definedName>
    <definedName name="Excel_BuiltIn_Print_Area_1_1_1_1_1_1_1_1_1_1_1_1_1_1_1_1_1_1_1_1_1_1_2_2_3_1">"#REF!"</definedName>
    <definedName name="Excel_BuiltIn_Print_Area_1_1_1_1_1_1_1_1_1_1_1_1_1_1_1_1_1_1_1_1_1_2">"#REF!"</definedName>
    <definedName name="Excel_BuiltIn_Print_Area_1_1_1_1_1_1_1_1_1_1_1_1_1_1_1_1_1_1_1_1_2">"#REF!"</definedName>
    <definedName name="Excel_BuiltIn_Print_Area_1_1_1_1_1_1_1_1_1_1_1_1_1_1_1_1_1_1_1_2">"#REF!"</definedName>
    <definedName name="Excel_BuiltIn_Print_Area_1_1_1_1_1_1_1_1_1_1_1_1_1_1_1_1_1_1_2">"#REF!"</definedName>
    <definedName name="Excel_BuiltIn_Print_Area_1_1_1_1_1_1_1_1_1_1_1_1_1_1_1_1_1_2">"#REF!"</definedName>
    <definedName name="Excel_BuiltIn_Print_Area_1_1_1_1_1_1_1_1_1_1_1_1_1_1_1_1_2">"#REF!"</definedName>
    <definedName name="Excel_BuiltIn_Print_Area_1_1_1_1_1_1_1_1_1_1_1_1_1_1_1_2">"#REF!"</definedName>
    <definedName name="Excel_BuiltIn_Print_Area_1_1_1_1_1_1_1_1_1_1_1_1_1_1_2">"#REF!"</definedName>
    <definedName name="Excel_BuiltIn_Print_Area_1_1_1_1_1_1_1_1_1_1_1_1_1_2">"#REF!"</definedName>
    <definedName name="Excel_BuiltIn_Print_Area_1_1_1_1_1_1_1_1_1_1_1_1_2">"#REF!"</definedName>
    <definedName name="Excel_BuiltIn_Print_Area_1_1_1_1_1_1_1_1_1_1_1_2">"#REF!"</definedName>
    <definedName name="Excel_BuiltIn_Print_Area_1_1_1_1_1_1_1_1_1_1_2">"#REF!"</definedName>
    <definedName name="Excel_BuiltIn_Print_Area_1_1_1_1_1_1_1_1_1_2">"#REF!"</definedName>
    <definedName name="Excel_BuiltIn_Print_Area_1_1_1_1_1_1_1_1_2">"#REF!"</definedName>
    <definedName name="Excel_BuiltIn_Print_Area_1_1_1_1_1_1_1_2">"#REF!"</definedName>
    <definedName name="Excel_BuiltIn_Print_Area_1_1_1_1_1_1_2">"#REF!"</definedName>
    <definedName name="Excel_BuiltIn_Print_Area_1_1_1_1_1_2">"#REF!"</definedName>
    <definedName name="Excel_BuiltIn_Print_Area_1_1_1_1_2">"#REF!"</definedName>
    <definedName name="Excel_BuiltIn_Print_Area_1_1_1_1_2_1">"#REF!"</definedName>
    <definedName name="Excel_BuiltIn_Print_Area_1_1_1_1_2_2">"#REF!"</definedName>
    <definedName name="Excel_BuiltIn_Print_Area_1_1_1_2">"#REF!"</definedName>
    <definedName name="Excel_BuiltIn_Print_Area_1_1_1_2_1">"#REF!"</definedName>
    <definedName name="Excel_BuiltIn_Print_Area_1_1_1_2_2">"#REF!"</definedName>
    <definedName name="Excel_BuiltIn_Print_Area_1_1_1_3">"#REF!"</definedName>
    <definedName name="Excel_BuiltIn_Print_Area_1_1_1_3_1">"#REF!"</definedName>
    <definedName name="Excel_BuiltIn_Print_Area_1_1_2">"#REF!"</definedName>
    <definedName name="Excel_BuiltIn_Print_Area_1_1_2_1">"#REF!"</definedName>
    <definedName name="Excel_BuiltIn_Print_Area_1_2">#REF!</definedName>
    <definedName name="Excel_BuiltIn_Print_Area_10">#REF!</definedName>
    <definedName name="Excel_BuiltIn_Print_Area_10_1">#REF!</definedName>
    <definedName name="Excel_BuiltIn_Print_Area_10_1_1">#REF!</definedName>
    <definedName name="Excel_BuiltIn_Print_Area_11">#REF!</definedName>
    <definedName name="Excel_BuiltIn_Print_Area_11_1">#REF!</definedName>
    <definedName name="Excel_BuiltIn_Print_Area_11_1_1">#REF!</definedName>
    <definedName name="Excel_BuiltIn_Print_Area_11_1_1_1">#REF!</definedName>
    <definedName name="Excel_BuiltIn_Print_Area_12">#REF!</definedName>
    <definedName name="Excel_BuiltIn_Print_Area_12_1">#REF!</definedName>
    <definedName name="Excel_BuiltIn_Print_Area_12_1_1">#REF!</definedName>
    <definedName name="Excel_BuiltIn_Print_Area_12_1_1_1">#REF!</definedName>
    <definedName name="Excel_BuiltIn_Print_Area_13">#REF!</definedName>
    <definedName name="Excel_BuiltIn_Print_Area_13_1">#REF!</definedName>
    <definedName name="Excel_BuiltIn_Print_Area_13_1_1">#REF!</definedName>
    <definedName name="Excel_BuiltIn_Print_Area_13_1_1_1">#REF!</definedName>
    <definedName name="Excel_BuiltIn_Print_Area_13_1_1_1_1">#REF!</definedName>
    <definedName name="Excel_BuiltIn_Print_Area_13_1_1_1_1_1">#REF!</definedName>
    <definedName name="Excel_BuiltIn_Print_Area_14">#REF!</definedName>
    <definedName name="Excel_BuiltIn_Print_Area_14_1">#REF!</definedName>
    <definedName name="Excel_BuiltIn_Print_Area_14_1_1">#REF!</definedName>
    <definedName name="Excel_BuiltIn_Print_Area_14_1_1_1">#REF!</definedName>
    <definedName name="Excel_BuiltIn_Print_Area_14_1_1_1_1">#REF!</definedName>
    <definedName name="Excel_BuiltIn_Print_Area_15">#REF!</definedName>
    <definedName name="Excel_BuiltIn_Print_Area_15_1">#REF!</definedName>
    <definedName name="Excel_BuiltIn_Print_Area_16">#REF!</definedName>
    <definedName name="Excel_BuiltIn_Print_Area_16_1">#REF!</definedName>
    <definedName name="Excel_BuiltIn_Print_Area_16_1_1">#REF!</definedName>
    <definedName name="Excel_BuiltIn_Print_Area_17">#REF!</definedName>
    <definedName name="Excel_BuiltIn_Print_Area_18">#REF!</definedName>
    <definedName name="Excel_BuiltIn_Print_Area_18_1">#REF!</definedName>
    <definedName name="Excel_BuiltIn_Print_Area_18_1_1">#REF!</definedName>
    <definedName name="Excel_BuiltIn_Print_Area_19">#REF!</definedName>
    <definedName name="Excel_BuiltIn_Print_Area_19_1">#REF!</definedName>
    <definedName name="Excel_BuiltIn_Print_Area_19_1_1">#REF!</definedName>
    <definedName name="Excel_BuiltIn_Print_Area_2">"#REF!"</definedName>
    <definedName name="Excel_BuiltIn_Print_Area_2___2">#REF!</definedName>
    <definedName name="Excel_BuiltIn_Print_Area_2_1">"#REF!"</definedName>
    <definedName name="Excel_BuiltIn_Print_Area_2_1_1">#REF!</definedName>
    <definedName name="Excel_BuiltIn_Print_Area_2_1_1_2">"#REF!"</definedName>
    <definedName name="Excel_BuiltIn_Print_Area_2_1_1_2_1">"#REF!"</definedName>
    <definedName name="Excel_BuiltIn_Print_Area_2_1_1_2_2">"#REF!"</definedName>
    <definedName name="Excel_BuiltIn_Print_Area_2_1_1_2_2_1">"#REF!"</definedName>
    <definedName name="Excel_BuiltIn_Print_Area_2_1_1_2_2_2">"#REF!"</definedName>
    <definedName name="Excel_BuiltIn_Print_Area_2_1_1_2_2_2_1">"#REF!"</definedName>
    <definedName name="Excel_BuiltIn_Print_Area_2_1_1_2_2_2_1_1">"#REF!"</definedName>
    <definedName name="Excel_BuiltIn_Print_Area_2_1_1_2_2_2_1_2">"#REF!"</definedName>
    <definedName name="Excel_BuiltIn_Print_Area_2_1_1_2_2_2_2">"#REF!"</definedName>
    <definedName name="Excel_BuiltIn_Print_Area_2_1_1_2_2_2_2_1">"#REF!"</definedName>
    <definedName name="Excel_BuiltIn_Print_Area_2_1_1_2_2_2_2_2">"#REF!"</definedName>
    <definedName name="Excel_BuiltIn_Print_Area_2_1_1_2_2_2_2_2_1">"#REF!"</definedName>
    <definedName name="Excel_BuiltIn_Print_Area_2_1_1_2_2_2_2_2_2">"#REF!"</definedName>
    <definedName name="Excel_BuiltIn_Print_Area_2_1_1_2_2_2_2_2_2_1">"#REF!"</definedName>
    <definedName name="Excel_BuiltIn_Print_Area_2_1_1_2_2_2_2_2_2_2">"#REF!"</definedName>
    <definedName name="Excel_BuiltIn_Print_Area_2_1_1_2_2_2_2_2_2_2_1">"#REF!"</definedName>
    <definedName name="Excel_BuiltIn_Print_Area_2_1_1_2_2_2_2_2_2_2_2">"#REF!"</definedName>
    <definedName name="Excel_BuiltIn_Print_Area_2_1_1_2_2_2_2_2_2_2_2_1">"#REF!"</definedName>
    <definedName name="Excel_BuiltIn_Print_Area_2_1_1_2_2_2_2_3">"#REF!"</definedName>
    <definedName name="Excel_BuiltIn_Print_Area_2_1_1_2_2_2_2_3_1">"#REF!"</definedName>
    <definedName name="Excel_BuiltIn_Print_Area_2_1_1_2_2_3">"#REF!"</definedName>
    <definedName name="Excel_BuiltIn_Print_Area_2_1_1_2_2_3_1">"#REF!"</definedName>
    <definedName name="Excel_BuiltIn_Print_Area_2_1_2">"#REF!"</definedName>
    <definedName name="Excel_BuiltIn_Print_Area_2_1_2_1">"#REF!"</definedName>
    <definedName name="Excel_BuiltIn_Print_Area_2_1_2_2">"#REF!"</definedName>
    <definedName name="Excel_BuiltIn_Print_Area_2_1_2_2_1">"#REF!"</definedName>
    <definedName name="Excel_BuiltIn_Print_Area_2_1_2_2_2">"#REF!"</definedName>
    <definedName name="Excel_BuiltIn_Print_Area_2_1_2_2_2_1">"#REF!"</definedName>
    <definedName name="Excel_BuiltIn_Print_Area_2_1_2_2_2_1_1">"#REF!"</definedName>
    <definedName name="Excel_BuiltIn_Print_Area_2_1_2_2_2_1_2">"#REF!"</definedName>
    <definedName name="Excel_BuiltIn_Print_Area_2_1_2_2_2_2">"#REF!"</definedName>
    <definedName name="Excel_BuiltIn_Print_Area_2_1_2_2_2_2_1">"#REF!"</definedName>
    <definedName name="Excel_BuiltIn_Print_Area_2_1_2_2_2_2_2">"#REF!"</definedName>
    <definedName name="Excel_BuiltIn_Print_Area_2_1_2_2_2_2_2_1">"#REF!"</definedName>
    <definedName name="Excel_BuiltIn_Print_Area_2_1_2_2_2_2_2_2">"#REF!"</definedName>
    <definedName name="Excel_BuiltIn_Print_Area_2_1_2_2_2_2_2_2_1">"#REF!"</definedName>
    <definedName name="Excel_BuiltIn_Print_Area_2_1_2_2_2_2_2_2_2">"#REF!"</definedName>
    <definedName name="Excel_BuiltIn_Print_Area_2_1_2_2_2_2_2_2_2_1">"#REF!"</definedName>
    <definedName name="Excel_BuiltIn_Print_Area_2_1_2_2_2_2_2_2_2_2">"#REF!"</definedName>
    <definedName name="Excel_BuiltIn_Print_Area_2_1_2_2_2_2_2_2_2_2_1">"#REF!"</definedName>
    <definedName name="Excel_BuiltIn_Print_Area_2_1_2_2_2_2_3">"#REF!"</definedName>
    <definedName name="Excel_BuiltIn_Print_Area_2_1_2_2_2_2_3_1">"#REF!"</definedName>
    <definedName name="Excel_BuiltIn_Print_Area_2_1_2_2_3">"#REF!"</definedName>
    <definedName name="Excel_BuiltIn_Print_Area_2_1_2_2_3_1">"#REF!"</definedName>
    <definedName name="Excel_BuiltIn_Print_Area_20">#REF!</definedName>
    <definedName name="Excel_BuiltIn_Print_Area_20_1">#REF!</definedName>
    <definedName name="Excel_BuiltIn_Print_Area_20_1_1">#REF!</definedName>
    <definedName name="Excel_BuiltIn_Print_Area_20_1_1_1">#REF!</definedName>
    <definedName name="Excel_BuiltIn_Print_Area_21">#REF!</definedName>
    <definedName name="Excel_BuiltIn_Print_Area_21_1">#REF!</definedName>
    <definedName name="Excel_BuiltIn_Print_Area_22">#REF!</definedName>
    <definedName name="Excel_BuiltIn_Print_Area_22_1">#REF!</definedName>
    <definedName name="Excel_BuiltIn_Print_Area_24_1">#REF!</definedName>
    <definedName name="Excel_BuiltIn_Print_Area_25_1_1">#REF!</definedName>
    <definedName name="Excel_BuiltIn_Print_Area_26_1_1_1_1">#REF!</definedName>
    <definedName name="Excel_BuiltIn_Print_Area_3">#REF!</definedName>
    <definedName name="Excel_BuiltIn_Print_Area_3___0">"$#REF!.$A$3:$L$30"</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_1_1_1_1_1">#REF!</definedName>
    <definedName name="Excel_BuiltIn_Print_Area_3_1_1_1_1_1_1_1_1_1_1_1">#REF!</definedName>
    <definedName name="Excel_BuiltIn_Print_Area_3_1_1_1_1_1_1_1_1_1_1_1_1">#REF!</definedName>
    <definedName name="Excel_BuiltIn_Print_Area_3_1_1_1_1_1_1_1_1_1_1_1_1_1">#REF!</definedName>
    <definedName name="Excel_BuiltIn_Print_Area_3_1_1_1_1_1_1_1_1_1_1_1_1_1_1">#REF!</definedName>
    <definedName name="Excel_BuiltIn_Print_Area_3_1_1_1_1_1_1_1_1_1_1_1_1_1_1_1">#REF!</definedName>
    <definedName name="Excel_BuiltIn_Print_Area_3_1_1_1_1_1_1_1_1_1_1_1_1_1_1_1_1">#REF!</definedName>
    <definedName name="Excel_BuiltIn_Print_Area_3_1_1_1_1_1_1_1_1_1_1_1_1_1_1_1_1_1">#REF!</definedName>
    <definedName name="Excel_BuiltIn_Print_Area_3_1_1_1_1_1_1_1_1_1_1_1_1_1_1_1_1_1_1">#REF!</definedName>
    <definedName name="Excel_BuiltIn_Print_Area_3_1_1_1_1_1_1_1_1_1_1_1_1_1_1_1_1_1_1_1">#REF!</definedName>
    <definedName name="Excel_BuiltIn_Print_Area_3_1_1_1_1_1_1_1_1_1_1_1_1_1_1_1_1_1_1_1_1">#REF!</definedName>
    <definedName name="Excel_BuiltIn_Print_Area_3_1_1_1_1_1_1_1_1_1_1_1_1_1_1_1_1_1_1_1_1_1">#REF!</definedName>
    <definedName name="Excel_BuiltIn_Print_Area_3_1_1_1_1_1_1_1_1_1_1_1_1_1_1_1_1_1_1_1_1_1_1">#REF!</definedName>
    <definedName name="Excel_BuiltIn_Print_Area_3_1_1_1_1_1_1_1_1_1_1_1_1_1_1_1_1_1_1_1_1_1_1_1">#REF!</definedName>
    <definedName name="Excel_BuiltIn_Print_Area_3_1_1_1_1_1_1_1_1_1_1_1_1_1_1_1_1_1_1_1_1_1_1_1_1">#REF!</definedName>
    <definedName name="Excel_BuiltIn_Print_Area_3_1_1_1_1_1_1_1_1_1_1_1_1_1_1_1_1_1_1_1_1_1_1_1_1_1">#REF!</definedName>
    <definedName name="Excel_BuiltIn_Print_Area_3_1_1_1_1_1_1_1_1_1_1_1_1_1_1_1_1_1_1_1_1_1_1_1_1_1_1">#REF!</definedName>
    <definedName name="Excel_BuiltIn_Print_Area_3_1_1_1_1_1_1_1_1_1_1_1_1_1_1_1_1_1_1_1_1_1_1_1_1_1_1_1">#REF!</definedName>
    <definedName name="Excel_BuiltIn_Print_Area_3_1_1_1_1_1_1_1_1_1_1_1_1_1_1_1_1_1_1_1_1_1_1_1_1_1_1_1_1">#REF!</definedName>
    <definedName name="Excel_BuiltIn_Print_Area_3_1_1_1_1_1_1_1_1_1_1_1_1_1_1_1_1_1_1_1_1_1_1_1_1_1_1_1_1_1">#REF!</definedName>
    <definedName name="Excel_BuiltIn_Print_Area_3_1_1_1_1_1_1_1_1_1_1_1_1_1_1_1_1_1_1_1_1_1_1_1_1_1_1_1_1_1_1">#REF!</definedName>
    <definedName name="Excel_BuiltIn_Print_Area_3_1_1_1_1_1_1_1_1_1_1_1_1_1_1_1_1_1_1_1_1_1_1_1_1_1_1_1_1_1_1_1">#REF!</definedName>
    <definedName name="Excel_BuiltIn_Print_Area_3_1_1_1_1_1_1_1_1_1_1_1_1_1_1_1_1_1_1_1_1_1_1_1_1_1_1_1_1_1_1_1_1">#REF!</definedName>
    <definedName name="Excel_BuiltIn_Print_Area_3_1_1_1_1_1_1_1_1_1_1_1_1_1_1_1_1_1_1_1_1_1_1_1_1_1_1_1_1_1_1_1_1_1">#REF!</definedName>
    <definedName name="Excel_BuiltIn_Print_Area_3_1_1_1_1_1_1_1_1_1_1_1_1_1_1_1_1_1_1_1_1_1_1_1_1_1_1_1_1_1_1_1_1_1_1">#REF!</definedName>
    <definedName name="Excel_BuiltIn_Print_Area_3_1_1_1_1_1_1_1_1_1_1_1_1_1_1_1_1_1_1_1_1_1_1_1_1_1_1_1_1_1_1_1_1_1_1_1">#REF!</definedName>
    <definedName name="Excel_BuiltIn_Print_Area_3_1_1_1_1_1_1_1_1_1_1_1_1_1_1_1_1_1_1_1_1_1_1_1_1_1_1_1_1_1_1_1_1_1_1_1_1">#REF!</definedName>
    <definedName name="Excel_BuiltIn_Print_Area_3_1_1_1_1_1_1_1_1_1_1_1_1_1_1_1_1_1_1_1_1_1_1_1_1_1_1_1_1_1_1_1_1_1_1_1_1_1">#REF!</definedName>
    <definedName name="Excel_BuiltIn_Print_Area_3_1_1_1_1_1_1_1_1_1_1_1_1_1_1_1_1_1_1_1_1_1_1_1_1_1_1_1_1_1_1_1_1_1_1_1_1_1_1">#REF!</definedName>
    <definedName name="Excel_BuiltIn_Print_Area_3_1_1_1_1_1_1_1_1_1_1_1_1_1_1_1_1_1_1_1_1_1_1_1_1_1_1_1_1_1_1_1_1_1_1_1_1_1_1_1">#REF!</definedName>
    <definedName name="Excel_BuiltIn_Print_Area_3_1_1_1_1_1_1_1_1_1_1_1_1_1_1_1_1_1_1_1_1_1_1_1_1_1_1_1_1_1_1_1_1_1_1_1_1_1_1_1_1">#REF!</definedName>
    <definedName name="Excel_BuiltIn_Print_Area_3_1_1_1_1_1_1_1_1_1_1_1_1_1_1_1_1_1_1_1_1_1_1_1_1_1_1_1_1_1_1_1_1_1_1_1_1_1_1_1_1_1">#REF!</definedName>
    <definedName name="Excel_BuiltIn_Print_Area_3_1_1_1_1_1_1_1_1_1_1_1_1_1_1_1_1_1_1_1_1_1_1_1_1_1_1_1_1_1_1_1_1_1_1_1_1_1_1_1_1_1_1">#REF!</definedName>
    <definedName name="Excel_BuiltIn_Print_Area_3_1_1_1_1_1_1_1_1_1_1_1_1_1_1_1_1_1_1_1_1_1_1_1_1_1_1_1_1_1_1_1_1_1_1_1_1_1_1_1_1_1_1_1">#REF!</definedName>
    <definedName name="Excel_BuiltIn_Print_Area_3_1_1_1_1_1_1_1_1_1_1_1_1_1_1_1_1_1_1_1_1_1_1_1_1_1_1_1_1_1_1_1_1_1_1_1_1_1_1_1_1_1_1_1_1">#REF!</definedName>
    <definedName name="Excel_BuiltIn_Print_Area_3_1_1_1_1_1_1_1_1_1_1_1_1_1_1_1_1_1_1_1_1_1_1_1_1_1_1_1_1_1_1_1_1_1_1_1_1_1_1_1_1_1_1_1_1_1">#REF!</definedName>
    <definedName name="Excel_BuiltIn_Print_Area_3_1_1_1_1_1_1_1_1_1_1_1_1_1_1_1_1_1_1_1_1_1_1_1_1_1_1_1_1_1_1_1_1_1_1_1_1_1_1_1_1_1_1_1_1_1_1">#REF!</definedName>
    <definedName name="Excel_BuiltIn_Print_Area_3_1_1_1_1_1_1_1_1_1_1_1_1_1_1_1_1_1_1_1_1_1_1_1_1_1_1_1_1_1_1_1_1_1_1_1_1_1_1_1_1_1_1_1_1_1_1_1">#REF!</definedName>
    <definedName name="Excel_BuiltIn_Print_Area_3_1_1_1_1_1_1_1_1_1_1_1_1_1_1_1_1_1_1_1_1_1_1_1_1_1_1_1_1_1_1_1_1_1_1_1_1_1_1_1_1_1_1_1_1_1_1_1_1">#REF!</definedName>
    <definedName name="Excel_BuiltIn_Print_Area_3_1_1_1_1_1_1_1_1_1_1_1_1_1_1_1_1_1_1_1_1_1_1_1_1_1_1_1_1_1_1_1_1_1_1_1_1_1_1_1_1_1_1_1_1_1_1_1_1_1">#REF!</definedName>
    <definedName name="Excel_BuiltIn_Print_Area_3_1_1_1_1_1_1_1_1_1_1_1_1_1_1_1_1_1_1_1_1_1_1_1_1_1_1_1_1_1_1_1_1_1_1_1_1_1_1_1_1_1_1_1_1_1_1_1_1_1_1">#REF!</definedName>
    <definedName name="Excel_BuiltIn_Print_Area_3_1_1_1_1_1_1_1_1_1_1_1_1_1_1_1_1_1_1_1_1_1_1_1_1_1_1_1_1_1_1_1_1_1_1_1_1_1_1_1_1_1_1_1_1_1_1_1_1_1_1_1">#REF!</definedName>
    <definedName name="Excel_BuiltIn_Print_Area_3_1_1_1_1_1_1_1_1_1_1_1_1_1_1_1_1_1_1_1_1_1_1_1_1_1_1_1_1_1_1_1_1_1_1_1_1_1_1_1_1_1_1_1_1_1_1_1_1_1_1_1_1">#REF!</definedName>
    <definedName name="Excel_BuiltIn_Print_Area_3_1_1_1_1_1_1_1_1_1_1_1_1_1_1_1_1_1_1_1_1_1_1_1_1_1_1_1_1_1_1_1_1_1_1_1_1_1_1_1_1_1_1_1_1_1_1_1_1_1_1_1_1_1">#REF!</definedName>
    <definedName name="Excel_BuiltIn_Print_Area_3_1_1_1_1_1_1_1_1_1_1_1_1_1_1_1_1_1_1_1_1_1_1_1_1_1_1_1_1_1_1_1_1_1_1_1_1_1_1_1_1_1_1_1_1_1_1_1_1_1_1_1_1_1_1">#REF!</definedName>
    <definedName name="Excel_BuiltIn_Print_Area_3_1_1_1_1_1_1_1_1_1_1_1_1_1_1_1_1_1_1_1_1_1_1_1_1_1_1_1_1_1_1_1_1_1_1_1_1_1_1_1_1_1_1_1_1_1_1_1_1_1_1_1_1_1_1_1">#REF!</definedName>
    <definedName name="Excel_BuiltIn_Print_Area_3_1_1_1_1_1_1_1_1_1_1_1_1_1_1_1_1_1_1_1_1_1_1_1_1_1_1_1_1_1_1_1_1_1_1_1_1_1_1_1_1_1_1_1_1_1_1_1_1_1_1_1_1_1_1_1_1">#REF!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2">NA()</definedName>
    <definedName name="Excel_BuiltIn_Print_Area_4_1_1_2">NA()</definedName>
    <definedName name="Excel_BuiltIn_Print_Area_4_1_2">NA()</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Titles">(#REF!,#REF!)</definedName>
    <definedName name="Excel_BuiltIn_Print_Titles_0">#N/A</definedName>
    <definedName name="Excel_BuiltIn_Print_Titles_1">(#REF!,#REF!)</definedName>
    <definedName name="Excel_BuiltIn_Print_Titles_1_1">#REF!</definedName>
    <definedName name="Excel_BuiltIn_Print_Titles_1_1_1">#REF!</definedName>
    <definedName name="Excel_BuiltIn_Print_Titles_1_1_1_1">#REF!</definedName>
    <definedName name="Excel_BuiltIn_Print_Titles_1_1_1_1_1">#REF!</definedName>
    <definedName name="Excel_BuiltIn_Print_Titles_1_1_1_1_1_1">#REF!</definedName>
    <definedName name="Excel_BuiltIn_Print_Titles_1_1_2">#REF!</definedName>
    <definedName name="Excel_BuiltIn_Print_Titles_1_2">#REF!</definedName>
    <definedName name="Excel_BuiltIn_Print_Titles_1_2_1">#REF!</definedName>
    <definedName name="Excel_BuiltIn_Print_Titles_1_2_1_1">#REF!</definedName>
    <definedName name="Excel_BuiltIn_Print_Titles_1_2_1_1_1">#REF!</definedName>
    <definedName name="Excel_BuiltIn_Print_Titles_1_2_1_1_1_1">#REF!</definedName>
    <definedName name="Excel_BuiltIn_Print_Titles_1_2_1_1_1_1_1">#REF!</definedName>
    <definedName name="Excel_BuiltIn_Print_Titles_1_2_1_1_1_1_1_1">#REF!</definedName>
    <definedName name="Excel_BuiltIn_Print_Titles_1_2_1_1_1_1_1_1_1">#REF!</definedName>
    <definedName name="Excel_BuiltIn_Print_Titles_1_3">#REF!</definedName>
    <definedName name="Excel_BuiltIn_Print_Titles_12">#REF!</definedName>
    <definedName name="Excel_BuiltIn_Print_Titles_16">#REF!</definedName>
    <definedName name="Excel_BuiltIn_Print_Titles_2">#REF!</definedName>
    <definedName name="Excel_BuiltIn_Print_Titles_2_1">#REF!</definedName>
    <definedName name="Excel_BuiltIn_Print_Titles_2_1_1">#REF!</definedName>
    <definedName name="Excel_BuiltIn_Print_Titles_3">#REF!</definedName>
    <definedName name="Excel_BuiltIn_Print_Titles_3___0">"$#REF!.$A$7:$IT$8"</definedName>
    <definedName name="Excel_BuiltIn_Print_Titles_3_1">(#REF!,#REF!)</definedName>
    <definedName name="Excel_BuiltIn_Print_Titles_3_1_1">(#REF!,#REF!)</definedName>
    <definedName name="Excel_BuiltIn_Print_Titles_4">#REF!</definedName>
    <definedName name="Excel_BuiltIn_Print_Titles_45">#REF!</definedName>
    <definedName name="Excel_BuiltIn_Print_Titles_6">#REF!</definedName>
    <definedName name="Excel_BuiltIn_Print_Titles_7">(#REF!,#REF!)</definedName>
    <definedName name="Excel_BuiltIn_Recorder">#REF!</definedName>
    <definedName name="Excel_BuiltIn_Recorder_1">NA()</definedName>
    <definedName name="Excel_BuiltIn_Recorder_1_1">NA()</definedName>
    <definedName name="EXCEPT_FILE">#REF!</definedName>
    <definedName name="EXCEPT_REP">#REF!</definedName>
    <definedName name="Exchange">8025</definedName>
    <definedName name="exchange.rate">#REF!</definedName>
    <definedName name="EXCM">#REF!</definedName>
    <definedName name="EXCM___6">#REF!</definedName>
    <definedName name="EXCVC">#REF!</definedName>
    <definedName name="EXCVC___6">#REF!</definedName>
    <definedName name="EXEC">#REF!</definedName>
    <definedName name="EXGRATIA">#REF!</definedName>
    <definedName name="exhaust">#REF!</definedName>
    <definedName name="EXISTING" hidden="1">#REF!</definedName>
    <definedName name="EXP">#REF!</definedName>
    <definedName name="exp.ln.rpmt">#REF!</definedName>
    <definedName name="exp.wrk">#REF!</definedName>
    <definedName name="exp.wrk.cpy">#REF!</definedName>
    <definedName name="EXP_OUTGO">#REF!</definedName>
    <definedName name="expan" hidden="1">{#N/A,#N/A,TRUE,"GW-Cond";#N/A,#N/A,TRUE,"HW"}</definedName>
    <definedName name="ExpandOutputs">#N/A</definedName>
    <definedName name="ExpandVPeriods">#N/A</definedName>
    <definedName name="expansão">#REF!</definedName>
    <definedName name="expantion">#REF!</definedName>
    <definedName name="Expected_balance">#REF!</definedName>
    <definedName name="Expected_Error_Rate">#REF!</definedName>
    <definedName name="Expense">#REF!</definedName>
    <definedName name="expenses_1">#REF!</definedName>
    <definedName name="EXPIMA">#REF!</definedName>
    <definedName name="EXPIMA___6">#REF!</definedName>
    <definedName name="EXPOLY">#REF!</definedName>
    <definedName name="EXPOLY___6">#REF!</definedName>
    <definedName name="Export">#REF!</definedName>
    <definedName name="Export_SSP_Firm">#REF!</definedName>
    <definedName name="ExportDir">#REF!</definedName>
    <definedName name="ExportFile">#N/A</definedName>
    <definedName name="expt.dbtrs">#REF!</definedName>
    <definedName name="expt.inc">#REF!</definedName>
    <definedName name="exr">#REF!</definedName>
    <definedName name="Exreco">#REF!</definedName>
    <definedName name="EXRT">#REF!</definedName>
    <definedName name="EXRT___6">#REF!</definedName>
    <definedName name="EXRYN">#REF!</definedName>
    <definedName name="EXRYN___6">#REF!</definedName>
    <definedName name="EXTC">#REF!</definedName>
    <definedName name="EXTC___6">#REF!</definedName>
    <definedName name="EXTCOE">#REF!</definedName>
    <definedName name="EXTCOE___6">#REF!</definedName>
    <definedName name="Extr">#REF!</definedName>
    <definedName name="EXTR___6">#REF!</definedName>
    <definedName name="EXTRACCION">#REF!</definedName>
    <definedName name="Extract_MI">#REF!</definedName>
    <definedName name="ExtraordinaryItemsMonth1Actuals">#REF!</definedName>
    <definedName name="ExtraordinaryItemsMonth1Budget">#REF!</definedName>
    <definedName name="ExtraordinaryItemsMonth2Actuals">#REF!</definedName>
    <definedName name="ExtraordinaryItemsMonth2Budget">#REF!</definedName>
    <definedName name="ExtraordinaryItemsMonth3Actuals">#REF!</definedName>
    <definedName name="ExtraordinaryItemsMonth3Budget">#REF!</definedName>
    <definedName name="ExtraordinaryItemsMonth4Actuals">#REF!</definedName>
    <definedName name="ExtraordinaryItemsMonth4Budget">#REF!</definedName>
    <definedName name="ExtraordinaryItemsYTDActuals">#REF!</definedName>
    <definedName name="ExtraordinaryItemsYTDBudget">#REF!</definedName>
    <definedName name="f" hidden="1">{#N/A,#N/A,FALSE,"FlCx99";#N/A,#N/A,FALSE,"Dívida99"}</definedName>
    <definedName name="f_1" hidden="1">{#N/A,#N/A,FALSE,"FlCx99";#N/A,#N/A,FALSE,"Dívida99"}</definedName>
    <definedName name="f_19">#REF!</definedName>
    <definedName name="f_2" hidden="1">{#N/A,#N/A,FALSE,"FlCx99";#N/A,#N/A,FALSE,"Dívida99"}</definedName>
    <definedName name="f_3" hidden="1">{#N/A,#N/A,FALSE,"FlCx99";#N/A,#N/A,FALSE,"Dívida99"}</definedName>
    <definedName name="f_4" hidden="1">{#N/A,#N/A,FALSE,"FlCx99";#N/A,#N/A,FALSE,"Dívida99"}</definedName>
    <definedName name="f_5" hidden="1">{#N/A,#N/A,FALSE,"FlCx99";#N/A,#N/A,FALSE,"Dívida99"}</definedName>
    <definedName name="f_7">#REF!</definedName>
    <definedName name="f_sch5">#REF!</definedName>
    <definedName name="F1_">#REF!</definedName>
    <definedName name="F1_bfy">#REF!</definedName>
    <definedName name="F2_">#REF!</definedName>
    <definedName name="F2Budget">#REF!</definedName>
    <definedName name="F3_v_F2">#REF!</definedName>
    <definedName name="F6A_SPEC">#REF!</definedName>
    <definedName name="FA">#REF!</definedName>
    <definedName name="Factor">#REF!</definedName>
    <definedName name="Factor_48">#REF!</definedName>
    <definedName name="Factor_5">#REF!</definedName>
    <definedName name="Factor_AA">#REF!</definedName>
    <definedName name="Factor_CTA">#REF!</definedName>
    <definedName name="Factor_CTA1">#REF!</definedName>
    <definedName name="Factor_CTA2">#REF!</definedName>
    <definedName name="Factor_DW">#REF!</definedName>
    <definedName name="Factor_FO">#REF!</definedName>
    <definedName name="Factor_FO1">#REF!</definedName>
    <definedName name="Factor_FO2">#REF!</definedName>
    <definedName name="Factor_FO3">#REF!</definedName>
    <definedName name="Factor_H2">#REF!</definedName>
    <definedName name="Factor_H2b">#REF!</definedName>
    <definedName name="Factor_LPSteam">#REF!</definedName>
    <definedName name="Factor_Methil">#REF!</definedName>
    <definedName name="Factor_N2">#REF!</definedName>
    <definedName name="Factor_N2B">#REF!</definedName>
    <definedName name="Factor_N2CTA">#REF!</definedName>
    <definedName name="Factor_N2PTA">#REF!</definedName>
    <definedName name="Factor_pD">#REF!</definedName>
    <definedName name="Factor_W">#REF!</definedName>
    <definedName name="FactorCMB_A">#REF!</definedName>
    <definedName name="FactorCMB_B">#REF!</definedName>
    <definedName name="FACTORES">#REF!</definedName>
    <definedName name="FactorH2">#REF!</definedName>
    <definedName name="FactorHCL">#REF!</definedName>
    <definedName name="FactorN2">#REF!</definedName>
    <definedName name="FactorNG">#REF!</definedName>
    <definedName name="FactorPTA">#REF!</definedName>
    <definedName name="FactorPX_A1">#REF!</definedName>
    <definedName name="FactorPX_B1">#REF!</definedName>
    <definedName name="FactorPX_C1">#REF!</definedName>
    <definedName name="fad" hidden="1">{#N/A,"70% Success",FALSE,"Sales Forecast";#N/A,#N/A,FALSE,"Sheet2"}</definedName>
    <definedName name="fad_1" hidden="1">{#N/A,"70% Success",FALSE,"Sales Forecast";#N/A,#N/A,FALSE,"Sheet2"}</definedName>
    <definedName name="fad_2" hidden="1">{#N/A,"70% Success",FALSE,"Sales Forecast";#N/A,#N/A,FALSE,"Sheet2"}</definedName>
    <definedName name="fad_3" hidden="1">{#N/A,"70% Success",FALSE,"Sales Forecast";#N/A,#N/A,FALSE,"Sheet2"}</definedName>
    <definedName name="fad_4" hidden="1">{#N/A,"70% Success",FALSE,"Sales Forecast";#N/A,#N/A,FALSE,"Sheet2"}</definedName>
    <definedName name="fad_5" hidden="1">{#N/A,"70% Success",FALSE,"Sales Forecast";#N/A,#N/A,FALSE,"Sheet2"}</definedName>
    <definedName name="fadfs" hidden="1">#REF!</definedName>
    <definedName name="fads" hidden="1">#REF!</definedName>
    <definedName name="far_aug98">#REF!</definedName>
    <definedName name="FARange">#REF!</definedName>
    <definedName name="FARange_31">#REF!</definedName>
    <definedName name="FARange_33">#REF!</definedName>
    <definedName name="FARange_4">#REF!</definedName>
    <definedName name="FARUPEES">#REF!</definedName>
    <definedName name="FAS"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FASDF" hidden="1">{"Financial Performance_SP",#N/A,FALSE,"Fin Perf(Sp)";"Operational Indicators_SP",#N/A,FALSE,"Op Ind(sp)";"Resources Utilisation_SP",#N/A,FALSE,"ResUtil (Sp)"}</definedName>
    <definedName name="FATOR_K">#REF!</definedName>
    <definedName name="FATOR_K2">#REF!</definedName>
    <definedName name="Fax">#REF!</definedName>
    <definedName name="fb" hidden="1">{#N/A,#N/A,FALSE,"A"}</definedName>
    <definedName name="FB1_MAY99">#REF!</definedName>
    <definedName name="FBB">#REF!</definedName>
    <definedName name="FBP">#REF!</definedName>
    <definedName name="FBP_31">#REF!</definedName>
    <definedName name="FBSA">#REF!</definedName>
    <definedName name="FBSL">#REF!</definedName>
    <definedName name="FBSL1">#REF!</definedName>
    <definedName name="FBTSection">#REF!</definedName>
    <definedName name="Fcast_Pers">#REF!</definedName>
    <definedName name="FCode" hidden="1">#REF!</definedName>
    <definedName name="FCodePL" hidden="1">#REF!</definedName>
    <definedName name="Fcr_HCLb">#REF!</definedName>
    <definedName name="Fcst03" hidden="1">{"'CONSOLIDADO'!$B$10:$R$57"}</definedName>
    <definedName name="fd" hidden="1">#REF!</definedName>
    <definedName name="FDFD" hidden="1">{#N/A,#N/A,FALSE,"Pharm";#N/A,#N/A,FALSE,"WWCM"}</definedName>
    <definedName name="fds" hidden="1">{#N/A,#N/A,FALSE,"Pharm";#N/A,#N/A,FALSE,"WWCM"}</definedName>
    <definedName name="fdsg">#REF!</definedName>
    <definedName name="FDY">#REF!</definedName>
    <definedName name="FDY___0">#REF!</definedName>
    <definedName name="FDY_27">"$"</definedName>
    <definedName name="FDYLAST">#REF!</definedName>
    <definedName name="FDYLAST_27">"$"</definedName>
    <definedName name="feb">#REF!</definedName>
    <definedName name="Feb_3">"#REF!"</definedName>
    <definedName name="Feb_3_1">"#REF!"</definedName>
    <definedName name="Feb_3_3">"#REF!"</definedName>
    <definedName name="FEB2K_CONS">#REF!</definedName>
    <definedName name="Febbbb" hidden="1">{#N/A,#N/A,FALSE,"INV14"}</definedName>
    <definedName name="February">#REF!</definedName>
    <definedName name="fee_mínimo">6.5</definedName>
    <definedName name="Feriado">#REF!</definedName>
    <definedName name="Feriados">#REF!</definedName>
    <definedName name="fer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Février">#REF!</definedName>
    <definedName name="ff" hidden="1">#REF!</definedName>
    <definedName name="ffaaf">#REF!</definedName>
    <definedName name="fff" hidden="1">{#N/A,#N/A,FALSE,"Pharm";#N/A,#N/A,FALSE,"WWCM"}</definedName>
    <definedName name="ffff">#REF!</definedName>
    <definedName name="ffffff" hidden="1">{"budget992000 capex",#N/A,FALSE,"Celtel alternative 6"}</definedName>
    <definedName name="fffffff" hidden="1">{#N/A,#N/A,FALSE,"Pharm";#N/A,#N/A,FALSE,"WWCM"}</definedName>
    <definedName name="fffffffffff">INDEX(#REF!,0,4)</definedName>
    <definedName name="fffffffffffffghjjk">INDEX(#REF!,0,3)</definedName>
    <definedName name="fg" hidden="1">{#N/A,#N/A,FALSE,"REPORT"}</definedName>
    <definedName name="fg.inv.dys">#REF!</definedName>
    <definedName name="fgdfsg" hidden="1">{"Financial Performance_SP",#N/A,FALSE,"Fin Perf(Sp)";"Operational Indicators_SP",#N/A,FALSE,"Op Ind(sp)";"Resources Utilisation_SP",#N/A,FALSE,"ResUtil (Sp)"}</definedName>
    <definedName name="fgdsfdsf" hidden="1">#REF!</definedName>
    <definedName name="fgfhgfmhg">#REF!</definedName>
    <definedName name="fgfjgf" hidden="1">#N/A</definedName>
    <definedName name="fgg">#REF!</definedName>
    <definedName name="fgkjkh" hidden="1">{#N/A,#N/A,FALSE,"REPORT"}</definedName>
    <definedName name="Fgoods">#REF!</definedName>
    <definedName name="fgsd">#REF!</definedName>
    <definedName name="fgsdrt"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FIBERS_TUBE">#REF!</definedName>
    <definedName name="FIBOR">#REF!</definedName>
    <definedName name="FIBRA">#REF!</definedName>
    <definedName name="FIBRA2">#REF!</definedName>
    <definedName name="FICC_PLANT1">#REF!</definedName>
    <definedName name="FICC_PLANT2">#REF!</definedName>
    <definedName name="fice">#REF!</definedName>
    <definedName name="FichierDRH2019">#REF!</definedName>
    <definedName name="file">#REF!</definedName>
    <definedName name="file_1" hidden="1">{#N/A,#N/A,FALSE,"CAT3516";#N/A,#N/A,FALSE,"CAT3608";#N/A,#N/A,FALSE,"Wartsila";#N/A,#N/A,FALSE,"Asm";#N/A,#N/A,FALSE,"DG cost"}</definedName>
    <definedName name="FILL" hidden="1">#REF!</definedName>
    <definedName name="Filt2">#REF!</definedName>
    <definedName name="Filt2_19">#REF!</definedName>
    <definedName name="Filt2_7">#REF!</definedName>
    <definedName name="Filt2_9">#REF!</definedName>
    <definedName name="FILTER_WATER_CP1">#REF!</definedName>
    <definedName name="FILTER_WATER_CP1_19">#REF!</definedName>
    <definedName name="FILTER_WATER_CP1_7">#REF!</definedName>
    <definedName name="filterdatabase" hidden="1">#REF!</definedName>
    <definedName name="fin_pres_base">#REF!</definedName>
    <definedName name="fin_pres_street">#REF!</definedName>
    <definedName name="fin_pres_upside">#REF!</definedName>
    <definedName name="FIN2B">#REF!</definedName>
    <definedName name="Final_Grade">#REF!</definedName>
    <definedName name="finali">#N/A</definedName>
    <definedName name="FINANCE">#REF!</definedName>
    <definedName name="Financement">#REF!</definedName>
    <definedName name="Financial_Year">#REF!</definedName>
    <definedName name="FirstDate">#REF!</definedName>
    <definedName name="FirstYear">#REF!</definedName>
    <definedName name="Fiscal1">#REF!</definedName>
    <definedName name="FiveMonthsBefore">#REF!</definedName>
    <definedName name="FIXED_ASSETS">#REF!</definedName>
    <definedName name="FIXED_ASSETS_31">#REF!</definedName>
    <definedName name="fixed1">#REF!</definedName>
    <definedName name="fixed2">#REF!</definedName>
    <definedName name="FixedCostMovementinStock">#REF!</definedName>
    <definedName name="FixedExp">#REF!</definedName>
    <definedName name="FixedExpenses">#REF!</definedName>
    <definedName name="FJEZK" hidden="1">{#N/A,#N/A,FALSE,"Pharm";#N/A,#N/A,FALSE,"WWCM"}</definedName>
    <definedName name="FL">"$#REF!.$D$47"</definedName>
    <definedName name="fleet">#REF!</definedName>
    <definedName name="FLLAST">#REF!</definedName>
    <definedName name="FLLAST_27">"$"</definedName>
    <definedName name="FO_Btu_1">#REF!</definedName>
    <definedName name="FOMR3CD..10">#REF!</definedName>
    <definedName name="foobar" hidden="1">{#N/A,#N/A,FALSE,"Table of Contents";#N/A,#N/A,FALSE,"Overview";#N/A,#N/A,FALSE,"Data"}</definedName>
    <definedName name="Footnote1">#REF!</definedName>
    <definedName name="Footnote2">#REF!</definedName>
    <definedName name="Footnote3">#REF!</definedName>
    <definedName name="FORACCOUNTING">#REF!</definedName>
    <definedName name="FORACCOUNTING2">#REF!</definedName>
    <definedName name="ForAccountingg2">#REF!</definedName>
    <definedName name="ForecastDate">#REF!</definedName>
    <definedName name="ForecastDates">#REF!</definedName>
    <definedName name="ForecastLables">#REF!</definedName>
    <definedName name="FOREIGN">#REF!</definedName>
    <definedName name="FOREX">#REF!</definedName>
    <definedName name="FOREX_31">#REF!</definedName>
    <definedName name="FORM_3_1">#REF!</definedName>
    <definedName name="FORM_7">#REF!</definedName>
    <definedName name="FORM_8">#REF!</definedName>
    <definedName name="FORM1">"$BUDGET.$#REF!$#REF!:$#REF!$#REF!"</definedName>
    <definedName name="FORM1___0">"$#REF!.$S$1:$V$1"</definedName>
    <definedName name="FORM2">"$BUDGET.$#REF!$#REF!:$#REF!$#REF!"</definedName>
    <definedName name="FORM2___0">"$#REF!.$Z$1:$AF$1"</definedName>
    <definedName name="FORM3CD..1">#REF!</definedName>
    <definedName name="FORM3CD..11">#REF!</definedName>
    <definedName name="FORM3CD..2">#REF!</definedName>
    <definedName name="FORM3CD..3">#REF!</definedName>
    <definedName name="FORM3CD..4">#REF!</definedName>
    <definedName name="FORM3CD..5">#REF!</definedName>
    <definedName name="FORM3CD..6">#REF!</definedName>
    <definedName name="FORM3CD..7">#REF!</definedName>
    <definedName name="FORM3CD..8">#REF!</definedName>
    <definedName name="FORM3CD..9">#REF!</definedName>
    <definedName name="Format">#REF!</definedName>
    <definedName name="Format_1">NA()</definedName>
    <definedName name="Fornecedores">#REF!</definedName>
    <definedName name="Fortis">#REF!</definedName>
    <definedName name="FourMonthsBefore">#REF!</definedName>
    <definedName name="FourthMonthSelection">#REF!</definedName>
    <definedName name="FPL">#REF!</definedName>
    <definedName name="FQ">#REF!</definedName>
    <definedName name="FqOutSumSpecialColCount">#REF!</definedName>
    <definedName name="FR" hidden="1">{"BS Con'd",#N/A,FALSE,"BS";"BS Con'g",#N/A,FALSE,"BS"}</definedName>
    <definedName name="fre">#REF!</definedName>
    <definedName name="FreezeCell">#REF!</definedName>
    <definedName name="freight">#REF!</definedName>
    <definedName name="FREIGHT_7">#REF!</definedName>
    <definedName name="FreqName">#REF!</definedName>
    <definedName name="Frequency">#REF!</definedName>
    <definedName name="Frete_AçMI">#REF!</definedName>
    <definedName name="Frete_Alcool">#REF!</definedName>
    <definedName name="FRF" hidden="1">{#N/A,#N/A,FALSE,"1";#N/A,#N/A,FALSE,"2";#N/A,#N/A,FALSE,"16 - 17";#N/A,#N/A,FALSE,"18 - 19";#N/A,#N/A,FALSE,"26";#N/A,#N/A,FALSE,"27";#N/A,#N/A,FALSE,"28"}</definedName>
    <definedName name="FRFERFE" hidden="1">{#N/A,#N/A,FALSE,"Pharm";#N/A,#N/A,FALSE,"WWCM"}</definedName>
    <definedName name="fsdfs">#REF!</definedName>
    <definedName name="fsfa">#REF!</definedName>
    <definedName name="FSFASF"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fuituy" hidden="1">{#N/A,#N/A,TRUE,"Funnel";#N/A,#N/A,TRUE,"FunnelMatrix"}</definedName>
    <definedName name="FunBotTag">#REF!</definedName>
    <definedName name="fundoctober" hidden="1">{"'PROFITABILITY'!$A$1:$F$45"}</definedName>
    <definedName name="FunnelBottomWidth">#REF!</definedName>
    <definedName name="FunnelHeight">#REF!</definedName>
    <definedName name="FunnelLeft">#REF!</definedName>
    <definedName name="FunnelOvalRatio">#REF!</definedName>
    <definedName name="FunnelReqTotal">#REF!</definedName>
    <definedName name="FunnelRequirement">#REF!</definedName>
    <definedName name="FunnelTop">#REF!</definedName>
    <definedName name="FunnelTopWidth">#REF!</definedName>
    <definedName name="FunnelTotalDetail">#REF!</definedName>
    <definedName name="FunnelZoom">#REF!</definedName>
    <definedName name="FunPctFontSize">#REF!</definedName>
    <definedName name="FunReqTag">#REF!</definedName>
    <definedName name="fvaq">#REF!</definedName>
    <definedName name="fvcs">#REF!</definedName>
    <definedName name="FVG" hidden="1">{#N/A,#N/A,FALSE,"Pharm";#N/A,#N/A,FALSE,"WWCM"}</definedName>
    <definedName name="FWLT">#REF!</definedName>
    <definedName name="fx">#REF!</definedName>
    <definedName name="FX_F">#REF!</definedName>
    <definedName name="fxgbp">#REF!</definedName>
    <definedName name="fxusd">#REF!</definedName>
    <definedName name="FYE">#REF!</definedName>
    <definedName name="FyFunnelSpecialColCount">#REF!</definedName>
    <definedName name="FYYEAR">#REF!</definedName>
    <definedName name="g" hidden="1">{#N/A,#N/A,FALSE,"FlCx99";#N/A,#N/A,FALSE,"Dívida99"}</definedName>
    <definedName name="g_?TARIFF_ARBITRAGE_ANALYSIS_1996__">#REF!</definedName>
    <definedName name="g_1" hidden="1">{#N/A,#N/A,FALSE,"FlCx99";#N/A,#N/A,FALSE,"Dívida99"}</definedName>
    <definedName name="g_2" hidden="1">{#N/A,#N/A,FALSE,"FlCx99";#N/A,#N/A,FALSE,"Dívida99"}</definedName>
    <definedName name="g_3" hidden="1">{#N/A,#N/A,FALSE,"FlCx99";#N/A,#N/A,FALSE,"Dívida99"}</definedName>
    <definedName name="g_4" hidden="1">{#N/A,#N/A,FALSE,"FlCx99";#N/A,#N/A,FALSE,"Dívida99"}</definedName>
    <definedName name="g_5" hidden="1">{#N/A,#N/A,FALSE,"FlCx99";#N/A,#N/A,FALSE,"Dívida99"}</definedName>
    <definedName name="g_total">#REF!</definedName>
    <definedName name="G2_">#REF!</definedName>
    <definedName name="G2__1">#REF!</definedName>
    <definedName name="G2__10">"'file:///Z:/Cons-Dec`10/Consolidation Dec 10.xls'#$BS.$#REF!$#REF!:$#REF!$#REF!"</definedName>
    <definedName name="G2__11">"'file:///Z:/Cons-Dec`10/Consolidation Dec 10.xls'#$BS.$#REF!$#REF!:$#REF!$#REF!"</definedName>
    <definedName name="G2__12">"'file:///Z:/Cons-Dec`10/Consolidation Dec 10.xls'#$BS.$#REF!$#REF!:$#REF!$#REF!"</definedName>
    <definedName name="G2__13">"'file:///Z:/Cons-Dec`10/Consolidation Dec 10.xls'#$BS.$#REF!$#REF!:$#REF!$#REF!"</definedName>
    <definedName name="G2__15">"'file:///Z:/Cons-Dec`10/Consolidation Dec 10.xls'#$BS.$#REF!$#REF!:$#REF!$#REF!"</definedName>
    <definedName name="G2__4">"'file:///Z:/Cons-Dec`10/Consolidation Dec 10.xls'#$BS.$#REF!$#REF!:$#REF!$#REF!"</definedName>
    <definedName name="G2__5">#REF!</definedName>
    <definedName name="G2__6">"'file:///Z:/Cons-Dec`10/Consolidation Dec 10.xls'#$BS.$#REF!$#REF!:$#REF!$#REF!"</definedName>
    <definedName name="G2__7">"'file:///Z:/Cons-Dec`10/Consolidation Dec 10.xls'#$BS.$#REF!$#REF!:$#REF!$#REF!"</definedName>
    <definedName name="G2__8">"'file:///Z:/Cons-Dec`10/Consolidation Dec 10.xls'#$BS.$#REF!$#REF!:$#REF!$#REF!"</definedName>
    <definedName name="G2__9">"'file:///Z:/Cons-Dec`10/Consolidation Dec 10.xls'#$BS.$#REF!$#REF!:$#REF!$#REF!"</definedName>
    <definedName name="ga" hidden="1">0</definedName>
    <definedName name="GAIIL_CERTIFICATE">#REF!</definedName>
    <definedName name="GainLoss">#REF!</definedName>
    <definedName name="Garde">#REF!</definedName>
    <definedName name="garh">#REF!</definedName>
    <definedName name="Garr">#REF!</definedName>
    <definedName name="GAS_WORKINGS">#REF!</definedName>
    <definedName name="gav">#REF!</definedName>
    <definedName name="GBlockCY">#REF!</definedName>
    <definedName name="gbp">#REF!</definedName>
    <definedName name="gdf">#REF!</definedName>
    <definedName name="gdfgdf" hidden="1">{#N/A,#N/A,FALSE,"Pharm";#N/A,#N/A,FALSE,"WWCM"}</definedName>
    <definedName name="gef">#REF!</definedName>
    <definedName name="GENERAL">#REF!</definedName>
    <definedName name="general_exp." hidden="1">{#N/A,"100% Success",TRUE,"Sales Forecast";#N/A,#N/A,TRUE,"Sheet2"}</definedName>
    <definedName name="general_exp._1" hidden="1">{#N/A,"100% Success",TRUE,"Sales Forecast";#N/A,#N/A,TRUE,"Sheet2"}</definedName>
    <definedName name="general_exp._2" hidden="1">{#N/A,"100% Success",TRUE,"Sales Forecast";#N/A,#N/A,TRUE,"Sheet2"}</definedName>
    <definedName name="general_exp._3" hidden="1">{#N/A,"100% Success",TRUE,"Sales Forecast";#N/A,#N/A,TRUE,"Sheet2"}</definedName>
    <definedName name="general_exp._4" hidden="1">{#N/A,"100% Success",TRUE,"Sales Forecast";#N/A,#N/A,TRUE,"Sheet2"}</definedName>
    <definedName name="general_exp._5" hidden="1">{#N/A,"100% Success",TRUE,"Sales Forecast";#N/A,#N/A,TRUE,"Sheet2"}</definedName>
    <definedName name="Get.Arg">#REF!</definedName>
    <definedName name="Get.Arg_2">#REF!</definedName>
    <definedName name="Get.Arg_31">#REF!</definedName>
    <definedName name="Get.Arg_4">#REF!</definedName>
    <definedName name="Get.Arg_5">#REF!</definedName>
    <definedName name="Get.Named.Range">#REF!</definedName>
    <definedName name="Get.Named.Range_2">#REF!</definedName>
    <definedName name="Get.Named.Range_31">#REF!</definedName>
    <definedName name="Get.Named.Range_4">#REF!</definedName>
    <definedName name="Get.Named.Range_5">#REF!</definedName>
    <definedName name="Get.Series">#REF!</definedName>
    <definedName name="Get.Series_2">#REF!</definedName>
    <definedName name="Get.Series_31">#REF!</definedName>
    <definedName name="Get.Series_4">#REF!</definedName>
    <definedName name="Get.Series_5">#REF!</definedName>
    <definedName name="gf">#REF!</definedName>
    <definedName name="gfdjhjh" hidden="1">{#N/A,#N/A,FALSE,"Pharm";#N/A,#N/A,FALSE,"WWCM"}</definedName>
    <definedName name="gg">#REF!</definedName>
    <definedName name="ggf">#REF!</definedName>
    <definedName name="ggff">#REF!</definedName>
    <definedName name="ggffd">#REF!</definedName>
    <definedName name="ggg">#N/A</definedName>
    <definedName name="ggggg" hidden="1">{"budget992000_customers",#N/A,FALSE,"Celtel alternative 6"}</definedName>
    <definedName name="ggggggg" hidden="1">{"budget992000 profit and loss",#N/A,FALSE,"Celtel alternative 6"}</definedName>
    <definedName name="ghhhhhhhhhhhh" hidden="1">#REF!</definedName>
    <definedName name="ghhj" hidden="1">#REF!</definedName>
    <definedName name="ghjggjh" hidden="1">{#N/A,#N/A,FALSE,"Pharm";#N/A,#N/A,FALSE,"WWCM"}</definedName>
    <definedName name="GHtcs">#REF!</definedName>
    <definedName name="Giftlogo">#REF!</definedName>
    <definedName name="Giftnonlogo1">#REF!</definedName>
    <definedName name="Giftnonlogo2">#REF!</definedName>
    <definedName name="Gind">#REF!</definedName>
    <definedName name="gj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GLCODES">#REF!</definedName>
    <definedName name="Global1" hidden="1">{#N/A,#N/A,FALSE,"Pharm";#N/A,#N/A,FALSE,"WWCM"}</definedName>
    <definedName name="GLYCERINE">#REF!</definedName>
    <definedName name="GLYCERINE_31">#REF!</definedName>
    <definedName name="GOBACK">#REF!</definedName>
    <definedName name="GOBACK_31">#REF!</definedName>
    <definedName name="golia">#REF!</definedName>
    <definedName name="Good_Batches">#REF!</definedName>
    <definedName name="GOSALES">#REF!</definedName>
    <definedName name="GOSALES_31">#REF!</definedName>
    <definedName name="gpmtNBA">#REF!</definedName>
    <definedName name="gpmtRAF">#REF!</definedName>
    <definedName name="gpmtUNPSEA">#REF!</definedName>
    <definedName name="gpmtUNRSEA">#REF!</definedName>
    <definedName name="GPRATIO">#REF!</definedName>
    <definedName name="GR12M">#REF!</definedName>
    <definedName name="GR6M">#REF!</definedName>
    <definedName name="GRAD2">#REF!</definedName>
    <definedName name="GRADE">#REF!</definedName>
    <definedName name="Grade1">#REF!</definedName>
    <definedName name="GRADEAREA">#REF!</definedName>
    <definedName name="GRADEAREA_9">#REF!</definedName>
    <definedName name="graf_nom">#REF!</definedName>
    <definedName name="graf_real">#REF!</definedName>
    <definedName name="graph" hidden="1">{#N/A,#N/A,FALSE,"REPORT"}</definedName>
    <definedName name="Graph1">#REF!</definedName>
    <definedName name="Graph10">#REF!</definedName>
    <definedName name="Graph11">#REF!</definedName>
    <definedName name="Graph12">#REF!</definedName>
    <definedName name="Graph2">#REF!</definedName>
    <definedName name="Graph3">#REF!</definedName>
    <definedName name="Graph4">#REF!</definedName>
    <definedName name="Graph5">#REF!</definedName>
    <definedName name="Graph6">#REF!</definedName>
    <definedName name="Graph7">#REF!</definedName>
    <definedName name="Graph8">#REF!</definedName>
    <definedName name="Graph9">#REF!</definedName>
    <definedName name="_xlnm.Recorder">#REF!</definedName>
    <definedName name="GRAY15">#REF!</definedName>
    <definedName name="grfgfgfgfgf" hidden="1">{"'CONSOLIDADO'!$B$10:$R$57"}</definedName>
    <definedName name="GrossMargin">#REF!</definedName>
    <definedName name="GrossMarginAprActual">#REF!</definedName>
    <definedName name="GrossMarginAugActual">#REF!</definedName>
    <definedName name="GrossMarginDecProj">#REF!</definedName>
    <definedName name="GrossMarginFebProj">#REF!</definedName>
    <definedName name="GrossMarginJanProj">#REF!</definedName>
    <definedName name="GrossMarginJulyActual">#REF!</definedName>
    <definedName name="GrossMarginJuneProj">#REF!</definedName>
    <definedName name="GrossMarginMarProj">#REF!</definedName>
    <definedName name="GrossMarginMay">#REF!</definedName>
    <definedName name="GrossMarginMayActual">#REF!</definedName>
    <definedName name="GrossMarginMonthActual">#REF!</definedName>
    <definedName name="GrossMarginMonthBudget">#REF!</definedName>
    <definedName name="GrossMarginMonthDevToBud">#REF!</definedName>
    <definedName name="GrossMarginMonthDevToLE">#REF!</definedName>
    <definedName name="GrossMarginMonthLE">#REF!</definedName>
    <definedName name="GrossMarginNovProj">#REF!</definedName>
    <definedName name="GrossMarginOctProj">#REF!</definedName>
    <definedName name="GrossMarginPrevYearActual">#REF!</definedName>
    <definedName name="GrossMarginPrevYearAnnualBudget">#REF!</definedName>
    <definedName name="GrossMarginPrevYearDeviation">#REF!</definedName>
    <definedName name="GrossMarginPrevYearPercentDeviationToBudget">#REF!</definedName>
    <definedName name="GrossMarginSepActual">#REF!</definedName>
    <definedName name="GrossMarginTotalLE">#REF!</definedName>
    <definedName name="GrossMarginYear">#REF!</definedName>
    <definedName name="GrossMarginYearActual">#REF!</definedName>
    <definedName name="GrossMarginYearAnnualBudget">#REF!</definedName>
    <definedName name="GrossMarginYearBudget">#REF!</definedName>
    <definedName name="GrossMarginYearDeviation">#REF!</definedName>
    <definedName name="GrossMarginYearDevToBud">#REF!</definedName>
    <definedName name="GrossMarginYearDevTOLY">#REF!</definedName>
    <definedName name="GrossMarginYearLatestEstimate">#REF!</definedName>
    <definedName name="GrossMarginYearLY">#REF!</definedName>
    <definedName name="GrossMarginYearPercentDweviationToBudget">#REF!</definedName>
    <definedName name="GROUP_II">#REF!</definedName>
    <definedName name="GROUP_III">#REF!</definedName>
    <definedName name="GROUP_IV">#REF!</definedName>
    <definedName name="GROUP_V">#REF!</definedName>
    <definedName name="GROUP_VI">#REF!</definedName>
    <definedName name="GROUP_VII">#REF!</definedName>
    <definedName name="grouping_f_21" hidden="1">{"'Sheet1'!$A$4386:$N$4591"}</definedName>
    <definedName name="gs">#REF!</definedName>
    <definedName name="gse">#REF!</definedName>
    <definedName name="gsrgsrg"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GSTREAC">#REF!</definedName>
    <definedName name="GTcct">#REF!</definedName>
    <definedName name="GTOTA">#REF!</definedName>
    <definedName name="GTOTB">#REF!</definedName>
    <definedName name="gtrdfd">#REF!</definedName>
    <definedName name="GWSpan">#REF!</definedName>
    <definedName name="h" hidden="1">{"Revs",#N/A,TRUE,"Revs";"Costs",#N/A,TRUE,"Revs";"EBITDA",#N/A,TRUE,"Revs";"IS",#N/A,TRUE,"Revs";"CF",#N/A,TRUE,"Revs";"D/E",#N/A,TRUE,"Revs";"Debt Stats",#N/A,TRUE,"Revs";"DCFu",#N/A,TRUE,"Revs";"Sensitivity1",#N/A,TRUE,"Revs";"DCFl",#N/A,TRUE,"Revs"}</definedName>
    <definedName name="h_1" hidden="1">{#N/A,#N/A,FALSE,"FlCx99";#N/A,#N/A,FALSE,"Dívida99"}</definedName>
    <definedName name="h_2" hidden="1">{#N/A,#N/A,FALSE,"FlCx99";#N/A,#N/A,FALSE,"Dívida99"}</definedName>
    <definedName name="h_3" hidden="1">{#N/A,#N/A,FALSE,"FlCx99";#N/A,#N/A,FALSE,"Dívida99"}</definedName>
    <definedName name="h_4" hidden="1">{#N/A,#N/A,FALSE,"FlCx99";#N/A,#N/A,FALSE,"Dívida99"}</definedName>
    <definedName name="h_5" hidden="1">{#N/A,#N/A,FALSE,"FlCx99";#N/A,#N/A,FALSE,"Dívida99"}</definedName>
    <definedName name="H_9">#REF!</definedName>
    <definedName name="H26B">#REF!</definedName>
    <definedName name="H27A">#REF!</definedName>
    <definedName name="H2Gas">#REF!</definedName>
    <definedName name="Half_1">#REF!</definedName>
    <definedName name="Half_2">#REF!</definedName>
    <definedName name="Half_Yr_Name">#REF!</definedName>
    <definedName name="HALFBS">#REF!</definedName>
    <definedName name="HALFCF">#REF!</definedName>
    <definedName name="HALFPL">#REF!</definedName>
    <definedName name="HALFPLPRINT">#REF!</definedName>
    <definedName name="Halves_In_Yr">#REF!</definedName>
    <definedName name="hc" hidden="1">{#N/A,#N/A,FALSE,"COVER1.XLS ";#N/A,#N/A,FALSE,"RACT1.XLS";#N/A,#N/A,FALSE,"RACT2.XLS";#N/A,#N/A,FALSE,"ECCMP";#N/A,#N/A,FALSE,"WELDER.XLS"}</definedName>
    <definedName name="hd" hidden="1">{#N/A,#N/A,FALSE,"consu_cover";#N/A,#N/A,FALSE,"consu_strategy";#N/A,#N/A,FALSE,"consu_flow";#N/A,#N/A,FALSE,"Summary_reqmt";#N/A,#N/A,FALSE,"field_ppg";#N/A,#N/A,FALSE,"ppg_shop";#N/A,#N/A,FALSE,"strl";#N/A,#N/A,FALSE,"tankages";#N/A,#N/A,FALSE,"gases"}</definedName>
    <definedName name="hdf" hidden="1">{#N/A,#N/A,FALSE,"COVER1.XLS ";#N/A,#N/A,FALSE,"RACT1.XLS";#N/A,#N/A,FALSE,"RACT2.XLS";#N/A,#N/A,FALSE,"ECCMP";#N/A,#N/A,FALSE,"WELDER.XLS"}</definedName>
    <definedName name="HDO">#REF!</definedName>
    <definedName name="HDPE_CONSUM_BREAKUP">#REF!</definedName>
    <definedName name="Header">#REF!</definedName>
    <definedName name="Header_FMA">#REF!</definedName>
    <definedName name="Header_FOPDetail">#REF!</definedName>
    <definedName name="Header_FOPStatus">#REF!</definedName>
    <definedName name="Header_FOSOppty">#REF!</definedName>
    <definedName name="Header_FOSSalesRep">#REF!</definedName>
    <definedName name="Header_FQBacklogFunnel">#REF!</definedName>
    <definedName name="Header_FqFunnel">#REF!</definedName>
    <definedName name="Header_FqOutCWV">#REF!</definedName>
    <definedName name="Header_FqOutSum">#REF!</definedName>
    <definedName name="Header_FunnelDetail">#REF!</definedName>
    <definedName name="Header_FunnelMatrix">#REF!</definedName>
    <definedName name="Header_FunProb">#REF!</definedName>
    <definedName name="Header_FunStage">#REF!</definedName>
    <definedName name="Header_FyFunBus">#REF!</definedName>
    <definedName name="Header_FyFunCountry">#REF!</definedName>
    <definedName name="Header_FyFunCountryAccount">#REF!</definedName>
    <definedName name="Header_FyFunCWV">#REF!</definedName>
    <definedName name="Header_FyFunCWVCountry">#REF!</definedName>
    <definedName name="Header_FyFunCWVCountryAccount">#REF!</definedName>
    <definedName name="Header_FyFunCWVProd">#REF!</definedName>
    <definedName name="Header_FyFunCWVProdUnitLikely">#REF!</definedName>
    <definedName name="Header_FyFunnel">#REF!</definedName>
    <definedName name="Header_FyFunProd">#REF!</definedName>
    <definedName name="Header_FyFunProdUnit">#REF!</definedName>
    <definedName name="Header_Logo">#REF!</definedName>
    <definedName name="Header_OD">#REF!</definedName>
    <definedName name="Header_OProAct">#REF!</definedName>
    <definedName name="Header_QtrRev">#REF!</definedName>
    <definedName name="Header_QtrSGP">#REF!</definedName>
    <definedName name="Header_RmapAE">#REF!</definedName>
    <definedName name="Header_SFA_MW_Quarter">#REF!</definedName>
    <definedName name="Header_SFA_Quarter">#REF!</definedName>
    <definedName name="Header_SFA_Year">#REF!</definedName>
    <definedName name="Header_SFUNREP">#REF!</definedName>
    <definedName name="Header_Snapshot">#REF!</definedName>
    <definedName name="Header_Snapshot_Detail">#REF!</definedName>
    <definedName name="Header_Summary">#REF!</definedName>
    <definedName name="Header_WinLoss">#REF!</definedName>
    <definedName name="Header_WinMore2">#REF!</definedName>
    <definedName name="HeaderSpot">#REF!</definedName>
    <definedName name="Helix">#REF!</definedName>
    <definedName name="HELIX2">#REF!</definedName>
    <definedName name="hes_sum" hidden="1">{#N/A,#N/A,FALSE,"COVER1.XLS ";#N/A,#N/A,FALSE,"RACT1.XLS";#N/A,#N/A,FALSE,"RACT2.XLS";#N/A,#N/A,FALSE,"ECCMP";#N/A,#N/A,FALSE,"WELDER.XLS"}</definedName>
    <definedName name="hew" hidden="1">{#N/A,#N/A,FALSE,"consu_cover";#N/A,#N/A,FALSE,"consu_strategy";#N/A,#N/A,FALSE,"consu_flow";#N/A,#N/A,FALSE,"Summary_reqmt";#N/A,#N/A,FALSE,"field_ppg";#N/A,#N/A,FALSE,"ppg_shop";#N/A,#N/A,FALSE,"strl";#N/A,#N/A,FALSE,"tankages";#N/A,#N/A,FALSE,"gases"}</definedName>
    <definedName name="HFinGraph" hidden="1">{#N/A,#N/A,FALSE,"Pharm";#N/A,#N/A,FALSE,"WWCM"}</definedName>
    <definedName name="hgdsg"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hgjg"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2"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3"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4"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5"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h">#REF!</definedName>
    <definedName name="hhashdjsajk">#REF!</definedName>
    <definedName name="hhgyhf" hidden="1">{"'0103'!$A$455:$O$585"}</definedName>
    <definedName name="HHH" hidden="1">{#N/A,#N/A,FALSE,"A"}</definedName>
    <definedName name="hhhhe" hidden="1">#REF!</definedName>
    <definedName name="HHHHH" hidden="1">#REF!</definedName>
    <definedName name="hhhhhhhh">INDEX(#REF!,0,1)</definedName>
    <definedName name="Hibh" hidden="1">{#N/A,#N/A,FALSE,"Pharm";#N/A,#N/A,FALSE,"WWCM"}</definedName>
    <definedName name="HiddenRows" hidden="1">#REF!</definedName>
    <definedName name="HiddenRowsPL" hidden="1">#REF!</definedName>
    <definedName name="High" hidden="1">{#N/A,#N/A,FALSE,"Pharm";#N/A,#N/A,FALSE,"WWCM"}</definedName>
    <definedName name="HighColor">#REF!</definedName>
    <definedName name="HighLower">#REF!</definedName>
    <definedName name="HighPrice">#REF!</definedName>
    <definedName name="HighUpper">#REF!</definedName>
    <definedName name="HIJ">#REF!</definedName>
    <definedName name="HIPERMERCADOS">#REF!</definedName>
    <definedName name="Hire">27</definedName>
    <definedName name="HistoCell">#REF!</definedName>
    <definedName name="HistoComplement">#REF!</definedName>
    <definedName name="HistoType">#REF!</definedName>
    <definedName name="hjhjffukfuk" hidden="1">{#N/A,#N/A,FALSE,"Pharm";#N/A,#N/A,FALSE,"WWCM"}</definedName>
    <definedName name="hjhjfkfukywrte" hidden="1">{#N/A,#N/A,FALSE,"Pharm";#N/A,#N/A,FALSE,"WWCM"}</definedName>
    <definedName name="hjhkjkl" hidden="1">{#N/A,#N/A,FALSE,"Pharm";#N/A,#N/A,FALSE,"WWCM"}</definedName>
    <definedName name="hjj">#REF!</definedName>
    <definedName name="hjjjkk" hidden="1">{#N/A,#N/A,FALSE,"REPORT"}</definedName>
    <definedName name="hjjkk" hidden="1">{#N/A,#N/A,FALSE,"Pharm";#N/A,#N/A,FALSE,"WWCM"}</definedName>
    <definedName name="hjkk" hidden="1">{#N/A,#N/A,FALSE,"Pharm";#N/A,#N/A,FALSE,"WWCM"}</definedName>
    <definedName name="hk" hidden="1">{"'Directory'!$A$72:$E$91"}</definedName>
    <definedName name="HK\" hidden="1">{#N/A,#N/A,FALSE,"CAT3516";#N/A,#N/A,FALSE,"CAT3608";#N/A,#N/A,FALSE,"Wartsila";#N/A,#N/A,FALSE,"Asm";#N/A,#N/A,FALSE,"DG cost"}</definedName>
    <definedName name="HK\_1" hidden="1">{#N/A,#N/A,FALSE,"CAT3516";#N/A,#N/A,FALSE,"CAT3608";#N/A,#N/A,FALSE,"Wartsila";#N/A,#N/A,FALSE,"Asm";#N/A,#N/A,FALSE,"DG cost"}</definedName>
    <definedName name="HKSH" hidden="1">{#N/A,#N/A,FALSE,"REPORT"}</definedName>
    <definedName name="HL_Home">#REF!</definedName>
    <definedName name="HMA">#REF!</definedName>
    <definedName name="HMA_31">#REF!</definedName>
    <definedName name="HMG" hidden="1">{#N/A,#N/A,FALSE,"REPORT"}</definedName>
    <definedName name="hn.Delete015" hidden="1">#REF!,#REF!,#REF!,#REF!,#REF!</definedName>
    <definedName name="hn.ExtDb" hidden="1">FALSE</definedName>
    <definedName name="hn.ModelType" hidden="1">"DEAL"</definedName>
    <definedName name="hn.ModelVersion" hidden="1">1</definedName>
    <definedName name="hn.NoUpload" hidden="1">0</definedName>
    <definedName name="HOCFDDevToLE">#REF!</definedName>
    <definedName name="HOCFDDevToLY">#REF!</definedName>
    <definedName name="HOCFDLE">#REF!</definedName>
    <definedName name="HOCFDLY">#REF!</definedName>
    <definedName name="HOCFDMonthActual">#REF!</definedName>
    <definedName name="HOCFDMonthBudget">#REF!</definedName>
    <definedName name="HOCFDMonthDevToBud">#REF!</definedName>
    <definedName name="HOCFDYearActual">#REF!</definedName>
    <definedName name="HOCFDYearBudget">#REF!</definedName>
    <definedName name="HOCFDYearDevToBud">#REF!</definedName>
    <definedName name="HOInterestMonth1Budget">#REF!</definedName>
    <definedName name="HOInterestUnpaidMonth1Actuals">#REF!</definedName>
    <definedName name="HOInterestUnpaidMonth1Budget">#REF!</definedName>
    <definedName name="HOInterestUnpaidMonth2Actuals">#REF!</definedName>
    <definedName name="HOInterestUnpaidMonth2Budget">#REF!</definedName>
    <definedName name="HOInterestUnpaidMonth3Actuals">#REF!</definedName>
    <definedName name="HOInterestUnpaidMonth3Budget">#REF!</definedName>
    <definedName name="HOInterestUnpaidMonth4Actuals">#REF!</definedName>
    <definedName name="HOInterestUnpaidMonth4Budget">#REF!</definedName>
    <definedName name="HOInterestUnpaidYTDActuals">#REF!</definedName>
    <definedName name="HOInterestUnpaidYTDBudget">#REF!</definedName>
    <definedName name="home">#REF!</definedName>
    <definedName name="homic" hidden="1">{#N/A,#N/A,FALSE,"COVER1.XLS ";#N/A,#N/A,FALSE,"RACT1.XLS";#N/A,#N/A,FALSE,"RACT2.XLS";#N/A,#N/A,FALSE,"ECCMP";#N/A,#N/A,FALSE,"WELDER.XLS"}</definedName>
    <definedName name="honstn" hidden="1">{#N/A,#N/A,FALSE,"COVER1.XLS ";#N/A,#N/A,FALSE,"RACT1.XLS";#N/A,#N/A,FALSE,"RACT2.XLS";#N/A,#N/A,FALSE,"ECCMP";#N/A,#N/A,FALSE,"WELDER.XLS"}</definedName>
    <definedName name="HONYDEW">#REF!</definedName>
    <definedName name="HONYDEW_31">#REF!</definedName>
    <definedName name="HORIZONTAL_SAG">#REF!</definedName>
    <definedName name="HousingType">#REF!</definedName>
    <definedName name="howToChange">#REF!</definedName>
    <definedName name="howToChange_1">"#REF!"</definedName>
    <definedName name="howToChange_2">#REF!</definedName>
    <definedName name="howToChange_3">#REF!</definedName>
    <definedName name="howToChange_31">#REF!</definedName>
    <definedName name="howToChange_4">#REF!</definedName>
    <definedName name="howToCheck">#REF!</definedName>
    <definedName name="howToCheck_1">"#REF!"</definedName>
    <definedName name="howToCheck_2">#REF!</definedName>
    <definedName name="howToCheck_3">#REF!</definedName>
    <definedName name="howToCheck_31">#REF!</definedName>
    <definedName name="howToCheck_4">#REF!</definedName>
    <definedName name="hq"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qq" hidden="1">{#N/A,#N/A,FALSE,"COVER1.XLS ";#N/A,#N/A,FALSE,"RACT1.XLS";#N/A,#N/A,FALSE,"RACT2.XLS";#N/A,#N/A,FALSE,"ECCMP";#N/A,#N/A,FALSE,"WELDER.XLS"}</definedName>
    <definedName name="HR">#REF!</definedName>
    <definedName name="HR___0">#REF!</definedName>
    <definedName name="HR_8">#REF!</definedName>
    <definedName name="hritical_copy" hidden="1">{#N/A,#N/A,FALSE,"COVER1.XLS ";#N/A,#N/A,FALSE,"RACT1.XLS";#N/A,#N/A,FALSE,"RACT2.XLS";#N/A,#N/A,FALSE,"ECCMP";#N/A,#N/A,FALSE,"WELDER.XLS"}</definedName>
    <definedName name="hrn" hidden="1">{#N/A,#N/A,FALSE,"COVER.XLS";#N/A,#N/A,FALSE,"RACT1.XLS";#N/A,#N/A,FALSE,"RACT2.XLS";#N/A,#N/A,FALSE,"ECCMP";#N/A,#N/A,FALSE,"WELDER.XLS"}</definedName>
    <definedName name="hrs">#REF!</definedName>
    <definedName name="hrs_27">#REF!</definedName>
    <definedName name="Hrs_In_Day">#REF!</definedName>
    <definedName name="hrslast">#REF!</definedName>
    <definedName name="hrslast_27">"$"</definedName>
    <definedName name="hrttr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s" hidden="1">{#N/A,#N/A,FALSE,"COVER.XLS";#N/A,#N/A,FALSE,"RACT1.XLS";#N/A,#N/A,FALSE,"RACT2.XLS";#N/A,#N/A,FALSE,"ECCMP";#N/A,#N/A,FALSE,"WELDER.XLS"}</definedName>
    <definedName name="hsalf" hidden="1">{"Flash_Analysis",#N/A,FALSE,"Analysis(Flash)";"Flash_Summ",#N/A,FALSE,"Flash"}</definedName>
    <definedName name="hsbc">#REF!</definedName>
    <definedName name="HSCB">#REF!</definedName>
    <definedName name="HSEF2">INDEX(#REF!,0,2)</definedName>
    <definedName name="hshhr" hidden="1">{#N/A,#N/A,TRUE,"Staffnos &amp; cost"}</definedName>
    <definedName name="HTM">#REF!</definedName>
    <definedName name="HTM_27">"$"</definedName>
    <definedName name="HTM1_27">"$"</definedName>
    <definedName name="HTM2_27">"$"</definedName>
    <definedName name="HTM3_27">"$"</definedName>
    <definedName name="HTMB">"$"</definedName>
    <definedName name="HTML" hidden="1">{"'PXR_6500'!$A$1:$I$124"}</definedName>
    <definedName name="HTML_CodePage" hidden="1">1252</definedName>
    <definedName name="HTML_Control" hidden="1">{"'Sheet1'!$A$1:$H$145"}</definedName>
    <definedName name="HTML_Control_1" hidden="1">{"'Sheet1'!$A$1:$H$145"}</definedName>
    <definedName name="HTML_Control_1_1" hidden="1">{"'Eng (page2)'!$A$1:$D$52"}</definedName>
    <definedName name="HTML_Control_2" hidden="1">{"'Sheet1'!$A$1:$H$145"}</definedName>
    <definedName name="HTML_Control_3" hidden="1">{"'Sheet1'!$A$1:$H$145"}</definedName>
    <definedName name="HTML_Control_4" hidden="1">{"'Sheet1'!$A$1:$H$145"}</definedName>
    <definedName name="HTML_Control_5"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FALSE</definedName>
    <definedName name="HTML_LineBefore" hidden="1">FALSE</definedName>
    <definedName name="HTML_Name" hidden="1">"Aswath Damodaran"</definedName>
    <definedName name="HTML_OBDlg2" hidden="1">TRUE</definedName>
    <definedName name="HTML_OBDlg4" hidden="1">TRUE</definedName>
    <definedName name="HTML_OS" hidden="1">0</definedName>
    <definedName name="HTML_PathFile" hidden="1">"C:\DIVULGAÇÃO INPC IPCA 2001\inpc0501.htm"</definedName>
    <definedName name="HTML_PathFileMac" hidden="1">"Macintosh HD:HomePageStuff:New_Home_Page:datafile:ctryprem.html"</definedName>
    <definedName name="HTML_Title" hidden="1">"Country Risk Premiums"</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AST">"$"</definedName>
    <definedName name="HTMLCount" hidden="1">2</definedName>
    <definedName name="htr" hidden="1">{#N/A,#N/A,FALSE,"COVER.XLS";#N/A,#N/A,FALSE,"RACT1.XLS";#N/A,#N/A,FALSE,"RACT2.XLS";#N/A,#N/A,FALSE,"ECCMP";#N/A,#N/A,FALSE,"WELDER.XLS"}</definedName>
    <definedName name="htyuityuiotio" hidden="1">{#N/A,#N/A,FALSE,"REPORT"}</definedName>
    <definedName name="huma" hidden="1">{#N/A,#N/A,FALSE,"COVER1.XLS ";#N/A,#N/A,FALSE,"RACT1.XLS";#N/A,#N/A,FALSE,"RACT2.XLS";#N/A,#N/A,FALSE,"ECCMP";#N/A,#N/A,FALSE,"WELDER.XLS"}</definedName>
    <definedName name="hummyweek" hidden="1">{#N/A,#N/A,FALSE,"str_title";#N/A,#N/A,FALSE,"SUM";#N/A,#N/A,FALSE,"Scope";#N/A,#N/A,FALSE,"PIE-Jn";#N/A,#N/A,FALSE,"PIE-Jn_Hz";#N/A,#N/A,FALSE,"Liq_Plan";#N/A,#N/A,FALSE,"S_Curve";#N/A,#N/A,FALSE,"Liq_Prof";#N/A,#N/A,FALSE,"Man_Pwr";#N/A,#N/A,FALSE,"Man_Prof"}</definedName>
    <definedName name="Hundred">#REF!</definedName>
    <definedName name="hupa" hidden="1">{#N/A,#N/A,FALSE,"str_title";#N/A,#N/A,FALSE,"SUM";#N/A,#N/A,FALSE,"Scope";#N/A,#N/A,FALSE,"PIE-Jn";#N/A,#N/A,FALSE,"PIE-Jn_Hz";#N/A,#N/A,FALSE,"Liq_Plan";#N/A,#N/A,FALSE,"S_Curve";#N/A,#N/A,FALSE,"Liq_Prof";#N/A,#N/A,FALSE,"Man_Pwr";#N/A,#N/A,FALSE,"Man_Prof"}</definedName>
    <definedName name="hworkfront" hidden="1">{#N/A,#N/A,FALSE,"COVER1.XLS ";#N/A,#N/A,FALSE,"RACT1.XLS";#N/A,#N/A,FALSE,"RACT2.XLS";#N/A,#N/A,FALSE,"ECCMP";#N/A,#N/A,FALSE,"WELDER.XLS"}</definedName>
    <definedName name="h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hwrn1" hidden="1">{#N/A,#N/A,FALSE,"17MAY";#N/A,#N/A,FALSE,"24MAY"}</definedName>
    <definedName name="Hyp">#REF!</definedName>
    <definedName name="Hypertention" hidden="1">{#N/A,#N/A,FALSE,"Pharm";#N/A,#N/A,FALSE,"WWCM"}</definedName>
    <definedName name="hypo" hidden="1">{#N/A,#N/A,FALSE,"Pharm";#N/A,#N/A,FALSE,"WWCM"}</definedName>
    <definedName name="I">#REF!</definedName>
    <definedName name="I.RENDA.2TRIM">#REF!</definedName>
    <definedName name="I.RENDA.3TRIM">#REF!</definedName>
    <definedName name="I.RENDA.4TRIM">#REF!</definedName>
    <definedName name="i_?PE___RIL_MARKET_PRESE">#REF!</definedName>
    <definedName name="I___0">#REF!</definedName>
    <definedName name="i_1" hidden="1">{#N/A,#N/A,FALSE,"FlCx99";#N/A,#N/A,FALSE,"Dívida99"}</definedName>
    <definedName name="i_2" hidden="1">{#N/A,#N/A,FALSE,"FlCx99";#N/A,#N/A,FALSE,"Dívida99"}</definedName>
    <definedName name="i_3" hidden="1">{#N/A,#N/A,FALSE,"FlCx99";#N/A,#N/A,FALSE,"Dívida99"}</definedName>
    <definedName name="i_4" hidden="1">{#N/A,#N/A,FALSE,"FlCx99";#N/A,#N/A,FALSE,"Dívida99"}</definedName>
    <definedName name="i_5" hidden="1">{#N/A,#N/A,FALSE,"FlCx99";#N/A,#N/A,FALSE,"Dívida99"}</definedName>
    <definedName name="IA">"#REF!"</definedName>
    <definedName name="IA_3">"#REF!"</definedName>
    <definedName name="iarea1">#REF!,#REF!,#REF!,#REF!,#REF!,#REF!,#REF!,#REF!,#REF!,#REF!,#REF!,#REF!,#REF!</definedName>
    <definedName name="iarea10">#REF!,#REF!</definedName>
    <definedName name="iarea2">#REF!,#REF!,#REF!,#REF!</definedName>
    <definedName name="iarea3">#REF!,#REF!,#REF!,#REF!,#REF!,#REF!,#REF!,#REF!</definedName>
    <definedName name="iarea4">#REF!,#REF!</definedName>
    <definedName name="iarea5">#REF!,#REF!,#REF!,#REF!,#REF!</definedName>
    <definedName name="iarea6">#REF!,#REF!,#REF!</definedName>
    <definedName name="iarea7">#REF!,#REF!</definedName>
    <definedName name="iarea8">#REF!</definedName>
    <definedName name="iarea9">#REF!</definedName>
    <definedName name="IATXDEP" hidden="1">{#N/A,#N/A,FALSE,"A"}</definedName>
    <definedName name="ICE_FORCE">#REF!</definedName>
    <definedName name="ICE_LOADING">#REF!</definedName>
    <definedName name="ICR">#N/A</definedName>
    <definedName name="ID">#REF!</definedName>
    <definedName name="IDAT">#REF!</definedName>
    <definedName name="Ideal_Batches">#REF!</definedName>
    <definedName name="Ideal_Cycle_Time">#REF!</definedName>
    <definedName name="Ideal_Output">#REF!</definedName>
    <definedName name="IDEC">#REF!</definedName>
    <definedName name="IDR">9200</definedName>
    <definedName name="idr___0">#REF!</definedName>
    <definedName name="IDR_1">#REF!</definedName>
    <definedName name="idr_19">#REF!</definedName>
    <definedName name="IDR_2">#REF!</definedName>
    <definedName name="idr_33">9800</definedName>
    <definedName name="idr_35">9800</definedName>
    <definedName name="idr_51">#REF!</definedName>
    <definedName name="idr_7">#REF!</definedName>
    <definedName name="idr_9">#REF!</definedName>
    <definedName name="igc" hidden="1">{#N/A,#N/A,FALSE,"FlCx99";#N/A,#N/A,FALSE,"Dívida99"}</definedName>
    <definedName name="IHL">#REF!</definedName>
    <definedName name="II" hidden="1">{#N/A,#N/A,FALSE,"CAT3516";#N/A,#N/A,FALSE,"CAT3608";#N/A,#N/A,FALSE,"Wartsila";#N/A,#N/A,FALSE,"Asm";#N/A,#N/A,FALSE,"DG cost"}</definedName>
    <definedName name="II_1" hidden="1">{#N/A,#N/A,FALSE,"CAT3516";#N/A,#N/A,FALSE,"CAT3608";#N/A,#N/A,FALSE,"Wartsila";#N/A,#N/A,FALSE,"Asm";#N/A,#N/A,FALSE,"DG cost"}</definedName>
    <definedName name="III">#REF!</definedName>
    <definedName name="III___0">#REF!</definedName>
    <definedName name="iiiiiiiii">INDEX(#REF!,0,1)</definedName>
    <definedName name="iiiiiiiiiiii">#N/A</definedName>
    <definedName name="iiiooii" hidden="1">{"Econ Consolidado",#N/A,FALSE,"Econ Consol";"Fluxo de Caixa",#N/A,FALSE,"Fluxo Caixa";"Investimentos",#N/A,FALSE,"Investimentos"}</definedName>
    <definedName name="iiis">#REF!</definedName>
    <definedName name="IJKLM">#REF!</definedName>
    <definedName name="IKB_1">#REF!</definedName>
    <definedName name="IKB_2">#REF!</definedName>
    <definedName name="IKB_4">#REF!</definedName>
    <definedName name="IKB_5">#REF!</definedName>
    <definedName name="IKB_7">#REF!</definedName>
    <definedName name="IL">#REF!</definedName>
    <definedName name="ILLAST">#REF!</definedName>
    <definedName name="Img_ML_1a9i6f1a" hidden="1">"IMG_18"</definedName>
    <definedName name="Img_ML_2b1a1a6f" hidden="1">"IMG_11"</definedName>
    <definedName name="Img_ML_2b2b8h8h" hidden="1">"IMG_10"</definedName>
    <definedName name="Img_ML_2b4d2b3c" hidden="1">"IMG_18"</definedName>
    <definedName name="Img_ML_2e1r5p2m" hidden="1">"IMG_4"</definedName>
    <definedName name="Img_ML_3c7g1a7g" hidden="1">"IMG_3"</definedName>
    <definedName name="Img_ML_3c9i9i4d" hidden="1">"IMG_11"</definedName>
    <definedName name="Img_ML_4d2b6f6f" hidden="1">"IMG_18"</definedName>
    <definedName name="Img_ML_4d4d7g3c" hidden="1">"IMG_5"</definedName>
    <definedName name="Img_ML_4u3z1k5l" hidden="1">"IMG_10"</definedName>
    <definedName name="Img_ML_5e1a1a7g" hidden="1">"IMG_18"</definedName>
    <definedName name="Img_ML_5e7g5e5e" hidden="1">"IMG_17"</definedName>
    <definedName name="Img_ML_5e9i9i2b" hidden="1">"IMG_10"</definedName>
    <definedName name="Img_ML_5h6q3g8u" hidden="1">"IMG_11"</definedName>
    <definedName name="Img_ML_6f2b1a5e" hidden="1">"IMG_5"</definedName>
    <definedName name="Img_ML_6f9i2b5e" hidden="1">"IMG_18"</definedName>
    <definedName name="Img_ML_6k4t7z9z" hidden="1">"IMG_10"</definedName>
    <definedName name="Img_ML_7g5e5e2b" hidden="1">"IMG_3"</definedName>
    <definedName name="Img_ML_7j6w4l1i" hidden="1">"IMG_10"</definedName>
    <definedName name="Img_ML_7m5m4k3b" hidden="1">"IMG_11"</definedName>
    <definedName name="Img_ML_8h5e9i3c" hidden="1">"IMG_17"</definedName>
    <definedName name="Img_ML_8h7g3c9i" hidden="1">"IMG_5"</definedName>
    <definedName name="Img_ML_8h7g4d4d" hidden="1">"IMG_3"</definedName>
    <definedName name="Img_Production_Breakdown" hidden="1">"IMG_3"</definedName>
    <definedName name="IMMPRO">#REF!</definedName>
    <definedName name="imob"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1" hidden="1">{#N/A,#N/A,FALSE,"DRE-2";#N/A,#N/A,FALSE,"DRE";#N/A,#N/A,FALSE,"ANEX-07";#N/A,#N/A,FALSE,"ANEX-08";#N/A,#N/A,FALSE,"ANEX-09";#N/A,#N/A,FALSE,"ANEX-10";#N/A,#N/A,FALSE,"ANEX-11";#N/A,#N/A,FALSE,"ANEX-12";#N/A,#N/A,FALSE,"ANEX-13";#N/A,#N/A,FALSE,"ANEX-14";#N/A,#N/A,FALSE,"BALPTR"}</definedName>
    <definedName name="imob1_1" hidden="1">{#N/A,#N/A,FALSE,"DRE-2";#N/A,#N/A,FALSE,"DRE";#N/A,#N/A,FALSE,"ANEX-07";#N/A,#N/A,FALSE,"ANEX-08";#N/A,#N/A,FALSE,"ANEX-09";#N/A,#N/A,FALSE,"ANEX-10";#N/A,#N/A,FALSE,"ANEX-11";#N/A,#N/A,FALSE,"ANEX-12";#N/A,#N/A,FALSE,"ANEX-13";#N/A,#N/A,FALSE,"ANEX-14";#N/A,#N/A,FALSE,"BALPTR"}</definedName>
    <definedName name="imob1_2" hidden="1">{#N/A,#N/A,FALSE,"DRE-2";#N/A,#N/A,FALSE,"DRE";#N/A,#N/A,FALSE,"ANEX-07";#N/A,#N/A,FALSE,"ANEX-08";#N/A,#N/A,FALSE,"ANEX-09";#N/A,#N/A,FALSE,"ANEX-10";#N/A,#N/A,FALSE,"ANEX-11";#N/A,#N/A,FALSE,"ANEX-12";#N/A,#N/A,FALSE,"ANEX-13";#N/A,#N/A,FALSE,"ANEX-14";#N/A,#N/A,FALSE,"BALPTR"}</definedName>
    <definedName name="imob1_3" hidden="1">{#N/A,#N/A,FALSE,"DRE-2";#N/A,#N/A,FALSE,"DRE";#N/A,#N/A,FALSE,"ANEX-07";#N/A,#N/A,FALSE,"ANEX-08";#N/A,#N/A,FALSE,"ANEX-09";#N/A,#N/A,FALSE,"ANEX-10";#N/A,#N/A,FALSE,"ANEX-11";#N/A,#N/A,FALSE,"ANEX-12";#N/A,#N/A,FALSE,"ANEX-13";#N/A,#N/A,FALSE,"ANEX-14";#N/A,#N/A,FALSE,"BALPTR"}</definedName>
    <definedName name="imob1_4" hidden="1">{#N/A,#N/A,FALSE,"DRE-2";#N/A,#N/A,FALSE,"DRE";#N/A,#N/A,FALSE,"ANEX-07";#N/A,#N/A,FALSE,"ANEX-08";#N/A,#N/A,FALSE,"ANEX-09";#N/A,#N/A,FALSE,"ANEX-10";#N/A,#N/A,FALSE,"ANEX-11";#N/A,#N/A,FALSE,"ANEX-12";#N/A,#N/A,FALSE,"ANEX-13";#N/A,#N/A,FALSE,"ANEX-14";#N/A,#N/A,FALSE,"BALPTR"}</definedName>
    <definedName name="imob1_5" hidden="1">{#N/A,#N/A,FALSE,"DRE-2";#N/A,#N/A,FALSE,"DRE";#N/A,#N/A,FALSE,"ANEX-07";#N/A,#N/A,FALSE,"ANEX-08";#N/A,#N/A,FALSE,"ANEX-09";#N/A,#N/A,FALSE,"ANEX-10";#N/A,#N/A,FALSE,"ANEX-11";#N/A,#N/A,FALSE,"ANEX-12";#N/A,#N/A,FALSE,"ANEX-13";#N/A,#N/A,FALSE,"ANEX-14";#N/A,#N/A,FALSE,"BALPTR"}</definedName>
    <definedName name="impA.1.a.b2">#REF!</definedName>
    <definedName name="impA.1.a.b3">#REF!</definedName>
    <definedName name="impA.1.a.b4">#REF!</definedName>
    <definedName name="impA.1.a.b5">#REF!</definedName>
    <definedName name="impA.1.a.b6">#REF!</definedName>
    <definedName name="impA.1.a.b7">#REF!</definedName>
    <definedName name="impA.1.a.b8">#REF!</definedName>
    <definedName name="impA.1.a.b9">#REF!</definedName>
    <definedName name="impA.1.b2">#REF!</definedName>
    <definedName name="impA.1.b3">#REF!</definedName>
    <definedName name="impA.1.b4">#REF!</definedName>
    <definedName name="impA.1.b5">#REF!</definedName>
    <definedName name="impA.1.b6">#REF!</definedName>
    <definedName name="impA.1.b7">#REF!</definedName>
    <definedName name="impA.1.b8">#REF!</definedName>
    <definedName name="Impact___Rate_Gain____Loss__on_stocks_as_on_Aug_05">#REF!</definedName>
    <definedName name="impB.1.a.b1">#REF!</definedName>
    <definedName name="impB.1.a.b11">#REF!</definedName>
    <definedName name="impB.1.a.b12">#REF!</definedName>
    <definedName name="impB.1.a.b13">#REF!</definedName>
    <definedName name="impB.1.a.b14">#REF!</definedName>
    <definedName name="impB.1.a.b15">#REF!</definedName>
    <definedName name="impB.1.a.b16">#REF!</definedName>
    <definedName name="impB.1.a.b17">#REF!</definedName>
    <definedName name="impB.1.a.b18">#REF!</definedName>
    <definedName name="impB.1.a.b2">#REF!</definedName>
    <definedName name="impb.1.a.b3">#REF!</definedName>
    <definedName name="impB.1.a.b4">#REF!</definedName>
    <definedName name="impB.1.a.b5">#REF!</definedName>
    <definedName name="impB.1.a.b6">#REF!</definedName>
    <definedName name="impB.1.a.b7">#REF!</definedName>
    <definedName name="impB.1.a.b8">#REF!</definedName>
    <definedName name="impB.1.a.b9">#REF!</definedName>
    <definedName name="impB.1.a.d17">#REF!</definedName>
    <definedName name="impB.1.a18">#REF!</definedName>
    <definedName name="impB.1.a9">#REF!</definedName>
    <definedName name="impB.1.bstart">#REF!</definedName>
    <definedName name="impB.1.f2">#REF!</definedName>
    <definedName name="impB.1.f3">#REF!</definedName>
    <definedName name="impB.1.f4">#REF!</definedName>
    <definedName name="impB.1.g2">#REF!</definedName>
    <definedName name="impB.1.g3">#REF!</definedName>
    <definedName name="impB.1.g4">#REF!</definedName>
    <definedName name="impB.2.a1">#REF!</definedName>
    <definedName name="impB.2.a2">#REF!</definedName>
    <definedName name="impB.2.b2">#REF!</definedName>
    <definedName name="impCapa1">#REF!</definedName>
    <definedName name="ImpGestion">#REF!</definedName>
    <definedName name="IMPORT">#REF!</definedName>
    <definedName name="ImportFile">#N/A</definedName>
    <definedName name="impostos">8.65%</definedName>
    <definedName name="Impressão_Completa">#REF!</definedName>
    <definedName name="Impression_Caseàcocher43_QuandClic">#REF!</definedName>
    <definedName name="inacq1">#REF!,#REF!,#REF!,#REF!,#REF!,#REF!,#REF!,#REF!</definedName>
    <definedName name="inacq10">#REF!,#REF!,#REF!,#REF!,#REF!,#REF!</definedName>
    <definedName name="inacq11">#REF!,#REF!,#REF!,#REF!,#REF!,#REF!</definedName>
    <definedName name="inacq12">#REF!,#REF!,#REF!,#REF!,#REF!,#REF!</definedName>
    <definedName name="inacq13">#REF!,#REF!,#REF!,#REF!,#REF!,#REF!</definedName>
    <definedName name="inacq14">#REF!,#REF!,#REF!,#REF!,#REF!,#REF!</definedName>
    <definedName name="inacq15">#REF!,#REF!,#REF!,#REF!,#REF!,#REF!,#REF!</definedName>
    <definedName name="inacq16">#REF!,#REF!,#REF!,#REF!,#REF!,#REF!,#REF!</definedName>
    <definedName name="inacq17">#REF!,#REF!,#REF!,#REF!</definedName>
    <definedName name="inacq18">#REF!,#REF!</definedName>
    <definedName name="inacq2">#REF!,#REF!,#REF!,#REF!,#REF!,#REF!,#REF!,#REF!,#REF!</definedName>
    <definedName name="inacq3">#REF!,#REF!,#REF!,#REF!,#REF!,#REF!,#REF!,#REF!</definedName>
    <definedName name="inacq4">#REF!,#REF!,#REF!,#REF!,#REF!,#REF!,#REF!,#REF!</definedName>
    <definedName name="inacq5">#REF!,#REF!,#REF!,#REF!,#REF!,#REF!,#REF!</definedName>
    <definedName name="inacq6">#REF!,#REF!,#REF!,#REF!,#REF!,#REF!,#REF!,#REF!,#REF!</definedName>
    <definedName name="inacq7">#REF!,#REF!,#REF!,#REF!,#REF!,#REF!</definedName>
    <definedName name="inacq8">#REF!,#REF!,#REF!,#REF!,#REF!,#REF!,#REF!</definedName>
    <definedName name="inacq9">#REF!,#REF!,#REF!,#REF!,#REF!,#REF!</definedName>
    <definedName name="IncDecFinishedGoodsActual">#REF!</definedName>
    <definedName name="IncDecFinishedGoodsAndProcessStockAprActual">#REF!</definedName>
    <definedName name="IncDecFinishedGoodsAndProcessStockAugProj">#REF!</definedName>
    <definedName name="IncDecFinishedGoodsAndProcessStockDecProj">#REF!</definedName>
    <definedName name="IncDecFinishedGoodsAndProcessStockFebProj">#REF!</definedName>
    <definedName name="IncDecFinishedGoodsAndProcessStockJanProj">#REF!</definedName>
    <definedName name="IncDecFinishedGoodsAndProcessStockJulyProj">#REF!</definedName>
    <definedName name="IncDecFinishedGoodsAndProcessStockJuneProj">#REF!</definedName>
    <definedName name="IncDecFinishedGoodsAndProcessStockMarProj">#REF!</definedName>
    <definedName name="IncDecFinishedGoodsAndProcessStockMayActual">#REF!</definedName>
    <definedName name="IncDecFinishedGoodsAndProcessStockNovProj">#REF!</definedName>
    <definedName name="IncDecFinishedGoodsAndProcessStockOctProj">#REF!</definedName>
    <definedName name="IncDecFinishedGoodsAndProcessStockSepProj">#REF!</definedName>
    <definedName name="IncDecFinishedGoodsAndProcessStockTotalLE">#REF!</definedName>
    <definedName name="IncDecFinishedGoodsDevToLE">#REF!</definedName>
    <definedName name="IncDecFinishedGoodsDevToLY">#REF!</definedName>
    <definedName name="IncDecFinishedGoodsLE">#REF!</definedName>
    <definedName name="IncDecFinishedGoodsLY">#REF!</definedName>
    <definedName name="IncDecFinishedGoodsMonthActual">#REF!</definedName>
    <definedName name="IncDecFinishedGoodsMonthBudget">#REF!</definedName>
    <definedName name="IncDecFinishedGoodsMonthDevToBud">#REF!</definedName>
    <definedName name="IncDecFinishedGoodsYearBudget">#REF!</definedName>
    <definedName name="IncDecFinishedGoodsYearDevToBud">#REF!</definedName>
    <definedName name="IncDecFinishedObjects">#REF!</definedName>
    <definedName name="IncDecOfFinishedGoodsMonthActuals">#REF!</definedName>
    <definedName name="IncDecOfFinishedGoodsMonthBudget">#REF!</definedName>
    <definedName name="IncDecOfFinishedGoodsMonthDevToBud">#REF!</definedName>
    <definedName name="IncDecOfFinishedGoodsMonthDevToLE">#REF!</definedName>
    <definedName name="IncDecOfFinishedGoodsMonthLE">#REF!</definedName>
    <definedName name="IncDecOfFinishedGoodsYearActual">#REF!</definedName>
    <definedName name="IncDecOfFinishedGoodsYearBudget">#REF!</definedName>
    <definedName name="IncDecOfFinishedGoodsYearDevToBud">#REF!</definedName>
    <definedName name="IncDecOfFinishedGoodsYearDevToLY">#REF!</definedName>
    <definedName name="IncDecOfFinishedGoodsYearLY">#REF!</definedName>
    <definedName name="incom1">#REF!,#REF!,#REF!,#REF!,#REF!,#REF!</definedName>
    <definedName name="incom10">#REF!,#REF!,#REF!,#REF!,#REF!,#REF!</definedName>
    <definedName name="incom11">#REF!,#REF!,#REF!,#REF!,#REF!,#REF!</definedName>
    <definedName name="incom12">#REF!,#REF!,#REF!,#REF!,#REF!,#REF!</definedName>
    <definedName name="incom13">#REF!,#REF!,#REF!,#REF!,#REF!,#REF!</definedName>
    <definedName name="incom14">#REF!,#REF!,#REF!,#REF!,#REF!,#REF!</definedName>
    <definedName name="incom15">#REF!,#REF!,#REF!,#REF!,#REF!,#REF!</definedName>
    <definedName name="incom16">#REF!,#REF!,#REF!,#REF!,#REF!,#REF!</definedName>
    <definedName name="incom17">#REF!,#REF!,#REF!,#REF!,#REF!,#REF!</definedName>
    <definedName name="incom18">#REF!,#REF!,#REF!,#REF!,#REF!,#REF!</definedName>
    <definedName name="incom19">#REF!,#REF!,#REF!,#REF!,#REF!,#REF!</definedName>
    <definedName name="incom2">#REF!,#REF!,#REF!,#REF!,#REF!,#REF!</definedName>
    <definedName name="incom20">#REF!,#REF!,#REF!,#REF!,#REF!,#REF!</definedName>
    <definedName name="incom21">#REF!,#REF!,#REF!,#REF!,#REF!,#REF!</definedName>
    <definedName name="incom22">#REF!,#REF!,#REF!,#REF!,#REF!,#REF!</definedName>
    <definedName name="incom23">#REF!,#REF!,#REF!,#REF!,#REF!,#REF!</definedName>
    <definedName name="incom24">#REF!,#REF!,#REF!,#REF!,#REF!,#REF!</definedName>
    <definedName name="incom25">#REF!,#REF!,#REF!</definedName>
    <definedName name="incom26">#REF!,#REF!,#REF!,#REF!,#REF!,#REF!,#REF!</definedName>
    <definedName name="incom28">#REF!,#REF!,#REF!,#REF!,#REF!,#REF!,#REF!</definedName>
    <definedName name="incom29">#REF!,#REF!,#REF!,#REF!,#REF!,#REF!</definedName>
    <definedName name="incom3">#REF!,#REF!,#REF!,#REF!,#REF!,#REF!</definedName>
    <definedName name="incom30">#REF!,#REF!,#REF!,#REF!</definedName>
    <definedName name="incom4">#REF!,#REF!,#REF!,#REF!,#REF!,#REF!</definedName>
    <definedName name="incom5">#REF!,#REF!,#REF!,#REF!,#REF!,#REF!</definedName>
    <definedName name="incom6">#REF!,#REF!,#REF!,#REF!,#REF!,#REF!</definedName>
    <definedName name="incom7">#REF!,#REF!,#REF!,#REF!,#REF!,#REF!</definedName>
    <definedName name="incom8">#REF!,#REF!,#REF!,#REF!,#REF!,#REF!</definedName>
    <definedName name="incom9">#REF!,#REF!,#REF!,#REF!,#REF!,#REF!</definedName>
    <definedName name="Income_Tax">34%</definedName>
    <definedName name="IncrementalSalesTaxMonth1Budget">#REF!</definedName>
    <definedName name="IncrementCell">#REF!</definedName>
    <definedName name="IND">#REF!</definedName>
    <definedName name="inda">#REF!</definedName>
    <definedName name="Indeterm">#REF!</definedName>
    <definedName name="INDEX1">#REF!</definedName>
    <definedName name="INDEX2">#REF!</definedName>
    <definedName name="INDEX3">#REF!</definedName>
    <definedName name="INDIAN_RAYON_AND_INDUSTRIES_LIMITED">"ANNX1"</definedName>
    <definedName name="INDICADORES_DIVERSOS">#REF!</definedName>
    <definedName name="INDUSTRY_MATERIAL_BALANCE">#REF!</definedName>
    <definedName name="INDUSTRY_MATERIAL_BALANCE___PROJECTIONS">#REF!</definedName>
    <definedName name="InevitableBudgetedCompletionDate">#REF!</definedName>
    <definedName name="InevitableCommitted">#REF!</definedName>
    <definedName name="InevitableExpectedCompletionDate">#REF!</definedName>
    <definedName name="InevitableExpectedTotalExpenditure">#REF!</definedName>
    <definedName name="InevitableExpenditureToDate">#REF!</definedName>
    <definedName name="InevitablePercentComp.">#REF!</definedName>
    <definedName name="InevitablePercentSanctioned">#REF!</definedName>
    <definedName name="InevitableReviewRequired">#REF!</definedName>
    <definedName name="InevitableSanctioned">#REF!</definedName>
    <definedName name="Inf">#REF!</definedName>
    <definedName name="Inflation">#REF!</definedName>
    <definedName name="InfoPane">#REF!</definedName>
    <definedName name="INFORMACION_PARA_GRAFICAS">#REF!</definedName>
    <definedName name="InformationPane">#REF!</definedName>
    <definedName name="InfpPane">#REF!</definedName>
    <definedName name="INFRA">#REF!</definedName>
    <definedName name="INI_CurMth">#REF!</definedName>
    <definedName name="Ini_CurUnit">#REF!</definedName>
    <definedName name="início">#REF!</definedName>
    <definedName name="Início_do_Empréstimo">#REF!</definedName>
    <definedName name="INIT">#REF!</definedName>
    <definedName name="INIT_1">"#REF!"</definedName>
    <definedName name="INIT_2">#REF!</definedName>
    <definedName name="INIT_3">#REF!</definedName>
    <definedName name="INIT_31">#REF!</definedName>
    <definedName name="INIT_4">#REF!</definedName>
    <definedName name="InLineRng">#REF!</definedName>
    <definedName name="Inner_Jacket_Thickness">#REF!</definedName>
    <definedName name="Inner_layer">#REF!</definedName>
    <definedName name="inpdata">#REF!</definedName>
    <definedName name="input">#REF!</definedName>
    <definedName name="inputarea1">#REF!,#REF!</definedName>
    <definedName name="inputarea3">#REF!,#REF!</definedName>
    <definedName name="InputMaterialCostAprActual">#REF!</definedName>
    <definedName name="InputMaterialCostDecProj">#REF!</definedName>
    <definedName name="InputMaterialCostFebProj">#REF!</definedName>
    <definedName name="InputMaterialCostJanProj">#REF!</definedName>
    <definedName name="InputMaterialCostJulyProj">#REF!</definedName>
    <definedName name="InputMaterialCostJuneProj">#REF!</definedName>
    <definedName name="InputMaterialCostMarProj">#REF!</definedName>
    <definedName name="InputMaterialCostMayActual">#REF!</definedName>
    <definedName name="InputMaterialCostNov">#REF!</definedName>
    <definedName name="InputMaterialCostOctProj">#REF!</definedName>
    <definedName name="InputMaterialCostSepProj">#REF!</definedName>
    <definedName name="InputMaterialCostTotalLE">#REF!</definedName>
    <definedName name="InputMaterialsCostDevToLE">#REF!</definedName>
    <definedName name="InputMaterialsCostDevToLY">#REF!</definedName>
    <definedName name="InputMaterialsCostLE">#REF!</definedName>
    <definedName name="InputMaterialsCostLY">#REF!</definedName>
    <definedName name="InputMaterialsCostMonthActual">#REF!</definedName>
    <definedName name="InputMaterialsCostMonthBudget">#REF!</definedName>
    <definedName name="InputMaterialsCostMonthDevToBud">#REF!</definedName>
    <definedName name="InputMaterialsCostSept">#REF!</definedName>
    <definedName name="InputMaterialsCostYearActual">#REF!</definedName>
    <definedName name="InputMaterialsCostYearBudget">#REF!</definedName>
    <definedName name="InputMaterialsCostYearDevToBud">#REF!</definedName>
    <definedName name="inputs">#REF!</definedName>
    <definedName name="inr">#REF!</definedName>
    <definedName name="INSAIRCOM">"$#REF!.$D$169"</definedName>
    <definedName name="INSR">#REF!</definedName>
    <definedName name="INSTALL_PERCENT">#REF!</definedName>
    <definedName name="INSTALL_TEMP">#REF!</definedName>
    <definedName name="Installation_Sag">#REF!</definedName>
    <definedName name="INT">#REF!</definedName>
    <definedName name="int.mrgn.fclty2">#REF!</definedName>
    <definedName name="int.mrgn.fclty2.pst.cod">#REF!</definedName>
    <definedName name="int.mrgn.fclty3">#REF!</definedName>
    <definedName name="int.mrgn.fclty3.pst.cod">#REF!</definedName>
    <definedName name="INT_Condition">#REF!</definedName>
    <definedName name="intar1">#REF!,#REF!,#REF!,#REF!,#REF!,#REF!</definedName>
    <definedName name="intar10">#REF!,#REF!,#REF!,#REF!,#REF!,#REF!,#REF!</definedName>
    <definedName name="intar11">#REF!,#REF!,#REF!,#REF!,#REF!,#REF!,#REF!</definedName>
    <definedName name="intar12">#REF!,#REF!,#REF!,#REF!,#REF!,#REF!</definedName>
    <definedName name="intar13">#REF!,#REF!,#REF!,#REF!,#REF!,#REF!</definedName>
    <definedName name="intar14">#REF!,#REF!,#REF!,#REF!,#REF!,#REF!</definedName>
    <definedName name="intar15">#REF!,#REF!,#REF!,#REF!,#REF!,#REF!</definedName>
    <definedName name="intar16">#REF!,#REF!,#REF!,#REF!,#REF!,#REF!</definedName>
    <definedName name="intar17">#REF!,#REF!</definedName>
    <definedName name="intar18">#REF!</definedName>
    <definedName name="intar19">#REF!,#REF!,#REF!,#REF!</definedName>
    <definedName name="intar2">#REF!,#REF!,#REF!,#REF!,#REF!,#REF!,#REF!,#REF!</definedName>
    <definedName name="intar3">#REF!,#REF!,#REF!,#REF!,#REF!,#REF!,#REF!</definedName>
    <definedName name="intar4">#REF!,#REF!,#REF!,#REF!,#REF!,#REF!,#REF!,#REF!</definedName>
    <definedName name="intar6">#REF!,#REF!,#REF!,#REF!,#REF!,#REF!,#REF!</definedName>
    <definedName name="intar7">#REF!,#REF!,#REF!,#REF!,#REF!,#REF!,#REF!</definedName>
    <definedName name="intar8">#REF!,#REF!,#REF!,#REF!</definedName>
    <definedName name="intar9">#REF!,#REF!,#REF!,#REF!,#REF!,#REF!,#REF!,#REF!</definedName>
    <definedName name="IntCost2">#REF!</definedName>
    <definedName name="IntCY">#REF!</definedName>
    <definedName name="INTER">#REF!</definedName>
    <definedName name="Interest">#REF!</definedName>
    <definedName name="InterestCY">#REF!</definedName>
    <definedName name="InterestExpenseAprActual">#REF!</definedName>
    <definedName name="InterestExpenseAugProj">#REF!</definedName>
    <definedName name="InterestExpenseDecProj">#REF!</definedName>
    <definedName name="InterestExpenseFebProj">#REF!</definedName>
    <definedName name="InterestExpenseJanProj">#REF!</definedName>
    <definedName name="InterestExpenseJulyProj">#REF!</definedName>
    <definedName name="InterestExpenseJuneProj">#REF!</definedName>
    <definedName name="InterestExpenseMarProj">#REF!</definedName>
    <definedName name="InterestExpenseMayActual">#REF!</definedName>
    <definedName name="InterestExpenseMonthActuals">#REF!</definedName>
    <definedName name="InterestExpenseMonthBudget">#REF!</definedName>
    <definedName name="InterestExpenseMonthDevToBud">#REF!</definedName>
    <definedName name="InterestExpenseMonthDevToLE">#REF!</definedName>
    <definedName name="InterestExpenseMonthLE">#REF!</definedName>
    <definedName name="InterestExpenseNovProj">#REF!</definedName>
    <definedName name="InterestExpenseOctActual">#REF!</definedName>
    <definedName name="InterestExpenseOctProj">#REF!</definedName>
    <definedName name="InterestExpenseSepProj">#REF!</definedName>
    <definedName name="InterestExpenseTotalLE">#REF!</definedName>
    <definedName name="InterestExpenseYearActual">#REF!</definedName>
    <definedName name="InterestExpenseYearBudget">#REF!</definedName>
    <definedName name="InterestExpenseYearDevToBud">#REF!</definedName>
    <definedName name="InterestExpenseYearDevToLY">#REF!</definedName>
    <definedName name="InterestExpenseYearLY">#REF!</definedName>
    <definedName name="InterestOnDebtMonth1Actuals">#REF!</definedName>
    <definedName name="InterestOnDebtMonth1Budget">#REF!</definedName>
    <definedName name="InterestOnDebtMonth2Actuals">#REF!</definedName>
    <definedName name="InterestOnDebtMonth2Budget">#REF!</definedName>
    <definedName name="InterestOnDebtMonth3Actuals">#REF!</definedName>
    <definedName name="InterestOnDebtMonth3Budget">#REF!</definedName>
    <definedName name="InterestOnDebtMonth4Actuals">#REF!</definedName>
    <definedName name="InterestOnDebtMonth4Budget">#REF!</definedName>
    <definedName name="InterestOnDebtYTDActuals">#REF!</definedName>
    <definedName name="InterestOnDebtYTDBudget">#REF!</definedName>
    <definedName name="InterestOnTermLoanBorrowing">#REF!</definedName>
    <definedName name="InterestOnTermLoanBorrowingApr">#REF!</definedName>
    <definedName name="InterestOnTermLoanBorrowingAugust">#REF!</definedName>
    <definedName name="InterestOnTermLoanBorrowingDec">#REF!</definedName>
    <definedName name="InterestOnTermLoanBorrowingFeb">#REF!</definedName>
    <definedName name="InterestOnTermLoanBorrowingJan">#REF!</definedName>
    <definedName name="InterestOnTermLoanBorrowingJuly">#REF!</definedName>
    <definedName name="InterestOnTermLoanBorrowingJune">#REF!</definedName>
    <definedName name="InterestOnTermLoanBorrowingMarch">#REF!</definedName>
    <definedName name="InterestOnTermLoanBorrowingMay">#REF!</definedName>
    <definedName name="InterestOnTermLoanBorrowingNov">#REF!</definedName>
    <definedName name="InterestOnTermLoanBorrowingOct">#REF!</definedName>
    <definedName name="InterestOnTermLoanBorrowingSept">#REF!</definedName>
    <definedName name="InterestOnTermLoanDevToLE">#REF!</definedName>
    <definedName name="InterestOnTermLoanDevToLY">#REF!</definedName>
    <definedName name="InterestOnTermLoanLE">#REF!</definedName>
    <definedName name="InterestOnTermLoanLY">#REF!</definedName>
    <definedName name="InterestOnTermLoanMonthActual">#REF!</definedName>
    <definedName name="InterestOnTermLoanMonthBudget">#REF!</definedName>
    <definedName name="InterestOnTermLoanMonthDevToBud">#REF!</definedName>
    <definedName name="InterestOnTermLoanYearActual">#REF!</definedName>
    <definedName name="InterestOnTermLoanYearBudget">#REF!</definedName>
    <definedName name="InterestOnTermLoanYearDevToBud">#REF!</definedName>
    <definedName name="InterestOnWCActuals">#REF!</definedName>
    <definedName name="InterestOnWCAndFinanceChargesActual">#REF!</definedName>
    <definedName name="InterestOnWCAndFinanceChargesBudget">#REF!</definedName>
    <definedName name="InterestOnWCAndFinanceChargesDevToBudget">#REF!</definedName>
    <definedName name="InterestOnWCAndFinanceDevToLE">#REF!</definedName>
    <definedName name="InterestOnWCAndFinanceDevToLY">#REF!</definedName>
    <definedName name="InterestOnWCAndFinanceLE">#REF!</definedName>
    <definedName name="InterestOnWCAndFinanceLY">#REF!</definedName>
    <definedName name="InterestOnWCAndFinanceMonthActual">#REF!</definedName>
    <definedName name="InterestOnWCAndFinanceMonthBudget">#REF!</definedName>
    <definedName name="InterestOnWCAndFinanceMonthDevToBud">#REF!</definedName>
    <definedName name="InterestOnWCAndFinanceYearActual">#REF!</definedName>
    <definedName name="InterestOnWCAndFinanceYearBudget">#REF!</definedName>
    <definedName name="InterestOnWCAndFinanceYearDevToBud">#REF!</definedName>
    <definedName name="InterestOnWCBudget">#REF!</definedName>
    <definedName name="InterestOnWCDEviation">#REF!</definedName>
    <definedName name="InterestOnWCDEvToLE">#REF!</definedName>
    <definedName name="InterestOnWCFinanceChargesAnnualBudget">#REF!</definedName>
    <definedName name="InterestOnWCFinanceChargesApr">#REF!</definedName>
    <definedName name="InterestOnWCFinanceChargesAugust">#REF!</definedName>
    <definedName name="InterestOnWCFinanceChargesDec">#REF!</definedName>
    <definedName name="InterestOnWCFinanceChargesFeb">#REF!</definedName>
    <definedName name="InterestOnWCFinanceChargesJan">#REF!</definedName>
    <definedName name="InterestOnWCFinanceChargesJuly">#REF!</definedName>
    <definedName name="InterestOnWCFinanceChargesJune">#REF!</definedName>
    <definedName name="InterestOnWCFinanceChargesLatestEstimate">#REF!</definedName>
    <definedName name="InterestOnWCFinanceChargesMarch">#REF!</definedName>
    <definedName name="InterestOnWCFinanceChargesMay">#REF!</definedName>
    <definedName name="InterestOnWCFinanceChargesNov">#REF!</definedName>
    <definedName name="InterestOnWCFinanceChargesOct">#REF!</definedName>
    <definedName name="InterestOnWCFinanceChargesPrevActual">#REF!</definedName>
    <definedName name="InterestOnWCFinanceChargesPrevAnnualBudget">#REF!</definedName>
    <definedName name="InterestOnWCFinanceChargesSept">#REF!</definedName>
    <definedName name="InterestOnWCLE">#REF!</definedName>
    <definedName name="InterestOnWCYTDActuals">#REF!</definedName>
    <definedName name="InterestOnWCYTDBudget">#REF!</definedName>
    <definedName name="InterestOnWCYTDDEviation">#REF!</definedName>
    <definedName name="InterestOnWCYTDDevToLY">#REF!</definedName>
    <definedName name="InterestOnWCYTDLY">#REF!</definedName>
    <definedName name="InterestPeriods">#REF!</definedName>
    <definedName name="InterestRateBenchMark">#REF!</definedName>
    <definedName name="InterestWCTotalLE">#REF!</definedName>
    <definedName name="INTERMIL">#REF!</definedName>
    <definedName name="INTERMIL_27">"$"</definedName>
    <definedName name="intro">#REF!</definedName>
    <definedName name="IntroPrintArea" hidden="1">#REF!</definedName>
    <definedName name="intt2002">#REF!</definedName>
    <definedName name="intt2002_1">NA()</definedName>
    <definedName name="intt2002_2">#REF!</definedName>
    <definedName name="intt2002_31">#REF!</definedName>
    <definedName name="intt2002_4">#REF!</definedName>
    <definedName name="intt2002_5">#REF!</definedName>
    <definedName name="InventoriesCY">#REF!</definedName>
    <definedName name="InventoriesLY">#REF!</definedName>
    <definedName name="InventoryAprActual">#REF!</definedName>
    <definedName name="InventoryAugProj">#REF!</definedName>
    <definedName name="InventoryDecProj">#REF!</definedName>
    <definedName name="InventoryFebProj">#REF!</definedName>
    <definedName name="InventoryJanbProj">#REF!</definedName>
    <definedName name="InventoryJanProj">#REF!</definedName>
    <definedName name="InventoryJulyProj">#REF!</definedName>
    <definedName name="InventoryJuneProj">#REF!</definedName>
    <definedName name="InventoryMarProj">#REF!</definedName>
    <definedName name="InventoryMayActual">#REF!</definedName>
    <definedName name="InventoryMonthBudget">#REF!</definedName>
    <definedName name="InventoryMonthDevToBud">#REF!</definedName>
    <definedName name="InventoryMonthDevToLE">#REF!</definedName>
    <definedName name="InventoryMonthLE">#REF!</definedName>
    <definedName name="InventoryNovProj">#REF!</definedName>
    <definedName name="InventoryOctProj">#REF!</definedName>
    <definedName name="InventorySepProj">#REF!</definedName>
    <definedName name="InventoryTotalLE">#REF!</definedName>
    <definedName name="InventoryYearActual">#REF!</definedName>
    <definedName name="InventoryYearBudget">#REF!</definedName>
    <definedName name="InventoryYearDevToBud">#REF!</definedName>
    <definedName name="InventoryYearDevToLY">#REF!</definedName>
    <definedName name="InventoryYearLY">#REF!</definedName>
    <definedName name="Invest20032026" hidden="1">#REF!</definedName>
    <definedName name="INVESTMENTS">#REF!</definedName>
    <definedName name="INVESTMENTS_31">#REF!</definedName>
    <definedName name="InvestmentsAprActual">#REF!</definedName>
    <definedName name="InvestmentsAugProj">#REF!</definedName>
    <definedName name="InvestmentsDecProj">#REF!</definedName>
    <definedName name="InvestmentsFebProj">#REF!</definedName>
    <definedName name="InvestmentsJanProj">#REF!</definedName>
    <definedName name="InvestmentsJulyProj">#REF!</definedName>
    <definedName name="InvestmentsJuneACtual">#REF!</definedName>
    <definedName name="InvestmentsMarProj">#REF!</definedName>
    <definedName name="InvestmentsMayActual">#REF!</definedName>
    <definedName name="InvestmentsMonthBudget">#REF!</definedName>
    <definedName name="InvestmentsMonthDevToBud">#REF!</definedName>
    <definedName name="InvestmentsMonthDevToLE">#REF!</definedName>
    <definedName name="InvestmentsMonthLE">#REF!</definedName>
    <definedName name="InvestmentsNovProj">#REF!</definedName>
    <definedName name="InvestmentsOctProj">#REF!</definedName>
    <definedName name="InvestmentsSepProj">#REF!</definedName>
    <definedName name="InvestmentsTotalLE">#REF!</definedName>
    <definedName name="InvestmentsYearBudget">#REF!</definedName>
    <definedName name="InvestmentsYearDevToBud">#REF!</definedName>
    <definedName name="InvestmentsYearDevToLY">#REF!</definedName>
    <definedName name="InvestmentsYearLY">#REF!</definedName>
    <definedName name="INVOICE">#REF!</definedName>
    <definedName name="invwc">#REF!</definedName>
    <definedName name="invwc2">#REF!</definedName>
    <definedName name="invwc3">#REF!</definedName>
    <definedName name="IOE">#REF!</definedName>
    <definedName name="IOM_CALCU">#REF!</definedName>
    <definedName name="IP" hidden="1">{#N/A,#N/A,FALSE,"Pharm";#N/A,#N/A,FALSE,"WWCM"}</definedName>
    <definedName name="IPMaterialCostMonthActual">#REF!</definedName>
    <definedName name="IPMaterialCostMonthBudget">#REF!</definedName>
    <definedName name="IPMaterialCostMonthDevToBudget">#REF!</definedName>
    <definedName name="IPMaterialCostMonthDevToLE">#REF!</definedName>
    <definedName name="IPMaterialCostMonthLE">#REF!</definedName>
    <definedName name="IPMaterialCostYear">#REF!</definedName>
    <definedName name="IPMaterialCostYearActual">#REF!</definedName>
    <definedName name="IPMaterialCostYearBudget">#REF!</definedName>
    <definedName name="IPMaterialCostYearDevToBud">#REF!</definedName>
    <definedName name="IPMaterialCostYearDevToLY">#REF!</definedName>
    <definedName name="IPMaterialCostYearLY">#REF!</definedName>
    <definedName name="IPO">#REF!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REUT" hidden="1">"c5471"</definedName>
    <definedName name="IQ_BV_ACT_OR_EST_THOM" hidden="1">"c5308"</definedName>
    <definedName name="IQ_BV_EST">"c5624"</definedName>
    <definedName name="IQ_BV_EST_REUT" hidden="1">"c5403"</definedName>
    <definedName name="IQ_BV_EST_THOM" hidden="1">"c5147"</definedName>
    <definedName name="IQ_BV_HIGH_EST">"c5626"</definedName>
    <definedName name="IQ_BV_HIGH_EST_REUT" hidden="1">"c5405"</definedName>
    <definedName name="IQ_BV_HIGH_EST_THOM" hidden="1">"c5149"</definedName>
    <definedName name="IQ_BV_LOW_EST">"c5627"</definedName>
    <definedName name="IQ_BV_LOW_EST_REUT" hidden="1">"c5406"</definedName>
    <definedName name="IQ_BV_LOW_EST_THOM" hidden="1">"c5150"</definedName>
    <definedName name="IQ_BV_MEDIAN_EST">"c5625"</definedName>
    <definedName name="IQ_BV_MEDIAN_EST_REUT" hidden="1">"c5404"</definedName>
    <definedName name="IQ_BV_MEDIAN_EST_THOM" hidden="1">"c5148"</definedName>
    <definedName name="IQ_BV_NUM_EST">"c5628"</definedName>
    <definedName name="IQ_BV_NUM_EST_REUT" hidden="1">"c5407"</definedName>
    <definedName name="IQ_BV_NUM_EST_THOM" hidden="1">"c5151"</definedName>
    <definedName name="IQ_BV_OVER_SHARES" hidden="1">"c1349"</definedName>
    <definedName name="IQ_BV_SHARE" hidden="1">"c100"</definedName>
    <definedName name="IQ_BV_SHARE_ACT_OR_EST">"c3587"</definedName>
    <definedName name="IQ_BV_SHARE_ACT_OR_EST_REUT">"c5477"</definedName>
    <definedName name="IQ_BV_SHARE_EST">"c3541"</definedName>
    <definedName name="IQ_BV_SHARE_EST_REUT">"c5439"</definedName>
    <definedName name="IQ_BV_SHARE_HIGH_EST">"c3542"</definedName>
    <definedName name="IQ_BV_SHARE_HIGH_EST_REUT">"c5441"</definedName>
    <definedName name="IQ_BV_SHARE_LOW_EST">"c3543"</definedName>
    <definedName name="IQ_BV_SHARE_LOW_EST_REUT">"c5442"</definedName>
    <definedName name="IQ_BV_SHARE_MEDIAN_EST">"c3544"</definedName>
    <definedName name="IQ_BV_SHARE_MEDIAN_EST_REUT">"c5440"</definedName>
    <definedName name="IQ_BV_SHARE_NUM_EST">"c3539"</definedName>
    <definedName name="IQ_BV_SHARE_NUM_EST_REUT">"c5443"</definedName>
    <definedName name="IQ_BV_SHARE_STDDEV_EST">"c3540"</definedName>
    <definedName name="IQ_BV_SHARE_STDDEV_EST_REUT">"c5444"</definedName>
    <definedName name="IQ_BV_STDDEV_EST">"c5629"</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REUT" hidden="1">"c6800"</definedName>
    <definedName name="IQ_CAL_Y" hidden="1">"c102"</definedName>
    <definedName name="IQ_CAL_Y_EST" hidden="1">"c6797"</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"c3584"</definedName>
    <definedName name="IQ_CAPEX_ACT_OR_EST_REUT">"c5474"</definedName>
    <definedName name="IQ_CAPEX_BNK" hidden="1">"c110"</definedName>
    <definedName name="IQ_CAPEX_BR" hidden="1">"c111"</definedName>
    <definedName name="IQ_CAPEX_EST">"c3523"</definedName>
    <definedName name="IQ_CAPEX_EST_REUT">"c3969"</definedName>
    <definedName name="IQ_CAPEX_FIN" hidden="1">"c112"</definedName>
    <definedName name="IQ_CAPEX_GUIDANCE">"c4150"</definedName>
    <definedName name="IQ_CAPEX_HIGH_EST">"c3524"</definedName>
    <definedName name="IQ_CAPEX_HIGH_EST_REUT">"c3971"</definedName>
    <definedName name="IQ_CAPEX_HIGH_GUIDANCE">"c4180"</definedName>
    <definedName name="IQ_CAPEX_INS" hidden="1">"c113"</definedName>
    <definedName name="IQ_CAPEX_LOW_EST">"c3525"</definedName>
    <definedName name="IQ_CAPEX_LOW_EST_REUT">"c3972"</definedName>
    <definedName name="IQ_CAPEX_LOW_GUIDANCE">"c4220"</definedName>
    <definedName name="IQ_CAPEX_MEDIAN_EST">"c3526"</definedName>
    <definedName name="IQ_CAPEX_MEDIAN_EST_REUT">"c3970"</definedName>
    <definedName name="IQ_CAPEX_NUM_EST">"c3521"</definedName>
    <definedName name="IQ_CAPEX_NUM_EST_REUT">"c3973"</definedName>
    <definedName name="IQ_CAPEX_STDDEV_EST">"c3522"</definedName>
    <definedName name="IQ_CAPEX_STDDEV_EST_REUT">"c3974"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PS_ACT_OR_EST">"c5638"</definedName>
    <definedName name="IQ_CASH_EPS_EST">"c5631"</definedName>
    <definedName name="IQ_CASH_EPS_HIGH_EST">"c5633"</definedName>
    <definedName name="IQ_CASH_EPS_LOW_EST">"c5634"</definedName>
    <definedName name="IQ_CASH_EPS_MEDIAN_EST">"c5632"</definedName>
    <definedName name="IQ_CASH_EPS_NUM_EST">"c5635"</definedName>
    <definedName name="IQ_CASH_EPS_STDDEV_EST">"c5636"</definedName>
    <definedName name="IQ_CASH_EQUIV" hidden="1">"c118"</definedName>
    <definedName name="IQ_CASH_FINAN" hidden="1">"c119"</definedName>
    <definedName name="IQ_CASH_FLOW_ACT_OR_EST" hidden="1">"c4154"</definedName>
    <definedName name="IQ_CASH_FLOW_EST">"c4153"</definedName>
    <definedName name="IQ_CASH_FLOW_GUIDANCE">"c4155"</definedName>
    <definedName name="IQ_CASH_FLOW_HIGH_EST">"c4156"</definedName>
    <definedName name="IQ_CASH_FLOW_HIGH_GUIDANCE">"c4201"</definedName>
    <definedName name="IQ_CASH_FLOW_LOW_EST">"c4157"</definedName>
    <definedName name="IQ_CASH_FLOW_LOW_GUIDANCE">"c4241"</definedName>
    <definedName name="IQ_CASH_FLOW_MEDIAN_EST">"c4158"</definedName>
    <definedName name="IQ_CASH_FLOW_NUM_EST">"c4159"</definedName>
    <definedName name="IQ_CASH_FLOW_STDDEV_EST">"c4160"</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OPER" hidden="1">"c122"</definedName>
    <definedName name="IQ_CASH_OPER_ACT_OR_EST" hidden="1">"c4164"</definedName>
    <definedName name="IQ_CASH_OPER_EST">"c4163"</definedName>
    <definedName name="IQ_CASH_OPER_GUIDANCE">"c4165"</definedName>
    <definedName name="IQ_CASH_OPER_HIGH_EST">"c4166"</definedName>
    <definedName name="IQ_CASH_OPER_HIGH_GUIDANCE">"c4185"</definedName>
    <definedName name="IQ_CASH_OPER_LOW_EST">"c4244"</definedName>
    <definedName name="IQ_CASH_OPER_LOW_GUIDANCE">"c4225"</definedName>
    <definedName name="IQ_CASH_OPER_MEDIAN_EST">"c4245"</definedName>
    <definedName name="IQ_CASH_OPER_NUM_EST">"c4246"</definedName>
    <definedName name="IQ_CASH_OPER_STDDEV_EST">"c4247"</definedName>
    <definedName name="IQ_CASH_SEGREG" hidden="1">"c123"</definedName>
    <definedName name="IQ_CASH_SHARE" hidden="1">"c1911"</definedName>
    <definedName name="IQ_CASH_ST" hidden="1">"c1355"</definedName>
    <definedName name="IQ_CASH_ST_INVEST" hidden="1">"c124"</definedName>
    <definedName name="IQ_CASH_ST_INVEST_EST">"c4249"</definedName>
    <definedName name="IQ_CASH_ST_INVEST_GUIDANCE">"c4250"</definedName>
    <definedName name="IQ_CASH_ST_INVEST_HIGH_EST">"c4251"</definedName>
    <definedName name="IQ_CASH_ST_INVEST_HIGH_GUIDANCE">"c4195"</definedName>
    <definedName name="IQ_CASH_ST_INVEST_LOW_EST">"c4252"</definedName>
    <definedName name="IQ_CASH_ST_INVEST_LOW_GUIDANCE">"c4235"</definedName>
    <definedName name="IQ_CASH_ST_INVEST_MEDIAN_EST">"c4253"</definedName>
    <definedName name="IQ_CASH_ST_INVEST_NUM_EST">"c4254"</definedName>
    <definedName name="IQ_CASH_ST_INVEST_STDDEV_EST">"c4255"</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"c2217"</definedName>
    <definedName name="IQ_CFPS_ACT_OR_EST_REUT">"c5463"</definedName>
    <definedName name="IQ_CFPS_EST">"c1667"</definedName>
    <definedName name="IQ_CFPS_EST_REUT">"c3844"</definedName>
    <definedName name="IQ_CFPS_GUIDANCE">"c4256"</definedName>
    <definedName name="IQ_CFPS_HIGH_EST">"c1669"</definedName>
    <definedName name="IQ_CFPS_HIGH_EST_REUT">"c3846"</definedName>
    <definedName name="IQ_CFPS_HIGH_GUIDANCE">"c4167"</definedName>
    <definedName name="IQ_CFPS_LOW_EST">"c1670"</definedName>
    <definedName name="IQ_CFPS_LOW_EST_REUT">"c3847"</definedName>
    <definedName name="IQ_CFPS_LOW_GUIDANCE">"c4207"</definedName>
    <definedName name="IQ_CFPS_MEDIAN_EST">"c1668"</definedName>
    <definedName name="IQ_CFPS_MEDIAN_EST_REUT">"c3845"</definedName>
    <definedName name="IQ_CFPS_NUM_EST">"c1671"</definedName>
    <definedName name="IQ_CFPS_NUM_EST_REUT">"c3848"</definedName>
    <definedName name="IQ_CFPS_STDDEV_EST">"c1672"</definedName>
    <definedName name="IQ_CFPS_STDDEV_EST_REUT">"c3849"</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"c4257"</definedName>
    <definedName name="IQ_DEBT_EQUITY_HIGH_EST">"c4258"</definedName>
    <definedName name="IQ_DEBT_EQUITY_LOW_EST">"c4259"</definedName>
    <definedName name="IQ_DEBT_EQUITY_MEDIAN_EST">"c4260"</definedName>
    <definedName name="IQ_DEBT_EQUITY_NUM_EST">"c4261"</definedName>
    <definedName name="IQ_DEBT_EQUITY_STDDEV_EST">"c4262"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REUT">"c5436"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"c4263"</definedName>
    <definedName name="IQ_DILUT_OUTSTANDING_CURRENT_HIGH_EST">"c4264"</definedName>
    <definedName name="IQ_DILUT_OUTSTANDING_CURRENT_LOW_EST">"c4265"</definedName>
    <definedName name="IQ_DILUT_OUTSTANDING_CURRENT_MEDIAN_EST">"c4266"</definedName>
    <definedName name="IQ_DILUT_OUTSTANDING_CURRENT_NUM_EST">"c4267"</definedName>
    <definedName name="IQ_DILUT_OUTSTANDING_CURRENT_STDDEV_EST">"c4268"</definedName>
    <definedName name="IQ_DILUT_WEIGHT" hidden="1">"c326"</definedName>
    <definedName name="IQ_DILUT_WEIGHT_EST">"c4269"</definedName>
    <definedName name="IQ_DILUT_WEIGHT_GUIDANCE">"c4270"</definedName>
    <definedName name="IQ_DILUT_WEIGHT_HIGH_EST">"c4271"</definedName>
    <definedName name="IQ_DILUT_WEIGHT_LOW_EST">"c4272"</definedName>
    <definedName name="IQ_DILUT_WEIGHT_MEDIAN_EST">"c4273"</definedName>
    <definedName name="IQ_DILUT_WEIGHT_NUM_EST">"c4274"</definedName>
    <definedName name="IQ_DILUT_WEIGHT_STDDEV_EST">"c4275"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"c4277"</definedName>
    <definedName name="IQ_DISTRIBUTABLE_CASH_GUIDANCE">"c4279"</definedName>
    <definedName name="IQ_DISTRIBUTABLE_CASH_HIGH_EST">"c4280"</definedName>
    <definedName name="IQ_DISTRIBUTABLE_CASH_HIGH_GUIDANCE">"c4198"</definedName>
    <definedName name="IQ_DISTRIBUTABLE_CASH_LOW_EST">"c4281"</definedName>
    <definedName name="IQ_DISTRIBUTABLE_CASH_LOW_GUIDANCE">"c4238"</definedName>
    <definedName name="IQ_DISTRIBUTABLE_CASH_MEDIAN_EST">"c4282"</definedName>
    <definedName name="IQ_DISTRIBUTABLE_CASH_NUM_EST">"c4283"</definedName>
    <definedName name="IQ_DISTRIBUTABLE_CASH_PAYOUT" hidden="1">"c3005"</definedName>
    <definedName name="IQ_DISTRIBUTABLE_CASH_SHARE" hidden="1">"c3003"</definedName>
    <definedName name="IQ_DISTRIBUTABLE_CASH_SHARE_ACT_OR_EST" hidden="1">"c4286"</definedName>
    <definedName name="IQ_DISTRIBUTABLE_CASH_SHARE_EST">"c4285"</definedName>
    <definedName name="IQ_DISTRIBUTABLE_CASH_SHARE_GUIDANCE">"c4287"</definedName>
    <definedName name="IQ_DISTRIBUTABLE_CASH_SHARE_HIGH_EST">"c4288"</definedName>
    <definedName name="IQ_DISTRIBUTABLE_CASH_SHARE_HIGH_GUIDANCE">"c4199"</definedName>
    <definedName name="IQ_DISTRIBUTABLE_CASH_SHARE_LOW_EST">"c4289"</definedName>
    <definedName name="IQ_DISTRIBUTABLE_CASH_SHARE_LOW_GUIDANCE">"c4239"</definedName>
    <definedName name="IQ_DISTRIBUTABLE_CASH_SHARE_MEDIAN_EST">"c4290"</definedName>
    <definedName name="IQ_DISTRIBUTABLE_CASH_SHARE_NUM_EST">"c4291"</definedName>
    <definedName name="IQ_DISTRIBUTABLE_CASH_SHARE_STDDEV_EST">"c4292"</definedName>
    <definedName name="IQ_DISTRIBUTABLE_CASH_STDDEV_EST">"c4294"</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EST">"c4296"</definedName>
    <definedName name="IQ_DIVIDEND_HIGH_EST">"c4297"</definedName>
    <definedName name="IQ_DIVIDEND_LOW_EST">"c4298"</definedName>
    <definedName name="IQ_DIVIDEND_MEDIAN_EST">"c4299"</definedName>
    <definedName name="IQ_DIVIDEND_NUM_EST">"c4300"</definedName>
    <definedName name="IQ_DIVIDEND_STDDEV_EST">"c4301"</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"c2218"</definedName>
    <definedName name="IQ_DPS_ACT_OR_EST_REUT">"c5464"</definedName>
    <definedName name="IQ_DPS_EST">"c1674"</definedName>
    <definedName name="IQ_DPS_EST_BOTTOM_UP">"c5493"</definedName>
    <definedName name="IQ_DPS_EST_BOTTOM_UP_REUT">"c5501"</definedName>
    <definedName name="IQ_DPS_EST_REUT">"c3851"</definedName>
    <definedName name="IQ_DPS_GUIDANCE">"c4302"</definedName>
    <definedName name="IQ_DPS_HIGH_EST">"c1676"</definedName>
    <definedName name="IQ_DPS_HIGH_EST_REUT">"c3853"</definedName>
    <definedName name="IQ_DPS_HIGH_GUIDANCE">"c4168"</definedName>
    <definedName name="IQ_DPS_LOW_EST">"c1677"</definedName>
    <definedName name="IQ_DPS_LOW_EST_REUT">"c3854"</definedName>
    <definedName name="IQ_DPS_LOW_GUIDANCE">"c4208"</definedName>
    <definedName name="IQ_DPS_MEDIAN_EST">"c1675"</definedName>
    <definedName name="IQ_DPS_MEDIAN_EST_REUT">"c3852"</definedName>
    <definedName name="IQ_DPS_NUM_EST">"c1678"</definedName>
    <definedName name="IQ_DPS_NUM_EST_REUT">"c3855"</definedName>
    <definedName name="IQ_DPS_STDDEV_EST">"c1679"</definedName>
    <definedName name="IQ_DPS_STDDEV_EST_REUT">"c3856"</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"c2219"</definedName>
    <definedName name="IQ_EBIT_ACT_OR_EST_REUT">"c5465"</definedName>
    <definedName name="IQ_EBIT_EQ_INC" hidden="1">"c3498"</definedName>
    <definedName name="IQ_EBIT_EQ_INC_EXCL_SBC" hidden="1">"c3502"</definedName>
    <definedName name="IQ_EBIT_EST">"c1681"</definedName>
    <definedName name="IQ_EBIT_EST_REUT">"c5333"</definedName>
    <definedName name="IQ_EBIT_EXCL_SBC" hidden="1">"c3082"</definedName>
    <definedName name="IQ_EBIT_GUIDANCE">"c4303"</definedName>
    <definedName name="IQ_EBIT_GW_ACT_OR_EST" hidden="1">"c4306"</definedName>
    <definedName name="IQ_EBIT_GW_EST">"c4305"</definedName>
    <definedName name="IQ_EBIT_GW_GUIDANCE">"c4307"</definedName>
    <definedName name="IQ_EBIT_GW_HIGH_EST">"c4308"</definedName>
    <definedName name="IQ_EBIT_GW_HIGH_GUIDANCE">"c4171"</definedName>
    <definedName name="IQ_EBIT_GW_LOW_EST">"c4309"</definedName>
    <definedName name="IQ_EBIT_GW_LOW_GUIDANCE">"c4211"</definedName>
    <definedName name="IQ_EBIT_GW_MEDIAN_EST">"c4310"</definedName>
    <definedName name="IQ_EBIT_GW_NUM_EST">"c4311"</definedName>
    <definedName name="IQ_EBIT_GW_STDDEV_EST">"c4312"</definedName>
    <definedName name="IQ_EBIT_HIGH_EST">"c1683"</definedName>
    <definedName name="IQ_EBIT_HIGH_EST_REUT">"c5335"</definedName>
    <definedName name="IQ_EBIT_HIGH_GUIDANCE">"c4172"</definedName>
    <definedName name="IQ_EBIT_INT" hidden="1">"c360"</definedName>
    <definedName name="IQ_EBIT_LOW_EST">"c1684"</definedName>
    <definedName name="IQ_EBIT_LOW_EST_REUT">"c5336"</definedName>
    <definedName name="IQ_EBIT_LOW_GUIDANCE">"c4212"</definedName>
    <definedName name="IQ_EBIT_MARGIN" hidden="1">"c359"</definedName>
    <definedName name="IQ_EBIT_MEDIAN_EST">"c1682"</definedName>
    <definedName name="IQ_EBIT_MEDIAN_EST_REUT">"c5334"</definedName>
    <definedName name="IQ_EBIT_NUM_EST">"c1685"</definedName>
    <definedName name="IQ_EBIT_NUM_EST_REUT">"c5337"</definedName>
    <definedName name="IQ_EBIT_OVER_IE" hidden="1">"c1369"</definedName>
    <definedName name="IQ_EBIT_SBC_ACT_OR_EST" hidden="1">"c4316"</definedName>
    <definedName name="IQ_EBIT_SBC_EST">"c4315"</definedName>
    <definedName name="IQ_EBIT_SBC_GUIDANCE">"c4317"</definedName>
    <definedName name="IQ_EBIT_SBC_GW_ACT_OR_EST" hidden="1">"c4320"</definedName>
    <definedName name="IQ_EBIT_SBC_GW_EST">"c4319"</definedName>
    <definedName name="IQ_EBIT_SBC_GW_GUIDANCE">"c4321"</definedName>
    <definedName name="IQ_EBIT_SBC_GW_HIGH_EST">"c4322"</definedName>
    <definedName name="IQ_EBIT_SBC_GW_HIGH_GUIDANCE">"c4193"</definedName>
    <definedName name="IQ_EBIT_SBC_GW_LOW_EST">"c4323"</definedName>
    <definedName name="IQ_EBIT_SBC_GW_LOW_GUIDANCE">"c4233"</definedName>
    <definedName name="IQ_EBIT_SBC_GW_MEDIAN_EST">"c4324"</definedName>
    <definedName name="IQ_EBIT_SBC_GW_NUM_EST">"c4325"</definedName>
    <definedName name="IQ_EBIT_SBC_GW_STDDEV_EST">"c4326"</definedName>
    <definedName name="IQ_EBIT_SBC_HIGH_EST">"c4328"</definedName>
    <definedName name="IQ_EBIT_SBC_HIGH_GUIDANCE">"c4192"</definedName>
    <definedName name="IQ_EBIT_SBC_LOW_EST">"c4329"</definedName>
    <definedName name="IQ_EBIT_SBC_LOW_GUIDANCE">"c4232"</definedName>
    <definedName name="IQ_EBIT_SBC_MEDIAN_EST">"c4330"</definedName>
    <definedName name="IQ_EBIT_SBC_NUM_EST">"c4331"</definedName>
    <definedName name="IQ_EBIT_SBC_STDDEV_EST">"c4332"</definedName>
    <definedName name="IQ_EBIT_STDDEV_EST">"c1686"</definedName>
    <definedName name="IQ_EBIT_STDDEV_EST_REUT">"c5338"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"c2215"</definedName>
    <definedName name="IQ_EBITDA_ACT_OR_EST_REUT">"c5462"</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UIDANCE">"c4334"</definedName>
    <definedName name="IQ_EBITDA_HIGH_EST" hidden="1">"c370"</definedName>
    <definedName name="IQ_EBITDA_HIGH_EST_REUT" hidden="1">"c3642"</definedName>
    <definedName name="IQ_EBITDA_HIGH_GUIDANCE">"c4170"</definedName>
    <definedName name="IQ_EBITDA_INT" hidden="1">"c373"</definedName>
    <definedName name="IQ_EBITDA_LOW_EST" hidden="1">"c371"</definedName>
    <definedName name="IQ_EBITDA_LOW_EST_REUT" hidden="1">"c3643"</definedName>
    <definedName name="IQ_EBITDA_LOW_GUIDANCE">"c4210"</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"c4336"</definedName>
    <definedName name="IQ_EBITDA_SBC_GUIDANCE">"c4338"</definedName>
    <definedName name="IQ_EBITDA_SBC_HIGH_EST">"c4339"</definedName>
    <definedName name="IQ_EBITDA_SBC_HIGH_GUIDANCE">"c4194"</definedName>
    <definedName name="IQ_EBITDA_SBC_LOW_EST">"c4340"</definedName>
    <definedName name="IQ_EBITDA_SBC_LOW_GUIDANCE">"c4234"</definedName>
    <definedName name="IQ_EBITDA_SBC_MEDIAN_EST">"c4341"</definedName>
    <definedName name="IQ_EBITDA_SBC_NUM_EST">"c4342"</definedName>
    <definedName name="IQ_EBITDA_SBC_STDDEV_EST">"c4343"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"c4345"</definedName>
    <definedName name="IQ_EBT_GAAP_HIGH_GUIDANCE">"c4174"</definedName>
    <definedName name="IQ_EBT_GAAP_LOW_GUIDANCE">"c4214"</definedName>
    <definedName name="IQ_EBT_GUIDANCE">"c4346"</definedName>
    <definedName name="IQ_EBT_GW_GUIDANCE">"c4347"</definedName>
    <definedName name="IQ_EBT_GW_HIGH_GUIDANCE">"c4175"</definedName>
    <definedName name="IQ_EBT_GW_LOW_GUIDANCE">"c4215"</definedName>
    <definedName name="IQ_EBT_HIGH_GUIDANCE">"c4173"</definedName>
    <definedName name="IQ_EBT_INCL_MARGIN" hidden="1">"c387"</definedName>
    <definedName name="IQ_EBT_INS" hidden="1">"c388"</definedName>
    <definedName name="IQ_EBT_LOW_GUIDANCE">"c4213"</definedName>
    <definedName name="IQ_EBT_RE" hidden="1">"c6215"</definedName>
    <definedName name="IQ_EBT_REIT" hidden="1">"c389"</definedName>
    <definedName name="IQ_EBT_SBC_ACT_OR_EST" hidden="1">"c4350"</definedName>
    <definedName name="IQ_EBT_SBC_EST">"c4349"</definedName>
    <definedName name="IQ_EBT_SBC_GUIDANCE">"c4351"</definedName>
    <definedName name="IQ_EBT_SBC_GW_ACT_OR_EST" hidden="1">"c4354"</definedName>
    <definedName name="IQ_EBT_SBC_GW_EST">"c4353"</definedName>
    <definedName name="IQ_EBT_SBC_GW_GUIDANCE">"c4355"</definedName>
    <definedName name="IQ_EBT_SBC_GW_HIGH_EST">"c4356"</definedName>
    <definedName name="IQ_EBT_SBC_GW_HIGH_GUIDANCE">"c4191"</definedName>
    <definedName name="IQ_EBT_SBC_GW_LOW_EST">"c4357"</definedName>
    <definedName name="IQ_EBT_SBC_GW_LOW_GUIDANCE">"c4231"</definedName>
    <definedName name="IQ_EBT_SBC_GW_MEDIAN_EST">"c4358"</definedName>
    <definedName name="IQ_EBT_SBC_GW_NUM_EST">"c4359"</definedName>
    <definedName name="IQ_EBT_SBC_GW_STDDEV_EST">"c4360"</definedName>
    <definedName name="IQ_EBT_SBC_HIGH_EST">"c4362"</definedName>
    <definedName name="IQ_EBT_SBC_HIGH_GUIDANCE">"c4190"</definedName>
    <definedName name="IQ_EBT_SBC_LOW_EST">"c4363"</definedName>
    <definedName name="IQ_EBT_SBC_LOW_GUIDANCE">"c4230"</definedName>
    <definedName name="IQ_EBT_SBC_MEDIAN_EST">"c4364"</definedName>
    <definedName name="IQ_EBT_SBC_NUM_EST">"c4365"</definedName>
    <definedName name="IQ_EBT_SBC_STDDEV_EST">"c4366"</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REUT">"c5460"</definedName>
    <definedName name="IQ_EPS_EST" hidden="1">"c399"</definedName>
    <definedName name="IQ_EPS_EST_BOTTOM_UP">"c5489"</definedName>
    <definedName name="IQ_EPS_EST_BOTTOM_UP_REUT">"c5497"</definedName>
    <definedName name="IQ_EPS_EST_REUT" hidden="1">"c5453"</definedName>
    <definedName name="IQ_EPS_EXCL_GUIDANCE">"c4368"</definedName>
    <definedName name="IQ_EPS_EXCL_HIGH_GUIDANCE">"c4369"</definedName>
    <definedName name="IQ_EPS_EXCL_LOW_GUIDANCE">"c4204"</definedName>
    <definedName name="IQ_EPS_GAAP_GUIDANCE">"c4370"</definedName>
    <definedName name="IQ_EPS_GAAP_HIGH_GUIDANCE">"c4371"</definedName>
    <definedName name="IQ_EPS_GAAP_LOW_GUIDANCE">"c4205"</definedName>
    <definedName name="IQ_EPS_GW_ACT_OR_EST">"c2223"</definedName>
    <definedName name="IQ_EPS_GW_ACT_OR_EST_REUT">"c5469"</definedName>
    <definedName name="IQ_EPS_GW_EST" hidden="1">"c1737"</definedName>
    <definedName name="IQ_EPS_GW_EST_BOTTOM_UP">"c5491"</definedName>
    <definedName name="IQ_EPS_GW_EST_BOTTOM_UP_REUT">"c5499"</definedName>
    <definedName name="IQ_EPS_GW_EST_REUT" hidden="1">"c5389"</definedName>
    <definedName name="IQ_EPS_GW_GUIDANCE">"c4372"</definedName>
    <definedName name="IQ_EPS_GW_HIGH_EST" hidden="1">"c1739"</definedName>
    <definedName name="IQ_EPS_GW_HIGH_EST_REUT" hidden="1">"c5391"</definedName>
    <definedName name="IQ_EPS_GW_HIGH_GUIDANCE">"c4373"</definedName>
    <definedName name="IQ_EPS_GW_LOW_EST" hidden="1">"c1740"</definedName>
    <definedName name="IQ_EPS_GW_LOW_EST_REUT" hidden="1">"c5392"</definedName>
    <definedName name="IQ_EPS_GW_LOW_GUIDANCE">"c4206"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BOTTOM_UP">"c5490"</definedName>
    <definedName name="IQ_EPS_NORM_EST_BOTTOM_UP_REUT">"c5498"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"c2224"</definedName>
    <definedName name="IQ_EPS_REPORT_ACT_OR_EST_REUT">"c5470"</definedName>
    <definedName name="IQ_EPS_REPORTED_EST" hidden="1">"c1744"</definedName>
    <definedName name="IQ_EPS_REPORTED_EST_BOTTOM_UP">"c5492"</definedName>
    <definedName name="IQ_EPS_REPORTED_EST_BOTTOM_UP_REUT">"c5500"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"c4375"</definedName>
    <definedName name="IQ_EPS_SBC_GUIDANCE">"c4377"</definedName>
    <definedName name="IQ_EPS_SBC_GW_ACT_OR_EST" hidden="1">"c4380"</definedName>
    <definedName name="IQ_EPS_SBC_GW_EST">"c4379"</definedName>
    <definedName name="IQ_EPS_SBC_GW_GUIDANCE">"c4381"</definedName>
    <definedName name="IQ_EPS_SBC_GW_HIGH_EST">"c4382"</definedName>
    <definedName name="IQ_EPS_SBC_GW_HIGH_GUIDANCE">"c4189"</definedName>
    <definedName name="IQ_EPS_SBC_GW_LOW_EST">"c4383"</definedName>
    <definedName name="IQ_EPS_SBC_GW_LOW_GUIDANCE">"c4229"</definedName>
    <definedName name="IQ_EPS_SBC_GW_MEDIAN_EST">"c4384"</definedName>
    <definedName name="IQ_EPS_SBC_GW_NUM_EST">"c4385"</definedName>
    <definedName name="IQ_EPS_SBC_GW_STDDEV_EST">"c4386"</definedName>
    <definedName name="IQ_EPS_SBC_HIGH_EST">"c4388"</definedName>
    <definedName name="IQ_EPS_SBC_HIGH_GUIDANCE">"c4188"</definedName>
    <definedName name="IQ_EPS_SBC_LOW_EST">"c4389"</definedName>
    <definedName name="IQ_EPS_SBC_LOW_GUIDANCE">"c4228"</definedName>
    <definedName name="IQ_EPS_SBC_MEDIAN_EST">"c4390"</definedName>
    <definedName name="IQ_EPS_SBC_NUM_EST">"c4391"</definedName>
    <definedName name="IQ_EPS_SBC_STDDEV_EST">"c4392"</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"c5630"</definedName>
    <definedName name="IQ_EST_ACT_BV_REUT" hidden="1">"c5409"</definedName>
    <definedName name="IQ_EST_ACT_BV_SHARE">"c3549"</definedName>
    <definedName name="IQ_EST_ACT_BV_SHARE_REUT">"c5445"</definedName>
    <definedName name="IQ_EST_ACT_BV_THOM" hidden="1">"c5153"</definedName>
    <definedName name="IQ_EST_ACT_CAPEX">"c3546"</definedName>
    <definedName name="IQ_EST_ACT_CAPEX_REUT">"c3975"</definedName>
    <definedName name="IQ_EST_ACT_CASH_EPS">"c5637"</definedName>
    <definedName name="IQ_EST_ACT_CASH_FLOW">"c4394"</definedName>
    <definedName name="IQ_EST_ACT_CASH_OPER">"c4395"</definedName>
    <definedName name="IQ_EST_ACT_CFPS">"c1673"</definedName>
    <definedName name="IQ_EST_ACT_CFPS_REUT">"c3850"</definedName>
    <definedName name="IQ_EST_ACT_DISTRIBUTABLE_CASH">"c4396"</definedName>
    <definedName name="IQ_EST_ACT_DISTRIBUTABLE_CASH_SHARE">"c4397"</definedName>
    <definedName name="IQ_EST_ACT_DPS">"c1680"</definedName>
    <definedName name="IQ_EST_ACT_DPS_REUT">"c3857"</definedName>
    <definedName name="IQ_EST_ACT_EBIT">"c1687"</definedName>
    <definedName name="IQ_EST_ACT_EBIT_GW">"c4398"</definedName>
    <definedName name="IQ_EST_ACT_EBIT_REUT">"c5339"</definedName>
    <definedName name="IQ_EST_ACT_EBIT_SBC">"c4399"</definedName>
    <definedName name="IQ_EST_ACT_EBIT_SBC_GW">"c4400"</definedName>
    <definedName name="IQ_EST_ACT_EBITDA">"c1664"</definedName>
    <definedName name="IQ_EST_ACT_EBITDA_REUT">"c3836"</definedName>
    <definedName name="IQ_EST_ACT_EBITDA_SBC">"c4401"</definedName>
    <definedName name="IQ_EST_ACT_EBT_SBC">"c4402"</definedName>
    <definedName name="IQ_EST_ACT_EBT_SBC_GW">"c4403"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PRIMARY" hidden="1">"c2232"</definedName>
    <definedName name="IQ_EST_ACT_EPS_REPORTED" hidden="1">"c1750"</definedName>
    <definedName name="IQ_EST_ACT_EPS_REPORTED_REUT" hidden="1">"c5402"</definedName>
    <definedName name="IQ_EST_ACT_EPS_REUT">"c5457"</definedName>
    <definedName name="IQ_EST_ACT_EPS_SBC">"c4404"</definedName>
    <definedName name="IQ_EST_ACT_EPS_SBC_GW">"c4405"</definedName>
    <definedName name="IQ_EST_ACT_FFO">"c1666"</definedName>
    <definedName name="IQ_EST_ACT_FFO_ADJ">"c4406"</definedName>
    <definedName name="IQ_EST_ACT_FFO_REUT">"c3843"</definedName>
    <definedName name="IQ_EST_ACT_FFO_SHARE">"c4407"</definedName>
    <definedName name="IQ_EST_ACT_FFO_THOM" hidden="1">"c4005"</definedName>
    <definedName name="IQ_EST_ACT_GROSS_MARGIN">"c5553"</definedName>
    <definedName name="IQ_EST_ACT_MAINT_CAPEX">"c4408"</definedName>
    <definedName name="IQ_EST_ACT_NAV">"c1757"</definedName>
    <definedName name="IQ_EST_ACT_NAV_SHARE">"c5608"</definedName>
    <definedName name="IQ_EST_ACT_NAV_SHARE_REUT">"c5616"</definedName>
    <definedName name="IQ_EST_ACT_NET_DEBT">"c3545"</definedName>
    <definedName name="IQ_EST_ACT_NET_DEBT_REUT">"c5446"</definedName>
    <definedName name="IQ_EST_ACT_NI">"c1722"</definedName>
    <definedName name="IQ_EST_ACT_NI_GW" hidden="1">"c1729"</definedName>
    <definedName name="IQ_EST_ACT_NI_GW_REUT">"c5381"</definedName>
    <definedName name="IQ_EST_ACT_NI_REPORTED">"c1736"</definedName>
    <definedName name="IQ_EST_ACT_NI_REPORTED_REUT">"c5388"</definedName>
    <definedName name="IQ_EST_ACT_NI_REUT">"c5374"</definedName>
    <definedName name="IQ_EST_ACT_NI_SBC">"c4409"</definedName>
    <definedName name="IQ_EST_ACT_NI_SBC_GW">"c4410"</definedName>
    <definedName name="IQ_EST_ACT_OPER_INC">"c1694"</definedName>
    <definedName name="IQ_EST_ACT_OPER_INC_REUT">"c5346"</definedName>
    <definedName name="IQ_EST_ACT_PRETAX_GW_INC">"c1708"</definedName>
    <definedName name="IQ_EST_ACT_PRETAX_GW_INC_REUT">"c5360"</definedName>
    <definedName name="IQ_EST_ACT_PRETAX_INC">"c1701"</definedName>
    <definedName name="IQ_EST_ACT_PRETAX_INC_REUT">"c5353"</definedName>
    <definedName name="IQ_EST_ACT_PRETAX_REPORT_INC">"c1715"</definedName>
    <definedName name="IQ_EST_ACT_PRETAX_REPORT_INC_REUT">"c5367"</definedName>
    <definedName name="IQ_EST_ACT_RECURRING_PROFIT">"c4411"</definedName>
    <definedName name="IQ_EST_ACT_RECURRING_PROFIT_SHARE">"c4412"</definedName>
    <definedName name="IQ_EST_ACT_RETURN_ASSETS">"c3547"</definedName>
    <definedName name="IQ_EST_ACT_RETURN_ASSETS_REUT">"c3996"</definedName>
    <definedName name="IQ_EST_ACT_RETURN_EQUITY">"c3548"</definedName>
    <definedName name="IQ_EST_ACT_RETURN_EQUITY_REUT">"c3989"</definedName>
    <definedName name="IQ_EST_ACT_REV">"c2113"</definedName>
    <definedName name="IQ_EST_ACT_REV_REUT">"c3835"</definedName>
    <definedName name="IQ_EST_BV_DIFF_REUT" hidden="1">"c5433"</definedName>
    <definedName name="IQ_EST_BV_DIFF_THOM" hidden="1">"c5204"</definedName>
    <definedName name="IQ_EST_BV_SHARE_DIFF">"c4147"</definedName>
    <definedName name="IQ_EST_BV_SHARE_SURPRISE_PERCENT">"c4148"</definedName>
    <definedName name="IQ_EST_BV_SURPRISE_PERCENT_REUT" hidden="1">"c5434"</definedName>
    <definedName name="IQ_EST_BV_SURPRISE_PERCENT_THOM" hidden="1">"c5205"</definedName>
    <definedName name="IQ_EST_CAPEX_DIFF">"c4149"</definedName>
    <definedName name="IQ_EST_CAPEX_GROWTH_1YR">"c3588"</definedName>
    <definedName name="IQ_EST_CAPEX_GROWTH_1YR_REUT">"c5447"</definedName>
    <definedName name="IQ_EST_CAPEX_GROWTH_2YR">"c3589"</definedName>
    <definedName name="IQ_EST_CAPEX_GROWTH_2YR_REUT">"c5448"</definedName>
    <definedName name="IQ_EST_CAPEX_GROWTH_Q_1YR">"c3590"</definedName>
    <definedName name="IQ_EST_CAPEX_GROWTH_Q_1YR_REUT">"c5449"</definedName>
    <definedName name="IQ_EST_CAPEX_SEQ_GROWTH_Q">"c3591"</definedName>
    <definedName name="IQ_EST_CAPEX_SEQ_GROWTH_Q_REUT">"c5450"</definedName>
    <definedName name="IQ_EST_CAPEX_SURPRISE_PERCENT">"c4151"</definedName>
    <definedName name="IQ_EST_CASH_FLOW_DIFF">"c4152"</definedName>
    <definedName name="IQ_EST_CASH_FLOW_SURPRISE_PERCENT">"c4161"</definedName>
    <definedName name="IQ_EST_CASH_OPER_DIFF">"c4162"</definedName>
    <definedName name="IQ_EST_CASH_OPER_SURPRISE_PERCENT">"c4248"</definedName>
    <definedName name="IQ_EST_CFPS_DIFF">"c1871"</definedName>
    <definedName name="IQ_EST_CFPS_DIFF_REUT">"c3892"</definedName>
    <definedName name="IQ_EST_CFPS_GROWTH_1YR">"c1774"</definedName>
    <definedName name="IQ_EST_CFPS_GROWTH_1YR_REUT">"c3878"</definedName>
    <definedName name="IQ_EST_CFPS_GROWTH_2YR">"c1775"</definedName>
    <definedName name="IQ_EST_CFPS_GROWTH_2YR_REUT">"c3879"</definedName>
    <definedName name="IQ_EST_CFPS_GROWTH_Q_1YR">"c1776"</definedName>
    <definedName name="IQ_EST_CFPS_GROWTH_Q_1YR_REUT">"c3880"</definedName>
    <definedName name="IQ_EST_CFPS_SEQ_GROWTH_Q">"c1777"</definedName>
    <definedName name="IQ_EST_CFPS_SEQ_GROWTH_Q_REUT">"c3881"</definedName>
    <definedName name="IQ_EST_CFPS_SURPRISE_PERCENT">"c1872"</definedName>
    <definedName name="IQ_EST_CFPS_SURPRISE_PERCENT_REUT">"c3893"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"c4276"</definedName>
    <definedName name="IQ_EST_DISTRIBUTABLE_CASH_GROWTH_1YR">"c4413"</definedName>
    <definedName name="IQ_EST_DISTRIBUTABLE_CASH_GROWTH_2YR">"c4414"</definedName>
    <definedName name="IQ_EST_DISTRIBUTABLE_CASH_GROWTH_Q_1YR">"c4415"</definedName>
    <definedName name="IQ_EST_DISTRIBUTABLE_CASH_SEQ_GROWTH_Q">"c4416"</definedName>
    <definedName name="IQ_EST_DISTRIBUTABLE_CASH_SHARE_DIFF">"c4284"</definedName>
    <definedName name="IQ_EST_DISTRIBUTABLE_CASH_SHARE_GROWTH_1YR">"c4417"</definedName>
    <definedName name="IQ_EST_DISTRIBUTABLE_CASH_SHARE_GROWTH_2YR">"c4418"</definedName>
    <definedName name="IQ_EST_DISTRIBUTABLE_CASH_SHARE_GROWTH_Q_1YR">"c4419"</definedName>
    <definedName name="IQ_EST_DISTRIBUTABLE_CASH_SHARE_SEQ_GROWTH_Q">"c4420"</definedName>
    <definedName name="IQ_EST_DISTRIBUTABLE_CASH_SHARE_SURPRISE_PERCENT">"c4293"</definedName>
    <definedName name="IQ_EST_DISTRIBUTABLE_CASH_SURPRISE_PERCENT">"c4295"</definedName>
    <definedName name="IQ_EST_DPS_DIFF">"c1873"</definedName>
    <definedName name="IQ_EST_DPS_DIFF_REUT">"c3894"</definedName>
    <definedName name="IQ_EST_DPS_GROWTH_1YR">"c1778"</definedName>
    <definedName name="IQ_EST_DPS_GROWTH_1YR_REUT">"c3882"</definedName>
    <definedName name="IQ_EST_DPS_GROWTH_2YR">"c1779"</definedName>
    <definedName name="IQ_EST_DPS_GROWTH_2YR_REUT">"c3883"</definedName>
    <definedName name="IQ_EST_DPS_GROWTH_Q_1YR">"c1780"</definedName>
    <definedName name="IQ_EST_DPS_GROWTH_Q_1YR_REUT">"c3884"</definedName>
    <definedName name="IQ_EST_DPS_SEQ_GROWTH_Q">"c1781"</definedName>
    <definedName name="IQ_EST_DPS_SEQ_GROWTH_Q_REUT">"c3885"</definedName>
    <definedName name="IQ_EST_DPS_SURPRISE_PERCENT">"c1874"</definedName>
    <definedName name="IQ_EST_DPS_SURPRISE_PERCENT_REUT">"c3895"</definedName>
    <definedName name="IQ_EST_EBIT_DIFF">"c1875"</definedName>
    <definedName name="IQ_EST_EBIT_DIFF_REUT">"c5413"</definedName>
    <definedName name="IQ_EST_EBIT_GW_DIFF">"c4304"</definedName>
    <definedName name="IQ_EST_EBIT_GW_SURPRISE_PERCENT">"c4313"</definedName>
    <definedName name="IQ_EST_EBIT_SBC_DIFF">"c4314"</definedName>
    <definedName name="IQ_EST_EBIT_SBC_GW_DIFF">"c4318"</definedName>
    <definedName name="IQ_EST_EBIT_SBC_GW_SURPRISE_PERCENT">"c4327"</definedName>
    <definedName name="IQ_EST_EBIT_SBC_SURPRISE_PERCENT">"c4333"</definedName>
    <definedName name="IQ_EST_EBIT_SURPRISE_PERCENT">"c1876"</definedName>
    <definedName name="IQ_EST_EBIT_SURPRISE_PERCENT_REUT">"c5414"</definedName>
    <definedName name="IQ_EST_EBITDA_DIFF">"c1867"</definedName>
    <definedName name="IQ_EST_EBITDA_DIFF_REUT">"c3888"</definedName>
    <definedName name="IQ_EST_EBITDA_GROWTH_1YR">"c1766"</definedName>
    <definedName name="IQ_EST_EBITDA_GROWTH_1YR_REUT">"c3864"</definedName>
    <definedName name="IQ_EST_EBITDA_GROWTH_2YR">"c1767"</definedName>
    <definedName name="IQ_EST_EBITDA_GROWTH_2YR_REUT">"c3865"</definedName>
    <definedName name="IQ_EST_EBITDA_GROWTH_Q_1YR">"c1768"</definedName>
    <definedName name="IQ_EST_EBITDA_GROWTH_Q_1YR_REUT">"c3866"</definedName>
    <definedName name="IQ_EST_EBITDA_SBC_DIFF">"c4335"</definedName>
    <definedName name="IQ_EST_EBITDA_SBC_SURPRISE_PERCENT">"c4344"</definedName>
    <definedName name="IQ_EST_EBITDA_SEQ_GROWTH_Q">"c1769"</definedName>
    <definedName name="IQ_EST_EBITDA_SEQ_GROWTH_Q_REUT">"c3867"</definedName>
    <definedName name="IQ_EST_EBITDA_SURPRISE_PERCENT">"c1868"</definedName>
    <definedName name="IQ_EST_EBITDA_SURPRISE_PERCENT_REUT">"c3889"</definedName>
    <definedName name="IQ_EST_EBT_SBC_DIFF">"c4348"</definedName>
    <definedName name="IQ_EST_EBT_SBC_GW_DIFF">"c4352"</definedName>
    <definedName name="IQ_EST_EBT_SBC_GW_SURPRISE_PERCENT">"c4361"</definedName>
    <definedName name="IQ_EST_EBT_SBC_SURPRISE_PERCENT">"c4367"</definedName>
    <definedName name="IQ_EST_EPS_DIFF" hidden="1">"c1864"</definedName>
    <definedName name="IQ_EST_EPS_DIFF_REUT">"c5458"</definedName>
    <definedName name="IQ_EST_EPS_GROWTH_1YR" hidden="1">"c1636"</definedName>
    <definedName name="IQ_EST_EPS_GROWTH_1YR_REUT" hidden="1">"c3646"</definedName>
    <definedName name="IQ_EST_EPS_GROWTH_2YR">"c1637"</definedName>
    <definedName name="IQ_EST_EPS_GROWTH_2YR_REUT">"c3858"</definedName>
    <definedName name="IQ_EST_EPS_GROWTH_5YR" hidden="1">"c1655"</definedName>
    <definedName name="IQ_EST_EPS_GROWTH_5YR_BOTTOM_UP">"c5487"</definedName>
    <definedName name="IQ_EST_EPS_GROWTH_5YR_BOTTOM_UP_REUT">"c5495"</definedName>
    <definedName name="IQ_EST_EPS_GROWTH_5YR_HIGH">"c1657"</definedName>
    <definedName name="IQ_EST_EPS_GROWTH_5YR_HIGH_REUT">"c5322"</definedName>
    <definedName name="IQ_EST_EPS_GROWTH_5YR_LOW">"c1658"</definedName>
    <definedName name="IQ_EST_EPS_GROWTH_5YR_LOW_REUT">"c5323"</definedName>
    <definedName name="IQ_EST_EPS_GROWTH_5YR_MEDIAN">"c1656"</definedName>
    <definedName name="IQ_EST_EPS_GROWTH_5YR_MEDIAN_REUT">"c5321"</definedName>
    <definedName name="IQ_EST_EPS_GROWTH_5YR_NUM">"c1659"</definedName>
    <definedName name="IQ_EST_EPS_GROWTH_5YR_NUM_REUT">"c5324"</definedName>
    <definedName name="IQ_EST_EPS_GROWTH_5YR_REUT" hidden="1">"c3633"</definedName>
    <definedName name="IQ_EST_EPS_GROWTH_5YR_STDDEV">"c1660"</definedName>
    <definedName name="IQ_EST_EPS_GROWTH_5YR_STDDEV_REUT">"c5325"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"c4374"</definedName>
    <definedName name="IQ_EST_EPS_SBC_GW_DIFF">"c4378"</definedName>
    <definedName name="IQ_EST_EPS_SBC_GW_SURPRISE_PERCENT">"c4387"</definedName>
    <definedName name="IQ_EST_EPS_SBC_SURPRISE_PERCENT">"c4393"</definedName>
    <definedName name="IQ_EST_EPS_SEQ_GROWTH_Q">"c1764"</definedName>
    <definedName name="IQ_EST_EPS_SEQ_GROWTH_Q_REUT">"c3859"</definedName>
    <definedName name="IQ_EST_EPS_SURPRISE" hidden="1">"c1635"</definedName>
    <definedName name="IQ_EST_EPS_SURPRISE_PERCENT">"c1635"</definedName>
    <definedName name="IQ_EST_EPS_SURPRISE_PERCENT_REUT">"c5459"</definedName>
    <definedName name="IQ_EST_FFO_ADJ_DIFF">"c4433"</definedName>
    <definedName name="IQ_EST_FFO_ADJ_GROWTH_1YR">"c4421"</definedName>
    <definedName name="IQ_EST_FFO_ADJ_GROWTH_2YR">"c4422"</definedName>
    <definedName name="IQ_EST_FFO_ADJ_GROWTH_Q_1YR">"c4423"</definedName>
    <definedName name="IQ_EST_FFO_ADJ_SEQ_GROWTH_Q">"c4424"</definedName>
    <definedName name="IQ_EST_FFO_ADJ_SURPRISE_PERCENT">"c4442"</definedName>
    <definedName name="IQ_EST_FFO_DIFF">"c1869"</definedName>
    <definedName name="IQ_EST_FFO_DIFF_REUT">"c3890"</definedName>
    <definedName name="IQ_EST_FFO_DIFF_THOM" hidden="1">"c5186"</definedName>
    <definedName name="IQ_EST_FFO_GROWTH_1YR">"c1770"</definedName>
    <definedName name="IQ_EST_FFO_GROWTH_1YR_REUT">"c3874"</definedName>
    <definedName name="IQ_EST_FFO_GROWTH_2YR">"c1771"</definedName>
    <definedName name="IQ_EST_FFO_GROWTH_2YR_REUT">"c3875"</definedName>
    <definedName name="IQ_EST_FFO_GROWTH_Q_1YR">"c1772"</definedName>
    <definedName name="IQ_EST_FFO_GROWTH_Q_1YR_REUT">"c3876"</definedName>
    <definedName name="IQ_EST_FFO_SEQ_GROWTH_Q">"c1773"</definedName>
    <definedName name="IQ_EST_FFO_SEQ_GROWTH_Q_REUT">"c3877"</definedName>
    <definedName name="IQ_EST_FFO_SHARE_DIFF">"c4444"</definedName>
    <definedName name="IQ_EST_FFO_SHARE_GROWTH_1YR">"c4425"</definedName>
    <definedName name="IQ_EST_FFO_SHARE_GROWTH_2YR">"c4426"</definedName>
    <definedName name="IQ_EST_FFO_SHARE_GROWTH_Q_1YR">"c4427"</definedName>
    <definedName name="IQ_EST_FFO_SHARE_SEQ_GROWTH_Q">"c4428"</definedName>
    <definedName name="IQ_EST_FFO_SHARE_SURPRISE_PERCENT">"c4453"</definedName>
    <definedName name="IQ_EST_FFO_SURPRISE_PERCENT">"c1870"</definedName>
    <definedName name="IQ_EST_FFO_SURPRISE_PERCENT_REUT">"c3891"</definedName>
    <definedName name="IQ_EST_FFO_SURPRISE_PERCENT_THOM" hidden="1">"c5187"</definedName>
    <definedName name="IQ_EST_FOOTNOTE">"c4540"</definedName>
    <definedName name="IQ_EST_FOOTNOTE_REUT">"c5478"</definedName>
    <definedName name="IQ_EST_MAINT_CAPEX_DIFF">"c4456"</definedName>
    <definedName name="IQ_EST_MAINT_CAPEX_GROWTH_1YR">"c4429"</definedName>
    <definedName name="IQ_EST_MAINT_CAPEX_GROWTH_2YR">"c4430"</definedName>
    <definedName name="IQ_EST_MAINT_CAPEX_GROWTH_Q_1YR">"c4431"</definedName>
    <definedName name="IQ_EST_MAINT_CAPEX_SEQ_GROWTH_Q">"c4432"</definedName>
    <definedName name="IQ_EST_MAINT_CAPEX_SURPRISE_PERCENT">"c4465"</definedName>
    <definedName name="IQ_EST_NAV_DIFF">"c1895"</definedName>
    <definedName name="IQ_EST_NAV_SHARE_SURPRISE_PERCENT">"c1896"</definedName>
    <definedName name="IQ_EST_NAV_SURPRISE_PERCENT" hidden="1">"c1896"</definedName>
    <definedName name="IQ_EST_NET_DEBT_DIFF">"c4466"</definedName>
    <definedName name="IQ_EST_NET_DEBT_SURPRISE_PERCENT">"c4468"</definedName>
    <definedName name="IQ_EST_NI_DIFF">"c1885"</definedName>
    <definedName name="IQ_EST_NI_DIFF_REUT">"c5423"</definedName>
    <definedName name="IQ_EST_NI_GW_DIFF" hidden="1">"c1887"</definedName>
    <definedName name="IQ_EST_NI_GW_DIFF_REUT">"c5425"</definedName>
    <definedName name="IQ_EST_NI_GW_SURPRISE_PERCENT" hidden="1">"c1888"</definedName>
    <definedName name="IQ_EST_NI_GW_SURPRISE_PERCENT_REUT">"c5426"</definedName>
    <definedName name="IQ_EST_NI_REPORT_DIFF">"c1889"</definedName>
    <definedName name="IQ_EST_NI_REPORT_DIFF_REUT">"c5427"</definedName>
    <definedName name="IQ_EST_NI_REPORT_SURPRISE_PERCENT">"c1890"</definedName>
    <definedName name="IQ_EST_NI_REPORT_SURPRISE_PERCENT_REUT">"c5428"</definedName>
    <definedName name="IQ_EST_NI_SBC_DIFF">"c4472"</definedName>
    <definedName name="IQ_EST_NI_SBC_GW_DIFF">"c4476"</definedName>
    <definedName name="IQ_EST_NI_SBC_GW_SURPRISE_PERCENT">"c4485"</definedName>
    <definedName name="IQ_EST_NI_SBC_SURPRISE_PERCENT">"c4491"</definedName>
    <definedName name="IQ_EST_NI_SURPRISE_PERCENT">"c1886"</definedName>
    <definedName name="IQ_EST_NI_SURPRISE_PERCENT_REUT">"c5424"</definedName>
    <definedName name="IQ_EST_NUM_BUY">"c1759"</definedName>
    <definedName name="IQ_EST_NUM_BUY_CIQ" hidden="1">"c3700"</definedName>
    <definedName name="IQ_EST_NUM_BUY_REUT" hidden="1">"c3869"</definedName>
    <definedName name="IQ_EST_NUM_BUY_THOM" hidden="1">"c5165"</definedName>
    <definedName name="IQ_EST_NUM_HIGH_REC">"c5649"</definedName>
    <definedName name="IQ_EST_NUM_HIGH_REC_REUT">"c3870"</definedName>
    <definedName name="IQ_EST_NUM_HIGHEST_REC">"c5648"</definedName>
    <definedName name="IQ_EST_NUM_HIGHEST_REC_REUT">"c3869"</definedName>
    <definedName name="IQ_EST_NUM_HOLD">"c1761"</definedName>
    <definedName name="IQ_EST_NUM_HOLD_CIQ" hidden="1">"c3702"</definedName>
    <definedName name="IQ_EST_NUM_HOLD_REUT" hidden="1">"c3871"</definedName>
    <definedName name="IQ_EST_NUM_HOLD_THOM" hidden="1">"c5167"</definedName>
    <definedName name="IQ_EST_NUM_LOW_REC">"c5651"</definedName>
    <definedName name="IQ_EST_NUM_LOW_REC_REUT">"c3872"</definedName>
    <definedName name="IQ_EST_NUM_LOWEST_REC">"c5652"</definedName>
    <definedName name="IQ_EST_NUM_LOWEST_REC_REUT">"c3873"</definedName>
    <definedName name="IQ_EST_NUM_NEUTRAL_REC">"c5650"</definedName>
    <definedName name="IQ_EST_NUM_NEUTRAL_REC_REUT">"c3871"</definedName>
    <definedName name="IQ_EST_NUM_NO_OPINION">"c1758"</definedName>
    <definedName name="IQ_EST_NUM_NO_OPINION_REUT">"c3868"</definedName>
    <definedName name="IQ_EST_NUM_OUTPERFORM">"c1760"</definedName>
    <definedName name="IQ_EST_NUM_OUTPERFORM_CIQ" hidden="1">"c3701"</definedName>
    <definedName name="IQ_EST_NUM_OUTPERFORM_REUT" hidden="1">"c3870"</definedName>
    <definedName name="IQ_EST_NUM_OUTPERFORM_THOM" hidden="1">"c5166"</definedName>
    <definedName name="IQ_EST_NUM_SELL">"c1763"</definedName>
    <definedName name="IQ_EST_NUM_SELL_CIQ" hidden="1">"c3704"</definedName>
    <definedName name="IQ_EST_NUM_SELL_REUT" hidden="1">"c3873"</definedName>
    <definedName name="IQ_EST_NUM_SELL_THOM" hidden="1">"c5169"</definedName>
    <definedName name="IQ_EST_NUM_UNDERPERFORM">"c1762"</definedName>
    <definedName name="IQ_EST_NUM_UNDERPERFORM_CIQ" hidden="1">"c3703"</definedName>
    <definedName name="IQ_EST_NUM_UNDERPERFORM_REUT" hidden="1">"c3872"</definedName>
    <definedName name="IQ_EST_NUM_UNDERPERFORM_THOM" hidden="1">"c5168"</definedName>
    <definedName name="IQ_EST_OPER_INC_DIFF">"c1877"</definedName>
    <definedName name="IQ_EST_OPER_INC_DIFF_REUT">"c5415"</definedName>
    <definedName name="IQ_EST_OPER_INC_SURPRISE_PERCENT">"c1878"</definedName>
    <definedName name="IQ_EST_OPER_INC_SURPRISE_PERCENT_REUT">"c5416"</definedName>
    <definedName name="IQ_EST_PRE_TAX_DIFF">"c1879"</definedName>
    <definedName name="IQ_EST_PRE_TAX_DIFF_REUT">"c5417"</definedName>
    <definedName name="IQ_EST_PRE_TAX_GW_DIFF">"c1881"</definedName>
    <definedName name="IQ_EST_PRE_TAX_GW_DIFF_REUT">"c5419"</definedName>
    <definedName name="IQ_EST_PRE_TAX_GW_SURPRISE_PERCENT">"c1882"</definedName>
    <definedName name="IQ_EST_PRE_TAX_GW_SURPRISE_PERCENT_REUT">"c5420"</definedName>
    <definedName name="IQ_EST_PRE_TAX_REPORT_DIFF">"c1883"</definedName>
    <definedName name="IQ_EST_PRE_TAX_REPORT_DIFF_REUT">"c5421"</definedName>
    <definedName name="IQ_EST_PRE_TAX_REPORT_SURPRISE_PERCENT">"c1884"</definedName>
    <definedName name="IQ_EST_PRE_TAX_REPORT_SURPRISE_PERCENT_REUT">"c5422"</definedName>
    <definedName name="IQ_EST_PRE_TAX_SURPRISE_PERCENT">"c1880"</definedName>
    <definedName name="IQ_EST_PRE_TAX_SURPRISE_PERCENT_REUT">"c5418"</definedName>
    <definedName name="IQ_EST_RECURRING_PROFIT_SHARE_DIFF">"c4505"</definedName>
    <definedName name="IQ_EST_RECURRING_PROFIT_SHARE_SURPRISE_PERCENT">"c4515"</definedName>
    <definedName name="IQ_EST_REV_DIFF">"c1865"</definedName>
    <definedName name="IQ_EST_REV_DIFF_REUT">"c3886"</definedName>
    <definedName name="IQ_EST_REV_GROWTH_1YR">"c1638"</definedName>
    <definedName name="IQ_EST_REV_GROWTH_1YR_REUT">"c3860"</definedName>
    <definedName name="IQ_EST_REV_GROWTH_2YR">"c1639"</definedName>
    <definedName name="IQ_EST_REV_GROWTH_2YR_REUT">"c3861"</definedName>
    <definedName name="IQ_EST_REV_GROWTH_Q_1YR">"c1640"</definedName>
    <definedName name="IQ_EST_REV_GROWTH_Q_1YR_REUT">"c3862"</definedName>
    <definedName name="IQ_EST_REV_SEQ_GROWTH_Q">"c1765"</definedName>
    <definedName name="IQ_EST_REV_SEQ_GROWTH_Q_REUT">"c3863"</definedName>
    <definedName name="IQ_EST_REV_SURPRISE_PERCENT">"c1866"</definedName>
    <definedName name="IQ_EST_REV_SURPRISE_PERCENT_REUT">"c3887"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"test"</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"c2216"</definedName>
    <definedName name="IQ_FFO_ADJ_ACT_OR_EST" hidden="1">"c4435"</definedName>
    <definedName name="IQ_FFO_ADJ_EST">"c4434"</definedName>
    <definedName name="IQ_FFO_ADJ_GUIDANCE">"c4436"</definedName>
    <definedName name="IQ_FFO_ADJ_HIGH_EST">"c4437"</definedName>
    <definedName name="IQ_FFO_ADJ_HIGH_GUIDANCE">"c4202"</definedName>
    <definedName name="IQ_FFO_ADJ_LOW_EST">"c4438"</definedName>
    <definedName name="IQ_FFO_ADJ_LOW_GUIDANCE">"c4242"</definedName>
    <definedName name="IQ_FFO_ADJ_MEDIAN_EST">"c4439"</definedName>
    <definedName name="IQ_FFO_ADJ_NUM_EST">"c4440"</definedName>
    <definedName name="IQ_FFO_ADJ_STDDEV_EST">"c4441"</definedName>
    <definedName name="IQ_FFO_EST">"c418"</definedName>
    <definedName name="IQ_FFO_EST_REUT">"c3837"</definedName>
    <definedName name="IQ_FFO_EST_THOM" hidden="1">"c3999"</definedName>
    <definedName name="IQ_FFO_GUIDANCE">"c4443"</definedName>
    <definedName name="IQ_FFO_HIGH_EST">"c419"</definedName>
    <definedName name="IQ_FFO_HIGH_EST_REUT">"c3839"</definedName>
    <definedName name="IQ_FFO_HIGH_EST_THOM" hidden="1">"c4001"</definedName>
    <definedName name="IQ_FFO_HIGH_GUIDANCE">"c4184"</definedName>
    <definedName name="IQ_FFO_LOW_EST">"c420"</definedName>
    <definedName name="IQ_FFO_LOW_EST_REUT">"c3840"</definedName>
    <definedName name="IQ_FFO_LOW_EST_THOM" hidden="1">"c4002"</definedName>
    <definedName name="IQ_FFO_LOW_GUIDANCE">"c4224"</definedName>
    <definedName name="IQ_FFO_MEDIAN_EST">"c1665"</definedName>
    <definedName name="IQ_FFO_MEDIAN_EST_REUT">"c3838"</definedName>
    <definedName name="IQ_FFO_MEDIAN_EST_THOM" hidden="1">"c4000"</definedName>
    <definedName name="IQ_FFO_NUM_EST">"c421"</definedName>
    <definedName name="IQ_FFO_NUM_EST_REUT">"c3841"</definedName>
    <definedName name="IQ_FFO_NUM_EST_THOM" hidden="1">"c4003"</definedName>
    <definedName name="IQ_FFO_PAYOUT_RATIO" hidden="1">"c3492"</definedName>
    <definedName name="IQ_FFO_SHARE_ACT_OR_EST" hidden="1">"c4446"</definedName>
    <definedName name="IQ_FFO_SHARE_EST">"c4445"</definedName>
    <definedName name="IQ_FFO_SHARE_GUIDANCE">"c4447"</definedName>
    <definedName name="IQ_FFO_SHARE_HIGH_EST">"c4448"</definedName>
    <definedName name="IQ_FFO_SHARE_HIGH_GUIDANCE">"c4203"</definedName>
    <definedName name="IQ_FFO_SHARE_LOW_EST">"c4449"</definedName>
    <definedName name="IQ_FFO_SHARE_LOW_GUIDANCE">"c4243"</definedName>
    <definedName name="IQ_FFO_SHARE_MEDIAN_EST">"c4450"</definedName>
    <definedName name="IQ_FFO_SHARE_NUM_EST">"c4451"</definedName>
    <definedName name="IQ_FFO_SHARE_STDDEV_EST">"c4452"</definedName>
    <definedName name="IQ_FFO_STDDEV_EST">"c422"</definedName>
    <definedName name="IQ_FFO_STDDEV_EST_REUT">"c3842"</definedName>
    <definedName name="IQ_FFO_STDDEV_EST_THOM" hidden="1">"c4004"</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REUT" hidden="1">"c6798"</definedName>
    <definedName name="IQ_FISCAL_Y" hidden="1">"c441"</definedName>
    <definedName name="IQ_FISCAL_Y_EST" hidden="1">"c6795"</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"c5554"</definedName>
    <definedName name="IQ_GROSS_MARGIN_EST">"c5547"</definedName>
    <definedName name="IQ_GROSS_MARGIN_HIGH_EST">"c5549"</definedName>
    <definedName name="IQ_GROSS_MARGIN_LOW_EST">"c5550"</definedName>
    <definedName name="IQ_GROSS_MARGIN_MEDIAN_EST">"c5548"</definedName>
    <definedName name="IQ_GROSS_MARGIN_NUM_EST">"c5551"</definedName>
    <definedName name="IQ_GROSS_MARGIN_STDDEV_EST">"c5552"</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CAPEX_EST">"c4457"</definedName>
    <definedName name="IQ_MAINT_CAPEX_GUIDANCE">"c4459"</definedName>
    <definedName name="IQ_MAINT_CAPEX_HIGH_EST">"c4460"</definedName>
    <definedName name="IQ_MAINT_CAPEX_HIGH_GUIDANCE">"c4197"</definedName>
    <definedName name="IQ_MAINT_CAPEX_LOW_EST">"c4461"</definedName>
    <definedName name="IQ_MAINT_CAPEX_LOW_GUIDANCE">"c4237"</definedName>
    <definedName name="IQ_MAINT_CAPEX_MEDIAN_EST">"c4462"</definedName>
    <definedName name="IQ_MAINT_CAPEX_NUM_EST">"c4463"</definedName>
    <definedName name="IQ_MAINT_CAPEX_STDDEV_EST">"c4464"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44400.6203819444</definedName>
    <definedName name="IQ_NAMES_REVISION_DATE__1" hidden="1">"09/29/2014 16:37:32"</definedName>
    <definedName name="IQ_NAV_ACT_OR_EST" hidden="1">"c2225"</definedName>
    <definedName name="IQ_NAV_EST">"c1751"</definedName>
    <definedName name="IQ_NAV_HIGH_EST">"c1753"</definedName>
    <definedName name="IQ_NAV_LOW_EST">"c1754"</definedName>
    <definedName name="IQ_NAV_MEDIAN_EST">"c1752"</definedName>
    <definedName name="IQ_NAV_NUM_EST">"c1755"</definedName>
    <definedName name="IQ_NAV_SHARE_ACT_OR_EST">"c2225"</definedName>
    <definedName name="IQ_NAV_SHARE_ACT_OR_EST_REUT">"c5623"</definedName>
    <definedName name="IQ_NAV_SHARE_EST">"c5609"</definedName>
    <definedName name="IQ_NAV_SHARE_EST_REUT">"c5617"</definedName>
    <definedName name="IQ_NAV_SHARE_HIGH_EST">"c5612"</definedName>
    <definedName name="IQ_NAV_SHARE_HIGH_EST_REUT">"c5620"</definedName>
    <definedName name="IQ_NAV_SHARE_LOW_EST">"c5613"</definedName>
    <definedName name="IQ_NAV_SHARE_LOW_EST_REUT">"c5621"</definedName>
    <definedName name="IQ_NAV_SHARE_MEDIAN_EST">"c5610"</definedName>
    <definedName name="IQ_NAV_SHARE_MEDIAN_EST_REUT">"c5618"</definedName>
    <definedName name="IQ_NAV_SHARE_NUM_EST">"c5614"</definedName>
    <definedName name="IQ_NAV_SHARE_NUM_EST_REUT">"c5622"</definedName>
    <definedName name="IQ_NAV_SHARE_STDDEV_EST">"c5611"</definedName>
    <definedName name="IQ_NAV_SHARE_STDDEV_EST_REUT">"c5619"</definedName>
    <definedName name="IQ_NAV_STDDEV_EST">"c1756"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"c3583"</definedName>
    <definedName name="IQ_NET_DEBT_ACT_OR_EST_REUT">"c5473"</definedName>
    <definedName name="IQ_NET_DEBT_EBITDA" hidden="1">"c750"</definedName>
    <definedName name="IQ_NET_DEBT_EBITDA_CAPEX" hidden="1">"c2949"</definedName>
    <definedName name="IQ_NET_DEBT_EST">"c3517"</definedName>
    <definedName name="IQ_NET_DEBT_EST_REUT">"c3976"</definedName>
    <definedName name="IQ_NET_DEBT_GUIDANCE">"c4467"</definedName>
    <definedName name="IQ_NET_DEBT_HIGH_EST">"c3518"</definedName>
    <definedName name="IQ_NET_DEBT_HIGH_EST_REUT">"c3978"</definedName>
    <definedName name="IQ_NET_DEBT_HIGH_GUIDANCE">"c4181"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"c3519"</definedName>
    <definedName name="IQ_NET_DEBT_LOW_EST_REUT">"c3979"</definedName>
    <definedName name="IQ_NET_DEBT_LOW_GUIDANCE">"c4221"</definedName>
    <definedName name="IQ_NET_DEBT_MEDIAN_EST">"c3520"</definedName>
    <definedName name="IQ_NET_DEBT_MEDIAN_EST_REUT">"c3977"</definedName>
    <definedName name="IQ_NET_DEBT_NUM_EST">"c3515"</definedName>
    <definedName name="IQ_NET_DEBT_NUM_EST_REUT">"c3980"</definedName>
    <definedName name="IQ_NET_DEBT_STDDEV_EST">"c3516"</definedName>
    <definedName name="IQ_NET_DEBT_STDDEV_EST_REUT">"c3981"</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"c2222"</definedName>
    <definedName name="IQ_NI_ACT_OR_EST_REUT">"c5468"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"c1716"</definedName>
    <definedName name="IQ_NI_EST_REUT">"c5368"</definedName>
    <definedName name="IQ_NI_GAAP_GUIDANCE">"c4470"</definedName>
    <definedName name="IQ_NI_GAAP_HIGH_GUIDANCE">"c4177"</definedName>
    <definedName name="IQ_NI_GAAP_LOW_GUIDANCE">"c4217"</definedName>
    <definedName name="IQ_NI_GUIDANCE">"c4469"</definedName>
    <definedName name="IQ_NI_GW_EST" hidden="1">"c1723"</definedName>
    <definedName name="IQ_NI_GW_EST_REUT">"c5375"</definedName>
    <definedName name="IQ_NI_GW_GUIDANCE">"c4471"</definedName>
    <definedName name="IQ_NI_GW_HIGH_EST" hidden="1">"c1725"</definedName>
    <definedName name="IQ_NI_GW_HIGH_EST_REUT">"c5377"</definedName>
    <definedName name="IQ_NI_GW_HIGH_GUIDANCE">"c4178"</definedName>
    <definedName name="IQ_NI_GW_LOW_EST" hidden="1">"c1726"</definedName>
    <definedName name="IQ_NI_GW_LOW_EST_REUT">"c5378"</definedName>
    <definedName name="IQ_NI_GW_LOW_GUIDANCE">"c4218"</definedName>
    <definedName name="IQ_NI_GW_MEDIAN_EST" hidden="1">"c1724"</definedName>
    <definedName name="IQ_NI_GW_MEDIAN_EST_REUT">"c5376"</definedName>
    <definedName name="IQ_NI_GW_NUM_EST" hidden="1">"c1727"</definedName>
    <definedName name="IQ_NI_GW_NUM_EST_REUT">"c5379"</definedName>
    <definedName name="IQ_NI_GW_STDDEV_EST" hidden="1">"c1728"</definedName>
    <definedName name="IQ_NI_GW_STDDEV_EST_REUT">"c5380"</definedName>
    <definedName name="IQ_NI_HIGH_EST">"c1718"</definedName>
    <definedName name="IQ_NI_HIGH_EST_REUT">"c5370"</definedName>
    <definedName name="IQ_NI_HIGH_GUIDANCE">"c4176"</definedName>
    <definedName name="IQ_NI_LOW_EST">"c1719"</definedName>
    <definedName name="IQ_NI_LOW_EST_REUT">"c5371"</definedName>
    <definedName name="IQ_NI_LOW_GUIDANCE">"c4216"</definedName>
    <definedName name="IQ_NI_MARGIN" hidden="1">"c794"</definedName>
    <definedName name="IQ_NI_MEDIAN_EST">"c1717"</definedName>
    <definedName name="IQ_NI_MEDIAN_EST_REUT">"c5369"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"c1720"</definedName>
    <definedName name="IQ_NI_NUM_EST_REUT">"c5372"</definedName>
    <definedName name="IQ_NI_REPORTED_EST">"c1730"</definedName>
    <definedName name="IQ_NI_REPORTED_EST_REUT">"c5382"</definedName>
    <definedName name="IQ_NI_REPORTED_HIGH_EST">"c1732"</definedName>
    <definedName name="IQ_NI_REPORTED_HIGH_EST_REUT">"c5384"</definedName>
    <definedName name="IQ_NI_REPORTED_LOW_EST">"c1733"</definedName>
    <definedName name="IQ_NI_REPORTED_LOW_EST_REUT">"c5385"</definedName>
    <definedName name="IQ_NI_REPORTED_MEDIAN_EST">"c1731"</definedName>
    <definedName name="IQ_NI_REPORTED_MEDIAN_EST_REUT">"c5383"</definedName>
    <definedName name="IQ_NI_REPORTED_NUM_EST">"c1734"</definedName>
    <definedName name="IQ_NI_REPORTED_NUM_EST_REUT">"c5386"</definedName>
    <definedName name="IQ_NI_REPORTED_STDDEV_EST">"c1735"</definedName>
    <definedName name="IQ_NI_REPORTED_STDDEV_EST_REUT">"c5387"</definedName>
    <definedName name="IQ_NI_SBC_ACT_OR_EST" hidden="1">"c4474"</definedName>
    <definedName name="IQ_NI_SBC_EST">"c4473"</definedName>
    <definedName name="IQ_NI_SBC_GUIDANCE">"c4475"</definedName>
    <definedName name="IQ_NI_SBC_GW_ACT_OR_EST" hidden="1">"c4478"</definedName>
    <definedName name="IQ_NI_SBC_GW_EST">"c4477"</definedName>
    <definedName name="IQ_NI_SBC_GW_GUIDANCE">"c4479"</definedName>
    <definedName name="IQ_NI_SBC_GW_HIGH_EST">"c4480"</definedName>
    <definedName name="IQ_NI_SBC_GW_HIGH_GUIDANCE">"c4187"</definedName>
    <definedName name="IQ_NI_SBC_GW_LOW_EST">"c4481"</definedName>
    <definedName name="IQ_NI_SBC_GW_LOW_GUIDANCE">"c4227"</definedName>
    <definedName name="IQ_NI_SBC_GW_MEDIAN_EST">"c4482"</definedName>
    <definedName name="IQ_NI_SBC_GW_NUM_EST">"c4483"</definedName>
    <definedName name="IQ_NI_SBC_GW_STDDEV_EST">"c4484"</definedName>
    <definedName name="IQ_NI_SBC_HIGH_EST">"c4486"</definedName>
    <definedName name="IQ_NI_SBC_HIGH_GUIDANCE">"c4186"</definedName>
    <definedName name="IQ_NI_SBC_LOW_EST">"c4487"</definedName>
    <definedName name="IQ_NI_SBC_LOW_GUIDANCE">"c4226"</definedName>
    <definedName name="IQ_NI_SBC_MEDIAN_EST">"c4488"</definedName>
    <definedName name="IQ_NI_SBC_NUM_EST">"c4489"</definedName>
    <definedName name="IQ_NI_SBC_STDDEV_EST">"c4490"</definedName>
    <definedName name="IQ_NI_SFAS" hidden="1">"c795"</definedName>
    <definedName name="IQ_NI_STDDEV_EST">"c1721"</definedName>
    <definedName name="IQ_NI_STDDEV_EST_REUT">"c5373"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TRANSACTION_ACCOUNTS_FDIC" hidden="1">"c6552"</definedName>
    <definedName name="IQ_NONUTIL_REV" hidden="1">"c2089"</definedName>
    <definedName name="IQ_NORM_EPS_ACT_OR_EST">"c2249"</definedName>
    <definedName name="IQ_NORM_EPS_ACT_OR_EST_REUT">"c5472"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"c2220"</definedName>
    <definedName name="IQ_OPER_INC_ACT_OR_EST_REUT">"c5466"</definedName>
    <definedName name="IQ_OPER_INC_BR" hidden="1">"c850"</definedName>
    <definedName name="IQ_OPER_INC_EST">"c1688"</definedName>
    <definedName name="IQ_OPER_INC_EST_REUT">"c5340"</definedName>
    <definedName name="IQ_OPER_INC_FIN" hidden="1">"c851"</definedName>
    <definedName name="IQ_OPER_INC_HIGH_EST">"c1690"</definedName>
    <definedName name="IQ_OPER_INC_HIGH_EST_REUT">"c5342"</definedName>
    <definedName name="IQ_OPER_INC_INS" hidden="1">"c852"</definedName>
    <definedName name="IQ_OPER_INC_LOW_EST">"c1691"</definedName>
    <definedName name="IQ_OPER_INC_LOW_EST_REUT">"c5343"</definedName>
    <definedName name="IQ_OPER_INC_MARGIN" hidden="1">"c1448"</definedName>
    <definedName name="IQ_OPER_INC_MEDIAN_EST">"c1689"</definedName>
    <definedName name="IQ_OPER_INC_MEDIAN_EST_REUT">"c5341"</definedName>
    <definedName name="IQ_OPER_INC_NUM_EST">"c1692"</definedName>
    <definedName name="IQ_OPER_INC_NUM_EST_REUT">"c5344"</definedName>
    <definedName name="IQ_OPER_INC_RE" hidden="1">"c6240"</definedName>
    <definedName name="IQ_OPER_INC_REIT" hidden="1">"c853"</definedName>
    <definedName name="IQ_OPER_INC_STDDEV_EST">"c1693"</definedName>
    <definedName name="IQ_OPER_INC_STDDEV_EST_REUT">"c5345"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"c1852"</definedName>
    <definedName name="IQ_PERCENT_CHANGE_EST_5YR_GROWTH_RATE_12MONTHS_REUT">"c3959"</definedName>
    <definedName name="IQ_PERCENT_CHANGE_EST_5YR_GROWTH_RATE_18MONTHS">"c1853"</definedName>
    <definedName name="IQ_PERCENT_CHANGE_EST_5YR_GROWTH_RATE_18MONTHS_REUT">"c3960"</definedName>
    <definedName name="IQ_PERCENT_CHANGE_EST_5YR_GROWTH_RATE_3MONTHS">"c1849"</definedName>
    <definedName name="IQ_PERCENT_CHANGE_EST_5YR_GROWTH_RATE_3MONTHS_REUT">"c3956"</definedName>
    <definedName name="IQ_PERCENT_CHANGE_EST_5YR_GROWTH_RATE_6MONTHS">"c1850"</definedName>
    <definedName name="IQ_PERCENT_CHANGE_EST_5YR_GROWTH_RATE_6MONTHS_REUT">"c3957"</definedName>
    <definedName name="IQ_PERCENT_CHANGE_EST_5YR_GROWTH_RATE_9MONTHS">"c1851"</definedName>
    <definedName name="IQ_PERCENT_CHANGE_EST_5YR_GROWTH_RATE_9MONTHS_REUT">"c3958"</definedName>
    <definedName name="IQ_PERCENT_CHANGE_EST_5YR_GROWTH_RATE_DAY">"c1846"</definedName>
    <definedName name="IQ_PERCENT_CHANGE_EST_5YR_GROWTH_RATE_DAY_REUT">"c3954"</definedName>
    <definedName name="IQ_PERCENT_CHANGE_EST_5YR_GROWTH_RATE_MONTH">"c1848"</definedName>
    <definedName name="IQ_PERCENT_CHANGE_EST_5YR_GROWTH_RATE_MONTH_REUT">"c3955"</definedName>
    <definedName name="IQ_PERCENT_CHANGE_EST_5YR_GROWTH_RATE_WEEK">"c1847"</definedName>
    <definedName name="IQ_PERCENT_CHANGE_EST_5YR_GROWTH_RATE_WEEK_REUT">"c5435"</definedName>
    <definedName name="IQ_PERCENT_CHANGE_EST_CFPS_12MONTHS">"c1812"</definedName>
    <definedName name="IQ_PERCENT_CHANGE_EST_CFPS_12MONTHS_REUT">"c3924"</definedName>
    <definedName name="IQ_PERCENT_CHANGE_EST_CFPS_18MONTHS">"c1813"</definedName>
    <definedName name="IQ_PERCENT_CHANGE_EST_CFPS_18MONTHS_REUT">"c3925"</definedName>
    <definedName name="IQ_PERCENT_CHANGE_EST_CFPS_3MONTHS">"c1809"</definedName>
    <definedName name="IQ_PERCENT_CHANGE_EST_CFPS_3MONTHS_REUT">"c3921"</definedName>
    <definedName name="IQ_PERCENT_CHANGE_EST_CFPS_6MONTHS">"c1810"</definedName>
    <definedName name="IQ_PERCENT_CHANGE_EST_CFPS_6MONTHS_REUT">"c3922"</definedName>
    <definedName name="IQ_PERCENT_CHANGE_EST_CFPS_9MONTHS">"c1811"</definedName>
    <definedName name="IQ_PERCENT_CHANGE_EST_CFPS_9MONTHS_REUT">"c3923"</definedName>
    <definedName name="IQ_PERCENT_CHANGE_EST_CFPS_DAY">"c1806"</definedName>
    <definedName name="IQ_PERCENT_CHANGE_EST_CFPS_DAY_REUT">"c3919"</definedName>
    <definedName name="IQ_PERCENT_CHANGE_EST_CFPS_MONTH">"c1808"</definedName>
    <definedName name="IQ_PERCENT_CHANGE_EST_CFPS_MONTH_REUT">"c3920"</definedName>
    <definedName name="IQ_PERCENT_CHANGE_EST_CFPS_WEEK">"c1807"</definedName>
    <definedName name="IQ_PERCENT_CHANGE_EST_CFPS_WEEK_REUT">"c3962"</definedName>
    <definedName name="IQ_PERCENT_CHANGE_EST_DPS_12MONTHS">"c1820"</definedName>
    <definedName name="IQ_PERCENT_CHANGE_EST_DPS_12MONTHS_REUT">"c3931"</definedName>
    <definedName name="IQ_PERCENT_CHANGE_EST_DPS_18MONTHS">"c1821"</definedName>
    <definedName name="IQ_PERCENT_CHANGE_EST_DPS_18MONTHS_REUT">"c3932"</definedName>
    <definedName name="IQ_PERCENT_CHANGE_EST_DPS_3MONTHS">"c1817"</definedName>
    <definedName name="IQ_PERCENT_CHANGE_EST_DPS_3MONTHS_REUT">"c3928"</definedName>
    <definedName name="IQ_PERCENT_CHANGE_EST_DPS_6MONTHS">"c1818"</definedName>
    <definedName name="IQ_PERCENT_CHANGE_EST_DPS_6MONTHS_REUT">"c3929"</definedName>
    <definedName name="IQ_PERCENT_CHANGE_EST_DPS_9MONTHS">"c1819"</definedName>
    <definedName name="IQ_PERCENT_CHANGE_EST_DPS_9MONTHS_REUT">"c3930"</definedName>
    <definedName name="IQ_PERCENT_CHANGE_EST_DPS_DAY">"c1814"</definedName>
    <definedName name="IQ_PERCENT_CHANGE_EST_DPS_DAY_REUT">"c3926"</definedName>
    <definedName name="IQ_PERCENT_CHANGE_EST_DPS_MONTH">"c1816"</definedName>
    <definedName name="IQ_PERCENT_CHANGE_EST_DPS_MONTH_REUT">"c3927"</definedName>
    <definedName name="IQ_PERCENT_CHANGE_EST_DPS_WEEK">"c1815"</definedName>
    <definedName name="IQ_PERCENT_CHANGE_EST_DPS_WEEK_REUT">"c3963"</definedName>
    <definedName name="IQ_PERCENT_CHANGE_EST_EBITDA_12MONTHS">"c1804"</definedName>
    <definedName name="IQ_PERCENT_CHANGE_EST_EBITDA_12MONTHS_REUT">"c3917"</definedName>
    <definedName name="IQ_PERCENT_CHANGE_EST_EBITDA_18MONTHS">"c1805"</definedName>
    <definedName name="IQ_PERCENT_CHANGE_EST_EBITDA_18MONTHS_REUT">"c3918"</definedName>
    <definedName name="IQ_PERCENT_CHANGE_EST_EBITDA_3MONTHS">"c1801"</definedName>
    <definedName name="IQ_PERCENT_CHANGE_EST_EBITDA_3MONTHS_REUT">"c3914"</definedName>
    <definedName name="IQ_PERCENT_CHANGE_EST_EBITDA_6MONTHS">"c1802"</definedName>
    <definedName name="IQ_PERCENT_CHANGE_EST_EBITDA_6MONTHS_REUT">"c3915"</definedName>
    <definedName name="IQ_PERCENT_CHANGE_EST_EBITDA_9MONTHS">"c1803"</definedName>
    <definedName name="IQ_PERCENT_CHANGE_EST_EBITDA_9MONTHS_REUT">"c3916"</definedName>
    <definedName name="IQ_PERCENT_CHANGE_EST_EBITDA_DAY">"c1798"</definedName>
    <definedName name="IQ_PERCENT_CHANGE_EST_EBITDA_DAY_REUT">"c3912"</definedName>
    <definedName name="IQ_PERCENT_CHANGE_EST_EBITDA_MONTH">"c1800"</definedName>
    <definedName name="IQ_PERCENT_CHANGE_EST_EBITDA_MONTH_REUT">"c3913"</definedName>
    <definedName name="IQ_PERCENT_CHANGE_EST_EBITDA_WEEK">"c1799"</definedName>
    <definedName name="IQ_PERCENT_CHANGE_EST_EBITDA_WEEK_REUT">"c3961"</definedName>
    <definedName name="IQ_PERCENT_CHANGE_EST_EPS_12MONTHS">"c1788"</definedName>
    <definedName name="IQ_PERCENT_CHANGE_EST_EPS_12MONTHS_REUT">"c3902"</definedName>
    <definedName name="IQ_PERCENT_CHANGE_EST_EPS_18MONTHS">"c1789"</definedName>
    <definedName name="IQ_PERCENT_CHANGE_EST_EPS_18MONTHS_REUT">"c3903"</definedName>
    <definedName name="IQ_PERCENT_CHANGE_EST_EPS_3MONTHS">"c1785"</definedName>
    <definedName name="IQ_PERCENT_CHANGE_EST_EPS_3MONTHS_REUT">"c3899"</definedName>
    <definedName name="IQ_PERCENT_CHANGE_EST_EPS_6MONTHS">"c1786"</definedName>
    <definedName name="IQ_PERCENT_CHANGE_EST_EPS_6MONTHS_REUT">"c3900"</definedName>
    <definedName name="IQ_PERCENT_CHANGE_EST_EPS_9MONTHS">"c1787"</definedName>
    <definedName name="IQ_PERCENT_CHANGE_EST_EPS_9MONTHS_REUT">"c3901"</definedName>
    <definedName name="IQ_PERCENT_CHANGE_EST_EPS_DAY">"c1782"</definedName>
    <definedName name="IQ_PERCENT_CHANGE_EST_EPS_DAY_REUT">"c3896"</definedName>
    <definedName name="IQ_PERCENT_CHANGE_EST_EPS_MONTH">"c1784"</definedName>
    <definedName name="IQ_PERCENT_CHANGE_EST_EPS_MONTH_REUT">"c3898"</definedName>
    <definedName name="IQ_PERCENT_CHANGE_EST_EPS_WEEK">"c1783"</definedName>
    <definedName name="IQ_PERCENT_CHANGE_EST_EPS_WEEK_REUT">"c3897"</definedName>
    <definedName name="IQ_PERCENT_CHANGE_EST_FFO_12MONTHS">"c1828"</definedName>
    <definedName name="IQ_PERCENT_CHANGE_EST_FFO_12MONTHS_REUT">"c3938"</definedName>
    <definedName name="IQ_PERCENT_CHANGE_EST_FFO_12MONTHS_THOM" hidden="1">"c5248"</definedName>
    <definedName name="IQ_PERCENT_CHANGE_EST_FFO_18MONTHS">"c1829"</definedName>
    <definedName name="IQ_PERCENT_CHANGE_EST_FFO_18MONTHS_REUT">"c3939"</definedName>
    <definedName name="IQ_PERCENT_CHANGE_EST_FFO_18MONTHS_THOM" hidden="1">"c5249"</definedName>
    <definedName name="IQ_PERCENT_CHANGE_EST_FFO_3MONTHS">"c1825"</definedName>
    <definedName name="IQ_PERCENT_CHANGE_EST_FFO_3MONTHS_REUT">"c3935"</definedName>
    <definedName name="IQ_PERCENT_CHANGE_EST_FFO_3MONTHS_THOM" hidden="1">"c5245"</definedName>
    <definedName name="IQ_PERCENT_CHANGE_EST_FFO_6MONTHS">"c1826"</definedName>
    <definedName name="IQ_PERCENT_CHANGE_EST_FFO_6MONTHS_REUT">"c3936"</definedName>
    <definedName name="IQ_PERCENT_CHANGE_EST_FFO_6MONTHS_THOM" hidden="1">"c5246"</definedName>
    <definedName name="IQ_PERCENT_CHANGE_EST_FFO_9MONTHS">"c1827"</definedName>
    <definedName name="IQ_PERCENT_CHANGE_EST_FFO_9MONTHS_REUT">"c3937"</definedName>
    <definedName name="IQ_PERCENT_CHANGE_EST_FFO_9MONTHS_THOM" hidden="1">"c5247"</definedName>
    <definedName name="IQ_PERCENT_CHANGE_EST_FFO_DAY">"c1822"</definedName>
    <definedName name="IQ_PERCENT_CHANGE_EST_FFO_DAY_REUT">"c3933"</definedName>
    <definedName name="IQ_PERCENT_CHANGE_EST_FFO_DAY_THOM" hidden="1">"c5243"</definedName>
    <definedName name="IQ_PERCENT_CHANGE_EST_FFO_MONTH">"c1824"</definedName>
    <definedName name="IQ_PERCENT_CHANGE_EST_FFO_MONTH_REUT">"c3934"</definedName>
    <definedName name="IQ_PERCENT_CHANGE_EST_FFO_MONTH_THOM" hidden="1">"c5244"</definedName>
    <definedName name="IQ_PERCENT_CHANGE_EST_FFO_WEEK">"c1823"</definedName>
    <definedName name="IQ_PERCENT_CHANGE_EST_FFO_WEEK_REUT">"c3964"</definedName>
    <definedName name="IQ_PERCENT_CHANGE_EST_FFO_WEEK_THOM" hidden="1">"c5274"</definedName>
    <definedName name="IQ_PERCENT_CHANGE_EST_PRICE_TARGET_12MONTHS">"c1844"</definedName>
    <definedName name="IQ_PERCENT_CHANGE_EST_PRICE_TARGET_12MONTHS_REUT">"c3952"</definedName>
    <definedName name="IQ_PERCENT_CHANGE_EST_PRICE_TARGET_18MONTHS">"c1845"</definedName>
    <definedName name="IQ_PERCENT_CHANGE_EST_PRICE_TARGET_18MONTHS_REUT">"c3953"</definedName>
    <definedName name="IQ_PERCENT_CHANGE_EST_PRICE_TARGET_3MONTHS">"c1841"</definedName>
    <definedName name="IQ_PERCENT_CHANGE_EST_PRICE_TARGET_3MONTHS_REUT">"c3949"</definedName>
    <definedName name="IQ_PERCENT_CHANGE_EST_PRICE_TARGET_6MONTHS">"c1842"</definedName>
    <definedName name="IQ_PERCENT_CHANGE_EST_PRICE_TARGET_6MONTHS_REUT">"c3950"</definedName>
    <definedName name="IQ_PERCENT_CHANGE_EST_PRICE_TARGET_9MONTHS">"c1843"</definedName>
    <definedName name="IQ_PERCENT_CHANGE_EST_PRICE_TARGET_9MONTHS_REUT">"c3951"</definedName>
    <definedName name="IQ_PERCENT_CHANGE_EST_PRICE_TARGET_DAY">"c1838"</definedName>
    <definedName name="IQ_PERCENT_CHANGE_EST_PRICE_TARGET_DAY_REUT">"c3947"</definedName>
    <definedName name="IQ_PERCENT_CHANGE_EST_PRICE_TARGET_MONTH">"c1840"</definedName>
    <definedName name="IQ_PERCENT_CHANGE_EST_PRICE_TARGET_MONTH_REUT">"c3948"</definedName>
    <definedName name="IQ_PERCENT_CHANGE_EST_PRICE_TARGET_WEEK">"c1839"</definedName>
    <definedName name="IQ_PERCENT_CHANGE_EST_PRICE_TARGET_WEEK_REUT">"c3967"</definedName>
    <definedName name="IQ_PERCENT_CHANGE_EST_RECO_12MONTHS">"c1836"</definedName>
    <definedName name="IQ_PERCENT_CHANGE_EST_RECO_12MONTHS_REUT">"c3945"</definedName>
    <definedName name="IQ_PERCENT_CHANGE_EST_RECO_18MONTHS">"c1837"</definedName>
    <definedName name="IQ_PERCENT_CHANGE_EST_RECO_18MONTHS_REUT">"c3946"</definedName>
    <definedName name="IQ_PERCENT_CHANGE_EST_RECO_3MONTHS">"c1833"</definedName>
    <definedName name="IQ_PERCENT_CHANGE_EST_RECO_3MONTHS_REUT">"c3942"</definedName>
    <definedName name="IQ_PERCENT_CHANGE_EST_RECO_6MONTHS">"c1834"</definedName>
    <definedName name="IQ_PERCENT_CHANGE_EST_RECO_6MONTHS_REUT">"c3943"</definedName>
    <definedName name="IQ_PERCENT_CHANGE_EST_RECO_9MONTHS">"c1835"</definedName>
    <definedName name="IQ_PERCENT_CHANGE_EST_RECO_9MONTHS_REUT">"c3944"</definedName>
    <definedName name="IQ_PERCENT_CHANGE_EST_RECO_DAY">"c1830"</definedName>
    <definedName name="IQ_PERCENT_CHANGE_EST_RECO_DAY_REUT">"c3940"</definedName>
    <definedName name="IQ_PERCENT_CHANGE_EST_RECO_MONTH">"c1832"</definedName>
    <definedName name="IQ_PERCENT_CHANGE_EST_RECO_MONTH_REUT">"c3941"</definedName>
    <definedName name="IQ_PERCENT_CHANGE_EST_RECO_WEEK">"c1831"</definedName>
    <definedName name="IQ_PERCENT_CHANGE_EST_RECO_WEEK_REUT">"c3966"</definedName>
    <definedName name="IQ_PERCENT_CHANGE_EST_REV_12MONTHS">"c1796"</definedName>
    <definedName name="IQ_PERCENT_CHANGE_EST_REV_12MONTHS_REUT">"c3910"</definedName>
    <definedName name="IQ_PERCENT_CHANGE_EST_REV_18MONTHS">"c1797"</definedName>
    <definedName name="IQ_PERCENT_CHANGE_EST_REV_18MONTHS_REUT">"c3911"</definedName>
    <definedName name="IQ_PERCENT_CHANGE_EST_REV_3MONTHS">"c1793"</definedName>
    <definedName name="IQ_PERCENT_CHANGE_EST_REV_3MONTHS_REUT">"c3907"</definedName>
    <definedName name="IQ_PERCENT_CHANGE_EST_REV_6MONTHS">"c1794"</definedName>
    <definedName name="IQ_PERCENT_CHANGE_EST_REV_6MONTHS_REUT">"c3908"</definedName>
    <definedName name="IQ_PERCENT_CHANGE_EST_REV_9MONTHS">"c1795"</definedName>
    <definedName name="IQ_PERCENT_CHANGE_EST_REV_9MONTHS_REUT">"c3909"</definedName>
    <definedName name="IQ_PERCENT_CHANGE_EST_REV_DAY">"c1790"</definedName>
    <definedName name="IQ_PERCENT_CHANGE_EST_REV_DAY_REUT">"c3904"</definedName>
    <definedName name="IQ_PERCENT_CHANGE_EST_REV_MONTH">"c1792"</definedName>
    <definedName name="IQ_PERCENT_CHANGE_EST_REV_MONTH_REUT">"c3906"</definedName>
    <definedName name="IQ_PERCENT_CHANGE_EST_REV_WEEK">"c1791"</definedName>
    <definedName name="IQ_PERCENT_CHANGE_EST_REV_WEEK_REUT">"c3905"</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"c1855"</definedName>
    <definedName name="IQ_POTENTIAL_UPSIDE_REUT">"c3968"</definedName>
    <definedName name="IQ_PRE_OPEN_COST" hidden="1">"c1040"</definedName>
    <definedName name="IQ_PRE_TAX_ACT_OR_EST">"c2221"</definedName>
    <definedName name="IQ_PRE_TAX_ACT_OR_EST_REUT">"c5467"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"c1702"</definedName>
    <definedName name="IQ_PRETAX_GW_INC_EST_REUT">"c5354"</definedName>
    <definedName name="IQ_PRETAX_GW_INC_HIGH_EST">"c1704"</definedName>
    <definedName name="IQ_PRETAX_GW_INC_HIGH_EST_REUT">"c5356"</definedName>
    <definedName name="IQ_PRETAX_GW_INC_LOW_EST">"c1705"</definedName>
    <definedName name="IQ_PRETAX_GW_INC_LOW_EST_REUT">"c5357"</definedName>
    <definedName name="IQ_PRETAX_GW_INC_MEDIAN_EST">"c1703"</definedName>
    <definedName name="IQ_PRETAX_GW_INC_MEDIAN_EST_REUT">"c5355"</definedName>
    <definedName name="IQ_PRETAX_GW_INC_NUM_EST">"c1706"</definedName>
    <definedName name="IQ_PRETAX_GW_INC_NUM_EST_REUT">"c5358"</definedName>
    <definedName name="IQ_PRETAX_GW_INC_STDDEV_EST">"c1707"</definedName>
    <definedName name="IQ_PRETAX_GW_INC_STDDEV_EST_REUT">"c5359"</definedName>
    <definedName name="IQ_PRETAX_INC_EST">"c1695"</definedName>
    <definedName name="IQ_PRETAX_INC_EST_REUT">"c5347"</definedName>
    <definedName name="IQ_PRETAX_INC_HIGH_EST">"c1697"</definedName>
    <definedName name="IQ_PRETAX_INC_HIGH_EST_REUT">"c5349"</definedName>
    <definedName name="IQ_PRETAX_INC_LOW_EST">"c1698"</definedName>
    <definedName name="IQ_PRETAX_INC_LOW_EST_REUT">"c5350"</definedName>
    <definedName name="IQ_PRETAX_INC_MEDIAN_EST">"c1696"</definedName>
    <definedName name="IQ_PRETAX_INC_MEDIAN_EST_REUT">"c5348"</definedName>
    <definedName name="IQ_PRETAX_INC_NUM_EST">"c1699"</definedName>
    <definedName name="IQ_PRETAX_INC_NUM_EST_REUT">"c5351"</definedName>
    <definedName name="IQ_PRETAX_INC_STDDEV_EST">"c1700"</definedName>
    <definedName name="IQ_PRETAX_INC_STDDEV_EST_REUT">"c5352"</definedName>
    <definedName name="IQ_PRETAX_REPORT_INC_EST">"c1709"</definedName>
    <definedName name="IQ_PRETAX_REPORT_INC_EST_REUT">"c5361"</definedName>
    <definedName name="IQ_PRETAX_REPORT_INC_HIGH_EST">"c1711"</definedName>
    <definedName name="IQ_PRETAX_REPORT_INC_HIGH_EST_REUT">"c5363"</definedName>
    <definedName name="IQ_PRETAX_REPORT_INC_LOW_EST">"c1712"</definedName>
    <definedName name="IQ_PRETAX_REPORT_INC_LOW_EST_REUT">"c5364"</definedName>
    <definedName name="IQ_PRETAX_REPORT_INC_MEDIAN_EST">"c1710"</definedName>
    <definedName name="IQ_PRETAX_REPORT_INC_MEDIAN_EST_REUT">"c5362"</definedName>
    <definedName name="IQ_PRETAX_REPORT_INC_NUM_EST">"c1713"</definedName>
    <definedName name="IQ_PRETAX_REPORT_INC_NUM_EST_REUT">"c5365"</definedName>
    <definedName name="IQ_PRETAX_REPORT_INC_STDDEV_EST">"c1714"</definedName>
    <definedName name="IQ_PRETAX_REPORT_INC_STDDEV_EST_REUT">"c5366"</definedName>
    <definedName name="IQ_PRETAX_RETURN_ASSETS_FDIC" hidden="1">"c6731"</definedName>
    <definedName name="IQ_PRICE_CFPS_FWD">"c2237"</definedName>
    <definedName name="IQ_PRICE_CFPS_FWD_REUT">"c4053"</definedName>
    <definedName name="IQ_PRICE_OVER_BVPS" hidden="1">"c1412"</definedName>
    <definedName name="IQ_PRICE_OVER_LTM_EPS" hidden="1">"c1413"</definedName>
    <definedName name="IQ_PRICE_TARGET" hidden="1">"c82"</definedName>
    <definedName name="IQ_PRICE_TARGET_BOTTOM_UP">"c5486"</definedName>
    <definedName name="IQ_PRICE_TARGET_BOTTOM_UP_REUT">"c5494"</definedName>
    <definedName name="IQ_PRICE_TARGET_REUT" hidden="1">"c3631"</definedName>
    <definedName name="IQ_PRICE_VOLATILITY_EST">"c4492"</definedName>
    <definedName name="IQ_PRICE_VOLATILITY_HIGH">"c4493"</definedName>
    <definedName name="IQ_PRICE_VOLATILITY_LOW">"c4494"</definedName>
    <definedName name="IQ_PRICE_VOLATILITY_MEDIAN">"c4495"</definedName>
    <definedName name="IQ_PRICE_VOLATILITY_NUM">"c4496"</definedName>
    <definedName name="IQ_PRICE_VOLATILITY_STDDEV">"c4497"</definedName>
    <definedName name="IQ_PRICEDATE" hidden="1">"c1069"</definedName>
    <definedName name="IQ_PRICING_DATE" hidden="1">"c1613"</definedName>
    <definedName name="IQ_PRIMARY_EPS_TYPE">"c4498"</definedName>
    <definedName name="IQ_PRIMARY_EPS_TYPE_REUT">"c5481"</definedName>
    <definedName name="IQ_PRIMARY_EPS_TYPE_THOM" hidden="1">"c5297"</definedName>
    <definedName name="IQ_PRIMARY_INDUSTRY" hidden="1">"c1070"</definedName>
    <definedName name="IQ_PRINCIPAL_AMT" hidden="1">"c2157"</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EST">"c4499"</definedName>
    <definedName name="IQ_RECURRING_PROFIT_GUIDANCE">"c4500"</definedName>
    <definedName name="IQ_RECURRING_PROFIT_HIGH_EST">"c4501"</definedName>
    <definedName name="IQ_RECURRING_PROFIT_HIGH_GUIDANCE">"c4179"</definedName>
    <definedName name="IQ_RECURRING_PROFIT_LOW_EST">"c4502"</definedName>
    <definedName name="IQ_RECURRING_PROFIT_LOW_GUIDANCE">"c4219"</definedName>
    <definedName name="IQ_RECURRING_PROFIT_MEDIAN_EST">"c4503"</definedName>
    <definedName name="IQ_RECURRING_PROFIT_NUM_EST">"c4504"</definedName>
    <definedName name="IQ_RECURRING_PROFIT_SHARE_ACT_OR_EST" hidden="1">"c4508"</definedName>
    <definedName name="IQ_RECURRING_PROFIT_SHARE_EST">"c4506"</definedName>
    <definedName name="IQ_RECURRING_PROFIT_SHARE_GUIDANCE">"c4509"</definedName>
    <definedName name="IQ_RECURRING_PROFIT_SHARE_HIGH_EST">"c4510"</definedName>
    <definedName name="IQ_RECURRING_PROFIT_SHARE_HIGH_GUIDANCE">"c4200"</definedName>
    <definedName name="IQ_RECURRING_PROFIT_SHARE_LOW_EST">"c4511"</definedName>
    <definedName name="IQ_RECURRING_PROFIT_SHARE_LOW_GUIDANCE">"c4240"</definedName>
    <definedName name="IQ_RECURRING_PROFIT_SHARE_MEDIAN_EST">"c4512"</definedName>
    <definedName name="IQ_RECURRING_PROFIT_SHARE_NUM_EST">"c4513"</definedName>
    <definedName name="IQ_RECURRING_PROFIT_SHARE_STDDEV_EST">"c4514"</definedName>
    <definedName name="IQ_RECURRING_PROFIT_STDDEV_EST">"c4516"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"c3585"</definedName>
    <definedName name="IQ_RETURN_ASSETS_ACT_OR_EST_REUT">"c5475"</definedName>
    <definedName name="IQ_RETURN_ASSETS_BANK" hidden="1">"c1114"</definedName>
    <definedName name="IQ_RETURN_ASSETS_BROK" hidden="1">"c1115"</definedName>
    <definedName name="IQ_RETURN_ASSETS_EST">"c3529"</definedName>
    <definedName name="IQ_RETURN_ASSETS_EST_REUT">"c3990"</definedName>
    <definedName name="IQ_RETURN_ASSETS_FDIC" hidden="1">"c6730"</definedName>
    <definedName name="IQ_RETURN_ASSETS_FS" hidden="1">"c1116"</definedName>
    <definedName name="IQ_RETURN_ASSETS_GUIDANCE">"c4517"</definedName>
    <definedName name="IQ_RETURN_ASSETS_HIGH_EST">"c3530"</definedName>
    <definedName name="IQ_RETURN_ASSETS_HIGH_EST_REUT">"c3992"</definedName>
    <definedName name="IQ_RETURN_ASSETS_HIGH_GUIDANCE">"c4183"</definedName>
    <definedName name="IQ_RETURN_ASSETS_LOW_EST">"c3531"</definedName>
    <definedName name="IQ_RETURN_ASSETS_LOW_EST_REUT">"c3993"</definedName>
    <definedName name="IQ_RETURN_ASSETS_LOW_GUIDANCE">"c4223"</definedName>
    <definedName name="IQ_RETURN_ASSETS_MEDIAN_EST">"c3532"</definedName>
    <definedName name="IQ_RETURN_ASSETS_MEDIAN_EST_REUT">"c3991"</definedName>
    <definedName name="IQ_RETURN_ASSETS_NUM_EST">"c3527"</definedName>
    <definedName name="IQ_RETURN_ASSETS_NUM_EST_REUT">"c3994"</definedName>
    <definedName name="IQ_RETURN_ASSETS_STDDEV_EST">"c3528"</definedName>
    <definedName name="IQ_RETURN_ASSETS_STDDEV_EST_REUT">"c3995"</definedName>
    <definedName name="IQ_RETURN_CAPITAL" hidden="1">"c1117"</definedName>
    <definedName name="IQ_RETURN_EQUITY" hidden="1">"c1118"</definedName>
    <definedName name="IQ_RETURN_EQUITY_ACT_OR_EST">"c3586"</definedName>
    <definedName name="IQ_RETURN_EQUITY_ACT_OR_EST_REUT">"c5476"</definedName>
    <definedName name="IQ_RETURN_EQUITY_BANK" hidden="1">"c1119"</definedName>
    <definedName name="IQ_RETURN_EQUITY_BROK" hidden="1">"c1120"</definedName>
    <definedName name="IQ_RETURN_EQUITY_EST">"c3535"</definedName>
    <definedName name="IQ_RETURN_EQUITY_EST_REUT">"c3983"</definedName>
    <definedName name="IQ_RETURN_EQUITY_FDIC" hidden="1">"c6732"</definedName>
    <definedName name="IQ_RETURN_EQUITY_FS" hidden="1">"c1121"</definedName>
    <definedName name="IQ_RETURN_EQUITY_GUIDANCE">"c4518"</definedName>
    <definedName name="IQ_RETURN_EQUITY_HIGH_EST">"c3536"</definedName>
    <definedName name="IQ_RETURN_EQUITY_HIGH_EST_REUT">"c3985"</definedName>
    <definedName name="IQ_RETURN_EQUITY_HIGH_GUIDANCE">"c4182"</definedName>
    <definedName name="IQ_RETURN_EQUITY_LOW_EST">"c3537"</definedName>
    <definedName name="IQ_RETURN_EQUITY_LOW_EST_REUT">"c3986"</definedName>
    <definedName name="IQ_RETURN_EQUITY_LOW_GUIDANCE">"c4222"</definedName>
    <definedName name="IQ_RETURN_EQUITY_MEDIAN_EST">"c3538"</definedName>
    <definedName name="IQ_RETURN_EQUITY_MEDIAN_EST_REUT">"c3984"</definedName>
    <definedName name="IQ_RETURN_EQUITY_NUM_EST">"c3533"</definedName>
    <definedName name="IQ_RETURN_EQUITY_NUM_EST_REUT">"c3987"</definedName>
    <definedName name="IQ_RETURN_EQUITY_STDDEV_EST">"c3534"</definedName>
    <definedName name="IQ_RETURN_EQUITY_STDDEV_EST_REUT">"c3988"</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"c2214"</definedName>
    <definedName name="IQ_REVENUE_ACT_OR_EST_REUT">"c5461"</definedName>
    <definedName name="IQ_REVENUE_EST" hidden="1">"c1126"</definedName>
    <definedName name="IQ_REVENUE_EST_BOTTOM_UP">"c5488"</definedName>
    <definedName name="IQ_REVENUE_EST_BOTTOM_UP_REUT">"c5496"</definedName>
    <definedName name="IQ_REVENUE_EST_REUT" hidden="1">"c3634"</definedName>
    <definedName name="IQ_REVENUE_GUIDANCE">"c4519"</definedName>
    <definedName name="IQ_REVENUE_HIGH_EST" hidden="1">"c1127"</definedName>
    <definedName name="IQ_REVENUE_HIGH_EST_REUT" hidden="1">"c3636"</definedName>
    <definedName name="IQ_REVENUE_HIGH_GUIDANCE">"c4169"</definedName>
    <definedName name="IQ_REVENUE_LOW_EST" hidden="1">"c1128"</definedName>
    <definedName name="IQ_REVENUE_LOW_EST_REUT" hidden="1">"c3637"</definedName>
    <definedName name="IQ_REVENUE_LOW_GUIDANCE">"c4209"</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39735.905150463</definedName>
    <definedName name="IQ_RISK_ADJ_BANK_ASSETS" hidden="1">"c2670"</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"c2171"</definedName>
    <definedName name="IQ_SP_BANK">"c2637"</definedName>
    <definedName name="IQ_SP_BANK_ACTION">"c2636"</definedName>
    <definedName name="IQ_SP_BANK_DATE">"c2635"</definedName>
    <definedName name="IQ_SP_DATE">"c2172"</definedName>
    <definedName name="IQ_SP_FIN_ENHANCE_FX">"c2631"</definedName>
    <definedName name="IQ_SP_FIN_ENHANCE_FX_ACTION">"c2630"</definedName>
    <definedName name="IQ_SP_FIN_ENHANCE_FX_DATE">"c2629"</definedName>
    <definedName name="IQ_SP_FIN_ENHANCE_LC">"c2634"</definedName>
    <definedName name="IQ_SP_FIN_ENHANCE_LC_ACTION">"c2633"</definedName>
    <definedName name="IQ_SP_FIN_ENHANCE_LC_DATE">"c2632"</definedName>
    <definedName name="IQ_SP_FIN_STRENGTH_LC_ACTION_LT">"c2625"</definedName>
    <definedName name="IQ_SP_FIN_STRENGTH_LC_ACTION_ST">"c2626"</definedName>
    <definedName name="IQ_SP_FIN_STRENGTH_LC_DATE_LT">"c2623"</definedName>
    <definedName name="IQ_SP_FIN_STRENGTH_LC_DATE_ST">"c2624"</definedName>
    <definedName name="IQ_SP_FIN_STRENGTH_LC_LT">"c2627"</definedName>
    <definedName name="IQ_SP_FIN_STRENGTH_LC_ST">"c2628"</definedName>
    <definedName name="IQ_SP_FX_ACTION_LT">"c2613"</definedName>
    <definedName name="IQ_SP_FX_ACTION_ST">"c2614"</definedName>
    <definedName name="IQ_SP_FX_DATE_LT">"c2611"</definedName>
    <definedName name="IQ_SP_FX_DATE_ST">"c2612"</definedName>
    <definedName name="IQ_SP_FX_LT">"c2615"</definedName>
    <definedName name="IQ_SP_FX_ST">"c2616"</definedName>
    <definedName name="IQ_SP_ISSUE_ACTION">"c2644"</definedName>
    <definedName name="IQ_SP_ISSUE_DATE">"c2643"</definedName>
    <definedName name="IQ_SP_ISSUE_LC_ACTION" hidden="1">"c2644"</definedName>
    <definedName name="IQ_SP_ISSUE_LC_DATE" hidden="1">"c2643"</definedName>
    <definedName name="IQ_SP_ISSUE_LC_LT" hidden="1">"c2645"</definedName>
    <definedName name="IQ_SP_ISSUE_LT">"c2645"</definedName>
    <definedName name="IQ_SP_ISSUE_OUTLOOK_WATCH">"c2650"</definedName>
    <definedName name="IQ_SP_ISSUE_OUTLOOK_WATCH_DATE">"c2649"</definedName>
    <definedName name="IQ_SP_ISSUE_RECOVER">"c2648"</definedName>
    <definedName name="IQ_SP_ISSUE_RECOVER_ACTION">"c2647"</definedName>
    <definedName name="IQ_SP_ISSUE_RECOVER_DATE">"c2646"</definedName>
    <definedName name="IQ_SP_LC_ACTION_LT">"c2619"</definedName>
    <definedName name="IQ_SP_LC_ACTION_ST">"c2620"</definedName>
    <definedName name="IQ_SP_LC_DATE_LT">"c2617"</definedName>
    <definedName name="IQ_SP_LC_DATE_ST">"c2618"</definedName>
    <definedName name="IQ_SP_LC_LT">"c2621"</definedName>
    <definedName name="IQ_SP_LC_ST">"c2622"</definedName>
    <definedName name="IQ_SP_OUTLOOK_WATCH">"c2639"</definedName>
    <definedName name="IQ_SP_OUTLOOK_WATCH_DATE">"c2638"</definedName>
    <definedName name="IQ_SP_REASON">"c2174"</definedName>
    <definedName name="IQ_SP_STATUS">"c2173"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"c4520"</definedName>
    <definedName name="IQ_STOCK_BASED_GA" hidden="1">"c2993"</definedName>
    <definedName name="IQ_STOCK_BASED_HIGH_EST">"c4521"</definedName>
    <definedName name="IQ_STOCK_BASED_LOW_EST">"c4522"</definedName>
    <definedName name="IQ_STOCK_BASED_MEDIAN_EST">"c4523"</definedName>
    <definedName name="IQ_STOCK_BASED_NUM_EST">"c4524"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"c2238"</definedName>
    <definedName name="IQ_TEV_EBIT_FWD_REUT">"c4054"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"c4526"</definedName>
    <definedName name="IQ_TEV_HIGH_EST">"c4527"</definedName>
    <definedName name="IQ_TEV_LOW_EST">"c4528"</definedName>
    <definedName name="IQ_TEV_MEDIAN_EST">"c4529"</definedName>
    <definedName name="IQ_TEV_NUM_EST">"c4530"</definedName>
    <definedName name="IQ_TEV_STDDEV_EST">"c4531"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ST">"c4532"</definedName>
    <definedName name="IQ_TOTAL_DEBT_EXCL_FIN" hidden="1">"c2937"</definedName>
    <definedName name="IQ_TOTAL_DEBT_GUIDANCE">"c4533"</definedName>
    <definedName name="IQ_TOTAL_DEBT_HIGH_EST">"c4534"</definedName>
    <definedName name="IQ_TOTAL_DEBT_HIGH_GUIDANCE">"c4196"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"c4535"</definedName>
    <definedName name="IQ_TOTAL_DEBT_LOW_GUIDANCE">"c4236"</definedName>
    <definedName name="IQ_TOTAL_DEBT_MEDIAN_EST">"c4536"</definedName>
    <definedName name="IQ_TOTAL_DEBT_NUM_EST">"c4537"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"c4538"</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4</definedName>
    <definedName name="IQB_BOOKMARK_LOCATION_0" hidden="1">#REF!</definedName>
    <definedName name="IQB_BOOKMARK_LOCATION_1" hidden="1">#REF!</definedName>
    <definedName name="IQRA10" hidden="1">"$A$11:$A$262"</definedName>
    <definedName name="IQRB15" hidden="1">"$B$16:$B$17"</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C12" hidden="1">"$C$13"</definedName>
    <definedName name="IQRC15" hidden="1">"$C$16:$C$20"</definedName>
    <definedName name="IQRC24" hidden="1">"$C$25:$C$29"</definedName>
    <definedName name="IQRCompaniesH12" hidden="1">#REF!</definedName>
    <definedName name="IQRCompaniesH127" hidden="1">#REF!</definedName>
    <definedName name="IQRCompaniesH13" hidden="1">#REF!</definedName>
    <definedName name="IQRCompaniesH14" hidden="1">#REF!</definedName>
    <definedName name="IQRCompaniesH15" hidden="1">#REF!</definedName>
    <definedName name="IQRCompaniesH16" hidden="1">#REF!</definedName>
    <definedName name="IQRCompaniesH17" hidden="1">#REF!</definedName>
    <definedName name="IQRCompaniesH18" hidden="1">#REF!</definedName>
    <definedName name="IQRCompaniesH19" hidden="1">#REF!</definedName>
    <definedName name="IQRCompaniesH20" hidden="1">#REF!</definedName>
    <definedName name="IQRCompaniesH21" hidden="1">#REF!</definedName>
    <definedName name="IQRCompaniesH22" hidden="1">#REF!</definedName>
    <definedName name="IQRCompaniesH23" hidden="1">#REF!</definedName>
    <definedName name="IQRCompaniesH24" hidden="1">#REF!</definedName>
    <definedName name="IQRCompaniesH25" hidden="1">#REF!</definedName>
    <definedName name="IQRCompaniesH26" hidden="1">#REF!</definedName>
    <definedName name="IQRCompaniesH27" hidden="1">#REF!</definedName>
    <definedName name="IQRCompaniesH28" hidden="1">#REF!</definedName>
    <definedName name="IQRCompaniesH29" hidden="1">#REF!</definedName>
    <definedName name="IQRCompaniesH30" hidden="1">#REF!</definedName>
    <definedName name="IQRCompaniesH31" hidden="1">#REF!</definedName>
    <definedName name="IQRCompaniesH32" hidden="1">#REF!</definedName>
    <definedName name="IQRCompaniesH33" hidden="1">#REF!</definedName>
    <definedName name="IQRCompaniesH34" hidden="1">#REF!</definedName>
    <definedName name="IQRCompaniesH35" hidden="1">#REF!</definedName>
    <definedName name="IQRCompaniesH36" hidden="1">#REF!</definedName>
    <definedName name="IQRCompaniesH37" hidden="1">#REF!</definedName>
    <definedName name="IQRCompaniesH38" hidden="1">#REF!</definedName>
    <definedName name="IQRCompaniesH39" hidden="1">#REF!</definedName>
    <definedName name="IQRCompaniesH40" hidden="1">#REF!</definedName>
    <definedName name="IQRCompaniesH41" hidden="1">#REF!</definedName>
    <definedName name="IQRCompaniesH42" hidden="1">#REF!</definedName>
    <definedName name="IQRCompaniesH43" hidden="1">#REF!</definedName>
    <definedName name="IQRCompaniesH44" hidden="1">#REF!</definedName>
    <definedName name="IQRCompaniesH45" hidden="1">#REF!</definedName>
    <definedName name="IQRCompaniesH46" hidden="1">#REF!</definedName>
    <definedName name="IQRCompaniesH47" hidden="1">#REF!</definedName>
    <definedName name="IQRCompaniesH48" hidden="1">#REF!</definedName>
    <definedName name="IQRCompaniesH49" hidden="1">#REF!</definedName>
    <definedName name="IQRCompaniesH50" hidden="1">#REF!</definedName>
    <definedName name="IQRCompaniesH51" hidden="1">#REF!</definedName>
    <definedName name="IQRCompaniesH52" hidden="1">#REF!</definedName>
    <definedName name="IQRCompaniesH53" hidden="1">#REF!</definedName>
    <definedName name="IQRCompaniesH54" hidden="1">#REF!</definedName>
    <definedName name="IQRCompaniesH55" hidden="1">#REF!</definedName>
    <definedName name="IQRCompaniesH56" hidden="1">#REF!</definedName>
    <definedName name="IQRCompaniesH57" hidden="1">#REF!</definedName>
    <definedName name="IQRCompaniesH58" hidden="1">#REF!</definedName>
    <definedName name="IQRCompaniesH59" hidden="1">#REF!</definedName>
    <definedName name="IQRCompaniesH60" hidden="1">#REF!</definedName>
    <definedName name="IQRCompaniesH61" hidden="1">#REF!</definedName>
    <definedName name="IQRCompaniesH62" hidden="1">#REF!</definedName>
    <definedName name="IQRCompaniesH63" hidden="1">#REF!</definedName>
    <definedName name="IQRCompaniesH64" hidden="1">#REF!</definedName>
    <definedName name="IQRCompaniesH65" hidden="1">#REF!</definedName>
    <definedName name="IQRCompaniesH66" hidden="1">#REF!</definedName>
    <definedName name="IQRCompaniesH67" hidden="1">#REF!</definedName>
    <definedName name="IQRCompaniesH68" hidden="1">#REF!</definedName>
    <definedName name="IQRCompaniesH69" hidden="1">#REF!</definedName>
    <definedName name="IQRCompaniesH70" hidden="1">#REF!</definedName>
    <definedName name="IQRCompaniesH71" hidden="1">#REF!</definedName>
    <definedName name="IQRCompaniesH72" hidden="1">#REF!</definedName>
    <definedName name="IQRCompaniesH73" hidden="1">#REF!</definedName>
    <definedName name="IQRCompaniesH74" hidden="1">#REF!</definedName>
    <definedName name="IQRCompaniesH75" hidden="1">#REF!</definedName>
    <definedName name="IQRCompaniesH76" hidden="1">#REF!</definedName>
    <definedName name="IQRCompaniesH77" hidden="1">#REF!</definedName>
    <definedName name="IQRCompaniesH78" hidden="1">#REF!</definedName>
    <definedName name="IQRCompaniesH79" hidden="1">#REF!</definedName>
    <definedName name="IQRCompaniesH80" hidden="1">#REF!</definedName>
    <definedName name="IQRCompaniesH81" hidden="1">#REF!</definedName>
    <definedName name="IQRCompaniesH82" hidden="1">#REF!</definedName>
    <definedName name="IQRCompaniesH83" hidden="1">#REF!</definedName>
    <definedName name="IQRCompaniesH84" hidden="1">#REF!</definedName>
    <definedName name="IQRCompaniesH85" hidden="1">#REF!</definedName>
    <definedName name="IQRCompaniesH86" hidden="1">#REF!</definedName>
    <definedName name="IQRCompaniesH87" hidden="1">#REF!</definedName>
    <definedName name="IQRCompaniesI12" hidden="1">#REF!</definedName>
    <definedName name="IQRCompaniesN12" hidden="1">#REF!</definedName>
    <definedName name="IQRCompaniesN127" hidden="1">#REF!</definedName>
    <definedName name="IQRCompaniesN13" hidden="1">#REF!</definedName>
    <definedName name="IQRCompaniesN14" hidden="1">#REF!</definedName>
    <definedName name="IQRCompaniesN15" hidden="1">#REF!</definedName>
    <definedName name="IQRCompaniesN16" hidden="1">#REF!</definedName>
    <definedName name="IQRCompaniesN17" hidden="1">#REF!</definedName>
    <definedName name="IQRCompaniesN18" hidden="1">#REF!</definedName>
    <definedName name="IQRCompaniesN19" hidden="1">#REF!</definedName>
    <definedName name="IQRCompaniesN20" hidden="1">#REF!</definedName>
    <definedName name="IQRCompaniesN21" hidden="1">#REF!</definedName>
    <definedName name="IQRCompaniesN22" hidden="1">#REF!</definedName>
    <definedName name="IQRCompaniesN23" hidden="1">#REF!</definedName>
    <definedName name="IQRCompaniesN24" hidden="1">#REF!</definedName>
    <definedName name="IQRCompaniesN25" hidden="1">#REF!</definedName>
    <definedName name="IQRCompaniesN26" hidden="1">#REF!</definedName>
    <definedName name="IQRCompaniesN27" hidden="1">#REF!</definedName>
    <definedName name="IQRCompaniesN28" hidden="1">#REF!</definedName>
    <definedName name="IQRCompaniesN29" hidden="1">#REF!</definedName>
    <definedName name="IQRCompaniesN30" hidden="1">#REF!</definedName>
    <definedName name="IQRCompaniesN31" hidden="1">#REF!</definedName>
    <definedName name="IQRCompaniesN32" hidden="1">#REF!</definedName>
    <definedName name="IQRCompaniesN33" hidden="1">#REF!</definedName>
    <definedName name="IQRCompaniesN34" hidden="1">#REF!</definedName>
    <definedName name="IQRCompaniesN35" hidden="1">#REF!</definedName>
    <definedName name="IQRCompaniesN36" hidden="1">#REF!</definedName>
    <definedName name="IQRCompaniesN37" hidden="1">#REF!</definedName>
    <definedName name="IQRCompaniesN38" hidden="1">#REF!</definedName>
    <definedName name="IQRCompaniesN39" hidden="1">#REF!</definedName>
    <definedName name="IQRCompaniesN40" hidden="1">#REF!</definedName>
    <definedName name="IQRCompaniesN41" hidden="1">#REF!</definedName>
    <definedName name="IQRCompaniesN42" hidden="1">#REF!</definedName>
    <definedName name="IQRCompaniesN43" hidden="1">#REF!</definedName>
    <definedName name="IQRCompaniesN44" hidden="1">#REF!</definedName>
    <definedName name="IQRCompaniesN45" hidden="1">#REF!</definedName>
    <definedName name="IQRCompaniesN46" hidden="1">#REF!</definedName>
    <definedName name="IQRCompaniesN47" hidden="1">#REF!</definedName>
    <definedName name="IQRCompaniesN48" hidden="1">#REF!</definedName>
    <definedName name="IQRCompaniesN49" hidden="1">#REF!</definedName>
    <definedName name="IQRCompaniesN50" hidden="1">#REF!</definedName>
    <definedName name="IQRCompaniesN51" hidden="1">#REF!</definedName>
    <definedName name="IQRCompaniesN52" hidden="1">#REF!</definedName>
    <definedName name="IQRCompaniesN53" hidden="1">#REF!</definedName>
    <definedName name="IQRCompaniesN54" hidden="1">#REF!</definedName>
    <definedName name="IQRCompaniesN55" hidden="1">#REF!</definedName>
    <definedName name="IQRCompaniesN56" hidden="1">#REF!</definedName>
    <definedName name="IQRCompaniesN57" hidden="1">#REF!</definedName>
    <definedName name="IQRCompaniesN58" hidden="1">#REF!</definedName>
    <definedName name="IQRCompaniesN59" hidden="1">#REF!</definedName>
    <definedName name="IQRCompaniesN60" hidden="1">#REF!</definedName>
    <definedName name="IQRCompaniesN61" hidden="1">#REF!</definedName>
    <definedName name="IQRCompaniesN62" hidden="1">#REF!</definedName>
    <definedName name="IQRCompaniesN63" hidden="1">#REF!</definedName>
    <definedName name="IQRCompaniesN64" hidden="1">#REF!</definedName>
    <definedName name="IQRCompaniesN65" hidden="1">#REF!</definedName>
    <definedName name="IQRCompaniesN66" hidden="1">#REF!</definedName>
    <definedName name="IQRCompaniesN67" hidden="1">#REF!</definedName>
    <definedName name="IQRCompaniesN68" hidden="1">#REF!</definedName>
    <definedName name="IQRCompaniesN69" hidden="1">#REF!</definedName>
    <definedName name="IQRCompaniesN70" hidden="1">#REF!</definedName>
    <definedName name="IQRCompaniesN71" hidden="1">#REF!</definedName>
    <definedName name="IQRCompaniesN72" hidden="1">#REF!</definedName>
    <definedName name="IQRCompaniesN73" hidden="1">#REF!</definedName>
    <definedName name="IQRCompaniesN74" hidden="1">#REF!</definedName>
    <definedName name="IQRCompaniesN75" hidden="1">#REF!</definedName>
    <definedName name="IQRCompaniesN76" hidden="1">#REF!</definedName>
    <definedName name="IQRCompaniesN77" hidden="1">#REF!</definedName>
    <definedName name="IQRCompaniesN78" hidden="1">#REF!</definedName>
    <definedName name="IQRCompaniesN79" hidden="1">#REF!</definedName>
    <definedName name="IQRCompaniesN80" hidden="1">#REF!</definedName>
    <definedName name="IQRCompaniesN81" hidden="1">#REF!</definedName>
    <definedName name="IQRCompaniesN82" hidden="1">#REF!</definedName>
    <definedName name="IQRCompaniesN83" hidden="1">#REF!</definedName>
    <definedName name="IQRCompaniesN84" hidden="1">#REF!</definedName>
    <definedName name="IQRCompaniesN85" hidden="1">#REF!</definedName>
    <definedName name="IQRCompaniesN86" hidden="1">#REF!</definedName>
    <definedName name="IQRCompaniesN87" hidden="1">#REF!</definedName>
    <definedName name="IQRCompaniesO12" hidden="1">#REF!</definedName>
    <definedName name="IQRCompanyIDFinderH12" hidden="1">#REF!</definedName>
    <definedName name="IQRCompanyIDFinderH13" hidden="1">#REF!</definedName>
    <definedName name="IQRCompanyIDFinderH14" hidden="1">#REF!</definedName>
    <definedName name="IQRCompanyIDFinderH15" hidden="1">#REF!</definedName>
    <definedName name="IQRCompanyIDFinderH16" hidden="1">#REF!</definedName>
    <definedName name="IQRCompanyIDFinderH17" hidden="1">#REF!</definedName>
    <definedName name="IQRCompanyIDFinderH18" hidden="1">#REF!</definedName>
    <definedName name="IQRCompanyIDFinderH19" hidden="1">#REF!</definedName>
    <definedName name="IQRCompanyIDFinderH20" hidden="1">#REF!</definedName>
    <definedName name="IQRCompanyIDFinderH21" hidden="1">#REF!</definedName>
    <definedName name="IQRCompanyIDFinderH22" hidden="1">#REF!</definedName>
    <definedName name="IQRCompanyIDFinderH23" hidden="1">#REF!</definedName>
    <definedName name="IQRCompanyIDFinderH24" hidden="1">#REF!</definedName>
    <definedName name="IQRCompanyIDFinderH25" hidden="1">#REF!</definedName>
    <definedName name="IQRCompanyIDFinderH26" hidden="1">#REF!</definedName>
    <definedName name="IQRCompanyIDFinderH27" hidden="1">#REF!</definedName>
    <definedName name="IQRCompanyIDFinderH28" hidden="1">#REF!</definedName>
    <definedName name="IQRCompanyIDFinderH29" hidden="1">#REF!</definedName>
    <definedName name="IQRCompanyIDFinderH30" hidden="1">#REF!</definedName>
    <definedName name="IQRCompanyIDFinderH31" hidden="1">#REF!</definedName>
    <definedName name="IQRCompanyIDFinderH32" hidden="1">#REF!</definedName>
    <definedName name="IQRCompanyIDFinderH33" hidden="1">#REF!</definedName>
    <definedName name="IQRCompanyIDFinderH34" hidden="1">#REF!</definedName>
    <definedName name="IQRCompanyIDFinderH35" hidden="1">#REF!</definedName>
    <definedName name="IQRCompanyIDFinderH36" hidden="1">#REF!</definedName>
    <definedName name="IQRCompanyIDFinderH37" hidden="1">#REF!</definedName>
    <definedName name="IQRCompanyIDFinderH38" hidden="1">#REF!</definedName>
    <definedName name="IQRCompanyIDFinderH39" hidden="1">#REF!</definedName>
    <definedName name="IQRCompanyIDFinderH40" hidden="1">#REF!</definedName>
    <definedName name="IQRCompanyIDFinderH41" hidden="1">#REF!</definedName>
    <definedName name="IQRCompanyIDFinderH42" hidden="1">#REF!</definedName>
    <definedName name="IQRCompanyIDFinderH43" hidden="1">#REF!</definedName>
    <definedName name="IQRCompanyIDFinderH44" hidden="1">#REF!</definedName>
    <definedName name="IQRCompanyIDFinderH45" hidden="1">#REF!</definedName>
    <definedName name="IQRCompanyIDFinderH46" hidden="1">#REF!</definedName>
    <definedName name="IQRCompanyIDFinderH47" hidden="1">#REF!</definedName>
    <definedName name="IQRCompanyIDFinderH48" hidden="1">#REF!</definedName>
    <definedName name="IQRCompanyIDFinderH49" hidden="1">#REF!</definedName>
    <definedName name="IQRCompanyIDFinderH50" hidden="1">#REF!</definedName>
    <definedName name="IQRCompanyIDFinderH51" hidden="1">#REF!</definedName>
    <definedName name="IQRCompanyIDFinderH52" hidden="1">#REF!</definedName>
    <definedName name="IQRCompanyIDFinderH53" hidden="1">#REF!</definedName>
    <definedName name="IQRCompanyIDFinderH54" hidden="1">#REF!</definedName>
    <definedName name="IQRCompanyIDFinderH55" hidden="1">#REF!</definedName>
    <definedName name="IQRCompanyIDFinderH56" hidden="1">#REF!</definedName>
    <definedName name="IQRCompanyIDFinderH57" hidden="1">#REF!</definedName>
    <definedName name="IQRCompanyIDFinderH58" hidden="1">#REF!</definedName>
    <definedName name="IQRCompanyIDFinderH59" hidden="1">#REF!</definedName>
    <definedName name="IQRCompanyIDFinderH60" hidden="1">#REF!</definedName>
    <definedName name="IQRCompanyIDFinderH61" hidden="1">#REF!</definedName>
    <definedName name="IQRCompanyIDFinderH62" hidden="1">#REF!</definedName>
    <definedName name="IQRCompanyIDFinderH63" hidden="1">#REF!</definedName>
    <definedName name="IQRCompanyIDFinderH64" hidden="1">#REF!</definedName>
    <definedName name="IQRCompanyIDFinderH65" hidden="1">#REF!</definedName>
    <definedName name="IQRCompanyIDFinderH66" hidden="1">#REF!</definedName>
    <definedName name="IQRCompanyIDFinderH67" hidden="1">#REF!</definedName>
    <definedName name="IQRCompanyIDFinderH68" hidden="1">#REF!</definedName>
    <definedName name="IQRCompanyIDFinderH69" hidden="1">#REF!</definedName>
    <definedName name="IQRCompanyIDFinderH70" hidden="1">#REF!</definedName>
    <definedName name="IQRCompanyIDFinderH71" hidden="1">#REF!</definedName>
    <definedName name="IQRCompanyIDFinderH72" hidden="1">#REF!</definedName>
    <definedName name="IQRCompanyIDFinderH73" hidden="1">#REF!</definedName>
    <definedName name="IQRCompanyIDFinderH74" hidden="1">#REF!</definedName>
    <definedName name="IQRCompanyIDFinderH75" hidden="1">#REF!</definedName>
    <definedName name="IQRCompanyIDFinderH76" hidden="1">#REF!</definedName>
    <definedName name="IQRCompanyIDFinderH77" hidden="1">#REF!</definedName>
    <definedName name="IQRCompanyIDFinderH78" hidden="1">#REF!</definedName>
    <definedName name="IQRCompanyIDFinderH79" hidden="1">#REF!</definedName>
    <definedName name="IQRCompanyIDFinderH80" hidden="1">#REF!</definedName>
    <definedName name="IQRCompanyIDFinderH82" hidden="1">#REF!</definedName>
    <definedName name="IQRCompanyIDFinderH83" hidden="1">#REF!</definedName>
    <definedName name="IQRCompanyIDFinderH84" hidden="1">#REF!</definedName>
    <definedName name="IQRCompanyIDFinderH85" hidden="1">#REF!</definedName>
    <definedName name="IQRCompanyIDFinderH86" hidden="1">#REF!</definedName>
    <definedName name="IQRCompanyIDFinderH87" hidden="1">#REF!</definedName>
    <definedName name="IQRCompanyIDFinderH88" hidden="1">#REF!</definedName>
    <definedName name="IQRCompanyIDFinderH89" hidden="1">#REF!</definedName>
    <definedName name="IQRCompanyIDFinderH90" hidden="1">#REF!</definedName>
    <definedName name="IQRCompanyIDFinderH91" hidden="1">#REF!</definedName>
    <definedName name="IQRCompanyIDFinderH92" hidden="1">#REF!</definedName>
    <definedName name="IQRCompanyIDFinderH93" hidden="1">#REF!</definedName>
    <definedName name="IQRCompanyIDFinderH94" hidden="1">#REF!</definedName>
    <definedName name="IQRCompanyIDFinderH95" hidden="1">#REF!</definedName>
    <definedName name="IQRCompanyIDFinderH96" hidden="1">#REF!</definedName>
    <definedName name="IQRCompanyIDFinderN12" hidden="1">#REF!</definedName>
    <definedName name="IQRCompanyIDFinderN13" hidden="1">#REF!</definedName>
    <definedName name="IQRCompanyIDFinderN14" hidden="1">#REF!</definedName>
    <definedName name="IQRCompanyIDFinderN15" hidden="1">#REF!</definedName>
    <definedName name="IQRCompanyIDFinderN16" hidden="1">#REF!</definedName>
    <definedName name="IQRCompanyIDFinderN17" hidden="1">#REF!</definedName>
    <definedName name="IQRCompanyIDFinderN18" hidden="1">#REF!</definedName>
    <definedName name="IQRCompanyIDFinderN19" hidden="1">#REF!</definedName>
    <definedName name="IQRCompanyIDFinderN20" hidden="1">#REF!</definedName>
    <definedName name="IQRCompanyIDFinderN21" hidden="1">#REF!</definedName>
    <definedName name="IQRCompanyIDFinderN22" hidden="1">#REF!</definedName>
    <definedName name="IQRCompanyIDFinderN23" hidden="1">#REF!</definedName>
    <definedName name="IQRCompanyIDFinderN24" hidden="1">#REF!</definedName>
    <definedName name="IQRCompanyIDFinderN25" hidden="1">#REF!</definedName>
    <definedName name="IQRCompanyIDFinderN26" hidden="1">#REF!</definedName>
    <definedName name="IQRCompanyIDFinderN27" hidden="1">#REF!</definedName>
    <definedName name="IQRCompanyIDFinderN28" hidden="1">#REF!</definedName>
    <definedName name="IQRCompanyIDFinderN29" hidden="1">#REF!</definedName>
    <definedName name="IQRCompanyIDFinderN30" hidden="1">#REF!</definedName>
    <definedName name="IQRCompanyIDFinderN31" hidden="1">#REF!</definedName>
    <definedName name="IQRCompanyIDFinderN32" hidden="1">#REF!</definedName>
    <definedName name="IQRCompanyIDFinderN33" hidden="1">#REF!</definedName>
    <definedName name="IQRCompanyIDFinderN34" hidden="1">#REF!</definedName>
    <definedName name="IQRCompanyIDFinderN35" hidden="1">#REF!</definedName>
    <definedName name="IQRCompanyIDFinderN36" hidden="1">#REF!</definedName>
    <definedName name="IQRCompanyIDFinderN37" hidden="1">#REF!</definedName>
    <definedName name="IQRCompanyIDFinderN38" hidden="1">#REF!</definedName>
    <definedName name="IQRCompanyIDFinderN39" hidden="1">#REF!</definedName>
    <definedName name="IQRCompanyIDFinderN40" hidden="1">#REF!</definedName>
    <definedName name="IQRCompanyIDFinderN41" hidden="1">#REF!</definedName>
    <definedName name="IQRCompanyIDFinderN42" hidden="1">#REF!</definedName>
    <definedName name="IQRCompanyIDFinderN43" hidden="1">#REF!</definedName>
    <definedName name="IQRCompanyIDFinderN44" hidden="1">#REF!</definedName>
    <definedName name="IQRCompanyIDFinderN45" hidden="1">#REF!</definedName>
    <definedName name="IQRCompanyIDFinderN46" hidden="1">#REF!</definedName>
    <definedName name="IQRCompanyIDFinderN47" hidden="1">#REF!</definedName>
    <definedName name="IQRCompanyIDFinderN48" hidden="1">#REF!</definedName>
    <definedName name="IQRCompanyIDFinderN49" hidden="1">#REF!</definedName>
    <definedName name="IQRCompanyIDFinderN50" hidden="1">#REF!</definedName>
    <definedName name="IQRCompanyIDFinderN51" hidden="1">#REF!</definedName>
    <definedName name="IQRCompanyIDFinderN52" hidden="1">#REF!</definedName>
    <definedName name="IQRCompanyIDFinderN53" hidden="1">#REF!</definedName>
    <definedName name="IQRCompanyIDFinderN54" hidden="1">#REF!</definedName>
    <definedName name="IQRCompanyIDFinderN55" hidden="1">#REF!</definedName>
    <definedName name="IQRCompanyIDFinderN56" hidden="1">#REF!</definedName>
    <definedName name="IQRCompanyIDFinderN57" hidden="1">#REF!</definedName>
    <definedName name="IQRCompanyIDFinderN58" hidden="1">#REF!</definedName>
    <definedName name="IQRCompanyIDFinderN59" hidden="1">#REF!</definedName>
    <definedName name="IQRCompanyIDFinderN60" hidden="1">#REF!</definedName>
    <definedName name="IQRCompanyIDFinderN61" hidden="1">#REF!</definedName>
    <definedName name="IQRCompanyIDFinderN62" hidden="1">#REF!</definedName>
    <definedName name="IQRCompanyIDFinderN63" hidden="1">#REF!</definedName>
    <definedName name="IQRCompanyIDFinderN64" hidden="1">#REF!</definedName>
    <definedName name="IQRCompanyIDFinderN65" hidden="1">#REF!</definedName>
    <definedName name="IQRCompanyIDFinderN66" hidden="1">#REF!</definedName>
    <definedName name="IQRCompanyIDFinderN67" hidden="1">#REF!</definedName>
    <definedName name="IQRCompanyIDFinderN68" hidden="1">#REF!</definedName>
    <definedName name="IQRCompanyIDFinderN69" hidden="1">#REF!</definedName>
    <definedName name="IQRCompanyIDFinderN70" hidden="1">#REF!</definedName>
    <definedName name="IQRCompanyIDFinderN71" hidden="1">#REF!</definedName>
    <definedName name="IQRCompanyIDFinderN72" hidden="1">#REF!</definedName>
    <definedName name="IQRCompanyIDFinderN73" hidden="1">#REF!</definedName>
    <definedName name="IQRCompanyIDFinderN74" hidden="1">#REF!</definedName>
    <definedName name="IQRCompanyIDFinderN75" hidden="1">#REF!</definedName>
    <definedName name="IQRCompanyIDFinderN76" hidden="1">#REF!</definedName>
    <definedName name="IQRCompanyIDFinderN77" hidden="1">#REF!</definedName>
    <definedName name="IQRCompanyIDFinderN78" hidden="1">#REF!</definedName>
    <definedName name="IQRCompanyIDFinderN79" hidden="1">#REF!</definedName>
    <definedName name="IQRCompanyIDFinderN80" hidden="1">#REF!</definedName>
    <definedName name="IQRCompanyIDFinderN82" hidden="1">#REF!</definedName>
    <definedName name="IQRCompanyIDFinderN83" hidden="1">#REF!</definedName>
    <definedName name="IQRCompanyIDFinderN84" hidden="1">#REF!</definedName>
    <definedName name="IQRCompanyIDFinderN85" hidden="1">#REF!</definedName>
    <definedName name="IQRCompanyIDFinderN86" hidden="1">#REF!</definedName>
    <definedName name="IQRCompanyIDFinderN87" hidden="1">#REF!</definedName>
    <definedName name="IQRCompanyIDFinderN88" hidden="1">#REF!</definedName>
    <definedName name="IQRCompanyIDFinderN89" hidden="1">#REF!</definedName>
    <definedName name="IQRCompanyIDFinderN90" hidden="1">#REF!</definedName>
    <definedName name="IQRCompanyIDFinderN91" hidden="1">#REF!</definedName>
    <definedName name="IQRCompanyIDFinderN92" hidden="1">#REF!</definedName>
    <definedName name="IQRCompanyIDFinderN93" hidden="1">#REF!</definedName>
    <definedName name="IQRCompanyIDFinderN94" hidden="1">#REF!</definedName>
    <definedName name="IQRCompanyIDFinderN95" hidden="1">#REF!</definedName>
    <definedName name="IQRCompanyIDFinderN96" hidden="1">#REF!</definedName>
    <definedName name="IQRD15" hidden="1">"$D$16:$D$17"</definedName>
    <definedName name="IQRF6" hidden="1">"$F$7:$F$8"</definedName>
    <definedName name="IQRG12" hidden="1">"$H$12:$L$12"</definedName>
    <definedName name="IQRH12" hidden="1">"$I$12:$M$12"</definedName>
    <definedName name="IQRH13" hidden="1">"$I$13:$M$13"</definedName>
    <definedName name="IQRH14" hidden="1">"$I$14"</definedName>
    <definedName name="IQRH15" hidden="1">"$I$15:$M$15"</definedName>
    <definedName name="IQRH16" hidden="1">"$I$16:$M$16"</definedName>
    <definedName name="IQRH17" hidden="1">"$I$17:$M$17"</definedName>
    <definedName name="IQRH18" hidden="1">"$I$18:$M$18"</definedName>
    <definedName name="IQRH19" hidden="1">"$I$19:$M$19"</definedName>
    <definedName name="IQRH20" hidden="1">"$I$20:$M$20"</definedName>
    <definedName name="IQRH21" hidden="1">"$I$21"</definedName>
    <definedName name="IQRH22" hidden="1">"$I$22"</definedName>
    <definedName name="IQRH23" hidden="1">"$I$23"</definedName>
    <definedName name="IQRH24" hidden="1">"$I$24"</definedName>
    <definedName name="IQRH25" hidden="1">"$I$25"</definedName>
    <definedName name="IQRH26" hidden="1">"$I$26"</definedName>
    <definedName name="IQRH27" hidden="1">"$I$27"</definedName>
    <definedName name="IQRH28" hidden="1">"$I$28"</definedName>
    <definedName name="IQRH58" hidden="1">"$H$59:$H$65"</definedName>
    <definedName name="IQRM12" hidden="1">"$N$12:$R$12"</definedName>
    <definedName name="IQRN10" hidden="1">"$O$10:$S$10"</definedName>
    <definedName name="IQRN11" hidden="1">"$O$11:$P$11"</definedName>
    <definedName name="IQRN12" hidden="1">"$O$12:$S$12"</definedName>
    <definedName name="IQRN13" hidden="1">"$O$13:$S$13"</definedName>
    <definedName name="IQRN14" hidden="1">"$O$14"</definedName>
    <definedName name="IQRN15" hidden="1">"$O$15:$S$15"</definedName>
    <definedName name="IQRN16" hidden="1">"$O$16:$S$16"</definedName>
    <definedName name="IQRN17" hidden="1">"$O$17:$S$17"</definedName>
    <definedName name="IQRN18" hidden="1">"$O$18:$S$18"</definedName>
    <definedName name="IQRN19" hidden="1">"$O$19:$S$19"</definedName>
    <definedName name="IQRN20" hidden="1">"$O$20:$S$20"</definedName>
    <definedName name="IQRN21" hidden="1">"$O$21"</definedName>
    <definedName name="IQRN22" hidden="1">"$O$22"</definedName>
    <definedName name="IQRN23" hidden="1">"$O$23"</definedName>
    <definedName name="IQRN24" hidden="1">"$O$24"</definedName>
    <definedName name="IQRN25" hidden="1">"$O$25"</definedName>
    <definedName name="IQRN26" hidden="1">"$O$26"</definedName>
    <definedName name="IQRN27" hidden="1">"$O$27"</definedName>
    <definedName name="IQRN28" hidden="1">"$O$28"</definedName>
    <definedName name="IQRSheet1H12" hidden="1">#REF!</definedName>
    <definedName name="IQRSheet1H13" hidden="1">#REF!</definedName>
    <definedName name="IQRSheet1H14" hidden="1">#REF!</definedName>
    <definedName name="IQRSheet1H15" hidden="1">#REF!</definedName>
    <definedName name="IQRSheet1H16" hidden="1">#REF!</definedName>
    <definedName name="IQRSheet1H17" hidden="1">#REF!</definedName>
    <definedName name="IQRSheet1H18" hidden="1">#REF!</definedName>
    <definedName name="IQRSheet1H19" hidden="1">#REF!</definedName>
    <definedName name="IQRSheet1H20" hidden="1">#REF!</definedName>
    <definedName name="IQRSheet1N12" hidden="1">#REF!</definedName>
    <definedName name="IQRSheet1N13" hidden="1">#REF!</definedName>
    <definedName name="IQRSheet1N14" hidden="1">#REF!</definedName>
    <definedName name="IQRSheet1N15" hidden="1">#REF!</definedName>
    <definedName name="IQRSheet1N16" hidden="1">#REF!</definedName>
    <definedName name="IQRSheet1N17" hidden="1">#REF!</definedName>
    <definedName name="IQRSheet1N18" hidden="1">#REF!</definedName>
    <definedName name="IQRSheet1N19" hidden="1">#REF!</definedName>
    <definedName name="IQRSheet1N20" hidden="1">#REF!</definedName>
    <definedName name="IQRT10" hidden="1">"$U$10:$Y$10"</definedName>
    <definedName name="IQRT11" hidden="1">"$U$11:$V$11"</definedName>
    <definedName name="IQRT12" hidden="1">"$U$12:$Y$12"</definedName>
    <definedName name="IQRT13" hidden="1">"$U$13:$Y$13"</definedName>
    <definedName name="IQRT14" hidden="1">"$U$14:$Y$14"</definedName>
    <definedName name="IQRT15" hidden="1">"$U$15:$Y$15"</definedName>
    <definedName name="IQRT16" hidden="1">"$U$16:$Y$16"</definedName>
    <definedName name="IQRT17" hidden="1">"$U$17:$Y$17"</definedName>
    <definedName name="IQRT18" hidden="1">"$U$18:$Y$18"</definedName>
    <definedName name="IQRT19" hidden="1">"$U$19:$W$19"</definedName>
    <definedName name="IQRWACCAnalysisBB10" hidden="1">#REF!</definedName>
    <definedName name="IQRWACCAnalysisBC10" hidden="1">#REF!</definedName>
    <definedName name="IQRWACCAnalysisBF10" hidden="1">#REF!</definedName>
    <definedName name="IQRWACCAnalysisBH10" hidden="1">#REF!</definedName>
    <definedName name="IQRWACCAnalysisBJ10" hidden="1">#REF!</definedName>
    <definedName name="IQRWACCAnalysisBK10" hidden="1">#REF!</definedName>
    <definedName name="IQRWACCAnalysisBL10" hidden="1">#REF!</definedName>
    <definedName name="IQRWACCAnalysisBM10" hidden="1">#REF!</definedName>
    <definedName name="IQRWACCAnalysisBN10" hidden="1">#REF!</definedName>
    <definedName name="IQRWACCAnalysisBO10" hidden="1">#REF!</definedName>
    <definedName name="IQRWACCAnalysisBP10" hidden="1">#REF!</definedName>
    <definedName name="IQRWACCAnalysisBQ10" hidden="1">#REF!</definedName>
    <definedName name="IQRWACCAnalysisBR10" hidden="1">#REF!</definedName>
    <definedName name="IQRWACCAnalysisBS10" hidden="1">#REF!</definedName>
    <definedName name="IQRWACCAnalysisBT10" hidden="1">#REF!</definedName>
    <definedName name="IQRWACCAnalysisBU10" hidden="1">#REF!</definedName>
    <definedName name="IQRWACCAnalysisBV10" hidden="1">#REF!</definedName>
    <definedName name="IQRWACCAnalysisBW10" hidden="1">#REF!</definedName>
    <definedName name="IQRWACCAnalysisBX10" hidden="1">#REF!</definedName>
    <definedName name="IQRWACCAnalysisBY10" hidden="1">#REF!</definedName>
    <definedName name="IQRWACCAnalysisBZ10" hidden="1">#REF!</definedName>
    <definedName name="IQRWACCAnalysisCA10" hidden="1">#REF!</definedName>
    <definedName name="IQRWACCAnalysisCB10" hidden="1">#REF!</definedName>
    <definedName name="IQRWACCAnalysisCC10" hidden="1">#REF!</definedName>
    <definedName name="IQRWACCAnalysisCD10" hidden="1">#REF!</definedName>
    <definedName name="IQRWACCAnalysisformulas2BF10" hidden="1">#REF!</definedName>
    <definedName name="IQRWACCAnalysisformulas2BN10" hidden="1">#REF!</definedName>
    <definedName name="IQRWACCAnalysisformulasBF10" hidden="1">#REF!</definedName>
    <definedName name="IQRWACCAnalysisformulasBN10" hidden="1">#REF!</definedName>
    <definedName name="IQRWACCAnalysishardcodeBF10" hidden="1">#REF!</definedName>
    <definedName name="IQRWACCAnalysishardcodeBN10" hidden="1">#REF!</definedName>
    <definedName name="IQRWACCformulasBF10" hidden="1">#REF!</definedName>
    <definedName name="IQRWACCformulasBN10" hidden="1">#REF!</definedName>
    <definedName name="IQRWACChardcodeBF10" hidden="1">#REF!</definedName>
    <definedName name="IQRWACChardcodeBF9" hidden="1">#REF!</definedName>
    <definedName name="IQRWACChardcodeBN10" hidden="1">#REF!</definedName>
    <definedName name="IQRWACChardcodeBN9" hidden="1">#REF!</definedName>
    <definedName name="iQShowHideColumns" hidden="1">"iQShowQuarterlyAnnual"</definedName>
    <definedName name="IR">#REF!</definedName>
    <definedName name="ir_cs">-34%</definedName>
    <definedName name="Irbe" hidden="1">{#N/A,#N/A,FALSE,"Pharm";#N/A,#N/A,FALSE,"WWCM"}</definedName>
    <definedName name="irr">#REF!</definedName>
    <definedName name="IRS" hidden="1">{#N/A,#N/A,FALSE,"notecf";#N/A,#N/A,FALSE,"kdv 2003";#N/A,#N/A,FALSE,"bankbalance";#N/A,#N/A,FALSE,"Interest2004";#N/A,#N/A,FALSE,"cf2004in'000usd";#N/A,#N/A,FALSE,"kdvdepo";#N/A,#N/A,FALSE,"BS2004";#N/A,#N/A,FALSE,"cf2003in'000usd";#N/A,#N/A,FALSE,"BS2003"}</definedName>
    <definedName name="IRS_1" hidden="1">{#N/A,#N/A,FALSE,"notecf";#N/A,#N/A,FALSE,"kdv 2003";#N/A,#N/A,FALSE,"bankbalance";#N/A,#N/A,FALSE,"Interest2004";#N/A,#N/A,FALSE,"cf2004in'000usd";#N/A,#N/A,FALSE,"kdvdepo";#N/A,#N/A,FALSE,"BS2004";#N/A,#N/A,FALSE,"cf2003in'000usd";#N/A,#N/A,FALSE,"BS2003"}</definedName>
    <definedName name="IS">"#REF!"</definedName>
    <definedName name="Is.Format.Line">#REF!</definedName>
    <definedName name="Is.Format.Line_2">#REF!</definedName>
    <definedName name="Is.Format.Line_31">#REF!</definedName>
    <definedName name="Is.Format.Line_4">#REF!</definedName>
    <definedName name="Is.Format.Line_5">#REF!</definedName>
    <definedName name="IS___0">"#REF!"</definedName>
    <definedName name="IS_2">"#REF!"</definedName>
    <definedName name="is_print">#REF!</definedName>
    <definedName name="IS1_">#REF!</definedName>
    <definedName name="IS1__1">#REF!</definedName>
    <definedName name="IS1__10">"'file:///Z:/Cons-Dec`10/Consolidation Dec 10.xls'#$P_L.$#REF!$#REF!:$#REF!$#REF!"</definedName>
    <definedName name="IS1__11">"'file:///Z:/Cons-Dec`10/Consolidation Dec 10.xls'#$P_L.$#REF!$#REF!:$#REF!$#REF!"</definedName>
    <definedName name="IS1__12">"'file:///Z:/Cons-Dec`10/Consolidation Dec 10.xls'#$P_L.$#REF!$#REF!:$#REF!$#REF!"</definedName>
    <definedName name="IS1__13">"'file:///Z:/Cons-Dec`10/Consolidation Dec 10.xls'#$P_L.$#REF!$#REF!:$#REF!$#REF!"</definedName>
    <definedName name="IS1__15">"'file:///Z:/Cons-Dec`10/Consolidation Dec 10.xls'#$P_L.$#REF!$#REF!:$#REF!$#REF!"</definedName>
    <definedName name="IS1__4">"'file:///Z:/Cons-Dec`10/Consolidation Dec 10.xls'#$P_L.$#REF!$#REF!:$#REF!$#REF!"</definedName>
    <definedName name="IS1__5">"'file:///Z:/Cons-Dec`10/Consolidation Dec 10.xls'#$P_L.$#REF!$#REF!:$#REF!$#REF!"</definedName>
    <definedName name="IS1__6">"'file:///Z:/Cons-Dec`10/Consolidation Dec 10.xls'#$P_L.$#REF!$#REF!:$#REF!$#REF!"</definedName>
    <definedName name="IS1__7">"'file:///Z:/Cons-Dec`10/Consolidation Dec 10.xls'#$P_L.$#REF!$#REF!:$#REF!$#REF!"</definedName>
    <definedName name="IS1__8">"'file:///Z:/Cons-Dec`10/Consolidation Dec 10.xls'#$P_L.$#REF!$#REF!:$#REF!$#REF!"</definedName>
    <definedName name="IS1__9">"'file:///Z:/Cons-Dec`10/Consolidation Dec 10.xls'#$P_L.$#REF!$#REF!:$#REF!$#REF!"</definedName>
    <definedName name="IS2_">#REF!</definedName>
    <definedName name="IS2__1">#REF!</definedName>
    <definedName name="IS2__10">"'file:///Z:/Cons-Dec`10/Consolidation Dec 10.xls'#$BS.$#REF!$#REF!:$#REF!$#REF!"</definedName>
    <definedName name="IS2__11">"'file:///Z:/Cons-Dec`10/Consolidation Dec 10.xls'#$BS.$#REF!$#REF!:$#REF!$#REF!"</definedName>
    <definedName name="IS2__12">"'file:///Z:/Cons-Dec`10/Consolidation Dec 10.xls'#$BS.$#REF!$#REF!:$#REF!$#REF!"</definedName>
    <definedName name="IS2__13">"'file:///Z:/Cons-Dec`10/Consolidation Dec 10.xls'#$BS.$#REF!$#REF!:$#REF!$#REF!"</definedName>
    <definedName name="IS2__15">"'file:///Z:/Cons-Dec`10/Consolidation Dec 10.xls'#$BS.$#REF!$#REF!:$#REF!$#REF!"</definedName>
    <definedName name="IS2__4">"'file:///Z:/Cons-Dec`10/Consolidation Dec 10.xls'#$BS.$#REF!$#REF!:$#REF!$#REF!"</definedName>
    <definedName name="IS2__5">"'file:///Z:/Cons-Dec`10/Consolidation Dec 10.xls'#$BS.$#REF!$#REF!:$#REF!$#REF!"</definedName>
    <definedName name="IS2__6">"'file:///Z:/Cons-Dec`10/Consolidation Dec 10.xls'#$BS.$#REF!$#REF!:$#REF!$#REF!"</definedName>
    <definedName name="IS2__7">"'file:///Z:/Cons-Dec`10/Consolidation Dec 10.xls'#$BS.$#REF!$#REF!:$#REF!$#REF!"</definedName>
    <definedName name="IS2__8">"'file:///Z:/Cons-Dec`10/Consolidation Dec 10.xls'#$BS.$#REF!$#REF!:$#REF!$#REF!"</definedName>
    <definedName name="IS2__9">"'file:///Z:/Cons-Dec`10/Consolidation Dec 10.xls'#$BS.$#REF!$#REF!:$#REF!$#REF!"</definedName>
    <definedName name="ISBL_K">#REF!</definedName>
    <definedName name="IsColHidden" hidden="1">FALSE</definedName>
    <definedName name="IsLTMColHidden" hidden="1">FALSE</definedName>
    <definedName name="IT" hidden="1">{#N/A,#N/A,FALSE,"A"}</definedName>
    <definedName name="IT14_S">#REF!</definedName>
    <definedName name="IT14D">#REF!</definedName>
    <definedName name="IT15_S">#REF!</definedName>
    <definedName name="IT15D">#REF!</definedName>
    <definedName name="IT15D_Inpats">#REF!</definedName>
    <definedName name="IT15D_Local">#REF!</definedName>
    <definedName name="IT585D">#REF!</definedName>
    <definedName name="IT586D">#REF!</definedName>
    <definedName name="ITAX">#REF!</definedName>
    <definedName name="itax.rate">#REF!</definedName>
    <definedName name="ITAX_DEP" hidden="1">{#N/A,#N/A,FALSE,"A"}</definedName>
    <definedName name="Item">#REF!</definedName>
    <definedName name="Item2">#REF!</definedName>
    <definedName name="Itemcheck">#REF!</definedName>
    <definedName name="itl">#REF!</definedName>
    <definedName name="ITSEction1">#REF!</definedName>
    <definedName name="IVWISE">#REF!</definedName>
    <definedName name="j" hidden="1">{"'Directory'!$A$72:$E$91"}</definedName>
    <definedName name="J.K._Polyfibre">#REF!</definedName>
    <definedName name="J_9">#REF!</definedName>
    <definedName name="JA">#REF!</definedName>
    <definedName name="JACKY" hidden="1">#REF!</definedName>
    <definedName name="jad" hidden="1">{#N/A,"30% Success",TRUE,"Sales Forecast";#N/A,#N/A,TRUE,"Sheet2"}</definedName>
    <definedName name="jad_1" hidden="1">{#N/A,"30% Success",TRUE,"Sales Forecast";#N/A,#N/A,TRUE,"Sheet2"}</definedName>
    <definedName name="jad_2" hidden="1">{#N/A,"30% Success",TRUE,"Sales Forecast";#N/A,#N/A,TRUE,"Sheet2"}</definedName>
    <definedName name="jad_3" hidden="1">{#N/A,"30% Success",TRUE,"Sales Forecast";#N/A,#N/A,TRUE,"Sheet2"}</definedName>
    <definedName name="jad_4" hidden="1">{#N/A,"30% Success",TRUE,"Sales Forecast";#N/A,#N/A,TRUE,"Sheet2"}</definedName>
    <definedName name="jad_5" hidden="1">{#N/A,"30% Success",TRUE,"Sales Forecast";#N/A,#N/A,TRUE,"Sheet2"}</definedName>
    <definedName name="jan">#REF!</definedName>
    <definedName name="January">#REF!</definedName>
    <definedName name="janvier">#REF!</definedName>
    <definedName name="Jay_Pee_Techno">#REF!</definedName>
    <definedName name="jbjhbjhbj" hidden="1">{"fdsup://IBCentral/FAT Viewer?action=UPDATE&amp;creator=factset&amp;DOC_NAME=fat:reuters_annual_source_window.fat&amp;display_string=Audit&amp;DYN_ARGS=TRUE&amp;VAR:ID1=B06WVL&amp;VAR:RCODE=NIBX&amp;VAR:SDATE=20050799&amp;VAR:FREQ=Y&amp;VAR:RELITEM=RF&amp;VAR:CURRENCY=&amp;VAR:CURRSOURCE=EXSHARE&amp;VAR",":NATFREQ=ANNUAL&amp;VAR:RFIELD=FINALIZED&amp;VAR:DB_TYPE=&amp;VAR:UNITS=M&amp;window=popup&amp;width=450&amp;height=300&amp;START_MAXIMIZED=FALSE"}</definedName>
    <definedName name="jdfj" hidden="1">#REF!</definedName>
    <definedName name="jhhg" hidden="1">{"fdsup://IBCentral/FAT Viewer?action=UPDATE&amp;creator=factset&amp;DOC_NAME=fat:reuters_annual_source_window.fat&amp;display_string=Audit&amp;DYN_ARGS=TRUE&amp;VAR:ID1=G1696210&amp;VAR:RCODE=FSALE&amp;VAR:SDATE=20101299&amp;VAR:FREQ=Y&amp;VAR:RELITEM=RF&amp;VAR:CURRENCY=&amp;VAR:CURRSOURCE=EXSHARE&amp;","VAR:NATFREQ=ANNUAL&amp;VAR:RFIELD=FINALIZED&amp;VAR:DB_TYPE=&amp;VAR:UNITS=M&amp;window=popup&amp;width=450&amp;height=300&amp;START_MAXIMIZED=FALSE"}</definedName>
    <definedName name="JHJ" hidden="1">{"'Sheet1'!$A$4386:$N$4591"}</definedName>
    <definedName name="jhjhjkhjhhjhj" hidden="1">{"'CONSOLIDADO'!$B$10:$R$57"}</definedName>
    <definedName name="jim" hidden="1">{"'Directory'!$A$72:$E$91"}</definedName>
    <definedName name="jjj">#N/A</definedName>
    <definedName name="jjjj" hidden="1">{#N/A,#N/A,FALSE,"Staffnos &amp; cost"}</definedName>
    <definedName name="jjjjjj">#N/A</definedName>
    <definedName name="jjjjjjjjjjj">INDEX(#REF!,0,3)</definedName>
    <definedName name="jkl" hidden="1">{#N/A,#N/A,FALSE,"REPORT"}</definedName>
    <definedName name="JKM">#REF!</definedName>
    <definedName name="JKM___0">#REF!</definedName>
    <definedName name="JKM_8">#REF!</definedName>
    <definedName name="jn" hidden="1">{"FTSE22","COMPANIES",TRUE}</definedName>
    <definedName name="Jnr">#REF!</definedName>
    <definedName name="Jnrr">#REF!</definedName>
    <definedName name="joaquim" hidden="1">{#N/A,"100% Success",TRUE,"Sales Forecast";#N/A,#N/A,TRUE,"Sheet2"}</definedName>
    <definedName name="joaquim_1" hidden="1">{#N/A,"100% Success",TRUE,"Sales Forecast";#N/A,#N/A,TRUE,"Sheet2"}</definedName>
    <definedName name="joaquim_2" hidden="1">{#N/A,"100% Success",TRUE,"Sales Forecast";#N/A,#N/A,TRUE,"Sheet2"}</definedName>
    <definedName name="joaquim_3" hidden="1">{#N/A,"100% Success",TRUE,"Sales Forecast";#N/A,#N/A,TRUE,"Sheet2"}</definedName>
    <definedName name="joaquim_4" hidden="1">{#N/A,"100% Success",TRUE,"Sales Forecast";#N/A,#N/A,TRUE,"Sheet2"}</definedName>
    <definedName name="joaquim_5" hidden="1">{#N/A,"100% Success",TRUE,"Sales Forecast";#N/A,#N/A,TRUE,"Sheet2"}</definedName>
    <definedName name="joekjpwjófdwjmeiojfw" hidden="1">#REF!</definedName>
    <definedName name="Join_1Contato">#REF!,#REF!</definedName>
    <definedName name="Join_AlvoAcessado">#REF!,#REF!</definedName>
    <definedName name="Join_NDAassinado">#REF!,#REF!</definedName>
    <definedName name="Join_NrInterações">#REF!,#REF!</definedName>
    <definedName name="Join_ToDos">#REF!,#REF!</definedName>
    <definedName name="JP">#REF!</definedName>
    <definedName name="JPP">#REF!</definedName>
    <definedName name="jty.ln.rcvry">#REF!</definedName>
    <definedName name="jty.ln.rpmt">#REF!</definedName>
    <definedName name="judy" hidden="1">{#N/A,#N/A,FALSE,"Pharm";#N/A,#N/A,FALSE,"WWCM"}</definedName>
    <definedName name="judy1" hidden="1">{#N/A,#N/A,FALSE,"Pharm";#N/A,#N/A,FALSE,"WWCM"}</definedName>
    <definedName name="Juillet">#REF!</definedName>
    <definedName name="Juin">#REF!</definedName>
    <definedName name="jul">#REF!</definedName>
    <definedName name="July">#REF!</definedName>
    <definedName name="JUN">#REF!</definedName>
    <definedName name="June">#REF!</definedName>
    <definedName name="JuneActual">#REF!</definedName>
    <definedName name="Junho" hidden="1">{"CLIENTE",#N/A,TRUE,"Resumo";"CLIENTE",#N/A,TRUE,"HW";"CLIENTE",#N/A,TRUE,"SW";"CLIENTE",#N/A,TRUE,"TELESSUP.";"CLIENTE",#N/A,TRUE,"DCN &amp; Acess";"CLIENTE",#N/A,TRUE,"Sobressalentes";"CLIENTE",#N/A,TRUE,"Mat. Instal.";"CLIENTE",#N/A,TRUE,"Doc. Técnica";"CLIENTE",#N/A,TRUE,"Serviços";"CLIENTE",#N/A,TRUE,"Treinamento"}</definedName>
    <definedName name="k" hidden="1">{"'CONSOLIDADO'!$B$10:$R$57"}</definedName>
    <definedName name="K_9">#REF!</definedName>
    <definedName name="kamlesh" hidden="1">#REF!</definedName>
    <definedName name="kcs">#REF!</definedName>
    <definedName name="Kd">#REF!</definedName>
    <definedName name="kdk">#REF!</definedName>
    <definedName name="kdk___0">#REF!</definedName>
    <definedName name="kdk_8">#REF!</definedName>
    <definedName name="kdskdskjdslhhdsj" hidden="1">#REF!</definedName>
    <definedName name="kdv">#REF!</definedName>
    <definedName name="Keey2" hidden="1">#REF!</definedName>
    <definedName name="KEVLAR_MODLUS">#REF!</definedName>
    <definedName name="KEVLARLL">#REF!</definedName>
    <definedName name="KEY">#REF!</definedName>
    <definedName name="KeyI" hidden="1">#REF!</definedName>
    <definedName name="KeyII" hidden="1">#REF!</definedName>
    <definedName name="kjfgjh">#REF!</definedName>
    <definedName name="kk">INDEX(#REF!,0,1)</definedName>
    <definedName name="kkk" hidden="1">{#N/A,#N/A,FALSE,"Pharm";#N/A,#N/A,FALSE,"WWCM"}</definedName>
    <definedName name="kkkkkk">INDEX(#REF!,0,2)</definedName>
    <definedName name="kkkkkkkkkkkk">INDEX(#REF!,0,4)</definedName>
    <definedName name="KKL">#REF!</definedName>
    <definedName name="kl">#REF!</definedName>
    <definedName name="kl___0">#REF!</definedName>
    <definedName name="kl_19">#REF!</definedName>
    <definedName name="kl_7">#REF!</definedName>
    <definedName name="kl_8">#REF!</definedName>
    <definedName name="KLMNO">#REF!</definedName>
    <definedName name="KMR">"#REF!"</definedName>
    <definedName name="KMR_3">"#REF!"</definedName>
    <definedName name="KP"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KPI">#REF!</definedName>
    <definedName name="KPM3Month1">#REF!</definedName>
    <definedName name="KPM6Month1">#REF!</definedName>
    <definedName name="KPR">#REF!</definedName>
    <definedName name="KPR___0">#REF!</definedName>
    <definedName name="KPR_8">#REF!</definedName>
    <definedName name="KRT" hidden="1">{"Financial Performance_SP",#N/A,FALSE,"Fin Perf(Sp)";"Operational Indicators_SP",#N/A,FALSE,"Op Ind(sp)";"Resources Utilisation_SP",#N/A,FALSE,"ResUtil (Sp)"}</definedName>
    <definedName name="kskk" hidden="1">{#N/A,#N/A,FALSE,"COVER.XLS";#N/A,#N/A,FALSE,"RACT1.XLS";#N/A,#N/A,FALSE,"RACT2.XLS";#N/A,#N/A,FALSE,"ECCMP";#N/A,#N/A,FALSE,"WELDER.XLS"}</definedName>
    <definedName name="kslkjkjlkjd" hidden="1">{#N/A,#N/A,FALSE,"REPORT"}</definedName>
    <definedName name="ksumm" hidden="1">{#N/A,#N/A,FALSE,"A"}</definedName>
    <definedName name="KUULSD" hidden="1">{#N/A,#N/A,FALSE,"COMP"}</definedName>
    <definedName name="kvs" hidden="1">{#N/A,#N/A,FALSE,"COVER1.XLS ";#N/A,#N/A,FALSE,"RACT1.XLS";#N/A,#N/A,FALSE,"RACT2.XLS";#N/A,#N/A,FALSE,"ECCMP";#N/A,#N/A,FALSE,"WELDER.XLS"}</definedName>
    <definedName name="L_11">#REF!</definedName>
    <definedName name="L_9">#REF!</definedName>
    <definedName name="L_Adjust">#REF!</definedName>
    <definedName name="L_AJE_Tot">#REF!</definedName>
    <definedName name="L_CY_Beg">#REF!</definedName>
    <definedName name="L_CY_End">#REF!</definedName>
    <definedName name="L_PY_End">#REF!</definedName>
    <definedName name="L_RJE_Tot">#REF!</definedName>
    <definedName name="LabelChoice">#REF!</definedName>
    <definedName name="LabourCostAprActual">#REF!</definedName>
    <definedName name="LabourCostAugProj">#REF!</definedName>
    <definedName name="LabourCostDecProj">#REF!</definedName>
    <definedName name="LabourCostDevToLE">#REF!</definedName>
    <definedName name="LabourCostDevToLY">#REF!</definedName>
    <definedName name="LabourCostFebProj">#REF!</definedName>
    <definedName name="LabourCostJanProj">#REF!</definedName>
    <definedName name="LabourCostJulyProj">#REF!</definedName>
    <definedName name="LabourCostJuneProj">#REF!</definedName>
    <definedName name="LabourCostLE">#REF!</definedName>
    <definedName name="LabourCostLY">#REF!</definedName>
    <definedName name="LabourCostMarProj">#REF!</definedName>
    <definedName name="LabourCostMayActual">#REF!</definedName>
    <definedName name="LabourCostMonthActual">#REF!</definedName>
    <definedName name="LabourCostMonthBudget">#REF!</definedName>
    <definedName name="LabourCostMonthDevToBud">#REF!</definedName>
    <definedName name="LabourCostMonthDevToLE">#REF!</definedName>
    <definedName name="LabourCostMonthDevTpoBud">#REF!</definedName>
    <definedName name="LabourCostMonthLE">#REF!</definedName>
    <definedName name="LabourCostNovProj">#REF!</definedName>
    <definedName name="LabourCostOctProj">#REF!</definedName>
    <definedName name="LabourCostSepProj">#REF!</definedName>
    <definedName name="LabourCostTotalLE">#REF!</definedName>
    <definedName name="LabourCostYearActual">#REF!</definedName>
    <definedName name="LabourCostYearBudget">#REF!</definedName>
    <definedName name="LabourCostYearDevToBud">#REF!</definedName>
    <definedName name="LabourCostYearDevToLY">#REF!</definedName>
    <definedName name="LabourCostYearLY">#REF!</definedName>
    <definedName name="LAG">#REF!</definedName>
    <definedName name="LAL">#REF!</definedName>
    <definedName name="LAM">#REF!</definedName>
    <definedName name="LAND_DEV">#REF!</definedName>
    <definedName name="Language">#REF!</definedName>
    <definedName name="LAP">#REF!</definedName>
    <definedName name="LAS">#REF!</definedName>
    <definedName name="LAST">#REF!</definedName>
    <definedName name="LAST_27">"$"</definedName>
    <definedName name="lastday">#REF!</definedName>
    <definedName name="lastday_27">"$"</definedName>
    <definedName name="lasthrs">#REF!</definedName>
    <definedName name="lasthrs_27">"$"</definedName>
    <definedName name="LastPrice">#REF!</definedName>
    <definedName name="LastPriceDate">#REF!</definedName>
    <definedName name="LatestActualMonth">#REF!</definedName>
    <definedName name="LatestEstimate">#REF!</definedName>
    <definedName name="Lavagem">#REF!</definedName>
    <definedName name="LB">#REF!</definedName>
    <definedName name="LBB">#REF!</definedName>
    <definedName name="LBM">#REF!</definedName>
    <definedName name="LC_7">#REF!</definedName>
    <definedName name="LDC">#REF!</definedName>
    <definedName name="LDK">#REF!</definedName>
    <definedName name="ldskdfhklmh">#REF!</definedName>
    <definedName name="LDW">#REF!</definedName>
    <definedName name="LE">5.71</definedName>
    <definedName name="Lead"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Lease">#REF!</definedName>
    <definedName name="Leave_Details">#REF!</definedName>
    <definedName name="LEC">#REF!</definedName>
    <definedName name="lee" hidden="1">{#N/A,#N/A,FALSE,"Pharm";#N/A,#N/A,FALSE,"WWCM"}</definedName>
    <definedName name="leo">#REF!</definedName>
    <definedName name="LessLoanPavmentMonth1Actuals">#REF!</definedName>
    <definedName name="LessLoanPavmentMonth1Budget">#REF!</definedName>
    <definedName name="LessLoanPavmentMonth2Actuals">#REF!</definedName>
    <definedName name="LessLoanPavmentMonth2Budget">#REF!</definedName>
    <definedName name="LessLoanPavmentMonth3Actuals">#REF!</definedName>
    <definedName name="LessLoanPavmentMonth3Budget">#REF!</definedName>
    <definedName name="LessLoanPavmentMonth4Actuals">#REF!</definedName>
    <definedName name="LessLoanPavmentMonth4Budget">#REF!</definedName>
    <definedName name="LessLoanPavmentYTDActuals">#REF!</definedName>
    <definedName name="LessLoanPavmentYTDBudget">#REF!</definedName>
    <definedName name="LEVSAL">#REF!</definedName>
    <definedName name="LEVSAL1">#REF!</definedName>
    <definedName name="lfjkg" hidden="1">{"EconCons",#N/A,TRUE,"Econômico - Consolidado";"CaixaCons",#N/A,TRUE,"Caixa - Consolidado";"InvestCons",#N/A,TRUE,"Invest Consolidado"}</definedName>
    <definedName name="liability">#REF!</definedName>
    <definedName name="LIABILITY_7">#REF!</definedName>
    <definedName name="lib." hidden="1">#REF!</definedName>
    <definedName name="LIBOR">#REF!</definedName>
    <definedName name="LICANN">#REF!</definedName>
    <definedName name="LICENSE">#REF!</definedName>
    <definedName name="LICENSED_CAP">#REF!</definedName>
    <definedName name="LICENSED_CAP_31">#REF!</definedName>
    <definedName name="LIFE">#REF!</definedName>
    <definedName name="LIGH1">"$"</definedName>
    <definedName name="ligh45">#REF!</definedName>
    <definedName name="LIGHFLAST">#REF!</definedName>
    <definedName name="LIGHFLAST_27">"$"</definedName>
    <definedName name="LIGHHLAST">#REF!</definedName>
    <definedName name="LIGHHLAST_27">"$"</definedName>
    <definedName name="LIGHTING">"$#REF!.$D$200"</definedName>
    <definedName name="LIGHTINGF">#REF!</definedName>
    <definedName name="LIGHTINGF_27">"$"</definedName>
    <definedName name="LIGHTINGFAB">#REF!</definedName>
    <definedName name="LIGHTINGFAB_27">"$"</definedName>
    <definedName name="LIGHTINGH">#REF!</definedName>
    <definedName name="LIGHTINGH_27">"$"</definedName>
    <definedName name="LIGHTINGHOME">#REF!</definedName>
    <definedName name="LIGHTINGHOME_27">"$"</definedName>
    <definedName name="lili" hidden="1">{"EconCons",#N/A,TRUE,"Econômico - Consolidado";"CaixaCons",#N/A,TRUE,"Caixa - Consolidado";"InvestCons",#N/A,TRUE,"Invest Consolidado"}</definedName>
    <definedName name="limcount" hidden="1">2</definedName>
    <definedName name="Limestone_Qty9899">#REF!</definedName>
    <definedName name="Linha_de_Título">ROW(#REF!)</definedName>
    <definedName name="LINKFA">#REF!</definedName>
    <definedName name="LINKSHEET">#REF!</definedName>
    <definedName name="LiqN2CTA">#REF!</definedName>
    <definedName name="LiqN2PTA">#REF!</definedName>
    <definedName name="LIST">#REF!</definedName>
    <definedName name="List_of_Order_on_Offer">#REF!</definedName>
    <definedName name="List_of_Order_on_Offer___0">#REF!</definedName>
    <definedName name="List_of_Order_on_Offer___0___0">#REF!</definedName>
    <definedName name="List_of_Order_on_Offer___0___0___0">#REF!</definedName>
    <definedName name="List_of_Order_on_Offer___0___0___0___0">#REF!</definedName>
    <definedName name="List_of_Order_on_Offer___0___0___0___6">#REF!</definedName>
    <definedName name="List_of_Order_on_Offer___0___0___6">#REF!</definedName>
    <definedName name="List_of_Order_on_Offer___0___6">#REF!</definedName>
    <definedName name="List_of_Order_on_Offer___0___7">#REF!</definedName>
    <definedName name="List_of_Order_on_Offer___6">#REF!</definedName>
    <definedName name="LIST_PERIOD">#REF!</definedName>
    <definedName name="Lista_de_data_base">OFFSET(#REF!,,,COUNTA(#REF!),)</definedName>
    <definedName name="listdef">#REF!</definedName>
    <definedName name="LISTE_TABLEAUX">#REF!</definedName>
    <definedName name="listedef">#REF!</definedName>
    <definedName name="ListOffset" hidden="1">1</definedName>
    <definedName name="LIT">#REF!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l" hidden="1">{"'CONSOLIDADO'!$B$10:$R$57"}</definedName>
    <definedName name="llemix">#REF!</definedName>
    <definedName name="lll">#N/A</definedName>
    <definedName name="lllllllllll">#N/A</definedName>
    <definedName name="LLOYDS">#REF!</definedName>
    <definedName name="LLR">#REF!</definedName>
    <definedName name="LNP">#REF!</definedName>
    <definedName name="LNP___0">#REF!</definedName>
    <definedName name="LNP_7">#REF!</definedName>
    <definedName name="LOAD_FILES">#REF!</definedName>
    <definedName name="LOADED_STRAIN">#REF!</definedName>
    <definedName name="LOADED_TENSION">#REF!</definedName>
    <definedName name="Loan">#REF!</definedName>
    <definedName name="Loan1">#REF!</definedName>
    <definedName name="LoanCategory">#REF!</definedName>
    <definedName name="Loans">#REF!</definedName>
    <definedName name="LOANS_31">#REF!</definedName>
    <definedName name="LoansAdvancesCY">#REF!</definedName>
    <definedName name="LOC">#REF!</definedName>
    <definedName name="LoginName">#REF!</definedName>
    <definedName name="Logistics1">INDEX(#REF!,0,2)</definedName>
    <definedName name="Logistics12">INDEX(#REF!,0,3)</definedName>
    <definedName name="LOJAS">#REF!</definedName>
    <definedName name="LOLD">1</definedName>
    <definedName name="LOLD_DIV">16</definedName>
    <definedName name="LOLD_Table">10</definedName>
    <definedName name="LOLD_TB">62</definedName>
    <definedName name="LonasAdvancesLY">#REF!</definedName>
    <definedName name="Long">#REF!</definedName>
    <definedName name="Long1">#REF!</definedName>
    <definedName name="LONGTERM_STRAIN">#REF!</definedName>
    <definedName name="LONGTERM_TENSION">#REF!</definedName>
    <definedName name="LOOP">#REF!</definedName>
    <definedName name="lostasd">#REF!</definedName>
    <definedName name="LowColor">#REF!</definedName>
    <definedName name="LowLower">#REF!</definedName>
    <definedName name="LowPrice">#REF!</definedName>
    <definedName name="lowsulfurdiesel" hidden="1">{"PAGE1",#N/A,FALSE,"YIELDS";"PAGE2",#N/A,FALSE,"YIELDS";"PAGE3",#N/A,FALSE,"YIELDS"}</definedName>
    <definedName name="LowUpper">#REF!</definedName>
    <definedName name="LPB">#REF!</definedName>
    <definedName name="LPM">#REF!</definedName>
    <definedName name="LPP">#REF!</definedName>
    <definedName name="lrfjmbiktiohgk">#REF!</definedName>
    <definedName name="LST_ANO">#REF!</definedName>
    <definedName name="LST_PERSPECTIVA">#REF!</definedName>
    <definedName name="LST_PESSOAS_CONTRATACAO" comment="LISTA AS OPÇÕES PARA CONTRATAÇÃO">#REF!</definedName>
    <definedName name="LST_PESSOAS_POSICAO" comment="LISTA COM AS POSIÇÕES CADASTRADAS">#REF!</definedName>
    <definedName name="LST_UN" comment="LISTA AS UNIDADES DE NEGOCIOS CADASTRADAS">#REF!</definedName>
    <definedName name="lstCostCentres">#REF!</definedName>
    <definedName name="Ltitle">#REF!</definedName>
    <definedName name="LU_Denom">#REF!</definedName>
    <definedName name="LU_Halves">#REF!</definedName>
    <definedName name="LU_Mths">#REF!</definedName>
    <definedName name="LU_Per_Names">#REF!</definedName>
    <definedName name="LU_Pers">#REF!</definedName>
    <definedName name="LU_Pers_In_Yr">#REF!</definedName>
    <definedName name="LU_Qtrs">#REF!</definedName>
    <definedName name="LU_Yes_No">#REF!</definedName>
    <definedName name="lucas">#REF!</definedName>
    <definedName name="Lup">#REF!</definedName>
    <definedName name="LUP_FG">#REF!</definedName>
    <definedName name="LUP_Name">#REF!</definedName>
    <definedName name="m">1000000</definedName>
    <definedName name="M.E.SFES" hidden="1">#REF!</definedName>
    <definedName name="M_04">#REF!</definedName>
    <definedName name="M_PlaceofPath" hidden="1">"\\SNYCEQT0100\HOME\LZURLO\DATA\TELMEX\Models\tmx_vdf.xls"</definedName>
    <definedName name="MA01C">#REF!</definedName>
    <definedName name="MA02C">#REF!</definedName>
    <definedName name="MA03C">#REF!</definedName>
    <definedName name="MA04C">#REF!</definedName>
    <definedName name="MA05C">#REF!</definedName>
    <definedName name="MA06C">#REF!</definedName>
    <definedName name="MACRO">#N/A</definedName>
    <definedName name="Macro_AtivaçãoBridge">#REF!</definedName>
    <definedName name="Macro_Bridge">#REF!</definedName>
    <definedName name="MACROS">#REF!</definedName>
    <definedName name="Macros.bilan">#REF!</definedName>
    <definedName name="Macros.Charges">#REF!</definedName>
    <definedName name="Macros.Commentaires">#REF!</definedName>
    <definedName name="Macros.Detail">#REF!</definedName>
    <definedName name="Macros.Evolution">#REF!</definedName>
    <definedName name="Macros.Financement">#REF!</definedName>
    <definedName name="Macros.Garde">#REF!</definedName>
    <definedName name="Macros.ratio1">#REF!</definedName>
    <definedName name="Macros.ratio2">#REF!</definedName>
    <definedName name="Macros.resultat">#REF!</definedName>
    <definedName name="Macros.Retour_Menu">#REF!</definedName>
    <definedName name="Macros.Saisie">#REF!</definedName>
    <definedName name="mag">#REF!</definedName>
    <definedName name="Mag.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maga">#REF!</definedName>
    <definedName name="Mai">#REF!</definedName>
    <definedName name="Main">#REF!</definedName>
    <definedName name="Main_1">NA()</definedName>
    <definedName name="MAIN_PL">#REF!</definedName>
    <definedName name="MAIN_PL_31">#REF!</definedName>
    <definedName name="Maint">3</definedName>
    <definedName name="MAKAMDKNA" hidden="1">{"'CONSOLIDADO'!$B$10:$R$57"}</definedName>
    <definedName name="MAN">#REF!</definedName>
    <definedName name="mansi">#REF!</definedName>
    <definedName name="MANU_TEMP">#REF!</definedName>
    <definedName name="Manu2">#REF!</definedName>
    <definedName name="MANUFACTURING_PERFORMANCE">#REF!</definedName>
    <definedName name="MAR">#REF!</definedName>
    <definedName name="mar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98">#REF!</definedName>
    <definedName name="March">#REF!</definedName>
    <definedName name="marcos">#N/A</definedName>
    <definedName name="maret" hidden="1">{#N/A,#N/A,FALSE,"Ut";#N/A,#N/A,FALSE,"UT-h"}</definedName>
    <definedName name="MARGIN">#REF!</definedName>
    <definedName name="margins_new">#REF!</definedName>
    <definedName name="Mark.Format.Line">#REF!</definedName>
    <definedName name="Mark.Format.Line_2">#REF!</definedName>
    <definedName name="Mark.Format.Line_31">#REF!</definedName>
    <definedName name="Mark.Format.Line_4">#REF!</definedName>
    <definedName name="Mark.Format.Line_5">#REF!</definedName>
    <definedName name="market" hidden="1">{#N/A,"70% Success",FALSE,"Sales Forecast";#N/A,#N/A,FALSE,"Sheet2"}</definedName>
    <definedName name="market_1" hidden="1">{#N/A,"70% Success",FALSE,"Sales Forecast";#N/A,#N/A,FALSE,"Sheet2"}</definedName>
    <definedName name="market_2" hidden="1">{#N/A,"70% Success",FALSE,"Sales Forecast";#N/A,#N/A,FALSE,"Sheet2"}</definedName>
    <definedName name="market_3" hidden="1">{#N/A,"70% Success",FALSE,"Sales Forecast";#N/A,#N/A,FALSE,"Sheet2"}</definedName>
    <definedName name="market_4" hidden="1">{#N/A,"70% Success",FALSE,"Sales Forecast";#N/A,#N/A,FALSE,"Sheet2"}</definedName>
    <definedName name="market_5" hidden="1">{#N/A,"70% Success",FALSE,"Sales Forecast";#N/A,#N/A,FALSE,"Sheet2"}</definedName>
    <definedName name="Market_Equity">#REF!</definedName>
    <definedName name="MarketShareChoose">#REF!</definedName>
    <definedName name="Mars">#REF!</definedName>
    <definedName name="masonry_amt9899">#REF!</definedName>
    <definedName name="Max">#REF!</definedName>
    <definedName name="MaxBase">#REF!</definedName>
    <definedName name="MaxBaseCase">#REF!</definedName>
    <definedName name="MaxBear">#REF!</definedName>
    <definedName name="MaxBearCase">#REF!</definedName>
    <definedName name="MaxBull">#REF!</definedName>
    <definedName name="MaxBullCase">#REF!</definedName>
    <definedName name="maxcell">#REF!</definedName>
    <definedName name="Maximum_Allowable_Sag">#REF!</definedName>
    <definedName name="MAY">#REF!</definedName>
    <definedName name="MB01C">#REF!</definedName>
    <definedName name="MB02C">#REF!</definedName>
    <definedName name="MB03C">#REF!</definedName>
    <definedName name="MB04C">#REF!</definedName>
    <definedName name="MB05C">#REF!</definedName>
    <definedName name="MB06C">#REF!</definedName>
    <definedName name="mcinput">#N/A</definedName>
    <definedName name="MCL">#REF!</definedName>
    <definedName name="mcmenu">#N/A</definedName>
    <definedName name="mcstart">#N/A</definedName>
    <definedName name="MDT">#REF!</definedName>
    <definedName name="me">"Button 5"</definedName>
    <definedName name="Measurement">#REF!</definedName>
    <definedName name="MediumColor">#REF!</definedName>
    <definedName name="MediumLower">#REF!</definedName>
    <definedName name="MediumUpper">#REF!</definedName>
    <definedName name="Menu.Help">#REF!</definedName>
    <definedName name="Menu.Help_2">#REF!</definedName>
    <definedName name="Menu.Help_31">#REF!</definedName>
    <definedName name="Menu.Help_4">#REF!</definedName>
    <definedName name="Menu.Help_5">#REF!</definedName>
    <definedName name="meoi"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RGE">#REF!</definedName>
    <definedName name="MERGED">#REF!</definedName>
    <definedName name="merger">#REF!</definedName>
    <definedName name="merger___0">#REF!</definedName>
    <definedName name="mes_">#REF!</definedName>
    <definedName name="metalur" hidden="1">{"Revs",#N/A,TRUE,"Revs";"Costs",#N/A,TRUE,"Revs";"EBITDA",#N/A,TRUE,"Revs";"IS",#N/A,TRUE,"Revs";"CF",#N/A,TRUE,"Revs";"D/E",#N/A,TRUE,"Revs";"Debt Stats",#N/A,TRUE,"Revs";"DCFu",#N/A,TRUE,"Revs";"Sensitivity1",#N/A,TRUE,"Revs";"DCFl",#N/A,TRUE,"Revs"}</definedName>
    <definedName name="Method">#REF!</definedName>
    <definedName name="mgn.exp">#REF!</definedName>
    <definedName name="mgn.jty">#REF!</definedName>
    <definedName name="mgtt">#REF!</definedName>
    <definedName name="MHY_Daily__Report">#REF!</definedName>
    <definedName name="MHY_Daily__Report_31">#REF!</definedName>
    <definedName name="midyear">#REF!</definedName>
    <definedName name="mil">#REF!</definedName>
    <definedName name="Million">#REF!</definedName>
    <definedName name="Millions">#REF!</definedName>
    <definedName name="MIn">#REF!</definedName>
    <definedName name="min.csh.blnc">#REF!</definedName>
    <definedName name="Min_Avg_Max">#REF!</definedName>
    <definedName name="MIN_SPAN">#REF!</definedName>
    <definedName name="mina" hidden="1">{#N/A,#N/A,FALSE,"REPORT"}</definedName>
    <definedName name="MinAvgMax">#REF!</definedName>
    <definedName name="MinBase">#REF!</definedName>
    <definedName name="MinBaseCase">#REF!</definedName>
    <definedName name="MinBear">#REF!</definedName>
    <definedName name="MinBearCase">#REF!</definedName>
    <definedName name="MinBull">#REF!</definedName>
    <definedName name="MinBullCase">#REF!</definedName>
    <definedName name="mincell">#REF!</definedName>
    <definedName name="MINE">#REF!</definedName>
    <definedName name="MineCap1">#REF!</definedName>
    <definedName name="MineCap2">#REF!</definedName>
    <definedName name="Mines">#REF!</definedName>
    <definedName name="Mins_In_Hr">#REF!</definedName>
    <definedName name="mio">#REF!</definedName>
    <definedName name="MIP">#N/A</definedName>
    <definedName name="misgroup" hidden="1">#REF!</definedName>
    <definedName name="MISSOBATA" hidden="1">{"'CONSOLIDADO'!$B$10:$R$57"}</definedName>
    <definedName name="MJato">#REF!</definedName>
    <definedName name="MK">"#REF!"</definedName>
    <definedName name="MK_3">"#REF!"</definedName>
    <definedName name="MKS">#REF!</definedName>
    <definedName name="MKS___0">#REF!</definedName>
    <definedName name="MKS_8">#REF!</definedName>
    <definedName name="ML">#REF!</definedName>
    <definedName name="MLVColor">#REF!</definedName>
    <definedName name="MLVTotalDetail">#REF!</definedName>
    <definedName name="mlw" hidden="1">{#N/A,#N/A,FALSE,"Pharm";#N/A,#N/A,FALSE,"WWCM"}</definedName>
    <definedName name="MM" hidden="1">#N/A</definedName>
    <definedName name="mmm" hidden="1">{"'CONSOLIDADO'!$B$10:$R$57"}</definedName>
    <definedName name="mn">{"Jan","Feb","Mar","Apr","May","Jun","Jul","Aug","Sep","Oct","Nov","Dec";"January","February","March","April","May","June","July","August","September","October","November","December"}</definedName>
    <definedName name="mn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m.csh.blnc">#REF!</definedName>
    <definedName name="Model_Name">#REF!</definedName>
    <definedName name="Model_Start_Date">#REF!</definedName>
    <definedName name="Moeda">#REF!</definedName>
    <definedName name="moh" hidden="1">{#N/A,#N/A,FALSE,"A"}</definedName>
    <definedName name="Moisture_Gain">#REF!</definedName>
    <definedName name="Moldtek_Plastics">#REF!</definedName>
    <definedName name="Monetary_Precision">#REF!</definedName>
    <definedName name="MonitorCol">1</definedName>
    <definedName name="MonitorRow">1</definedName>
    <definedName name="month">#REF!</definedName>
    <definedName name="month_1">NA()</definedName>
    <definedName name="month_10">#REF!</definedName>
    <definedName name="Month_16">#REF!</definedName>
    <definedName name="Month_19">#REF!</definedName>
    <definedName name="MONTH_7">#REF!</definedName>
    <definedName name="MONTH_7_1">#REF!</definedName>
    <definedName name="Month3">#REF!</definedName>
    <definedName name="MonthList">#REF!</definedName>
    <definedName name="MonthNames">{"Jan","Feb","Mar","Apr","May","Jun","Jul","Aug","Sep","Oct","Nov","Dec";"January","February","March","April","May","June","July","August","September","October","November","December"}</definedName>
    <definedName name="MonthNo">#REF!</definedName>
    <definedName name="Months">#REF!</definedName>
    <definedName name="MonthYear">#REF!</definedName>
    <definedName name="MOP">#REF!</definedName>
    <definedName name="MOP_1">NA()</definedName>
    <definedName name="MOP_31">#REF!</definedName>
    <definedName name="MplanAcum">INDEX(#REF!,0,5)</definedName>
    <definedName name="mppp">#REF!</definedName>
    <definedName name="mps">#REF!</definedName>
    <definedName name="MRealAcum">INDEX(#REF!,0,4)</definedName>
    <definedName name="ms">#REF!</definedName>
    <definedName name="MSCKSH">#REF!</definedName>
    <definedName name="MSCSTG">#REF!</definedName>
    <definedName name="MST">"#REF!"</definedName>
    <definedName name="MST_3">"#REF!"</definedName>
    <definedName name="MTH">#REF!</definedName>
    <definedName name="MTH___0">#REF!</definedName>
    <definedName name="MTH_21">"#REF!"</definedName>
    <definedName name="MTH_22">"#REF!"</definedName>
    <definedName name="MTH_6">"#REF!"</definedName>
    <definedName name="MTH_8">#REF!</definedName>
    <definedName name="Mth_Name">#REF!</definedName>
    <definedName name="Mthly">#REF!</definedName>
    <definedName name="Mths_In_Half_Yr">#REF!</definedName>
    <definedName name="Mths_In_Qtr">#REF!</definedName>
    <definedName name="Mths_In_Yr">#REF!</definedName>
    <definedName name="MustWinColor">#REF!</definedName>
    <definedName name="MustWinTotalDetail">#REF!</definedName>
    <definedName name="mw" hidden="1">{#N/A,#N/A,FALSE,"Pharm";#N/A,#N/A,FALSE,"WWCM"}</definedName>
    <definedName name="mxn">#REF!</definedName>
    <definedName name="MyBusiness">#REF!</definedName>
    <definedName name="myclient">"Tata Chemicals Ltd."</definedName>
    <definedName name="mydate">" 17 Jan 2006"</definedName>
    <definedName name="MYLAR_TAPE">#REF!</definedName>
    <definedName name="mylocation">"Lake Natron,Tanzania"</definedName>
    <definedName name="myproject">"18-3061"</definedName>
    <definedName name="MyTotal">#REF!</definedName>
    <definedName name="n">#REF!</definedName>
    <definedName name="n__IDENTIFICATION__FISCALE">#REF!</definedName>
    <definedName name="N2LAST">#REF!</definedName>
    <definedName name="N2LAST_27">"$"</definedName>
    <definedName name="NA">"NA   "</definedName>
    <definedName name="Name">#REF!</definedName>
    <definedName name="NameAAA">#REF!</definedName>
    <definedName name="Named.Range">#REF!</definedName>
    <definedName name="Named.Range_2">#REF!</definedName>
    <definedName name="Named.Range_31">#REF!</definedName>
    <definedName name="Named.Range_4">#REF!</definedName>
    <definedName name="Named.Range_5">#REF!</definedName>
    <definedName name="Names_Unicem">#REF!</definedName>
    <definedName name="nand">#REF!</definedName>
    <definedName name="narma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ture1">#REF!</definedName>
    <definedName name="NAV">#REF!</definedName>
    <definedName name="navneet" hidden="1">{"'Sheet3'!$A$1:$B$30"}</definedName>
    <definedName name="NavPane">#REF!</definedName>
    <definedName name="ncnks">#REF!</definedName>
    <definedName name="ncnks_1">#REF!</definedName>
    <definedName name="ncnks_10">"'file:///Z:/Cons-Dec`10/Consolidation Dec 10.xls'#$BS.$#REF!$#REF!:$#REF!$#REF!"</definedName>
    <definedName name="ncnks_11">"'file:///Z:/Cons-Dec`10/Consolidation Dec 10.xls'#$BS.$#REF!$#REF!:$#REF!$#REF!"</definedName>
    <definedName name="ncnks_12">"'file:///Z:/Cons-Dec`10/Consolidation Dec 10.xls'#$BS.$#REF!$#REF!:$#REF!$#REF!"</definedName>
    <definedName name="ncnks_13">"'file:///Z:/Cons-Dec`10/Consolidation Dec 10.xls'#$BS.$#REF!$#REF!:$#REF!$#REF!"</definedName>
    <definedName name="ncnks_15">"'file:///Z:/Cons-Dec`10/Consolidation Dec 10.xls'#$BS.$#REF!$#REF!:$#REF!$#REF!"</definedName>
    <definedName name="ncnks_5">"'file:///Z:/Cons-Dec`10/Consolidation Dec 10.xls'#$BS.$#REF!$#REF!:$#REF!$#REF!"</definedName>
    <definedName name="ncnks_6">"'file:///Z:/Cons-Dec`10/Consolidation Dec 10.xls'#$BS.$#REF!$#REF!:$#REF!$#REF!"</definedName>
    <definedName name="ncnks_7">"'file:///Z:/Cons-Dec`10/Consolidation Dec 10.xls'#$BS.$#REF!$#REF!:$#REF!$#REF!"</definedName>
    <definedName name="ncnks_8">"'file:///Z:/Cons-Dec`10/Consolidation Dec 10.xls'#$BS.$#REF!$#REF!:$#REF!$#REF!"</definedName>
    <definedName name="ncnks_9">"'file:///Z:/Cons-Dec`10/Consolidation Dec 10.xls'#$BS.$#REF!$#REF!:$#REF!$#REF!"</definedName>
    <definedName name="nee">#REF!</definedName>
    <definedName name="NET_CONSUMPTION">#REF!</definedName>
    <definedName name="Net_Debt">#REF!</definedName>
    <definedName name="Net_Profit">#REF!</definedName>
    <definedName name="Net_Profit_1">"#REF!"</definedName>
    <definedName name="Net_Profit_2">#REF!</definedName>
    <definedName name="Net_Profit_3">#REF!</definedName>
    <definedName name="Net_Profit_31">#REF!</definedName>
    <definedName name="Net_Profit_33">#REF!</definedName>
    <definedName name="Net_Profit_4">#REF!</definedName>
    <definedName name="NET1A">#REF!</definedName>
    <definedName name="NetAmountReceivedToHOCFDDevToLE">#REF!</definedName>
    <definedName name="NetAmountReceivedToHOCFDLE">#REF!</definedName>
    <definedName name="NetAmountReceivedToHOCFDMonthActual">#REF!</definedName>
    <definedName name="NetAmountReceivedToHOCFDMonthBudget">#REF!</definedName>
    <definedName name="NetAmountReceivedToHOCFDMonthDevToBud">#REF!</definedName>
    <definedName name="NetAmountReceivedToHOCFDYearActual">#REF!</definedName>
    <definedName name="NetAmountReceivedToHOCFDYearBudget">#REF!</definedName>
    <definedName name="NetAmountReceivedToHOCFDYearDevToBud">#REF!</definedName>
    <definedName name="NetAmountReceivedToHOCFDYearDevToLY">#REF!</definedName>
    <definedName name="NetAmountReceivedToHOCFDYearLY">#REF!</definedName>
    <definedName name="NetAssetsAprActual">#REF!</definedName>
    <definedName name="NetAssetsAugProj">#REF!</definedName>
    <definedName name="NetAssetsDecProj">#REF!</definedName>
    <definedName name="NetAssetsFebProj">#REF!</definedName>
    <definedName name="NetAssetsJanProj">#REF!</definedName>
    <definedName name="NetAssetsJulyProj">#REF!</definedName>
    <definedName name="NetAssetsJuneProj">#REF!</definedName>
    <definedName name="NetAssetsMarProj">#REF!</definedName>
    <definedName name="NetAssetsMayActual">#REF!</definedName>
    <definedName name="NetAssetsNovProj">#REF!</definedName>
    <definedName name="NetAssetsOctProj">#REF!</definedName>
    <definedName name="NetAssetsSepProj">#REF!</definedName>
    <definedName name="NetAssetsTotalLE">#REF!</definedName>
    <definedName name="NetFixedAssetsMonthBudget">#REF!</definedName>
    <definedName name="NetFixedAssetsMonthDevToBud">#REF!</definedName>
    <definedName name="NetFixedAssetsMonthDevToLE">#REF!</definedName>
    <definedName name="NetFixedAssetsMonthLE">#REF!</definedName>
    <definedName name="NetFixedAssetsYearBudget">#REF!</definedName>
    <definedName name="NetFixedAssetsYearDevToBud">#REF!</definedName>
    <definedName name="NetFixedAssetsYearDevToLY">#REF!</definedName>
    <definedName name="NetFixedAssetsYearLY">#REF!</definedName>
    <definedName name="NetRevenue">#REF!</definedName>
    <definedName name="new" hidden="1">{#N/A,#N/A,FALSE,"Pharm";#N/A,#N/A,FALSE,"WWCM"}</definedName>
    <definedName name="New.Range">#REF!</definedName>
    <definedName name="New.Range_2">#REF!</definedName>
    <definedName name="New.Range_31">#REF!</definedName>
    <definedName name="New.Range_4">#REF!</definedName>
    <definedName name="New.Range_5">#REF!</definedName>
    <definedName name="New_Function_2">#REF!</definedName>
    <definedName name="newbel" hidden="1">{"'Directory'!$A$72:$E$91"}</definedName>
    <definedName name="newbls" hidden="1">{"'Directory'!$A$72:$E$91"}</definedName>
    <definedName name="NewCheck">#REF!</definedName>
    <definedName name="NEWISS98_1998_List">#REF!</definedName>
    <definedName name="newnewnew" hidden="1">{#N/A,#N/A,FALSE,"Pharm";#N/A,#N/A,FALSE,"WWCM"}</definedName>
    <definedName name="newt" hidden="1">{"'Directory'!$A$72:$E$91"}</definedName>
    <definedName name="NewTicker">#REF!</definedName>
    <definedName name="newwcom" hidden="1">{"'Directory'!$A$72:$E$91"}</definedName>
    <definedName name="NEWWW" hidden="1">{"'PXR_6500'!$A$1:$I$124"}</definedName>
    <definedName name="Next1">#REF!</definedName>
    <definedName name="Next1___0">#REF!</definedName>
    <definedName name="Next1_14">#REF!</definedName>
    <definedName name="Next1_18">"2]nbca_2001_completed!#REF!"</definedName>
    <definedName name="Next1_21">"2]nbca_2001_completed!#REF!"</definedName>
    <definedName name="Next1_22">"2]nbca_2001_completed!#REF!"</definedName>
    <definedName name="Next1_37">#REF!</definedName>
    <definedName name="Next1_50">#REF!</definedName>
    <definedName name="Next1_6">"2]nbca_2001_completed!#REF!"</definedName>
    <definedName name="Next1_7">#REF!</definedName>
    <definedName name="Next1_8">"2]nbca_2001_completed!#REF!"</definedName>
    <definedName name="Next1_9">#REF!</definedName>
    <definedName name="Next11">#REF!</definedName>
    <definedName name="Next11___0">#REF!</definedName>
    <definedName name="Next11_14">#REF!</definedName>
    <definedName name="Next11_18">"2]nbca_2001_completed!#REF!"</definedName>
    <definedName name="Next11_21">"2]nbca_2001_completed!#REF!"</definedName>
    <definedName name="Next11_22">"2]nbca_2001_completed!#REF!"</definedName>
    <definedName name="Next11_37">#REF!</definedName>
    <definedName name="Next11_50">#REF!</definedName>
    <definedName name="Next11_6">"2]nbca_2001_completed!#REF!"</definedName>
    <definedName name="Next11_7">#REF!</definedName>
    <definedName name="Next11_8">"2]nbca_2001_completed!#REF!"</definedName>
    <definedName name="Next11_9">#REF!</definedName>
    <definedName name="Next2">#REF!</definedName>
    <definedName name="Next2___0">#REF!</definedName>
    <definedName name="Next2_14">#REF!</definedName>
    <definedName name="Next2_18">"2]nbca_2001_completed!#REF!"</definedName>
    <definedName name="Next2_21">"2]nbca_2001_completed!#REF!"</definedName>
    <definedName name="Next2_22">"2]nbca_2001_completed!#REF!"</definedName>
    <definedName name="Next2_37">#REF!</definedName>
    <definedName name="Next2_50">#REF!</definedName>
    <definedName name="Next2_6">"2]nbca_2001_completed!#REF!"</definedName>
    <definedName name="Next2_7">#REF!</definedName>
    <definedName name="Next2_8">"2]nbca_2001_completed!#REF!"</definedName>
    <definedName name="Next2_9">#REF!</definedName>
    <definedName name="Next21">#REF!</definedName>
    <definedName name="Next21___0">#REF!</definedName>
    <definedName name="Next21_14">#REF!</definedName>
    <definedName name="Next21_18">"2]nbca_2001_completed!#REF!"</definedName>
    <definedName name="Next21_21">"2]nbca_2001_completed!#REF!"</definedName>
    <definedName name="Next21_22">"2]nbca_2001_completed!#REF!"</definedName>
    <definedName name="Next21_37">#REF!</definedName>
    <definedName name="Next21_50">#REF!</definedName>
    <definedName name="Next21_6">"2]nbca_2001_completed!#REF!"</definedName>
    <definedName name="Next21_7">#REF!</definedName>
    <definedName name="Next21_8">"2]nbca_2001_completed!#REF!"</definedName>
    <definedName name="Next21_9">#REF!</definedName>
    <definedName name="Next3">#REF!</definedName>
    <definedName name="Next3___0">#REF!</definedName>
    <definedName name="Next3_14">#REF!</definedName>
    <definedName name="Next3_18">"2]nbca_2001_completed!#REF!"</definedName>
    <definedName name="Next3_21">"2]nbca_2001_completed!#REF!"</definedName>
    <definedName name="Next3_22">"2]nbca_2001_completed!#REF!"</definedName>
    <definedName name="Next3_37">#REF!</definedName>
    <definedName name="Next3_50">#REF!</definedName>
    <definedName name="Next3_6">"2]nbca_2001_completed!#REF!"</definedName>
    <definedName name="Next3_7">#REF!</definedName>
    <definedName name="Next3_8">"2]nbca_2001_completed!#REF!"</definedName>
    <definedName name="Next3_9">#REF!</definedName>
    <definedName name="Next31">#REF!</definedName>
    <definedName name="Next31___0">#REF!</definedName>
    <definedName name="Next31_14">#REF!</definedName>
    <definedName name="Next31_18">"2]nbca_2001_completed!#REF!"</definedName>
    <definedName name="Next31_21">"2]nbca_2001_completed!#REF!"</definedName>
    <definedName name="Next31_22">"2]nbca_2001_completed!#REF!"</definedName>
    <definedName name="Next31_37">#REF!</definedName>
    <definedName name="Next31_50">#REF!</definedName>
    <definedName name="Next31_6">"2]nbca_2001_completed!#REF!"</definedName>
    <definedName name="Next31_7">#REF!</definedName>
    <definedName name="Next31_8">"2]nbca_2001_completed!#REF!"</definedName>
    <definedName name="Next31_9">#REF!</definedName>
    <definedName name="nf">#REF!</definedName>
    <definedName name="nfd">#REF!</definedName>
    <definedName name="nfda">#REF!</definedName>
    <definedName name="nfdc">#REF!</definedName>
    <definedName name="nfdz">#REF!</definedName>
    <definedName name="nfg">#REF!</definedName>
    <definedName name="nfgm">#REF!</definedName>
    <definedName name="ng">#REF!</definedName>
    <definedName name="NG_HRSG_8">#REF!</definedName>
    <definedName name="NG_HTM_6">#REF!</definedName>
    <definedName name="NG_HTM_7">#REF!</definedName>
    <definedName name="NG_HTM_8">#REF!</definedName>
    <definedName name="NG_INC_7">#REF!</definedName>
    <definedName name="NG_INC_8">#REF!</definedName>
    <definedName name="NG_REST_7">#REF!</definedName>
    <definedName name="NG_REST_8">#REF!</definedName>
    <definedName name="NG_TOT_2008">#REF!</definedName>
    <definedName name="NG_TOT_8">#REF!</definedName>
    <definedName name="nhzsckjnh">#REF!</definedName>
    <definedName name="NICAT">#REF!</definedName>
    <definedName name="NICAT_31">#REF!</definedName>
    <definedName name="NITRO">#REF!</definedName>
    <definedName name="NITRO_27">"$"</definedName>
    <definedName name="NITROGEN">"$"</definedName>
    <definedName name="nLevelToday">#REF!</definedName>
    <definedName name="NLPLNLG">#REF!</definedName>
    <definedName name="NLSterlingPL">#REF!</definedName>
    <definedName name="NM">"#REF!"</definedName>
    <definedName name="NM_3">"#REF!"</definedName>
    <definedName name="nnhn" hidden="1">{#N/A,#N/A,FALSE,"Highlights";#N/A,#N/A,FALSE,"Proj Cost";#N/A,#N/A,FALSE,"Income";#N/A,#N/A,FALSE,"Cash Flow";#N/A,#N/A,FALSE,"Balance Sheet";#N/A,#N/A,FALSE,"Sup Calc";#N/A,#N/A,FALSE,"Sales &amp; RMC";#N/A,#N/A,FALSE,"Utilities";#N/A,#N/A,FALSE,"Manpower Cost";#N/A,#N/A,FALSE,"P&amp;M";#N/A,#N/A,FALSE,"Ancillary"}</definedName>
    <definedName name="nnn" hidden="1">{#N/A,#N/A,FALSE,"CAT3516";#N/A,#N/A,FALSE,"CAT3608";#N/A,#N/A,FALSE,"Wartsila";#N/A,#N/A,FALSE,"Asm";#N/A,#N/A,FALSE,"DG cost"}</definedName>
    <definedName name="nnnn" hidden="1">#REF!</definedName>
    <definedName name="no">#REF!</definedName>
    <definedName name="No.buffer">#REF!</definedName>
    <definedName name="No.fibers">#REF!</definedName>
    <definedName name="No.strand">#REF!</definedName>
    <definedName name="no___0">#REF!</definedName>
    <definedName name="no_10">#REF!</definedName>
    <definedName name="No_19">#REF!</definedName>
    <definedName name="No_7">#REF!</definedName>
    <definedName name="NO_FILE">#REF!</definedName>
    <definedName name="No_of_days_in_month">#REF!</definedName>
    <definedName name="No_of_eqpmt">#REF!</definedName>
    <definedName name="nom">#REF!</definedName>
    <definedName name="Nome_cliente">#REF!</definedName>
    <definedName name="nomemp">#REF!</definedName>
    <definedName name="None">#N/A</definedName>
    <definedName name="None1">#N/A</definedName>
    <definedName name="None2">#N/A</definedName>
    <definedName name="none3">#N/A</definedName>
    <definedName name="none5">#N/A</definedName>
    <definedName name="NonOperatingItemsBudget">#REF!</definedName>
    <definedName name="NonOperatingItemsMonth1Actuals">#REF!</definedName>
    <definedName name="NonOperatingItemsMonth1Budget">#REF!</definedName>
    <definedName name="NonOperatingItemsMonth2Actuals">#REF!</definedName>
    <definedName name="NonOperatingItemsMonth2Budget">#REF!</definedName>
    <definedName name="NonOperatingItemsMonth3Actuals">#REF!</definedName>
    <definedName name="NonOperatingItemsMonth3Budget">#REF!</definedName>
    <definedName name="NonOperatingItemsMonth4Actuals">#REF!</definedName>
    <definedName name="NonOperatingItemsMonth4Budget">#REF!</definedName>
    <definedName name="NonOperatingItemsYTDActuals">#REF!</definedName>
    <definedName name="NonOperatingItemsYTDBudget">#REF!</definedName>
    <definedName name="nonso1">#REF!</definedName>
    <definedName name="NOPAGE">1</definedName>
    <definedName name="nopat">#REF!</definedName>
    <definedName name="nopatadj">#REF!</definedName>
    <definedName name="NopatAprActual">#REF!</definedName>
    <definedName name="NopatAugProj">#REF!</definedName>
    <definedName name="NopatDecProj">#REF!</definedName>
    <definedName name="NOPATDevToLE">#REF!</definedName>
    <definedName name="NOPATDevToLY">#REF!</definedName>
    <definedName name="NopatFebProj">#REF!</definedName>
    <definedName name="NopatJanProj">#REF!</definedName>
    <definedName name="NopatJulyProj">#REF!</definedName>
    <definedName name="NopatJuneActual">#REF!</definedName>
    <definedName name="NopatJuneProj">#REF!</definedName>
    <definedName name="NOPATLE">#REF!</definedName>
    <definedName name="NOPATLY">#REF!</definedName>
    <definedName name="NopatMarProj">#REF!</definedName>
    <definedName name="NopatMayActual">#REF!</definedName>
    <definedName name="NOPATMonth">#REF!</definedName>
    <definedName name="NOPATMonth1Actuals">#REF!</definedName>
    <definedName name="NOPATMonth1Budget">#REF!</definedName>
    <definedName name="NOPATMonth2Actuals">#REF!</definedName>
    <definedName name="NOPATMonth2Budget">#REF!</definedName>
    <definedName name="NOPATMonth3Actuals">#REF!</definedName>
    <definedName name="NOPATMonth3Budget">#REF!</definedName>
    <definedName name="NOPATMonth4Actuals">#REF!</definedName>
    <definedName name="NOPATMonth4Budget">#REF!</definedName>
    <definedName name="NOPATMonth5Actuals">#REF!</definedName>
    <definedName name="NOPATMonth5Budget">#REF!</definedName>
    <definedName name="NOPATMonthActual">#REF!</definedName>
    <definedName name="NOPATMonthBudget">#REF!</definedName>
    <definedName name="NOPATMonthDevToBud">#REF!</definedName>
    <definedName name="NOPATMonthDevToLE">#REF!</definedName>
    <definedName name="NOPATMonthDevToLY">#REF!</definedName>
    <definedName name="NOPATMonthLE">#REF!</definedName>
    <definedName name="NOPATMonthLY">#REF!</definedName>
    <definedName name="NOPATNov">#REF!</definedName>
    <definedName name="NopatOctProj">#REF!</definedName>
    <definedName name="NOPATPrevYearActual">#REF!</definedName>
    <definedName name="NOPATPrevYearAnnualBudget">#REF!</definedName>
    <definedName name="NOPATPrevYearDeviation">#REF!</definedName>
    <definedName name="NOPATPrevYearPercentDeviationToBudget">#REF!</definedName>
    <definedName name="NopatSepProj">#REF!</definedName>
    <definedName name="NopatTotalLE">#REF!</definedName>
    <definedName name="NOPATYearActual">#REF!</definedName>
    <definedName name="NOPATYearAnnualBudget">#REF!</definedName>
    <definedName name="NOPATYearBudget">#REF!</definedName>
    <definedName name="NOPATYearDeviation">#REF!</definedName>
    <definedName name="NOPATYearDevToBud">#REF!</definedName>
    <definedName name="NOPATYearDevToLY">#REF!</definedName>
    <definedName name="NOPATYearLatestEstimate">#REF!</definedName>
    <definedName name="NOPATYearLY">#REF!</definedName>
    <definedName name="NOPATYearPercentDeviationToPercent">#REF!</definedName>
    <definedName name="NOPATYTDActuals">#REF!</definedName>
    <definedName name="NOPATYTDBudget">#REF!</definedName>
    <definedName name="Notes_F_Assets_Schedule">#REF!</definedName>
    <definedName name="NOTES_ON_ACCT">#REF!</definedName>
    <definedName name="NOTES_PL">#REF!</definedName>
    <definedName name="NOTES_PL_31">#REF!</definedName>
    <definedName name="nouv" hidden="1">{#N/A,#N/A,FALSE,"Pharm";#N/A,#N/A,FALSE,"WWCM"}</definedName>
    <definedName name="Nouvelsemplois">#REF!</definedName>
    <definedName name="NOV">"$"</definedName>
    <definedName name="Nov.">#REF!</definedName>
    <definedName name="Nov_98">#REF!</definedName>
    <definedName name="November">#REF!</definedName>
    <definedName name="Novembre">#REF!</definedName>
    <definedName name="NOW">#REF!</definedName>
    <definedName name="NOW_27">"$"</definedName>
    <definedName name="NP">#REF!</definedName>
    <definedName name="NPAT.Bal.cpy">#REF!</definedName>
    <definedName name="NPAT.bal.pst">#REF!</definedName>
    <definedName name="npc">#REF!</definedName>
    <definedName name="NP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NPK1_31">#REF!</definedName>
    <definedName name="NPK2_31">#REF!</definedName>
    <definedName name="NPPA">#REF!</definedName>
    <definedName name="NPPA_19">#REF!</definedName>
    <definedName name="NRA">#REF!</definedName>
    <definedName name="NRBENA">#REF!</definedName>
    <definedName name="NRBENB">#REF!</definedName>
    <definedName name="nReceive">#REF!</definedName>
    <definedName name="nrmes">#REF!</definedName>
    <definedName name="NRPEN">#REF!</definedName>
    <definedName name="NS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T03E">#REF!</definedName>
    <definedName name="NT06E">#REF!</definedName>
    <definedName name="ntu.pt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NUM_BFTUBES">#REF!</definedName>
    <definedName name="NUM_FIBERS">#REF!</definedName>
    <definedName name="NUM_FILLERS">#REF!</definedName>
    <definedName name="Núm_Pagto">#REF!</definedName>
    <definedName name="Núm_Pgto_Por_Ano">#REF!</definedName>
    <definedName name="NUM_POSITIONS">#REF!</definedName>
    <definedName name="NUM_SEG">#REF!</definedName>
    <definedName name="Num00">#REF!</definedName>
    <definedName name="Número_de_Pagamentos">#N/A</definedName>
    <definedName name="NumShares">#REF!</definedName>
    <definedName name="NumYears">#REF!</definedName>
    <definedName name="NvsASD">"V1999-12-31"</definedName>
    <definedName name="NvsAutoDrillOk">"VN"</definedName>
    <definedName name="NvsElapsedTime">0.0000473379695904441</definedName>
    <definedName name="NvsEndTime">36734.6120483796</definedName>
    <definedName name="NvsInstSpec">"%"</definedName>
    <definedName name="NvsLayoutType">"M3"</definedName>
    <definedName name="NvsPanelEffdt">"V1997-07-10"</definedName>
    <definedName name="NvsPanelSetid">"V01"</definedName>
    <definedName name="NvsReqBU">"V10"</definedName>
    <definedName name="NvsReqBUOnly">"VY"</definedName>
    <definedName name="NvsTransLed">"VN"</definedName>
    <definedName name="NvsTreeASD">"V1999-12-31"</definedName>
    <definedName name="NvsValTbl.ACCOUNT">"GL_ACCOUNT_TBL"</definedName>
    <definedName name="o">1000</definedName>
    <definedName name="O.IncCY">#REF!</definedName>
    <definedName name="ø_?PE_CUSTOMER_SPR">#REF!</definedName>
    <definedName name="O_1">#REF!</definedName>
    <definedName name="O_2">#REF!</definedName>
    <definedName name="OBRIG.TRIB.2TRIM">#REF!</definedName>
    <definedName name="OBRIG.TRIB.3TRIM">#REF!</definedName>
    <definedName name="OBRIG.TRIB.4TRIM">#REF!</definedName>
    <definedName name="OCT">"$"</definedName>
    <definedName name="OctaneBTA">#REF!</definedName>
    <definedName name="OctaneRAF">#REF!</definedName>
    <definedName name="October">#REF!</definedName>
    <definedName name="Octobre">#REF!</definedName>
    <definedName name="OE">#REF!</definedName>
    <definedName name="OE___6">#REF!</definedName>
    <definedName name="oecd.esc.rt">#REF!</definedName>
    <definedName name="office" hidden="1">{"Financial Performance_SP",#N/A,FALSE,"Fin Perf(Sp)";"Operational Indicators_SP",#N/A,FALSE,"Op Ind(sp)";"Resources Utilisation_SP",#N/A,FALSE,"ResUtil (Sp)"}</definedName>
    <definedName name="Ohds1">#REF!</definedName>
    <definedName name="Ohds2">#REF!</definedName>
    <definedName name="oi.mgn.libor">#REF!</definedName>
    <definedName name="Oil_Gain">#REF!</definedName>
    <definedName name="OilA">#REF!</definedName>
    <definedName name="OilB">#REF!</definedName>
    <definedName name="OK" hidden="1">{#N/A,#N/A,FALSE,"REPORT"}</definedName>
    <definedName name="OK_FILE">#REF!</definedName>
    <definedName name="OK_MSG">#REF!</definedName>
    <definedName name="old">#REF!</definedName>
    <definedName name="ole.fin.exp">#REF!</definedName>
    <definedName name="OLE_LINK1_6">"#REF!"</definedName>
    <definedName name="OLEChartName">#REF!</definedName>
    <definedName name="Olefin_data">#REF!</definedName>
    <definedName name="OLEO">#REF!</definedName>
    <definedName name="OLEO_31">#REF!</definedName>
    <definedName name="OLEPosition">#REF!</definedName>
    <definedName name="om">#REF!</definedName>
    <definedName name="oo" hidden="1">{#N/A,#N/A,FALSE,"CAT3516";#N/A,#N/A,FALSE,"CAT3608";#N/A,#N/A,FALSE,"Wartsila";#N/A,#N/A,FALSE,"Asm";#N/A,#N/A,FALSE,"DG cost"}</definedName>
    <definedName name="ooo" hidden="1">{#N/A,#N/A,FALSE,"REPORT"}</definedName>
    <definedName name="Op.ExpensesCY">#REF!</definedName>
    <definedName name="Op.ExpsCY">#REF!</definedName>
    <definedName name="Op_reserves">#REF!</definedName>
    <definedName name="Op_reserves_1">"#REF!"</definedName>
    <definedName name="Op_reserves_2">#REF!</definedName>
    <definedName name="Op_reserves_3">#REF!</definedName>
    <definedName name="Op_reserves_31">#REF!</definedName>
    <definedName name="Op_reserves_33">#REF!</definedName>
    <definedName name="Op_reserves_4">#REF!</definedName>
    <definedName name="opar">#REF!</definedName>
    <definedName name="Open.Graph">#REF!</definedName>
    <definedName name="Open.Graph_2">#REF!</definedName>
    <definedName name="Open.Graph_31">#REF!</definedName>
    <definedName name="Open.Graph_4">#REF!</definedName>
    <definedName name="Open.Graph_5">#REF!</definedName>
    <definedName name="operating_case">#REF!</definedName>
    <definedName name="OpptAmount">#REF!</definedName>
    <definedName name="OpptyAmount">#REF!</definedName>
    <definedName name="OpptyFontSize">#REF!</definedName>
    <definedName name="OpptyHeight">#REF!</definedName>
    <definedName name="OpptyTotalTag">#REF!</definedName>
    <definedName name="OpptyWidth">#REF!</definedName>
    <definedName name="ops">#REF!</definedName>
    <definedName name="opyt" hidden="1">#REF!</definedName>
    <definedName name="or">#REF!</definedName>
    <definedName name="OrderTable" hidden="1">#REF!</definedName>
    <definedName name="OrderTablePL" hidden="1">#REF!</definedName>
    <definedName name="orks">#REF!</definedName>
    <definedName name="OSBL_K">#REF!</definedName>
    <definedName name="other">#REF!</definedName>
    <definedName name="other_print">#REF!</definedName>
    <definedName name="other33" hidden="1">{#N/A,#N/A,FALSE,"Pharm";#N/A,#N/A,FALSE,"WWCM"}</definedName>
    <definedName name="OtherAssetsAprActuals">#REF!</definedName>
    <definedName name="OtherAssetsAugProj">#REF!</definedName>
    <definedName name="OtherAssetsDecProj">#REF!</definedName>
    <definedName name="OtherAssetsFebProj">#REF!</definedName>
    <definedName name="OtherAssetsJanProj">#REF!</definedName>
    <definedName name="OtherAssetsJulyActual">#REF!</definedName>
    <definedName name="OtherAssetsJuneActual">#REF!</definedName>
    <definedName name="OtherAssetsMarProj">#REF!</definedName>
    <definedName name="OtherAssetsMayActual">#REF!</definedName>
    <definedName name="OtherAssetsMonthBudget">#REF!</definedName>
    <definedName name="OtherAssetsMonthDevToBud">#REF!</definedName>
    <definedName name="OtherAssetsMonthDevToLE">#REF!</definedName>
    <definedName name="OtherAssetsMonthLE">#REF!</definedName>
    <definedName name="OtherAssetsNovProj">#REF!</definedName>
    <definedName name="OtherAssetsOctProj">#REF!</definedName>
    <definedName name="OtherAssetsSepProj">#REF!</definedName>
    <definedName name="OtherAssetsTotalLE">#REF!</definedName>
    <definedName name="OtherAssetsYearActual">#REF!</definedName>
    <definedName name="OtherAssetsYearBudget">#REF!</definedName>
    <definedName name="OtherAssetsYearDevToBud">#REF!</definedName>
    <definedName name="OtherAssetsYearDevToLY">#REF!</definedName>
    <definedName name="OtherAssetsYearLY">#REF!</definedName>
    <definedName name="othermar" hidden="1">{#N/A,#N/A,FALSE,"Pharm";#N/A,#N/A,FALSE,"WWCM"}</definedName>
    <definedName name="OtherNonCashItemsMonth1Actuals">#REF!</definedName>
    <definedName name="OtherNonCashItemsMonth1Budget\">#REF!</definedName>
    <definedName name="OtherNonCashItemsMonth2Actuals">#REF!</definedName>
    <definedName name="OtherNonCashItemsMonth2Budget">#REF!</definedName>
    <definedName name="OtherNonCashItemsMonth3Actuaaaaaaaaaaaaaals">#REF!</definedName>
    <definedName name="OtherNonCashItemsMonth3Budget">#REF!</definedName>
    <definedName name="OtherNonCashItemsMonth4Actuals">#REF!</definedName>
    <definedName name="OtherNonCashItemsMonth4Budget">#REF!</definedName>
    <definedName name="OtherNonCashItemsYTDActuals">#REF!</definedName>
    <definedName name="OtherNonCashItemsYTDBudget">#REF!</definedName>
    <definedName name="OtherOperatingCost">#REF!</definedName>
    <definedName name="OtherOperatingCostMonthActuals">#REF!</definedName>
    <definedName name="OtherOperatingCostMonthBudget">#REF!</definedName>
    <definedName name="OtherOperatingCostMonthDevToBud">#REF!</definedName>
    <definedName name="OtherOperatingCostMonthDevToLE">#REF!</definedName>
    <definedName name="OtherOperatingCostMonthLE">#REF!</definedName>
    <definedName name="OtherOperatingCostPrevYearActual">#REF!</definedName>
    <definedName name="OtherOperatingCostsAprActual">#REF!</definedName>
    <definedName name="OtherOperatingCostsAugProj">#REF!</definedName>
    <definedName name="OtherOperatingCostsDecProj">#REF!</definedName>
    <definedName name="OtherOperatingCostsDevToLE">#REF!</definedName>
    <definedName name="OtherOperatingCostsDevToLY">#REF!</definedName>
    <definedName name="OtherOperatingCostsFebProj">#REF!</definedName>
    <definedName name="OtherOperatingCostsJanProj">#REF!</definedName>
    <definedName name="OtherOperatingCostsJulyProj">#REF!</definedName>
    <definedName name="OtherOperatingCostsJuneProj">#REF!</definedName>
    <definedName name="OtherOperatingCostsLE">#REF!</definedName>
    <definedName name="OtherOperatingCostsLY">#REF!</definedName>
    <definedName name="OtherOperatingCostsMarProj">#REF!</definedName>
    <definedName name="OtherOperatingCostsMayActual">#REF!</definedName>
    <definedName name="OtherOperatingCostsMonthActual">#REF!</definedName>
    <definedName name="OtherOperatingCostsMonthBudget">#REF!</definedName>
    <definedName name="OtherOperatingCostsMonthDevToBud">#REF!</definedName>
    <definedName name="OtherOperatingCostsNovProj">#REF!</definedName>
    <definedName name="OtherOperatingCostsOctProj">#REF!</definedName>
    <definedName name="OtherOperatingCostsSepProj">#REF!</definedName>
    <definedName name="OtherOperatingCostsTotalLE">#REF!</definedName>
    <definedName name="OtherOperatingCostsYearActual">#REF!</definedName>
    <definedName name="OtherOperatingCostsYearBudget">#REF!</definedName>
    <definedName name="OtherOperatingCostsYearDevToBud">#REF!</definedName>
    <definedName name="OtherOperatingCostYear">#REF!</definedName>
    <definedName name="OtherOperatingCostYearActuals">#REF!</definedName>
    <definedName name="OtherOperatingCostYearBudget">#REF!</definedName>
    <definedName name="OtherOperatingCostYearDevToLY">#REF!</definedName>
    <definedName name="OtherOperatingCostYearDrevTOBud">#REF!</definedName>
    <definedName name="OtherOperatingCostYearLY">#REF!</definedName>
    <definedName name="OtherProjectsBudgetedCompletionDate">#REF!</definedName>
    <definedName name="OtherProjectsCommitted">#REF!</definedName>
    <definedName name="OtherProjectsExpectedCompletionDate">#REF!</definedName>
    <definedName name="OtherProjectsExpectedTotalExpenditure">#REF!</definedName>
    <definedName name="OtherProjectsExpenditureToDate">#REF!</definedName>
    <definedName name="OtherProjectsPercentageSanctioned">#REF!</definedName>
    <definedName name="OtherProjectsPercentComp.">#REF!</definedName>
    <definedName name="OtherProjectsReviewRequired">#REF!</definedName>
    <definedName name="OtherProjectsSanctioned">#REF!</definedName>
    <definedName name="Others">#REF!</definedName>
    <definedName name="Outer_Jacket_Thickness">#REF!</definedName>
    <definedName name="Outer_layer">#REF!</definedName>
    <definedName name="OutlookColor">#REF!</definedName>
    <definedName name="OutlookTotal">#REF!</definedName>
    <definedName name="OutlookTotalWeighted">#REF!</definedName>
    <definedName name="Output_F">#REF!</definedName>
    <definedName name="OutputRange">#REF!,#REF!,#REF!</definedName>
    <definedName name="OUTRO" hidden="1">{"'PXR_6500'!$A$1:$I$124"}</definedName>
    <definedName name="OvalRatio">#REF!</definedName>
    <definedName name="overcoated_CM">#REF!</definedName>
    <definedName name="OVERHEAD">#REF!</definedName>
    <definedName name="Owne">#REF!</definedName>
    <definedName name="p">#REF!</definedName>
    <definedName name="P_Area">#REF!</definedName>
    <definedName name="P_L">#REF!</definedName>
    <definedName name="P1_">#REF!</definedName>
    <definedName name="P2_">#REF!</definedName>
    <definedName name="pa">12/12</definedName>
    <definedName name="pa___0">12/12</definedName>
    <definedName name="pa_10">12/11</definedName>
    <definedName name="pa_13">12/12</definedName>
    <definedName name="pa_19">12/11</definedName>
    <definedName name="pa_22">12/12</definedName>
    <definedName name="pa_25">12/12</definedName>
    <definedName name="pa_33">10/12</definedName>
    <definedName name="pa_35">10/12</definedName>
    <definedName name="pa_49">12/12</definedName>
    <definedName name="pa_5">12/11</definedName>
    <definedName name="pa_51">12/12</definedName>
    <definedName name="PA_7">1</definedName>
    <definedName name="PA_7_1">1</definedName>
    <definedName name="pa_8">12/12</definedName>
    <definedName name="PA_9">1</definedName>
    <definedName name="PaApl_Error_CalcErr">#REF!</definedName>
    <definedName name="PaApl_Error_CalcString">#REF!</definedName>
    <definedName name="PaApl_MonthName">#REF!</definedName>
    <definedName name="PaApl_MonthNumber">#REF!</definedName>
    <definedName name="PaApl_MonthShort">#REF!</definedName>
    <definedName name="PaApl_PIDTable">#REF!</definedName>
    <definedName name="Paç">#REF!</definedName>
    <definedName name="packing" hidden="1">{#N/A,#N/A,FALSE,"Ut";#N/A,#N/A,FALSE,"UT-h"}</definedName>
    <definedName name="pag">#REF!</definedName>
    <definedName name="pagador">#REF!</definedName>
    <definedName name="Pagamento_Extra">#REF!</definedName>
    <definedName name="Pagamento_Mensal_Agendado">#REF!</definedName>
    <definedName name="Pagamentos_Extras_Agendados">#REF!</definedName>
    <definedName name="page\x2dtotal">#REF!</definedName>
    <definedName name="page\x2dtotal\x2dmaster0">#REF!</definedName>
    <definedName name="PAGE02">#REF!</definedName>
    <definedName name="PAGE03">#REF!</definedName>
    <definedName name="PAGE04">#REF!</definedName>
    <definedName name="PAGE05">#REF!</definedName>
    <definedName name="PAGE06">#REF!</definedName>
    <definedName name="PAGE08">#REF!</definedName>
    <definedName name="PAGE1">#REF!</definedName>
    <definedName name="PAGE10">#REF!</definedName>
    <definedName name="PAGE11">#REF!</definedName>
    <definedName name="PAGE13">#REF!</definedName>
    <definedName name="PAGE14">#REF!</definedName>
    <definedName name="PAGE2">#REF!</definedName>
    <definedName name="PAGE3">#REF!</definedName>
    <definedName name="PAGE4">#REF!</definedName>
    <definedName name="page5">#REF!</definedName>
    <definedName name="page7">#REF!</definedName>
    <definedName name="PAGTO_CANA">#REF!</definedName>
    <definedName name="Pagto_Total">#REF!</definedName>
    <definedName name="paid">#REF!</definedName>
    <definedName name="pal">#REF!</definedName>
    <definedName name="Palc">#REF!</definedName>
    <definedName name="PAN">#REF!</definedName>
    <definedName name="PAP">#REF!</definedName>
    <definedName name="PAP_31">#REF!</definedName>
    <definedName name="para">#REF!</definedName>
    <definedName name="PARADA">#REF!</definedName>
    <definedName name="PARITY">#REF!</definedName>
    <definedName name="PARITY_9">#REF!</definedName>
    <definedName name="part2">#REF!</definedName>
    <definedName name="part2_1">NA()</definedName>
    <definedName name="part2_2">#REF!</definedName>
    <definedName name="part2_3">#REF!</definedName>
    <definedName name="part2_31">#REF!</definedName>
    <definedName name="part2_33">#REF!</definedName>
    <definedName name="part2_4">#REF!</definedName>
    <definedName name="part3">#REF!</definedName>
    <definedName name="part3_1">NA()</definedName>
    <definedName name="part3_2">#REF!</definedName>
    <definedName name="part3_3">#REF!</definedName>
    <definedName name="part3_31">#REF!</definedName>
    <definedName name="part3_33">#REF!</definedName>
    <definedName name="part3_4">#REF!</definedName>
    <definedName name="PART4">#REF!</definedName>
    <definedName name="pas">#REF!</definedName>
    <definedName name="PasteSpecial">#REF!</definedName>
    <definedName name="PATAprActual">#REF!</definedName>
    <definedName name="PATAugProj">#REF!</definedName>
    <definedName name="PATDecProj">#REF!</definedName>
    <definedName name="PATDevToLE">#REF!</definedName>
    <definedName name="PATDevToLY">#REF!</definedName>
    <definedName name="PATFebProj">#REF!</definedName>
    <definedName name="PATJanProj">#REF!</definedName>
    <definedName name="PATJulyProj">#REF!</definedName>
    <definedName name="PATJuneProj">#REF!</definedName>
    <definedName name="PATLE">#REF!</definedName>
    <definedName name="PATLY">#REF!</definedName>
    <definedName name="PATMarProj">#REF!</definedName>
    <definedName name="PATMayActual">#REF!</definedName>
    <definedName name="PATMonthActual">#REF!</definedName>
    <definedName name="PATMonthBudget">#REF!</definedName>
    <definedName name="PATMonthDevToBud">#REF!</definedName>
    <definedName name="PATMonthDevToLE">#REF!</definedName>
    <definedName name="PATMonthLE">#REF!</definedName>
    <definedName name="PATNovProj">#REF!</definedName>
    <definedName name="PATOctProj">#REF!</definedName>
    <definedName name="Patr">#REF!</definedName>
    <definedName name="PATSepPRoj">#REF!</definedName>
    <definedName name="PATTotalLE">#REF!</definedName>
    <definedName name="PATYearActual">#REF!</definedName>
    <definedName name="PATYearBudget">#REF!</definedName>
    <definedName name="PATYearDevToBud">#REF!</definedName>
    <definedName name="PATYearDevToLY">#REF!</definedName>
    <definedName name="PATYearLY">#REF!</definedName>
    <definedName name="Pause">#REF!</definedName>
    <definedName name="Pause_2">#REF!</definedName>
    <definedName name="Pause_31">#REF!</definedName>
    <definedName name="Pause_4">#REF!</definedName>
    <definedName name="Pause_5">#REF!</definedName>
    <definedName name="PB">#REF!</definedName>
    <definedName name="pbb">#REF!</definedName>
    <definedName name="PBDItApr">#REF!</definedName>
    <definedName name="PBDITAprActual">#REF!</definedName>
    <definedName name="PBDITAugProj">#REF!</definedName>
    <definedName name="PBDITDecActual">#REF!</definedName>
    <definedName name="PBDITDevToLE">#REF!</definedName>
    <definedName name="PBDITDevToLY">#REF!</definedName>
    <definedName name="PBDITFebProj">#REF!</definedName>
    <definedName name="PBDITJanProj">#REF!</definedName>
    <definedName name="PBDITJulyProj">#REF!</definedName>
    <definedName name="PBDITJuneProj">#REF!</definedName>
    <definedName name="PBDITLE">#REF!</definedName>
    <definedName name="PBDITLY">#REF!</definedName>
    <definedName name="PBDITMarProj">#REF!</definedName>
    <definedName name="PBDITMayActual">#REF!</definedName>
    <definedName name="PBDITMonth">#REF!</definedName>
    <definedName name="PBDITMonthActual">#REF!</definedName>
    <definedName name="PBDITMonthActuals">#REF!</definedName>
    <definedName name="PBDITMonthBudget">#REF!</definedName>
    <definedName name="PBDITMonthDevToBud">#REF!</definedName>
    <definedName name="PBDITMonthDevToLE">#REF!</definedName>
    <definedName name="PBDITMonthLE">#REF!</definedName>
    <definedName name="PBDITNovActual">#REF!</definedName>
    <definedName name="PBDITOctActual">#REF!</definedName>
    <definedName name="PBDITSepProj">#REF!</definedName>
    <definedName name="PBDITTotalLE">#REF!</definedName>
    <definedName name="PBDITYearActual">#REF!</definedName>
    <definedName name="PBDITYearBudget">#REF!</definedName>
    <definedName name="PBDITYearDevToBud">#REF!</definedName>
    <definedName name="PBDITYearDevToLY">#REF!</definedName>
    <definedName name="PBDITYearLY">#REF!</definedName>
    <definedName name="pbFileName">MID(CELL("filename"),FIND("[",CELL("FILENAME"))+1,(FIND("]",CELL("FILENAME"))) - (FIND("[",CELL("FILENAME"))+1))</definedName>
    <definedName name="PBITVARI" hidden="1">{"Financial Performance_SP",#N/A,FALSE,"Fin Perf(Sp)";"Operational Indicators_SP",#N/A,FALSE,"Op Ind(sp)";"Resources Utilisation_SP",#N/A,FALSE,"ResUtil (Sp)"}</definedName>
    <definedName name="PBOND">#REF!</definedName>
    <definedName name="PBOND_31">#REF!</definedName>
    <definedName name="pbPrinterFormat">"\\SUSNY004\P100084690 on Ne05:"</definedName>
    <definedName name="pbStartPageNumber">1</definedName>
    <definedName name="PBT">#REF!</definedName>
    <definedName name="PB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BTAprActual">#REF!</definedName>
    <definedName name="PBTAugActual">#REF!</definedName>
    <definedName name="PBTDecProj">#REF!</definedName>
    <definedName name="PBTDevToLE">#REF!</definedName>
    <definedName name="PBTDevToLY">#REF!</definedName>
    <definedName name="PBTFebProj">#REF!</definedName>
    <definedName name="PBTJanProj">#REF!</definedName>
    <definedName name="PBTJulyActual">#REF!</definedName>
    <definedName name="PBTJuneProj">#REF!</definedName>
    <definedName name="PBTLE">#REF!</definedName>
    <definedName name="PBTLY">#REF!</definedName>
    <definedName name="PBTMarProj">#REF!</definedName>
    <definedName name="PBTMayActual">#REF!</definedName>
    <definedName name="PBTMonthActual">#REF!</definedName>
    <definedName name="PBTMonthBudget">#REF!</definedName>
    <definedName name="PBTMonthDevToBud">#REF!</definedName>
    <definedName name="PBTMonthDevToLE">#REF!</definedName>
    <definedName name="PBTMonthLE">#REF!</definedName>
    <definedName name="PBTNovProj">#REF!</definedName>
    <definedName name="PBTOctProj">#REF!</definedName>
    <definedName name="PBTSepProj">#REF!</definedName>
    <definedName name="PBTTotalLE">#REF!</definedName>
    <definedName name="PBTYearActual">#REF!</definedName>
    <definedName name="PBTYearBudget">#REF!</definedName>
    <definedName name="PBTYearDevToBud">#REF!</definedName>
    <definedName name="PBTYearDevToLY">#REF!</definedName>
    <definedName name="PBTYearLY">#REF!</definedName>
    <definedName name="PBU">#REF!</definedName>
    <definedName name="pbUpdatePageNumbering">TRUE</definedName>
    <definedName name="PC">#REF!</definedName>
    <definedName name="pck.inv.dys">#REF!</definedName>
    <definedName name="PCm_1">#REF!</definedName>
    <definedName name="PCm_10">#REF!</definedName>
    <definedName name="pcn.td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ct">#REF!</definedName>
    <definedName name="PD">#REF!</definedName>
    <definedName name="pdw">#REF!</definedName>
    <definedName name="PE">#REF!</definedName>
    <definedName name="pe.pp.bal">#REF!</definedName>
    <definedName name="pe.pp.bal.cpy">#REF!</definedName>
    <definedName name="PE___1996_97">#REF!</definedName>
    <definedName name="PE___OUTLOOK_TO_2000">#REF!</definedName>
    <definedName name="PE___Q1_REVIEW">#REF!</definedName>
    <definedName name="PE___RIL_MARKET_PRESENCE">#REF!</definedName>
    <definedName name="PE_1996_97">#REF!</definedName>
    <definedName name="PE_BUSINESS___PAST___FUTURE">#REF!</definedName>
    <definedName name="PE_CUSTOMER_SPREAD">#REF!</definedName>
    <definedName name="PE_REVIEW">#REF!</definedName>
    <definedName name="PEARS">#REF!</definedName>
    <definedName name="PEARS_31">#REF!</definedName>
    <definedName name="pedro" hidden="1">{#N/A,"30% Success",TRUE,"Sales Forecast";#N/A,#N/A,TRUE,"Sheet2"}</definedName>
    <definedName name="pedro_1" hidden="1">{#N/A,"30% Success",TRUE,"Sales Forecast";#N/A,#N/A,TRUE,"Sheet2"}</definedName>
    <definedName name="pedro_2" hidden="1">{#N/A,"30% Success",TRUE,"Sales Forecast";#N/A,#N/A,TRUE,"Sheet2"}</definedName>
    <definedName name="pedro_3" hidden="1">{#N/A,"30% Success",TRUE,"Sales Forecast";#N/A,#N/A,TRUE,"Sheet2"}</definedName>
    <definedName name="pedro_4" hidden="1">{#N/A,"30% Success",TRUE,"Sales Forecast";#N/A,#N/A,TRUE,"Sheet2"}</definedName>
    <definedName name="pedro_5" hidden="1">{#N/A,"30% Success",TRUE,"Sales Forecast";#N/A,#N/A,TRUE,"Sheet2"}</definedName>
    <definedName name="PeerNames">#REF!</definedName>
    <definedName name="PeerTickers">#REF!</definedName>
    <definedName name="pelotizaçao1">#REF!</definedName>
    <definedName name="pelotização1">#REF!</definedName>
    <definedName name="pelotizaçao2">#REF!</definedName>
    <definedName name="PEN">#REF!</definedName>
    <definedName name="pepe" hidden="1">{#N/A,#N/A,FALSE,"Pharm";#N/A,#N/A,FALSE,"WWCM"}</definedName>
    <definedName name="PEPE4" hidden="1">{#N/A,#N/A,FALSE,"Pharm";#N/A,#N/A,FALSE,"WWCM"}</definedName>
    <definedName name="PEPE5" hidden="1">{#N/A,#N/A,FALSE,"Pharm";#N/A,#N/A,FALSE,"WWCM"}</definedName>
    <definedName name="PEPlant_prd_summary">#REF!</definedName>
    <definedName name="PEPROD_97">#REF!</definedName>
    <definedName name="PEPROD_98">#REF!</definedName>
    <definedName name="PEPROD_99">#REF!</definedName>
    <definedName name="PER">#REF!</definedName>
    <definedName name="Per_1_End_Date">#REF!</definedName>
    <definedName name="Per_1_End_Mth">#REF!</definedName>
    <definedName name="Per_1_Title">#REF!</definedName>
    <definedName name="PercentagetToSalesMonthActual">#REF!</definedName>
    <definedName name="PercentagetToSalesMonthBudget">#REF!</definedName>
    <definedName name="PercentagetToSalesMonthDevToBud">#REF!</definedName>
    <definedName name="PercentagetToSalesMonthDevToLE">#REF!</definedName>
    <definedName name="PercentagetToSalesMonthLE">#REF!</definedName>
    <definedName name="PercentagetToSalesYearAactual">#REF!</definedName>
    <definedName name="PercentagetToSalesYearActual">#REF!</definedName>
    <definedName name="PercentagetToSalesYearBudget">#REF!</definedName>
    <definedName name="PercentagetToSalesYearDevToBud">#REF!</definedName>
    <definedName name="PercentagetToSalesYearDevToLY">#REF!</definedName>
    <definedName name="PercentagetToSalesYearLY">#REF!</definedName>
    <definedName name="PercentToSalesAprActual">#REF!</definedName>
    <definedName name="PercentToSalesAugProj">#REF!</definedName>
    <definedName name="PercentToSalesDecProj">#REF!</definedName>
    <definedName name="PercentToSalesFebProj">#REF!</definedName>
    <definedName name="PercentToSalesJanProj">#REF!</definedName>
    <definedName name="PercentToSalesJulyProj">#REF!</definedName>
    <definedName name="PercentToSalesJuneProj">#REF!</definedName>
    <definedName name="PercentToSalesMarProj">#REF!</definedName>
    <definedName name="PercentToSalesMayActual">#REF!</definedName>
    <definedName name="PercentToSalesMonthAcdtual">#REF!</definedName>
    <definedName name="PercentToSalesMonthBudget">#REF!</definedName>
    <definedName name="PercentToSalesMonthDevToBud">#REF!</definedName>
    <definedName name="PercentToSalesMonthDevToLE">#REF!</definedName>
    <definedName name="PercentToSalesMonthLE">#REF!</definedName>
    <definedName name="PercentToSalesNovProj">#REF!</definedName>
    <definedName name="PercentToSalesOctProj">#REF!</definedName>
    <definedName name="PercentToSalesPrevYearaCTUAL">#REF!</definedName>
    <definedName name="PercentToSalesPrevYearAnnualBudget">#REF!</definedName>
    <definedName name="PercentToSalesPrevYeardEVIATION">#REF!</definedName>
    <definedName name="PercentToSalesPrevYearPercentToBudget">#REF!</definedName>
    <definedName name="PercentToSalesSepProj">#REF!</definedName>
    <definedName name="PercentToSalesTotalLE">#REF!</definedName>
    <definedName name="PercentToSalesYearActuals">#REF!</definedName>
    <definedName name="PercentToSalesYearAnnualBudget">#REF!</definedName>
    <definedName name="PercentToSalesYearBudget">#REF!</definedName>
    <definedName name="PercentToSalesYearDeviation">#REF!</definedName>
    <definedName name="PercentToSalesYearDevToBud">#REF!</definedName>
    <definedName name="PercentToSalesYearDevToLY">#REF!</definedName>
    <definedName name="PercentToSalesYearLatestEstimate">#REF!</definedName>
    <definedName name="PercentToSalesYearLY">#REF!</definedName>
    <definedName name="PercentToSalesYearPercentToBudget">#REF!</definedName>
    <definedName name="perfil2">#REF!</definedName>
    <definedName name="Period">#REF!</definedName>
    <definedName name="periods">#REF!</definedName>
    <definedName name="Perperson">#REF!</definedName>
    <definedName name="PERSA">#REF!</definedName>
    <definedName name="PerToSalesAprActual">#REF!</definedName>
    <definedName name="PerToSalesAugProj">#REF!</definedName>
    <definedName name="PerToSalesDecProj">#REF!</definedName>
    <definedName name="PerToSalesFebProj">#REF!</definedName>
    <definedName name="PerToSalesJanProj">#REF!</definedName>
    <definedName name="PerToSalesJulyProj">#REF!</definedName>
    <definedName name="PerToSalesJuneProj">#REF!</definedName>
    <definedName name="PerToSalesMarProj">#REF!</definedName>
    <definedName name="PerToSalesMayActual">#REF!</definedName>
    <definedName name="PerToSalesMayProj">#REF!</definedName>
    <definedName name="PerToSalesNovProj">#REF!</definedName>
    <definedName name="PerToSalesOctProj">#REF!</definedName>
    <definedName name="PerToSalesPrevYearActual">#REF!</definedName>
    <definedName name="PerToSalesPrevYearAnnualBudget">#REF!</definedName>
    <definedName name="PerToSalesPrevYearDeviation">#REF!</definedName>
    <definedName name="PerToSalesPrevYearPercentDeviationToBudget">#REF!</definedName>
    <definedName name="PerToSalesSepProj">#REF!</definedName>
    <definedName name="PerToSalesTotalLE">#REF!</definedName>
    <definedName name="PerToSalesYearAnnualBudget">#REF!</definedName>
    <definedName name="PerToSalesYearDeviation">#REF!</definedName>
    <definedName name="PerToSalesYearPercentDeviationToBudget">#REF!</definedName>
    <definedName name="pertrip">#REF!</definedName>
    <definedName name="PET_BUS_REV">#REF!</definedName>
    <definedName name="PF">#REF!</definedName>
    <definedName name="pf_1">NA()</definedName>
    <definedName name="pf_2">#REF!</definedName>
    <definedName name="pf_3">#REF!</definedName>
    <definedName name="pf_31">#REF!</definedName>
    <definedName name="pf_33">#REF!</definedName>
    <definedName name="pf_4">#REF!</definedName>
    <definedName name="pfd">#REF!</definedName>
    <definedName name="pfd_1">NA()</definedName>
    <definedName name="pfd_2">#REF!</definedName>
    <definedName name="pfd_3">#REF!</definedName>
    <definedName name="pfd_31">#REF!</definedName>
    <definedName name="pfd_33">#REF!</definedName>
    <definedName name="pfd_4">#REF!</definedName>
    <definedName name="PFM">#REF!</definedName>
    <definedName name="PFRMonths">#REF!</definedName>
    <definedName name="PFRVariances">#REF!</definedName>
    <definedName name="PG">#REF!</definedName>
    <definedName name="pg10_31">#REF!</definedName>
    <definedName name="pg11_31">#REF!</definedName>
    <definedName name="PG11A">#REF!</definedName>
    <definedName name="PG11A_31">#REF!</definedName>
    <definedName name="PG11A_33">#REF!</definedName>
    <definedName name="PG11A_4">#REF!</definedName>
    <definedName name="pg14_31">#REF!</definedName>
    <definedName name="pg15_31">#REF!</definedName>
    <definedName name="pg16_31">#REF!</definedName>
    <definedName name="pg17_31">#REF!</definedName>
    <definedName name="pg18_31">#REF!</definedName>
    <definedName name="PG22_31">#REF!</definedName>
    <definedName name="PG23_31">#REF!</definedName>
    <definedName name="PG24_31">#REF!</definedName>
    <definedName name="PG9_31">#REF!</definedName>
    <definedName name="PG9_33">#REF!</definedName>
    <definedName name="PG9_4">#REF!</definedName>
    <definedName name="Pgto_Agend">#REF!</definedName>
    <definedName name="PH">#REF!</definedName>
    <definedName name="PH1_PJT">#REF!</definedName>
    <definedName name="pharma" hidden="1">{#N/A,#N/A,FALSE,"Sales Graph";#N/A,#N/A,FALSE,"PSBM";#N/A,#N/A,FALSE,"BUC Graph";#N/A,#N/A,FALSE,"P&amp;L - YTD"}</definedName>
    <definedName name="PHASE_II">#REF!</definedName>
    <definedName name="Phone">#REF!</definedName>
    <definedName name="PI">#REF!</definedName>
    <definedName name="Pie">#N/A</definedName>
    <definedName name="PieData">#REF!</definedName>
    <definedName name="PIMA">#REF!</definedName>
    <definedName name="PIMA___6">#REF!</definedName>
    <definedName name="pippo" hidden="1">{#N/A,#N/A,FALSE,"Table of Contents";#N/A,#N/A,FALSE,"Overview";#N/A,#N/A,FALSE,"Data"}</definedName>
    <definedName name="pippo2" hidden="1">{#N/A,#N/A,FALSE,"Table of Contents";#N/A,#N/A,FALSE,"Overview";#N/A,#N/A,FALSE,"Data"}</definedName>
    <definedName name="PJ">#REF!</definedName>
    <definedName name="pjp">#REF!</definedName>
    <definedName name="PK">#REF!</definedName>
    <definedName name="PL">#REF!</definedName>
    <definedName name="PL_CF">#REF!</definedName>
    <definedName name="PL_Combined">#REF!</definedName>
    <definedName name="pl_inst">#REF!</definedName>
    <definedName name="PL_MENSAL">#REF!</definedName>
    <definedName name="PL_Plant_Wise">#REF!</definedName>
    <definedName name="PL_PORTIPO_MENSAL">#REF!</definedName>
    <definedName name="PL_PORTIPO_MENSAL_OLD">#REF!</definedName>
    <definedName name="PL_TOTAL_MENSAL">#REF!</definedName>
    <definedName name="plan">#REF!</definedName>
    <definedName name="plan_9">#REF!</definedName>
    <definedName name="plan1">#REF!</definedName>
    <definedName name="plan10">#REF!</definedName>
    <definedName name="Plan2" hidden="1">{"'CONSOLIDADO'!$B$10:$R$57"}</definedName>
    <definedName name="plan3">#REF!</definedName>
    <definedName name="plan4">#REF!</definedName>
    <definedName name="plan5">#REF!</definedName>
    <definedName name="plan6">#REF!</definedName>
    <definedName name="plan7">#REF!</definedName>
    <definedName name="plan8">#REF!</definedName>
    <definedName name="plan8\10">#REF!</definedName>
    <definedName name="plan9">#REF!</definedName>
    <definedName name="Plano_de_contas">#REF!</definedName>
    <definedName name="PLANT1_BAGS_MIX">#REF!</definedName>
    <definedName name="PLANT1_ESC">#REF!</definedName>
    <definedName name="PLANT2_BAGS_MIX">#REF!</definedName>
    <definedName name="PLANT2_ESC">#REF!</definedName>
    <definedName name="PLANT2_MIX">#REF!</definedName>
    <definedName name="PLANTINS">#REF!</definedName>
    <definedName name="PLANTINS_27">"$"</definedName>
    <definedName name="PLATT0">#REF!</definedName>
    <definedName name="PLATTR">#REF!</definedName>
    <definedName name="PLC">#REF!</definedName>
    <definedName name="PLCepi" hidden="1">{#N/A,#N/A,FALSE,"REPORT"}</definedName>
    <definedName name="plcf">#REF!</definedName>
    <definedName name="PLDET">#REF!</definedName>
    <definedName name="PLINSTLAST">#REF!</definedName>
    <definedName name="PLINSTLAST_27">"$"</definedName>
    <definedName name="PLN">#REF!</definedName>
    <definedName name="PLN_27">"$"</definedName>
    <definedName name="PLNLAST">#REF!</definedName>
    <definedName name="PLNLAST_27">"$"</definedName>
    <definedName name="PLO">"$"</definedName>
    <definedName name="PLProcef" hidden="1">{#N/A,#N/A,FALSE,"REPORT"}</definedName>
    <definedName name="PLTaxol" hidden="1">{#N/A,#N/A,FALSE,"REPORT"}</definedName>
    <definedName name="PLY">#REF!</definedName>
    <definedName name="PLY_27">"$"</definedName>
    <definedName name="PLYLAST">#REF!</definedName>
    <definedName name="PLYLAST_27">"$"</definedName>
    <definedName name="PM">#REF!</definedName>
    <definedName name="PM_Order_Output_New">#REF!</definedName>
    <definedName name="PMC_PJT">#REF!</definedName>
    <definedName name="Pmel">#REF!</definedName>
    <definedName name="pmop">#REF!,#REF!,#REF!</definedName>
    <definedName name="pmop1">#REF!,#REF!,#REF!</definedName>
    <definedName name="PMS_OCT2002_FLASH"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nl" hidden="1">{#N/A,#N/A,FALSE,"Pharm";#N/A,#N/A,FALSE,"WWCM"}</definedName>
    <definedName name="poc.ov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OL">"$"</definedName>
    <definedName name="POL_RES">#REF!</definedName>
    <definedName name="POLCALDO">#REF!</definedName>
    <definedName name="POLCALDO2">#REF!</definedName>
    <definedName name="POLCANA">#REF!</definedName>
    <definedName name="POLFIBEX">#REF!</definedName>
    <definedName name="POLFIBEX___0">#REF!</definedName>
    <definedName name="POLFIBEX___6">#REF!</definedName>
    <definedName name="POLFIBLC">#REF!</definedName>
    <definedName name="POLFIBLC___0">#REF!</definedName>
    <definedName name="POLFIBLC___6">#REF!</definedName>
    <definedName name="POLY">"$"</definedName>
    <definedName name="POLY___0">#REF!</definedName>
    <definedName name="POLY___6">#REF!</definedName>
    <definedName name="POLY00">"$"</definedName>
    <definedName name="POLY1">#REF!</definedName>
    <definedName name="POLY10">#REF!</definedName>
    <definedName name="POLY11">#REF!</definedName>
    <definedName name="POLY12">#REF!</definedName>
    <definedName name="POLY13">#REF!</definedName>
    <definedName name="POLY14">#REF!</definedName>
    <definedName name="POLY15">#REF!</definedName>
    <definedName name="POLY2">#REF!</definedName>
    <definedName name="POLY3">#REF!</definedName>
    <definedName name="POLY4">#REF!</definedName>
    <definedName name="POLY5">#REF!</definedName>
    <definedName name="POLY6">#REF!</definedName>
    <definedName name="POLY7">#REF!</definedName>
    <definedName name="POLY8">#REF!</definedName>
    <definedName name="POLY9">#REF!</definedName>
    <definedName name="polya">"$"</definedName>
    <definedName name="polyb">"$"</definedName>
    <definedName name="POLYPCC1">"$"</definedName>
    <definedName name="POLYPCC2">"$"</definedName>
    <definedName name="POLYTOT">"$"</definedName>
    <definedName name="Port">#REF!</definedName>
    <definedName name="port1">#REF!</definedName>
    <definedName name="port29" hidden="1">{#N/A,#N/A,FALSE,"Pharm";#N/A,#N/A,FALSE,"WWCM"}</definedName>
    <definedName name="POS8PLN">"$#REF!.$I$64"</definedName>
    <definedName name="POS9DG">"$#REF!.$I$66"</definedName>
    <definedName name="Position">#REF!</definedName>
    <definedName name="POSITION_1">NA()</definedName>
    <definedName name="post" hidden="1">#REF!</definedName>
    <definedName name="Post_tax_materiality">#REF!</definedName>
    <definedName name="power_prim_energy_8">#REF!</definedName>
    <definedName name="Power_Total">#REF!</definedName>
    <definedName name="POY">#REF!</definedName>
    <definedName name="POYBE">#REF!</definedName>
    <definedName name="POYBE___0">#REF!</definedName>
    <definedName name="POYCHANGES">#REF!</definedName>
    <definedName name="POYLAST">#REF!</definedName>
    <definedName name="pp">#REF!</definedName>
    <definedName name="pp_dep" hidden="1">{#N/A,#N/A,FALSE,"A"}</definedName>
    <definedName name="ppm">#REF!</definedName>
    <definedName name="ppp">#REF!</definedName>
    <definedName name="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tMatrix">#REF!</definedName>
    <definedName name="pptt">#REF!</definedName>
    <definedName name="pq">#REF!</definedName>
    <definedName name="PR">#N/A</definedName>
    <definedName name="PR_ALL_ENCL">#REF!</definedName>
    <definedName name="PR_BALANCE_SH">#REF!</definedName>
    <definedName name="PR_CONTENTS">#REF!</definedName>
    <definedName name="PR_NARRATIVE">#REF!</definedName>
    <definedName name="PR_SELECT_ENCL">#REF!</definedName>
    <definedName name="PRBAL">#REF!</definedName>
    <definedName name="PRBIJLM">#REF!</definedName>
    <definedName name="PRC">#REF!</definedName>
    <definedName name="PRD">537</definedName>
    <definedName name="PRD3_9">#REF!</definedName>
    <definedName name="pre">#REF!</definedName>
    <definedName name="Pre_tax_Materiality">#REF!</definedName>
    <definedName name="PreçATR">#REF!</definedName>
    <definedName name="PREÇO">#REF!</definedName>
    <definedName name="Premissas" hidden="1">{"summary1",#N/A,TRUE,"Comps";"summary2",#N/A,TRUE,"Comps";"summary3",#N/A,TRUE,"Comps"}</definedName>
    <definedName name="preopexp.xls" hidden="1">#REF!</definedName>
    <definedName name="PREOPS">#REF!</definedName>
    <definedName name="Prepara" hidden="1">{#N/A,#N/A,FALSE,"Despesas"}</definedName>
    <definedName name="PRES01">#REF!</definedName>
    <definedName name="PRES02">#REF!</definedName>
    <definedName name="PRES03">#REF!</definedName>
    <definedName name="PRES04">#REF!</definedName>
    <definedName name="PRES05">#REF!</definedName>
    <definedName name="PRES06">#REF!</definedName>
    <definedName name="Presentation2b">#REF!</definedName>
    <definedName name="PreviousMonth">#REF!</definedName>
    <definedName name="prG">#REF!</definedName>
    <definedName name="Price">#REF!</definedName>
    <definedName name="PRICE_FORECAST___1995_96">#REF!</definedName>
    <definedName name="price1">#REF!</definedName>
    <definedName name="PriceChoose">#REF!</definedName>
    <definedName name="prices">#REF!</definedName>
    <definedName name="Princ">#REF!</definedName>
    <definedName name="PRINT_AREA_MI">#REF!</definedName>
    <definedName name="PRINT_AREA_MI___0">"$#REF!.$A$1:$N$15"</definedName>
    <definedName name="Print_Area_MI_1">NA()</definedName>
    <definedName name="Print_Area_MI_2">#REF!</definedName>
    <definedName name="Print_Area_MI_31">#REF!</definedName>
    <definedName name="Print_Area_MI_4">#REF!</definedName>
    <definedName name="Print_Area_MI_5">#REF!</definedName>
    <definedName name="Print_title">#REF!</definedName>
    <definedName name="Print_Titles_MI">#REF!</definedName>
    <definedName name="Print_Titles_MI_2">#REF!</definedName>
    <definedName name="print1">#REF!</definedName>
    <definedName name="print2">#REF!</definedName>
    <definedName name="Printable_Area">#REF!</definedName>
    <definedName name="PrintArea2">#REF!</definedName>
    <definedName name="PRINTBS">#REF!</definedName>
    <definedName name="PRINTCAPEX">#REF!</definedName>
    <definedName name="PRINTCF">#REF!</definedName>
    <definedName name="PRINTDRS">#REF!</definedName>
    <definedName name="PrintGraph">#REF!</definedName>
    <definedName name="PRINTGRAPHS">#REF!</definedName>
    <definedName name="PRINTHALFBS">#REF!</definedName>
    <definedName name="PRINTHALFCF">#REF!</definedName>
    <definedName name="PRINTINTER">#REF!</definedName>
    <definedName name="PRINTMAN">#REF!</definedName>
    <definedName name="PRINTPL">#REF!</definedName>
    <definedName name="PRINTS">#REF!</definedName>
    <definedName name="PRINTSUM">#REF!</definedName>
    <definedName name="PrintTitle1">#REF!</definedName>
    <definedName name="PRINTTOTAL">#REF!</definedName>
    <definedName name="PRINTVOL">#REF!</definedName>
    <definedName name="prix">#REF!</definedName>
    <definedName name="pro">#REF!</definedName>
    <definedName name="PRO_9798">#REF!</definedName>
    <definedName name="Pro_type">#REF!</definedName>
    <definedName name="PROBG_Contracted">#REF!</definedName>
    <definedName name="PROBG_High">#REF!</definedName>
    <definedName name="PROBG_Low">#REF!</definedName>
    <definedName name="PROBG_Medium">#REF!</definedName>
    <definedName name="Procef" hidden="1">{#N/A,#N/A,FALSE,"Pharm";#N/A,#N/A,FALSE,"WWCM"}</definedName>
    <definedName name="Process" hidden="1">#REF!</definedName>
    <definedName name="prod">#REF!</definedName>
    <definedName name="PROD___SALES">#REF!</definedName>
    <definedName name="prod_1">#REF!</definedName>
    <definedName name="prod_1___0">#REF!</definedName>
    <definedName name="prod_1___3">#REF!</definedName>
    <definedName name="prod_2">#REF!</definedName>
    <definedName name="prod_2___0">#REF!</definedName>
    <definedName name="prod_2___3">#REF!</definedName>
    <definedName name="PROD_2002_2003">#REF!</definedName>
    <definedName name="prod_3">#REF!</definedName>
    <definedName name="prod_3___0">#REF!</definedName>
    <definedName name="prod_3___3">#REF!</definedName>
    <definedName name="Prod_opc9899">#REF!</definedName>
    <definedName name="Prod_ppc9899">#REF!</definedName>
    <definedName name="PROD_SALES">#REF!</definedName>
    <definedName name="PROD_SALES_31">#REF!</definedName>
    <definedName name="ProdForm" hidden="1">#REF!</definedName>
    <definedName name="ProdFromPL" hidden="1">#REF!</definedName>
    <definedName name="PRODTOTAL">#REF!</definedName>
    <definedName name="Product" hidden="1">#REF!</definedName>
    <definedName name="production">#REF!</definedName>
    <definedName name="ProductionInUnitsAprActual">#REF!</definedName>
    <definedName name="ProductionInUnitsAugProj">#REF!</definedName>
    <definedName name="ProductionInUnitsDecProj">#REF!</definedName>
    <definedName name="ProductionInUnitsDevToLE">#REF!</definedName>
    <definedName name="ProductionInUnitsDevToLY">#REF!</definedName>
    <definedName name="ProductionInUnitsFebProj">#REF!</definedName>
    <definedName name="ProductionInUnitsJanProj">#REF!</definedName>
    <definedName name="ProductionInUnitsJulyProj">#REF!</definedName>
    <definedName name="ProductionInUnitsJuneProj">#REF!</definedName>
    <definedName name="ProductionInUnitsLE">#REF!</definedName>
    <definedName name="ProductionInUnitsLY">#REF!</definedName>
    <definedName name="ProductionInUnitsMarActual">#REF!</definedName>
    <definedName name="ProductionInUnitsMarProj">#REF!</definedName>
    <definedName name="ProductionInUnitsMonthActual">#REF!</definedName>
    <definedName name="ProductionInUnitsMonthBudget">#REF!</definedName>
    <definedName name="ProductionInUnitsMonthDevToBud">#REF!</definedName>
    <definedName name="ProductionInUnitsNovProj">#REF!</definedName>
    <definedName name="ProductionInUnitsOctProj">#REF!</definedName>
    <definedName name="ProductionInUnitsSepProj">#REF!</definedName>
    <definedName name="ProductionInUnitsTotalLE">#REF!</definedName>
    <definedName name="ProductionInUnitsYearActual">#REF!</definedName>
    <definedName name="ProductionInUnitsYearBudget">#REF!</definedName>
    <definedName name="ProductionInUnitsYearDevToBud">#REF!</definedName>
    <definedName name="ProductionMonthActual">#REF!</definedName>
    <definedName name="ProductionMonthBudget">#REF!</definedName>
    <definedName name="ProductionMonthDevToBud">#REF!</definedName>
    <definedName name="ProductionMonthDevToLE">#REF!</definedName>
    <definedName name="ProductionMonthLE">#REF!</definedName>
    <definedName name="ProductionYearActual">#REF!</definedName>
    <definedName name="ProductionYearBudget">#REF!</definedName>
    <definedName name="ProductionYearDevToBud">#REF!</definedName>
    <definedName name="ProductionYearDevToLY">#REF!</definedName>
    <definedName name="ProductionYearLY">#REF!</definedName>
    <definedName name="ProductPL" hidden="1">#REF!</definedName>
    <definedName name="PRODWVG1">#REF!</definedName>
    <definedName name="PRODWVG2">#REF!</definedName>
    <definedName name="ProdYTD">#REF!</definedName>
    <definedName name="PROFIT">#REF!</definedName>
    <definedName name="Profit_1">"#REF!"</definedName>
    <definedName name="Profit_2">#REF!</definedName>
    <definedName name="Profit_3">#REF!</definedName>
    <definedName name="Profit_31">#REF!</definedName>
    <definedName name="Profit_33">#REF!</definedName>
    <definedName name="Profit_4">#REF!</definedName>
    <definedName name="PROFITABILITY__Q3_1996___97">#REF!</definedName>
    <definedName name="PROFITABILITY_APR_DEC__1996___97">#REF!</definedName>
    <definedName name="ProfitAndLossBudgetAprActual">#REF!</definedName>
    <definedName name="ProfitAndLossBudgetAugProj">#REF!</definedName>
    <definedName name="ProfitAndLossBudgetDecProj">#REF!</definedName>
    <definedName name="ProfitAndLossBudgetFebProj">#REF!</definedName>
    <definedName name="ProfitAndLossBudgetJanProj">#REF!</definedName>
    <definedName name="ProfitAndLossBudgetJulyProj">#REF!</definedName>
    <definedName name="ProfitAndLossBudgetJuneProj">#REF!</definedName>
    <definedName name="ProfitAndLossBudgetMarProj">#REF!</definedName>
    <definedName name="ProfitAndLossBudgetMayActual">#REF!</definedName>
    <definedName name="ProfitAndLossBudgetNovProj">#REF!</definedName>
    <definedName name="ProfitAndLossBudgetOctProj">#REF!</definedName>
    <definedName name="ProfitAndLossBudgetSepProj">#REF!</definedName>
    <definedName name="ProfitAndLossBudgetTotalLE">#REF!</definedName>
    <definedName name="ProfitFromOtherActivities">#REF!</definedName>
    <definedName name="ProfitFromOtherActivitiesDevToLE">#REF!</definedName>
    <definedName name="ProfitFromOtherActivitiesDevToLY">#REF!</definedName>
    <definedName name="ProfitFromOtherActivitiesLE">#REF!</definedName>
    <definedName name="ProfitFromOtherActivitiesLY">#REF!</definedName>
    <definedName name="ProfitFromOtherActivitiesMonthActual">#REF!</definedName>
    <definedName name="ProfitFromOtherActivitiesMonthBudget">#REF!</definedName>
    <definedName name="ProfitFromOtherActivitiesMonthDevToBud">#REF!</definedName>
    <definedName name="ProfitFromOtherActivitiesMonthDevToLE">#REF!</definedName>
    <definedName name="ProfitFromOtherActivitiesMonthLE">#REF!</definedName>
    <definedName name="ProfitFromOtherActivitiesYearActual">#REF!</definedName>
    <definedName name="ProfitFromOtherActivitiesYearActuals">#REF!</definedName>
    <definedName name="ProfitFromOtherActivitiesYearBudget">#REF!</definedName>
    <definedName name="ProfitFromOtherActivitiesYearDevToBud">#REF!</definedName>
    <definedName name="ProfitFromOtherActivitiesYearDevToLY">#REF!</definedName>
    <definedName name="ProfitFromOtherActivitiesYearLY">#REF!</definedName>
    <definedName name="ProfitFromOtherAprActual">#REF!</definedName>
    <definedName name="ProfitFromOtherAugProj">#REF!</definedName>
    <definedName name="ProfitFromOtherDecProj">#REF!</definedName>
    <definedName name="ProfitFromOtherfEBpROJ">#REF!</definedName>
    <definedName name="ProfitFromOtherjANpROJ">#REF!</definedName>
    <definedName name="ProfitFromOtherJulyProj">#REF!</definedName>
    <definedName name="ProfitFromOtherJuneProj">#REF!</definedName>
    <definedName name="ProfitFromOthermARpROJ">#REF!</definedName>
    <definedName name="ProfitFromOtherMayActual">#REF!</definedName>
    <definedName name="ProfitFromOtherNovProj">#REF!</definedName>
    <definedName name="ProfitFromOtherOctProj">#REF!</definedName>
    <definedName name="ProfitFromOtherOperatingActivitiesDevToBudget">#REF!</definedName>
    <definedName name="ProfitFromOtherSepProj">#REF!</definedName>
    <definedName name="ProfitFromOtherTotalLE">#REF!</definedName>
    <definedName name="PROFITLOSS">#REF!</definedName>
    <definedName name="ProfitLossMonthActual">#REF!</definedName>
    <definedName name="ProfitLossMonthBudget">#REF!</definedName>
    <definedName name="ProfitLossMonthDevToBud">#REF!</definedName>
    <definedName name="ProfitLossMonthDevToLE">#REF!</definedName>
    <definedName name="ProfitLossMonthLE">#REF!</definedName>
    <definedName name="ProfitLossYearActual">#REF!</definedName>
    <definedName name="ProfitLossYearBudget">#REF!</definedName>
    <definedName name="ProfitLossYearDevToBudget">#REF!</definedName>
    <definedName name="ProfitLossYearDevToLY">#REF!</definedName>
    <definedName name="ProfitLossYearLY">#REF!</definedName>
    <definedName name="ProfitYEarAnnualBudget">#REF!</definedName>
    <definedName name="ProfitYEarLatestEstimate">#REF!</definedName>
    <definedName name="ProfitYEarPercentDeviationToBudget">#REF!</definedName>
    <definedName name="ProfitYPrevEarActual">#REF!</definedName>
    <definedName name="ProfitYPrevEarAnnualBudget">#REF!</definedName>
    <definedName name="ProfitYPrevEarDeviation">#REF!</definedName>
    <definedName name="ProfitYPrevEarPercentDeviationToBudget">#REF!</definedName>
    <definedName name="ProImportExport.ImportFile">#N/A</definedName>
    <definedName name="ProImportExport.SaveNewFile">#N/A</definedName>
    <definedName name="proj">#REF!</definedName>
    <definedName name="PROJ_COST">#REF!</definedName>
    <definedName name="projeção">#REF!</definedName>
    <definedName name="PROJECT_COST">#REF!</definedName>
    <definedName name="Project_IRR">#REF!</definedName>
    <definedName name="Project_Spg">#REF!</definedName>
    <definedName name="ProjectName">#REF!</definedName>
    <definedName name="Projeto">#REF!</definedName>
    <definedName name="prop">#REF!</definedName>
    <definedName name="ProvisionsAprActual">#REF!</definedName>
    <definedName name="ProvisionsAugProj">#REF!</definedName>
    <definedName name="ProvisionsDecProj">#REF!</definedName>
    <definedName name="ProvisionsFebProj">#REF!</definedName>
    <definedName name="ProvisionsJanProj">#REF!</definedName>
    <definedName name="ProvisionsJulyProj">#REF!</definedName>
    <definedName name="ProvisionsJuneProj">#REF!</definedName>
    <definedName name="ProvisionsMarProj">#REF!</definedName>
    <definedName name="ProvisionsMayActual">#REF!</definedName>
    <definedName name="ProvisionsNovProj">#REF!</definedName>
    <definedName name="ProvisionsOctProj">#REF!</definedName>
    <definedName name="ProvisionsOtherLiabilitiesMonthActual">#REF!</definedName>
    <definedName name="ProvisionsOtherLiabilitiesMonthBudget">#REF!</definedName>
    <definedName name="ProvisionsOtherLiabilitiesMonthDevToBud">#REF!</definedName>
    <definedName name="ProvisionsOtherLiabilitiesMonthDevToLE">#REF!</definedName>
    <definedName name="ProvisionsOtherLiabilitiesMonthLE">#REF!</definedName>
    <definedName name="ProvisionsOtherLiabilitiesYearActual">#REF!</definedName>
    <definedName name="ProvisionsOtherLiabilitiesYearBudget">#REF!</definedName>
    <definedName name="ProvisionsOtherLiabilitiesYearDevToBud">#REF!</definedName>
    <definedName name="ProvisionsOtherLiabilitiesYearDevToLE">#REF!</definedName>
    <definedName name="ProvisionsOtherLiabilitiesYearDevToLY">#REF!</definedName>
    <definedName name="ProvisionsOtherLiabilitiesYearLY">#REF!</definedName>
    <definedName name="ProvisionsSepProj">#REF!</definedName>
    <definedName name="ProvisionsTotalLE">#REF!</definedName>
    <definedName name="PRT_REP">#REF!</definedName>
    <definedName name="Prudential_Polywebs">#REF!</definedName>
    <definedName name="PS">#REF!</definedName>
    <definedName name="PS_3">"#REF!"</definedName>
    <definedName name="PSF">"$"</definedName>
    <definedName name="PSF___0">#REF!</definedName>
    <definedName name="PSFLAST">#REF!</definedName>
    <definedName name="PST1___0">"$#REF!.$B$5"</definedName>
    <definedName name="PTA">#REF!</definedName>
    <definedName name="PTA_MTD">#REF!</definedName>
    <definedName name="PTA_Prod_TPD">#REF!</definedName>
    <definedName name="PTA_TD">#REF!</definedName>
    <definedName name="PTA_YTD">#REF!</definedName>
    <definedName name="PTAa">"$#REF!.$#REF!$#REF!"</definedName>
    <definedName name="Ptax">#REF!</definedName>
    <definedName name="PTIP_PX">#REF!</definedName>
    <definedName name="pty.ut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UREZA">#REF!</definedName>
    <definedName name="PurMel">#REF!</definedName>
    <definedName name="pv.date">#REF!</definedName>
    <definedName name="PWR">530</definedName>
    <definedName name="PWR_BFW_7">#REF!</definedName>
    <definedName name="PWR_BFW_8">#REF!</definedName>
    <definedName name="PWR_CW_7">#REF!</definedName>
    <definedName name="PWR_CW_8">#REF!</definedName>
    <definedName name="PWR_CWFAN_7">#REF!</definedName>
    <definedName name="PWR_CWFAN_8">#REF!</definedName>
    <definedName name="PWR_Demin_7">#REF!</definedName>
    <definedName name="PWR_Demin_8">#REF!</definedName>
    <definedName name="PWR_DigAir_7">#REF!</definedName>
    <definedName name="PWR_DigAir_8">#REF!</definedName>
    <definedName name="PWR_EXP_2008">#REF!</definedName>
    <definedName name="PWR_EXP_8">#REF!</definedName>
    <definedName name="PWR_GT_8">#REF!</definedName>
    <definedName name="PWR_IA_7">#REF!</definedName>
    <definedName name="PWR_IA_8">#REF!</definedName>
    <definedName name="PWR_IN_2008">#REF!</definedName>
    <definedName name="PWR_IN_8">#REF!</definedName>
    <definedName name="PWR_MAC_7">#REF!</definedName>
    <definedName name="PWR_MAC_8">#REF!</definedName>
    <definedName name="PWR_PET_7">#REF!</definedName>
    <definedName name="PWR_PET_8">#REF!</definedName>
    <definedName name="PWR_PTA_7">#REF!</definedName>
    <definedName name="PWR_PTA_8">#REF!</definedName>
    <definedName name="PWR_PTA_REST_8">#REF!</definedName>
    <definedName name="PWR_PTACONVEY_7">#REF!</definedName>
    <definedName name="PWR_PTACONVEY_8">#REF!</definedName>
    <definedName name="PWR_REST_7">#REF!</definedName>
    <definedName name="PWR_REST_8">#REF!</definedName>
    <definedName name="PWR_WGE_7">#REF!</definedName>
    <definedName name="PWR_WGE_8">#REF!</definedName>
    <definedName name="PX_F">#REF!</definedName>
    <definedName name="PX_TPT">#REF!</definedName>
    <definedName name="PX_TPT_2012">#REF!</definedName>
    <definedName name="PY">#REF!</definedName>
    <definedName name="PZ">#REF!</definedName>
    <definedName name="q">#N/A</definedName>
    <definedName name="Q_1">3</definedName>
    <definedName name="Q_10">3</definedName>
    <definedName name="Q_13">3</definedName>
    <definedName name="Q_2">3</definedName>
    <definedName name="Q_49">3</definedName>
    <definedName name="Q_7">3</definedName>
    <definedName name="Q_9">3</definedName>
    <definedName name="q1_1">#REF!</definedName>
    <definedName name="Q1D">#REF!</definedName>
    <definedName name="Q1E">#REF!</definedName>
    <definedName name="Q2D">#REF!</definedName>
    <definedName name="Q2E">#REF!</definedName>
    <definedName name="q2h1results" hidden="1">#REF!</definedName>
    <definedName name="Q3___SUMMARY">#REF!</definedName>
    <definedName name="Q3D">#REF!</definedName>
    <definedName name="Q3E">#REF!</definedName>
    <definedName name="Q4D">#REF!</definedName>
    <definedName name="Q4E">#REF!</definedName>
    <definedName name="qaz" hidden="1">{#N/A,#N/A,FALSE,"Pharm";#N/A,#N/A,FALSE,"WWCM"}</definedName>
    <definedName name="qeqeqwe">#REF!</definedName>
    <definedName name="qertweyu" hidden="1">{#N/A,#N/A,FALSE,"REPORT"}</definedName>
    <definedName name="qetryywt" hidden="1">{#N/A,#N/A,FALSE,"REPORT"}</definedName>
    <definedName name="QNo">#REF!</definedName>
    <definedName name="qq">#N/A</definedName>
    <definedName name="qq1sxs">#REF!</definedName>
    <definedName name="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qq">INDEX(#REF!,0,5)</definedName>
    <definedName name="qqqqqqq">INDEX(#REF!,1)</definedName>
    <definedName name="qqqqqqqqqq" hidden="1">{#N/A,#N/A,FALSE,"CAT3516";#N/A,#N/A,FALSE,"CAT3608";#N/A,#N/A,FALSE,"Wartsila";#N/A,#N/A,FALSE,"Asm";#N/A,#N/A,FALSE,"DG cost"}</definedName>
    <definedName name="qqwtweryey" hidden="1">{#N/A,#N/A,FALSE,"REPORT"}</definedName>
    <definedName name="qr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QSs">#REF!</definedName>
    <definedName name="qsx">#REF!</definedName>
    <definedName name="qtc.pc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QTR">3</definedName>
    <definedName name="QTR_1">3</definedName>
    <definedName name="QTR_2">3</definedName>
    <definedName name="Qtr_3">#REF!</definedName>
    <definedName name="Qtr_4">#REF!</definedName>
    <definedName name="QTR_7">3</definedName>
    <definedName name="QTR_9">3</definedName>
    <definedName name="Qtr_Name">#REF!</definedName>
    <definedName name="QTR1_9">#REF!</definedName>
    <definedName name="QTR2_9">#REF!</definedName>
    <definedName name="QTR3_9">#REF!</definedName>
    <definedName name="QTR4_9">#REF!</definedName>
    <definedName name="QtrActualTotal">#REF!</definedName>
    <definedName name="QtrActualTotalDetail">#REF!</definedName>
    <definedName name="QtrCAOTotal">#REF!</definedName>
    <definedName name="QtrCAOTotalDetail">#REF!</definedName>
    <definedName name="QtrCWVTotal">#REF!</definedName>
    <definedName name="QtrCWVTotalDetail">#REF!</definedName>
    <definedName name="QtrDate">#REF!</definedName>
    <definedName name="QtrFunnelTotalDetail">#REF!</definedName>
    <definedName name="Qtrly">#REF!</definedName>
    <definedName name="QtrMLVTotalDetail">#REF!</definedName>
    <definedName name="QtrMustWinTotalDetail">#REF!</definedName>
    <definedName name="QtrOutlookTotal">#REF!</definedName>
    <definedName name="QtrRange">#REF!</definedName>
    <definedName name="Qtrs_In_Yr">#REF!</definedName>
    <definedName name="QtrShares">#REF!</definedName>
    <definedName name="QUARTERLY_PERFORMANCE">#REF!</definedName>
    <definedName name="Quarterwise_Collection_Plan">#REF!</definedName>
    <definedName name="QUARTERWISE_COMPARISON">#REF!</definedName>
    <definedName name="Quarterwise_Export_Plan">#REF!</definedName>
    <definedName name="QUARTERWISE_PERFORMANCE">#REF!</definedName>
    <definedName name="QUEIMA">#REF!</definedName>
    <definedName name="qw" hidden="1">{#N/A,#N/A,FALSE,"REPORT"}</definedName>
    <definedName name="qw_1" hidden="1">{#N/A,#N/A,FALSE,"CAT3516";#N/A,#N/A,FALSE,"CAT3608";#N/A,#N/A,FALSE,"Wartsila";#N/A,#N/A,FALSE,"Asm";#N/A,#N/A,FALSE,"DG cost"}</definedName>
    <definedName name="qwe" hidden="1">{#N/A,#N/A,FALSE,"A"}</definedName>
    <definedName name="qweqewqe">#REF!</definedName>
    <definedName name="qwertqry" hidden="1">{#N/A,#N/A,FALSE,"REPORT"}</definedName>
    <definedName name="qwetqryetytu" hidden="1">{#N/A,#N/A,FALSE,"Pharm";#N/A,#N/A,FALSE,"WWCM"}</definedName>
    <definedName name="R.LOSS">#REF!</definedName>
    <definedName name="r_?PROFITABILITY_APR_DEC__1996__">#REF!</definedName>
    <definedName name="R_Factor">#REF!</definedName>
    <definedName name="r_r">#REF!</definedName>
    <definedName name="Ra" hidden="1">#REF!</definedName>
    <definedName name="RAD">#REF!</definedName>
    <definedName name="rail">#REF!</definedName>
    <definedName name="rajk" hidden="1">{"GroupVSum",#N/A,FALSE,"GRVSUMM";"Expected_Merged",#N/A,FALSE,"EXP9798CONS";"Budget_GroupV_Merged",#N/A,FALSE,"BUDGRVCONS";"ACW_Merged",#N/A,FALSE,"ACW&amp;CPP";"HCW_Merged",#N/A,FALSE,"HCW&amp;JCW";"GCW_Merged",#N/A,FALSE,"GCWI&amp;II";"APCP_Details",#N/A,FALSE,"TCP I BUD"}</definedName>
    <definedName name="rajkot"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rajkt" hidden="1">{"Flash_Analysis",#N/A,FALSE,"Analysis(Flash)";"Flash_Summ",#N/A,FALSE,"Flash"}</definedName>
    <definedName name="RAMA_IV">#REF!</definedName>
    <definedName name="RAMA_V">#REF!</definedName>
    <definedName name="rama45_1">#REF!</definedName>
    <definedName name="rama45_2">#REF!</definedName>
    <definedName name="range">#REF!</definedName>
    <definedName name="Range.Justify">#REF!</definedName>
    <definedName name="Range.Justify_2">#REF!</definedName>
    <definedName name="Range.Justify_31">#REF!</definedName>
    <definedName name="Range.Justify_4">#REF!</definedName>
    <definedName name="Range.Justify_5">#REF!</definedName>
    <definedName name="Range1">#REF!</definedName>
    <definedName name="Range2">#REF!</definedName>
    <definedName name="RangeEventInputActual">#REF!</definedName>
    <definedName name="RangeMonth">#REF!</definedName>
    <definedName name="RangePlantResult">"PlntQuery!R25C4:R49C13"</definedName>
    <definedName name="RangeRepEntityDescription">#REF!</definedName>
    <definedName name="RangeRepPeriod">#REF!</definedName>
    <definedName name="RangeTopic">#REF!</definedName>
    <definedName name="RangeYear">#REF!</definedName>
    <definedName name="rate">#REF!</definedName>
    <definedName name="Rate_1">#REF!</definedName>
    <definedName name="Rate_2">#REF!</definedName>
    <definedName name="Rate_3">#REF!</definedName>
    <definedName name="ratio1">#REF!</definedName>
    <definedName name="ratio2">#REF!</definedName>
    <definedName name="ratio3">#REF!</definedName>
    <definedName name="Ratios">#REF!</definedName>
    <definedName name="Ratios_2" hidden="1">{"'TG'!$A$1:$L$37"}</definedName>
    <definedName name="Ratioswitch">#REF!</definedName>
    <definedName name="ravi" hidden="1">{#N/A,#N/A,FALSE,"A"}</definedName>
    <definedName name="RawData">#REF!</definedName>
    <definedName name="RawData_1">NA()</definedName>
    <definedName name="RawHeader">#REF!</definedName>
    <definedName name="RawHeader_1">NA()</definedName>
    <definedName name="RBSEET">#REF!</definedName>
    <definedName name="RCArea" hidden="1">#REF!</definedName>
    <definedName name="RCAreaPL" hidden="1">#REF!</definedName>
    <definedName name="rCSPresetsPPt">#REF!</definedName>
    <definedName name="rct.mu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re" hidden="1">{#N/A,#N/A,FALSE,"CAT3516";#N/A,#N/A,FALSE,"CAT3608";#N/A,#N/A,FALSE,"Wartsila";#N/A,#N/A,FALSE,"Asm";#N/A,#N/A,FALSE,"DG cost"}</definedName>
    <definedName name="READATA">#REF!</definedName>
    <definedName name="Rec">0.15</definedName>
    <definedName name="Rec.final"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RECAP">#REF!</definedName>
    <definedName name="recenue" hidden="1">{#N/A,#N/A,FALSE,"Earn'gs &amp; Val'n";#N/A,#N/A,FALSE,"Interim"}</definedName>
    <definedName name="RecF1">2</definedName>
    <definedName name="RECHCHIPLAST">#REF!</definedName>
    <definedName name="RECHCHIPLAST_27">"$"</definedName>
    <definedName name="Recomᗭendation">#REF!</definedName>
    <definedName name="Record1">#REF!</definedName>
    <definedName name="Record1_2">#REF!</definedName>
    <definedName name="Record1_31">#REF!</definedName>
    <definedName name="Record1_4">#REF!</definedName>
    <definedName name="Record1_5">#REF!</definedName>
    <definedName name="RecT1">2.5</definedName>
    <definedName name="RecT3">1.5</definedName>
    <definedName name="RecTC1">6</definedName>
    <definedName name="RecTC3">2</definedName>
    <definedName name="RecTF3">88.333%</definedName>
    <definedName name="RecTH3">2</definedName>
    <definedName name="RecTP1">1.5</definedName>
    <definedName name="RecTT3">3</definedName>
    <definedName name="RECYLINGCHIP">#REF!</definedName>
    <definedName name="RECYLINGCHIP_27">"$"</definedName>
    <definedName name="Redefinir_Área_de_Impressão">#N/A</definedName>
    <definedName name="REF" hidden="1">{#N/A,#N/A,FALSE,"COMP"}</definedName>
    <definedName name="Ref_1">#REF!</definedName>
    <definedName name="Ref_2">#REF!</definedName>
    <definedName name="Ref_3">#REF!</definedName>
    <definedName name="Reference">#REF!</definedName>
    <definedName name="ReferenceII">#REF!</definedName>
    <definedName name="reggie" hidden="1">{#N/A,#N/A,FALSE,"Pharm";#N/A,#N/A,FALSE,"WWCM"}</definedName>
    <definedName name="Region" hidden="1">#REF!</definedName>
    <definedName name="relevered_beta">#REF!</definedName>
    <definedName name="Relieve">#REF!</definedName>
    <definedName name="RELMOBRA" hidden="1">{#N/A,#N/A,FALSE,"SS";#N/A,#N/A,FALSE,"TER1";#N/A,#N/A,FALSE,"TER2";#N/A,#N/A,FALSE,"TER3";#N/A,#N/A,FALSE,"TP1";#N/A,#N/A,FALSE,"TP2";#N/A,#N/A,FALSE,"TP3";#N/A,#N/A,FALSE,"DI1";#N/A,#N/A,FALSE,"DI2";#N/A,#N/A,FALSE,"DI3";#N/A,#N/A,FALSE,"DS1";#N/A,#N/A,FALSE,"DS2";#N/A,#N/A,FALSE,"CM"}</definedName>
    <definedName name="Rent">23</definedName>
    <definedName name="RENTMENSAL">#REF!</definedName>
    <definedName name="Reorganisation">#REF!</definedName>
    <definedName name="RepairsAndMaintainanceApr">#REF!</definedName>
    <definedName name="RepairsAndMaintainanceAug">#REF!</definedName>
    <definedName name="RepairsAndMaintainanceDec">#REF!</definedName>
    <definedName name="RepairsAndMaintainanceFeb">#REF!</definedName>
    <definedName name="RepairsAndMaintainanceJan">#REF!</definedName>
    <definedName name="RepairsAndMaintainanceJuly">#REF!</definedName>
    <definedName name="RepairsAndMaintainanceJune">#REF!</definedName>
    <definedName name="RepairsAndMaintainanceMar">#REF!</definedName>
    <definedName name="RepairsAndMaintainanceMay">#REF!</definedName>
    <definedName name="RepairsAndMaintainanceNov">#REF!</definedName>
    <definedName name="RepairsAndMaintainanceOct">#REF!</definedName>
    <definedName name="RepairsAndMaintainanceSept">#REF!</definedName>
    <definedName name="RepairsAndMaintenanceDevToLE">#REF!</definedName>
    <definedName name="RepairsAndMaintenanceDevToLY">#REF!</definedName>
    <definedName name="RepairsAndMaintenanceLE">#REF!</definedName>
    <definedName name="RepairsAndMaintenanceLY">#REF!</definedName>
    <definedName name="RepairsAndMaintenanceMonthActual">#REF!</definedName>
    <definedName name="RepairsAndMaintenanceMonthBudget">#REF!</definedName>
    <definedName name="RepairsAndMaintenanceMonthDevToBud">#REF!</definedName>
    <definedName name="RepairsAndMaintenanceMonthDevToLE">#REF!</definedName>
    <definedName name="RepairsAndMaintenanceMonthLE">#REF!</definedName>
    <definedName name="RepairsAndMaintenanceYearActual">#REF!</definedName>
    <definedName name="RepairsAndMaintenanceYearBudget">#REF!</definedName>
    <definedName name="RepairsAndMaintenanceYearDevTo">#REF!</definedName>
    <definedName name="RepairsAndMaintenanceYearDevToBud">#REF!</definedName>
    <definedName name="RepairsAndMaintenanceYearDevToLY">#REF!</definedName>
    <definedName name="RepairsAndMaintenanceYearLY">#REF!</definedName>
    <definedName name="RepaymentType">#REF!</definedName>
    <definedName name="REPAYT">#REF!</definedName>
    <definedName name="Replace.Arg">#REF!</definedName>
    <definedName name="Replace.Arg_2">#REF!</definedName>
    <definedName name="Replace.Arg_31">#REF!</definedName>
    <definedName name="Replace.Arg_4">#REF!</definedName>
    <definedName name="Replace.Arg_5">#REF!</definedName>
    <definedName name="ReportFooter1">#REF!</definedName>
    <definedName name="ReportFooter2">#REF!</definedName>
    <definedName name="ReportFooter3">#REF!</definedName>
    <definedName name="ReportGroup">#REF!</definedName>
    <definedName name="Requête1">#REF!</definedName>
    <definedName name="Res">#REF!</definedName>
    <definedName name="res_sum" hidden="1">{#N/A,#N/A,FALSE,"COVER1.XLS ";#N/A,#N/A,FALSE,"RACT1.XLS";#N/A,#N/A,FALSE,"RACT2.XLS";#N/A,#N/A,FALSE,"ECCMP";#N/A,#N/A,FALSE,"WELDER.XLS"}</definedName>
    <definedName name="ResCY">#REF!</definedName>
    <definedName name="ResDisValues">INDEX(#REF!,0,2)</definedName>
    <definedName name="reservas">#REF!</definedName>
    <definedName name="Reset.Graph">#REF!</definedName>
    <definedName name="Reset.Graph_2">#REF!</definedName>
    <definedName name="Reset.Graph_31">#REF!</definedName>
    <definedName name="Reset.Graph_4">#REF!</definedName>
    <definedName name="Reset.Graph_5">#REF!</definedName>
    <definedName name="Reset.Series">#REF!</definedName>
    <definedName name="Reset.Series_2">#REF!</definedName>
    <definedName name="Reset.Series_31">#REF!</definedName>
    <definedName name="Reset.Series_4">#REF!</definedName>
    <definedName name="Reset.Series_5">#REF!</definedName>
    <definedName name="Residual_difference">#REF!</definedName>
    <definedName name="Resistatus">#REF!</definedName>
    <definedName name="resp." hidden="1">{#N/A,#N/A,FALSE,"Pharm";#N/A,#N/A,FALSE,"WWCM"}</definedName>
    <definedName name="restated1199" hidden="1">{#N/A,#N/A,FALSE,"A"}</definedName>
    <definedName name="restricao">#REF!</definedName>
    <definedName name="RESULT1">#REF!</definedName>
    <definedName name="resultado">#REF!</definedName>
    <definedName name="resultado2">#REF!</definedName>
    <definedName name="resultat">#REF!</definedName>
    <definedName name="Results">#REF!</definedName>
    <definedName name="Retour_Menu">#REF!</definedName>
    <definedName name="Reuniao" hidden="1">{#N/A,#N/A,FALSE,"CM BAR";#N/A,#N/A,FALSE,"SUBSOLO";#N/A,#N/A,FALSE,"TERREO";#N/A,#N/A,FALSE,"TIPO";#N/A,#N/A,FALSE,"DUP  INF";#N/A,#N/A,FALSE,"DUP SUP"}</definedName>
    <definedName name="RevDCurSuffix">#REF!</definedName>
    <definedName name="RevDCurSym">#REF!</definedName>
    <definedName name="RevDSuffix">#REF!</definedName>
    <definedName name="RevDSym">#REF!</definedName>
    <definedName name="revenue_1">#REF!</definedName>
    <definedName name="revenue_g">#REF!</definedName>
    <definedName name="RevenueDenominator">#REF!</definedName>
    <definedName name="RevenueLimit">#REF!</definedName>
    <definedName name="RevenueLimitHeading">#REF!</definedName>
    <definedName name="revised">#REF!</definedName>
    <definedName name="Revision">#REF!</definedName>
    <definedName name="rew" hidden="1">{#N/A,#N/A,FALSE,"A"}</definedName>
    <definedName name="rf2e" hidden="1">{#N/A,#N/A,FALSE,"Pharm";#N/A,#N/A,FALSE,"WWCM"}</definedName>
    <definedName name="rf5f">#N/A</definedName>
    <definedName name="rfe">#REF!</definedName>
    <definedName name="rFSPresets">#REF!</definedName>
    <definedName name="RINGFRAME">#REF!</definedName>
    <definedName name="RIS">#REF!</definedName>
    <definedName name="Rise">#REF!</definedName>
    <definedName name="risk_free_rate">#REF!</definedName>
    <definedName name="risk_premium">#REF!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TRUE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SLAST">#REF!</definedName>
    <definedName name="RISLAST_27">"$"</definedName>
    <definedName name="RJ">#REF!</definedName>
    <definedName name="RJ___0">#REF!</definedName>
    <definedName name="RJ_8">#REF!</definedName>
    <definedName name="rjd">#REF!</definedName>
    <definedName name="rjd___0">#REF!</definedName>
    <definedName name="rjd_8">#REF!</definedName>
    <definedName name="rjsdajkkkkkkkkkk"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rkee">#REF!</definedName>
    <definedName name="RM">#REF!</definedName>
    <definedName name="rm.inv.dys">#REF!</definedName>
    <definedName name="RM___0">#REF!</definedName>
    <definedName name="RmapAE_CTWINN">#REF!</definedName>
    <definedName name="RmapAE_DROLFE">#REF!</definedName>
    <definedName name="RmapAE_DUDLEYJOHNSON">#REF!</definedName>
    <definedName name="RmapAE_JIMDWYER">#REF!</definedName>
    <definedName name="RmapAE_MVODONOGHUE">#REF!</definedName>
    <definedName name="RmapAE_PASCOE">#REF!</definedName>
    <definedName name="RmapAE_RSPALDING">#REF!</definedName>
    <definedName name="RmapAE_THIRU">#REF!</definedName>
    <definedName name="RMCOptions">"*100000000000000"</definedName>
    <definedName name="RMPRICE">#REF!</definedName>
    <definedName name="RMsummary">#REF!</definedName>
    <definedName name="rng_Refresh">#REF!</definedName>
    <definedName name="rngActualRepPeriod" hidden="1">#REF!</definedName>
    <definedName name="ro">#REF!</definedName>
    <definedName name="rohan">#REF!</definedName>
    <definedName name="rohig" hidden="1">{#N/A,#N/A,TRUE,"Staffnos &amp; cost"}</definedName>
    <definedName name="RORE">#N/A</definedName>
    <definedName name="Rotate.A.chor">#REF!</definedName>
    <definedName name="Rotate.A.chor_2">#REF!</definedName>
    <definedName name="Rotate.A.chor_31">#REF!</definedName>
    <definedName name="Rotate.A.chor_4">#REF!</definedName>
    <definedName name="Rotate.A.chor_5">#REF!</definedName>
    <definedName name="ROW">#REF!</definedName>
    <definedName name="RowQtrEnd">#REF!</definedName>
    <definedName name="RowQuarters">#REF!</definedName>
    <definedName name="RP">"#REF!"</definedName>
    <definedName name="RP_3">"#REF!"</definedName>
    <definedName name="RPLOSS">#REF!</definedName>
    <definedName name="RPS">#REF!</definedName>
    <definedName name="RR">"$#REF!.$D$25"</definedName>
    <definedName name="RR_3">"#REF!"</definedName>
    <definedName name="rradj">#N/A</definedName>
    <definedName name="rre" hidden="1">{"GroupVSum",#N/A,FALSE,"GRVSUMM";"Expected_Merged",#N/A,FALSE,"EXP9798CONS";"Budget_GroupV_Merged",#N/A,FALSE,"BUDGRVCONS";"ACW_Merged",#N/A,FALSE,"ACW&amp;CPP";"HCW_Merged",#N/A,FALSE,"HCW&amp;JCW";"GCW_Merged",#N/A,FALSE,"GCWI&amp;II";"APCP_Details",#N/A,FALSE,"TCP I BUD"}</definedName>
    <definedName name="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_1" hidden="1">{#N/A,#N/A,FALSE,"CAT3516";#N/A,#N/A,FALSE,"CAT3608";#N/A,#N/A,FALSE,"Wartsila";#N/A,#N/A,FALSE,"Asm";#N/A,#N/A,FALSE,"DG cost"}</definedName>
    <definedName name="R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r" hidden="1">{#N/A,#N/A,FALSE,"Pharm";#N/A,#N/A,FALSE,"WWCM"}</definedName>
    <definedName name="rrrrrr" hidden="1">{"cash plan",#N/A,FALSE,"fccashflow"}</definedName>
    <definedName name="rrrrrrrr">#N/A</definedName>
    <definedName name="RRRRRRRRRRRRRRR">#REF!</definedName>
    <definedName name="RS">"#REF!"</definedName>
    <definedName name="RS_3">"#REF!"</definedName>
    <definedName name="RSC">#REF!</definedName>
    <definedName name="RSCH1">#REF!</definedName>
    <definedName name="RSCH2">#REF!</definedName>
    <definedName name="RSCH3">#REF!</definedName>
    <definedName name="RSG">"#REF!"</definedName>
    <definedName name="RSG_3">"#REF!"</definedName>
    <definedName name="rstyesr5">#N/A</definedName>
    <definedName name="RT">#REF!</definedName>
    <definedName name="RT___6">#REF!</definedName>
    <definedName name="rt_insu">#REF!</definedName>
    <definedName name="rt_insu_9">#REF!</definedName>
    <definedName name="rt_intt">#REF!</definedName>
    <definedName name="rt_intt_9">#REF!</definedName>
    <definedName name="rt_intt1">#REF!</definedName>
    <definedName name="RTG">#REF!</definedName>
    <definedName name="RTG___0">#REF!</definedName>
    <definedName name="RTG_8">#REF!</definedName>
    <definedName name="Rtitle">#REF!</definedName>
    <definedName name="RTR">#REF!</definedName>
    <definedName name="RTR___0">#REF!</definedName>
    <definedName name="RTR_8">#REF!</definedName>
    <definedName name="rts">#N/A</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unDate">#REF!</definedName>
    <definedName name="Running_Expenses">#REF!</definedName>
    <definedName name="RUPBSHEET">#REF!</definedName>
    <definedName name="rvg1b">#REF!</definedName>
    <definedName name="rwere" hidden="1">{#N/A,#N/A,FALSE,"COVER1.XLS ";#N/A,#N/A,FALSE,"RACT1.XLS";#N/A,#N/A,FALSE,"RACT2.XLS";#N/A,#N/A,FALSE,"ECCMP";#N/A,#N/A,FALSE,"WELDER.XLS"}</definedName>
    <definedName name="rwert" hidden="1">{#N/A,#N/A,FALSE,"Pharm";#N/A,#N/A,FALSE,"WWCM"}</definedName>
    <definedName name="RWTR">#REF!</definedName>
    <definedName name="RWTR_27">"$"</definedName>
    <definedName name="RWTRLAST">#REF!</definedName>
    <definedName name="RWTRLAST_27">"$"</definedName>
    <definedName name="Rwvu.Months." hidden="1">#REF!</definedName>
    <definedName name="RWWTR">"$#REF!.$D$121"</definedName>
    <definedName name="RYN">#REF!</definedName>
    <definedName name="RYN___0">#REF!</definedName>
    <definedName name="RYN___6">#REF!</definedName>
    <definedName name="RYNFIBEX">#REF!</definedName>
    <definedName name="RYNFIBEX___0">#REF!</definedName>
    <definedName name="RYNFIBEX___6">#REF!</definedName>
    <definedName name="RYNFIBLC">#REF!</definedName>
    <definedName name="RYNFIBLC___0">#REF!</definedName>
    <definedName name="RYNFIBLC___6">#REF!</definedName>
    <definedName name="s" hidden="1">#REF!</definedName>
    <definedName name="Š_?QUARTERLY_PERFORMA">#REF!</definedName>
    <definedName name="S_19">#REF!</definedName>
    <definedName name="S_7">#REF!</definedName>
    <definedName name="S_AcctDes">#REF!</definedName>
    <definedName name="S_Adjust">#REF!</definedName>
    <definedName name="S_Adjust_Data">#REF!</definedName>
    <definedName name="S_Adjust_GT">#REF!</definedName>
    <definedName name="S_AJE_Tot">#REF!</definedName>
    <definedName name="S_AJE_Tot_Data">#REF!</definedName>
    <definedName name="S_AJE_Tot_GT">#REF!</definedName>
    <definedName name="S_CompNum">#REF!</definedName>
    <definedName name="S_CY_Beg">#REF!</definedName>
    <definedName name="S_CY_Beg_Data">#REF!</definedName>
    <definedName name="S_CY_Beg_GT">#REF!</definedName>
    <definedName name="S_CY_End">#REF!</definedName>
    <definedName name="S_CY_End_Data">#REF!</definedName>
    <definedName name="S_CY_End_GT">#REF!</definedName>
    <definedName name="S_Diff_Amt">#REF!</definedName>
    <definedName name="S_Diff_Pct">#REF!</definedName>
    <definedName name="S_GrpNum">#REF!</definedName>
    <definedName name="S_Headings">#REF!</definedName>
    <definedName name="S_KeyValue">#REF!</definedName>
    <definedName name="S_PY_End">#REF!</definedName>
    <definedName name="S_PY_End_Data">#REF!</definedName>
    <definedName name="S_PY_End_GT">#REF!</definedName>
    <definedName name="S_RJE_Tot">#REF!</definedName>
    <definedName name="S_RJE_Tot_Data">#REF!</definedName>
    <definedName name="S_RJE_Tot_GT">#REF!</definedName>
    <definedName name="S_RowNum">#REF!</definedName>
    <definedName name="S_SC_CD">#REF!</definedName>
    <definedName name="S1_">#REF!</definedName>
    <definedName name="S192..1">#REF!</definedName>
    <definedName name="S192..2">#REF!</definedName>
    <definedName name="S194..3">#REF!</definedName>
    <definedName name="S194C..2">#REF!</definedName>
    <definedName name="S194C..4">#REF!</definedName>
    <definedName name="S194C..5">#REF!</definedName>
    <definedName name="S194C..6">#REF!</definedName>
    <definedName name="S2_">#REF!</definedName>
    <definedName name="s883_anual_datos">#REF!</definedName>
    <definedName name="s883_datos">#REF!</definedName>
    <definedName name="SA">#REF!</definedName>
    <definedName name="SACARÍMETRO">#REF!</definedName>
    <definedName name="sad">#REF!</definedName>
    <definedName name="SAFEf">#REF!</definedName>
    <definedName name="SAFETY_FACTOR">#REF!</definedName>
    <definedName name="Saisie">#REF!</definedName>
    <definedName name="Sal_Fin">#REF!</definedName>
    <definedName name="Sal_Ini">#REF!</definedName>
    <definedName name="sales_scenario">#REF!</definedName>
    <definedName name="Sales_Stage_01_Color">#REF!</definedName>
    <definedName name="Sales_Stage_02_Color">#REF!</definedName>
    <definedName name="Sales_Stage_03_Color">#REF!</definedName>
    <definedName name="Sales_Stage_04_Color">#REF!</definedName>
    <definedName name="Sales_Stage_05_Color">#REF!</definedName>
    <definedName name="Sales_Stage_06_Color">#REF!</definedName>
    <definedName name="Sales_Stage_07_Color">#REF!</definedName>
    <definedName name="SalesAprActual">#REF!</definedName>
    <definedName name="SalesAugProj">#REF!</definedName>
    <definedName name="SalesDecProj">#REF!</definedName>
    <definedName name="SalesDevToLE">#REF!</definedName>
    <definedName name="SalesDevToLY">#REF!</definedName>
    <definedName name="SalesEnd">#REF!</definedName>
    <definedName name="SalesEnd_1">"#REF!"</definedName>
    <definedName name="SalesEnd_2">#REF!</definedName>
    <definedName name="SalesEnd_3">#REF!</definedName>
    <definedName name="SalesEnd_31">#REF!</definedName>
    <definedName name="SalesEnd_33">#REF!</definedName>
    <definedName name="SalesEnd_4">#REF!</definedName>
    <definedName name="SalesFebProj">#REF!</definedName>
    <definedName name="SalesFunnelIndirectKey">#REF!</definedName>
    <definedName name="SalesInUnitsDevToLE">#REF!</definedName>
    <definedName name="SalesInUnitsDevToLY">#REF!</definedName>
    <definedName name="SalesInUnitsLE">#REF!</definedName>
    <definedName name="SalesInUnitsLY">#REF!</definedName>
    <definedName name="SalesInUnitsMonthActual">#REF!</definedName>
    <definedName name="SalesInUnitsMonthBudget">#REF!</definedName>
    <definedName name="SalesInUnitsMonthDevToBud">#REF!</definedName>
    <definedName name="SalesInUnitsYearActual">#REF!</definedName>
    <definedName name="SalesInUnitsYearBudget">#REF!</definedName>
    <definedName name="SalesInUnitsYearDevToBud">#REF!</definedName>
    <definedName name="SalesJanProj">#REF!</definedName>
    <definedName name="SalesJulyProj">#REF!</definedName>
    <definedName name="SalesJuneProj">#REF!</definedName>
    <definedName name="SalesLE">#REF!</definedName>
    <definedName name="SalesLY">#REF!</definedName>
    <definedName name="SalesMarProj">#REF!</definedName>
    <definedName name="SalesMayActual">#REF!</definedName>
    <definedName name="SalesMonthActual">#REF!</definedName>
    <definedName name="SalesMonthAcxtual">#REF!</definedName>
    <definedName name="SalesMonthBudget">#REF!</definedName>
    <definedName name="SalesMonthDevToBud">#REF!</definedName>
    <definedName name="SalesMonthDevToLE">#REF!</definedName>
    <definedName name="SalesMonthLE">#REF!</definedName>
    <definedName name="SalesMTCust1Budget">#REF!</definedName>
    <definedName name="SalesMTCust1NextQuarter">#REF!</definedName>
    <definedName name="SalesMTCust1Quarter">#REF!</definedName>
    <definedName name="SalesMTCust2NextQuarter">#REF!</definedName>
    <definedName name="SalesMTCust3Budget">#REF!</definedName>
    <definedName name="SalesMTCust3NextQuarter">#REF!</definedName>
    <definedName name="SalesMTTotal">#REF!</definedName>
    <definedName name="SalesMTTotalBudget">#REF!</definedName>
    <definedName name="SalesMTTotalNextQuarter">#REF!</definedName>
    <definedName name="SalesMTTotalQuarter">#REF!</definedName>
    <definedName name="SalesNovProj">#REF!</definedName>
    <definedName name="SalesOctProj">#REF!</definedName>
    <definedName name="SalesSepProj">#REF!</definedName>
    <definedName name="SalesStart">#REF!</definedName>
    <definedName name="SalesStart_1">"#REF!"</definedName>
    <definedName name="SalesStart_2">#REF!</definedName>
    <definedName name="SalesStart_3">#REF!</definedName>
    <definedName name="SalesStart_31">#REF!</definedName>
    <definedName name="SalesStart_33">#REF!</definedName>
    <definedName name="SalesStart_4">#REF!</definedName>
    <definedName name="SalesTotalLE">#REF!</definedName>
    <definedName name="SalesYearActual">#REF!</definedName>
    <definedName name="SalesYearBudget">#REF!</definedName>
    <definedName name="SalesYearDevToBud">#REF!</definedName>
    <definedName name="SalesYearDevToBudget">#REF!</definedName>
    <definedName name="SalesYearDevToLY">#REF!</definedName>
    <definedName name="SalesYearLY">#REF!</definedName>
    <definedName name="sally" hidden="1">{#N/A,#N/A,FALSE,"Pharm";#N/A,#N/A,FALSE,"WWCM"}</definedName>
    <definedName name="san" hidden="1">{"Econ Consolidado",#N/A,FALSE,"Econ Consol";"Fluxo de Caixa",#N/A,FALSE,"Fluxo Caixa";"Investimentos",#N/A,FALSE,"Investimentos"}</definedName>
    <definedName name="SANCTION"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ap">#REF!</definedName>
    <definedName name="SAPBEXdnldView" hidden="1">"3HHZLV5KJ08SMLR0BYLOIS7Z6"</definedName>
    <definedName name="SAPBEXhrIndnt" hidden="1">1</definedName>
    <definedName name="SAPBEXrevision" hidden="1">16</definedName>
    <definedName name="SAPBEXsysID" hidden="1">"BPR"</definedName>
    <definedName name="SAPBEXwbID" hidden="1">"E4P13YOEUT1R8OJ2QUUKBC97G"</definedName>
    <definedName name="SAPFuncF4Help">#N/A</definedName>
    <definedName name="SAPNEW">#REF!</definedName>
    <definedName name="SAPNEW_31">#REF!</definedName>
    <definedName name="SAPOLD">#REF!</definedName>
    <definedName name="SAPOLD_31">#REF!</definedName>
    <definedName name="SAPRangeDOCTY_Tabelle1_Tabelle1D2">#REF!</definedName>
    <definedName name="SAPRangeDOCTY_Tabelle1_Tabelle1D3">#REF!</definedName>
    <definedName name="SAPRangeKEYFIG_Tabelle1_Tabelle1D1">#REF!</definedName>
    <definedName name="SAPRangeKEYFIG_Tabelle1_Tabelle1D2">#REF!</definedName>
    <definedName name="SAPRangeKEYFIG_Tabelle1_Tabelle1D3">#REF!</definedName>
    <definedName name="SAPRangePOPER_Tabelle1_Tabelle1D1">#REF!</definedName>
    <definedName name="SAPRangePOPER_Tabelle1_Tabelle1D2">#REF!</definedName>
    <definedName name="SAPRangePOPER_Tabelle1_Tabelle1D3">#REF!</definedName>
    <definedName name="SAPRangeRBUNIT_Tabelle1_Tabelle1D1">#REF!</definedName>
    <definedName name="SAPRangeRCONGR_Tabelle1_Tabelle1D2">#REF!</definedName>
    <definedName name="SAPRangeRCONGR_Tabelle1_Tabelle1D3">#REF!</definedName>
    <definedName name="SAPRangeRDIMEN_Tabelle1_Tabelle1D1">#REF!</definedName>
    <definedName name="SAPRangeRDIMEN_Tabelle1_Tabelle1D2">#REF!</definedName>
    <definedName name="SAPRangeRDIMEN_Tabelle1_Tabelle1D3">#REF!</definedName>
    <definedName name="SAPRangeRITCLG_Tabelle1_Tabelle1D1">#REF!</definedName>
    <definedName name="SAPRangeRITCLG_Tabelle1_Tabelle1D2">#REF!</definedName>
    <definedName name="SAPRangeRITCLG_Tabelle1_Tabelle1D3">#REF!</definedName>
    <definedName name="SAPRangeRITEM_Tabelle1_Tabelle1D1">#REF!</definedName>
    <definedName name="SAPRangeRITEM_Tabelle1_Tabelle1D2">#REF!</definedName>
    <definedName name="SAPRangeRITEM_Tabelle1_Tabelle1D3">#REF!</definedName>
    <definedName name="SAPRangeRLDNR_Tabelle1_Tabelle1D1">#REF!</definedName>
    <definedName name="SAPRangeRLDNR_Tabelle1_Tabelle1D2">#REF!</definedName>
    <definedName name="SAPRangeRLDNR_Tabelle1_Tabelle1D3">#REF!</definedName>
    <definedName name="SAPRangeRVERS_Tabelle1_Tabelle1D1">#REF!</definedName>
    <definedName name="SAPRangeRVERS_Tabelle1_Tabelle1D2">#REF!</definedName>
    <definedName name="SAPRangeRVERS_Tabelle1_Tabelle1D3">#REF!</definedName>
    <definedName name="SAPRangeRYEAR_Tabelle1_Tabelle1D1">#REF!</definedName>
    <definedName name="SAPRangeRYEAR_Tabelle1_Tabelle1D2">#REF!</definedName>
    <definedName name="SAPRangeRYEAR_Tabelle1_Tabelle1D3">#REF!</definedName>
    <definedName name="SAPsysID" hidden="1">"708C5W7SBKP804JT78WJ0JNKI"</definedName>
    <definedName name="SAPTrigger_Tabelle1_Tabelle1D1">#REF!</definedName>
    <definedName name="SAPTrigger_Tabelle1_Tabelle1D2">#REF!</definedName>
    <definedName name="SAPTrigger_Tabelle1_Tabelle1D3">#REF!</definedName>
    <definedName name="SAPTrigger_Tabelle1_Tabelle1D4">#REF!</definedName>
    <definedName name="SAPwbID" hidden="1">"ARS"</definedName>
    <definedName name="Sas">#N/A</definedName>
    <definedName name="sasa">#REF!</definedName>
    <definedName name="sassas">#REF!</definedName>
    <definedName name="SaveNewFile">#N/A</definedName>
    <definedName name="SB">"#REF!"</definedName>
    <definedName name="SB_3">"#REF!"</definedName>
    <definedName name="SBMS_Coal">#REF!</definedName>
    <definedName name="SBMS_Date">#REF!</definedName>
    <definedName name="SBMS_FO">#REF!</definedName>
    <definedName name="SBU">#REF!</definedName>
    <definedName name="Sc">#REF!</definedName>
    <definedName name="SC_Advance_Pillar" hidden="1">#REF!</definedName>
    <definedName name="SC_AK1_2004" hidden="1">#REF!</definedName>
    <definedName name="SC_AK1_2005" hidden="1">#REF!</definedName>
    <definedName name="SC_AK1_2006" hidden="1">#REF!</definedName>
    <definedName name="SC_AK1_2007" hidden="1">#REF!</definedName>
    <definedName name="SC_AK1_Objective" hidden="1">#REF!</definedName>
    <definedName name="SC_AK2_2004" hidden="1">#REF!</definedName>
    <definedName name="SC_AK2_2005" hidden="1">#REF!</definedName>
    <definedName name="SC_AK2_2006" hidden="1">#REF!</definedName>
    <definedName name="SC_AK2_2007" hidden="1">#REF!</definedName>
    <definedName name="SC_AK2_Objective" hidden="1">#REF!</definedName>
    <definedName name="SC_AK3_2004" hidden="1">#REF!</definedName>
    <definedName name="SC_AK3_2005" hidden="1">#REF!</definedName>
    <definedName name="SC_AK3_2006" hidden="1">#REF!</definedName>
    <definedName name="SC_AK3_2007" hidden="1">#REF!</definedName>
    <definedName name="SC_AK3_Objective" hidden="1">#REF!</definedName>
    <definedName name="SC_BU" hidden="1">#REF!</definedName>
    <definedName name="SC_CD">#REF!</definedName>
    <definedName name="SC_Comments" hidden="1">#REF!</definedName>
    <definedName name="SC_Creation_Date" hidden="1">#REF!</definedName>
    <definedName name="SC_Division_Man_Days" hidden="1">#REF!</definedName>
    <definedName name="SC_IEO_2004" hidden="1">#REF!</definedName>
    <definedName name="SC_IEO_2005" hidden="1">#REF!</definedName>
    <definedName name="SC_IEO_2006" hidden="1">#REF!</definedName>
    <definedName name="SC_IEO_2007" hidden="1">#REF!</definedName>
    <definedName name="SC_Objectives" hidden="1">#REF!</definedName>
    <definedName name="SC_PFI_2004" hidden="1">#REF!</definedName>
    <definedName name="SC_PFI_2005" hidden="1">#REF!</definedName>
    <definedName name="SC_PFI_2006" hidden="1">#REF!</definedName>
    <definedName name="SC_PFI_2007" hidden="1">#REF!</definedName>
    <definedName name="SC_PK1_2004" hidden="1">#REF!</definedName>
    <definedName name="SC_PK1_2005" hidden="1">#REF!</definedName>
    <definedName name="SC_PK1_2006" hidden="1">#REF!</definedName>
    <definedName name="SC_PK1_2007" hidden="1">#REF!</definedName>
    <definedName name="SC_PK1_Objective" hidden="1">#REF!</definedName>
    <definedName name="SC_PK2_2004" hidden="1">#REF!</definedName>
    <definedName name="SC_PK2_2005" hidden="1">#REF!</definedName>
    <definedName name="SC_PK2_2006" hidden="1">#REF!</definedName>
    <definedName name="SC_PK2_2007" hidden="1">#REF!</definedName>
    <definedName name="SC_PK2_Objective" hidden="1">#REF!</definedName>
    <definedName name="SC_PK3_2004" hidden="1">#REF!</definedName>
    <definedName name="SC_PK3_2005" hidden="1">#REF!</definedName>
    <definedName name="SC_PK3_2006" hidden="1">#REF!</definedName>
    <definedName name="SC_PK3_2007" hidden="1">#REF!</definedName>
    <definedName name="SC_PK3_Objective" hidden="1">#REF!</definedName>
    <definedName name="SC_Progress_Contract" hidden="1">#REF!</definedName>
    <definedName name="SC_Region_Man_Days" hidden="1">#REF!</definedName>
    <definedName name="SC_Relevant_Indicator_1" hidden="1">#REF!</definedName>
    <definedName name="SC_Relevant_Indicator_2" hidden="1">#REF!</definedName>
    <definedName name="SC_Relevant_Indicator_3" hidden="1">#REF!</definedName>
    <definedName name="SC_Responsible" hidden="1">#REF!</definedName>
    <definedName name="SC_Status" hidden="1">#REF!</definedName>
    <definedName name="SC_Support_Description" hidden="1">#REF!</definedName>
    <definedName name="SC_TC_Man_Days" hidden="1">#REF!</definedName>
    <definedName name="SC_Updated_Date" hidden="1">#REF!</definedName>
    <definedName name="SCB">#REF!</definedName>
    <definedName name="scenario_1">#REF!</definedName>
    <definedName name="scenario_2">#REF!</definedName>
    <definedName name="scene1">#REF!,#REF!,#REF!,#REF!,#REF!,#REF!</definedName>
    <definedName name="SCH" hidden="1">{#N/A,#N/A,FALSE,"A"}</definedName>
    <definedName name="SCH_1_">#REF!</definedName>
    <definedName name="SCH_10_">#REF!</definedName>
    <definedName name="SCH_11_">#REF!</definedName>
    <definedName name="sch_12">#REF!</definedName>
    <definedName name="SCH_12_">#REF!</definedName>
    <definedName name="SCH_13_">#REF!</definedName>
    <definedName name="sch_131415">#REF!</definedName>
    <definedName name="sch_13141516">#REF!</definedName>
    <definedName name="SCH_14_">#REF!</definedName>
    <definedName name="sch_16">#REF!</definedName>
    <definedName name="SCH_16_">#REF!</definedName>
    <definedName name="SCH_17_">#REF!</definedName>
    <definedName name="sch_1718">#REF!</definedName>
    <definedName name="SCH_18_">#REF!</definedName>
    <definedName name="Sch_191">#REF!</definedName>
    <definedName name="sch_192">#REF!</definedName>
    <definedName name="sch_193">#REF!</definedName>
    <definedName name="sch_194">#REF!</definedName>
    <definedName name="sch_195">#REF!</definedName>
    <definedName name="sch_196">#REF!</definedName>
    <definedName name="Sch_1a">#REF!</definedName>
    <definedName name="sch_2">#REF!</definedName>
    <definedName name="SCH_2_">#REF!</definedName>
    <definedName name="SCH_3_">#REF!</definedName>
    <definedName name="Sch_34">#REF!</definedName>
    <definedName name="SCH_5_">#REF!</definedName>
    <definedName name="Sch_61">#REF!</definedName>
    <definedName name="Sch_62">#REF!</definedName>
    <definedName name="sch_63">#REF!</definedName>
    <definedName name="SCH_7_">#REF!</definedName>
    <definedName name="sch_789">#REF!</definedName>
    <definedName name="SCH_8_">#REF!</definedName>
    <definedName name="SCH_9_">#REF!</definedName>
    <definedName name="SCH1_3">#REF!</definedName>
    <definedName name="SCH1_TO_3">#REF!</definedName>
    <definedName name="SCH4_T0_5">#REF!</definedName>
    <definedName name="SCHED">#REF!</definedName>
    <definedName name="Sclp.cb">#REF!</definedName>
    <definedName name="Sclp.dfi">#REF!</definedName>
    <definedName name="scmp"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REEN_OFF">#REF!</definedName>
    <definedName name="SCREEN_ON">#REF!</definedName>
    <definedName name="SD" hidden="1">{#N/A,#N/A,FALSE,"Pharm";#N/A,#N/A,FALSE,"WWCM"}</definedName>
    <definedName name="SD_1998">#REF!</definedName>
    <definedName name="SD_july98">#REF!</definedName>
    <definedName name="SD_reason">#REF!</definedName>
    <definedName name="SD_Reasons">#REF!</definedName>
    <definedName name="SD_XData">INDEX(#REF!,1)</definedName>
    <definedName name="sda" hidden="1">{"'Sheet1'!$A$4386:$N$4591"}</definedName>
    <definedName name="sdafgs" hidden="1">{#N/A,#N/A,FALSE,"Pharm";#N/A,#N/A,FALSE,"WWCM"}</definedName>
    <definedName name="SDASADAKJFAJSD" hidden="1">#N/A</definedName>
    <definedName name="SDebtorsCY">#REF!</definedName>
    <definedName name="SDF" hidden="1">{#N/A,#N/A,FALSE,"CAT3516";#N/A,#N/A,FALSE,"CAT3608";#N/A,#N/A,FALSE,"Wartsila";#N/A,#N/A,FALSE,"Asm";#N/A,#N/A,FALSE,"DG cost"}</definedName>
    <definedName name="SDF_1" hidden="1">{#N/A,#N/A,FALSE,"CAT3516";#N/A,#N/A,FALSE,"CAT3608";#N/A,#N/A,FALSE,"Wartsila";#N/A,#N/A,FALSE,"Asm";#N/A,#N/A,FALSE,"DG cost"}</definedName>
    <definedName name="SDFASDF" hidden="1">{"Flash_Analysis",#N/A,FALSE,"Analysis(Flash)";"Flash_Summ",#N/A,FALSE,"Flash"}</definedName>
    <definedName name="sdfgd">#REF!</definedName>
    <definedName name="sdfh" hidden="1">{#N/A,#N/A,FALSE,"Pharm";#N/A,#N/A,FALSE,"WWCM"}</definedName>
    <definedName name="sdfsd">#REF!</definedName>
    <definedName name="sdfsdfsdds" hidden="1">{#N/A,#N/A,FALSE,"notecf";#N/A,#N/A,FALSE,"kdv 2003";#N/A,#N/A,FALSE,"bankbalance";#N/A,#N/A,FALSE,"Interest2004";#N/A,#N/A,FALSE,"cf2004in'000usd";#N/A,#N/A,FALSE,"kdvdepo";#N/A,#N/A,FALSE,"BS2004";#N/A,#N/A,FALSE,"cf2003in'000usd";#N/A,#N/A,FALSE,"BS2003"}</definedName>
    <definedName name="sdgagf" hidden="1">{#N/A,#N/A,FALSE,"Pharm";#N/A,#N/A,FALSE,"WWCM"}</definedName>
    <definedName name="SDGAS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dfgfdg">INDEX(#REF!,0,2)</definedName>
    <definedName name="SDjobs_Month">#REF!</definedName>
    <definedName name="sdqw">#REF!</definedName>
    <definedName name="sdsa">#REF!</definedName>
    <definedName name="sdsadasd" hidden="1">{#N/A,#N/A,FALSE,"Pharm";#N/A,#N/A,FALSE,"WWCM"}</definedName>
    <definedName name="sdsd" hidden="1">{#N/A,#N/A,FALSE,"REPORT"}</definedName>
    <definedName name="sdsdwdwewew" hidden="1">{"'CONSOLIDADO'!$B$10:$R$57"}</definedName>
    <definedName name="SDwq">#REF!</definedName>
    <definedName name="SDwqv">#REF!</definedName>
    <definedName name="SDY">#REF!</definedName>
    <definedName name="seal">#REF!</definedName>
    <definedName name="SecondYear">#REF!</definedName>
    <definedName name="Secs_In_Min">#REF!</definedName>
    <definedName name="SecuredLoansCY">#REF!</definedName>
    <definedName name="SecuredLoansLY">#REF!</definedName>
    <definedName name="sedx" hidden="1">{#N/A,#N/A,TRUE,"Funnel";#N/A,#N/A,TRUE,"FunnelMatrix"}</definedName>
    <definedName name="sEFE">#REF!</definedName>
    <definedName name="SEG">#REF!</definedName>
    <definedName name="SEGMENT">#REF!</definedName>
    <definedName name="SEK_FX">#REF!</definedName>
    <definedName name="select">#REF!</definedName>
    <definedName name="SelectedYear">#REF!</definedName>
    <definedName name="SellingExp">#REF!</definedName>
    <definedName name="SellingExpenseDevToLE">#REF!</definedName>
    <definedName name="SellingExpenseDevToLY">#REF!</definedName>
    <definedName name="SellingExpenseLE">#REF!</definedName>
    <definedName name="SellingExpenseLY">#REF!</definedName>
    <definedName name="SellingExpenseMonthActual">#REF!</definedName>
    <definedName name="SellingExpenseMonthBudget">#REF!</definedName>
    <definedName name="SellingExpenseMonthDevToBud">#REF!</definedName>
    <definedName name="SellingExpensesAprActual">#REF!</definedName>
    <definedName name="SellingExpensesAugProj">#REF!</definedName>
    <definedName name="SellingExpensesDecProj">#REF!</definedName>
    <definedName name="SellingExpensesFebProj">#REF!</definedName>
    <definedName name="SellingExpensesJanProj">#REF!</definedName>
    <definedName name="SellingExpensesJulyProj">#REF!</definedName>
    <definedName name="SellingExpensesJuneProj">#REF!</definedName>
    <definedName name="SellingExpensesMarProj">#REF!</definedName>
    <definedName name="SellingExpensesMayActual">#REF!</definedName>
    <definedName name="SellingExpensesMonthActuals">#REF!</definedName>
    <definedName name="SellingExpensesMonthBudget">#REF!</definedName>
    <definedName name="SellingExpensesMonthDevToBud">#REF!</definedName>
    <definedName name="SellingExpensesMonthDevToLE">#REF!</definedName>
    <definedName name="SellingExpensesMonthLE">#REF!</definedName>
    <definedName name="SellingExpensesNovProj">#REF!</definedName>
    <definedName name="SellingExpensesOctProj">#REF!</definedName>
    <definedName name="SellingExpensesSepProj">#REF!</definedName>
    <definedName name="SellingExpensesTotalLE">#REF!</definedName>
    <definedName name="SellingExpensesYearMonthActual">#REF!</definedName>
    <definedName name="SellingExpensesYearMonthBudget">#REF!</definedName>
    <definedName name="SellingExpensesYearMonthDevToBud">#REF!</definedName>
    <definedName name="SellingExpensesYearMonthDevToLY">#REF!</definedName>
    <definedName name="SellingExpensesYearMonthLY">#REF!</definedName>
    <definedName name="SellingExpenseYearActual">#REF!</definedName>
    <definedName name="SellingExpenseYearBudget">#REF!</definedName>
    <definedName name="SellingExpenseYearDevToBud">#REF!</definedName>
    <definedName name="SELPRINT">#REF!</definedName>
    <definedName name="Semi_Ann">#REF!</definedName>
    <definedName name="sen">#REF!</definedName>
    <definedName name="sencount" hidden="1">2</definedName>
    <definedName name="sens">#REF!</definedName>
    <definedName name="Sep">#REF!</definedName>
    <definedName name="sept">#REF!</definedName>
    <definedName name="Sept.">#REF!</definedName>
    <definedName name="SEPT_98">#REF!</definedName>
    <definedName name="September">#REF!</definedName>
    <definedName name="September_32">(#REF!,#REF!,#REF!,#REF!,#REF!,#REF!)</definedName>
    <definedName name="septembre">#REF!</definedName>
    <definedName name="Series.Range">#REF!</definedName>
    <definedName name="Series.Range_2">#REF!</definedName>
    <definedName name="Series.Range_31">#REF!</definedName>
    <definedName name="Series.Range_4">#REF!</definedName>
    <definedName name="Series.Range_5">#REF!</definedName>
    <definedName name="set" hidden="1">#REF!</definedName>
    <definedName name="sex">INDEX(#REF!,0,1)</definedName>
    <definedName name="sf" hidden="1">{"'CONSOLIDADO'!$B$10:$R$57"}</definedName>
    <definedName name="sfdirect" hidden="1">{#N/A,#N/A,FALSE,"REPORT"}</definedName>
    <definedName name="sfsddf" hidden="1">{#N/A,#N/A,FALSE,"Aging Summary";#N/A,#N/A,FALSE,"Ratio Analysis";#N/A,#N/A,FALSE,"Test 120 Day Accts";#N/A,#N/A,FALSE,"Tickmarks"}</definedName>
    <definedName name="sfsdf">#REF!</definedName>
    <definedName name="sgd">#REF!/#REF!</definedName>
    <definedName name="SH_CAP_RES1">#REF!</definedName>
    <definedName name="SH_CAP_RES1_31">#REF!</definedName>
    <definedName name="SH_CAP_RES2">#REF!</definedName>
    <definedName name="SH_CAP_RES2_31">#REF!</definedName>
    <definedName name="SH_stock">#REF!</definedName>
    <definedName name="shalini">#REF!</definedName>
    <definedName name="SHARED_FORMULA_0">#N/A</definedName>
    <definedName name="SHARED_FORMULA_1">#N/A</definedName>
    <definedName name="SHARED_FORMULA_10">#N/A</definedName>
    <definedName name="SHARED_FORMULA_11">#N/A</definedName>
    <definedName name="SHARED_FORMULA_12">#N/A</definedName>
    <definedName name="SHARED_FORMULA_13">#N/A</definedName>
    <definedName name="SHARED_FORMULA_14">#N/A</definedName>
    <definedName name="SHARED_FORMULA_15">#N/A</definedName>
    <definedName name="SHARED_FORMULA_16">#N/A</definedName>
    <definedName name="SHARED_FORMULA_17">#N/A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56">#N/A</definedName>
    <definedName name="SHARED_FORMULA_57">#N/A</definedName>
    <definedName name="SHARED_FORMULA_58">#N/A</definedName>
    <definedName name="SHARED_FORMULA_59">#N/A</definedName>
    <definedName name="SHARED_FORMULA_6">#N/A</definedName>
    <definedName name="SHARED_FORMULA_60">#N/A</definedName>
    <definedName name="SHARED_FORMULA_61">#N/A</definedName>
    <definedName name="SHARED_FORMULA_62">#N/A</definedName>
    <definedName name="SHARED_FORMULA_63">#N/A</definedName>
    <definedName name="SHARED_FORMULA_64">#N/A</definedName>
    <definedName name="SHARED_FORMULA_65">#N/A</definedName>
    <definedName name="SHARED_FORMULA_66">#N/A</definedName>
    <definedName name="SHARED_FORMULA_67">#N/A</definedName>
    <definedName name="SHARED_FORMULA_68">#N/A</definedName>
    <definedName name="SHARED_FORMULA_69">#N/A</definedName>
    <definedName name="SHARED_FORMULA_7">#N/A</definedName>
    <definedName name="SHARED_FORMULA_70">#N/A</definedName>
    <definedName name="SHARED_FORMULA_71">#N/A</definedName>
    <definedName name="SHARED_FORMULA_72">#N/A</definedName>
    <definedName name="SHARED_FORMULA_73">#N/A</definedName>
    <definedName name="SHARED_FORMULA_74">#N/A</definedName>
    <definedName name="SHARED_FORMULA_75">#N/A</definedName>
    <definedName name="SHARED_FORMULA_76">#N/A</definedName>
    <definedName name="SHARED_FORMULA_77">#N/A</definedName>
    <definedName name="SHARED_FORMULA_78">#N/A</definedName>
    <definedName name="SHARED_FORMULA_79">#N/A</definedName>
    <definedName name="SHARED_FORMULA_8">#N/A</definedName>
    <definedName name="SHARED_FORMULA_80">#N/A</definedName>
    <definedName name="SHARED_FORMULA_9">#N/A</definedName>
    <definedName name="shares">#REF!</definedName>
    <definedName name="shares_print">#REF!</definedName>
    <definedName name="shcdkasjfck">#REF!</definedName>
    <definedName name="SHE_Revised">#REF!</definedName>
    <definedName name="Sheet" hidden="1">{"Revs",#N/A,TRUE,"Revs";"Costs",#N/A,TRUE,"Revs";"EBITDA",#N/A,TRUE,"Revs";"IS",#N/A,TRUE,"Revs";"CF",#N/A,TRUE,"Revs";"D/E",#N/A,TRUE,"Revs";"Debt Stats",#N/A,TRUE,"Revs";"DCFu",#N/A,TRUE,"Revs";"Sensitivity1",#N/A,TRUE,"Revs";"DCFl",#N/A,TRUE,"Revs"}</definedName>
    <definedName name="sheet1">#REF!</definedName>
    <definedName name="SHEET10">#REF!</definedName>
    <definedName name="SHEET11">#REF!</definedName>
    <definedName name="SHEET12">#REF!</definedName>
    <definedName name="SHEET13">#REF!</definedName>
    <definedName name="SHEET2">#REF!</definedName>
    <definedName name="SHEET3">#REF!</definedName>
    <definedName name="SHEET4">#REF!</definedName>
    <definedName name="SHEET6">#REF!</definedName>
    <definedName name="SHEET7">#REF!</definedName>
    <definedName name="SHEET8">#REF!</definedName>
    <definedName name="SHEET9">#REF!</definedName>
    <definedName name="SheetHeaderRowCount">#REF!</definedName>
    <definedName name="SheetName">#REF!</definedName>
    <definedName name="SheetRightmostCol">#REF!</definedName>
    <definedName name="shhjasj" hidden="1">#REF!</definedName>
    <definedName name="Shopfloor">#REF!</definedName>
    <definedName name="Short">#REF!</definedName>
    <definedName name="short1">#REF!</definedName>
    <definedName name="Shree_Krishna_Polypack">#REF!</definedName>
    <definedName name="Shutdowns.DB">#REF!</definedName>
    <definedName name="sigle">#REF!</definedName>
    <definedName name="SILICA">#REF!</definedName>
    <definedName name="SILICA_31">#REF!</definedName>
    <definedName name="simulação_dólar">#REF!</definedName>
    <definedName name="Sit_Tab">#REF!</definedName>
    <definedName name="Site">#REF!</definedName>
    <definedName name="SIZING">#REF!</definedName>
    <definedName name="SL">#REF!</definedName>
    <definedName name="SLP37_31">#REF!</definedName>
    <definedName name="SLPSALT">#REF!</definedName>
    <definedName name="SLPSALT_31">#REF!</definedName>
    <definedName name="SM">#REF!</definedName>
    <definedName name="SM_3">"#REF!"</definedName>
    <definedName name="snadofnaiona">#REF!</definedName>
    <definedName name="SnapshotChartData">#REF!</definedName>
    <definedName name="SnapshotChartData_Weighted">#REF!</definedName>
    <definedName name="SnapshotChartDataDetail">#REF!</definedName>
    <definedName name="SnapshotChartQtrData">#REF!</definedName>
    <definedName name="SnapshotChartQtrDataDetail">#REF!</definedName>
    <definedName name="SnapshotQuarterChartDataDetail">#REF!</definedName>
    <definedName name="So">3</definedName>
    <definedName name="Soca">#REF!</definedName>
    <definedName name="Sócio_resp">#REF!</definedName>
    <definedName name="SOFT_WATER_CP1">#REF!</definedName>
    <definedName name="SOFT_WATER_CP1_19">#REF!</definedName>
    <definedName name="SOFT_WATER_CP1_7">#REF!</definedName>
    <definedName name="solver_lin" hidden="1">0</definedName>
    <definedName name="solver_num" hidden="1">0</definedName>
    <definedName name="solver_opt" hidden="1">#REF!</definedName>
    <definedName name="solver_tmp" hidden="1">#NULL!</definedName>
    <definedName name="solver_typ" hidden="1">1</definedName>
    <definedName name="solver_val" hidden="1">0</definedName>
    <definedName name="sor">#REF!</definedName>
    <definedName name="sort">#REF!</definedName>
    <definedName name="Sort1" hidden="1">#REF!</definedName>
    <definedName name="sorteer">#REF!</definedName>
    <definedName name="SortI" hidden="1">#REF!</definedName>
    <definedName name="SortRank">#REF!</definedName>
    <definedName name="sp?n">#REF!</definedName>
    <definedName name="SPAN">#REF!</definedName>
    <definedName name="Span_Length">#REF!</definedName>
    <definedName name="SPCCMA">#REF!</definedName>
    <definedName name="SPCCMB">#REF!</definedName>
    <definedName name="SPCCYTDA">#REF!</definedName>
    <definedName name="SPCCYTDB">#REF!</definedName>
    <definedName name="SpecialPrice" hidden="1">#REF!</definedName>
    <definedName name="SpecialPricePL" hidden="1">#REF!</definedName>
    <definedName name="specs">#REF!</definedName>
    <definedName name="SPG1TR1">#REF!</definedName>
    <definedName name="SPG1TR2">#REF!</definedName>
    <definedName name="SPGII">#REF!</definedName>
    <definedName name="SPGIII">#REF!</definedName>
    <definedName name="SPGIIILAST">#REF!</definedName>
    <definedName name="SPGIIILAST_27">"$"</definedName>
    <definedName name="SPGIILAST">#REF!</definedName>
    <definedName name="SPGIILAST_27">"$"</definedName>
    <definedName name="SPGITR1LAST">#REF!</definedName>
    <definedName name="SPGITR1LAST_27">"$"</definedName>
    <definedName name="SPGITR2LAST">#REF!</definedName>
    <definedName name="SPGITR2LAST_27">"$"</definedName>
    <definedName name="SPGIVTFODG">#REF!</definedName>
    <definedName name="SPGIVTFODGLAST">#REF!</definedName>
    <definedName name="SPGIVTFODGLAST_27">"$"</definedName>
    <definedName name="SPGIVTFOPLN">#REF!</definedName>
    <definedName name="SPGIVTFOPLNLAST">#REF!</definedName>
    <definedName name="SPGIVTFOPLNLAST_27">"$"</definedName>
    <definedName name="SPGIVTR1">#REF!</definedName>
    <definedName name="SPGIVTR1LAST">#REF!</definedName>
    <definedName name="SPGIVTR1LAST_27">"$"</definedName>
    <definedName name="SPGIVTR2">#REF!</definedName>
    <definedName name="SPGIVTR2LAST">#REF!</definedName>
    <definedName name="SPGIVTR2LAST_27">"$"</definedName>
    <definedName name="SpGr_48">#REF!</definedName>
    <definedName name="SpGr_5">#REF!</definedName>
    <definedName name="SpGr_AA">#REF!</definedName>
    <definedName name="SpGr_DW">#REF!</definedName>
    <definedName name="SpGr_FO1">#REF!</definedName>
    <definedName name="SpGr_FO2">#REF!</definedName>
    <definedName name="SpGr_FO3">#REF!</definedName>
    <definedName name="SpGr_N2">#REF!</definedName>
    <definedName name="SpGr_N2B">#REF!</definedName>
    <definedName name="SpGr_W">#REF!</definedName>
    <definedName name="SpGrCMB_A">#REF!</definedName>
    <definedName name="SpGrCMB_B">#REF!</definedName>
    <definedName name="SpGrHCL">#REF!</definedName>
    <definedName name="SpGrPX_A1">#REF!</definedName>
    <definedName name="SpGrPX_B1">#REF!</definedName>
    <definedName name="SpGrPX_C1">#REF!</definedName>
    <definedName name="SPGVTR1">#REF!</definedName>
    <definedName name="SPGVTR1LAST">#REF!</definedName>
    <definedName name="SPGVTR1LAST_27">"$"</definedName>
    <definedName name="SPGVTR2">#REF!</definedName>
    <definedName name="SPGVTR2LAST">#REF!</definedName>
    <definedName name="SPGVTR2LAST_27">"$"</definedName>
    <definedName name="SPI">#REF!</definedName>
    <definedName name="SPI___6">#REF!</definedName>
    <definedName name="SPII">#REF!</definedName>
    <definedName name="SPII___6">#REF!</definedName>
    <definedName name="SPIII">#REF!</definedName>
    <definedName name="SPIII___6">#REF!</definedName>
    <definedName name="spın">#REF!</definedName>
    <definedName name="spin1">#REF!</definedName>
    <definedName name="SPIV">#REF!</definedName>
    <definedName name="SPIV___6">#REF!</definedName>
    <definedName name="SPN1TR1">"$"</definedName>
    <definedName name="SpRate">#REF!</definedName>
    <definedName name="spread">#N/A</definedName>
    <definedName name="spreadadj">#N/A</definedName>
    <definedName name="sr5ys">#N/A</definedName>
    <definedName name="srtyhsr">#N/A</definedName>
    <definedName name="SS">#REF!</definedName>
    <definedName name="SS_27">"$"</definedName>
    <definedName name="SS_3">"#REF!"</definedName>
    <definedName name="SSD" hidden="1">{#N/A,#N/A,FALSE,"REPORT"}</definedName>
    <definedName name="ssdded" hidden="1">{"EconCons",#N/A,TRUE,"Econômico - Consolidado";"CaixaCons",#N/A,TRUE,"Caixa - Consolidado";"InvestCons",#N/A,TRUE,"Invest Consolidado"}</definedName>
    <definedName name="ssdfw">#REF!</definedName>
    <definedName name="sserv">#REF!</definedName>
    <definedName name="SSLAST">#REF!</definedName>
    <definedName name="SSLAST_27">"$"</definedName>
    <definedName name="SSP">#REF!</definedName>
    <definedName name="SSP_1">NA()</definedName>
    <definedName name="SSP_19">#REF!</definedName>
    <definedName name="SSP_2">#REF!</definedName>
    <definedName name="SSP_31">#REF!</definedName>
    <definedName name="SSP_4">#REF!</definedName>
    <definedName name="SSP_5">#REF!</definedName>
    <definedName name="SSP_7">#REF!</definedName>
    <definedName name="SSPGRD">#REF!</definedName>
    <definedName name="ssqdsd">#REF!</definedName>
    <definedName name="sss" hidden="1">{#N/A,#N/A,FALSE,"Pharm";#N/A,#N/A,FALSE,"WWCM"}</definedName>
    <definedName name="SSS_2" hidden="1">#REF!</definedName>
    <definedName name="ssscxza">#REF!</definedName>
    <definedName name="sssqdd">#REF!</definedName>
    <definedName name="SSSS">#REF!</definedName>
    <definedName name="sssss" hidden="1">#REF!</definedName>
    <definedName name="sssssss" hidden="1">{#N/A,#N/A,FALSE,"INV14"}</definedName>
    <definedName name="ssssssssssss" hidden="1">#REF!</definedName>
    <definedName name="SST">#REF!</definedName>
    <definedName name="St">1</definedName>
    <definedName name="ST_FMMIFMME">#REF!</definedName>
    <definedName name="ST_LFMILFME">#REF!</definedName>
    <definedName name="ST_LQMILQME">#REF!</definedName>
    <definedName name="ST_LZMILZME">#REF!</definedName>
    <definedName name="Staril" hidden="1">{#N/A,#N/A,FALSE,"REPORT"}</definedName>
    <definedName name="StartingYear">#REF!</definedName>
    <definedName name="state">#REF!</definedName>
    <definedName name="STATEMENT__OF_CLOSING_STOCK_OF_FINISHED_GOODS">#REF!</definedName>
    <definedName name="STATEMENT__OF_CLOSING_STOCK_OF_FINISHED_GOODS_1">NA()</definedName>
    <definedName name="STATEMENTS">#N/A</definedName>
    <definedName name="states">#REF!</definedName>
    <definedName name="stdyjdrtjh" hidden="1">{"'0103'!$A$455:$O$585"}</definedName>
    <definedName name="STEAM">#REF!</definedName>
    <definedName name="Steam_23K">#REF!</definedName>
    <definedName name="STEAM_27">"$"</definedName>
    <definedName name="Steam_5K">#REF!</definedName>
    <definedName name="Steam_87K">#REF!</definedName>
    <definedName name="Steam_main">#REF!</definedName>
    <definedName name="Steam_nett7_GJpT">#REF!</definedName>
    <definedName name="Steam_nett8_GJpT">#REF!</definedName>
    <definedName name="STEAMLAST">#REF!</definedName>
    <definedName name="STEAMLAST_27">"$"</definedName>
    <definedName name="STEAMPOW">#REF!</definedName>
    <definedName name="STEP">#REF!</definedName>
    <definedName name="steven"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STGA">#REF!</definedName>
    <definedName name="STM_PET_8">#REF!</definedName>
    <definedName name="STM_PTA_6">#REF!</definedName>
    <definedName name="STM_PTA_7">#REF!</definedName>
    <definedName name="STM_PTA_8">#REF!</definedName>
    <definedName name="STM_REST_6">#REF!</definedName>
    <definedName name="STM_REST_7">#REF!</definedName>
    <definedName name="STM_REST_8">#REF!</definedName>
    <definedName name="Stoc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STOCK_DRS_CASH">#REF!</definedName>
    <definedName name="STOCK_DRS_CASH_31">#REF!</definedName>
    <definedName name="STOCKS">#REF!</definedName>
    <definedName name="STOCKS_31">#REF!</definedName>
    <definedName name="stores">#REF!</definedName>
    <definedName name="STPP">#REF!</definedName>
    <definedName name="STPP_31">#REF!</definedName>
    <definedName name="strat">#REF!</definedName>
    <definedName name="STRAT__UP">#REF!</definedName>
    <definedName name="StratPlanAP" hidden="1">{#N/A,#N/A,FALSE,"Pharm";#N/A,#N/A,FALSE,"WWCM"}</definedName>
    <definedName name="STRUCTURE">#REF!</definedName>
    <definedName name="Stub" hidden="1">#REF!</definedName>
    <definedName name="Stub_year_fraction">#REF!</definedName>
    <definedName name="STV">#REF!</definedName>
    <definedName name="STWBD_StatToolsConfidenceInterval_AnalysisType" hidden="1">" 0"</definedName>
    <definedName name="STWBD_StatToolsConfidenceInterval_CalculateMeanInterval" hidden="1">"TRUE"</definedName>
    <definedName name="STWBD_StatToolsConfidenceInterval_CalculateStdDevInterval" hidden="1">"TRUE"</definedName>
    <definedName name="STWBD_StatToolsConfidenceInterval_DefaultDataFormat" hidden="1">" 0"</definedName>
    <definedName name="STWBD_StatToolsConfidenceInterval_HasDefaultInfo" hidden="1">"TRUE"</definedName>
    <definedName name="STWBD_StatToolsConfidenceInterval_MeanConfidenceLevel" hidden="1">" .95"</definedName>
    <definedName name="STWBD_StatToolsConfidenceInterval_StdDevConfidenceLevel" hidden="1">" .95"</definedName>
    <definedName name="STWBD_StatToolsConfidenceInterval_VariableList" hidden="1">1</definedName>
    <definedName name="STWBD_StatToolsConfidenceInterval_VariableList_1" hidden="1">"U_x0001_VG18C68F7C_x0001_"</definedName>
    <definedName name="STWBD_StatToolsConfidenceInterval_VarSelectorDefaultDataSet" hidden="1">"DG1557C622"</definedName>
    <definedName name="STWBD_StatToolsOneVarSummary_Count" hidden="1">"TRUE"</definedName>
    <definedName name="STWBD_StatToolsOneVarSummary_DefaultDataFormat" hidden="1">" 0"</definedName>
    <definedName name="STWBD_StatToolsOneVarSummary_FirstQuartile" hidden="1">"TRUE"</definedName>
    <definedName name="STWBD_StatToolsOneVarSummary_HasDefaultInfo" hidden="1">"TRUE"</definedName>
    <definedName name="STWBD_StatToolsOneVarSummary_InterQuartileRange" hidden="1">"TRUE"</definedName>
    <definedName name="STWBD_StatToolsOneVarSummary_Kurtosis" hidden="1">"TRUE"</definedName>
    <definedName name="STWBD_StatToolsOneVarSummary_Maximum" hidden="1">"TRUE"</definedName>
    <definedName name="STWBD_StatToolsOneVarSummary_Mean" hidden="1">"TRUE"</definedName>
    <definedName name="STWBD_StatToolsOneVarSummary_MeanAbsDeviation" hidden="1">"TRUE"</definedName>
    <definedName name="STWBD_StatToolsOneVarSummary_Median" hidden="1">"TRUE"</definedName>
    <definedName name="STWBD_StatToolsOneVarSummary_Minimum" hidden="1">"TRUE"</definedName>
    <definedName name="STWBD_StatToolsOneVarSummary_OtherPercentiles" hidden="1">"TRUE"</definedName>
    <definedName name="STWBD_StatToolsOneVarSummary_PercentileList" hidden="1">" .01, .025, .05, .1, .2, .8, .9, .95, .975, .99"</definedName>
    <definedName name="STWBD_StatToolsOneVarSummary_Range" hidden="1">"TRUE"</definedName>
    <definedName name="STWBD_StatToolsOneVarSummary_Skewness" hidden="1">"TRUE"</definedName>
    <definedName name="STWBD_StatToolsOneVarSummary_StandardDeviation" hidden="1">"TRUE"</definedName>
    <definedName name="STWBD_StatToolsOneVarSummary_Sum" hidden="1">"TRUE"</definedName>
    <definedName name="STWBD_StatToolsOneVarSummary_ThirdQuartile" hidden="1">"TRUE"</definedName>
    <definedName name="STWBD_StatToolsOneVarSummary_VariableList" hidden="1">4</definedName>
    <definedName name="STWBD_StatToolsOneVarSummary_VariableList_1" hidden="1">"U_x0001_VG2D1B584C_x0001_"</definedName>
    <definedName name="STWBD_StatToolsOneVarSummary_VariableList_2" hidden="1">"U_x0001_VG421EEB3_x0001_"</definedName>
    <definedName name="STWBD_StatToolsOneVarSummary_VariableList_3" hidden="1">"U_x0001_VG2000A935_x0001_"</definedName>
    <definedName name="STWBD_StatToolsOneVarSummary_VariableList_4" hidden="1">"U_x0001_VG330F36D6_x0001_"</definedName>
    <definedName name="STWBD_StatToolsOneVarSummary_Variance" hidden="1">"TRUE"</definedName>
    <definedName name="STWBD_StatToolsOneVarSummary_VarSelectorDefaultDataSet" hidden="1">"ALL DATA SETS"</definedName>
    <definedName name="STWBD_StatToolsRegression_blockList" hidden="1">"-1"</definedName>
    <definedName name="STWBD_StatToolsRegression_FValueToEnter" hidden="1">" 2.2"</definedName>
    <definedName name="STWBD_StatToolsRegression_FValueToLeave" hidden="1">" 1.1"</definedName>
    <definedName name="STWBD_StatToolsRegression_GraphFittedValueVsActualYValue" hidden="1">"TRUE"</definedName>
    <definedName name="STWBD_StatToolsRegression_GraphFittedValueVsXValue" hidden="1">"FALSE"</definedName>
    <definedName name="STWBD_StatToolsRegression_GraphResidualVsFittedValue" hidden="1">"TRUE"</definedName>
    <definedName name="STWBD_StatToolsRegression_GraphResidualVsXValue" hidden="1">"FALSE"</definedName>
    <definedName name="STWBD_StatToolsRegression_HasDefaultInfo" hidden="1">"TRUE"</definedName>
    <definedName name="STWBD_StatToolsRegression_IncludePrediction" hidden="1">"FALSE"</definedName>
    <definedName name="STWBD_StatToolsRegression_IncludeSteps" hidden="1">"FALSE"</definedName>
    <definedName name="STWBD_StatToolsRegression_NumberOfBlocks" hidden="1">" 0"</definedName>
    <definedName name="STWBD_StatToolsRegression_pValueToEnter" hidden="1">" .05"</definedName>
    <definedName name="STWBD_StatToolsRegression_pValueToLeave" hidden="1">" .1"</definedName>
    <definedName name="STWBD_StatToolsRegression_RegressionType" hidden="1">" 0"</definedName>
    <definedName name="STWBD_StatToolsRegression_useFValue" hidden="1">"FALSE"</definedName>
    <definedName name="STWBD_StatToolsRegression_usePValue" hidden="1">"TRUE"</definedName>
    <definedName name="STWBD_StatToolsRegression_VariableDependent" hidden="1">"U_x0001_VG2D35B001_x0001_"</definedName>
    <definedName name="STWBD_StatToolsRegression_VariableListIndependent" hidden="1">1</definedName>
    <definedName name="STWBD_StatToolsRegression_VariableListIndependent_1" hidden="1">"U_x0001_VG18C68F7C_x0001_"</definedName>
    <definedName name="STWBD_StatToolsRegression_VarSelectorDefaultDataSet" hidden="1">"ALL DATA SETS"</definedName>
    <definedName name="STX">#REF!</definedName>
    <definedName name="Subheader">#REF!</definedName>
    <definedName name="Substation">#REF!</definedName>
    <definedName name="Substation_1">NA()</definedName>
    <definedName name="Substation_2">#REF!</definedName>
    <definedName name="Substation_3">#REF!</definedName>
    <definedName name="Substation_31">#REF!</definedName>
    <definedName name="Substation_33">#REF!</definedName>
    <definedName name="Substation_4">#REF!</definedName>
    <definedName name="SUCGUN">#REF!</definedName>
    <definedName name="SUCGUN_27">"$"</definedName>
    <definedName name="SUCGUNAIR">"$#REF!.$D$179"</definedName>
    <definedName name="SUCGUNLAST">#REF!</definedName>
    <definedName name="SUCGUNLAST_27">"$"</definedName>
    <definedName name="Suli">#REF!</definedName>
    <definedName name="SUM">#N/A</definedName>
    <definedName name="SUMM">#REF!</definedName>
    <definedName name="SUMM_K">#REF!</definedName>
    <definedName name="SUMMARY">#REF!</definedName>
    <definedName name="Summary_old"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SummaryBLG">#REF!</definedName>
    <definedName name="SummaryDR">#REF!</definedName>
    <definedName name="SUPERMERCADOS">#REF!</definedName>
    <definedName name="supportarea">#REF!</definedName>
    <definedName name="SURA" hidden="1">{#N/A,#N/A,FALSE,"str_title";#N/A,#N/A,FALSE,"SUM";#N/A,#N/A,FALSE,"Scope";#N/A,#N/A,FALSE,"PIE-Jn";#N/A,#N/A,FALSE,"PIE-Jn_Hz";#N/A,#N/A,FALSE,"Liq_Plan";#N/A,#N/A,FALSE,"S_Curve";#N/A,#N/A,FALSE,"Liq_Prof";#N/A,#N/A,FALSE,"Man_Pwr";#N/A,#N/A,FALSE,"Man_Prof"}</definedName>
    <definedName name="SURF">#REF!</definedName>
    <definedName name="SurfCap1">#REF!</definedName>
    <definedName name="SurfCap2">#REF!</definedName>
    <definedName name="SV">"#REF!"</definedName>
    <definedName name="SV_3">"#REF!"</definedName>
    <definedName name="svdc">#REF!</definedName>
    <definedName name="Swvu.Long._.Range." hidden="1">#REF!</definedName>
    <definedName name="Swvu.Months." hidden="1">#REF!</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ymbolOnOff">#REF!</definedName>
    <definedName name="synch">#REF!</definedName>
    <definedName name="t">1000</definedName>
    <definedName name="T___0">1000</definedName>
    <definedName name="T_1">1000</definedName>
    <definedName name="T_17">1000</definedName>
    <definedName name="T_2">1000</definedName>
    <definedName name="TAB_INDIC">#REF!</definedName>
    <definedName name="TAB_INDICE">#REF!</definedName>
    <definedName name="TAB_JUROS">#REF!</definedName>
    <definedName name="TABLA">#REF!</definedName>
    <definedName name="TABLE">#REF!</definedName>
    <definedName name="table_hf">#REF!</definedName>
    <definedName name="table_mf">#REF!</definedName>
    <definedName name="table1">#REF!</definedName>
    <definedName name="table2">#REF!</definedName>
    <definedName name="table3">#REF!</definedName>
    <definedName name="TABLEA">#REF!</definedName>
    <definedName name="tables">#REF!</definedName>
    <definedName name="tableSelectMonth">#REF!</definedName>
    <definedName name="TabSuivi">#REF!</definedName>
    <definedName name="TALLY">#REF!</definedName>
    <definedName name="tamanho">#REF!</definedName>
    <definedName name="Target_Completion_Date">#REF!</definedName>
    <definedName name="targetinputs">#REF!,#REF!,#REF!,#REF!,#REF!,#REF!,#REF!,#REF!,#REF!</definedName>
    <definedName name="TARIFF_ARBITRAGE_ANALYSIS_1996___97">#REF!</definedName>
    <definedName name="tax">#REF!</definedName>
    <definedName name="Tax_1">"#REF!"</definedName>
    <definedName name="Tax_2">#REF!</definedName>
    <definedName name="Tax_3">#REF!</definedName>
    <definedName name="Tax_31">#REF!</definedName>
    <definedName name="Tax_33">#REF!</definedName>
    <definedName name="Tax_4">#REF!</definedName>
    <definedName name="Tax_Credit">#REF!</definedName>
    <definedName name="Tax_rate">#REF!</definedName>
    <definedName name="Tax_Summary_For_Valuation">#N/A</definedName>
    <definedName name="Taxa_de_Juros">#REF!</definedName>
    <definedName name="Taxa_de_Juros_Agendada">#REF!</definedName>
    <definedName name="taxburden_scenario">#REF!</definedName>
    <definedName name="taxol" hidden="1">{#N/A,#N/A,FALSE,"Pharm";#N/A,#N/A,FALSE,"WWCM"}</definedName>
    <definedName name="Taxrate">#REF!</definedName>
    <definedName name="Taxtax">#REF!</definedName>
    <definedName name="TaxTV">10%</definedName>
    <definedName name="TaxXL">5%</definedName>
    <definedName name="Taxy">#REF!</definedName>
    <definedName name="TB">#REF!</definedName>
    <definedName name="tbl_ProdInfo" hidden="1">#REF!</definedName>
    <definedName name="tbl_ProdInfoPL" hidden="1">#REF!</definedName>
    <definedName name="tblBalanceSheet">#REF!</definedName>
    <definedName name="tblBudgetCurrMnthYTD">#REF!</definedName>
    <definedName name="tblEmployees">#REF!</definedName>
    <definedName name="tblFinanceLease">#REF!</definedName>
    <definedName name="tblForecast">#REF!</definedName>
    <definedName name="tblPandLAcc">#REF!</definedName>
    <definedName name="tblQTRS">#REF!</definedName>
    <definedName name="tblReportDataActuals">#REF!</definedName>
    <definedName name="tblReportDataBudget">#REF!</definedName>
    <definedName name="tblResponsibilities">#REF!</definedName>
    <definedName name="tblSelectQtrs">#REF!</definedName>
    <definedName name="tblSummary">#REF!</definedName>
    <definedName name="tblWagonLease">#REF!</definedName>
    <definedName name="TBT">#REF!</definedName>
    <definedName name="TC">#REF!</definedName>
    <definedName name="TC___0">#REF!</definedName>
    <definedName name="TC___6">#REF!</definedName>
    <definedName name="tcl">#REF!</definedName>
    <definedName name="TCL_Abscences">#REF!</definedName>
    <definedName name="TCL_Basicpay">#REF!</definedName>
    <definedName name="TCL_Cartype">#REF!</definedName>
    <definedName name="TCL_Chanepay">#REF!</definedName>
    <definedName name="TCL_CityCategory">#REF!</definedName>
    <definedName name="TCL_Conv">#REF!</definedName>
    <definedName name="TCL_Exemp">#REF!</definedName>
    <definedName name="TCL_Housingtype">#REF!</definedName>
    <definedName name="TCL_Invest1">#REF!</definedName>
    <definedName name="TCL_Invest2">#REF!</definedName>
    <definedName name="TCL_IT0014_NAME">#REF!</definedName>
    <definedName name="TCL_It0015wagetypes">#REF!</definedName>
    <definedName name="TCL_IT0045_Loan">#REF!</definedName>
    <definedName name="TCL_IT14wagetypes">#REF!</definedName>
    <definedName name="TCL_IT15latest">#REF!</definedName>
    <definedName name="TCL_IT15Wagetypes">#REF!</definedName>
    <definedName name="TCL_IT45types">#REF!</definedName>
    <definedName name="TCL_IT582_TYP">#REF!</definedName>
    <definedName name="tcl_it588_type">#REF!</definedName>
    <definedName name="TCL_IT589">#REF!</definedName>
    <definedName name="TCL_IT8_CITYCATG">#REF!</definedName>
    <definedName name="TCL_IT8_Citycode">#REF!</definedName>
    <definedName name="TCL_IT8_Housingtype">#REF!</definedName>
    <definedName name="TCL_IT8_Paygrp">#REF!</definedName>
    <definedName name="TCL_IT8_Wagetypes">#REF!</definedName>
    <definedName name="TCL_Loanpayment">#REF!</definedName>
    <definedName name="TCL_MEMB_NAME">#REF!</definedName>
    <definedName name="TCL_MEMB_NAME1">#REF!</definedName>
    <definedName name="tcl_ot_new">#REF!</definedName>
    <definedName name="TCL_Part">#REF!</definedName>
    <definedName name="TCL_PAY">#REF!</definedName>
    <definedName name="TCL_Payee_Key">#REF!</definedName>
    <definedName name="TCL_Payeekeytext">#REF!</definedName>
    <definedName name="TCL_Paygroup">#REF!</definedName>
    <definedName name="TCL_PAYGROUPS">#REF!</definedName>
    <definedName name="TCL_Paygrp">#REF!</definedName>
    <definedName name="TCL_PAYSCALE">#REF!</definedName>
    <definedName name="TCL_PAYSCALEAREA">#REF!</definedName>
    <definedName name="TCL_PAYSCALEAREANAME">#REF!</definedName>
    <definedName name="TCL_PAYSCALEAREAS">#REF!</definedName>
    <definedName name="TCL_PAYSCALENAME">#REF!</definedName>
    <definedName name="TCL_PAYSCALETYPE">#REF!</definedName>
    <definedName name="TCL_PAYSCALETYPES">#REF!</definedName>
    <definedName name="TCL_Pension">#REF!</definedName>
    <definedName name="TCL_PF_Trust">#REF!</definedName>
    <definedName name="TCL_Reason">#REF!</definedName>
    <definedName name="TCL_reasonpay">#REF!</definedName>
    <definedName name="TCL_Rented_Accom">#REF!</definedName>
    <definedName name="TCL_Rented_Accom.">#REF!</definedName>
    <definedName name="TCL_Wagetyp">#REF!</definedName>
    <definedName name="TCL_WAGETYPE">#REF!</definedName>
    <definedName name="TCL_WSR">#REF!</definedName>
    <definedName name="TDSRate">#REF!</definedName>
    <definedName name="Technical">#REF!</definedName>
    <definedName name="TECNOFIBRAS" hidden="1">{"'PXR_6500'!$A$1:$I$124"}</definedName>
    <definedName name="TECNOFIBRAS2" hidden="1">{"'PXR_6500'!$A$1:$I$124"}</definedName>
    <definedName name="Teeth___Tail">#REF!</definedName>
    <definedName name="Tem" hidden="1">{#N/A,#N/A,FALSE,"Pharm";#N/A,#N/A,FALSE,"WWCM"}</definedName>
    <definedName name="TEMP">#REF!</definedName>
    <definedName name="TEMPERATURE">#REF!</definedName>
    <definedName name="Template.WIRE">"DBACCESS"</definedName>
    <definedName name="Template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en">#REF!</definedName>
    <definedName name="tendance">#REF!</definedName>
    <definedName name="TENSILE_WINDOW">#REF!</definedName>
    <definedName name="Tensile_Yarn_Excess_length">#REF!</definedName>
    <definedName name="teq" hidden="1">{#N/A,#N/A,FALSE,"Pharm";#N/A,#N/A,FALSE,"WWCM"}</definedName>
    <definedName name="Tequin" hidden="1">{#N/A,#N/A,FALSE,"Pharm";#N/A,#N/A,FALSE,"WWCM"}</definedName>
    <definedName name="tequinol" hidden="1">{#N/A,#N/A,FALSE,"REPORT"}</definedName>
    <definedName name="TeradeCreditorsMonthActual">#REF!</definedName>
    <definedName name="TeradeCreditorsMonthBudget">#REF!</definedName>
    <definedName name="TeradeCreditorsMonthDevToBud">#REF!</definedName>
    <definedName name="TeradeCreditorsMonthDevToLE">#REF!</definedName>
    <definedName name="TeradeCreditorsMonthLE">#REF!</definedName>
    <definedName name="TeradeCreditorsYearActual">#REF!</definedName>
    <definedName name="TeradeCreditorsYearBudget">#REF!</definedName>
    <definedName name="TeradeCreditorsYearDevToBud">#REF!</definedName>
    <definedName name="TeradeCreditorsYearDevToLY">#REF!</definedName>
    <definedName name="TeradeCreditorsYearLY">#REF!</definedName>
    <definedName name="test" hidden="1">{#N/A,#N/A,FALSE,"FlCx99";#N/A,#N/A,FALSE,"Dívida99"}</definedName>
    <definedName name="test.4" hidden="1">{"Padd I to III",#N/A,FALSE,"REFINERY";"Padd IV to US",#N/A,FALSE,"REFINERY";"Crude Balance I",#N/A,FALSE,"REFINERY";"Crude Balance II",#N/A,FALSE,"REFINERY"}</definedName>
    <definedName name="test.all" hidden="1">{"PAGE1",#N/A,FALSE,"YIELDS";"PAGE2",#N/A,FALSE,"YIELDS";"PAGE3",#N/A,FALSE,"YIELDS"}</definedName>
    <definedName name="test_1" hidden="1">{#N/A,#N/A,FALSE,"FlCx99";#N/A,#N/A,FALSE,"Dívida99"}</definedName>
    <definedName name="test_2" hidden="1">{#N/A,#N/A,FALSE,"FlCx99";#N/A,#N/A,FALSE,"Dívida99"}</definedName>
    <definedName name="test_3" hidden="1">{#N/A,#N/A,FALSE,"FlCx99";#N/A,#N/A,FALSE,"Dívida99"}</definedName>
    <definedName name="test_4" hidden="1">{#N/A,#N/A,FALSE,"FlCx99";#N/A,#N/A,FALSE,"Dívida99"}</definedName>
    <definedName name="test_5" hidden="1">{#N/A,#N/A,FALSE,"FlCx99";#N/A,#N/A,FALSE,"Dívida99"}</definedName>
    <definedName name="TEST0">#REF!</definedName>
    <definedName name="TEST0_1">NA()</definedName>
    <definedName name="TEST0_2">#REF!</definedName>
    <definedName name="TEST0_3">#REF!</definedName>
    <definedName name="TEST0_31">#REF!</definedName>
    <definedName name="TEST0_32">#REF!</definedName>
    <definedName name="TEST0_33">#REF!</definedName>
    <definedName name="TEST0_37">#REF!</definedName>
    <definedName name="TEST0_39">#REF!</definedName>
    <definedName name="TEST0_4">#REF!</definedName>
    <definedName name="TEST0_43">#REF!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2">#REF!</definedName>
    <definedName name="test2_1" hidden="1">{#N/A,#N/A,FALSE,"FlCx99";#N/A,#N/A,FALSE,"Dívida99"}</definedName>
    <definedName name="test2_2" hidden="1">{#N/A,#N/A,FALSE,"FlCx99";#N/A,#N/A,FALSE,"Dívida99"}</definedName>
    <definedName name="test2_3" hidden="1">{#N/A,#N/A,FALSE,"FlCx99";#N/A,#N/A,FALSE,"Dívida99"}</definedName>
    <definedName name="test2_4" hidden="1">{#N/A,#N/A,FALSE,"FlCx99";#N/A,#N/A,FALSE,"Dívida99"}</definedName>
    <definedName name="test2_5" hidden="1">{#N/A,#N/A,FALSE,"FlCx99";#N/A,#N/A,FALSE,"Dívida99"}</definedName>
    <definedName name="test3"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TEST4">#REF!</definedName>
    <definedName name="test5" hidden="1">{"Current",#N/A,FALSE,"Currentcal";"Current B",#N/A,FALSE,"Currentcal";"Constant",#N/A,FALSE,"Constantcal";"Constant B",#N/A,FALSE,"Constantcal"}</definedName>
    <definedName name="TEST6">#REF!</definedName>
    <definedName name="TEST7">#REF!</definedName>
    <definedName name="TEST8">#REF!</definedName>
    <definedName name="TEST9">#REF!</definedName>
    <definedName name="TESTE" hidden="1">#REF!</definedName>
    <definedName name="TESTHKEY">#REF!</definedName>
    <definedName name="TESTHKEY_1">NA()</definedName>
    <definedName name="TESTHKEY_2">#REF!</definedName>
    <definedName name="TESTHKEY_3">#REF!</definedName>
    <definedName name="TESTHKEY_31">#REF!</definedName>
    <definedName name="TESTHKEY_32">#REF!</definedName>
    <definedName name="TESTHKEY_33">#REF!</definedName>
    <definedName name="TESTHKEY_37">#REF!</definedName>
    <definedName name="TESTHKEY_39">#REF!</definedName>
    <definedName name="TESTHKEY_4">#REF!</definedName>
    <definedName name="TESTHKEY_43">#REF!</definedName>
    <definedName name="TESTKEYS">#REF!</definedName>
    <definedName name="TESTKEYS_1">NA()</definedName>
    <definedName name="TESTKEYS_2">#REF!</definedName>
    <definedName name="TESTKEYS_3">#REF!</definedName>
    <definedName name="TESTKEYS_31">#REF!</definedName>
    <definedName name="TESTKEYS_32">#REF!</definedName>
    <definedName name="TESTKEYS_33">#REF!</definedName>
    <definedName name="TESTKEYS_37">#REF!</definedName>
    <definedName name="TESTKEYS_39">#REF!</definedName>
    <definedName name="TESTKEYS_4">#REF!</definedName>
    <definedName name="TESTKEYS_43">#REF!</definedName>
    <definedName name="TESTVKEY">#REF!</definedName>
    <definedName name="TESTVKEY_1">NA()</definedName>
    <definedName name="TESTVKEY_2">#REF!</definedName>
    <definedName name="TESTVKEY_3">#REF!</definedName>
    <definedName name="TESTVKEY_31">#REF!</definedName>
    <definedName name="TESTVKEY_32">#REF!</definedName>
    <definedName name="TESTVKEY_33">#REF!</definedName>
    <definedName name="TESTVKEY_37">#REF!</definedName>
    <definedName name="TESTVKEY_39">#REF!</definedName>
    <definedName name="TESTVKEY_4">#REF!</definedName>
    <definedName name="TESTVKEY_43">#REF!</definedName>
    <definedName name="TextRefCopy1">#REF!</definedName>
    <definedName name="TextRefCopy1_31">#REF!</definedName>
    <definedName name="TextRefCopy10">#REF!</definedName>
    <definedName name="TextRefCopy102">#REF!</definedName>
    <definedName name="TextRefCopy103">#REF!</definedName>
    <definedName name="TextRefCopy104">#REF!</definedName>
    <definedName name="TextRefCopy105">#REF!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2_31">#REF!</definedName>
    <definedName name="TextRefCopy20">#REF!</definedName>
    <definedName name="TextRefCopy21">#REF!</definedName>
    <definedName name="TextRefCopy22">#REF!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#REF!</definedName>
    <definedName name="TextRefCopy3_31">#REF!</definedName>
    <definedName name="TextRefCopy30">#REF!</definedName>
    <definedName name="TextRefCopy33">#REF!</definedName>
    <definedName name="TextRefCopy34">#REF!</definedName>
    <definedName name="TextRefCopy37">#REF!</definedName>
    <definedName name="TextRefCopy4">#REF!</definedName>
    <definedName name="TextRefCopy40">#REF!</definedName>
    <definedName name="TextRefCopy5">#REF!</definedName>
    <definedName name="TextRefCopy57">#REF!</definedName>
    <definedName name="TextRefCopy58">#REF!</definedName>
    <definedName name="TextRefCopy6">#REF!</definedName>
    <definedName name="TextRefCopy7">#REF!</definedName>
    <definedName name="TextRefCopy8">#REF!</definedName>
    <definedName name="TextRefCopy9">#REF!</definedName>
    <definedName name="TextRefCopyRangeCount" hidden="1">4</definedName>
    <definedName name="tfo">(#REF!,#REF!,#REF!,#REF!)</definedName>
    <definedName name="TFO___6">#REF!</definedName>
    <definedName name="TFOIII">#REF!</definedName>
    <definedName name="TFOIII_27">"$"</definedName>
    <definedName name="thanks">#REF!</definedName>
    <definedName name="thb">#REF!</definedName>
    <definedName name="Third">#REF!</definedName>
    <definedName name="ThirdYear">#REF!</definedName>
    <definedName name="ThisMonth">#REF!</definedName>
    <definedName name="Thousand">#REF!</definedName>
    <definedName name="Thousands">#REF!</definedName>
    <definedName name="ThreeMonthsBefore">#REF!</definedName>
    <definedName name="Threshold">#REF!</definedName>
    <definedName name="TickerCell">#REF!</definedName>
    <definedName name="tipos">#REF!</definedName>
    <definedName name="Title1">#REF!</definedName>
    <definedName name="Title2">#REF!</definedName>
    <definedName name="Title3">#REF!</definedName>
    <definedName name="Title4">#REF!</definedName>
    <definedName name="TitleFontSize">#REF!</definedName>
    <definedName name="TitleLine1">#REF!</definedName>
    <definedName name="TitleLine2">#REF!</definedName>
    <definedName name="TitleLine3">#REF!</definedName>
    <definedName name="TitleLine4">#REF!</definedName>
    <definedName name="TitleLine5">#REF!</definedName>
    <definedName name="Titles1" hidden="1">IF(COUNTA(#REF!)=0,0,INDEX(#REF!,MATCH(ROW(#REF!),#REF!,TRUE)))+1</definedName>
    <definedName name="Titles2" hidden="1">#N/A</definedName>
    <definedName name="TITNE"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_xlnm.Print_Titles">#REF!,#REF!</definedName>
    <definedName name="TK">#REF!</definedName>
    <definedName name="tmsa.fees">#REF!</definedName>
    <definedName name="TO">#REF!</definedName>
    <definedName name="TO___0">#REF!</definedName>
    <definedName name="TO_21">"#REF!"</definedName>
    <definedName name="TO_22">"#REF!"</definedName>
    <definedName name="TO_6">"#REF!"</definedName>
    <definedName name="TO_8">#REF!</definedName>
    <definedName name="Tolerance">#REF!</definedName>
    <definedName name="TOTAIS_POR_TIPO_MENSAL_ANTIGO">#REF!</definedName>
    <definedName name="Total">#REF!</definedName>
    <definedName name="Total_31">#REF!</definedName>
    <definedName name="Total_Annualised_Costs_2003">#REF!</definedName>
    <definedName name="Total_Annualised_Costs_2004">#REF!</definedName>
    <definedName name="Total_Annualised_Costs_2005">#REF!</definedName>
    <definedName name="Total_Annualised_Costs_2006">#REF!</definedName>
    <definedName name="Total_Annualised_Costs_2007">#REF!</definedName>
    <definedName name="Total_Annualised_Costs_2008">#REF!</definedName>
    <definedName name="Total_Annualised_Costs_2009">#REF!</definedName>
    <definedName name="Total_Annualised_Costs_2010">#REF!</definedName>
    <definedName name="Total_Costs">#REF!</definedName>
    <definedName name="Total_de_Juros">#REF!</definedName>
    <definedName name="Total_downtime">#REF!</definedName>
    <definedName name="TOTAL_FERTILISER">#REF!</definedName>
    <definedName name="TOTAL_LOAD">#REF!</definedName>
    <definedName name="TOTAL_PARTY">#REF!</definedName>
    <definedName name="TOTAL_PESTICIDE">#REF!</definedName>
    <definedName name="Total_reserves">#REF!</definedName>
    <definedName name="Total_reserves_1">"#REF!"</definedName>
    <definedName name="Total_reserves_2">#REF!</definedName>
    <definedName name="Total_reserves_3">#REF!</definedName>
    <definedName name="Total_reserves_31">#REF!</definedName>
    <definedName name="Total_reserves_33">#REF!</definedName>
    <definedName name="Total_reserves_4">#REF!</definedName>
    <definedName name="TOTAL_SEED">#REF!</definedName>
    <definedName name="TotalAssetsAprActual">#REF!</definedName>
    <definedName name="TotalAssetsAugProj">#REF!</definedName>
    <definedName name="TotalAssetsDecProj">#REF!</definedName>
    <definedName name="TotalAssetsFebProj">#REF!</definedName>
    <definedName name="TotalAssetsJanProj">#REF!</definedName>
    <definedName name="TotalAssetsJulyProj">#REF!</definedName>
    <definedName name="TotalAssetsJuneProj">#REF!</definedName>
    <definedName name="TotalAssetsMarProj">#REF!</definedName>
    <definedName name="TotalAssetsMayActual">#REF!</definedName>
    <definedName name="TotalAssetsMonthBudget">#REF!</definedName>
    <definedName name="TotalAssetsMonthDevToBud">#REF!</definedName>
    <definedName name="TotalAssetsMonthDevToLE">#REF!</definedName>
    <definedName name="TotalAssetsMonthLE">#REF!</definedName>
    <definedName name="TotalAssetsNovProj">#REF!</definedName>
    <definedName name="TotalAssetsOctProj">#REF!</definedName>
    <definedName name="TotalAssetsSepProj">#REF!</definedName>
    <definedName name="TotalAssetsTotalLE">#REF!</definedName>
    <definedName name="TotalAssetsYearActual">#REF!</definedName>
    <definedName name="TotalAssetsYearBudget">#REF!</definedName>
    <definedName name="TotalAssetsYearDevToBud">#REF!</definedName>
    <definedName name="TotalAssetsYearDevToLY">#REF!</definedName>
    <definedName name="TotalAssetsYearLY">#REF!</definedName>
    <definedName name="totalcap">#REF!</definedName>
    <definedName name="TotalCommitted">#REF!</definedName>
    <definedName name="TotalExpectedTotalExpenditure">#REF!</definedName>
    <definedName name="TotalExpenditureToDate">#REF!</definedName>
    <definedName name="TotalFunnelColor">#REF!</definedName>
    <definedName name="TotalPercentSanctioned">#REF!</definedName>
    <definedName name="TotalSanctioned">#REF!</definedName>
    <definedName name="TotalVol">#REF!</definedName>
    <definedName name="TOTNUM">#REF!</definedName>
    <definedName name="TPP" hidden="1">{#N/A,#N/A,FALSE,"A"}</definedName>
    <definedName name="TR">#REF!</definedName>
    <definedName name="TR___0">#REF!</definedName>
    <definedName name="TR___6">#REF!</definedName>
    <definedName name="TR1CP1LAST">"$"</definedName>
    <definedName name="TradeCreditorsAprActual">#REF!</definedName>
    <definedName name="TradeCreditorsAugProj">#REF!</definedName>
    <definedName name="TradeCreditorsDecProj">#REF!</definedName>
    <definedName name="TradeCreditorsFebProj">#REF!</definedName>
    <definedName name="TradeCreditorsJanProj">#REF!</definedName>
    <definedName name="TradeCreditorsJulyProj">#REF!</definedName>
    <definedName name="TradeCreditorsJuneProj">#REF!</definedName>
    <definedName name="TradeCreditorsMarProj">#REF!</definedName>
    <definedName name="TradeCreditorsMayActual">#REF!</definedName>
    <definedName name="TradeCreditorsMonthBudget">#REF!</definedName>
    <definedName name="TradeCreditorsNovProj">#REF!</definedName>
    <definedName name="TradeCreditorsOctProj">#REF!</definedName>
    <definedName name="TradeCreditorsSepProj">#REF!</definedName>
    <definedName name="TradeCreditorsTotalLE">#REF!</definedName>
    <definedName name="TradeDebitorsDeviation">#REF!</definedName>
    <definedName name="TradedebtorsAprActual">#REF!</definedName>
    <definedName name="TradedebtorsAugProj">#REF!</definedName>
    <definedName name="TradedebtorsDecProj">#REF!</definedName>
    <definedName name="TradedebtorsFebProj">#REF!</definedName>
    <definedName name="TradedebtorsJanProj">#REF!</definedName>
    <definedName name="TradedebtorsJulyProj">#REF!</definedName>
    <definedName name="TradedebtorsJuneProj">#REF!</definedName>
    <definedName name="TradedebtorsMarProj">#REF!</definedName>
    <definedName name="TradedebtorsMayActual">#REF!</definedName>
    <definedName name="TradeDebtorsMonthBudget">#REF!</definedName>
    <definedName name="TradeDebtorsMonthDevToBud">#REF!</definedName>
    <definedName name="TradeDebtorsMonthDevToLE">#REF!</definedName>
    <definedName name="TradeDebtorsMonthLE">#REF!</definedName>
    <definedName name="TradedebtorsNovProj">#REF!</definedName>
    <definedName name="TradedebtorsOctProj">#REF!</definedName>
    <definedName name="TradeDebtorsPrevYearActual">#REF!</definedName>
    <definedName name="TradeDebtorsPrevYearAnnualBudget">#REF!</definedName>
    <definedName name="TradeDebtorsPrevYearDeviation">#REF!</definedName>
    <definedName name="TradeDebtorsPrevYearPercentDeviationToBudget">#REF!</definedName>
    <definedName name="TradedebtorsSepProj">#REF!</definedName>
    <definedName name="TradedebtorsTotalLE">#REF!</definedName>
    <definedName name="TradeDebtorsYearBudget">#REF!</definedName>
    <definedName name="TradeDebtorsYearDeviation">#REF!</definedName>
    <definedName name="TradeDebtorsYearDevToBud">#REF!</definedName>
    <definedName name="TradeDebtorsYearDevTOLY">#REF!</definedName>
    <definedName name="TradeDebtorsYearLY">#REF!</definedName>
    <definedName name="TradeDebtorsYearPercentDeviationToBudget">#REF!</definedName>
    <definedName name="TRADICIONAL">#REF!</definedName>
    <definedName name="Translate.Format.Line">#REF!</definedName>
    <definedName name="Translate.Format.Line_2">#REF!</definedName>
    <definedName name="Translate.Format.Line_31">#REF!</definedName>
    <definedName name="Translate.Format.Line_4">#REF!</definedName>
    <definedName name="Translate.Format.Line_5">#REF!</definedName>
    <definedName name="TratC">#REF!</definedName>
    <definedName name="Travelling">#REF!</definedName>
    <definedName name="trd.cred.dys">#REF!</definedName>
    <definedName name="Treasury">#REF!</definedName>
    <definedName name="trinta_dias">#REF!</definedName>
    <definedName name="TRITURA1">#REF!</definedName>
    <definedName name="TRITURACION">#REF!</definedName>
    <definedName name="TRPEN">#REF!</definedName>
    <definedName name="try" hidden="1">#REF!</definedName>
    <definedName name="tryeuyit" hidden="1">{#N/A,#N/A,FALSE,"Pharm";#N/A,#N/A,FALSE,"WWCM"}</definedName>
    <definedName name="TS">"#REF!"</definedName>
    <definedName name="TS_3">"#REF!"</definedName>
    <definedName name="TSC">#REF!</definedName>
    <definedName name="tsg">#REF!</definedName>
    <definedName name="tsm_shares">#REF!</definedName>
    <definedName name="TT">"INDORAMA SYNTHETICS, POLYESTER DIVISION, PWK"</definedName>
    <definedName name="ttl.dbt">#REF!</definedName>
    <definedName name="ttt">INDEX(#REF!,0,1)</definedName>
    <definedName name="TTTT">#REF!</definedName>
    <definedName name="ttttt">#REF!</definedName>
    <definedName name="tttttttttttt">INDEX(#REF!,0,4)</definedName>
    <definedName name="tttttttttttttttttt">#N/A</definedName>
    <definedName name="tushar" hidden="1">#REF!</definedName>
    <definedName name="TV">#REF!</definedName>
    <definedName name="TwoMonthsBefore">#REF!</definedName>
    <definedName name="tydut">#N/A</definedName>
    <definedName name="Type">#REF!</definedName>
    <definedName name="Type1">#REF!</definedName>
    <definedName name="Type2">#REF!</definedName>
    <definedName name="TypeofLoan">#REF!</definedName>
    <definedName name="tyu">#REF!</definedName>
    <definedName name="tyutytyi" hidden="1">{#N/A,#N/A,FALSE,"Pharm";#N/A,#N/A,FALSE,"WWCM"}</definedName>
    <definedName name="tyyufkjkhjd" hidden="1">{#N/A,#N/A,FALSE,"Pharm";#N/A,#N/A,FALSE,"WWCM"}</definedName>
    <definedName name="U">#REF!/1000</definedName>
    <definedName name="uari">#REF!</definedName>
    <definedName name="UD">#REF!</definedName>
    <definedName name="ugiogu">#N/A</definedName>
    <definedName name="uiiilijhkj" hidden="1">{"'CONSOLIDADO'!$B$10:$R$57"}</definedName>
    <definedName name="UIOPSDF"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KPL">#REF!</definedName>
    <definedName name="UKsoda.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Última_Linha">#N/A</definedName>
    <definedName name="uma" hidden="1">{#N/A,#N/A,FALSE,"COVER1.XLS ";#N/A,#N/A,FALSE,"RACT1.XLS";#N/A,#N/A,FALSE,"RACT2.XLS";#N/A,#N/A,FALSE,"ECCMP";#N/A,#N/A,FALSE,"WELDER.XLS"}</definedName>
    <definedName name="ummi" hidden="1">#REF!</definedName>
    <definedName name="UNI_AA_VERSION" hidden="1">"202.1.0"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ND" hidden="1">16384</definedName>
    <definedName name="UNI_RET_EQUIP" hidden="1">32768</definedName>
    <definedName name="UNI_RET_EVENT" hidden="1">4096</definedName>
    <definedName name="UNI_RET_OFFSPEC" hidden="1">512</definedName>
    <definedName name="UNI_RET_ONSPEC" hidden="1">256</definedName>
    <definedName name="UNI_RET_PROP" hidden="1">131072</definedName>
    <definedName name="UNI_RET_PROPDESC" hidden="1">262144</definedName>
    <definedName name="UNI_RET_SMPLPNT" hidden="1">65536</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hidden="1">{#N/A,#N/A,FALSE,"Pharm";#N/A,#N/A,FALSE,"WWCM"}</definedName>
    <definedName name="UNIT___PT_Indo_Liberty">#REF!</definedName>
    <definedName name="UNIT___Rasim_Gwalior">#REF!</definedName>
    <definedName name="UNIT___RCM">#REF!</definedName>
    <definedName name="Unit_Name">#REF!</definedName>
    <definedName name="Unit1Gr3Jan">#REF!</definedName>
    <definedName name="Unit1Gr6Jan">#REF!</definedName>
    <definedName name="Unit2Gr1Apr">#REF!</definedName>
    <definedName name="Unit2Gr1Feb">#REF!</definedName>
    <definedName name="Unit2Gr1Jan">#REF!</definedName>
    <definedName name="Unit2Gr1Mar">#REF!</definedName>
    <definedName name="Unit2Gr2Apr">#REF!</definedName>
    <definedName name="Unit2Gr2Feb">#REF!</definedName>
    <definedName name="Unit2Gr2Jan">#REF!</definedName>
    <definedName name="Unit2Gr2Mar">#REF!</definedName>
    <definedName name="Unit2Gr3Apr">#REF!</definedName>
    <definedName name="Unit2Gr3Feb">#REF!</definedName>
    <definedName name="Unit2Gr3Jan">#REF!</definedName>
    <definedName name="Unit2Gr3Mar">#REF!</definedName>
    <definedName name="Unit2Gr4Apr">#REF!</definedName>
    <definedName name="Unit2Gr4Feb">#REF!</definedName>
    <definedName name="Unit2Gr4Jan">#REF!</definedName>
    <definedName name="Unit2Gr4Mar">#REF!</definedName>
    <definedName name="Unit2Gr5Apr">#REF!</definedName>
    <definedName name="Unit2Gr5Feb">#REF!</definedName>
    <definedName name="Unit2Gr5Jan">#REF!</definedName>
    <definedName name="Unit2Gr5Mar">#REF!</definedName>
    <definedName name="Unit2Gr6Apr">#REF!</definedName>
    <definedName name="Unit2Gr6Feb">#REF!</definedName>
    <definedName name="Unit2Gr6Jan">#REF!</definedName>
    <definedName name="Unit2Gr6Mar">#REF!</definedName>
    <definedName name="Unit3Gr1Apr">#REF!</definedName>
    <definedName name="Unit3Gr1Feb">#REF!</definedName>
    <definedName name="Unit3Gr1Jan">#REF!</definedName>
    <definedName name="Unit3Gr1Mar">#REF!</definedName>
    <definedName name="Unit3Gr2Apr">#REF!</definedName>
    <definedName name="Unit3Gr2Feb">#REF!</definedName>
    <definedName name="Unit3Gr2Jan">#REF!</definedName>
    <definedName name="Unit3Gr2Mar">#REF!</definedName>
    <definedName name="Unit3Gr3Apr">#REF!</definedName>
    <definedName name="Unit3Gr3Feb">#REF!</definedName>
    <definedName name="Unit3Gr3Jan">#REF!</definedName>
    <definedName name="Unit3Gr3Mar">#REF!</definedName>
    <definedName name="Unit3Gr4Apr">#REF!</definedName>
    <definedName name="Unit3Gr4Feb">#REF!</definedName>
    <definedName name="Unit3Gr4Jan">#REF!</definedName>
    <definedName name="Unit3Gr4Mar">#REF!</definedName>
    <definedName name="Unit3Gr5Apr">#REF!</definedName>
    <definedName name="Unit3Gr5Feb">#REF!</definedName>
    <definedName name="Unit3Gr5Jan">#REF!</definedName>
    <definedName name="Unit3Gr5Mar">#REF!</definedName>
    <definedName name="Unit3Gr6Apr">#REF!</definedName>
    <definedName name="Unit3Gr6Feb">#REF!</definedName>
    <definedName name="Unit3Gr6Jan">#REF!</definedName>
    <definedName name="Unit3Gr6Mar">#REF!</definedName>
    <definedName name="Unit4Gr1Apr">#REF!</definedName>
    <definedName name="Unit4Gr1Feb">#REF!</definedName>
    <definedName name="Unit4Gr1Jan">#REF!</definedName>
    <definedName name="Unit4Gr1Mar">#REF!</definedName>
    <definedName name="Unit4Gr2Apr">#REF!</definedName>
    <definedName name="Unit4Gr2Feb">#REF!</definedName>
    <definedName name="Unit4Gr2Jan">#REF!</definedName>
    <definedName name="Unit4Gr2Mar">#REF!</definedName>
    <definedName name="Unit4Gr3Apr">#REF!</definedName>
    <definedName name="Unit4Gr3Feb">#REF!</definedName>
    <definedName name="Unit4Gr3Jan">#REF!</definedName>
    <definedName name="Unit4Gr3Mar">#REF!</definedName>
    <definedName name="Unit4Gr4Apr">#REF!</definedName>
    <definedName name="Unit4Gr4Feb">#REF!</definedName>
    <definedName name="Unit4Gr4Jan">#REF!</definedName>
    <definedName name="Unit4Gr4Mar">#REF!</definedName>
    <definedName name="Unit4Gr5Apr">#REF!</definedName>
    <definedName name="Unit4Gr5Feb">#REF!</definedName>
    <definedName name="Unit4Gr5Jan">#REF!</definedName>
    <definedName name="Unit4Gr5Mar">#REF!</definedName>
    <definedName name="Unit4Gr6Apr">#REF!</definedName>
    <definedName name="Unit4Gr6Feb">#REF!</definedName>
    <definedName name="Unit4Gr6Jan">#REF!</definedName>
    <definedName name="Unit4Gr6Mar">#REF!</definedName>
    <definedName name="Unit5Gr1Apr">#REF!</definedName>
    <definedName name="Unit5Gr1Feb">#REF!</definedName>
    <definedName name="Unit5Gr1Jan">#REF!</definedName>
    <definedName name="Unit5Gr1Mar">#REF!</definedName>
    <definedName name="Unit5Gr2Apr">#REF!</definedName>
    <definedName name="Unit5Gr2Feb">#REF!</definedName>
    <definedName name="Unit5Gr2Jan">#REF!</definedName>
    <definedName name="Unit5Gr2Mar">#REF!</definedName>
    <definedName name="Unit5Gr3Apr">#REF!</definedName>
    <definedName name="Unit5Gr3Feb">#REF!</definedName>
    <definedName name="Unit5Gr3Jan">#REF!</definedName>
    <definedName name="Unit5Gr3Mar">#REF!</definedName>
    <definedName name="Unit5Gr4Apr">#REF!</definedName>
    <definedName name="Unit5Gr4Feb">#REF!</definedName>
    <definedName name="Unit5Gr4Jan">#REF!</definedName>
    <definedName name="Unit5Gr4Mar">#REF!</definedName>
    <definedName name="Unit5Gr5Apre">#REF!</definedName>
    <definedName name="Unit5Gr5Feb">#REF!</definedName>
    <definedName name="Unit5Gr5Jan">#REF!</definedName>
    <definedName name="Unit5Gr5Mar">#REF!</definedName>
    <definedName name="Unit5Gr6Apr">#REF!</definedName>
    <definedName name="Unit5Gr6Feb">#REF!</definedName>
    <definedName name="Unit5Gr6Jan">#REF!</definedName>
    <definedName name="Unit5Gr6Mar">#REF!</definedName>
    <definedName name="Unit6Gr1Apr">#REF!</definedName>
    <definedName name="Unit6Gr1Feb">#REF!</definedName>
    <definedName name="Unit6Gr1Jan">#REF!</definedName>
    <definedName name="Unit6Gr1Mar">#REF!</definedName>
    <definedName name="Unit6Gr2Apr">#REF!</definedName>
    <definedName name="Unit6Gr2Feb">#REF!</definedName>
    <definedName name="Unit6Gr2Jan">#REF!</definedName>
    <definedName name="Unit6Gr2Mar">#REF!</definedName>
    <definedName name="Unit6Gr3Apr">#REF!</definedName>
    <definedName name="Unit6Gr3Feb">#REF!</definedName>
    <definedName name="Unit6Gr3Jan">#REF!</definedName>
    <definedName name="Unit6Gr3Mar">#REF!</definedName>
    <definedName name="Unit6Gr4Apr">#REF!</definedName>
    <definedName name="Unit6Gr4Feb">#REF!</definedName>
    <definedName name="Unit6Gr4Jan">#REF!</definedName>
    <definedName name="Unit6Gr4Mar">#REF!</definedName>
    <definedName name="Unit6Gr5Apr">#REF!</definedName>
    <definedName name="Unit6Gr5Feb">#REF!</definedName>
    <definedName name="Unit6Gr5Jan">#REF!</definedName>
    <definedName name="Unit6Gr5Mar">#REF!</definedName>
    <definedName name="Unit6Gr6Apr">#REF!</definedName>
    <definedName name="Unit6Gr6Feb">#REF!</definedName>
    <definedName name="Unit6Gr6Jan">#REF!</definedName>
    <definedName name="Unit6Gr6Mar">#REF!</definedName>
    <definedName name="UnitCodes">#REF!</definedName>
    <definedName name="unite">#REF!</definedName>
    <definedName name="UnitName">#REF!</definedName>
    <definedName name="UnitPerformancDevToLE">#REF!</definedName>
    <definedName name="UnitPerformanceDevToLE">#REF!</definedName>
    <definedName name="UnitPerformanceDevToLY">#REF!</definedName>
    <definedName name="UnitPerformanceLE">#REF!</definedName>
    <definedName name="UnitPerformanceLY">#REF!</definedName>
    <definedName name="UnitPerformanceMonthActual">#REF!</definedName>
    <definedName name="UnitPerformanceMonthBudget">#REF!</definedName>
    <definedName name="UnitPerformanceMonthDevToBud">#REF!</definedName>
    <definedName name="UnitPerformanceYearActual">#REF!</definedName>
    <definedName name="UnitPerformanceYearDevToBudget">#REF!</definedName>
    <definedName name="UnitPerformancLE">#REF!</definedName>
    <definedName name="UnitPerformancMonthDevToBud">#REF!</definedName>
    <definedName name="UnitPerformancYearActual">#REF!</definedName>
    <definedName name="UnitPerformancYearBudget">#REF!</definedName>
    <definedName name="Units">#REF!</definedName>
    <definedName name="unnamed">#REF!</definedName>
    <definedName name="unnamed_1">"$"</definedName>
    <definedName name="unnamed_2">#REF!</definedName>
    <definedName name="unnamed_3">#REF!</definedName>
    <definedName name="unnamed_4">#REF!</definedName>
    <definedName name="UnsecuredLoansCY">#REF!</definedName>
    <definedName name="UnsecuredLoansLY">#REF!</definedName>
    <definedName name="up">#REF!</definedName>
    <definedName name="upfrnt.fee">#REF!</definedName>
    <definedName name="US">#REF!</definedName>
    <definedName name="usd">#REF!</definedName>
    <definedName name="USD___3">9018</definedName>
    <definedName name="USD_1">#REF!</definedName>
    <definedName name="usd_13">10060</definedName>
    <definedName name="USD_19">9250</definedName>
    <definedName name="USD_2">#REF!</definedName>
    <definedName name="usd_25">#REF!</definedName>
    <definedName name="USD_32">9170</definedName>
    <definedName name="usd_49">10060</definedName>
    <definedName name="USD_7">9250</definedName>
    <definedName name="USD_7_1">#REF!</definedName>
    <definedName name="USD_9">9415</definedName>
    <definedName name="USD_PER_MTR">#REF!</definedName>
    <definedName name="USD_PER_MTR_7">#REF!</definedName>
    <definedName name="Useful_Life_of_Depreciable_PP_E">"PPElife"</definedName>
    <definedName name="UserName">#REF!</definedName>
    <definedName name="UtilitiesCostAprActual">#REF!</definedName>
    <definedName name="UtilitiesCostAugProj">#REF!</definedName>
    <definedName name="UtilitiesCostDecProj">#REF!</definedName>
    <definedName name="UtilitiesCostDevToLE">#REF!</definedName>
    <definedName name="UtilitiesCostDevToLY">#REF!</definedName>
    <definedName name="UtilitiesCostFebProj">#REF!</definedName>
    <definedName name="UtilitiesCostJanProj">#REF!</definedName>
    <definedName name="UtilitiesCostJulyProj">#REF!</definedName>
    <definedName name="UtilitiesCostJuneProj">#REF!</definedName>
    <definedName name="UtilitiesCostLE">#REF!</definedName>
    <definedName name="UtilitiesCostLY">#REF!</definedName>
    <definedName name="UtilitiesCostMarProj">#REF!</definedName>
    <definedName name="UtilitiesCostMayActual">#REF!</definedName>
    <definedName name="UtilitiesCostMonthAaactual">#REF!</definedName>
    <definedName name="UtilitiesCostMonthActual">#REF!</definedName>
    <definedName name="UtilitiesCostMonthBudget">#REF!</definedName>
    <definedName name="UtilitiesCostMonthDevToBud">#REF!</definedName>
    <definedName name="UtilitiesCostMonthDevToBudget">#REF!</definedName>
    <definedName name="UtilitiesCostMonthDevToLE">#REF!</definedName>
    <definedName name="UtilitiesCostMonthLE">#REF!</definedName>
    <definedName name="UtilitiesCostNovProj">#REF!</definedName>
    <definedName name="UtilitiesCostOctProj">#REF!</definedName>
    <definedName name="UtilitiesCostSepProj">#REF!</definedName>
    <definedName name="UtilitiesCostTotalLE">#REF!</definedName>
    <definedName name="UtilitiesCostYearActual">#REF!</definedName>
    <definedName name="UtilitiesCostYearBudget">#REF!</definedName>
    <definedName name="UtilitiesCostYearDevToBud">#REF!</definedName>
    <definedName name="UtilitiesCostYearDevToLY">#REF!</definedName>
    <definedName name="UtilitiesCostYearLY">#REF!</definedName>
    <definedName name="utility">#REF!</definedName>
    <definedName name="UTL">#REF!</definedName>
    <definedName name="uu">INDEX(#REF!,0,4)</definedName>
    <definedName name="uuu">#REF!</definedName>
    <definedName name="uuuu" hidden="1">{"EconCons (Econômico - Consolidado)",#N/A,FALSE,"Econômico - Consolidado";"CaixaCons",#N/A,FALSE,"Caixa - Consolidado";"Rio Branco",#N/A,FALSE,"Rio Branco";"Itajaí",#N/A,FALSE,"Itajaí";"Esteio",#N/A,FALSE,"Esteio";"P. Machado",#N/A,FALSE,"P. Machado";"InvestCons (Invest Consolidado)",#N/A,FALSE,"Invest Consolidado"}</definedName>
    <definedName name="uuuuuuu">#REF!</definedName>
    <definedName name="uuuuuuuuuuuuu">INDEX(#REF!,0,1)</definedName>
    <definedName name="V" hidden="1">{#N/A,#N/A,FALSE,"FlCx99";#N/A,#N/A,FALSE,"Dívida99"}</definedName>
    <definedName name="V_1" hidden="1">{#N/A,#N/A,FALSE,"FlCx99";#N/A,#N/A,FALSE,"Dívida99"}</definedName>
    <definedName name="V_2" hidden="1">{#N/A,#N/A,FALSE,"FlCx99";#N/A,#N/A,FALSE,"Dívida99"}</definedName>
    <definedName name="V_3" hidden="1">{#N/A,#N/A,FALSE,"FlCx99";#N/A,#N/A,FALSE,"Dívida99"}</definedName>
    <definedName name="V_4" hidden="1">{#N/A,#N/A,FALSE,"FlCx99";#N/A,#N/A,FALSE,"Dívida99"}</definedName>
    <definedName name="V_5" hidden="1">{#N/A,#N/A,FALSE,"FlCx99";#N/A,#N/A,FALSE,"Dívida99"}</definedName>
    <definedName name="V0" hidden="1">{#N/A,#N/A,FALSE,"FlCx99";#N/A,#N/A,FALSE,"Dívida99"}</definedName>
    <definedName name="V0_1" hidden="1">{#N/A,#N/A,FALSE,"FlCx99";#N/A,#N/A,FALSE,"Dívida99"}</definedName>
    <definedName name="V0_2" hidden="1">{#N/A,#N/A,FALSE,"FlCx99";#N/A,#N/A,FALSE,"Dívida99"}</definedName>
    <definedName name="V0_3" hidden="1">{#N/A,#N/A,FALSE,"FlCx99";#N/A,#N/A,FALSE,"Dívida99"}</definedName>
    <definedName name="V0_4" hidden="1">{#N/A,#N/A,FALSE,"FlCx99";#N/A,#N/A,FALSE,"Dívida99"}</definedName>
    <definedName name="V0_5" hidden="1">{#N/A,#N/A,FALSE,"FlCx99";#N/A,#N/A,FALSE,"Dívida99"}</definedName>
    <definedName name="vActual">#REF!</definedName>
    <definedName name="Vail" hidden="1">{"PVGraph2",#N/A,FALSE,"PV Data"}</definedName>
    <definedName name="Vail_1" hidden="1">{"PVGraph2",#N/A,FALSE,"PV Data"}</definedName>
    <definedName name="Vail_2" hidden="1">{"PVGraph2",#N/A,FALSE,"PV Data"}</definedName>
    <definedName name="Vail_3" hidden="1">{"PVGraph2",#N/A,FALSE,"PV Data"}</definedName>
    <definedName name="Vail_4" hidden="1">{"PVGraph2",#N/A,FALSE,"PV Data"}</definedName>
    <definedName name="Vail_5" hidden="1">{"PVGraph2",#N/A,FALSE,"PV Data"}</definedName>
    <definedName name="Valclosingstock">#REF!</definedName>
    <definedName name="valid">#REF!</definedName>
    <definedName name="Valor_do_Empréstimo">#REF!</definedName>
    <definedName name="Valor_FCFE">#REF!</definedName>
    <definedName name="Valores_Inseridos">#N/A</definedName>
    <definedName name="valorise">#REF!</definedName>
    <definedName name="vaporBTA">#REF!</definedName>
    <definedName name="vaporRAF">#REF!</definedName>
    <definedName name="var" hidden="1">{#N/A,#N/A,FALSE,"Ut";#N/A,#N/A,FALSE,"UT-h"}</definedName>
    <definedName name="Variance">#REF!</definedName>
    <definedName name="Variance_9">#REF!</definedName>
    <definedName name="VATVA">#REF!</definedName>
    <definedName name="VBA_SUBACTIONS" hidden="1">#REF!</definedName>
    <definedName name="VBA_VERSION" hidden="1">"1.10.1e"</definedName>
    <definedName name="VC_Upload">#REF!</definedName>
    <definedName name="vc5.inv.dys">#REF!</definedName>
    <definedName name="VCCLINJLY" hidden="1">{"Financial Performance_SP",#N/A,FALSE,"Fin Perf(Sp)";"Operational Indicators_SP",#N/A,FALSE,"Op Ind(sp)";"Resources Utilisation_SP",#N/A,FALSE,"ResUtil (Sp)"}</definedName>
    <definedName name="VCDEC2001"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vdvcq3">#REF!</definedName>
    <definedName name="Vehicle">#REF!</definedName>
    <definedName name="Vehicle_1">NA()</definedName>
    <definedName name="venda1">#REF!</definedName>
    <definedName name="venda2">#REF!</definedName>
    <definedName name="venda3">#REF!</definedName>
    <definedName name="Version.WIRE">1</definedName>
    <definedName name="VERTICAL_SAG">#REF!</definedName>
    <definedName name="VertPos">#REF!</definedName>
    <definedName name="VF">#REF!</definedName>
    <definedName name="VF___0">#REF!</definedName>
    <definedName name="VF_1">#REF!</definedName>
    <definedName name="VF_2">#REF!</definedName>
    <definedName name="vfd" hidden="1">{"Financial Performance_SP",#N/A,FALSE,"Fin Perf(Sp)";"Operational Indicators_SP",#N/A,FALSE,"Op Ind(sp)";"Resources Utilisation_SP",#N/A,FALSE,"ResUtil (Sp)"}</definedName>
    <definedName name="VFDSA" hidden="1">{#N/A,#N/A,FALSE,"INV14"}</definedName>
    <definedName name="vhc" hidden="1">{#N/A,#N/A,FALSE,"FlCx99";#N/A,#N/A,FALSE,"Dívida99"}</definedName>
    <definedName name="vhc_1" hidden="1">{#N/A,#N/A,FALSE,"FlCx99";#N/A,#N/A,FALSE,"Dívida99"}</definedName>
    <definedName name="vhc_2" hidden="1">{#N/A,#N/A,FALSE,"FlCx99";#N/A,#N/A,FALSE,"Dívida99"}</definedName>
    <definedName name="vhc_3" hidden="1">{#N/A,#N/A,FALSE,"FlCx99";#N/A,#N/A,FALSE,"Dívida99"}</definedName>
    <definedName name="vhc_4" hidden="1">{#N/A,#N/A,FALSE,"FlCx99";#N/A,#N/A,FALSE,"Dívida99"}</definedName>
    <definedName name="vhc_5" hidden="1">{#N/A,#N/A,FALSE,"FlCx99";#N/A,#N/A,FALSE,"Dívida99"}</definedName>
    <definedName name="vidmag">#REF!</definedName>
    <definedName name="ViewBreakEven">#REF!</definedName>
    <definedName name="ViewBreakEven_7">#REF!</definedName>
    <definedName name="ViewBreakEven1">#REF!</definedName>
    <definedName name="ViewBreakEven1_7">#REF!</definedName>
    <definedName name="ViewCost">#REF!</definedName>
    <definedName name="ViewCost_7">#REF!</definedName>
    <definedName name="ViewCost1">#REF!</definedName>
    <definedName name="ViewCost1_7">#REF!</definedName>
    <definedName name="ViewCost2">#REF!</definedName>
    <definedName name="ViewCost2_7">#REF!</definedName>
    <definedName name="ViewCustom">#REF!</definedName>
    <definedName name="ViewCustom_7">#REF!</definedName>
    <definedName name="ViewCustom1">#REF!</definedName>
    <definedName name="ViewCustom1_7">#REF!</definedName>
    <definedName name="ViewHeading">#REF!</definedName>
    <definedName name="ViewHeading_7">#REF!</definedName>
    <definedName name="ViewMain">#REF!</definedName>
    <definedName name="ViewMain_7">#REF!</definedName>
    <definedName name="ViewMain1">#REF!</definedName>
    <definedName name="ViewMain1_7">#REF!</definedName>
    <definedName name="ViewMain2">#REF!</definedName>
    <definedName name="ViewMain2_7">#REF!</definedName>
    <definedName name="viewparameter">#REF!</definedName>
    <definedName name="viewparameter_7">#REF!</definedName>
    <definedName name="viewparameter1">#REF!</definedName>
    <definedName name="viewparameter1_7">#REF!</definedName>
    <definedName name="VK">#REF!</definedName>
    <definedName name="VK___0">#REF!</definedName>
    <definedName name="VK_8">#REF!</definedName>
    <definedName name="VOL">#REF!</definedName>
    <definedName name="VOLUME">#REF!</definedName>
    <definedName name="VolumeCell">#REF!</definedName>
    <definedName name="VolumeComplement">#REF!</definedName>
    <definedName name="vpl">#REF!</definedName>
    <definedName name="vpl_incremental">#REF!</definedName>
    <definedName name="VTM_1" hidden="1">#REF!</definedName>
    <definedName name="VTM_2" hidden="1">#REF!</definedName>
    <definedName name="vv" hidden="1">{#N/A,#N/A,FALSE,"CAT3516";#N/A,#N/A,FALSE,"CAT3608";#N/A,#N/A,FALSE,"Wartsila";#N/A,#N/A,FALSE,"Asm";#N/A,#N/A,FALSE,"DG cost"}</definedName>
    <definedName name="vvv">INDEX(#REF!,0,1)</definedName>
    <definedName name="vvvv">#N/A</definedName>
    <definedName name="vvvvvvvvvvvvvvvvvvvvvvvvvv" hidden="1">{"'CONSOLIDADO'!$B$10:$R$57"}</definedName>
    <definedName name="VVZZ"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VYT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 hidden="1">#REF!</definedName>
    <definedName name="W_?QUARTERWISE_COMPARI">#REF!</definedName>
    <definedName name="w_1" hidden="1">{#N/A,#N/A,FALSE,"DRE-2";#N/A,#N/A,FALSE,"DRE";#N/A,#N/A,FALSE,"ANEX-07";#N/A,#N/A,FALSE,"ANEX-08";#N/A,#N/A,FALSE,"ANEX-09";#N/A,#N/A,FALSE,"ANEX-10";#N/A,#N/A,FALSE,"ANEX-11";#N/A,#N/A,FALSE,"ANEX-12";#N/A,#N/A,FALSE,"ANEX-13";#N/A,#N/A,FALSE,"ANEX-14";#N/A,#N/A,FALSE,"BALPTR"}</definedName>
    <definedName name="w_2" hidden="1">{#N/A,#N/A,FALSE,"DRE-2";#N/A,#N/A,FALSE,"DRE";#N/A,#N/A,FALSE,"ANEX-07";#N/A,#N/A,FALSE,"ANEX-08";#N/A,#N/A,FALSE,"ANEX-09";#N/A,#N/A,FALSE,"ANEX-10";#N/A,#N/A,FALSE,"ANEX-11";#N/A,#N/A,FALSE,"ANEX-12";#N/A,#N/A,FALSE,"ANEX-13";#N/A,#N/A,FALSE,"ANEX-14";#N/A,#N/A,FALSE,"BALPTR"}</definedName>
    <definedName name="w_3" hidden="1">{#N/A,#N/A,FALSE,"DRE-2";#N/A,#N/A,FALSE,"DRE";#N/A,#N/A,FALSE,"ANEX-07";#N/A,#N/A,FALSE,"ANEX-08";#N/A,#N/A,FALSE,"ANEX-09";#N/A,#N/A,FALSE,"ANEX-10";#N/A,#N/A,FALSE,"ANEX-11";#N/A,#N/A,FALSE,"ANEX-12";#N/A,#N/A,FALSE,"ANEX-13";#N/A,#N/A,FALSE,"ANEX-14";#N/A,#N/A,FALSE,"BALPTR"}</definedName>
    <definedName name="w_4" hidden="1">{#N/A,#N/A,FALSE,"DRE-2";#N/A,#N/A,FALSE,"DRE";#N/A,#N/A,FALSE,"ANEX-07";#N/A,#N/A,FALSE,"ANEX-08";#N/A,#N/A,FALSE,"ANEX-09";#N/A,#N/A,FALSE,"ANEX-10";#N/A,#N/A,FALSE,"ANEX-11";#N/A,#N/A,FALSE,"ANEX-12";#N/A,#N/A,FALSE,"ANEX-13";#N/A,#N/A,FALSE,"ANEX-14";#N/A,#N/A,FALSE,"BALPTR"}</definedName>
    <definedName name="w_5" hidden="1">{#N/A,#N/A,FALSE,"DRE-2";#N/A,#N/A,FALSE,"DRE";#N/A,#N/A,FALSE,"ANEX-07";#N/A,#N/A,FALSE,"ANEX-08";#N/A,#N/A,FALSE,"ANEX-09";#N/A,#N/A,FALSE,"ANEX-10";#N/A,#N/A,FALSE,"ANEX-11";#N/A,#N/A,FALSE,"ANEX-12";#N/A,#N/A,FALSE,"ANEX-13";#N/A,#N/A,FALSE,"ANEX-14";#N/A,#N/A,FALSE,"BALPTR"}</definedName>
    <definedName name="wa">#REF!</definedName>
    <definedName name="wacc">#REF!</definedName>
    <definedName name="warehouse">#REF!</definedName>
    <definedName name="was" hidden="1">{#N/A,#N/A,FALSE,"Sales Graph";#N/A,#N/A,FALSE,"BUC Graph";#N/A,#N/A,FALSE,"P&amp;L - YTD"}</definedName>
    <definedName name="Waste">#REF!</definedName>
    <definedName name="waste1">#REF!</definedName>
    <definedName name="waste2">#REF!</definedName>
    <definedName name="waste3">#REF!</definedName>
    <definedName name="waste4">#REF!</definedName>
    <definedName name="water">#REF!</definedName>
    <definedName name="Water_Blocking_Tape_Width1">#REF!</definedName>
    <definedName name="Water_Blocking_tape_width2">#REF!</definedName>
    <definedName name="Water_Hot">#REF!</definedName>
    <definedName name="Water_UDI">#REF!</definedName>
    <definedName name="wb" hidden="1">{#N/A,#N/A,FALSE,"Pharm";#N/A,#N/A,FALSE,"WWCM"}</definedName>
    <definedName name="WB_tapes">#REF!</definedName>
    <definedName name="WBMAX">#REF!</definedName>
    <definedName name="wc">#REF!</definedName>
    <definedName name="wc_print">#REF!</definedName>
    <definedName name="WCEBIT">#REF!</definedName>
    <definedName name="wcom" hidden="1">{"IS",#N/A,FALSE,"IS";"RPTIS",#N/A,FALSE,"RPTIS";"STATS",#N/A,FALSE,"STATS";"BS",#N/A,FALSE,"BS"}</definedName>
    <definedName name="WCS">#REF!</definedName>
    <definedName name="WCT">0.04</definedName>
    <definedName name="wdhldhqoqpiwiuqw2222" hidden="1">#REF!</definedName>
    <definedName name="wdwdww">#REF!</definedName>
    <definedName name="we" hidden="1">{#N/A,#N/A,FALSE,"Pharm";#N/A,#N/A,FALSE,"WWCM"}</definedName>
    <definedName name="wedWED">#REF!</definedName>
    <definedName name="Week">INDEX(#REF!,0,1)</definedName>
    <definedName name="WeeklyPlan">INDEX(#REF!,0,3)</definedName>
    <definedName name="WeeklyProd">INDEX(#REF!,0,2)</definedName>
    <definedName name="Weight">#REF!</definedName>
    <definedName name="Weight_List">#REF!</definedName>
    <definedName name="Wellpont">#N/A</definedName>
    <definedName name="wendywan_4_final">#REF!</definedName>
    <definedName name="wendywan_fins_final">#REF!</definedName>
    <definedName name="WER">#REF!</definedName>
    <definedName name="werrr" hidden="1">{#N/A,#N/A,FALSE,"Pharm";#N/A,#N/A,FALSE,"WWCM"}</definedName>
    <definedName name="wew">#REF!</definedName>
    <definedName name="Whitehall">#REF!</definedName>
    <definedName name="WHT">#REF!</definedName>
    <definedName name="WIND_FORCE">#REF!</definedName>
    <definedName name="WIND_PRESSURE">#REF!</definedName>
    <definedName name="winnasd">#REF!</definedName>
    <definedName name="WinStar_RSPALDING">#REF!</definedName>
    <definedName name="wip.inv.dys">#REF!</definedName>
    <definedName name="WKGM" hidden="1">{#N/A,#N/A,FALSE,"A"}</definedName>
    <definedName name="Wks_In_Yr">#REF!</definedName>
    <definedName name="WM">"#REF!"</definedName>
    <definedName name="WM_3">"#REF!"</definedName>
    <definedName name="Word">#REF!</definedName>
    <definedName name="WORD_1">NA()</definedName>
    <definedName name="WORD_2">#REF!</definedName>
    <definedName name="WORD_31">#REF!</definedName>
    <definedName name="WORD_4">#REF!</definedName>
    <definedName name="WORD_5">#REF!</definedName>
    <definedName name="WordMatrix">#REF!</definedName>
    <definedName name="work"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orkfront" hidden="1">{#N/A,#N/A,FALSE,"COVER1.XLS ";#N/A,#N/A,FALSE,"RACT1.XLS";#N/A,#N/A,FALSE,"RACT2.XLS";#N/A,#N/A,FALSE,"ECCMP";#N/A,#N/A,FALSE,"WELDER.XLS"}</definedName>
    <definedName name="working" hidden="1">{#N/A,#N/A,FALSE,"REPORT"}</definedName>
    <definedName name="Working_Capital">#REF!</definedName>
    <definedName name="WORKS">#REF!</definedName>
    <definedName name="WORKS_27">"$"</definedName>
    <definedName name="WORST_TEMP">#REF!</definedName>
    <definedName name="wq">#REF!</definedName>
    <definedName name="wqwf">#REF!</definedName>
    <definedName name="wrc.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c.u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D">#REF!</definedName>
    <definedName name="WRKLAST">#REF!</definedName>
    <definedName name="WRKLAST_27">"$"</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{"cover",#N/A,TRUE,"Cover";"toc1",#N/A,TRUE,"TOC";"ts1",#N/A,TRUE,"Transaction Summary";"ei",#N/A,TRUE,"Earnings Impact";"ad",#N/A,TRUE,"accretion dilution"}</definedName>
    <definedName name="wrn.1._1" hidden="1">{"cover",#N/A,TRUE,"Cover";"toc1",#N/A,TRUE,"TOC";"ts1",#N/A,TRUE,"Transaction Summary";"ei",#N/A,TRUE,"Earnings Impact";"ad",#N/A,TRUE,"accretion dilution"}</definedName>
    <definedName name="wrn.1._2" hidden="1">{"cover",#N/A,TRUE,"Cover";"toc1",#N/A,TRUE,"TOC";"ts1",#N/A,TRUE,"Transaction Summary";"ei",#N/A,TRUE,"Earnings Impact";"ad",#N/A,TRUE,"accretion dilution"}</definedName>
    <definedName name="wrn.1._3" hidden="1">{"cover",#N/A,TRUE,"Cover";"toc1",#N/A,TRUE,"TOC";"ts1",#N/A,TRUE,"Transaction Summary";"ei",#N/A,TRUE,"Earnings Impact";"ad",#N/A,TRUE,"accretion dilution"}</definedName>
    <definedName name="wrn.1._4" hidden="1">{"cover",#N/A,TRUE,"Cover";"toc1",#N/A,TRUE,"TOC";"ts1",#N/A,TRUE,"Transaction Summary";"ei",#N/A,TRUE,"Earnings Impact";"ad",#N/A,TRUE,"accretion dilution"}</definedName>
    <definedName name="wrn.1._5" hidden="1">{"cover",#N/A,TRUE,"Cover";"toc1",#N/A,TRUE,"TOC";"ts1",#N/A,TRUE,"Transaction Summary";"ei",#N/A,TRUE,"Earnings Impact";"ad",#N/A,TRUE,"accretion dilution"}</definedName>
    <definedName name="wrn.10." hidden="1">{"cover",#N/A,TRUE,"Cover";"toc3",#N/A,TRUE,"TOC";"over",#N/A,TRUE,"Overview";"ts2",#N/A,TRUE,"Det_Trans_Sum";"ei1c",#N/A,TRUE,"Earnings Impact";"ad1",#N/A,TRUE,"accretion dilution";"pfis1",#N/A,TRUE,"Pro Forma Income Statement";"acq1c",#N/A,TRUE,"Acquirer";"tar1c",#N/A,TRUE,"Target"}</definedName>
    <definedName name="wrn.10._.Per._.Cent._.Success." hidden="1">{#N/A,"10% Success",FALSE,"Sales Forecast";#N/A,#N/A,FALSE,"Sheet2"}</definedName>
    <definedName name="wrn.10._.Per._.Cent._.Success._1" hidden="1">{#N/A,"10% Success",FALSE,"Sales Forecast";#N/A,#N/A,FALSE,"Sheet2"}</definedName>
    <definedName name="wrn.10._.Per._.Cent._.Success._2" hidden="1">{#N/A,"10% Success",FALSE,"Sales Forecast";#N/A,#N/A,FALSE,"Sheet2"}</definedName>
    <definedName name="wrn.10._.Per._.Cent._.Success._3" hidden="1">{#N/A,"10% Success",FALSE,"Sales Forecast";#N/A,#N/A,FALSE,"Sheet2"}</definedName>
    <definedName name="wrn.10._.Per._.Cent._.Success._4" hidden="1">{#N/A,"10% Success",FALSE,"Sales Forecast";#N/A,#N/A,FALSE,"Sheet2"}</definedName>
    <definedName name="wrn.10._.Per._.Cent._.Success._5" hidden="1">{#N/A,"10% Success",FALSE,"Sales Forecast";#N/A,#N/A,FALSE,"Sheet2"}</definedName>
    <definedName name="wrn.10._1" hidden="1">{"cover",#N/A,TRUE,"Cover";"toc3",#N/A,TRUE,"TOC";"over",#N/A,TRUE,"Overview";"ts2",#N/A,TRUE,"Det_Trans_Sum";"ei1c",#N/A,TRUE,"Earnings Impact";"ad1",#N/A,TRUE,"accretion dilution";"pfis1",#N/A,TRUE,"Pro Forma Income Statement";"acq1c",#N/A,TRUE,"Acquirer";"tar1c",#N/A,TRUE,"Target"}</definedName>
    <definedName name="wrn.10._2" hidden="1">{"cover",#N/A,TRUE,"Cover";"toc3",#N/A,TRUE,"TOC";"over",#N/A,TRUE,"Overview";"ts2",#N/A,TRUE,"Det_Trans_Sum";"ei1c",#N/A,TRUE,"Earnings Impact";"ad1",#N/A,TRUE,"accretion dilution";"pfis1",#N/A,TRUE,"Pro Forma Income Statement";"acq1c",#N/A,TRUE,"Acquirer";"tar1c",#N/A,TRUE,"Target"}</definedName>
    <definedName name="wrn.10._3" hidden="1">{"cover",#N/A,TRUE,"Cover";"toc3",#N/A,TRUE,"TOC";"over",#N/A,TRUE,"Overview";"ts2",#N/A,TRUE,"Det_Trans_Sum";"ei1c",#N/A,TRUE,"Earnings Impact";"ad1",#N/A,TRUE,"accretion dilution";"pfis1",#N/A,TRUE,"Pro Forma Income Statement";"acq1c",#N/A,TRUE,"Acquirer";"tar1c",#N/A,TRUE,"Target"}</definedName>
    <definedName name="wrn.10._4" hidden="1">{"cover",#N/A,TRUE,"Cover";"toc3",#N/A,TRUE,"TOC";"over",#N/A,TRUE,"Overview";"ts2",#N/A,TRUE,"Det_Trans_Sum";"ei1c",#N/A,TRUE,"Earnings Impact";"ad1",#N/A,TRUE,"accretion dilution";"pfis1",#N/A,TRUE,"Pro Forma Income Statement";"acq1c",#N/A,TRUE,"Acquirer";"tar1c",#N/A,TRUE,"Target"}</definedName>
    <definedName name="wrn.10._5" hidden="1">{"cover",#N/A,TRUE,"Cover";"toc3",#N/A,TRUE,"TOC";"over",#N/A,TRUE,"Overview";"ts2",#N/A,TRUE,"Det_Trans_Sum";"ei1c",#N/A,TRUE,"Earnings Impact";"ad1",#N/A,TRUE,"accretion dilution";"pfis1",#N/A,TRUE,"Pro Forma Income Statement";"acq1c",#N/A,TRUE,"Acquirer";"tar1c",#N/A,TRUE,"Target"}</definedName>
    <definedName name="wrn.100._.Per._.Cent._.Success." hidden="1">{#N/A,"100% Success",TRUE,"Sales Forecast";#N/A,#N/A,TRUE,"Sheet2"}</definedName>
    <definedName name="wrn.100._.Per._.Cent._.Success._1" hidden="1">{#N/A,"100% Success",TRUE,"Sales Forecast";#N/A,#N/A,TRUE,"Sheet2"}</definedName>
    <definedName name="wrn.100._.Per._.Cent._.Success._2" hidden="1">{#N/A,"100% Success",TRUE,"Sales Forecast";#N/A,#N/A,TRUE,"Sheet2"}</definedName>
    <definedName name="wrn.100._.Per._.Cent._.Success._3" hidden="1">{#N/A,"100% Success",TRUE,"Sales Forecast";#N/A,#N/A,TRUE,"Sheet2"}</definedName>
    <definedName name="wrn.100._.Per._.Cent._.Success._4" hidden="1">{#N/A,"100% Success",TRUE,"Sales Forecast";#N/A,#N/A,TRUE,"Sheet2"}</definedName>
    <definedName name="wrn.100._.Per._.Cent._.Success._5" hidden="1">{#N/A,"100% Success",TRUE,"Sales Forecast";#N/A,#N/A,TRUE,"Sheet2"}</definedName>
    <definedName name="wrn.10yp._.balance._.sheet." hidden="1">{"10yp balance sheet",#N/A,FALSE,"Celtel alternative 6"}</definedName>
    <definedName name="wrn.10yp._.capex." hidden="1">{"10yp capex",#N/A,FALSE,"Celtel alternative 6"}</definedName>
    <definedName name="wrn.10yp._.customers." hidden="1">{"10yp customers",#N/A,FALSE,"Celtel alternative 6"}</definedName>
    <definedName name="wrn.10yp._.graphs." hidden="1">{"10yp graphs",#N/A,FALSE,"Market Data"}</definedName>
    <definedName name="wrn.10yp._.key._.data." hidden="1">{"10yp key data",#N/A,FALSE,"Market Data"}</definedName>
    <definedName name="wrn.10yp._.profit._.and._.loss." hidden="1">{"10yp profit and loss",#N/A,FALSE,"Celtel alternative 6"}</definedName>
    <definedName name="wrn.10yp._.tariffs." hidden="1">{"10yp tariffs",#N/A,FALSE,"Celtel alternative 6"}</definedName>
    <definedName name="wrn.11." hidden="1">{"cover",#N/A,TRUE,"Cover";"toc3",#N/A,TRUE,"TOC";"over",#N/A,TRUE,"Overview";"ts2",#N/A,TRUE,"Det_Trans_Sum";"ei2c",#N/A,TRUE,"Earnings Impact";"ad2",#N/A,TRUE,"accretion dilution";"pfis2",#N/A,TRUE,"Pro Forma Income Statement";"acq2c",#N/A,TRUE,"Acquirer";"tar2c",#N/A,TRUE,"Target"}</definedName>
    <definedName name="wrn.11._1" hidden="1">{"cover",#N/A,TRUE,"Cover";"toc3",#N/A,TRUE,"TOC";"over",#N/A,TRUE,"Overview";"ts2",#N/A,TRUE,"Det_Trans_Sum";"ei2c",#N/A,TRUE,"Earnings Impact";"ad2",#N/A,TRUE,"accretion dilution";"pfis2",#N/A,TRUE,"Pro Forma Income Statement";"acq2c",#N/A,TRUE,"Acquirer";"tar2c",#N/A,TRUE,"Target"}</definedName>
    <definedName name="wrn.11._2" hidden="1">{"cover",#N/A,TRUE,"Cover";"toc3",#N/A,TRUE,"TOC";"over",#N/A,TRUE,"Overview";"ts2",#N/A,TRUE,"Det_Trans_Sum";"ei2c",#N/A,TRUE,"Earnings Impact";"ad2",#N/A,TRUE,"accretion dilution";"pfis2",#N/A,TRUE,"Pro Forma Income Statement";"acq2c",#N/A,TRUE,"Acquirer";"tar2c",#N/A,TRUE,"Target"}</definedName>
    <definedName name="wrn.11._3" hidden="1">{"cover",#N/A,TRUE,"Cover";"toc3",#N/A,TRUE,"TOC";"over",#N/A,TRUE,"Overview";"ts2",#N/A,TRUE,"Det_Trans_Sum";"ei2c",#N/A,TRUE,"Earnings Impact";"ad2",#N/A,TRUE,"accretion dilution";"pfis2",#N/A,TRUE,"Pro Forma Income Statement";"acq2c",#N/A,TRUE,"Acquirer";"tar2c",#N/A,TRUE,"Target"}</definedName>
    <definedName name="wrn.11._4" hidden="1">{"cover",#N/A,TRUE,"Cover";"toc3",#N/A,TRUE,"TOC";"over",#N/A,TRUE,"Overview";"ts2",#N/A,TRUE,"Det_Trans_Sum";"ei2c",#N/A,TRUE,"Earnings Impact";"ad2",#N/A,TRUE,"accretion dilution";"pfis2",#N/A,TRUE,"Pro Forma Income Statement";"acq2c",#N/A,TRUE,"Acquirer";"tar2c",#N/A,TRUE,"Target"}</definedName>
    <definedName name="wrn.11._5" hidden="1">{"cover",#N/A,TRUE,"Cover";"toc3",#N/A,TRUE,"TOC";"over",#N/A,TRUE,"Overview";"ts2",#N/A,TRUE,"Det_Trans_Sum";"ei2c",#N/A,TRUE,"Earnings Impact";"ad2",#N/A,TRUE,"accretion dilution";"pfis2",#N/A,TRUE,"Pro Forma Income Statement";"acq2c",#N/A,TRUE,"Acquirer";"tar2c",#N/A,TRUE,"Target"}</definedName>
    <definedName name="wrn.111111" hidden="1">{#N/A,#N/A,FALSE,"Pharm";#N/A,#N/A,FALSE,"WWCM"}</definedName>
    <definedName name="wrn.12." hidden="1">{"cover",#N/A,TRUE,"Cover";"toc3",#N/A,TRUE,"TOC";"over",#N/A,TRUE,"Overview";"ts2",#N/A,TRUE,"Det_Trans_Sum";"ei3c",#N/A,TRUE,"Earnings Impact";"ad3",#N/A,TRUE,"accretion dilution";"pfis3",#N/A,TRUE,"Pro Forma Income Statement";"acq3c",#N/A,TRUE,"Acquirer";"tar3c",#N/A,TRUE,"Target"}</definedName>
    <definedName name="wrn.12._1" hidden="1">{"cover",#N/A,TRUE,"Cover";"toc3",#N/A,TRUE,"TOC";"over",#N/A,TRUE,"Overview";"ts2",#N/A,TRUE,"Det_Trans_Sum";"ei3c",#N/A,TRUE,"Earnings Impact";"ad3",#N/A,TRUE,"accretion dilution";"pfis3",#N/A,TRUE,"Pro Forma Income Statement";"acq3c",#N/A,TRUE,"Acquirer";"tar3c",#N/A,TRUE,"Target"}</definedName>
    <definedName name="wrn.12._2" hidden="1">{"cover",#N/A,TRUE,"Cover";"toc3",#N/A,TRUE,"TOC";"over",#N/A,TRUE,"Overview";"ts2",#N/A,TRUE,"Det_Trans_Sum";"ei3c",#N/A,TRUE,"Earnings Impact";"ad3",#N/A,TRUE,"accretion dilution";"pfis3",#N/A,TRUE,"Pro Forma Income Statement";"acq3c",#N/A,TRUE,"Acquirer";"tar3c",#N/A,TRUE,"Target"}</definedName>
    <definedName name="wrn.12._3" hidden="1">{"cover",#N/A,TRUE,"Cover";"toc3",#N/A,TRUE,"TOC";"over",#N/A,TRUE,"Overview";"ts2",#N/A,TRUE,"Det_Trans_Sum";"ei3c",#N/A,TRUE,"Earnings Impact";"ad3",#N/A,TRUE,"accretion dilution";"pfis3",#N/A,TRUE,"Pro Forma Income Statement";"acq3c",#N/A,TRUE,"Acquirer";"tar3c",#N/A,TRUE,"Target"}</definedName>
    <definedName name="wrn.12._4" hidden="1">{"cover",#N/A,TRUE,"Cover";"toc3",#N/A,TRUE,"TOC";"over",#N/A,TRUE,"Overview";"ts2",#N/A,TRUE,"Det_Trans_Sum";"ei3c",#N/A,TRUE,"Earnings Impact";"ad3",#N/A,TRUE,"accretion dilution";"pfis3",#N/A,TRUE,"Pro Forma Income Statement";"acq3c",#N/A,TRUE,"Acquirer";"tar3c",#N/A,TRUE,"Target"}</definedName>
    <definedName name="wrn.12._5" hidden="1">{"cover",#N/A,TRUE,"Cover";"toc3",#N/A,TRUE,"TOC";"over",#N/A,TRUE,"Overview";"ts2",#N/A,TRUE,"Det_Trans_Sum";"ei3c",#N/A,TRUE,"Earnings Impact";"ad3",#N/A,TRUE,"accretion dilution";"pfis3",#N/A,TRUE,"Pro Forma Income Statement";"acq3c",#N/A,TRUE,"Acquirer";"tar3c",#N/A,TRUE,"Target"}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1"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2"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4"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5"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1"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2"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3"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5"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1"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2"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3"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4"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1"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2"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3"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4"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5"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7._1" hidden="1">{"cover",#N/A,TRUE,"Cover";"toc5",#N/A,TRUE,"TOC";"over",#N/A,TRUE,"Overview";"ts2",#N/A,TRUE,"Det_Trans_Sum";"eic",#N/A,TRUE,"Earnings Impact";"ad",#N/A,TRUE,"accretion dilution";"pfis",#N/A,TRUE,"Pro Forma Income Statement";"ca",#N/A,TRUE,"Contribution_Analysis";"acqc",#N/A,TRUE,"Acquirer";"tarc",#N/A,TRUE,"Target"}</definedName>
    <definedName name="wrn.17._2" hidden="1">{"cover",#N/A,TRUE,"Cover";"toc5",#N/A,TRUE,"TOC";"over",#N/A,TRUE,"Overview";"ts2",#N/A,TRUE,"Det_Trans_Sum";"eic",#N/A,TRUE,"Earnings Impact";"ad",#N/A,TRUE,"accretion dilution";"pfis",#N/A,TRUE,"Pro Forma Income Statement";"ca",#N/A,TRUE,"Contribution_Analysis";"acqc",#N/A,TRUE,"Acquirer";"tarc",#N/A,TRUE,"Target"}</definedName>
    <definedName name="wrn.17._3" hidden="1">{"cover",#N/A,TRUE,"Cover";"toc5",#N/A,TRUE,"TOC";"over",#N/A,TRUE,"Overview";"ts2",#N/A,TRUE,"Det_Trans_Sum";"eic",#N/A,TRUE,"Earnings Impact";"ad",#N/A,TRUE,"accretion dilution";"pfis",#N/A,TRUE,"Pro Forma Income Statement";"ca",#N/A,TRUE,"Contribution_Analysis";"acqc",#N/A,TRUE,"Acquirer";"tarc",#N/A,TRUE,"Target"}</definedName>
    <definedName name="wrn.17._4" hidden="1">{"cover",#N/A,TRUE,"Cover";"toc5",#N/A,TRUE,"TOC";"over",#N/A,TRUE,"Overview";"ts2",#N/A,TRUE,"Det_Trans_Sum";"eic",#N/A,TRUE,"Earnings Impact";"ad",#N/A,TRUE,"accretion dilution";"pfis",#N/A,TRUE,"Pro Forma Income Statement";"ca",#N/A,TRUE,"Contribution_Analysis";"acqc",#N/A,TRUE,"Acquirer";"tarc",#N/A,TRUE,"Target"}</definedName>
    <definedName name="wrn.17._5" hidden="1">{"cover",#N/A,TRUE,"Cover";"toc5",#N/A,TRUE,"TOC";"over",#N/A,TRUE,"Overview";"ts2",#N/A,TRUE,"Det_Trans_Sum";"eic",#N/A,TRUE,"Earnings Impact";"ad",#N/A,TRUE,"accretion dilution";"pfis",#N/A,TRUE,"Pro Forma Income Statement";"ca",#N/A,TRUE,"Contribution_Analysis";"acqc",#N/A,TRUE,"Acquirer";"tarc",#N/A,TRUE,"Target"}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8._1" hidden="1">{"cover",#N/A,TRUE,"Cover";"toc5",#N/A,TRUE,"TOC";"over",#N/A,TRUE,"Overview";"ts2",#N/A,TRUE,"Det_Trans_Sum";"ei1c",#N/A,TRUE,"Earnings Impact";"ad1",#N/A,TRUE,"accretion dilution";"pfis1",#N/A,TRUE,"Pro Forma Income Statement";"ca1",#N/A,TRUE,"Contribution_Analysis";"acq1c",#N/A,TRUE,"Acquirer";"tar1c",#N/A,TRUE,"Target"}</definedName>
    <definedName name="wrn.18._2" hidden="1">{"cover",#N/A,TRUE,"Cover";"toc5",#N/A,TRUE,"TOC";"over",#N/A,TRUE,"Overview";"ts2",#N/A,TRUE,"Det_Trans_Sum";"ei1c",#N/A,TRUE,"Earnings Impact";"ad1",#N/A,TRUE,"accretion dilution";"pfis1",#N/A,TRUE,"Pro Forma Income Statement";"ca1",#N/A,TRUE,"Contribution_Analysis";"acq1c",#N/A,TRUE,"Acquirer";"tar1c",#N/A,TRUE,"Target"}</definedName>
    <definedName name="wrn.18._3" hidden="1">{"cover",#N/A,TRUE,"Cover";"toc5",#N/A,TRUE,"TOC";"over",#N/A,TRUE,"Overview";"ts2",#N/A,TRUE,"Det_Trans_Sum";"ei1c",#N/A,TRUE,"Earnings Impact";"ad1",#N/A,TRUE,"accretion dilution";"pfis1",#N/A,TRUE,"Pro Forma Income Statement";"ca1",#N/A,TRUE,"Contribution_Analysis";"acq1c",#N/A,TRUE,"Acquirer";"tar1c",#N/A,TRUE,"Target"}</definedName>
    <definedName name="wrn.18._4" hidden="1">{"cover",#N/A,TRUE,"Cover";"toc5",#N/A,TRUE,"TOC";"over",#N/A,TRUE,"Overview";"ts2",#N/A,TRUE,"Det_Trans_Sum";"ei1c",#N/A,TRUE,"Earnings Impact";"ad1",#N/A,TRUE,"accretion dilution";"pfis1",#N/A,TRUE,"Pro Forma Income Statement";"ca1",#N/A,TRUE,"Contribution_Analysis";"acq1c",#N/A,TRUE,"Acquirer";"tar1c",#N/A,TRUE,"Target"}</definedName>
    <definedName name="wrn.18._5" hidden="1">{"cover",#N/A,TRUE,"Cover";"toc5",#N/A,TRUE,"TOC";"over",#N/A,TRUE,"Overview";"ts2",#N/A,TRUE,"Det_Trans_Sum";"ei1c",#N/A,TRUE,"Earnings Impact";"ad1",#N/A,TRUE,"accretion dilution";"pfis1",#N/A,TRUE,"Pro Forma Income Statement";"ca1",#N/A,TRUE,"Contribution_Analysis";"acq1c",#N/A,TRUE,"Acquirer";"tar1c",#N/A,TRUE,"Target"}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_1" hidden="1">{"cover",#N/A,TRUE,"Cover";"toc5",#N/A,TRUE,"TOC";"ts2",#N/A,TRUE,"Det_Trans_Sum";"over",#N/A,TRUE,"Overview";"ei2c",#N/A,TRUE,"Earnings Impact";"ad2",#N/A,TRUE,"accretion dilution";"pfis2",#N/A,TRUE,"Pro Forma Income Statement";"ca2",#N/A,TRUE,"Contribution_Analysis";"acq2c",#N/A,TRUE,"Acquirer";"tar2c",#N/A,TRUE,"Target"}</definedName>
    <definedName name="wrn.19._2" hidden="1">{"cover",#N/A,TRUE,"Cover";"toc5",#N/A,TRUE,"TOC";"ts2",#N/A,TRUE,"Det_Trans_Sum";"over",#N/A,TRUE,"Overview";"ei2c",#N/A,TRUE,"Earnings Impact";"ad2",#N/A,TRUE,"accretion dilution";"pfis2",#N/A,TRUE,"Pro Forma Income Statement";"ca2",#N/A,TRUE,"Contribution_Analysis";"acq2c",#N/A,TRUE,"Acquirer";"tar2c",#N/A,TRUE,"Target"}</definedName>
    <definedName name="wrn.19._3" hidden="1">{"cover",#N/A,TRUE,"Cover";"toc5",#N/A,TRUE,"TOC";"ts2",#N/A,TRUE,"Det_Trans_Sum";"over",#N/A,TRUE,"Overview";"ei2c",#N/A,TRUE,"Earnings Impact";"ad2",#N/A,TRUE,"accretion dilution";"pfis2",#N/A,TRUE,"Pro Forma Income Statement";"ca2",#N/A,TRUE,"Contribution_Analysis";"acq2c",#N/A,TRUE,"Acquirer";"tar2c",#N/A,TRUE,"Target"}</definedName>
    <definedName name="wrn.19._4" hidden="1">{"cover",#N/A,TRUE,"Cover";"toc5",#N/A,TRUE,"TOC";"ts2",#N/A,TRUE,"Det_Trans_Sum";"over",#N/A,TRUE,"Overview";"ei2c",#N/A,TRUE,"Earnings Impact";"ad2",#N/A,TRUE,"accretion dilution";"pfis2",#N/A,TRUE,"Pro Forma Income Statement";"ca2",#N/A,TRUE,"Contribution_Analysis";"acq2c",#N/A,TRUE,"Acquirer";"tar2c",#N/A,TRUE,"Target"}</definedName>
    <definedName name="wrn.19._5" hidden="1">{"cover",#N/A,TRUE,"Cover";"toc5",#N/A,TRUE,"TOC";"ts2",#N/A,TRUE,"Det_Trans_Sum";"over",#N/A,TRUE,"Overview";"ei2c",#N/A,TRUE,"Earnings Impact";"ad2",#N/A,TRUE,"accretion dilution";"pfis2",#N/A,TRUE,"Pro Forma Income Statement";"ca2",#N/A,TRUE,"Contribution_Analysis";"acq2c",#N/A,TRUE,"Acquirer";"tar2c",#N/A,TRUE,"Target"}</definedName>
    <definedName name="wrn.1q97."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2." hidden="1">{"cover",#N/A,TRUE,"Cover";"toc1",#N/A,TRUE,"TOC";"ts1",#N/A,TRUE,"Transaction Summary";"ei1",#N/A,TRUE,"Earnings Impact";"ad1",#N/A,TRUE,"accretion dilution"}</definedName>
    <definedName name="wrn.2._1" hidden="1">{"cover",#N/A,TRUE,"Cover";"toc1",#N/A,TRUE,"TOC";"ts1",#N/A,TRUE,"Transaction Summary";"ei1",#N/A,TRUE,"Earnings Impact";"ad1",#N/A,TRUE,"accretion dilution"}</definedName>
    <definedName name="wrn.2._2" hidden="1">{"cover",#N/A,TRUE,"Cover";"toc1",#N/A,TRUE,"TOC";"ts1",#N/A,TRUE,"Transaction Summary";"ei1",#N/A,TRUE,"Earnings Impact";"ad1",#N/A,TRUE,"accretion dilution"}</definedName>
    <definedName name="wrn.2._3" hidden="1">{"cover",#N/A,TRUE,"Cover";"toc1",#N/A,TRUE,"TOC";"ts1",#N/A,TRUE,"Transaction Summary";"ei1",#N/A,TRUE,"Earnings Impact";"ad1",#N/A,TRUE,"accretion dilution"}</definedName>
    <definedName name="wrn.2._4" hidden="1">{"cover",#N/A,TRUE,"Cover";"toc1",#N/A,TRUE,"TOC";"ts1",#N/A,TRUE,"Transaction Summary";"ei1",#N/A,TRUE,"Earnings Impact";"ad1",#N/A,TRUE,"accretion dilution"}</definedName>
    <definedName name="wrn.2._5" hidden="1">{"cover",#N/A,TRUE,"Cover";"toc1",#N/A,TRUE,"TOC";"ts1",#N/A,TRUE,"Transaction Summary";"ei1",#N/A,TRUE,"Earnings Impact";"ad1",#N/A,TRUE,"accretion dilution"}</definedName>
    <definedName name="wrn.2.2" hidden="1">{#N/A,#N/A,FALSE,"17MAY";#N/A,#N/A,FALSE,"24MAY"}</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_1" hidden="1">{"cover",#N/A,TRUE,"Cover";"toc5",#N/A,TRUE,"TOC";"over",#N/A,TRUE,"Overview";"ts2",#N/A,TRUE,"Det_Trans_Sum";"ei3c",#N/A,TRUE,"Earnings Impact";"ad3",#N/A,TRUE,"accretion dilution";"pfis3",#N/A,TRUE,"Pro Forma Income Statement";"ca3",#N/A,TRUE,"Contribution_Analysis";"acq3c",#N/A,TRUE,"Acquirer";"tar3c",#N/A,TRUE,"Target"}</definedName>
    <definedName name="wrn.20._2" hidden="1">{"cover",#N/A,TRUE,"Cover";"toc5",#N/A,TRUE,"TOC";"over",#N/A,TRUE,"Overview";"ts2",#N/A,TRUE,"Det_Trans_Sum";"ei3c",#N/A,TRUE,"Earnings Impact";"ad3",#N/A,TRUE,"accretion dilution";"pfis3",#N/A,TRUE,"Pro Forma Income Statement";"ca3",#N/A,TRUE,"Contribution_Analysis";"acq3c",#N/A,TRUE,"Acquirer";"tar3c",#N/A,TRUE,"Target"}</definedName>
    <definedName name="wrn.20._3" hidden="1">{"cover",#N/A,TRUE,"Cover";"toc5",#N/A,TRUE,"TOC";"over",#N/A,TRUE,"Overview";"ts2",#N/A,TRUE,"Det_Trans_Sum";"ei3c",#N/A,TRUE,"Earnings Impact";"ad3",#N/A,TRUE,"accretion dilution";"pfis3",#N/A,TRUE,"Pro Forma Income Statement";"ca3",#N/A,TRUE,"Contribution_Analysis";"acq3c",#N/A,TRUE,"Acquirer";"tar3c",#N/A,TRUE,"Target"}</definedName>
    <definedName name="wrn.20._4" hidden="1">{"cover",#N/A,TRUE,"Cover";"toc5",#N/A,TRUE,"TOC";"over",#N/A,TRUE,"Overview";"ts2",#N/A,TRUE,"Det_Trans_Sum";"ei3c",#N/A,TRUE,"Earnings Impact";"ad3",#N/A,TRUE,"accretion dilution";"pfis3",#N/A,TRUE,"Pro Forma Income Statement";"ca3",#N/A,TRUE,"Contribution_Analysis";"acq3c",#N/A,TRUE,"Acquirer";"tar3c",#N/A,TRUE,"Target"}</definedName>
    <definedName name="wrn.20._5" hidden="1">{"cover",#N/A,TRUE,"Cover";"toc5",#N/A,TRUE,"TOC";"over",#N/A,TRUE,"Overview";"ts2",#N/A,TRUE,"Det_Trans_Sum";"ei3c",#N/A,TRUE,"Earnings Impact";"ad3",#N/A,TRUE,"accretion dilution";"pfis3",#N/A,TRUE,"Pro Forma Income Statement";"ca3",#N/A,TRUE,"Contribution_Analysis";"acq3c",#N/A,TRUE,"Acquirer";"tar3c",#N/A,TRUE,"Target"}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1._1" hidden="1">{"cover",#N/A,TRUE,"Cover";"toc6",#N/A,TRUE,"TOC";"over",#N/A,TRUE,"Overview";"ts2",#N/A,TRUE,"Det_Trans_Sum";"eic",#N/A,TRUE,"Earnings Impact";"ad",#N/A,TRUE,"accretion dilution";"hg",#N/A,TRUE,"Has-Gets";"pfis",#N/A,TRUE,"Pro Forma Income Statement";"ca",#N/A,TRUE,"Contribution_Analysis";"acqc",#N/A,TRUE,"Acquirer";"tarc",#N/A,TRUE,"Target"}</definedName>
    <definedName name="wrn.21._2" hidden="1">{"cover",#N/A,TRUE,"Cover";"toc6",#N/A,TRUE,"TOC";"over",#N/A,TRUE,"Overview";"ts2",#N/A,TRUE,"Det_Trans_Sum";"eic",#N/A,TRUE,"Earnings Impact";"ad",#N/A,TRUE,"accretion dilution";"hg",#N/A,TRUE,"Has-Gets";"pfis",#N/A,TRUE,"Pro Forma Income Statement";"ca",#N/A,TRUE,"Contribution_Analysis";"acqc",#N/A,TRUE,"Acquirer";"tarc",#N/A,TRUE,"Target"}</definedName>
    <definedName name="wrn.21._3" hidden="1">{"cover",#N/A,TRUE,"Cover";"toc6",#N/A,TRUE,"TOC";"over",#N/A,TRUE,"Overview";"ts2",#N/A,TRUE,"Det_Trans_Sum";"eic",#N/A,TRUE,"Earnings Impact";"ad",#N/A,TRUE,"accretion dilution";"hg",#N/A,TRUE,"Has-Gets";"pfis",#N/A,TRUE,"Pro Forma Income Statement";"ca",#N/A,TRUE,"Contribution_Analysis";"acqc",#N/A,TRUE,"Acquirer";"tarc",#N/A,TRUE,"Target"}</definedName>
    <definedName name="wrn.21._4" hidden="1">{"cover",#N/A,TRUE,"Cover";"toc6",#N/A,TRUE,"TOC";"over",#N/A,TRUE,"Overview";"ts2",#N/A,TRUE,"Det_Trans_Sum";"eic",#N/A,TRUE,"Earnings Impact";"ad",#N/A,TRUE,"accretion dilution";"hg",#N/A,TRUE,"Has-Gets";"pfis",#N/A,TRUE,"Pro Forma Income Statement";"ca",#N/A,TRUE,"Contribution_Analysis";"acqc",#N/A,TRUE,"Acquirer";"tarc",#N/A,TRUE,"Target"}</definedName>
    <definedName name="wrn.21._5" hidden="1">{"cover",#N/A,TRUE,"Cover";"toc6",#N/A,TRUE,"TOC";"over",#N/A,TRUE,"Overview";"ts2",#N/A,TRUE,"Det_Trans_Sum";"eic",#N/A,TRUE,"Earnings Impact";"ad",#N/A,TRUE,"accretion dilution";"hg",#N/A,TRUE,"Has-Gets";"pfis",#N/A,TRUE,"Pro Forma Income Statement";"ca",#N/A,TRUE,"Contribution_Analysis";"acqc",#N/A,TRUE,"Acquirer";"tarc",#N/A,TRUE,"Target"}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1"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3"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4"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5"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1"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2"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4"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5"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1"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2"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3"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5"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hidden="1">{"cover",#N/A,TRUE,"Cover";"toc3",#N/A,TRUE,"TOC";"over",#N/A,TRUE,"Overview";"ts2",#N/A,TRUE,"Det_Trans_Sum";"ei",#N/A,TRUE,"Earnings Impact";"ad",#N/A,TRUE,"accretion dilution";"pfis",#N/A,TRUE,"Pro Forma Income Statement";"acq",#N/A,TRUE,"Acquirer";"tar",#N/A,TRUE,"Target"}</definedName>
    <definedName name="wrn.25._1" hidden="1">{"cover",#N/A,TRUE,"Cover";"toc3",#N/A,TRUE,"TOC";"over",#N/A,TRUE,"Overview";"ts2",#N/A,TRUE,"Det_Trans_Sum";"ei",#N/A,TRUE,"Earnings Impact";"ad",#N/A,TRUE,"accretion dilution";"pfis",#N/A,TRUE,"Pro Forma Income Statement";"acq",#N/A,TRUE,"Acquirer";"tar",#N/A,TRUE,"Target"}</definedName>
    <definedName name="wrn.25._2" hidden="1">{"cover",#N/A,TRUE,"Cover";"toc3",#N/A,TRUE,"TOC";"over",#N/A,TRUE,"Overview";"ts2",#N/A,TRUE,"Det_Trans_Sum";"ei",#N/A,TRUE,"Earnings Impact";"ad",#N/A,TRUE,"accretion dilution";"pfis",#N/A,TRUE,"Pro Forma Income Statement";"acq",#N/A,TRUE,"Acquirer";"tar",#N/A,TRUE,"Target"}</definedName>
    <definedName name="wrn.25._3" hidden="1">{"cover",#N/A,TRUE,"Cover";"toc3",#N/A,TRUE,"TOC";"over",#N/A,TRUE,"Overview";"ts2",#N/A,TRUE,"Det_Trans_Sum";"ei",#N/A,TRUE,"Earnings Impact";"ad",#N/A,TRUE,"accretion dilution";"pfis",#N/A,TRUE,"Pro Forma Income Statement";"acq",#N/A,TRUE,"Acquirer";"tar",#N/A,TRUE,"Target"}</definedName>
    <definedName name="wrn.25._4" hidden="1">{"cover",#N/A,TRUE,"Cover";"toc3",#N/A,TRUE,"TOC";"over",#N/A,TRUE,"Overview";"ts2",#N/A,TRUE,"Det_Trans_Sum";"ei",#N/A,TRUE,"Earnings Impact";"ad",#N/A,TRUE,"accretion dilution";"pfis",#N/A,TRUE,"Pro Forma Income Statement";"acq",#N/A,TRUE,"Acquirer";"tar",#N/A,TRUE,"Target"}</definedName>
    <definedName name="wrn.25._5" hidden="1">{"cover",#N/A,TRUE,"Cover";"toc3",#N/A,TRUE,"TOC";"over",#N/A,TRUE,"Overview";"ts2",#N/A,TRUE,"Det_Trans_Sum";"ei",#N/A,TRUE,"Earnings Impact";"ad",#N/A,TRUE,"accretion dilution";"pfis",#N/A,TRUE,"Pro Forma Income Statement";"acq",#N/A,TRUE,"Acquirer";"tar",#N/A,TRUE,"Target"}</definedName>
    <definedName name="wrn.26." hidden="1">{"cover",#N/A,TRUE,"Cover";"toc3",#N/A,TRUE,"TOC";"over",#N/A,TRUE,"Overview";"ts2",#N/A,TRUE,"Det_Trans_Sum";"ei1",#N/A,TRUE,"Earnings Impact";"ad1",#N/A,TRUE,"accretion dilution";"pfis1",#N/A,TRUE,"Pro Forma Income Statement";"acq1",#N/A,TRUE,"Acquirer";"tar1",#N/A,TRUE,"Target"}</definedName>
    <definedName name="wrn.26._1" hidden="1">{"cover",#N/A,TRUE,"Cover";"toc3",#N/A,TRUE,"TOC";"over",#N/A,TRUE,"Overview";"ts2",#N/A,TRUE,"Det_Trans_Sum";"ei1",#N/A,TRUE,"Earnings Impact";"ad1",#N/A,TRUE,"accretion dilution";"pfis1",#N/A,TRUE,"Pro Forma Income Statement";"acq1",#N/A,TRUE,"Acquirer";"tar1",#N/A,TRUE,"Target"}</definedName>
    <definedName name="wrn.26._2" hidden="1">{"cover",#N/A,TRUE,"Cover";"toc3",#N/A,TRUE,"TOC";"over",#N/A,TRUE,"Overview";"ts2",#N/A,TRUE,"Det_Trans_Sum";"ei1",#N/A,TRUE,"Earnings Impact";"ad1",#N/A,TRUE,"accretion dilution";"pfis1",#N/A,TRUE,"Pro Forma Income Statement";"acq1",#N/A,TRUE,"Acquirer";"tar1",#N/A,TRUE,"Target"}</definedName>
    <definedName name="wrn.26._3" hidden="1">{"cover",#N/A,TRUE,"Cover";"toc3",#N/A,TRUE,"TOC";"over",#N/A,TRUE,"Overview";"ts2",#N/A,TRUE,"Det_Trans_Sum";"ei1",#N/A,TRUE,"Earnings Impact";"ad1",#N/A,TRUE,"accretion dilution";"pfis1",#N/A,TRUE,"Pro Forma Income Statement";"acq1",#N/A,TRUE,"Acquirer";"tar1",#N/A,TRUE,"Target"}</definedName>
    <definedName name="wrn.26._4" hidden="1">{"cover",#N/A,TRUE,"Cover";"toc3",#N/A,TRUE,"TOC";"over",#N/A,TRUE,"Overview";"ts2",#N/A,TRUE,"Det_Trans_Sum";"ei1",#N/A,TRUE,"Earnings Impact";"ad1",#N/A,TRUE,"accretion dilution";"pfis1",#N/A,TRUE,"Pro Forma Income Statement";"acq1",#N/A,TRUE,"Acquirer";"tar1",#N/A,TRUE,"Target"}</definedName>
    <definedName name="wrn.26._5" hidden="1">{"cover",#N/A,TRUE,"Cover";"toc3",#N/A,TRUE,"TOC";"over",#N/A,TRUE,"Overview";"ts2",#N/A,TRUE,"Det_Trans_Sum";"ei1",#N/A,TRUE,"Earnings Impact";"ad1",#N/A,TRUE,"accretion dilution";"pfis1",#N/A,TRUE,"Pro Forma Income Statement";"acq1",#N/A,TRUE,"Acquirer";"tar1",#N/A,TRUE,"Target"}</definedName>
    <definedName name="wrn.27." hidden="1">{"cover",#N/A,TRUE,"Cover";"toc3",#N/A,TRUE,"TOC";"over",#N/A,TRUE,"Overview";"ts2",#N/A,TRUE,"Det_Trans_Sum";"ei2",#N/A,TRUE,"Earnings Impact";"ad2",#N/A,TRUE,"accretion dilution";"pfis2",#N/A,TRUE,"Pro Forma Income Statement";"acq2",#N/A,TRUE,"Acquirer";"tar2",#N/A,TRUE,"Target"}</definedName>
    <definedName name="wrn.27._1" hidden="1">{"cover",#N/A,TRUE,"Cover";"toc3",#N/A,TRUE,"TOC";"over",#N/A,TRUE,"Overview";"ts2",#N/A,TRUE,"Det_Trans_Sum";"ei2",#N/A,TRUE,"Earnings Impact";"ad2",#N/A,TRUE,"accretion dilution";"pfis2",#N/A,TRUE,"Pro Forma Income Statement";"acq2",#N/A,TRUE,"Acquirer";"tar2",#N/A,TRUE,"Target"}</definedName>
    <definedName name="wrn.27._2" hidden="1">{"cover",#N/A,TRUE,"Cover";"toc3",#N/A,TRUE,"TOC";"over",#N/A,TRUE,"Overview";"ts2",#N/A,TRUE,"Det_Trans_Sum";"ei2",#N/A,TRUE,"Earnings Impact";"ad2",#N/A,TRUE,"accretion dilution";"pfis2",#N/A,TRUE,"Pro Forma Income Statement";"acq2",#N/A,TRUE,"Acquirer";"tar2",#N/A,TRUE,"Target"}</definedName>
    <definedName name="wrn.27._3" hidden="1">{"cover",#N/A,TRUE,"Cover";"toc3",#N/A,TRUE,"TOC";"over",#N/A,TRUE,"Overview";"ts2",#N/A,TRUE,"Det_Trans_Sum";"ei2",#N/A,TRUE,"Earnings Impact";"ad2",#N/A,TRUE,"accretion dilution";"pfis2",#N/A,TRUE,"Pro Forma Income Statement";"acq2",#N/A,TRUE,"Acquirer";"tar2",#N/A,TRUE,"Target"}</definedName>
    <definedName name="wrn.27._4" hidden="1">{"cover",#N/A,TRUE,"Cover";"toc3",#N/A,TRUE,"TOC";"over",#N/A,TRUE,"Overview";"ts2",#N/A,TRUE,"Det_Trans_Sum";"ei2",#N/A,TRUE,"Earnings Impact";"ad2",#N/A,TRUE,"accretion dilution";"pfis2",#N/A,TRUE,"Pro Forma Income Statement";"acq2",#N/A,TRUE,"Acquirer";"tar2",#N/A,TRUE,"Target"}</definedName>
    <definedName name="wrn.27._5" hidden="1">{"cover",#N/A,TRUE,"Cover";"toc3",#N/A,TRUE,"TOC";"over",#N/A,TRUE,"Overview";"ts2",#N/A,TRUE,"Det_Trans_Sum";"ei2",#N/A,TRUE,"Earnings Impact";"ad2",#N/A,TRUE,"accretion dilution";"pfis2",#N/A,TRUE,"Pro Forma Income Statement";"acq2",#N/A,TRUE,"Acquirer";"tar2",#N/A,TRUE,"Target"}</definedName>
    <definedName name="wrn.28." hidden="1">{"cover",#N/A,TRUE,"Cover";"toc3",#N/A,TRUE,"TOC";"over",#N/A,TRUE,"Overview";"ts2",#N/A,TRUE,"Det_Trans_Sum";"ei3",#N/A,TRUE,"Earnings Impact";"ad3",#N/A,TRUE,"accretion dilution";"pfis3",#N/A,TRUE,"Pro Forma Income Statement";"acq3",#N/A,TRUE,"Acquirer";"tar3",#N/A,TRUE,"Target"}</definedName>
    <definedName name="wrn.28._1" hidden="1">{"cover",#N/A,TRUE,"Cover";"toc3",#N/A,TRUE,"TOC";"over",#N/A,TRUE,"Overview";"ts2",#N/A,TRUE,"Det_Trans_Sum";"ei3",#N/A,TRUE,"Earnings Impact";"ad3",#N/A,TRUE,"accretion dilution";"pfis3",#N/A,TRUE,"Pro Forma Income Statement";"acq3",#N/A,TRUE,"Acquirer";"tar3",#N/A,TRUE,"Target"}</definedName>
    <definedName name="wrn.28._2" hidden="1">{"cover",#N/A,TRUE,"Cover";"toc3",#N/A,TRUE,"TOC";"over",#N/A,TRUE,"Overview";"ts2",#N/A,TRUE,"Det_Trans_Sum";"ei3",#N/A,TRUE,"Earnings Impact";"ad3",#N/A,TRUE,"accretion dilution";"pfis3",#N/A,TRUE,"Pro Forma Income Statement";"acq3",#N/A,TRUE,"Acquirer";"tar3",#N/A,TRUE,"Target"}</definedName>
    <definedName name="wrn.28._3" hidden="1">{"cover",#N/A,TRUE,"Cover";"toc3",#N/A,TRUE,"TOC";"over",#N/A,TRUE,"Overview";"ts2",#N/A,TRUE,"Det_Trans_Sum";"ei3",#N/A,TRUE,"Earnings Impact";"ad3",#N/A,TRUE,"accretion dilution";"pfis3",#N/A,TRUE,"Pro Forma Income Statement";"acq3",#N/A,TRUE,"Acquirer";"tar3",#N/A,TRUE,"Target"}</definedName>
    <definedName name="wrn.28._4" hidden="1">{"cover",#N/A,TRUE,"Cover";"toc3",#N/A,TRUE,"TOC";"over",#N/A,TRUE,"Overview";"ts2",#N/A,TRUE,"Det_Trans_Sum";"ei3",#N/A,TRUE,"Earnings Impact";"ad3",#N/A,TRUE,"accretion dilution";"pfis3",#N/A,TRUE,"Pro Forma Income Statement";"acq3",#N/A,TRUE,"Acquirer";"tar3",#N/A,TRUE,"Target"}</definedName>
    <definedName name="wrn.28._5" hidden="1">{"cover",#N/A,TRUE,"Cover";"toc3",#N/A,TRUE,"TOC";"over",#N/A,TRUE,"Overview";"ts2",#N/A,TRUE,"Det_Trans_Sum";"ei3",#N/A,TRUE,"Earnings Impact";"ad3",#N/A,TRUE,"accretion dilution";"pfis3",#N/A,TRUE,"Pro Forma Income Statement";"acq3",#N/A,TRUE,"Acquirer";"tar3",#N/A,TRUE,"Target"}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1"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2"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3"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4"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5"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hidden="1">{"cover",#N/A,TRUE,"Cover";"toc1",#N/A,TRUE,"TOC";"ts1",#N/A,TRUE,"Transaction Summary";"ei2",#N/A,TRUE,"Earnings Impact";"ad2",#N/A,TRUE,"accretion dilution"}</definedName>
    <definedName name="wrn.3._1" hidden="1">{"cover",#N/A,TRUE,"Cover";"toc1",#N/A,TRUE,"TOC";"ts1",#N/A,TRUE,"Transaction Summary";"ei2",#N/A,TRUE,"Earnings Impact";"ad2",#N/A,TRUE,"accretion dilution"}</definedName>
    <definedName name="wrn.3._2" hidden="1">{"cover",#N/A,TRUE,"Cover";"toc1",#N/A,TRUE,"TOC";"ts1",#N/A,TRUE,"Transaction Summary";"ei2",#N/A,TRUE,"Earnings Impact";"ad2",#N/A,TRUE,"accretion dilution"}</definedName>
    <definedName name="wrn.3._3" hidden="1">{"cover",#N/A,TRUE,"Cover";"toc1",#N/A,TRUE,"TOC";"ts1",#N/A,TRUE,"Transaction Summary";"ei2",#N/A,TRUE,"Earnings Impact";"ad2",#N/A,TRUE,"accretion dilution"}</definedName>
    <definedName name="wrn.3._4" hidden="1">{"cover",#N/A,TRUE,"Cover";"toc1",#N/A,TRUE,"TOC";"ts1",#N/A,TRUE,"Transaction Summary";"ei2",#N/A,TRUE,"Earnings Impact";"ad2",#N/A,TRUE,"accretion dilution"}</definedName>
    <definedName name="wrn.3._5" hidden="1">{"cover",#N/A,TRUE,"Cover";"toc1",#N/A,TRUE,"TOC";"ts1",#N/A,TRUE,"Transaction Summary";"ei2",#N/A,TRUE,"Earnings Impact";"ad2",#N/A,TRUE,"accretion dilution"}</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Per._.Cent." hidden="1">{#N/A,"30% Success",TRUE,"Sales Forecast";#N/A,#N/A,TRUE,"Sheet2"}</definedName>
    <definedName name="wrn.30._.Per._.Cent._1" hidden="1">{#N/A,"30% Success",TRUE,"Sales Forecast";#N/A,#N/A,TRUE,"Sheet2"}</definedName>
    <definedName name="wrn.30._.Per._.Cent._2" hidden="1">{#N/A,"30% Success",TRUE,"Sales Forecast";#N/A,#N/A,TRUE,"Sheet2"}</definedName>
    <definedName name="wrn.30._.Per._.Cent._3" hidden="1">{#N/A,"30% Success",TRUE,"Sales Forecast";#N/A,#N/A,TRUE,"Sheet2"}</definedName>
    <definedName name="wrn.30._.Per._.Cent._4" hidden="1">{#N/A,"30% Success",TRUE,"Sales Forecast";#N/A,#N/A,TRUE,"Sheet2"}</definedName>
    <definedName name="wrn.30._.Per._.Cent._5" hidden="1">{#N/A,"30% Success",TRUE,"Sales Forecast";#N/A,#N/A,TRUE,"Sheet2"}</definedName>
    <definedName name="wrn.30._1"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2"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3"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4"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5"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2"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3"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4"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5"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1"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3"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4"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5"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3._1" hidden="1">{"cover",#N/A,TRUE,"Cover";"toc5",#N/A,TRUE,"TOC";"over",#N/A,TRUE,"Overview";"ts2",#N/A,TRUE,"Det_Trans_Sum";"ei",#N/A,TRUE,"Earnings Impact";"ad",#N/A,TRUE,"accretion dilution";"pfis",#N/A,TRUE,"Pro Forma Income Statement";"ca",#N/A,TRUE,"Contribution_Analysis";"acq",#N/A,TRUE,"Acquirer";"tar",#N/A,TRUE,"Target"}</definedName>
    <definedName name="wrn.33._2" hidden="1">{"cover",#N/A,TRUE,"Cover";"toc5",#N/A,TRUE,"TOC";"over",#N/A,TRUE,"Overview";"ts2",#N/A,TRUE,"Det_Trans_Sum";"ei",#N/A,TRUE,"Earnings Impact";"ad",#N/A,TRUE,"accretion dilution";"pfis",#N/A,TRUE,"Pro Forma Income Statement";"ca",#N/A,TRUE,"Contribution_Analysis";"acq",#N/A,TRUE,"Acquirer";"tar",#N/A,TRUE,"Target"}</definedName>
    <definedName name="wrn.33._3" hidden="1">{"cover",#N/A,TRUE,"Cover";"toc5",#N/A,TRUE,"TOC";"over",#N/A,TRUE,"Overview";"ts2",#N/A,TRUE,"Det_Trans_Sum";"ei",#N/A,TRUE,"Earnings Impact";"ad",#N/A,TRUE,"accretion dilution";"pfis",#N/A,TRUE,"Pro Forma Income Statement";"ca",#N/A,TRUE,"Contribution_Analysis";"acq",#N/A,TRUE,"Acquirer";"tar",#N/A,TRUE,"Target"}</definedName>
    <definedName name="wrn.33._4" hidden="1">{"cover",#N/A,TRUE,"Cover";"toc5",#N/A,TRUE,"TOC";"over",#N/A,TRUE,"Overview";"ts2",#N/A,TRUE,"Det_Trans_Sum";"ei",#N/A,TRUE,"Earnings Impact";"ad",#N/A,TRUE,"accretion dilution";"pfis",#N/A,TRUE,"Pro Forma Income Statement";"ca",#N/A,TRUE,"Contribution_Analysis";"acq",#N/A,TRUE,"Acquirer";"tar",#N/A,TRUE,"Target"}</definedName>
    <definedName name="wrn.33._5" hidden="1">{"cover",#N/A,TRUE,"Cover";"toc5",#N/A,TRUE,"TOC";"over",#N/A,TRUE,"Overview";"ts2",#N/A,TRUE,"Det_Trans_Sum";"ei",#N/A,TRUE,"Earnings Impact";"ad",#N/A,TRUE,"accretion dilution";"pfis",#N/A,TRUE,"Pro Forma Income Statement";"ca",#N/A,TRUE,"Contribution_Analysis";"acq",#N/A,TRUE,"Acquirer";"tar",#N/A,TRUE,"Target"}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4._1" hidden="1">{"cover",#N/A,TRUE,"Cover";"toc5",#N/A,TRUE,"TOC";"over",#N/A,TRUE,"Overview";"ts2",#N/A,TRUE,"Det_Trans_Sum";"ei1",#N/A,TRUE,"Earnings Impact";"ad1",#N/A,TRUE,"accretion dilution";"pfis1",#N/A,TRUE,"Pro Forma Income Statement";"ca1",#N/A,TRUE,"Contribution_Analysis";"acq1",#N/A,TRUE,"Acquirer";"tar1",#N/A,TRUE,"Target"}</definedName>
    <definedName name="wrn.34._2" hidden="1">{"cover",#N/A,TRUE,"Cover";"toc5",#N/A,TRUE,"TOC";"over",#N/A,TRUE,"Overview";"ts2",#N/A,TRUE,"Det_Trans_Sum";"ei1",#N/A,TRUE,"Earnings Impact";"ad1",#N/A,TRUE,"accretion dilution";"pfis1",#N/A,TRUE,"Pro Forma Income Statement";"ca1",#N/A,TRUE,"Contribution_Analysis";"acq1",#N/A,TRUE,"Acquirer";"tar1",#N/A,TRUE,"Target"}</definedName>
    <definedName name="wrn.34._3" hidden="1">{"cover",#N/A,TRUE,"Cover";"toc5",#N/A,TRUE,"TOC";"over",#N/A,TRUE,"Overview";"ts2",#N/A,TRUE,"Det_Trans_Sum";"ei1",#N/A,TRUE,"Earnings Impact";"ad1",#N/A,TRUE,"accretion dilution";"pfis1",#N/A,TRUE,"Pro Forma Income Statement";"ca1",#N/A,TRUE,"Contribution_Analysis";"acq1",#N/A,TRUE,"Acquirer";"tar1",#N/A,TRUE,"Target"}</definedName>
    <definedName name="wrn.34._4" hidden="1">{"cover",#N/A,TRUE,"Cover";"toc5",#N/A,TRUE,"TOC";"over",#N/A,TRUE,"Overview";"ts2",#N/A,TRUE,"Det_Trans_Sum";"ei1",#N/A,TRUE,"Earnings Impact";"ad1",#N/A,TRUE,"accretion dilution";"pfis1",#N/A,TRUE,"Pro Forma Income Statement";"ca1",#N/A,TRUE,"Contribution_Analysis";"acq1",#N/A,TRUE,"Acquirer";"tar1",#N/A,TRUE,"Target"}</definedName>
    <definedName name="wrn.34._5" hidden="1">{"cover",#N/A,TRUE,"Cover";"toc5",#N/A,TRUE,"TOC";"over",#N/A,TRUE,"Overview";"ts2",#N/A,TRUE,"Det_Trans_Sum";"ei1",#N/A,TRUE,"Earnings Impact";"ad1",#N/A,TRUE,"accretion dilution";"pfis1",#N/A,TRUE,"Pro Forma Income Statement";"ca1",#N/A,TRUE,"Contribution_Analysis";"acq1",#N/A,TRUE,"Acquirer";"tar1",#N/A,TRUE,"Target"}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5._1" hidden="1">{"cover",#N/A,TRUE,"Cover";"toc5",#N/A,TRUE,"TOC";"over",#N/A,TRUE,"Overview";"ts2",#N/A,TRUE,"Det_Trans_Sum";"ei2",#N/A,TRUE,"Earnings Impact";"ad2",#N/A,TRUE,"accretion dilution";"pfis2",#N/A,TRUE,"Pro Forma Income Statement";"ca2",#N/A,TRUE,"Contribution_Analysis";"acq2",#N/A,TRUE,"Acquirer";"tar2",#N/A,TRUE,"Target"}</definedName>
    <definedName name="wrn.35._2" hidden="1">{"cover",#N/A,TRUE,"Cover";"toc5",#N/A,TRUE,"TOC";"over",#N/A,TRUE,"Overview";"ts2",#N/A,TRUE,"Det_Trans_Sum";"ei2",#N/A,TRUE,"Earnings Impact";"ad2",#N/A,TRUE,"accretion dilution";"pfis2",#N/A,TRUE,"Pro Forma Income Statement";"ca2",#N/A,TRUE,"Contribution_Analysis";"acq2",#N/A,TRUE,"Acquirer";"tar2",#N/A,TRUE,"Target"}</definedName>
    <definedName name="wrn.35._3" hidden="1">{"cover",#N/A,TRUE,"Cover";"toc5",#N/A,TRUE,"TOC";"over",#N/A,TRUE,"Overview";"ts2",#N/A,TRUE,"Det_Trans_Sum";"ei2",#N/A,TRUE,"Earnings Impact";"ad2",#N/A,TRUE,"accretion dilution";"pfis2",#N/A,TRUE,"Pro Forma Income Statement";"ca2",#N/A,TRUE,"Contribution_Analysis";"acq2",#N/A,TRUE,"Acquirer";"tar2",#N/A,TRUE,"Target"}</definedName>
    <definedName name="wrn.35._4" hidden="1">{"cover",#N/A,TRUE,"Cover";"toc5",#N/A,TRUE,"TOC";"over",#N/A,TRUE,"Overview";"ts2",#N/A,TRUE,"Det_Trans_Sum";"ei2",#N/A,TRUE,"Earnings Impact";"ad2",#N/A,TRUE,"accretion dilution";"pfis2",#N/A,TRUE,"Pro Forma Income Statement";"ca2",#N/A,TRUE,"Contribution_Analysis";"acq2",#N/A,TRUE,"Acquirer";"tar2",#N/A,TRUE,"Target"}</definedName>
    <definedName name="wrn.35._5" hidden="1">{"cover",#N/A,TRUE,"Cover";"toc5",#N/A,TRUE,"TOC";"over",#N/A,TRUE,"Overview";"ts2",#N/A,TRUE,"Det_Trans_Sum";"ei2",#N/A,TRUE,"Earnings Impact";"ad2",#N/A,TRUE,"accretion dilution";"pfis2",#N/A,TRUE,"Pro Forma Income Statement";"ca2",#N/A,TRUE,"Contribution_Analysis";"acq2",#N/A,TRUE,"Acquirer";"tar2",#N/A,TRUE,"Target"}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6._1" hidden="1">{"cover",#N/A,TRUE,"Cover";"toc5",#N/A,TRUE,"TOC";"over",#N/A,TRUE,"Overview";"ts2",#N/A,TRUE,"Det_Trans_Sum";"ei3",#N/A,TRUE,"Earnings Impact";"ad3",#N/A,TRUE,"accretion dilution";"pfis3",#N/A,TRUE,"Pro Forma Income Statement";"ca3",#N/A,TRUE,"Contribution_Analysis";"acq3",#N/A,TRUE,"Acquirer";"tar3",#N/A,TRUE,"Target"}</definedName>
    <definedName name="wrn.36._2" hidden="1">{"cover",#N/A,TRUE,"Cover";"toc5",#N/A,TRUE,"TOC";"over",#N/A,TRUE,"Overview";"ts2",#N/A,TRUE,"Det_Trans_Sum";"ei3",#N/A,TRUE,"Earnings Impact";"ad3",#N/A,TRUE,"accretion dilution";"pfis3",#N/A,TRUE,"Pro Forma Income Statement";"ca3",#N/A,TRUE,"Contribution_Analysis";"acq3",#N/A,TRUE,"Acquirer";"tar3",#N/A,TRUE,"Target"}</definedName>
    <definedName name="wrn.36._3" hidden="1">{"cover",#N/A,TRUE,"Cover";"toc5",#N/A,TRUE,"TOC";"over",#N/A,TRUE,"Overview";"ts2",#N/A,TRUE,"Det_Trans_Sum";"ei3",#N/A,TRUE,"Earnings Impact";"ad3",#N/A,TRUE,"accretion dilution";"pfis3",#N/A,TRUE,"Pro Forma Income Statement";"ca3",#N/A,TRUE,"Contribution_Analysis";"acq3",#N/A,TRUE,"Acquirer";"tar3",#N/A,TRUE,"Target"}</definedName>
    <definedName name="wrn.36._4" hidden="1">{"cover",#N/A,TRUE,"Cover";"toc5",#N/A,TRUE,"TOC";"over",#N/A,TRUE,"Overview";"ts2",#N/A,TRUE,"Det_Trans_Sum";"ei3",#N/A,TRUE,"Earnings Impact";"ad3",#N/A,TRUE,"accretion dilution";"pfis3",#N/A,TRUE,"Pro Forma Income Statement";"ca3",#N/A,TRUE,"Contribution_Analysis";"acq3",#N/A,TRUE,"Acquirer";"tar3",#N/A,TRUE,"Target"}</definedName>
    <definedName name="wrn.36._5" hidden="1">{"cover",#N/A,TRUE,"Cover";"toc5",#N/A,TRUE,"TOC";"over",#N/A,TRUE,"Overview";"ts2",#N/A,TRUE,"Det_Trans_Sum";"ei3",#N/A,TRUE,"Earnings Impact";"ad3",#N/A,TRUE,"accretion dilution";"pfis3",#N/A,TRUE,"Pro Forma Income Statement";"ca3",#N/A,TRUE,"Contribution_Analysis";"acq3",#N/A,TRUE,"Acquirer";"tar3",#N/A,TRUE,"Target"}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7._1" hidden="1">{"cover",#N/A,TRUE,"Cover";"toc6",#N/A,TRUE,"TOC";"over",#N/A,TRUE,"Overview";"ts2",#N/A,TRUE,"Det_Trans_Sum";"ei",#N/A,TRUE,"Earnings Impact";"ad",#N/A,TRUE,"accretion dilution";"hg",#N/A,TRUE,"Has-Gets";"pfis",#N/A,TRUE,"Pro Forma Income Statement";"ca",#N/A,TRUE,"Contribution_Analysis";"acq",#N/A,TRUE,"Acquirer";"tar",#N/A,TRUE,"Target"}</definedName>
    <definedName name="wrn.37._2" hidden="1">{"cover",#N/A,TRUE,"Cover";"toc6",#N/A,TRUE,"TOC";"over",#N/A,TRUE,"Overview";"ts2",#N/A,TRUE,"Det_Trans_Sum";"ei",#N/A,TRUE,"Earnings Impact";"ad",#N/A,TRUE,"accretion dilution";"hg",#N/A,TRUE,"Has-Gets";"pfis",#N/A,TRUE,"Pro Forma Income Statement";"ca",#N/A,TRUE,"Contribution_Analysis";"acq",#N/A,TRUE,"Acquirer";"tar",#N/A,TRUE,"Target"}</definedName>
    <definedName name="wrn.37._3" hidden="1">{"cover",#N/A,TRUE,"Cover";"toc6",#N/A,TRUE,"TOC";"over",#N/A,TRUE,"Overview";"ts2",#N/A,TRUE,"Det_Trans_Sum";"ei",#N/A,TRUE,"Earnings Impact";"ad",#N/A,TRUE,"accretion dilution";"hg",#N/A,TRUE,"Has-Gets";"pfis",#N/A,TRUE,"Pro Forma Income Statement";"ca",#N/A,TRUE,"Contribution_Analysis";"acq",#N/A,TRUE,"Acquirer";"tar",#N/A,TRUE,"Target"}</definedName>
    <definedName name="wrn.37._4" hidden="1">{"cover",#N/A,TRUE,"Cover";"toc6",#N/A,TRUE,"TOC";"over",#N/A,TRUE,"Overview";"ts2",#N/A,TRUE,"Det_Trans_Sum";"ei",#N/A,TRUE,"Earnings Impact";"ad",#N/A,TRUE,"accretion dilution";"hg",#N/A,TRUE,"Has-Gets";"pfis",#N/A,TRUE,"Pro Forma Income Statement";"ca",#N/A,TRUE,"Contribution_Analysis";"acq",#N/A,TRUE,"Acquirer";"tar",#N/A,TRUE,"Target"}</definedName>
    <definedName name="wrn.37._5" hidden="1">{"cover",#N/A,TRUE,"Cover";"toc6",#N/A,TRUE,"TOC";"over",#N/A,TRUE,"Overview";"ts2",#N/A,TRUE,"Det_Trans_Sum";"ei",#N/A,TRUE,"Earnings Impact";"ad",#N/A,TRUE,"accretion dilution";"hg",#N/A,TRUE,"Has-Gets";"pfis",#N/A,TRUE,"Pro Forma Income Statement";"ca",#N/A,TRUE,"Contribution_Analysis";"acq",#N/A,TRUE,"Acquirer";"tar",#N/A,TRUE,"Target"}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8._1" hidden="1">{"cover",#N/A,TRUE,"Cover";"toc6",#N/A,TRUE,"TOC";"over",#N/A,TRUE,"Overview";"ts2",#N/A,TRUE,"Det_Trans_Sum";"ei1",#N/A,TRUE,"Earnings Impact";"ad1",#N/A,TRUE,"accretion dilution";"hg1",#N/A,TRUE,"Has-Gets";"pfis1",#N/A,TRUE,"Pro Forma Income Statement";"ca1",#N/A,TRUE,"Contribution_Analysis";"acq1",#N/A,TRUE,"Acquirer";"tar1",#N/A,TRUE,"Target"}</definedName>
    <definedName name="wrn.38._2" hidden="1">{"cover",#N/A,TRUE,"Cover";"toc6",#N/A,TRUE,"TOC";"over",#N/A,TRUE,"Overview";"ts2",#N/A,TRUE,"Det_Trans_Sum";"ei1",#N/A,TRUE,"Earnings Impact";"ad1",#N/A,TRUE,"accretion dilution";"hg1",#N/A,TRUE,"Has-Gets";"pfis1",#N/A,TRUE,"Pro Forma Income Statement";"ca1",#N/A,TRUE,"Contribution_Analysis";"acq1",#N/A,TRUE,"Acquirer";"tar1",#N/A,TRUE,"Target"}</definedName>
    <definedName name="wrn.38._3" hidden="1">{"cover",#N/A,TRUE,"Cover";"toc6",#N/A,TRUE,"TOC";"over",#N/A,TRUE,"Overview";"ts2",#N/A,TRUE,"Det_Trans_Sum";"ei1",#N/A,TRUE,"Earnings Impact";"ad1",#N/A,TRUE,"accretion dilution";"hg1",#N/A,TRUE,"Has-Gets";"pfis1",#N/A,TRUE,"Pro Forma Income Statement";"ca1",#N/A,TRUE,"Contribution_Analysis";"acq1",#N/A,TRUE,"Acquirer";"tar1",#N/A,TRUE,"Target"}</definedName>
    <definedName name="wrn.38._4" hidden="1">{"cover",#N/A,TRUE,"Cover";"toc6",#N/A,TRUE,"TOC";"over",#N/A,TRUE,"Overview";"ts2",#N/A,TRUE,"Det_Trans_Sum";"ei1",#N/A,TRUE,"Earnings Impact";"ad1",#N/A,TRUE,"accretion dilution";"hg1",#N/A,TRUE,"Has-Gets";"pfis1",#N/A,TRUE,"Pro Forma Income Statement";"ca1",#N/A,TRUE,"Contribution_Analysis";"acq1",#N/A,TRUE,"Acquirer";"tar1",#N/A,TRUE,"Target"}</definedName>
    <definedName name="wrn.38._5" hidden="1">{"cover",#N/A,TRUE,"Cover";"toc6",#N/A,TRUE,"TOC";"over",#N/A,TRUE,"Overview";"ts2",#N/A,TRUE,"Det_Trans_Sum";"ei1",#N/A,TRUE,"Earnings Impact";"ad1",#N/A,TRUE,"accretion dilution";"hg1",#N/A,TRUE,"Has-Gets";"pfis1",#N/A,TRUE,"Pro Forma Income Statement";"ca1",#N/A,TRUE,"Contribution_Analysis";"acq1",#N/A,TRUE,"Acquirer";"tar1",#N/A,TRUE,"Target"}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39._1" hidden="1">{"cover",#N/A,TRUE,"Cover";"toc6",#N/A,TRUE,"TOC";"over",#N/A,TRUE,"Overview";"ts2",#N/A,TRUE,"Det_Trans_Sum";"ei2",#N/A,TRUE,"Earnings Impact";"ad2",#N/A,TRUE,"accretion dilution";"hg2",#N/A,TRUE,"Has-Gets";"pfis2",#N/A,TRUE,"Pro Forma Income Statement";"ca2",#N/A,TRUE,"Contribution_Analysis";"acq2",#N/A,TRUE,"Acquirer";"tar2",#N/A,TRUE,"Target"}</definedName>
    <definedName name="wrn.39._2" hidden="1">{"cover",#N/A,TRUE,"Cover";"toc6",#N/A,TRUE,"TOC";"over",#N/A,TRUE,"Overview";"ts2",#N/A,TRUE,"Det_Trans_Sum";"ei2",#N/A,TRUE,"Earnings Impact";"ad2",#N/A,TRUE,"accretion dilution";"hg2",#N/A,TRUE,"Has-Gets";"pfis2",#N/A,TRUE,"Pro Forma Income Statement";"ca2",#N/A,TRUE,"Contribution_Analysis";"acq2",#N/A,TRUE,"Acquirer";"tar2",#N/A,TRUE,"Target"}</definedName>
    <definedName name="wrn.39._3" hidden="1">{"cover",#N/A,TRUE,"Cover";"toc6",#N/A,TRUE,"TOC";"over",#N/A,TRUE,"Overview";"ts2",#N/A,TRUE,"Det_Trans_Sum";"ei2",#N/A,TRUE,"Earnings Impact";"ad2",#N/A,TRUE,"accretion dilution";"hg2",#N/A,TRUE,"Has-Gets";"pfis2",#N/A,TRUE,"Pro Forma Income Statement";"ca2",#N/A,TRUE,"Contribution_Analysis";"acq2",#N/A,TRUE,"Acquirer";"tar2",#N/A,TRUE,"Target"}</definedName>
    <definedName name="wrn.39._4" hidden="1">{"cover",#N/A,TRUE,"Cover";"toc6",#N/A,TRUE,"TOC";"over",#N/A,TRUE,"Overview";"ts2",#N/A,TRUE,"Det_Trans_Sum";"ei2",#N/A,TRUE,"Earnings Impact";"ad2",#N/A,TRUE,"accretion dilution";"hg2",#N/A,TRUE,"Has-Gets";"pfis2",#N/A,TRUE,"Pro Forma Income Statement";"ca2",#N/A,TRUE,"Contribution_Analysis";"acq2",#N/A,TRUE,"Acquirer";"tar2",#N/A,TRUE,"Target"}</definedName>
    <definedName name="wrn.39._5" hidden="1">{"cover",#N/A,TRUE,"Cover";"toc6",#N/A,TRUE,"TOC";"over",#N/A,TRUE,"Overview";"ts2",#N/A,TRUE,"Det_Trans_Sum";"ei2",#N/A,TRUE,"Earnings Impact";"ad2",#N/A,TRUE,"accretion dilution";"hg2",#N/A,TRUE,"Has-Gets";"pfis2",#N/A,TRUE,"Pro Forma Income Statement";"ca2",#N/A,TRUE,"Contribution_Analysis";"acq2",#N/A,TRUE,"Acquirer";"tar2",#N/A,TRUE,"Target"}</definedName>
    <definedName name="wrn.3rd._.Qtr._.Supplement."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uarter._.Supplement."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4." hidden="1">{"toc1",#N/A,FALSE,"TOC";"cover",#N/A,FALSE,"Cover";"ts1",#N/A,FALSE,"Transaction Summary";"ei3",#N/A,FALSE,"Earnings Impact";"ad3",#N/A,FALSE,"accretion dilution"}</definedName>
    <definedName name="wrn.4._1" hidden="1">{"toc1",#N/A,FALSE,"TOC";"cover",#N/A,FALSE,"Cover";"ts1",#N/A,FALSE,"Transaction Summary";"ei3",#N/A,FALSE,"Earnings Impact";"ad3",#N/A,FALSE,"accretion dilution"}</definedName>
    <definedName name="wrn.4._2" hidden="1">{"toc1",#N/A,FALSE,"TOC";"cover",#N/A,FALSE,"Cover";"ts1",#N/A,FALSE,"Transaction Summary";"ei3",#N/A,FALSE,"Earnings Impact";"ad3",#N/A,FALSE,"accretion dilution"}</definedName>
    <definedName name="wrn.4._3" hidden="1">{"toc1",#N/A,FALSE,"TOC";"cover",#N/A,FALSE,"Cover";"ts1",#N/A,FALSE,"Transaction Summary";"ei3",#N/A,FALSE,"Earnings Impact";"ad3",#N/A,FALSE,"accretion dilution"}</definedName>
    <definedName name="wrn.4._4" hidden="1">{"toc1",#N/A,FALSE,"TOC";"cover",#N/A,FALSE,"Cover";"ts1",#N/A,FALSE,"Transaction Summary";"ei3",#N/A,FALSE,"Earnings Impact";"ad3",#N/A,FALSE,"accretion dilution"}</definedName>
    <definedName name="wrn.4._5" hidden="1">{"toc1",#N/A,FALSE,"TOC";"cover",#N/A,FALSE,"Cover";"ts1",#N/A,FALSE,"Transaction Summary";"ei3",#N/A,FALSE,"Earnings Impact";"ad3",#N/A,FALSE,"accretion dilution"}</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0._1" hidden="1">{"cover",#N/A,TRUE,"Cover";"toc6",#N/A,TRUE,"TOC";"over",#N/A,TRUE,"Overview";"ts2",#N/A,TRUE,"Det_Trans_Sum";"ei3",#N/A,TRUE,"Earnings Impact";"ad3",#N/A,TRUE,"accretion dilution";"hg3",#N/A,TRUE,"Has-Gets";"pfis3",#N/A,TRUE,"Pro Forma Income Statement";"ca3",#N/A,TRUE,"Contribution_Analysis";"acq3",#N/A,TRUE,"Acquirer";"tar3",#N/A,TRUE,"Target"}</definedName>
    <definedName name="wrn.40._2" hidden="1">{"cover",#N/A,TRUE,"Cover";"toc6",#N/A,TRUE,"TOC";"over",#N/A,TRUE,"Overview";"ts2",#N/A,TRUE,"Det_Trans_Sum";"ei3",#N/A,TRUE,"Earnings Impact";"ad3",#N/A,TRUE,"accretion dilution";"hg3",#N/A,TRUE,"Has-Gets";"pfis3",#N/A,TRUE,"Pro Forma Income Statement";"ca3",#N/A,TRUE,"Contribution_Analysis";"acq3",#N/A,TRUE,"Acquirer";"tar3",#N/A,TRUE,"Target"}</definedName>
    <definedName name="wrn.40._3" hidden="1">{"cover",#N/A,TRUE,"Cover";"toc6",#N/A,TRUE,"TOC";"over",#N/A,TRUE,"Overview";"ts2",#N/A,TRUE,"Det_Trans_Sum";"ei3",#N/A,TRUE,"Earnings Impact";"ad3",#N/A,TRUE,"accretion dilution";"hg3",#N/A,TRUE,"Has-Gets";"pfis3",#N/A,TRUE,"Pro Forma Income Statement";"ca3",#N/A,TRUE,"Contribution_Analysis";"acq3",#N/A,TRUE,"Acquirer";"tar3",#N/A,TRUE,"Target"}</definedName>
    <definedName name="wrn.40._4" hidden="1">{"cover",#N/A,TRUE,"Cover";"toc6",#N/A,TRUE,"TOC";"over",#N/A,TRUE,"Overview";"ts2",#N/A,TRUE,"Det_Trans_Sum";"ei3",#N/A,TRUE,"Earnings Impact";"ad3",#N/A,TRUE,"accretion dilution";"hg3",#N/A,TRUE,"Has-Gets";"pfis3",#N/A,TRUE,"Pro Forma Income Statement";"ca3",#N/A,TRUE,"Contribution_Analysis";"acq3",#N/A,TRUE,"Acquirer";"tar3",#N/A,TRUE,"Target"}</definedName>
    <definedName name="wrn.40._5" hidden="1">{"cover",#N/A,TRUE,"Cover";"toc6",#N/A,TRUE,"TOC";"over",#N/A,TRUE,"Overview";"ts2",#N/A,TRUE,"Det_Trans_Sum";"ei3",#N/A,TRUE,"Earnings Impact";"ad3",#N/A,TRUE,"accretion dilution";"hg3",#N/A,TRUE,"Has-Gets";"pfis3",#N/A,TRUE,"Pro Forma Income Statement";"ca3",#N/A,TRUE,"Contribution_Analysis";"acq3",#N/A,TRUE,"Acquirer";"tar3",#N/A,TRUE,"Target"}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1._1" hidden="1">{"cover",#N/A,TRUE,"Cover";"toc7",#N/A,TRUE,"TOC";"over",#N/A,TRUE,"Overview";"ts2",#N/A,TRUE,"Det_Trans_Sum";"eic",#N/A,TRUE,"Earnings Impact";"ad",#N/A,TRUE,"accretion dilution";"pfis",#N/A,TRUE,"Pro Forma Income Statement";"profba",#N/A,TRUE,"Pro Forma Balance Sheet";"acqc",#N/A,TRUE,"Acquirer";"tarc",#N/A,TRUE,"Target"}</definedName>
    <definedName name="wrn.41._2" hidden="1">{"cover",#N/A,TRUE,"Cover";"toc7",#N/A,TRUE,"TOC";"over",#N/A,TRUE,"Overview";"ts2",#N/A,TRUE,"Det_Trans_Sum";"eic",#N/A,TRUE,"Earnings Impact";"ad",#N/A,TRUE,"accretion dilution";"pfis",#N/A,TRUE,"Pro Forma Income Statement";"profba",#N/A,TRUE,"Pro Forma Balance Sheet";"acqc",#N/A,TRUE,"Acquirer";"tarc",#N/A,TRUE,"Target"}</definedName>
    <definedName name="wrn.41._3" hidden="1">{"cover",#N/A,TRUE,"Cover";"toc7",#N/A,TRUE,"TOC";"over",#N/A,TRUE,"Overview";"ts2",#N/A,TRUE,"Det_Trans_Sum";"eic",#N/A,TRUE,"Earnings Impact";"ad",#N/A,TRUE,"accretion dilution";"pfis",#N/A,TRUE,"Pro Forma Income Statement";"profba",#N/A,TRUE,"Pro Forma Balance Sheet";"acqc",#N/A,TRUE,"Acquirer";"tarc",#N/A,TRUE,"Target"}</definedName>
    <definedName name="wrn.41._4" hidden="1">{"cover",#N/A,TRUE,"Cover";"toc7",#N/A,TRUE,"TOC";"over",#N/A,TRUE,"Overview";"ts2",#N/A,TRUE,"Det_Trans_Sum";"eic",#N/A,TRUE,"Earnings Impact";"ad",#N/A,TRUE,"accretion dilution";"pfis",#N/A,TRUE,"Pro Forma Income Statement";"profba",#N/A,TRUE,"Pro Forma Balance Sheet";"acqc",#N/A,TRUE,"Acquirer";"tarc",#N/A,TRUE,"Target"}</definedName>
    <definedName name="wrn.41._5" hidden="1">{"cover",#N/A,TRUE,"Cover";"toc7",#N/A,TRUE,"TOC";"over",#N/A,TRUE,"Overview";"ts2",#N/A,TRUE,"Det_Trans_Sum";"eic",#N/A,TRUE,"Earnings Impact";"ad",#N/A,TRUE,"accretion dilution";"pfis",#N/A,TRUE,"Pro Forma Income Statement";"profba",#N/A,TRUE,"Pro Forma Balance Sheet";"acqc",#N/A,TRUE,"Acquirer";"tarc",#N/A,TRUE,"Target"}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2._1" hidden="1">{"cover",#N/A,TRUE,"Cover";"toc7",#N/A,TRUE,"TOC";"over",#N/A,TRUE,"Overview";"ts2",#N/A,TRUE,"Det_Trans_Sum";"ei1c",#N/A,TRUE,"Earnings Impact";"ad1",#N/A,TRUE,"accretion dilution";"pfis1",#N/A,TRUE,"Pro Forma Income Statement";"profba",#N/A,TRUE,"Pro Forma Balance Sheet";"acq1c",#N/A,TRUE,"Acquirer";"tar1c",#N/A,TRUE,"Target"}</definedName>
    <definedName name="wrn.42._2" hidden="1">{"cover",#N/A,TRUE,"Cover";"toc7",#N/A,TRUE,"TOC";"over",#N/A,TRUE,"Overview";"ts2",#N/A,TRUE,"Det_Trans_Sum";"ei1c",#N/A,TRUE,"Earnings Impact";"ad1",#N/A,TRUE,"accretion dilution";"pfis1",#N/A,TRUE,"Pro Forma Income Statement";"profba",#N/A,TRUE,"Pro Forma Balance Sheet";"acq1c",#N/A,TRUE,"Acquirer";"tar1c",#N/A,TRUE,"Target"}</definedName>
    <definedName name="wrn.42._3" hidden="1">{"cover",#N/A,TRUE,"Cover";"toc7",#N/A,TRUE,"TOC";"over",#N/A,TRUE,"Overview";"ts2",#N/A,TRUE,"Det_Trans_Sum";"ei1c",#N/A,TRUE,"Earnings Impact";"ad1",#N/A,TRUE,"accretion dilution";"pfis1",#N/A,TRUE,"Pro Forma Income Statement";"profba",#N/A,TRUE,"Pro Forma Balance Sheet";"acq1c",#N/A,TRUE,"Acquirer";"tar1c",#N/A,TRUE,"Target"}</definedName>
    <definedName name="wrn.42._4" hidden="1">{"cover",#N/A,TRUE,"Cover";"toc7",#N/A,TRUE,"TOC";"over",#N/A,TRUE,"Overview";"ts2",#N/A,TRUE,"Det_Trans_Sum";"ei1c",#N/A,TRUE,"Earnings Impact";"ad1",#N/A,TRUE,"accretion dilution";"pfis1",#N/A,TRUE,"Pro Forma Income Statement";"profba",#N/A,TRUE,"Pro Forma Balance Sheet";"acq1c",#N/A,TRUE,"Acquirer";"tar1c",#N/A,TRUE,"Target"}</definedName>
    <definedName name="wrn.42._5" hidden="1">{"cover",#N/A,TRUE,"Cover";"toc7",#N/A,TRUE,"TOC";"over",#N/A,TRUE,"Overview";"ts2",#N/A,TRUE,"Det_Trans_Sum";"ei1c",#N/A,TRUE,"Earnings Impact";"ad1",#N/A,TRUE,"accretion dilution";"pfis1",#N/A,TRUE,"Pro Forma Income Statement";"profba",#N/A,TRUE,"Pro Forma Balance Sheet";"acq1c",#N/A,TRUE,"Acquirer";"tar1c",#N/A,TRUE,"Target"}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3._1" hidden="1">{"cover",#N/A,TRUE,"Cover";"toc7",#N/A,TRUE,"TOC";"over",#N/A,TRUE,"Overview";"ts2",#N/A,TRUE,"Det_Trans_Sum";"ei2c",#N/A,TRUE,"Earnings Impact";"ad2",#N/A,TRUE,"accretion dilution";"pfis2",#N/A,TRUE,"Pro Forma Income Statement";"profba",#N/A,TRUE,"Pro Forma Balance Sheet";"acq2c",#N/A,TRUE,"Acquirer";"tar2c",#N/A,TRUE,"Target"}</definedName>
    <definedName name="wrn.43._2" hidden="1">{"cover",#N/A,TRUE,"Cover";"toc7",#N/A,TRUE,"TOC";"over",#N/A,TRUE,"Overview";"ts2",#N/A,TRUE,"Det_Trans_Sum";"ei2c",#N/A,TRUE,"Earnings Impact";"ad2",#N/A,TRUE,"accretion dilution";"pfis2",#N/A,TRUE,"Pro Forma Income Statement";"profba",#N/A,TRUE,"Pro Forma Balance Sheet";"acq2c",#N/A,TRUE,"Acquirer";"tar2c",#N/A,TRUE,"Target"}</definedName>
    <definedName name="wrn.43._3" hidden="1">{"cover",#N/A,TRUE,"Cover";"toc7",#N/A,TRUE,"TOC";"over",#N/A,TRUE,"Overview";"ts2",#N/A,TRUE,"Det_Trans_Sum";"ei2c",#N/A,TRUE,"Earnings Impact";"ad2",#N/A,TRUE,"accretion dilution";"pfis2",#N/A,TRUE,"Pro Forma Income Statement";"profba",#N/A,TRUE,"Pro Forma Balance Sheet";"acq2c",#N/A,TRUE,"Acquirer";"tar2c",#N/A,TRUE,"Target"}</definedName>
    <definedName name="wrn.43._4" hidden="1">{"cover",#N/A,TRUE,"Cover";"toc7",#N/A,TRUE,"TOC";"over",#N/A,TRUE,"Overview";"ts2",#N/A,TRUE,"Det_Trans_Sum";"ei2c",#N/A,TRUE,"Earnings Impact";"ad2",#N/A,TRUE,"accretion dilution";"pfis2",#N/A,TRUE,"Pro Forma Income Statement";"profba",#N/A,TRUE,"Pro Forma Balance Sheet";"acq2c",#N/A,TRUE,"Acquirer";"tar2c",#N/A,TRUE,"Target"}</definedName>
    <definedName name="wrn.43._5" hidden="1">{"cover",#N/A,TRUE,"Cover";"toc7",#N/A,TRUE,"TOC";"over",#N/A,TRUE,"Overview";"ts2",#N/A,TRUE,"Det_Trans_Sum";"ei2c",#N/A,TRUE,"Earnings Impact";"ad2",#N/A,TRUE,"accretion dilution";"pfis2",#N/A,TRUE,"Pro Forma Income Statement";"profba",#N/A,TRUE,"Pro Forma Balance Sheet";"acq2c",#N/A,TRUE,"Acquirer";"tar2c",#N/A,TRUE,"Target"}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4._1" hidden="1">{"cover",#N/A,TRUE,"Cover";"toc7",#N/A,TRUE,"TOC";"over",#N/A,TRUE,"Overview";"ts2",#N/A,TRUE,"Det_Trans_Sum";"ei3c",#N/A,TRUE,"Earnings Impact";"ad3",#N/A,TRUE,"accretion dilution";"pfis3",#N/A,TRUE,"Pro Forma Income Statement";"profba",#N/A,TRUE,"Pro Forma Balance Sheet";"acq3c",#N/A,TRUE,"Acquirer";"tar3c",#N/A,TRUE,"Target"}</definedName>
    <definedName name="wrn.44._2" hidden="1">{"cover",#N/A,TRUE,"Cover";"toc7",#N/A,TRUE,"TOC";"over",#N/A,TRUE,"Overview";"ts2",#N/A,TRUE,"Det_Trans_Sum";"ei3c",#N/A,TRUE,"Earnings Impact";"ad3",#N/A,TRUE,"accretion dilution";"pfis3",#N/A,TRUE,"Pro Forma Income Statement";"profba",#N/A,TRUE,"Pro Forma Balance Sheet";"acq3c",#N/A,TRUE,"Acquirer";"tar3c",#N/A,TRUE,"Target"}</definedName>
    <definedName name="wrn.44._3" hidden="1">{"cover",#N/A,TRUE,"Cover";"toc7",#N/A,TRUE,"TOC";"over",#N/A,TRUE,"Overview";"ts2",#N/A,TRUE,"Det_Trans_Sum";"ei3c",#N/A,TRUE,"Earnings Impact";"ad3",#N/A,TRUE,"accretion dilution";"pfis3",#N/A,TRUE,"Pro Forma Income Statement";"profba",#N/A,TRUE,"Pro Forma Balance Sheet";"acq3c",#N/A,TRUE,"Acquirer";"tar3c",#N/A,TRUE,"Target"}</definedName>
    <definedName name="wrn.44._4" hidden="1">{"cover",#N/A,TRUE,"Cover";"toc7",#N/A,TRUE,"TOC";"over",#N/A,TRUE,"Overview";"ts2",#N/A,TRUE,"Det_Trans_Sum";"ei3c",#N/A,TRUE,"Earnings Impact";"ad3",#N/A,TRUE,"accretion dilution";"pfis3",#N/A,TRUE,"Pro Forma Income Statement";"profba",#N/A,TRUE,"Pro Forma Balance Sheet";"acq3c",#N/A,TRUE,"Acquirer";"tar3c",#N/A,TRUE,"Target"}</definedName>
    <definedName name="wrn.44._5" hidden="1">{"cover",#N/A,TRUE,"Cover";"toc7",#N/A,TRUE,"TOC";"over",#N/A,TRUE,"Overview";"ts2",#N/A,TRUE,"Det_Trans_Sum";"ei3c",#N/A,TRUE,"Earnings Impact";"ad3",#N/A,TRUE,"accretion dilution";"pfis3",#N/A,TRUE,"Pro Forma Income Statement";"profba",#N/A,TRUE,"Pro Forma Balance Sheet";"acq3c",#N/A,TRUE,"Acquirer";"tar3c",#N/A,TRUE,"Target"}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1"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2"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3"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4"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1"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2"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3"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4"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5"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2"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3"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4"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5"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1"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2"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3"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4"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5"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1"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2"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3"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4"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5"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hidden="1">{"cover",#N/A,TRUE,"Cover";"toc2",#N/A,TRUE,"TOC";"ts1",#N/A,TRUE,"Transaction Summary";"ei",#N/A,TRUE,"Earnings Impact";"ad",#N/A,TRUE,"accretion dilution";"hg",#N/A,TRUE,"Has-Gets"}</definedName>
    <definedName name="wrn.5._1" hidden="1">{"cover",#N/A,TRUE,"Cover";"toc2",#N/A,TRUE,"TOC";"ts1",#N/A,TRUE,"Transaction Summary";"ei",#N/A,TRUE,"Earnings Impact";"ad",#N/A,TRUE,"accretion dilution";"hg",#N/A,TRUE,"Has-Gets"}</definedName>
    <definedName name="wrn.5._2" hidden="1">{"cover",#N/A,TRUE,"Cover";"toc2",#N/A,TRUE,"TOC";"ts1",#N/A,TRUE,"Transaction Summary";"ei",#N/A,TRUE,"Earnings Impact";"ad",#N/A,TRUE,"accretion dilution";"hg",#N/A,TRUE,"Has-Gets"}</definedName>
    <definedName name="wrn.5._3" hidden="1">{"cover",#N/A,TRUE,"Cover";"toc2",#N/A,TRUE,"TOC";"ts1",#N/A,TRUE,"Transaction Summary";"ei",#N/A,TRUE,"Earnings Impact";"ad",#N/A,TRUE,"accretion dilution";"hg",#N/A,TRUE,"Has-Gets"}</definedName>
    <definedName name="wrn.5._4" hidden="1">{"cover",#N/A,TRUE,"Cover";"toc2",#N/A,TRUE,"TOC";"ts1",#N/A,TRUE,"Transaction Summary";"ei",#N/A,TRUE,"Earnings Impact";"ad",#N/A,TRUE,"accretion dilution";"hg",#N/A,TRUE,"Has-Gets"}</definedName>
    <definedName name="wrn.5._5" hidden="1">{"cover",#N/A,TRUE,"Cover";"toc2",#N/A,TRUE,"TOC";"ts1",#N/A,TRUE,"Transaction Summary";"ei",#N/A,TRUE,"Earnings Impact";"ad",#N/A,TRUE,"accretion dilution";"hg",#N/A,TRUE,"Has-Gets"}</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1"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2"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3"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4"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5"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2"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3"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4"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5"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1"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3"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4"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5"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1"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2"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4"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5"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1"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2"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3"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5"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1"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2"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3"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4"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1"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2"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3"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4"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5"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7._1" hidden="1">{"cover",#N/A,TRUE,"Cover";"toc7",#N/A,TRUE,"TOC";"over",#N/A,TRUE,"Overview";"ts2",#N/A,TRUE,"Det_Trans_Sum";"ei",#N/A,TRUE,"Earnings Impact";"ad",#N/A,TRUE,"accretion dilution";"pfis",#N/A,TRUE,"Pro Forma Income Statement";"profba",#N/A,TRUE,"Pro Forma Balance Sheet";"acq",#N/A,TRUE,"Acquirer";"tar",#N/A,TRUE,"Target"}</definedName>
    <definedName name="wrn.57._2" hidden="1">{"cover",#N/A,TRUE,"Cover";"toc7",#N/A,TRUE,"TOC";"over",#N/A,TRUE,"Overview";"ts2",#N/A,TRUE,"Det_Trans_Sum";"ei",#N/A,TRUE,"Earnings Impact";"ad",#N/A,TRUE,"accretion dilution";"pfis",#N/A,TRUE,"Pro Forma Income Statement";"profba",#N/A,TRUE,"Pro Forma Balance Sheet";"acq",#N/A,TRUE,"Acquirer";"tar",#N/A,TRUE,"Target"}</definedName>
    <definedName name="wrn.57._3" hidden="1">{"cover",#N/A,TRUE,"Cover";"toc7",#N/A,TRUE,"TOC";"over",#N/A,TRUE,"Overview";"ts2",#N/A,TRUE,"Det_Trans_Sum";"ei",#N/A,TRUE,"Earnings Impact";"ad",#N/A,TRUE,"accretion dilution";"pfis",#N/A,TRUE,"Pro Forma Income Statement";"profba",#N/A,TRUE,"Pro Forma Balance Sheet";"acq",#N/A,TRUE,"Acquirer";"tar",#N/A,TRUE,"Target"}</definedName>
    <definedName name="wrn.57._4" hidden="1">{"cover",#N/A,TRUE,"Cover";"toc7",#N/A,TRUE,"TOC";"over",#N/A,TRUE,"Overview";"ts2",#N/A,TRUE,"Det_Trans_Sum";"ei",#N/A,TRUE,"Earnings Impact";"ad",#N/A,TRUE,"accretion dilution";"pfis",#N/A,TRUE,"Pro Forma Income Statement";"profba",#N/A,TRUE,"Pro Forma Balance Sheet";"acq",#N/A,TRUE,"Acquirer";"tar",#N/A,TRUE,"Target"}</definedName>
    <definedName name="wrn.57._5" hidden="1">{"cover",#N/A,TRUE,"Cover";"toc7",#N/A,TRUE,"TOC";"over",#N/A,TRUE,"Overview";"ts2",#N/A,TRUE,"Det_Trans_Sum";"ei",#N/A,TRUE,"Earnings Impact";"ad",#N/A,TRUE,"accretion dilution";"pfis",#N/A,TRUE,"Pro Forma Income Statement";"profba",#N/A,TRUE,"Pro Forma Balance Sheet";"acq",#N/A,TRUE,"Acquirer";"tar",#N/A,TRUE,"Target"}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8._1" hidden="1">{"cover",#N/A,TRUE,"Cover";"toc7",#N/A,TRUE,"TOC";"over",#N/A,TRUE,"Overview";"ts2",#N/A,TRUE,"Det_Trans_Sum";"ei1",#N/A,TRUE,"Earnings Impact";"ad1",#N/A,TRUE,"accretion dilution";"pfis1",#N/A,TRUE,"Pro Forma Income Statement";"profba",#N/A,TRUE,"Pro Forma Balance Sheet";"acq1",#N/A,TRUE,"Acquirer";"tar1",#N/A,TRUE,"Target"}</definedName>
    <definedName name="wrn.58._2" hidden="1">{"cover",#N/A,TRUE,"Cover";"toc7",#N/A,TRUE,"TOC";"over",#N/A,TRUE,"Overview";"ts2",#N/A,TRUE,"Det_Trans_Sum";"ei1",#N/A,TRUE,"Earnings Impact";"ad1",#N/A,TRUE,"accretion dilution";"pfis1",#N/A,TRUE,"Pro Forma Income Statement";"profba",#N/A,TRUE,"Pro Forma Balance Sheet";"acq1",#N/A,TRUE,"Acquirer";"tar1",#N/A,TRUE,"Target"}</definedName>
    <definedName name="wrn.58._3" hidden="1">{"cover",#N/A,TRUE,"Cover";"toc7",#N/A,TRUE,"TOC";"over",#N/A,TRUE,"Overview";"ts2",#N/A,TRUE,"Det_Trans_Sum";"ei1",#N/A,TRUE,"Earnings Impact";"ad1",#N/A,TRUE,"accretion dilution";"pfis1",#N/A,TRUE,"Pro Forma Income Statement";"profba",#N/A,TRUE,"Pro Forma Balance Sheet";"acq1",#N/A,TRUE,"Acquirer";"tar1",#N/A,TRUE,"Target"}</definedName>
    <definedName name="wrn.58._4" hidden="1">{"cover",#N/A,TRUE,"Cover";"toc7",#N/A,TRUE,"TOC";"over",#N/A,TRUE,"Overview";"ts2",#N/A,TRUE,"Det_Trans_Sum";"ei1",#N/A,TRUE,"Earnings Impact";"ad1",#N/A,TRUE,"accretion dilution";"pfis1",#N/A,TRUE,"Pro Forma Income Statement";"profba",#N/A,TRUE,"Pro Forma Balance Sheet";"acq1",#N/A,TRUE,"Acquirer";"tar1",#N/A,TRUE,"Target"}</definedName>
    <definedName name="wrn.58._5" hidden="1">{"cover",#N/A,TRUE,"Cover";"toc7",#N/A,TRUE,"TOC";"over",#N/A,TRUE,"Overview";"ts2",#N/A,TRUE,"Det_Trans_Sum";"ei1",#N/A,TRUE,"Earnings Impact";"ad1",#N/A,TRUE,"accretion dilution";"pfis1",#N/A,TRUE,"Pro Forma Income Statement";"profba",#N/A,TRUE,"Pro Forma Balance Sheet";"acq1",#N/A,TRUE,"Acquirer";"tar1",#N/A,TRUE,"Target"}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59._1" hidden="1">{"cover",#N/A,TRUE,"Cover";"toc7",#N/A,TRUE,"TOC";"over",#N/A,TRUE,"Overview";"ts2",#N/A,TRUE,"Det_Trans_Sum";"ei2",#N/A,TRUE,"Earnings Impact";"ad2",#N/A,TRUE,"accretion dilution";"pfis2",#N/A,TRUE,"Pro Forma Income Statement";"profba",#N/A,TRUE,"Pro Forma Balance Sheet";"acq2",#N/A,TRUE,"Acquirer";"tar2",#N/A,TRUE,"Target"}</definedName>
    <definedName name="wrn.59._2" hidden="1">{"cover",#N/A,TRUE,"Cover";"toc7",#N/A,TRUE,"TOC";"over",#N/A,TRUE,"Overview";"ts2",#N/A,TRUE,"Det_Trans_Sum";"ei2",#N/A,TRUE,"Earnings Impact";"ad2",#N/A,TRUE,"accretion dilution";"pfis2",#N/A,TRUE,"Pro Forma Income Statement";"profba",#N/A,TRUE,"Pro Forma Balance Sheet";"acq2",#N/A,TRUE,"Acquirer";"tar2",#N/A,TRUE,"Target"}</definedName>
    <definedName name="wrn.59._3" hidden="1">{"cover",#N/A,TRUE,"Cover";"toc7",#N/A,TRUE,"TOC";"over",#N/A,TRUE,"Overview";"ts2",#N/A,TRUE,"Det_Trans_Sum";"ei2",#N/A,TRUE,"Earnings Impact";"ad2",#N/A,TRUE,"accretion dilution";"pfis2",#N/A,TRUE,"Pro Forma Income Statement";"profba",#N/A,TRUE,"Pro Forma Balance Sheet";"acq2",#N/A,TRUE,"Acquirer";"tar2",#N/A,TRUE,"Target"}</definedName>
    <definedName name="wrn.59._4" hidden="1">{"cover",#N/A,TRUE,"Cover";"toc7",#N/A,TRUE,"TOC";"over",#N/A,TRUE,"Overview";"ts2",#N/A,TRUE,"Det_Trans_Sum";"ei2",#N/A,TRUE,"Earnings Impact";"ad2",#N/A,TRUE,"accretion dilution";"pfis2",#N/A,TRUE,"Pro Forma Income Statement";"profba",#N/A,TRUE,"Pro Forma Balance Sheet";"acq2",#N/A,TRUE,"Acquirer";"tar2",#N/A,TRUE,"Target"}</definedName>
    <definedName name="wrn.59._5" hidden="1">{"cover",#N/A,TRUE,"Cover";"toc7",#N/A,TRUE,"TOC";"over",#N/A,TRUE,"Overview";"ts2",#N/A,TRUE,"Det_Trans_Sum";"ei2",#N/A,TRUE,"Earnings Impact";"ad2",#N/A,TRUE,"accretion dilution";"pfis2",#N/A,TRUE,"Pro Forma Income Statement";"profba",#N/A,TRUE,"Pro Forma Balance Sheet";"acq2",#N/A,TRUE,"Acquirer";"tar2",#N/A,TRUE,"Target"}</definedName>
    <definedName name="wrn.6." hidden="1">{"cover",#N/A,TRUE,"Cover";"toc2",#N/A,TRUE,"TOC";"ts1",#N/A,TRUE,"Transaction Summary";"ei1",#N/A,TRUE,"Earnings Impact";"ad1",#N/A,TRUE,"accretion dilution";"hg1",#N/A,TRUE,"Has-Gets"}</definedName>
    <definedName name="wrn.6._1" hidden="1">{"cover",#N/A,TRUE,"Cover";"toc2",#N/A,TRUE,"TOC";"ts1",#N/A,TRUE,"Transaction Summary";"ei1",#N/A,TRUE,"Earnings Impact";"ad1",#N/A,TRUE,"accretion dilution";"hg1",#N/A,TRUE,"Has-Gets"}</definedName>
    <definedName name="wrn.6._2" hidden="1">{"cover",#N/A,TRUE,"Cover";"toc2",#N/A,TRUE,"TOC";"ts1",#N/A,TRUE,"Transaction Summary";"ei1",#N/A,TRUE,"Earnings Impact";"ad1",#N/A,TRUE,"accretion dilution";"hg1",#N/A,TRUE,"Has-Gets"}</definedName>
    <definedName name="wrn.6._3" hidden="1">{"cover",#N/A,TRUE,"Cover";"toc2",#N/A,TRUE,"TOC";"ts1",#N/A,TRUE,"Transaction Summary";"ei1",#N/A,TRUE,"Earnings Impact";"ad1",#N/A,TRUE,"accretion dilution";"hg1",#N/A,TRUE,"Has-Gets"}</definedName>
    <definedName name="wrn.6._4" hidden="1">{"cover",#N/A,TRUE,"Cover";"toc2",#N/A,TRUE,"TOC";"ts1",#N/A,TRUE,"Transaction Summary";"ei1",#N/A,TRUE,"Earnings Impact";"ad1",#N/A,TRUE,"accretion dilution";"hg1",#N/A,TRUE,"Has-Gets"}</definedName>
    <definedName name="wrn.6._5" hidden="1">{"cover",#N/A,TRUE,"Cover";"toc2",#N/A,TRUE,"TOC";"ts1",#N/A,TRUE,"Transaction Summary";"ei1",#N/A,TRUE,"Earnings Impact";"ad1",#N/A,TRUE,"accretion dilution";"hg1",#N/A,TRUE,"Has-Gets"}</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0._1" hidden="1">{"cover",#N/A,TRUE,"Cover";"toc7",#N/A,TRUE,"TOC";"over",#N/A,TRUE,"Overview";"ts2",#N/A,TRUE,"Det_Trans_Sum";"ei3",#N/A,TRUE,"Earnings Impact";"ad3",#N/A,TRUE,"accretion dilution";"pfis3",#N/A,TRUE,"Pro Forma Income Statement";"profba",#N/A,TRUE,"Pro Forma Balance Sheet";"acq3",#N/A,TRUE,"Acquirer";"tar3",#N/A,TRUE,"Target"}</definedName>
    <definedName name="wrn.60._2" hidden="1">{"cover",#N/A,TRUE,"Cover";"toc7",#N/A,TRUE,"TOC";"over",#N/A,TRUE,"Overview";"ts2",#N/A,TRUE,"Det_Trans_Sum";"ei3",#N/A,TRUE,"Earnings Impact";"ad3",#N/A,TRUE,"accretion dilution";"pfis3",#N/A,TRUE,"Pro Forma Income Statement";"profba",#N/A,TRUE,"Pro Forma Balance Sheet";"acq3",#N/A,TRUE,"Acquirer";"tar3",#N/A,TRUE,"Target"}</definedName>
    <definedName name="wrn.60._3" hidden="1">{"cover",#N/A,TRUE,"Cover";"toc7",#N/A,TRUE,"TOC";"over",#N/A,TRUE,"Overview";"ts2",#N/A,TRUE,"Det_Trans_Sum";"ei3",#N/A,TRUE,"Earnings Impact";"ad3",#N/A,TRUE,"accretion dilution";"pfis3",#N/A,TRUE,"Pro Forma Income Statement";"profba",#N/A,TRUE,"Pro Forma Balance Sheet";"acq3",#N/A,TRUE,"Acquirer";"tar3",#N/A,TRUE,"Target"}</definedName>
    <definedName name="wrn.60._4" hidden="1">{"cover",#N/A,TRUE,"Cover";"toc7",#N/A,TRUE,"TOC";"over",#N/A,TRUE,"Overview";"ts2",#N/A,TRUE,"Det_Trans_Sum";"ei3",#N/A,TRUE,"Earnings Impact";"ad3",#N/A,TRUE,"accretion dilution";"pfis3",#N/A,TRUE,"Pro Forma Income Statement";"profba",#N/A,TRUE,"Pro Forma Balance Sheet";"acq3",#N/A,TRUE,"Acquirer";"tar3",#N/A,TRUE,"Target"}</definedName>
    <definedName name="wrn.60._5" hidden="1">{"cover",#N/A,TRUE,"Cover";"toc7",#N/A,TRUE,"TOC";"over",#N/A,TRUE,"Overview";"ts2",#N/A,TRUE,"Det_Trans_Sum";"ei3",#N/A,TRUE,"Earnings Impact";"ad3",#N/A,TRUE,"accretion dilution";"pfis3",#N/A,TRUE,"Pro Forma Income Statement";"profba",#N/A,TRUE,"Pro Forma Balance Sheet";"acq3",#N/A,TRUE,"Acquirer";"tar3",#N/A,TRUE,"Target"}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2"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3"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4"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5"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1"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3"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4"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5"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1"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2"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4"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5"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1"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2"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3"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5"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1"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2"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3"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4"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1"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2"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3"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4"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5"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1"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2"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3"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4"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5"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1"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2"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3"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4"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5"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1"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2"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3"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4"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5"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hidden="1">{"cover",#N/A,TRUE,"Cover";"toc2",#N/A,TRUE,"TOC";"ts1",#N/A,TRUE,"Transaction Summary";"ei2c",#N/A,TRUE,"Earnings Impact";"ad2",#N/A,TRUE,"accretion dilution";"hg2",#N/A,TRUE,"Has-Gets"}</definedName>
    <definedName name="wrn.7._1" hidden="1">{"cover",#N/A,TRUE,"Cover";"toc2",#N/A,TRUE,"TOC";"ts1",#N/A,TRUE,"Transaction Summary";"ei2c",#N/A,TRUE,"Earnings Impact";"ad2",#N/A,TRUE,"accretion dilution";"hg2",#N/A,TRUE,"Has-Gets"}</definedName>
    <definedName name="wrn.7._2" hidden="1">{"cover",#N/A,TRUE,"Cover";"toc2",#N/A,TRUE,"TOC";"ts1",#N/A,TRUE,"Transaction Summary";"ei2c",#N/A,TRUE,"Earnings Impact";"ad2",#N/A,TRUE,"accretion dilution";"hg2",#N/A,TRUE,"Has-Gets"}</definedName>
    <definedName name="wrn.7._3" hidden="1">{"cover",#N/A,TRUE,"Cover";"toc2",#N/A,TRUE,"TOC";"ts1",#N/A,TRUE,"Transaction Summary";"ei2c",#N/A,TRUE,"Earnings Impact";"ad2",#N/A,TRUE,"accretion dilution";"hg2",#N/A,TRUE,"Has-Gets"}</definedName>
    <definedName name="wrn.7._4" hidden="1">{"cover",#N/A,TRUE,"Cover";"toc2",#N/A,TRUE,"TOC";"ts1",#N/A,TRUE,"Transaction Summary";"ei2c",#N/A,TRUE,"Earnings Impact";"ad2",#N/A,TRUE,"accretion dilution";"hg2",#N/A,TRUE,"Has-Gets"}</definedName>
    <definedName name="wrn.7._5" hidden="1">{"cover",#N/A,TRUE,"Cover";"toc2",#N/A,TRUE,"TOC";"ts1",#N/A,TRUE,"Transaction Summary";"ei2c",#N/A,TRUE,"Earnings Impact";"ad2",#N/A,TRUE,"accretion dilution";"hg2",#N/A,TRUE,"Has-Gets"}</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Per._.Cent._.Success." hidden="1">{#N/A,"70% Success",FALSE,"Sales Forecast";#N/A,#N/A,FALSE,"Sheet2"}</definedName>
    <definedName name="wrn.70._.Per._.Cent._.Success._1" hidden="1">{#N/A,"70% Success",FALSE,"Sales Forecast";#N/A,#N/A,FALSE,"Sheet2"}</definedName>
    <definedName name="wrn.70._.Per._.Cent._.Success._2" hidden="1">{#N/A,"70% Success",FALSE,"Sales Forecast";#N/A,#N/A,FALSE,"Sheet2"}</definedName>
    <definedName name="wrn.70._.Per._.Cent._.Success._3" hidden="1">{#N/A,"70% Success",FALSE,"Sales Forecast";#N/A,#N/A,FALSE,"Sheet2"}</definedName>
    <definedName name="wrn.70._.Per._.Cent._.Success._4" hidden="1">{#N/A,"70% Success",FALSE,"Sales Forecast";#N/A,#N/A,FALSE,"Sheet2"}</definedName>
    <definedName name="wrn.70._.Per._.Cent._.Success._5" hidden="1">{#N/A,"70% Success",FALSE,"Sales Forecast";#N/A,#N/A,FALSE,"Sheet2"}</definedName>
    <definedName name="wrn.70._1"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2"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3"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4"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5"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2"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3"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4"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5"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1"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3"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4"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5"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8." hidden="1">{"cover",#N/A,TRUE,"Cover";"toc2",#N/A,TRUE,"TOC";"ts1",#N/A,TRUE,"Transaction Summary";"ei3",#N/A,TRUE,"Earnings Impact";"ad3",#N/A,TRUE,"accretion dilution";"hg3",#N/A,TRUE,"Has-Gets"}</definedName>
    <definedName name="wrn.8._1" hidden="1">{"cover",#N/A,TRUE,"Cover";"toc2",#N/A,TRUE,"TOC";"ts1",#N/A,TRUE,"Transaction Summary";"ei3",#N/A,TRUE,"Earnings Impact";"ad3",#N/A,TRUE,"accretion dilution";"hg3",#N/A,TRUE,"Has-Gets"}</definedName>
    <definedName name="wrn.8._2" hidden="1">{"cover",#N/A,TRUE,"Cover";"toc2",#N/A,TRUE,"TOC";"ts1",#N/A,TRUE,"Transaction Summary";"ei3",#N/A,TRUE,"Earnings Impact";"ad3",#N/A,TRUE,"accretion dilution";"hg3",#N/A,TRUE,"Has-Gets"}</definedName>
    <definedName name="wrn.8._3" hidden="1">{"cover",#N/A,TRUE,"Cover";"toc2",#N/A,TRUE,"TOC";"ts1",#N/A,TRUE,"Transaction Summary";"ei3",#N/A,TRUE,"Earnings Impact";"ad3",#N/A,TRUE,"accretion dilution";"hg3",#N/A,TRUE,"Has-Gets"}</definedName>
    <definedName name="wrn.8._4" hidden="1">{"cover",#N/A,TRUE,"Cover";"toc2",#N/A,TRUE,"TOC";"ts1",#N/A,TRUE,"Transaction Summary";"ei3",#N/A,TRUE,"Earnings Impact";"ad3",#N/A,TRUE,"accretion dilution";"hg3",#N/A,TRUE,"Has-Gets"}</definedName>
    <definedName name="wrn.8._5" hidden="1">{"cover",#N/A,TRUE,"Cover";"toc2",#N/A,TRUE,"TOC";"ts1",#N/A,TRUE,"Transaction Summary";"ei3",#N/A,TRUE,"Earnings Impact";"ad3",#N/A,TRUE,"accretion dilution";"hg3",#N/A,TRUE,"Has-Gets"}</definedName>
    <definedName name="wrn.9." hidden="1">{"cover",#N/A,TRUE,"Cover";"toc3",#N/A,TRUE,"TOC";"over",#N/A,TRUE,"Overview";"ts2",#N/A,TRUE,"Det_Trans_Sum";"eic",#N/A,TRUE,"Earnings Impact";"ad",#N/A,TRUE,"accretion dilution";"pfis",#N/A,TRUE,"Pro Forma Income Statement";"acqc",#N/A,TRUE,"Acquirer";"tarc",#N/A,TRUE,"Target"}</definedName>
    <definedName name="wrn.9._1" hidden="1">{"cover",#N/A,TRUE,"Cover";"toc3",#N/A,TRUE,"TOC";"over",#N/A,TRUE,"Overview";"ts2",#N/A,TRUE,"Det_Trans_Sum";"eic",#N/A,TRUE,"Earnings Impact";"ad",#N/A,TRUE,"accretion dilution";"pfis",#N/A,TRUE,"Pro Forma Income Statement";"acqc",#N/A,TRUE,"Acquirer";"tarc",#N/A,TRUE,"Target"}</definedName>
    <definedName name="wrn.9._2" hidden="1">{"cover",#N/A,TRUE,"Cover";"toc3",#N/A,TRUE,"TOC";"over",#N/A,TRUE,"Overview";"ts2",#N/A,TRUE,"Det_Trans_Sum";"eic",#N/A,TRUE,"Earnings Impact";"ad",#N/A,TRUE,"accretion dilution";"pfis",#N/A,TRUE,"Pro Forma Income Statement";"acqc",#N/A,TRUE,"Acquirer";"tarc",#N/A,TRUE,"Target"}</definedName>
    <definedName name="wrn.9._3" hidden="1">{"cover",#N/A,TRUE,"Cover";"toc3",#N/A,TRUE,"TOC";"over",#N/A,TRUE,"Overview";"ts2",#N/A,TRUE,"Det_Trans_Sum";"eic",#N/A,TRUE,"Earnings Impact";"ad",#N/A,TRUE,"accretion dilution";"pfis",#N/A,TRUE,"Pro Forma Income Statement";"acqc",#N/A,TRUE,"Acquirer";"tarc",#N/A,TRUE,"Target"}</definedName>
    <definedName name="wrn.9._4" hidden="1">{"cover",#N/A,TRUE,"Cover";"toc3",#N/A,TRUE,"TOC";"over",#N/A,TRUE,"Overview";"ts2",#N/A,TRUE,"Det_Trans_Sum";"eic",#N/A,TRUE,"Earnings Impact";"ad",#N/A,TRUE,"accretion dilution";"pfis",#N/A,TRUE,"Pro Forma Income Statement";"acqc",#N/A,TRUE,"Acquirer";"tarc",#N/A,TRUE,"Target"}</definedName>
    <definedName name="wrn.9._5" hidden="1">{"cover",#N/A,TRUE,"Cover";"toc3",#N/A,TRUE,"TOC";"over",#N/A,TRUE,"Overview";"ts2",#N/A,TRUE,"Det_Trans_Sum";"eic",#N/A,TRUE,"Earnings Impact";"ad",#N/A,TRUE,"accretion dilution";"pfis",#N/A,TRUE,"Pro Forma Income Statement";"acqc",#N/A,TRUE,"Acquirer";"tarc",#N/A,TRUE,"Target"}</definedName>
    <definedName name="wrn.905" hidden="1">{#N/A,#N/A,FALSE,"REPORT"}</definedName>
    <definedName name="wrn.99999" hidden="1">{#N/A,#N/A,FALSE,"REPORT"}</definedName>
    <definedName name="wrn.aaa" hidden="1">{#N/A,#N/A,FALSE,"Pharm";#N/A,#N/A,FALSE,"WWCM"}</definedName>
    <definedName name="wrn.aaaaaaa" hidden="1">{#N/A,#N/A,FALSE,"Pharm";#N/A,#N/A,FALSE,"WWCM"}</definedName>
    <definedName name="wrn.Abril." hidden="1">{"SumAbr03",#N/A,FALSE,"SUMMARY";"US$Abr03",#N/A,FALSE,"US$YTD";#N/A,#N/A,FALSE,"US$"}</definedName>
    <definedName name="wrn.Abril._1" hidden="1">{"SumAbr03",#N/A,FALSE,"SUMMARY";"US$Abr03",#N/A,FALSE,"US$YTD";#N/A,#N/A,FALSE,"US$"}</definedName>
    <definedName name="wrn.Abril._2" hidden="1">{"SumAbr03",#N/A,FALSE,"SUMMARY";"US$Abr03",#N/A,FALSE,"US$YTD";#N/A,#N/A,FALSE,"US$"}</definedName>
    <definedName name="wrn.Abril._3" hidden="1">{"SumAbr03",#N/A,FALSE,"SUMMARY";"US$Abr03",#N/A,FALSE,"US$YTD";#N/A,#N/A,FALSE,"US$"}</definedName>
    <definedName name="wrn.Abril._4" hidden="1">{"SumAbr03",#N/A,FALSE,"SUMMARY";"US$Abr03",#N/A,FALSE,"US$YTD";#N/A,#N/A,FALSE,"US$"}</definedName>
    <definedName name="wrn.Abril._5" hidden="1">{"SumAbr03",#N/A,FALSE,"SUMMARY";"US$Abr03",#N/A,FALSE,"US$YTD";#N/A,#N/A,FALSE,"US$"}</definedName>
    <definedName name="wrn.ACABINT." hidden="1">{#N/A,#N/A,FALSE,"SS";#N/A,#N/A,FALSE,"TER1";#N/A,#N/A,FALSE,"TER2";#N/A,#N/A,FALSE,"TER3";#N/A,#N/A,FALSE,"TP1";#N/A,#N/A,FALSE,"TP2";#N/A,#N/A,FALSE,"TP3";#N/A,#N/A,FALSE,"DI1";#N/A,#N/A,FALSE,"DI2";#N/A,#N/A,FALSE,"DI3";#N/A,#N/A,FALSE,"DS1";#N/A,#N/A,FALSE,"DS2";#N/A,#N/A,FALSE,"CM"}</definedName>
    <definedName name="wrn.ACABINT._.TOT." hidden="1">{#N/A,#N/A,FALSE,"SS 1";#N/A,#N/A,FALSE,"TER 1 (A)";#N/A,#N/A,FALSE,"SS 2";#N/A,#N/A,FALSE,"TER 1 (B)";#N/A,#N/A,FALSE,"TER 1 (C)";#N/A,#N/A,FALSE,"TER 1 (D)";#N/A,#N/A,FALSE,"TER 1 (E)";#N/A,#N/A,FALSE,"TER 2 "}</definedName>
    <definedName name="wrn.Accretion._.Dilution." hidden="1">{#N/A,#N/A,TRUE,"Snapshot";#N/A,#N/A,TRUE,"PE at Different Premiums";#N/A,#N/A,TRUE,"EBITDA at Different Premiums";#N/A,#N/A,TRUE,"Long Form Dilution";#N/A,#N/A,TRUE,"AVP";#N/A,#N/A,TRUE,"Has-Gets";#N/A,#N/A,TRUE,"Contribution"}</definedName>
    <definedName name="wrn.administracion." hidden="1">{#N/A,#N/A,FALSE,"CARATULA GENERAL";#N/A,#N/A,FALSE,"GSxDIRECCION";#N/A,#N/A,FALSE,"Caratula";#N/A,#N/A,FALSE,"GSxCTRO";#N/A,#N/A,FALSE,"GsAdm.Centr";#N/A,#N/A,FALSE,"Dir.Gral";#N/A,#N/A,FALSE,"AdmyFzas";#N/A,#N/A,FALSE,"Sistemas";#N/A,#N/A,FALSE,"RRHH"}</definedName>
    <definedName name="wrn.Aging._.and._.Trend._.Analysis." hidden="1">{#N/A,#N/A,FALSE,"Aging Summary";#N/A,#N/A,FALSE,"Ratio Analysis";#N/A,#N/A,FALSE,"Test 120 Day Accts";#N/A,#N/A,FALSE,"Tickmarks"}</definedName>
    <definedName name="wrn.Agosto." hidden="1">{"SumAgo03",#N/A,FALSE,"SUMMARY";"US$Ago03",#N/A,FALSE,"US$YTD";#N/A,#N/A,FALSE,"US$"}</definedName>
    <definedName name="wrn.Agosto._1" hidden="1">{"SumAgo03",#N/A,FALSE,"SUMMARY";"US$Ago03",#N/A,FALSE,"US$YTD";#N/A,#N/A,FALSE,"US$"}</definedName>
    <definedName name="wrn.Agosto._2" hidden="1">{"SumAgo03",#N/A,FALSE,"SUMMARY";"US$Ago03",#N/A,FALSE,"US$YTD";#N/A,#N/A,FALSE,"US$"}</definedName>
    <definedName name="wrn.Agosto._3" hidden="1">{"SumAgo03",#N/A,FALSE,"SUMMARY";"US$Ago03",#N/A,FALSE,"US$YTD";#N/A,#N/A,FALSE,"US$"}</definedName>
    <definedName name="wrn.Agosto._4" hidden="1">{"SumAgo03",#N/A,FALSE,"SUMMARY";"US$Ago03",#N/A,FALSE,"US$YTD";#N/A,#N/A,FALSE,"US$"}</definedName>
    <definedName name="wrn.Agosto._5" hidden="1">{"SumAgo03",#N/A,FALSE,"SUMMARY";"US$Ago03",#N/A,FALSE,"US$YTD";#N/A,#N/A,FALSE,"US$"}</definedName>
    <definedName name="wrn.ALL." hidden="1">{#N/A,#N/A,FALSE,"DCF";#N/A,#N/A,FALSE,"WACC";#N/A,#N/A,FALSE,"Sales_EBIT";#N/A,#N/A,FALSE,"Capex_Depreciation";#N/A,#N/A,FALSE,"WC";#N/A,#N/A,FALSE,"Interest";#N/A,#N/A,FALSE,"Assumptions"}</definedName>
    <definedName name="wrn.All._.Report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igator." hidden="1">{#N/A,#N/A,FALSE,"Cover";#N/A,#N/A,FALSE,"Summary-Alligator";#N/A,#N/A,FALSE,"Proforma-Alligator";#N/A,#N/A,FALSE,"Cougar (12-31)";#N/A,#N/A,FALSE,"Cougar (3-31)";#N/A,#N/A,FALSE,"Alligator (12-31)";#N/A,#N/A,FALSE,"Alligator (3-31)"}</definedName>
    <definedName name="wrn.Alligator._1" hidden="1">{#N/A,#N/A,FALSE,"Cover";#N/A,#N/A,FALSE,"Summary-Alligator";#N/A,#N/A,FALSE,"Proforma-Alligator";#N/A,#N/A,FALSE,"Cougar (12-31)";#N/A,#N/A,FALSE,"Cougar (3-31)";#N/A,#N/A,FALSE,"Alligator (12-31)";#N/A,#N/A,FALSE,"Alligator (3-31)"}</definedName>
    <definedName name="wrn.Alligator._2" hidden="1">{#N/A,#N/A,FALSE,"Cover";#N/A,#N/A,FALSE,"Summary-Alligator";#N/A,#N/A,FALSE,"Proforma-Alligator";#N/A,#N/A,FALSE,"Cougar (12-31)";#N/A,#N/A,FALSE,"Cougar (3-31)";#N/A,#N/A,FALSE,"Alligator (12-31)";#N/A,#N/A,FALSE,"Alligator (3-31)"}</definedName>
    <definedName name="wrn.Alligator._3" hidden="1">{#N/A,#N/A,FALSE,"Cover";#N/A,#N/A,FALSE,"Summary-Alligator";#N/A,#N/A,FALSE,"Proforma-Alligator";#N/A,#N/A,FALSE,"Cougar (12-31)";#N/A,#N/A,FALSE,"Cougar (3-31)";#N/A,#N/A,FALSE,"Alligator (12-31)";#N/A,#N/A,FALSE,"Alligator (3-31)"}</definedName>
    <definedName name="wrn.Alligator._4" hidden="1">{#N/A,#N/A,FALSE,"Cover";#N/A,#N/A,FALSE,"Summary-Alligator";#N/A,#N/A,FALSE,"Proforma-Alligator";#N/A,#N/A,FALSE,"Cougar (12-31)";#N/A,#N/A,FALSE,"Cougar (3-31)";#N/A,#N/A,FALSE,"Alligator (12-31)";#N/A,#N/A,FALSE,"Alligator (3-31)"}</definedName>
    <definedName name="wrn.Alligator._5" hidden="1">{#N/A,#N/A,FALSE,"Cover";#N/A,#N/A,FALSE,"Summary-Alligator";#N/A,#N/A,FALSE,"Proforma-Alligator";#N/A,#N/A,FALSE,"Cougar (12-31)";#N/A,#N/A,FALSE,"Cougar (3-31)";#N/A,#N/A,FALSE,"Alligator (12-31)";#N/A,#N/A,FALSE,"Alligator (3-31)"}</definedName>
    <definedName name="wrn.ANALISIS._.SENSIBILIDAD." hidden="1">{#N/A,#N/A,FALSE,"BALANCE";#N/A,#N/A,FALSE,"CUENTA DE PYG";#N/A,#N/A,FALSE,"RATIOS"}</definedName>
    <definedName name="WRN.ANNUAL_BUDGET" hidden="1">{"GroupVSum",#N/A,FALSE,"GRVSUMM";"Expected_Merged",#N/A,FALSE,"EXP9798CONS";"Budget_GroupV_Merged",#N/A,FALSE,"BUDGRVCONS";"ACW_Merged",#N/A,FALSE,"ACW&amp;CPP";"HCW_Merged",#N/A,FALSE,"HCW&amp;JCW";"GCW_Merged",#N/A,FALSE,"GCWI&amp;II";"APCP_Details",#N/A,FALSE,"TCP I BUD"}</definedName>
    <definedName name="wrn.Annual_Budget_Detaile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Merged." hidden="1">{"GroupVSum",#N/A,FALSE,"GRVSUMM";"Expected_Merged",#N/A,FALSE,"EXP9798CONS";"Budget_GroupV_Merged",#N/A,FALSE,"BUDGRVCONS";"ACW_Merged",#N/A,FALSE,"ACW&amp;CPP";"HCW_Merged",#N/A,FALSE,"HCW&amp;JCW";"GCW_Merged",#N/A,FALSE,"GCWI&amp;II";"APCP_Details",#N/A,FALSE,"TCP I BUD"}</definedName>
    <definedName name="wrn.ANUAL." hidden="1">{#N/A,#N/A,FALSE,"Corrente";#N/A,#N/A,FALSE,"Gráficos"}</definedName>
    <definedName name="wrn.balanco._.patrimonial." hidden="1">{#N/A,#N/A,FALSE,"base"}</definedName>
    <definedName name="wrn.Basic._.Report." hidden="1">{#N/A,#N/A,FALSE,"New Depr Sch-150% DB";#N/A,#N/A,FALSE,"Cash Flows RLP";#N/A,#N/A,FALSE,"IRR";#N/A,#N/A,FALSE,"Proforma IS";#N/A,#N/A,FALSE,"Assumptions"}</definedName>
    <definedName name="wrn.BEL." hidden="1">{"IS",#N/A,FALSE,"IS";"RPTIS",#N/A,FALSE,"RPTIS";"STATS",#N/A,FALSE,"STATS";"CELL",#N/A,FALSE,"CELL";"BS",#N/A,FALSE,"BS"}</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ok." hidden="1">{"EVA",#N/A,FALSE,"SMT2";#N/A,#N/A,FALSE,"Summary";#N/A,#N/A,FALSE,"Graphs";#N/A,#N/A,FALSE,"4 Panel"}</definedName>
    <definedName name="wrn.BS." hidden="1">{"BS Con'd",#N/A,FALSE,"BS";"BS Con'g",#N/A,FALSE,"BS"}</definedName>
    <definedName name="wrn.Budget." hidden="1">{#N/A,#N/A,FALSE,"Notebudget";#N/A,#N/A,FALSE,"p&amp;lmonthly2003";#N/A,#N/A,FALSE,"capex";#N/A,#N/A,FALSE,"capex2002actual";#N/A,#N/A,FALSE,"Revenue";#N/A,#N/A,FALSE,"P&amp;L";#N/A,#N/A,FALSE,"Glance";#N/A,#N/A,FALSE,"Parta";#N/A,#N/A,FALSE,"overheads";#N/A,#N/A,FALSE,"Mkt exp";#N/A,#N/A,FALSE,"Insurance";#N/A,#N/A,FALSE,"S&amp;W";#N/A,#N/A,FALSE,"Strech";#N/A,#N/A,FALSE,"Bags";#N/A,#N/A,FALSE,"carton-lycra";#N/A,#N/A,FALSE,"Cartons";#N/A,#N/A,FALSE,"P MP";#N/A,#N/A,FALSE,"Ttl MP";#N/A,#N/A,FALSE,"Depreciation";#N/A,#N/A,FALSE,"travel";#N/A,#N/A,FALSE,"Cover";#N/A,#N/A,FALSE,"Power";#N/A,#N/A,FALSE,"Interest2003";#N/A,#N/A,FALSE,"WASTE%";#N/A,#N/A,FALSE,"rftfocosting";#N/A,#N/A,FALSE,"rawmaterial";#N/A,#N/A,FALSE,"rmrates";#N/A,#N/A,FALSE,"contribution";#N/A,#N/A,FALSE,"LYCRAYARNCONTR";#N/A,#N/A,FALSE,"TFO";#N/A,#N/A,FALSE,"PP (2003)";#N/A,#N/A,FALSE,"Index "}</definedName>
    <definedName name="wrn.budget._.balance._.sheet." hidden="1">{"bugdet992000 balance sheet",#N/A,FALSE,"Celtel alternative 6"}</definedName>
    <definedName name="wrn.budget._.capex." hidden="1">{"budget992000 capex",#N/A,FALSE,"Celtel alternative 6"}</definedName>
    <definedName name="wrn.budget._.customers." hidden="1">{"budget992000_customers",#N/A,FALSE,"Celtel alternative 6"}</definedName>
    <definedName name="wrn.budget._.profit._.and._.loss." hidden="1">{"budget992000 profit and loss",#N/A,FALSE,"Celtel alternative 6"}</definedName>
    <definedName name="wrn.budget._.tariffs._.and._.usage." hidden="1">{"budget992000 tariff and usage",#N/A,FALSE,"Celtel alternative 6"}</definedName>
    <definedName name="wrn.Budget._1" hidden="1">{#N/A,#N/A,FALSE,"Notebudget";#N/A,#N/A,FALSE,"p&amp;lmonthly2003";#N/A,#N/A,FALSE,"capex";#N/A,#N/A,FALSE,"capex2002actual";#N/A,#N/A,FALSE,"Revenue";#N/A,#N/A,FALSE,"P&amp;L";#N/A,#N/A,FALSE,"Glance";#N/A,#N/A,FALSE,"Parta";#N/A,#N/A,FALSE,"overheads";#N/A,#N/A,FALSE,"Mkt exp";#N/A,#N/A,FALSE,"Insurance";#N/A,#N/A,FALSE,"S&amp;W";#N/A,#N/A,FALSE,"Strech";#N/A,#N/A,FALSE,"Bags";#N/A,#N/A,FALSE,"carton-lycra";#N/A,#N/A,FALSE,"Cartons";#N/A,#N/A,FALSE,"P MP";#N/A,#N/A,FALSE,"Ttl MP";#N/A,#N/A,FALSE,"Depreciation";#N/A,#N/A,FALSE,"travel";#N/A,#N/A,FALSE,"Cover";#N/A,#N/A,FALSE,"Power";#N/A,#N/A,FALSE,"Interest2003";#N/A,#N/A,FALSE,"WASTE%";#N/A,#N/A,FALSE,"rftfocosting";#N/A,#N/A,FALSE,"rawmaterial";#N/A,#N/A,FALSE,"rmrates";#N/A,#N/A,FALSE,"contribution";#N/A,#N/A,FALSE,"LYCRAYARNCONTR";#N/A,#N/A,FALSE,"TFO";#N/A,#N/A,FALSE,"PP (2003)";#N/A,#N/A,FALSE,"Index "}</definedName>
    <definedName name="wrn.Capital." hidden="1">{"Surface Capital",#N/A,TRUE,"Capital";"Mine Capital",#N/A,TRUE,"Capital"}</definedName>
    <definedName name="wrn.Cardiovasculars." hidden="1">{#N/A,#N/A,FALSE,"Card";#N/A,#N/A,FALSE,"Prav";#N/A,#N/A,FALSE,"Irbe";#N/A,#N/A,FALSE,"Plavix";#N/A,#N/A,FALSE,"Capt";#N/A,#N/A,FALSE,"Fosi"}</definedName>
    <definedName name="wrn.Carrefour._.Worse._.Case." hidden="1">{#N/A,#N/A,TRUE,"DIVIDER PAGE";#N/A,#N/A,TRUE,"Exist + Reg A IS";#N/A,#N/A,TRUE,"Summary IS exc. B";#N/A,#N/A,TRUE,"New Stores";#N/A,#N/A,TRUE,"Existing DCF";#N/A,#N/A,TRUE,"Region A DCF";#N/A,#N/A,TRUE,"Existing + Reg. A DCF"}</definedName>
    <definedName name="wrn.Cash._.Plan." hidden="1">{"cash plan",#N/A,FALSE,"fccashflow"}</definedName>
    <definedName name="wrn.cashflow." hidden="1">{#N/A,#N/A,FALSE,"notecf";#N/A,#N/A,FALSE,"kdv 2003";#N/A,#N/A,FALSE,"bankbalance";#N/A,#N/A,FALSE,"Interest2004";#N/A,#N/A,FALSE,"cf2004in'000usd";#N/A,#N/A,FALSE,"kdvdepo";#N/A,#N/A,FALSE,"BS2004";#N/A,#N/A,FALSE,"cf2003in'000usd";#N/A,#N/A,FALSE,"BS2003"}</definedName>
    <definedName name="wrn.cashflow._1" hidden="1">{#N/A,#N/A,FALSE,"notecf";#N/A,#N/A,FALSE,"kdv 2003";#N/A,#N/A,FALSE,"bankbalance";#N/A,#N/A,FALSE,"Interest2004";#N/A,#N/A,FALSE,"cf2004in'000usd";#N/A,#N/A,FALSE,"kdvdepo";#N/A,#N/A,FALSE,"BS2004";#N/A,#N/A,FALSE,"cf2003in'000usd";#N/A,#N/A,FALSE,"BS2003"}</definedName>
    <definedName name="wrn.c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Central._.Nervous._.System." hidden="1">{#N/A,#N/A,FALSE,"CNS";#N/A,#N/A,FALSE,"Serz";#N/A,#N/A,FALSE,"Ace"}</definedName>
    <definedName name="wrn.CF." hidden="1">{#N/A,#N/A,FALSE,"CF YTD";#N/A,#N/A,FALSE,"CF MTD";#N/A,#N/A,FALSE,"CF WS"}</definedName>
    <definedName name="wrn.charts." hidden="1">{"newyork",#N/A,FALSE,"Plots-Annually";"florida",#N/A,FALSE,"Plots-Annually"}</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E_PRECO." hidden="1">{"CLIENTE",#N/A,TRUE,"Resumo";"CLIENTE",#N/A,TRUE,"HW";"CLIENTE",#N/A,TRUE,"SW";"CLIENTE",#N/A,TRUE,"TELESSUP.";"CLIENTE",#N/A,TRUE,"DCN &amp; Acess";"CLIENTE",#N/A,TRUE,"Sobressalentes";"CLIENTE",#N/A,TRUE,"Mat. Instal.";"CLIENTE",#N/A,TRUE,"Doc. Técnica";"CLIENTE",#N/A,TRUE,"Serviços";"CLIENTE",#N/A,TRUE,"Treinamento"}</definedName>
    <definedName name="wrn.CLIENTE_QUANT." hidden="1">{#N/A,"Tabelas de quantidade",FALSE,"Entradas";"CLIENTE",#N/A,FALSE,"HW";"CLIENTE",#N/A,FALSE,"SW";"CLIENTE",#N/A,FALSE,"TELESSUP.";"CLIENTE",#N/A,FALSE,"DCN &amp; Acess";"CLIENTE",#N/A,FALSE,"Sobressalentes";"CLIENTE",#N/A,FALSE,"Mat. Instal.";"CLIENTE",#N/A,FALSE,"Doc. Técnica";"CLIENTE",#N/A,FALSE,"Serviços";"CLIENTE",#N/A,FALSE,"Treinamento"}</definedName>
    <definedName name="wrn.CMF." hidden="1">{"CMF",#N/A,TRUE,"HW";"CMF",#N/A,TRUE,"SW";"CMF",#N/A,TRUE,"TELESSUP.";"CMF",#N/A,TRUE,"DCN &amp; Acess";"CMF",#N/A,TRUE,"Sobressalentes";"CMF",#N/A,TRUE,"Mat. Instal.";"CMF",#N/A,TRUE,"Doc. Técnica"}</definedName>
    <definedName name="wrn.Co." hidden="1">{#N/A,#N/A,TRUE,"GW-Cond";#N/A,#N/A,TRUE,"HW"}</definedName>
    <definedName name="wrn.Cobafi9." hidden="1">{"Revs",#N/A,TRUE,"Revs";"Costs",#N/A,TRUE,"Revs";"EBITDA",#N/A,TRUE,"Revs";"IS",#N/A,TRUE,"Revs";"CF",#N/A,TRUE,"Revs";"D/E",#N/A,TRUE,"Revs";"Debt Stats",#N/A,TRUE,"Revs";"DCFu",#N/A,TRUE,"Revs";"Sensitivity1",#N/A,TRUE,"Revs";"DCFl",#N/A,TRUE,"Revs"}</definedName>
    <definedName name="wrn.Company._.Analysis." hidden="1">{#N/A,#N/A,TRUE,"Summary LTM";#N/A,#N/A,TRUE,"95-97";#N/A,#N/A,TRUE,"97 US &amp; Peso Sum";#N/A,#N/A,TRUE,"1997 Peso Comparison";#N/A,#N/A,TRUE,"97 IS per store";#N/A,#N/A,TRUE,"96 IS per store";#N/A,#N/A,TRUE,"95 IS per store"}</definedName>
    <definedName name="wrn.Complete." hidden="1">{#N/A,#N/A,FALSE,"SMT1";#N/A,#N/A,FALSE,"SMT2";#N/A,#N/A,FALSE,"Summary";#N/A,#N/A,FALSE,"Graphs";#N/A,#N/A,FALSE,"4 Panel"}</definedName>
    <definedName name="wrn.Complete._.Report." hidden="1">{#N/A,#N/A,FALSE,"Assumptions";#N/A,#N/A,FALSE,"Proforma IS";#N/A,#N/A,FALSE,"Cash Flows RLP";#N/A,#N/A,FALSE,"IRR";#N/A,#N/A,FALSE,"New Depr Sch-150% DB";#N/A,#N/A,FALSE,"Comments"}</definedName>
    <definedName name="wrn.Complete._.Set." hidden="1">{#N/A,#N/A,FALSE,"Full";#N/A,#N/A,FALSE,"Half";#N/A,#N/A,FALSE,"Op Expenses";#N/A,#N/A,FALSE,"Cap Charge";#N/A,#N/A,FALSE,"Cost C";#N/A,#N/A,FALSE,"PP&amp;E";#N/A,#N/A,FALSE,"R&amp;D"}</definedName>
    <definedName name="wrn.Completo."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ndensate." hidden="1">{"condensate",#N/A,FALSE,"CNTRYTYPE"}</definedName>
    <definedName name="wrn.Cons." hidden="1">{"EconCons",#N/A,TRUE,"Econômico - Consolidado";"CaixaCons",#N/A,TRUE,"Caixa - Consolidado";"InvestCons",#N/A,TRUE,"Invest Consolidado"}</definedName>
    <definedName name="wrn.Consolidado." hidden="1">{"Econ Consolidado",#N/A,FALSE,"Econ Consol";"Fluxo de Caixa",#N/A,FALSE,"Fluxo Caixa";"Investimentos",#N/A,FALSE,"Investimentos"}</definedName>
    <definedName name="wrn.consumable." hidden="1">{#N/A,#N/A,FALSE,"consu_cover";#N/A,#N/A,FALSE,"consu_strategy";#N/A,#N/A,FALSE,"consu_flow";#N/A,#N/A,FALSE,"Summary_reqmt";#N/A,#N/A,FALSE,"field_ppg";#N/A,#N/A,FALSE,"ppg_shop";#N/A,#N/A,FALSE,"strl";#N/A,#N/A,FALSE,"tankages";#N/A,#N/A,FALSE,"gases"}</definedName>
    <definedName name="wrn.Consumer._.Medicines." hidden="1">{#N/A,#N/A,FALSE,"OTC";#N/A,#N/A,FALSE,"Ther";#N/A,#N/A,FALSE,"Temp";#N/A,#N/A,FALSE,"Exce";#N/A,#N/A,FALSE,"Buff";#N/A,#N/A,FALSE,"Picot";#N/A,#N/A,FALSE,"Luftal";#N/A,#N/A,FALSE,"Comt"}</definedName>
    <definedName name="wrn.cp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crude." hidden="1">{"Padd1crd",#N/A,FALSE,"REFINERY";"padd2crd",#N/A,FALSE,"REFINERY";"padd3crd",#N/A,FALSE,"REFINERY";"padd4crd",#N/A,FALSE,"REFINERY";"padd5crd",#N/A,FALSE,"REFINERY"}</definedName>
    <definedName name="wrn.cxdia." hidden="1">{#N/A,#N/A,FALSE,"FFCXOUT3"}</definedName>
    <definedName name="wrn.cxdiager." hidden="1">{#N/A,#N/A,FALSE,"FFCXOUT3"}</definedName>
    <definedName name="wrn.dcf." hidden="1">{"mgmt forecast",#N/A,FALSE,"Mgmt Forecast";"dcf table",#N/A,FALSE,"Mgmt Forecast";"sensitivity",#N/A,FALSE,"Mgmt Forecast";"table inputs",#N/A,FALSE,"Mgmt Forecast";"calculations",#N/A,FALSE,"Mgmt Forecast"}</definedName>
    <definedName name="wrn.Decision._.Memo."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1"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2"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3"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4"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5"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LTA." hidden="1">{"table II 1",#N/A,FALSE,"DTables";"table II 2",#N/A,FALSE,"DTables";"table III 3",#N/A,FALSE,"DTables";"table III 4",#N/A,FALSE,"DTables"}</definedName>
    <definedName name="wrn.Demand._.MT." hidden="1">{"Demand by Product MT",#N/A,TRUE,"PRDEMPOR";"Demand by Sector MT",#N/A,TRUE,"PRDEMPOR"}</definedName>
    <definedName name="wrn.Demand._.MTOE." hidden="1">{"Demand by Product MTOE",#N/A,TRUE,"PRDEMPOR";"Demand by Sector MTOE",#N/A,TRUE,"PRDEMPOR"}</definedName>
    <definedName name="wrn.Detail._.Balance._.Sheet." hidden="1">{#N/A,#N/A,FALSE,"Detail"}</definedName>
    <definedName name="wrn.Detail_Projection." hidden="1">{#N/A,#N/A,FALSE,"Detail YTD"}</definedName>
    <definedName name="wrn.Dezembro." hidden="1">{"SumDez03",#N/A,FALSE,"SUMMARY";"US$Dez03",#N/A,FALSE,"US$YTD";#N/A,#N/A,FALSE,"US$"}</definedName>
    <definedName name="wrn.Dezembro._1" hidden="1">{"SumDez03",#N/A,FALSE,"SUMMARY";"US$Dez03",#N/A,FALSE,"US$YTD";#N/A,#N/A,FALSE,"US$"}</definedName>
    <definedName name="wrn.Dezembro._2" hidden="1">{"SumDez03",#N/A,FALSE,"SUMMARY";"US$Dez03",#N/A,FALSE,"US$YTD";#N/A,#N/A,FALSE,"US$"}</definedName>
    <definedName name="wrn.Dezembro._3" hidden="1">{"SumDez03",#N/A,FALSE,"SUMMARY";"US$Dez03",#N/A,FALSE,"US$YTD";#N/A,#N/A,FALSE,"US$"}</definedName>
    <definedName name="wrn.Dezembro._4" hidden="1">{"SumDez03",#N/A,FALSE,"SUMMARY";"US$Dez03",#N/A,FALSE,"US$YTD";#N/A,#N/A,FALSE,"US$"}</definedName>
    <definedName name="wrn.Dezembro._5" hidden="1">{"SumDez03",#N/A,FALSE,"SUMMARY";"US$Dez03",#N/A,FALSE,"US$YTD";#N/A,#N/A,FALSE,"US$"}</definedName>
    <definedName name="wrn.DG._.Cost." hidden="1">{#N/A,#N/A,FALSE,"CAT3516";#N/A,#N/A,FALSE,"CAT3608";#N/A,#N/A,FALSE,"Wartsila";#N/A,#N/A,FALSE,"Asm";#N/A,#N/A,FALSE,"DG cost"}</definedName>
    <definedName name="wrn.DG._.Cost._1" hidden="1">{#N/A,#N/A,FALSE,"CAT3516";#N/A,#N/A,FALSE,"CAT3608";#N/A,#N/A,FALSE,"Wartsila";#N/A,#N/A,FALSE,"Asm";#N/A,#N/A,FALSE,"DG cost"}</definedName>
    <definedName name="wrn.divestiture." hidden="1">{#N/A,#N/A,TRUE,"Overview";#N/A,#N/A,TRUE,"Divest Val";#N/A,#N/A,TRUE,"sources &amp; uses";#N/A,#N/A,TRUE,"Has-Gets Divest"}</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SQ._.TOT." hidden="1">{#N/A,#N/A,FALSE,"SS 1";#N/A,#N/A,FALSE,"SS 2";#N/A,#N/A,FALSE,"TER 1 (1)";#N/A,#N/A,FALSE,"TER 1 (2)";#N/A,#N/A,FALSE,"TER 2";#N/A,#N/A,FALSE,"TIPO";#N/A,#N/A,FALSE,"CM  BAR"}</definedName>
    <definedName name="wrn.Etafi." hidden="1">{#N/A,#N/A,FALSE,"SIG";#N/A,#N/A,FALSE,"Graphe_SIG";#N/A,#N/A,FALSE,"CAF";#N/A,#N/A,FALSE,"VA";#N/A,#N/A,FALSE,"Autofinancement";#N/A,#N/A,FALSE,"BILAN";#N/A,#N/A,FALSE,"FR";#N/A,#N/A,FALSE,"Exploitation";#N/A,#N/A,FALSE,"Rentabilité";#N/A,#N/A,FALSE,"Profit";#N/A,#N/A,FALSE,"Financier";#N/A,#N/A,FALSE,"Trésorerie"}</definedName>
    <definedName name="wrn.EXITO." hidden="1">{#N/A,#N/A,TRUE,"Op. Stats";#N/A,#N/A,TRUE,"New Stores";#N/A,#N/A,TRUE,"LAZARD TOTAL";#N/A,#N/A,TRUE,"Summary IS";#N/A,#N/A,TRUE,"97-LTM-98 Pro Forma";#N/A,#N/A,TRUE,"1997 Reconciliation";#N/A,#N/A,TRUE,"CAPEX &amp; WC";#N/A,#N/A,TRUE,"All Stores DCF Dollars";#N/A,#N/A,TRUE,"Existing DCF";#N/A,#N/A,TRUE,"Region A DCF";#N/A,#N/A,TRUE,"Region B DCF";#N/A,#N/A,TRUE,"APPENDIX";#N/A,#N/A,TRUE,"Total Region IS";#N/A,#N/A,TRUE,"LAZARD MEDELLIN";#N/A,#N/A,TRUE,"LAZARD BOGOTA";#N/A,#N/A,TRUE,"LAZARD CALI";#N/A,#N/A,TRUE,"LAZARD ATLANTICO";#N/A,#N/A,TRUE,"LAZARD OTHER";#N/A,#N/A,TRUE,"Existing IS";#N/A,#N/A,TRUE,"Region A IS";#N/A,#N/A,TRUE,"Region B IS";#N/A,#N/A,TRUE,"Sales Sq. M"}</definedName>
    <definedName name="wrn.EXPENSES._.98._.US." hidden="1">{"Expenses 98 MKT",#N/A,TRUE,"MKT";"Expenses 98 BUSS",#N/A,TRUE,"BusOper";"Expenses 98 TECH",#N/A,TRUE,"Tech";"Expenses 98 LOCAL",#N/A,TRUE,"LocalProg";"Expenses 98 GA",#N/A,TRUE,"G&amp;A";"Expenses 98 CONSOL",#N/A,TRUE,"Consolidate"}</definedName>
    <definedName name="wrn.EXPENSES._.99._.REAL." hidden="1">{"Reais 99 MKT",#N/A,TRUE,"MKT";"Reais 99 BUSS",#N/A,TRUE,"BusOper";"Reais 99 TECH",#N/A,TRUE,"Tech";"Reais 99 LOCAL",#N/A,TRUE,"LocalProg";"Reais 99 GA",#N/A,TRUE,"G&amp;A";"Reais 99 CONSOL",#N/A,TRUE,"Consolidate"}</definedName>
    <definedName name="wrn.FACHADA." hidden="1">{#N/A,#N/A,TRUE,"TER  EXT";#N/A,#N/A,TRUE,"TER  EXT";#N/A,#N/A,TRUE,"LAT  ESQ";#N/A,#N/A,TRUE,"FRONTAL";#N/A,#N/A,TRUE,"POST";#N/A,#N/A,TRUE,"LAT  DIR"}</definedName>
    <definedName name="wrn.FERPILAR." hidden="1">{#N/A,#N/A,FALSE,"PR  06";#N/A,#N/A,FALSE,"PR  07";#N/A,#N/A,FALSE,"PR 08";#N/A,#N/A,FALSE,"PR 09";#N/A,#N/A,FALSE,"PR 40";#N/A,#N/A,FALSE,"PR 41";#N/A,#N/A,FALSE,"PR 45";#N/A,#N/A,FALSE,"PR 46";#N/A,#N/A,FALSE,"PR 55"}</definedName>
    <definedName name="wrn.Fevereiro." hidden="1">{"SumFev03",#N/A,FALSE,"SUMMARY";"US$Fev03",#N/A,FALSE,"US$YTD";#N/A,#N/A,FALSE,"US$"}</definedName>
    <definedName name="wrn.Fevereiro._1" hidden="1">{"SumFev03",#N/A,FALSE,"SUMMARY";"US$Fev03",#N/A,FALSE,"US$YTD";#N/A,#N/A,FALSE,"US$"}</definedName>
    <definedName name="wrn.Fevereiro._2" hidden="1">{"SumFev03",#N/A,FALSE,"SUMMARY";"US$Fev03",#N/A,FALSE,"US$YTD";#N/A,#N/A,FALSE,"US$"}</definedName>
    <definedName name="wrn.Fevereiro._3" hidden="1">{"SumFev03",#N/A,FALSE,"SUMMARY";"US$Fev03",#N/A,FALSE,"US$YTD";#N/A,#N/A,FALSE,"US$"}</definedName>
    <definedName name="wrn.Fevereiro._4" hidden="1">{"SumFev03",#N/A,FALSE,"SUMMARY";"US$Fev03",#N/A,FALSE,"US$YTD";#N/A,#N/A,FALSE,"US$"}</definedName>
    <definedName name="wrn.Fevereiro._5" hidden="1">{"SumFev03",#N/A,FALSE,"SUMMARY";"US$Fev03",#N/A,FALSE,"US$YTD";#N/A,#N/A,FALSE,"US$"}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NCIAL._.MONTH." hidden="1">{"Expense Analysis MKT",#N/A,TRUE,"MKT";"Expense Analysis BUSS",#N/A,TRUE,"BusOper";"Expense Analysis TECH",#N/A,TRUE,"Tech";"Expense Analysis LOCAL",#N/A,TRUE,"LocalProg";"Expense Analysis GA",#N/A,TRUE,"G&amp;A";"Expense Analysis CONSOL",#N/A,TRUE,"Consolidate"}</definedName>
    <definedName name="wrn.FINANCIAL._.MONTHS." hidden="1">{"Expenses Amalysis Months MKT",#N/A,TRUE,"MKT";"Expenses Analysis Months BUSS",#N/A,TRUE,"BusOper";"Expenses Analysis Months TECH",#N/A,TRUE,"Tech";"Expenses Analysis Months LOCAL",#N/A,TRUE,"LocalProg";"Expenses Analysis Months GA",#N/A,TRUE,"G&amp;A";"Expenses Analysis Months CONSOL",#N/A,TRUE,"Consolidate"}</definedName>
    <definedName name="wrn.FINANCIAL._.US._.MONTH." hidden="1">{"Expenses us MKT",#N/A,TRUE,"MKT";"Expenses us BUSS",#N/A,TRUE,"BusOper";"Expenses us TECH",#N/A,TRUE,"Tech";"Expenses us LOCAL",#N/A,TRUE,"LocalProg";"Expenses us GA",#N/A,TRUE,"G&amp;A";"Expenses us CONSOL",#N/A,TRUE,"Consolidate"}</definedName>
    <definedName name="wrn.FINANCIAL._.US._.MONTHS." hidden="1">{"Expenses Months us MKT",#N/A,TRUE,"MKT";"Expenses Months us BUSS",#N/A,TRUE,"BusOper";"Expenses Months us TECH",#N/A,TRUE,"Tech";"Expenses Months us LOCAL",#N/A,TRUE,"LocalProg";"Expenses Months us GA",#N/A,TRUE,"G&amp;A";"Expenses Months us CONSOL",#N/A,TRUE,"Consolidate"}</definedName>
    <definedName name="wrn.Flash." hidden="1">{"Flash_Analysis",#N/A,FALSE,"Analysis(Flash)";"Flash_Summ",#N/A,FALSE,"Flash"}</definedName>
    <definedName name="wrn.forecast." hidden="1">{#N/A,#N/A,FALSE,"model"}</definedName>
    <definedName name="wrn.forecast2" hidden="1">{#N/A,#N/A,FALSE,"model"}</definedName>
    <definedName name="wrn.forecastassumptions." hidden="1">{#N/A,#N/A,FALSE,"model"}</definedName>
    <definedName name="wrn.forecastassumptions2" hidden="1">{#N/A,#N/A,FALSE,"model"}</definedName>
    <definedName name="wrn.forecastROIC." hidden="1">{#N/A,#N/A,FALSE,"model"}</definedName>
    <definedName name="wrn.forecastROIC2" hidden="1">{#N/A,#N/A,FALSE,"model"}</definedName>
    <definedName name="wrn.FORM1." hidden="1">{#N/A,#N/A,FALSE,"COMP"}</definedName>
    <definedName name="wrn.Friendly." hidden="1">{#N/A,#N/A,TRUE,"Julio";#N/A,#N/A,TRUE,"Agosto";#N/A,#N/A,TRUE,"BHCo";#N/A,#N/A,TRUE,"Abril";#N/A,#N/A,TRUE,"Pro Forma"}</definedName>
    <definedName name="wrn.Full._.Model." hidden="1">{"Annual",#N/A,TRUE,"BCC";"Quarterly",#N/A,TRUE,"BCC"}</definedName>
    <definedName name="wrn.GASCOND." hidden="1">{"GASCOND",#N/A,FALSE,"CONDENSATE";"CRUDECOND",#N/A,FALSE,"CONDENSATE";"TOTALCOND",#N/A,FALSE,"CONDENSATE"}</definedName>
    <definedName name="wrn.GASODEM." hidden="1">{"monthly",#N/A,FALSE,"GASODEM";"qtr to yr",#N/A,FALSE,"GASODEM"}</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eral." hidden="1">{#N/A,#N/A,FALSE,"Relatórios";"Vendas e Custos",#N/A,FALSE,"Vendas e Custos";"Premissas",#N/A,FALSE,"Premissas";"Projeções",#N/A,FALSE,"Projeções";"Dolar",#N/A,FALSE,"Dolar";"Original",#N/A,FALSE,"Original e UFIR"}</definedName>
    <definedName name="wrn.heavy." hidden="1">{"heavy",#N/A,FALSE,"CNTRYTYPE"}</definedName>
    <definedName name="wrn.HELP_FILE." hidden="1">{"Help_File",#N/A,FALSE,"Help_Screen";"Help_file",#N/A,FALSE,"Help_Screen"}</definedName>
    <definedName name="wrn.history." hidden="1">{#N/A,#N/A,FALSE,"model"}</definedName>
    <definedName name="wrn.history2" hidden="1">{#N/A,#N/A,FALSE,"model"}</definedName>
    <definedName name="wrn.histROIC." hidden="1">{#N/A,#N/A,FALSE,"model"}</definedName>
    <definedName name="wrn.histROIC2" hidden="1">{#N/A,#N/A,FALSE,"model"}</definedName>
    <definedName name="wrn.IMPRE1." hidden="1">{#N/A,#N/A,FALSE,"Resultado x Rev"}</definedName>
    <definedName name="wrn.IMPRE2." hidden="1">{#N/A,#N/A,FALSE,"Resultado x Orig"}</definedName>
    <definedName name="wrn.IMPRE3." hidden="1">{#N/A,#N/A,FALSE,"Despesas"}</definedName>
    <definedName name="wrn.IMPRE4." hidden="1">{#N/A,#N/A,FALSE,"Invest"}</definedName>
    <definedName name="wrn.IMPRE5." hidden="1">{#N/A,#N/A,FALSE,"Fcaixa"}</definedName>
    <definedName name="wrn.Income._.Detail." hidden="1">{#N/A,#N/A,FALSE,"Income";#N/A,#N/A,FALSE,"Cost of Goods Sold";#N/A,#N/A,FALSE,"Other Costs";#N/A,#N/A,FALSE,"Other Income";#N/A,#N/A,FALSE,"Taxes";#N/A,#N/A,FALSE,"Other Deductions";#N/A,#N/A,FALSE,"Compensation of Officers"}</definedName>
    <definedName name="wrn.Infectious._.Diseases." hidden="1">{#N/A,#N/A,FALSE,"Anti";#N/A,#N/A,FALSE,"Cefa";#N/A,#N/A,FALSE,"Ceph";#N/A,#N/A,FALSE,"Cefp";#N/A,#N/A,FALSE,"Cefe";#N/A,#N/A,FALSE,"Pens";#N/A,#N/A,FALSE,"Ampi";#N/A,#N/A,FALSE,"Amox";#N/A,#N/A,FALSE,"Isox";#N/A,#N/A,FALSE,"Aztr";#N/A,#N/A,FALSE,"Videx";#N/A,#N/A,FALSE,"Zerit"}</definedName>
    <definedName name="wrn.Informe._.Mensual."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NOVIEMBRE."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put._.and._.Growths." hidden="1">{"Product Demands Input",#N/A,TRUE,"PRDEMPOR";"Annual Growth Rates",#N/A,TRUE,"PRDEMPOR"}</definedName>
    <definedName name="wrn.INV14." hidden="1">{#N/A,#N/A,FALSE,"INV14"}</definedName>
    <definedName name="wrn.IQRCGMES."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S." hidden="1">{"IS Con'd",#N/A,FALSE,"IS YTD";"IS Con'g",#N/A,FALSE,"IS YTD";"IS Con'd MTD",#N/A,FALSE,"IS YTD";"IS MTD Con'g",#N/A,FALSE,"IS MTD"}</definedName>
    <definedName name="wrn.IS._.QTD." hidden="1">{"IS Con'd QTD",#N/A,FALSE,"IS YTD";"IS QTD",#N/A,FALSE,"IS QTD";"IS QTD Con'g",#N/A,FALSE,"IS QTD"}</definedName>
    <definedName name="wrn.Janeiro." hidden="1">{"SumJan03",#N/A,FALSE,"SUMMARY";"US$Jan03",#N/A,FALSE,"US$YTD";#N/A,#N/A,FALSE,"US$"}</definedName>
    <definedName name="wrn.Janeiro._1" hidden="1">{"SumJan03",#N/A,FALSE,"SUMMARY";"US$Jan03",#N/A,FALSE,"US$YTD";#N/A,#N/A,FALSE,"US$"}</definedName>
    <definedName name="wrn.Janeiro._2" hidden="1">{"SumJan03",#N/A,FALSE,"SUMMARY";"US$Jan03",#N/A,FALSE,"US$YTD";#N/A,#N/A,FALSE,"US$"}</definedName>
    <definedName name="wrn.Janeiro._3" hidden="1">{"SumJan03",#N/A,FALSE,"SUMMARY";"US$Jan03",#N/A,FALSE,"US$YTD";#N/A,#N/A,FALSE,"US$"}</definedName>
    <definedName name="wrn.Janeiro._4" hidden="1">{"SumJan03",#N/A,FALSE,"SUMMARY";"US$Jan03",#N/A,FALSE,"US$YTD";#N/A,#N/A,FALSE,"US$"}</definedName>
    <definedName name="wrn.Janeiro._5" hidden="1">{"SumJan03",#N/A,FALSE,"SUMMARY";"US$Jan03",#N/A,FALSE,"US$YTD";#N/A,#N/A,FALSE,"US$"}</definedName>
    <definedName name="wrn.Julho." hidden="1">{"SumJul03",#N/A,FALSE,"SUMMARY";"US$Jul03",#N/A,FALSE,"US$YTD";#N/A,#N/A,FALSE,"US$"}</definedName>
    <definedName name="wrn.Julho._1" hidden="1">{"SumJul03",#N/A,FALSE,"SUMMARY";"US$Jul03",#N/A,FALSE,"US$YTD";#N/A,#N/A,FALSE,"US$"}</definedName>
    <definedName name="wrn.Julho._2" hidden="1">{"SumJul03",#N/A,FALSE,"SUMMARY";"US$Jul03",#N/A,FALSE,"US$YTD";#N/A,#N/A,FALSE,"US$"}</definedName>
    <definedName name="wrn.Julho._3" hidden="1">{"SumJul03",#N/A,FALSE,"SUMMARY";"US$Jul03",#N/A,FALSE,"US$YTD";#N/A,#N/A,FALSE,"US$"}</definedName>
    <definedName name="wrn.Julho._4" hidden="1">{"SumJul03",#N/A,FALSE,"SUMMARY";"US$Jul03",#N/A,FALSE,"US$YTD";#N/A,#N/A,FALSE,"US$"}</definedName>
    <definedName name="wrn.Julho._5" hidden="1">{"SumJul03",#N/A,FALSE,"SUMMARY";"US$Jul03",#N/A,FALSE,"US$YTD";#N/A,#N/A,FALSE,"US$"}</definedName>
    <definedName name="wrn.Junho." hidden="1">{"SumJun03",#N/A,FALSE,"SUMMARY";"US$Jun03",#N/A,FALSE,"US$YTD";#N/A,#N/A,FALSE,"US$"}</definedName>
    <definedName name="wrn.Junho._1" hidden="1">{"SumJun03",#N/A,FALSE,"SUMMARY";"US$Jun03",#N/A,FALSE,"US$YTD";#N/A,#N/A,FALSE,"US$"}</definedName>
    <definedName name="wrn.Junho._2" hidden="1">{"SumJun03",#N/A,FALSE,"SUMMARY";"US$Jun03",#N/A,FALSE,"US$YTD";#N/A,#N/A,FALSE,"US$"}</definedName>
    <definedName name="wrn.Junho._3" hidden="1">{"SumJun03",#N/A,FALSE,"SUMMARY";"US$Jun03",#N/A,FALSE,"US$YTD";#N/A,#N/A,FALSE,"US$"}</definedName>
    <definedName name="wrn.Junho._4" hidden="1">{"SumJun03",#N/A,FALSE,"SUMMARY";"US$Jun03",#N/A,FALSE,"US$YTD";#N/A,#N/A,FALSE,"US$"}</definedName>
    <definedName name="wrn.Junho._5" hidden="1">{"SumJun03",#N/A,FALSE,"SUMMARY";"US$Jun03",#N/A,FALSE,"US$YTD";#N/A,#N/A,FALSE,"US$"}</definedName>
    <definedName name="wrn.kleyner."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1"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2"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3"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4"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5"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Laudo." hidden="1">{"BPAtivo",#N/A,FALSE,"BAL_A";"BPPassivo",#N/A,FALSE,"BAL_A";"DRE",#N/A,FALSE,"DRE_A";"FCX",#N/A,FALSE,"FCX_A";"CVE",#N/A,FALSE,"FCX_A"}</definedName>
    <definedName name="wrn.Laudo._1" hidden="1">{"BPAtivo",#N/A,FALSE,"BAL_A";"BPPassivo",#N/A,FALSE,"BAL_A";"DRE",#N/A,FALSE,"DRE_A";"FCX",#N/A,FALSE,"FCX_A";"CVE",#N/A,FALSE,"FCX_A"}</definedName>
    <definedName name="wrn.Laudo._2" hidden="1">{"BPAtivo",#N/A,FALSE,"BAL_A";"BPPassivo",#N/A,FALSE,"BAL_A";"DRE",#N/A,FALSE,"DRE_A";"FCX",#N/A,FALSE,"FCX_A";"CVE",#N/A,FALSE,"FCX_A"}</definedName>
    <definedName name="wrn.Laudo._3" hidden="1">{"BPAtivo",#N/A,FALSE,"BAL_A";"BPPassivo",#N/A,FALSE,"BAL_A";"DRE",#N/A,FALSE,"DRE_A";"FCX",#N/A,FALSE,"FCX_A";"CVE",#N/A,FALSE,"FCX_A"}</definedName>
    <definedName name="wrn.Laudo._4" hidden="1">{"BPAtivo",#N/A,FALSE,"BAL_A";"BPPassivo",#N/A,FALSE,"BAL_A";"DRE",#N/A,FALSE,"DRE_A";"FCX",#N/A,FALSE,"FCX_A";"CVE",#N/A,FALSE,"FCX_A"}</definedName>
    <definedName name="wrn.Laudo._5" hidden="1">{"BPAtivo",#N/A,FALSE,"BAL_A";"BPPassivo",#N/A,FALSE,"BAL_A";"DRE",#N/A,FALSE,"DRE_A";"FCX",#N/A,FALSE,"FCX_A";"CVE",#N/A,FALSE,"FCX_A"}</definedName>
    <definedName name="wrn.LEVFER." hidden="1">{#N/A,#N/A,FALSE,"LEVFER V2 P";#N/A,#N/A,FALSE,"LEVFER V2 P10%"}</definedName>
    <definedName name="wrn.light._.sour." hidden="1">{"light sour",#N/A,FALSE,"CNTRYTYPE"}</definedName>
    <definedName name="wrn.Maio." hidden="1">{"SumMai03",#N/A,FALSE,"SUMMARY";"US$Mai03",#N/A,FALSE,"US$YTD";#N/A,#N/A,FALSE,"US$"}</definedName>
    <definedName name="wrn.Maio._1" hidden="1">{"SumMai03",#N/A,FALSE,"SUMMARY";"US$Mai03",#N/A,FALSE,"US$YTD";#N/A,#N/A,FALSE,"US$"}</definedName>
    <definedName name="wrn.Maio._2" hidden="1">{"SumMai03",#N/A,FALSE,"SUMMARY";"US$Mai03",#N/A,FALSE,"US$YTD";#N/A,#N/A,FALSE,"US$"}</definedName>
    <definedName name="wrn.Maio._3" hidden="1">{"SumMai03",#N/A,FALSE,"SUMMARY";"US$Mai03",#N/A,FALSE,"US$YTD";#N/A,#N/A,FALSE,"US$"}</definedName>
    <definedName name="wrn.Maio._4" hidden="1">{"SumMai03",#N/A,FALSE,"SUMMARY";"US$Mai03",#N/A,FALSE,"US$YTD";#N/A,#N/A,FALSE,"US$"}</definedName>
    <definedName name="wrn.Maio._5" hidden="1">{"SumMai03",#N/A,FALSE,"SUMMARY";"US$Mai03",#N/A,FALSE,"US$YTD";#N/A,#N/A,FALSE,"US$"}</definedName>
    <definedName name="wrn.Março." hidden="1">{"SumMar03",#N/A,FALSE,"SUMMARY";"US$Mar03",#N/A,FALSE,"US$YTD";#N/A,#N/A,FALSE,"US$"}</definedName>
    <definedName name="wrn.Março._1" hidden="1">{"SumMar03",#N/A,FALSE,"SUMMARY";"US$Mar03",#N/A,FALSE,"US$YTD";#N/A,#N/A,FALSE,"US$"}</definedName>
    <definedName name="wrn.Março._2" hidden="1">{"SumMar03",#N/A,FALSE,"SUMMARY";"US$Mar03",#N/A,FALSE,"US$YTD";#N/A,#N/A,FALSE,"US$"}</definedName>
    <definedName name="wrn.Março._3" hidden="1">{"SumMar03",#N/A,FALSE,"SUMMARY";"US$Mar03",#N/A,FALSE,"US$YTD";#N/A,#N/A,FALSE,"US$"}</definedName>
    <definedName name="wrn.Março._4" hidden="1">{"SumMar03",#N/A,FALSE,"SUMMARY";"US$Mar03",#N/A,FALSE,"US$YTD";#N/A,#N/A,FALSE,"US$"}</definedName>
    <definedName name="wrn.Março._5" hidden="1">{"SumMar03",#N/A,FALSE,"SUMMARY";"US$Mar03",#N/A,FALSE,"US$YTD";#N/A,#N/A,FALSE,"US$"}</definedName>
    <definedName name="wrn.Memoria97."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TESA."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RGER._.PLANS." hidden="1">{"Assumptions1",#N/A,FALSE,"Assumptions";"MergerPlans1","20yearamort",FALSE,"MergerPlans";"MergerPlans1","40yearamort",FALSE,"MergerPlans";"MergerPlans2",#N/A,FALSE,"MergerPlans";"inputs",#N/A,FALSE,"MergerPlans"}</definedName>
    <definedName name="wrn.MergerModel." hidden="1">{"Deal",#N/A,FALSE,"Deal";"acquiror",#N/A,FALSE,"Acquiror";"Target",#N/A,FALSE,"Target"}</definedName>
    <definedName name="wrn.MergerModel._1" hidden="1">{"Deal",#N/A,FALSE,"Deal";"acquiror",#N/A,FALSE,"Acquiror";"Target",#N/A,FALSE,"Target"}</definedName>
    <definedName name="wrn.MergerModel._2" hidden="1">{"Deal",#N/A,FALSE,"Deal";"acquiror",#N/A,FALSE,"Acquiror";"Target",#N/A,FALSE,"Target"}</definedName>
    <definedName name="wrn.MergerModel._3" hidden="1">{"Deal",#N/A,FALSE,"Deal";"acquiror",#N/A,FALSE,"Acquiror";"Target",#N/A,FALSE,"Target"}</definedName>
    <definedName name="wrn.MergerModel._4" hidden="1">{"Deal",#N/A,FALSE,"Deal";"acquiror",#N/A,FALSE,"Acquiror";"Target",#N/A,FALSE,"Target"}</definedName>
    <definedName name="wrn.MergerModel._5" hidden="1">{"Deal",#N/A,FALSE,"Deal";"acquiror",#N/A,FALSE,"Acquiror";"Target",#N/A,FALSE,"Target"}</definedName>
    <definedName name="wrn.MPCS."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_.Report."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_PAC_Special._.Format." hidden="1">{"Financial Performance_SP",#N/A,FALSE,"Fin Perf(Sp)";"Operational Indicators_SP",#N/A,FALSE,"Op Ind(sp)";"Resources Utilisation_SP",#N/A,FALSE,"ResUtil (Sp)"}</definedName>
    <definedName name="wrn.new">{#N/A,#N/A,FALSE,"Aging Summary";#N/A,#N/A,FALSE,"Ratio Analysis";#N/A,#N/A,FALSE,"Test 120 Day Accts";#N/A,#N/A,FALSE,"Tickmarks"}</definedName>
    <definedName name="wrn.New._.York." hidden="1">{"NY PRICES",#N/A,FALSE,"CURRENT";"NY PRICES B",#N/A,FALSE,"CURRENT";"NY PRICES",#N/A,FALSE,"CONSTANT";"NY PRICES B",#N/A,FALSE,"CONSTANT"}</definedName>
    <definedName name="wrn.Nico." hidden="1">{#N/A,#N/A,TRUE,"Cover";#N/A,#N/A,TRUE,"Transaction Summary";#N/A,#N/A,TRUE,"Earnings Impact";#N/A,#N/A,TRUE,"accretion dilution"}</definedName>
    <definedName name="wrn.Nico._1" hidden="1">{#N/A,#N/A,TRUE,"Cover";#N/A,#N/A,TRUE,"Transaction Summary";#N/A,#N/A,TRUE,"Earnings Impact";#N/A,#N/A,TRUE,"accretion dilution"}</definedName>
    <definedName name="wrn.Nico._2" hidden="1">{#N/A,#N/A,TRUE,"Cover";#N/A,#N/A,TRUE,"Transaction Summary";#N/A,#N/A,TRUE,"Earnings Impact";#N/A,#N/A,TRUE,"accretion dilution"}</definedName>
    <definedName name="wrn.Nico._3" hidden="1">{#N/A,#N/A,TRUE,"Cover";#N/A,#N/A,TRUE,"Transaction Summary";#N/A,#N/A,TRUE,"Earnings Impact";#N/A,#N/A,TRUE,"accretion dilution"}</definedName>
    <definedName name="wrn.Nico._4" hidden="1">{#N/A,#N/A,TRUE,"Cover";#N/A,#N/A,TRUE,"Transaction Summary";#N/A,#N/A,TRUE,"Earnings Impact";#N/A,#N/A,TRUE,"accretion dilution"}</definedName>
    <definedName name="wrn.Nico._5" hidden="1">{#N/A,#N/A,TRUE,"Cover";#N/A,#N/A,TRUE,"Transaction Summary";#N/A,#N/A,TRUE,"Earnings Impact";#N/A,#N/A,TRUE,"accretion dilution"}</definedName>
    <definedName name="wrn.notcomplete" hidden="1">{#N/A,#N/A,FALSE,"SMT1";#N/A,#N/A,FALSE,"SMT2";#N/A,#N/A,FALSE,"Summary";#N/A,#N/A,FALSE,"Graphs";#N/A,#N/A,FALSE,"4 Panel"}</definedName>
    <definedName name="wrn.Novembro." hidden="1">{"SumNov03",#N/A,FALSE,"SUMMARY";"US$Nov03",#N/A,FALSE,"US$YTD";#N/A,#N/A,FALSE,"US$"}</definedName>
    <definedName name="wrn.Novembro._1" hidden="1">{"SumNov03",#N/A,FALSE,"SUMMARY";"US$Nov03",#N/A,FALSE,"US$YTD";#N/A,#N/A,FALSE,"US$"}</definedName>
    <definedName name="wrn.Novembro._2" hidden="1">{"SumNov03",#N/A,FALSE,"SUMMARY";"US$Nov03",#N/A,FALSE,"US$YTD";#N/A,#N/A,FALSE,"US$"}</definedName>
    <definedName name="wrn.Novembro._3" hidden="1">{"SumNov03",#N/A,FALSE,"SUMMARY";"US$Nov03",#N/A,FALSE,"US$YTD";#N/A,#N/A,FALSE,"US$"}</definedName>
    <definedName name="wrn.Novembro._4" hidden="1">{"SumNov03",#N/A,FALSE,"SUMMARY";"US$Nov03",#N/A,FALSE,"US$YTD";#N/A,#N/A,FALSE,"US$"}</definedName>
    <definedName name="wrn.Novembro._5" hidden="1">{"SumNov03",#N/A,FALSE,"SUMMARY";"US$Nov03",#N/A,FALSE,"US$YTD";#N/A,#N/A,FALSE,"US$"}</definedName>
    <definedName name="wrn.Oncology." hidden="1">{#N/A,#N/A,FALSE,"Onco";#N/A,#N/A,FALSE,"Taxol";#N/A,#N/A,FALSE,"UFT";#N/A,#N/A,FALSE,"Carb"}</definedName>
    <definedName name="wrn.OTC._.Market._.Report." hidden="1">{#N/A,#N/A,FALSE,"Sales Graph";#N/A,#N/A,FALSE,"BUC Graph";#N/A,#N/A,FALSE,"P&amp;L - YTD"}</definedName>
    <definedName name="wrn.Other._.Pharm." hidden="1">{#N/A,#N/A,FALSE,"Other";#N/A,#N/A,FALSE,"Ace";#N/A,#N/A,FALSE,"Derm"}</definedName>
    <definedName name="wrn.Outubro." hidden="1">{"SumOut03",#N/A,FALSE,"SUMMARY";"US$Out03",#N/A,FALSE,"US$YTD";#N/A,#N/A,FALSE,"US$"}</definedName>
    <definedName name="wrn.Outubro._1" hidden="1">{"SumOut03",#N/A,FALSE,"SUMMARY";"US$Out03",#N/A,FALSE,"US$YTD";#N/A,#N/A,FALSE,"US$"}</definedName>
    <definedName name="wrn.Outubro._2" hidden="1">{"SumOut03",#N/A,FALSE,"SUMMARY";"US$Out03",#N/A,FALSE,"US$YTD";#N/A,#N/A,FALSE,"US$"}</definedName>
    <definedName name="wrn.Outubro._3" hidden="1">{"SumOut03",#N/A,FALSE,"SUMMARY";"US$Out03",#N/A,FALSE,"US$YTD";#N/A,#N/A,FALSE,"US$"}</definedName>
    <definedName name="wrn.Outubro._4" hidden="1">{"SumOut03",#N/A,FALSE,"SUMMARY";"US$Out03",#N/A,FALSE,"US$YTD";#N/A,#N/A,FALSE,"US$"}</definedName>
    <definedName name="wrn.Outubro._5" hidden="1">{"SumOut03",#N/A,FALSE,"SUMMARY";"US$Out03",#N/A,FALSE,"US$YTD";#N/A,#N/A,FALSE,"US$"}</definedName>
    <definedName name="wrn.p" hidden="1">{#N/A,#N/A,FALSE,"1";#N/A,#N/A,FALSE,"2";#N/A,#N/A,FALSE,"16 - 17";#N/A,#N/A,FALSE,"18 - 19";#N/A,#N/A,FALSE,"26";#N/A,#N/A,FALSE,"27";#N/A,#N/A,FALSE,"28"}</definedName>
    <definedName name="wrn.pcm"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n"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o."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q."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r."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bscf." hidden="1">{"p_l",#N/A,FALSE,"Summary Accounts"}</definedName>
    <definedName name="wrn.ppp" hidden="1">{#N/A,#N/A,FALSE,"1";#N/A,#N/A,FALSE,"2";#N/A,#N/A,FALSE,"16 - 17";#N/A,#N/A,FALSE,"18 - 19";#N/A,#N/A,FALSE,"26";#N/A,#N/A,FALSE,"27";#N/A,#N/A,FALSE,"28"}</definedName>
    <definedName name="wrn.prices." hidden="1">{#N/A,#N/A,TRUE,"BANAMEX";#N/A,#N/A,TRUE,"CGT";#N/A,#N/A,TRUE,"ALFA";#N/A,#N/A,TRUE,"ICA (2)"}</definedName>
    <definedName name="wrn.prin2._.all." hidden="1">{#N/A,#N/A,FALSE,"Pharm";#N/A,#N/A,FALSE,"WWCM"}</definedName>
    <definedName name="wrn.prin3" hidden="1">{#N/A,#N/A,FALSE,"Pharm";#N/A,#N/A,FALSE,"WWCM"}</definedName>
    <definedName name="wrn.print" hidden="1">{#N/A,#N/A,FALSE,"Pharm";#N/A,#N/A,FALSE,"WWCM"}</definedName>
    <definedName name="wrn.PRINT." hidden="1">{"ARL",#N/A,FALSE,"ARL"}</definedName>
    <definedName name="wrn.PRINT._.ALL." hidden="1">{#N/A,#N/A,FALSE,"Pharm";#N/A,#N/A,FALSE,"WWCM"}</definedName>
    <definedName name="wrn.PRINT._.ALL.2" hidden="1">{#N/A,#N/A,FALSE,"Pharm";#N/A,#N/A,FALSE,"WWCM"}</definedName>
    <definedName name="wrn.print._.all2" hidden="1">{#N/A,#N/A,FALSE,"Pharm";#N/A,#N/A,FALSE,"WWCM"}</definedName>
    <definedName name="wrn.print._.graphs." hidden="1">{"cap_structure",#N/A,FALSE,"Graph-Mkt Cap";"price",#N/A,FALSE,"Graph-Price";"ebit",#N/A,FALSE,"Graph-EBITDA";"ebitda",#N/A,FALSE,"Graph-EBITDA"}</definedName>
    <definedName name="wrn.Print._.Plots." hidden="1">{"Plot1",#N/A,FALSE,"Plots";"plot2",#N/A,FALSE,"Plots";"plot3",#N/A,FALSE,"Plots";"plot4",#N/A,FALSE,"Plots";"plot5",#N/A,FALSE,"Plots";"plot6",#N/A,FALSE,"Plots"}</definedName>
    <definedName name="wrn.print._.raw._.data._.entry." hidden="1">{"inputs raw data",#N/A,TRUE,"INPUT"}</definedName>
    <definedName name="wrn.print._.summary._.sheets." hidden="1">{"summary1",#N/A,TRUE,"Comps";"summary2",#N/A,TRUE,"Comps";"summary3",#N/A,TRUE,"Comps"}</definedName>
    <definedName name="wrn.print._1" hidden="1">{#N/A,#N/A,FALSE,"Highlights";#N/A,#N/A,FALSE,"Proj Cost";#N/A,#N/A,FALSE,"Income";#N/A,#N/A,FALSE,"Cash Flow";#N/A,#N/A,FALSE,"Balance Sheet";#N/A,#N/A,FALSE,"Sup Calc";#N/A,#N/A,FALSE,"Sales &amp; RMC";#N/A,#N/A,FALSE,"Utilities";#N/A,#N/A,FALSE,"Manpower Cost";#N/A,#N/A,FALSE,"P&amp;M";#N/A,#N/A,FALSE,"Ancillary"}</definedName>
    <definedName name="wrn.print._all1." hidden="1">{#N/A,#N/A,FALSE,"Pharm";#N/A,#N/A,FALSE,"WWCM"}</definedName>
    <definedName name="wrn.print2" hidden="1">{#N/A,#N/A,FALSE,"Pharm";#N/A,#N/A,FALSE,"WWCM"}</definedName>
    <definedName name="wrn.Pro._.Forma." hidden="1">{#N/A,#N/A,FALSE,"Pro forma"}</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products" hidden="1">{#N/A,#N/A,FALSE,"1";#N/A,#N/A,FALSE,"2";#N/A,#N/A,FALSE,"16 - 17";#N/A,#N/A,FALSE,"18 - 19";#N/A,#N/A,FALSE,"26";#N/A,#N/A,FALSE,"27";#N/A,#N/A,FALSE,"28"}</definedName>
    <definedName name="wrn.Products." hidden="1">{#N/A,#N/A,FALSE,"1";#N/A,#N/A,FALSE,"2";#N/A,#N/A,FALSE,"16 - 17";#N/A,#N/A,FALSE,"18 - 19";#N/A,#N/A,FALSE,"26";#N/A,#N/A,FALSE,"27";#N/A,#N/A,FALSE,"28"}</definedName>
    <definedName name="wrn.pror" hidden="1">{#N/A,#N/A,FALSE,"Pharm";#N/A,#N/A,FALSE,"WWCM"}</definedName>
    <definedName name="wrn.pta."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t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t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u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Q2._.Press._.Release." hidden="1">{"Q2_STMT_INC_PR",#N/A,FALSE,"STMT OF INC";"Q2 SUPPL INFO PR",#N/A,FALSE,"SUPPL INFO"}</definedName>
    <definedName name="wrn.Q3._.Prof._.Serv._.Summary." hidden="1">{"Professional Service Summary",#N/A,FALSE,"Q3 Prof Serv"}</definedName>
    <definedName name="wrn.Q3._.Professional._.service._.detail." hidden="1">{"Professional Service Detail",#N/A,FALSE,"Q3 Prof Serv"}</definedName>
    <definedName name="wrn.Quick._.Summary." hidden="1">{"Decision Memo",#N/A,TRUE,"Ratios";"IRR",#N/A,TRUE,"IRR";"Decision Memo",#N/A,TRUE,"Fin. Stat.";"Summary",#N/A,TRUE,"Debt"}</definedName>
    <definedName name="wrn.Quick._.Summary._1" hidden="1">{"Decision Memo",#N/A,TRUE,"Ratios";"IRR",#N/A,TRUE,"IRR";"Decision Memo",#N/A,TRUE,"Fin. Stat.";"Summary",#N/A,TRUE,"Debt"}</definedName>
    <definedName name="wrn.Quick._.Summary._2" hidden="1">{"Decision Memo",#N/A,TRUE,"Ratios";"IRR",#N/A,TRUE,"IRR";"Decision Memo",#N/A,TRUE,"Fin. Stat.";"Summary",#N/A,TRUE,"Debt"}</definedName>
    <definedName name="wrn.Quick._.Summary._3" hidden="1">{"Decision Memo",#N/A,TRUE,"Ratios";"IRR",#N/A,TRUE,"IRR";"Decision Memo",#N/A,TRUE,"Fin. Stat.";"Summary",#N/A,TRUE,"Debt"}</definedName>
    <definedName name="wrn.Quick._.Summary._4" hidden="1">{"Decision Memo",#N/A,TRUE,"Ratios";"IRR",#N/A,TRUE,"IRR";"Decision Memo",#N/A,TRUE,"Fin. Stat.";"Summary",#N/A,TRUE,"Debt"}</definedName>
    <definedName name="wrn.Quick._.Summary._5" hidden="1">{"Decision Memo",#N/A,TRUE,"Ratios";"IRR",#N/A,TRUE,"IRR";"Decision Memo",#N/A,TRUE,"Fin. Stat.";"Summary",#N/A,TRUE,"Debt"}</definedName>
    <definedName name="wrn.ratios." hidden="1">{"ratios",#N/A,FALSE,"Summary Accounts"}</definedName>
    <definedName name="wrn.Ray1." hidden="1">{"LB1",#N/A,FALSE,"DR";"LB2",#N/A,FALSE,"DR"}</definedName>
    <definedName name="wrn.Ray1._1" hidden="1">{"LB1",#N/A,FALSE,"DR";"LB2",#N/A,FALSE,"DR"}</definedName>
    <definedName name="wrn.Ray1._2" hidden="1">{"LB1",#N/A,FALSE,"DR";"LB2",#N/A,FALSE,"DR"}</definedName>
    <definedName name="wrn.Ray1._3" hidden="1">{"LB1",#N/A,FALSE,"DR";"LB2",#N/A,FALSE,"DR"}</definedName>
    <definedName name="wrn.Ray1._4" hidden="1">{"LB1",#N/A,FALSE,"DR";"LB2",#N/A,FALSE,"DR"}</definedName>
    <definedName name="wrn.Ray1._5" hidden="1">{"LB1",#N/A,FALSE,"DR";"LB2",#N/A,FALSE,"DR"}</definedName>
    <definedName name="wrn.Ray2." hidden="1">{"BNnew1",#N/A,FALSE,"BNDES_Aut";"BNnew2",#N/A,FALSE,"BNDES_Aut";"BNnew3",#N/A,FALSE,"BNDES_Aut"}</definedName>
    <definedName name="wrn.Ray2._1" hidden="1">{"BNnew1",#N/A,FALSE,"BNDES_Aut";"BNnew2",#N/A,FALSE,"BNDES_Aut";"BNnew3",#N/A,FALSE,"BNDES_Aut"}</definedName>
    <definedName name="wrn.Ray2._2" hidden="1">{"BNnew1",#N/A,FALSE,"BNDES_Aut";"BNnew2",#N/A,FALSE,"BNDES_Aut";"BNnew3",#N/A,FALSE,"BNDES_Aut"}</definedName>
    <definedName name="wrn.Ray2._3" hidden="1">{"BNnew1",#N/A,FALSE,"BNDES_Aut";"BNnew2",#N/A,FALSE,"BNDES_Aut";"BNnew3",#N/A,FALSE,"BNDES_Aut"}</definedName>
    <definedName name="wrn.Ray2._4" hidden="1">{"BNnew1",#N/A,FALSE,"BNDES_Aut";"BNnew2",#N/A,FALSE,"BNDES_Aut";"BNnew3",#N/A,FALSE,"BNDES_Aut"}</definedName>
    <definedName name="wrn.Ray2._5" hidden="1">{"BNnew1",#N/A,FALSE,"BNDES_Aut";"BNnew2",#N/A,FALSE,"BNDES_Aut";"BNnew3",#N/A,FALSE,"BNDES_Aut"}</definedName>
    <definedName name="wrn.Rayton." hidden="1">{"AT1",#N/A,FALSE,"BAL";"AT2",#N/A,FALSE,"BAL";"PAS1",#N/A,FALSE,"BAL";"PAS2",#N/A,FALSE,"BAL";"DR1",#N/A,FALSE,"DRE";"DR2",#N/A,FALSE,"DRE";"FCX1",#N/A,FALSE,"FCX";"FCX2",#N/A,FALSE,"FCX";"FCX3",#N/A,FALSE,"FCX";"UF",#N/A,FALSE,"UF"}</definedName>
    <definedName name="wrn.Rayton._1" hidden="1">{"AT1",#N/A,FALSE,"BAL";"AT2",#N/A,FALSE,"BAL";"PAS1",#N/A,FALSE,"BAL";"PAS2",#N/A,FALSE,"BAL";"DR1",#N/A,FALSE,"DRE";"DR2",#N/A,FALSE,"DRE";"FCX1",#N/A,FALSE,"FCX";"FCX2",#N/A,FALSE,"FCX";"FCX3",#N/A,FALSE,"FCX";"UF",#N/A,FALSE,"UF"}</definedName>
    <definedName name="wrn.Rayton._2" hidden="1">{"AT1",#N/A,FALSE,"BAL";"AT2",#N/A,FALSE,"BAL";"PAS1",#N/A,FALSE,"BAL";"PAS2",#N/A,FALSE,"BAL";"DR1",#N/A,FALSE,"DRE";"DR2",#N/A,FALSE,"DRE";"FCX1",#N/A,FALSE,"FCX";"FCX2",#N/A,FALSE,"FCX";"FCX3",#N/A,FALSE,"FCX";"UF",#N/A,FALSE,"UF"}</definedName>
    <definedName name="wrn.Rayton._3" hidden="1">{"AT1",#N/A,FALSE,"BAL";"AT2",#N/A,FALSE,"BAL";"PAS1",#N/A,FALSE,"BAL";"PAS2",#N/A,FALSE,"BAL";"DR1",#N/A,FALSE,"DRE";"DR2",#N/A,FALSE,"DRE";"FCX1",#N/A,FALSE,"FCX";"FCX2",#N/A,FALSE,"FCX";"FCX3",#N/A,FALSE,"FCX";"UF",#N/A,FALSE,"UF"}</definedName>
    <definedName name="wrn.Rayton._4" hidden="1">{"AT1",#N/A,FALSE,"BAL";"AT2",#N/A,FALSE,"BAL";"PAS1",#N/A,FALSE,"BAL";"PAS2",#N/A,FALSE,"BAL";"DR1",#N/A,FALSE,"DRE";"DR2",#N/A,FALSE,"DRE";"FCX1",#N/A,FALSE,"FCX";"FCX2",#N/A,FALSE,"FCX";"FCX3",#N/A,FALSE,"FCX";"UF",#N/A,FALSE,"UF"}</definedName>
    <definedName name="wrn.Rayton._5" hidden="1">{"AT1",#N/A,FALSE,"BAL";"AT2",#N/A,FALSE,"BAL";"PAS1",#N/A,FALSE,"BAL";"PAS2",#N/A,FALSE,"BAL";"DR1",#N/A,FALSE,"DRE";"DR2",#N/A,FALSE,"DRE";"FCX1",#N/A,FALSE,"FCX";"FCX2",#N/A,FALSE,"FCX";"FCX3",#N/A,FALSE,"FCX";"UF",#N/A,FALSE,"UF"}</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FINERY." hidden="1">{"Padd I to III",#N/A,FALSE,"REFINERY";"Padd IV to US",#N/A,FALSE,"REFINERY";"Crude Balance I",#N/A,FALSE,"REFINERY";"Crude Balance II",#N/A,FALSE,"REFINERY"}</definedName>
    <definedName name="wrn.region." hidden="1">{"Region",#N/A,FALSE,"CNTRYTYPE"}</definedName>
    <definedName name="wrn.Relat_Básico." hidden="1">{"NOPAT",#N/A,FALSE,"NOPAT_A";"Investimentos",#N/A,FALSE,"Investimentos";"Custos Operação",#N/A,FALSE,"Custos_Oper";"Det_Eva_1",#N/A,FALSE,"DET_EVA";"Det_Eva_2",#N/A,FALSE,"DET_EVA";"Comp_Preços",#N/A,FALSE,"Comp_Preço"}</definedName>
    <definedName name="wrn.Relat_Básico._1" hidden="1">{"NOPAT",#N/A,FALSE,"NOPAT_A";"Investimentos",#N/A,FALSE,"Investimentos";"Custos Operação",#N/A,FALSE,"Custos_Oper";"Det_Eva_1",#N/A,FALSE,"DET_EVA";"Det_Eva_2",#N/A,FALSE,"DET_EVA";"Comp_Preços",#N/A,FALSE,"Comp_Preço"}</definedName>
    <definedName name="wrn.Relat_Básico._2" hidden="1">{"NOPAT",#N/A,FALSE,"NOPAT_A";"Investimentos",#N/A,FALSE,"Investimentos";"Custos Operação",#N/A,FALSE,"Custos_Oper";"Det_Eva_1",#N/A,FALSE,"DET_EVA";"Det_Eva_2",#N/A,FALSE,"DET_EVA";"Comp_Preços",#N/A,FALSE,"Comp_Preço"}</definedName>
    <definedName name="wrn.Relat_Básico._3" hidden="1">{"NOPAT",#N/A,FALSE,"NOPAT_A";"Investimentos",#N/A,FALSE,"Investimentos";"Custos Operação",#N/A,FALSE,"Custos_Oper";"Det_Eva_1",#N/A,FALSE,"DET_EVA";"Det_Eva_2",#N/A,FALSE,"DET_EVA";"Comp_Preços",#N/A,FALSE,"Comp_Preço"}</definedName>
    <definedName name="wrn.Relat_Básico._4" hidden="1">{"NOPAT",#N/A,FALSE,"NOPAT_A";"Investimentos",#N/A,FALSE,"Investimentos";"Custos Operação",#N/A,FALSE,"Custos_Oper";"Det_Eva_1",#N/A,FALSE,"DET_EVA";"Det_Eva_2",#N/A,FALSE,"DET_EVA";"Comp_Preços",#N/A,FALSE,"Comp_Preço"}</definedName>
    <definedName name="wrn.Relat_Básico._5" hidden="1">{"NOPAT",#N/A,FALSE,"NOPAT_A";"Investimentos",#N/A,FALSE,"Investimentos";"Custos Operação",#N/A,FALSE,"Custos_Oper";"Det_Eva_1",#N/A,FALSE,"DET_EVA";"Det_Eva_2",#N/A,FALSE,"DET_EVA";"Comp_Preços",#N/A,FALSE,"Comp_Preço"}</definedName>
    <definedName name="wrn.report." hidden="1">{#N/A,#N/A,FALSE,"Summary_netback";#N/A,#N/A,FALSE,"Summary_value"}</definedName>
    <definedName name="wrn.RESULTADO." hidden="1">{#N/A,#N/A,FALSE,"DRE-2";#N/A,#N/A,FALSE,"DRE";#N/A,#N/A,FALSE,"ANEX-07";#N/A,#N/A,FALSE,"ANEX-08";#N/A,#N/A,FALSE,"ANEX-09";#N/A,#N/A,FALSE,"ANEX-10";#N/A,#N/A,FALSE,"ANEX-11";#N/A,#N/A,FALSE,"ANEX-12";#N/A,#N/A,FALSE,"ANEX-13";#N/A,#N/A,FALSE,"ANEX-14";#N/A,#N/A,FALSE,"BALPTR"}</definedName>
    <definedName name="wrn.RESULTADO._1" hidden="1">{#N/A,#N/A,FALSE,"DRE-2";#N/A,#N/A,FALSE,"DRE";#N/A,#N/A,FALSE,"ANEX-07";#N/A,#N/A,FALSE,"ANEX-08";#N/A,#N/A,FALSE,"ANEX-09";#N/A,#N/A,FALSE,"ANEX-10";#N/A,#N/A,FALSE,"ANEX-11";#N/A,#N/A,FALSE,"ANEX-12";#N/A,#N/A,FALSE,"ANEX-13";#N/A,#N/A,FALSE,"ANEX-14";#N/A,#N/A,FALSE,"BALPTR"}</definedName>
    <definedName name="wrn.RESULTADO._2" hidden="1">{#N/A,#N/A,FALSE,"DRE-2";#N/A,#N/A,FALSE,"DRE";#N/A,#N/A,FALSE,"ANEX-07";#N/A,#N/A,FALSE,"ANEX-08";#N/A,#N/A,FALSE,"ANEX-09";#N/A,#N/A,FALSE,"ANEX-10";#N/A,#N/A,FALSE,"ANEX-11";#N/A,#N/A,FALSE,"ANEX-12";#N/A,#N/A,FALSE,"ANEX-13";#N/A,#N/A,FALSE,"ANEX-14";#N/A,#N/A,FALSE,"BALPTR"}</definedName>
    <definedName name="wrn.RESULTADO._3" hidden="1">{#N/A,#N/A,FALSE,"DRE-2";#N/A,#N/A,FALSE,"DRE";#N/A,#N/A,FALSE,"ANEX-07";#N/A,#N/A,FALSE,"ANEX-08";#N/A,#N/A,FALSE,"ANEX-09";#N/A,#N/A,FALSE,"ANEX-10";#N/A,#N/A,FALSE,"ANEX-11";#N/A,#N/A,FALSE,"ANEX-12";#N/A,#N/A,FALSE,"ANEX-13";#N/A,#N/A,FALSE,"ANEX-14";#N/A,#N/A,FALSE,"BALPTR"}</definedName>
    <definedName name="wrn.RESULTADO._4" hidden="1">{#N/A,#N/A,FALSE,"DRE-2";#N/A,#N/A,FALSE,"DRE";#N/A,#N/A,FALSE,"ANEX-07";#N/A,#N/A,FALSE,"ANEX-08";#N/A,#N/A,FALSE,"ANEX-09";#N/A,#N/A,FALSE,"ANEX-10";#N/A,#N/A,FALSE,"ANEX-11";#N/A,#N/A,FALSE,"ANEX-12";#N/A,#N/A,FALSE,"ANEX-13";#N/A,#N/A,FALSE,"ANEX-14";#N/A,#N/A,FALSE,"BALPTR"}</definedName>
    <definedName name="wrn.RESULTADO._5" hidden="1">{#N/A,#N/A,FALSE,"DRE-2";#N/A,#N/A,FALSE,"DRE";#N/A,#N/A,FALSE,"ANEX-07";#N/A,#N/A,FALSE,"ANEX-08";#N/A,#N/A,FALSE,"ANEX-09";#N/A,#N/A,FALSE,"ANEX-10";#N/A,#N/A,FALSE,"ANEX-11";#N/A,#N/A,FALSE,"ANEX-12";#N/A,#N/A,FALSE,"ANEX-13";#N/A,#N/A,FALSE,"ANEX-14";#N/A,#N/A,FALSE,"BALPTR"}</definedName>
    <definedName name="wrn.RPLINS." hidden="1">{#N/A,#N/A,FALSE,"str_title";#N/A,#N/A,FALSE,"SUM";#N/A,#N/A,FALSE,"Scope";#N/A,#N/A,FALSE,"PIE-Jn";#N/A,#N/A,FALSE,"PIE-Jn_Hz";#N/A,#N/A,FALSE,"Liq_Plan";#N/A,#N/A,FALSE,"S_Curve";#N/A,#N/A,FALSE,"Liq_Prof";#N/A,#N/A,FALSE,"Man_Pwr";#N/A,#N/A,FALSE,"Man_Prof"}</definedName>
    <definedName name="wrn.Sales._.Funnel._.Analysis._.2." hidden="1">{#N/A,#N/A,TRUE,"Funnel";#N/A,#N/A,TRUE,"FunnelMatrix"}</definedName>
    <definedName name="wrn.SAMPLE." hidden="1">{#N/A,#N/A,TRUE,"Crude";#N/A,#N/A,TRUE,"Products"}</definedName>
    <definedName name="wrn.sensitivity." hidden="1">{"sensitivity",#N/A,FALSE,"Sensitivity"}</definedName>
    <definedName name="wrn.SERV._.PAVTO." hidden="1">{#N/A,#N/A,FALSE,"SS 1";#N/A,#N/A,FALSE,"SS 2";#N/A,#N/A,FALSE,"TER 1 (1)";#N/A,#N/A,FALSE,"TER 1 (2)";#N/A,#N/A,FALSE,"TER 2 ";#N/A,#N/A,FALSE,"TP  (1)";#N/A,#N/A,FALSE,"TP  (2)";#N/A,#N/A,FALSE,"CM BAR"}</definedName>
    <definedName name="wrn.serv.xls." hidden="1">{#N/A,#N/A,FALSE,"CM BAR";#N/A,#N/A,FALSE,"SUBSOLO";#N/A,#N/A,FALSE,"TERREO";#N/A,#N/A,FALSE,"TIPO";#N/A,#N/A,FALSE,"DUP  INF";#N/A,#N/A,FALSE,"DUP SUP"}</definedName>
    <definedName name="wrn.Setembro." hidden="1">{"SumSet03",#N/A,FALSE,"SUMMARY";"US$Set03",#N/A,FALSE,"US$YTD";#N/A,#N/A,FALSE,"US$"}</definedName>
    <definedName name="wrn.Setembro._1" hidden="1">{"SumSet03",#N/A,FALSE,"SUMMARY";"US$Set03",#N/A,FALSE,"US$YTD";#N/A,#N/A,FALSE,"US$"}</definedName>
    <definedName name="wrn.Setembro._2" hidden="1">{"SumSet03",#N/A,FALSE,"SUMMARY";"US$Set03",#N/A,FALSE,"US$YTD";#N/A,#N/A,FALSE,"US$"}</definedName>
    <definedName name="wrn.Setembro._3" hidden="1">{"SumSet03",#N/A,FALSE,"SUMMARY";"US$Set03",#N/A,FALSE,"US$YTD";#N/A,#N/A,FALSE,"US$"}</definedName>
    <definedName name="wrn.Setembro._4" hidden="1">{"SumSet03",#N/A,FALSE,"SUMMARY";"US$Set03",#N/A,FALSE,"US$YTD";#N/A,#N/A,FALSE,"US$"}</definedName>
    <definedName name="wrn.Setembro._5" hidden="1">{"SumSet03",#N/A,FALSE,"SUMMARY";"US$Set03",#N/A,FALSE,"US$YTD";#N/A,#N/A,FALSE,"US$"}</definedName>
    <definedName name="wrn.Staff._.and._.Department._.Summaries." hidden="1">{"Staff and Department Summaries",#N/A,FALSE,"Staff Revenue + Comp"}</definedName>
    <definedName name="wrn.Staff._.cost1998." hidden="1">{#N/A,#N/A,TRUE,"Staffnos &amp; cost"}</definedName>
    <definedName name="wrn.Staff._.Detail." hidden="1">{"Staff Detail",#N/A,FALSE,"Staff Revenue + Comp"}</definedName>
    <definedName name="wrn.Staffcost." hidden="1">{#N/A,#N/A,FALSE,"Staffnos &amp; cost"}</definedName>
    <definedName name="wrn.SUBREGION." hidden="1">{"SUBREGION",#N/A,FALSE,"CNTRYTYPE"}</definedName>
    <definedName name="wrn.summ1" hidden="1">{#N/A,#N/A,FALSE,"COVER1.XLS ";#N/A,#N/A,FALSE,"RACT1.XLS";#N/A,#N/A,FALSE,"RACT2.XLS";#N/A,#N/A,FALSE,"ECCMP";#N/A,#N/A,FALSE,"WELDER.XLS"}</definedName>
    <definedName name="wrn.Summary." hidden="1">{"Growth Supply Demand",#N/A,TRUE,"Summary";"Primary Energy Balance",#N/A,TRUE,"Summary"}</definedName>
    <definedName name="wrn.sweet." hidden="1">{"sweet",#N/A,FALSE,"CNTRYTYPE"}</definedName>
    <definedName name="wrn.Tables." hidden="1">{"Current",#N/A,FALSE,"Currentcal";"Current B",#N/A,FALSE,"Currentcal";"Constant",#N/A,FALSE,"Constantcal";"Constant B",#N/A,FALSE,"Constantcal"}</definedName>
    <definedName name="wrn.tcq"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t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Test." hidden="1">{"test",#N/A,TRUE,"Summary";"test",#N/A,TRUE,"Assumptions"}</definedName>
    <definedName name="wrn.test._.2." hidden="1">{"test",#N/A,TRUE,"Summary";"test",#N/A,TRUE,"Assumptions"}</definedName>
    <definedName name="wrn.test._.2._1" hidden="1">{"test",#N/A,TRUE,"Summary";"test",#N/A,TRUE,"Assumptions"}</definedName>
    <definedName name="wrn.test._.2._2" hidden="1">{"test",#N/A,TRUE,"Summary";"test",#N/A,TRUE,"Assumptions"}</definedName>
    <definedName name="wrn.test._.2._3" hidden="1">{"test",#N/A,TRUE,"Summary";"test",#N/A,TRUE,"Assumptions"}</definedName>
    <definedName name="wrn.test._.2._4" hidden="1">{"test",#N/A,TRUE,"Summary";"test",#N/A,TRUE,"Assumptions"}</definedName>
    <definedName name="wrn.test._.2._5" hidden="1">{"test",#N/A,TRUE,"Summary";"test",#N/A,TRUE,"Assumptions"}</definedName>
    <definedName name="wrn.Test._1" hidden="1">{"test",#N/A,TRUE,"Summary";"test",#N/A,TRUE,"Assumptions"}</definedName>
    <definedName name="wrn.Test._2" hidden="1">{"test",#N/A,TRUE,"Summary";"test",#N/A,TRUE,"Assumptions"}</definedName>
    <definedName name="wrn.Test._3" hidden="1">{"test",#N/A,TRUE,"Summary";"test",#N/A,TRUE,"Assumptions"}</definedName>
    <definedName name="wrn.Test._4" hidden="1">{"test",#N/A,TRUE,"Summary";"test",#N/A,TRUE,"Assumptions"}</definedName>
    <definedName name="wrn.Test._5" hidden="1">{"test",#N/A,TRUE,"Summary";"test",#N/A,TRUE,"Assumptions"}</definedName>
    <definedName name="wrn.test1." hidden="1">{#N/A,#N/A,FALSE,"Earn'gs &amp; Val'n";#N/A,#N/A,FALSE,"Interim"}</definedName>
    <definedName name="wrn.TODO." hidden="1">{#N/A,#N/A,FALSE,"RESUMEN";#N/A,#N/A,FALSE,"PARQ_C";#N/A,#N/A,FALSE,"PARQ_P";#N/A,#N/A,FALSE,"MIN_S_C";#N/A,#N/A,FALSE,"MIN_S_P";#N/A,#N/A,FALSE,"MIN_E_M_M";#N/A,#N/A,FALSE,"MIN_E_FIJA";#N/A,#N/A,FALSE,"SUPUESTOS"}</definedName>
    <definedName name="wrn.TOTAL." hidden="1">{#N/A,#N/A,FALSE,"INVERSIONES Y AMORTIZ";#N/A,#N/A,FALSE,"BALANCE";#N/A,#N/A,FALSE,"CUENTA DE PYG";#N/A,#N/A,FALSE,"CUENTA DE PYG (2)";#N/A,#N/A,FALSE,"RATIOS";#N/A,#N/A,FALSE,"G. PERSONAL";#N/A,#N/A,FALSE,"G. SOCIALES";#N/A,#N/A,FALSE,"G. GENERALES";#N/A,#N/A,FALSE,"LINEAS DE PRODUCTOS"}</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Market._.Report." hidden="1">{#N/A,#N/A,FALSE,"Sales Graph";#N/A,#N/A,FALSE,"BUC Graph";#N/A,#N/A,FALSE,"P&amp;L - YTD"}</definedName>
    <definedName name="wrn.totalcomp." hidden="1">{"comp1",#N/A,FALSE,"COMPS";"footnotes",#N/A,FALSE,"COMPS"}</definedName>
    <definedName name="wrn.Unidades." hidden="1">{"Rio Branco",#N/A,FALSE,"Rio Branco";"Itajaí",#N/A,FALSE,"Itajaí";"Pinheiro Machado",#N/A,FALSE,"PMachado";"Esteio",#N/A,FALSE,"Esteio"}</definedName>
    <definedName name="wrn.USW." hidden="1">{"IS",#N/A,FALSE,"IS";"RPTIS",#N/A,FALSE,"RPTIS";"STATS",#N/A,FALSE,"STATS";"BS",#N/A,FALSE,"BS"}</definedName>
    <definedName name="wrn.ut." hidden="1">{#N/A,#N/A,FALSE,"Ut";#N/A,#N/A,FALSE,"UT-h"}</definedName>
    <definedName name="wrn.UTL._.Position." hidden="1">{"UTL effect",#N/A,FALSE,"Sensitivity"}</definedName>
    <definedName name="wrn.VPGM_Summary." hidden="1">{"VPGM Summary",#N/A,FALSE,"VPGM SUMMARY"}</definedName>
    <definedName name="wrn.WORK._.PAPER." hidden="1">{#N/A,#N/A,TRUE,"Consolidate";"Work Paper MKT",#N/A,TRUE,"MKT";"Work Paper BUSS",#N/A,TRUE,"BusOper";"Work Paper TECH",#N/A,TRUE,"Tech";"Work Paper LOCAL",#N/A,TRUE,"LocalProg";"Work Paper GA",#N/A,TRUE,"G&amp;A";"Work Paper CONSOL",#N/A,TRUE,"Consolidate"}</definedName>
    <definedName name="wrn.WORK._.PAPER._.99." hidden="1">{"Work Paper99 MKT",#N/A,TRUE,"MKT";"Work Paper99 BUSS",#N/A,TRUE,"BusOper";"Work Paper99 TECH",#N/A,TRUE,"Tech";"Work Paper99 LOCAL",#N/A,TRUE,"LocalProg";"Work Paper99 GA",#N/A,TRUE,"G&amp;A";"Work Paper99 CONSOL",#N/A,TRUE,"Consolidate"}</definedName>
    <definedName name="wrn.working1." hidden="1">{#N/A,#N/A,FALSE,"A"}</definedName>
    <definedName name="wrn.Wright."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wrn.WSTS._.Trade._.Statistics." hidden="1">{#N/A,#N/A,FALSE,"Table of Contents";#N/A,#N/A,FALSE,"Overview";#N/A,#N/A,FALSE,"Data"}</definedName>
    <definedName name="wrn.year._.end."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0" hidden="1">{#N/A,#N/A,FALSE,"COVER1.XLS ";#N/A,#N/A,FALSE,"RACT1.XLS";#N/A,#N/A,FALSE,"RACT2.XLS";#N/A,#N/A,FALSE,"ECCMP";#N/A,#N/A,FALSE,"WELDER.XLS"}</definedName>
    <definedName name="wrn1.Cons." hidden="1">{"EconCons",#N/A,TRUE,"Econômico - Consolidado";"CaixaCons",#N/A,TRUE,"Caixa - Consolidado";"InvestCons",#N/A,TRUE,"Invest Consolidado"}</definedName>
    <definedName name="wrn1.history" hidden="1">{#N/A,#N/A,FALSE,"model"}</definedName>
    <definedName name="wrn2.all" hidden="1">{"PAGE1",#N/A,FALSE,"YIELDS";"PAGE2",#N/A,FALSE,"YIELDS";"PAGE3",#N/A,FALSE,"YIELDS"}</definedName>
    <definedName name="wrn2.all." hidden="1">{"PAGE1",#N/A,FALSE,"YIELDS";"PAGE2",#N/A,FALSE,"YIELDS";"PAGE3",#N/A,FALSE,"YIELDS"}</definedName>
    <definedName name="wrn2.gasodem." hidden="1">{"monthly",#N/A,FALSE,"GASODEM";"qtr to yr",#N/A,FALSE,"GASODEM"}</definedName>
    <definedName name="wrn3.histroic" hidden="1">{#N/A,#N/A,FALSE,"model"}</definedName>
    <definedName name="wrna.prod" hidden="1">{#N/A,#N/A,FALSE,"1";#N/A,#N/A,FALSE,"2";#N/A,#N/A,FALSE,"16 - 17";#N/A,#N/A,FALSE,"18 - 19";#N/A,#N/A,FALSE,"26";#N/A,#N/A,FALSE,"27";#N/A,#N/A,FALSE,"28"}</definedName>
    <definedName name="wrnGeralI" hidden="1">{#N/A,#N/A,FALSE,"Relatórios";"Vendas e Custos",#N/A,FALSE,"Vendas e Custos";"Premissas",#N/A,FALSE,"Premissas";"Projeções",#N/A,FALSE,"Projeções";"Dolar",#N/A,FALSE,"Dolar";"Original",#N/A,FALSE,"Original e UFIR"}</definedName>
    <definedName name="WRR" hidden="1">{#N/A,#N/A,FALSE,"Pharm";#N/A,#N/A,FALSE,"WWCM"}</definedName>
    <definedName name="wrrrrr" hidden="1">{#N/A,#N/A,FALSE,"REPORT"}</definedName>
    <definedName name="ws">#REF!</definedName>
    <definedName name="WSC">#REF!</definedName>
    <definedName name="WSHOP">#REF!</definedName>
    <definedName name="WSHOP_27">"$"</definedName>
    <definedName name="wuc.pt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v" hidden="1">{#N/A,#N/A,FALSE,"Pharm";#N/A,#N/A,FALSE,"WWCM"}</definedName>
    <definedName name="WVGI">#REF!</definedName>
    <definedName name="WVGI_27">"$"</definedName>
    <definedName name="WVGII">#REF!</definedName>
    <definedName name="WVGII_27">"$"</definedName>
    <definedName name="WVGIILAST">#REF!</definedName>
    <definedName name="WVGIILAST_27">"$"</definedName>
    <definedName name="WVGILAST">#REF!</definedName>
    <definedName name="WVGILAST_27">"$"</definedName>
    <definedName name="WVGINT">#REF!</definedName>
    <definedName name="WVGINT_27">"$"</definedName>
    <definedName name="WVGINTLAST">#REF!</definedName>
    <definedName name="WVGINTLAST_27">"$"</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Long._.Range." hidden="1">{TRUE,TRUE,-1.25,-15.5,604.5,340.5,FALSE,TRUE,TRUE,TRUE,0,1,#N/A,1,#N/A,21.75,16.8636363636364,1,FALSE,FALSE,3,TRUE,1,FALSE,100,"Swvu.Long._.Range.","ACwvu.Long._.Range.",#N/A,FALSE,FALSE,0.5,0,0.5,0.5,2,"","&amp;L&amp;F
&amp;A&amp;CPrepared by Rick Belcher &amp;D&amp;RPage &amp;P of &amp;N",FALSE,FALSE,FALSE,FALSE,1,53,#N/A,#N/A,"=R8C1:R100C22","=R1:R7","Rwvu.Long._.Range.",#N/A,FALSE,FALSE,TRUE,1,#N/A,#N/A,FALSE,FALSE,TRUE,TRUE,TRUE}</definedName>
    <definedName name="wvu.Months." hidden="1">{TRUE,TRUE,-1.25,-15.5,604.5,340.5,FALSE,TRUE,TRUE,TRUE,0,1,#N/A,1,#N/A,8.49438202247191,16.8636363636364,1,FALSE,FALSE,3,TRUE,1,FALSE,100,"Swvu.Months.","ACwvu.Months.",#N/A,FALSE,FALSE,0.5,0,0.5,0.5,2,"","&amp;L&amp;F
&amp;A&amp;CPrepared by Rick Belcher &amp;D&amp;RPage &amp;P of &amp;N",FALSE,FALSE,FALSE,FALSE,1,53,#N/A,#N/A,"=R8C1:R100C22","=R1:R7","Rwvu.Months.",#N/A,FALSE,FALSE,TRUE,1,#N/A,#N/A,FALSE,FALSE,TRUE,TRUE,TRUE}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hidden="1">{#N/A,#N/A,FALSE,"Pharm";#N/A,#N/A,FALSE,"WWCM"}</definedName>
    <definedName name="ww21w21">#REF!</definedName>
    <definedName name="www" hidden="1">{"CLIENTE",#N/A,TRUE,"Resumo";"CLIENTE",#N/A,TRUE,"HW";"CLIENTE",#N/A,TRUE,"SW";"CLIENTE",#N/A,TRUE,"TELESSUP.";"CLIENTE",#N/A,TRUE,"DCN &amp; Acess";"CLIENTE",#N/A,TRUE,"Sobressalentes";"CLIENTE",#N/A,TRUE,"Mat. Instal.";"CLIENTE",#N/A,TRUE,"Doc. Técnica";"CLIENTE",#N/A,TRUE,"Serviços";"CLIENTE",#N/A,TRUE,"Treinamento"}</definedName>
    <definedName name="wwwrr" hidden="1">{"Rio Branco",#N/A,FALSE,"Rio Branco";"Itajaí",#N/A,FALSE,"Itajaí";"Pinheiro Machado",#N/A,FALSE,"PMachado";"Esteio",#N/A,FALSE,"Esteio"}</definedName>
    <definedName name="WWWW" hidden="1">{#N/A,#N/A,FALSE,"COVER.XLS";#N/A,#N/A,FALSE,"RACT1.XLS";#N/A,#N/A,FALSE,"RACT2.XLS";#N/A,#N/A,FALSE,"ECCMP";#N/A,#N/A,FALSE,"WELDER.XLS"}</definedName>
    <definedName name="wwwww">INDEX(#REF!,0,4)</definedName>
    <definedName name="wwwwwa">#REF!</definedName>
    <definedName name="wwwwwwwwww">INDEX(#REF!,0,2)</definedName>
    <definedName name="wx" hidden="1">{#N/A,#N/A,FALSE,"Pharm";#N/A,#N/A,FALSE,"WWCM"}</definedName>
    <definedName name="x" hidden="1">#REF!</definedName>
    <definedName name="xA">#REF!</definedName>
    <definedName name="xccc" hidden="1">{#N/A,#N/A,FALSE,"CAT3516";#N/A,#N/A,FALSE,"CAT3608";#N/A,#N/A,FALSE,"Wartsila";#N/A,#N/A,FALSE,"Asm";#N/A,#N/A,FALSE,"DG cost"}</definedName>
    <definedName name="xcv" hidden="1">{#N/A,#N/A,FALSE,"Pharm";#N/A,#N/A,FALSE,"WWCM"}</definedName>
    <definedName name="xfdyhfh">#N/A</definedName>
    <definedName name="xfguhjsrxthsr">#N/A</definedName>
    <definedName name="XOF">#REF!</definedName>
    <definedName name="xq">#REF!</definedName>
    <definedName name="xrate">#REF!</definedName>
    <definedName name="xrates">#REF!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1</definedName>
    <definedName name="XRefCopy1" hidden="1">#REF!</definedName>
    <definedName name="XRefCopy10" hidden="1">#REF!</definedName>
    <definedName name="XRefCopy106" hidden="1">#REF!</definedName>
    <definedName name="XRefCopy107" hidden="1">#REF!</definedName>
    <definedName name="XRefCopy10Row" hidden="1">#REF!</definedName>
    <definedName name="XRefCopy11" hidden="1">#REF!</definedName>
    <definedName name="XRefCopy11Row" hidden="1">#REF!</definedName>
    <definedName name="XRefCopy12" hidden="1">#REF!</definedName>
    <definedName name="XRefCopy126" hidden="1">#REF!</definedName>
    <definedName name="XRefCopy126Row" hidden="1">#REF!</definedName>
    <definedName name="XRefCopy127" hidden="1">#REF!</definedName>
    <definedName name="XRefCopy127Row" hidden="1">#REF!</definedName>
    <definedName name="XRefCopy128" hidden="1">#REF!</definedName>
    <definedName name="XRefCopy128Row" hidden="1">#REF!</definedName>
    <definedName name="XRefCopy129" hidden="1">#REF!</definedName>
    <definedName name="XRefCopy129Row" hidden="1">#REF!</definedName>
    <definedName name="XRefCopy12Row" hidden="1">#REF!</definedName>
    <definedName name="XRefCopy13" hidden="1">#REF!</definedName>
    <definedName name="XRefCopy130" hidden="1">#REF!</definedName>
    <definedName name="XRefCopy130Row" hidden="1">#REF!</definedName>
    <definedName name="XRefCopy131" hidden="1">#REF!</definedName>
    <definedName name="XRefCopy131Row" hidden="1">#REF!</definedName>
    <definedName name="XRefCopy132" hidden="1">#REF!</definedName>
    <definedName name="XRefCopy132Row" hidden="1">#REF!</definedName>
    <definedName name="XRefCopy133" hidden="1">#REF!</definedName>
    <definedName name="XRefCopy133Row" hidden="1">#REF!</definedName>
    <definedName name="XRefCopy134" hidden="1">#REF!</definedName>
    <definedName name="XRefCopy135" hidden="1">#REF!</definedName>
    <definedName name="XRefCopy135Row" hidden="1">#REF!</definedName>
    <definedName name="XRefCopy136" hidden="1">#REF!</definedName>
    <definedName name="XRefCopy136Row" hidden="1">#REF!</definedName>
    <definedName name="XRefCopy137" hidden="1">#REF!</definedName>
    <definedName name="XRefCopy137Row" hidden="1">#REF!</definedName>
    <definedName name="XRefCopy138" hidden="1">#REF!</definedName>
    <definedName name="XRefCopy138Row" hidden="1">#REF!</definedName>
    <definedName name="XRefCopy139" hidden="1">#REF!</definedName>
    <definedName name="XRefCopy139Row" hidden="1">#REF!</definedName>
    <definedName name="XRefCopy13Row" hidden="1">#REF!</definedName>
    <definedName name="XRefCopy14" hidden="1">#REF!</definedName>
    <definedName name="XRefCopy140" hidden="1">#REF!</definedName>
    <definedName name="XRefCopy140Row" hidden="1">#REF!</definedName>
    <definedName name="XRefCopy142" hidden="1">#REF!</definedName>
    <definedName name="XRefCopy142Row" hidden="1">#REF!</definedName>
    <definedName name="XRefCopy143" hidden="1">#REF!</definedName>
    <definedName name="XRefCopy143Row" hidden="1">#REF!</definedName>
    <definedName name="XRefCopy144" hidden="1">#REF!</definedName>
    <definedName name="XRefCopy144Row" hidden="1">#REF!</definedName>
    <definedName name="XRefCopy145" hidden="1">#REF!</definedName>
    <definedName name="XRefCopy145Row" hidden="1">#REF!</definedName>
    <definedName name="XRefCopy147" hidden="1">#REF!</definedName>
    <definedName name="XRefCopy147Row" hidden="1">#REF!</definedName>
    <definedName name="XRefCopy148" hidden="1">#REF!</definedName>
    <definedName name="XRefCopy149" hidden="1">#REF!</definedName>
    <definedName name="XRefCopy14Row" hidden="1">#REF!</definedName>
    <definedName name="XRefCopy15" hidden="1">#REF!</definedName>
    <definedName name="XRefCopy150" hidden="1">#REF!</definedName>
    <definedName name="XRefCopy151" hidden="1">#REF!</definedName>
    <definedName name="XRefCopy152" hidden="1">#REF!</definedName>
    <definedName name="XRefCopy152Row" hidden="1">#REF!</definedName>
    <definedName name="XRefCopy153" hidden="1">#REF!</definedName>
    <definedName name="XRefCopy153Row" hidden="1">#REF!</definedName>
    <definedName name="XRefCopy154" hidden="1">#REF!</definedName>
    <definedName name="XRefCopy155" hidden="1">#REF!</definedName>
    <definedName name="XRefCopy157" hidden="1">#REF!</definedName>
    <definedName name="XRefCopy157Row" hidden="1">#REF!</definedName>
    <definedName name="XRefCopy158" hidden="1">#REF!</definedName>
    <definedName name="XRefCopy158Row" hidden="1">#REF!</definedName>
    <definedName name="XRefCopy15Row" hidden="1">#REF!</definedName>
    <definedName name="XRefCopy16" hidden="1">#REF!</definedName>
    <definedName name="XRefCopy160" hidden="1">#REF!</definedName>
    <definedName name="XRefCopy160Row" hidden="1">#REF!</definedName>
    <definedName name="XRefCopy161" hidden="1">#REF!</definedName>
    <definedName name="XRefCopy161Row" hidden="1">#REF!</definedName>
    <definedName name="XRefCopy162" hidden="1">#REF!</definedName>
    <definedName name="XRefCopy163" hidden="1">#REF!</definedName>
    <definedName name="XRefCopy165" hidden="1">#REF!</definedName>
    <definedName name="XRefCopy168" hidden="1">#REF!</definedName>
    <definedName name="XRefCopy16Row" hidden="1">#REF!</definedName>
    <definedName name="XRefCopy17" hidden="1">#REF!</definedName>
    <definedName name="XRefCopy173" hidden="1">#REF!</definedName>
    <definedName name="XRefCopy173Row" hidden="1">#REF!</definedName>
    <definedName name="XRefCopy174" hidden="1">#REF!</definedName>
    <definedName name="XRefCopy174Row" hidden="1">#REF!</definedName>
    <definedName name="XRefCopy175" hidden="1">#REF!</definedName>
    <definedName name="XRefCopy175Row" hidden="1">#REF!</definedName>
    <definedName name="XRefCopy176" hidden="1">#REF!</definedName>
    <definedName name="XRefCopy176Row" hidden="1">#REF!</definedName>
    <definedName name="XRefCopy177" hidden="1">#REF!</definedName>
    <definedName name="XRefCopy177Row" hidden="1">#REF!</definedName>
    <definedName name="XRefCopy178" hidden="1">#REF!</definedName>
    <definedName name="XRefCopy178Row" hidden="1">#REF!</definedName>
    <definedName name="XRefCopy179" hidden="1">#REF!</definedName>
    <definedName name="XRefCopy179Row" hidden="1">#REF!</definedName>
    <definedName name="XRefCopy17Row" hidden="1">#REF!</definedName>
    <definedName name="XRefCopy18" hidden="1">#REF!</definedName>
    <definedName name="XRefCopy180" hidden="1">#REF!</definedName>
    <definedName name="XRefCopy181" hidden="1">#REF!</definedName>
    <definedName name="XRefCopy181Row" hidden="1">#REF!</definedName>
    <definedName name="XRefCopy182" hidden="1">#REF!</definedName>
    <definedName name="XRefCopy182Row" hidden="1">#REF!</definedName>
    <definedName name="XRefCopy183" hidden="1">#REF!</definedName>
    <definedName name="XRefCopy183Row" hidden="1">#REF!</definedName>
    <definedName name="XRefCopy184" hidden="1">#REF!</definedName>
    <definedName name="XRefCopy184Row" hidden="1">#REF!</definedName>
    <definedName name="XRefCopy185" hidden="1">#REF!</definedName>
    <definedName name="XRefCopy185Row" hidden="1">#REF!</definedName>
    <definedName name="XRefCopy186" hidden="1">#REF!</definedName>
    <definedName name="XRefCopy186Row" hidden="1">#REF!</definedName>
    <definedName name="XRefCopy187" hidden="1">#REF!</definedName>
    <definedName name="XRefCopy187Row" hidden="1">#REF!</definedName>
    <definedName name="XRefCopy188" hidden="1">#REF!</definedName>
    <definedName name="XRefCopy189" hidden="1">#REF!</definedName>
    <definedName name="XRefCopy189Row" hidden="1">#REF!</definedName>
    <definedName name="XRefCopy18Row" hidden="1">#REF!</definedName>
    <definedName name="XRefCopy19" hidden="1">#REF!</definedName>
    <definedName name="XRefCopy190" hidden="1">#REF!</definedName>
    <definedName name="XRefCopy190Row" hidden="1">#REF!</definedName>
    <definedName name="XRefCopy191" hidden="1">#REF!</definedName>
    <definedName name="XRefCopy191Row" hidden="1">#REF!</definedName>
    <definedName name="XRefCopy192" hidden="1">#REF!</definedName>
    <definedName name="XRefCopy192Row" hidden="1">#REF!</definedName>
    <definedName name="XRefCopy193" hidden="1">#REF!</definedName>
    <definedName name="XRefCopy193Row" hidden="1">#REF!</definedName>
    <definedName name="XRefCopy194" hidden="1">#REF!</definedName>
    <definedName name="XRefCopy194Row" hidden="1">#REF!</definedName>
    <definedName name="XRefCopy195" hidden="1">#REF!</definedName>
    <definedName name="XRefCopy195Row" hidden="1">#REF!</definedName>
    <definedName name="XRefCopy197" hidden="1">#REF!</definedName>
    <definedName name="XRefCopy197Row"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Row" hidden="1">#REF!</definedName>
    <definedName name="XRefCopy55Row" hidden="1">#REF!</definedName>
    <definedName name="XRefCopy56" hidden="1">#REF!</definedName>
    <definedName name="XRefCopy56Row" hidden="1">#REF!</definedName>
    <definedName name="XRefCopy5Row" hidden="1">#REF!</definedName>
    <definedName name="XRefCopy6" hidden="1">#REF!</definedName>
    <definedName name="XRefCopy61" hidden="1">#REF!</definedName>
    <definedName name="XRefCopy61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Row"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1" hidden="1">#REF!</definedName>
    <definedName name="XRefCopy71Row" hidden="1">#REF!</definedName>
    <definedName name="XRefCopy72" hidden="1">#REF!</definedName>
    <definedName name="XRefCopy72Row" hidden="1">#REF!</definedName>
    <definedName name="XRefCopy73" hidden="1">#REF!</definedName>
    <definedName name="XRefCopy73Row" hidden="1">#REF!</definedName>
    <definedName name="XRefCopy74" hidden="1">#REF!</definedName>
    <definedName name="XRefCopy74Row" hidden="1">#REF!</definedName>
    <definedName name="XRefCopy75" hidden="1">#REF!</definedName>
    <definedName name="XRefCopy75Row" hidden="1">#REF!</definedName>
    <definedName name="XRefCopy76" hidden="1">#REF!</definedName>
    <definedName name="XRefCopy76Row" hidden="1">#REF!</definedName>
    <definedName name="XRefCopy77" hidden="1">#REF!</definedName>
    <definedName name="XRefCopy77Row" hidden="1">#REF!</definedName>
    <definedName name="XRefCopy78Row" hidden="1">#REF!</definedName>
    <definedName name="XRefCopy79" hidden="1">#REF!</definedName>
    <definedName name="XRefCopy79Row" hidden="1">#REF!</definedName>
    <definedName name="XRefCopy7Row" hidden="1">#REF!</definedName>
    <definedName name="XRefCopy8" hidden="1">#REF!</definedName>
    <definedName name="XRefCopy80" hidden="1">#REF!</definedName>
    <definedName name="XRefCopy80Row" hidden="1">#REF!</definedName>
    <definedName name="XRefCopy81" hidden="1">#REF!</definedName>
    <definedName name="XRefCopy81Row" hidden="1">#REF!</definedName>
    <definedName name="XRefCopy82" hidden="1">#REF!</definedName>
    <definedName name="XRefCopy82Row" hidden="1">#REF!</definedName>
    <definedName name="XRefCopy83" hidden="1">#REF!</definedName>
    <definedName name="XRefCopy83Row" hidden="1">#REF!</definedName>
    <definedName name="XRefCopy84" hidden="1">#REF!</definedName>
    <definedName name="XRefCopy84Row" hidden="1">#REF!</definedName>
    <definedName name="XRefCopy85" hidden="1">#REF!</definedName>
    <definedName name="XRefCopy85Row" hidden="1">#REF!</definedName>
    <definedName name="XRefCopy86" hidden="1">#REF!</definedName>
    <definedName name="XRefCopy86Row" hidden="1">#REF!</definedName>
    <definedName name="XRefCopy8Row" hidden="1">#REF!</definedName>
    <definedName name="XRefCopy9" hidden="1">#REF!</definedName>
    <definedName name="XRefCopy99" hidden="1">#REF!</definedName>
    <definedName name="XRefCopy9Row" hidden="1">#REF!</definedName>
    <definedName name="XRefCopyRangeCount" hidden="1">2</definedName>
    <definedName name="XRefPaste1" hidden="1">#REF!</definedName>
    <definedName name="XRefPaste10" hidden="1">#REF!</definedName>
    <definedName name="XRefPaste10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4"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9Row" hidden="1">#REF!</definedName>
    <definedName name="XRefPaste10Row" hidden="1">#REF!</definedName>
    <definedName name="XRefPaste11" hidden="1">#REF!</definedName>
    <definedName name="XRefPaste110" hidden="1">#REF!</definedName>
    <definedName name="XRefPaste110Row" hidden="1">#REF!</definedName>
    <definedName name="XRefPaste111" hidden="1">#REF!</definedName>
    <definedName name="XRefPaste111Row" hidden="1">#REF!</definedName>
    <definedName name="XRefPaste112" hidden="1">#REF!</definedName>
    <definedName name="XRefPaste112Row" hidden="1">#REF!</definedName>
    <definedName name="XRefPaste113" hidden="1">#REF!</definedName>
    <definedName name="XRefPaste114" hidden="1">#REF!</definedName>
    <definedName name="XRefPaste115" hidden="1">#REF!</definedName>
    <definedName name="XRefPaste116" hidden="1">#REF!</definedName>
    <definedName name="XRefPaste117" hidden="1">#REF!</definedName>
    <definedName name="XRefPaste117Row" hidden="1">#REF!</definedName>
    <definedName name="XRefPaste118" hidden="1">#REF!</definedName>
    <definedName name="XRefPaste118Row" hidden="1">#REF!</definedName>
    <definedName name="XRefPaste119" hidden="1">#REF!</definedName>
    <definedName name="XRefPaste119Row" hidden="1">#REF!</definedName>
    <definedName name="XRefPaste11Row" hidden="1">#REF!</definedName>
    <definedName name="XRefPaste12" hidden="1">#REF!</definedName>
    <definedName name="XRefPaste120" hidden="1">#REF!</definedName>
    <definedName name="XRefPaste120Row" hidden="1">#REF!</definedName>
    <definedName name="XRefPaste121" hidden="1">#REF!</definedName>
    <definedName name="XRefPaste121Row" hidden="1">#REF!</definedName>
    <definedName name="XRefPaste122" hidden="1">#REF!</definedName>
    <definedName name="XRefPaste122Row" hidden="1">#REF!</definedName>
    <definedName name="XRefPaste123" hidden="1">#REF!</definedName>
    <definedName name="XRefPaste123Row" hidden="1">#REF!</definedName>
    <definedName name="XRefPaste124" hidden="1">#REF!</definedName>
    <definedName name="XRefPaste124Row" hidden="1">#REF!</definedName>
    <definedName name="XRefPaste125" hidden="1">#REF!</definedName>
    <definedName name="XRefPaste125Row" hidden="1">#REF!</definedName>
    <definedName name="XRefPaste126" hidden="1">#REF!</definedName>
    <definedName name="XRefPaste126Row" hidden="1">#REF!</definedName>
    <definedName name="XRefPaste127" hidden="1">#REF!</definedName>
    <definedName name="XRefPaste127Row" hidden="1">#REF!</definedName>
    <definedName name="XRefPaste128" hidden="1">#REF!</definedName>
    <definedName name="XRefPaste128Row" hidden="1">#REF!</definedName>
    <definedName name="XRefPaste129" hidden="1">#REF!</definedName>
    <definedName name="XRefPaste129Row" hidden="1">#REF!</definedName>
    <definedName name="XRefPaste12Row" hidden="1">#REF!</definedName>
    <definedName name="XRefPaste13" hidden="1">#REF!</definedName>
    <definedName name="XRefPaste130" hidden="1">#REF!</definedName>
    <definedName name="XRefPaste130Row" hidden="1">#REF!</definedName>
    <definedName name="XRefPaste131" hidden="1">#REF!</definedName>
    <definedName name="XRefPaste131Row" hidden="1">#REF!</definedName>
    <definedName name="XRefPaste132" hidden="1">#REF!</definedName>
    <definedName name="XRefPaste132Row" hidden="1">#REF!</definedName>
    <definedName name="XRefPaste133" hidden="1">#REF!</definedName>
    <definedName name="XRefPaste133Row" hidden="1">#REF!</definedName>
    <definedName name="XRefPaste134" hidden="1">#REF!</definedName>
    <definedName name="XRefPaste134Row" hidden="1">#REF!</definedName>
    <definedName name="XRefPaste135" hidden="1">#REF!</definedName>
    <definedName name="XRefPaste135Row" hidden="1">#REF!</definedName>
    <definedName name="XRefPaste136" hidden="1">#REF!</definedName>
    <definedName name="XRefPaste136Row" hidden="1">#REF!</definedName>
    <definedName name="XRefPaste137" hidden="1">#REF!</definedName>
    <definedName name="XRefPaste137Row" hidden="1">#REF!</definedName>
    <definedName name="XRefPaste138" hidden="1">#REF!</definedName>
    <definedName name="XRefPaste138Row" hidden="1">#REF!</definedName>
    <definedName name="XRefPaste139" hidden="1">#REF!</definedName>
    <definedName name="XRefPaste139Row" hidden="1">#REF!</definedName>
    <definedName name="XRefPaste13Row" hidden="1">#REF!</definedName>
    <definedName name="XRefPaste14" hidden="1">#REF!</definedName>
    <definedName name="XRefPaste140" hidden="1">#REF!</definedName>
    <definedName name="XRefPaste141" hidden="1">#REF!</definedName>
    <definedName name="XRefPaste142" hidden="1">#REF!</definedName>
    <definedName name="XRefPaste142Row" hidden="1">#REF!</definedName>
    <definedName name="XRefPaste143" hidden="1">#REF!</definedName>
    <definedName name="XRefPaste143Row" hidden="1">#REF!</definedName>
    <definedName name="XRefPaste144" hidden="1">#REF!</definedName>
    <definedName name="XRefPaste144Row" hidden="1">#REF!</definedName>
    <definedName name="XRefPaste145" hidden="1">#REF!</definedName>
    <definedName name="XRefPaste145Row" hidden="1">#REF!</definedName>
    <definedName name="XRefPaste146" hidden="1">#REF!</definedName>
    <definedName name="XRefPaste146Row" hidden="1">#REF!</definedName>
    <definedName name="XRefPaste147" hidden="1">#REF!</definedName>
    <definedName name="XRefPaste147Row" hidden="1">#REF!</definedName>
    <definedName name="XRefPaste148" hidden="1">#REF!</definedName>
    <definedName name="XRefPaste148Row" hidden="1">#REF!</definedName>
    <definedName name="XRefPaste149" hidden="1">#REF!</definedName>
    <definedName name="XRefPaste149Row" hidden="1">#REF!</definedName>
    <definedName name="XRefPaste14Row" hidden="1">#REF!</definedName>
    <definedName name="XRefPaste15" hidden="1">#REF!</definedName>
    <definedName name="XRefPaste150" hidden="1">#REF!</definedName>
    <definedName name="XRefPaste151" hidden="1">#REF!</definedName>
    <definedName name="XRefPaste152" hidden="1">#REF!</definedName>
    <definedName name="XRefPaste152Row" hidden="1">#REF!</definedName>
    <definedName name="XRefPaste153" hidden="1">#REF!</definedName>
    <definedName name="XRefPaste154" hidden="1">#REF!</definedName>
    <definedName name="XRefPaste154Row" hidden="1">#REF!</definedName>
    <definedName name="XRefPaste155" hidden="1">#REF!</definedName>
    <definedName name="XRefPaste155Row" hidden="1">#REF!</definedName>
    <definedName name="XRefPaste156" hidden="1">#REF!</definedName>
    <definedName name="XRefPaste156Row" hidden="1">#REF!</definedName>
    <definedName name="XRefPaste157" hidden="1">#REF!</definedName>
    <definedName name="XRefPaste157Row" hidden="1">#REF!</definedName>
    <definedName name="XRefPaste158" hidden="1">#REF!</definedName>
    <definedName name="XRefPaste158Row" hidden="1">#REF!</definedName>
    <definedName name="XRefPaste159" hidden="1">#REF!</definedName>
    <definedName name="XRefPaste159Row" hidden="1">#REF!</definedName>
    <definedName name="XRefPaste15Row" hidden="1">#REF!</definedName>
    <definedName name="XRefPaste16" hidden="1">#REF!</definedName>
    <definedName name="XRefPaste160" hidden="1">#REF!</definedName>
    <definedName name="XRefPaste160Row" hidden="1">#REF!</definedName>
    <definedName name="XRefPaste161" hidden="1">#REF!</definedName>
    <definedName name="XRefPaste161Row" hidden="1">#REF!</definedName>
    <definedName name="XRefPaste162" hidden="1">#REF!</definedName>
    <definedName name="XRefPaste162Row" hidden="1">#REF!</definedName>
    <definedName name="XRefPaste163" hidden="1">#REF!</definedName>
    <definedName name="XRefPaste164" hidden="1">#REF!</definedName>
    <definedName name="XRefPaste164Row" hidden="1">#REF!</definedName>
    <definedName name="XRefPaste165" hidden="1">#REF!</definedName>
    <definedName name="XRefPaste165Row" hidden="1">#REF!</definedName>
    <definedName name="XRefPaste166" hidden="1">#REF!</definedName>
    <definedName name="XRefPaste166Row" hidden="1">#REF!</definedName>
    <definedName name="XRefPaste167" hidden="1">#REF!</definedName>
    <definedName name="XRefPaste168" hidden="1">#REF!</definedName>
    <definedName name="XRefPaste168Row" hidden="1">#REF!</definedName>
    <definedName name="XRefPaste169" hidden="1">#REF!</definedName>
    <definedName name="XRefPaste16Row" hidden="1">#REF!</definedName>
    <definedName name="XRefPaste17" hidden="1">#REF!</definedName>
    <definedName name="XRefPaste170" hidden="1">#REF!</definedName>
    <definedName name="XRefPaste171" hidden="1">#REF!</definedName>
    <definedName name="XRefPaste172" hidden="1">#REF!</definedName>
    <definedName name="XRefPaste173" hidden="1">#REF!</definedName>
    <definedName name="XRefPaste174" hidden="1">#REF!</definedName>
    <definedName name="XRefPaste175" hidden="1">#REF!</definedName>
    <definedName name="XRefPaste176" hidden="1">#REF!</definedName>
    <definedName name="XRefPaste177" hidden="1">#REF!</definedName>
    <definedName name="XRefPaste178" hidden="1">#REF!</definedName>
    <definedName name="XRefPaste179" hidden="1">#REF!</definedName>
    <definedName name="XRefPaste179Row" hidden="1">#REF!</definedName>
    <definedName name="XRefPaste17Row" hidden="1">#REF!</definedName>
    <definedName name="XRefPaste18" hidden="1">#REF!</definedName>
    <definedName name="XRefPaste180" hidden="1">#REF!</definedName>
    <definedName name="XRefPaste181" hidden="1">#REF!</definedName>
    <definedName name="XRefPaste182" hidden="1">#REF!</definedName>
    <definedName name="XRefPaste183" hidden="1">#REF!</definedName>
    <definedName name="XRefPaste184" hidden="1">#REF!</definedName>
    <definedName name="XRefPaste185" hidden="1">#REF!</definedName>
    <definedName name="XRefPaste186" hidden="1">#REF!</definedName>
    <definedName name="XRefPaste187" hidden="1">#REF!</definedName>
    <definedName name="XRefPaste188" hidden="1">#REF!</definedName>
    <definedName name="XRefPaste189" hidden="1">#REF!</definedName>
    <definedName name="XRefPaste18Row" hidden="1">#REF!</definedName>
    <definedName name="XRefPaste19" hidden="1">#REF!</definedName>
    <definedName name="XRefPaste190" hidden="1">#REF!</definedName>
    <definedName name="XRefPaste191" hidden="1">#REF!</definedName>
    <definedName name="XRefPaste192" hidden="1">#REF!</definedName>
    <definedName name="XRefPaste193" hidden="1">#REF!</definedName>
    <definedName name="XRefPaste194" hidden="1">#REF!</definedName>
    <definedName name="XRefPaste195" hidden="1">#REF!</definedName>
    <definedName name="XRefPaste197" hidden="1">#REF!</definedName>
    <definedName name="XRefPaste198" hidden="1">#REF!</definedName>
    <definedName name="XRefPaste199" hidden="1">#REF!</definedName>
    <definedName name="XRefPaste19Row" hidden="1">#REF!</definedName>
    <definedName name="XRefPaste1Row" hidden="1">#REF!</definedName>
    <definedName name="XRefPaste2" hidden="1">#REF!</definedName>
    <definedName name="XRefPaste20" hidden="1">#REF!</definedName>
    <definedName name="XRefPaste200" hidden="1">#REF!</definedName>
    <definedName name="XRefPaste201"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5Row"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3" hidden="1">#REF!</definedName>
    <definedName name="XRefPaste63Row" hidden="1">#REF!</definedName>
    <definedName name="XRefPaste64" hidden="1">#REF!</definedName>
    <definedName name="XRefPaste64Row" hidden="1">#REF!</definedName>
    <definedName name="XRefPaste65"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hidden="1">#REF!</definedName>
    <definedName name="XRefPaste70Row" hidden="1">#REF!</definedName>
    <definedName name="XRefPaste71" hidden="1">#REF!</definedName>
    <definedName name="XRefPaste71Row" hidden="1">#REF!</definedName>
    <definedName name="XRefPaste72" hidden="1">#REF!</definedName>
    <definedName name="XRefPaste72Row" hidden="1">#REF!</definedName>
    <definedName name="XRefPaste73"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hidden="1">#REF!</definedName>
    <definedName name="XRefPaste8" hidden="1">#REF!</definedName>
    <definedName name="XRefPaste80" hidden="1">#REF!</definedName>
    <definedName name="XRefPaste80Row" hidden="1">#REF!</definedName>
    <definedName name="XRefPaste81"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3</definedName>
    <definedName name="xrt">#REF!</definedName>
    <definedName name="xrt_10">#REF!</definedName>
    <definedName name="xrt_18">#REF!</definedName>
    <definedName name="xrt_19">#REF!</definedName>
    <definedName name="xrt_21">#REF!</definedName>
    <definedName name="xrt_22">#REF!</definedName>
    <definedName name="xrt_37">#REF!</definedName>
    <definedName name="xrt_6">#REF!</definedName>
    <definedName name="xrt_7">#REF!</definedName>
    <definedName name="xrt_8">#REF!</definedName>
    <definedName name="xrt_9">#REF!</definedName>
    <definedName name="XRT2005">#REF!</definedName>
    <definedName name="XRT2005_10">#REF!</definedName>
    <definedName name="XRT2005_18">#REF!</definedName>
    <definedName name="XRT2005_21">#REF!</definedName>
    <definedName name="XRT2005_22">#REF!</definedName>
    <definedName name="XRT2005_37">#REF!</definedName>
    <definedName name="XRT2005_5">#REF!</definedName>
    <definedName name="XRT2005_6">#REF!</definedName>
    <definedName name="XRT2005_7">#REF!</definedName>
    <definedName name="XRT2005_8">#REF!</definedName>
    <definedName name="XRT2005_9">#REF!</definedName>
    <definedName name="xsqs">#REF!</definedName>
    <definedName name="xx" hidden="1">{#N/A,#N/A,FALSE,"REPORT"}</definedName>
    <definedName name="xx_1" hidden="1">{#N/A,#N/A,FALSE,"CAT3516";#N/A,#N/A,FALSE,"CAT3608";#N/A,#N/A,FALSE,"Wartsila";#N/A,#N/A,FALSE,"Asm";#N/A,#N/A,FALSE,"DG cost"}</definedName>
    <definedName name="XXS"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xxx" hidden="1">{#N/A,#N/A,FALSE,"Relatórios";"Vendas e Custos",#N/A,FALSE,"Vendas e Custos";"Premissas",#N/A,FALSE,"Premissas";"Projeções",#N/A,FALSE,"Projeções";"Dolar",#N/A,FALSE,"Dolar";"Original",#N/A,FALSE,"Original e UFIR"}</definedName>
    <definedName name="xxx_1" hidden="1">{#N/A,#N/A,FALSE,"CAT3516";#N/A,#N/A,FALSE,"CAT3608";#N/A,#N/A,FALSE,"Wartsila";#N/A,#N/A,FALSE,"Asm";#N/A,#N/A,FALSE,"DG cost"}</definedName>
    <definedName name="xxxx" hidden="1">{#N/A,#N/A,FALSE,"CAT3516";#N/A,#N/A,FALSE,"CAT3608";#N/A,#N/A,FALSE,"Wartsila";#N/A,#N/A,FALSE,"Asm";#N/A,#N/A,FALSE,"DG cost"}</definedName>
    <definedName name="XXXX_1" hidden="1">{#N/A,#N/A,FALSE,"CAT3516";#N/A,#N/A,FALSE,"CAT3608";#N/A,#N/A,FALSE,"Wartsila";#N/A,#N/A,FALSE,"Asm";#N/A,#N/A,FALSE,"DG cost"}</definedName>
    <definedName name="xxxx1" hidden="1">{#N/A,#N/A,TRUE,"Funnel";#N/A,#N/A,TRUE,"FunnelMatrix"}</definedName>
    <definedName name="xxxx2" hidden="1">{#N/A,#N/A,TRUE,"Funnel";#N/A,#N/A,TRUE,"FunnelMatrix"}</definedName>
    <definedName name="xxxxx" hidden="1">{#N/A,#N/A,FALSE,"Pharm";#N/A,#N/A,FALSE,"WWCM"}</definedName>
    <definedName name="xxxxxx" hidden="1">{"10yp graphs",#N/A,FALSE,"Market Data"}</definedName>
    <definedName name="xxxxxxx" hidden="1">{#N/A,#N/A,FALSE,"Relatórios";"Vendas e Custos",#N/A,FALSE,"Vendas e Custos";"Premissas",#N/A,FALSE,"Premissas";"Projeções",#N/A,FALSE,"Projeções";"Dolar",#N/A,FALSE,"Dolar";"Original",#N/A,FALSE,"Original e UFIR"}</definedName>
    <definedName name="xxxxxxxx">INDEX(#REF!,0,2)</definedName>
    <definedName name="xyz" hidden="1">{#N/A,#N/A,FALSE,"CAT3516";#N/A,#N/A,FALSE,"CAT3608";#N/A,#N/A,FALSE,"Wartsila";#N/A,#N/A,FALSE,"Asm";#N/A,#N/A,FALSE,"DG cost"}</definedName>
    <definedName name="xyz_1" hidden="1">{#N/A,#N/A,FALSE,"CAT3516";#N/A,#N/A,FALSE,"CAT3608";#N/A,#N/A,FALSE,"Wartsila";#N/A,#N/A,FALSE,"Asm";#N/A,#N/A,FALSE,"DG cost"}</definedName>
    <definedName name="xyzx">#REF!</definedName>
    <definedName name="xz">#REF!</definedName>
    <definedName name="y" hidden="1">{#N/A,#N/A,FALSE,"Pharm";#N/A,#N/A,FALSE,"WWCM"}</definedName>
    <definedName name="Y___0">360</definedName>
    <definedName name="Y_1">360</definedName>
    <definedName name="Y_10">360</definedName>
    <definedName name="Y_11">12</definedName>
    <definedName name="Y_13">360</definedName>
    <definedName name="Y_14">360</definedName>
    <definedName name="Y_2">360</definedName>
    <definedName name="Y_32">12</definedName>
    <definedName name="Y_37">360</definedName>
    <definedName name="Y_49">360</definedName>
    <definedName name="Y_50">360</definedName>
    <definedName name="Y_7">12</definedName>
    <definedName name="Y_7_1">12</definedName>
    <definedName name="Y_9">12</definedName>
    <definedName name="YATIN" hidden="1">{"Help_File",#N/A,FALSE,"Help_Screen";"Help_file",#N/A,FALSE,"Help_Screen"}</definedName>
    <definedName name="Year">#REF!</definedName>
    <definedName name="Year00">#REF!</definedName>
    <definedName name="Year0000">#REF!</definedName>
    <definedName name="Year01">#REF!</definedName>
    <definedName name="Year0101">#REF!</definedName>
    <definedName name="Year1">#REF!</definedName>
    <definedName name="Year2">#REF!</definedName>
    <definedName name="Year3">#REF!</definedName>
    <definedName name="Year97">#REF!</definedName>
    <definedName name="Year9797">#REF!</definedName>
    <definedName name="Year9898">#REF!</definedName>
    <definedName name="Year99">#REF!</definedName>
    <definedName name="Year9999">#REF!</definedName>
    <definedName name="YearLables">#REF!</definedName>
    <definedName name="YearList">#REF!</definedName>
    <definedName name="YearRange">#REF!</definedName>
    <definedName name="YearRow">#REF!</definedName>
    <definedName name="Years">#REF!</definedName>
    <definedName name="YEN">NA()</definedName>
    <definedName name="YEN_1">#N/A</definedName>
    <definedName name="YEN_1_1">#N/A</definedName>
    <definedName name="YEN_1_1_8">#N/A</definedName>
    <definedName name="YEN_1_8">#N/A</definedName>
    <definedName name="YEN_19">NA()</definedName>
    <definedName name="YEN_2">#N/A</definedName>
    <definedName name="YEN_2_1">#N/A</definedName>
    <definedName name="YEN_2_1_8">#N/A</definedName>
    <definedName name="YEN_2_8">#N/A</definedName>
    <definedName name="YEN_32">NA()</definedName>
    <definedName name="YEN_7">NA()</definedName>
    <definedName name="YEN_8">#N/A</definedName>
    <definedName name="YEN_9">NA()</definedName>
    <definedName name="Yes">#REF!</definedName>
    <definedName name="yes1">#REF!</definedName>
    <definedName name="yes10">#REF!</definedName>
    <definedName name="yes2">#REF!</definedName>
    <definedName name="yes3">#REF!</definedName>
    <definedName name="yes4">#REF!</definedName>
    <definedName name="yes5">#REF!</definedName>
    <definedName name="yes6">#REF!</definedName>
    <definedName name="yes7">#REF!</definedName>
    <definedName name="yes8">#REF!</definedName>
    <definedName name="yes9">#REF!</definedName>
    <definedName name="yesno">#REF!</definedName>
    <definedName name="ygkjy" hidden="1">#REF!</definedName>
    <definedName name="yhx">#REF!</definedName>
    <definedName name="Yr_Name">#REF!</definedName>
    <definedName name="Yrs_In_Yr">#REF!</definedName>
    <definedName name="yuuuuuuu" hidden="1">{"ratios",#N/A,FALSE,"Summary Accounts"}</definedName>
    <definedName name="YVR">#REF!</definedName>
    <definedName name="YVR___0">#REF!</definedName>
    <definedName name="YVR_8">#REF!</definedName>
    <definedName name="YY">4</definedName>
    <definedName name="YY_1">4</definedName>
    <definedName name="YY_2">4</definedName>
    <definedName name="yyy" hidden="1">{#N/A,#N/A,FALSE,"Other";#N/A,#N/A,FALSE,"Ace";#N/A,#N/A,FALSE,"Derm"}</definedName>
    <definedName name="yyyy">#REF!</definedName>
    <definedName name="yyyyyy" hidden="1">{"p_l",#N/A,FALSE,"Summary Accounts"}</definedName>
    <definedName name="yyyyyyyyyyyy">#N/A</definedName>
    <definedName name="z" hidden="1">{#N/A,#N/A,FALSE,"CAT3516";#N/A,#N/A,FALSE,"CAT3608";#N/A,#N/A,FALSE,"Wartsila";#N/A,#N/A,FALSE,"Asm";#N/A,#N/A,FALSE,"DG cost"}</definedName>
    <definedName name="Z_02AD87C2_0864_11D3_B448_0004AC9D327E_.wvu.Cols" hidden="1">#REF!,#REF!</definedName>
    <definedName name="Z_02AD87C2_0864_11D3_B448_0004AC9D327E_.wvu.PrintArea" hidden="1">#REF!</definedName>
    <definedName name="Z_02AD87C2_0864_11D3_B448_0004AC9D327E_.wvu.PrintTitles" hidden="1">#REF!</definedName>
    <definedName name="Z_02AD87C7_0864_11D3_B448_0004AC9D327E_.wvu.Cols" hidden="1">#REF!,#REF!</definedName>
    <definedName name="Z_02AD87CD_0864_11D3_B448_0004AC9D327E_.wvu.PrintArea" hidden="1">#REF!</definedName>
    <definedName name="Z_02AD87DA_0864_11D3_B448_0004AC9D327E_.wvu.PrintArea" hidden="1">#REF!</definedName>
    <definedName name="Z_02AD87DB_0864_11D3_B448_0004AC9D327E_.wvu.Cols" hidden="1">#REF!</definedName>
    <definedName name="Z_02AD87DB_0864_11D3_B448_0004AC9D327E_.wvu.PrintArea" hidden="1">#REF!</definedName>
    <definedName name="Z_02AD87DB_0864_11D3_B448_0004AC9D327E_.wvu.PrintTitles" hidden="1">#REF!</definedName>
    <definedName name="Z_02AD87E4_0864_11D3_B448_0004AC9D327E_.wvu.Cols" hidden="1">#REF!,#REF!</definedName>
    <definedName name="Z_02AD87E7_0864_11D3_B448_0004AC9D327E_.wvu.Cols" hidden="1">#REF!,#REF!</definedName>
    <definedName name="Z_02AD87E7_0864_11D3_B448_0004AC9D327E_.wvu.PrintArea" hidden="1">#REF!</definedName>
    <definedName name="Z_02AD87E7_0864_11D3_B448_0004AC9D327E_.wvu.PrintTitles" hidden="1">#REF!</definedName>
    <definedName name="Z_02AD87EC_0864_11D3_B448_0004AC9D327E_.wvu.Cols" hidden="1">#REF!,#REF!</definedName>
    <definedName name="Z_02AD87F2_0864_11D3_B448_0004AC9D327E_.wvu.PrintArea" hidden="1">#REF!</definedName>
    <definedName name="Z_02AD87FF_0864_11D3_B448_0004AC9D327E_.wvu.PrintArea" hidden="1">#REF!</definedName>
    <definedName name="Z_02AD8800_0864_11D3_B448_0004AC9D327E_.wvu.Cols" hidden="1">#REF!</definedName>
    <definedName name="Z_02AD8800_0864_11D3_B448_0004AC9D327E_.wvu.PrintArea" hidden="1">#REF!</definedName>
    <definedName name="Z_02AD8800_0864_11D3_B448_0004AC9D327E_.wvu.PrintTitles" hidden="1">#REF!</definedName>
    <definedName name="Z_02AD8809_0864_11D3_B448_0004AC9D327E_.wvu.Cols" hidden="1">#REF!,#REF!</definedName>
    <definedName name="Z_05C535AA_F58A_11D5_887B_0050BA37E09A_.wvu.Cols" hidden="1">#REF!,#REF!</definedName>
    <definedName name="Z_067E13A4_DE0F_11D2_B447_0004AC2EF02B_.wvu.Cols" hidden="1">#REF!,#REF!</definedName>
    <definedName name="Z_067E13A4_DE0F_11D2_B447_0004AC2EF02B_.wvu.PrintArea" hidden="1">#REF!</definedName>
    <definedName name="Z_067E13A4_DE0F_11D2_B447_0004AC2EF02B_.wvu.PrintTitles" hidden="1">#REF!</definedName>
    <definedName name="Z_067E13A6_DE0F_11D2_B447_0004AC2EF02B_.wvu.PrintArea" hidden="1">#REF!</definedName>
    <definedName name="Z_067E13A7_DE0F_11D2_B447_0004AC2EF02B_.wvu.PrintArea" hidden="1">#REF!</definedName>
    <definedName name="Z_067E13AA_DE0F_11D2_B447_0004AC2EF02B_.wvu.Cols" hidden="1">#REF!,#REF!</definedName>
    <definedName name="Z_067E13AF_DE0F_11D2_B447_0004AC2EF02B_.wvu.Cols" hidden="1">#REF!,#REF!</definedName>
    <definedName name="Z_067E13AF_DE0F_11D2_B447_0004AC2EF02B_.wvu.PrintArea" hidden="1">#REF!</definedName>
    <definedName name="Z_067E13AF_DE0F_11D2_B447_0004AC2EF02B_.wvu.PrintTitles" hidden="1">#REF!</definedName>
    <definedName name="Z_067E13B0_DE0F_11D2_B447_0004AC2EF02B_.wvu.Cols" hidden="1">#REF!</definedName>
    <definedName name="Z_067E13B1_DE0F_11D2_B447_0004AC2EF02B_.wvu.PrintArea" hidden="1">#REF!</definedName>
    <definedName name="Z_067E13B2_DE0F_11D2_B447_0004AC2EF02B_.wvu.Cols" hidden="1">#REF!</definedName>
    <definedName name="Z_067E13B2_DE0F_11D2_B447_0004AC2EF02B_.wvu.PrintArea" hidden="1">#REF!</definedName>
    <definedName name="Z_067E13B5_DE0F_11D2_B447_0004AC2EF02B_.wvu.Cols" hidden="1">#REF!,#REF!</definedName>
    <definedName name="Z_067E13B8_DE0F_11D2_B447_0004AC2EF02B_.wvu.Cols" hidden="1">#REF!,#REF!</definedName>
    <definedName name="Z_067E13C2_DE0F_11D2_B447_0004AC2EF02B_.wvu.Cols" hidden="1">#REF!,#REF!</definedName>
    <definedName name="Z_067E13C3_DE0F_11D2_B447_0004AC2EF02B_.wvu.Cols" hidden="1">#REF!</definedName>
    <definedName name="Z_067E13D0_DE0F_11D2_B447_0004AC2EF02B_.wvu.Cols" hidden="1">#REF!</definedName>
    <definedName name="Z_067E13D0_DE0F_11D2_B447_0004AC2EF02B_.wvu.PrintTitles" hidden="1">#REF!</definedName>
    <definedName name="Z_067E13D1_DE0F_11D2_B447_0004AC2EF02B_.wvu.Cols" hidden="1">#REF!,#REF!</definedName>
    <definedName name="Z_067E13D8_DE0F_11D2_B447_0004AC2EF02B_.wvu.Cols" hidden="1">#REF!</definedName>
    <definedName name="Z_067E13D8_DE0F_11D2_B447_0004AC2EF02B_.wvu.PrintArea" hidden="1">#REF!</definedName>
    <definedName name="Z_067E13D8_DE0F_11D2_B447_0004AC2EF02B_.wvu.PrintTitles" hidden="1">#REF!</definedName>
    <definedName name="Z_067E13D9_DE0F_11D2_B447_0004AC2EF02B_.wvu.Cols" hidden="1">#REF!</definedName>
    <definedName name="Z_067E13D9_DE0F_11D2_B447_0004AC2EF02B_.wvu.PrintArea" hidden="1">#REF!</definedName>
    <definedName name="Z_067E13D9_DE0F_11D2_B447_0004AC2EF02B_.wvu.PrintTitles" hidden="1">#REF!</definedName>
    <definedName name="Z_067E13DB_DE0F_11D2_B447_0004AC2EF02B_.wvu.Cols" hidden="1">#REF!,#REF!</definedName>
    <definedName name="Z_067E13E2_DE0F_11D2_B447_0004AC2EF02B_.wvu.Cols" hidden="1">#REF!</definedName>
    <definedName name="Z_067E13E3_DE0F_11D2_B447_0004AC2EF02B_.wvu.Cols" hidden="1">#REF!</definedName>
    <definedName name="Z_067E13E3_DE0F_11D2_B447_0004AC2EF02B_.wvu.PrintTitles" hidden="1">#REF!</definedName>
    <definedName name="Z_067E13E4_DE0F_11D2_B447_0004AC2EF02B_.wvu.Cols" hidden="1">#REF!,#REF!</definedName>
    <definedName name="Z_067E13E6_DE0F_11D2_B447_0004AC2EF02B_.wvu.Cols" hidden="1">#REF!</definedName>
    <definedName name="Z_067E13EB_DE0F_11D2_B447_0004AC2EF02B_.wvu.Cols" hidden="1">#REF!</definedName>
    <definedName name="Z_067E13EB_DE0F_11D2_B447_0004AC2EF02B_.wvu.PrintArea" hidden="1">#REF!</definedName>
    <definedName name="Z_067E13EB_DE0F_11D2_B447_0004AC2EF02B_.wvu.PrintTitles" hidden="1">#REF!</definedName>
    <definedName name="Z_067E13EC_DE0F_11D2_B447_0004AC2EF02B_.wvu.Cols" hidden="1">#REF!</definedName>
    <definedName name="Z_067E13EC_DE0F_11D2_B447_0004AC2EF02B_.wvu.PrintArea" hidden="1">#REF!</definedName>
    <definedName name="Z_067E13EC_DE0F_11D2_B447_0004AC2EF02B_.wvu.PrintTitles" hidden="1">#REF!</definedName>
    <definedName name="Z_067E13EE_DE0F_11D2_B447_0004AC2EF02B_.wvu.Cols" hidden="1">#REF!,#REF!</definedName>
    <definedName name="Z_19618642_7A6E_11D4_AF37_0020AFD7F42C_.wvu.FilterData" hidden="1">#REF!</definedName>
    <definedName name="Z_19618642_7A6E_11D4_AF37_0020AFD7F42C_.wvu.PrintArea" hidden="1">#REF!</definedName>
    <definedName name="Z_19618642_7A6E_11D4_AF37_0020AFD7F42C_.wvu.Rows" hidden="1">#REF!</definedName>
    <definedName name="Z_1DCACF56_E1E8_11D2_B446_0004AC2EF02B_.wvu.Cols" hidden="1">#REF!</definedName>
    <definedName name="Z_1DCACF56_E1E8_11D2_B446_0004AC2EF02B_.wvu.PrintTitles" hidden="1">#REF!</definedName>
    <definedName name="Z_1DCACF57_E1E8_11D2_B446_0004AC2EF02B_.wvu.Cols" hidden="1">#REF!,#REF!</definedName>
    <definedName name="Z_1DCACF5E_E1E8_11D2_B446_0004AC2EF02B_.wvu.Cols" hidden="1">#REF!</definedName>
    <definedName name="Z_1DCACF5E_E1E8_11D2_B446_0004AC2EF02B_.wvu.PrintArea" hidden="1">#REF!</definedName>
    <definedName name="Z_1DCACF5E_E1E8_11D2_B446_0004AC2EF02B_.wvu.PrintTitles" hidden="1">#REF!</definedName>
    <definedName name="Z_1DCACF5F_E1E8_11D2_B446_0004AC2EF02B_.wvu.Cols" hidden="1">#REF!</definedName>
    <definedName name="Z_1DCACF5F_E1E8_11D2_B446_0004AC2EF02B_.wvu.PrintArea" hidden="1">#REF!</definedName>
    <definedName name="Z_1DCACF5F_E1E8_11D2_B446_0004AC2EF02B_.wvu.PrintTitles" hidden="1">#REF!</definedName>
    <definedName name="Z_1DCACF61_E1E8_11D2_B446_0004AC2EF02B_.wvu.Cols" hidden="1">#REF!,#REF!</definedName>
    <definedName name="Z_1DCACF68_E1E8_11D2_B446_0004AC2EF02B_.wvu.Cols" hidden="1">#REF!</definedName>
    <definedName name="Z_1DCACF69_E1E8_11D2_B446_0004AC2EF02B_.wvu.Cols" hidden="1">#REF!</definedName>
    <definedName name="Z_1DCACF69_E1E8_11D2_B446_0004AC2EF02B_.wvu.PrintTitles" hidden="1">#REF!</definedName>
    <definedName name="Z_1DCACF6A_E1E8_11D2_B446_0004AC2EF02B_.wvu.Cols" hidden="1">#REF!,#REF!</definedName>
    <definedName name="Z_1DCACF6C_E1E8_11D2_B446_0004AC2EF02B_.wvu.Cols" hidden="1">#REF!</definedName>
    <definedName name="Z_1DCACF71_E1E8_11D2_B446_0004AC2EF02B_.wvu.Cols" hidden="1">#REF!</definedName>
    <definedName name="Z_1DCACF71_E1E8_11D2_B446_0004AC2EF02B_.wvu.PrintArea" hidden="1">#REF!</definedName>
    <definedName name="Z_1DCACF71_E1E8_11D2_B446_0004AC2EF02B_.wvu.PrintTitles" hidden="1">#REF!</definedName>
    <definedName name="Z_1DCACF72_E1E8_11D2_B446_0004AC2EF02B_.wvu.Cols" hidden="1">#REF!</definedName>
    <definedName name="Z_1DCACF72_E1E8_11D2_B446_0004AC2EF02B_.wvu.PrintArea" hidden="1">#REF!</definedName>
    <definedName name="Z_1DCACF72_E1E8_11D2_B446_0004AC2EF02B_.wvu.PrintTitles" hidden="1">#REF!</definedName>
    <definedName name="Z_1DCACF74_E1E8_11D2_B446_0004AC2EF02B_.wvu.Cols" hidden="1">#REF!,#REF!</definedName>
    <definedName name="Z_1DCACF8A_E1E8_11D2_B446_0004AC2EF02B_.wvu.Cols" hidden="1">#REF!,#REF!</definedName>
    <definedName name="Z_1DCACF94_E1E8_11D2_B446_0004AC2EF02B_.wvu.Cols" hidden="1">#REF!,#REF!</definedName>
    <definedName name="Z_1DCACF95_E1E8_11D2_B446_0004AC2EF02B_.wvu.Cols" hidden="1">#REF!</definedName>
    <definedName name="Z_1DCACFA0_E1E8_11D2_B446_0004AC2EF02B_.wvu.Cols" hidden="1">#REF!,#REF!</definedName>
    <definedName name="Z_1DCACFA0_E1E8_11D2_B446_0004AC2EF02B_.wvu.PrintArea" hidden="1">#REF!</definedName>
    <definedName name="Z_1DCACFA0_E1E8_11D2_B446_0004AC2EF02B_.wvu.PrintTitles" hidden="1">#REF!</definedName>
    <definedName name="Z_1DCACFA2_E1E8_11D2_B446_0004AC2EF02B_.wvu.PrintArea" hidden="1">#REF!</definedName>
    <definedName name="Z_1DCACFA3_E1E8_11D2_B446_0004AC2EF02B_.wvu.PrintArea" hidden="1">#REF!</definedName>
    <definedName name="Z_1DCACFA6_E1E8_11D2_B446_0004AC2EF02B_.wvu.Cols" hidden="1">#REF!,#REF!</definedName>
    <definedName name="Z_1DCACFAB_E1E8_11D2_B446_0004AC2EF02B_.wvu.Cols" hidden="1">#REF!,#REF!</definedName>
    <definedName name="Z_1DCACFAB_E1E8_11D2_B446_0004AC2EF02B_.wvu.PrintArea" hidden="1">#REF!</definedName>
    <definedName name="Z_1DCACFAB_E1E8_11D2_B446_0004AC2EF02B_.wvu.PrintTitles" hidden="1">#REF!</definedName>
    <definedName name="Z_1DCACFAC_E1E8_11D2_B446_0004AC2EF02B_.wvu.Cols" hidden="1">#REF!</definedName>
    <definedName name="Z_1DCACFAD_E1E8_11D2_B446_0004AC2EF02B_.wvu.PrintArea" hidden="1">#REF!</definedName>
    <definedName name="Z_1DCACFAE_E1E8_11D2_B446_0004AC2EF02B_.wvu.Cols" hidden="1">#REF!</definedName>
    <definedName name="Z_1DCACFAE_E1E8_11D2_B446_0004AC2EF02B_.wvu.PrintArea" hidden="1">#REF!</definedName>
    <definedName name="Z_1DCACFB1_E1E8_11D2_B446_0004AC2EF02B_.wvu.Cols" hidden="1">#REF!,#REF!</definedName>
    <definedName name="Z_1F664F0A_E5D7_11D2_B445_0004AC9D327E_.wvu.Cols" hidden="1">#REF!,#REF!</definedName>
    <definedName name="Z_1F664F0A_E5D7_11D2_B445_0004AC9D327E_.wvu.PrintArea" hidden="1">#REF!</definedName>
    <definedName name="Z_1F664F0A_E5D7_11D2_B445_0004AC9D327E_.wvu.PrintTitles" hidden="1">#REF!</definedName>
    <definedName name="Z_1F664F0C_E5D7_11D2_B445_0004AC9D327E_.wvu.PrintArea" hidden="1">#REF!</definedName>
    <definedName name="Z_1F664F0D_E5D7_11D2_B445_0004AC9D327E_.wvu.PrintArea" hidden="1">#REF!</definedName>
    <definedName name="Z_1F664F10_E5D7_11D2_B445_0004AC9D327E_.wvu.Cols" hidden="1">#REF!,#REF!</definedName>
    <definedName name="Z_1F664F15_E5D7_11D2_B445_0004AC9D327E_.wvu.Cols" hidden="1">#REF!,#REF!</definedName>
    <definedName name="Z_1F664F15_E5D7_11D2_B445_0004AC9D327E_.wvu.PrintArea" hidden="1">#REF!</definedName>
    <definedName name="Z_1F664F15_E5D7_11D2_B445_0004AC9D327E_.wvu.PrintTitles" hidden="1">#REF!</definedName>
    <definedName name="Z_1F664F16_E5D7_11D2_B445_0004AC9D327E_.wvu.Cols" hidden="1">#REF!</definedName>
    <definedName name="Z_1F664F17_E5D7_11D2_B445_0004AC9D327E_.wvu.PrintArea" hidden="1">#REF!</definedName>
    <definedName name="Z_1F664F18_E5D7_11D2_B445_0004AC9D327E_.wvu.Cols" hidden="1">#REF!</definedName>
    <definedName name="Z_1F664F18_E5D7_11D2_B445_0004AC9D327E_.wvu.PrintArea" hidden="1">#REF!</definedName>
    <definedName name="Z_1F664F1B_E5D7_11D2_B445_0004AC9D327E_.wvu.Cols" hidden="1">#REF!,#REF!</definedName>
    <definedName name="Z_1F664F1E_E5D7_11D2_B445_0004AC9D327E_.wvu.Cols" hidden="1">#REF!,#REF!</definedName>
    <definedName name="Z_1F664F28_E5D7_11D2_B445_0004AC9D327E_.wvu.Cols" hidden="1">#REF!,#REF!</definedName>
    <definedName name="Z_1F664F29_E5D7_11D2_B445_0004AC9D327E_.wvu.Cols" hidden="1">#REF!</definedName>
    <definedName name="Z_1F664F36_E5D7_11D2_B445_0004AC9D327E_.wvu.Cols" hidden="1">#REF!</definedName>
    <definedName name="Z_1F664F36_E5D7_11D2_B445_0004AC9D327E_.wvu.PrintTitles" hidden="1">#REF!</definedName>
    <definedName name="Z_1F664F37_E5D7_11D2_B445_0004AC9D327E_.wvu.Cols" hidden="1">#REF!,#REF!</definedName>
    <definedName name="Z_1F664F3E_E5D7_11D2_B445_0004AC9D327E_.wvu.Cols" hidden="1">#REF!</definedName>
    <definedName name="Z_1F664F3E_E5D7_11D2_B445_0004AC9D327E_.wvu.PrintArea" hidden="1">#REF!</definedName>
    <definedName name="Z_1F664F3E_E5D7_11D2_B445_0004AC9D327E_.wvu.PrintTitles" hidden="1">#REF!</definedName>
    <definedName name="Z_1F664F3F_E5D7_11D2_B445_0004AC9D327E_.wvu.Cols" hidden="1">#REF!</definedName>
    <definedName name="Z_1F664F3F_E5D7_11D2_B445_0004AC9D327E_.wvu.PrintArea" hidden="1">#REF!</definedName>
    <definedName name="Z_1F664F3F_E5D7_11D2_B445_0004AC9D327E_.wvu.PrintTitles" hidden="1">#REF!</definedName>
    <definedName name="Z_1F664F41_E5D7_11D2_B445_0004AC9D327E_.wvu.Cols" hidden="1">#REF!,#REF!</definedName>
    <definedName name="Z_1F664F48_E5D7_11D2_B445_0004AC9D327E_.wvu.Cols" hidden="1">#REF!</definedName>
    <definedName name="Z_1F664F49_E5D7_11D2_B445_0004AC9D327E_.wvu.Cols" hidden="1">#REF!</definedName>
    <definedName name="Z_1F664F49_E5D7_11D2_B445_0004AC9D327E_.wvu.PrintTitles" hidden="1">#REF!</definedName>
    <definedName name="Z_1F664F4A_E5D7_11D2_B445_0004AC9D327E_.wvu.Cols" hidden="1">#REF!,#REF!</definedName>
    <definedName name="Z_1F664F4C_E5D7_11D2_B445_0004AC9D327E_.wvu.Cols" hidden="1">#REF!</definedName>
    <definedName name="Z_1F664F51_E5D7_11D2_B445_0004AC9D327E_.wvu.Cols" hidden="1">#REF!</definedName>
    <definedName name="Z_1F664F51_E5D7_11D2_B445_0004AC9D327E_.wvu.PrintArea" hidden="1">#REF!</definedName>
    <definedName name="Z_1F664F51_E5D7_11D2_B445_0004AC9D327E_.wvu.PrintTitles" hidden="1">#REF!</definedName>
    <definedName name="Z_1F664F52_E5D7_11D2_B445_0004AC9D327E_.wvu.Cols" hidden="1">#REF!</definedName>
    <definedName name="Z_1F664F52_E5D7_11D2_B445_0004AC9D327E_.wvu.PrintArea" hidden="1">#REF!</definedName>
    <definedName name="Z_1F664F52_E5D7_11D2_B445_0004AC9D327E_.wvu.PrintTitles" hidden="1">#REF!</definedName>
    <definedName name="Z_1F664F54_E5D7_11D2_B445_0004AC9D327E_.wvu.Cols" hidden="1">#REF!,#REF!</definedName>
    <definedName name="Z_35DCD7B0_E15C_11D2_B445_0004AC2EF02B_.wvu.Cols" hidden="1">#REF!,#REF!</definedName>
    <definedName name="Z_35DCD7B0_E15C_11D2_B445_0004AC2EF02B_.wvu.PrintArea" hidden="1">#REF!</definedName>
    <definedName name="Z_35DCD7B0_E15C_11D2_B445_0004AC2EF02B_.wvu.PrintTitles" hidden="1">#REF!</definedName>
    <definedName name="Z_35DCD7B2_E15C_11D2_B445_0004AC2EF02B_.wvu.PrintArea" hidden="1">#REF!</definedName>
    <definedName name="Z_35DCD7B3_E15C_11D2_B445_0004AC2EF02B_.wvu.PrintArea" hidden="1">#REF!</definedName>
    <definedName name="Z_35DCD7B6_E15C_11D2_B445_0004AC2EF02B_.wvu.Cols" hidden="1">#REF!,#REF!</definedName>
    <definedName name="Z_35DCD7BB_E15C_11D2_B445_0004AC2EF02B_.wvu.Cols" hidden="1">#REF!,#REF!</definedName>
    <definedName name="Z_35DCD7BB_E15C_11D2_B445_0004AC2EF02B_.wvu.PrintArea" hidden="1">#REF!</definedName>
    <definedName name="Z_35DCD7BB_E15C_11D2_B445_0004AC2EF02B_.wvu.PrintTitles" hidden="1">#REF!</definedName>
    <definedName name="Z_35DCD7BC_E15C_11D2_B445_0004AC2EF02B_.wvu.Cols" hidden="1">#REF!</definedName>
    <definedName name="Z_35DCD7BD_E15C_11D2_B445_0004AC2EF02B_.wvu.PrintArea" hidden="1">#REF!</definedName>
    <definedName name="Z_35DCD7BE_E15C_11D2_B445_0004AC2EF02B_.wvu.Cols" hidden="1">#REF!</definedName>
    <definedName name="Z_35DCD7BE_E15C_11D2_B445_0004AC2EF02B_.wvu.PrintArea" hidden="1">#REF!</definedName>
    <definedName name="Z_35DCD7C1_E15C_11D2_B445_0004AC2EF02B_.wvu.Cols" hidden="1">#REF!,#REF!</definedName>
    <definedName name="Z_35DCD7C4_E15C_11D2_B445_0004AC2EF02B_.wvu.Cols" hidden="1">#REF!,#REF!</definedName>
    <definedName name="Z_35DCD7CE_E15C_11D2_B445_0004AC2EF02B_.wvu.Cols" hidden="1">#REF!,#REF!</definedName>
    <definedName name="Z_35DCD7CF_E15C_11D2_B445_0004AC2EF02B_.wvu.Cols" hidden="1">#REF!</definedName>
    <definedName name="Z_35DCD7DC_E15C_11D2_B445_0004AC2EF02B_.wvu.Cols" hidden="1">#REF!</definedName>
    <definedName name="Z_35DCD7DC_E15C_11D2_B445_0004AC2EF02B_.wvu.PrintTitles" hidden="1">#REF!</definedName>
    <definedName name="Z_35DCD7DD_E15C_11D2_B445_0004AC2EF02B_.wvu.Cols" hidden="1">#REF!,#REF!</definedName>
    <definedName name="Z_35DCD7E4_E15C_11D2_B445_0004AC2EF02B_.wvu.Cols" hidden="1">#REF!</definedName>
    <definedName name="Z_35DCD7E4_E15C_11D2_B445_0004AC2EF02B_.wvu.PrintArea" hidden="1">#REF!</definedName>
    <definedName name="Z_35DCD7E4_E15C_11D2_B445_0004AC2EF02B_.wvu.PrintTitles" hidden="1">#REF!</definedName>
    <definedName name="Z_35DCD7E5_E15C_11D2_B445_0004AC2EF02B_.wvu.Cols" hidden="1">#REF!</definedName>
    <definedName name="Z_35DCD7E5_E15C_11D2_B445_0004AC2EF02B_.wvu.PrintArea" hidden="1">#REF!</definedName>
    <definedName name="Z_35DCD7E5_E15C_11D2_B445_0004AC2EF02B_.wvu.PrintTitles" hidden="1">#REF!</definedName>
    <definedName name="Z_35DCD7E7_E15C_11D2_B445_0004AC2EF02B_.wvu.Cols" hidden="1">#REF!,#REF!</definedName>
    <definedName name="Z_35DCD7EE_E15C_11D2_B445_0004AC2EF02B_.wvu.Cols" hidden="1">#REF!</definedName>
    <definedName name="Z_35DCD7EF_E15C_11D2_B445_0004AC2EF02B_.wvu.Cols" hidden="1">#REF!</definedName>
    <definedName name="Z_35DCD7EF_E15C_11D2_B445_0004AC2EF02B_.wvu.PrintTitles" hidden="1">#REF!</definedName>
    <definedName name="Z_35DCD7F0_E15C_11D2_B445_0004AC2EF02B_.wvu.Cols" hidden="1">#REF!,#REF!</definedName>
    <definedName name="Z_35DCD7F2_E15C_11D2_B445_0004AC2EF02B_.wvu.Cols" hidden="1">#REF!</definedName>
    <definedName name="Z_35DCD7F7_E15C_11D2_B445_0004AC2EF02B_.wvu.Cols" hidden="1">#REF!</definedName>
    <definedName name="Z_35DCD7F7_E15C_11D2_B445_0004AC2EF02B_.wvu.PrintArea" hidden="1">#REF!</definedName>
    <definedName name="Z_35DCD7F7_E15C_11D2_B445_0004AC2EF02B_.wvu.PrintTitles" hidden="1">#REF!</definedName>
    <definedName name="Z_35DCD7F8_E15C_11D2_B445_0004AC2EF02B_.wvu.Cols" hidden="1">#REF!</definedName>
    <definedName name="Z_35DCD7F8_E15C_11D2_B445_0004AC2EF02B_.wvu.PrintArea" hidden="1">#REF!</definedName>
    <definedName name="Z_35DCD7F8_E15C_11D2_B445_0004AC2EF02B_.wvu.PrintTitles" hidden="1">#REF!</definedName>
    <definedName name="Z_35DCD7FA_E15C_11D2_B445_0004AC2EF02B_.wvu.Cols" hidden="1">#REF!,#REF!</definedName>
    <definedName name="Z_35EB1642_E2C7_11D2_B444_0004AC9D327E_.wvu.Cols" hidden="1">#REF!,#REF!</definedName>
    <definedName name="Z_35EB164C_E2C7_11D2_B444_0004AC9D327E_.wvu.Cols" hidden="1">#REF!,#REF!</definedName>
    <definedName name="Z_35EB164D_E2C7_11D2_B444_0004AC9D327E_.wvu.Cols" hidden="1">#REF!</definedName>
    <definedName name="Z_35EB1658_E2C7_11D2_B444_0004AC9D327E_.wvu.Cols" hidden="1">#REF!,#REF!</definedName>
    <definedName name="Z_35EB1658_E2C7_11D2_B444_0004AC9D327E_.wvu.PrintArea" hidden="1">#REF!</definedName>
    <definedName name="Z_35EB1658_E2C7_11D2_B444_0004AC9D327E_.wvu.PrintTitles" hidden="1">#REF!</definedName>
    <definedName name="Z_35EB165A_E2C7_11D2_B444_0004AC9D327E_.wvu.PrintArea" hidden="1">#REF!</definedName>
    <definedName name="Z_35EB165B_E2C7_11D2_B444_0004AC9D327E_.wvu.PrintArea" hidden="1">#REF!</definedName>
    <definedName name="Z_35EB165E_E2C7_11D2_B444_0004AC9D327E_.wvu.Cols" hidden="1">#REF!,#REF!</definedName>
    <definedName name="Z_35EB1663_E2C7_11D2_B444_0004AC9D327E_.wvu.Cols" hidden="1">#REF!,#REF!</definedName>
    <definedName name="Z_35EB1663_E2C7_11D2_B444_0004AC9D327E_.wvu.PrintArea" hidden="1">#REF!</definedName>
    <definedName name="Z_35EB1663_E2C7_11D2_B444_0004AC9D327E_.wvu.PrintTitles" hidden="1">#REF!</definedName>
    <definedName name="Z_35EB1664_E2C7_11D2_B444_0004AC9D327E_.wvu.Cols" hidden="1">#REF!</definedName>
    <definedName name="Z_35EB1665_E2C7_11D2_B444_0004AC9D327E_.wvu.PrintArea" hidden="1">#REF!</definedName>
    <definedName name="Z_35EB1666_E2C7_11D2_B444_0004AC9D327E_.wvu.Cols" hidden="1">#REF!</definedName>
    <definedName name="Z_35EB1666_E2C7_11D2_B444_0004AC9D327E_.wvu.PrintArea" hidden="1">#REF!</definedName>
    <definedName name="Z_35EB1669_E2C7_11D2_B444_0004AC9D327E_.wvu.Cols" hidden="1">#REF!,#REF!</definedName>
    <definedName name="Z_35EB1670_E2C7_11D2_B444_0004AC9D327E_.wvu.Cols" hidden="1">#REF!</definedName>
    <definedName name="Z_35EB1670_E2C7_11D2_B444_0004AC9D327E_.wvu.PrintTitles" hidden="1">#REF!</definedName>
    <definedName name="Z_35EB1671_E2C7_11D2_B444_0004AC9D327E_.wvu.Cols" hidden="1">#REF!,#REF!</definedName>
    <definedName name="Z_35EB1678_E2C7_11D2_B444_0004AC9D327E_.wvu.Cols" hidden="1">#REF!</definedName>
    <definedName name="Z_35EB1678_E2C7_11D2_B444_0004AC9D327E_.wvu.PrintArea" hidden="1">#REF!</definedName>
    <definedName name="Z_35EB1678_E2C7_11D2_B444_0004AC9D327E_.wvu.PrintTitles" hidden="1">#REF!</definedName>
    <definedName name="Z_35EB1679_E2C7_11D2_B444_0004AC9D327E_.wvu.Cols" hidden="1">#REF!</definedName>
    <definedName name="Z_35EB1679_E2C7_11D2_B444_0004AC9D327E_.wvu.PrintArea" hidden="1">#REF!</definedName>
    <definedName name="Z_35EB1679_E2C7_11D2_B444_0004AC9D327E_.wvu.PrintTitles" hidden="1">#REF!</definedName>
    <definedName name="Z_35EB167B_E2C7_11D2_B444_0004AC9D327E_.wvu.Cols" hidden="1">#REF!,#REF!</definedName>
    <definedName name="Z_35EB1682_E2C7_11D2_B444_0004AC9D327E_.wvu.Cols" hidden="1">#REF!</definedName>
    <definedName name="Z_35EB1683_E2C7_11D2_B444_0004AC9D327E_.wvu.Cols" hidden="1">#REF!</definedName>
    <definedName name="Z_35EB1683_E2C7_11D2_B444_0004AC9D327E_.wvu.PrintTitles" hidden="1">#REF!</definedName>
    <definedName name="Z_35EB1684_E2C7_11D2_B444_0004AC9D327E_.wvu.Cols" hidden="1">#REF!,#REF!</definedName>
    <definedName name="Z_35EB1686_E2C7_11D2_B444_0004AC9D327E_.wvu.Cols" hidden="1">#REF!</definedName>
    <definedName name="Z_35EB168B_E2C7_11D2_B444_0004AC9D327E_.wvu.Cols" hidden="1">#REF!</definedName>
    <definedName name="Z_35EB168B_E2C7_11D2_B444_0004AC9D327E_.wvu.PrintArea" hidden="1">#REF!</definedName>
    <definedName name="Z_35EB168B_E2C7_11D2_B444_0004AC9D327E_.wvu.PrintTitles" hidden="1">#REF!</definedName>
    <definedName name="Z_35EB168C_E2C7_11D2_B444_0004AC9D327E_.wvu.Cols" hidden="1">#REF!</definedName>
    <definedName name="Z_35EB168C_E2C7_11D2_B444_0004AC9D327E_.wvu.PrintArea" hidden="1">#REF!</definedName>
    <definedName name="Z_35EB168C_E2C7_11D2_B444_0004AC9D327E_.wvu.PrintTitles" hidden="1">#REF!</definedName>
    <definedName name="Z_35EB168E_E2C7_11D2_B444_0004AC9D327E_.wvu.Cols" hidden="1">#REF!,#REF!</definedName>
    <definedName name="Z_35EB16AC_E2C7_11D2_B444_0004AC9D327E_.wvu.Cols" hidden="1">#REF!</definedName>
    <definedName name="Z_35EB16AC_E2C7_11D2_B444_0004AC9D327E_.wvu.PrintTitles" hidden="1">#REF!</definedName>
    <definedName name="Z_35EB16AD_E2C7_11D2_B444_0004AC9D327E_.wvu.Cols" hidden="1">#REF!,#REF!</definedName>
    <definedName name="Z_35EB16B4_E2C7_11D2_B444_0004AC9D327E_.wvu.Cols" hidden="1">#REF!</definedName>
    <definedName name="Z_35EB16B4_E2C7_11D2_B444_0004AC9D327E_.wvu.PrintArea" hidden="1">#REF!</definedName>
    <definedName name="Z_35EB16B4_E2C7_11D2_B444_0004AC9D327E_.wvu.PrintTitles" hidden="1">#REF!</definedName>
    <definedName name="Z_35EB16B5_E2C7_11D2_B444_0004AC9D327E_.wvu.Cols" hidden="1">#REF!</definedName>
    <definedName name="Z_35EB16B5_E2C7_11D2_B444_0004AC9D327E_.wvu.PrintArea" hidden="1">#REF!</definedName>
    <definedName name="Z_35EB16B5_E2C7_11D2_B444_0004AC9D327E_.wvu.PrintTitles" hidden="1">#REF!</definedName>
    <definedName name="Z_35EB16B7_E2C7_11D2_B444_0004AC9D327E_.wvu.Cols" hidden="1">#REF!,#REF!</definedName>
    <definedName name="Z_35EB16BE_E2C7_11D2_B444_0004AC9D327E_.wvu.Cols" hidden="1">#REF!</definedName>
    <definedName name="Z_35EB16BF_E2C7_11D2_B444_0004AC9D327E_.wvu.Cols" hidden="1">#REF!</definedName>
    <definedName name="Z_35EB16BF_E2C7_11D2_B444_0004AC9D327E_.wvu.PrintTitles" hidden="1">#REF!</definedName>
    <definedName name="Z_35EB16C0_E2C7_11D2_B444_0004AC9D327E_.wvu.Cols" hidden="1">#REF!,#REF!</definedName>
    <definedName name="Z_35EB16C2_E2C7_11D2_B444_0004AC9D327E_.wvu.Cols" hidden="1">#REF!</definedName>
    <definedName name="Z_35EB16C7_E2C7_11D2_B444_0004AC9D327E_.wvu.Cols" hidden="1">#REF!</definedName>
    <definedName name="Z_35EB16C7_E2C7_11D2_B444_0004AC9D327E_.wvu.PrintArea" hidden="1">#REF!</definedName>
    <definedName name="Z_35EB16C7_E2C7_11D2_B444_0004AC9D327E_.wvu.PrintTitles" hidden="1">#REF!</definedName>
    <definedName name="Z_35EB16C8_E2C7_11D2_B444_0004AC9D327E_.wvu.Cols" hidden="1">#REF!</definedName>
    <definedName name="Z_35EB16C8_E2C7_11D2_B444_0004AC9D327E_.wvu.PrintArea" hidden="1">#REF!</definedName>
    <definedName name="Z_35EB16C8_E2C7_11D2_B444_0004AC9D327E_.wvu.PrintTitles" hidden="1">#REF!</definedName>
    <definedName name="Z_35EB16CA_E2C7_11D2_B444_0004AC9D327E_.wvu.Cols" hidden="1">#REF!,#REF!</definedName>
    <definedName name="Z_35EB16D4_E2C7_11D2_B444_0004AC9D327E_.wvu.Cols" hidden="1">#REF!,#REF!</definedName>
    <definedName name="Z_35EB16D4_E2C7_11D2_B444_0004AC9D327E_.wvu.PrintArea" hidden="1">#REF!</definedName>
    <definedName name="Z_35EB16D4_E2C7_11D2_B444_0004AC9D327E_.wvu.PrintTitles" hidden="1">#REF!</definedName>
    <definedName name="Z_35EB16D6_E2C7_11D2_B444_0004AC9D327E_.wvu.PrintArea" hidden="1">#REF!</definedName>
    <definedName name="Z_35EB16D7_E2C7_11D2_B444_0004AC9D327E_.wvu.PrintArea" hidden="1">#REF!</definedName>
    <definedName name="Z_35EB16DF_E2C7_11D2_B444_0004AC9D327E_.wvu.PrintArea" hidden="1">#REF!</definedName>
    <definedName name="Z_35EB16DF_E2C7_11D2_B444_0004AC9D327E_.wvu.PrintTitles" hidden="1">#REF!</definedName>
    <definedName name="Z_35EB16E0_E2C7_11D2_B444_0004AC9D327E_.wvu.Cols" hidden="1">#REF!</definedName>
    <definedName name="Z_35EB16E1_E2C7_11D2_B444_0004AC9D327E_.wvu.PrintArea" hidden="1">#REF!</definedName>
    <definedName name="Z_35EB16E2_E2C7_11D2_B444_0004AC9D327E_.wvu.Cols" hidden="1">#REF!</definedName>
    <definedName name="Z_35EB16E2_E2C7_11D2_B444_0004AC9D327E_.wvu.PrintArea" hidden="1">#REF!</definedName>
    <definedName name="Z_35EB16FE_E2C7_11D2_B444_0004AC9D327E_.wvu.PrintArea" hidden="1">#REF!</definedName>
    <definedName name="Z_35EB16FE_E2C7_11D2_B444_0004AC9D327E_.wvu.PrintTitles" hidden="1">#REF!</definedName>
    <definedName name="Z_35EB1700_E2C7_11D2_B444_0004AC9D327E_.wvu.PrintArea" hidden="1">#REF!</definedName>
    <definedName name="Z_35EB1701_E2C7_11D2_B444_0004AC9D327E_.wvu.PrintArea" hidden="1">#REF!</definedName>
    <definedName name="Z_35EB1709_E2C7_11D2_B444_0004AC9D327E_.wvu.PrintArea" hidden="1">#REF!</definedName>
    <definedName name="Z_35EB1709_E2C7_11D2_B444_0004AC9D327E_.wvu.PrintTitles" hidden="1">#REF!</definedName>
    <definedName name="Z_35EB170A_E2C7_11D2_B444_0004AC9D327E_.wvu.Cols" hidden="1">#REF!</definedName>
    <definedName name="Z_35EB170B_E2C7_11D2_B444_0004AC9D327E_.wvu.PrintArea" hidden="1">#REF!</definedName>
    <definedName name="Z_35EB170C_E2C7_11D2_B444_0004AC9D327E_.wvu.Cols" hidden="1">#REF!</definedName>
    <definedName name="Z_35EB170C_E2C7_11D2_B444_0004AC9D327E_.wvu.PrintArea" hidden="1">#REF!</definedName>
    <definedName name="Z_3A5BE8EA_0799_11D3_B448_0004AC9D327E_.wvu.PrintArea" hidden="1">#REF!</definedName>
    <definedName name="Z_3A5BE8F7_0799_11D3_B448_0004AC9D327E_.wvu.PrintArea" hidden="1">#REF!</definedName>
    <definedName name="Z_3A5BE8F8_0799_11D3_B448_0004AC9D327E_.wvu.Cols" hidden="1">#REF!</definedName>
    <definedName name="Z_3A5BE8F8_0799_11D3_B448_0004AC9D327E_.wvu.PrintArea" hidden="1">#REF!</definedName>
    <definedName name="Z_3A5BE8F8_0799_11D3_B448_0004AC9D327E_.wvu.PrintTitles" hidden="1">#REF!</definedName>
    <definedName name="Z_3A5BE90D_0799_11D3_B448_0004AC9D327E_.wvu.PrintArea" hidden="1">#REF!</definedName>
    <definedName name="Z_3A5BE91A_0799_11D3_B448_0004AC9D327E_.wvu.PrintArea" hidden="1">#REF!</definedName>
    <definedName name="Z_3A5BE91B_0799_11D3_B448_0004AC9D327E_.wvu.Cols" hidden="1">#REF!</definedName>
    <definedName name="Z_3A5BE91B_0799_11D3_B448_0004AC9D327E_.wvu.PrintArea" hidden="1">#REF!</definedName>
    <definedName name="Z_3A5BE91B_0799_11D3_B448_0004AC9D327E_.wvu.PrintTitles" hidden="1">#REF!</definedName>
    <definedName name="Z_43B342C4_0978_11D3_B448_0004AC9D327E_.wvu.Cols" hidden="1">#REF!,#REF!</definedName>
    <definedName name="Z_43B342C4_0978_11D3_B448_0004AC9D327E_.wvu.PrintArea" hidden="1">#REF!</definedName>
    <definedName name="Z_43B342C4_0978_11D3_B448_0004AC9D327E_.wvu.PrintTitles" hidden="1">#REF!</definedName>
    <definedName name="Z_43B342C5_0978_11D3_B448_0004AC9D327E_.wvu.Cols" hidden="1">#REF!,#REF!</definedName>
    <definedName name="Z_43B342C5_0978_11D3_B448_0004AC9D327E_.wvu.PrintArea" hidden="1">#REF!</definedName>
    <definedName name="Z_43B342C5_0978_11D3_B448_0004AC9D327E_.wvu.PrintTitles" hidden="1">#REF!</definedName>
    <definedName name="Z_43B342C9_0978_11D3_B448_0004AC9D327E_.wvu.Cols" hidden="1">#REF!,#REF!</definedName>
    <definedName name="Z_43B342C9_0978_11D3_B448_0004AC9D327E_.wvu.PrintArea" hidden="1">#REF!</definedName>
    <definedName name="Z_43B342C9_0978_11D3_B448_0004AC9D327E_.wvu.PrintTitles" hidden="1">#REF!</definedName>
    <definedName name="Z_43B342CD_0978_11D3_B448_0004AC9D327E_.wvu.PrintArea" hidden="1">#REF!</definedName>
    <definedName name="Z_43B342DA_0978_11D3_B448_0004AC9D327E_.wvu.PrintArea" hidden="1">#REF!</definedName>
    <definedName name="Z_43B342DB_0978_11D3_B448_0004AC9D327E_.wvu.Cols" hidden="1">#REF!</definedName>
    <definedName name="Z_43B342DB_0978_11D3_B448_0004AC9D327E_.wvu.PrintArea" hidden="1">#REF!</definedName>
    <definedName name="Z_43B342DB_0978_11D3_B448_0004AC9D327E_.wvu.PrintTitles" hidden="1">#REF!</definedName>
    <definedName name="Z_43B342E7_0978_11D3_B448_0004AC9D327E_.wvu.Cols" hidden="1">#REF!,#REF!</definedName>
    <definedName name="Z_43B342E7_0978_11D3_B448_0004AC9D327E_.wvu.PrintArea" hidden="1">#REF!</definedName>
    <definedName name="Z_43B342E7_0978_11D3_B448_0004AC9D327E_.wvu.PrintTitles" hidden="1">#REF!</definedName>
    <definedName name="Z_43B342E8_0978_11D3_B448_0004AC9D327E_.wvu.Cols" hidden="1">#REF!,#REF!</definedName>
    <definedName name="Z_43B342E8_0978_11D3_B448_0004AC9D327E_.wvu.PrintArea" hidden="1">#REF!</definedName>
    <definedName name="Z_43B342E8_0978_11D3_B448_0004AC9D327E_.wvu.PrintTitles" hidden="1">#REF!</definedName>
    <definedName name="Z_43B342EC_0978_11D3_B448_0004AC9D327E_.wvu.Cols" hidden="1">#REF!,#REF!</definedName>
    <definedName name="Z_43B342EC_0978_11D3_B448_0004AC9D327E_.wvu.PrintArea" hidden="1">#REF!</definedName>
    <definedName name="Z_43B342EC_0978_11D3_B448_0004AC9D327E_.wvu.PrintTitles" hidden="1">#REF!</definedName>
    <definedName name="Z_43B342F0_0978_11D3_B448_0004AC9D327E_.wvu.PrintArea" hidden="1">#REF!</definedName>
    <definedName name="Z_43B342FD_0978_11D3_B448_0004AC9D327E_.wvu.PrintArea" hidden="1">#REF!</definedName>
    <definedName name="Z_43B342FE_0978_11D3_B448_0004AC9D327E_.wvu.Cols" hidden="1">#REF!</definedName>
    <definedName name="Z_43B342FE_0978_11D3_B448_0004AC9D327E_.wvu.PrintArea" hidden="1">#REF!</definedName>
    <definedName name="Z_43B342FE_0978_11D3_B448_0004AC9D327E_.wvu.PrintTitles" hidden="1">#REF!</definedName>
    <definedName name="Z_4D12E77B_1512_11D3_B448_0004AC9D327E_.wvu.Cols" hidden="1">#REF!,#REF!</definedName>
    <definedName name="Z_4D12E785_1512_11D3_B448_0004AC9D327E_.wvu.Cols" hidden="1">#REF!,#REF!</definedName>
    <definedName name="Z_4D12E786_1512_11D3_B448_0004AC9D327E_.wvu.Cols" hidden="1">#REF!</definedName>
    <definedName name="Z_4D12E791_1512_11D3_B448_0004AC9D327E_.wvu.Cols" hidden="1">#REF!,#REF!</definedName>
    <definedName name="Z_4D12E791_1512_11D3_B448_0004AC9D327E_.wvu.PrintArea" hidden="1">#REF!</definedName>
    <definedName name="Z_4D12E791_1512_11D3_B448_0004AC9D327E_.wvu.PrintTitles" hidden="1">#REF!</definedName>
    <definedName name="Z_4D12E794_1512_11D3_B448_0004AC9D327E_.wvu.PrintArea" hidden="1">#REF!</definedName>
    <definedName name="Z_4D12E797_1512_11D3_B448_0004AC9D327E_.wvu.Cols" hidden="1">#REF!,#REF!</definedName>
    <definedName name="Z_4D12E79C_1512_11D3_B448_0004AC9D327E_.wvu.Cols" hidden="1">#REF!,#REF!</definedName>
    <definedName name="Z_4D12E79C_1512_11D3_B448_0004AC9D327E_.wvu.PrintArea" hidden="1">#REF!</definedName>
    <definedName name="Z_4D12E79C_1512_11D3_B448_0004AC9D327E_.wvu.PrintTitles" hidden="1">#REF!</definedName>
    <definedName name="Z_4D12E79D_1512_11D3_B448_0004AC9D327E_.wvu.Cols" hidden="1">#REF!</definedName>
    <definedName name="Z_4D12E79F_1512_11D3_B448_0004AC9D327E_.wvu.Cols" hidden="1">#REF!</definedName>
    <definedName name="Z_4D12E79F_1512_11D3_B448_0004AC9D327E_.wvu.PrintArea" hidden="1">#REF!</definedName>
    <definedName name="Z_4D12E7A2_1512_11D3_B448_0004AC9D327E_.wvu.Cols" hidden="1">#REF!,#REF!</definedName>
    <definedName name="Z_4D12E7C1_1512_11D3_B448_0004AC9D327E_.wvu.Cols" hidden="1">#REF!,#REF!</definedName>
    <definedName name="Z_4D12E7C1_1512_11D3_B448_0004AC9D327E_.wvu.PrintArea" hidden="1">#REF!</definedName>
    <definedName name="Z_4D12E7C1_1512_11D3_B448_0004AC9D327E_.wvu.PrintTitles" hidden="1">#REF!</definedName>
    <definedName name="Z_4D12E7C4_1512_11D3_B448_0004AC9D327E_.wvu.PrintArea" hidden="1">#REF!</definedName>
    <definedName name="Z_4D12E7C7_1512_11D3_B448_0004AC9D327E_.wvu.Cols" hidden="1">#REF!,#REF!</definedName>
    <definedName name="Z_4D12E7CC_1512_11D3_B448_0004AC9D327E_.wvu.Cols" hidden="1">#REF!,#REF!</definedName>
    <definedName name="Z_4D12E7CC_1512_11D3_B448_0004AC9D327E_.wvu.PrintArea" hidden="1">#REF!</definedName>
    <definedName name="Z_4D12E7CC_1512_11D3_B448_0004AC9D327E_.wvu.PrintTitles" hidden="1">#REF!</definedName>
    <definedName name="Z_4D12E7CD_1512_11D3_B448_0004AC9D327E_.wvu.Cols" hidden="1">#REF!</definedName>
    <definedName name="Z_4D12E7CF_1512_11D3_B448_0004AC9D327E_.wvu.Cols" hidden="1">#REF!</definedName>
    <definedName name="Z_4D12E7CF_1512_11D3_B448_0004AC9D327E_.wvu.PrintArea" hidden="1">#REF!</definedName>
    <definedName name="Z_4D12E7D2_1512_11D3_B448_0004AC9D327E_.wvu.Cols" hidden="1">#REF!,#REF!</definedName>
    <definedName name="Z_59AA63B8_F64E_11D2_B446_0004AC9D327E_.wvu.Cols" hidden="1">#REF!</definedName>
    <definedName name="Z_59AA63B8_F64E_11D2_B446_0004AC9D327E_.wvu.PrintTitles" hidden="1">#REF!</definedName>
    <definedName name="Z_59AA63B9_F64E_11D2_B446_0004AC9D327E_.wvu.Cols" hidden="1">#REF!,#REF!</definedName>
    <definedName name="Z_59AA63C0_F64E_11D2_B446_0004AC9D327E_.wvu.Cols" hidden="1">#REF!</definedName>
    <definedName name="Z_59AA63C0_F64E_11D2_B446_0004AC9D327E_.wvu.PrintArea" hidden="1">#REF!</definedName>
    <definedName name="Z_59AA63C0_F64E_11D2_B446_0004AC9D327E_.wvu.PrintTitles" hidden="1">#REF!</definedName>
    <definedName name="Z_59AA63C1_F64E_11D2_B446_0004AC9D327E_.wvu.Cols" hidden="1">#REF!</definedName>
    <definedName name="Z_59AA63C1_F64E_11D2_B446_0004AC9D327E_.wvu.PrintArea" hidden="1">#REF!</definedName>
    <definedName name="Z_59AA63C1_F64E_11D2_B446_0004AC9D327E_.wvu.PrintTitles" hidden="1">#REF!</definedName>
    <definedName name="Z_59AA63CA_F64E_11D2_B446_0004AC9D327E_.wvu.Cols" hidden="1">#REF!</definedName>
    <definedName name="Z_59AA63CB_F64E_11D2_B446_0004AC9D327E_.wvu.Cols" hidden="1">#REF!</definedName>
    <definedName name="Z_59AA63CB_F64E_11D2_B446_0004AC9D327E_.wvu.PrintTitles" hidden="1">#REF!</definedName>
    <definedName name="Z_59AA63CC_F64E_11D2_B446_0004AC9D327E_.wvu.Cols" hidden="1">#REF!,#REF!</definedName>
    <definedName name="Z_59AA63CE_F64E_11D2_B446_0004AC9D327E_.wvu.Cols" hidden="1">#REF!</definedName>
    <definedName name="Z_59AA63D3_F64E_11D2_B446_0004AC9D327E_.wvu.Cols" hidden="1">#REF!</definedName>
    <definedName name="Z_59AA63D3_F64E_11D2_B446_0004AC9D327E_.wvu.PrintArea" hidden="1">#REF!</definedName>
    <definedName name="Z_59AA63D3_F64E_11D2_B446_0004AC9D327E_.wvu.PrintTitles" hidden="1">#REF!</definedName>
    <definedName name="Z_59AA63D4_F64E_11D2_B446_0004AC9D327E_.wvu.Cols" hidden="1">#REF!</definedName>
    <definedName name="Z_59AA63D4_F64E_11D2_B446_0004AC9D327E_.wvu.PrintArea" hidden="1">#REF!</definedName>
    <definedName name="Z_59AA63D4_F64E_11D2_B446_0004AC9D327E_.wvu.PrintTitles" hidden="1">#REF!</definedName>
    <definedName name="Z_59AA63DA_F64E_11D2_B446_0004AC9D327E_.wvu.Cols" hidden="1">#REF!,#REF!</definedName>
    <definedName name="Z_59AA63E4_F64E_11D2_B446_0004AC9D327E_.wvu.Cols" hidden="1">#REF!,#REF!</definedName>
    <definedName name="Z_59AA63E5_F64E_11D2_B446_0004AC9D327E_.wvu.Cols" hidden="1">#REF!</definedName>
    <definedName name="Z_59AA63F0_F64E_11D2_B446_0004AC9D327E_.wvu.PrintArea" hidden="1">#REF!</definedName>
    <definedName name="Z_59AA63F0_F64E_11D2_B446_0004AC9D327E_.wvu.PrintTitles" hidden="1">#REF!</definedName>
    <definedName name="Z_59AA63F2_F64E_11D2_B446_0004AC9D327E_.wvu.PrintArea" hidden="1">#REF!</definedName>
    <definedName name="Z_59AA63F3_F64E_11D2_B446_0004AC9D327E_.wvu.PrintArea" hidden="1">#REF!</definedName>
    <definedName name="Z_59AA63FB_F64E_11D2_B446_0004AC9D327E_.wvu.PrintArea" hidden="1">#REF!</definedName>
    <definedName name="Z_59AA63FB_F64E_11D2_B446_0004AC9D327E_.wvu.PrintTitles" hidden="1">#REF!</definedName>
    <definedName name="Z_59AA63FC_F64E_11D2_B446_0004AC9D327E_.wvu.Cols" hidden="1">#REF!</definedName>
    <definedName name="Z_59AA63FD_F64E_11D2_B446_0004AC9D327E_.wvu.PrintArea" hidden="1">#REF!</definedName>
    <definedName name="Z_59AA63FE_F64E_11D2_B446_0004AC9D327E_.wvu.Cols" hidden="1">#REF!</definedName>
    <definedName name="Z_59AA63FE_F64E_11D2_B446_0004AC9D327E_.wvu.PrintArea" hidden="1">#REF!</definedName>
    <definedName name="Z_6293E424_E2C5_11D2_B444_0004AC9D327E_.wvu.PrintArea" hidden="1">#REF!</definedName>
    <definedName name="Z_6293E424_E2C5_11D2_B444_0004AC9D327E_.wvu.PrintTitles" hidden="1">#REF!</definedName>
    <definedName name="Z_6293E426_E2C5_11D2_B444_0004AC9D327E_.wvu.PrintArea" hidden="1">#REF!</definedName>
    <definedName name="Z_6293E427_E2C5_11D2_B444_0004AC9D327E_.wvu.PrintArea" hidden="1">#REF!</definedName>
    <definedName name="Z_6293E42F_E2C5_11D2_B444_0004AC9D327E_.wvu.PrintArea" hidden="1">#REF!</definedName>
    <definedName name="Z_6293E42F_E2C5_11D2_B444_0004AC9D327E_.wvu.PrintTitles" hidden="1">#REF!</definedName>
    <definedName name="Z_6293E430_E2C5_11D2_B444_0004AC9D327E_.wvu.Cols" hidden="1">#REF!</definedName>
    <definedName name="Z_6293E431_E2C5_11D2_B444_0004AC9D327E_.wvu.PrintArea" hidden="1">#REF!</definedName>
    <definedName name="Z_6293E432_E2C5_11D2_B444_0004AC9D327E_.wvu.Cols" hidden="1">#REF!</definedName>
    <definedName name="Z_6293E432_E2C5_11D2_B444_0004AC9D327E_.wvu.PrintArea" hidden="1">#REF!</definedName>
    <definedName name="Z_6293E43E_E2C5_11D2_B444_0004AC9D327E_.wvu.Cols" hidden="1">#REF!</definedName>
    <definedName name="Z_6293E43E_E2C5_11D2_B444_0004AC9D327E_.wvu.PrintTitles" hidden="1">#REF!</definedName>
    <definedName name="Z_6293E43F_E2C5_11D2_B444_0004AC9D327E_.wvu.Cols" hidden="1">#REF!,#REF!</definedName>
    <definedName name="Z_6293E446_E2C5_11D2_B444_0004AC9D327E_.wvu.Cols" hidden="1">#REF!</definedName>
    <definedName name="Z_6293E446_E2C5_11D2_B444_0004AC9D327E_.wvu.PrintArea" hidden="1">#REF!</definedName>
    <definedName name="Z_6293E446_E2C5_11D2_B444_0004AC9D327E_.wvu.PrintTitles" hidden="1">#REF!</definedName>
    <definedName name="Z_6293E447_E2C5_11D2_B444_0004AC9D327E_.wvu.Cols" hidden="1">#REF!</definedName>
    <definedName name="Z_6293E447_E2C5_11D2_B444_0004AC9D327E_.wvu.PrintArea" hidden="1">#REF!</definedName>
    <definedName name="Z_6293E447_E2C5_11D2_B444_0004AC9D327E_.wvu.PrintTitles" hidden="1">#REF!</definedName>
    <definedName name="Z_6293E450_E2C5_11D2_B444_0004AC9D327E_.wvu.Cols" hidden="1">#REF!</definedName>
    <definedName name="Z_6293E451_E2C5_11D2_B444_0004AC9D327E_.wvu.Cols" hidden="1">#REF!</definedName>
    <definedName name="Z_6293E451_E2C5_11D2_B444_0004AC9D327E_.wvu.PrintTitles" hidden="1">#REF!</definedName>
    <definedName name="Z_6293E452_E2C5_11D2_B444_0004AC9D327E_.wvu.Cols" hidden="1">#REF!,#REF!</definedName>
    <definedName name="Z_6293E454_E2C5_11D2_B444_0004AC9D327E_.wvu.Cols" hidden="1">#REF!</definedName>
    <definedName name="Z_6293E459_E2C5_11D2_B444_0004AC9D327E_.wvu.Cols" hidden="1">#REF!</definedName>
    <definedName name="Z_6293E459_E2C5_11D2_B444_0004AC9D327E_.wvu.PrintArea" hidden="1">#REF!</definedName>
    <definedName name="Z_6293E459_E2C5_11D2_B444_0004AC9D327E_.wvu.PrintTitles" hidden="1">#REF!</definedName>
    <definedName name="Z_6293E45A_E2C5_11D2_B444_0004AC9D327E_.wvu.Cols" hidden="1">#REF!</definedName>
    <definedName name="Z_6293E45A_E2C5_11D2_B444_0004AC9D327E_.wvu.PrintArea" hidden="1">#REF!</definedName>
    <definedName name="Z_6293E45A_E2C5_11D2_B444_0004AC9D327E_.wvu.PrintTitles" hidden="1">#REF!</definedName>
    <definedName name="Z_661B9782_10CE_11D6_887C_000021FD623E_.wvu.Cols" hidden="1">#REF!,#REF!</definedName>
    <definedName name="Z_672962C4_E83C_11D2_B445_0004AC9D327E_.wvu.PrintArea" hidden="1">#REF!</definedName>
    <definedName name="Z_672962C4_E83C_11D2_B445_0004AC9D327E_.wvu.PrintTitles" hidden="1">#REF!</definedName>
    <definedName name="Z_672962C6_E83C_11D2_B445_0004AC9D327E_.wvu.PrintArea" hidden="1">#REF!</definedName>
    <definedName name="Z_672962C7_E83C_11D2_B445_0004AC9D327E_.wvu.PrintArea" hidden="1">#REF!</definedName>
    <definedName name="Z_672962CF_E83C_11D2_B445_0004AC9D327E_.wvu.PrintArea" hidden="1">#REF!</definedName>
    <definedName name="Z_672962CF_E83C_11D2_B445_0004AC9D327E_.wvu.PrintTitles" hidden="1">#REF!</definedName>
    <definedName name="Z_672962D0_E83C_11D2_B445_0004AC9D327E_.wvu.Cols" hidden="1">#REF!</definedName>
    <definedName name="Z_672962D1_E83C_11D2_B445_0004AC9D327E_.wvu.PrintArea" hidden="1">#REF!</definedName>
    <definedName name="Z_672962D2_E83C_11D2_B445_0004AC9D327E_.wvu.Cols" hidden="1">#REF!</definedName>
    <definedName name="Z_672962D2_E83C_11D2_B445_0004AC9D327E_.wvu.PrintArea" hidden="1">#REF!</definedName>
    <definedName name="Z_672962D8_E83C_11D2_B445_0004AC9D327E_.wvu.Cols" hidden="1">#REF!,#REF!</definedName>
    <definedName name="Z_672962E2_E83C_11D2_B445_0004AC9D327E_.wvu.Cols" hidden="1">#REF!,#REF!</definedName>
    <definedName name="Z_672962E3_E83C_11D2_B445_0004AC9D327E_.wvu.Cols" hidden="1">#REF!</definedName>
    <definedName name="Z_672962F0_E83C_11D2_B445_0004AC9D327E_.wvu.Cols" hidden="1">#REF!</definedName>
    <definedName name="Z_672962F0_E83C_11D2_B445_0004AC9D327E_.wvu.PrintTitles" hidden="1">#REF!</definedName>
    <definedName name="Z_672962F1_E83C_11D2_B445_0004AC9D327E_.wvu.Cols" hidden="1">#REF!,#REF!</definedName>
    <definedName name="Z_672962F8_E83C_11D2_B445_0004AC9D327E_.wvu.Cols" hidden="1">#REF!</definedName>
    <definedName name="Z_672962F8_E83C_11D2_B445_0004AC9D327E_.wvu.PrintArea" hidden="1">#REF!</definedName>
    <definedName name="Z_672962F8_E83C_11D2_B445_0004AC9D327E_.wvu.PrintTitles" hidden="1">#REF!</definedName>
    <definedName name="Z_672962F9_E83C_11D2_B445_0004AC9D327E_.wvu.Cols" hidden="1">#REF!</definedName>
    <definedName name="Z_672962F9_E83C_11D2_B445_0004AC9D327E_.wvu.PrintArea" hidden="1">#REF!</definedName>
    <definedName name="Z_672962F9_E83C_11D2_B445_0004AC9D327E_.wvu.PrintTitles" hidden="1">#REF!</definedName>
    <definedName name="Z_67296302_E83C_11D2_B445_0004AC9D327E_.wvu.Cols" hidden="1">#REF!</definedName>
    <definedName name="Z_67296303_E83C_11D2_B445_0004AC9D327E_.wvu.Cols" hidden="1">#REF!</definedName>
    <definedName name="Z_67296303_E83C_11D2_B445_0004AC9D327E_.wvu.PrintTitles" hidden="1">#REF!</definedName>
    <definedName name="Z_67296304_E83C_11D2_B445_0004AC9D327E_.wvu.Cols" hidden="1">#REF!,#REF!</definedName>
    <definedName name="Z_67296306_E83C_11D2_B445_0004AC9D327E_.wvu.Cols" hidden="1">#REF!</definedName>
    <definedName name="Z_6729630B_E83C_11D2_B445_0004AC9D327E_.wvu.Cols" hidden="1">#REF!</definedName>
    <definedName name="Z_6729630B_E83C_11D2_B445_0004AC9D327E_.wvu.PrintArea" hidden="1">#REF!</definedName>
    <definedName name="Z_6729630B_E83C_11D2_B445_0004AC9D327E_.wvu.PrintTitles" hidden="1">#REF!</definedName>
    <definedName name="Z_6729630C_E83C_11D2_B445_0004AC9D327E_.wvu.Cols" hidden="1">#REF!</definedName>
    <definedName name="Z_6729630C_E83C_11D2_B445_0004AC9D327E_.wvu.PrintArea" hidden="1">#REF!</definedName>
    <definedName name="Z_6729630C_E83C_11D2_B445_0004AC9D327E_.wvu.PrintTitles" hidden="1">#REF!</definedName>
    <definedName name="Z_6C454E4A_F6C1_11D5_9E17_000021E9D45F_.wvu.Cols" hidden="1">#REF!,#REF!</definedName>
    <definedName name="Z_77B7B544_E3B3_11D2_B445_0004AC9D327E_.wvu.PrintArea" hidden="1">#REF!</definedName>
    <definedName name="Z_77B7B544_E3B3_11D2_B445_0004AC9D327E_.wvu.PrintTitles" hidden="1">#REF!</definedName>
    <definedName name="Z_77B7B546_E3B3_11D2_B445_0004AC9D327E_.wvu.PrintArea" hidden="1">#REF!</definedName>
    <definedName name="Z_77B7B547_E3B3_11D2_B445_0004AC9D327E_.wvu.PrintArea" hidden="1">#REF!</definedName>
    <definedName name="Z_77B7B54F_E3B3_11D2_B445_0004AC9D327E_.wvu.PrintArea" hidden="1">#REF!</definedName>
    <definedName name="Z_77B7B54F_E3B3_11D2_B445_0004AC9D327E_.wvu.PrintTitles" hidden="1">#REF!</definedName>
    <definedName name="Z_77B7B550_E3B3_11D2_B445_0004AC9D327E_.wvu.Cols" hidden="1">#REF!</definedName>
    <definedName name="Z_77B7B551_E3B3_11D2_B445_0004AC9D327E_.wvu.PrintArea" hidden="1">#REF!</definedName>
    <definedName name="Z_77B7B552_E3B3_11D2_B445_0004AC9D327E_.wvu.Cols" hidden="1">#REF!</definedName>
    <definedName name="Z_77B7B552_E3B3_11D2_B445_0004AC9D327E_.wvu.PrintArea" hidden="1">#REF!</definedName>
    <definedName name="Z_77B7B5D4_E3B3_11D2_B445_0004AC9D327E_.wvu.PrintArea" hidden="1">#REF!</definedName>
    <definedName name="Z_77B7B5D4_E3B3_11D2_B445_0004AC9D327E_.wvu.PrintTitles" hidden="1">#REF!</definedName>
    <definedName name="Z_77B7B5D6_E3B3_11D2_B445_0004AC9D327E_.wvu.PrintArea" hidden="1">#REF!</definedName>
    <definedName name="Z_77B7B5D7_E3B3_11D2_B445_0004AC9D327E_.wvu.PrintArea" hidden="1">#REF!</definedName>
    <definedName name="Z_77B7B5DF_E3B3_11D2_B445_0004AC9D327E_.wvu.PrintArea" hidden="1">#REF!</definedName>
    <definedName name="Z_77B7B5DF_E3B3_11D2_B445_0004AC9D327E_.wvu.PrintTitles" hidden="1">#REF!</definedName>
    <definedName name="Z_77B7B5E0_E3B3_11D2_B445_0004AC9D327E_.wvu.Cols" hidden="1">#REF!</definedName>
    <definedName name="Z_77B7B5E1_E3B3_11D2_B445_0004AC9D327E_.wvu.PrintArea" hidden="1">#REF!</definedName>
    <definedName name="Z_77B7B5E2_E3B3_11D2_B445_0004AC9D327E_.wvu.Cols" hidden="1">#REF!</definedName>
    <definedName name="Z_77B7B5E2_E3B3_11D2_B445_0004AC9D327E_.wvu.PrintArea" hidden="1">#REF!</definedName>
    <definedName name="Z_77B7B5E8_E3B3_11D2_B445_0004AC9D327E_.wvu.Cols" hidden="1">#REF!,#REF!</definedName>
    <definedName name="Z_77B7B5F2_E3B3_11D2_B445_0004AC9D327E_.wvu.Cols" hidden="1">#REF!,#REF!</definedName>
    <definedName name="Z_77B7B5F3_E3B3_11D2_B445_0004AC9D327E_.wvu.Cols" hidden="1">#REF!</definedName>
    <definedName name="Z_77B7B600_E3B3_11D2_B445_0004AC9D327E_.wvu.Cols" hidden="1">#REF!</definedName>
    <definedName name="Z_77B7B600_E3B3_11D2_B445_0004AC9D327E_.wvu.PrintTitles" hidden="1">#REF!</definedName>
    <definedName name="Z_77B7B601_E3B3_11D2_B445_0004AC9D327E_.wvu.Cols" hidden="1">#REF!,#REF!</definedName>
    <definedName name="Z_77B7B608_E3B3_11D2_B445_0004AC9D327E_.wvu.Cols" hidden="1">#REF!</definedName>
    <definedName name="Z_77B7B608_E3B3_11D2_B445_0004AC9D327E_.wvu.PrintArea" hidden="1">#REF!</definedName>
    <definedName name="Z_77B7B608_E3B3_11D2_B445_0004AC9D327E_.wvu.PrintTitles" hidden="1">#REF!</definedName>
    <definedName name="Z_77B7B609_E3B3_11D2_B445_0004AC9D327E_.wvu.Cols" hidden="1">#REF!</definedName>
    <definedName name="Z_77B7B609_E3B3_11D2_B445_0004AC9D327E_.wvu.PrintArea" hidden="1">#REF!</definedName>
    <definedName name="Z_77B7B609_E3B3_11D2_B445_0004AC9D327E_.wvu.PrintTitles" hidden="1">#REF!</definedName>
    <definedName name="Z_77B7B612_E3B3_11D2_B445_0004AC9D327E_.wvu.Cols" hidden="1">#REF!</definedName>
    <definedName name="Z_77B7B613_E3B3_11D2_B445_0004AC9D327E_.wvu.Cols" hidden="1">#REF!</definedName>
    <definedName name="Z_77B7B613_E3B3_11D2_B445_0004AC9D327E_.wvu.PrintTitles" hidden="1">#REF!</definedName>
    <definedName name="Z_77B7B614_E3B3_11D2_B445_0004AC9D327E_.wvu.Cols" hidden="1">#REF!,#REF!</definedName>
    <definedName name="Z_77B7B616_E3B3_11D2_B445_0004AC9D327E_.wvu.Cols" hidden="1">#REF!</definedName>
    <definedName name="Z_77B7B61B_E3B3_11D2_B445_0004AC9D327E_.wvu.Cols" hidden="1">#REF!</definedName>
    <definedName name="Z_77B7B61B_E3B3_11D2_B445_0004AC9D327E_.wvu.PrintArea" hidden="1">#REF!</definedName>
    <definedName name="Z_77B7B61B_E3B3_11D2_B445_0004AC9D327E_.wvu.PrintTitles" hidden="1">#REF!</definedName>
    <definedName name="Z_77B7B61C_E3B3_11D2_B445_0004AC9D327E_.wvu.Cols" hidden="1">#REF!</definedName>
    <definedName name="Z_77B7B61C_E3B3_11D2_B445_0004AC9D327E_.wvu.PrintArea" hidden="1">#REF!</definedName>
    <definedName name="Z_77B7B61C_E3B3_11D2_B445_0004AC9D327E_.wvu.PrintTitles" hidden="1">#REF!</definedName>
    <definedName name="Z_88A1FE41_476F_11D9_ABF3_00104B638C23_.wvu.PrintArea" hidden="1">#REF!</definedName>
    <definedName name="Z_8A554E86_0218_11D3_B447_0004AC9D327E_.wvu.Cols" hidden="1">#REF!</definedName>
    <definedName name="Z_8A554E86_0218_11D3_B447_0004AC9D327E_.wvu.PrintTitles" hidden="1">#REF!</definedName>
    <definedName name="Z_8A554E87_0218_11D3_B447_0004AC9D327E_.wvu.Cols" hidden="1">#REF!,#REF!</definedName>
    <definedName name="Z_8A554E8E_0218_11D3_B447_0004AC9D327E_.wvu.Cols" hidden="1">#REF!</definedName>
    <definedName name="Z_8A554E8E_0218_11D3_B447_0004AC9D327E_.wvu.PrintArea" hidden="1">#REF!</definedName>
    <definedName name="Z_8A554E8E_0218_11D3_B447_0004AC9D327E_.wvu.PrintTitles" hidden="1">#REF!</definedName>
    <definedName name="Z_8A554E8F_0218_11D3_B447_0004AC9D327E_.wvu.Cols" hidden="1">#REF!</definedName>
    <definedName name="Z_8A554E8F_0218_11D3_B447_0004AC9D327E_.wvu.PrintArea" hidden="1">#REF!</definedName>
    <definedName name="Z_8A554E8F_0218_11D3_B447_0004AC9D327E_.wvu.PrintTitles" hidden="1">#REF!</definedName>
    <definedName name="Z_8A554E98_0218_11D3_B447_0004AC9D327E_.wvu.Cols" hidden="1">#REF!</definedName>
    <definedName name="Z_8A554E99_0218_11D3_B447_0004AC9D327E_.wvu.Cols" hidden="1">#REF!</definedName>
    <definedName name="Z_8A554E99_0218_11D3_B447_0004AC9D327E_.wvu.PrintTitles" hidden="1">#REF!</definedName>
    <definedName name="Z_8A554E9A_0218_11D3_B447_0004AC9D327E_.wvu.Cols" hidden="1">#REF!,#REF!</definedName>
    <definedName name="Z_8A554E9C_0218_11D3_B447_0004AC9D327E_.wvu.Cols" hidden="1">#REF!</definedName>
    <definedName name="Z_8A554EA1_0218_11D3_B447_0004AC9D327E_.wvu.Cols" hidden="1">#REF!</definedName>
    <definedName name="Z_8A554EA1_0218_11D3_B447_0004AC9D327E_.wvu.PrintArea" hidden="1">#REF!</definedName>
    <definedName name="Z_8A554EA1_0218_11D3_B447_0004AC9D327E_.wvu.PrintTitles" hidden="1">#REF!</definedName>
    <definedName name="Z_8A554EA2_0218_11D3_B447_0004AC9D327E_.wvu.Cols" hidden="1">#REF!</definedName>
    <definedName name="Z_8A554EA2_0218_11D3_B447_0004AC9D327E_.wvu.PrintArea" hidden="1">#REF!</definedName>
    <definedName name="Z_8A554EA2_0218_11D3_B447_0004AC9D327E_.wvu.PrintTitles" hidden="1">#REF!</definedName>
    <definedName name="Z_8A554EA8_0218_11D3_B447_0004AC9D327E_.wvu.Cols" hidden="1">#REF!,#REF!</definedName>
    <definedName name="Z_8A554EB2_0218_11D3_B447_0004AC9D327E_.wvu.Cols" hidden="1">#REF!,#REF!</definedName>
    <definedName name="Z_8A554EB3_0218_11D3_B447_0004AC9D327E_.wvu.Cols" hidden="1">#REF!</definedName>
    <definedName name="Z_8A554EBE_0218_11D3_B447_0004AC9D327E_.wvu.Cols" hidden="1">#REF!,#REF!</definedName>
    <definedName name="Z_8A554EBE_0218_11D3_B447_0004AC9D327E_.wvu.PrintArea" hidden="1">#REF!</definedName>
    <definedName name="Z_8A554EBE_0218_11D3_B447_0004AC9D327E_.wvu.PrintTitles" hidden="1">#REF!</definedName>
    <definedName name="Z_8A554EC1_0218_11D3_B447_0004AC9D327E_.wvu.PrintArea" hidden="1">#REF!</definedName>
    <definedName name="Z_8A554EC4_0218_11D3_B447_0004AC9D327E_.wvu.Cols" hidden="1">#REF!,#REF!</definedName>
    <definedName name="Z_8A554EC9_0218_11D3_B447_0004AC9D327E_.wvu.Cols" hidden="1">#REF!,#REF!</definedName>
    <definedName name="Z_8A554EC9_0218_11D3_B447_0004AC9D327E_.wvu.PrintArea" hidden="1">#REF!</definedName>
    <definedName name="Z_8A554EC9_0218_11D3_B447_0004AC9D327E_.wvu.PrintTitles" hidden="1">#REF!</definedName>
    <definedName name="Z_8A554ECA_0218_11D3_B447_0004AC9D327E_.wvu.Cols" hidden="1">#REF!</definedName>
    <definedName name="Z_8A554ECC_0218_11D3_B447_0004AC9D327E_.wvu.Cols" hidden="1">#REF!</definedName>
    <definedName name="Z_8A554ECC_0218_11D3_B447_0004AC9D327E_.wvu.PrintArea" hidden="1">#REF!</definedName>
    <definedName name="Z_8A554ECF_0218_11D3_B447_0004AC9D327E_.wvu.Cols" hidden="1">#REF!,#REF!</definedName>
    <definedName name="Z_8C4BDF07_DDFB_11D2_B447_0004AC2EF02B_.wvu.Cols" hidden="1">#REF!</definedName>
    <definedName name="Z_8C4BDF07_DDFB_11D2_B447_0004AC2EF02B_.wvu.PrintTitles" hidden="1">#REF!</definedName>
    <definedName name="Z_8C4BDF08_DDFB_11D2_B447_0004AC2EF02B_.wvu.Cols" hidden="1">#REF!,#REF!</definedName>
    <definedName name="Z_8C4BDF0F_DDFB_11D2_B447_0004AC2EF02B_.wvu.Cols" hidden="1">#REF!</definedName>
    <definedName name="Z_8C4BDF0F_DDFB_11D2_B447_0004AC2EF02B_.wvu.PrintArea" hidden="1">#REF!</definedName>
    <definedName name="Z_8C4BDF0F_DDFB_11D2_B447_0004AC2EF02B_.wvu.PrintTitles" hidden="1">#REF!</definedName>
    <definedName name="Z_8C4BDF10_DDFB_11D2_B447_0004AC2EF02B_.wvu.Cols" hidden="1">#REF!</definedName>
    <definedName name="Z_8C4BDF10_DDFB_11D2_B447_0004AC2EF02B_.wvu.PrintArea" hidden="1">#REF!</definedName>
    <definedName name="Z_8C4BDF10_DDFB_11D2_B447_0004AC2EF02B_.wvu.PrintTitles" hidden="1">#REF!</definedName>
    <definedName name="Z_8C4BDF19_DDFB_11D2_B447_0004AC2EF02B_.wvu.Cols" hidden="1">#REF!</definedName>
    <definedName name="Z_8C4BDF1A_DDFB_11D2_B447_0004AC2EF02B_.wvu.Cols" hidden="1">#REF!</definedName>
    <definedName name="Z_8C4BDF1A_DDFB_11D2_B447_0004AC2EF02B_.wvu.PrintTitles" hidden="1">#REF!</definedName>
    <definedName name="Z_8C4BDF1B_DDFB_11D2_B447_0004AC2EF02B_.wvu.Cols" hidden="1">#REF!,#REF!</definedName>
    <definedName name="Z_8C4BDF1D_DDFB_11D2_B447_0004AC2EF02B_.wvu.Cols" hidden="1">#REF!</definedName>
    <definedName name="Z_8C4BDF22_DDFB_11D2_B447_0004AC2EF02B_.wvu.Cols" hidden="1">#REF!</definedName>
    <definedName name="Z_8C4BDF22_DDFB_11D2_B447_0004AC2EF02B_.wvu.PrintArea" hidden="1">#REF!</definedName>
    <definedName name="Z_8C4BDF22_DDFB_11D2_B447_0004AC2EF02B_.wvu.PrintTitles" hidden="1">#REF!</definedName>
    <definedName name="Z_8C4BDF23_DDFB_11D2_B447_0004AC2EF02B_.wvu.Cols" hidden="1">#REF!</definedName>
    <definedName name="Z_8C4BDF23_DDFB_11D2_B447_0004AC2EF02B_.wvu.PrintArea" hidden="1">#REF!</definedName>
    <definedName name="Z_8C4BDF23_DDFB_11D2_B447_0004AC2EF02B_.wvu.PrintTitles" hidden="1">#REF!</definedName>
    <definedName name="Z_947F83E2_2FC3_11D4_8F9E_00A024037BF9_.wvu.Cols" hidden="1">#REF!,#REF!,#REF!,#REF!,#REF!,#REF!</definedName>
    <definedName name="Z_947F83E2_2FC3_11D4_8F9E_00A024037BF9_.wvu.Rows" hidden="1">#REF!,#REF!</definedName>
    <definedName name="Z_9668DB74_F6B7_11D5_84F8_00C04F163E1C_.wvu.Cols" hidden="1">#REF!,#REF!</definedName>
    <definedName name="Z_9668DB74_F6B7_11D5_84F8_00C04F163E1C_.wvu.PrintArea" hidden="1">#REF!</definedName>
    <definedName name="Z_9668DB74_F6B7_11D5_84F8_00C04F163E1C_.wvu.Rows" hidden="1">#REF!,#REF!,#REF!,#REF!,#REF!,#REF!</definedName>
    <definedName name="Z_9EB9B32C_F595_11D5_887B_0050BA37E09A_.wvu.Cols" hidden="1">#REF!,#REF!</definedName>
    <definedName name="Z_A111C001_7749_11D4_A2E8_0040053A147C_.wvu.FilterData" hidden="1">#REF!</definedName>
    <definedName name="Z_A111C001_7749_11D4_A2E8_0040053A147C_.wvu.PrintArea" hidden="1">#REF!</definedName>
    <definedName name="Z_A111C001_7749_11D4_A2E8_0040053A147C_.wvu.Rows" hidden="1">#REF!</definedName>
    <definedName name="Z_A11F8183_F56B_11D5_8FEB_00C02630D11B_.wvu.Cols" hidden="1">#REF!,#REF!</definedName>
    <definedName name="Z_A8D5561D_E6A5_11D2_B445_0004AC9D327E_.wvu.Cols" hidden="1">#REF!</definedName>
    <definedName name="Z_A8D5561D_E6A5_11D2_B445_0004AC9D327E_.wvu.PrintTitles" hidden="1">#REF!</definedName>
    <definedName name="Z_A8D5561E_E6A5_11D2_B445_0004AC9D327E_.wvu.Cols" hidden="1">#REF!,#REF!</definedName>
    <definedName name="Z_A8D55625_E6A5_11D2_B445_0004AC9D327E_.wvu.Cols" hidden="1">#REF!</definedName>
    <definedName name="Z_A8D55625_E6A5_11D2_B445_0004AC9D327E_.wvu.PrintArea" hidden="1">#REF!</definedName>
    <definedName name="Z_A8D55625_E6A5_11D2_B445_0004AC9D327E_.wvu.PrintTitles" hidden="1">#REF!</definedName>
    <definedName name="Z_A8D55626_E6A5_11D2_B445_0004AC9D327E_.wvu.Cols" hidden="1">#REF!</definedName>
    <definedName name="Z_A8D55626_E6A5_11D2_B445_0004AC9D327E_.wvu.PrintArea" hidden="1">#REF!</definedName>
    <definedName name="Z_A8D55626_E6A5_11D2_B445_0004AC9D327E_.wvu.PrintTitles" hidden="1">#REF!</definedName>
    <definedName name="Z_A8D55628_E6A5_11D2_B445_0004AC9D327E_.wvu.Cols" hidden="1">#REF!,#REF!</definedName>
    <definedName name="Z_A8D5562F_E6A5_11D2_B445_0004AC9D327E_.wvu.Cols" hidden="1">#REF!</definedName>
    <definedName name="Z_A8D55630_E6A5_11D2_B445_0004AC9D327E_.wvu.Cols" hidden="1">#REF!</definedName>
    <definedName name="Z_A8D55630_E6A5_11D2_B445_0004AC9D327E_.wvu.PrintTitles" hidden="1">#REF!</definedName>
    <definedName name="Z_A8D55631_E6A5_11D2_B445_0004AC9D327E_.wvu.Cols" hidden="1">#REF!,#REF!</definedName>
    <definedName name="Z_A8D55633_E6A5_11D2_B445_0004AC9D327E_.wvu.Cols" hidden="1">#REF!</definedName>
    <definedName name="Z_A8D55638_E6A5_11D2_B445_0004AC9D327E_.wvu.Cols" hidden="1">#REF!</definedName>
    <definedName name="Z_A8D55638_E6A5_11D2_B445_0004AC9D327E_.wvu.PrintArea" hidden="1">#REF!</definedName>
    <definedName name="Z_A8D55638_E6A5_11D2_B445_0004AC9D327E_.wvu.PrintTitles" hidden="1">#REF!</definedName>
    <definedName name="Z_A8D55639_E6A5_11D2_B445_0004AC9D327E_.wvu.Cols" hidden="1">#REF!</definedName>
    <definedName name="Z_A8D55639_E6A5_11D2_B445_0004AC9D327E_.wvu.PrintArea" hidden="1">#REF!</definedName>
    <definedName name="Z_A8D55639_E6A5_11D2_B445_0004AC9D327E_.wvu.PrintTitles" hidden="1">#REF!</definedName>
    <definedName name="Z_A8D5563B_E6A5_11D2_B445_0004AC9D327E_.wvu.Cols" hidden="1">#REF!,#REF!</definedName>
    <definedName name="Z_A8D5563F_E6A5_11D2_B445_0004AC9D327E_.wvu.Cols" hidden="1">#REF!,#REF!</definedName>
    <definedName name="Z_A8D55649_E6A5_11D2_B445_0004AC9D327E_.wvu.Cols" hidden="1">#REF!,#REF!</definedName>
    <definedName name="Z_A8D5564A_E6A5_11D2_B445_0004AC9D327E_.wvu.Cols" hidden="1">#REF!</definedName>
    <definedName name="Z_A8D55655_E6A5_11D2_B445_0004AC9D327E_.wvu.Cols" hidden="1">#REF!,#REF!</definedName>
    <definedName name="Z_A8D55655_E6A5_11D2_B445_0004AC9D327E_.wvu.PrintArea" hidden="1">#REF!</definedName>
    <definedName name="Z_A8D55655_E6A5_11D2_B445_0004AC9D327E_.wvu.PrintTitles" hidden="1">#REF!</definedName>
    <definedName name="Z_A8D55657_E6A5_11D2_B445_0004AC9D327E_.wvu.PrintArea" hidden="1">#REF!</definedName>
    <definedName name="Z_A8D55658_E6A5_11D2_B445_0004AC9D327E_.wvu.PrintArea" hidden="1">#REF!</definedName>
    <definedName name="Z_A8D5565B_E6A5_11D2_B445_0004AC9D327E_.wvu.Cols" hidden="1">#REF!,#REF!</definedName>
    <definedName name="Z_A8D55660_E6A5_11D2_B445_0004AC9D327E_.wvu.Cols" hidden="1">#REF!,#REF!</definedName>
    <definedName name="Z_A8D55660_E6A5_11D2_B445_0004AC9D327E_.wvu.PrintArea" hidden="1">#REF!</definedName>
    <definedName name="Z_A8D55660_E6A5_11D2_B445_0004AC9D327E_.wvu.PrintTitles" hidden="1">#REF!</definedName>
    <definedName name="Z_A8D55661_E6A5_11D2_B445_0004AC9D327E_.wvu.Cols" hidden="1">#REF!</definedName>
    <definedName name="Z_A8D55662_E6A5_11D2_B445_0004AC9D327E_.wvu.PrintArea" hidden="1">#REF!</definedName>
    <definedName name="Z_A8D55663_E6A5_11D2_B445_0004AC9D327E_.wvu.Cols" hidden="1">#REF!</definedName>
    <definedName name="Z_A8D55663_E6A5_11D2_B445_0004AC9D327E_.wvu.PrintArea" hidden="1">#REF!</definedName>
    <definedName name="Z_A8D55666_E6A5_11D2_B445_0004AC9D327E_.wvu.Cols" hidden="1">#REF!,#REF!</definedName>
    <definedName name="Z_A9FE4974_DE42_11D2_B447_0004AC2EF02B_.wvu.Cols" hidden="1">#REF!,#REF!</definedName>
    <definedName name="Z_A9FE4974_DE42_11D2_B447_0004AC2EF02B_.wvu.PrintArea" hidden="1">#REF!</definedName>
    <definedName name="Z_A9FE4974_DE42_11D2_B447_0004AC2EF02B_.wvu.PrintTitles" hidden="1">#REF!</definedName>
    <definedName name="Z_A9FE4976_DE42_11D2_B447_0004AC2EF02B_.wvu.PrintArea" hidden="1">#REF!</definedName>
    <definedName name="Z_A9FE4977_DE42_11D2_B447_0004AC2EF02B_.wvu.PrintArea" hidden="1">#REF!</definedName>
    <definedName name="Z_A9FE497A_DE42_11D2_B447_0004AC2EF02B_.wvu.Cols" hidden="1">#REF!,#REF!</definedName>
    <definedName name="Z_A9FE497F_DE42_11D2_B447_0004AC2EF02B_.wvu.Cols" hidden="1">#REF!,#REF!</definedName>
    <definedName name="Z_A9FE497F_DE42_11D2_B447_0004AC2EF02B_.wvu.PrintArea" hidden="1">#REF!</definedName>
    <definedName name="Z_A9FE497F_DE42_11D2_B447_0004AC2EF02B_.wvu.PrintTitles" hidden="1">#REF!</definedName>
    <definedName name="Z_A9FE4980_DE42_11D2_B447_0004AC2EF02B_.wvu.Cols" hidden="1">#REF!</definedName>
    <definedName name="Z_A9FE4981_DE42_11D2_B447_0004AC2EF02B_.wvu.PrintArea" hidden="1">#REF!</definedName>
    <definedName name="Z_A9FE4982_DE42_11D2_B447_0004AC2EF02B_.wvu.Cols" hidden="1">#REF!</definedName>
    <definedName name="Z_A9FE4982_DE42_11D2_B447_0004AC2EF02B_.wvu.PrintArea" hidden="1">#REF!</definedName>
    <definedName name="Z_A9FE4985_DE42_11D2_B447_0004AC2EF02B_.wvu.Cols" hidden="1">#REF!,#REF!</definedName>
    <definedName name="Z_A9FE4988_DE42_11D2_B447_0004AC2EF02B_.wvu.Cols" hidden="1">#REF!,#REF!</definedName>
    <definedName name="Z_A9FE4992_DE42_11D2_B447_0004AC2EF02B_.wvu.Cols" hidden="1">#REF!,#REF!</definedName>
    <definedName name="Z_A9FE4993_DE42_11D2_B447_0004AC2EF02B_.wvu.Cols" hidden="1">#REF!</definedName>
    <definedName name="Z_A9FE49A0_DE42_11D2_B447_0004AC2EF02B_.wvu.Cols" hidden="1">#REF!</definedName>
    <definedName name="Z_A9FE49A0_DE42_11D2_B447_0004AC2EF02B_.wvu.PrintTitles" hidden="1">#REF!</definedName>
    <definedName name="Z_A9FE49A1_DE42_11D2_B447_0004AC2EF02B_.wvu.Cols" hidden="1">#REF!,#REF!</definedName>
    <definedName name="Z_A9FE49A8_DE42_11D2_B447_0004AC2EF02B_.wvu.Cols" hidden="1">#REF!</definedName>
    <definedName name="Z_A9FE49A8_DE42_11D2_B447_0004AC2EF02B_.wvu.PrintArea" hidden="1">#REF!</definedName>
    <definedName name="Z_A9FE49A8_DE42_11D2_B447_0004AC2EF02B_.wvu.PrintTitles" hidden="1">#REF!</definedName>
    <definedName name="Z_A9FE49A9_DE42_11D2_B447_0004AC2EF02B_.wvu.Cols" hidden="1">#REF!</definedName>
    <definedName name="Z_A9FE49A9_DE42_11D2_B447_0004AC2EF02B_.wvu.PrintArea" hidden="1">#REF!</definedName>
    <definedName name="Z_A9FE49A9_DE42_11D2_B447_0004AC2EF02B_.wvu.PrintTitles" hidden="1">#REF!</definedName>
    <definedName name="Z_A9FE49AB_DE42_11D2_B447_0004AC2EF02B_.wvu.Cols" hidden="1">#REF!,#REF!</definedName>
    <definedName name="Z_A9FE49B2_DE42_11D2_B447_0004AC2EF02B_.wvu.Cols" hidden="1">#REF!</definedName>
    <definedName name="Z_A9FE49B3_DE42_11D2_B447_0004AC2EF02B_.wvu.Cols" hidden="1">#REF!</definedName>
    <definedName name="Z_A9FE49B3_DE42_11D2_B447_0004AC2EF02B_.wvu.PrintTitles" hidden="1">#REF!</definedName>
    <definedName name="Z_A9FE49B4_DE42_11D2_B447_0004AC2EF02B_.wvu.Cols" hidden="1">#REF!,#REF!</definedName>
    <definedName name="Z_A9FE49B6_DE42_11D2_B447_0004AC2EF02B_.wvu.Cols" hidden="1">#REF!</definedName>
    <definedName name="Z_A9FE49BB_DE42_11D2_B447_0004AC2EF02B_.wvu.Cols" hidden="1">#REF!</definedName>
    <definedName name="Z_A9FE49BB_DE42_11D2_B447_0004AC2EF02B_.wvu.PrintArea" hidden="1">#REF!</definedName>
    <definedName name="Z_A9FE49BB_DE42_11D2_B447_0004AC2EF02B_.wvu.PrintTitles" hidden="1">#REF!</definedName>
    <definedName name="Z_A9FE49BC_DE42_11D2_B447_0004AC2EF02B_.wvu.Cols" hidden="1">#REF!</definedName>
    <definedName name="Z_A9FE49BC_DE42_11D2_B447_0004AC2EF02B_.wvu.PrintArea" hidden="1">#REF!</definedName>
    <definedName name="Z_A9FE49BC_DE42_11D2_B447_0004AC2EF02B_.wvu.PrintTitles" hidden="1">#REF!</definedName>
    <definedName name="Z_A9FE49BE_DE42_11D2_B447_0004AC2EF02B_.wvu.Cols" hidden="1">#REF!,#REF!</definedName>
    <definedName name="Z_AB23AFB7_E767_11D2_B445_0004AC9D327E_.wvu.Cols" hidden="1">#REF!,#REF!</definedName>
    <definedName name="Z_AB23AFB7_E767_11D2_B445_0004AC9D327E_.wvu.PrintArea" hidden="1">#REF!</definedName>
    <definedName name="Z_AB23AFB7_E767_11D2_B445_0004AC9D327E_.wvu.PrintTitles" hidden="1">#REF!</definedName>
    <definedName name="Z_AB23AFB9_E767_11D2_B445_0004AC9D327E_.wvu.PrintArea" hidden="1">#REF!</definedName>
    <definedName name="Z_AB23AFBA_E767_11D2_B445_0004AC9D327E_.wvu.PrintArea" hidden="1">#REF!</definedName>
    <definedName name="Z_AB23AFBD_E767_11D2_B445_0004AC9D327E_.wvu.Cols" hidden="1">#REF!,#REF!</definedName>
    <definedName name="Z_AB23AFC2_E767_11D2_B445_0004AC9D327E_.wvu.Cols" hidden="1">#REF!,#REF!</definedName>
    <definedName name="Z_AB23AFC2_E767_11D2_B445_0004AC9D327E_.wvu.PrintArea" hidden="1">#REF!</definedName>
    <definedName name="Z_AB23AFC2_E767_11D2_B445_0004AC9D327E_.wvu.PrintTitles" hidden="1">#REF!</definedName>
    <definedName name="Z_AB23AFC3_E767_11D2_B445_0004AC9D327E_.wvu.Cols" hidden="1">#REF!</definedName>
    <definedName name="Z_AB23AFC4_E767_11D2_B445_0004AC9D327E_.wvu.PrintArea" hidden="1">#REF!</definedName>
    <definedName name="Z_AB23AFC5_E767_11D2_B445_0004AC9D327E_.wvu.Cols" hidden="1">#REF!</definedName>
    <definedName name="Z_AB23AFC5_E767_11D2_B445_0004AC9D327E_.wvu.PrintArea" hidden="1">#REF!</definedName>
    <definedName name="Z_AB23AFC8_E767_11D2_B445_0004AC9D327E_.wvu.Cols" hidden="1">#REF!,#REF!</definedName>
    <definedName name="Z_AB23AFCB_E767_11D2_B445_0004AC9D327E_.wvu.Cols" hidden="1">#REF!,#REF!</definedName>
    <definedName name="Z_AB23AFD5_E767_11D2_B445_0004AC9D327E_.wvu.Cols" hidden="1">#REF!,#REF!</definedName>
    <definedName name="Z_AB23AFD6_E767_11D2_B445_0004AC9D327E_.wvu.Cols" hidden="1">#REF!</definedName>
    <definedName name="Z_AB23AFE3_E767_11D2_B445_0004AC9D327E_.wvu.Cols" hidden="1">#REF!</definedName>
    <definedName name="Z_AB23AFE3_E767_11D2_B445_0004AC9D327E_.wvu.PrintTitles" hidden="1">#REF!</definedName>
    <definedName name="Z_AB23AFE4_E767_11D2_B445_0004AC9D327E_.wvu.Cols" hidden="1">#REF!,#REF!</definedName>
    <definedName name="Z_AB23AFEB_E767_11D2_B445_0004AC9D327E_.wvu.Cols" hidden="1">#REF!</definedName>
    <definedName name="Z_AB23AFEB_E767_11D2_B445_0004AC9D327E_.wvu.PrintArea" hidden="1">#REF!</definedName>
    <definedName name="Z_AB23AFEB_E767_11D2_B445_0004AC9D327E_.wvu.PrintTitles" hidden="1">#REF!</definedName>
    <definedName name="Z_AB23AFEC_E767_11D2_B445_0004AC9D327E_.wvu.Cols" hidden="1">#REF!</definedName>
    <definedName name="Z_AB23AFEC_E767_11D2_B445_0004AC9D327E_.wvu.PrintArea" hidden="1">#REF!</definedName>
    <definedName name="Z_AB23AFEC_E767_11D2_B445_0004AC9D327E_.wvu.PrintTitles" hidden="1">#REF!</definedName>
    <definedName name="Z_AB23AFEE_E767_11D2_B445_0004AC9D327E_.wvu.Cols" hidden="1">#REF!,#REF!</definedName>
    <definedName name="Z_AB23AFF5_E767_11D2_B445_0004AC9D327E_.wvu.Cols" hidden="1">#REF!</definedName>
    <definedName name="Z_AB23AFF6_E767_11D2_B445_0004AC9D327E_.wvu.Cols" hidden="1">#REF!</definedName>
    <definedName name="Z_AB23AFF6_E767_11D2_B445_0004AC9D327E_.wvu.PrintTitles" hidden="1">#REF!</definedName>
    <definedName name="Z_AB23AFF7_E767_11D2_B445_0004AC9D327E_.wvu.Cols" hidden="1">#REF!,#REF!</definedName>
    <definedName name="Z_AB23AFF9_E767_11D2_B445_0004AC9D327E_.wvu.Cols" hidden="1">#REF!</definedName>
    <definedName name="Z_AB23AFFE_E767_11D2_B445_0004AC9D327E_.wvu.Cols" hidden="1">#REF!</definedName>
    <definedName name="Z_AB23AFFE_E767_11D2_B445_0004AC9D327E_.wvu.PrintArea" hidden="1">#REF!</definedName>
    <definedName name="Z_AB23AFFE_E767_11D2_B445_0004AC9D327E_.wvu.PrintTitles" hidden="1">#REF!</definedName>
    <definedName name="Z_AB23AFFF_E767_11D2_B445_0004AC9D327E_.wvu.Cols" hidden="1">#REF!</definedName>
    <definedName name="Z_AB23AFFF_E767_11D2_B445_0004AC9D327E_.wvu.PrintArea" hidden="1">#REF!</definedName>
    <definedName name="Z_AB23AFFF_E767_11D2_B445_0004AC9D327E_.wvu.PrintTitles" hidden="1">#REF!</definedName>
    <definedName name="Z_AB23B001_E767_11D2_B445_0004AC9D327E_.wvu.Cols" hidden="1">#REF!,#REF!</definedName>
    <definedName name="Z_B1078CA6_02FE_11D3_B447_0004AC9D327E_.wvu.Cols" hidden="1">#REF!</definedName>
    <definedName name="Z_B1078CA6_02FE_11D3_B447_0004AC9D327E_.wvu.PrintTitles" hidden="1">#REF!</definedName>
    <definedName name="Z_B1078CA7_02FE_11D3_B447_0004AC9D327E_.wvu.Cols" hidden="1">#REF!,#REF!</definedName>
    <definedName name="Z_B1078CAE_02FE_11D3_B447_0004AC9D327E_.wvu.Cols" hidden="1">#REF!</definedName>
    <definedName name="Z_B1078CAE_02FE_11D3_B447_0004AC9D327E_.wvu.PrintArea" hidden="1">#REF!</definedName>
    <definedName name="Z_B1078CAE_02FE_11D3_B447_0004AC9D327E_.wvu.PrintTitles" hidden="1">#REF!</definedName>
    <definedName name="Z_B1078CAF_02FE_11D3_B447_0004AC9D327E_.wvu.Cols" hidden="1">#REF!</definedName>
    <definedName name="Z_B1078CAF_02FE_11D3_B447_0004AC9D327E_.wvu.PrintArea" hidden="1">#REF!</definedName>
    <definedName name="Z_B1078CAF_02FE_11D3_B447_0004AC9D327E_.wvu.PrintTitles" hidden="1">#REF!</definedName>
    <definedName name="Z_B1078CB1_02FE_11D3_B447_0004AC9D327E_.wvu.Cols" hidden="1">#REF!,#REF!</definedName>
    <definedName name="Z_B1078CB8_02FE_11D3_B447_0004AC9D327E_.wvu.Cols" hidden="1">#REF!</definedName>
    <definedName name="Z_B1078CB9_02FE_11D3_B447_0004AC9D327E_.wvu.Cols" hidden="1">#REF!</definedName>
    <definedName name="Z_B1078CB9_02FE_11D3_B447_0004AC9D327E_.wvu.PrintTitles" hidden="1">#REF!</definedName>
    <definedName name="Z_B1078CBA_02FE_11D3_B447_0004AC9D327E_.wvu.Cols" hidden="1">#REF!,#REF!</definedName>
    <definedName name="Z_B1078CBC_02FE_11D3_B447_0004AC9D327E_.wvu.Cols" hidden="1">#REF!</definedName>
    <definedName name="Z_B1078CC1_02FE_11D3_B447_0004AC9D327E_.wvu.Cols" hidden="1">#REF!</definedName>
    <definedName name="Z_B1078CC1_02FE_11D3_B447_0004AC9D327E_.wvu.PrintArea" hidden="1">#REF!</definedName>
    <definedName name="Z_B1078CC1_02FE_11D3_B447_0004AC9D327E_.wvu.PrintTitles" hidden="1">#REF!</definedName>
    <definedName name="Z_B1078CC2_02FE_11D3_B447_0004AC9D327E_.wvu.Cols" hidden="1">#REF!</definedName>
    <definedName name="Z_B1078CC2_02FE_11D3_B447_0004AC9D327E_.wvu.PrintArea" hidden="1">#REF!</definedName>
    <definedName name="Z_B1078CC2_02FE_11D3_B447_0004AC9D327E_.wvu.PrintTitles" hidden="1">#REF!</definedName>
    <definedName name="Z_B1078CC4_02FE_11D3_B447_0004AC9D327E_.wvu.Cols" hidden="1">#REF!,#REF!</definedName>
    <definedName name="Z_B1078CC8_02FE_11D3_B447_0004AC9D327E_.wvu.Cols" hidden="1">#REF!,#REF!</definedName>
    <definedName name="Z_B1078CD2_02FE_11D3_B447_0004AC9D327E_.wvu.Cols" hidden="1">#REF!,#REF!</definedName>
    <definedName name="Z_B1078CD3_02FE_11D3_B447_0004AC9D327E_.wvu.Cols" hidden="1">#REF!</definedName>
    <definedName name="Z_B1078CDE_02FE_11D3_B447_0004AC9D327E_.wvu.Cols" hidden="1">#REF!,#REF!</definedName>
    <definedName name="Z_B1078CDE_02FE_11D3_B447_0004AC9D327E_.wvu.PrintArea" hidden="1">#REF!</definedName>
    <definedName name="Z_B1078CDE_02FE_11D3_B447_0004AC9D327E_.wvu.PrintTitles" hidden="1">#REF!</definedName>
    <definedName name="Z_B1078CE1_02FE_11D3_B447_0004AC9D327E_.wvu.PrintArea" hidden="1">#REF!</definedName>
    <definedName name="Z_B1078CE4_02FE_11D3_B447_0004AC9D327E_.wvu.Cols" hidden="1">#REF!,#REF!</definedName>
    <definedName name="Z_B1078CE9_02FE_11D3_B447_0004AC9D327E_.wvu.Cols" hidden="1">#REF!,#REF!</definedName>
    <definedName name="Z_B1078CE9_02FE_11D3_B447_0004AC9D327E_.wvu.PrintArea" hidden="1">#REF!</definedName>
    <definedName name="Z_B1078CE9_02FE_11D3_B447_0004AC9D327E_.wvu.PrintTitles" hidden="1">#REF!</definedName>
    <definedName name="Z_B1078CEA_02FE_11D3_B447_0004AC9D327E_.wvu.Cols" hidden="1">#REF!</definedName>
    <definedName name="Z_B1078CEC_02FE_11D3_B447_0004AC9D327E_.wvu.Cols" hidden="1">#REF!</definedName>
    <definedName name="Z_B1078CEC_02FE_11D3_B447_0004AC9D327E_.wvu.PrintArea" hidden="1">#REF!</definedName>
    <definedName name="Z_B1078CEF_02FE_11D3_B447_0004AC9D327E_.wvu.Cols" hidden="1">#REF!,#REF!</definedName>
    <definedName name="Z_B18DECEA_E79E_11D2_B445_0004AC9D327E_.wvu.Cols" hidden="1">#REF!</definedName>
    <definedName name="Z_B18DECEA_E79E_11D2_B445_0004AC9D327E_.wvu.PrintTitles" hidden="1">#REF!</definedName>
    <definedName name="Z_B18DECEB_E79E_11D2_B445_0004AC9D327E_.wvu.Cols" hidden="1">#REF!,#REF!</definedName>
    <definedName name="Z_B18DECF2_E79E_11D2_B445_0004AC9D327E_.wvu.Cols" hidden="1">#REF!</definedName>
    <definedName name="Z_B18DECF2_E79E_11D2_B445_0004AC9D327E_.wvu.PrintArea" hidden="1">#REF!</definedName>
    <definedName name="Z_B18DECF2_E79E_11D2_B445_0004AC9D327E_.wvu.PrintTitles" hidden="1">#REF!</definedName>
    <definedName name="Z_B18DECF3_E79E_11D2_B445_0004AC9D327E_.wvu.Cols" hidden="1">#REF!</definedName>
    <definedName name="Z_B18DECF3_E79E_11D2_B445_0004AC9D327E_.wvu.PrintArea" hidden="1">#REF!</definedName>
    <definedName name="Z_B18DECF3_E79E_11D2_B445_0004AC9D327E_.wvu.PrintTitles" hidden="1">#REF!</definedName>
    <definedName name="Z_B18DECF5_E79E_11D2_B445_0004AC9D327E_.wvu.Cols" hidden="1">#REF!,#REF!</definedName>
    <definedName name="Z_B18DECFC_E79E_11D2_B445_0004AC9D327E_.wvu.Cols" hidden="1">#REF!</definedName>
    <definedName name="Z_B18DECFD_E79E_11D2_B445_0004AC9D327E_.wvu.Cols" hidden="1">#REF!</definedName>
    <definedName name="Z_B18DECFD_E79E_11D2_B445_0004AC9D327E_.wvu.PrintTitles" hidden="1">#REF!</definedName>
    <definedName name="Z_B18DECFE_E79E_11D2_B445_0004AC9D327E_.wvu.Cols" hidden="1">#REF!,#REF!</definedName>
    <definedName name="Z_B18DED00_E79E_11D2_B445_0004AC9D327E_.wvu.Cols" hidden="1">#REF!</definedName>
    <definedName name="Z_B18DED05_E79E_11D2_B445_0004AC9D327E_.wvu.Cols" hidden="1">#REF!</definedName>
    <definedName name="Z_B18DED05_E79E_11D2_B445_0004AC9D327E_.wvu.PrintArea" hidden="1">#REF!</definedName>
    <definedName name="Z_B18DED05_E79E_11D2_B445_0004AC9D327E_.wvu.PrintTitles" hidden="1">#REF!</definedName>
    <definedName name="Z_B18DED06_E79E_11D2_B445_0004AC9D327E_.wvu.Cols" hidden="1">#REF!</definedName>
    <definedName name="Z_B18DED06_E79E_11D2_B445_0004AC9D327E_.wvu.PrintArea" hidden="1">#REF!</definedName>
    <definedName name="Z_B18DED06_E79E_11D2_B445_0004AC9D327E_.wvu.PrintTitles" hidden="1">#REF!</definedName>
    <definedName name="Z_B18DED08_E79E_11D2_B445_0004AC9D327E_.wvu.Cols" hidden="1">#REF!,#REF!</definedName>
    <definedName name="Z_B18DED0C_E79E_11D2_B445_0004AC9D327E_.wvu.Cols" hidden="1">#REF!,#REF!</definedName>
    <definedName name="Z_B18DED16_E79E_11D2_B445_0004AC9D327E_.wvu.Cols" hidden="1">#REF!,#REF!</definedName>
    <definedName name="Z_B18DED17_E79E_11D2_B445_0004AC9D327E_.wvu.Cols" hidden="1">#REF!</definedName>
    <definedName name="Z_B18DED22_E79E_11D2_B445_0004AC9D327E_.wvu.Cols" hidden="1">#REF!,#REF!</definedName>
    <definedName name="Z_B18DED22_E79E_11D2_B445_0004AC9D327E_.wvu.PrintArea" hidden="1">#REF!</definedName>
    <definedName name="Z_B18DED22_E79E_11D2_B445_0004AC9D327E_.wvu.PrintTitles" hidden="1">#REF!</definedName>
    <definedName name="Z_B18DED24_E79E_11D2_B445_0004AC9D327E_.wvu.PrintArea" hidden="1">#REF!</definedName>
    <definedName name="Z_B18DED25_E79E_11D2_B445_0004AC9D327E_.wvu.PrintArea" hidden="1">#REF!</definedName>
    <definedName name="Z_B18DED28_E79E_11D2_B445_0004AC9D327E_.wvu.Cols" hidden="1">#REF!,#REF!</definedName>
    <definedName name="Z_B18DED2D_E79E_11D2_B445_0004AC9D327E_.wvu.Cols" hidden="1">#REF!,#REF!</definedName>
    <definedName name="Z_B18DED2D_E79E_11D2_B445_0004AC9D327E_.wvu.PrintArea" hidden="1">#REF!</definedName>
    <definedName name="Z_B18DED2D_E79E_11D2_B445_0004AC9D327E_.wvu.PrintTitles" hidden="1">#REF!</definedName>
    <definedName name="Z_B18DED2E_E79E_11D2_B445_0004AC9D327E_.wvu.Cols" hidden="1">#REF!</definedName>
    <definedName name="Z_B18DED2F_E79E_11D2_B445_0004AC9D327E_.wvu.PrintArea" hidden="1">#REF!</definedName>
    <definedName name="Z_B18DED30_E79E_11D2_B445_0004AC9D327E_.wvu.Cols" hidden="1">#REF!</definedName>
    <definedName name="Z_B18DED30_E79E_11D2_B445_0004AC9D327E_.wvu.PrintArea" hidden="1">#REF!</definedName>
    <definedName name="Z_B18DED33_E79E_11D2_B445_0004AC9D327E_.wvu.Cols" hidden="1">#REF!,#REF!</definedName>
    <definedName name="Z_B222FB89_0472_11D3_B447_0004AC9D327E_.wvu.Cols" hidden="1">#REF!</definedName>
    <definedName name="Z_B222FB89_0472_11D3_B447_0004AC9D327E_.wvu.PrintTitles" hidden="1">#REF!</definedName>
    <definedName name="Z_B222FB8A_0472_11D3_B447_0004AC9D327E_.wvu.Cols" hidden="1">#REF!,#REF!</definedName>
    <definedName name="Z_B222FB91_0472_11D3_B447_0004AC9D327E_.wvu.Cols" hidden="1">#REF!</definedName>
    <definedName name="Z_B222FB91_0472_11D3_B447_0004AC9D327E_.wvu.PrintArea" hidden="1">#REF!</definedName>
    <definedName name="Z_B222FB91_0472_11D3_B447_0004AC9D327E_.wvu.PrintTitles" hidden="1">#REF!</definedName>
    <definedName name="Z_B222FB92_0472_11D3_B447_0004AC9D327E_.wvu.Cols" hidden="1">#REF!</definedName>
    <definedName name="Z_B222FB92_0472_11D3_B447_0004AC9D327E_.wvu.PrintArea" hidden="1">#REF!</definedName>
    <definedName name="Z_B222FB92_0472_11D3_B447_0004AC9D327E_.wvu.PrintTitles" hidden="1">#REF!</definedName>
    <definedName name="Z_B222FB94_0472_11D3_B447_0004AC9D327E_.wvu.Cols" hidden="1">#REF!,#REF!</definedName>
    <definedName name="Z_B222FB9B_0472_11D3_B447_0004AC9D327E_.wvu.Cols" hidden="1">#REF!</definedName>
    <definedName name="Z_B222FB9C_0472_11D3_B447_0004AC9D327E_.wvu.Cols" hidden="1">#REF!</definedName>
    <definedName name="Z_B222FB9C_0472_11D3_B447_0004AC9D327E_.wvu.PrintTitles" hidden="1">#REF!</definedName>
    <definedName name="Z_B222FB9D_0472_11D3_B447_0004AC9D327E_.wvu.Cols" hidden="1">#REF!,#REF!</definedName>
    <definedName name="Z_B222FB9F_0472_11D3_B447_0004AC9D327E_.wvu.Cols" hidden="1">#REF!</definedName>
    <definedName name="Z_B222FBA4_0472_11D3_B447_0004AC9D327E_.wvu.Cols" hidden="1">#REF!</definedName>
    <definedName name="Z_B222FBA4_0472_11D3_B447_0004AC9D327E_.wvu.PrintArea" hidden="1">#REF!</definedName>
    <definedName name="Z_B222FBA4_0472_11D3_B447_0004AC9D327E_.wvu.PrintTitles" hidden="1">#REF!</definedName>
    <definedName name="Z_B222FBA5_0472_11D3_B447_0004AC9D327E_.wvu.Cols" hidden="1">#REF!</definedName>
    <definedName name="Z_B222FBA5_0472_11D3_B447_0004AC9D327E_.wvu.PrintArea" hidden="1">#REF!</definedName>
    <definedName name="Z_B222FBA5_0472_11D3_B447_0004AC9D327E_.wvu.PrintTitles" hidden="1">#REF!</definedName>
    <definedName name="Z_B222FBA7_0472_11D3_B447_0004AC9D327E_.wvu.Cols" hidden="1">#REF!,#REF!</definedName>
    <definedName name="Z_B222FBAB_0472_11D3_B447_0004AC9D327E_.wvu.Cols" hidden="1">#REF!,#REF!</definedName>
    <definedName name="Z_B222FBB5_0472_11D3_B447_0004AC9D327E_.wvu.Cols" hidden="1">#REF!,#REF!</definedName>
    <definedName name="Z_B222FBB6_0472_11D3_B447_0004AC9D327E_.wvu.Cols" hidden="1">#REF!</definedName>
    <definedName name="Z_B222FBC1_0472_11D3_B447_0004AC9D327E_.wvu.Cols" hidden="1">#REF!,#REF!</definedName>
    <definedName name="Z_B222FBC1_0472_11D3_B447_0004AC9D327E_.wvu.PrintArea" hidden="1">#REF!</definedName>
    <definedName name="Z_B222FBC1_0472_11D3_B447_0004AC9D327E_.wvu.PrintTitles" hidden="1">#REF!</definedName>
    <definedName name="Z_B222FBC4_0472_11D3_B447_0004AC9D327E_.wvu.PrintArea" hidden="1">#REF!</definedName>
    <definedName name="Z_B222FBC7_0472_11D3_B447_0004AC9D327E_.wvu.Cols" hidden="1">#REF!,#REF!</definedName>
    <definedName name="Z_B222FBCC_0472_11D3_B447_0004AC9D327E_.wvu.Cols" hidden="1">#REF!,#REF!</definedName>
    <definedName name="Z_B222FBCC_0472_11D3_B447_0004AC9D327E_.wvu.PrintArea" hidden="1">#REF!</definedName>
    <definedName name="Z_B222FBCC_0472_11D3_B447_0004AC9D327E_.wvu.PrintTitles" hidden="1">#REF!</definedName>
    <definedName name="Z_B222FBCD_0472_11D3_B447_0004AC9D327E_.wvu.Cols" hidden="1">#REF!</definedName>
    <definedName name="Z_B222FBCF_0472_11D3_B447_0004AC9D327E_.wvu.Cols" hidden="1">#REF!</definedName>
    <definedName name="Z_B222FBCF_0472_11D3_B447_0004AC9D327E_.wvu.PrintArea" hidden="1">#REF!</definedName>
    <definedName name="Z_B222FBD2_0472_11D3_B447_0004AC9D327E_.wvu.Cols" hidden="1">#REF!,#REF!</definedName>
    <definedName name="Z_B26C7AA6_DE01_11D2_B447_0004AC2EF02B_.wvu.Cols" hidden="1">#REF!,#REF!</definedName>
    <definedName name="Z_B26C7AA6_DE01_11D2_B447_0004AC2EF02B_.wvu.PrintArea" hidden="1">#REF!</definedName>
    <definedName name="Z_B26C7AA6_DE01_11D2_B447_0004AC2EF02B_.wvu.PrintTitles" hidden="1">#REF!</definedName>
    <definedName name="Z_B26C7AA8_DE01_11D2_B447_0004AC2EF02B_.wvu.PrintArea" hidden="1">#REF!</definedName>
    <definedName name="Z_B26C7AA9_DE01_11D2_B447_0004AC2EF02B_.wvu.PrintArea" hidden="1">#REF!</definedName>
    <definedName name="Z_B26C7AAC_DE01_11D2_B447_0004AC2EF02B_.wvu.Cols" hidden="1">#REF!,#REF!</definedName>
    <definedName name="Z_B26C7AB1_DE01_11D2_B447_0004AC2EF02B_.wvu.PrintArea" hidden="1">#REF!</definedName>
    <definedName name="Z_B26C7AB1_DE01_11D2_B447_0004AC2EF02B_.wvu.PrintTitles" hidden="1">#REF!</definedName>
    <definedName name="Z_B26C7AB2_DE01_11D2_B447_0004AC2EF02B_.wvu.Cols" hidden="1">#REF!</definedName>
    <definedName name="Z_B26C7AB3_DE01_11D2_B447_0004AC2EF02B_.wvu.PrintArea" hidden="1">#REF!</definedName>
    <definedName name="Z_B26C7AB4_DE01_11D2_B447_0004AC2EF02B_.wvu.Cols" hidden="1">#REF!</definedName>
    <definedName name="Z_B26C7AB4_DE01_11D2_B447_0004AC2EF02B_.wvu.PrintArea" hidden="1">#REF!</definedName>
    <definedName name="Z_B26C7AF5_DE01_11D2_B447_0004AC2EF02B_.wvu.Cols" hidden="1">#REF!,#REF!</definedName>
    <definedName name="Z_B26C7AFF_DE01_11D2_B447_0004AC2EF02B_.wvu.Cols" hidden="1">#REF!,#REF!</definedName>
    <definedName name="Z_B26C7B00_DE01_11D2_B447_0004AC2EF02B_.wvu.Cols" hidden="1">#REF!</definedName>
    <definedName name="Z_B3B7B59B_EC1A_11D2_B445_0004AC9D327E_.wvu.PrintArea" hidden="1">#REF!</definedName>
    <definedName name="Z_B3B7B59B_EC1A_11D2_B445_0004AC9D327E_.wvu.PrintTitles" hidden="1">#REF!</definedName>
    <definedName name="Z_B3B7B59D_EC1A_11D2_B445_0004AC9D327E_.wvu.PrintArea" hidden="1">#REF!</definedName>
    <definedName name="Z_B3B7B59E_EC1A_11D2_B445_0004AC9D327E_.wvu.PrintArea" hidden="1">#REF!</definedName>
    <definedName name="Z_B3B7B5A6_EC1A_11D2_B445_0004AC9D327E_.wvu.PrintArea" hidden="1">#REF!</definedName>
    <definedName name="Z_B3B7B5A6_EC1A_11D2_B445_0004AC9D327E_.wvu.PrintTitles" hidden="1">#REF!</definedName>
    <definedName name="Z_B3B7B5A7_EC1A_11D2_B445_0004AC9D327E_.wvu.Cols" hidden="1">#REF!</definedName>
    <definedName name="Z_B3B7B5A8_EC1A_11D2_B445_0004AC9D327E_.wvu.PrintArea" hidden="1">#REF!</definedName>
    <definedName name="Z_B3B7B5A9_EC1A_11D2_B445_0004AC9D327E_.wvu.Cols" hidden="1">#REF!</definedName>
    <definedName name="Z_B3B7B5A9_EC1A_11D2_B445_0004AC9D327E_.wvu.PrintArea" hidden="1">#REF!</definedName>
    <definedName name="Z_B3B7B5AF_EC1A_11D2_B445_0004AC9D327E_.wvu.Cols" hidden="1">#REF!,#REF!</definedName>
    <definedName name="Z_B3B7B5B9_EC1A_11D2_B445_0004AC9D327E_.wvu.Cols" hidden="1">#REF!,#REF!</definedName>
    <definedName name="Z_B3B7B5BA_EC1A_11D2_B445_0004AC9D327E_.wvu.Cols" hidden="1">#REF!</definedName>
    <definedName name="Z_B3B7B5C7_EC1A_11D2_B445_0004AC9D327E_.wvu.Cols" hidden="1">#REF!</definedName>
    <definedName name="Z_B3B7B5C7_EC1A_11D2_B445_0004AC9D327E_.wvu.PrintTitles" hidden="1">#REF!</definedName>
    <definedName name="Z_B3B7B5C8_EC1A_11D2_B445_0004AC9D327E_.wvu.Cols" hidden="1">#REF!,#REF!</definedName>
    <definedName name="Z_B3B7B5CF_EC1A_11D2_B445_0004AC9D327E_.wvu.Cols" hidden="1">#REF!</definedName>
    <definedName name="Z_B3B7B5CF_EC1A_11D2_B445_0004AC9D327E_.wvu.PrintArea" hidden="1">#REF!</definedName>
    <definedName name="Z_B3B7B5CF_EC1A_11D2_B445_0004AC9D327E_.wvu.PrintTitles" hidden="1">#REF!</definedName>
    <definedName name="Z_B3B7B5D0_EC1A_11D2_B445_0004AC9D327E_.wvu.Cols" hidden="1">#REF!</definedName>
    <definedName name="Z_B3B7B5D0_EC1A_11D2_B445_0004AC9D327E_.wvu.PrintArea" hidden="1">#REF!</definedName>
    <definedName name="Z_B3B7B5D0_EC1A_11D2_B445_0004AC9D327E_.wvu.PrintTitles" hidden="1">#REF!</definedName>
    <definedName name="Z_B3B7B5D9_EC1A_11D2_B445_0004AC9D327E_.wvu.Cols" hidden="1">#REF!</definedName>
    <definedName name="Z_B3B7B5DA_EC1A_11D2_B445_0004AC9D327E_.wvu.Cols" hidden="1">#REF!</definedName>
    <definedName name="Z_B3B7B5DA_EC1A_11D2_B445_0004AC9D327E_.wvu.PrintTitles" hidden="1">#REF!</definedName>
    <definedName name="Z_B3B7B5DB_EC1A_11D2_B445_0004AC9D327E_.wvu.Cols" hidden="1">#REF!,#REF!</definedName>
    <definedName name="Z_B3B7B5DD_EC1A_11D2_B445_0004AC9D327E_.wvu.Cols" hidden="1">#REF!</definedName>
    <definedName name="Z_B3B7B5E2_EC1A_11D2_B445_0004AC9D327E_.wvu.Cols" hidden="1">#REF!</definedName>
    <definedName name="Z_B3B7B5E2_EC1A_11D2_B445_0004AC9D327E_.wvu.PrintArea" hidden="1">#REF!</definedName>
    <definedName name="Z_B3B7B5E2_EC1A_11D2_B445_0004AC9D327E_.wvu.PrintTitles" hidden="1">#REF!</definedName>
    <definedName name="Z_B3B7B5E3_EC1A_11D2_B445_0004AC9D327E_.wvu.Cols" hidden="1">#REF!</definedName>
    <definedName name="Z_B3B7B5E3_EC1A_11D2_B445_0004AC9D327E_.wvu.PrintArea" hidden="1">#REF!</definedName>
    <definedName name="Z_B3B7B5E3_EC1A_11D2_B445_0004AC9D327E_.wvu.PrintTitles" hidden="1">#REF!</definedName>
    <definedName name="Z_B3D91C26_03A8_11D3_B447_0004AC9D327E_.wvu.Cols" hidden="1">#REF!</definedName>
    <definedName name="Z_B3D91C26_03A8_11D3_B447_0004AC9D327E_.wvu.PrintTitles" hidden="1">#REF!</definedName>
    <definedName name="Z_B3D91C27_03A8_11D3_B447_0004AC9D327E_.wvu.Cols" hidden="1">#REF!,#REF!</definedName>
    <definedName name="Z_B3D91C2E_03A8_11D3_B447_0004AC9D327E_.wvu.Cols" hidden="1">#REF!</definedName>
    <definedName name="Z_B3D91C2E_03A8_11D3_B447_0004AC9D327E_.wvu.PrintArea" hidden="1">#REF!</definedName>
    <definedName name="Z_B3D91C2E_03A8_11D3_B447_0004AC9D327E_.wvu.PrintTitles" hidden="1">#REF!</definedName>
    <definedName name="Z_B3D91C2F_03A8_11D3_B447_0004AC9D327E_.wvu.Cols" hidden="1">#REF!</definedName>
    <definedName name="Z_B3D91C2F_03A8_11D3_B447_0004AC9D327E_.wvu.PrintArea" hidden="1">#REF!</definedName>
    <definedName name="Z_B3D91C2F_03A8_11D3_B447_0004AC9D327E_.wvu.PrintTitles" hidden="1">#REF!</definedName>
    <definedName name="Z_B3D91C38_03A8_11D3_B447_0004AC9D327E_.wvu.Cols" hidden="1">#REF!</definedName>
    <definedName name="Z_B3D91C39_03A8_11D3_B447_0004AC9D327E_.wvu.Cols" hidden="1">#REF!</definedName>
    <definedName name="Z_B3D91C39_03A8_11D3_B447_0004AC9D327E_.wvu.PrintTitles" hidden="1">#REF!</definedName>
    <definedName name="Z_B3D91C3A_03A8_11D3_B447_0004AC9D327E_.wvu.Cols" hidden="1">#REF!,#REF!</definedName>
    <definedName name="Z_B3D91C3C_03A8_11D3_B447_0004AC9D327E_.wvu.Cols" hidden="1">#REF!</definedName>
    <definedName name="Z_B3D91C41_03A8_11D3_B447_0004AC9D327E_.wvu.Cols" hidden="1">#REF!</definedName>
    <definedName name="Z_B3D91C41_03A8_11D3_B447_0004AC9D327E_.wvu.PrintArea" hidden="1">#REF!</definedName>
    <definedName name="Z_B3D91C41_03A8_11D3_B447_0004AC9D327E_.wvu.PrintTitles" hidden="1">#REF!</definedName>
    <definedName name="Z_B3D91C42_03A8_11D3_B447_0004AC9D327E_.wvu.Cols" hidden="1">#REF!</definedName>
    <definedName name="Z_B3D91C42_03A8_11D3_B447_0004AC9D327E_.wvu.PrintArea" hidden="1">#REF!</definedName>
    <definedName name="Z_B3D91C42_03A8_11D3_B447_0004AC9D327E_.wvu.PrintTitles" hidden="1">#REF!</definedName>
    <definedName name="Z_B3D91C48_03A8_11D3_B447_0004AC9D327E_.wvu.Cols" hidden="1">#REF!,#REF!</definedName>
    <definedName name="Z_B3D91C52_03A8_11D3_B447_0004AC9D327E_.wvu.Cols" hidden="1">#REF!,#REF!</definedName>
    <definedName name="Z_B3D91C53_03A8_11D3_B447_0004AC9D327E_.wvu.Cols" hidden="1">#REF!</definedName>
    <definedName name="Z_B3D91C5E_03A8_11D3_B447_0004AC9D327E_.wvu.Cols" hidden="1">#REF!,#REF!</definedName>
    <definedName name="Z_B3D91C5E_03A8_11D3_B447_0004AC9D327E_.wvu.PrintArea" hidden="1">#REF!</definedName>
    <definedName name="Z_B3D91C5E_03A8_11D3_B447_0004AC9D327E_.wvu.PrintTitles" hidden="1">#REF!</definedName>
    <definedName name="Z_B3D91C61_03A8_11D3_B447_0004AC9D327E_.wvu.PrintArea" hidden="1">#REF!</definedName>
    <definedName name="Z_B3D91C64_03A8_11D3_B447_0004AC9D327E_.wvu.Cols" hidden="1">#REF!,#REF!</definedName>
    <definedName name="Z_B3D91C69_03A8_11D3_B447_0004AC9D327E_.wvu.Cols" hidden="1">#REF!,#REF!</definedName>
    <definedName name="Z_B3D91C69_03A8_11D3_B447_0004AC9D327E_.wvu.PrintArea" hidden="1">#REF!</definedName>
    <definedName name="Z_B3D91C69_03A8_11D3_B447_0004AC9D327E_.wvu.PrintTitles" hidden="1">#REF!</definedName>
    <definedName name="Z_B3D91C6A_03A8_11D3_B447_0004AC9D327E_.wvu.Cols" hidden="1">#REF!</definedName>
    <definedName name="Z_B3D91C6C_03A8_11D3_B447_0004AC9D327E_.wvu.Cols" hidden="1">#REF!</definedName>
    <definedName name="Z_B3D91C6C_03A8_11D3_B447_0004AC9D327E_.wvu.PrintArea" hidden="1">#REF!</definedName>
    <definedName name="Z_B3D91C6F_03A8_11D3_B447_0004AC9D327E_.wvu.Cols" hidden="1">#REF!,#REF!</definedName>
    <definedName name="Z_B3D91CA9_03A8_11D3_B447_0004AC9D327E_.wvu.Cols" hidden="1">#REF!</definedName>
    <definedName name="Z_B3D91CA9_03A8_11D3_B447_0004AC9D327E_.wvu.PrintTitles" hidden="1">#REF!</definedName>
    <definedName name="Z_B3D91CAA_03A8_11D3_B447_0004AC9D327E_.wvu.Cols" hidden="1">#REF!,#REF!</definedName>
    <definedName name="Z_B3D91CB1_03A8_11D3_B447_0004AC9D327E_.wvu.Cols" hidden="1">#REF!</definedName>
    <definedName name="Z_B3D91CB1_03A8_11D3_B447_0004AC9D327E_.wvu.PrintArea" hidden="1">#REF!</definedName>
    <definedName name="Z_B3D91CB1_03A8_11D3_B447_0004AC9D327E_.wvu.PrintTitles" hidden="1">#REF!</definedName>
    <definedName name="Z_B3D91CB2_03A8_11D3_B447_0004AC9D327E_.wvu.Cols" hidden="1">#REF!</definedName>
    <definedName name="Z_B3D91CB2_03A8_11D3_B447_0004AC9D327E_.wvu.PrintArea" hidden="1">#REF!</definedName>
    <definedName name="Z_B3D91CB2_03A8_11D3_B447_0004AC9D327E_.wvu.PrintTitles" hidden="1">#REF!</definedName>
    <definedName name="Z_B3D91CBB_03A8_11D3_B447_0004AC9D327E_.wvu.Cols" hidden="1">#REF!</definedName>
    <definedName name="Z_B3D91CBC_03A8_11D3_B447_0004AC9D327E_.wvu.Cols" hidden="1">#REF!</definedName>
    <definedName name="Z_B3D91CBC_03A8_11D3_B447_0004AC9D327E_.wvu.PrintTitles" hidden="1">#REF!</definedName>
    <definedName name="Z_B3D91CBD_03A8_11D3_B447_0004AC9D327E_.wvu.Cols" hidden="1">#REF!,#REF!</definedName>
    <definedName name="Z_B3D91CBF_03A8_11D3_B447_0004AC9D327E_.wvu.Cols" hidden="1">#REF!</definedName>
    <definedName name="Z_B3D91CC4_03A8_11D3_B447_0004AC9D327E_.wvu.Cols" hidden="1">#REF!</definedName>
    <definedName name="Z_B3D91CC4_03A8_11D3_B447_0004AC9D327E_.wvu.PrintArea" hidden="1">#REF!</definedName>
    <definedName name="Z_B3D91CC4_03A8_11D3_B447_0004AC9D327E_.wvu.PrintTitles" hidden="1">#REF!</definedName>
    <definedName name="Z_B3D91CC5_03A8_11D3_B447_0004AC9D327E_.wvu.Cols" hidden="1">#REF!</definedName>
    <definedName name="Z_B3D91CC5_03A8_11D3_B447_0004AC9D327E_.wvu.PrintArea" hidden="1">#REF!</definedName>
    <definedName name="Z_B3D91CC5_03A8_11D3_B447_0004AC9D327E_.wvu.PrintTitles" hidden="1">#REF!</definedName>
    <definedName name="Z_C097B79C_06CF_11D3_B448_0004AC9D327E_.wvu.Cols" hidden="1">#REF!</definedName>
    <definedName name="Z_C097B79C_06CF_11D3_B448_0004AC9D327E_.wvu.PrintTitles" hidden="1">#REF!</definedName>
    <definedName name="Z_C097B79D_06CF_11D3_B448_0004AC9D327E_.wvu.Cols" hidden="1">#REF!,#REF!</definedName>
    <definedName name="Z_C097B7A4_06CF_11D3_B448_0004AC9D327E_.wvu.Cols" hidden="1">#REF!</definedName>
    <definedName name="Z_C097B7A4_06CF_11D3_B448_0004AC9D327E_.wvu.PrintArea" hidden="1">#REF!</definedName>
    <definedName name="Z_C097B7A4_06CF_11D3_B448_0004AC9D327E_.wvu.PrintTitles" hidden="1">#REF!</definedName>
    <definedName name="Z_C097B7A5_06CF_11D3_B448_0004AC9D327E_.wvu.Cols" hidden="1">#REF!</definedName>
    <definedName name="Z_C097B7A5_06CF_11D3_B448_0004AC9D327E_.wvu.PrintArea" hidden="1">#REF!</definedName>
    <definedName name="Z_C097B7A5_06CF_11D3_B448_0004AC9D327E_.wvu.PrintTitles" hidden="1">#REF!</definedName>
    <definedName name="Z_C097B7AE_06CF_11D3_B448_0004AC9D327E_.wvu.Cols" hidden="1">#REF!</definedName>
    <definedName name="Z_C097B7AF_06CF_11D3_B448_0004AC9D327E_.wvu.Cols" hidden="1">#REF!</definedName>
    <definedName name="Z_C097B7AF_06CF_11D3_B448_0004AC9D327E_.wvu.PrintTitles" hidden="1">#REF!</definedName>
    <definedName name="Z_C097B7B0_06CF_11D3_B448_0004AC9D327E_.wvu.Cols" hidden="1">#REF!,#REF!</definedName>
    <definedName name="Z_C097B7B2_06CF_11D3_B448_0004AC9D327E_.wvu.Cols" hidden="1">#REF!</definedName>
    <definedName name="Z_C097B7B7_06CF_11D3_B448_0004AC9D327E_.wvu.Cols" hidden="1">#REF!</definedName>
    <definedName name="Z_C097B7B7_06CF_11D3_B448_0004AC9D327E_.wvu.PrintArea" hidden="1">#REF!</definedName>
    <definedName name="Z_C097B7B7_06CF_11D3_B448_0004AC9D327E_.wvu.PrintTitles" hidden="1">#REF!</definedName>
    <definedName name="Z_C097B7B8_06CF_11D3_B448_0004AC9D327E_.wvu.Cols" hidden="1">#REF!</definedName>
    <definedName name="Z_C097B7B8_06CF_11D3_B448_0004AC9D327E_.wvu.PrintArea" hidden="1">#REF!</definedName>
    <definedName name="Z_C097B7B8_06CF_11D3_B448_0004AC9D327E_.wvu.PrintTitles" hidden="1">#REF!</definedName>
    <definedName name="Z_C097B7BE_06CF_11D3_B448_0004AC9D327E_.wvu.Cols" hidden="1">#REF!,#REF!</definedName>
    <definedName name="Z_C097B7C8_06CF_11D3_B448_0004AC9D327E_.wvu.Cols" hidden="1">#REF!,#REF!</definedName>
    <definedName name="Z_C097B7C9_06CF_11D3_B448_0004AC9D327E_.wvu.Cols" hidden="1">#REF!</definedName>
    <definedName name="Z_C097B7D4_06CF_11D3_B448_0004AC9D327E_.wvu.Cols" hidden="1">#REF!,#REF!</definedName>
    <definedName name="Z_C097B7D4_06CF_11D3_B448_0004AC9D327E_.wvu.PrintArea" hidden="1">#REF!</definedName>
    <definedName name="Z_C097B7D4_06CF_11D3_B448_0004AC9D327E_.wvu.PrintTitles" hidden="1">#REF!</definedName>
    <definedName name="Z_C097B7D7_06CF_11D3_B448_0004AC9D327E_.wvu.PrintArea" hidden="1">#REF!</definedName>
    <definedName name="Z_C097B7DA_06CF_11D3_B448_0004AC9D327E_.wvu.Cols" hidden="1">#REF!,#REF!</definedName>
    <definedName name="Z_C097B7DF_06CF_11D3_B448_0004AC9D327E_.wvu.Cols" hidden="1">#REF!,#REF!</definedName>
    <definedName name="Z_C097B7DF_06CF_11D3_B448_0004AC9D327E_.wvu.PrintArea" hidden="1">#REF!</definedName>
    <definedName name="Z_C097B7DF_06CF_11D3_B448_0004AC9D327E_.wvu.PrintTitles" hidden="1">#REF!</definedName>
    <definedName name="Z_C097B7E0_06CF_11D3_B448_0004AC9D327E_.wvu.Cols" hidden="1">#REF!</definedName>
    <definedName name="Z_C097B7E2_06CF_11D3_B448_0004AC9D327E_.wvu.Cols" hidden="1">#REF!</definedName>
    <definedName name="Z_C097B7E2_06CF_11D3_B448_0004AC9D327E_.wvu.PrintArea" hidden="1">#REF!</definedName>
    <definedName name="Z_C097B7E5_06CF_11D3_B448_0004AC9D327E_.wvu.Cols" hidden="1">#REF!,#REF!</definedName>
    <definedName name="Z_DD2DA309_FBCE_11D2_B446_0004AC9D327E_.wvu.PrintArea" hidden="1">#REF!</definedName>
    <definedName name="Z_DD2DA30A_FBCE_11D2_B446_0004AC9D327E_.wvu.PrintArea" hidden="1">#REF!</definedName>
    <definedName name="Z_DD2DA314_FBCE_11D2_B446_0004AC9D327E_.wvu.PrintArea" hidden="1">#REF!</definedName>
    <definedName name="Z_DD2DA315_FBCE_11D2_B446_0004AC9D327E_.wvu.PrintArea" hidden="1">#REF!</definedName>
    <definedName name="Z_DD4787CB_7696_4B6C_9E26_0074A3DBD63C_.wvu.Cols" hidden="1">#REF!,#REF!</definedName>
    <definedName name="Z_F3C990D7_F55B_11D5_B162_000021EF8870_.wvu.Cols" hidden="1">#REF!,#REF!</definedName>
    <definedName name="zaZ">#REF!</definedName>
    <definedName name="zc">#REF!</definedName>
    <definedName name="ZEOLITE">#REF!</definedName>
    <definedName name="ZEOLITE_31">#REF!</definedName>
    <definedName name="zero">#REF!</definedName>
    <definedName name="zhu" hidden="1">{#N/A,#N/A,FALSE,"REPORT"}</definedName>
    <definedName name="zhutr" hidden="1">{#N/A,#N/A,FALSE,"REPORT"}</definedName>
    <definedName name="Zip">#REF!</definedName>
    <definedName name="zrgsreg" hidden="1">{"'0103'!$A$455:$O$585"}</definedName>
    <definedName name="zsrg">#REF!</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SZ"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zxa">#REF!</definedName>
    <definedName name="zxa_1">#REF!</definedName>
    <definedName name="zxa_10">"'file:///Z:/Cons-Dec`10/Consolidation Dec 10.xls'#$BS.$#REF!$#REF!:$#REF!$#REF!"</definedName>
    <definedName name="zxa_11">"'file:///Z:/Cons-Dec`10/Consolidation Dec 10.xls'#$BS.$#REF!$#REF!:$#REF!$#REF!"</definedName>
    <definedName name="zxa_12">"'file:///Z:/Cons-Dec`10/Consolidation Dec 10.xls'#$BS.$#REF!$#REF!:$#REF!$#REF!"</definedName>
    <definedName name="zxa_13">"'file:///Z:/Cons-Dec`10/Consolidation Dec 10.xls'#$BS.$#REF!$#REF!:$#REF!$#REF!"</definedName>
    <definedName name="zxa_15">"'file:///Z:/Cons-Dec`10/Consolidation Dec 10.xls'#$BS.$#REF!$#REF!:$#REF!$#REF!"</definedName>
    <definedName name="zxa_6">"'file:///Z:/Cons-Dec`10/Consolidation Dec 10.xls'#$BS.$#REF!$#REF!:$#REF!$#REF!"</definedName>
    <definedName name="zxa_7">"'file:///Z:/Cons-Dec`10/Consolidation Dec 10.xls'#$BS.$#REF!$#REF!:$#REF!$#REF!"</definedName>
    <definedName name="zxa_8">"'file:///Z:/Cons-Dec`10/Consolidation Dec 10.xls'#$BS.$#REF!$#REF!:$#REF!$#REF!"</definedName>
    <definedName name="zxa_9">"'file:///Z:/Cons-Dec`10/Consolidation Dec 10.xls'#$BS.$#REF!$#REF!:$#REF!$#REF!"</definedName>
    <definedName name="zxc">#REF!</definedName>
    <definedName name="ZYZ" hidden="1">{#N/A,#N/A,FALSE,"A"}</definedName>
    <definedName name="zz">3</definedName>
    <definedName name="zza4pg" hidden="1">{#N/A,#N/A,FALSE,"REPORT"}</definedName>
    <definedName name="zzee" hidden="1">{#N/A,#N/A,FALSE,"Pharm";#N/A,#N/A,FALSE,"WWCM"}</definedName>
    <definedName name="zzz">#REF!</definedName>
    <definedName name="zzzz" hidden="1">{"'CONSOLIDADO'!$B$10:$R$57"}</definedName>
    <definedName name="zzzzz" hidden="1">{#N/A,#N/A,FALSE,"REPORT"}</definedName>
    <definedName name="zzzzzz">#N/A</definedName>
    <definedName name="zzzzzzz" hidden="1">#REF!</definedName>
    <definedName name="zzzzzzzz">INDEX(#REF!,0,4)</definedName>
    <definedName name="zzzzzzzzz">INDEX(#REF!,0,2)</definedName>
    <definedName name="ฟๅ">#REF!</definedName>
    <definedName name="고" hidden="1">{#N/A,#N/A,FALSE,"REPORT"}</definedName>
    <definedName name="김" hidden="1">#REF!</definedName>
    <definedName name="ㄴㄴ" hidden="1">#REF!</definedName>
    <definedName name="ㄶㅇ노ㅗㄶ호" hidden="1">{#N/A,#N/A,FALSE,"REPORT"}</definedName>
    <definedName name="미애" hidden="1">{#N/A,#N/A,FALSE,"REPORT"}</definedName>
    <definedName name="생산계획" hidden="1">#REF!</definedName>
    <definedName name="손익" hidden="1">#REF!</definedName>
    <definedName name="제조원가2000" hidden="1">#REF!</definedName>
  </definedNames>
  <calcPr calcId="191029"/>
  <pivotCaches>
    <pivotCache cacheId="0" r:id="rId2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2" i="38" l="1"/>
  <c r="G121" i="38"/>
  <c r="F132" i="38"/>
  <c r="G89" i="38"/>
  <c r="E132" i="38"/>
  <c r="G90" i="38"/>
  <c r="G94" i="38"/>
  <c r="G95" i="38"/>
  <c r="G96" i="38"/>
  <c r="G97" i="38"/>
  <c r="G98" i="38"/>
  <c r="G99" i="38"/>
  <c r="G100" i="38"/>
  <c r="G101" i="38"/>
  <c r="G102" i="38"/>
  <c r="G103" i="38"/>
  <c r="G104" i="38"/>
  <c r="G105" i="38"/>
  <c r="G106" i="38"/>
  <c r="G107" i="38"/>
  <c r="G108" i="38"/>
  <c r="G109" i="38"/>
  <c r="G110" i="38"/>
  <c r="G111" i="38"/>
  <c r="G112" i="38"/>
  <c r="G113" i="38"/>
  <c r="G114" i="38"/>
  <c r="G115" i="38"/>
  <c r="G116" i="38"/>
  <c r="G117" i="38"/>
  <c r="G118" i="38"/>
  <c r="AH5" i="36"/>
  <c r="AH6" i="36"/>
  <c r="AH7" i="36"/>
  <c r="AH8" i="36"/>
  <c r="AH9" i="36"/>
  <c r="AH10" i="36"/>
  <c r="AH11" i="36"/>
  <c r="AH12" i="36"/>
  <c r="AH13" i="36"/>
  <c r="AH14" i="36"/>
  <c r="AH15" i="36"/>
  <c r="AH16" i="36"/>
  <c r="AH17" i="36"/>
  <c r="AH18" i="36"/>
  <c r="AH19" i="36"/>
  <c r="AH20" i="36"/>
  <c r="AH21" i="36"/>
  <c r="AH22" i="36"/>
  <c r="AH23" i="36"/>
  <c r="AH24" i="36"/>
  <c r="AH25" i="36"/>
  <c r="AH26" i="36"/>
  <c r="AH27" i="36"/>
  <c r="AH28" i="36"/>
  <c r="AH29" i="36"/>
  <c r="AH30" i="36"/>
  <c r="AH31" i="36"/>
  <c r="AH32" i="36"/>
  <c r="AH33" i="36"/>
  <c r="AH34" i="36"/>
  <c r="AH35" i="36"/>
  <c r="AH36" i="36"/>
  <c r="AH37" i="36"/>
  <c r="AH38" i="36"/>
  <c r="AH39" i="36"/>
  <c r="AH40" i="36"/>
  <c r="AH41" i="36"/>
  <c r="AH42" i="36"/>
  <c r="AH43" i="36"/>
  <c r="AH44" i="36"/>
  <c r="AH45" i="36"/>
  <c r="AH46" i="36"/>
  <c r="AH47" i="36"/>
  <c r="AH48" i="36"/>
  <c r="AH49" i="36"/>
  <c r="AH50" i="36"/>
  <c r="AH51" i="36"/>
  <c r="AH52" i="36"/>
  <c r="AH53" i="36"/>
  <c r="AH54" i="36"/>
  <c r="AH55" i="36"/>
  <c r="AH56" i="36"/>
  <c r="AH57" i="36"/>
  <c r="AH58" i="36"/>
  <c r="AH59" i="36"/>
  <c r="AH60" i="36"/>
  <c r="AH61" i="36"/>
  <c r="AH62" i="36"/>
  <c r="AH63" i="36"/>
  <c r="AH64" i="36"/>
  <c r="AH65" i="36"/>
  <c r="AH66" i="36"/>
  <c r="AH67" i="36"/>
  <c r="AH68" i="36"/>
  <c r="AH69" i="36"/>
  <c r="AH70" i="36"/>
  <c r="AH71" i="36"/>
  <c r="AH72" i="36"/>
  <c r="AH73" i="36"/>
  <c r="AH74" i="36"/>
  <c r="AH75" i="36"/>
  <c r="AH76" i="36"/>
  <c r="AH77" i="36"/>
  <c r="AH78" i="36"/>
  <c r="AH79" i="36"/>
  <c r="AH80" i="36"/>
  <c r="AH81" i="36"/>
  <c r="AH82" i="36"/>
  <c r="AH83" i="36"/>
  <c r="AH84" i="36"/>
  <c r="AH85" i="36"/>
  <c r="AH4" i="36"/>
  <c r="N48" i="38"/>
  <c r="N49" i="38"/>
  <c r="N50" i="38"/>
  <c r="N51" i="38"/>
  <c r="N52" i="38"/>
  <c r="N53" i="38"/>
  <c r="N54" i="38"/>
  <c r="N55" i="38"/>
  <c r="N56" i="38"/>
  <c r="G56" i="38"/>
  <c r="G49" i="38"/>
  <c r="G50" i="38"/>
  <c r="G52" i="38"/>
  <c r="G53" i="38"/>
  <c r="M26" i="38"/>
  <c r="C3" i="43"/>
  <c r="C4" i="43"/>
  <c r="C5" i="43"/>
  <c r="C6" i="43"/>
  <c r="C7" i="43"/>
  <c r="C8" i="43"/>
  <c r="C9" i="43"/>
  <c r="C10" i="43"/>
  <c r="C11" i="43"/>
  <c r="C12" i="43"/>
  <c r="C13" i="43"/>
  <c r="C14" i="43"/>
  <c r="C15" i="43"/>
  <c r="C16" i="43"/>
  <c r="C17" i="43"/>
  <c r="C18" i="43"/>
  <c r="C19" i="43"/>
  <c r="C20" i="43"/>
  <c r="C21" i="43"/>
  <c r="C22" i="43"/>
  <c r="C23" i="43"/>
  <c r="C24" i="43"/>
  <c r="C25" i="43"/>
  <c r="C26" i="43"/>
  <c r="C27" i="43"/>
  <c r="C28" i="43"/>
  <c r="C29" i="43"/>
  <c r="C30" i="43"/>
  <c r="H73" i="42" s="1"/>
  <c r="C31" i="43"/>
  <c r="C32" i="43"/>
  <c r="C33" i="43"/>
  <c r="C34" i="43"/>
  <c r="C35" i="43"/>
  <c r="C36" i="43"/>
  <c r="C37" i="43"/>
  <c r="C38" i="43"/>
  <c r="C39" i="43"/>
  <c r="C40" i="43"/>
  <c r="C41" i="43"/>
  <c r="C42" i="43"/>
  <c r="H82" i="42" s="1"/>
  <c r="C43" i="43"/>
  <c r="H84" i="42" s="1"/>
  <c r="C44" i="43"/>
  <c r="C45" i="43"/>
  <c r="H17" i="42" s="1"/>
  <c r="C46" i="43"/>
  <c r="C47" i="43"/>
  <c r="C48" i="43"/>
  <c r="C49" i="43"/>
  <c r="C50" i="43"/>
  <c r="C51" i="43"/>
  <c r="C52" i="43"/>
  <c r="C53" i="43"/>
  <c r="C54" i="43"/>
  <c r="C55" i="43"/>
  <c r="C56" i="43"/>
  <c r="C57" i="43"/>
  <c r="C58" i="43"/>
  <c r="C59" i="43"/>
  <c r="C60" i="43"/>
  <c r="C61" i="43"/>
  <c r="C62" i="43"/>
  <c r="C63" i="43"/>
  <c r="C64" i="43"/>
  <c r="C65" i="43"/>
  <c r="C66" i="43"/>
  <c r="C67" i="43"/>
  <c r="C68" i="43"/>
  <c r="C69" i="43"/>
  <c r="C70" i="43"/>
  <c r="C71" i="43"/>
  <c r="C72" i="43"/>
  <c r="C73" i="43"/>
  <c r="C74" i="43"/>
  <c r="C75" i="43"/>
  <c r="C76" i="43"/>
  <c r="C77" i="43"/>
  <c r="C78" i="43"/>
  <c r="C79" i="43"/>
  <c r="C80" i="43"/>
  <c r="C81" i="43"/>
  <c r="C82" i="43"/>
  <c r="C83" i="43"/>
  <c r="C84" i="43"/>
  <c r="C85" i="43"/>
  <c r="C86" i="43"/>
  <c r="C87" i="43"/>
  <c r="C88" i="43"/>
  <c r="C89" i="43"/>
  <c r="C90" i="43"/>
  <c r="C91" i="43"/>
  <c r="C92" i="43"/>
  <c r="C93" i="43"/>
  <c r="C94" i="43"/>
  <c r="C95" i="43"/>
  <c r="C96" i="43"/>
  <c r="C97" i="43"/>
  <c r="C98" i="43"/>
  <c r="C99" i="43"/>
  <c r="C100" i="43"/>
  <c r="C101" i="43"/>
  <c r="C102" i="43"/>
  <c r="C103" i="43"/>
  <c r="C104" i="43"/>
  <c r="C105" i="43"/>
  <c r="C106" i="43"/>
  <c r="C107" i="43"/>
  <c r="C108" i="43"/>
  <c r="C109" i="43"/>
  <c r="C110" i="43"/>
  <c r="C111" i="43"/>
  <c r="C112" i="43"/>
  <c r="C113" i="43"/>
  <c r="C114" i="43"/>
  <c r="C115" i="43"/>
  <c r="C116" i="43"/>
  <c r="C117" i="43"/>
  <c r="C118" i="43"/>
  <c r="C119" i="43"/>
  <c r="C120" i="43"/>
  <c r="C121" i="43"/>
  <c r="C122" i="43"/>
  <c r="C123" i="43"/>
  <c r="C124" i="43"/>
  <c r="C125" i="43"/>
  <c r="C126" i="43"/>
  <c r="C127" i="43"/>
  <c r="C128" i="43"/>
  <c r="C129" i="43"/>
  <c r="C130" i="43"/>
  <c r="C131" i="43"/>
  <c r="C132" i="43"/>
  <c r="C133" i="43"/>
  <c r="C134" i="43"/>
  <c r="C135" i="43"/>
  <c r="C136" i="43"/>
  <c r="H3" i="42" s="1"/>
  <c r="C137" i="43"/>
  <c r="C138" i="43"/>
  <c r="C139" i="43"/>
  <c r="C140" i="43"/>
  <c r="C141" i="43"/>
  <c r="C142" i="43"/>
  <c r="C143" i="43"/>
  <c r="C144" i="43"/>
  <c r="C145" i="43"/>
  <c r="C146" i="43"/>
  <c r="C147" i="43"/>
  <c r="C148" i="43"/>
  <c r="C149" i="43"/>
  <c r="C150" i="43"/>
  <c r="C151" i="43"/>
  <c r="C152" i="43"/>
  <c r="C153" i="43"/>
  <c r="C154" i="43"/>
  <c r="C155" i="43"/>
  <c r="C156" i="43"/>
  <c r="C157" i="43"/>
  <c r="C158" i="43"/>
  <c r="C159" i="43"/>
  <c r="C160" i="43"/>
  <c r="C161" i="43"/>
  <c r="C162" i="43"/>
  <c r="C163" i="43"/>
  <c r="C164" i="43"/>
  <c r="C165" i="43"/>
  <c r="C166" i="43"/>
  <c r="C167" i="43"/>
  <c r="C168" i="43"/>
  <c r="C169" i="43"/>
  <c r="C170" i="43"/>
  <c r="C171" i="43"/>
  <c r="C172" i="43"/>
  <c r="C173" i="43"/>
  <c r="C174" i="43"/>
  <c r="C175" i="43"/>
  <c r="C176" i="43"/>
  <c r="C177" i="43"/>
  <c r="C178" i="43"/>
  <c r="C179" i="43"/>
  <c r="C180" i="43"/>
  <c r="C181" i="43"/>
  <c r="C182" i="43"/>
  <c r="C183" i="43"/>
  <c r="C184" i="43"/>
  <c r="C185" i="43"/>
  <c r="C186" i="43"/>
  <c r="C187" i="43"/>
  <c r="C188" i="43"/>
  <c r="C189" i="43"/>
  <c r="C190" i="43"/>
  <c r="C191" i="43"/>
  <c r="C192" i="43"/>
  <c r="C193" i="43"/>
  <c r="C194" i="43"/>
  <c r="C195" i="43"/>
  <c r="C196" i="43"/>
  <c r="C197" i="43"/>
  <c r="C198" i="43"/>
  <c r="C199" i="43"/>
  <c r="C200" i="43"/>
  <c r="C201" i="43"/>
  <c r="C202" i="43"/>
  <c r="C203" i="43"/>
  <c r="C204" i="43"/>
  <c r="C205" i="43"/>
  <c r="C206" i="43"/>
  <c r="C207" i="43"/>
  <c r="C208" i="43"/>
  <c r="C209" i="43"/>
  <c r="C210" i="43"/>
  <c r="C211" i="43"/>
  <c r="C212" i="43"/>
  <c r="C213" i="43"/>
  <c r="C214" i="43"/>
  <c r="C215" i="43"/>
  <c r="C216" i="43"/>
  <c r="C217" i="43"/>
  <c r="C218" i="43"/>
  <c r="C219" i="43"/>
  <c r="C220" i="43"/>
  <c r="C221" i="43"/>
  <c r="C222" i="43"/>
  <c r="C223" i="43"/>
  <c r="C224" i="43"/>
  <c r="C225" i="43"/>
  <c r="C226" i="43"/>
  <c r="C227" i="43"/>
  <c r="C228" i="43"/>
  <c r="C229" i="43"/>
  <c r="C230" i="43"/>
  <c r="C231" i="43"/>
  <c r="C232" i="43"/>
  <c r="C233" i="43"/>
  <c r="C234" i="43"/>
  <c r="C235" i="43"/>
  <c r="C236" i="43"/>
  <c r="C237" i="43"/>
  <c r="C238" i="43"/>
  <c r="C239" i="43"/>
  <c r="C240" i="43"/>
  <c r="C2" i="43"/>
  <c r="H10" i="42" s="1"/>
  <c r="H7" i="42"/>
  <c r="H23" i="42"/>
  <c r="H81" i="42"/>
  <c r="H5" i="42"/>
  <c r="H4" i="42"/>
  <c r="H30" i="42"/>
  <c r="H64" i="42"/>
  <c r="H52" i="42"/>
  <c r="H6" i="42"/>
  <c r="H24" i="42"/>
  <c r="H25" i="42"/>
  <c r="H19" i="42"/>
  <c r="H48" i="42"/>
  <c r="H62" i="42"/>
  <c r="H44" i="42"/>
  <c r="H47" i="42"/>
  <c r="H65" i="42"/>
  <c r="H75" i="42"/>
  <c r="H72" i="42"/>
  <c r="H40" i="42"/>
  <c r="H69" i="42"/>
  <c r="H70" i="42"/>
  <c r="H83" i="42"/>
  <c r="H46" i="42"/>
  <c r="H22" i="42"/>
  <c r="H42" i="42"/>
  <c r="H32" i="42"/>
  <c r="H49" i="42"/>
  <c r="H26" i="42"/>
  <c r="H58" i="42"/>
  <c r="H37" i="42"/>
  <c r="H41" i="42"/>
  <c r="H20" i="42"/>
  <c r="H67" i="42"/>
  <c r="H80" i="42"/>
  <c r="H79" i="42"/>
  <c r="H77" i="42"/>
  <c r="H8" i="42"/>
  <c r="H9" i="42"/>
  <c r="H11" i="42"/>
  <c r="H12" i="42"/>
  <c r="H13" i="42"/>
  <c r="H16" i="42"/>
  <c r="H35" i="42"/>
  <c r="H57" i="42"/>
  <c r="H27" i="42"/>
  <c r="H14" i="42"/>
  <c r="H55" i="42"/>
  <c r="H15" i="42"/>
  <c r="H43" i="42"/>
  <c r="H76" i="42"/>
  <c r="H34" i="42"/>
  <c r="H36" i="42"/>
  <c r="H45" i="42"/>
  <c r="H50" i="42"/>
  <c r="H18" i="42"/>
  <c r="H53" i="42"/>
  <c r="H33" i="42"/>
  <c r="H56" i="42"/>
  <c r="H63" i="42"/>
  <c r="H74" i="42"/>
  <c r="H39" i="42"/>
  <c r="H38" i="42"/>
  <c r="H31" i="42"/>
  <c r="H59" i="42"/>
  <c r="H71" i="42"/>
  <c r="H60" i="42"/>
  <c r="H28" i="42"/>
  <c r="H54" i="42"/>
  <c r="H66" i="42"/>
  <c r="H61" i="42"/>
  <c r="H78" i="42"/>
  <c r="H51" i="42"/>
  <c r="H21" i="42"/>
  <c r="H68" i="42"/>
  <c r="H29" i="42"/>
  <c r="B4" i="36"/>
  <c r="B31" i="36"/>
  <c r="B41" i="36"/>
  <c r="B5" i="36"/>
  <c r="B70" i="36"/>
  <c r="B71" i="36"/>
  <c r="B84" i="36"/>
  <c r="B47" i="36"/>
  <c r="B23" i="36"/>
  <c r="B43" i="36"/>
  <c r="B33" i="36"/>
  <c r="B50" i="36"/>
  <c r="B27" i="36"/>
  <c r="B59" i="36"/>
  <c r="B38" i="36"/>
  <c r="V37" i="42" s="1"/>
  <c r="B42" i="36"/>
  <c r="B21" i="36"/>
  <c r="B68" i="36"/>
  <c r="B80" i="36"/>
  <c r="B81" i="36"/>
  <c r="B78" i="36"/>
  <c r="B9" i="36"/>
  <c r="B10" i="36"/>
  <c r="B12" i="36"/>
  <c r="B13" i="36"/>
  <c r="B14" i="36"/>
  <c r="B17" i="36"/>
  <c r="B36" i="36"/>
  <c r="B58" i="36"/>
  <c r="B28" i="36"/>
  <c r="B15" i="36"/>
  <c r="B56" i="36"/>
  <c r="B16" i="36"/>
  <c r="B44" i="36"/>
  <c r="B77" i="36"/>
  <c r="B35" i="36"/>
  <c r="B37" i="36"/>
  <c r="B46" i="36"/>
  <c r="B51" i="36"/>
  <c r="B19" i="36"/>
  <c r="B20" i="36"/>
  <c r="B54" i="36"/>
  <c r="B34" i="36"/>
  <c r="B57" i="36"/>
  <c r="W56" i="42" s="1"/>
  <c r="B64" i="36"/>
  <c r="B75" i="36"/>
  <c r="B40" i="36"/>
  <c r="B8" i="36"/>
  <c r="V7" i="42" s="1"/>
  <c r="B39" i="36"/>
  <c r="B32" i="36"/>
  <c r="B60" i="36"/>
  <c r="B72" i="36"/>
  <c r="B61" i="36"/>
  <c r="B29" i="36"/>
  <c r="B55" i="36"/>
  <c r="B67" i="36"/>
  <c r="B62" i="36"/>
  <c r="B79" i="36"/>
  <c r="B52" i="36"/>
  <c r="B22" i="36"/>
  <c r="B69" i="36"/>
  <c r="C1" i="17"/>
  <c r="D1" i="17"/>
  <c r="Q4" i="42"/>
  <c r="Q5" i="42"/>
  <c r="Q6" i="42"/>
  <c r="Q7" i="42"/>
  <c r="Q8" i="42"/>
  <c r="Q9" i="42"/>
  <c r="Q10" i="42"/>
  <c r="Q11" i="42"/>
  <c r="Q12" i="42"/>
  <c r="Q13" i="42"/>
  <c r="Q14" i="42"/>
  <c r="Q15" i="42"/>
  <c r="Q16" i="42"/>
  <c r="Q17" i="42"/>
  <c r="Q18" i="42"/>
  <c r="Q19" i="42"/>
  <c r="Q20" i="42"/>
  <c r="Q21" i="42"/>
  <c r="Q22" i="42"/>
  <c r="Q23" i="42"/>
  <c r="Q24" i="42"/>
  <c r="Q25" i="42"/>
  <c r="Q26" i="42"/>
  <c r="Q27" i="42"/>
  <c r="Q28" i="42"/>
  <c r="Q29" i="42"/>
  <c r="Q30" i="42"/>
  <c r="Q31" i="42"/>
  <c r="Q32" i="42"/>
  <c r="Q33" i="42"/>
  <c r="Q34" i="42"/>
  <c r="Q35" i="42"/>
  <c r="Q36" i="42"/>
  <c r="Q37" i="42"/>
  <c r="Q38" i="42"/>
  <c r="Q39" i="42"/>
  <c r="Q40" i="42"/>
  <c r="Q41" i="42"/>
  <c r="Q42" i="42"/>
  <c r="Q43" i="42"/>
  <c r="Q44" i="42"/>
  <c r="Q45" i="42"/>
  <c r="Q46" i="42"/>
  <c r="Q47" i="42"/>
  <c r="Q48" i="42"/>
  <c r="Q49" i="42"/>
  <c r="Q50" i="42"/>
  <c r="Q51" i="42"/>
  <c r="Q52" i="42"/>
  <c r="Q53" i="42"/>
  <c r="Q54" i="42"/>
  <c r="Q55" i="42"/>
  <c r="Q56" i="42"/>
  <c r="Q57" i="42"/>
  <c r="Q58" i="42"/>
  <c r="Q59" i="42"/>
  <c r="Q60" i="42"/>
  <c r="Q61" i="42"/>
  <c r="Q62" i="42"/>
  <c r="Q63" i="42"/>
  <c r="Q64" i="42"/>
  <c r="Q65" i="42"/>
  <c r="Q66" i="42"/>
  <c r="Q67" i="42"/>
  <c r="Q68" i="42"/>
  <c r="Q69" i="42"/>
  <c r="Q70" i="42"/>
  <c r="Q71" i="42"/>
  <c r="Q72" i="42"/>
  <c r="Q73" i="42"/>
  <c r="Q74" i="42"/>
  <c r="Q75" i="42"/>
  <c r="Q76" i="42"/>
  <c r="Q77" i="42"/>
  <c r="Q78" i="42"/>
  <c r="Q79" i="42"/>
  <c r="Q80" i="42"/>
  <c r="Q81" i="42"/>
  <c r="Q82" i="42"/>
  <c r="Q83" i="42"/>
  <c r="Q84" i="42"/>
  <c r="P4" i="42"/>
  <c r="P5" i="42"/>
  <c r="P6" i="42"/>
  <c r="P7" i="42"/>
  <c r="P8" i="42"/>
  <c r="P9" i="42"/>
  <c r="P10" i="42"/>
  <c r="P11" i="42"/>
  <c r="P12" i="42"/>
  <c r="P13" i="42"/>
  <c r="P14" i="42"/>
  <c r="P15" i="42"/>
  <c r="P16" i="42"/>
  <c r="P17" i="42"/>
  <c r="P18" i="42"/>
  <c r="P19" i="42"/>
  <c r="P20" i="42"/>
  <c r="P21" i="42"/>
  <c r="P22" i="42"/>
  <c r="P23" i="42"/>
  <c r="P24" i="42"/>
  <c r="P25" i="42"/>
  <c r="P26" i="42"/>
  <c r="P27" i="42"/>
  <c r="P28" i="42"/>
  <c r="P29" i="42"/>
  <c r="P30" i="42"/>
  <c r="P31" i="42"/>
  <c r="P32" i="42"/>
  <c r="P33" i="42"/>
  <c r="P34" i="42"/>
  <c r="P35" i="42"/>
  <c r="P36" i="42"/>
  <c r="P37" i="42"/>
  <c r="P38" i="42"/>
  <c r="P39" i="42"/>
  <c r="P40" i="42"/>
  <c r="P41" i="42"/>
  <c r="P42" i="42"/>
  <c r="P43" i="42"/>
  <c r="P44" i="42"/>
  <c r="P45" i="42"/>
  <c r="P46" i="42"/>
  <c r="P47" i="42"/>
  <c r="P48" i="42"/>
  <c r="P49" i="42"/>
  <c r="P50" i="42"/>
  <c r="P51" i="42"/>
  <c r="P52" i="42"/>
  <c r="P53" i="42"/>
  <c r="P54" i="42"/>
  <c r="P55" i="42"/>
  <c r="P56" i="42"/>
  <c r="P57" i="42"/>
  <c r="P58" i="42"/>
  <c r="P59" i="42"/>
  <c r="P60" i="42"/>
  <c r="P61" i="42"/>
  <c r="P62" i="42"/>
  <c r="P63" i="42"/>
  <c r="P64" i="42"/>
  <c r="P65" i="42"/>
  <c r="P66" i="42"/>
  <c r="P67" i="42"/>
  <c r="P68" i="42"/>
  <c r="P69" i="42"/>
  <c r="P70" i="42"/>
  <c r="P71" i="42"/>
  <c r="P72" i="42"/>
  <c r="P73" i="42"/>
  <c r="P74" i="42"/>
  <c r="P75" i="42"/>
  <c r="P76" i="42"/>
  <c r="P77" i="42"/>
  <c r="P78" i="42"/>
  <c r="P79" i="42"/>
  <c r="P80" i="42"/>
  <c r="P81" i="42"/>
  <c r="P82" i="42"/>
  <c r="P83" i="42"/>
  <c r="P84" i="42"/>
  <c r="O4" i="42"/>
  <c r="O5" i="42"/>
  <c r="O6" i="42"/>
  <c r="O7" i="42"/>
  <c r="O8" i="42"/>
  <c r="O9" i="42"/>
  <c r="O10" i="42"/>
  <c r="O11" i="42"/>
  <c r="O12" i="42"/>
  <c r="O13" i="42"/>
  <c r="O14" i="42"/>
  <c r="O15" i="42"/>
  <c r="O16" i="42"/>
  <c r="O17" i="42"/>
  <c r="O18" i="42"/>
  <c r="O19" i="42"/>
  <c r="O20" i="42"/>
  <c r="O21" i="42"/>
  <c r="O22" i="42"/>
  <c r="O23" i="42"/>
  <c r="O24" i="42"/>
  <c r="O25" i="42"/>
  <c r="O26" i="42"/>
  <c r="O27" i="42"/>
  <c r="O28" i="42"/>
  <c r="O29" i="42"/>
  <c r="O30" i="42"/>
  <c r="O31" i="42"/>
  <c r="O32" i="42"/>
  <c r="O33" i="42"/>
  <c r="O34" i="42"/>
  <c r="O35" i="42"/>
  <c r="O36" i="42"/>
  <c r="O37" i="42"/>
  <c r="O38" i="42"/>
  <c r="O39" i="42"/>
  <c r="O40" i="42"/>
  <c r="O41" i="42"/>
  <c r="O42" i="42"/>
  <c r="O43" i="42"/>
  <c r="O44" i="42"/>
  <c r="O45" i="42"/>
  <c r="O46" i="42"/>
  <c r="O47" i="42"/>
  <c r="O48" i="42"/>
  <c r="O49" i="42"/>
  <c r="O50" i="42"/>
  <c r="O51" i="42"/>
  <c r="O52" i="42"/>
  <c r="O53" i="42"/>
  <c r="O54" i="42"/>
  <c r="O55" i="42"/>
  <c r="O56" i="42"/>
  <c r="O57" i="42"/>
  <c r="O58" i="42"/>
  <c r="O59" i="42"/>
  <c r="O60" i="42"/>
  <c r="O61" i="42"/>
  <c r="O62" i="42"/>
  <c r="O63" i="42"/>
  <c r="O64" i="42"/>
  <c r="O65" i="42"/>
  <c r="O66" i="42"/>
  <c r="O67" i="42"/>
  <c r="O68" i="42"/>
  <c r="O69" i="42"/>
  <c r="O70" i="42"/>
  <c r="O71" i="42"/>
  <c r="O72" i="42"/>
  <c r="O73" i="42"/>
  <c r="O74" i="42"/>
  <c r="O75" i="42"/>
  <c r="O76" i="42"/>
  <c r="O77" i="42"/>
  <c r="O78" i="42"/>
  <c r="O79" i="42"/>
  <c r="O80" i="42"/>
  <c r="O81" i="42"/>
  <c r="O82" i="42"/>
  <c r="O83" i="42"/>
  <c r="O84" i="42"/>
  <c r="N4" i="42"/>
  <c r="N5" i="42"/>
  <c r="N6" i="42"/>
  <c r="N7" i="42"/>
  <c r="N8" i="42"/>
  <c r="N9" i="42"/>
  <c r="N10" i="42"/>
  <c r="N11" i="42"/>
  <c r="N12" i="42"/>
  <c r="N13" i="42"/>
  <c r="N14" i="42"/>
  <c r="N15" i="42"/>
  <c r="N16" i="42"/>
  <c r="N17" i="42"/>
  <c r="N18" i="42"/>
  <c r="N19" i="42"/>
  <c r="N20" i="42"/>
  <c r="N21" i="42"/>
  <c r="N22" i="42"/>
  <c r="N23" i="42"/>
  <c r="N24" i="42"/>
  <c r="N25" i="42"/>
  <c r="N26" i="42"/>
  <c r="N27" i="42"/>
  <c r="N28" i="42"/>
  <c r="N29" i="42"/>
  <c r="N30" i="42"/>
  <c r="N31" i="42"/>
  <c r="N32" i="42"/>
  <c r="N33" i="42"/>
  <c r="N34" i="42"/>
  <c r="N35" i="42"/>
  <c r="N36" i="42"/>
  <c r="N37" i="42"/>
  <c r="N38" i="42"/>
  <c r="N39" i="42"/>
  <c r="N40" i="42"/>
  <c r="N41" i="42"/>
  <c r="N42" i="42"/>
  <c r="N43" i="42"/>
  <c r="N44" i="42"/>
  <c r="N45" i="42"/>
  <c r="N46" i="42"/>
  <c r="N47" i="42"/>
  <c r="N48" i="42"/>
  <c r="N49" i="42"/>
  <c r="N50" i="42"/>
  <c r="N51" i="42"/>
  <c r="N52" i="42"/>
  <c r="N53" i="42"/>
  <c r="N54" i="42"/>
  <c r="N55" i="42"/>
  <c r="N56" i="42"/>
  <c r="N57" i="42"/>
  <c r="N58" i="42"/>
  <c r="N59" i="42"/>
  <c r="N60" i="42"/>
  <c r="N61" i="42"/>
  <c r="N62" i="42"/>
  <c r="N63" i="42"/>
  <c r="N64" i="42"/>
  <c r="N65" i="42"/>
  <c r="N66" i="42"/>
  <c r="N67" i="42"/>
  <c r="N68" i="42"/>
  <c r="N69" i="42"/>
  <c r="N70" i="42"/>
  <c r="N71" i="42"/>
  <c r="N72" i="42"/>
  <c r="N73" i="42"/>
  <c r="N74" i="42"/>
  <c r="N75" i="42"/>
  <c r="N76" i="42"/>
  <c r="N77" i="42"/>
  <c r="N78" i="42"/>
  <c r="N79" i="42"/>
  <c r="N80" i="42"/>
  <c r="N81" i="42"/>
  <c r="N82" i="42"/>
  <c r="N83" i="42"/>
  <c r="N84" i="42"/>
  <c r="M4" i="42"/>
  <c r="M5" i="42"/>
  <c r="M6" i="42"/>
  <c r="M7" i="42"/>
  <c r="M8" i="42"/>
  <c r="M9" i="42"/>
  <c r="M10" i="42"/>
  <c r="M11" i="42"/>
  <c r="M12" i="42"/>
  <c r="M13" i="42"/>
  <c r="M14" i="42"/>
  <c r="M15" i="42"/>
  <c r="M16" i="42"/>
  <c r="M17" i="42"/>
  <c r="M18" i="42"/>
  <c r="M19" i="42"/>
  <c r="M20" i="42"/>
  <c r="M21" i="42"/>
  <c r="M22" i="42"/>
  <c r="M23" i="42"/>
  <c r="M24" i="42"/>
  <c r="M25" i="42"/>
  <c r="M26" i="42"/>
  <c r="M27" i="42"/>
  <c r="M28" i="42"/>
  <c r="M29" i="42"/>
  <c r="M30" i="42"/>
  <c r="M31" i="42"/>
  <c r="M32" i="42"/>
  <c r="M33" i="42"/>
  <c r="M34" i="42"/>
  <c r="M35" i="42"/>
  <c r="M36" i="42"/>
  <c r="M37" i="42"/>
  <c r="M38" i="42"/>
  <c r="M39" i="42"/>
  <c r="M40" i="42"/>
  <c r="M41" i="42"/>
  <c r="M42" i="42"/>
  <c r="M43" i="42"/>
  <c r="M44" i="42"/>
  <c r="M45" i="42"/>
  <c r="M46" i="42"/>
  <c r="M47" i="42"/>
  <c r="M48" i="42"/>
  <c r="M49" i="42"/>
  <c r="M50" i="42"/>
  <c r="M51" i="42"/>
  <c r="M52" i="42"/>
  <c r="M53" i="42"/>
  <c r="M54" i="42"/>
  <c r="M55" i="42"/>
  <c r="M56" i="42"/>
  <c r="M57" i="42"/>
  <c r="M58" i="42"/>
  <c r="M59" i="42"/>
  <c r="M60" i="42"/>
  <c r="M61" i="42"/>
  <c r="M62" i="42"/>
  <c r="M63" i="42"/>
  <c r="M64" i="42"/>
  <c r="M65" i="42"/>
  <c r="M66" i="42"/>
  <c r="M67" i="42"/>
  <c r="M68" i="42"/>
  <c r="M69" i="42"/>
  <c r="M70" i="42"/>
  <c r="M71" i="42"/>
  <c r="M72" i="42"/>
  <c r="M73" i="42"/>
  <c r="M74" i="42"/>
  <c r="M75" i="42"/>
  <c r="M76" i="42"/>
  <c r="M77" i="42"/>
  <c r="M78" i="42"/>
  <c r="M79" i="42"/>
  <c r="M80" i="42"/>
  <c r="M81" i="42"/>
  <c r="M82" i="42"/>
  <c r="M83" i="42"/>
  <c r="M84" i="42"/>
  <c r="L4" i="42"/>
  <c r="L5" i="42"/>
  <c r="L6" i="42"/>
  <c r="L7" i="42"/>
  <c r="L8" i="42"/>
  <c r="L9" i="42"/>
  <c r="L10" i="42"/>
  <c r="L11" i="42"/>
  <c r="L12" i="42"/>
  <c r="L13" i="42"/>
  <c r="L14" i="42"/>
  <c r="L15" i="42"/>
  <c r="L16" i="42"/>
  <c r="L17" i="42"/>
  <c r="L18" i="42"/>
  <c r="L19" i="42"/>
  <c r="L20" i="42"/>
  <c r="L21" i="42"/>
  <c r="L22" i="42"/>
  <c r="L23" i="42"/>
  <c r="L24" i="42"/>
  <c r="L25" i="42"/>
  <c r="L26" i="42"/>
  <c r="L27" i="42"/>
  <c r="L28" i="42"/>
  <c r="L29" i="42"/>
  <c r="L30" i="42"/>
  <c r="L31" i="42"/>
  <c r="L32" i="42"/>
  <c r="L33" i="42"/>
  <c r="L34" i="42"/>
  <c r="L35" i="42"/>
  <c r="L36" i="42"/>
  <c r="L37" i="42"/>
  <c r="L38" i="42"/>
  <c r="L39" i="42"/>
  <c r="L40" i="42"/>
  <c r="L41" i="42"/>
  <c r="L42" i="42"/>
  <c r="L43" i="42"/>
  <c r="L44" i="42"/>
  <c r="L45" i="42"/>
  <c r="L46" i="42"/>
  <c r="L47" i="42"/>
  <c r="L48" i="42"/>
  <c r="L49" i="42"/>
  <c r="L50" i="42"/>
  <c r="L51" i="42"/>
  <c r="L52" i="42"/>
  <c r="L53" i="42"/>
  <c r="L54" i="42"/>
  <c r="L55" i="42"/>
  <c r="L56" i="42"/>
  <c r="L57" i="42"/>
  <c r="L58" i="42"/>
  <c r="L59" i="42"/>
  <c r="L60" i="42"/>
  <c r="L61" i="42"/>
  <c r="L62" i="42"/>
  <c r="L63" i="42"/>
  <c r="L64" i="42"/>
  <c r="L65" i="42"/>
  <c r="L66" i="42"/>
  <c r="L67" i="42"/>
  <c r="L68" i="42"/>
  <c r="L69" i="42"/>
  <c r="L70" i="42"/>
  <c r="L71" i="42"/>
  <c r="L72" i="42"/>
  <c r="L73" i="42"/>
  <c r="L74" i="42"/>
  <c r="L75" i="42"/>
  <c r="L76" i="42"/>
  <c r="L77" i="42"/>
  <c r="L78" i="42"/>
  <c r="L79" i="42"/>
  <c r="L80" i="42"/>
  <c r="L81" i="42"/>
  <c r="L82" i="42"/>
  <c r="L83" i="42"/>
  <c r="L84" i="42"/>
  <c r="K4" i="42"/>
  <c r="K5" i="42"/>
  <c r="K6" i="42"/>
  <c r="K7" i="42"/>
  <c r="K8" i="42"/>
  <c r="K9" i="42"/>
  <c r="K10" i="42"/>
  <c r="K11" i="42"/>
  <c r="K12" i="42"/>
  <c r="K13" i="42"/>
  <c r="K14" i="42"/>
  <c r="K15" i="42"/>
  <c r="K16" i="42"/>
  <c r="K17" i="42"/>
  <c r="K18" i="42"/>
  <c r="K19" i="42"/>
  <c r="K20" i="42"/>
  <c r="K21" i="42"/>
  <c r="K22" i="42"/>
  <c r="K23" i="42"/>
  <c r="K24" i="42"/>
  <c r="K25" i="42"/>
  <c r="K26" i="42"/>
  <c r="K27" i="42"/>
  <c r="K28" i="42"/>
  <c r="K29" i="42"/>
  <c r="K30" i="42"/>
  <c r="K31" i="42"/>
  <c r="K32" i="42"/>
  <c r="K33" i="42"/>
  <c r="K34" i="42"/>
  <c r="K35" i="42"/>
  <c r="K36" i="42"/>
  <c r="K37" i="42"/>
  <c r="K38" i="42"/>
  <c r="K39" i="42"/>
  <c r="K40" i="42"/>
  <c r="K41" i="42"/>
  <c r="K42" i="42"/>
  <c r="K43" i="42"/>
  <c r="K44" i="42"/>
  <c r="K45" i="42"/>
  <c r="K46" i="42"/>
  <c r="K47" i="42"/>
  <c r="K48" i="42"/>
  <c r="K49" i="42"/>
  <c r="K50" i="42"/>
  <c r="K51" i="42"/>
  <c r="K52" i="42"/>
  <c r="K53" i="42"/>
  <c r="K54" i="42"/>
  <c r="K55" i="42"/>
  <c r="K56" i="42"/>
  <c r="K57" i="42"/>
  <c r="K58" i="42"/>
  <c r="K59" i="42"/>
  <c r="K60" i="42"/>
  <c r="K61" i="42"/>
  <c r="K62" i="42"/>
  <c r="K63" i="42"/>
  <c r="K64" i="42"/>
  <c r="K65" i="42"/>
  <c r="K66" i="42"/>
  <c r="K67" i="42"/>
  <c r="K68" i="42"/>
  <c r="K69" i="42"/>
  <c r="K70" i="42"/>
  <c r="K71" i="42"/>
  <c r="K72" i="42"/>
  <c r="K73" i="42"/>
  <c r="K74" i="42"/>
  <c r="K75" i="42"/>
  <c r="K76" i="42"/>
  <c r="K77" i="42"/>
  <c r="K78" i="42"/>
  <c r="K79" i="42"/>
  <c r="K80" i="42"/>
  <c r="K81" i="42"/>
  <c r="K82" i="42"/>
  <c r="K83" i="42"/>
  <c r="K84" i="42"/>
  <c r="K3" i="42"/>
  <c r="Q3" i="42"/>
  <c r="P3" i="42"/>
  <c r="O3" i="42"/>
  <c r="N3" i="42"/>
  <c r="M3" i="42"/>
  <c r="L3" i="42"/>
  <c r="H1" i="36"/>
  <c r="P1" i="36"/>
  <c r="Q1" i="36"/>
  <c r="AB1" i="36"/>
  <c r="B49" i="36"/>
  <c r="B48" i="36"/>
  <c r="B63" i="36"/>
  <c r="B76" i="36"/>
  <c r="B26" i="36"/>
  <c r="B45" i="36"/>
  <c r="B24" i="36"/>
  <c r="B65" i="36"/>
  <c r="S64" i="42"/>
  <c r="B30" i="36"/>
  <c r="B25" i="36"/>
  <c r="V48" i="42" s="1"/>
  <c r="W62" i="42"/>
  <c r="B6" i="36"/>
  <c r="V44" i="42" s="1"/>
  <c r="B7" i="36"/>
  <c r="B85" i="36"/>
  <c r="B18" i="36"/>
  <c r="S84" i="42" s="1"/>
  <c r="V4" i="42"/>
  <c r="B73" i="36"/>
  <c r="S69" i="42" s="1"/>
  <c r="B74" i="36"/>
  <c r="S83" i="42"/>
  <c r="B53" i="36"/>
  <c r="V46" i="42" s="1"/>
  <c r="B11" i="36"/>
  <c r="V42" i="42" s="1"/>
  <c r="V32" i="42"/>
  <c r="B66" i="36"/>
  <c r="B83" i="36"/>
  <c r="B82" i="36"/>
  <c r="V10" i="42"/>
  <c r="B30" i="42"/>
  <c r="D30" i="42"/>
  <c r="F30" i="42"/>
  <c r="D4" i="42"/>
  <c r="D5" i="42"/>
  <c r="D6" i="42"/>
  <c r="D7" i="42"/>
  <c r="D8" i="42"/>
  <c r="D9" i="42"/>
  <c r="D10" i="42"/>
  <c r="D11" i="42"/>
  <c r="D12" i="42"/>
  <c r="D13" i="42"/>
  <c r="D14" i="42"/>
  <c r="D15" i="42"/>
  <c r="D16" i="42"/>
  <c r="D17" i="42"/>
  <c r="D18" i="42"/>
  <c r="D19" i="42"/>
  <c r="D20" i="42"/>
  <c r="D21" i="42"/>
  <c r="D22" i="42"/>
  <c r="D23" i="42"/>
  <c r="D24" i="42"/>
  <c r="D25" i="42"/>
  <c r="D26" i="42"/>
  <c r="D27" i="42"/>
  <c r="D28" i="42"/>
  <c r="D29" i="42"/>
  <c r="D31" i="42"/>
  <c r="D32" i="42"/>
  <c r="D33" i="42"/>
  <c r="D34" i="42"/>
  <c r="D35" i="42"/>
  <c r="D36" i="42"/>
  <c r="D37" i="42"/>
  <c r="D38" i="42"/>
  <c r="D39" i="42"/>
  <c r="D40" i="42"/>
  <c r="D41" i="42"/>
  <c r="D42" i="42"/>
  <c r="D43" i="42"/>
  <c r="D44" i="42"/>
  <c r="D45" i="42"/>
  <c r="D46" i="42"/>
  <c r="D47" i="42"/>
  <c r="D48" i="42"/>
  <c r="D49" i="42"/>
  <c r="D50" i="42"/>
  <c r="D51" i="42"/>
  <c r="D52" i="42"/>
  <c r="D53" i="42"/>
  <c r="D54" i="42"/>
  <c r="D55" i="42"/>
  <c r="D56" i="42"/>
  <c r="D57" i="42"/>
  <c r="D58" i="42"/>
  <c r="D59" i="42"/>
  <c r="D60" i="42"/>
  <c r="D61" i="42"/>
  <c r="D62" i="42"/>
  <c r="D63" i="42"/>
  <c r="D64" i="42"/>
  <c r="D65" i="42"/>
  <c r="D66" i="42"/>
  <c r="D67" i="42"/>
  <c r="D68" i="42"/>
  <c r="D69" i="42"/>
  <c r="D70" i="42"/>
  <c r="D71" i="42"/>
  <c r="D72" i="42"/>
  <c r="D73" i="42"/>
  <c r="D74" i="42"/>
  <c r="D75" i="42"/>
  <c r="D76" i="42"/>
  <c r="D77" i="42"/>
  <c r="D78" i="42"/>
  <c r="D79" i="42"/>
  <c r="D80" i="42"/>
  <c r="D81" i="42"/>
  <c r="D82" i="42"/>
  <c r="D83" i="42"/>
  <c r="D84" i="42"/>
  <c r="D3" i="42"/>
  <c r="F4" i="42"/>
  <c r="F5" i="42"/>
  <c r="F6" i="42"/>
  <c r="F7" i="42"/>
  <c r="F8" i="42"/>
  <c r="F9" i="42"/>
  <c r="F10" i="42"/>
  <c r="F11" i="42"/>
  <c r="F12" i="42"/>
  <c r="F13" i="42"/>
  <c r="F14" i="42"/>
  <c r="F15" i="42"/>
  <c r="F16" i="42"/>
  <c r="F17" i="42"/>
  <c r="F18" i="42"/>
  <c r="F19" i="42"/>
  <c r="F20" i="42"/>
  <c r="F21" i="42"/>
  <c r="F22" i="42"/>
  <c r="F23" i="42"/>
  <c r="F24" i="42"/>
  <c r="F25" i="42"/>
  <c r="F26" i="42"/>
  <c r="F27" i="42"/>
  <c r="F28" i="42"/>
  <c r="F29" i="42"/>
  <c r="F31" i="42"/>
  <c r="F32" i="42"/>
  <c r="F33" i="42"/>
  <c r="F34" i="42"/>
  <c r="F35" i="42"/>
  <c r="F36" i="42"/>
  <c r="F37" i="42"/>
  <c r="F38" i="42"/>
  <c r="F39" i="42"/>
  <c r="F40" i="42"/>
  <c r="F41" i="42"/>
  <c r="F42" i="42"/>
  <c r="F43" i="42"/>
  <c r="F44" i="42"/>
  <c r="F45" i="42"/>
  <c r="F46" i="42"/>
  <c r="F47" i="42"/>
  <c r="F48" i="42"/>
  <c r="F49" i="42"/>
  <c r="F50" i="42"/>
  <c r="F51" i="42"/>
  <c r="F52" i="42"/>
  <c r="F53" i="42"/>
  <c r="F54" i="42"/>
  <c r="F55" i="42"/>
  <c r="F56" i="42"/>
  <c r="F57" i="42"/>
  <c r="F58" i="42"/>
  <c r="F59" i="42"/>
  <c r="F60" i="42"/>
  <c r="F61" i="42"/>
  <c r="F62" i="42"/>
  <c r="F63" i="42"/>
  <c r="F64" i="42"/>
  <c r="F65" i="42"/>
  <c r="F66" i="42"/>
  <c r="F67" i="42"/>
  <c r="F68" i="42"/>
  <c r="F69" i="42"/>
  <c r="F70" i="42"/>
  <c r="F71" i="42"/>
  <c r="F72" i="42"/>
  <c r="F73" i="42"/>
  <c r="F74" i="42"/>
  <c r="F75" i="42"/>
  <c r="F76" i="42"/>
  <c r="F77" i="42"/>
  <c r="F78" i="42"/>
  <c r="F79" i="42"/>
  <c r="F80" i="42"/>
  <c r="F81" i="42"/>
  <c r="F82" i="42"/>
  <c r="F83" i="42"/>
  <c r="F84" i="42"/>
  <c r="F3" i="42"/>
  <c r="B4" i="42"/>
  <c r="B5" i="42"/>
  <c r="B6" i="42"/>
  <c r="B7" i="42"/>
  <c r="B8" i="42"/>
  <c r="B9" i="42"/>
  <c r="B10" i="42"/>
  <c r="B11" i="42"/>
  <c r="B12" i="42"/>
  <c r="B13" i="42"/>
  <c r="B14" i="42"/>
  <c r="B15" i="42"/>
  <c r="B16" i="42"/>
  <c r="B17" i="42"/>
  <c r="B18" i="42"/>
  <c r="B19" i="42"/>
  <c r="B20" i="42"/>
  <c r="B21" i="42"/>
  <c r="B22" i="42"/>
  <c r="B23" i="42"/>
  <c r="B24" i="42"/>
  <c r="B25" i="42"/>
  <c r="B26" i="42"/>
  <c r="B27" i="42"/>
  <c r="B28" i="42"/>
  <c r="B29" i="42"/>
  <c r="B31" i="42"/>
  <c r="B32" i="42"/>
  <c r="B33" i="42"/>
  <c r="B34" i="42"/>
  <c r="B35" i="42"/>
  <c r="B36" i="42"/>
  <c r="B37" i="42"/>
  <c r="B38" i="42"/>
  <c r="B39" i="42"/>
  <c r="B40" i="42"/>
  <c r="B41" i="42"/>
  <c r="B42" i="42"/>
  <c r="B43" i="42"/>
  <c r="B44" i="42"/>
  <c r="B45" i="42"/>
  <c r="B46" i="42"/>
  <c r="B47" i="42"/>
  <c r="B48" i="42"/>
  <c r="B49" i="42"/>
  <c r="B50" i="42"/>
  <c r="B51" i="42"/>
  <c r="B52" i="42"/>
  <c r="B53" i="42"/>
  <c r="B54" i="42"/>
  <c r="B55" i="42"/>
  <c r="B56" i="42"/>
  <c r="B57" i="42"/>
  <c r="B58" i="42"/>
  <c r="B59" i="42"/>
  <c r="B60" i="42"/>
  <c r="B61" i="42"/>
  <c r="B62" i="42"/>
  <c r="B63" i="42"/>
  <c r="B64" i="42"/>
  <c r="B65" i="42"/>
  <c r="B66" i="42"/>
  <c r="B67" i="42"/>
  <c r="B68" i="42"/>
  <c r="B69" i="42"/>
  <c r="B70" i="42"/>
  <c r="B71" i="42"/>
  <c r="B72" i="42"/>
  <c r="B73" i="42"/>
  <c r="B74" i="42"/>
  <c r="B75" i="42"/>
  <c r="B76" i="42"/>
  <c r="B77" i="42"/>
  <c r="B78" i="42"/>
  <c r="B79" i="42"/>
  <c r="B80" i="42"/>
  <c r="B81" i="42"/>
  <c r="B82" i="42"/>
  <c r="B83" i="42"/>
  <c r="B84" i="42"/>
  <c r="B3" i="42"/>
  <c r="D1" i="24"/>
  <c r="AA137" i="6"/>
  <c r="X137" i="6"/>
  <c r="E137" i="6"/>
  <c r="C137" i="6"/>
  <c r="Q9" i="39"/>
  <c r="D1" i="39"/>
  <c r="D1" i="8"/>
  <c r="D1" i="1"/>
  <c r="Q50" i="39"/>
  <c r="Q51" i="39"/>
  <c r="Q52" i="39"/>
  <c r="Q53" i="39"/>
  <c r="Q54" i="39"/>
  <c r="W60" i="42" l="1"/>
  <c r="W59" i="42"/>
  <c r="W61" i="42"/>
  <c r="V36" i="42"/>
  <c r="S56" i="42"/>
  <c r="S76" i="42"/>
  <c r="S67" i="42"/>
  <c r="S74" i="42"/>
  <c r="V34" i="42"/>
  <c r="V41" i="42"/>
  <c r="W39" i="42"/>
  <c r="V31" i="42"/>
  <c r="U63" i="42"/>
  <c r="V51" i="42"/>
  <c r="S77" i="42"/>
  <c r="W63" i="42"/>
  <c r="Z63" i="42"/>
  <c r="T5" i="42"/>
  <c r="V24" i="42"/>
  <c r="S72" i="42"/>
  <c r="S73" i="42"/>
  <c r="S82" i="42"/>
  <c r="V53" i="42"/>
  <c r="W53" i="42"/>
  <c r="Z80" i="42"/>
  <c r="W80" i="42"/>
  <c r="J22" i="42"/>
  <c r="J23" i="42"/>
  <c r="J24" i="42"/>
  <c r="J25" i="42"/>
  <c r="J26" i="42"/>
  <c r="J27" i="42"/>
  <c r="J28" i="42"/>
  <c r="J29" i="42"/>
  <c r="J30" i="42"/>
  <c r="J31" i="42"/>
  <c r="J32" i="42"/>
  <c r="J33" i="42"/>
  <c r="J34" i="42"/>
  <c r="J35" i="42"/>
  <c r="J36" i="42"/>
  <c r="J37" i="42"/>
  <c r="J38" i="42"/>
  <c r="J39" i="42"/>
  <c r="J40" i="42"/>
  <c r="J4" i="42"/>
  <c r="J5" i="42"/>
  <c r="J6" i="42"/>
  <c r="J7" i="42"/>
  <c r="J8" i="42"/>
  <c r="J9" i="42"/>
  <c r="J10" i="42"/>
  <c r="J11" i="42"/>
  <c r="J12" i="42"/>
  <c r="J13" i="42"/>
  <c r="J14" i="42"/>
  <c r="J15" i="42"/>
  <c r="J16" i="42"/>
  <c r="J17" i="42"/>
  <c r="J18" i="42"/>
  <c r="J19" i="42"/>
  <c r="J20" i="42"/>
  <c r="J21" i="42"/>
  <c r="J52" i="42"/>
  <c r="J53" i="42"/>
  <c r="J54" i="42"/>
  <c r="J55" i="42"/>
  <c r="J56" i="42"/>
  <c r="J57" i="42"/>
  <c r="J58" i="42"/>
  <c r="J59" i="42"/>
  <c r="J60" i="42"/>
  <c r="J61" i="42"/>
  <c r="J62" i="42"/>
  <c r="J63" i="42"/>
  <c r="J64" i="42"/>
  <c r="J65" i="42"/>
  <c r="J66" i="42"/>
  <c r="J67" i="42"/>
  <c r="J68" i="42"/>
  <c r="J69" i="42"/>
  <c r="J70" i="42"/>
  <c r="J71" i="42"/>
  <c r="J72" i="42"/>
  <c r="J73" i="42"/>
  <c r="J74" i="42"/>
  <c r="J75" i="42"/>
  <c r="J76" i="42"/>
  <c r="J77" i="42"/>
  <c r="J78" i="42"/>
  <c r="J79" i="42"/>
  <c r="J80" i="42"/>
  <c r="J81" i="42"/>
  <c r="J82" i="42"/>
  <c r="J83" i="42"/>
  <c r="J41" i="42"/>
  <c r="J42" i="42"/>
  <c r="J43" i="42"/>
  <c r="J44" i="42"/>
  <c r="J45" i="42"/>
  <c r="J46" i="42"/>
  <c r="J47" i="42"/>
  <c r="J48" i="42"/>
  <c r="J49" i="42"/>
  <c r="J50" i="42"/>
  <c r="J51" i="42"/>
  <c r="J84" i="42"/>
  <c r="J3" i="42"/>
  <c r="V29" i="42"/>
  <c r="V54" i="42"/>
  <c r="W54" i="42"/>
  <c r="Z78" i="42"/>
  <c r="W78" i="42"/>
  <c r="T35" i="42"/>
  <c r="V35" i="42"/>
  <c r="S39" i="42"/>
  <c r="V39" i="42"/>
  <c r="W40" i="42"/>
  <c r="V40" i="42"/>
  <c r="V28" i="42"/>
  <c r="V38" i="42"/>
  <c r="AH1" i="36"/>
  <c r="S19" i="42"/>
  <c r="X63" i="42"/>
  <c r="T63" i="42"/>
  <c r="S63" i="42"/>
  <c r="W7" i="42"/>
  <c r="S7" i="42"/>
  <c r="Z59" i="42"/>
  <c r="S59" i="42"/>
  <c r="Z60" i="42"/>
  <c r="S60" i="42"/>
  <c r="Z61" i="42"/>
  <c r="S61" i="42"/>
  <c r="Z3" i="42"/>
  <c r="S3" i="42"/>
  <c r="S80" i="42"/>
  <c r="S79" i="42"/>
  <c r="Z34" i="42"/>
  <c r="X57" i="42"/>
  <c r="S81" i="42"/>
  <c r="S78" i="42"/>
  <c r="Z24" i="42"/>
  <c r="Z29" i="42"/>
  <c r="S45" i="42"/>
  <c r="Z57" i="42"/>
  <c r="S57" i="42"/>
  <c r="T57" i="42"/>
  <c r="U57" i="42"/>
  <c r="W57" i="42"/>
  <c r="Z56" i="42"/>
  <c r="W55" i="42"/>
  <c r="W35" i="42"/>
  <c r="W34" i="42"/>
  <c r="U34" i="42"/>
  <c r="W45" i="42"/>
  <c r="V45" i="42"/>
  <c r="W50" i="42"/>
  <c r="V50" i="42"/>
  <c r="Z64" i="42"/>
  <c r="W64" i="42"/>
  <c r="W52" i="42"/>
  <c r="V52" i="42"/>
  <c r="V25" i="42"/>
  <c r="W24" i="42"/>
  <c r="V47" i="42"/>
  <c r="W47" i="42"/>
  <c r="U75" i="42"/>
  <c r="T75" i="42"/>
  <c r="Z75" i="42"/>
  <c r="S75" i="42"/>
  <c r="W81" i="42"/>
  <c r="Z81" i="42"/>
  <c r="V23" i="42"/>
  <c r="V22" i="42"/>
  <c r="V33" i="42"/>
  <c r="W32" i="42"/>
  <c r="V49" i="42"/>
  <c r="W49" i="42"/>
  <c r="S58" i="42"/>
  <c r="W58" i="42"/>
  <c r="V43" i="42"/>
  <c r="W41" i="42"/>
  <c r="V21" i="42"/>
  <c r="S20" i="42"/>
  <c r="X75" i="42"/>
  <c r="W75" i="42"/>
  <c r="S41" i="42"/>
  <c r="Z41" i="42"/>
  <c r="S40" i="42"/>
  <c r="Z40" i="42"/>
  <c r="S32" i="42"/>
  <c r="Z32" i="42"/>
  <c r="X72" i="42"/>
  <c r="Z72" i="42"/>
  <c r="W72" i="42"/>
  <c r="S55" i="42"/>
  <c r="Z55" i="42"/>
  <c r="Z67" i="42"/>
  <c r="W67" i="42"/>
  <c r="Z79" i="42"/>
  <c r="W79" i="42"/>
  <c r="S53" i="42"/>
  <c r="Z53" i="42"/>
  <c r="Z69" i="42"/>
  <c r="W69" i="42"/>
  <c r="X3" i="42"/>
  <c r="W3" i="42"/>
  <c r="W8" i="42"/>
  <c r="V8" i="42"/>
  <c r="W9" i="42"/>
  <c r="V9" i="42"/>
  <c r="W11" i="42"/>
  <c r="V11" i="42"/>
  <c r="W12" i="42"/>
  <c r="V12" i="42"/>
  <c r="W13" i="42"/>
  <c r="V13" i="42"/>
  <c r="W16" i="42"/>
  <c r="V16" i="42"/>
  <c r="V17" i="42"/>
  <c r="W17" i="42"/>
  <c r="V14" i="42"/>
  <c r="W14" i="42"/>
  <c r="W15" i="42"/>
  <c r="V15" i="42"/>
  <c r="Z77" i="42"/>
  <c r="W77" i="42"/>
  <c r="S47" i="42"/>
  <c r="Z47" i="42"/>
  <c r="S52" i="42"/>
  <c r="Z52" i="42"/>
  <c r="W19" i="42"/>
  <c r="V19" i="42"/>
  <c r="V20" i="42"/>
  <c r="V30" i="42"/>
  <c r="V26" i="42"/>
  <c r="Z26" i="42"/>
  <c r="W5" i="42"/>
  <c r="V5" i="42"/>
  <c r="Z5" i="42"/>
  <c r="S65" i="42"/>
  <c r="W65" i="42"/>
  <c r="Z65" i="42"/>
  <c r="S54" i="42"/>
  <c r="Z54" i="42"/>
  <c r="W6" i="42"/>
  <c r="V6" i="42"/>
  <c r="Z27" i="42"/>
  <c r="V27" i="42"/>
  <c r="S50" i="42"/>
  <c r="Z50" i="42"/>
  <c r="S62" i="42"/>
  <c r="Z62" i="42"/>
  <c r="S46" i="42"/>
  <c r="W46" i="42"/>
  <c r="Z46" i="42"/>
  <c r="S49" i="42"/>
  <c r="Z49" i="42"/>
  <c r="S66" i="42"/>
  <c r="W66" i="42"/>
  <c r="Z66" i="42"/>
  <c r="Z76" i="42"/>
  <c r="W76" i="42"/>
  <c r="Z73" i="42"/>
  <c r="W73" i="42"/>
  <c r="Z74" i="42"/>
  <c r="W74" i="42"/>
  <c r="W83" i="42"/>
  <c r="Z83" i="42"/>
  <c r="W18" i="42"/>
  <c r="V18" i="42"/>
  <c r="S70" i="42"/>
  <c r="Z70" i="42"/>
  <c r="W70" i="42"/>
  <c r="S71" i="42"/>
  <c r="Z71" i="42"/>
  <c r="W71" i="42"/>
  <c r="W84" i="42"/>
  <c r="Z84" i="42"/>
  <c r="S48" i="42"/>
  <c r="W48" i="42"/>
  <c r="S51" i="42"/>
  <c r="W51" i="42"/>
  <c r="Z82" i="42"/>
  <c r="W82" i="42"/>
  <c r="S68" i="42"/>
  <c r="W68" i="42"/>
  <c r="Z68" i="42"/>
  <c r="T24" i="42"/>
  <c r="X24" i="42"/>
  <c r="S24" i="42"/>
  <c r="X34" i="42"/>
  <c r="S34" i="42"/>
  <c r="S29" i="42"/>
  <c r="W29" i="42"/>
  <c r="T79" i="42"/>
  <c r="X79" i="42"/>
  <c r="W22" i="42"/>
  <c r="S22" i="42"/>
  <c r="S36" i="42"/>
  <c r="W36" i="42"/>
  <c r="Y35" i="42"/>
  <c r="X35" i="42"/>
  <c r="S35" i="42"/>
  <c r="S37" i="42"/>
  <c r="W37" i="42"/>
  <c r="W20" i="42"/>
  <c r="W30" i="42"/>
  <c r="S30" i="42"/>
  <c r="S26" i="42"/>
  <c r="W26" i="42"/>
  <c r="S25" i="42"/>
  <c r="W25" i="42"/>
  <c r="S27" i="42"/>
  <c r="W27" i="42"/>
  <c r="W31" i="42"/>
  <c r="S31" i="42"/>
  <c r="S42" i="42"/>
  <c r="W42" i="42"/>
  <c r="S23" i="42"/>
  <c r="W23" i="42"/>
  <c r="X44" i="42"/>
  <c r="S44" i="42"/>
  <c r="W44" i="42"/>
  <c r="W33" i="42"/>
  <c r="S33" i="42"/>
  <c r="S28" i="42"/>
  <c r="W28" i="42"/>
  <c r="S38" i="42"/>
  <c r="W38" i="42"/>
  <c r="S43" i="42"/>
  <c r="W43" i="42"/>
  <c r="S21" i="42"/>
  <c r="W21" i="42"/>
  <c r="Y34" i="42"/>
  <c r="T34" i="42"/>
  <c r="V57" i="42"/>
  <c r="Y57" i="42"/>
  <c r="R57" i="42" s="1"/>
  <c r="V63" i="42"/>
  <c r="Y63" i="42"/>
  <c r="V75" i="42"/>
  <c r="Y75" i="42"/>
  <c r="X41" i="42"/>
  <c r="T41" i="42"/>
  <c r="Y7" i="42"/>
  <c r="T7" i="42"/>
  <c r="X7" i="42"/>
  <c r="T40" i="42"/>
  <c r="X40" i="42"/>
  <c r="T32" i="42"/>
  <c r="X32" i="42"/>
  <c r="X59" i="42"/>
  <c r="T59" i="42"/>
  <c r="Y72" i="42"/>
  <c r="T72" i="42"/>
  <c r="X60" i="42"/>
  <c r="T60" i="42"/>
  <c r="X29" i="42"/>
  <c r="T29" i="42"/>
  <c r="T55" i="42"/>
  <c r="X55" i="42"/>
  <c r="X67" i="42"/>
  <c r="T67" i="42"/>
  <c r="X61" i="42"/>
  <c r="T61" i="42"/>
  <c r="T53" i="42"/>
  <c r="X53" i="42"/>
  <c r="Y22" i="42"/>
  <c r="T22" i="42"/>
  <c r="X22" i="42"/>
  <c r="T69" i="42"/>
  <c r="X69" i="42"/>
  <c r="U3" i="42"/>
  <c r="T3" i="42"/>
  <c r="Y8" i="42"/>
  <c r="S8" i="42"/>
  <c r="Y9" i="42"/>
  <c r="S9" i="42"/>
  <c r="Y11" i="42"/>
  <c r="S11" i="42"/>
  <c r="Y12" i="42"/>
  <c r="S12" i="42"/>
  <c r="S13" i="42"/>
  <c r="Y13" i="42"/>
  <c r="X16" i="42"/>
  <c r="Y16" i="42"/>
  <c r="S16" i="42"/>
  <c r="X36" i="42"/>
  <c r="T36" i="42"/>
  <c r="X39" i="42"/>
  <c r="T39" i="42"/>
  <c r="X17" i="42"/>
  <c r="Y17" i="42"/>
  <c r="S17" i="42"/>
  <c r="S14" i="42"/>
  <c r="Y14" i="42"/>
  <c r="V56" i="42"/>
  <c r="X56" i="42"/>
  <c r="T56" i="42"/>
  <c r="X15" i="42"/>
  <c r="Y15" i="42"/>
  <c r="S15" i="42"/>
  <c r="Z45" i="42"/>
  <c r="T45" i="42"/>
  <c r="X45" i="42"/>
  <c r="U77" i="42"/>
  <c r="T77" i="42"/>
  <c r="X77" i="42"/>
  <c r="Y37" i="42"/>
  <c r="X37" i="42"/>
  <c r="T37" i="42"/>
  <c r="X47" i="42"/>
  <c r="T47" i="42"/>
  <c r="X52" i="42"/>
  <c r="T52" i="42"/>
  <c r="X19" i="42"/>
  <c r="Y19" i="42"/>
  <c r="T30" i="42"/>
  <c r="X20" i="42"/>
  <c r="X30" i="42"/>
  <c r="T26" i="42"/>
  <c r="X26" i="42"/>
  <c r="U5" i="42"/>
  <c r="Y5" i="42"/>
  <c r="S5" i="42"/>
  <c r="X5" i="42"/>
  <c r="X65" i="42"/>
  <c r="T65" i="42"/>
  <c r="X54" i="42"/>
  <c r="T54" i="42"/>
  <c r="U6" i="42"/>
  <c r="Y6" i="42"/>
  <c r="Z6" i="42"/>
  <c r="X6" i="42"/>
  <c r="S6" i="42"/>
  <c r="T6" i="42"/>
  <c r="T25" i="42"/>
  <c r="Z25" i="42"/>
  <c r="X25" i="42"/>
  <c r="T27" i="42"/>
  <c r="X27" i="42"/>
  <c r="X50" i="42"/>
  <c r="T50" i="42"/>
  <c r="X62" i="42"/>
  <c r="T62" i="42"/>
  <c r="X46" i="42"/>
  <c r="T46" i="42"/>
  <c r="X49" i="42"/>
  <c r="T49" i="42"/>
  <c r="X66" i="42"/>
  <c r="T66" i="42"/>
  <c r="T76" i="42"/>
  <c r="X76" i="42"/>
  <c r="T73" i="42"/>
  <c r="X73" i="42"/>
  <c r="T74" i="42"/>
  <c r="X74" i="42"/>
  <c r="T83" i="42"/>
  <c r="X83" i="42"/>
  <c r="Y18" i="42"/>
  <c r="S18" i="42"/>
  <c r="X42" i="42"/>
  <c r="T42" i="42"/>
  <c r="W4" i="42"/>
  <c r="S4" i="42"/>
  <c r="T70" i="42"/>
  <c r="X70" i="42"/>
  <c r="U71" i="42"/>
  <c r="X71" i="42"/>
  <c r="T71" i="42"/>
  <c r="T64" i="42"/>
  <c r="X64" i="42"/>
  <c r="T84" i="42"/>
  <c r="X84" i="42"/>
  <c r="Z48" i="42"/>
  <c r="T48" i="42"/>
  <c r="X48" i="42"/>
  <c r="Z51" i="42"/>
  <c r="T51" i="42"/>
  <c r="X51" i="42"/>
  <c r="T58" i="42"/>
  <c r="X58" i="42"/>
  <c r="Y43" i="42"/>
  <c r="X43" i="42"/>
  <c r="T43" i="42"/>
  <c r="U82" i="42"/>
  <c r="T82" i="42"/>
  <c r="X82" i="42"/>
  <c r="T68" i="42"/>
  <c r="X68" i="42"/>
  <c r="U81" i="42"/>
  <c r="X81" i="42"/>
  <c r="T81" i="42"/>
  <c r="U80" i="42"/>
  <c r="X80" i="42"/>
  <c r="T80" i="42"/>
  <c r="U78" i="42"/>
  <c r="X78" i="42"/>
  <c r="T78" i="42"/>
  <c r="S10" i="42"/>
  <c r="W10" i="42"/>
  <c r="Y10" i="42"/>
  <c r="U24" i="42"/>
  <c r="Y24" i="42"/>
  <c r="Y41" i="42"/>
  <c r="U41" i="42"/>
  <c r="Y40" i="42"/>
  <c r="U40" i="42"/>
  <c r="U32" i="42"/>
  <c r="Y32" i="42"/>
  <c r="Y59" i="42"/>
  <c r="V59" i="42"/>
  <c r="U59" i="42"/>
  <c r="Y60" i="42"/>
  <c r="U60" i="42"/>
  <c r="V60" i="42"/>
  <c r="U29" i="42"/>
  <c r="Y29" i="42"/>
  <c r="Y55" i="42"/>
  <c r="U55" i="42"/>
  <c r="V55" i="42"/>
  <c r="Y67" i="42"/>
  <c r="U67" i="42"/>
  <c r="V67" i="42"/>
  <c r="Y61" i="42"/>
  <c r="U61" i="42"/>
  <c r="V61" i="42"/>
  <c r="V79" i="42"/>
  <c r="U79" i="42"/>
  <c r="Y79" i="42"/>
  <c r="Y69" i="42"/>
  <c r="U69" i="42"/>
  <c r="V69" i="42"/>
  <c r="T8" i="42"/>
  <c r="X8" i="42"/>
  <c r="X9" i="42"/>
  <c r="T9" i="42"/>
  <c r="X11" i="42"/>
  <c r="T11" i="42"/>
  <c r="X12" i="42"/>
  <c r="T12" i="42"/>
  <c r="X13" i="42"/>
  <c r="T13" i="42"/>
  <c r="U36" i="42"/>
  <c r="Z36" i="42"/>
  <c r="Y36" i="42"/>
  <c r="U39" i="42"/>
  <c r="Z39" i="42"/>
  <c r="Y39" i="42"/>
  <c r="X14" i="42"/>
  <c r="T14" i="42"/>
  <c r="Y30" i="42"/>
  <c r="Y20" i="42"/>
  <c r="U26" i="42"/>
  <c r="Y26" i="42"/>
  <c r="V65" i="42"/>
  <c r="U65" i="42"/>
  <c r="Y65" i="42"/>
  <c r="Y54" i="42"/>
  <c r="U54" i="42"/>
  <c r="U25" i="42"/>
  <c r="Y25" i="42"/>
  <c r="U27" i="42"/>
  <c r="Y27" i="42"/>
  <c r="Y50" i="42"/>
  <c r="U50" i="42"/>
  <c r="Y62" i="42"/>
  <c r="V62" i="42"/>
  <c r="U62" i="42"/>
  <c r="Y46" i="42"/>
  <c r="U46" i="42"/>
  <c r="Y49" i="42"/>
  <c r="U49" i="42"/>
  <c r="V66" i="42"/>
  <c r="U66" i="42"/>
  <c r="Y66" i="42"/>
  <c r="V76" i="42"/>
  <c r="U76" i="42"/>
  <c r="Y76" i="42"/>
  <c r="V73" i="42"/>
  <c r="Y73" i="42"/>
  <c r="U73" i="42"/>
  <c r="V74" i="42"/>
  <c r="Y74" i="42"/>
  <c r="U74" i="42"/>
  <c r="V83" i="42"/>
  <c r="Y83" i="42"/>
  <c r="U83" i="42"/>
  <c r="X18" i="42"/>
  <c r="T18" i="42"/>
  <c r="U31" i="42"/>
  <c r="X31" i="42"/>
  <c r="Z31" i="42"/>
  <c r="Y31" i="42"/>
  <c r="T31" i="42"/>
  <c r="U42" i="42"/>
  <c r="Y42" i="42"/>
  <c r="Z42" i="42"/>
  <c r="U4" i="42"/>
  <c r="T4" i="42"/>
  <c r="X4" i="42"/>
  <c r="Y70" i="42"/>
  <c r="U70" i="42"/>
  <c r="V70" i="42"/>
  <c r="Y64" i="42"/>
  <c r="V64" i="42"/>
  <c r="U64" i="42"/>
  <c r="V84" i="42"/>
  <c r="Y84" i="42"/>
  <c r="U84" i="42"/>
  <c r="Y23" i="42"/>
  <c r="X23" i="42"/>
  <c r="T23" i="42"/>
  <c r="Y44" i="42"/>
  <c r="Z44" i="42"/>
  <c r="Y33" i="42"/>
  <c r="X33" i="42"/>
  <c r="T33" i="42"/>
  <c r="Y28" i="42"/>
  <c r="X28" i="42"/>
  <c r="T28" i="42"/>
  <c r="Z58" i="42"/>
  <c r="V58" i="42"/>
  <c r="Y38" i="42"/>
  <c r="X38" i="42"/>
  <c r="T38" i="42"/>
  <c r="Y21" i="42"/>
  <c r="T21" i="42"/>
  <c r="X21" i="42"/>
  <c r="Y68" i="42"/>
  <c r="U68" i="42"/>
  <c r="V68" i="42"/>
  <c r="X10" i="42"/>
  <c r="T10" i="42"/>
  <c r="Z7" i="42"/>
  <c r="U7" i="42"/>
  <c r="U72" i="42"/>
  <c r="V72" i="42"/>
  <c r="U53" i="42"/>
  <c r="Y53" i="42"/>
  <c r="U22" i="42"/>
  <c r="Z22" i="42"/>
  <c r="U56" i="42"/>
  <c r="Y56" i="42"/>
  <c r="U45" i="42"/>
  <c r="Y45" i="42"/>
  <c r="Z35" i="42"/>
  <c r="U35" i="42"/>
  <c r="R35" i="42" s="1"/>
  <c r="Z37" i="42"/>
  <c r="U37" i="42"/>
  <c r="Y47" i="42"/>
  <c r="U47" i="42"/>
  <c r="U52" i="42"/>
  <c r="Y52" i="42"/>
  <c r="U18" i="42"/>
  <c r="Z18" i="42"/>
  <c r="Y71" i="42"/>
  <c r="V71" i="42"/>
  <c r="U48" i="42"/>
  <c r="Y48" i="42"/>
  <c r="Z23" i="42"/>
  <c r="U23" i="42"/>
  <c r="T44" i="42"/>
  <c r="U44" i="42"/>
  <c r="U33" i="42"/>
  <c r="Z33" i="42"/>
  <c r="Y51" i="42"/>
  <c r="U51" i="42"/>
  <c r="Z28" i="42"/>
  <c r="U28" i="42"/>
  <c r="Y58" i="42"/>
  <c r="U58" i="42"/>
  <c r="U38" i="42"/>
  <c r="Z38" i="42"/>
  <c r="U43" i="42"/>
  <c r="Z43" i="42"/>
  <c r="Y3" i="42"/>
  <c r="V3" i="42"/>
  <c r="Z8" i="42"/>
  <c r="U8" i="42"/>
  <c r="Z9" i="42"/>
  <c r="U9" i="42"/>
  <c r="Z11" i="42"/>
  <c r="U11" i="42"/>
  <c r="Z12" i="42"/>
  <c r="U12" i="42"/>
  <c r="U13" i="42"/>
  <c r="Z13" i="42"/>
  <c r="T16" i="42"/>
  <c r="Z16" i="42"/>
  <c r="U16" i="42"/>
  <c r="R16" i="42" s="1"/>
  <c r="T17" i="42"/>
  <c r="Z17" i="42"/>
  <c r="U17" i="42"/>
  <c r="Z14" i="42"/>
  <c r="U14" i="42"/>
  <c r="T15" i="42"/>
  <c r="Z15" i="42"/>
  <c r="U15" i="42"/>
  <c r="R15" i="42" s="1"/>
  <c r="V77" i="42"/>
  <c r="Y77" i="42"/>
  <c r="T19" i="42"/>
  <c r="Z19" i="42"/>
  <c r="U19" i="42"/>
  <c r="T20" i="42"/>
  <c r="U30" i="42"/>
  <c r="R30" i="42" s="1"/>
  <c r="Z20" i="42"/>
  <c r="U20" i="42"/>
  <c r="R20" i="42" s="1"/>
  <c r="Z30" i="42"/>
  <c r="Z21" i="42"/>
  <c r="U21" i="42"/>
  <c r="R21" i="42" s="1"/>
  <c r="V82" i="42"/>
  <c r="Y82" i="42"/>
  <c r="Y81" i="42"/>
  <c r="V81" i="42"/>
  <c r="Y80" i="42"/>
  <c r="V80" i="42"/>
  <c r="Y78" i="42"/>
  <c r="V78" i="42"/>
  <c r="Z10" i="42"/>
  <c r="U10" i="42"/>
  <c r="R10" i="42" s="1"/>
  <c r="Z4" i="42"/>
  <c r="Y4" i="42"/>
  <c r="M1" i="42"/>
  <c r="L1" i="42"/>
  <c r="O1" i="42"/>
  <c r="P1" i="42"/>
  <c r="N1" i="42"/>
  <c r="K1" i="42"/>
  <c r="Q1" i="42"/>
  <c r="Q3" i="8"/>
  <c r="R3" i="8"/>
  <c r="Q4" i="8"/>
  <c r="R4" i="8"/>
  <c r="Q5" i="8"/>
  <c r="R5" i="8"/>
  <c r="Q6" i="8"/>
  <c r="R6" i="8"/>
  <c r="Q7" i="8"/>
  <c r="R7" i="8"/>
  <c r="Q8" i="8"/>
  <c r="R8" i="8"/>
  <c r="Q9" i="8"/>
  <c r="R9" i="8"/>
  <c r="Q10" i="8"/>
  <c r="R10" i="8"/>
  <c r="Q11" i="8"/>
  <c r="R11" i="8"/>
  <c r="Q12" i="8"/>
  <c r="R12" i="8"/>
  <c r="Q13" i="8"/>
  <c r="R13" i="8"/>
  <c r="Q14" i="8"/>
  <c r="R14" i="8"/>
  <c r="Q15" i="8"/>
  <c r="R15" i="8"/>
  <c r="Q16" i="8"/>
  <c r="R16" i="8"/>
  <c r="Q17" i="8"/>
  <c r="R17" i="8"/>
  <c r="Q18" i="8"/>
  <c r="R18" i="8"/>
  <c r="Q19" i="8"/>
  <c r="R19" i="8"/>
  <c r="Q20" i="8"/>
  <c r="R20" i="8"/>
  <c r="Q21" i="8"/>
  <c r="R21" i="8"/>
  <c r="Q22" i="8"/>
  <c r="R22" i="8"/>
  <c r="Q23" i="8"/>
  <c r="R23" i="8"/>
  <c r="Q24" i="8"/>
  <c r="R24" i="8"/>
  <c r="Q25" i="8"/>
  <c r="R25" i="8"/>
  <c r="Q26" i="8"/>
  <c r="R26" i="8"/>
  <c r="Q27" i="8"/>
  <c r="R27" i="8"/>
  <c r="Q28" i="8"/>
  <c r="R28" i="8"/>
  <c r="Q29" i="8"/>
  <c r="R29" i="8"/>
  <c r="Q30" i="8"/>
  <c r="R30" i="8"/>
  <c r="Q31" i="8"/>
  <c r="R31" i="8"/>
  <c r="Q32" i="8"/>
  <c r="R32" i="8"/>
  <c r="Q33" i="8"/>
  <c r="R33" i="8"/>
  <c r="Q34" i="8"/>
  <c r="R34" i="8"/>
  <c r="Q35" i="8"/>
  <c r="R35" i="8"/>
  <c r="Q36" i="8"/>
  <c r="R36" i="8"/>
  <c r="Q37" i="8"/>
  <c r="R37" i="8"/>
  <c r="Q38" i="8"/>
  <c r="R38" i="8"/>
  <c r="Q39" i="8"/>
  <c r="R39" i="8"/>
  <c r="Q40" i="8"/>
  <c r="R40" i="8"/>
  <c r="Q41" i="8"/>
  <c r="R41" i="8"/>
  <c r="Q42" i="8"/>
  <c r="R42" i="8"/>
  <c r="Q43" i="8"/>
  <c r="R43" i="8"/>
  <c r="Q44" i="8"/>
  <c r="R44" i="8"/>
  <c r="Q45" i="8"/>
  <c r="R45" i="8"/>
  <c r="Q46" i="8"/>
  <c r="R46" i="8"/>
  <c r="Q47" i="8"/>
  <c r="R47" i="8"/>
  <c r="Q48" i="8"/>
  <c r="R48" i="8"/>
  <c r="Q49" i="8"/>
  <c r="R49" i="8"/>
  <c r="Q50" i="8"/>
  <c r="R50" i="8"/>
  <c r="Q51" i="8"/>
  <c r="R51" i="8"/>
  <c r="Q52" i="8"/>
  <c r="R52" i="8"/>
  <c r="Q53" i="8"/>
  <c r="R53" i="8"/>
  <c r="Q54" i="8"/>
  <c r="R54" i="8"/>
  <c r="Q55" i="8"/>
  <c r="R55" i="8"/>
  <c r="Q56" i="8"/>
  <c r="R56" i="8"/>
  <c r="Q57" i="8"/>
  <c r="R57" i="8"/>
  <c r="Q58" i="8"/>
  <c r="R58" i="8"/>
  <c r="Q59" i="8"/>
  <c r="R59" i="8"/>
  <c r="Q60" i="8"/>
  <c r="R60" i="8"/>
  <c r="Q61" i="8"/>
  <c r="R61" i="8"/>
  <c r="Q62" i="8"/>
  <c r="R62" i="8"/>
  <c r="Q63" i="8"/>
  <c r="R63" i="8"/>
  <c r="Q64" i="8"/>
  <c r="R64" i="8"/>
  <c r="Q65" i="8"/>
  <c r="R65" i="8"/>
  <c r="Q66" i="8"/>
  <c r="R66" i="8"/>
  <c r="Q67" i="8"/>
  <c r="R67" i="8"/>
  <c r="Q68" i="8"/>
  <c r="R68" i="8"/>
  <c r="Q69" i="8"/>
  <c r="R69" i="8"/>
  <c r="Q70" i="8"/>
  <c r="R70" i="8"/>
  <c r="Q71" i="8"/>
  <c r="R71" i="8"/>
  <c r="Q72" i="8"/>
  <c r="R72" i="8"/>
  <c r="Q73" i="8"/>
  <c r="R73" i="8"/>
  <c r="Q74" i="8"/>
  <c r="R74" i="8"/>
  <c r="Q75" i="8"/>
  <c r="R75" i="8"/>
  <c r="Q76" i="8"/>
  <c r="R76" i="8"/>
  <c r="Q77" i="8"/>
  <c r="R77" i="8"/>
  <c r="Q78" i="8"/>
  <c r="R78" i="8"/>
  <c r="Q79" i="8"/>
  <c r="R79" i="8"/>
  <c r="Q80" i="8"/>
  <c r="R80" i="8"/>
  <c r="Q81" i="8"/>
  <c r="R81" i="8"/>
  <c r="Q82" i="8"/>
  <c r="R82" i="8"/>
  <c r="Q83" i="8"/>
  <c r="R83" i="8"/>
  <c r="Q84" i="8"/>
  <c r="R84" i="8"/>
  <c r="Q85" i="8"/>
  <c r="R85" i="8"/>
  <c r="Q86" i="8"/>
  <c r="R86" i="8"/>
  <c r="Q87" i="8"/>
  <c r="R87" i="8"/>
  <c r="Q88" i="8"/>
  <c r="R88" i="8"/>
  <c r="Q89" i="8"/>
  <c r="R89" i="8"/>
  <c r="Q90" i="8"/>
  <c r="R90" i="8"/>
  <c r="Q91" i="8"/>
  <c r="R91" i="8"/>
  <c r="Q92" i="8"/>
  <c r="R92" i="8"/>
  <c r="Q93" i="8"/>
  <c r="R93" i="8"/>
  <c r="Q94" i="8"/>
  <c r="R94" i="8"/>
  <c r="Q95" i="8"/>
  <c r="R95" i="8"/>
  <c r="Q96" i="8"/>
  <c r="R96" i="8"/>
  <c r="Q97" i="8"/>
  <c r="R97" i="8"/>
  <c r="Q98" i="8"/>
  <c r="R98" i="8"/>
  <c r="Q99" i="8"/>
  <c r="R99" i="8"/>
  <c r="Q100" i="8"/>
  <c r="R100" i="8"/>
  <c r="Q101" i="8"/>
  <c r="R101" i="8"/>
  <c r="Q102" i="8"/>
  <c r="R102" i="8"/>
  <c r="Q103" i="8"/>
  <c r="R103" i="8"/>
  <c r="Q104" i="8"/>
  <c r="R104" i="8"/>
  <c r="Q105" i="8"/>
  <c r="R105" i="8"/>
  <c r="Q106" i="8"/>
  <c r="R106" i="8"/>
  <c r="Q107" i="8"/>
  <c r="R107" i="8"/>
  <c r="Q108" i="8"/>
  <c r="R108" i="8"/>
  <c r="Q109" i="8"/>
  <c r="R109" i="8"/>
  <c r="Q110" i="8"/>
  <c r="R110" i="8"/>
  <c r="Q111" i="8"/>
  <c r="R111" i="8"/>
  <c r="Q112" i="8"/>
  <c r="R112" i="8"/>
  <c r="Q113" i="8"/>
  <c r="R113" i="8"/>
  <c r="Q114" i="8"/>
  <c r="R114" i="8"/>
  <c r="Q115" i="8"/>
  <c r="R115" i="8"/>
  <c r="Q116" i="8"/>
  <c r="R116" i="8"/>
  <c r="Q117" i="8"/>
  <c r="R117" i="8"/>
  <c r="Q118" i="8"/>
  <c r="R118" i="8"/>
  <c r="Q119" i="8"/>
  <c r="R119" i="8"/>
  <c r="Q120" i="8"/>
  <c r="R120" i="8"/>
  <c r="Q121" i="8"/>
  <c r="R121" i="8"/>
  <c r="Q122" i="8"/>
  <c r="R122" i="8"/>
  <c r="Q123" i="8"/>
  <c r="R123" i="8"/>
  <c r="Q124" i="8"/>
  <c r="R124" i="8"/>
  <c r="Q125" i="8"/>
  <c r="R125" i="8"/>
  <c r="Q126" i="8"/>
  <c r="R126" i="8"/>
  <c r="Q127" i="8"/>
  <c r="R127" i="8"/>
  <c r="Q128" i="8"/>
  <c r="R128" i="8"/>
  <c r="Q129" i="8"/>
  <c r="R129" i="8"/>
  <c r="Q130" i="8"/>
  <c r="R130" i="8"/>
  <c r="Q131" i="8"/>
  <c r="R131" i="8"/>
  <c r="Q132" i="8"/>
  <c r="R132" i="8"/>
  <c r="Q133" i="8"/>
  <c r="R133" i="8"/>
  <c r="Q134" i="8"/>
  <c r="R134" i="8"/>
  <c r="Q135" i="8"/>
  <c r="R135" i="8"/>
  <c r="Q136" i="8"/>
  <c r="R136" i="8"/>
  <c r="Q137" i="8"/>
  <c r="R137" i="8"/>
  <c r="Q138" i="8"/>
  <c r="R138" i="8"/>
  <c r="Q139" i="8"/>
  <c r="R139" i="8"/>
  <c r="Q140" i="8"/>
  <c r="R140" i="8"/>
  <c r="Q141" i="8"/>
  <c r="R141" i="8"/>
  <c r="Q142" i="8"/>
  <c r="R142" i="8"/>
  <c r="Q143" i="8"/>
  <c r="R143" i="8"/>
  <c r="Q144" i="8"/>
  <c r="R144" i="8"/>
  <c r="Q145" i="8"/>
  <c r="R145" i="8"/>
  <c r="Q146" i="8"/>
  <c r="R146" i="8"/>
  <c r="Q147" i="8"/>
  <c r="R147" i="8"/>
  <c r="Q148" i="8"/>
  <c r="R148" i="8"/>
  <c r="Q149" i="8"/>
  <c r="R149" i="8"/>
  <c r="Q150" i="8"/>
  <c r="R150" i="8"/>
  <c r="Q151" i="8"/>
  <c r="R151" i="8"/>
  <c r="Q152" i="8"/>
  <c r="R152" i="8"/>
  <c r="Q153" i="8"/>
  <c r="R153" i="8"/>
  <c r="Q154" i="8"/>
  <c r="R154" i="8"/>
  <c r="Q155" i="8"/>
  <c r="R155" i="8"/>
  <c r="Q156" i="8"/>
  <c r="R156" i="8"/>
  <c r="Q157" i="8"/>
  <c r="R157" i="8"/>
  <c r="Q158" i="8"/>
  <c r="R158" i="8"/>
  <c r="Q159" i="8"/>
  <c r="R159" i="8"/>
  <c r="Q160" i="8"/>
  <c r="R160" i="8"/>
  <c r="Q161" i="8"/>
  <c r="R161" i="8"/>
  <c r="Q162" i="8"/>
  <c r="R162" i="8"/>
  <c r="Q163" i="8"/>
  <c r="R163" i="8"/>
  <c r="Q164" i="8"/>
  <c r="R164" i="8"/>
  <c r="Q165" i="8"/>
  <c r="R165" i="8"/>
  <c r="Q166" i="8"/>
  <c r="R166" i="8"/>
  <c r="Q167" i="8"/>
  <c r="R167" i="8"/>
  <c r="Q168" i="8"/>
  <c r="R168" i="8"/>
  <c r="Q169" i="8"/>
  <c r="R169" i="8"/>
  <c r="Q170" i="8"/>
  <c r="R170" i="8"/>
  <c r="Q171" i="8"/>
  <c r="R171" i="8"/>
  <c r="Q172" i="8"/>
  <c r="R172" i="8"/>
  <c r="Q173" i="8"/>
  <c r="R173" i="8"/>
  <c r="Q174" i="8"/>
  <c r="R174" i="8"/>
  <c r="Q175" i="8"/>
  <c r="R175" i="8"/>
  <c r="Q176" i="8"/>
  <c r="R176" i="8"/>
  <c r="Q177" i="8"/>
  <c r="R177" i="8"/>
  <c r="Q178" i="8"/>
  <c r="R178" i="8"/>
  <c r="Q179" i="8"/>
  <c r="R179" i="8"/>
  <c r="Q180" i="8"/>
  <c r="R180" i="8"/>
  <c r="Q181" i="8"/>
  <c r="R181" i="8"/>
  <c r="Q182" i="8"/>
  <c r="R182" i="8"/>
  <c r="Q183" i="8"/>
  <c r="R183" i="8"/>
  <c r="Q184" i="8"/>
  <c r="R184" i="8"/>
  <c r="Q185" i="8"/>
  <c r="R185" i="8"/>
  <c r="Q186" i="8"/>
  <c r="R186" i="8"/>
  <c r="Q187" i="8"/>
  <c r="R187" i="8"/>
  <c r="Q188" i="8"/>
  <c r="R188" i="8"/>
  <c r="Q189" i="8"/>
  <c r="R189" i="8"/>
  <c r="Q190" i="8"/>
  <c r="R190" i="8"/>
  <c r="Q191" i="8"/>
  <c r="R191" i="8"/>
  <c r="Q192" i="8"/>
  <c r="R192" i="8"/>
  <c r="Q193" i="8"/>
  <c r="R193" i="8"/>
  <c r="Q194" i="8"/>
  <c r="R194" i="8"/>
  <c r="Q195" i="8"/>
  <c r="R195" i="8"/>
  <c r="Q196" i="8"/>
  <c r="R196" i="8"/>
  <c r="Q197" i="8"/>
  <c r="R197" i="8"/>
  <c r="Q198" i="8"/>
  <c r="R198" i="8"/>
  <c r="Q199" i="8"/>
  <c r="R199" i="8"/>
  <c r="Q200" i="8"/>
  <c r="R200" i="8"/>
  <c r="Q201" i="8"/>
  <c r="R201" i="8"/>
  <c r="Q202" i="8"/>
  <c r="R202" i="8"/>
  <c r="Q203" i="8"/>
  <c r="R203" i="8"/>
  <c r="Q204" i="8"/>
  <c r="R204" i="8"/>
  <c r="Q205" i="8"/>
  <c r="R205" i="8"/>
  <c r="Q206" i="8"/>
  <c r="R206" i="8"/>
  <c r="Q207" i="8"/>
  <c r="R207" i="8"/>
  <c r="Q208" i="8"/>
  <c r="R208" i="8"/>
  <c r="Q209" i="8"/>
  <c r="R209" i="8"/>
  <c r="Q210" i="8"/>
  <c r="R210" i="8"/>
  <c r="Q211" i="8"/>
  <c r="R211" i="8"/>
  <c r="Q212" i="8"/>
  <c r="R212" i="8"/>
  <c r="Q213" i="8"/>
  <c r="R213" i="8"/>
  <c r="Q214" i="8"/>
  <c r="R214" i="8"/>
  <c r="Q215" i="8"/>
  <c r="R215" i="8"/>
  <c r="Q216" i="8"/>
  <c r="R216" i="8"/>
  <c r="Q217" i="8"/>
  <c r="R217" i="8"/>
  <c r="Q218" i="8"/>
  <c r="R218" i="8"/>
  <c r="Q219" i="8"/>
  <c r="R219" i="8"/>
  <c r="Q220" i="8"/>
  <c r="R220" i="8"/>
  <c r="Q221" i="8"/>
  <c r="R221" i="8"/>
  <c r="Q222" i="8"/>
  <c r="R222" i="8"/>
  <c r="Q223" i="8"/>
  <c r="R223" i="8"/>
  <c r="Q224" i="8"/>
  <c r="R224" i="8"/>
  <c r="Q225" i="8"/>
  <c r="R225" i="8"/>
  <c r="Q226" i="8"/>
  <c r="R226" i="8"/>
  <c r="Q227" i="8"/>
  <c r="R227" i="8"/>
  <c r="Q228" i="8"/>
  <c r="R228" i="8"/>
  <c r="Q229" i="8"/>
  <c r="R229" i="8"/>
  <c r="Q230" i="8"/>
  <c r="R230" i="8"/>
  <c r="Q231" i="8"/>
  <c r="R231" i="8"/>
  <c r="Q232" i="8"/>
  <c r="R232" i="8"/>
  <c r="Q233" i="8"/>
  <c r="R233" i="8"/>
  <c r="Q234" i="8"/>
  <c r="R234" i="8"/>
  <c r="Q235" i="8"/>
  <c r="R235" i="8"/>
  <c r="Q236" i="8"/>
  <c r="R236" i="8"/>
  <c r="Q237" i="8"/>
  <c r="R237" i="8"/>
  <c r="Q238" i="8"/>
  <c r="R238" i="8"/>
  <c r="Q239" i="8"/>
  <c r="R239" i="8"/>
  <c r="Q240" i="8"/>
  <c r="R240" i="8"/>
  <c r="Q241" i="8"/>
  <c r="R241" i="8"/>
  <c r="Q242" i="8"/>
  <c r="R242" i="8"/>
  <c r="Q243" i="8"/>
  <c r="R243" i="8"/>
  <c r="Q244" i="8"/>
  <c r="R244" i="8"/>
  <c r="Q245" i="8"/>
  <c r="R245" i="8"/>
  <c r="Q246" i="8"/>
  <c r="R246" i="8"/>
  <c r="Q247" i="8"/>
  <c r="R247" i="8"/>
  <c r="Q248" i="8"/>
  <c r="R248" i="8"/>
  <c r="Q249" i="8"/>
  <c r="R249" i="8"/>
  <c r="Q250" i="8"/>
  <c r="R250" i="8"/>
  <c r="Q251" i="8"/>
  <c r="R251" i="8"/>
  <c r="Q252" i="8"/>
  <c r="R252" i="8"/>
  <c r="Q253" i="8"/>
  <c r="R253" i="8"/>
  <c r="Q254" i="8"/>
  <c r="R254" i="8"/>
  <c r="Q255" i="8"/>
  <c r="R255" i="8"/>
  <c r="Q256" i="8"/>
  <c r="R256" i="8"/>
  <c r="Q257" i="8"/>
  <c r="R257" i="8"/>
  <c r="Q258" i="8"/>
  <c r="R258" i="8"/>
  <c r="Q259" i="8"/>
  <c r="R259" i="8"/>
  <c r="Q260" i="8"/>
  <c r="R260" i="8"/>
  <c r="Q261" i="8"/>
  <c r="R261" i="8"/>
  <c r="Q262" i="8"/>
  <c r="R262" i="8"/>
  <c r="Q263" i="8"/>
  <c r="R263" i="8"/>
  <c r="Q264" i="8"/>
  <c r="R264" i="8"/>
  <c r="Q265" i="8"/>
  <c r="R265" i="8"/>
  <c r="Q266" i="8"/>
  <c r="R266" i="8"/>
  <c r="Q267" i="8"/>
  <c r="R267" i="8"/>
  <c r="Q268" i="8"/>
  <c r="R268" i="8"/>
  <c r="Q269" i="8"/>
  <c r="R269" i="8"/>
  <c r="Q270" i="8"/>
  <c r="R270" i="8"/>
  <c r="Q271" i="8"/>
  <c r="R271" i="8"/>
  <c r="Q272" i="8"/>
  <c r="R272" i="8"/>
  <c r="Q273" i="8"/>
  <c r="R273" i="8"/>
  <c r="Q274" i="8"/>
  <c r="R274" i="8"/>
  <c r="Q275" i="8"/>
  <c r="R275" i="8"/>
  <c r="Q276" i="8"/>
  <c r="R276" i="8"/>
  <c r="Q277" i="8"/>
  <c r="R277" i="8"/>
  <c r="Q278" i="8"/>
  <c r="R278" i="8"/>
  <c r="Q279" i="8"/>
  <c r="R279" i="8"/>
  <c r="Q280" i="8"/>
  <c r="R280" i="8"/>
  <c r="Q281" i="8"/>
  <c r="R281" i="8"/>
  <c r="Q282" i="8"/>
  <c r="R282" i="8"/>
  <c r="Q283" i="8"/>
  <c r="R283" i="8"/>
  <c r="Q284" i="8"/>
  <c r="R284" i="8"/>
  <c r="Q285" i="8"/>
  <c r="R285" i="8"/>
  <c r="Q286" i="8"/>
  <c r="R286" i="8"/>
  <c r="Q287" i="8"/>
  <c r="R287" i="8"/>
  <c r="Q288" i="8"/>
  <c r="R288" i="8"/>
  <c r="Q289" i="8"/>
  <c r="R289" i="8"/>
  <c r="Q290" i="8"/>
  <c r="R290" i="8"/>
  <c r="Q291" i="8"/>
  <c r="R291" i="8"/>
  <c r="Q292" i="8"/>
  <c r="R292" i="8"/>
  <c r="Q293" i="8"/>
  <c r="R293" i="8"/>
  <c r="Q294" i="8"/>
  <c r="R294" i="8"/>
  <c r="Q295" i="8"/>
  <c r="R295" i="8"/>
  <c r="Q296" i="8"/>
  <c r="R296" i="8"/>
  <c r="Q297" i="8"/>
  <c r="R297" i="8"/>
  <c r="Q298" i="8"/>
  <c r="R298" i="8"/>
  <c r="Q299" i="8"/>
  <c r="R299" i="8"/>
  <c r="Q300" i="8"/>
  <c r="R300" i="8"/>
  <c r="Q301" i="8"/>
  <c r="R301" i="8"/>
  <c r="Q302" i="8"/>
  <c r="R302" i="8"/>
  <c r="Q303" i="8"/>
  <c r="R303" i="8"/>
  <c r="Q304" i="8"/>
  <c r="R304" i="8"/>
  <c r="Q305" i="8"/>
  <c r="R305" i="8"/>
  <c r="Q306" i="8"/>
  <c r="R306" i="8"/>
  <c r="Q307" i="8"/>
  <c r="R307" i="8"/>
  <c r="Q308" i="8"/>
  <c r="R308" i="8"/>
  <c r="Q309" i="8"/>
  <c r="R309" i="8"/>
  <c r="Q310" i="8"/>
  <c r="R310" i="8"/>
  <c r="Q311" i="8"/>
  <c r="R311" i="8"/>
  <c r="Q312" i="8"/>
  <c r="R312" i="8"/>
  <c r="Q313" i="8"/>
  <c r="R313" i="8"/>
  <c r="Q314" i="8"/>
  <c r="R314" i="8"/>
  <c r="Q315" i="8"/>
  <c r="R315" i="8"/>
  <c r="Q316" i="8"/>
  <c r="R316" i="8"/>
  <c r="Q317" i="8"/>
  <c r="R317" i="8"/>
  <c r="Q318" i="8"/>
  <c r="R318" i="8"/>
  <c r="Q319" i="8"/>
  <c r="R319" i="8"/>
  <c r="Q320" i="8"/>
  <c r="R320" i="8"/>
  <c r="Q321" i="8"/>
  <c r="R321" i="8"/>
  <c r="Q322" i="8"/>
  <c r="R322" i="8"/>
  <c r="Q323" i="8"/>
  <c r="R323" i="8"/>
  <c r="Q324" i="8"/>
  <c r="R324" i="8"/>
  <c r="Q325" i="8"/>
  <c r="R325" i="8"/>
  <c r="Q326" i="8"/>
  <c r="R326" i="8"/>
  <c r="Q327" i="8"/>
  <c r="R327" i="8"/>
  <c r="Q328" i="8"/>
  <c r="R328" i="8"/>
  <c r="Q329" i="8"/>
  <c r="R329" i="8"/>
  <c r="Q330" i="8"/>
  <c r="R330" i="8"/>
  <c r="Q331" i="8"/>
  <c r="R331" i="8"/>
  <c r="Q332" i="8"/>
  <c r="R332" i="8"/>
  <c r="Q333" i="8"/>
  <c r="R333" i="8"/>
  <c r="Q334" i="8"/>
  <c r="R334" i="8"/>
  <c r="Q335" i="8"/>
  <c r="R335" i="8"/>
  <c r="Q336" i="8"/>
  <c r="R336" i="8"/>
  <c r="Q337" i="8"/>
  <c r="R337" i="8"/>
  <c r="Q338" i="8"/>
  <c r="R338" i="8"/>
  <c r="Q339" i="8"/>
  <c r="R339" i="8"/>
  <c r="Q340" i="8"/>
  <c r="R340" i="8"/>
  <c r="Q341" i="8"/>
  <c r="R341" i="8"/>
  <c r="Q342" i="8"/>
  <c r="R342" i="8"/>
  <c r="Q343" i="8"/>
  <c r="R343" i="8"/>
  <c r="Q344" i="8"/>
  <c r="R344" i="8"/>
  <c r="Q345" i="8"/>
  <c r="R345" i="8"/>
  <c r="Q346" i="8"/>
  <c r="R346" i="8"/>
  <c r="Q347" i="8"/>
  <c r="R347" i="8"/>
  <c r="Q348" i="8"/>
  <c r="R348" i="8"/>
  <c r="Q349" i="8"/>
  <c r="R349" i="8"/>
  <c r="Q350" i="8"/>
  <c r="R350" i="8"/>
  <c r="Q351" i="8"/>
  <c r="R351" i="8"/>
  <c r="Q352" i="8"/>
  <c r="R352" i="8"/>
  <c r="Q353" i="8"/>
  <c r="R353" i="8"/>
  <c r="Q354" i="8"/>
  <c r="R354" i="8"/>
  <c r="Q355" i="8"/>
  <c r="R355" i="8"/>
  <c r="Q356" i="8"/>
  <c r="R356" i="8"/>
  <c r="Q357" i="8"/>
  <c r="R357" i="8"/>
  <c r="Q358" i="8"/>
  <c r="R358" i="8"/>
  <c r="Q359" i="8"/>
  <c r="R359" i="8"/>
  <c r="Q360" i="8"/>
  <c r="R360" i="8"/>
  <c r="Q361" i="8"/>
  <c r="R361" i="8"/>
  <c r="Q362" i="8"/>
  <c r="R362" i="8"/>
  <c r="Q363" i="8"/>
  <c r="R363" i="8"/>
  <c r="Q364" i="8"/>
  <c r="R364" i="8"/>
  <c r="Q365" i="8"/>
  <c r="R365" i="8"/>
  <c r="Q366" i="8"/>
  <c r="R366" i="8"/>
  <c r="Q367" i="8"/>
  <c r="R367" i="8"/>
  <c r="Q368" i="8"/>
  <c r="R368" i="8"/>
  <c r="Q369" i="8"/>
  <c r="R369" i="8"/>
  <c r="Q370" i="8"/>
  <c r="R370" i="8"/>
  <c r="Q371" i="8"/>
  <c r="R371" i="8"/>
  <c r="Q372" i="8"/>
  <c r="R372" i="8"/>
  <c r="Q373" i="8"/>
  <c r="R373" i="8"/>
  <c r="Q374" i="8"/>
  <c r="R374" i="8"/>
  <c r="Q375" i="8"/>
  <c r="R375" i="8"/>
  <c r="Q376" i="8"/>
  <c r="R376" i="8"/>
  <c r="Q377" i="8"/>
  <c r="R377" i="8"/>
  <c r="Q378" i="8"/>
  <c r="R378" i="8"/>
  <c r="Q379" i="8"/>
  <c r="R379" i="8"/>
  <c r="Q380" i="8"/>
  <c r="R380" i="8"/>
  <c r="Q381" i="8"/>
  <c r="R381" i="8"/>
  <c r="Q382" i="8"/>
  <c r="R382" i="8"/>
  <c r="Q383" i="8"/>
  <c r="R383" i="8"/>
  <c r="Q384" i="8"/>
  <c r="R384" i="8"/>
  <c r="Q385" i="8"/>
  <c r="R385" i="8"/>
  <c r="Q386" i="8"/>
  <c r="R386" i="8"/>
  <c r="Q387" i="8"/>
  <c r="R387" i="8"/>
  <c r="Q388" i="8"/>
  <c r="R388" i="8"/>
  <c r="Q389" i="8"/>
  <c r="R389" i="8"/>
  <c r="Q390" i="8"/>
  <c r="R390" i="8"/>
  <c r="Q391" i="8"/>
  <c r="R391" i="8"/>
  <c r="Q392" i="8"/>
  <c r="R392" i="8"/>
  <c r="Q393" i="8"/>
  <c r="R393" i="8"/>
  <c r="Q394" i="8"/>
  <c r="R394" i="8"/>
  <c r="Q395" i="8"/>
  <c r="R395" i="8"/>
  <c r="Q396" i="8"/>
  <c r="R396" i="8"/>
  <c r="Q397" i="8"/>
  <c r="R397" i="8"/>
  <c r="Q398" i="8"/>
  <c r="R398" i="8"/>
  <c r="Q399" i="8"/>
  <c r="R399" i="8"/>
  <c r="Q400" i="8"/>
  <c r="R400" i="8"/>
  <c r="Q401" i="8"/>
  <c r="R401" i="8"/>
  <c r="Q402" i="8"/>
  <c r="R402" i="8"/>
  <c r="Q403" i="8"/>
  <c r="R403" i="8"/>
  <c r="Q404" i="8"/>
  <c r="R404" i="8"/>
  <c r="Q405" i="8"/>
  <c r="R405" i="8"/>
  <c r="Q406" i="8"/>
  <c r="R406" i="8"/>
  <c r="Q407" i="8"/>
  <c r="R407" i="8"/>
  <c r="Q408" i="8"/>
  <c r="R408" i="8"/>
  <c r="Q409" i="8"/>
  <c r="R409" i="8"/>
  <c r="Q410" i="8"/>
  <c r="R410" i="8"/>
  <c r="Q411" i="8"/>
  <c r="R411" i="8"/>
  <c r="Q412" i="8"/>
  <c r="R412" i="8"/>
  <c r="Q413" i="8"/>
  <c r="R413" i="8"/>
  <c r="Q414" i="8"/>
  <c r="R414" i="8"/>
  <c r="Q415" i="8"/>
  <c r="R415" i="8"/>
  <c r="Q416" i="8"/>
  <c r="R416" i="8"/>
  <c r="Q417" i="8"/>
  <c r="R417" i="8"/>
  <c r="Q418" i="8"/>
  <c r="R418" i="8"/>
  <c r="Q419" i="8"/>
  <c r="R419" i="8"/>
  <c r="Q420" i="8"/>
  <c r="R420" i="8"/>
  <c r="Q421" i="8"/>
  <c r="R421" i="8"/>
  <c r="Q422" i="8"/>
  <c r="R422" i="8"/>
  <c r="Q423" i="8"/>
  <c r="R423" i="8"/>
  <c r="Q424" i="8"/>
  <c r="R424" i="8"/>
  <c r="Q425" i="8"/>
  <c r="R425" i="8"/>
  <c r="Q426" i="8"/>
  <c r="R426" i="8"/>
  <c r="Q427" i="8"/>
  <c r="R427" i="8"/>
  <c r="Q428" i="8"/>
  <c r="R428" i="8"/>
  <c r="Q429" i="8"/>
  <c r="R429" i="8"/>
  <c r="Q430" i="8"/>
  <c r="R430" i="8"/>
  <c r="Q431" i="8"/>
  <c r="R431" i="8"/>
  <c r="Q432" i="8"/>
  <c r="R432" i="8"/>
  <c r="Q433" i="8"/>
  <c r="R433" i="8"/>
  <c r="Q434" i="8"/>
  <c r="R434" i="8"/>
  <c r="Q435" i="8"/>
  <c r="R435" i="8"/>
  <c r="Q436" i="8"/>
  <c r="R436" i="8"/>
  <c r="Q437" i="8"/>
  <c r="R437" i="8"/>
  <c r="Q438" i="8"/>
  <c r="R438" i="8"/>
  <c r="Q439" i="8"/>
  <c r="R439" i="8"/>
  <c r="Q440" i="8"/>
  <c r="R440" i="8"/>
  <c r="Q441" i="8"/>
  <c r="R441" i="8"/>
  <c r="Q442" i="8"/>
  <c r="R442" i="8"/>
  <c r="Q443" i="8"/>
  <c r="R443" i="8"/>
  <c r="Q444" i="8"/>
  <c r="R444" i="8"/>
  <c r="Q445" i="8"/>
  <c r="R445" i="8"/>
  <c r="Q446" i="8"/>
  <c r="R446" i="8"/>
  <c r="Q447" i="8"/>
  <c r="R447" i="8"/>
  <c r="Q448" i="8"/>
  <c r="R448" i="8"/>
  <c r="Q449" i="8"/>
  <c r="R449" i="8"/>
  <c r="Q450" i="8"/>
  <c r="R450" i="8"/>
  <c r="Q451" i="8"/>
  <c r="R451" i="8"/>
  <c r="Q452" i="8"/>
  <c r="R452" i="8"/>
  <c r="Q453" i="8"/>
  <c r="R453" i="8"/>
  <c r="Q454" i="8"/>
  <c r="R454" i="8"/>
  <c r="Q455" i="8"/>
  <c r="R455" i="8"/>
  <c r="Q456" i="8"/>
  <c r="R456" i="8"/>
  <c r="Q457" i="8"/>
  <c r="R457" i="8"/>
  <c r="Q458" i="8"/>
  <c r="R458" i="8"/>
  <c r="Q459" i="8"/>
  <c r="R459" i="8"/>
  <c r="Q460" i="8"/>
  <c r="R460" i="8"/>
  <c r="Q461" i="8"/>
  <c r="R461" i="8"/>
  <c r="Q462" i="8"/>
  <c r="R462" i="8"/>
  <c r="Q463" i="8"/>
  <c r="R463" i="8"/>
  <c r="Q464" i="8"/>
  <c r="R464" i="8"/>
  <c r="Q465" i="8"/>
  <c r="R465" i="8"/>
  <c r="Q466" i="8"/>
  <c r="R466" i="8"/>
  <c r="Q467" i="8"/>
  <c r="R467" i="8"/>
  <c r="Q468" i="8"/>
  <c r="R468" i="8"/>
  <c r="Q469" i="8"/>
  <c r="R469" i="8"/>
  <c r="Q470" i="8"/>
  <c r="R470" i="8"/>
  <c r="Q471" i="8"/>
  <c r="R471" i="8"/>
  <c r="Q472" i="8"/>
  <c r="R472" i="8"/>
  <c r="Q473" i="8"/>
  <c r="R473" i="8"/>
  <c r="Q474" i="8"/>
  <c r="R474" i="8"/>
  <c r="Q475" i="8"/>
  <c r="R475" i="8"/>
  <c r="Q476" i="8"/>
  <c r="R476" i="8"/>
  <c r="Q477" i="8"/>
  <c r="R477" i="8"/>
  <c r="Q478" i="8"/>
  <c r="R478" i="8"/>
  <c r="Q479" i="8"/>
  <c r="R479" i="8"/>
  <c r="Q480" i="8"/>
  <c r="R480" i="8"/>
  <c r="Q481" i="8"/>
  <c r="R481" i="8"/>
  <c r="Q482" i="8"/>
  <c r="R482" i="8"/>
  <c r="Q483" i="8"/>
  <c r="R483" i="8"/>
  <c r="Q484" i="8"/>
  <c r="R484" i="8"/>
  <c r="Q485" i="8"/>
  <c r="R485" i="8"/>
  <c r="Q486" i="8"/>
  <c r="R486" i="8"/>
  <c r="Q487" i="8"/>
  <c r="R487" i="8"/>
  <c r="Q488" i="8"/>
  <c r="R488" i="8"/>
  <c r="Q489" i="8"/>
  <c r="R489" i="8"/>
  <c r="Q490" i="8"/>
  <c r="R490" i="8"/>
  <c r="Q491" i="8"/>
  <c r="R491" i="8"/>
  <c r="Q492" i="8"/>
  <c r="R492" i="8"/>
  <c r="Q493" i="8"/>
  <c r="R493" i="8"/>
  <c r="Q494" i="8"/>
  <c r="R494" i="8"/>
  <c r="Q495" i="8"/>
  <c r="R495" i="8"/>
  <c r="Q496" i="8"/>
  <c r="R496" i="8"/>
  <c r="Q497" i="8"/>
  <c r="R497" i="8"/>
  <c r="Q498" i="8"/>
  <c r="R498" i="8"/>
  <c r="Q499" i="8"/>
  <c r="R499" i="8"/>
  <c r="Q500" i="8"/>
  <c r="R500" i="8"/>
  <c r="Q501" i="8"/>
  <c r="R501" i="8"/>
  <c r="Q502" i="8"/>
  <c r="R502" i="8"/>
  <c r="Q503" i="8"/>
  <c r="R503" i="8"/>
  <c r="Q504" i="8"/>
  <c r="R504" i="8"/>
  <c r="Q505" i="8"/>
  <c r="R505" i="8"/>
  <c r="Q506" i="8"/>
  <c r="R506" i="8"/>
  <c r="Q507" i="8"/>
  <c r="R507" i="8"/>
  <c r="Q508" i="8"/>
  <c r="R508" i="8"/>
  <c r="Q509" i="8"/>
  <c r="R509" i="8"/>
  <c r="Q510" i="8"/>
  <c r="R510" i="8"/>
  <c r="Q511" i="8"/>
  <c r="R511" i="8"/>
  <c r="Q512" i="8"/>
  <c r="R512" i="8"/>
  <c r="Q513" i="8"/>
  <c r="R513" i="8"/>
  <c r="Q514" i="8"/>
  <c r="R514" i="8"/>
  <c r="Q515" i="8"/>
  <c r="R515" i="8"/>
  <c r="Q516" i="8"/>
  <c r="R516" i="8"/>
  <c r="Q517" i="8"/>
  <c r="R517" i="8"/>
  <c r="Q518" i="8"/>
  <c r="R518" i="8"/>
  <c r="Q519" i="8"/>
  <c r="R519" i="8"/>
  <c r="Q520" i="8"/>
  <c r="R520" i="8"/>
  <c r="Q521" i="8"/>
  <c r="R521" i="8"/>
  <c r="Q522" i="8"/>
  <c r="R522" i="8"/>
  <c r="Q523" i="8"/>
  <c r="R523" i="8"/>
  <c r="Q524" i="8"/>
  <c r="R524" i="8"/>
  <c r="Q525" i="8"/>
  <c r="R525" i="8"/>
  <c r="Q526" i="8"/>
  <c r="R526" i="8"/>
  <c r="Q527" i="8"/>
  <c r="R527" i="8"/>
  <c r="Q528" i="8"/>
  <c r="R528" i="8"/>
  <c r="Q529" i="8"/>
  <c r="R529" i="8"/>
  <c r="Q530" i="8"/>
  <c r="R530" i="8"/>
  <c r="Q531" i="8"/>
  <c r="R531" i="8"/>
  <c r="Q532" i="8"/>
  <c r="R532" i="8"/>
  <c r="Q533" i="8"/>
  <c r="R533" i="8"/>
  <c r="Q534" i="8"/>
  <c r="R534" i="8"/>
  <c r="Q535" i="8"/>
  <c r="R535" i="8"/>
  <c r="Q536" i="8"/>
  <c r="R536" i="8"/>
  <c r="Q537" i="8"/>
  <c r="R537" i="8"/>
  <c r="Q538" i="8"/>
  <c r="R538" i="8"/>
  <c r="Q539" i="8"/>
  <c r="R539" i="8"/>
  <c r="Q540" i="8"/>
  <c r="R540" i="8"/>
  <c r="Q541" i="8"/>
  <c r="R541" i="8"/>
  <c r="Q542" i="8"/>
  <c r="R542" i="8"/>
  <c r="Q543" i="8"/>
  <c r="R543" i="8"/>
  <c r="Q544" i="8"/>
  <c r="R544" i="8"/>
  <c r="Q545" i="8"/>
  <c r="R545" i="8"/>
  <c r="Q546" i="8"/>
  <c r="R546" i="8"/>
  <c r="Q547" i="8"/>
  <c r="R547" i="8"/>
  <c r="Q548" i="8"/>
  <c r="R548" i="8"/>
  <c r="Q549" i="8"/>
  <c r="R549" i="8"/>
  <c r="Q550" i="8"/>
  <c r="R550" i="8"/>
  <c r="Q551" i="8"/>
  <c r="R551" i="8"/>
  <c r="Q552" i="8"/>
  <c r="R552" i="8"/>
  <c r="Q553" i="8"/>
  <c r="R553" i="8"/>
  <c r="Q554" i="8"/>
  <c r="R554" i="8"/>
  <c r="Q555" i="8"/>
  <c r="R555" i="8"/>
  <c r="Q556" i="8"/>
  <c r="R556" i="8"/>
  <c r="Q557" i="8"/>
  <c r="R557" i="8"/>
  <c r="Q558" i="8"/>
  <c r="R558" i="8"/>
  <c r="Q559" i="8"/>
  <c r="R559" i="8"/>
  <c r="Q560" i="8"/>
  <c r="R560" i="8"/>
  <c r="Q561" i="8"/>
  <c r="R561" i="8"/>
  <c r="Q562" i="8"/>
  <c r="R562" i="8"/>
  <c r="Q563" i="8"/>
  <c r="R563" i="8"/>
  <c r="Q564" i="8"/>
  <c r="R564" i="8"/>
  <c r="Q565" i="8"/>
  <c r="R565" i="8"/>
  <c r="Q566" i="8"/>
  <c r="R566" i="8"/>
  <c r="Q567" i="8"/>
  <c r="R567" i="8"/>
  <c r="Q568" i="8"/>
  <c r="R568" i="8"/>
  <c r="Q569" i="8"/>
  <c r="R569" i="8"/>
  <c r="Q570" i="8"/>
  <c r="R570" i="8"/>
  <c r="Q571" i="8"/>
  <c r="R571" i="8"/>
  <c r="Q572" i="8"/>
  <c r="R572" i="8"/>
  <c r="Q573" i="8"/>
  <c r="R573" i="8"/>
  <c r="Q574" i="8"/>
  <c r="R574" i="8"/>
  <c r="Q575" i="8"/>
  <c r="R575" i="8"/>
  <c r="Q576" i="8"/>
  <c r="R576" i="8"/>
  <c r="Q577" i="8"/>
  <c r="R577" i="8"/>
  <c r="AA136" i="6"/>
  <c r="X136" i="6"/>
  <c r="E136" i="6"/>
  <c r="C136" i="6"/>
  <c r="N47" i="38"/>
  <c r="L46" i="38"/>
  <c r="J46" i="38"/>
  <c r="I46" i="38"/>
  <c r="E46" i="38"/>
  <c r="G48" i="38"/>
  <c r="E39" i="38"/>
  <c r="M27" i="38"/>
  <c r="M28" i="38"/>
  <c r="M29" i="38"/>
  <c r="M30" i="38"/>
  <c r="M31" i="38"/>
  <c r="M32" i="38"/>
  <c r="M33" i="38"/>
  <c r="M34" i="38"/>
  <c r="M35" i="38"/>
  <c r="M36" i="38"/>
  <c r="M37" i="38"/>
  <c r="I127" i="38"/>
  <c r="I125" i="38"/>
  <c r="G86" i="38"/>
  <c r="F127" i="38"/>
  <c r="G60" i="38"/>
  <c r="G61" i="38"/>
  <c r="G62" i="38"/>
  <c r="G63" i="38"/>
  <c r="G64" i="38"/>
  <c r="G65" i="38"/>
  <c r="G66" i="38"/>
  <c r="G67" i="38"/>
  <c r="G68" i="38"/>
  <c r="G69" i="38"/>
  <c r="G70" i="38"/>
  <c r="G71" i="38"/>
  <c r="G72" i="38"/>
  <c r="G73" i="38"/>
  <c r="G74" i="38"/>
  <c r="G75" i="38"/>
  <c r="G76" i="38"/>
  <c r="G77" i="38"/>
  <c r="G78" i="38"/>
  <c r="G79" i="38"/>
  <c r="G80" i="38"/>
  <c r="G81" i="38"/>
  <c r="G82" i="38"/>
  <c r="G83" i="38"/>
  <c r="G84" i="38"/>
  <c r="G85" i="38"/>
  <c r="G87" i="38"/>
  <c r="G88" i="38"/>
  <c r="G91" i="38"/>
  <c r="G92" i="38"/>
  <c r="G93" i="38"/>
  <c r="G119" i="38"/>
  <c r="G120" i="38"/>
  <c r="G122" i="38"/>
  <c r="F46" i="38"/>
  <c r="G51" i="38"/>
  <c r="G54" i="38"/>
  <c r="G55" i="38"/>
  <c r="E125" i="38"/>
  <c r="F45" i="38"/>
  <c r="E45" i="38"/>
  <c r="I39" i="38"/>
  <c r="L40" i="38"/>
  <c r="G33" i="38"/>
  <c r="L36" i="38"/>
  <c r="G37" i="38"/>
  <c r="G36" i="38"/>
  <c r="G35" i="38"/>
  <c r="G34" i="38"/>
  <c r="G46" i="38" l="1"/>
  <c r="R7" i="42"/>
  <c r="R17" i="42"/>
  <c r="E17" i="42" s="1"/>
  <c r="G17" i="42" s="1"/>
  <c r="R19" i="42"/>
  <c r="E19" i="42" s="1"/>
  <c r="G19" i="42" s="1"/>
  <c r="R31" i="42"/>
  <c r="E31" i="42" s="1"/>
  <c r="G31" i="42" s="1"/>
  <c r="J1" i="42"/>
  <c r="R41" i="42"/>
  <c r="E41" i="42" s="1"/>
  <c r="G41" i="42" s="1"/>
  <c r="R40" i="42"/>
  <c r="E40" i="42" s="1"/>
  <c r="G40" i="42" s="1"/>
  <c r="R32" i="42"/>
  <c r="E32" i="42" s="1"/>
  <c r="G32" i="42" s="1"/>
  <c r="R34" i="42"/>
  <c r="E34" i="42" s="1"/>
  <c r="G34" i="42" s="1"/>
  <c r="R81" i="42"/>
  <c r="E81" i="42" s="1"/>
  <c r="G81" i="42" s="1"/>
  <c r="R84" i="42"/>
  <c r="E84" i="42" s="1"/>
  <c r="G84" i="42" s="1"/>
  <c r="R78" i="42"/>
  <c r="E78" i="42" s="1"/>
  <c r="G78" i="42" s="1"/>
  <c r="R24" i="42"/>
  <c r="E24" i="42" s="1"/>
  <c r="G24" i="42" s="1"/>
  <c r="R75" i="42"/>
  <c r="E75" i="42" s="1"/>
  <c r="G75" i="42" s="1"/>
  <c r="R59" i="42"/>
  <c r="E59" i="42" s="1"/>
  <c r="G59" i="42" s="1"/>
  <c r="R80" i="42"/>
  <c r="E80" i="42" s="1"/>
  <c r="G80" i="42" s="1"/>
  <c r="R63" i="42"/>
  <c r="E63" i="42" s="1"/>
  <c r="G63" i="42" s="1"/>
  <c r="R29" i="42"/>
  <c r="E29" i="42" s="1"/>
  <c r="G29" i="42" s="1"/>
  <c r="Z1" i="42"/>
  <c r="R36" i="42"/>
  <c r="E36" i="42" s="1"/>
  <c r="G36" i="42" s="1"/>
  <c r="R39" i="42"/>
  <c r="E39" i="42" s="1"/>
  <c r="G39" i="42" s="1"/>
  <c r="R26" i="42"/>
  <c r="E26" i="42" s="1"/>
  <c r="G26" i="42" s="1"/>
  <c r="R27" i="42"/>
  <c r="E27" i="42" s="1"/>
  <c r="G27" i="42" s="1"/>
  <c r="R25" i="42"/>
  <c r="E25" i="42" s="1"/>
  <c r="G25" i="42" s="1"/>
  <c r="R64" i="42"/>
  <c r="E64" i="42" s="1"/>
  <c r="G64" i="42" s="1"/>
  <c r="R54" i="42"/>
  <c r="E54" i="42" s="1"/>
  <c r="G54" i="42" s="1"/>
  <c r="R50" i="42"/>
  <c r="E50" i="42" s="1"/>
  <c r="G50" i="42" s="1"/>
  <c r="R62" i="42"/>
  <c r="E62" i="42" s="1"/>
  <c r="G62" i="42" s="1"/>
  <c r="R46" i="42"/>
  <c r="E46" i="42" s="1"/>
  <c r="G46" i="42" s="1"/>
  <c r="R49" i="42"/>
  <c r="E49" i="42" s="1"/>
  <c r="G49" i="42" s="1"/>
  <c r="R73" i="42"/>
  <c r="E73" i="42" s="1"/>
  <c r="G73" i="42" s="1"/>
  <c r="R83" i="42"/>
  <c r="E83" i="42" s="1"/>
  <c r="G83" i="42" s="1"/>
  <c r="R42" i="42"/>
  <c r="E42" i="42" s="1"/>
  <c r="G42" i="42" s="1"/>
  <c r="R5" i="42"/>
  <c r="E5" i="42" s="1"/>
  <c r="G5" i="42" s="1"/>
  <c r="R72" i="42"/>
  <c r="E72" i="42" s="1"/>
  <c r="G72" i="42" s="1"/>
  <c r="R22" i="42"/>
  <c r="E22" i="42" s="1"/>
  <c r="G22" i="42" s="1"/>
  <c r="R45" i="42"/>
  <c r="E45" i="42" s="1"/>
  <c r="G45" i="42" s="1"/>
  <c r="R37" i="42"/>
  <c r="E37" i="42" s="1"/>
  <c r="G37" i="42" s="1"/>
  <c r="R47" i="42"/>
  <c r="E47" i="42" s="1"/>
  <c r="G47" i="42" s="1"/>
  <c r="R18" i="42"/>
  <c r="E18" i="42" s="1"/>
  <c r="G18" i="42" s="1"/>
  <c r="R71" i="42"/>
  <c r="E71" i="42" s="1"/>
  <c r="G71" i="42" s="1"/>
  <c r="R23" i="42"/>
  <c r="E23" i="42" s="1"/>
  <c r="G23" i="42" s="1"/>
  <c r="R44" i="42"/>
  <c r="E44" i="42" s="1"/>
  <c r="G44" i="42" s="1"/>
  <c r="R33" i="42"/>
  <c r="E33" i="42" s="1"/>
  <c r="S1" i="42"/>
  <c r="R74" i="42"/>
  <c r="E74" i="42" s="1"/>
  <c r="G74" i="42" s="1"/>
  <c r="R65" i="42"/>
  <c r="E65" i="42" s="1"/>
  <c r="G65" i="42" s="1"/>
  <c r="R76" i="42"/>
  <c r="E76" i="42" s="1"/>
  <c r="G76" i="42" s="1"/>
  <c r="R6" i="42"/>
  <c r="E6" i="42" s="1"/>
  <c r="W1" i="42"/>
  <c r="R68" i="42"/>
  <c r="E68" i="42" s="1"/>
  <c r="G68" i="42" s="1"/>
  <c r="R69" i="42"/>
  <c r="E69" i="42" s="1"/>
  <c r="G69" i="42" s="1"/>
  <c r="R51" i="42"/>
  <c r="E51" i="42" s="1"/>
  <c r="G51" i="42" s="1"/>
  <c r="R28" i="42"/>
  <c r="E28" i="42" s="1"/>
  <c r="G28" i="42" s="1"/>
  <c r="R58" i="42"/>
  <c r="E58" i="42" s="1"/>
  <c r="G58" i="42" s="1"/>
  <c r="R38" i="42"/>
  <c r="E38" i="42" s="1"/>
  <c r="G38" i="42" s="1"/>
  <c r="R43" i="42"/>
  <c r="E43" i="42" s="1"/>
  <c r="G43" i="42" s="1"/>
  <c r="R9" i="42"/>
  <c r="E9" i="42" s="1"/>
  <c r="G9" i="42" s="1"/>
  <c r="R11" i="42"/>
  <c r="E11" i="42" s="1"/>
  <c r="G11" i="42" s="1"/>
  <c r="R12" i="42"/>
  <c r="E12" i="42" s="1"/>
  <c r="G12" i="42" s="1"/>
  <c r="R13" i="42"/>
  <c r="E13" i="42" s="1"/>
  <c r="G13" i="42" s="1"/>
  <c r="R14" i="42"/>
  <c r="E14" i="42" s="1"/>
  <c r="G14" i="42" s="1"/>
  <c r="R55" i="42"/>
  <c r="E55" i="42" s="1"/>
  <c r="G55" i="42" s="1"/>
  <c r="R66" i="42"/>
  <c r="E66" i="42" s="1"/>
  <c r="G66" i="42" s="1"/>
  <c r="R61" i="42"/>
  <c r="E61" i="42" s="1"/>
  <c r="G61" i="42" s="1"/>
  <c r="R70" i="42"/>
  <c r="E70" i="42" s="1"/>
  <c r="G70" i="42" s="1"/>
  <c r="R67" i="42"/>
  <c r="E67" i="42" s="1"/>
  <c r="G67" i="42" s="1"/>
  <c r="R60" i="42"/>
  <c r="E60" i="42" s="1"/>
  <c r="G60" i="42" s="1"/>
  <c r="R79" i="42"/>
  <c r="E79" i="42" s="1"/>
  <c r="G79" i="42" s="1"/>
  <c r="X1" i="42"/>
  <c r="R56" i="42"/>
  <c r="E56" i="42" s="1"/>
  <c r="G56" i="42" s="1"/>
  <c r="R52" i="42"/>
  <c r="E52" i="42" s="1"/>
  <c r="G52" i="42" s="1"/>
  <c r="R48" i="42"/>
  <c r="E48" i="42" s="1"/>
  <c r="G48" i="42" s="1"/>
  <c r="R53" i="42"/>
  <c r="E53" i="42" s="1"/>
  <c r="G53" i="42" s="1"/>
  <c r="T1" i="42"/>
  <c r="R82" i="42"/>
  <c r="E82" i="42" s="1"/>
  <c r="G82" i="42" s="1"/>
  <c r="R77" i="42"/>
  <c r="E77" i="42" s="1"/>
  <c r="G77" i="42" s="1"/>
  <c r="R3" i="42"/>
  <c r="E3" i="42" s="1"/>
  <c r="V1" i="42"/>
  <c r="U1" i="42"/>
  <c r="R8" i="42"/>
  <c r="E8" i="42" s="1"/>
  <c r="G8" i="42" s="1"/>
  <c r="R4" i="42"/>
  <c r="E4" i="42" s="1"/>
  <c r="Y1" i="42"/>
  <c r="E30" i="42"/>
  <c r="G30" i="42" s="1"/>
  <c r="E57" i="42"/>
  <c r="G57" i="42" s="1"/>
  <c r="E35" i="42"/>
  <c r="G35" i="42" s="1"/>
  <c r="E16" i="42"/>
  <c r="G16" i="42" s="1"/>
  <c r="E20" i="42"/>
  <c r="G20" i="42" s="1"/>
  <c r="E21" i="42"/>
  <c r="G21" i="42" s="1"/>
  <c r="E7" i="42"/>
  <c r="G7" i="42" s="1"/>
  <c r="E10" i="42"/>
  <c r="G10" i="42" s="1"/>
  <c r="E15" i="42"/>
  <c r="G15" i="42" s="1"/>
  <c r="E123" i="38"/>
  <c r="E133" i="38" s="1"/>
  <c r="L35" i="38"/>
  <c r="L34" i="38"/>
  <c r="L37" i="38"/>
  <c r="L33" i="38"/>
  <c r="E1" i="42" l="1"/>
  <c r="R1" i="42"/>
  <c r="G3" i="42"/>
  <c r="G6" i="42"/>
  <c r="G33" i="42"/>
  <c r="AA7" i="23"/>
  <c r="E5" i="23"/>
  <c r="E6" i="23"/>
  <c r="E7" i="23"/>
  <c r="E8" i="23"/>
  <c r="E9" i="23"/>
  <c r="E10" i="23"/>
  <c r="E11"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4" i="23"/>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AA5" i="6"/>
  <c r="AA6" i="6"/>
  <c r="AA7" i="6"/>
  <c r="AA8" i="6"/>
  <c r="AA9" i="6"/>
  <c r="AA10" i="6"/>
  <c r="AA11" i="6"/>
  <c r="AA12" i="6"/>
  <c r="AA13" i="6"/>
  <c r="AA14" i="6"/>
  <c r="AA15" i="6"/>
  <c r="AA16" i="6"/>
  <c r="AA17" i="6"/>
  <c r="AA18" i="6"/>
  <c r="AA19" i="6"/>
  <c r="AA20" i="6"/>
  <c r="AA21" i="6"/>
  <c r="AA22" i="6"/>
  <c r="AA23" i="6"/>
  <c r="AA24" i="6"/>
  <c r="AA25" i="6"/>
  <c r="AA26" i="6"/>
  <c r="AA27" i="6"/>
  <c r="AA28" i="6"/>
  <c r="AA29" i="6"/>
  <c r="AA30" i="6"/>
  <c r="AA31" i="6"/>
  <c r="AA32" i="6"/>
  <c r="AA33" i="6"/>
  <c r="AA34" i="6"/>
  <c r="AA35" i="6"/>
  <c r="AA36" i="6"/>
  <c r="AA37" i="6"/>
  <c r="AA38" i="6"/>
  <c r="AA39" i="6"/>
  <c r="AA40" i="6"/>
  <c r="AA41" i="6"/>
  <c r="AA42" i="6"/>
  <c r="AA43" i="6"/>
  <c r="AA44" i="6"/>
  <c r="AA45" i="6"/>
  <c r="AA46" i="6"/>
  <c r="AA47" i="6"/>
  <c r="AA48" i="6"/>
  <c r="AA49" i="6"/>
  <c r="AA50" i="6"/>
  <c r="AA51" i="6"/>
  <c r="AA52" i="6"/>
  <c r="AA53" i="6"/>
  <c r="AA54" i="6"/>
  <c r="AA55" i="6"/>
  <c r="AA56" i="6"/>
  <c r="AA57" i="6"/>
  <c r="AA58" i="6"/>
  <c r="AA59" i="6"/>
  <c r="AA60" i="6"/>
  <c r="AA61" i="6"/>
  <c r="AA62" i="6"/>
  <c r="AA63" i="6"/>
  <c r="AA64" i="6"/>
  <c r="AA65" i="6"/>
  <c r="AA66" i="6"/>
  <c r="AA67" i="6"/>
  <c r="AA68" i="6"/>
  <c r="AA69" i="6"/>
  <c r="AA70" i="6"/>
  <c r="AA71" i="6"/>
  <c r="AA72" i="6"/>
  <c r="AA73" i="6"/>
  <c r="AA74" i="6"/>
  <c r="AA75" i="6"/>
  <c r="AA76" i="6"/>
  <c r="AA77" i="6"/>
  <c r="AA78" i="6"/>
  <c r="AA79" i="6"/>
  <c r="AA80" i="6"/>
  <c r="AA81" i="6"/>
  <c r="AA82" i="6"/>
  <c r="AA83" i="6"/>
  <c r="AA84" i="6"/>
  <c r="AA85" i="6"/>
  <c r="AA86" i="6"/>
  <c r="AA87" i="6"/>
  <c r="AA88" i="6"/>
  <c r="AA89" i="6"/>
  <c r="AA90" i="6"/>
  <c r="AA91" i="6"/>
  <c r="AA92" i="6"/>
  <c r="AA93" i="6"/>
  <c r="AA94" i="6"/>
  <c r="AA95" i="6"/>
  <c r="AA96" i="6"/>
  <c r="AA97" i="6"/>
  <c r="AA98" i="6"/>
  <c r="AA99" i="6"/>
  <c r="AA100" i="6"/>
  <c r="AA101" i="6"/>
  <c r="AA102" i="6"/>
  <c r="AA103" i="6"/>
  <c r="AA104" i="6"/>
  <c r="AA105" i="6"/>
  <c r="AA106" i="6"/>
  <c r="AA107" i="6"/>
  <c r="AA108" i="6"/>
  <c r="AA109" i="6"/>
  <c r="AA110" i="6"/>
  <c r="AA111" i="6"/>
  <c r="AA112" i="6"/>
  <c r="AA113" i="6"/>
  <c r="AA114" i="6"/>
  <c r="AA115" i="6"/>
  <c r="AA116" i="6"/>
  <c r="AA117" i="6"/>
  <c r="AA118" i="6"/>
  <c r="AA119" i="6"/>
  <c r="AA120" i="6"/>
  <c r="AA121" i="6"/>
  <c r="AA122" i="6"/>
  <c r="AA123" i="6"/>
  <c r="AA124" i="6"/>
  <c r="AA125" i="6"/>
  <c r="AA126" i="6"/>
  <c r="AA127" i="6"/>
  <c r="AA128" i="6"/>
  <c r="AA129" i="6"/>
  <c r="AA130" i="6"/>
  <c r="AA131" i="6"/>
  <c r="AA132" i="6"/>
  <c r="AA133" i="6"/>
  <c r="AA134" i="6"/>
  <c r="AA135" i="6"/>
  <c r="AA4" i="6"/>
  <c r="X1" i="17"/>
  <c r="Y1" i="17"/>
  <c r="Z1" i="17"/>
  <c r="AA1" i="17"/>
  <c r="AB1" i="17"/>
  <c r="G4" i="42" l="1"/>
  <c r="D1" i="11"/>
  <c r="AA49" i="23"/>
  <c r="X49" i="23"/>
  <c r="C49" i="23"/>
  <c r="AJ1" i="36" l="1"/>
  <c r="AA62" i="14"/>
  <c r="X62" i="14"/>
  <c r="E62" i="14"/>
  <c r="C62" i="14"/>
  <c r="AA61" i="14"/>
  <c r="X61" i="14"/>
  <c r="E61" i="14"/>
  <c r="C61" i="14"/>
  <c r="X135" i="6"/>
  <c r="C135" i="6"/>
  <c r="X134" i="6"/>
  <c r="C134" i="6"/>
  <c r="X133" i="6" l="1"/>
  <c r="C133" i="6"/>
  <c r="X132" i="6"/>
  <c r="C132" i="6"/>
  <c r="AA48" i="23"/>
  <c r="X48" i="23"/>
  <c r="C48" i="23"/>
  <c r="X131" i="6" l="1"/>
  <c r="C131" i="6"/>
  <c r="AA47" i="23"/>
  <c r="X47" i="23"/>
  <c r="C47" i="23"/>
  <c r="X130" i="6"/>
  <c r="C130" i="6"/>
  <c r="I126" i="38"/>
  <c r="I128" i="38" s="1"/>
  <c r="H133" i="38"/>
  <c r="I45" i="38"/>
  <c r="X129" i="6" l="1"/>
  <c r="C129" i="6"/>
  <c r="F1" i="8" l="1"/>
  <c r="E1" i="8"/>
  <c r="I9" i="41"/>
  <c r="X128" i="6" l="1"/>
  <c r="C128" i="6"/>
  <c r="J16" i="41"/>
  <c r="I16" i="41"/>
  <c r="H16" i="41"/>
  <c r="J15" i="41"/>
  <c r="H15" i="41"/>
  <c r="I15" i="41"/>
  <c r="X127" i="6"/>
  <c r="C127" i="6"/>
  <c r="I23" i="41"/>
  <c r="J20" i="41"/>
  <c r="I20" i="41"/>
  <c r="H20" i="41"/>
  <c r="E36" i="41" l="1"/>
  <c r="I8" i="41" l="1"/>
  <c r="J8" i="41"/>
  <c r="H8" i="41"/>
  <c r="X126" i="6"/>
  <c r="C126" i="6"/>
  <c r="I26" i="41" l="1"/>
  <c r="I25" i="41"/>
  <c r="H25" i="41"/>
  <c r="J27" i="41"/>
  <c r="J26" i="41"/>
  <c r="J25" i="41"/>
  <c r="J24" i="41"/>
  <c r="J23" i="41"/>
  <c r="J22" i="41"/>
  <c r="J21" i="41"/>
  <c r="J19" i="41"/>
  <c r="J18" i="41"/>
  <c r="J17" i="41"/>
  <c r="J14" i="41"/>
  <c r="J13" i="41"/>
  <c r="J12" i="41"/>
  <c r="J11" i="41"/>
  <c r="J10" i="41"/>
  <c r="J9" i="41"/>
  <c r="J7" i="41"/>
  <c r="J6" i="41"/>
  <c r="J5" i="41"/>
  <c r="J4" i="41"/>
  <c r="H9" i="41"/>
  <c r="E30" i="41"/>
  <c r="I6" i="41"/>
  <c r="H6" i="41"/>
  <c r="X125" i="6"/>
  <c r="C125" i="6"/>
  <c r="X124" i="6"/>
  <c r="C124" i="6"/>
  <c r="X123" i="6"/>
  <c r="C123" i="6"/>
  <c r="X122" i="6"/>
  <c r="C122" i="6"/>
  <c r="X121" i="6"/>
  <c r="C121" i="6"/>
  <c r="X120" i="6"/>
  <c r="C120" i="6"/>
  <c r="F43" i="41" l="1"/>
  <c r="F41" i="41"/>
  <c r="D32" i="41"/>
  <c r="E32" i="41"/>
  <c r="F32" i="41"/>
  <c r="J32" i="41"/>
  <c r="J30" i="41"/>
  <c r="E31" i="41"/>
  <c r="E37" i="41"/>
  <c r="J2" i="41"/>
  <c r="I21" i="41"/>
  <c r="I22" i="41"/>
  <c r="I24" i="41"/>
  <c r="I27" i="41"/>
  <c r="I18" i="41"/>
  <c r="I19" i="41"/>
  <c r="I17" i="41"/>
  <c r="I7" i="41"/>
  <c r="E47" i="41" s="1"/>
  <c r="I10" i="41"/>
  <c r="I11" i="41"/>
  <c r="I12" i="41"/>
  <c r="I13" i="41"/>
  <c r="I14" i="41"/>
  <c r="I5" i="41"/>
  <c r="I4" i="41"/>
  <c r="H19" i="41"/>
  <c r="H27" i="41"/>
  <c r="H26" i="41"/>
  <c r="H24" i="41"/>
  <c r="H23" i="41"/>
  <c r="H22" i="41"/>
  <c r="H21" i="41"/>
  <c r="H18" i="41"/>
  <c r="H17" i="41"/>
  <c r="H10" i="41"/>
  <c r="H11" i="41"/>
  <c r="H12" i="41"/>
  <c r="H13" i="41"/>
  <c r="H14" i="41"/>
  <c r="H7" i="41"/>
  <c r="H5" i="41"/>
  <c r="H4" i="41"/>
  <c r="F31" i="41"/>
  <c r="E2" i="41"/>
  <c r="F2" i="41"/>
  <c r="F126" i="38"/>
  <c r="X5" i="14"/>
  <c r="X119" i="6"/>
  <c r="C119" i="6"/>
  <c r="X118" i="6"/>
  <c r="C118" i="6"/>
  <c r="X117" i="6"/>
  <c r="C117" i="6"/>
  <c r="D2" i="41"/>
  <c r="F42" i="41"/>
  <c r="J31" i="41"/>
  <c r="D31" i="41"/>
  <c r="F30" i="41"/>
  <c r="D30" i="41"/>
  <c r="E48" i="41" l="1"/>
  <c r="I30" i="41"/>
  <c r="F45" i="41"/>
  <c r="I31" i="41"/>
  <c r="I32" i="41"/>
  <c r="I36" i="41"/>
  <c r="D42" i="41"/>
  <c r="D43" i="41"/>
  <c r="E41" i="41"/>
  <c r="E42" i="41"/>
  <c r="D41" i="41"/>
  <c r="E43" i="41"/>
  <c r="I37" i="41"/>
  <c r="I2" i="41"/>
  <c r="H2" i="41"/>
  <c r="E34" i="41"/>
  <c r="E38" i="41" s="1"/>
  <c r="H32" i="41"/>
  <c r="H31" i="41"/>
  <c r="H30" i="41"/>
  <c r="J34" i="41"/>
  <c r="F34" i="41"/>
  <c r="D34" i="41"/>
  <c r="E45" i="41" l="1"/>
  <c r="E49" i="41" s="1"/>
  <c r="D45" i="41"/>
  <c r="I34" i="41"/>
  <c r="I38" i="41" s="1"/>
  <c r="H34" i="41"/>
  <c r="X116" i="6"/>
  <c r="C116" i="6"/>
  <c r="AA46" i="23" l="1"/>
  <c r="X46" i="23"/>
  <c r="C46" i="23"/>
  <c r="R3" i="24"/>
  <c r="R4" i="24"/>
  <c r="R5" i="24"/>
  <c r="R6" i="24"/>
  <c r="R7" i="24"/>
  <c r="R8" i="24"/>
  <c r="R9" i="24"/>
  <c r="R10" i="24"/>
  <c r="R11" i="24"/>
  <c r="R12" i="24"/>
  <c r="R13" i="24"/>
  <c r="R14" i="24"/>
  <c r="R15" i="24"/>
  <c r="R16" i="24"/>
  <c r="R17" i="24"/>
  <c r="R18" i="24"/>
  <c r="R19" i="24"/>
  <c r="R20" i="24"/>
  <c r="R21" i="24"/>
  <c r="R22" i="24"/>
  <c r="R23" i="24"/>
  <c r="R24" i="24"/>
  <c r="R25" i="24"/>
  <c r="R26" i="24"/>
  <c r="R27" i="24"/>
  <c r="R28" i="24"/>
  <c r="R29" i="24"/>
  <c r="R30" i="24"/>
  <c r="R31" i="24"/>
  <c r="R32" i="24"/>
  <c r="R33" i="24"/>
  <c r="R34" i="24"/>
  <c r="R35" i="24"/>
  <c r="R36" i="24"/>
  <c r="Q3" i="24"/>
  <c r="Q4" i="24"/>
  <c r="Q5" i="24"/>
  <c r="Q6" i="24"/>
  <c r="Q7" i="24"/>
  <c r="Q8" i="24"/>
  <c r="Q9" i="24"/>
  <c r="Q10" i="24"/>
  <c r="Q11" i="24"/>
  <c r="Q12" i="24"/>
  <c r="Q13" i="24"/>
  <c r="Q14" i="24"/>
  <c r="Q15" i="24"/>
  <c r="Q16" i="24"/>
  <c r="Q17" i="24"/>
  <c r="Q18" i="24"/>
  <c r="Q19" i="24"/>
  <c r="Q20" i="24"/>
  <c r="Q21" i="24"/>
  <c r="Q22" i="24"/>
  <c r="Q23" i="24"/>
  <c r="Q24" i="24"/>
  <c r="Q25" i="24"/>
  <c r="Q26" i="24"/>
  <c r="Q27" i="24"/>
  <c r="Q28" i="24"/>
  <c r="Q29" i="24"/>
  <c r="Q30" i="24"/>
  <c r="Q31" i="24"/>
  <c r="Q32" i="24"/>
  <c r="Q33" i="24"/>
  <c r="Q34" i="24"/>
  <c r="Q35" i="24"/>
  <c r="Q36" i="24"/>
  <c r="X115" i="6"/>
  <c r="C115" i="6"/>
  <c r="Q37" i="24"/>
  <c r="R37" i="24"/>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3" i="1"/>
  <c r="Q37" i="39"/>
  <c r="Q4" i="39"/>
  <c r="Q5" i="39"/>
  <c r="Q6" i="39"/>
  <c r="Q7" i="39"/>
  <c r="Q8" i="39"/>
  <c r="Q10" i="39"/>
  <c r="Q11" i="39"/>
  <c r="Q12" i="39"/>
  <c r="Q13" i="39"/>
  <c r="Q14" i="39"/>
  <c r="Q15" i="39"/>
  <c r="Q16" i="39"/>
  <c r="Q17" i="39"/>
  <c r="Q18" i="39"/>
  <c r="Q19" i="39"/>
  <c r="Q20" i="39"/>
  <c r="Q21" i="39"/>
  <c r="Q22" i="39"/>
  <c r="Q23" i="39"/>
  <c r="Q24" i="39"/>
  <c r="Q25" i="39"/>
  <c r="Q26" i="39"/>
  <c r="Q27" i="39"/>
  <c r="Q28" i="39"/>
  <c r="Q29" i="39"/>
  <c r="Q30" i="39"/>
  <c r="Q31" i="39"/>
  <c r="Q32" i="39"/>
  <c r="Q33" i="39"/>
  <c r="Q34" i="39"/>
  <c r="Q35" i="39"/>
  <c r="Q36" i="39"/>
  <c r="Q38" i="39"/>
  <c r="Q39" i="39"/>
  <c r="Q40" i="39"/>
  <c r="Q41" i="39"/>
  <c r="Q42" i="39"/>
  <c r="Q43" i="39"/>
  <c r="Q44" i="39"/>
  <c r="Q45" i="39"/>
  <c r="Q46" i="39"/>
  <c r="Q47" i="39"/>
  <c r="Q48" i="39"/>
  <c r="Q49" i="39"/>
  <c r="Q3" i="39"/>
  <c r="N45" i="38"/>
  <c r="N39" i="38"/>
  <c r="J39" i="38"/>
  <c r="E126" i="38"/>
  <c r="Q49" i="23" l="1"/>
  <c r="H49" i="23"/>
  <c r="N49" i="23"/>
  <c r="O49" i="23"/>
  <c r="W49" i="23"/>
  <c r="V49" i="23"/>
  <c r="M49" i="23"/>
  <c r="J49" i="23"/>
  <c r="U49" i="23"/>
  <c r="L49" i="23"/>
  <c r="K49" i="23"/>
  <c r="T49" i="23"/>
  <c r="S49" i="23"/>
  <c r="R49" i="23"/>
  <c r="I49" i="23"/>
  <c r="R48" i="23"/>
  <c r="I48" i="23"/>
  <c r="Q48" i="23"/>
  <c r="H48" i="23"/>
  <c r="S48" i="23"/>
  <c r="O48" i="23"/>
  <c r="T48" i="23"/>
  <c r="W48" i="23"/>
  <c r="N48" i="23"/>
  <c r="K48" i="23"/>
  <c r="V48" i="23"/>
  <c r="M48" i="23"/>
  <c r="J48" i="23"/>
  <c r="U48" i="23"/>
  <c r="L48" i="23"/>
  <c r="Q47" i="23"/>
  <c r="O47" i="23"/>
  <c r="W47" i="23"/>
  <c r="V47" i="23"/>
  <c r="M47" i="23"/>
  <c r="J47" i="23"/>
  <c r="U47" i="23"/>
  <c r="L47" i="23"/>
  <c r="K47" i="23"/>
  <c r="T47" i="23"/>
  <c r="S47" i="23"/>
  <c r="R47" i="23"/>
  <c r="I47" i="23"/>
  <c r="H47" i="23"/>
  <c r="N47" i="23"/>
  <c r="AA5" i="23"/>
  <c r="AA6" i="23"/>
  <c r="AA8" i="23"/>
  <c r="AA9" i="23"/>
  <c r="AA10" i="23"/>
  <c r="AA11" i="23"/>
  <c r="AA12" i="23"/>
  <c r="AA13" i="23"/>
  <c r="AA14" i="23"/>
  <c r="AA15" i="23"/>
  <c r="AA16" i="23"/>
  <c r="AA17" i="23"/>
  <c r="AA18" i="23"/>
  <c r="AA19" i="23"/>
  <c r="AA20" i="23"/>
  <c r="AA21" i="23"/>
  <c r="AA22" i="23"/>
  <c r="AA23" i="23"/>
  <c r="AA24" i="23"/>
  <c r="AA25" i="23"/>
  <c r="AA26" i="23"/>
  <c r="AA27" i="23"/>
  <c r="AA28" i="23"/>
  <c r="AA29" i="23"/>
  <c r="AA30" i="23"/>
  <c r="AA31" i="23"/>
  <c r="AA32" i="23"/>
  <c r="AA33" i="23"/>
  <c r="AA34" i="23"/>
  <c r="AA35" i="23"/>
  <c r="AA36" i="23"/>
  <c r="AA37" i="23"/>
  <c r="AA38" i="23"/>
  <c r="AA39" i="23"/>
  <c r="AA40" i="23"/>
  <c r="AA41" i="23"/>
  <c r="AA42" i="23"/>
  <c r="AA43" i="23"/>
  <c r="AA44" i="23"/>
  <c r="AA45" i="23"/>
  <c r="X5" i="6"/>
  <c r="X6" i="6"/>
  <c r="X7" i="6"/>
  <c r="X8" i="6"/>
  <c r="X9" i="6"/>
  <c r="X10" i="6"/>
  <c r="X11" i="6"/>
  <c r="X12" i="6"/>
  <c r="X13" i="6"/>
  <c r="X14" i="6"/>
  <c r="X15" i="6"/>
  <c r="X16" i="6"/>
  <c r="X17" i="6"/>
  <c r="X18" i="6"/>
  <c r="X19" i="6"/>
  <c r="X20" i="6"/>
  <c r="X21" i="6"/>
  <c r="X22" i="6"/>
  <c r="X23" i="6"/>
  <c r="X24" i="6"/>
  <c r="X25" i="6"/>
  <c r="X26" i="6"/>
  <c r="X27" i="6"/>
  <c r="X28" i="6"/>
  <c r="X29" i="6"/>
  <c r="X30" i="6"/>
  <c r="X31" i="6"/>
  <c r="X32" i="6"/>
  <c r="X33" i="6"/>
  <c r="X34" i="6"/>
  <c r="X35" i="6"/>
  <c r="X36" i="6"/>
  <c r="X37" i="6"/>
  <c r="X38" i="6"/>
  <c r="X39" i="6"/>
  <c r="X40" i="6"/>
  <c r="X41" i="6"/>
  <c r="X42" i="6"/>
  <c r="X43" i="6"/>
  <c r="X44" i="6"/>
  <c r="X45" i="6"/>
  <c r="X46" i="6"/>
  <c r="X47" i="6"/>
  <c r="X48" i="6"/>
  <c r="X49" i="6"/>
  <c r="X50" i="6"/>
  <c r="X51" i="6"/>
  <c r="X52" i="6"/>
  <c r="X53" i="6"/>
  <c r="X54" i="6"/>
  <c r="X55" i="6"/>
  <c r="X56" i="6"/>
  <c r="X57" i="6"/>
  <c r="X58" i="6"/>
  <c r="X59" i="6"/>
  <c r="X60" i="6"/>
  <c r="X61" i="6"/>
  <c r="X62" i="6"/>
  <c r="X63" i="6"/>
  <c r="X64" i="6"/>
  <c r="X65" i="6"/>
  <c r="X66" i="6"/>
  <c r="X67" i="6"/>
  <c r="X68" i="6"/>
  <c r="X69" i="6"/>
  <c r="X70" i="6"/>
  <c r="X71" i="6"/>
  <c r="X72" i="6"/>
  <c r="X73" i="6"/>
  <c r="X74" i="6"/>
  <c r="X75" i="6"/>
  <c r="X76" i="6"/>
  <c r="X77" i="6"/>
  <c r="X78" i="6"/>
  <c r="X79" i="6"/>
  <c r="X80" i="6"/>
  <c r="X81" i="6"/>
  <c r="X82" i="6"/>
  <c r="X83" i="6"/>
  <c r="X84" i="6"/>
  <c r="X85" i="6"/>
  <c r="X86" i="6"/>
  <c r="X87" i="6"/>
  <c r="X88" i="6"/>
  <c r="X89" i="6"/>
  <c r="X90" i="6"/>
  <c r="X91" i="6"/>
  <c r="X92" i="6"/>
  <c r="X93" i="6"/>
  <c r="X94" i="6"/>
  <c r="X95" i="6"/>
  <c r="X96" i="6"/>
  <c r="X97" i="6"/>
  <c r="X98" i="6"/>
  <c r="X99" i="6"/>
  <c r="X100" i="6"/>
  <c r="X101" i="6"/>
  <c r="X102" i="6"/>
  <c r="X103" i="6"/>
  <c r="X104" i="6"/>
  <c r="X105" i="6"/>
  <c r="X106" i="6"/>
  <c r="X107" i="6"/>
  <c r="X108" i="6"/>
  <c r="X109" i="6"/>
  <c r="X110" i="6"/>
  <c r="X111" i="6"/>
  <c r="X112" i="6"/>
  <c r="X113" i="6"/>
  <c r="X114" i="6"/>
  <c r="X4" i="6"/>
  <c r="X5" i="23"/>
  <c r="X6" i="23"/>
  <c r="X7" i="23"/>
  <c r="X8" i="23"/>
  <c r="X9" i="23"/>
  <c r="X10" i="23"/>
  <c r="X11" i="23"/>
  <c r="X12" i="23"/>
  <c r="X13" i="23"/>
  <c r="X14" i="23"/>
  <c r="X15" i="23"/>
  <c r="X16" i="23"/>
  <c r="X17" i="23"/>
  <c r="X18" i="23"/>
  <c r="X19" i="23"/>
  <c r="X20" i="23"/>
  <c r="X21" i="23"/>
  <c r="X22" i="23"/>
  <c r="X23" i="23"/>
  <c r="X24" i="23"/>
  <c r="X25" i="23"/>
  <c r="X26" i="23"/>
  <c r="X27" i="23"/>
  <c r="X28" i="23"/>
  <c r="X29" i="23"/>
  <c r="X30" i="23"/>
  <c r="X31" i="23"/>
  <c r="X32" i="23"/>
  <c r="X33" i="23"/>
  <c r="X34" i="23"/>
  <c r="X35" i="23"/>
  <c r="X36" i="23"/>
  <c r="X37" i="23"/>
  <c r="X38" i="23"/>
  <c r="X39" i="23"/>
  <c r="X40" i="23"/>
  <c r="X41" i="23"/>
  <c r="X42" i="23"/>
  <c r="X43" i="23"/>
  <c r="X44" i="23"/>
  <c r="X45" i="23"/>
  <c r="X4" i="23"/>
  <c r="X6" i="14"/>
  <c r="X7" i="14"/>
  <c r="X8" i="14"/>
  <c r="X9" i="14"/>
  <c r="X10" i="14"/>
  <c r="X11" i="14"/>
  <c r="X12" i="14"/>
  <c r="X13" i="14"/>
  <c r="X14" i="14"/>
  <c r="X15" i="14"/>
  <c r="X16" i="14"/>
  <c r="X17" i="14"/>
  <c r="X18" i="14"/>
  <c r="X19" i="14"/>
  <c r="X20" i="14"/>
  <c r="X21" i="14"/>
  <c r="X22" i="14"/>
  <c r="X23" i="14"/>
  <c r="X24" i="14"/>
  <c r="X25" i="14"/>
  <c r="X26" i="14"/>
  <c r="X27" i="14"/>
  <c r="X28" i="14"/>
  <c r="X29" i="14"/>
  <c r="X30" i="14"/>
  <c r="X31" i="14"/>
  <c r="X32" i="14"/>
  <c r="X33" i="14"/>
  <c r="X34" i="14"/>
  <c r="X35" i="14"/>
  <c r="X36" i="14"/>
  <c r="X37" i="14"/>
  <c r="X38" i="14"/>
  <c r="X39" i="14"/>
  <c r="X40" i="14"/>
  <c r="X41" i="14"/>
  <c r="X42" i="14"/>
  <c r="X43" i="14"/>
  <c r="X44" i="14"/>
  <c r="X45" i="14"/>
  <c r="X46" i="14"/>
  <c r="X47" i="14"/>
  <c r="X48" i="14"/>
  <c r="X49" i="14"/>
  <c r="X50" i="14"/>
  <c r="X51" i="14"/>
  <c r="X52" i="14"/>
  <c r="X53" i="14"/>
  <c r="X54" i="14"/>
  <c r="X55" i="14"/>
  <c r="X56" i="14"/>
  <c r="X57" i="14"/>
  <c r="X58" i="14"/>
  <c r="X59" i="14"/>
  <c r="X60" i="14"/>
  <c r="X4" i="14"/>
  <c r="P1" i="17"/>
  <c r="P49" i="23" l="1"/>
  <c r="G49" i="23" s="1"/>
  <c r="P48" i="23"/>
  <c r="G48" i="23" s="1"/>
  <c r="P47" i="23"/>
  <c r="G47" i="23" s="1"/>
  <c r="F47" i="23" s="1"/>
  <c r="AA56" i="14"/>
  <c r="AA57" i="14"/>
  <c r="AA58" i="14"/>
  <c r="AA59" i="14"/>
  <c r="AA60" i="14"/>
  <c r="C114" i="6"/>
  <c r="C113" i="6"/>
  <c r="C112" i="6"/>
  <c r="C111" i="6"/>
  <c r="C110" i="6"/>
  <c r="E60" i="14"/>
  <c r="C60" i="14"/>
  <c r="C45" i="23"/>
  <c r="C44" i="23"/>
  <c r="C109" i="6"/>
  <c r="F39" i="38"/>
  <c r="F123" i="38" s="1"/>
  <c r="F133" i="38" s="1"/>
  <c r="AE1" i="17"/>
  <c r="W1" i="17"/>
  <c r="U1" i="17"/>
  <c r="T1" i="17"/>
  <c r="S1" i="17"/>
  <c r="R1" i="17"/>
  <c r="Q1" i="17"/>
  <c r="O1" i="17"/>
  <c r="H1" i="17"/>
  <c r="F49" i="23" l="1"/>
  <c r="AG49" i="23"/>
  <c r="F48" i="23"/>
  <c r="AG48" i="23"/>
  <c r="AG47" i="23"/>
  <c r="M1" i="17"/>
  <c r="F125" i="38" l="1"/>
  <c r="L26" i="38" l="1"/>
  <c r="C108" i="6" l="1"/>
  <c r="C107" i="6"/>
  <c r="H107" i="6"/>
  <c r="I107" i="6"/>
  <c r="J107" i="6"/>
  <c r="K107" i="6"/>
  <c r="L107" i="6"/>
  <c r="M107" i="6"/>
  <c r="N107" i="6"/>
  <c r="O107" i="6"/>
  <c r="Q107" i="6"/>
  <c r="R107" i="6"/>
  <c r="S107" i="6"/>
  <c r="T107" i="6"/>
  <c r="U107" i="6"/>
  <c r="V107" i="6"/>
  <c r="W107" i="6"/>
  <c r="C106" i="6"/>
  <c r="W105" i="6"/>
  <c r="V105" i="6"/>
  <c r="U105" i="6"/>
  <c r="T105" i="6"/>
  <c r="S105" i="6"/>
  <c r="R105" i="6"/>
  <c r="Q105" i="6"/>
  <c r="O105" i="6"/>
  <c r="N105" i="6"/>
  <c r="M105" i="6"/>
  <c r="L105" i="6"/>
  <c r="K105" i="6"/>
  <c r="J105" i="6"/>
  <c r="I105" i="6"/>
  <c r="H105" i="6"/>
  <c r="C105" i="6"/>
  <c r="P107" i="6" l="1"/>
  <c r="G107" i="6" s="1"/>
  <c r="F107" i="6" s="1"/>
  <c r="P105" i="6"/>
  <c r="G105" i="6" s="1"/>
  <c r="F105" i="6" s="1"/>
  <c r="C43" i="23"/>
  <c r="W59" i="14"/>
  <c r="V59" i="14"/>
  <c r="U59" i="14"/>
  <c r="T59" i="14"/>
  <c r="S59" i="14"/>
  <c r="R59" i="14"/>
  <c r="Q59" i="14"/>
  <c r="O59" i="14"/>
  <c r="N59" i="14"/>
  <c r="M59" i="14"/>
  <c r="L59" i="14"/>
  <c r="K59" i="14"/>
  <c r="J59" i="14"/>
  <c r="I59" i="14"/>
  <c r="H59" i="14"/>
  <c r="E59" i="14"/>
  <c r="C59" i="14"/>
  <c r="R318" i="11"/>
  <c r="R319" i="11"/>
  <c r="R320" i="11"/>
  <c r="R321" i="11"/>
  <c r="R322" i="11"/>
  <c r="R323" i="11"/>
  <c r="R324" i="11"/>
  <c r="R325" i="11"/>
  <c r="R326" i="11"/>
  <c r="R327" i="11"/>
  <c r="R328" i="11"/>
  <c r="R329" i="11"/>
  <c r="R330" i="11"/>
  <c r="R331" i="11"/>
  <c r="R332" i="11"/>
  <c r="R333" i="11"/>
  <c r="R334" i="11"/>
  <c r="R335" i="11"/>
  <c r="R336" i="11"/>
  <c r="R337" i="11"/>
  <c r="R338" i="11"/>
  <c r="R339" i="11"/>
  <c r="R340" i="11"/>
  <c r="R341" i="11"/>
  <c r="R342" i="11"/>
  <c r="R343" i="11"/>
  <c r="R344" i="11"/>
  <c r="R345" i="11"/>
  <c r="R346" i="11"/>
  <c r="R347" i="11"/>
  <c r="R348" i="11"/>
  <c r="R349" i="11"/>
  <c r="R350" i="11"/>
  <c r="R351" i="11"/>
  <c r="R352" i="11"/>
  <c r="R353" i="11"/>
  <c r="R354" i="11"/>
  <c r="R355" i="11"/>
  <c r="R356" i="11"/>
  <c r="R357" i="11"/>
  <c r="R358" i="11"/>
  <c r="R359" i="11"/>
  <c r="R360" i="11"/>
  <c r="R361" i="11"/>
  <c r="R362" i="11"/>
  <c r="R363" i="11"/>
  <c r="R364" i="11"/>
  <c r="R365" i="11"/>
  <c r="R366" i="11"/>
  <c r="R367" i="11"/>
  <c r="R368" i="11"/>
  <c r="R369" i="11"/>
  <c r="R370" i="11"/>
  <c r="R371" i="11"/>
  <c r="R372" i="11"/>
  <c r="R373" i="11"/>
  <c r="R374" i="11"/>
  <c r="R375" i="11"/>
  <c r="R376" i="11"/>
  <c r="R377" i="11"/>
  <c r="R378" i="11"/>
  <c r="R379" i="11"/>
  <c r="R380" i="11"/>
  <c r="R381" i="11"/>
  <c r="R382" i="11"/>
  <c r="R383" i="11"/>
  <c r="R384" i="11"/>
  <c r="R385" i="11"/>
  <c r="R386" i="11"/>
  <c r="R387" i="11"/>
  <c r="R388" i="11"/>
  <c r="R389" i="11"/>
  <c r="R390" i="11"/>
  <c r="R391" i="11"/>
  <c r="R392" i="11"/>
  <c r="Q319" i="11"/>
  <c r="Q320" i="11"/>
  <c r="Q321" i="11"/>
  <c r="Q322" i="11"/>
  <c r="Q323" i="11"/>
  <c r="Q324" i="11"/>
  <c r="Q325" i="11"/>
  <c r="Q326" i="11"/>
  <c r="Q327" i="11"/>
  <c r="Q328" i="11"/>
  <c r="Q329" i="11"/>
  <c r="Q330" i="11"/>
  <c r="Q331" i="11"/>
  <c r="Q332" i="11"/>
  <c r="Q333" i="11"/>
  <c r="Q334" i="11"/>
  <c r="Q335" i="11"/>
  <c r="Q336" i="11"/>
  <c r="Q337" i="11"/>
  <c r="Q338" i="11"/>
  <c r="Q339" i="11"/>
  <c r="Q340" i="11"/>
  <c r="Q341" i="11"/>
  <c r="Q342" i="11"/>
  <c r="Q343" i="11"/>
  <c r="Q344" i="11"/>
  <c r="Q345" i="11"/>
  <c r="Q346" i="11"/>
  <c r="Q347" i="11"/>
  <c r="Q348" i="11"/>
  <c r="Q349" i="11"/>
  <c r="Q350" i="11"/>
  <c r="Q351" i="11"/>
  <c r="Q352" i="11"/>
  <c r="Q353" i="11"/>
  <c r="Q354" i="11"/>
  <c r="Q355" i="11"/>
  <c r="Q356" i="11"/>
  <c r="Q357" i="11"/>
  <c r="Q358" i="11"/>
  <c r="Q359" i="11"/>
  <c r="Q360" i="11"/>
  <c r="Q361" i="11"/>
  <c r="Q362" i="11"/>
  <c r="Q363" i="11"/>
  <c r="Q364" i="11"/>
  <c r="Q365" i="11"/>
  <c r="Q366" i="11"/>
  <c r="Q367" i="11"/>
  <c r="Q368" i="11"/>
  <c r="Q369" i="11"/>
  <c r="Q370" i="11"/>
  <c r="Q371" i="11"/>
  <c r="Q372" i="11"/>
  <c r="Q373" i="11"/>
  <c r="Q374" i="11"/>
  <c r="Q375" i="11"/>
  <c r="Q376" i="11"/>
  <c r="Q377" i="11"/>
  <c r="Q378" i="11"/>
  <c r="Q379" i="11"/>
  <c r="Q380" i="11"/>
  <c r="Q381" i="11"/>
  <c r="Q382" i="11"/>
  <c r="Q383" i="11"/>
  <c r="Q384" i="11"/>
  <c r="Q385" i="11"/>
  <c r="Q386" i="11"/>
  <c r="Q387" i="11"/>
  <c r="Q388" i="11"/>
  <c r="Q389" i="11"/>
  <c r="Q390" i="11"/>
  <c r="Q391" i="11"/>
  <c r="Q392" i="11"/>
  <c r="E58" i="14"/>
  <c r="C58" i="14"/>
  <c r="AG107" i="6" l="1"/>
  <c r="AG105" i="6"/>
  <c r="P59" i="14"/>
  <c r="G59" i="14" s="1"/>
  <c r="AG59" i="14" s="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E57" i="14"/>
  <c r="C57" i="14"/>
  <c r="C104" i="6"/>
  <c r="C103" i="6"/>
  <c r="C102" i="6"/>
  <c r="C101" i="6"/>
  <c r="C100" i="6"/>
  <c r="Q57" i="14"/>
  <c r="AA5" i="14"/>
  <c r="AA6" i="14"/>
  <c r="AA7" i="14"/>
  <c r="AA8" i="14"/>
  <c r="AA9" i="14"/>
  <c r="AA10" i="14"/>
  <c r="AA11" i="14"/>
  <c r="AA12" i="14"/>
  <c r="AA13" i="14"/>
  <c r="AA14" i="14"/>
  <c r="AA15" i="14"/>
  <c r="AA16" i="14"/>
  <c r="AA17" i="14"/>
  <c r="AA18" i="14"/>
  <c r="AA19" i="14"/>
  <c r="AA20" i="14"/>
  <c r="AA21" i="14"/>
  <c r="AA22" i="14"/>
  <c r="AA23" i="14"/>
  <c r="AA24" i="14"/>
  <c r="AA25" i="14"/>
  <c r="AA26" i="14"/>
  <c r="AA27" i="14"/>
  <c r="AA28" i="14"/>
  <c r="AA29" i="14"/>
  <c r="AA30" i="14"/>
  <c r="AA31" i="14"/>
  <c r="AA32" i="14"/>
  <c r="AA33" i="14"/>
  <c r="AA34" i="14"/>
  <c r="AA35" i="14"/>
  <c r="AA36" i="14"/>
  <c r="AA37" i="14"/>
  <c r="AA38" i="14"/>
  <c r="AA39" i="14"/>
  <c r="AA40" i="14"/>
  <c r="AA41" i="14"/>
  <c r="AA42" i="14"/>
  <c r="AA43" i="14"/>
  <c r="AA44" i="14"/>
  <c r="AA45" i="14"/>
  <c r="AA46" i="14"/>
  <c r="AA47" i="14"/>
  <c r="AA48" i="14"/>
  <c r="AA49" i="14"/>
  <c r="AA50" i="14"/>
  <c r="AA51" i="14"/>
  <c r="AA52" i="14"/>
  <c r="AA53" i="14"/>
  <c r="AA54" i="14"/>
  <c r="AA55" i="14"/>
  <c r="E56" i="14"/>
  <c r="C56" i="14"/>
  <c r="C99" i="6"/>
  <c r="G1" i="8" l="1"/>
  <c r="F59" i="14"/>
  <c r="J57" i="14"/>
  <c r="T57" i="14"/>
  <c r="I57" i="14"/>
  <c r="R57" i="14"/>
  <c r="L57" i="14"/>
  <c r="U57" i="14"/>
  <c r="M57" i="14"/>
  <c r="V57" i="14"/>
  <c r="N57" i="14"/>
  <c r="W57" i="14"/>
  <c r="O57" i="14"/>
  <c r="S57" i="14"/>
  <c r="K57" i="14"/>
  <c r="H57" i="14"/>
  <c r="C7" i="14"/>
  <c r="E7" i="14"/>
  <c r="P57" i="14" l="1"/>
  <c r="G57" i="14" s="1"/>
  <c r="F57" i="14" l="1"/>
  <c r="AG57" i="14"/>
  <c r="R38" i="24" l="1"/>
  <c r="R39" i="24"/>
  <c r="R40" i="24"/>
  <c r="R41" i="24"/>
  <c r="C42" i="23"/>
  <c r="C98" i="6"/>
  <c r="C97" i="6"/>
  <c r="C96" i="6"/>
  <c r="C95" i="6"/>
  <c r="D5" i="40"/>
  <c r="J45" i="38" l="1"/>
  <c r="M46" i="38"/>
  <c r="M40" i="38"/>
  <c r="L41" i="38"/>
  <c r="L42" i="38"/>
  <c r="M42" i="38" s="1"/>
  <c r="L43" i="38"/>
  <c r="M43" i="38" s="1"/>
  <c r="N46" i="38"/>
  <c r="M41" i="38" l="1"/>
  <c r="L45" i="38"/>
  <c r="M39" i="38"/>
  <c r="C41" i="23" l="1"/>
  <c r="C40" i="23"/>
  <c r="C94" i="6"/>
  <c r="C93" i="6"/>
  <c r="S3" i="1"/>
  <c r="C39" i="23"/>
  <c r="H39" i="23"/>
  <c r="I39" i="23"/>
  <c r="J39" i="23"/>
  <c r="K39" i="23"/>
  <c r="L39" i="23"/>
  <c r="M39" i="23"/>
  <c r="N39" i="23"/>
  <c r="O39" i="23"/>
  <c r="Q39" i="23"/>
  <c r="R39" i="23"/>
  <c r="S39" i="23"/>
  <c r="T39" i="23"/>
  <c r="U39" i="23"/>
  <c r="V39" i="23"/>
  <c r="W39" i="23"/>
  <c r="E55" i="14"/>
  <c r="C55" i="14"/>
  <c r="P39" i="23" l="1"/>
  <c r="G39" i="23" s="1"/>
  <c r="AG39" i="23" s="1"/>
  <c r="C92" i="6"/>
  <c r="E54" i="14"/>
  <c r="C54" i="14"/>
  <c r="C91" i="6"/>
  <c r="Q249" i="1"/>
  <c r="S249" i="1"/>
  <c r="Q250" i="1"/>
  <c r="S250" i="1"/>
  <c r="Q578" i="8"/>
  <c r="Q579" i="8"/>
  <c r="Q580" i="8"/>
  <c r="Q581" i="8"/>
  <c r="Q582" i="8"/>
  <c r="Q583" i="8"/>
  <c r="Q584" i="8"/>
  <c r="Q585" i="8"/>
  <c r="Q586" i="8"/>
  <c r="Q587" i="8"/>
  <c r="Q588" i="8"/>
  <c r="Q589" i="8"/>
  <c r="Q590" i="8"/>
  <c r="Q591" i="8"/>
  <c r="Q592" i="8"/>
  <c r="Q593" i="8"/>
  <c r="Q594" i="8"/>
  <c r="Q595" i="8"/>
  <c r="Q596" i="8"/>
  <c r="Q597" i="8"/>
  <c r="Q598" i="8"/>
  <c r="Q599" i="8"/>
  <c r="Q600" i="8"/>
  <c r="Q601" i="8"/>
  <c r="Q602" i="8"/>
  <c r="Q603" i="8"/>
  <c r="Q604" i="8"/>
  <c r="Q605" i="8"/>
  <c r="Q606" i="8"/>
  <c r="Q607" i="8"/>
  <c r="Q608" i="8"/>
  <c r="Q609" i="8"/>
  <c r="Q610" i="8"/>
  <c r="Q611" i="8"/>
  <c r="Q612" i="8"/>
  <c r="Q613" i="8"/>
  <c r="Q614" i="8"/>
  <c r="Q615" i="8"/>
  <c r="Q616" i="8"/>
  <c r="Q617" i="8"/>
  <c r="Q618" i="8"/>
  <c r="Q619" i="8"/>
  <c r="Q620" i="8"/>
  <c r="Q621" i="8"/>
  <c r="Q622" i="8"/>
  <c r="Q623" i="8"/>
  <c r="Q624" i="8"/>
  <c r="Q625" i="8"/>
  <c r="Q626" i="8"/>
  <c r="Q627" i="8"/>
  <c r="Q628" i="8"/>
  <c r="Q629" i="8"/>
  <c r="Q630" i="8"/>
  <c r="Q631" i="8"/>
  <c r="Q632" i="8"/>
  <c r="Q633" i="8"/>
  <c r="Q634" i="8"/>
  <c r="Q635" i="8"/>
  <c r="Q636" i="8"/>
  <c r="Q637" i="8"/>
  <c r="Q638" i="8"/>
  <c r="Q639" i="8"/>
  <c r="Q640" i="8"/>
  <c r="Q641" i="8"/>
  <c r="Q642" i="8"/>
  <c r="Q643" i="8"/>
  <c r="Q644" i="8"/>
  <c r="Q645" i="8"/>
  <c r="Q646" i="8"/>
  <c r="Q647" i="8"/>
  <c r="Q648" i="8"/>
  <c r="Q649" i="8"/>
  <c r="Q650" i="8"/>
  <c r="Q651" i="8"/>
  <c r="Q652" i="8"/>
  <c r="Q653" i="8"/>
  <c r="Q654" i="8"/>
  <c r="Q655" i="8"/>
  <c r="Q656" i="8"/>
  <c r="Q657" i="8"/>
  <c r="Q658" i="8"/>
  <c r="Q659" i="8"/>
  <c r="Q660" i="8"/>
  <c r="Q661" i="8"/>
  <c r="Q662" i="8"/>
  <c r="Q663" i="8"/>
  <c r="Q664" i="8"/>
  <c r="Q665" i="8"/>
  <c r="Q666" i="8"/>
  <c r="Q667" i="8"/>
  <c r="Q668" i="8"/>
  <c r="Q669" i="8"/>
  <c r="Q670" i="8"/>
  <c r="Q671" i="8"/>
  <c r="Q672" i="8"/>
  <c r="Q673" i="8"/>
  <c r="Q674" i="8"/>
  <c r="Q675" i="8"/>
  <c r="Q676" i="8"/>
  <c r="Q677" i="8"/>
  <c r="Q678" i="8"/>
  <c r="Q679" i="8"/>
  <c r="Q680" i="8"/>
  <c r="Q681" i="8"/>
  <c r="Q682" i="8"/>
  <c r="Q683" i="8"/>
  <c r="Q684" i="8"/>
  <c r="Q685" i="8"/>
  <c r="Q686" i="8"/>
  <c r="Q687" i="8"/>
  <c r="Q688" i="8"/>
  <c r="Q689" i="8"/>
  <c r="Q690" i="8"/>
  <c r="Q691" i="8"/>
  <c r="Q692" i="8"/>
  <c r="Q693" i="8"/>
  <c r="Q694" i="8"/>
  <c r="Q695" i="8"/>
  <c r="Q696" i="8"/>
  <c r="Q697" i="8"/>
  <c r="Q698" i="8"/>
  <c r="Q699" i="8"/>
  <c r="Q700" i="8"/>
  <c r="Q701" i="8"/>
  <c r="Q702" i="8"/>
  <c r="Q703" i="8"/>
  <c r="Q704" i="8"/>
  <c r="C38" i="23"/>
  <c r="C37" i="23"/>
  <c r="C36" i="23"/>
  <c r="C90" i="6"/>
  <c r="C89" i="6"/>
  <c r="G26" i="38"/>
  <c r="L31" i="38"/>
  <c r="L32" i="38"/>
  <c r="L27" i="38"/>
  <c r="L28" i="38"/>
  <c r="L29" i="38"/>
  <c r="L30" i="38"/>
  <c r="L39" i="38" l="1"/>
  <c r="L123" i="38" s="1"/>
  <c r="Q98" i="6"/>
  <c r="H98" i="6"/>
  <c r="O98" i="6"/>
  <c r="W98" i="6"/>
  <c r="N98" i="6"/>
  <c r="V98" i="6"/>
  <c r="M98" i="6"/>
  <c r="L98" i="6"/>
  <c r="U98" i="6"/>
  <c r="T98" i="6"/>
  <c r="K98" i="6"/>
  <c r="S98" i="6"/>
  <c r="J98" i="6"/>
  <c r="R98" i="6"/>
  <c r="I98" i="6"/>
  <c r="F39" i="23"/>
  <c r="AA4" i="23"/>
  <c r="P98" i="6" l="1"/>
  <c r="G98" i="6" s="1"/>
  <c r="F98" i="6" l="1"/>
  <c r="AG98" i="6"/>
  <c r="E5" i="14" l="1"/>
  <c r="E4" i="14"/>
  <c r="E11" i="14"/>
  <c r="C35" i="23"/>
  <c r="C34" i="23"/>
  <c r="E45" i="14" l="1"/>
  <c r="E50" i="14"/>
  <c r="E51" i="14"/>
  <c r="E53" i="14"/>
  <c r="C53" i="14"/>
  <c r="C88" i="6"/>
  <c r="C33" i="23"/>
  <c r="C87" i="6"/>
  <c r="Q229" i="1"/>
  <c r="S229" i="1"/>
  <c r="Q230" i="1"/>
  <c r="S230" i="1"/>
  <c r="Q231" i="1"/>
  <c r="S231" i="1"/>
  <c r="Q232" i="1"/>
  <c r="S232" i="1"/>
  <c r="Q233" i="1"/>
  <c r="S233" i="1"/>
  <c r="Q234" i="1"/>
  <c r="S234" i="1"/>
  <c r="Q235" i="1"/>
  <c r="S235" i="1"/>
  <c r="Q236" i="1"/>
  <c r="S236" i="1"/>
  <c r="Q237" i="1"/>
  <c r="S237" i="1"/>
  <c r="Q238" i="1"/>
  <c r="S238" i="1"/>
  <c r="Q239" i="1"/>
  <c r="S239" i="1"/>
  <c r="Q240" i="1"/>
  <c r="S240" i="1"/>
  <c r="Q241" i="1"/>
  <c r="S241" i="1"/>
  <c r="Q242" i="1"/>
  <c r="S242" i="1"/>
  <c r="Q243" i="1"/>
  <c r="S243" i="1"/>
  <c r="Q244" i="1"/>
  <c r="S244" i="1"/>
  <c r="Q245" i="1"/>
  <c r="S245" i="1"/>
  <c r="Q246" i="1"/>
  <c r="S246" i="1"/>
  <c r="Q247" i="1"/>
  <c r="S247" i="1"/>
  <c r="Q248" i="1"/>
  <c r="S248" i="1"/>
  <c r="Q781" i="8"/>
  <c r="R781" i="8"/>
  <c r="Q782" i="8"/>
  <c r="R782" i="8"/>
  <c r="Q783" i="8"/>
  <c r="R783" i="8"/>
  <c r="Q784" i="8"/>
  <c r="R784" i="8"/>
  <c r="Q785" i="8"/>
  <c r="R785" i="8"/>
  <c r="Q786" i="8"/>
  <c r="R786" i="8"/>
  <c r="Q787" i="8"/>
  <c r="R787" i="8"/>
  <c r="Q788" i="8"/>
  <c r="R788" i="8"/>
  <c r="Q789" i="8"/>
  <c r="R789" i="8"/>
  <c r="Q790" i="8"/>
  <c r="R790" i="8"/>
  <c r="Q791" i="8"/>
  <c r="R791" i="8"/>
  <c r="Q792" i="8"/>
  <c r="R792" i="8"/>
  <c r="Q793" i="8"/>
  <c r="R793" i="8"/>
  <c r="Q794" i="8"/>
  <c r="R794" i="8"/>
  <c r="Q795" i="8"/>
  <c r="R795" i="8"/>
  <c r="Q796" i="8"/>
  <c r="R796" i="8"/>
  <c r="Q797" i="8"/>
  <c r="R797" i="8"/>
  <c r="Q798" i="8"/>
  <c r="R798" i="8"/>
  <c r="AA4" i="14"/>
  <c r="Q227" i="1"/>
  <c r="S227" i="1"/>
  <c r="Q228" i="1"/>
  <c r="S228" i="1"/>
  <c r="C86" i="6"/>
  <c r="Q217" i="1"/>
  <c r="S217" i="1"/>
  <c r="Q218" i="1"/>
  <c r="S218" i="1"/>
  <c r="Q219" i="1"/>
  <c r="S219" i="1"/>
  <c r="Q220" i="1"/>
  <c r="S220" i="1"/>
  <c r="Q221" i="1"/>
  <c r="S221" i="1"/>
  <c r="Q222" i="1"/>
  <c r="S222" i="1"/>
  <c r="Q223" i="1"/>
  <c r="S223" i="1"/>
  <c r="Q224" i="1"/>
  <c r="S224" i="1"/>
  <c r="Q225" i="1"/>
  <c r="S225" i="1"/>
  <c r="Q226" i="1"/>
  <c r="S226" i="1"/>
  <c r="E52" i="14"/>
  <c r="C52" i="14"/>
  <c r="C85" i="6"/>
  <c r="C84" i="6"/>
  <c r="U137" i="6" l="1"/>
  <c r="L137" i="6"/>
  <c r="J137" i="6"/>
  <c r="I137" i="6"/>
  <c r="W137" i="6"/>
  <c r="R137" i="6"/>
  <c r="O137" i="6"/>
  <c r="S137" i="6"/>
  <c r="N137" i="6"/>
  <c r="H137" i="6"/>
  <c r="T137" i="6"/>
  <c r="K137" i="6"/>
  <c r="V137" i="6"/>
  <c r="Q137" i="6"/>
  <c r="M137" i="6"/>
  <c r="T136" i="6"/>
  <c r="S136" i="6"/>
  <c r="R136" i="6"/>
  <c r="I136" i="6"/>
  <c r="H136" i="6"/>
  <c r="N136" i="6"/>
  <c r="M136" i="6"/>
  <c r="L136" i="6"/>
  <c r="Q136" i="6"/>
  <c r="J136" i="6"/>
  <c r="O136" i="6"/>
  <c r="W136" i="6"/>
  <c r="K136" i="6"/>
  <c r="V136" i="6"/>
  <c r="U136" i="6"/>
  <c r="W131" i="6"/>
  <c r="V131" i="6"/>
  <c r="M131" i="6"/>
  <c r="U131" i="6"/>
  <c r="L131" i="6"/>
  <c r="T131" i="6"/>
  <c r="K131" i="6"/>
  <c r="S131" i="6"/>
  <c r="J131" i="6"/>
  <c r="R131" i="6"/>
  <c r="I131" i="6"/>
  <c r="Q131" i="6"/>
  <c r="H131" i="6"/>
  <c r="O131" i="6"/>
  <c r="N131" i="6"/>
  <c r="Q91" i="6"/>
  <c r="H91" i="6"/>
  <c r="O91" i="6"/>
  <c r="W91" i="6"/>
  <c r="N91" i="6"/>
  <c r="V91" i="6"/>
  <c r="M91" i="6"/>
  <c r="U91" i="6"/>
  <c r="L91" i="6"/>
  <c r="T91" i="6"/>
  <c r="K91" i="6"/>
  <c r="I91" i="6"/>
  <c r="S91" i="6"/>
  <c r="J91" i="6"/>
  <c r="R91" i="6"/>
  <c r="X1" i="23"/>
  <c r="C83" i="6"/>
  <c r="P137" i="6" l="1"/>
  <c r="G137" i="6" s="1"/>
  <c r="P136" i="6"/>
  <c r="G136" i="6" s="1"/>
  <c r="P131" i="6"/>
  <c r="G131" i="6" s="1"/>
  <c r="P91" i="6"/>
  <c r="G91" i="6" s="1"/>
  <c r="G32" i="38"/>
  <c r="G31" i="38"/>
  <c r="G29" i="38"/>
  <c r="G28" i="38"/>
  <c r="C82" i="6"/>
  <c r="C32" i="23"/>
  <c r="T192" i="1"/>
  <c r="T193" i="1"/>
  <c r="T191" i="1"/>
  <c r="S191" i="1"/>
  <c r="Q779" i="8"/>
  <c r="R779" i="8"/>
  <c r="Q780" i="8"/>
  <c r="R780" i="8"/>
  <c r="Q203" i="1"/>
  <c r="S203" i="1"/>
  <c r="Q204" i="1"/>
  <c r="S204" i="1"/>
  <c r="Q205" i="1"/>
  <c r="S205" i="1"/>
  <c r="Q206" i="1"/>
  <c r="S206" i="1"/>
  <c r="Q207" i="1"/>
  <c r="S207" i="1"/>
  <c r="Q208" i="1"/>
  <c r="S208" i="1"/>
  <c r="Q209" i="1"/>
  <c r="S209" i="1"/>
  <c r="Q210" i="1"/>
  <c r="S210" i="1"/>
  <c r="Q211" i="1"/>
  <c r="S211" i="1"/>
  <c r="Q212" i="1"/>
  <c r="S212" i="1"/>
  <c r="Q213" i="1"/>
  <c r="S213" i="1"/>
  <c r="Q214" i="1"/>
  <c r="S214" i="1"/>
  <c r="Q215" i="1"/>
  <c r="S215" i="1"/>
  <c r="Q216" i="1"/>
  <c r="S216" i="1"/>
  <c r="R656" i="8"/>
  <c r="R657" i="8"/>
  <c r="R658" i="8"/>
  <c r="R659" i="8"/>
  <c r="R660" i="8"/>
  <c r="R661" i="8"/>
  <c r="R662" i="8"/>
  <c r="R663" i="8"/>
  <c r="R664" i="8"/>
  <c r="R665" i="8"/>
  <c r="R666" i="8"/>
  <c r="R667" i="8"/>
  <c r="R668" i="8"/>
  <c r="R669" i="8"/>
  <c r="R670" i="8"/>
  <c r="R671" i="8"/>
  <c r="R672" i="8"/>
  <c r="R673" i="8"/>
  <c r="R674" i="8"/>
  <c r="R675" i="8"/>
  <c r="R676" i="8"/>
  <c r="R677" i="8"/>
  <c r="R678" i="8"/>
  <c r="R679" i="8"/>
  <c r="R680" i="8"/>
  <c r="R681" i="8"/>
  <c r="R682" i="8"/>
  <c r="R683" i="8"/>
  <c r="R684" i="8"/>
  <c r="R685" i="8"/>
  <c r="R686" i="8"/>
  <c r="R687" i="8"/>
  <c r="R688" i="8"/>
  <c r="R689" i="8"/>
  <c r="R690" i="8"/>
  <c r="R691" i="8"/>
  <c r="R692" i="8"/>
  <c r="R693" i="8"/>
  <c r="R694" i="8"/>
  <c r="R695" i="8"/>
  <c r="R696" i="8"/>
  <c r="R697" i="8"/>
  <c r="R698" i="8"/>
  <c r="R699" i="8"/>
  <c r="R700" i="8"/>
  <c r="R701" i="8"/>
  <c r="R702" i="8"/>
  <c r="R703" i="8"/>
  <c r="R704" i="8"/>
  <c r="R705" i="8"/>
  <c r="R706" i="8"/>
  <c r="R707" i="8"/>
  <c r="R708" i="8"/>
  <c r="R709" i="8"/>
  <c r="R710" i="8"/>
  <c r="R711" i="8"/>
  <c r="R712" i="8"/>
  <c r="R713" i="8"/>
  <c r="R714" i="8"/>
  <c r="R715" i="8"/>
  <c r="R716" i="8"/>
  <c r="R717" i="8"/>
  <c r="R718" i="8"/>
  <c r="R719" i="8"/>
  <c r="R720" i="8"/>
  <c r="R721" i="8"/>
  <c r="R722" i="8"/>
  <c r="R723" i="8"/>
  <c r="R724" i="8"/>
  <c r="R725" i="8"/>
  <c r="R726" i="8"/>
  <c r="R727" i="8"/>
  <c r="R728" i="8"/>
  <c r="R729" i="8"/>
  <c r="R730" i="8"/>
  <c r="R731" i="8"/>
  <c r="R732" i="8"/>
  <c r="R733" i="8"/>
  <c r="R734" i="8"/>
  <c r="R735" i="8"/>
  <c r="R736" i="8"/>
  <c r="R737" i="8"/>
  <c r="R738" i="8"/>
  <c r="R739" i="8"/>
  <c r="R740" i="8"/>
  <c r="R741" i="8"/>
  <c r="R742" i="8"/>
  <c r="R743" i="8"/>
  <c r="R744" i="8"/>
  <c r="R745" i="8"/>
  <c r="R746" i="8"/>
  <c r="R747" i="8"/>
  <c r="R748" i="8"/>
  <c r="R749" i="8"/>
  <c r="R750" i="8"/>
  <c r="R751" i="8"/>
  <c r="R752" i="8"/>
  <c r="R753" i="8"/>
  <c r="R754" i="8"/>
  <c r="R755" i="8"/>
  <c r="R756" i="8"/>
  <c r="R757" i="8"/>
  <c r="R758" i="8"/>
  <c r="R759" i="8"/>
  <c r="R760" i="8"/>
  <c r="R761" i="8"/>
  <c r="R762" i="8"/>
  <c r="R763" i="8"/>
  <c r="R764" i="8"/>
  <c r="R765" i="8"/>
  <c r="R766" i="8"/>
  <c r="R767" i="8"/>
  <c r="R768" i="8"/>
  <c r="R769" i="8"/>
  <c r="R770" i="8"/>
  <c r="R771" i="8"/>
  <c r="R772" i="8"/>
  <c r="R773" i="8"/>
  <c r="R774" i="8"/>
  <c r="R775" i="8"/>
  <c r="R776" i="8"/>
  <c r="R777" i="8"/>
  <c r="R778" i="8"/>
  <c r="Q771" i="8"/>
  <c r="Q772" i="8"/>
  <c r="Q773" i="8"/>
  <c r="Q774" i="8"/>
  <c r="Q775" i="8"/>
  <c r="Q776" i="8"/>
  <c r="Q777" i="8"/>
  <c r="Q778" i="8"/>
  <c r="AG137" i="6" l="1"/>
  <c r="F137" i="6"/>
  <c r="F136" i="6"/>
  <c r="AG136" i="6"/>
  <c r="L90" i="6"/>
  <c r="R90" i="6"/>
  <c r="S90" i="6"/>
  <c r="O90" i="6"/>
  <c r="I90" i="6"/>
  <c r="K90" i="6"/>
  <c r="W90" i="6"/>
  <c r="N90" i="6"/>
  <c r="J90" i="6"/>
  <c r="V90" i="6"/>
  <c r="M90" i="6"/>
  <c r="Q90" i="6"/>
  <c r="U90" i="6"/>
  <c r="H90" i="6"/>
  <c r="T90" i="6"/>
  <c r="F131" i="6"/>
  <c r="AG131" i="6"/>
  <c r="W103" i="6"/>
  <c r="J103" i="6"/>
  <c r="V103" i="6"/>
  <c r="N103" i="6"/>
  <c r="M103" i="6"/>
  <c r="R103" i="6"/>
  <c r="U103" i="6"/>
  <c r="I103" i="6"/>
  <c r="L103" i="6"/>
  <c r="H103" i="6"/>
  <c r="T103" i="6"/>
  <c r="Q103" i="6"/>
  <c r="K103" i="6"/>
  <c r="O103" i="6"/>
  <c r="S103" i="6"/>
  <c r="T97" i="6"/>
  <c r="I97" i="6"/>
  <c r="W97" i="6"/>
  <c r="Q97" i="6"/>
  <c r="K97" i="6"/>
  <c r="U97" i="6"/>
  <c r="S97" i="6"/>
  <c r="H97" i="6"/>
  <c r="V97" i="6"/>
  <c r="L97" i="6"/>
  <c r="N97" i="6"/>
  <c r="J97" i="6"/>
  <c r="O97" i="6"/>
  <c r="M97" i="6"/>
  <c r="R97" i="6"/>
  <c r="F91" i="6"/>
  <c r="AG91" i="6"/>
  <c r="C31" i="23"/>
  <c r="C51" i="14"/>
  <c r="C81" i="6"/>
  <c r="Q201" i="1"/>
  <c r="S201" i="1"/>
  <c r="Q202" i="1"/>
  <c r="S202" i="1"/>
  <c r="C30" i="23"/>
  <c r="C80" i="6"/>
  <c r="C50" i="14"/>
  <c r="E49" i="14"/>
  <c r="C49" i="14"/>
  <c r="C29" i="23"/>
  <c r="E6" i="14"/>
  <c r="E8" i="14"/>
  <c r="E9" i="14"/>
  <c r="E10"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6" i="14"/>
  <c r="E47" i="14"/>
  <c r="C5" i="14"/>
  <c r="C6"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E4"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5" i="23"/>
  <c r="C6" i="23"/>
  <c r="C7" i="23"/>
  <c r="C8" i="23"/>
  <c r="C9" i="23"/>
  <c r="C10" i="23"/>
  <c r="C11" i="23"/>
  <c r="C12" i="23"/>
  <c r="C13" i="23"/>
  <c r="C14" i="23"/>
  <c r="C15" i="23"/>
  <c r="C16" i="23"/>
  <c r="C17" i="23"/>
  <c r="C18" i="23"/>
  <c r="C19" i="23"/>
  <c r="C20" i="23"/>
  <c r="C21" i="23"/>
  <c r="C22" i="23"/>
  <c r="C23" i="23"/>
  <c r="C24" i="23"/>
  <c r="C25" i="23"/>
  <c r="C26" i="23"/>
  <c r="C27" i="23"/>
  <c r="C28" i="23"/>
  <c r="C4" i="23"/>
  <c r="C4" i="14"/>
  <c r="J4" i="23"/>
  <c r="I4" i="23"/>
  <c r="H4" i="23"/>
  <c r="W25" i="23"/>
  <c r="V25" i="23"/>
  <c r="U25" i="23"/>
  <c r="T25" i="23"/>
  <c r="S25" i="23"/>
  <c r="R25" i="23"/>
  <c r="Q25" i="23"/>
  <c r="O25" i="23"/>
  <c r="N25" i="23"/>
  <c r="M25" i="23"/>
  <c r="L25" i="23"/>
  <c r="K25" i="23"/>
  <c r="J25" i="23"/>
  <c r="I25" i="23"/>
  <c r="H25" i="23"/>
  <c r="W20" i="23"/>
  <c r="V20" i="23"/>
  <c r="U20" i="23"/>
  <c r="T20" i="23"/>
  <c r="S20" i="23"/>
  <c r="R20" i="23"/>
  <c r="Q20" i="23"/>
  <c r="O20" i="23"/>
  <c r="N20" i="23"/>
  <c r="M20" i="23"/>
  <c r="L20" i="23"/>
  <c r="K20" i="23"/>
  <c r="J20" i="23"/>
  <c r="I20" i="23"/>
  <c r="H20" i="23"/>
  <c r="W4" i="23"/>
  <c r="V4" i="23"/>
  <c r="U4" i="23"/>
  <c r="T4" i="23"/>
  <c r="S4" i="23"/>
  <c r="R4" i="23"/>
  <c r="Q4" i="23"/>
  <c r="O4" i="23"/>
  <c r="N4" i="23"/>
  <c r="M4" i="23"/>
  <c r="L4" i="23"/>
  <c r="K4" i="23"/>
  <c r="W72" i="6"/>
  <c r="V72" i="6"/>
  <c r="U72" i="6"/>
  <c r="T72" i="6"/>
  <c r="S72" i="6"/>
  <c r="R72" i="6"/>
  <c r="Q72" i="6"/>
  <c r="O72" i="6"/>
  <c r="N72" i="6"/>
  <c r="M72" i="6"/>
  <c r="L72" i="6"/>
  <c r="K72" i="6"/>
  <c r="J72" i="6"/>
  <c r="I72" i="6"/>
  <c r="H72" i="6"/>
  <c r="P90" i="6" l="1"/>
  <c r="G90" i="6" s="1"/>
  <c r="T132" i="6"/>
  <c r="K132" i="6"/>
  <c r="S132" i="6"/>
  <c r="J132" i="6"/>
  <c r="I132" i="6"/>
  <c r="R132" i="6"/>
  <c r="H132" i="6"/>
  <c r="Q132" i="6"/>
  <c r="O132" i="6"/>
  <c r="V132" i="6"/>
  <c r="W132" i="6"/>
  <c r="N132" i="6"/>
  <c r="M132" i="6"/>
  <c r="L132" i="6"/>
  <c r="U132" i="6"/>
  <c r="P103" i="6"/>
  <c r="G103" i="6" s="1"/>
  <c r="P97" i="6"/>
  <c r="G97" i="6" s="1"/>
  <c r="P4" i="23"/>
  <c r="G4" i="23" s="1"/>
  <c r="Q85" i="6"/>
  <c r="H85" i="6"/>
  <c r="O85" i="6"/>
  <c r="W85" i="6"/>
  <c r="V85" i="6"/>
  <c r="M85" i="6"/>
  <c r="U85" i="6"/>
  <c r="L85" i="6"/>
  <c r="T85" i="6"/>
  <c r="K85" i="6"/>
  <c r="S85" i="6"/>
  <c r="J85" i="6"/>
  <c r="N85" i="6"/>
  <c r="R85" i="6"/>
  <c r="I85" i="6"/>
  <c r="AA1" i="6"/>
  <c r="P25" i="23"/>
  <c r="G25" i="23" s="1"/>
  <c r="P20" i="23"/>
  <c r="G20" i="23" s="1"/>
  <c r="AG20" i="23" s="1"/>
  <c r="P72" i="6"/>
  <c r="G72" i="6" s="1"/>
  <c r="J125" i="38"/>
  <c r="J14" i="38"/>
  <c r="J12" i="38"/>
  <c r="J11" i="38"/>
  <c r="J10" i="38"/>
  <c r="J9" i="38"/>
  <c r="J8" i="38"/>
  <c r="J7" i="38"/>
  <c r="J6" i="38"/>
  <c r="G43" i="38"/>
  <c r="G41" i="38"/>
  <c r="G40" i="38"/>
  <c r="G12" i="38"/>
  <c r="G11" i="38"/>
  <c r="G30" i="38"/>
  <c r="G10" i="38" s="1"/>
  <c r="G9" i="38"/>
  <c r="G8" i="38"/>
  <c r="G27" i="38"/>
  <c r="G6" i="38"/>
  <c r="H127" i="38"/>
  <c r="H126" i="38"/>
  <c r="H125" i="38"/>
  <c r="K127" i="38"/>
  <c r="N126" i="38"/>
  <c r="M126" i="38"/>
  <c r="K126" i="38"/>
  <c r="M125" i="38"/>
  <c r="L125" i="38"/>
  <c r="K125" i="38"/>
  <c r="D13" i="40"/>
  <c r="D31" i="40"/>
  <c r="D41" i="40"/>
  <c r="D35" i="40"/>
  <c r="D33" i="40"/>
  <c r="D22" i="40"/>
  <c r="D20" i="40"/>
  <c r="D19" i="40"/>
  <c r="D17" i="40"/>
  <c r="D9" i="40"/>
  <c r="D8" i="40"/>
  <c r="D26" i="40"/>
  <c r="D32" i="40"/>
  <c r="D18" i="40"/>
  <c r="D27" i="40"/>
  <c r="D10" i="40"/>
  <c r="D24" i="40"/>
  <c r="D14" i="40"/>
  <c r="D36" i="40"/>
  <c r="D12" i="40"/>
  <c r="D37" i="40"/>
  <c r="G39" i="38" l="1"/>
  <c r="AG90" i="6"/>
  <c r="F90" i="6"/>
  <c r="P132" i="6"/>
  <c r="G132" i="6" s="1"/>
  <c r="AG132" i="6" s="1"/>
  <c r="AG103" i="6"/>
  <c r="F103" i="6"/>
  <c r="AG97" i="6"/>
  <c r="F97" i="6"/>
  <c r="F25" i="23"/>
  <c r="AG25" i="23"/>
  <c r="F4" i="23"/>
  <c r="AG4" i="23"/>
  <c r="G7" i="38"/>
  <c r="D23" i="40"/>
  <c r="D30" i="40"/>
  <c r="D39" i="40"/>
  <c r="D42" i="40"/>
  <c r="P85" i="6"/>
  <c r="G85" i="6" s="1"/>
  <c r="D15" i="40"/>
  <c r="G125" i="38"/>
  <c r="H128" i="38"/>
  <c r="H129" i="38" s="1"/>
  <c r="J127" i="38"/>
  <c r="J126" i="38"/>
  <c r="F72" i="6"/>
  <c r="AG72" i="6"/>
  <c r="F20" i="23"/>
  <c r="J16" i="38"/>
  <c r="J15" i="38"/>
  <c r="G126" i="38"/>
  <c r="K128" i="38"/>
  <c r="K129" i="38" s="1"/>
  <c r="D25" i="40"/>
  <c r="D29" i="40"/>
  <c r="D38" i="40"/>
  <c r="D43" i="40"/>
  <c r="D16" i="40"/>
  <c r="D11" i="40"/>
  <c r="D6" i="40"/>
  <c r="D28" i="40"/>
  <c r="D34" i="40"/>
  <c r="D40" i="40"/>
  <c r="F132" i="6" l="1"/>
  <c r="L127" i="38"/>
  <c r="F85" i="6"/>
  <c r="AG85" i="6"/>
  <c r="G16" i="38"/>
  <c r="G17" i="38" s="1"/>
  <c r="J128" i="38"/>
  <c r="J123" i="38"/>
  <c r="J17" i="38"/>
  <c r="E48" i="14"/>
  <c r="J129" i="38" l="1"/>
  <c r="R632" i="8"/>
  <c r="R633" i="8"/>
  <c r="R634" i="8"/>
  <c r="R635" i="8"/>
  <c r="R636" i="8"/>
  <c r="R637" i="8"/>
  <c r="R638" i="8"/>
  <c r="R639" i="8"/>
  <c r="R640" i="8"/>
  <c r="R641" i="8"/>
  <c r="R642" i="8"/>
  <c r="R643" i="8"/>
  <c r="R644" i="8"/>
  <c r="R645" i="8"/>
  <c r="R646" i="8"/>
  <c r="R647" i="8"/>
  <c r="R648" i="8"/>
  <c r="R649" i="8"/>
  <c r="R650" i="8"/>
  <c r="R651" i="8"/>
  <c r="R652" i="8"/>
  <c r="R653" i="8"/>
  <c r="R654" i="8"/>
  <c r="R655" i="8"/>
  <c r="R631" i="8" l="1"/>
  <c r="R630" i="8"/>
  <c r="R629" i="8"/>
  <c r="R628" i="8"/>
  <c r="R627" i="8"/>
  <c r="R626" i="8"/>
  <c r="R625" i="8"/>
  <c r="R624" i="8"/>
  <c r="R623" i="8"/>
  <c r="R622" i="8"/>
  <c r="R621" i="8"/>
  <c r="R620" i="8"/>
  <c r="R619" i="8"/>
  <c r="R618" i="8"/>
  <c r="R617" i="8"/>
  <c r="R616" i="8"/>
  <c r="R615" i="8"/>
  <c r="R614" i="8"/>
  <c r="R613" i="8"/>
  <c r="R612" i="8"/>
  <c r="R611" i="8"/>
  <c r="R610" i="8"/>
  <c r="R609" i="8"/>
  <c r="R608" i="8"/>
  <c r="R607" i="8"/>
  <c r="R606" i="8"/>
  <c r="R605" i="8"/>
  <c r="R604" i="8"/>
  <c r="R603" i="8"/>
  <c r="R602" i="8"/>
  <c r="R601" i="8"/>
  <c r="R600" i="8"/>
  <c r="R599" i="8"/>
  <c r="R598" i="8"/>
  <c r="R597" i="8"/>
  <c r="R596" i="8"/>
  <c r="R595" i="8"/>
  <c r="R594" i="8"/>
  <c r="R593" i="8"/>
  <c r="R592" i="8"/>
  <c r="R591" i="8"/>
  <c r="R590" i="8"/>
  <c r="R589" i="8"/>
  <c r="R588" i="8"/>
  <c r="R587" i="8"/>
  <c r="R586" i="8"/>
  <c r="R585" i="8"/>
  <c r="R584" i="8"/>
  <c r="R583" i="8"/>
  <c r="R582" i="8"/>
  <c r="R581" i="8"/>
  <c r="R580" i="8"/>
  <c r="R579" i="8"/>
  <c r="R578" i="8"/>
  <c r="M16" i="38" l="1"/>
  <c r="L15" i="38"/>
  <c r="N123" i="38"/>
  <c r="F12" i="38"/>
  <c r="F9" i="38"/>
  <c r="F128" i="38"/>
  <c r="F129" i="38" s="1"/>
  <c r="L16" i="38"/>
  <c r="N12" i="38"/>
  <c r="M12" i="38"/>
  <c r="L12" i="38"/>
  <c r="I12" i="38"/>
  <c r="D4" i="40" s="1"/>
  <c r="E12" i="38"/>
  <c r="N11" i="38"/>
  <c r="M11" i="38"/>
  <c r="L11" i="38"/>
  <c r="I11" i="38"/>
  <c r="F11" i="38"/>
  <c r="E11" i="38"/>
  <c r="N10" i="38"/>
  <c r="M10" i="38"/>
  <c r="L10" i="38"/>
  <c r="I10" i="38"/>
  <c r="D7" i="40" s="1"/>
  <c r="F10" i="38"/>
  <c r="E10" i="38"/>
  <c r="N9" i="38"/>
  <c r="M9" i="38"/>
  <c r="I9" i="38"/>
  <c r="E9" i="38"/>
  <c r="N8" i="38"/>
  <c r="M8" i="38"/>
  <c r="L8" i="38"/>
  <c r="I8" i="38"/>
  <c r="F8" i="38"/>
  <c r="E8" i="38"/>
  <c r="N7" i="38"/>
  <c r="M7" i="38"/>
  <c r="L7" i="38"/>
  <c r="I7" i="38"/>
  <c r="E7" i="38"/>
  <c r="N6" i="38"/>
  <c r="M6" i="38"/>
  <c r="L6" i="38"/>
  <c r="I6" i="38"/>
  <c r="F6" i="38"/>
  <c r="E6" i="38"/>
  <c r="E29" i="37"/>
  <c r="E24" i="37"/>
  <c r="E30" i="37"/>
  <c r="E23" i="37"/>
  <c r="E28" i="37"/>
  <c r="F44" i="37"/>
  <c r="E12" i="37"/>
  <c r="G22" i="37"/>
  <c r="F46" i="37"/>
  <c r="F45" i="37"/>
  <c r="K39" i="37"/>
  <c r="K38" i="37"/>
  <c r="K24" i="37"/>
  <c r="K23" i="37"/>
  <c r="E127" i="38" l="1"/>
  <c r="N125" i="38"/>
  <c r="N127" i="38"/>
  <c r="G42" i="38"/>
  <c r="G45" i="38" s="1"/>
  <c r="E14" i="38"/>
  <c r="L9" i="38"/>
  <c r="L126" i="38"/>
  <c r="L128" i="38" s="1"/>
  <c r="L129" i="38" s="1"/>
  <c r="M14" i="38"/>
  <c r="M17" i="38" s="1"/>
  <c r="I14" i="38"/>
  <c r="I15" i="38"/>
  <c r="F7" i="38"/>
  <c r="Y1" i="36"/>
  <c r="F22" i="37"/>
  <c r="G123" i="38" l="1"/>
  <c r="G133" i="38" s="1"/>
  <c r="E128" i="38"/>
  <c r="E129" i="38" s="1"/>
  <c r="G127" i="38"/>
  <c r="M45" i="38"/>
  <c r="M127" i="38"/>
  <c r="M128" i="38" s="1"/>
  <c r="E15" i="38"/>
  <c r="N128" i="38"/>
  <c r="N129" i="38" s="1"/>
  <c r="X1" i="6"/>
  <c r="F16" i="38"/>
  <c r="F17" i="38" s="1"/>
  <c r="L14" i="38"/>
  <c r="L17" i="38" s="1"/>
  <c r="N16" i="38"/>
  <c r="N17" i="38" s="1"/>
  <c r="G128" i="38" l="1"/>
  <c r="G129" i="38" s="1"/>
  <c r="M123" i="38"/>
  <c r="M129" i="38" s="1"/>
  <c r="M15" i="38"/>
  <c r="J22" i="38"/>
  <c r="J2" i="38" s="1"/>
  <c r="E22" i="37" l="1"/>
  <c r="K21" i="37"/>
  <c r="J21" i="37"/>
  <c r="I21" i="37"/>
  <c r="G21" i="37"/>
  <c r="F21" i="37"/>
  <c r="E21" i="37"/>
  <c r="E102" i="37" s="1"/>
  <c r="K12" i="37"/>
  <c r="J12" i="37"/>
  <c r="G12" i="37"/>
  <c r="I12" i="37"/>
  <c r="F12" i="37" l="1"/>
  <c r="F102" i="37" s="1"/>
  <c r="G102" i="37"/>
  <c r="W32" i="14"/>
  <c r="W33" i="14"/>
  <c r="W34" i="14"/>
  <c r="W35" i="14"/>
  <c r="W36" i="14"/>
  <c r="W37" i="14"/>
  <c r="W38" i="14"/>
  <c r="W39" i="14"/>
  <c r="W41" i="14"/>
  <c r="W42" i="14"/>
  <c r="V32" i="14"/>
  <c r="V33" i="14"/>
  <c r="V34" i="14"/>
  <c r="V35" i="14"/>
  <c r="V36" i="14"/>
  <c r="V37" i="14"/>
  <c r="V38" i="14"/>
  <c r="V39" i="14"/>
  <c r="V41" i="14"/>
  <c r="V42" i="14"/>
  <c r="U32" i="14"/>
  <c r="U33" i="14"/>
  <c r="U34" i="14"/>
  <c r="U35" i="14"/>
  <c r="U36" i="14"/>
  <c r="U37" i="14"/>
  <c r="U38" i="14"/>
  <c r="U39" i="14"/>
  <c r="U41" i="14"/>
  <c r="U42" i="14"/>
  <c r="T32" i="14"/>
  <c r="T33" i="14"/>
  <c r="T34" i="14"/>
  <c r="T35" i="14"/>
  <c r="T36" i="14"/>
  <c r="T37" i="14"/>
  <c r="T38" i="14"/>
  <c r="T39" i="14"/>
  <c r="T41" i="14"/>
  <c r="T42" i="14"/>
  <c r="S32" i="14"/>
  <c r="S33" i="14"/>
  <c r="S34" i="14"/>
  <c r="S35" i="14"/>
  <c r="S36" i="14"/>
  <c r="S37" i="14"/>
  <c r="S38" i="14"/>
  <c r="S39" i="14"/>
  <c r="S41" i="14"/>
  <c r="S42" i="14"/>
  <c r="R32" i="14"/>
  <c r="R33" i="14"/>
  <c r="R34" i="14"/>
  <c r="R35" i="14"/>
  <c r="R36" i="14"/>
  <c r="R37" i="14"/>
  <c r="R38" i="14"/>
  <c r="R39" i="14"/>
  <c r="R41" i="14"/>
  <c r="R42" i="14"/>
  <c r="Q32" i="14"/>
  <c r="Q33" i="14"/>
  <c r="Q34" i="14"/>
  <c r="Q35" i="14"/>
  <c r="Q36" i="14"/>
  <c r="Q37" i="14"/>
  <c r="Q38" i="14"/>
  <c r="Q39" i="14"/>
  <c r="Q41" i="14"/>
  <c r="Q42" i="14"/>
  <c r="O32" i="14"/>
  <c r="O33" i="14"/>
  <c r="O34" i="14"/>
  <c r="O35" i="14"/>
  <c r="O36" i="14"/>
  <c r="O37" i="14"/>
  <c r="O38" i="14"/>
  <c r="O39" i="14"/>
  <c r="O41" i="14"/>
  <c r="O42" i="14"/>
  <c r="N32" i="14"/>
  <c r="N33" i="14"/>
  <c r="N34" i="14"/>
  <c r="N35" i="14"/>
  <c r="N36" i="14"/>
  <c r="N37" i="14"/>
  <c r="N38" i="14"/>
  <c r="N39" i="14"/>
  <c r="N41" i="14"/>
  <c r="N42" i="14"/>
  <c r="M32" i="14"/>
  <c r="M33" i="14"/>
  <c r="M34" i="14"/>
  <c r="M35" i="14"/>
  <c r="M36" i="14"/>
  <c r="M37" i="14"/>
  <c r="M38" i="14"/>
  <c r="M39" i="14"/>
  <c r="M41" i="14"/>
  <c r="M42" i="14"/>
  <c r="L32" i="14"/>
  <c r="L33" i="14"/>
  <c r="L34" i="14"/>
  <c r="L35" i="14"/>
  <c r="L36" i="14"/>
  <c r="L37" i="14"/>
  <c r="L38" i="14"/>
  <c r="L39" i="14"/>
  <c r="L41" i="14"/>
  <c r="L42" i="14"/>
  <c r="K32" i="14"/>
  <c r="K33" i="14"/>
  <c r="K34" i="14"/>
  <c r="K35" i="14"/>
  <c r="K36" i="14"/>
  <c r="K37" i="14"/>
  <c r="K38" i="14"/>
  <c r="K39" i="14"/>
  <c r="K41" i="14"/>
  <c r="K42" i="14"/>
  <c r="J32" i="14"/>
  <c r="J33" i="14"/>
  <c r="J34" i="14"/>
  <c r="J35" i="14"/>
  <c r="J36" i="14"/>
  <c r="J37" i="14"/>
  <c r="J38" i="14"/>
  <c r="J39" i="14"/>
  <c r="J41" i="14"/>
  <c r="J42" i="14"/>
  <c r="I32" i="14"/>
  <c r="I33" i="14"/>
  <c r="I34" i="14"/>
  <c r="I35" i="14"/>
  <c r="I36" i="14"/>
  <c r="I37" i="14"/>
  <c r="I38" i="14"/>
  <c r="I39" i="14"/>
  <c r="I41" i="14"/>
  <c r="I42" i="14"/>
  <c r="H32" i="14"/>
  <c r="H33" i="14"/>
  <c r="H34" i="14"/>
  <c r="H35" i="14"/>
  <c r="H36" i="14"/>
  <c r="H37" i="14"/>
  <c r="H38" i="14"/>
  <c r="H39" i="14"/>
  <c r="H41" i="14"/>
  <c r="H42" i="14"/>
  <c r="AA1" i="14"/>
  <c r="P36" i="14" l="1"/>
  <c r="P35" i="14"/>
  <c r="P41" i="14"/>
  <c r="P33" i="14"/>
  <c r="P32" i="14"/>
  <c r="P39" i="14"/>
  <c r="P42" i="14"/>
  <c r="P38" i="14"/>
  <c r="P34" i="14"/>
  <c r="P37" i="14"/>
  <c r="AA1" i="23" l="1"/>
  <c r="G42" i="14" l="1"/>
  <c r="AG42" i="14" s="1"/>
  <c r="G36" i="14"/>
  <c r="AG36" i="14" s="1"/>
  <c r="F42" i="14" l="1"/>
  <c r="F36" i="14"/>
  <c r="Q18" i="1" l="1"/>
  <c r="Q3" i="1"/>
  <c r="Q4" i="1"/>
  <c r="Q5" i="1"/>
  <c r="Q6" i="1"/>
  <c r="Q7" i="1"/>
  <c r="Q8" i="1"/>
  <c r="Q9" i="1"/>
  <c r="Q10" i="1"/>
  <c r="Q11" i="1"/>
  <c r="Q12" i="1"/>
  <c r="Q13" i="1"/>
  <c r="Q14" i="1"/>
  <c r="Q15" i="1"/>
  <c r="Q16" i="1"/>
  <c r="Q17"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W18" i="33"/>
  <c r="D18" i="33" a="1"/>
  <c r="D18" i="33" s="1"/>
  <c r="C18" i="33" a="1"/>
  <c r="C18" i="33" s="1"/>
  <c r="D8" i="34" a="1"/>
  <c r="D8" i="34" s="1"/>
  <c r="H53" i="6" l="1"/>
  <c r="Q129" i="6"/>
  <c r="O129" i="6"/>
  <c r="N129" i="6"/>
  <c r="H129" i="6"/>
  <c r="W129" i="6"/>
  <c r="K129" i="6"/>
  <c r="V129" i="6"/>
  <c r="M129" i="6"/>
  <c r="U129" i="6"/>
  <c r="L129" i="6"/>
  <c r="J129" i="6"/>
  <c r="T129" i="6"/>
  <c r="S129" i="6"/>
  <c r="R129" i="6"/>
  <c r="I129" i="6"/>
  <c r="Q123" i="6"/>
  <c r="H123" i="6"/>
  <c r="O123" i="6"/>
  <c r="M123" i="6"/>
  <c r="W123" i="6"/>
  <c r="N123" i="6"/>
  <c r="V123" i="6"/>
  <c r="U123" i="6"/>
  <c r="L123" i="6"/>
  <c r="T123" i="6"/>
  <c r="K123" i="6"/>
  <c r="I123" i="6"/>
  <c r="S123" i="6"/>
  <c r="J123" i="6"/>
  <c r="R123" i="6"/>
  <c r="U88" i="6"/>
  <c r="T88" i="6"/>
  <c r="K88" i="6"/>
  <c r="S88" i="6"/>
  <c r="J88" i="6"/>
  <c r="R88" i="6"/>
  <c r="I88" i="6"/>
  <c r="Q88" i="6"/>
  <c r="H88" i="6"/>
  <c r="L88" i="6"/>
  <c r="O88" i="6"/>
  <c r="W88" i="6"/>
  <c r="N88" i="6"/>
  <c r="V88" i="6"/>
  <c r="M88" i="6"/>
  <c r="T83" i="6"/>
  <c r="K83" i="6"/>
  <c r="L83" i="6"/>
  <c r="S83" i="6"/>
  <c r="J83" i="6"/>
  <c r="U83" i="6"/>
  <c r="R83" i="6"/>
  <c r="I83" i="6"/>
  <c r="H83" i="6"/>
  <c r="Q83" i="6"/>
  <c r="O83" i="6"/>
  <c r="W83" i="6"/>
  <c r="N83" i="6"/>
  <c r="V83" i="6"/>
  <c r="M83" i="6"/>
  <c r="S76" i="6"/>
  <c r="J76" i="6"/>
  <c r="R76" i="6"/>
  <c r="I76" i="6"/>
  <c r="Q76" i="6"/>
  <c r="H76" i="6"/>
  <c r="O76" i="6"/>
  <c r="W76" i="6"/>
  <c r="N76" i="6"/>
  <c r="V76" i="6"/>
  <c r="M76" i="6"/>
  <c r="U76" i="6"/>
  <c r="L76" i="6"/>
  <c r="T76" i="6"/>
  <c r="K76" i="6"/>
  <c r="T71" i="6"/>
  <c r="K71" i="6"/>
  <c r="S71" i="6"/>
  <c r="J71" i="6"/>
  <c r="R71" i="6"/>
  <c r="I71" i="6"/>
  <c r="Q71" i="6"/>
  <c r="H71" i="6"/>
  <c r="O71" i="6"/>
  <c r="W71" i="6"/>
  <c r="N71" i="6"/>
  <c r="V71" i="6"/>
  <c r="M71" i="6"/>
  <c r="U71" i="6"/>
  <c r="L71" i="6"/>
  <c r="V70" i="6"/>
  <c r="M70" i="6"/>
  <c r="U70" i="6"/>
  <c r="L70" i="6"/>
  <c r="T70" i="6"/>
  <c r="K70" i="6"/>
  <c r="S70" i="6"/>
  <c r="J70" i="6"/>
  <c r="R70" i="6"/>
  <c r="I70" i="6"/>
  <c r="Q70" i="6"/>
  <c r="H70" i="6"/>
  <c r="O70" i="6"/>
  <c r="W70" i="6"/>
  <c r="N70" i="6"/>
  <c r="R22" i="6"/>
  <c r="Q22" i="6"/>
  <c r="N22" i="6"/>
  <c r="M22" i="6"/>
  <c r="L22" i="6"/>
  <c r="U22" i="6"/>
  <c r="K22" i="6"/>
  <c r="T22" i="6"/>
  <c r="O22" i="6"/>
  <c r="S22" i="6"/>
  <c r="J22" i="6"/>
  <c r="W22" i="6"/>
  <c r="V22" i="6"/>
  <c r="I22" i="6"/>
  <c r="H22" i="6"/>
  <c r="R35" i="34"/>
  <c r="W38" i="34"/>
  <c r="D38" i="34" a="1"/>
  <c r="D38" i="34" s="1"/>
  <c r="C38" i="34" a="1"/>
  <c r="C38" i="34" s="1"/>
  <c r="W34" i="34"/>
  <c r="D34" i="34" a="1"/>
  <c r="D34" i="34" s="1"/>
  <c r="C34" i="34" a="1"/>
  <c r="C34" i="34" s="1"/>
  <c r="W11" i="34"/>
  <c r="D11" i="34" a="1"/>
  <c r="D11" i="34" s="1"/>
  <c r="C11" i="34" a="1"/>
  <c r="C11" i="34" s="1"/>
  <c r="W36" i="34"/>
  <c r="D36" i="34" a="1"/>
  <c r="D36" i="34" s="1"/>
  <c r="C36" i="34" a="1"/>
  <c r="C36" i="34" s="1"/>
  <c r="W12" i="34"/>
  <c r="D12" i="34" a="1"/>
  <c r="D12" i="34" s="1"/>
  <c r="C12" i="34" a="1"/>
  <c r="C12" i="34" s="1"/>
  <c r="W35" i="34"/>
  <c r="N35" i="34"/>
  <c r="M35" i="34"/>
  <c r="L35" i="34"/>
  <c r="K35" i="34"/>
  <c r="H35" i="34"/>
  <c r="G35" i="34"/>
  <c r="D35" i="34" a="1"/>
  <c r="D35" i="34" s="1"/>
  <c r="C35" i="34" a="1"/>
  <c r="C35" i="34" s="1"/>
  <c r="W37" i="34"/>
  <c r="D37" i="34" a="1"/>
  <c r="D37" i="34" s="1"/>
  <c r="C37" i="34" a="1"/>
  <c r="C37" i="34" s="1"/>
  <c r="W33" i="34"/>
  <c r="V33" i="34"/>
  <c r="U33" i="34"/>
  <c r="T33" i="34"/>
  <c r="S33" i="34"/>
  <c r="R33" i="34"/>
  <c r="Q33" i="34"/>
  <c r="M33" i="34"/>
  <c r="L33" i="34"/>
  <c r="K33" i="34"/>
  <c r="J33" i="34"/>
  <c r="I33" i="34"/>
  <c r="H33" i="34"/>
  <c r="G33" i="34"/>
  <c r="D33" i="34" a="1"/>
  <c r="D33" i="34" s="1"/>
  <c r="C33" i="34" a="1"/>
  <c r="C33" i="34" s="1"/>
  <c r="W32" i="34"/>
  <c r="V32" i="34"/>
  <c r="U32" i="34"/>
  <c r="T32" i="34"/>
  <c r="S32" i="34"/>
  <c r="R32" i="34"/>
  <c r="Q32" i="34"/>
  <c r="P32" i="34"/>
  <c r="N32" i="34"/>
  <c r="M32" i="34"/>
  <c r="L32" i="34"/>
  <c r="K32" i="34"/>
  <c r="J32" i="34"/>
  <c r="I32" i="34"/>
  <c r="H32" i="34"/>
  <c r="G32" i="34"/>
  <c r="D32" i="34" a="1"/>
  <c r="D32" i="34" s="1"/>
  <c r="C32" i="34" a="1"/>
  <c r="C32" i="34" s="1"/>
  <c r="W31" i="34"/>
  <c r="D31" i="34" a="1"/>
  <c r="D31" i="34" s="1"/>
  <c r="C31" i="34" a="1"/>
  <c r="C31" i="34" s="1"/>
  <c r="W30" i="34"/>
  <c r="V30" i="34"/>
  <c r="U30" i="34"/>
  <c r="T30" i="34"/>
  <c r="S30" i="34"/>
  <c r="R30" i="34"/>
  <c r="Q30" i="34"/>
  <c r="P30" i="34"/>
  <c r="N30" i="34"/>
  <c r="M30" i="34"/>
  <c r="L30" i="34"/>
  <c r="K30" i="34"/>
  <c r="J30" i="34"/>
  <c r="I30" i="34"/>
  <c r="H30" i="34"/>
  <c r="G30" i="34"/>
  <c r="D30" i="34" a="1"/>
  <c r="D30" i="34" s="1"/>
  <c r="C30" i="34" a="1"/>
  <c r="C30" i="34" s="1"/>
  <c r="W22" i="34"/>
  <c r="D22" i="34" a="1"/>
  <c r="D22" i="34" s="1"/>
  <c r="C22" i="34" a="1"/>
  <c r="C22" i="34" s="1"/>
  <c r="W6" i="34"/>
  <c r="D6" i="34" a="1"/>
  <c r="D6" i="34" s="1"/>
  <c r="C6" i="34" a="1"/>
  <c r="C6" i="34" s="1"/>
  <c r="W29" i="34"/>
  <c r="V29" i="34"/>
  <c r="U29" i="34"/>
  <c r="T29" i="34"/>
  <c r="S29" i="34"/>
  <c r="R29" i="34"/>
  <c r="Q29" i="34"/>
  <c r="P29" i="34"/>
  <c r="N29" i="34"/>
  <c r="M29" i="34"/>
  <c r="L29" i="34"/>
  <c r="K29" i="34"/>
  <c r="J29" i="34"/>
  <c r="I29" i="34"/>
  <c r="H29" i="34"/>
  <c r="G29" i="34"/>
  <c r="D29" i="34" a="1"/>
  <c r="D29" i="34" s="1"/>
  <c r="C29" i="34" a="1"/>
  <c r="C29" i="34" s="1"/>
  <c r="W10" i="34"/>
  <c r="D10" i="34" a="1"/>
  <c r="D10" i="34" s="1"/>
  <c r="C10" i="34" a="1"/>
  <c r="C10" i="34" s="1"/>
  <c r="W4" i="34"/>
  <c r="D4" i="34" a="1"/>
  <c r="D4" i="34" s="1"/>
  <c r="C4" i="34" a="1"/>
  <c r="C4" i="34" s="1"/>
  <c r="W26" i="34"/>
  <c r="V26" i="34"/>
  <c r="U26" i="34"/>
  <c r="T26" i="34"/>
  <c r="S26" i="34"/>
  <c r="R26" i="34"/>
  <c r="Q26" i="34"/>
  <c r="P26" i="34"/>
  <c r="N26" i="34"/>
  <c r="M26" i="34"/>
  <c r="L26" i="34"/>
  <c r="K26" i="34"/>
  <c r="J26" i="34"/>
  <c r="I26" i="34"/>
  <c r="H26" i="34"/>
  <c r="G26" i="34"/>
  <c r="D26" i="34" a="1"/>
  <c r="D26" i="34" s="1"/>
  <c r="C26" i="34" a="1"/>
  <c r="C26" i="34" s="1"/>
  <c r="W5" i="34"/>
  <c r="D5" i="34" a="1"/>
  <c r="D5" i="34" s="1"/>
  <c r="C5" i="34" a="1"/>
  <c r="C5" i="34" s="1"/>
  <c r="W25" i="34"/>
  <c r="V25" i="34"/>
  <c r="U25" i="34"/>
  <c r="T25" i="34"/>
  <c r="S25" i="34"/>
  <c r="R25" i="34"/>
  <c r="Q25" i="34"/>
  <c r="P25" i="34"/>
  <c r="N25" i="34"/>
  <c r="M25" i="34"/>
  <c r="L25" i="34"/>
  <c r="K25" i="34"/>
  <c r="J25" i="34"/>
  <c r="I25" i="34"/>
  <c r="H25" i="34"/>
  <c r="G25" i="34"/>
  <c r="D25" i="34" a="1"/>
  <c r="D25" i="34" s="1"/>
  <c r="C25" i="34" a="1"/>
  <c r="C25" i="34" s="1"/>
  <c r="W24" i="34"/>
  <c r="V24" i="34"/>
  <c r="U24" i="34"/>
  <c r="T24" i="34"/>
  <c r="S24" i="34"/>
  <c r="R24" i="34"/>
  <c r="Q24" i="34"/>
  <c r="P24" i="34"/>
  <c r="N24" i="34"/>
  <c r="M24" i="34"/>
  <c r="L24" i="34"/>
  <c r="K24" i="34"/>
  <c r="J24" i="34"/>
  <c r="I24" i="34"/>
  <c r="H24" i="34"/>
  <c r="G24" i="34"/>
  <c r="D24" i="34" a="1"/>
  <c r="D24" i="34" s="1"/>
  <c r="C24" i="34" a="1"/>
  <c r="C24" i="34" s="1"/>
  <c r="W23" i="34"/>
  <c r="D23" i="34" a="1"/>
  <c r="D23" i="34" s="1"/>
  <c r="C23" i="34" a="1"/>
  <c r="C23" i="34" s="1"/>
  <c r="W8" i="34"/>
  <c r="C8" i="34" a="1"/>
  <c r="C8" i="34" s="1"/>
  <c r="W7" i="34"/>
  <c r="D7" i="34" a="1"/>
  <c r="D7" i="34" s="1"/>
  <c r="C7" i="34" a="1"/>
  <c r="C7" i="34" s="1"/>
  <c r="W21" i="34"/>
  <c r="D21" i="34" a="1"/>
  <c r="D21" i="34" s="1"/>
  <c r="C21" i="34" a="1"/>
  <c r="C21" i="34" s="1"/>
  <c r="W20" i="34"/>
  <c r="D20" i="34" a="1"/>
  <c r="D20" i="34" s="1"/>
  <c r="C20" i="34" a="1"/>
  <c r="C20" i="34" s="1"/>
  <c r="W19" i="34"/>
  <c r="D19" i="34" a="1"/>
  <c r="D19" i="34" s="1"/>
  <c r="C19" i="34" a="1"/>
  <c r="C19" i="34" s="1"/>
  <c r="W18" i="34"/>
  <c r="D18" i="34" a="1"/>
  <c r="D18" i="34" s="1"/>
  <c r="C18" i="34" a="1"/>
  <c r="C18" i="34" s="1"/>
  <c r="W28" i="34"/>
  <c r="D28" i="34" a="1"/>
  <c r="D28" i="34" s="1"/>
  <c r="C28" i="34" a="1"/>
  <c r="C28" i="34" s="1"/>
  <c r="W17" i="34"/>
  <c r="V17" i="34"/>
  <c r="U17" i="34"/>
  <c r="T17" i="34"/>
  <c r="S17" i="34"/>
  <c r="R17" i="34"/>
  <c r="Q17" i="34"/>
  <c r="P17" i="34"/>
  <c r="N17" i="34"/>
  <c r="M17" i="34"/>
  <c r="L17" i="34"/>
  <c r="K17" i="34"/>
  <c r="J17" i="34"/>
  <c r="I17" i="34"/>
  <c r="H17" i="34"/>
  <c r="G17" i="34"/>
  <c r="D17" i="34" a="1"/>
  <c r="D17" i="34" s="1"/>
  <c r="C17" i="34" a="1"/>
  <c r="C17" i="34" s="1"/>
  <c r="W27" i="34"/>
  <c r="D27" i="34" a="1"/>
  <c r="D27" i="34" s="1"/>
  <c r="C27" i="34" a="1"/>
  <c r="C27" i="34" s="1"/>
  <c r="W16" i="34"/>
  <c r="D16" i="34" a="1"/>
  <c r="D16" i="34" s="1"/>
  <c r="C16" i="34" a="1"/>
  <c r="C16" i="34" s="1"/>
  <c r="W15" i="34"/>
  <c r="D15" i="34" a="1"/>
  <c r="D15" i="34" s="1"/>
  <c r="C15" i="34" a="1"/>
  <c r="C15" i="34" s="1"/>
  <c r="W14" i="34"/>
  <c r="D14" i="34" a="1"/>
  <c r="D14" i="34" s="1"/>
  <c r="C14" i="34" a="1"/>
  <c r="C14" i="34" s="1"/>
  <c r="W9" i="34"/>
  <c r="D9" i="34" a="1"/>
  <c r="D9" i="34" s="1"/>
  <c r="C9" i="34" a="1"/>
  <c r="C9" i="34" s="1"/>
  <c r="W13" i="34"/>
  <c r="D13" i="34" a="1"/>
  <c r="D13" i="34" s="1"/>
  <c r="C13" i="34" a="1"/>
  <c r="C13" i="34" s="1"/>
  <c r="W63" i="33"/>
  <c r="D63" i="33" a="1"/>
  <c r="D63" i="33" s="1"/>
  <c r="C63" i="33" a="1"/>
  <c r="C63" i="33" s="1"/>
  <c r="W19" i="33"/>
  <c r="D19" i="33" a="1"/>
  <c r="D19" i="33" s="1"/>
  <c r="C19" i="33" a="1"/>
  <c r="C19" i="33" s="1"/>
  <c r="W5" i="33"/>
  <c r="D5" i="33" a="1"/>
  <c r="D5" i="33" s="1"/>
  <c r="C5" i="33" a="1"/>
  <c r="C5" i="33" s="1"/>
  <c r="W6" i="33"/>
  <c r="D6" i="33" a="1"/>
  <c r="D6" i="33" s="1"/>
  <c r="W23" i="33"/>
  <c r="D23" i="33" a="1"/>
  <c r="D23" i="33" s="1"/>
  <c r="C23" i="33" a="1"/>
  <c r="C23" i="33" s="1"/>
  <c r="W30" i="33"/>
  <c r="D30" i="33" a="1"/>
  <c r="D30" i="33" s="1"/>
  <c r="C30" i="33" a="1"/>
  <c r="C30" i="33" s="1"/>
  <c r="W17" i="33"/>
  <c r="D17" i="33" a="1"/>
  <c r="D17" i="33" s="1"/>
  <c r="C17" i="33" a="1"/>
  <c r="C17" i="33" s="1"/>
  <c r="W27" i="33"/>
  <c r="D27" i="33" a="1"/>
  <c r="D27" i="33" s="1"/>
  <c r="C27" i="33" a="1"/>
  <c r="C27" i="33" s="1"/>
  <c r="W60" i="33"/>
  <c r="V60" i="33"/>
  <c r="U60" i="33"/>
  <c r="T60" i="33"/>
  <c r="S60" i="33"/>
  <c r="R60" i="33"/>
  <c r="Q60" i="33"/>
  <c r="P60" i="33"/>
  <c r="N60" i="33"/>
  <c r="M60" i="33"/>
  <c r="L60" i="33"/>
  <c r="K60" i="33"/>
  <c r="J60" i="33"/>
  <c r="I60" i="33"/>
  <c r="H60" i="33"/>
  <c r="G60" i="33"/>
  <c r="D60" i="33" a="1"/>
  <c r="D60" i="33" s="1"/>
  <c r="C60" i="33" a="1"/>
  <c r="C60" i="33" s="1"/>
  <c r="W59" i="33"/>
  <c r="V59" i="33"/>
  <c r="U59" i="33"/>
  <c r="T59" i="33"/>
  <c r="S59" i="33"/>
  <c r="R59" i="33"/>
  <c r="Q59" i="33"/>
  <c r="P59" i="33"/>
  <c r="N59" i="33"/>
  <c r="M59" i="33"/>
  <c r="L59" i="33"/>
  <c r="K59" i="33"/>
  <c r="J59" i="33"/>
  <c r="I59" i="33"/>
  <c r="H59" i="33"/>
  <c r="G59" i="33"/>
  <c r="D59" i="33" a="1"/>
  <c r="D59" i="33" s="1"/>
  <c r="C59" i="33" a="1"/>
  <c r="C59" i="33" s="1"/>
  <c r="W32" i="33"/>
  <c r="D32" i="33" a="1"/>
  <c r="D32" i="33" s="1"/>
  <c r="C32" i="33" a="1"/>
  <c r="C32" i="33" s="1"/>
  <c r="W31" i="33"/>
  <c r="D31" i="33" a="1"/>
  <c r="D31" i="33" s="1"/>
  <c r="C31" i="33" a="1"/>
  <c r="C31" i="33" s="1"/>
  <c r="W25" i="33"/>
  <c r="D25" i="33" a="1"/>
  <c r="D25" i="33" s="1"/>
  <c r="C25" i="33" a="1"/>
  <c r="C25" i="33" s="1"/>
  <c r="W58" i="33"/>
  <c r="V58" i="33"/>
  <c r="U58" i="33"/>
  <c r="T58" i="33"/>
  <c r="S58" i="33"/>
  <c r="R58" i="33"/>
  <c r="Q58" i="33"/>
  <c r="P58" i="33"/>
  <c r="N58" i="33"/>
  <c r="M58" i="33"/>
  <c r="L58" i="33"/>
  <c r="K58" i="33"/>
  <c r="J58" i="33"/>
  <c r="I58" i="33"/>
  <c r="H58" i="33"/>
  <c r="G58" i="33"/>
  <c r="D58" i="33" a="1"/>
  <c r="D58" i="33" s="1"/>
  <c r="C58" i="33" a="1"/>
  <c r="C58" i="33" s="1"/>
  <c r="W57" i="33"/>
  <c r="V57" i="33"/>
  <c r="U57" i="33"/>
  <c r="T57" i="33"/>
  <c r="S57" i="33"/>
  <c r="R57" i="33"/>
  <c r="Q57" i="33"/>
  <c r="P57" i="33"/>
  <c r="N57" i="33"/>
  <c r="M57" i="33"/>
  <c r="L57" i="33"/>
  <c r="K57" i="33"/>
  <c r="J57" i="33"/>
  <c r="I57" i="33"/>
  <c r="H57" i="33"/>
  <c r="G57" i="33"/>
  <c r="D57" i="33" a="1"/>
  <c r="D57" i="33" s="1"/>
  <c r="C57" i="33" a="1"/>
  <c r="C57" i="33" s="1"/>
  <c r="W56" i="33"/>
  <c r="V56" i="33"/>
  <c r="U56" i="33"/>
  <c r="T56" i="33"/>
  <c r="S56" i="33"/>
  <c r="R56" i="33"/>
  <c r="Q56" i="33"/>
  <c r="P56" i="33"/>
  <c r="N56" i="33"/>
  <c r="M56" i="33"/>
  <c r="L56" i="33"/>
  <c r="K56" i="33"/>
  <c r="J56" i="33"/>
  <c r="I56" i="33"/>
  <c r="H56" i="33"/>
  <c r="G56" i="33"/>
  <c r="D56" i="33" a="1"/>
  <c r="D56" i="33" s="1"/>
  <c r="C56" i="33" a="1"/>
  <c r="C56" i="33" s="1"/>
  <c r="W55" i="33"/>
  <c r="V55" i="33"/>
  <c r="U55" i="33"/>
  <c r="T55" i="33"/>
  <c r="S55" i="33"/>
  <c r="R55" i="33"/>
  <c r="Q55" i="33"/>
  <c r="P55" i="33"/>
  <c r="N55" i="33"/>
  <c r="M55" i="33"/>
  <c r="L55" i="33"/>
  <c r="K55" i="33"/>
  <c r="J55" i="33"/>
  <c r="I55" i="33"/>
  <c r="H55" i="33"/>
  <c r="G55" i="33"/>
  <c r="D55" i="33" a="1"/>
  <c r="D55" i="33" s="1"/>
  <c r="C55" i="33" a="1"/>
  <c r="C55" i="33" s="1"/>
  <c r="W54" i="33"/>
  <c r="V54" i="33"/>
  <c r="U54" i="33"/>
  <c r="T54" i="33"/>
  <c r="S54" i="33"/>
  <c r="R54" i="33"/>
  <c r="Q54" i="33"/>
  <c r="P54" i="33"/>
  <c r="N54" i="33"/>
  <c r="M54" i="33"/>
  <c r="L54" i="33"/>
  <c r="K54" i="33"/>
  <c r="J54" i="33"/>
  <c r="I54" i="33"/>
  <c r="H54" i="33"/>
  <c r="G54" i="33"/>
  <c r="D54" i="33" a="1"/>
  <c r="D54" i="33" s="1"/>
  <c r="C54" i="33" a="1"/>
  <c r="C54" i="33" s="1"/>
  <c r="W24" i="33"/>
  <c r="D24" i="33" a="1"/>
  <c r="D24" i="33" s="1"/>
  <c r="C24" i="33" a="1"/>
  <c r="C24" i="33" s="1"/>
  <c r="W53" i="33"/>
  <c r="V53" i="33"/>
  <c r="U53" i="33"/>
  <c r="T53" i="33"/>
  <c r="S53" i="33"/>
  <c r="R53" i="33"/>
  <c r="Q53" i="33"/>
  <c r="P53" i="33"/>
  <c r="N53" i="33"/>
  <c r="M53" i="33"/>
  <c r="L53" i="33"/>
  <c r="K53" i="33"/>
  <c r="J53" i="33"/>
  <c r="I53" i="33"/>
  <c r="H53" i="33"/>
  <c r="G53" i="33"/>
  <c r="D53" i="33" a="1"/>
  <c r="D53" i="33" s="1"/>
  <c r="C53" i="33" a="1"/>
  <c r="C53" i="33" s="1"/>
  <c r="W16" i="33"/>
  <c r="D16" i="33" a="1"/>
  <c r="D16" i="33" s="1"/>
  <c r="C16" i="33" a="1"/>
  <c r="C16" i="33" s="1"/>
  <c r="W52" i="33"/>
  <c r="V52" i="33"/>
  <c r="U52" i="33"/>
  <c r="T52" i="33"/>
  <c r="S52" i="33"/>
  <c r="R52" i="33"/>
  <c r="Q52" i="33"/>
  <c r="P52" i="33"/>
  <c r="N52" i="33"/>
  <c r="M52" i="33"/>
  <c r="L52" i="33"/>
  <c r="K52" i="33"/>
  <c r="J52" i="33"/>
  <c r="I52" i="33"/>
  <c r="H52" i="33"/>
  <c r="G52" i="33"/>
  <c r="D52" i="33" a="1"/>
  <c r="D52" i="33" s="1"/>
  <c r="C52" i="33" a="1"/>
  <c r="C52" i="33" s="1"/>
  <c r="W51" i="33"/>
  <c r="V51" i="33"/>
  <c r="U51" i="33"/>
  <c r="T51" i="33"/>
  <c r="S51" i="33"/>
  <c r="R51" i="33"/>
  <c r="Q51" i="33"/>
  <c r="P51" i="33"/>
  <c r="N51" i="33"/>
  <c r="M51" i="33"/>
  <c r="L51" i="33"/>
  <c r="K51" i="33"/>
  <c r="J51" i="33"/>
  <c r="I51" i="33"/>
  <c r="H51" i="33"/>
  <c r="G51" i="33"/>
  <c r="D51" i="33" a="1"/>
  <c r="D51" i="33" s="1"/>
  <c r="C51" i="33" a="1"/>
  <c r="C51" i="33" s="1"/>
  <c r="W50" i="33"/>
  <c r="V50" i="33"/>
  <c r="U50" i="33"/>
  <c r="T50" i="33"/>
  <c r="S50" i="33"/>
  <c r="R50" i="33"/>
  <c r="Q50" i="33"/>
  <c r="P50" i="33"/>
  <c r="N50" i="33"/>
  <c r="M50" i="33"/>
  <c r="L50" i="33"/>
  <c r="K50" i="33"/>
  <c r="J50" i="33"/>
  <c r="I50" i="33"/>
  <c r="H50" i="33"/>
  <c r="G50" i="33"/>
  <c r="D50" i="33" a="1"/>
  <c r="D50" i="33" s="1"/>
  <c r="C50" i="33" a="1"/>
  <c r="C50" i="33" s="1"/>
  <c r="W49" i="33"/>
  <c r="V49" i="33"/>
  <c r="U49" i="33"/>
  <c r="T49" i="33"/>
  <c r="S49" i="33"/>
  <c r="R49" i="33"/>
  <c r="Q49" i="33"/>
  <c r="P49" i="33"/>
  <c r="N49" i="33"/>
  <c r="M49" i="33"/>
  <c r="L49" i="33"/>
  <c r="K49" i="33"/>
  <c r="J49" i="33"/>
  <c r="I49" i="33"/>
  <c r="H49" i="33"/>
  <c r="G49" i="33"/>
  <c r="D49" i="33" a="1"/>
  <c r="D49" i="33" s="1"/>
  <c r="C49" i="33" a="1"/>
  <c r="C49" i="33" s="1"/>
  <c r="W48" i="33"/>
  <c r="V48" i="33"/>
  <c r="U48" i="33"/>
  <c r="T48" i="33"/>
  <c r="S48" i="33"/>
  <c r="R48" i="33"/>
  <c r="Q48" i="33"/>
  <c r="P48" i="33"/>
  <c r="N48" i="33"/>
  <c r="M48" i="33"/>
  <c r="L48" i="33"/>
  <c r="K48" i="33"/>
  <c r="J48" i="33"/>
  <c r="I48" i="33"/>
  <c r="H48" i="33"/>
  <c r="G48" i="33"/>
  <c r="D48" i="33" a="1"/>
  <c r="D48" i="33" s="1"/>
  <c r="C48" i="33" a="1"/>
  <c r="C48" i="33" s="1"/>
  <c r="W22" i="33"/>
  <c r="D22" i="33" a="1"/>
  <c r="D22" i="33" s="1"/>
  <c r="C22" i="33" a="1"/>
  <c r="C22" i="33" s="1"/>
  <c r="W47" i="33"/>
  <c r="V47" i="33"/>
  <c r="U47" i="33"/>
  <c r="T47" i="33"/>
  <c r="S47" i="33"/>
  <c r="R47" i="33"/>
  <c r="Q47" i="33"/>
  <c r="P47" i="33"/>
  <c r="N47" i="33"/>
  <c r="M47" i="33"/>
  <c r="L47" i="33"/>
  <c r="K47" i="33"/>
  <c r="J47" i="33"/>
  <c r="I47" i="33"/>
  <c r="H47" i="33"/>
  <c r="G47" i="33"/>
  <c r="D47" i="33" a="1"/>
  <c r="D47" i="33" s="1"/>
  <c r="C47" i="33" a="1"/>
  <c r="C47" i="33" s="1"/>
  <c r="W46" i="33"/>
  <c r="V46" i="33"/>
  <c r="U46" i="33"/>
  <c r="T46" i="33"/>
  <c r="S46" i="33"/>
  <c r="R46" i="33"/>
  <c r="Q46" i="33"/>
  <c r="P46" i="33"/>
  <c r="N46" i="33"/>
  <c r="M46" i="33"/>
  <c r="L46" i="33"/>
  <c r="K46" i="33"/>
  <c r="J46" i="33"/>
  <c r="I46" i="33"/>
  <c r="H46" i="33"/>
  <c r="G46" i="33"/>
  <c r="D46" i="33" a="1"/>
  <c r="D46" i="33" s="1"/>
  <c r="C46" i="33" a="1"/>
  <c r="C46" i="33" s="1"/>
  <c r="W45" i="33"/>
  <c r="D45" i="33" a="1"/>
  <c r="D45" i="33" s="1"/>
  <c r="C45" i="33" a="1"/>
  <c r="C45" i="33" s="1"/>
  <c r="W44" i="33"/>
  <c r="V44" i="33"/>
  <c r="U44" i="33"/>
  <c r="T44" i="33"/>
  <c r="S44" i="33"/>
  <c r="R44" i="33"/>
  <c r="Q44" i="33"/>
  <c r="P44" i="33"/>
  <c r="N44" i="33"/>
  <c r="M44" i="33"/>
  <c r="L44" i="33"/>
  <c r="K44" i="33"/>
  <c r="J44" i="33"/>
  <c r="I44" i="33"/>
  <c r="H44" i="33"/>
  <c r="G44" i="33"/>
  <c r="D44" i="33" a="1"/>
  <c r="D44" i="33" s="1"/>
  <c r="C44" i="33" a="1"/>
  <c r="C44" i="33" s="1"/>
  <c r="W20" i="33"/>
  <c r="D20" i="33" a="1"/>
  <c r="D20" i="33" s="1"/>
  <c r="C20" i="33" a="1"/>
  <c r="C20" i="33" s="1"/>
  <c r="W43" i="33"/>
  <c r="V43" i="33"/>
  <c r="U43" i="33"/>
  <c r="T43" i="33"/>
  <c r="S43" i="33"/>
  <c r="R43" i="33"/>
  <c r="Q43" i="33"/>
  <c r="P43" i="33"/>
  <c r="N43" i="33"/>
  <c r="M43" i="33"/>
  <c r="L43" i="33"/>
  <c r="K43" i="33"/>
  <c r="J43" i="33"/>
  <c r="I43" i="33"/>
  <c r="H43" i="33"/>
  <c r="G43" i="33"/>
  <c r="D43" i="33" a="1"/>
  <c r="D43" i="33" s="1"/>
  <c r="C43" i="33" a="1"/>
  <c r="C43" i="33" s="1"/>
  <c r="W42" i="33"/>
  <c r="V42" i="33"/>
  <c r="U42" i="33"/>
  <c r="T42" i="33"/>
  <c r="S42" i="33"/>
  <c r="R42" i="33"/>
  <c r="Q42" i="33"/>
  <c r="P42" i="33"/>
  <c r="N42" i="33"/>
  <c r="M42" i="33"/>
  <c r="L42" i="33"/>
  <c r="K42" i="33"/>
  <c r="J42" i="33"/>
  <c r="I42" i="33"/>
  <c r="H42" i="33"/>
  <c r="G42" i="33"/>
  <c r="D42" i="33" a="1"/>
  <c r="D42" i="33" s="1"/>
  <c r="C42" i="33" a="1"/>
  <c r="C42" i="33" s="1"/>
  <c r="W26" i="33"/>
  <c r="D26" i="33" a="1"/>
  <c r="D26" i="33" s="1"/>
  <c r="C26" i="33" a="1"/>
  <c r="C26" i="33" s="1"/>
  <c r="W29" i="33"/>
  <c r="D29" i="33" a="1"/>
  <c r="D29" i="33" s="1"/>
  <c r="C29" i="33" a="1"/>
  <c r="C29" i="33" s="1"/>
  <c r="W41" i="33"/>
  <c r="V41" i="33"/>
  <c r="U41" i="33"/>
  <c r="T41" i="33"/>
  <c r="S41" i="33"/>
  <c r="R41" i="33"/>
  <c r="Q41" i="33"/>
  <c r="P41" i="33"/>
  <c r="N41" i="33"/>
  <c r="M41" i="33"/>
  <c r="L41" i="33"/>
  <c r="K41" i="33"/>
  <c r="J41" i="33"/>
  <c r="I41" i="33"/>
  <c r="H41" i="33"/>
  <c r="G41" i="33"/>
  <c r="D41" i="33" a="1"/>
  <c r="D41" i="33" s="1"/>
  <c r="C41" i="33" a="1"/>
  <c r="C41" i="33" s="1"/>
  <c r="W14" i="33"/>
  <c r="D14" i="33" a="1"/>
  <c r="D14" i="33" s="1"/>
  <c r="C14" i="33" a="1"/>
  <c r="C14" i="33" s="1"/>
  <c r="W21" i="33"/>
  <c r="D21" i="33" a="1"/>
  <c r="D21" i="33" s="1"/>
  <c r="W7" i="33"/>
  <c r="W40" i="33"/>
  <c r="V40" i="33"/>
  <c r="U40" i="33"/>
  <c r="T40" i="33"/>
  <c r="S40" i="33"/>
  <c r="R40" i="33"/>
  <c r="Q40" i="33"/>
  <c r="P40" i="33"/>
  <c r="N40" i="33"/>
  <c r="M40" i="33"/>
  <c r="L40" i="33"/>
  <c r="K40" i="33"/>
  <c r="J40" i="33"/>
  <c r="I40" i="33"/>
  <c r="H40" i="33"/>
  <c r="G40" i="33"/>
  <c r="D40" i="33" a="1"/>
  <c r="D40" i="33" s="1"/>
  <c r="C40" i="33" a="1"/>
  <c r="C40" i="33" s="1"/>
  <c r="W12" i="33"/>
  <c r="D12" i="33" a="1"/>
  <c r="D12" i="33" s="1"/>
  <c r="W13" i="33"/>
  <c r="D13" i="33" a="1"/>
  <c r="D13" i="33" s="1"/>
  <c r="C13" i="33" a="1"/>
  <c r="C13" i="33" s="1"/>
  <c r="W39" i="33"/>
  <c r="V39" i="33"/>
  <c r="U39" i="33"/>
  <c r="T39" i="33"/>
  <c r="S39" i="33"/>
  <c r="R39" i="33"/>
  <c r="Q39" i="33"/>
  <c r="P39" i="33"/>
  <c r="N39" i="33"/>
  <c r="M39" i="33"/>
  <c r="L39" i="33"/>
  <c r="K39" i="33"/>
  <c r="J39" i="33"/>
  <c r="I39" i="33"/>
  <c r="H39" i="33"/>
  <c r="G39" i="33"/>
  <c r="D39" i="33" a="1"/>
  <c r="D39" i="33" s="1"/>
  <c r="C39" i="33" a="1"/>
  <c r="C39" i="33" s="1"/>
  <c r="W38" i="33"/>
  <c r="V38" i="33"/>
  <c r="U38" i="33"/>
  <c r="T38" i="33"/>
  <c r="S38" i="33"/>
  <c r="R38" i="33"/>
  <c r="Q38" i="33"/>
  <c r="P38" i="33"/>
  <c r="N38" i="33"/>
  <c r="M38" i="33"/>
  <c r="L38" i="33"/>
  <c r="K38" i="33"/>
  <c r="J38" i="33"/>
  <c r="I38" i="33"/>
  <c r="H38" i="33"/>
  <c r="G38" i="33"/>
  <c r="D38" i="33" a="1"/>
  <c r="D38" i="33" s="1"/>
  <c r="C38" i="33" a="1"/>
  <c r="C38" i="33" s="1"/>
  <c r="W9" i="33"/>
  <c r="D9" i="33" a="1"/>
  <c r="D9" i="33" s="1"/>
  <c r="C9" i="33" a="1"/>
  <c r="C9" i="33" s="1"/>
  <c r="W37" i="33"/>
  <c r="V37" i="33"/>
  <c r="U37" i="33"/>
  <c r="T37" i="33"/>
  <c r="S37" i="33"/>
  <c r="R37" i="33"/>
  <c r="Q37" i="33"/>
  <c r="P37" i="33"/>
  <c r="N37" i="33"/>
  <c r="M37" i="33"/>
  <c r="L37" i="33"/>
  <c r="K37" i="33"/>
  <c r="J37" i="33"/>
  <c r="I37" i="33"/>
  <c r="H37" i="33"/>
  <c r="G37" i="33"/>
  <c r="D37" i="33" a="1"/>
  <c r="D37" i="33" s="1"/>
  <c r="C37" i="33" a="1"/>
  <c r="C37" i="33" s="1"/>
  <c r="W36" i="33"/>
  <c r="V36" i="33"/>
  <c r="U36" i="33"/>
  <c r="T36" i="33"/>
  <c r="S36" i="33"/>
  <c r="R36" i="33"/>
  <c r="Q36" i="33"/>
  <c r="P36" i="33"/>
  <c r="N36" i="33"/>
  <c r="M36" i="33"/>
  <c r="L36" i="33"/>
  <c r="K36" i="33"/>
  <c r="J36" i="33"/>
  <c r="I36" i="33"/>
  <c r="H36" i="33"/>
  <c r="G36" i="33"/>
  <c r="D36" i="33" a="1"/>
  <c r="D36" i="33" s="1"/>
  <c r="C36" i="33" a="1"/>
  <c r="C36" i="33" s="1"/>
  <c r="W35" i="33"/>
  <c r="V35" i="33"/>
  <c r="U35" i="33"/>
  <c r="T35" i="33"/>
  <c r="S35" i="33"/>
  <c r="R35" i="33"/>
  <c r="Q35" i="33"/>
  <c r="P35" i="33"/>
  <c r="N35" i="33"/>
  <c r="M35" i="33"/>
  <c r="L35" i="33"/>
  <c r="K35" i="33"/>
  <c r="J35" i="33"/>
  <c r="I35" i="33"/>
  <c r="H35" i="33"/>
  <c r="G35" i="33"/>
  <c r="D35" i="33" a="1"/>
  <c r="D35" i="33" s="1"/>
  <c r="C35" i="33" a="1"/>
  <c r="C35" i="33" s="1"/>
  <c r="W15" i="33"/>
  <c r="D15" i="33" a="1"/>
  <c r="D15" i="33" s="1"/>
  <c r="C15" i="33" a="1"/>
  <c r="C15" i="33" s="1"/>
  <c r="W34" i="33"/>
  <c r="V34" i="33"/>
  <c r="U34" i="33"/>
  <c r="T34" i="33"/>
  <c r="S34" i="33"/>
  <c r="R34" i="33"/>
  <c r="Q34" i="33"/>
  <c r="P34" i="33"/>
  <c r="N34" i="33"/>
  <c r="M34" i="33"/>
  <c r="L34" i="33"/>
  <c r="K34" i="33"/>
  <c r="J34" i="33"/>
  <c r="I34" i="33"/>
  <c r="H34" i="33"/>
  <c r="G34" i="33"/>
  <c r="D34" i="33" a="1"/>
  <c r="D34" i="33" s="1"/>
  <c r="C34" i="33" a="1"/>
  <c r="C34" i="33" s="1"/>
  <c r="W33" i="33"/>
  <c r="V33" i="33"/>
  <c r="U33" i="33"/>
  <c r="T33" i="33"/>
  <c r="S33" i="33"/>
  <c r="R33" i="33"/>
  <c r="Q33" i="33"/>
  <c r="P33" i="33"/>
  <c r="N33" i="33"/>
  <c r="M33" i="33"/>
  <c r="L33" i="33"/>
  <c r="K33" i="33"/>
  <c r="J33" i="33"/>
  <c r="I33" i="33"/>
  <c r="H33" i="33"/>
  <c r="G33" i="33"/>
  <c r="D33" i="33" a="1"/>
  <c r="D33" i="33" s="1"/>
  <c r="C33" i="33" a="1"/>
  <c r="C33" i="33" s="1"/>
  <c r="W8" i="33"/>
  <c r="W62" i="33"/>
  <c r="D62" i="33" a="1"/>
  <c r="D62" i="33" s="1"/>
  <c r="C62" i="33" a="1"/>
  <c r="C62" i="33" s="1"/>
  <c r="W61" i="33"/>
  <c r="D61" i="33" a="1"/>
  <c r="D61" i="33" s="1"/>
  <c r="C61" i="33" a="1"/>
  <c r="C61" i="33" s="1"/>
  <c r="W28" i="33"/>
  <c r="D28" i="33" a="1"/>
  <c r="D28" i="33" s="1"/>
  <c r="W11" i="33"/>
  <c r="W10" i="33"/>
  <c r="D10" i="33" a="1"/>
  <c r="D10" i="33" s="1"/>
  <c r="W4" i="33"/>
  <c r="W173" i="32"/>
  <c r="D173" i="32" a="1"/>
  <c r="D173" i="32" s="1"/>
  <c r="C173" i="32" a="1"/>
  <c r="C173" i="32" s="1"/>
  <c r="W172" i="32"/>
  <c r="D172" i="32" a="1"/>
  <c r="D172" i="32" s="1"/>
  <c r="C172" i="32" a="1"/>
  <c r="C172" i="32" s="1"/>
  <c r="W23" i="32"/>
  <c r="D23" i="32" a="1"/>
  <c r="D23" i="32" s="1"/>
  <c r="C23" i="32" a="1"/>
  <c r="C23" i="32" s="1"/>
  <c r="W8" i="32"/>
  <c r="D8" i="32" a="1"/>
  <c r="D8" i="32" s="1"/>
  <c r="C8" i="32" a="1"/>
  <c r="C8" i="32" s="1"/>
  <c r="W29" i="32"/>
  <c r="D29" i="32" a="1"/>
  <c r="D29" i="32" s="1"/>
  <c r="C29" i="32" a="1"/>
  <c r="C29" i="32" s="1"/>
  <c r="W15" i="32"/>
  <c r="D15" i="32" a="1"/>
  <c r="D15" i="32" s="1"/>
  <c r="C15" i="32" a="1"/>
  <c r="C15" i="32" s="1"/>
  <c r="W27" i="32"/>
  <c r="D27" i="32" a="1"/>
  <c r="D27" i="32" s="1"/>
  <c r="C27" i="32" a="1"/>
  <c r="C27" i="32" s="1"/>
  <c r="W43" i="32"/>
  <c r="D43" i="32" a="1"/>
  <c r="D43" i="32" s="1"/>
  <c r="C43" i="32" a="1"/>
  <c r="C43" i="32" s="1"/>
  <c r="W6" i="32"/>
  <c r="D6" i="32" a="1"/>
  <c r="D6" i="32" s="1"/>
  <c r="C6" i="32" a="1"/>
  <c r="C6" i="32" s="1"/>
  <c r="W7" i="32"/>
  <c r="D7" i="32" a="1"/>
  <c r="D7" i="32" s="1"/>
  <c r="W30" i="32"/>
  <c r="D30" i="32" a="1"/>
  <c r="D30" i="32" s="1"/>
  <c r="C30" i="32" a="1"/>
  <c r="C30" i="32" s="1"/>
  <c r="W9" i="32"/>
  <c r="D9" i="32" a="1"/>
  <c r="D9" i="32" s="1"/>
  <c r="W10" i="32"/>
  <c r="D10" i="32" a="1"/>
  <c r="D10" i="32" s="1"/>
  <c r="W17" i="32"/>
  <c r="D17" i="32" a="1"/>
  <c r="D17" i="32" s="1"/>
  <c r="C17" i="32" a="1"/>
  <c r="C17" i="32" s="1"/>
  <c r="W24" i="32"/>
  <c r="D24" i="32" a="1"/>
  <c r="D24" i="32" s="1"/>
  <c r="C24" i="32" a="1"/>
  <c r="C24" i="32" s="1"/>
  <c r="W4" i="32"/>
  <c r="D4" i="32" a="1"/>
  <c r="D4" i="32" s="1"/>
  <c r="W5" i="32"/>
  <c r="D5" i="32" a="1"/>
  <c r="D5" i="32" s="1"/>
  <c r="W18" i="32"/>
  <c r="D18" i="32" a="1"/>
  <c r="D18" i="32" s="1"/>
  <c r="W171" i="32"/>
  <c r="V171" i="32"/>
  <c r="U171" i="32"/>
  <c r="T171" i="32"/>
  <c r="S171" i="32"/>
  <c r="R171" i="32"/>
  <c r="Q171" i="32"/>
  <c r="P171" i="32"/>
  <c r="N171" i="32"/>
  <c r="M171" i="32"/>
  <c r="L171" i="32"/>
  <c r="K171" i="32"/>
  <c r="J171" i="32"/>
  <c r="I171" i="32"/>
  <c r="H171" i="32"/>
  <c r="G171" i="32"/>
  <c r="D171" i="32" a="1"/>
  <c r="D171" i="32" s="1"/>
  <c r="C171" i="32" a="1"/>
  <c r="C171" i="32" s="1"/>
  <c r="W168" i="32"/>
  <c r="V168" i="32"/>
  <c r="U168" i="32"/>
  <c r="T168" i="32"/>
  <c r="S168" i="32"/>
  <c r="R168" i="32"/>
  <c r="Q168" i="32"/>
  <c r="P168" i="32"/>
  <c r="N168" i="32"/>
  <c r="M168" i="32"/>
  <c r="L168" i="32"/>
  <c r="K168" i="32"/>
  <c r="J168" i="32"/>
  <c r="I168" i="32"/>
  <c r="H168" i="32"/>
  <c r="G168" i="32"/>
  <c r="D168" i="32" a="1"/>
  <c r="D168" i="32" s="1"/>
  <c r="C168" i="32" a="1"/>
  <c r="C168" i="32" s="1"/>
  <c r="W167" i="32"/>
  <c r="V167" i="32"/>
  <c r="U167" i="32"/>
  <c r="T167" i="32"/>
  <c r="S167" i="32"/>
  <c r="R167" i="32"/>
  <c r="Q167" i="32"/>
  <c r="P167" i="32"/>
  <c r="N167" i="32"/>
  <c r="M167" i="32"/>
  <c r="L167" i="32"/>
  <c r="K167" i="32"/>
  <c r="J167" i="32"/>
  <c r="I167" i="32"/>
  <c r="H167" i="32"/>
  <c r="G167" i="32"/>
  <c r="D167" i="32" a="1"/>
  <c r="D167" i="32" s="1"/>
  <c r="C167" i="32" a="1"/>
  <c r="C167" i="32" s="1"/>
  <c r="W170" i="32"/>
  <c r="V170" i="32"/>
  <c r="U170" i="32"/>
  <c r="T170" i="32"/>
  <c r="S170" i="32"/>
  <c r="R170" i="32"/>
  <c r="Q170" i="32"/>
  <c r="P170" i="32"/>
  <c r="N170" i="32"/>
  <c r="M170" i="32"/>
  <c r="L170" i="32"/>
  <c r="K170" i="32"/>
  <c r="J170" i="32"/>
  <c r="I170" i="32"/>
  <c r="H170" i="32"/>
  <c r="G170" i="32"/>
  <c r="D170" i="32" a="1"/>
  <c r="D170" i="32" s="1"/>
  <c r="C170" i="32" a="1"/>
  <c r="C170" i="32" s="1"/>
  <c r="W31" i="32"/>
  <c r="D31" i="32" a="1"/>
  <c r="D31" i="32" s="1"/>
  <c r="C31" i="32" a="1"/>
  <c r="C31" i="32" s="1"/>
  <c r="W166" i="32"/>
  <c r="V166" i="32"/>
  <c r="U166" i="32"/>
  <c r="T166" i="32"/>
  <c r="S166" i="32"/>
  <c r="R166" i="32"/>
  <c r="Q166" i="32"/>
  <c r="P166" i="32"/>
  <c r="N166" i="32"/>
  <c r="M166" i="32"/>
  <c r="L166" i="32"/>
  <c r="K166" i="32"/>
  <c r="J166" i="32"/>
  <c r="I166" i="32"/>
  <c r="H166" i="32"/>
  <c r="G166" i="32"/>
  <c r="D166" i="32" a="1"/>
  <c r="D166" i="32" s="1"/>
  <c r="C166" i="32" a="1"/>
  <c r="C166" i="32" s="1"/>
  <c r="W139" i="32"/>
  <c r="D139" i="32" a="1"/>
  <c r="D139" i="32" s="1"/>
  <c r="C139" i="32" a="1"/>
  <c r="C139" i="32" s="1"/>
  <c r="W165" i="32"/>
  <c r="V165" i="32"/>
  <c r="U165" i="32"/>
  <c r="T165" i="32"/>
  <c r="S165" i="32"/>
  <c r="R165" i="32"/>
  <c r="Q165" i="32"/>
  <c r="P165" i="32"/>
  <c r="N165" i="32"/>
  <c r="M165" i="32"/>
  <c r="L165" i="32"/>
  <c r="K165" i="32"/>
  <c r="J165" i="32"/>
  <c r="I165" i="32"/>
  <c r="H165" i="32"/>
  <c r="G165" i="32"/>
  <c r="D165" i="32" a="1"/>
  <c r="D165" i="32" s="1"/>
  <c r="C165" i="32" a="1"/>
  <c r="C165" i="32" s="1"/>
  <c r="W164" i="32"/>
  <c r="V164" i="32"/>
  <c r="U164" i="32"/>
  <c r="T164" i="32"/>
  <c r="S164" i="32"/>
  <c r="R164" i="32"/>
  <c r="Q164" i="32"/>
  <c r="P164" i="32"/>
  <c r="N164" i="32"/>
  <c r="M164" i="32"/>
  <c r="L164" i="32"/>
  <c r="K164" i="32"/>
  <c r="J164" i="32"/>
  <c r="I164" i="32"/>
  <c r="H164" i="32"/>
  <c r="G164" i="32"/>
  <c r="D164" i="32" a="1"/>
  <c r="D164" i="32" s="1"/>
  <c r="C164" i="32" a="1"/>
  <c r="C164" i="32" s="1"/>
  <c r="W163" i="32"/>
  <c r="V163" i="32"/>
  <c r="U163" i="32"/>
  <c r="T163" i="32"/>
  <c r="S163" i="32"/>
  <c r="R163" i="32"/>
  <c r="Q163" i="32"/>
  <c r="P163" i="32"/>
  <c r="N163" i="32"/>
  <c r="M163" i="32"/>
  <c r="L163" i="32"/>
  <c r="K163" i="32"/>
  <c r="J163" i="32"/>
  <c r="I163" i="32"/>
  <c r="H163" i="32"/>
  <c r="G163" i="32"/>
  <c r="D163" i="32" a="1"/>
  <c r="D163" i="32" s="1"/>
  <c r="C163" i="32" a="1"/>
  <c r="C163" i="32" s="1"/>
  <c r="W60" i="32"/>
  <c r="D60" i="32" a="1"/>
  <c r="D60" i="32" s="1"/>
  <c r="C60" i="32" a="1"/>
  <c r="C60" i="32" s="1"/>
  <c r="W162" i="32"/>
  <c r="V162" i="32"/>
  <c r="U162" i="32"/>
  <c r="T162" i="32"/>
  <c r="S162" i="32"/>
  <c r="R162" i="32"/>
  <c r="Q162" i="32"/>
  <c r="P162" i="32"/>
  <c r="N162" i="32"/>
  <c r="M162" i="32"/>
  <c r="L162" i="32"/>
  <c r="K162" i="32"/>
  <c r="J162" i="32"/>
  <c r="I162" i="32"/>
  <c r="H162" i="32"/>
  <c r="G162" i="32"/>
  <c r="D162" i="32" a="1"/>
  <c r="D162" i="32" s="1"/>
  <c r="C162" i="32" a="1"/>
  <c r="C162" i="32" s="1"/>
  <c r="W161" i="32"/>
  <c r="V161" i="32"/>
  <c r="U161" i="32"/>
  <c r="T161" i="32"/>
  <c r="S161" i="32"/>
  <c r="R161" i="32"/>
  <c r="Q161" i="32"/>
  <c r="P161" i="32"/>
  <c r="N161" i="32"/>
  <c r="M161" i="32"/>
  <c r="L161" i="32"/>
  <c r="K161" i="32"/>
  <c r="J161" i="32"/>
  <c r="I161" i="32"/>
  <c r="H161" i="32"/>
  <c r="G161" i="32"/>
  <c r="D161" i="32" a="1"/>
  <c r="D161" i="32" s="1"/>
  <c r="C161" i="32" a="1"/>
  <c r="C161" i="32" s="1"/>
  <c r="W160" i="32"/>
  <c r="V160" i="32"/>
  <c r="U160" i="32"/>
  <c r="T160" i="32"/>
  <c r="S160" i="32"/>
  <c r="R160" i="32"/>
  <c r="Q160" i="32"/>
  <c r="P160" i="32"/>
  <c r="N160" i="32"/>
  <c r="M160" i="32"/>
  <c r="L160" i="32"/>
  <c r="K160" i="32"/>
  <c r="J160" i="32"/>
  <c r="I160" i="32"/>
  <c r="H160" i="32"/>
  <c r="G160" i="32"/>
  <c r="D160" i="32" a="1"/>
  <c r="D160" i="32" s="1"/>
  <c r="C160" i="32" a="1"/>
  <c r="C160" i="32" s="1"/>
  <c r="W159" i="32"/>
  <c r="V159" i="32"/>
  <c r="U159" i="32"/>
  <c r="T159" i="32"/>
  <c r="S159" i="32"/>
  <c r="R159" i="32"/>
  <c r="Q159" i="32"/>
  <c r="P159" i="32"/>
  <c r="N159" i="32"/>
  <c r="M159" i="32"/>
  <c r="L159" i="32"/>
  <c r="K159" i="32"/>
  <c r="J159" i="32"/>
  <c r="I159" i="32"/>
  <c r="H159" i="32"/>
  <c r="G159" i="32"/>
  <c r="D159" i="32" a="1"/>
  <c r="D159" i="32" s="1"/>
  <c r="C159" i="32" a="1"/>
  <c r="C159" i="32" s="1"/>
  <c r="W158" i="32"/>
  <c r="V158" i="32"/>
  <c r="U158" i="32"/>
  <c r="T158" i="32"/>
  <c r="S158" i="32"/>
  <c r="R158" i="32"/>
  <c r="Q158" i="32"/>
  <c r="P158" i="32"/>
  <c r="N158" i="32"/>
  <c r="M158" i="32"/>
  <c r="L158" i="32"/>
  <c r="K158" i="32"/>
  <c r="J158" i="32"/>
  <c r="I158" i="32"/>
  <c r="H158" i="32"/>
  <c r="G158" i="32"/>
  <c r="D158" i="32" a="1"/>
  <c r="D158" i="32" s="1"/>
  <c r="C158" i="32" a="1"/>
  <c r="C158" i="32" s="1"/>
  <c r="W157" i="32"/>
  <c r="V157" i="32"/>
  <c r="U157" i="32"/>
  <c r="T157" i="32"/>
  <c r="S157" i="32"/>
  <c r="R157" i="32"/>
  <c r="Q157" i="32"/>
  <c r="P157" i="32"/>
  <c r="N157" i="32"/>
  <c r="M157" i="32"/>
  <c r="L157" i="32"/>
  <c r="K157" i="32"/>
  <c r="J157" i="32"/>
  <c r="I157" i="32"/>
  <c r="H157" i="32"/>
  <c r="G157" i="32"/>
  <c r="D157" i="32" a="1"/>
  <c r="D157" i="32" s="1"/>
  <c r="C157" i="32" a="1"/>
  <c r="C157" i="32" s="1"/>
  <c r="W11" i="32"/>
  <c r="D11" i="32" a="1"/>
  <c r="D11" i="32" s="1"/>
  <c r="C11" i="32" a="1"/>
  <c r="C11" i="32" s="1"/>
  <c r="W39" i="32"/>
  <c r="V39" i="32"/>
  <c r="U39" i="32"/>
  <c r="T39" i="32"/>
  <c r="S39" i="32"/>
  <c r="R39" i="32"/>
  <c r="Q39" i="32"/>
  <c r="P39" i="32"/>
  <c r="N39" i="32"/>
  <c r="M39" i="32"/>
  <c r="L39" i="32"/>
  <c r="K39" i="32"/>
  <c r="J39" i="32"/>
  <c r="I39" i="32"/>
  <c r="H39" i="32"/>
  <c r="G39" i="32"/>
  <c r="D39" i="32" a="1"/>
  <c r="D39" i="32" s="1"/>
  <c r="C39" i="32" a="1"/>
  <c r="C39" i="32" s="1"/>
  <c r="W154" i="32"/>
  <c r="V154" i="32"/>
  <c r="U154" i="32"/>
  <c r="T154" i="32"/>
  <c r="S154" i="32"/>
  <c r="R154" i="32"/>
  <c r="Q154" i="32"/>
  <c r="P154" i="32"/>
  <c r="N154" i="32"/>
  <c r="M154" i="32"/>
  <c r="L154" i="32"/>
  <c r="K154" i="32"/>
  <c r="J154" i="32"/>
  <c r="I154" i="32"/>
  <c r="H154" i="32"/>
  <c r="G154" i="32"/>
  <c r="D154" i="32" a="1"/>
  <c r="D154" i="32" s="1"/>
  <c r="C154" i="32" a="1"/>
  <c r="C154" i="32" s="1"/>
  <c r="W153" i="32"/>
  <c r="V153" i="32"/>
  <c r="U153" i="32"/>
  <c r="T153" i="32"/>
  <c r="S153" i="32"/>
  <c r="R153" i="32"/>
  <c r="Q153" i="32"/>
  <c r="P153" i="32"/>
  <c r="N153" i="32"/>
  <c r="M153" i="32"/>
  <c r="L153" i="32"/>
  <c r="K153" i="32"/>
  <c r="J153" i="32"/>
  <c r="I153" i="32"/>
  <c r="H153" i="32"/>
  <c r="G153" i="32"/>
  <c r="D153" i="32" a="1"/>
  <c r="D153" i="32" s="1"/>
  <c r="C153" i="32" a="1"/>
  <c r="C153" i="32" s="1"/>
  <c r="W152" i="32"/>
  <c r="V152" i="32"/>
  <c r="U152" i="32"/>
  <c r="T152" i="32"/>
  <c r="S152" i="32"/>
  <c r="R152" i="32"/>
  <c r="Q152" i="32"/>
  <c r="P152" i="32"/>
  <c r="N152" i="32"/>
  <c r="M152" i="32"/>
  <c r="L152" i="32"/>
  <c r="K152" i="32"/>
  <c r="J152" i="32"/>
  <c r="I152" i="32"/>
  <c r="H152" i="32"/>
  <c r="G152" i="32"/>
  <c r="D152" i="32" a="1"/>
  <c r="D152" i="32" s="1"/>
  <c r="C152" i="32" a="1"/>
  <c r="C152" i="32" s="1"/>
  <c r="W151" i="32"/>
  <c r="D151" i="32" a="1"/>
  <c r="D151" i="32" s="1"/>
  <c r="C151" i="32" a="1"/>
  <c r="C151" i="32" s="1"/>
  <c r="W150" i="32"/>
  <c r="V150" i="32"/>
  <c r="U150" i="32"/>
  <c r="T150" i="32"/>
  <c r="S150" i="32"/>
  <c r="R150" i="32"/>
  <c r="Q150" i="32"/>
  <c r="P150" i="32"/>
  <c r="N150" i="32"/>
  <c r="M150" i="32"/>
  <c r="L150" i="32"/>
  <c r="K150" i="32"/>
  <c r="J150" i="32"/>
  <c r="I150" i="32"/>
  <c r="H150" i="32"/>
  <c r="G150" i="32"/>
  <c r="D150" i="32" a="1"/>
  <c r="D150" i="32" s="1"/>
  <c r="C150" i="32" a="1"/>
  <c r="C150" i="32" s="1"/>
  <c r="W149" i="32"/>
  <c r="V149" i="32"/>
  <c r="U149" i="32"/>
  <c r="T149" i="32"/>
  <c r="S149" i="32"/>
  <c r="R149" i="32"/>
  <c r="Q149" i="32"/>
  <c r="P149" i="32"/>
  <c r="N149" i="32"/>
  <c r="M149" i="32"/>
  <c r="L149" i="32"/>
  <c r="K149" i="32"/>
  <c r="J149" i="32"/>
  <c r="I149" i="32"/>
  <c r="H149" i="32"/>
  <c r="G149" i="32"/>
  <c r="D149" i="32" a="1"/>
  <c r="D149" i="32" s="1"/>
  <c r="C149" i="32" a="1"/>
  <c r="C149" i="32" s="1"/>
  <c r="W148" i="32"/>
  <c r="V148" i="32"/>
  <c r="U148" i="32"/>
  <c r="T148" i="32"/>
  <c r="S148" i="32"/>
  <c r="R148" i="32"/>
  <c r="Q148" i="32"/>
  <c r="P148" i="32"/>
  <c r="N148" i="32"/>
  <c r="M148" i="32"/>
  <c r="L148" i="32"/>
  <c r="K148" i="32"/>
  <c r="J148" i="32"/>
  <c r="I148" i="32"/>
  <c r="H148" i="32"/>
  <c r="G148" i="32"/>
  <c r="D148" i="32" a="1"/>
  <c r="D148" i="32" s="1"/>
  <c r="C148" i="32" a="1"/>
  <c r="C148" i="32" s="1"/>
  <c r="W147" i="32"/>
  <c r="V147" i="32"/>
  <c r="U147" i="32"/>
  <c r="T147" i="32"/>
  <c r="S147" i="32"/>
  <c r="R147" i="32"/>
  <c r="Q147" i="32"/>
  <c r="P147" i="32"/>
  <c r="N147" i="32"/>
  <c r="M147" i="32"/>
  <c r="L147" i="32"/>
  <c r="K147" i="32"/>
  <c r="J147" i="32"/>
  <c r="I147" i="32"/>
  <c r="H147" i="32"/>
  <c r="G147" i="32"/>
  <c r="D147" i="32" a="1"/>
  <c r="D147" i="32" s="1"/>
  <c r="C147" i="32" a="1"/>
  <c r="C147" i="32" s="1"/>
  <c r="W169" i="32"/>
  <c r="D169" i="32" a="1"/>
  <c r="D169" i="32" s="1"/>
  <c r="C169" i="32" a="1"/>
  <c r="C169" i="32" s="1"/>
  <c r="W146" i="32"/>
  <c r="V146" i="32"/>
  <c r="U146" i="32"/>
  <c r="T146" i="32"/>
  <c r="S146" i="32"/>
  <c r="R146" i="32"/>
  <c r="Q146" i="32"/>
  <c r="P146" i="32"/>
  <c r="N146" i="32"/>
  <c r="M146" i="32"/>
  <c r="L146" i="32"/>
  <c r="K146" i="32"/>
  <c r="J146" i="32"/>
  <c r="I146" i="32"/>
  <c r="H146" i="32"/>
  <c r="G146" i="32"/>
  <c r="D146" i="32" a="1"/>
  <c r="D146" i="32" s="1"/>
  <c r="C146" i="32" a="1"/>
  <c r="C146" i="32" s="1"/>
  <c r="W145" i="32"/>
  <c r="V145" i="32"/>
  <c r="U145" i="32"/>
  <c r="T145" i="32"/>
  <c r="S145" i="32"/>
  <c r="R145" i="32"/>
  <c r="Q145" i="32"/>
  <c r="P145" i="32"/>
  <c r="N145" i="32"/>
  <c r="M145" i="32"/>
  <c r="L145" i="32"/>
  <c r="K145" i="32"/>
  <c r="J145" i="32"/>
  <c r="I145" i="32"/>
  <c r="H145" i="32"/>
  <c r="G145" i="32"/>
  <c r="D145" i="32" a="1"/>
  <c r="D145" i="32" s="1"/>
  <c r="C145" i="32" a="1"/>
  <c r="C145" i="32" s="1"/>
  <c r="W144" i="32"/>
  <c r="V144" i="32"/>
  <c r="U144" i="32"/>
  <c r="T144" i="32"/>
  <c r="S144" i="32"/>
  <c r="R144" i="32"/>
  <c r="Q144" i="32"/>
  <c r="P144" i="32"/>
  <c r="N144" i="32"/>
  <c r="M144" i="32"/>
  <c r="L144" i="32"/>
  <c r="K144" i="32"/>
  <c r="J144" i="32"/>
  <c r="I144" i="32"/>
  <c r="H144" i="32"/>
  <c r="G144" i="32"/>
  <c r="D144" i="32" a="1"/>
  <c r="D144" i="32" s="1"/>
  <c r="C144" i="32" a="1"/>
  <c r="C144" i="32" s="1"/>
  <c r="W143" i="32"/>
  <c r="V143" i="32"/>
  <c r="U143" i="32"/>
  <c r="T143" i="32"/>
  <c r="S143" i="32"/>
  <c r="R143" i="32"/>
  <c r="Q143" i="32"/>
  <c r="P143" i="32"/>
  <c r="N143" i="32"/>
  <c r="M143" i="32"/>
  <c r="L143" i="32"/>
  <c r="K143" i="32"/>
  <c r="J143" i="32"/>
  <c r="I143" i="32"/>
  <c r="H143" i="32"/>
  <c r="G143" i="32"/>
  <c r="D143" i="32" a="1"/>
  <c r="D143" i="32" s="1"/>
  <c r="C143" i="32" a="1"/>
  <c r="C143" i="32" s="1"/>
  <c r="W142" i="32"/>
  <c r="V142" i="32"/>
  <c r="U142" i="32"/>
  <c r="T142" i="32"/>
  <c r="S142" i="32"/>
  <c r="R142" i="32"/>
  <c r="Q142" i="32"/>
  <c r="P142" i="32"/>
  <c r="N142" i="32"/>
  <c r="M142" i="32"/>
  <c r="L142" i="32"/>
  <c r="K142" i="32"/>
  <c r="J142" i="32"/>
  <c r="I142" i="32"/>
  <c r="H142" i="32"/>
  <c r="G142" i="32"/>
  <c r="D142" i="32" a="1"/>
  <c r="D142" i="32" s="1"/>
  <c r="C142" i="32" a="1"/>
  <c r="C142" i="32" s="1"/>
  <c r="W141" i="32"/>
  <c r="V141" i="32"/>
  <c r="U141" i="32"/>
  <c r="T141" i="32"/>
  <c r="S141" i="32"/>
  <c r="R141" i="32"/>
  <c r="Q141" i="32"/>
  <c r="P141" i="32"/>
  <c r="N141" i="32"/>
  <c r="M141" i="32"/>
  <c r="L141" i="32"/>
  <c r="K141" i="32"/>
  <c r="J141" i="32"/>
  <c r="I141" i="32"/>
  <c r="H141" i="32"/>
  <c r="G141" i="32"/>
  <c r="D141" i="32" a="1"/>
  <c r="D141" i="32" s="1"/>
  <c r="C141" i="32" a="1"/>
  <c r="C141" i="32" s="1"/>
  <c r="W140" i="32"/>
  <c r="V140" i="32"/>
  <c r="U140" i="32"/>
  <c r="T140" i="32"/>
  <c r="S140" i="32"/>
  <c r="R140" i="32"/>
  <c r="Q140" i="32"/>
  <c r="P140" i="32"/>
  <c r="N140" i="32"/>
  <c r="M140" i="32"/>
  <c r="L140" i="32"/>
  <c r="K140" i="32"/>
  <c r="J140" i="32"/>
  <c r="I140" i="32"/>
  <c r="H140" i="32"/>
  <c r="G140" i="32"/>
  <c r="D140" i="32" a="1"/>
  <c r="D140" i="32" s="1"/>
  <c r="C140" i="32" a="1"/>
  <c r="C140" i="32" s="1"/>
  <c r="W22" i="32"/>
  <c r="D22" i="32" a="1"/>
  <c r="D22" i="32" s="1"/>
  <c r="C22" i="32" a="1"/>
  <c r="C22" i="32" s="1"/>
  <c r="W33" i="32"/>
  <c r="D33" i="32" a="1"/>
  <c r="D33" i="32" s="1"/>
  <c r="C33" i="32" a="1"/>
  <c r="C33" i="32" s="1"/>
  <c r="W58" i="32"/>
  <c r="D58" i="32" a="1"/>
  <c r="D58" i="32" s="1"/>
  <c r="C58" i="32" a="1"/>
  <c r="C58" i="32" s="1"/>
  <c r="W40" i="32"/>
  <c r="D40" i="32" a="1"/>
  <c r="D40" i="32" s="1"/>
  <c r="C40" i="32" a="1"/>
  <c r="C40" i="32" s="1"/>
  <c r="W138" i="32"/>
  <c r="V138" i="32"/>
  <c r="U138" i="32"/>
  <c r="T138" i="32"/>
  <c r="S138" i="32"/>
  <c r="R138" i="32"/>
  <c r="Q138" i="32"/>
  <c r="P138" i="32"/>
  <c r="N138" i="32"/>
  <c r="M138" i="32"/>
  <c r="L138" i="32"/>
  <c r="K138" i="32"/>
  <c r="J138" i="32"/>
  <c r="I138" i="32"/>
  <c r="H138" i="32"/>
  <c r="G138" i="32"/>
  <c r="D138" i="32" a="1"/>
  <c r="D138" i="32" s="1"/>
  <c r="C138" i="32" a="1"/>
  <c r="C138" i="32" s="1"/>
  <c r="W137" i="32"/>
  <c r="V137" i="32"/>
  <c r="U137" i="32"/>
  <c r="T137" i="32"/>
  <c r="S137" i="32"/>
  <c r="R137" i="32"/>
  <c r="Q137" i="32"/>
  <c r="P137" i="32"/>
  <c r="N137" i="32"/>
  <c r="M137" i="32"/>
  <c r="L137" i="32"/>
  <c r="K137" i="32"/>
  <c r="J137" i="32"/>
  <c r="I137" i="32"/>
  <c r="H137" i="32"/>
  <c r="G137" i="32"/>
  <c r="D137" i="32" a="1"/>
  <c r="D137" i="32" s="1"/>
  <c r="C137" i="32" a="1"/>
  <c r="C137" i="32" s="1"/>
  <c r="W57" i="32"/>
  <c r="D57" i="32" a="1"/>
  <c r="D57" i="32" s="1"/>
  <c r="C57" i="32" a="1"/>
  <c r="C57" i="32" s="1"/>
  <c r="W35" i="32"/>
  <c r="D35" i="32" a="1"/>
  <c r="D35" i="32" s="1"/>
  <c r="C35" i="32" a="1"/>
  <c r="C35" i="32" s="1"/>
  <c r="W136" i="32"/>
  <c r="V136" i="32"/>
  <c r="U136" i="32"/>
  <c r="T136" i="32"/>
  <c r="S136" i="32"/>
  <c r="R136" i="32"/>
  <c r="Q136" i="32"/>
  <c r="P136" i="32"/>
  <c r="N136" i="32"/>
  <c r="M136" i="32"/>
  <c r="L136" i="32"/>
  <c r="K136" i="32"/>
  <c r="J136" i="32"/>
  <c r="I136" i="32"/>
  <c r="H136" i="32"/>
  <c r="G136" i="32"/>
  <c r="D136" i="32" a="1"/>
  <c r="D136" i="32" s="1"/>
  <c r="C136" i="32" a="1"/>
  <c r="C136" i="32" s="1"/>
  <c r="W156" i="32"/>
  <c r="D156" i="32" a="1"/>
  <c r="D156" i="32" s="1"/>
  <c r="C156" i="32" a="1"/>
  <c r="C156" i="32" s="1"/>
  <c r="W135" i="32"/>
  <c r="V135" i="32"/>
  <c r="U135" i="32"/>
  <c r="T135" i="32"/>
  <c r="S135" i="32"/>
  <c r="R135" i="32"/>
  <c r="Q135" i="32"/>
  <c r="P135" i="32"/>
  <c r="N135" i="32"/>
  <c r="M135" i="32"/>
  <c r="L135" i="32"/>
  <c r="K135" i="32"/>
  <c r="J135" i="32"/>
  <c r="I135" i="32"/>
  <c r="H135" i="32"/>
  <c r="G135" i="32"/>
  <c r="D135" i="32" a="1"/>
  <c r="D135" i="32" s="1"/>
  <c r="C135" i="32" a="1"/>
  <c r="C135" i="32" s="1"/>
  <c r="W28" i="32"/>
  <c r="D28" i="32" a="1"/>
  <c r="D28" i="32" s="1"/>
  <c r="C28" i="32" a="1"/>
  <c r="C28" i="32" s="1"/>
  <c r="W134" i="32"/>
  <c r="V134" i="32"/>
  <c r="U134" i="32"/>
  <c r="T134" i="32"/>
  <c r="S134" i="32"/>
  <c r="R134" i="32"/>
  <c r="Q134" i="32"/>
  <c r="P134" i="32"/>
  <c r="N134" i="32"/>
  <c r="M134" i="32"/>
  <c r="L134" i="32"/>
  <c r="K134" i="32"/>
  <c r="J134" i="32"/>
  <c r="I134" i="32"/>
  <c r="H134" i="32"/>
  <c r="G134" i="32"/>
  <c r="D134" i="32" a="1"/>
  <c r="D134" i="32" s="1"/>
  <c r="C134" i="32" a="1"/>
  <c r="C134" i="32" s="1"/>
  <c r="W26" i="32"/>
  <c r="D26" i="32" a="1"/>
  <c r="D26" i="32" s="1"/>
  <c r="C26" i="32" a="1"/>
  <c r="C26" i="32" s="1"/>
  <c r="W41" i="32"/>
  <c r="D41" i="32" a="1"/>
  <c r="D41" i="32" s="1"/>
  <c r="C41" i="32" a="1"/>
  <c r="C41" i="32" s="1"/>
  <c r="W133" i="32"/>
  <c r="V133" i="32"/>
  <c r="U133" i="32"/>
  <c r="T133" i="32"/>
  <c r="S133" i="32"/>
  <c r="R133" i="32"/>
  <c r="Q133" i="32"/>
  <c r="P133" i="32"/>
  <c r="N133" i="32"/>
  <c r="M133" i="32"/>
  <c r="L133" i="32"/>
  <c r="K133" i="32"/>
  <c r="J133" i="32"/>
  <c r="I133" i="32"/>
  <c r="H133" i="32"/>
  <c r="G133" i="32"/>
  <c r="D133" i="32" a="1"/>
  <c r="D133" i="32" s="1"/>
  <c r="C133" i="32" a="1"/>
  <c r="C133" i="32" s="1"/>
  <c r="W132" i="32"/>
  <c r="V132" i="32"/>
  <c r="U132" i="32"/>
  <c r="T132" i="32"/>
  <c r="S132" i="32"/>
  <c r="R132" i="32"/>
  <c r="Q132" i="32"/>
  <c r="P132" i="32"/>
  <c r="N132" i="32"/>
  <c r="M132" i="32"/>
  <c r="L132" i="32"/>
  <c r="K132" i="32"/>
  <c r="J132" i="32"/>
  <c r="I132" i="32"/>
  <c r="H132" i="32"/>
  <c r="G132" i="32"/>
  <c r="D132" i="32" a="1"/>
  <c r="D132" i="32" s="1"/>
  <c r="C132" i="32" a="1"/>
  <c r="C132" i="32" s="1"/>
  <c r="W131" i="32"/>
  <c r="V131" i="32"/>
  <c r="U131" i="32"/>
  <c r="T131" i="32"/>
  <c r="S131" i="32"/>
  <c r="R131" i="32"/>
  <c r="Q131" i="32"/>
  <c r="P131" i="32"/>
  <c r="N131" i="32"/>
  <c r="M131" i="32"/>
  <c r="L131" i="32"/>
  <c r="K131" i="32"/>
  <c r="J131" i="32"/>
  <c r="I131" i="32"/>
  <c r="H131" i="32"/>
  <c r="G131" i="32"/>
  <c r="D131" i="32" a="1"/>
  <c r="D131" i="32" s="1"/>
  <c r="C131" i="32" a="1"/>
  <c r="C131" i="32" s="1"/>
  <c r="W130" i="32"/>
  <c r="V130" i="32"/>
  <c r="U130" i="32"/>
  <c r="T130" i="32"/>
  <c r="S130" i="32"/>
  <c r="R130" i="32"/>
  <c r="Q130" i="32"/>
  <c r="P130" i="32"/>
  <c r="N130" i="32"/>
  <c r="M130" i="32"/>
  <c r="L130" i="32"/>
  <c r="K130" i="32"/>
  <c r="J130" i="32"/>
  <c r="I130" i="32"/>
  <c r="H130" i="32"/>
  <c r="G130" i="32"/>
  <c r="D130" i="32" a="1"/>
  <c r="D130" i="32" s="1"/>
  <c r="C130" i="32" a="1"/>
  <c r="C130" i="32" s="1"/>
  <c r="W129" i="32"/>
  <c r="V129" i="32"/>
  <c r="U129" i="32"/>
  <c r="T129" i="32"/>
  <c r="S129" i="32"/>
  <c r="R129" i="32"/>
  <c r="Q129" i="32"/>
  <c r="P129" i="32"/>
  <c r="N129" i="32"/>
  <c r="M129" i="32"/>
  <c r="L129" i="32"/>
  <c r="K129" i="32"/>
  <c r="J129" i="32"/>
  <c r="I129" i="32"/>
  <c r="H129" i="32"/>
  <c r="G129" i="32"/>
  <c r="D129" i="32" a="1"/>
  <c r="D129" i="32" s="1"/>
  <c r="C129" i="32" a="1"/>
  <c r="C129" i="32" s="1"/>
  <c r="W128" i="32"/>
  <c r="V128" i="32"/>
  <c r="U128" i="32"/>
  <c r="T128" i="32"/>
  <c r="S128" i="32"/>
  <c r="R128" i="32"/>
  <c r="Q128" i="32"/>
  <c r="P128" i="32"/>
  <c r="N128" i="32"/>
  <c r="M128" i="32"/>
  <c r="L128" i="32"/>
  <c r="K128" i="32"/>
  <c r="J128" i="32"/>
  <c r="I128" i="32"/>
  <c r="H128" i="32"/>
  <c r="G128" i="32"/>
  <c r="D128" i="32" a="1"/>
  <c r="D128" i="32" s="1"/>
  <c r="C128" i="32" a="1"/>
  <c r="C128" i="32" s="1"/>
  <c r="W127" i="32"/>
  <c r="V127" i="32"/>
  <c r="U127" i="32"/>
  <c r="T127" i="32"/>
  <c r="S127" i="32"/>
  <c r="R127" i="32"/>
  <c r="Q127" i="32"/>
  <c r="P127" i="32"/>
  <c r="N127" i="32"/>
  <c r="M127" i="32"/>
  <c r="L127" i="32"/>
  <c r="K127" i="32"/>
  <c r="J127" i="32"/>
  <c r="I127" i="32"/>
  <c r="H127" i="32"/>
  <c r="G127" i="32"/>
  <c r="D127" i="32" a="1"/>
  <c r="D127" i="32" s="1"/>
  <c r="C127" i="32" a="1"/>
  <c r="C127" i="32" s="1"/>
  <c r="W126" i="32"/>
  <c r="V126" i="32"/>
  <c r="U126" i="32"/>
  <c r="T126" i="32"/>
  <c r="S126" i="32"/>
  <c r="R126" i="32"/>
  <c r="Q126" i="32"/>
  <c r="P126" i="32"/>
  <c r="N126" i="32"/>
  <c r="M126" i="32"/>
  <c r="L126" i="32"/>
  <c r="K126" i="32"/>
  <c r="J126" i="32"/>
  <c r="I126" i="32"/>
  <c r="H126" i="32"/>
  <c r="G126" i="32"/>
  <c r="D126" i="32" a="1"/>
  <c r="D126" i="32" s="1"/>
  <c r="C126" i="32" a="1"/>
  <c r="C126" i="32" s="1"/>
  <c r="W125" i="32"/>
  <c r="V125" i="32"/>
  <c r="U125" i="32"/>
  <c r="T125" i="32"/>
  <c r="S125" i="32"/>
  <c r="R125" i="32"/>
  <c r="Q125" i="32"/>
  <c r="P125" i="32"/>
  <c r="N125" i="32"/>
  <c r="M125" i="32"/>
  <c r="L125" i="32"/>
  <c r="K125" i="32"/>
  <c r="J125" i="32"/>
  <c r="I125" i="32"/>
  <c r="H125" i="32"/>
  <c r="G125" i="32"/>
  <c r="D125" i="32" a="1"/>
  <c r="D125" i="32" s="1"/>
  <c r="C125" i="32" a="1"/>
  <c r="C125" i="32" s="1"/>
  <c r="W124" i="32"/>
  <c r="V124" i="32"/>
  <c r="U124" i="32"/>
  <c r="T124" i="32"/>
  <c r="S124" i="32"/>
  <c r="R124" i="32"/>
  <c r="Q124" i="32"/>
  <c r="P124" i="32"/>
  <c r="N124" i="32"/>
  <c r="M124" i="32"/>
  <c r="L124" i="32"/>
  <c r="K124" i="32"/>
  <c r="J124" i="32"/>
  <c r="I124" i="32"/>
  <c r="H124" i="32"/>
  <c r="G124" i="32"/>
  <c r="D124" i="32" a="1"/>
  <c r="D124" i="32" s="1"/>
  <c r="C124" i="32" a="1"/>
  <c r="C124" i="32" s="1"/>
  <c r="W123" i="32"/>
  <c r="V123" i="32"/>
  <c r="U123" i="32"/>
  <c r="T123" i="32"/>
  <c r="S123" i="32"/>
  <c r="R123" i="32"/>
  <c r="Q123" i="32"/>
  <c r="P123" i="32"/>
  <c r="N123" i="32"/>
  <c r="M123" i="32"/>
  <c r="L123" i="32"/>
  <c r="K123" i="32"/>
  <c r="J123" i="32"/>
  <c r="I123" i="32"/>
  <c r="H123" i="32"/>
  <c r="G123" i="32"/>
  <c r="D123" i="32" a="1"/>
  <c r="D123" i="32" s="1"/>
  <c r="C123" i="32" a="1"/>
  <c r="C123" i="32" s="1"/>
  <c r="W122" i="32"/>
  <c r="V122" i="32"/>
  <c r="U122" i="32"/>
  <c r="T122" i="32"/>
  <c r="S122" i="32"/>
  <c r="R122" i="32"/>
  <c r="Q122" i="32"/>
  <c r="P122" i="32"/>
  <c r="N122" i="32"/>
  <c r="M122" i="32"/>
  <c r="L122" i="32"/>
  <c r="K122" i="32"/>
  <c r="J122" i="32"/>
  <c r="I122" i="32"/>
  <c r="H122" i="32"/>
  <c r="G122" i="32"/>
  <c r="D122" i="32" a="1"/>
  <c r="D122" i="32" s="1"/>
  <c r="C122" i="32" a="1"/>
  <c r="C122" i="32" s="1"/>
  <c r="W121" i="32"/>
  <c r="V121" i="32"/>
  <c r="U121" i="32"/>
  <c r="T121" i="32"/>
  <c r="S121" i="32"/>
  <c r="R121" i="32"/>
  <c r="Q121" i="32"/>
  <c r="P121" i="32"/>
  <c r="N121" i="32"/>
  <c r="M121" i="32"/>
  <c r="L121" i="32"/>
  <c r="K121" i="32"/>
  <c r="J121" i="32"/>
  <c r="I121" i="32"/>
  <c r="H121" i="32"/>
  <c r="G121" i="32"/>
  <c r="D121" i="32" a="1"/>
  <c r="D121" i="32" s="1"/>
  <c r="C121" i="32" a="1"/>
  <c r="C121" i="32" s="1"/>
  <c r="W120" i="32"/>
  <c r="V120" i="32"/>
  <c r="U120" i="32"/>
  <c r="T120" i="32"/>
  <c r="S120" i="32"/>
  <c r="R120" i="32"/>
  <c r="Q120" i="32"/>
  <c r="P120" i="32"/>
  <c r="N120" i="32"/>
  <c r="M120" i="32"/>
  <c r="L120" i="32"/>
  <c r="K120" i="32"/>
  <c r="J120" i="32"/>
  <c r="I120" i="32"/>
  <c r="H120" i="32"/>
  <c r="G120" i="32"/>
  <c r="D120" i="32" a="1"/>
  <c r="D120" i="32" s="1"/>
  <c r="C120" i="32" a="1"/>
  <c r="C120" i="32" s="1"/>
  <c r="W119" i="32"/>
  <c r="V119" i="32"/>
  <c r="U119" i="32"/>
  <c r="T119" i="32"/>
  <c r="S119" i="32"/>
  <c r="R119" i="32"/>
  <c r="Q119" i="32"/>
  <c r="P119" i="32"/>
  <c r="N119" i="32"/>
  <c r="M119" i="32"/>
  <c r="L119" i="32"/>
  <c r="K119" i="32"/>
  <c r="J119" i="32"/>
  <c r="I119" i="32"/>
  <c r="H119" i="32"/>
  <c r="G119" i="32"/>
  <c r="D119" i="32" a="1"/>
  <c r="D119" i="32" s="1"/>
  <c r="C119" i="32" a="1"/>
  <c r="C119" i="32" s="1"/>
  <c r="W118" i="32"/>
  <c r="V118" i="32"/>
  <c r="U118" i="32"/>
  <c r="T118" i="32"/>
  <c r="S118" i="32"/>
  <c r="R118" i="32"/>
  <c r="Q118" i="32"/>
  <c r="P118" i="32"/>
  <c r="N118" i="32"/>
  <c r="M118" i="32"/>
  <c r="L118" i="32"/>
  <c r="K118" i="32"/>
  <c r="J118" i="32"/>
  <c r="I118" i="32"/>
  <c r="H118" i="32"/>
  <c r="G118" i="32"/>
  <c r="D118" i="32" a="1"/>
  <c r="D118" i="32" s="1"/>
  <c r="C118" i="32" a="1"/>
  <c r="C118" i="32" s="1"/>
  <c r="W117" i="32"/>
  <c r="V117" i="32"/>
  <c r="U117" i="32"/>
  <c r="T117" i="32"/>
  <c r="S117" i="32"/>
  <c r="R117" i="32"/>
  <c r="Q117" i="32"/>
  <c r="P117" i="32"/>
  <c r="N117" i="32"/>
  <c r="M117" i="32"/>
  <c r="L117" i="32"/>
  <c r="K117" i="32"/>
  <c r="J117" i="32"/>
  <c r="I117" i="32"/>
  <c r="H117" i="32"/>
  <c r="G117" i="32"/>
  <c r="D117" i="32" a="1"/>
  <c r="D117" i="32" s="1"/>
  <c r="C117" i="32" a="1"/>
  <c r="C117" i="32" s="1"/>
  <c r="W116" i="32"/>
  <c r="V116" i="32"/>
  <c r="U116" i="32"/>
  <c r="T116" i="32"/>
  <c r="S116" i="32"/>
  <c r="R116" i="32"/>
  <c r="Q116" i="32"/>
  <c r="P116" i="32"/>
  <c r="N116" i="32"/>
  <c r="M116" i="32"/>
  <c r="L116" i="32"/>
  <c r="K116" i="32"/>
  <c r="J116" i="32"/>
  <c r="I116" i="32"/>
  <c r="H116" i="32"/>
  <c r="G116" i="32"/>
  <c r="D116" i="32" a="1"/>
  <c r="D116" i="32" s="1"/>
  <c r="C116" i="32" a="1"/>
  <c r="C116" i="32" s="1"/>
  <c r="W115" i="32"/>
  <c r="V115" i="32"/>
  <c r="U115" i="32"/>
  <c r="T115" i="32"/>
  <c r="S115" i="32"/>
  <c r="R115" i="32"/>
  <c r="Q115" i="32"/>
  <c r="P115" i="32"/>
  <c r="N115" i="32"/>
  <c r="M115" i="32"/>
  <c r="L115" i="32"/>
  <c r="K115" i="32"/>
  <c r="J115" i="32"/>
  <c r="I115" i="32"/>
  <c r="H115" i="32"/>
  <c r="G115" i="32"/>
  <c r="D115" i="32" a="1"/>
  <c r="D115" i="32" s="1"/>
  <c r="C115" i="32" a="1"/>
  <c r="C115" i="32" s="1"/>
  <c r="W114" i="32"/>
  <c r="V114" i="32"/>
  <c r="U114" i="32"/>
  <c r="T114" i="32"/>
  <c r="S114" i="32"/>
  <c r="R114" i="32"/>
  <c r="Q114" i="32"/>
  <c r="P114" i="32"/>
  <c r="N114" i="32"/>
  <c r="M114" i="32"/>
  <c r="L114" i="32"/>
  <c r="K114" i="32"/>
  <c r="J114" i="32"/>
  <c r="I114" i="32"/>
  <c r="H114" i="32"/>
  <c r="G114" i="32"/>
  <c r="D114" i="32" a="1"/>
  <c r="D114" i="32" s="1"/>
  <c r="C114" i="32" a="1"/>
  <c r="C114" i="32" s="1"/>
  <c r="W113" i="32"/>
  <c r="V113" i="32"/>
  <c r="U113" i="32"/>
  <c r="T113" i="32"/>
  <c r="S113" i="32"/>
  <c r="R113" i="32"/>
  <c r="Q113" i="32"/>
  <c r="P113" i="32"/>
  <c r="N113" i="32"/>
  <c r="M113" i="32"/>
  <c r="L113" i="32"/>
  <c r="K113" i="32"/>
  <c r="J113" i="32"/>
  <c r="I113" i="32"/>
  <c r="H113" i="32"/>
  <c r="G113" i="32"/>
  <c r="D113" i="32" a="1"/>
  <c r="D113" i="32" s="1"/>
  <c r="C113" i="32" a="1"/>
  <c r="C113" i="32" s="1"/>
  <c r="W112" i="32"/>
  <c r="V112" i="32"/>
  <c r="U112" i="32"/>
  <c r="T112" i="32"/>
  <c r="S112" i="32"/>
  <c r="R112" i="32"/>
  <c r="Q112" i="32"/>
  <c r="P112" i="32"/>
  <c r="N112" i="32"/>
  <c r="M112" i="32"/>
  <c r="L112" i="32"/>
  <c r="K112" i="32"/>
  <c r="J112" i="32"/>
  <c r="I112" i="32"/>
  <c r="H112" i="32"/>
  <c r="G112" i="32"/>
  <c r="D112" i="32" a="1"/>
  <c r="D112" i="32" s="1"/>
  <c r="C112" i="32" a="1"/>
  <c r="C112" i="32" s="1"/>
  <c r="W111" i="32"/>
  <c r="V111" i="32"/>
  <c r="U111" i="32"/>
  <c r="T111" i="32"/>
  <c r="S111" i="32"/>
  <c r="R111" i="32"/>
  <c r="Q111" i="32"/>
  <c r="P111" i="32"/>
  <c r="N111" i="32"/>
  <c r="M111" i="32"/>
  <c r="L111" i="32"/>
  <c r="K111" i="32"/>
  <c r="J111" i="32"/>
  <c r="I111" i="32"/>
  <c r="H111" i="32"/>
  <c r="G111" i="32"/>
  <c r="D111" i="32" a="1"/>
  <c r="D111" i="32" s="1"/>
  <c r="C111" i="32" a="1"/>
  <c r="C111" i="32" s="1"/>
  <c r="W110" i="32"/>
  <c r="V110" i="32"/>
  <c r="U110" i="32"/>
  <c r="T110" i="32"/>
  <c r="S110" i="32"/>
  <c r="R110" i="32"/>
  <c r="Q110" i="32"/>
  <c r="P110" i="32"/>
  <c r="N110" i="32"/>
  <c r="M110" i="32"/>
  <c r="L110" i="32"/>
  <c r="K110" i="32"/>
  <c r="J110" i="32"/>
  <c r="I110" i="32"/>
  <c r="H110" i="32"/>
  <c r="G110" i="32"/>
  <c r="D110" i="32" a="1"/>
  <c r="D110" i="32" s="1"/>
  <c r="C110" i="32" a="1"/>
  <c r="C110" i="32" s="1"/>
  <c r="W109" i="32"/>
  <c r="V109" i="32"/>
  <c r="U109" i="32"/>
  <c r="T109" i="32"/>
  <c r="S109" i="32"/>
  <c r="R109" i="32"/>
  <c r="Q109" i="32"/>
  <c r="P109" i="32"/>
  <c r="N109" i="32"/>
  <c r="M109" i="32"/>
  <c r="L109" i="32"/>
  <c r="K109" i="32"/>
  <c r="J109" i="32"/>
  <c r="I109" i="32"/>
  <c r="H109" i="32"/>
  <c r="G109" i="32"/>
  <c r="D109" i="32" a="1"/>
  <c r="D109" i="32" s="1"/>
  <c r="C109" i="32" a="1"/>
  <c r="C109" i="32" s="1"/>
  <c r="W108" i="32"/>
  <c r="V108" i="32"/>
  <c r="U108" i="32"/>
  <c r="T108" i="32"/>
  <c r="S108" i="32"/>
  <c r="R108" i="32"/>
  <c r="Q108" i="32"/>
  <c r="P108" i="32"/>
  <c r="N108" i="32"/>
  <c r="M108" i="32"/>
  <c r="L108" i="32"/>
  <c r="K108" i="32"/>
  <c r="J108" i="32"/>
  <c r="I108" i="32"/>
  <c r="H108" i="32"/>
  <c r="G108" i="32"/>
  <c r="D108" i="32" a="1"/>
  <c r="D108" i="32" s="1"/>
  <c r="C108" i="32" a="1"/>
  <c r="C108" i="32" s="1"/>
  <c r="W107" i="32"/>
  <c r="V107" i="32"/>
  <c r="U107" i="32"/>
  <c r="T107" i="32"/>
  <c r="S107" i="32"/>
  <c r="R107" i="32"/>
  <c r="Q107" i="32"/>
  <c r="P107" i="32"/>
  <c r="N107" i="32"/>
  <c r="M107" i="32"/>
  <c r="L107" i="32"/>
  <c r="K107" i="32"/>
  <c r="J107" i="32"/>
  <c r="I107" i="32"/>
  <c r="H107" i="32"/>
  <c r="G107" i="32"/>
  <c r="D107" i="32" a="1"/>
  <c r="D107" i="32" s="1"/>
  <c r="C107" i="32" a="1"/>
  <c r="C107" i="32" s="1"/>
  <c r="W106" i="32"/>
  <c r="V106" i="32"/>
  <c r="U106" i="32"/>
  <c r="T106" i="32"/>
  <c r="S106" i="32"/>
  <c r="R106" i="32"/>
  <c r="Q106" i="32"/>
  <c r="P106" i="32"/>
  <c r="N106" i="32"/>
  <c r="M106" i="32"/>
  <c r="L106" i="32"/>
  <c r="K106" i="32"/>
  <c r="J106" i="32"/>
  <c r="I106" i="32"/>
  <c r="H106" i="32"/>
  <c r="G106" i="32"/>
  <c r="D106" i="32" a="1"/>
  <c r="D106" i="32" s="1"/>
  <c r="C106" i="32" a="1"/>
  <c r="C106" i="32" s="1"/>
  <c r="W105" i="32"/>
  <c r="V105" i="32"/>
  <c r="U105" i="32"/>
  <c r="T105" i="32"/>
  <c r="S105" i="32"/>
  <c r="R105" i="32"/>
  <c r="Q105" i="32"/>
  <c r="P105" i="32"/>
  <c r="N105" i="32"/>
  <c r="M105" i="32"/>
  <c r="L105" i="32"/>
  <c r="K105" i="32"/>
  <c r="J105" i="32"/>
  <c r="I105" i="32"/>
  <c r="H105" i="32"/>
  <c r="G105" i="32"/>
  <c r="D105" i="32" a="1"/>
  <c r="D105" i="32" s="1"/>
  <c r="C105" i="32" a="1"/>
  <c r="C105" i="32" s="1"/>
  <c r="W104" i="32"/>
  <c r="V104" i="32"/>
  <c r="U104" i="32"/>
  <c r="T104" i="32"/>
  <c r="S104" i="32"/>
  <c r="R104" i="32"/>
  <c r="Q104" i="32"/>
  <c r="P104" i="32"/>
  <c r="N104" i="32"/>
  <c r="M104" i="32"/>
  <c r="L104" i="32"/>
  <c r="K104" i="32"/>
  <c r="J104" i="32"/>
  <c r="I104" i="32"/>
  <c r="H104" i="32"/>
  <c r="G104" i="32"/>
  <c r="D104" i="32" a="1"/>
  <c r="D104" i="32" s="1"/>
  <c r="C104" i="32" a="1"/>
  <c r="C104" i="32" s="1"/>
  <c r="W103" i="32"/>
  <c r="V103" i="32"/>
  <c r="U103" i="32"/>
  <c r="T103" i="32"/>
  <c r="S103" i="32"/>
  <c r="R103" i="32"/>
  <c r="Q103" i="32"/>
  <c r="P103" i="32"/>
  <c r="N103" i="32"/>
  <c r="M103" i="32"/>
  <c r="L103" i="32"/>
  <c r="K103" i="32"/>
  <c r="J103" i="32"/>
  <c r="I103" i="32"/>
  <c r="H103" i="32"/>
  <c r="G103" i="32"/>
  <c r="D103" i="32" a="1"/>
  <c r="D103" i="32" s="1"/>
  <c r="C103" i="32" a="1"/>
  <c r="C103" i="32" s="1"/>
  <c r="W102" i="32"/>
  <c r="D102" i="32" a="1"/>
  <c r="D102" i="32" s="1"/>
  <c r="C102" i="32" a="1"/>
  <c r="C102" i="32" s="1"/>
  <c r="W54" i="32"/>
  <c r="D54" i="32" a="1"/>
  <c r="D54" i="32" s="1"/>
  <c r="C54" i="32" a="1"/>
  <c r="C54" i="32" s="1"/>
  <c r="W101" i="32"/>
  <c r="V101" i="32"/>
  <c r="U101" i="32"/>
  <c r="T101" i="32"/>
  <c r="S101" i="32"/>
  <c r="R101" i="32"/>
  <c r="Q101" i="32"/>
  <c r="P101" i="32"/>
  <c r="N101" i="32"/>
  <c r="M101" i="32"/>
  <c r="L101" i="32"/>
  <c r="K101" i="32"/>
  <c r="J101" i="32"/>
  <c r="I101" i="32"/>
  <c r="H101" i="32"/>
  <c r="G101" i="32"/>
  <c r="D101" i="32" a="1"/>
  <c r="D101" i="32" s="1"/>
  <c r="C101" i="32" a="1"/>
  <c r="C101" i="32" s="1"/>
  <c r="W100" i="32"/>
  <c r="V100" i="32"/>
  <c r="U100" i="32"/>
  <c r="T100" i="32"/>
  <c r="S100" i="32"/>
  <c r="R100" i="32"/>
  <c r="Q100" i="32"/>
  <c r="P100" i="32"/>
  <c r="N100" i="32"/>
  <c r="M100" i="32"/>
  <c r="L100" i="32"/>
  <c r="K100" i="32"/>
  <c r="J100" i="32"/>
  <c r="I100" i="32"/>
  <c r="H100" i="32"/>
  <c r="G100" i="32"/>
  <c r="D100" i="32" a="1"/>
  <c r="D100" i="32" s="1"/>
  <c r="C100" i="32" a="1"/>
  <c r="C100" i="32" s="1"/>
  <c r="W99" i="32"/>
  <c r="V99" i="32"/>
  <c r="U99" i="32"/>
  <c r="T99" i="32"/>
  <c r="S99" i="32"/>
  <c r="R99" i="32"/>
  <c r="Q99" i="32"/>
  <c r="P99" i="32"/>
  <c r="N99" i="32"/>
  <c r="M99" i="32"/>
  <c r="L99" i="32"/>
  <c r="K99" i="32"/>
  <c r="J99" i="32"/>
  <c r="I99" i="32"/>
  <c r="H99" i="32"/>
  <c r="G99" i="32"/>
  <c r="D99" i="32" a="1"/>
  <c r="D99" i="32" s="1"/>
  <c r="C99" i="32" a="1"/>
  <c r="C99" i="32" s="1"/>
  <c r="W51" i="32"/>
  <c r="D51" i="32" a="1"/>
  <c r="D51" i="32" s="1"/>
  <c r="C51" i="32" a="1"/>
  <c r="C51" i="32" s="1"/>
  <c r="W46" i="32"/>
  <c r="D46" i="32" a="1"/>
  <c r="D46" i="32" s="1"/>
  <c r="C46" i="32" a="1"/>
  <c r="C46" i="32" s="1"/>
  <c r="W47" i="32"/>
  <c r="D47" i="32" a="1"/>
  <c r="D47" i="32" s="1"/>
  <c r="C47" i="32" a="1"/>
  <c r="C47" i="32" s="1"/>
  <c r="W49" i="32"/>
  <c r="D49" i="32" a="1"/>
  <c r="D49" i="32" s="1"/>
  <c r="C49" i="32" a="1"/>
  <c r="C49" i="32" s="1"/>
  <c r="W98" i="32"/>
  <c r="D98" i="32" a="1"/>
  <c r="D98" i="32" s="1"/>
  <c r="C98" i="32" a="1"/>
  <c r="C98" i="32" s="1"/>
  <c r="W34" i="32"/>
  <c r="D34" i="32" a="1"/>
  <c r="D34" i="32" s="1"/>
  <c r="C34" i="32" a="1"/>
  <c r="C34" i="32" s="1"/>
  <c r="W42" i="32"/>
  <c r="D42" i="32" a="1"/>
  <c r="D42" i="32" s="1"/>
  <c r="C42" i="32" a="1"/>
  <c r="C42" i="32" s="1"/>
  <c r="W59" i="32"/>
  <c r="D59" i="32" a="1"/>
  <c r="D59" i="32" s="1"/>
  <c r="C59" i="32" a="1"/>
  <c r="C59" i="32" s="1"/>
  <c r="W55" i="32"/>
  <c r="D55" i="32" a="1"/>
  <c r="D55" i="32" s="1"/>
  <c r="C55" i="32" a="1"/>
  <c r="C55" i="32" s="1"/>
  <c r="W44" i="32"/>
  <c r="D44" i="32" a="1"/>
  <c r="D44" i="32" s="1"/>
  <c r="C44" i="32" a="1"/>
  <c r="C44" i="32" s="1"/>
  <c r="W13" i="32"/>
  <c r="D13" i="32" a="1"/>
  <c r="D13" i="32" s="1"/>
  <c r="C13" i="32" a="1"/>
  <c r="C13" i="32" s="1"/>
  <c r="W50" i="32"/>
  <c r="D50" i="32" a="1"/>
  <c r="D50" i="32" s="1"/>
  <c r="C50" i="32" a="1"/>
  <c r="C50" i="32" s="1"/>
  <c r="W97" i="32"/>
  <c r="V97" i="32"/>
  <c r="U97" i="32"/>
  <c r="T97" i="32"/>
  <c r="S97" i="32"/>
  <c r="R97" i="32"/>
  <c r="Q97" i="32"/>
  <c r="P97" i="32"/>
  <c r="N97" i="32"/>
  <c r="M97" i="32"/>
  <c r="L97" i="32"/>
  <c r="K97" i="32"/>
  <c r="J97" i="32"/>
  <c r="I97" i="32"/>
  <c r="H97" i="32"/>
  <c r="G97" i="32"/>
  <c r="D97" i="32" a="1"/>
  <c r="D97" i="32" s="1"/>
  <c r="C97" i="32" a="1"/>
  <c r="C97" i="32" s="1"/>
  <c r="W96" i="32"/>
  <c r="D96" i="32" a="1"/>
  <c r="D96" i="32" s="1"/>
  <c r="C96" i="32" a="1"/>
  <c r="C96" i="32" s="1"/>
  <c r="W95" i="32"/>
  <c r="V95" i="32"/>
  <c r="U95" i="32"/>
  <c r="T95" i="32"/>
  <c r="S95" i="32"/>
  <c r="R95" i="32"/>
  <c r="Q95" i="32"/>
  <c r="P95" i="32"/>
  <c r="N95" i="32"/>
  <c r="M95" i="32"/>
  <c r="L95" i="32"/>
  <c r="K95" i="32"/>
  <c r="J95" i="32"/>
  <c r="I95" i="32"/>
  <c r="H95" i="32"/>
  <c r="G95" i="32"/>
  <c r="D95" i="32" a="1"/>
  <c r="D95" i="32" s="1"/>
  <c r="C95" i="32" a="1"/>
  <c r="C95" i="32" s="1"/>
  <c r="W94" i="32"/>
  <c r="D94" i="32" a="1"/>
  <c r="D94" i="32" s="1"/>
  <c r="C94" i="32" a="1"/>
  <c r="C94" i="32" s="1"/>
  <c r="W93" i="32"/>
  <c r="V93" i="32"/>
  <c r="U93" i="32"/>
  <c r="T93" i="32"/>
  <c r="S93" i="32"/>
  <c r="R93" i="32"/>
  <c r="Q93" i="32"/>
  <c r="P93" i="32"/>
  <c r="N93" i="32"/>
  <c r="M93" i="32"/>
  <c r="L93" i="32"/>
  <c r="K93" i="32"/>
  <c r="J93" i="32"/>
  <c r="I93" i="32"/>
  <c r="H93" i="32"/>
  <c r="G93" i="32"/>
  <c r="D93" i="32" a="1"/>
  <c r="D93" i="32" s="1"/>
  <c r="C93" i="32" a="1"/>
  <c r="C93" i="32" s="1"/>
  <c r="W45" i="32"/>
  <c r="D45" i="32" a="1"/>
  <c r="D45" i="32" s="1"/>
  <c r="C45" i="32" a="1"/>
  <c r="C45" i="32" s="1"/>
  <c r="W48" i="32"/>
  <c r="D48" i="32" a="1"/>
  <c r="D48" i="32" s="1"/>
  <c r="C48" i="32" a="1"/>
  <c r="C48" i="32" s="1"/>
  <c r="W32" i="32"/>
  <c r="D32" i="32" a="1"/>
  <c r="D32" i="32" s="1"/>
  <c r="C32" i="32" a="1"/>
  <c r="C32" i="32" s="1"/>
  <c r="W14" i="32"/>
  <c r="D14" i="32" a="1"/>
  <c r="D14" i="32" s="1"/>
  <c r="C14" i="32" a="1"/>
  <c r="C14" i="32" s="1"/>
  <c r="W92" i="32"/>
  <c r="D92" i="32" a="1"/>
  <c r="D92" i="32" s="1"/>
  <c r="C92" i="32" a="1"/>
  <c r="C92" i="32" s="1"/>
  <c r="W91" i="32"/>
  <c r="D91" i="32" a="1"/>
  <c r="D91" i="32" s="1"/>
  <c r="C91" i="32" a="1"/>
  <c r="C91" i="32" s="1"/>
  <c r="W56" i="32"/>
  <c r="D56" i="32" a="1"/>
  <c r="D56" i="32" s="1"/>
  <c r="C56" i="32" a="1"/>
  <c r="C56" i="32" s="1"/>
  <c r="W36" i="32"/>
  <c r="D36" i="32" a="1"/>
  <c r="D36" i="32" s="1"/>
  <c r="C36" i="32" a="1"/>
  <c r="C36" i="32" s="1"/>
  <c r="W20" i="32"/>
  <c r="D20" i="32" a="1"/>
  <c r="D20" i="32" s="1"/>
  <c r="C20" i="32" a="1"/>
  <c r="C20" i="32" s="1"/>
  <c r="W90" i="32"/>
  <c r="D90" i="32" a="1"/>
  <c r="D90" i="32" s="1"/>
  <c r="C90" i="32" a="1"/>
  <c r="C90" i="32" s="1"/>
  <c r="W89" i="32"/>
  <c r="V89" i="32"/>
  <c r="U89" i="32"/>
  <c r="T89" i="32"/>
  <c r="S89" i="32"/>
  <c r="R89" i="32"/>
  <c r="Q89" i="32"/>
  <c r="P89" i="32"/>
  <c r="N89" i="32"/>
  <c r="M89" i="32"/>
  <c r="L89" i="32"/>
  <c r="K89" i="32"/>
  <c r="J89" i="32"/>
  <c r="I89" i="32"/>
  <c r="H89" i="32"/>
  <c r="G89" i="32"/>
  <c r="D89" i="32" a="1"/>
  <c r="D89" i="32" s="1"/>
  <c r="C89" i="32" a="1"/>
  <c r="C89" i="32" s="1"/>
  <c r="W19" i="32"/>
  <c r="D19" i="32" a="1"/>
  <c r="D19" i="32" s="1"/>
  <c r="C19" i="32" a="1"/>
  <c r="C19" i="32" s="1"/>
  <c r="W88" i="32"/>
  <c r="D88" i="32" a="1"/>
  <c r="D88" i="32" s="1"/>
  <c r="C88" i="32" a="1"/>
  <c r="C88" i="32" s="1"/>
  <c r="W87" i="32"/>
  <c r="V87" i="32"/>
  <c r="U87" i="32"/>
  <c r="T87" i="32"/>
  <c r="S87" i="32"/>
  <c r="R87" i="32"/>
  <c r="Q87" i="32"/>
  <c r="P87" i="32"/>
  <c r="N87" i="32"/>
  <c r="M87" i="32"/>
  <c r="L87" i="32"/>
  <c r="K87" i="32"/>
  <c r="J87" i="32"/>
  <c r="I87" i="32"/>
  <c r="H87" i="32"/>
  <c r="G87" i="32"/>
  <c r="D87" i="32" a="1"/>
  <c r="D87" i="32" s="1"/>
  <c r="C87" i="32" a="1"/>
  <c r="C87" i="32" s="1"/>
  <c r="W53" i="32"/>
  <c r="D53" i="32" a="1"/>
  <c r="D53" i="32" s="1"/>
  <c r="C53" i="32" a="1"/>
  <c r="C53" i="32" s="1"/>
  <c r="W86" i="32"/>
  <c r="V86" i="32"/>
  <c r="U86" i="32"/>
  <c r="T86" i="32"/>
  <c r="S86" i="32"/>
  <c r="R86" i="32"/>
  <c r="Q86" i="32"/>
  <c r="P86" i="32"/>
  <c r="N86" i="32"/>
  <c r="M86" i="32"/>
  <c r="L86" i="32"/>
  <c r="K86" i="32"/>
  <c r="J86" i="32"/>
  <c r="I86" i="32"/>
  <c r="H86" i="32"/>
  <c r="G86" i="32"/>
  <c r="D86" i="32" a="1"/>
  <c r="D86" i="32" s="1"/>
  <c r="C86" i="32" a="1"/>
  <c r="C86" i="32" s="1"/>
  <c r="W85" i="32"/>
  <c r="V85" i="32"/>
  <c r="U85" i="32"/>
  <c r="T85" i="32"/>
  <c r="S85" i="32"/>
  <c r="R85" i="32"/>
  <c r="Q85" i="32"/>
  <c r="P85" i="32"/>
  <c r="N85" i="32"/>
  <c r="M85" i="32"/>
  <c r="L85" i="32"/>
  <c r="K85" i="32"/>
  <c r="J85" i="32"/>
  <c r="I85" i="32"/>
  <c r="H85" i="32"/>
  <c r="G85" i="32"/>
  <c r="D85" i="32" a="1"/>
  <c r="D85" i="32" s="1"/>
  <c r="C85" i="32" a="1"/>
  <c r="C85" i="32" s="1"/>
  <c r="W84" i="32"/>
  <c r="V84" i="32"/>
  <c r="U84" i="32"/>
  <c r="T84" i="32"/>
  <c r="S84" i="32"/>
  <c r="R84" i="32"/>
  <c r="Q84" i="32"/>
  <c r="P84" i="32"/>
  <c r="N84" i="32"/>
  <c r="M84" i="32"/>
  <c r="L84" i="32"/>
  <c r="K84" i="32"/>
  <c r="J84" i="32"/>
  <c r="I84" i="32"/>
  <c r="H84" i="32"/>
  <c r="G84" i="32"/>
  <c r="D84" i="32" a="1"/>
  <c r="D84" i="32" s="1"/>
  <c r="C84" i="32" a="1"/>
  <c r="C84" i="32" s="1"/>
  <c r="W83" i="32"/>
  <c r="D83" i="32" a="1"/>
  <c r="D83" i="32" s="1"/>
  <c r="C83" i="32" a="1"/>
  <c r="C83" i="32" s="1"/>
  <c r="W82" i="32"/>
  <c r="D82" i="32" a="1"/>
  <c r="D82" i="32" s="1"/>
  <c r="C82" i="32" a="1"/>
  <c r="C82" i="32" s="1"/>
  <c r="W81" i="32"/>
  <c r="V81" i="32"/>
  <c r="U81" i="32"/>
  <c r="T81" i="32"/>
  <c r="S81" i="32"/>
  <c r="R81" i="32"/>
  <c r="Q81" i="32"/>
  <c r="P81" i="32"/>
  <c r="N81" i="32"/>
  <c r="M81" i="32"/>
  <c r="L81" i="32"/>
  <c r="K81" i="32"/>
  <c r="J81" i="32"/>
  <c r="I81" i="32"/>
  <c r="H81" i="32"/>
  <c r="G81" i="32"/>
  <c r="D81" i="32" a="1"/>
  <c r="D81" i="32" s="1"/>
  <c r="C81" i="32" a="1"/>
  <c r="C81" i="32" s="1"/>
  <c r="W80" i="32"/>
  <c r="V80" i="32"/>
  <c r="U80" i="32"/>
  <c r="T80" i="32"/>
  <c r="S80" i="32"/>
  <c r="R80" i="32"/>
  <c r="Q80" i="32"/>
  <c r="P80" i="32"/>
  <c r="N80" i="32"/>
  <c r="M80" i="32"/>
  <c r="L80" i="32"/>
  <c r="K80" i="32"/>
  <c r="J80" i="32"/>
  <c r="I80" i="32"/>
  <c r="H80" i="32"/>
  <c r="G80" i="32"/>
  <c r="D80" i="32" a="1"/>
  <c r="D80" i="32" s="1"/>
  <c r="C80" i="32" a="1"/>
  <c r="C80" i="32" s="1"/>
  <c r="AI52" i="32"/>
  <c r="AG52" i="32"/>
  <c r="W52" i="32"/>
  <c r="D52" i="32" a="1"/>
  <c r="D52" i="32" s="1"/>
  <c r="C52" i="32" a="1"/>
  <c r="C52" i="32" s="1"/>
  <c r="W38" i="32"/>
  <c r="D38" i="32" a="1"/>
  <c r="D38" i="32" s="1"/>
  <c r="C38" i="32" a="1"/>
  <c r="C38" i="32" s="1"/>
  <c r="W79" i="32"/>
  <c r="D79" i="32" a="1"/>
  <c r="D79" i="32" s="1"/>
  <c r="C79" i="32" a="1"/>
  <c r="C79" i="32" s="1"/>
  <c r="W78" i="32"/>
  <c r="D78" i="32" a="1"/>
  <c r="D78" i="32" s="1"/>
  <c r="C78" i="32" a="1"/>
  <c r="C78" i="32" s="1"/>
  <c r="W77" i="32"/>
  <c r="D77" i="32" a="1"/>
  <c r="D77" i="32" s="1"/>
  <c r="C77" i="32" a="1"/>
  <c r="C77" i="32" s="1"/>
  <c r="W76" i="32"/>
  <c r="D76" i="32" a="1"/>
  <c r="D76" i="32" s="1"/>
  <c r="C76" i="32" a="1"/>
  <c r="C76" i="32" s="1"/>
  <c r="W75" i="32"/>
  <c r="V75" i="32"/>
  <c r="U75" i="32"/>
  <c r="T75" i="32"/>
  <c r="S75" i="32"/>
  <c r="R75" i="32"/>
  <c r="Q75" i="32"/>
  <c r="P75" i="32"/>
  <c r="N75" i="32"/>
  <c r="M75" i="32"/>
  <c r="L75" i="32"/>
  <c r="K75" i="32"/>
  <c r="J75" i="32"/>
  <c r="I75" i="32"/>
  <c r="H75" i="32"/>
  <c r="G75" i="32"/>
  <c r="D75" i="32" a="1"/>
  <c r="D75" i="32" s="1"/>
  <c r="C75" i="32" a="1"/>
  <c r="C75" i="32" s="1"/>
  <c r="W74" i="32"/>
  <c r="D74" i="32" a="1"/>
  <c r="D74" i="32" s="1"/>
  <c r="C74" i="32" a="1"/>
  <c r="C74" i="32" s="1"/>
  <c r="W73" i="32"/>
  <c r="D73" i="32" a="1"/>
  <c r="D73" i="32" s="1"/>
  <c r="C73" i="32" a="1"/>
  <c r="C73" i="32" s="1"/>
  <c r="W37" i="32"/>
  <c r="D37" i="32" a="1"/>
  <c r="D37" i="32" s="1"/>
  <c r="C37" i="32" a="1"/>
  <c r="C37" i="32" s="1"/>
  <c r="W72" i="32"/>
  <c r="D72" i="32" a="1"/>
  <c r="D72" i="32" s="1"/>
  <c r="C72" i="32" a="1"/>
  <c r="C72" i="32" s="1"/>
  <c r="W25" i="32"/>
  <c r="D25" i="32" a="1"/>
  <c r="D25" i="32" s="1"/>
  <c r="C25" i="32" a="1"/>
  <c r="C25" i="32" s="1"/>
  <c r="W155" i="32"/>
  <c r="D155" i="32" a="1"/>
  <c r="D155" i="32" s="1"/>
  <c r="C155" i="32" a="1"/>
  <c r="C155" i="32" s="1"/>
  <c r="W71" i="32"/>
  <c r="D71" i="32" a="1"/>
  <c r="D71" i="32" s="1"/>
  <c r="C71" i="32" a="1"/>
  <c r="C71" i="32" s="1"/>
  <c r="W70" i="32"/>
  <c r="D70" i="32" a="1"/>
  <c r="D70" i="32" s="1"/>
  <c r="C70" i="32" a="1"/>
  <c r="C70" i="32" s="1"/>
  <c r="W69" i="32"/>
  <c r="V69" i="32"/>
  <c r="U69" i="32"/>
  <c r="T69" i="32"/>
  <c r="S69" i="32"/>
  <c r="R69" i="32"/>
  <c r="Q69" i="32"/>
  <c r="P69" i="32"/>
  <c r="N69" i="32"/>
  <c r="M69" i="32"/>
  <c r="L69" i="32"/>
  <c r="K69" i="32"/>
  <c r="J69" i="32"/>
  <c r="I69" i="32"/>
  <c r="H69" i="32"/>
  <c r="G69" i="32"/>
  <c r="D69" i="32" a="1"/>
  <c r="D69" i="32" s="1"/>
  <c r="C69" i="32" a="1"/>
  <c r="C69" i="32" s="1"/>
  <c r="W68" i="32"/>
  <c r="D68" i="32" a="1"/>
  <c r="D68" i="32" s="1"/>
  <c r="C68" i="32" a="1"/>
  <c r="C68" i="32" s="1"/>
  <c r="W67" i="32"/>
  <c r="D67" i="32" a="1"/>
  <c r="D67" i="32" s="1"/>
  <c r="C67" i="32" a="1"/>
  <c r="C67" i="32" s="1"/>
  <c r="W66" i="32"/>
  <c r="D66" i="32" a="1"/>
  <c r="D66" i="32" s="1"/>
  <c r="C66" i="32" a="1"/>
  <c r="C66" i="32" s="1"/>
  <c r="W12" i="32"/>
  <c r="D12" i="32" a="1"/>
  <c r="D12" i="32" s="1"/>
  <c r="C12" i="32" a="1"/>
  <c r="C12" i="32" s="1"/>
  <c r="W16" i="32"/>
  <c r="D16" i="32" a="1"/>
  <c r="D16" i="32" s="1"/>
  <c r="C16" i="32" a="1"/>
  <c r="C16" i="32" s="1"/>
  <c r="W65" i="32"/>
  <c r="D65" i="32" a="1"/>
  <c r="D65" i="32" s="1"/>
  <c r="C65" i="32" a="1"/>
  <c r="C65" i="32" s="1"/>
  <c r="W21" i="32"/>
  <c r="D21" i="32" a="1"/>
  <c r="D21" i="32" s="1"/>
  <c r="C21" i="32" a="1"/>
  <c r="C21" i="32" s="1"/>
  <c r="W64" i="32"/>
  <c r="V64" i="32"/>
  <c r="U64" i="32"/>
  <c r="T64" i="32"/>
  <c r="S64" i="32"/>
  <c r="R64" i="32"/>
  <c r="Q64" i="32"/>
  <c r="P64" i="32"/>
  <c r="N64" i="32"/>
  <c r="M64" i="32"/>
  <c r="L64" i="32"/>
  <c r="K64" i="32"/>
  <c r="J64" i="32"/>
  <c r="I64" i="32"/>
  <c r="H64" i="32"/>
  <c r="G64" i="32"/>
  <c r="D64" i="32" a="1"/>
  <c r="D64" i="32" s="1"/>
  <c r="C64" i="32" a="1"/>
  <c r="C64" i="32" s="1"/>
  <c r="W63" i="32"/>
  <c r="D63" i="32" a="1"/>
  <c r="D63" i="32" s="1"/>
  <c r="C63" i="32" a="1"/>
  <c r="C63" i="32" s="1"/>
  <c r="W62" i="32"/>
  <c r="D62" i="32" a="1"/>
  <c r="D62" i="32" s="1"/>
  <c r="C62" i="32" a="1"/>
  <c r="C62" i="32" s="1"/>
  <c r="W61" i="32"/>
  <c r="V61" i="32"/>
  <c r="U61" i="32"/>
  <c r="T61" i="32"/>
  <c r="S61" i="32"/>
  <c r="R61" i="32"/>
  <c r="Q61" i="32"/>
  <c r="P61" i="32"/>
  <c r="N61" i="32"/>
  <c r="M61" i="32"/>
  <c r="L61" i="32"/>
  <c r="K61" i="32"/>
  <c r="J61" i="32"/>
  <c r="I61" i="32"/>
  <c r="H61" i="32"/>
  <c r="G61" i="32"/>
  <c r="D61" i="32" a="1"/>
  <c r="D61" i="32" s="1"/>
  <c r="C61" i="32" a="1"/>
  <c r="C61" i="32" s="1"/>
  <c r="P129" i="6" l="1"/>
  <c r="G129" i="6" s="1"/>
  <c r="P123" i="6"/>
  <c r="G123" i="6" s="1"/>
  <c r="P88" i="6"/>
  <c r="G88" i="6" s="1"/>
  <c r="P83" i="6"/>
  <c r="G83" i="6" s="1"/>
  <c r="AG83" i="6" s="1"/>
  <c r="P76" i="6"/>
  <c r="G76" i="6" s="1"/>
  <c r="AG76" i="6" s="1"/>
  <c r="P70" i="6"/>
  <c r="G70" i="6" s="1"/>
  <c r="AG70" i="6" s="1"/>
  <c r="P71" i="6"/>
  <c r="G71" i="6" s="1"/>
  <c r="AG71" i="6" s="1"/>
  <c r="P22" i="6"/>
  <c r="W1" i="33"/>
  <c r="N33" i="34"/>
  <c r="I35" i="34"/>
  <c r="P33" i="34"/>
  <c r="O33" i="34" s="1"/>
  <c r="J35" i="34"/>
  <c r="S35" i="34"/>
  <c r="T35" i="34"/>
  <c r="U35" i="34"/>
  <c r="V35" i="34"/>
  <c r="P35" i="34"/>
  <c r="Q35" i="34"/>
  <c r="O26" i="34"/>
  <c r="F26" i="34" s="1"/>
  <c r="AH26" i="34" s="1"/>
  <c r="O32" i="34"/>
  <c r="F32" i="34" s="1"/>
  <c r="AH32" i="34" s="1"/>
  <c r="O47" i="33"/>
  <c r="F47" i="33" s="1"/>
  <c r="AH47" i="33" s="1"/>
  <c r="O50" i="33"/>
  <c r="F50" i="33" s="1"/>
  <c r="AH50" i="33" s="1"/>
  <c r="O53" i="33"/>
  <c r="F53" i="33" s="1"/>
  <c r="AH53" i="33" s="1"/>
  <c r="O56" i="33"/>
  <c r="F56" i="33" s="1"/>
  <c r="AH56" i="33" s="1"/>
  <c r="O112" i="32"/>
  <c r="F112" i="32" s="1"/>
  <c r="AH112" i="32" s="1"/>
  <c r="O84" i="32"/>
  <c r="F84" i="32" s="1"/>
  <c r="AH84" i="32" s="1"/>
  <c r="O108" i="32"/>
  <c r="F108" i="32" s="1"/>
  <c r="AH108" i="32" s="1"/>
  <c r="O120" i="32"/>
  <c r="F120" i="32" s="1"/>
  <c r="AH120" i="32" s="1"/>
  <c r="O111" i="32"/>
  <c r="F111" i="32" s="1"/>
  <c r="AH111" i="32" s="1"/>
  <c r="O131" i="32"/>
  <c r="F131" i="32" s="1"/>
  <c r="AH131" i="32" s="1"/>
  <c r="O146" i="32"/>
  <c r="F146" i="32" s="1"/>
  <c r="AH146" i="32" s="1"/>
  <c r="O168" i="32"/>
  <c r="F168" i="32" s="1"/>
  <c r="AH168" i="32" s="1"/>
  <c r="O128" i="32"/>
  <c r="F128" i="32" s="1"/>
  <c r="AH128" i="32" s="1"/>
  <c r="O134" i="32"/>
  <c r="F134" i="32" s="1"/>
  <c r="O136" i="32"/>
  <c r="F136" i="32" s="1"/>
  <c r="AH136" i="32" s="1"/>
  <c r="O154" i="32"/>
  <c r="F154" i="32" s="1"/>
  <c r="AH154" i="32" s="1"/>
  <c r="O162" i="32"/>
  <c r="F162" i="32" s="1"/>
  <c r="AH162" i="32" s="1"/>
  <c r="O86" i="32"/>
  <c r="F86" i="32" s="1"/>
  <c r="AH86" i="32" s="1"/>
  <c r="O97" i="32"/>
  <c r="F97" i="32" s="1"/>
  <c r="AH97" i="32" s="1"/>
  <c r="O109" i="32"/>
  <c r="F109" i="32" s="1"/>
  <c r="O129" i="32"/>
  <c r="F129" i="32" s="1"/>
  <c r="AH129" i="32" s="1"/>
  <c r="O159" i="32"/>
  <c r="F159" i="32" s="1"/>
  <c r="AH159" i="32" s="1"/>
  <c r="O93" i="32"/>
  <c r="F93" i="32" s="1"/>
  <c r="AH93" i="32" s="1"/>
  <c r="O105" i="32"/>
  <c r="F105" i="32" s="1"/>
  <c r="AH105" i="32" s="1"/>
  <c r="O140" i="32"/>
  <c r="F140" i="32" s="1"/>
  <c r="AH140" i="32" s="1"/>
  <c r="O144" i="32"/>
  <c r="F144" i="32" s="1"/>
  <c r="AH144" i="32" s="1"/>
  <c r="O69" i="32"/>
  <c r="F69" i="32" s="1"/>
  <c r="AH69" i="32" s="1"/>
  <c r="O118" i="32"/>
  <c r="F118" i="32" s="1"/>
  <c r="AH118" i="32" s="1"/>
  <c r="O130" i="32"/>
  <c r="F130" i="32" s="1"/>
  <c r="AH130" i="32" s="1"/>
  <c r="O152" i="32"/>
  <c r="F152" i="32" s="1"/>
  <c r="AH152" i="32" s="1"/>
  <c r="O113" i="32"/>
  <c r="F113" i="32" s="1"/>
  <c r="AH113" i="32" s="1"/>
  <c r="O137" i="32"/>
  <c r="F137" i="32" s="1"/>
  <c r="AH137" i="32" s="1"/>
  <c r="O153" i="32"/>
  <c r="F153" i="32" s="1"/>
  <c r="AH153" i="32" s="1"/>
  <c r="O161" i="32"/>
  <c r="F161" i="32" s="1"/>
  <c r="AH161" i="32" s="1"/>
  <c r="O81" i="32"/>
  <c r="F81" i="32" s="1"/>
  <c r="AH81" i="32" s="1"/>
  <c r="O158" i="32"/>
  <c r="F158" i="32" s="1"/>
  <c r="O165" i="32"/>
  <c r="F165" i="32" s="1"/>
  <c r="AH165" i="32" s="1"/>
  <c r="O24" i="34"/>
  <c r="F24" i="34" s="1"/>
  <c r="AH24" i="34" s="1"/>
  <c r="W1" i="34"/>
  <c r="O29" i="34"/>
  <c r="F29" i="34" s="1"/>
  <c r="AH29" i="34" s="1"/>
  <c r="O33" i="33"/>
  <c r="F33" i="33" s="1"/>
  <c r="AH33" i="33" s="1"/>
  <c r="O36" i="33"/>
  <c r="F36" i="33" s="1"/>
  <c r="AH36" i="33" s="1"/>
  <c r="O39" i="33"/>
  <c r="F39" i="33" s="1"/>
  <c r="AH39" i="33" s="1"/>
  <c r="O42" i="33"/>
  <c r="F42" i="33" s="1"/>
  <c r="AH42" i="33" s="1"/>
  <c r="O48" i="33"/>
  <c r="F48" i="33" s="1"/>
  <c r="AH48" i="33" s="1"/>
  <c r="O52" i="33"/>
  <c r="F52" i="33" s="1"/>
  <c r="AH52" i="33" s="1"/>
  <c r="O54" i="33"/>
  <c r="F54" i="33" s="1"/>
  <c r="AH54" i="33" s="1"/>
  <c r="O58" i="33"/>
  <c r="F58" i="33" s="1"/>
  <c r="AH58" i="33" s="1"/>
  <c r="O59" i="33"/>
  <c r="F59" i="33" s="1"/>
  <c r="AH59" i="33" s="1"/>
  <c r="O41" i="33"/>
  <c r="F41" i="33" s="1"/>
  <c r="AH41" i="33" s="1"/>
  <c r="O43" i="33"/>
  <c r="F43" i="33" s="1"/>
  <c r="AH43" i="33" s="1"/>
  <c r="O49" i="33"/>
  <c r="F49" i="33" s="1"/>
  <c r="AH49" i="33" s="1"/>
  <c r="O55" i="33"/>
  <c r="F55" i="33" s="1"/>
  <c r="AH55" i="33" s="1"/>
  <c r="O60" i="33"/>
  <c r="F60" i="33" s="1"/>
  <c r="AH60" i="33" s="1"/>
  <c r="O75" i="32"/>
  <c r="F75" i="32" s="1"/>
  <c r="AH75" i="32" s="1"/>
  <c r="O106" i="32"/>
  <c r="F106" i="32" s="1"/>
  <c r="O117" i="32"/>
  <c r="F117" i="32" s="1"/>
  <c r="AH117" i="32" s="1"/>
  <c r="O124" i="32"/>
  <c r="F124" i="32" s="1"/>
  <c r="AH124" i="32" s="1"/>
  <c r="O127" i="32"/>
  <c r="F127" i="32" s="1"/>
  <c r="AH127" i="32" s="1"/>
  <c r="O145" i="32"/>
  <c r="F145" i="32" s="1"/>
  <c r="AH145" i="32" s="1"/>
  <c r="O39" i="32"/>
  <c r="F39" i="32" s="1"/>
  <c r="AH39" i="32" s="1"/>
  <c r="O80" i="32"/>
  <c r="F80" i="32" s="1"/>
  <c r="AH80" i="32" s="1"/>
  <c r="O100" i="32"/>
  <c r="F100" i="32" s="1"/>
  <c r="AH100" i="32" s="1"/>
  <c r="O103" i="32"/>
  <c r="F103" i="32" s="1"/>
  <c r="AH103" i="32" s="1"/>
  <c r="O110" i="32"/>
  <c r="F110" i="32" s="1"/>
  <c r="AH110" i="32" s="1"/>
  <c r="O121" i="32"/>
  <c r="F121" i="32" s="1"/>
  <c r="AH121" i="32" s="1"/>
  <c r="O164" i="32"/>
  <c r="F164" i="32" s="1"/>
  <c r="AH164" i="32" s="1"/>
  <c r="O89" i="32"/>
  <c r="F89" i="32" s="1"/>
  <c r="O101" i="32"/>
  <c r="F101" i="32" s="1"/>
  <c r="AH101" i="32" s="1"/>
  <c r="O104" i="32"/>
  <c r="F104" i="32" s="1"/>
  <c r="AH104" i="32" s="1"/>
  <c r="O107" i="32"/>
  <c r="F107" i="32" s="1"/>
  <c r="AH107" i="32" s="1"/>
  <c r="O114" i="32"/>
  <c r="F114" i="32" s="1"/>
  <c r="AH114" i="32" s="1"/>
  <c r="O141" i="32"/>
  <c r="F141" i="32" s="1"/>
  <c r="AH141" i="32" s="1"/>
  <c r="O148" i="32"/>
  <c r="F148" i="32" s="1"/>
  <c r="AH148" i="32" s="1"/>
  <c r="O85" i="32"/>
  <c r="F85" i="32" s="1"/>
  <c r="AH85" i="32" s="1"/>
  <c r="O87" i="32"/>
  <c r="F87" i="32" s="1"/>
  <c r="AH87" i="32" s="1"/>
  <c r="O115" i="32"/>
  <c r="F115" i="32" s="1"/>
  <c r="AH115" i="32" s="1"/>
  <c r="O122" i="32"/>
  <c r="F122" i="32" s="1"/>
  <c r="AH122" i="32" s="1"/>
  <c r="O138" i="32"/>
  <c r="F138" i="32" s="1"/>
  <c r="AH138" i="32" s="1"/>
  <c r="O142" i="32"/>
  <c r="F142" i="32" s="1"/>
  <c r="AH142" i="32" s="1"/>
  <c r="O143" i="32"/>
  <c r="F143" i="32" s="1"/>
  <c r="AH143" i="32" s="1"/>
  <c r="O160" i="32"/>
  <c r="F160" i="32" s="1"/>
  <c r="AH160" i="32" s="1"/>
  <c r="O167" i="32"/>
  <c r="F167" i="32" s="1"/>
  <c r="AH167" i="32" s="1"/>
  <c r="O61" i="32"/>
  <c r="F61" i="32" s="1"/>
  <c r="E61" i="32" s="1"/>
  <c r="O64" i="32"/>
  <c r="F64" i="32" s="1"/>
  <c r="AH64" i="32" s="1"/>
  <c r="O116" i="32"/>
  <c r="F116" i="32" s="1"/>
  <c r="AH116" i="32" s="1"/>
  <c r="O149" i="32"/>
  <c r="F149" i="32" s="1"/>
  <c r="AH149" i="32" s="1"/>
  <c r="O150" i="32"/>
  <c r="F150" i="32" s="1"/>
  <c r="AH150" i="32" s="1"/>
  <c r="O95" i="32"/>
  <c r="F95" i="32" s="1"/>
  <c r="AH95" i="32" s="1"/>
  <c r="O126" i="32"/>
  <c r="F126" i="32" s="1"/>
  <c r="AH126" i="32" s="1"/>
  <c r="O157" i="32"/>
  <c r="F157" i="32" s="1"/>
  <c r="AH157" i="32" s="1"/>
  <c r="O166" i="32"/>
  <c r="F166" i="32" s="1"/>
  <c r="AH166" i="32" s="1"/>
  <c r="O99" i="32"/>
  <c r="F99" i="32" s="1"/>
  <c r="AH99" i="32" s="1"/>
  <c r="O135" i="32"/>
  <c r="F135" i="32" s="1"/>
  <c r="AH135" i="32" s="1"/>
  <c r="O147" i="32"/>
  <c r="F147" i="32" s="1"/>
  <c r="AH147" i="32" s="1"/>
  <c r="O163" i="32"/>
  <c r="F163" i="32" s="1"/>
  <c r="AH163" i="32" s="1"/>
  <c r="O17" i="34"/>
  <c r="F17" i="34" s="1"/>
  <c r="AH17" i="34" s="1"/>
  <c r="O25" i="34"/>
  <c r="F25" i="34" s="1"/>
  <c r="AH25" i="34" s="1"/>
  <c r="O30" i="34"/>
  <c r="F30" i="34" s="1"/>
  <c r="AH30" i="34" s="1"/>
  <c r="O35" i="33"/>
  <c r="F35" i="33" s="1"/>
  <c r="AH35" i="33" s="1"/>
  <c r="O38" i="33"/>
  <c r="F38" i="33" s="1"/>
  <c r="AH38" i="33" s="1"/>
  <c r="O40" i="33"/>
  <c r="F40" i="33" s="1"/>
  <c r="AH40" i="33" s="1"/>
  <c r="O46" i="33"/>
  <c r="F46" i="33" s="1"/>
  <c r="AH46" i="33" s="1"/>
  <c r="D1" i="33"/>
  <c r="O34" i="33"/>
  <c r="F34" i="33" s="1"/>
  <c r="AH34" i="33" s="1"/>
  <c r="O37" i="33"/>
  <c r="F37" i="33" s="1"/>
  <c r="AH37" i="33" s="1"/>
  <c r="O44" i="33"/>
  <c r="F44" i="33" s="1"/>
  <c r="AH44" i="33" s="1"/>
  <c r="O51" i="33"/>
  <c r="F51" i="33" s="1"/>
  <c r="AH51" i="33" s="1"/>
  <c r="O57" i="33"/>
  <c r="F57" i="33" s="1"/>
  <c r="AH57" i="33" s="1"/>
  <c r="W1" i="32"/>
  <c r="O170" i="32"/>
  <c r="F170" i="32" s="1"/>
  <c r="AH170" i="32" s="1"/>
  <c r="O171" i="32"/>
  <c r="F171" i="32" s="1"/>
  <c r="AH171" i="32" s="1"/>
  <c r="O123" i="32"/>
  <c r="F123" i="32" s="1"/>
  <c r="AH123" i="32" s="1"/>
  <c r="O132" i="32"/>
  <c r="F132" i="32" s="1"/>
  <c r="AH132" i="32" s="1"/>
  <c r="O119" i="32"/>
  <c r="F119" i="32" s="1"/>
  <c r="AH119" i="32" s="1"/>
  <c r="O133" i="32"/>
  <c r="F133" i="32" s="1"/>
  <c r="AH133" i="32" s="1"/>
  <c r="O125" i="32"/>
  <c r="F125" i="32" s="1"/>
  <c r="AH125" i="32" s="1"/>
  <c r="F129" i="6" l="1"/>
  <c r="AG129" i="6"/>
  <c r="F123" i="6"/>
  <c r="AG123" i="6"/>
  <c r="F88" i="6"/>
  <c r="AG88" i="6"/>
  <c r="F83" i="6"/>
  <c r="F76" i="6"/>
  <c r="F71" i="6"/>
  <c r="F70" i="6"/>
  <c r="E1" i="14"/>
  <c r="E168" i="32"/>
  <c r="E130" i="32"/>
  <c r="E110" i="32"/>
  <c r="E127" i="32"/>
  <c r="E113" i="32"/>
  <c r="E105" i="32"/>
  <c r="E162" i="32"/>
  <c r="E93" i="32"/>
  <c r="E80" i="32"/>
  <c r="E97" i="32"/>
  <c r="E33" i="33"/>
  <c r="E47" i="33"/>
  <c r="O35" i="34"/>
  <c r="F35" i="34" s="1"/>
  <c r="AH35" i="34" s="1"/>
  <c r="E56" i="33"/>
  <c r="E99" i="32"/>
  <c r="E117" i="32"/>
  <c r="E142" i="32"/>
  <c r="E126" i="32"/>
  <c r="E59" i="33"/>
  <c r="F33" i="34"/>
  <c r="AH33" i="34" s="1"/>
  <c r="E143" i="32"/>
  <c r="E111" i="32"/>
  <c r="E161" i="32"/>
  <c r="E116" i="32"/>
  <c r="E153" i="32"/>
  <c r="E141" i="32"/>
  <c r="E32" i="34"/>
  <c r="E39" i="33"/>
  <c r="E52" i="33"/>
  <c r="E40" i="33"/>
  <c r="E154" i="32"/>
  <c r="E124" i="32"/>
  <c r="E64" i="32"/>
  <c r="E138" i="32"/>
  <c r="E39" i="32"/>
  <c r="E103" i="32"/>
  <c r="E152" i="32"/>
  <c r="E104" i="32"/>
  <c r="E95" i="32"/>
  <c r="E101" i="32"/>
  <c r="AH134" i="32"/>
  <c r="E134" i="32"/>
  <c r="AH109" i="32"/>
  <c r="E109" i="32"/>
  <c r="E81" i="32"/>
  <c r="E167" i="32"/>
  <c r="E86" i="32"/>
  <c r="E112" i="32"/>
  <c r="E129" i="32"/>
  <c r="E150" i="32"/>
  <c r="E170" i="32"/>
  <c r="E69" i="32"/>
  <c r="E131" i="32"/>
  <c r="E24" i="34"/>
  <c r="E29" i="34"/>
  <c r="E26" i="34"/>
  <c r="E48" i="33"/>
  <c r="E36" i="33"/>
  <c r="E54" i="33"/>
  <c r="E38" i="33"/>
  <c r="E46" i="33"/>
  <c r="E58" i="33"/>
  <c r="E50" i="33"/>
  <c r="E42" i="33"/>
  <c r="E53" i="33"/>
  <c r="AH89" i="32"/>
  <c r="E89" i="32"/>
  <c r="AH106" i="32"/>
  <c r="E106" i="32"/>
  <c r="AH158" i="32"/>
  <c r="E158" i="32"/>
  <c r="E163" i="32"/>
  <c r="E166" i="32"/>
  <c r="E146" i="32"/>
  <c r="E164" i="32"/>
  <c r="E107" i="32"/>
  <c r="E136" i="32"/>
  <c r="E114" i="32"/>
  <c r="E87" i="32"/>
  <c r="E100" i="32"/>
  <c r="E171" i="32"/>
  <c r="E137" i="32"/>
  <c r="E43" i="33"/>
  <c r="E55" i="33"/>
  <c r="E41" i="33"/>
  <c r="E51" i="33"/>
  <c r="E60" i="33"/>
  <c r="E49" i="33"/>
  <c r="E148" i="32"/>
  <c r="E147" i="32"/>
  <c r="E85" i="32"/>
  <c r="E145" i="32"/>
  <c r="E157" i="32"/>
  <c r="E133" i="32"/>
  <c r="E115" i="32"/>
  <c r="E123" i="32"/>
  <c r="E135" i="32"/>
  <c r="E118" i="32"/>
  <c r="E25" i="34"/>
  <c r="E17" i="34"/>
  <c r="E30" i="34"/>
  <c r="E35" i="33"/>
  <c r="E44" i="33"/>
  <c r="E57" i="33"/>
  <c r="E37" i="33"/>
  <c r="E34" i="33"/>
  <c r="E132" i="32"/>
  <c r="E144" i="32"/>
  <c r="E159" i="32"/>
  <c r="E140" i="32"/>
  <c r="E84" i="32"/>
  <c r="E122" i="32"/>
  <c r="E128" i="32"/>
  <c r="E149" i="32"/>
  <c r="E108" i="32"/>
  <c r="E125" i="32"/>
  <c r="E75" i="32"/>
  <c r="E121" i="32"/>
  <c r="E120" i="32"/>
  <c r="E165" i="32"/>
  <c r="E160" i="32"/>
  <c r="E119" i="32"/>
  <c r="AH61" i="32"/>
  <c r="E35" i="34" l="1"/>
  <c r="E33" i="34"/>
  <c r="R317" i="11" l="1"/>
  <c r="R316" i="11"/>
  <c r="R315" i="11"/>
  <c r="R314" i="11"/>
  <c r="R313" i="11"/>
  <c r="R312" i="11"/>
  <c r="R311" i="11"/>
  <c r="R310" i="11"/>
  <c r="R309" i="11"/>
  <c r="R308" i="11"/>
  <c r="R307" i="11"/>
  <c r="R306" i="11"/>
  <c r="R305" i="11"/>
  <c r="R304" i="11"/>
  <c r="R303" i="11"/>
  <c r="R302" i="11"/>
  <c r="R301" i="11"/>
  <c r="R300" i="11"/>
  <c r="R299" i="11"/>
  <c r="R298" i="11"/>
  <c r="R297" i="11"/>
  <c r="R296" i="11"/>
  <c r="R295" i="11"/>
  <c r="R294" i="11"/>
  <c r="R293" i="11"/>
  <c r="R292" i="11"/>
  <c r="R291" i="11"/>
  <c r="R290" i="11"/>
  <c r="R289" i="11"/>
  <c r="R288" i="11"/>
  <c r="R287" i="11"/>
  <c r="R286" i="11"/>
  <c r="R285" i="11"/>
  <c r="R284" i="11"/>
  <c r="R283" i="11"/>
  <c r="R282" i="11"/>
  <c r="R281" i="11"/>
  <c r="R280" i="11"/>
  <c r="R279" i="11"/>
  <c r="R278" i="11"/>
  <c r="R277" i="11"/>
  <c r="R276" i="11"/>
  <c r="R275" i="11"/>
  <c r="R274" i="11"/>
  <c r="R273" i="11"/>
  <c r="R272" i="11"/>
  <c r="R271" i="11"/>
  <c r="R270" i="11"/>
  <c r="R269" i="11"/>
  <c r="R268" i="11"/>
  <c r="R267" i="11"/>
  <c r="R266" i="11"/>
  <c r="R265" i="11"/>
  <c r="R264" i="11"/>
  <c r="R263" i="11"/>
  <c r="R262" i="11"/>
  <c r="R261" i="11"/>
  <c r="R260" i="11"/>
  <c r="R259" i="11"/>
  <c r="R258" i="11"/>
  <c r="R257" i="11"/>
  <c r="R256" i="11"/>
  <c r="R255" i="11"/>
  <c r="R254" i="11"/>
  <c r="R253" i="11"/>
  <c r="R252" i="11"/>
  <c r="R251" i="11"/>
  <c r="R250" i="11"/>
  <c r="R249" i="11"/>
  <c r="R248" i="11"/>
  <c r="R247" i="11"/>
  <c r="R246" i="11"/>
  <c r="R245" i="11"/>
  <c r="R244" i="11"/>
  <c r="R243" i="11"/>
  <c r="R242" i="11"/>
  <c r="R241" i="11"/>
  <c r="R240" i="11"/>
  <c r="R239" i="11"/>
  <c r="R238" i="11"/>
  <c r="R237" i="11"/>
  <c r="R236" i="11"/>
  <c r="R235" i="11"/>
  <c r="R234" i="11"/>
  <c r="R233" i="11"/>
  <c r="R232" i="11"/>
  <c r="R231" i="11"/>
  <c r="R230" i="11"/>
  <c r="R229" i="11"/>
  <c r="R228" i="11"/>
  <c r="R227" i="11"/>
  <c r="R226" i="11"/>
  <c r="R225" i="11"/>
  <c r="R224" i="11"/>
  <c r="R223" i="11"/>
  <c r="R222" i="11"/>
  <c r="R221" i="11"/>
  <c r="R220" i="11"/>
  <c r="R219" i="11"/>
  <c r="R218" i="11"/>
  <c r="R217" i="11"/>
  <c r="R216" i="11"/>
  <c r="R215" i="11"/>
  <c r="R214" i="11"/>
  <c r="R213" i="11"/>
  <c r="R212" i="11"/>
  <c r="R211" i="11"/>
  <c r="R210" i="11"/>
  <c r="R209" i="11"/>
  <c r="R208" i="11"/>
  <c r="R207" i="11"/>
  <c r="R206" i="11"/>
  <c r="R205" i="11"/>
  <c r="R204" i="11"/>
  <c r="R203" i="11"/>
  <c r="R202" i="11"/>
  <c r="R201" i="11"/>
  <c r="R200" i="11"/>
  <c r="R199" i="11"/>
  <c r="R198" i="11"/>
  <c r="R197" i="11"/>
  <c r="R196" i="11"/>
  <c r="R195" i="11"/>
  <c r="R194" i="11"/>
  <c r="R193" i="11"/>
  <c r="R192" i="11"/>
  <c r="R191" i="11"/>
  <c r="R190" i="11"/>
  <c r="R189" i="11"/>
  <c r="R188" i="11"/>
  <c r="R187" i="11"/>
  <c r="R186" i="11"/>
  <c r="R185" i="11"/>
  <c r="R184" i="11"/>
  <c r="R183" i="11"/>
  <c r="R182" i="11"/>
  <c r="R181" i="11"/>
  <c r="R180" i="11"/>
  <c r="R179" i="11"/>
  <c r="R178" i="11"/>
  <c r="R177" i="11"/>
  <c r="R176" i="11"/>
  <c r="R175" i="11"/>
  <c r="R174" i="11"/>
  <c r="R173" i="11"/>
  <c r="R172" i="11"/>
  <c r="R171" i="11"/>
  <c r="R170" i="11"/>
  <c r="R169" i="11"/>
  <c r="R168" i="11"/>
  <c r="R167" i="11"/>
  <c r="R166" i="11"/>
  <c r="R165" i="11"/>
  <c r="R164" i="11"/>
  <c r="R163" i="11"/>
  <c r="R162" i="11"/>
  <c r="R161" i="11"/>
  <c r="R160" i="11"/>
  <c r="R159" i="11"/>
  <c r="R158" i="11"/>
  <c r="R156" i="11"/>
  <c r="R154" i="11"/>
  <c r="R152" i="11"/>
  <c r="R153" i="11"/>
  <c r="R148" i="11"/>
  <c r="R149" i="11"/>
  <c r="R147" i="11"/>
  <c r="R151" i="11"/>
  <c r="R155" i="11"/>
  <c r="R150" i="11"/>
  <c r="R157" i="11"/>
  <c r="R146" i="11"/>
  <c r="R145" i="11"/>
  <c r="R144" i="11"/>
  <c r="R143" i="11"/>
  <c r="R142" i="11"/>
  <c r="R141" i="11"/>
  <c r="R140" i="11"/>
  <c r="R139" i="11"/>
  <c r="R138" i="11"/>
  <c r="R137" i="11"/>
  <c r="R136" i="11"/>
  <c r="R135" i="11"/>
  <c r="R134" i="11"/>
  <c r="R133" i="11"/>
  <c r="R132" i="11"/>
  <c r="R131" i="11"/>
  <c r="R130" i="11"/>
  <c r="R129" i="11"/>
  <c r="R128" i="11"/>
  <c r="R127" i="11"/>
  <c r="R126" i="11"/>
  <c r="R125" i="11"/>
  <c r="R124" i="11"/>
  <c r="R123" i="11"/>
  <c r="R122" i="11"/>
  <c r="R121" i="11"/>
  <c r="R120" i="11"/>
  <c r="R119" i="11"/>
  <c r="R118" i="11"/>
  <c r="R117" i="11"/>
  <c r="R116" i="11"/>
  <c r="R115" i="11"/>
  <c r="R114" i="11"/>
  <c r="R113" i="11"/>
  <c r="R112" i="11"/>
  <c r="R111" i="11"/>
  <c r="R110" i="11"/>
  <c r="R109" i="11"/>
  <c r="R108" i="11"/>
  <c r="R107" i="11"/>
  <c r="R106" i="11"/>
  <c r="R105" i="11"/>
  <c r="R104" i="11"/>
  <c r="R103" i="11"/>
  <c r="R102" i="11"/>
  <c r="R101" i="11"/>
  <c r="R100" i="11"/>
  <c r="R99" i="11"/>
  <c r="R98" i="11"/>
  <c r="R97" i="11"/>
  <c r="R96" i="11"/>
  <c r="R95" i="11"/>
  <c r="R94" i="11"/>
  <c r="R93" i="11"/>
  <c r="R92" i="11"/>
  <c r="R91" i="11"/>
  <c r="R90" i="11"/>
  <c r="R89" i="11"/>
  <c r="R88" i="11"/>
  <c r="R87" i="11"/>
  <c r="R86" i="11"/>
  <c r="R85" i="11"/>
  <c r="R84" i="11"/>
  <c r="R83" i="11"/>
  <c r="R82" i="11"/>
  <c r="R81" i="11"/>
  <c r="R80" i="11"/>
  <c r="R79" i="11"/>
  <c r="R78" i="11"/>
  <c r="R77" i="11"/>
  <c r="R76" i="11"/>
  <c r="R75" i="11"/>
  <c r="R74" i="11"/>
  <c r="R73" i="11"/>
  <c r="R72" i="11"/>
  <c r="R71" i="11"/>
  <c r="R70" i="11"/>
  <c r="R69" i="11"/>
  <c r="R68" i="11"/>
  <c r="R67" i="11"/>
  <c r="R66" i="11"/>
  <c r="R65" i="11"/>
  <c r="R64" i="11"/>
  <c r="R63" i="11"/>
  <c r="R62" i="11"/>
  <c r="R61" i="11"/>
  <c r="R60" i="11"/>
  <c r="R59" i="11"/>
  <c r="R58" i="11"/>
  <c r="R57" i="11"/>
  <c r="R56" i="11"/>
  <c r="R55" i="11"/>
  <c r="R54" i="11"/>
  <c r="R53" i="11"/>
  <c r="R52" i="11"/>
  <c r="R51" i="11"/>
  <c r="R50" i="11"/>
  <c r="R49" i="11"/>
  <c r="R48" i="11"/>
  <c r="R47" i="11"/>
  <c r="R46" i="11"/>
  <c r="R45" i="11"/>
  <c r="R44" i="11"/>
  <c r="R43" i="11"/>
  <c r="R42" i="11"/>
  <c r="R41" i="11"/>
  <c r="R40" i="11"/>
  <c r="R39" i="11"/>
  <c r="R38" i="11"/>
  <c r="R37" i="11"/>
  <c r="R36" i="11"/>
  <c r="R35" i="11"/>
  <c r="R34" i="11"/>
  <c r="R33" i="11"/>
  <c r="R32" i="11"/>
  <c r="R31" i="11"/>
  <c r="R30" i="11"/>
  <c r="R29" i="11"/>
  <c r="R28" i="11"/>
  <c r="R27" i="11"/>
  <c r="R26" i="11"/>
  <c r="R25" i="11"/>
  <c r="R24" i="11"/>
  <c r="R23" i="11"/>
  <c r="R22" i="11"/>
  <c r="R21" i="11"/>
  <c r="R20" i="11"/>
  <c r="R19" i="11"/>
  <c r="R18" i="11"/>
  <c r="R17" i="11"/>
  <c r="R16" i="11"/>
  <c r="R15" i="11"/>
  <c r="R14" i="11"/>
  <c r="R13" i="11"/>
  <c r="R12" i="11"/>
  <c r="R11" i="11"/>
  <c r="R10" i="11"/>
  <c r="R9" i="11"/>
  <c r="R8" i="11"/>
  <c r="R7" i="11"/>
  <c r="R6" i="11"/>
  <c r="R5" i="11"/>
  <c r="R4" i="11"/>
  <c r="R3" i="11"/>
  <c r="Q40" i="24" l="1"/>
  <c r="Q41" i="24"/>
  <c r="Q38" i="24"/>
  <c r="Q39" i="24"/>
  <c r="J46" i="23" l="1"/>
  <c r="I46" i="23"/>
  <c r="W46" i="23"/>
  <c r="T46" i="23"/>
  <c r="N46" i="23"/>
  <c r="U46" i="23"/>
  <c r="O46" i="23"/>
  <c r="L46" i="23"/>
  <c r="K46" i="23"/>
  <c r="M46" i="23"/>
  <c r="H46" i="23"/>
  <c r="V46" i="23"/>
  <c r="Q46" i="23"/>
  <c r="R46" i="23"/>
  <c r="S46" i="23"/>
  <c r="T45" i="23"/>
  <c r="K45" i="23"/>
  <c r="S45" i="23"/>
  <c r="R45" i="23"/>
  <c r="I45" i="23"/>
  <c r="Q45" i="23"/>
  <c r="O45" i="23"/>
  <c r="M45" i="23"/>
  <c r="J45" i="23"/>
  <c r="W45" i="23"/>
  <c r="N45" i="23"/>
  <c r="H45" i="23"/>
  <c r="V45" i="23"/>
  <c r="U45" i="23"/>
  <c r="L45" i="23"/>
  <c r="R53" i="14"/>
  <c r="I53" i="14"/>
  <c r="Q53" i="14"/>
  <c r="H53" i="14"/>
  <c r="O53" i="14"/>
  <c r="W53" i="14"/>
  <c r="N53" i="14"/>
  <c r="V53" i="14"/>
  <c r="M53" i="14"/>
  <c r="U53" i="14"/>
  <c r="L53" i="14"/>
  <c r="T53" i="14"/>
  <c r="K53" i="14"/>
  <c r="S53" i="14"/>
  <c r="J53" i="14"/>
  <c r="Q200" i="1"/>
  <c r="S200" i="1"/>
  <c r="N82" i="6" l="1"/>
  <c r="J82" i="6"/>
  <c r="L82" i="6"/>
  <c r="V82" i="6"/>
  <c r="M82" i="6"/>
  <c r="T82" i="6"/>
  <c r="R82" i="6"/>
  <c r="U82" i="6"/>
  <c r="I82" i="6"/>
  <c r="K82" i="6"/>
  <c r="Q82" i="6"/>
  <c r="H82" i="6"/>
  <c r="O82" i="6"/>
  <c r="W82" i="6"/>
  <c r="S82" i="6"/>
  <c r="P46" i="23"/>
  <c r="G46" i="23" s="1"/>
  <c r="F46" i="23" s="1"/>
  <c r="P45" i="23"/>
  <c r="G45" i="23" s="1"/>
  <c r="Q36" i="23"/>
  <c r="H36" i="23"/>
  <c r="O36" i="23"/>
  <c r="T36" i="23"/>
  <c r="W36" i="23"/>
  <c r="N36" i="23"/>
  <c r="R36" i="23"/>
  <c r="V36" i="23"/>
  <c r="M36" i="23"/>
  <c r="U36" i="23"/>
  <c r="L36" i="23"/>
  <c r="K36" i="23"/>
  <c r="I36" i="23"/>
  <c r="S36" i="23"/>
  <c r="J36" i="23"/>
  <c r="P53" i="14"/>
  <c r="G53" i="14" s="1"/>
  <c r="Q44" i="23"/>
  <c r="G20" i="26"/>
  <c r="F20" i="26"/>
  <c r="E19" i="26"/>
  <c r="E18" i="26"/>
  <c r="E17" i="26"/>
  <c r="E16" i="26"/>
  <c r="E15" i="26"/>
  <c r="E14" i="26"/>
  <c r="E13" i="26"/>
  <c r="P82" i="6" l="1"/>
  <c r="G82" i="6" s="1"/>
  <c r="AG46" i="23"/>
  <c r="U44" i="23"/>
  <c r="R44" i="23"/>
  <c r="M44" i="23"/>
  <c r="S44" i="23"/>
  <c r="N44" i="23"/>
  <c r="K44" i="23"/>
  <c r="W44" i="23"/>
  <c r="V44" i="23"/>
  <c r="T44" i="23"/>
  <c r="O44" i="23"/>
  <c r="J44" i="23"/>
  <c r="I44" i="23"/>
  <c r="H44" i="23"/>
  <c r="L44" i="23"/>
  <c r="AG45" i="23"/>
  <c r="F45" i="23"/>
  <c r="P36" i="23"/>
  <c r="G36" i="23" s="1"/>
  <c r="AG36" i="23" s="1"/>
  <c r="AG53" i="14"/>
  <c r="F53" i="14"/>
  <c r="E20" i="26"/>
  <c r="F82" i="6" l="1"/>
  <c r="AG82" i="6"/>
  <c r="P44" i="23"/>
  <c r="G44" i="23" s="1"/>
  <c r="F44" i="23" s="1"/>
  <c r="F36" i="23"/>
  <c r="Q310" i="11"/>
  <c r="Q309" i="11"/>
  <c r="S192" i="1"/>
  <c r="S193" i="1"/>
  <c r="S194" i="1"/>
  <c r="S195" i="1"/>
  <c r="S196" i="1"/>
  <c r="S197" i="1"/>
  <c r="S198" i="1"/>
  <c r="S199" i="1"/>
  <c r="Q199" i="1"/>
  <c r="Q198" i="1"/>
  <c r="Q197" i="1"/>
  <c r="Q196" i="1"/>
  <c r="Q195" i="1"/>
  <c r="Q194" i="1"/>
  <c r="Q193" i="1"/>
  <c r="Q192" i="1"/>
  <c r="Q770" i="8"/>
  <c r="Q769" i="8"/>
  <c r="Q768" i="8"/>
  <c r="Q767" i="8"/>
  <c r="Q766" i="8"/>
  <c r="Q765" i="8"/>
  <c r="Q764" i="8"/>
  <c r="Q763" i="8"/>
  <c r="Q762" i="8"/>
  <c r="Q761" i="8"/>
  <c r="Q760" i="8"/>
  <c r="Q759" i="8"/>
  <c r="Q758" i="8"/>
  <c r="Q757" i="8"/>
  <c r="Q756" i="8"/>
  <c r="Q755" i="8"/>
  <c r="Q754" i="8"/>
  <c r="Q753" i="8"/>
  <c r="Q752" i="8"/>
  <c r="Q751" i="8"/>
  <c r="Q750" i="8"/>
  <c r="Q749" i="8"/>
  <c r="Q748" i="8"/>
  <c r="Q747" i="8"/>
  <c r="Q746" i="8"/>
  <c r="AG44" i="23" l="1"/>
  <c r="R34" i="23"/>
  <c r="S34" i="23"/>
  <c r="Q34" i="23"/>
  <c r="T34" i="23"/>
  <c r="U34" i="23"/>
  <c r="W34" i="23"/>
  <c r="V34" i="23"/>
  <c r="L34" i="23"/>
  <c r="O34" i="23"/>
  <c r="N34" i="23"/>
  <c r="K34" i="23"/>
  <c r="J34" i="23"/>
  <c r="H34" i="23"/>
  <c r="M34" i="23"/>
  <c r="I34" i="23"/>
  <c r="O41" i="23"/>
  <c r="S41" i="23"/>
  <c r="Q41" i="23"/>
  <c r="W41" i="23"/>
  <c r="N41" i="23"/>
  <c r="T41" i="23"/>
  <c r="V41" i="23"/>
  <c r="M41" i="23"/>
  <c r="K41" i="23"/>
  <c r="R41" i="23"/>
  <c r="U41" i="23"/>
  <c r="L41" i="23"/>
  <c r="J41" i="23"/>
  <c r="I41" i="23"/>
  <c r="H41" i="23"/>
  <c r="L32" i="23"/>
  <c r="S32" i="23"/>
  <c r="K32" i="23"/>
  <c r="R32" i="23"/>
  <c r="H32" i="23"/>
  <c r="V32" i="23"/>
  <c r="T32" i="23"/>
  <c r="J32" i="23"/>
  <c r="Q32" i="23"/>
  <c r="W32" i="23"/>
  <c r="M32" i="23"/>
  <c r="N32" i="23"/>
  <c r="I32" i="23"/>
  <c r="O32" i="23"/>
  <c r="U32" i="23"/>
  <c r="R29" i="23"/>
  <c r="I29" i="23"/>
  <c r="Q29" i="23"/>
  <c r="H29" i="23"/>
  <c r="W29" i="23"/>
  <c r="O29" i="23"/>
  <c r="N29" i="23"/>
  <c r="V29" i="23"/>
  <c r="M29" i="23"/>
  <c r="U29" i="23"/>
  <c r="L29" i="23"/>
  <c r="S29" i="23"/>
  <c r="J29" i="23"/>
  <c r="T29" i="23"/>
  <c r="K29" i="23"/>
  <c r="T28" i="23"/>
  <c r="K28" i="23"/>
  <c r="S28" i="23"/>
  <c r="J28" i="23"/>
  <c r="R28" i="23"/>
  <c r="I28" i="23"/>
  <c r="Q28" i="23"/>
  <c r="H28" i="23"/>
  <c r="O28" i="23"/>
  <c r="L28" i="23"/>
  <c r="W28" i="23"/>
  <c r="N28" i="23"/>
  <c r="U28" i="23"/>
  <c r="V28" i="23"/>
  <c r="M28" i="23"/>
  <c r="L37" i="34"/>
  <c r="S37" i="34"/>
  <c r="V37" i="34"/>
  <c r="G37" i="34"/>
  <c r="I37" i="34"/>
  <c r="Q37" i="34"/>
  <c r="U37" i="34"/>
  <c r="K37" i="34"/>
  <c r="R37" i="34"/>
  <c r="H37" i="34"/>
  <c r="P37" i="34"/>
  <c r="N37" i="34"/>
  <c r="M37" i="34"/>
  <c r="T37" i="34"/>
  <c r="J37" i="34"/>
  <c r="S173" i="1"/>
  <c r="S174" i="1"/>
  <c r="S175" i="1"/>
  <c r="S176" i="1"/>
  <c r="S177" i="1"/>
  <c r="S178" i="1"/>
  <c r="S179" i="1"/>
  <c r="S180" i="1"/>
  <c r="S181" i="1"/>
  <c r="S182" i="1"/>
  <c r="S183" i="1"/>
  <c r="S184" i="1"/>
  <c r="S185" i="1"/>
  <c r="S186" i="1"/>
  <c r="S187" i="1"/>
  <c r="S188" i="1"/>
  <c r="S189" i="1"/>
  <c r="S190" i="1"/>
  <c r="Q184" i="1"/>
  <c r="Q185" i="1"/>
  <c r="Q186" i="1"/>
  <c r="Q187" i="1"/>
  <c r="Q188" i="1"/>
  <c r="Q189" i="1"/>
  <c r="U78" i="6"/>
  <c r="Q190" i="1"/>
  <c r="Q191" i="1"/>
  <c r="Q705" i="8"/>
  <c r="Q706" i="8"/>
  <c r="Q707" i="8"/>
  <c r="Q708" i="8"/>
  <c r="Q709" i="8"/>
  <c r="Q710" i="8"/>
  <c r="Q711" i="8"/>
  <c r="Q712" i="8"/>
  <c r="Q713" i="8"/>
  <c r="Q714" i="8"/>
  <c r="Q715" i="8"/>
  <c r="Q716" i="8"/>
  <c r="Q717" i="8"/>
  <c r="Q718" i="8"/>
  <c r="Q719" i="8"/>
  <c r="Q720" i="8"/>
  <c r="Q721" i="8"/>
  <c r="Q722" i="8"/>
  <c r="Q723" i="8"/>
  <c r="Q724" i="8"/>
  <c r="Q725" i="8"/>
  <c r="Q726" i="8"/>
  <c r="Q727" i="8"/>
  <c r="Q728" i="8"/>
  <c r="Q729" i="8"/>
  <c r="Q730" i="8"/>
  <c r="Q731" i="8"/>
  <c r="Q732" i="8"/>
  <c r="Q733" i="8"/>
  <c r="Q734" i="8"/>
  <c r="Q735" i="8"/>
  <c r="Q736" i="8"/>
  <c r="Q737" i="8"/>
  <c r="Q738" i="8"/>
  <c r="Q739" i="8"/>
  <c r="Q740" i="8"/>
  <c r="Q741" i="8"/>
  <c r="Q742" i="8"/>
  <c r="Q743" i="8"/>
  <c r="Q744" i="8"/>
  <c r="Q745" i="8"/>
  <c r="R126" i="6" l="1"/>
  <c r="I126" i="6"/>
  <c r="Q126" i="6"/>
  <c r="H126" i="6"/>
  <c r="U126" i="6"/>
  <c r="O126" i="6"/>
  <c r="M126" i="6"/>
  <c r="W126" i="6"/>
  <c r="N126" i="6"/>
  <c r="L126" i="6"/>
  <c r="V126" i="6"/>
  <c r="T126" i="6"/>
  <c r="S126" i="6"/>
  <c r="J126" i="6"/>
  <c r="K126" i="6"/>
  <c r="S119" i="6"/>
  <c r="J119" i="6"/>
  <c r="R119" i="6"/>
  <c r="I119" i="6"/>
  <c r="Q119" i="6"/>
  <c r="H119" i="6"/>
  <c r="O119" i="6"/>
  <c r="W119" i="6"/>
  <c r="N119" i="6"/>
  <c r="V119" i="6"/>
  <c r="M119" i="6"/>
  <c r="U119" i="6"/>
  <c r="T119" i="6"/>
  <c r="K119" i="6"/>
  <c r="L119" i="6"/>
  <c r="V118" i="6"/>
  <c r="M118" i="6"/>
  <c r="U118" i="6"/>
  <c r="L118" i="6"/>
  <c r="I118" i="6"/>
  <c r="Q118" i="6"/>
  <c r="T118" i="6"/>
  <c r="K118" i="6"/>
  <c r="S118" i="6"/>
  <c r="J118" i="6"/>
  <c r="R118" i="6"/>
  <c r="H118" i="6"/>
  <c r="O118" i="6"/>
  <c r="W118" i="6"/>
  <c r="N118" i="6"/>
  <c r="O114" i="6"/>
  <c r="L114" i="6"/>
  <c r="V114" i="6"/>
  <c r="R114" i="6"/>
  <c r="J114" i="6"/>
  <c r="S114" i="6"/>
  <c r="Q114" i="6"/>
  <c r="I114" i="6"/>
  <c r="N114" i="6"/>
  <c r="W114" i="6"/>
  <c r="H114" i="6"/>
  <c r="U114" i="6"/>
  <c r="T114" i="6"/>
  <c r="K114" i="6"/>
  <c r="M114" i="6"/>
  <c r="P34" i="23"/>
  <c r="G34" i="23" s="1"/>
  <c r="P41" i="23"/>
  <c r="G41" i="23" s="1"/>
  <c r="AG41" i="23" s="1"/>
  <c r="P32" i="23"/>
  <c r="G32" i="23" s="1"/>
  <c r="AG32" i="23" s="1"/>
  <c r="P29" i="23"/>
  <c r="G29" i="23" s="1"/>
  <c r="AG29" i="23" s="1"/>
  <c r="I78" i="6"/>
  <c r="M78" i="6"/>
  <c r="R78" i="6"/>
  <c r="V78" i="6"/>
  <c r="J78" i="6"/>
  <c r="N78" i="6"/>
  <c r="S78" i="6"/>
  <c r="W78" i="6"/>
  <c r="K78" i="6"/>
  <c r="O78" i="6"/>
  <c r="T78" i="6"/>
  <c r="H78" i="6"/>
  <c r="L78" i="6"/>
  <c r="Q78" i="6"/>
  <c r="P28" i="23"/>
  <c r="G28" i="23" s="1"/>
  <c r="AG28" i="23" s="1"/>
  <c r="O37" i="34"/>
  <c r="F37" i="34" s="1"/>
  <c r="P126" i="6" l="1"/>
  <c r="G126" i="6" s="1"/>
  <c r="P118" i="6"/>
  <c r="G118" i="6" s="1"/>
  <c r="P119" i="6"/>
  <c r="G119" i="6" s="1"/>
  <c r="P114" i="6"/>
  <c r="G114" i="6" s="1"/>
  <c r="F114" i="6" s="1"/>
  <c r="F34" i="23"/>
  <c r="AG34" i="23"/>
  <c r="F41" i="23"/>
  <c r="F32" i="23"/>
  <c r="F29" i="23"/>
  <c r="P78" i="6"/>
  <c r="G78" i="6" s="1"/>
  <c r="AG78" i="6" s="1"/>
  <c r="F28" i="23"/>
  <c r="E37" i="34"/>
  <c r="AH37" i="34"/>
  <c r="AG126" i="6" l="1"/>
  <c r="F126" i="6"/>
  <c r="AG114" i="6"/>
  <c r="F118" i="6"/>
  <c r="AG118" i="6"/>
  <c r="AG119" i="6"/>
  <c r="F119" i="6"/>
  <c r="U14" i="23"/>
  <c r="L14" i="23"/>
  <c r="J14" i="23"/>
  <c r="K14" i="23"/>
  <c r="R14" i="23"/>
  <c r="Q14" i="23"/>
  <c r="H14" i="23"/>
  <c r="O14" i="23"/>
  <c r="N14" i="23"/>
  <c r="T14" i="23"/>
  <c r="S14" i="23"/>
  <c r="W14" i="23"/>
  <c r="I14" i="23"/>
  <c r="V14" i="23"/>
  <c r="M14" i="23"/>
  <c r="W43" i="23"/>
  <c r="N43" i="23"/>
  <c r="V43" i="23"/>
  <c r="M43" i="23"/>
  <c r="H43" i="23"/>
  <c r="U43" i="23"/>
  <c r="L43" i="23"/>
  <c r="O43" i="23"/>
  <c r="T43" i="23"/>
  <c r="K43" i="23"/>
  <c r="S43" i="23"/>
  <c r="J43" i="23"/>
  <c r="R43" i="23"/>
  <c r="I43" i="23"/>
  <c r="Q43" i="23"/>
  <c r="N17" i="23"/>
  <c r="U17" i="23"/>
  <c r="V17" i="23"/>
  <c r="J17" i="23"/>
  <c r="I17" i="23"/>
  <c r="K17" i="23"/>
  <c r="W17" i="23"/>
  <c r="S17" i="23"/>
  <c r="L17" i="23"/>
  <c r="M17" i="23"/>
  <c r="Q17" i="23"/>
  <c r="R17" i="23"/>
  <c r="O17" i="23"/>
  <c r="H17" i="23"/>
  <c r="T17" i="23"/>
  <c r="S9" i="23"/>
  <c r="J9" i="23"/>
  <c r="W9" i="23"/>
  <c r="R9" i="23"/>
  <c r="I9" i="23"/>
  <c r="N9" i="23"/>
  <c r="T9" i="23"/>
  <c r="Q9" i="23"/>
  <c r="H9" i="23"/>
  <c r="O9" i="23"/>
  <c r="V9" i="23"/>
  <c r="M9" i="23"/>
  <c r="U9" i="23"/>
  <c r="L9" i="23"/>
  <c r="K9" i="23"/>
  <c r="T42" i="23"/>
  <c r="M42" i="23"/>
  <c r="K42" i="23"/>
  <c r="U42" i="23"/>
  <c r="W42" i="23"/>
  <c r="V42" i="23"/>
  <c r="Q42" i="23"/>
  <c r="I42" i="23"/>
  <c r="S42" i="23"/>
  <c r="L42" i="23"/>
  <c r="N42" i="23"/>
  <c r="J42" i="23"/>
  <c r="O42" i="23"/>
  <c r="H42" i="23"/>
  <c r="R42" i="23"/>
  <c r="L40" i="23"/>
  <c r="U40" i="23"/>
  <c r="J40" i="23"/>
  <c r="M40" i="23"/>
  <c r="V40" i="23"/>
  <c r="O40" i="23"/>
  <c r="Q40" i="23"/>
  <c r="I40" i="23"/>
  <c r="S40" i="23"/>
  <c r="K40" i="23"/>
  <c r="N40" i="23"/>
  <c r="W40" i="23"/>
  <c r="H40" i="23"/>
  <c r="R40" i="23"/>
  <c r="T40" i="23"/>
  <c r="L37" i="23"/>
  <c r="I37" i="23"/>
  <c r="O37" i="23"/>
  <c r="H37" i="23"/>
  <c r="W37" i="23"/>
  <c r="T37" i="23"/>
  <c r="N37" i="23"/>
  <c r="K37" i="23"/>
  <c r="V37" i="23"/>
  <c r="S37" i="23"/>
  <c r="M37" i="23"/>
  <c r="J37" i="23"/>
  <c r="Q37" i="23"/>
  <c r="R37" i="23"/>
  <c r="U37" i="23"/>
  <c r="W38" i="23"/>
  <c r="S38" i="23"/>
  <c r="I38" i="23"/>
  <c r="N38" i="23"/>
  <c r="J38" i="23"/>
  <c r="K38" i="23"/>
  <c r="V38" i="23"/>
  <c r="R38" i="23"/>
  <c r="M38" i="23"/>
  <c r="O38" i="23"/>
  <c r="U38" i="23"/>
  <c r="Q38" i="23"/>
  <c r="L38" i="23"/>
  <c r="H38" i="23"/>
  <c r="T38" i="23"/>
  <c r="W24" i="23"/>
  <c r="K24" i="23"/>
  <c r="J24" i="23"/>
  <c r="I24" i="23"/>
  <c r="N24" i="23"/>
  <c r="Q24" i="23"/>
  <c r="S24" i="23"/>
  <c r="T24" i="23"/>
  <c r="V24" i="23"/>
  <c r="H24" i="23"/>
  <c r="M24" i="23"/>
  <c r="R24" i="23"/>
  <c r="L24" i="23"/>
  <c r="O24" i="23"/>
  <c r="U24" i="23"/>
  <c r="I10" i="23"/>
  <c r="M10" i="23"/>
  <c r="Q10" i="23"/>
  <c r="T10" i="23"/>
  <c r="H10" i="23"/>
  <c r="S10" i="23"/>
  <c r="R10" i="23"/>
  <c r="K10" i="23"/>
  <c r="O10" i="23"/>
  <c r="W10" i="23"/>
  <c r="L10" i="23"/>
  <c r="J10" i="23"/>
  <c r="N10" i="23"/>
  <c r="V10" i="23"/>
  <c r="U10" i="23"/>
  <c r="U31" i="23"/>
  <c r="R31" i="23"/>
  <c r="Q31" i="23"/>
  <c r="L31" i="23"/>
  <c r="T31" i="23"/>
  <c r="V31" i="23"/>
  <c r="M31" i="23"/>
  <c r="H31" i="23"/>
  <c r="J31" i="23"/>
  <c r="W31" i="23"/>
  <c r="O31" i="23"/>
  <c r="K31" i="23"/>
  <c r="N31" i="23"/>
  <c r="S31" i="23"/>
  <c r="I31" i="23"/>
  <c r="J35" i="23"/>
  <c r="N35" i="23"/>
  <c r="R35" i="23"/>
  <c r="T35" i="23"/>
  <c r="M35" i="23"/>
  <c r="H35" i="23"/>
  <c r="W35" i="23"/>
  <c r="I35" i="23"/>
  <c r="V35" i="23"/>
  <c r="Q35" i="23"/>
  <c r="U35" i="23"/>
  <c r="S35" i="23"/>
  <c r="O35" i="23"/>
  <c r="L35" i="23"/>
  <c r="K35" i="23"/>
  <c r="O33" i="23"/>
  <c r="W33" i="23"/>
  <c r="N33" i="23"/>
  <c r="V33" i="23"/>
  <c r="M33" i="23"/>
  <c r="U33" i="23"/>
  <c r="L33" i="23"/>
  <c r="T33" i="23"/>
  <c r="K33" i="23"/>
  <c r="S33" i="23"/>
  <c r="J33" i="23"/>
  <c r="R33" i="23"/>
  <c r="I33" i="23"/>
  <c r="Q33" i="23"/>
  <c r="H33" i="23"/>
  <c r="S23" i="23"/>
  <c r="J23" i="23"/>
  <c r="R23" i="23"/>
  <c r="I23" i="23"/>
  <c r="L23" i="23"/>
  <c r="Q23" i="23"/>
  <c r="H23" i="23"/>
  <c r="O23" i="23"/>
  <c r="W23" i="23"/>
  <c r="N23" i="23"/>
  <c r="V23" i="23"/>
  <c r="M23" i="23"/>
  <c r="T23" i="23"/>
  <c r="K23" i="23"/>
  <c r="U23" i="23"/>
  <c r="W30" i="23"/>
  <c r="K30" i="23"/>
  <c r="N30" i="23"/>
  <c r="I30" i="23"/>
  <c r="T30" i="23"/>
  <c r="V30" i="23"/>
  <c r="S30" i="23"/>
  <c r="M30" i="23"/>
  <c r="J30" i="23"/>
  <c r="U30" i="23"/>
  <c r="Q30" i="23"/>
  <c r="L30" i="23"/>
  <c r="H30" i="23"/>
  <c r="R30" i="23"/>
  <c r="O30" i="23"/>
  <c r="L12" i="23"/>
  <c r="V12" i="23"/>
  <c r="S12" i="23"/>
  <c r="O12" i="23"/>
  <c r="J12" i="23"/>
  <c r="W12" i="23"/>
  <c r="H12" i="23"/>
  <c r="R12" i="23"/>
  <c r="N12" i="23"/>
  <c r="K12" i="23"/>
  <c r="I12" i="23"/>
  <c r="U12" i="23"/>
  <c r="M12" i="23"/>
  <c r="T12" i="23"/>
  <c r="Q12" i="23"/>
  <c r="U22" i="23"/>
  <c r="L22" i="23"/>
  <c r="R22" i="23"/>
  <c r="H22" i="23"/>
  <c r="V22" i="23"/>
  <c r="T22" i="23"/>
  <c r="K22" i="23"/>
  <c r="I22" i="23"/>
  <c r="Q22" i="23"/>
  <c r="S22" i="23"/>
  <c r="J22" i="23"/>
  <c r="O22" i="23"/>
  <c r="W22" i="23"/>
  <c r="N22" i="23"/>
  <c r="M22" i="23"/>
  <c r="J16" i="23"/>
  <c r="N16" i="23"/>
  <c r="R16" i="23"/>
  <c r="V16" i="23"/>
  <c r="L16" i="23"/>
  <c r="I16" i="23"/>
  <c r="M16" i="23"/>
  <c r="T16" i="23"/>
  <c r="Q16" i="23"/>
  <c r="O16" i="23"/>
  <c r="K16" i="23"/>
  <c r="H16" i="23"/>
  <c r="U16" i="23"/>
  <c r="S16" i="23"/>
  <c r="W16" i="23"/>
  <c r="W8" i="23"/>
  <c r="N8" i="23"/>
  <c r="O8" i="23"/>
  <c r="V8" i="23"/>
  <c r="M8" i="23"/>
  <c r="U8" i="23"/>
  <c r="L8" i="23"/>
  <c r="T8" i="23"/>
  <c r="K8" i="23"/>
  <c r="S8" i="23"/>
  <c r="J8" i="23"/>
  <c r="R8" i="23"/>
  <c r="I8" i="23"/>
  <c r="Q8" i="23"/>
  <c r="H8" i="23"/>
  <c r="T18" i="23"/>
  <c r="M18" i="23"/>
  <c r="K18" i="23"/>
  <c r="L18" i="23"/>
  <c r="Q18" i="23"/>
  <c r="S18" i="23"/>
  <c r="H18" i="23"/>
  <c r="J18" i="23"/>
  <c r="O18" i="23"/>
  <c r="V18" i="23"/>
  <c r="W18" i="23"/>
  <c r="U18" i="23"/>
  <c r="R18" i="23"/>
  <c r="N18" i="23"/>
  <c r="I18" i="23"/>
  <c r="F78" i="6"/>
  <c r="O6" i="23"/>
  <c r="R6" i="23"/>
  <c r="W6" i="23"/>
  <c r="N6" i="23"/>
  <c r="Q6" i="23"/>
  <c r="V6" i="23"/>
  <c r="M6" i="23"/>
  <c r="T6" i="23"/>
  <c r="U6" i="23"/>
  <c r="L6" i="23"/>
  <c r="K6" i="23"/>
  <c r="I6" i="23"/>
  <c r="H6" i="23"/>
  <c r="S6" i="23"/>
  <c r="J6" i="23"/>
  <c r="R14" i="34"/>
  <c r="I14" i="34"/>
  <c r="V14" i="34"/>
  <c r="Q14" i="34"/>
  <c r="H14" i="34"/>
  <c r="P14" i="34"/>
  <c r="G14" i="34"/>
  <c r="M14" i="34"/>
  <c r="N14" i="34"/>
  <c r="U14" i="34"/>
  <c r="L14" i="34"/>
  <c r="J14" i="34"/>
  <c r="T14" i="34"/>
  <c r="K14" i="34"/>
  <c r="S14" i="34"/>
  <c r="V5" i="23"/>
  <c r="U5" i="23"/>
  <c r="L5" i="23"/>
  <c r="K5" i="23"/>
  <c r="I5" i="23"/>
  <c r="T5" i="23"/>
  <c r="S5" i="23"/>
  <c r="J5" i="23"/>
  <c r="R5" i="23"/>
  <c r="H5" i="23"/>
  <c r="M5" i="23"/>
  <c r="N5" i="23"/>
  <c r="Q5" i="23"/>
  <c r="O5" i="23"/>
  <c r="W5" i="23"/>
  <c r="S11" i="23"/>
  <c r="O11" i="23"/>
  <c r="V11" i="23"/>
  <c r="J11" i="23"/>
  <c r="T11" i="23"/>
  <c r="M11" i="23"/>
  <c r="L11" i="23"/>
  <c r="Q11" i="23"/>
  <c r="I11" i="23"/>
  <c r="H11" i="23"/>
  <c r="U11" i="23"/>
  <c r="R11" i="23"/>
  <c r="W11" i="23"/>
  <c r="K11" i="23"/>
  <c r="N11" i="23"/>
  <c r="Q19" i="23"/>
  <c r="K19" i="23"/>
  <c r="W19" i="23"/>
  <c r="S19" i="23"/>
  <c r="N19" i="23"/>
  <c r="J19" i="23"/>
  <c r="V19" i="23"/>
  <c r="H19" i="23"/>
  <c r="U19" i="23"/>
  <c r="I19" i="23"/>
  <c r="R19" i="23"/>
  <c r="L19" i="23"/>
  <c r="O19" i="23"/>
  <c r="T19" i="23"/>
  <c r="M19" i="23"/>
  <c r="Q7" i="23"/>
  <c r="H7" i="23"/>
  <c r="O7" i="23"/>
  <c r="R7" i="23"/>
  <c r="W7" i="23"/>
  <c r="N7" i="23"/>
  <c r="V7" i="23"/>
  <c r="M7" i="23"/>
  <c r="U7" i="23"/>
  <c r="L7" i="23"/>
  <c r="T7" i="23"/>
  <c r="K7" i="23"/>
  <c r="S7" i="23"/>
  <c r="J7" i="23"/>
  <c r="I7" i="23"/>
  <c r="R26" i="23"/>
  <c r="I26" i="23"/>
  <c r="Q26" i="23"/>
  <c r="H26" i="23"/>
  <c r="O26" i="23"/>
  <c r="W26" i="23"/>
  <c r="N26" i="23"/>
  <c r="J26" i="23"/>
  <c r="V26" i="23"/>
  <c r="M26" i="23"/>
  <c r="U26" i="23"/>
  <c r="L26" i="23"/>
  <c r="T26" i="23"/>
  <c r="K26" i="23"/>
  <c r="S26" i="23"/>
  <c r="S13" i="23"/>
  <c r="J13" i="23"/>
  <c r="R13" i="23"/>
  <c r="I13" i="23"/>
  <c r="Q13" i="23"/>
  <c r="H13" i="23"/>
  <c r="O13" i="23"/>
  <c r="K13" i="23"/>
  <c r="W13" i="23"/>
  <c r="N13" i="23"/>
  <c r="V13" i="23"/>
  <c r="M13" i="23"/>
  <c r="U13" i="23"/>
  <c r="L13" i="23"/>
  <c r="T13" i="23"/>
  <c r="W27" i="23"/>
  <c r="N27" i="23"/>
  <c r="V27" i="23"/>
  <c r="M27" i="23"/>
  <c r="U27" i="23"/>
  <c r="L27" i="23"/>
  <c r="T27" i="23"/>
  <c r="K27" i="23"/>
  <c r="O27" i="23"/>
  <c r="S27" i="23"/>
  <c r="J27" i="23"/>
  <c r="R27" i="23"/>
  <c r="I27" i="23"/>
  <c r="Q27" i="23"/>
  <c r="H27" i="23"/>
  <c r="T21" i="23"/>
  <c r="K21" i="23"/>
  <c r="L21" i="23"/>
  <c r="S21" i="23"/>
  <c r="J21" i="23"/>
  <c r="R21" i="23"/>
  <c r="I21" i="23"/>
  <c r="U21" i="23"/>
  <c r="Q21" i="23"/>
  <c r="H21" i="23"/>
  <c r="O21" i="23"/>
  <c r="W21" i="23"/>
  <c r="N21" i="23"/>
  <c r="V21" i="23"/>
  <c r="M21" i="23"/>
  <c r="T15" i="23"/>
  <c r="L15" i="23"/>
  <c r="S15" i="23"/>
  <c r="K15" i="23"/>
  <c r="R15" i="23"/>
  <c r="J15" i="23"/>
  <c r="Q15" i="23"/>
  <c r="I15" i="23"/>
  <c r="M15" i="23"/>
  <c r="H15" i="23"/>
  <c r="W15" i="23"/>
  <c r="O15" i="23"/>
  <c r="U15" i="23"/>
  <c r="V15" i="23"/>
  <c r="N15" i="23"/>
  <c r="G19" i="34"/>
  <c r="R19" i="34"/>
  <c r="T19" i="34"/>
  <c r="S19" i="34"/>
  <c r="U19" i="34"/>
  <c r="L19" i="34"/>
  <c r="N19" i="34"/>
  <c r="J19" i="34"/>
  <c r="P19" i="34"/>
  <c r="K19" i="34"/>
  <c r="I19" i="34"/>
  <c r="V19" i="34"/>
  <c r="Q19" i="34"/>
  <c r="H19" i="34"/>
  <c r="M19" i="34"/>
  <c r="M13" i="34"/>
  <c r="P13" i="34"/>
  <c r="J13" i="34"/>
  <c r="U13" i="34"/>
  <c r="Q13" i="34"/>
  <c r="R13" i="34"/>
  <c r="S13" i="34"/>
  <c r="V13" i="34"/>
  <c r="L13" i="34"/>
  <c r="H13" i="34"/>
  <c r="G13" i="34"/>
  <c r="N13" i="34"/>
  <c r="T13" i="34"/>
  <c r="I13" i="34"/>
  <c r="K13" i="34"/>
  <c r="U21" i="34"/>
  <c r="L21" i="34"/>
  <c r="G21" i="34"/>
  <c r="T21" i="34"/>
  <c r="K21" i="34"/>
  <c r="S21" i="34"/>
  <c r="J21" i="34"/>
  <c r="P21" i="34"/>
  <c r="V21" i="34"/>
  <c r="R21" i="34"/>
  <c r="I21" i="34"/>
  <c r="Q21" i="34"/>
  <c r="H21" i="34"/>
  <c r="N21" i="34"/>
  <c r="M21" i="34"/>
  <c r="V23" i="34"/>
  <c r="M23" i="34"/>
  <c r="N23" i="34"/>
  <c r="U23" i="34"/>
  <c r="L23" i="34"/>
  <c r="Q23" i="34"/>
  <c r="T23" i="34"/>
  <c r="K23" i="34"/>
  <c r="S23" i="34"/>
  <c r="J23" i="34"/>
  <c r="R23" i="34"/>
  <c r="I23" i="34"/>
  <c r="H23" i="34"/>
  <c r="P23" i="34"/>
  <c r="G23" i="34"/>
  <c r="P15" i="34"/>
  <c r="G15" i="34"/>
  <c r="J15" i="34"/>
  <c r="N15" i="34"/>
  <c r="V15" i="34"/>
  <c r="M15" i="34"/>
  <c r="U15" i="34"/>
  <c r="L15" i="34"/>
  <c r="T15" i="34"/>
  <c r="K15" i="34"/>
  <c r="S15" i="34"/>
  <c r="Q15" i="34"/>
  <c r="R15" i="34"/>
  <c r="I15" i="34"/>
  <c r="H15" i="34"/>
  <c r="N20" i="34"/>
  <c r="V20" i="34"/>
  <c r="M20" i="34"/>
  <c r="U20" i="34"/>
  <c r="L20" i="34"/>
  <c r="T20" i="34"/>
  <c r="K20" i="34"/>
  <c r="R20" i="34"/>
  <c r="S20" i="34"/>
  <c r="J20" i="34"/>
  <c r="I20" i="34"/>
  <c r="Q20" i="34"/>
  <c r="H20" i="34"/>
  <c r="P20" i="34"/>
  <c r="G20" i="34"/>
  <c r="S18" i="34"/>
  <c r="J18" i="34"/>
  <c r="V18" i="34"/>
  <c r="R18" i="34"/>
  <c r="I18" i="34"/>
  <c r="Q18" i="34"/>
  <c r="H18" i="34"/>
  <c r="P18" i="34"/>
  <c r="G18" i="34"/>
  <c r="M18" i="34"/>
  <c r="N18" i="34"/>
  <c r="T18" i="34"/>
  <c r="U18" i="34"/>
  <c r="L18" i="34"/>
  <c r="K18" i="34"/>
  <c r="J12" i="34"/>
  <c r="L12" i="34"/>
  <c r="R12" i="34"/>
  <c r="K12" i="34"/>
  <c r="I12" i="34"/>
  <c r="V12" i="34"/>
  <c r="N12" i="34"/>
  <c r="Q12" i="34"/>
  <c r="M12" i="34"/>
  <c r="H12" i="34"/>
  <c r="U12" i="34"/>
  <c r="P12" i="34"/>
  <c r="T12" i="34"/>
  <c r="G12" i="34"/>
  <c r="S12" i="34"/>
  <c r="Q16" i="34"/>
  <c r="H16" i="34"/>
  <c r="L16" i="34"/>
  <c r="P16" i="34"/>
  <c r="T16" i="34"/>
  <c r="R16" i="34"/>
  <c r="G16" i="34"/>
  <c r="K16" i="34"/>
  <c r="N16" i="34"/>
  <c r="V16" i="34"/>
  <c r="S16" i="34"/>
  <c r="J16" i="34"/>
  <c r="M16" i="34"/>
  <c r="U16" i="34"/>
  <c r="I16" i="34"/>
  <c r="V34" i="34"/>
  <c r="L34" i="34"/>
  <c r="S34" i="34"/>
  <c r="H34" i="34"/>
  <c r="Q34" i="34"/>
  <c r="N34" i="34"/>
  <c r="M34" i="34"/>
  <c r="P34" i="34"/>
  <c r="R34" i="34"/>
  <c r="U34" i="34"/>
  <c r="T34" i="34"/>
  <c r="I34" i="34"/>
  <c r="J34" i="34"/>
  <c r="G34" i="34"/>
  <c r="K34" i="34"/>
  <c r="M5" i="34"/>
  <c r="R5" i="34"/>
  <c r="L5" i="34"/>
  <c r="H5" i="34"/>
  <c r="U5" i="34"/>
  <c r="Q5" i="34"/>
  <c r="G5" i="34"/>
  <c r="V5" i="34"/>
  <c r="N5" i="34"/>
  <c r="T5" i="34"/>
  <c r="J5" i="34"/>
  <c r="I5" i="34"/>
  <c r="S5" i="34"/>
  <c r="K5" i="34"/>
  <c r="P5" i="34"/>
  <c r="S28" i="34"/>
  <c r="T28" i="34"/>
  <c r="I28" i="34"/>
  <c r="Q28" i="34"/>
  <c r="H28" i="34"/>
  <c r="J28" i="34"/>
  <c r="G28" i="34"/>
  <c r="L28" i="34"/>
  <c r="N28" i="34"/>
  <c r="P28" i="34"/>
  <c r="V28" i="34"/>
  <c r="R28" i="34"/>
  <c r="K28" i="34"/>
  <c r="M28" i="34"/>
  <c r="U28" i="34"/>
  <c r="T10" i="34"/>
  <c r="Q10" i="34"/>
  <c r="K10" i="34"/>
  <c r="G10" i="34"/>
  <c r="L10" i="34"/>
  <c r="P10" i="34"/>
  <c r="N10" i="34"/>
  <c r="S10" i="34"/>
  <c r="V10" i="34"/>
  <c r="J10" i="34"/>
  <c r="R10" i="34"/>
  <c r="I10" i="34"/>
  <c r="M10" i="34"/>
  <c r="H10" i="34"/>
  <c r="U10" i="34"/>
  <c r="T38" i="34"/>
  <c r="Q38" i="34"/>
  <c r="S38" i="34"/>
  <c r="M38" i="34"/>
  <c r="P38" i="34"/>
  <c r="N38" i="34"/>
  <c r="K38" i="34"/>
  <c r="I38" i="34"/>
  <c r="V38" i="34"/>
  <c r="J38" i="34"/>
  <c r="G38" i="34"/>
  <c r="L38" i="34"/>
  <c r="U38" i="34"/>
  <c r="H38" i="34"/>
  <c r="R38" i="34"/>
  <c r="N22" i="34"/>
  <c r="V22" i="34"/>
  <c r="M22" i="34"/>
  <c r="U22" i="34"/>
  <c r="L22" i="34"/>
  <c r="T22" i="34"/>
  <c r="K22" i="34"/>
  <c r="S22" i="34"/>
  <c r="J22" i="34"/>
  <c r="R22" i="34"/>
  <c r="I22" i="34"/>
  <c r="P22" i="34"/>
  <c r="Q22" i="34"/>
  <c r="H22" i="34"/>
  <c r="G22" i="34"/>
  <c r="Q4" i="34"/>
  <c r="L4" i="34"/>
  <c r="H4" i="34"/>
  <c r="R4" i="34"/>
  <c r="P4" i="34"/>
  <c r="I4" i="34"/>
  <c r="G4" i="34"/>
  <c r="T4" i="34"/>
  <c r="N4" i="34"/>
  <c r="K4" i="34"/>
  <c r="V4" i="34"/>
  <c r="S4" i="34"/>
  <c r="M4" i="34"/>
  <c r="J4" i="34"/>
  <c r="U4" i="34"/>
  <c r="U27" i="34"/>
  <c r="L27" i="34"/>
  <c r="K27" i="34"/>
  <c r="T27" i="34"/>
  <c r="S27" i="34"/>
  <c r="J27" i="34"/>
  <c r="R27" i="34"/>
  <c r="M27" i="34"/>
  <c r="I27" i="34"/>
  <c r="Q27" i="34"/>
  <c r="H27" i="34"/>
  <c r="N27" i="34"/>
  <c r="V27" i="34"/>
  <c r="P27" i="34"/>
  <c r="G27" i="34"/>
  <c r="N11" i="34"/>
  <c r="V11" i="34"/>
  <c r="M11" i="34"/>
  <c r="U11" i="34"/>
  <c r="L11" i="34"/>
  <c r="T11" i="34"/>
  <c r="K11" i="34"/>
  <c r="S11" i="34"/>
  <c r="J11" i="34"/>
  <c r="H11" i="34"/>
  <c r="G11" i="34"/>
  <c r="R11" i="34"/>
  <c r="I11" i="34"/>
  <c r="Q11" i="34"/>
  <c r="P11" i="34"/>
  <c r="J31" i="34"/>
  <c r="G31" i="34"/>
  <c r="R31" i="34"/>
  <c r="V31" i="34"/>
  <c r="U31" i="34"/>
  <c r="I31" i="34"/>
  <c r="Q31" i="34"/>
  <c r="L31" i="34"/>
  <c r="H31" i="34"/>
  <c r="T31" i="34"/>
  <c r="N31" i="34"/>
  <c r="P31" i="34"/>
  <c r="K31" i="34"/>
  <c r="M31" i="34"/>
  <c r="S31" i="34"/>
  <c r="N7" i="34"/>
  <c r="V7" i="34"/>
  <c r="M7" i="34"/>
  <c r="U7" i="34"/>
  <c r="L7" i="34"/>
  <c r="G7" i="34"/>
  <c r="T7" i="34"/>
  <c r="K7" i="34"/>
  <c r="S7" i="34"/>
  <c r="J7" i="34"/>
  <c r="H7" i="34"/>
  <c r="P7" i="34"/>
  <c r="R7" i="34"/>
  <c r="I7" i="34"/>
  <c r="Q7" i="34"/>
  <c r="S6" i="34"/>
  <c r="J6" i="34"/>
  <c r="R6" i="34"/>
  <c r="I6" i="34"/>
  <c r="Q6" i="34"/>
  <c r="H6" i="34"/>
  <c r="P6" i="34"/>
  <c r="G6" i="34"/>
  <c r="N6" i="34"/>
  <c r="U6" i="34"/>
  <c r="K6" i="34"/>
  <c r="V6" i="34"/>
  <c r="M6" i="34"/>
  <c r="L6" i="34"/>
  <c r="T6" i="34"/>
  <c r="Q36" i="34"/>
  <c r="H36" i="34"/>
  <c r="P36" i="34"/>
  <c r="G36" i="34"/>
  <c r="N36" i="34"/>
  <c r="V36" i="34"/>
  <c r="M36" i="34"/>
  <c r="U36" i="34"/>
  <c r="L36" i="34"/>
  <c r="J36" i="34"/>
  <c r="R36" i="34"/>
  <c r="T36" i="34"/>
  <c r="K36" i="34"/>
  <c r="S36" i="34"/>
  <c r="I36" i="34"/>
  <c r="U8" i="34"/>
  <c r="L8" i="34"/>
  <c r="T8" i="34"/>
  <c r="K8" i="34"/>
  <c r="S8" i="34"/>
  <c r="J8" i="34"/>
  <c r="R8" i="34"/>
  <c r="I8" i="34"/>
  <c r="Q8" i="34"/>
  <c r="H8" i="34"/>
  <c r="N8" i="34"/>
  <c r="P8" i="34"/>
  <c r="G8" i="34"/>
  <c r="V8" i="34"/>
  <c r="M8" i="34"/>
  <c r="U9" i="34"/>
  <c r="L9" i="34"/>
  <c r="T9" i="34"/>
  <c r="S9" i="34"/>
  <c r="J9" i="34"/>
  <c r="I9" i="34"/>
  <c r="V9" i="34"/>
  <c r="R9" i="34"/>
  <c r="M9" i="34"/>
  <c r="Q9" i="34"/>
  <c r="H9" i="34"/>
  <c r="K9" i="34"/>
  <c r="P9" i="34"/>
  <c r="G9" i="34"/>
  <c r="N9" i="34"/>
  <c r="P14" i="23" l="1"/>
  <c r="G14" i="23" s="1"/>
  <c r="P43" i="23"/>
  <c r="G43" i="23" s="1"/>
  <c r="F43" i="23" s="1"/>
  <c r="P17" i="23"/>
  <c r="G17" i="23" s="1"/>
  <c r="P9" i="23"/>
  <c r="G9" i="23" s="1"/>
  <c r="AG9" i="23" s="1"/>
  <c r="P42" i="23"/>
  <c r="G42" i="23" s="1"/>
  <c r="P40" i="23"/>
  <c r="G40" i="23" s="1"/>
  <c r="AG40" i="23" s="1"/>
  <c r="P37" i="23"/>
  <c r="G37" i="23" s="1"/>
  <c r="AG37" i="23" s="1"/>
  <c r="P38" i="23"/>
  <c r="G38" i="23" s="1"/>
  <c r="AG38" i="23" s="1"/>
  <c r="P35" i="23"/>
  <c r="G35" i="23" s="1"/>
  <c r="AG35" i="23" s="1"/>
  <c r="P24" i="23"/>
  <c r="G24" i="23" s="1"/>
  <c r="AG24" i="23" s="1"/>
  <c r="P10" i="23"/>
  <c r="G10" i="23" s="1"/>
  <c r="AG10" i="23" s="1"/>
  <c r="P31" i="23"/>
  <c r="G31" i="23" s="1"/>
  <c r="AG31" i="23" s="1"/>
  <c r="P33" i="23"/>
  <c r="G33" i="23" s="1"/>
  <c r="AG33" i="23" s="1"/>
  <c r="P23" i="23"/>
  <c r="G23" i="23" s="1"/>
  <c r="AG23" i="23" s="1"/>
  <c r="O1" i="23"/>
  <c r="P12" i="23"/>
  <c r="G12" i="23" s="1"/>
  <c r="AG12" i="23" s="1"/>
  <c r="P30" i="23"/>
  <c r="G30" i="23" s="1"/>
  <c r="AG30" i="23" s="1"/>
  <c r="P22" i="23"/>
  <c r="G22" i="23" s="1"/>
  <c r="AG22" i="23" s="1"/>
  <c r="P16" i="23"/>
  <c r="G16" i="23" s="1"/>
  <c r="AG16" i="23" s="1"/>
  <c r="P8" i="23"/>
  <c r="G8" i="23" s="1"/>
  <c r="AG8" i="23" s="1"/>
  <c r="P18" i="23"/>
  <c r="G18" i="23" s="1"/>
  <c r="AG18" i="23" s="1"/>
  <c r="O14" i="34"/>
  <c r="F14" i="34" s="1"/>
  <c r="P6" i="23"/>
  <c r="G6" i="23" s="1"/>
  <c r="AG6" i="23" s="1"/>
  <c r="P5" i="23"/>
  <c r="G5" i="23" s="1"/>
  <c r="AG5" i="23" s="1"/>
  <c r="P11" i="23"/>
  <c r="G11" i="23" s="1"/>
  <c r="P19" i="23"/>
  <c r="G19" i="23" s="1"/>
  <c r="AG19" i="23" s="1"/>
  <c r="P15" i="23"/>
  <c r="G15" i="23" s="1"/>
  <c r="P21" i="23"/>
  <c r="G21" i="23" s="1"/>
  <c r="AG21" i="23" s="1"/>
  <c r="P27" i="23"/>
  <c r="G27" i="23" s="1"/>
  <c r="AG27" i="23" s="1"/>
  <c r="P13" i="23"/>
  <c r="G13" i="23" s="1"/>
  <c r="AG13" i="23" s="1"/>
  <c r="P26" i="23"/>
  <c r="G26" i="23" s="1"/>
  <c r="AG26" i="23" s="1"/>
  <c r="P7" i="23"/>
  <c r="G7" i="23" s="1"/>
  <c r="AG7" i="23" s="1"/>
  <c r="O19" i="34"/>
  <c r="F19" i="34" s="1"/>
  <c r="AH19" i="34" s="1"/>
  <c r="O13" i="34"/>
  <c r="F13" i="34" s="1"/>
  <c r="O18" i="34"/>
  <c r="F18" i="34" s="1"/>
  <c r="AH18" i="34" s="1"/>
  <c r="O23" i="34"/>
  <c r="F23" i="34" s="1"/>
  <c r="O21" i="34"/>
  <c r="F21" i="34" s="1"/>
  <c r="O15" i="34"/>
  <c r="F15" i="34" s="1"/>
  <c r="O20" i="34"/>
  <c r="F20" i="34" s="1"/>
  <c r="O12" i="34"/>
  <c r="F12" i="34" s="1"/>
  <c r="O16" i="34"/>
  <c r="F16" i="34" s="1"/>
  <c r="AH16" i="34" s="1"/>
  <c r="O34" i="34"/>
  <c r="F34" i="34" s="1"/>
  <c r="E34" i="34" s="1"/>
  <c r="O5" i="34"/>
  <c r="F5" i="34" s="1"/>
  <c r="O38" i="34"/>
  <c r="F38" i="34" s="1"/>
  <c r="O28" i="34"/>
  <c r="F28" i="34" s="1"/>
  <c r="O10" i="34"/>
  <c r="F10" i="34" s="1"/>
  <c r="O22" i="34"/>
  <c r="F22" i="34" s="1"/>
  <c r="O7" i="34"/>
  <c r="F7" i="34" s="1"/>
  <c r="AH7" i="34" s="1"/>
  <c r="T1" i="34"/>
  <c r="I1" i="34"/>
  <c r="U1" i="34"/>
  <c r="M1" i="34"/>
  <c r="G1" i="34"/>
  <c r="R1" i="34"/>
  <c r="O9" i="34"/>
  <c r="F9" i="34" s="1"/>
  <c r="O8" i="34"/>
  <c r="F8" i="34" s="1"/>
  <c r="O36" i="34"/>
  <c r="F36" i="34" s="1"/>
  <c r="O11" i="34"/>
  <c r="F11" i="34" s="1"/>
  <c r="O27" i="34"/>
  <c r="P1" i="34"/>
  <c r="J1" i="34"/>
  <c r="O4" i="34"/>
  <c r="F4" i="34" s="1"/>
  <c r="V1" i="34"/>
  <c r="S1" i="34"/>
  <c r="N1" i="34"/>
  <c r="O6" i="34"/>
  <c r="F6" i="34" s="1"/>
  <c r="H1" i="34"/>
  <c r="K1" i="34"/>
  <c r="O31" i="34"/>
  <c r="F31" i="34" s="1"/>
  <c r="Q1" i="34"/>
  <c r="L1" i="34"/>
  <c r="Q183" i="1"/>
  <c r="Q182" i="1"/>
  <c r="Q181" i="1"/>
  <c r="Q180" i="1"/>
  <c r="Q179" i="1"/>
  <c r="Q178" i="1"/>
  <c r="Q177" i="1"/>
  <c r="Q176" i="1"/>
  <c r="Q175" i="1"/>
  <c r="Q174" i="1"/>
  <c r="Q173" i="1"/>
  <c r="Q318" i="11"/>
  <c r="Q317" i="11"/>
  <c r="Q316" i="11"/>
  <c r="Q315" i="11"/>
  <c r="Q314" i="11"/>
  <c r="Q313" i="11"/>
  <c r="Q312" i="11"/>
  <c r="Q311" i="11"/>
  <c r="Q308" i="11"/>
  <c r="Q307" i="11"/>
  <c r="Q306" i="11"/>
  <c r="Q305" i="11"/>
  <c r="Q304" i="11"/>
  <c r="Q303" i="11"/>
  <c r="Q302" i="11"/>
  <c r="Q301" i="11"/>
  <c r="Q300" i="11"/>
  <c r="Q299" i="11"/>
  <c r="Q298" i="11"/>
  <c r="Q297" i="11"/>
  <c r="Q296" i="11"/>
  <c r="Q295" i="11"/>
  <c r="Q294" i="11"/>
  <c r="Q293" i="11"/>
  <c r="Q292" i="11"/>
  <c r="Q291" i="11"/>
  <c r="Q290" i="11"/>
  <c r="Q289" i="11"/>
  <c r="Q288" i="11"/>
  <c r="Q287" i="11"/>
  <c r="Q286" i="11"/>
  <c r="Q285" i="11"/>
  <c r="Q284" i="11"/>
  <c r="Q283" i="11"/>
  <c r="Q282" i="11"/>
  <c r="Q281" i="11"/>
  <c r="Q280" i="11"/>
  <c r="Q279" i="11"/>
  <c r="Q278" i="11"/>
  <c r="Q277" i="11"/>
  <c r="Q276" i="11"/>
  <c r="Q275" i="11"/>
  <c r="Q274" i="11"/>
  <c r="Q273" i="11"/>
  <c r="Q272" i="11"/>
  <c r="Q271" i="11"/>
  <c r="Q270" i="11"/>
  <c r="Q269" i="11"/>
  <c r="Q268" i="11"/>
  <c r="Q267" i="11"/>
  <c r="Q266" i="11"/>
  <c r="Q265" i="11"/>
  <c r="Q264" i="11"/>
  <c r="Q263" i="11"/>
  <c r="Q262" i="11"/>
  <c r="Q261" i="11"/>
  <c r="Q260" i="11"/>
  <c r="Q259" i="11"/>
  <c r="Q258" i="11"/>
  <c r="Q257" i="11"/>
  <c r="Q256" i="11"/>
  <c r="Q255" i="11"/>
  <c r="Q254" i="11"/>
  <c r="Q253" i="11"/>
  <c r="Q252" i="11"/>
  <c r="Q251" i="11"/>
  <c r="Q250" i="11"/>
  <c r="Q249" i="11"/>
  <c r="Q248" i="11"/>
  <c r="Q247" i="11"/>
  <c r="Q246" i="11"/>
  <c r="Q245" i="11"/>
  <c r="Q244" i="11"/>
  <c r="Q243" i="11"/>
  <c r="Q242" i="11"/>
  <c r="Q241" i="11"/>
  <c r="Q240" i="11"/>
  <c r="Q239" i="11"/>
  <c r="Q238" i="11"/>
  <c r="Q237" i="11"/>
  <c r="Q236" i="11"/>
  <c r="Q235" i="11"/>
  <c r="Q234" i="11"/>
  <c r="Q233" i="11"/>
  <c r="Q232" i="11"/>
  <c r="Q231" i="11"/>
  <c r="Q230" i="11"/>
  <c r="Q229" i="11"/>
  <c r="Q228" i="11"/>
  <c r="Q227" i="11"/>
  <c r="Q226" i="11"/>
  <c r="Q225" i="11"/>
  <c r="Q224" i="11"/>
  <c r="Q223" i="11"/>
  <c r="Q222" i="11"/>
  <c r="Q221" i="11"/>
  <c r="Q220" i="11"/>
  <c r="Q219" i="11"/>
  <c r="Q218" i="11"/>
  <c r="Q217" i="11"/>
  <c r="Q216" i="11"/>
  <c r="Q215" i="11"/>
  <c r="Q214" i="11"/>
  <c r="Q213" i="11"/>
  <c r="Q212" i="11"/>
  <c r="Q211" i="11"/>
  <c r="Q210" i="11"/>
  <c r="Q209" i="11"/>
  <c r="Q208" i="11"/>
  <c r="Q207" i="11"/>
  <c r="Q206" i="11"/>
  <c r="Q205" i="11"/>
  <c r="Q204" i="11"/>
  <c r="Q203" i="11"/>
  <c r="Q202" i="11"/>
  <c r="Q201" i="11"/>
  <c r="Q200" i="11"/>
  <c r="Q199" i="11"/>
  <c r="Q198" i="11"/>
  <c r="Q197" i="11"/>
  <c r="Q196" i="11"/>
  <c r="Q195" i="11"/>
  <c r="Q194" i="11"/>
  <c r="Q193" i="11"/>
  <c r="Q192" i="11"/>
  <c r="Q191" i="11"/>
  <c r="Q190" i="11"/>
  <c r="Q189" i="11"/>
  <c r="Q188" i="11"/>
  <c r="Q187" i="11"/>
  <c r="Q186" i="11"/>
  <c r="Q185" i="11"/>
  <c r="Q184" i="11"/>
  <c r="Q183" i="11"/>
  <c r="Q182" i="11"/>
  <c r="Q181" i="11"/>
  <c r="Q180" i="11"/>
  <c r="Q179" i="11"/>
  <c r="Q178" i="11"/>
  <c r="Q177" i="11"/>
  <c r="Q176" i="11"/>
  <c r="Q175" i="11"/>
  <c r="Q174" i="11"/>
  <c r="Q173" i="11"/>
  <c r="Q172" i="11"/>
  <c r="Q171" i="11"/>
  <c r="Q170" i="11"/>
  <c r="Q169" i="11"/>
  <c r="Q168" i="11"/>
  <c r="Q167" i="11"/>
  <c r="Q166" i="11"/>
  <c r="Q165" i="11"/>
  <c r="Q164" i="11"/>
  <c r="Q163" i="11"/>
  <c r="Q162" i="11"/>
  <c r="Q161" i="11"/>
  <c r="Q160" i="11"/>
  <c r="Q159" i="11"/>
  <c r="Q158" i="11"/>
  <c r="Q156" i="11"/>
  <c r="Q154" i="11"/>
  <c r="Q152" i="11"/>
  <c r="Q153" i="11"/>
  <c r="Q148" i="11"/>
  <c r="Q149" i="11"/>
  <c r="Q147" i="11"/>
  <c r="Q151" i="11"/>
  <c r="Q155" i="11"/>
  <c r="Q150" i="11"/>
  <c r="Q157" i="11"/>
  <c r="Q146" i="11"/>
  <c r="Q145" i="11"/>
  <c r="Q144" i="11"/>
  <c r="Q143" i="11"/>
  <c r="Q142" i="11"/>
  <c r="Q141" i="11"/>
  <c r="Q140" i="11"/>
  <c r="Q139" i="11"/>
  <c r="Q138" i="11"/>
  <c r="Q137" i="11"/>
  <c r="Q136" i="11"/>
  <c r="Q135" i="11"/>
  <c r="Q134" i="11"/>
  <c r="Q133" i="11"/>
  <c r="Q132" i="11"/>
  <c r="Q131" i="11"/>
  <c r="Q130" i="11"/>
  <c r="Q129" i="11"/>
  <c r="Q128" i="11"/>
  <c r="Q127" i="11"/>
  <c r="Q126" i="11"/>
  <c r="Q125" i="11"/>
  <c r="Q124" i="11"/>
  <c r="Q123" i="11"/>
  <c r="Q122" i="11"/>
  <c r="Q121" i="11"/>
  <c r="Q120" i="11"/>
  <c r="Q119" i="11"/>
  <c r="Q118" i="11"/>
  <c r="Q117" i="11"/>
  <c r="Q116" i="11"/>
  <c r="Q115" i="11"/>
  <c r="Q114" i="11"/>
  <c r="Q113" i="11"/>
  <c r="Q112" i="11"/>
  <c r="Q111" i="11"/>
  <c r="Q110" i="11"/>
  <c r="Q109" i="11"/>
  <c r="Q108" i="11"/>
  <c r="Q107" i="11"/>
  <c r="Q106" i="11"/>
  <c r="Q105" i="11"/>
  <c r="Q104" i="11"/>
  <c r="Q103" i="11"/>
  <c r="Q102" i="11"/>
  <c r="Q101" i="11"/>
  <c r="Q100" i="11"/>
  <c r="Q99" i="11"/>
  <c r="Q98" i="11"/>
  <c r="Q97" i="11"/>
  <c r="Q96" i="11"/>
  <c r="Q95" i="11"/>
  <c r="Q94" i="11"/>
  <c r="Q93" i="11"/>
  <c r="Q92" i="11"/>
  <c r="Q91" i="11"/>
  <c r="Q90" i="11"/>
  <c r="Q89" i="11"/>
  <c r="Q88" i="11"/>
  <c r="Q87" i="11"/>
  <c r="Q86" i="11"/>
  <c r="Q85" i="11"/>
  <c r="Q84" i="11"/>
  <c r="Q83" i="11"/>
  <c r="Q82" i="11"/>
  <c r="Q81" i="11"/>
  <c r="Q80" i="11"/>
  <c r="Q79" i="11"/>
  <c r="Q78" i="11"/>
  <c r="Q77" i="11"/>
  <c r="Q76" i="11"/>
  <c r="Q75" i="11"/>
  <c r="Q74" i="11"/>
  <c r="Q73" i="11"/>
  <c r="Q72" i="11"/>
  <c r="Q71" i="11"/>
  <c r="Q70" i="11"/>
  <c r="Q69" i="11"/>
  <c r="Q68" i="11"/>
  <c r="Q67" i="11"/>
  <c r="Q66" i="11"/>
  <c r="Q65" i="11"/>
  <c r="Q64" i="11"/>
  <c r="Q63" i="11"/>
  <c r="Q62" i="11"/>
  <c r="Q61" i="11"/>
  <c r="Q60" i="11"/>
  <c r="Q59" i="11"/>
  <c r="Q58" i="11"/>
  <c r="Q57" i="11"/>
  <c r="Q56" i="11"/>
  <c r="Q55" i="11"/>
  <c r="Q54" i="11"/>
  <c r="Q53" i="11"/>
  <c r="Q52" i="11"/>
  <c r="Q51" i="11"/>
  <c r="Q50" i="11"/>
  <c r="Q49" i="11"/>
  <c r="Q48" i="11"/>
  <c r="Q47" i="11"/>
  <c r="Q46" i="11"/>
  <c r="Q45" i="11"/>
  <c r="Q44" i="11"/>
  <c r="Q43" i="11"/>
  <c r="Q42" i="11"/>
  <c r="Q41" i="11"/>
  <c r="Q40" i="11"/>
  <c r="Q39" i="11"/>
  <c r="Q38" i="11"/>
  <c r="Q37" i="11"/>
  <c r="Q36" i="11"/>
  <c r="Q35" i="11"/>
  <c r="Q34" i="11"/>
  <c r="Q33" i="11"/>
  <c r="Q32" i="11"/>
  <c r="Q31" i="11"/>
  <c r="Q30" i="11"/>
  <c r="Q29" i="11"/>
  <c r="Q28" i="11"/>
  <c r="Q27" i="11"/>
  <c r="Q26" i="11"/>
  <c r="Q25" i="11"/>
  <c r="Q24" i="11"/>
  <c r="Q23" i="11"/>
  <c r="Q22" i="11"/>
  <c r="Q21" i="11"/>
  <c r="Q20" i="11"/>
  <c r="Q19" i="11"/>
  <c r="Q18" i="11"/>
  <c r="Q17" i="11"/>
  <c r="Q16" i="11"/>
  <c r="Q15" i="11"/>
  <c r="Q14" i="11"/>
  <c r="Q13" i="11"/>
  <c r="Q12" i="11"/>
  <c r="Q11" i="11"/>
  <c r="Q10" i="11"/>
  <c r="Q9" i="11"/>
  <c r="Q8" i="11"/>
  <c r="Q7" i="11"/>
  <c r="Q6" i="11"/>
  <c r="Q5" i="11"/>
  <c r="Q4" i="11"/>
  <c r="Q3" i="11"/>
  <c r="V80" i="6" l="1"/>
  <c r="S80" i="6"/>
  <c r="K80" i="6"/>
  <c r="Q80" i="6"/>
  <c r="T80" i="6"/>
  <c r="R80" i="6"/>
  <c r="N80" i="6"/>
  <c r="M80" i="6"/>
  <c r="L80" i="6"/>
  <c r="J80" i="6"/>
  <c r="O80" i="6"/>
  <c r="I80" i="6"/>
  <c r="H80" i="6"/>
  <c r="W80" i="6"/>
  <c r="U80" i="6"/>
  <c r="W61" i="14"/>
  <c r="N61" i="14"/>
  <c r="R61" i="14"/>
  <c r="V61" i="14"/>
  <c r="M61" i="14"/>
  <c r="U61" i="14"/>
  <c r="L61" i="14"/>
  <c r="I61" i="14"/>
  <c r="K61" i="14"/>
  <c r="S61" i="14"/>
  <c r="J61" i="14"/>
  <c r="Q61" i="14"/>
  <c r="H61" i="14"/>
  <c r="O61" i="14"/>
  <c r="T61" i="14"/>
  <c r="T62" i="14"/>
  <c r="K62" i="14"/>
  <c r="S62" i="14"/>
  <c r="J62" i="14"/>
  <c r="R62" i="14"/>
  <c r="I62" i="14"/>
  <c r="Q62" i="14"/>
  <c r="H62" i="14"/>
  <c r="O62" i="14"/>
  <c r="N62" i="14"/>
  <c r="W62" i="14"/>
  <c r="V62" i="14"/>
  <c r="M62" i="14"/>
  <c r="U62" i="14"/>
  <c r="L62" i="14"/>
  <c r="W135" i="6"/>
  <c r="N135" i="6"/>
  <c r="K135" i="6"/>
  <c r="V135" i="6"/>
  <c r="M135" i="6"/>
  <c r="T135" i="6"/>
  <c r="S135" i="6"/>
  <c r="U135" i="6"/>
  <c r="L135" i="6"/>
  <c r="J135" i="6"/>
  <c r="R135" i="6"/>
  <c r="I135" i="6"/>
  <c r="O135" i="6"/>
  <c r="Q135" i="6"/>
  <c r="H135" i="6"/>
  <c r="R134" i="6"/>
  <c r="I134" i="6"/>
  <c r="N134" i="6"/>
  <c r="V134" i="6"/>
  <c r="J134" i="6"/>
  <c r="Q134" i="6"/>
  <c r="H134" i="6"/>
  <c r="M134" i="6"/>
  <c r="O134" i="6"/>
  <c r="I1" i="36"/>
  <c r="W134" i="6"/>
  <c r="U134" i="6"/>
  <c r="L134" i="6"/>
  <c r="T134" i="6"/>
  <c r="K134" i="6"/>
  <c r="S134" i="6"/>
  <c r="O120" i="6"/>
  <c r="L120" i="6"/>
  <c r="K120" i="6"/>
  <c r="Q120" i="6"/>
  <c r="H120" i="6"/>
  <c r="R120" i="6"/>
  <c r="M120" i="6"/>
  <c r="U120" i="6"/>
  <c r="N120" i="6"/>
  <c r="T120" i="6"/>
  <c r="J120" i="6"/>
  <c r="S120" i="6"/>
  <c r="V120" i="6"/>
  <c r="W120" i="6"/>
  <c r="I120" i="6"/>
  <c r="K121" i="6"/>
  <c r="W121" i="6"/>
  <c r="R121" i="6"/>
  <c r="Q121" i="6"/>
  <c r="I121" i="6"/>
  <c r="O121" i="6"/>
  <c r="J121" i="6"/>
  <c r="T121" i="6"/>
  <c r="V121" i="6"/>
  <c r="L121" i="6"/>
  <c r="U121" i="6"/>
  <c r="N121" i="6"/>
  <c r="H121" i="6"/>
  <c r="S121" i="6"/>
  <c r="M121" i="6"/>
  <c r="I116" i="6"/>
  <c r="V116" i="6"/>
  <c r="J116" i="6"/>
  <c r="K116" i="6"/>
  <c r="W116" i="6"/>
  <c r="O116" i="6"/>
  <c r="S116" i="6"/>
  <c r="R116" i="6"/>
  <c r="Q116" i="6"/>
  <c r="M116" i="6"/>
  <c r="L116" i="6"/>
  <c r="N116" i="6"/>
  <c r="U116" i="6"/>
  <c r="T116" i="6"/>
  <c r="H116" i="6"/>
  <c r="S92" i="6"/>
  <c r="R92" i="6"/>
  <c r="L92" i="6"/>
  <c r="N92" i="6"/>
  <c r="K92" i="6"/>
  <c r="H92" i="6"/>
  <c r="W92" i="6"/>
  <c r="I92" i="6"/>
  <c r="J92" i="6"/>
  <c r="U92" i="6"/>
  <c r="O92" i="6"/>
  <c r="T92" i="6"/>
  <c r="Q92" i="6"/>
  <c r="V92" i="6"/>
  <c r="M92" i="6"/>
  <c r="Q130" i="6"/>
  <c r="H130" i="6"/>
  <c r="O130" i="6"/>
  <c r="V130" i="6"/>
  <c r="U130" i="6"/>
  <c r="W130" i="6"/>
  <c r="N130" i="6"/>
  <c r="M130" i="6"/>
  <c r="L130" i="6"/>
  <c r="T130" i="6"/>
  <c r="K130" i="6"/>
  <c r="I130" i="6"/>
  <c r="S130" i="6"/>
  <c r="J130" i="6"/>
  <c r="R130" i="6"/>
  <c r="K113" i="6"/>
  <c r="M113" i="6"/>
  <c r="T113" i="6"/>
  <c r="H113" i="6"/>
  <c r="V113" i="6"/>
  <c r="U113" i="6"/>
  <c r="Q113" i="6"/>
  <c r="I113" i="6"/>
  <c r="N113" i="6"/>
  <c r="S113" i="6"/>
  <c r="L113" i="6"/>
  <c r="J113" i="6"/>
  <c r="O113" i="6"/>
  <c r="R113" i="6"/>
  <c r="W113" i="6"/>
  <c r="H117" i="6"/>
  <c r="K117" i="6"/>
  <c r="J117" i="6"/>
  <c r="O117" i="6"/>
  <c r="V117" i="6"/>
  <c r="S117" i="6"/>
  <c r="W117" i="6"/>
  <c r="N117" i="6"/>
  <c r="M117" i="6"/>
  <c r="U117" i="6"/>
  <c r="T117" i="6"/>
  <c r="R117" i="6"/>
  <c r="I117" i="6"/>
  <c r="Q117" i="6"/>
  <c r="L117" i="6"/>
  <c r="Q60" i="14"/>
  <c r="O60" i="14"/>
  <c r="W60" i="14"/>
  <c r="N60" i="14"/>
  <c r="V60" i="14"/>
  <c r="M60" i="14"/>
  <c r="U60" i="14"/>
  <c r="L60" i="14"/>
  <c r="S60" i="14"/>
  <c r="T60" i="14"/>
  <c r="K60" i="14"/>
  <c r="J60" i="14"/>
  <c r="R60" i="14"/>
  <c r="I60" i="14"/>
  <c r="H60" i="14"/>
  <c r="T45" i="33"/>
  <c r="K45" i="33"/>
  <c r="S45" i="33"/>
  <c r="J45" i="33"/>
  <c r="R45" i="33"/>
  <c r="I45" i="33"/>
  <c r="Q45" i="33"/>
  <c r="H45" i="33"/>
  <c r="P45" i="33"/>
  <c r="G45" i="33"/>
  <c r="N45" i="33"/>
  <c r="V45" i="33"/>
  <c r="M45" i="33"/>
  <c r="U45" i="33"/>
  <c r="L45" i="33"/>
  <c r="AG14" i="23"/>
  <c r="F14" i="23"/>
  <c r="J56" i="6"/>
  <c r="T56" i="6"/>
  <c r="W56" i="6"/>
  <c r="M56" i="6"/>
  <c r="O56" i="6"/>
  <c r="L56" i="6"/>
  <c r="K56" i="6"/>
  <c r="R56" i="6"/>
  <c r="H56" i="6"/>
  <c r="I56" i="6"/>
  <c r="N56" i="6"/>
  <c r="Q56" i="6"/>
  <c r="U56" i="6"/>
  <c r="S56" i="6"/>
  <c r="V56" i="6"/>
  <c r="AG43" i="23"/>
  <c r="T104" i="6"/>
  <c r="K104" i="6"/>
  <c r="S104" i="6"/>
  <c r="J104" i="6"/>
  <c r="W104" i="6"/>
  <c r="U104" i="6"/>
  <c r="N104" i="6"/>
  <c r="V104" i="6"/>
  <c r="M104" i="6"/>
  <c r="H104" i="6"/>
  <c r="L104" i="6"/>
  <c r="O104" i="6"/>
  <c r="R104" i="6"/>
  <c r="I104" i="6"/>
  <c r="Q104" i="6"/>
  <c r="F17" i="23"/>
  <c r="AG17" i="23"/>
  <c r="F9" i="23"/>
  <c r="Q58" i="14"/>
  <c r="H58" i="14"/>
  <c r="O58" i="14"/>
  <c r="T58" i="14"/>
  <c r="W58" i="14"/>
  <c r="N58" i="14"/>
  <c r="K58" i="14"/>
  <c r="V58" i="14"/>
  <c r="M58" i="14"/>
  <c r="U58" i="14"/>
  <c r="L58" i="14"/>
  <c r="S58" i="14"/>
  <c r="J58" i="14"/>
  <c r="R58" i="14"/>
  <c r="I58" i="14"/>
  <c r="Q56" i="14"/>
  <c r="O56" i="14"/>
  <c r="K56" i="14"/>
  <c r="W56" i="14"/>
  <c r="N56" i="14"/>
  <c r="J56" i="14"/>
  <c r="V56" i="14"/>
  <c r="M56" i="14"/>
  <c r="S56" i="14"/>
  <c r="U56" i="14"/>
  <c r="L56" i="14"/>
  <c r="T56" i="14"/>
  <c r="R56" i="14"/>
  <c r="I56" i="14"/>
  <c r="H56" i="14"/>
  <c r="F42" i="23"/>
  <c r="AG42" i="23"/>
  <c r="N7" i="14"/>
  <c r="W7" i="14"/>
  <c r="O7" i="14"/>
  <c r="H7" i="14"/>
  <c r="Q7" i="14"/>
  <c r="I7" i="14"/>
  <c r="R7" i="14"/>
  <c r="J7" i="14"/>
  <c r="S7" i="14"/>
  <c r="K7" i="14"/>
  <c r="T7" i="14"/>
  <c r="L7" i="14"/>
  <c r="U7" i="14"/>
  <c r="M7" i="14"/>
  <c r="V7" i="14"/>
  <c r="F15" i="23"/>
  <c r="AG15" i="23"/>
  <c r="F11" i="23"/>
  <c r="AG11" i="23"/>
  <c r="F40" i="23"/>
  <c r="Q55" i="14"/>
  <c r="H55" i="14"/>
  <c r="O55" i="14"/>
  <c r="S55" i="14"/>
  <c r="W55" i="14"/>
  <c r="N55" i="14"/>
  <c r="I55" i="14"/>
  <c r="V55" i="14"/>
  <c r="M55" i="14"/>
  <c r="J55" i="14"/>
  <c r="U55" i="14"/>
  <c r="L55" i="14"/>
  <c r="T55" i="14"/>
  <c r="K55" i="14"/>
  <c r="R55" i="14"/>
  <c r="F37" i="23"/>
  <c r="S54" i="14"/>
  <c r="J54" i="14"/>
  <c r="R54" i="14"/>
  <c r="I54" i="14"/>
  <c r="Q54" i="14"/>
  <c r="H54" i="14"/>
  <c r="O54" i="14"/>
  <c r="W54" i="14"/>
  <c r="N54" i="14"/>
  <c r="V54" i="14"/>
  <c r="M54" i="14"/>
  <c r="L54" i="14"/>
  <c r="U54" i="14"/>
  <c r="T54" i="14"/>
  <c r="K54" i="14"/>
  <c r="F38" i="23"/>
  <c r="R87" i="6"/>
  <c r="H87" i="6"/>
  <c r="I87" i="6"/>
  <c r="S87" i="6"/>
  <c r="T87" i="6"/>
  <c r="U87" i="6"/>
  <c r="N87" i="6"/>
  <c r="V87" i="6"/>
  <c r="Q87" i="6"/>
  <c r="J87" i="6"/>
  <c r="K87" i="6"/>
  <c r="M87" i="6"/>
  <c r="L87" i="6"/>
  <c r="W87" i="6"/>
  <c r="O87" i="6"/>
  <c r="O4" i="14"/>
  <c r="F35" i="23"/>
  <c r="F31" i="23"/>
  <c r="F24" i="23"/>
  <c r="F10" i="23"/>
  <c r="F33" i="23"/>
  <c r="F23" i="23"/>
  <c r="F12" i="23"/>
  <c r="F5" i="23"/>
  <c r="G1" i="23"/>
  <c r="V52" i="14"/>
  <c r="U52" i="14"/>
  <c r="L52" i="14"/>
  <c r="T52" i="14"/>
  <c r="K52" i="14"/>
  <c r="J52" i="14"/>
  <c r="H52" i="14"/>
  <c r="S52" i="14"/>
  <c r="I52" i="14"/>
  <c r="R52" i="14"/>
  <c r="Q52" i="14"/>
  <c r="O52" i="14"/>
  <c r="N52" i="14"/>
  <c r="W52" i="14"/>
  <c r="M52" i="14"/>
  <c r="F30" i="23"/>
  <c r="W30" i="14"/>
  <c r="O30" i="14"/>
  <c r="M30" i="14"/>
  <c r="K30" i="14"/>
  <c r="S30" i="14"/>
  <c r="N30" i="14"/>
  <c r="R30" i="14"/>
  <c r="J30" i="14"/>
  <c r="U30" i="14"/>
  <c r="Q30" i="14"/>
  <c r="V30" i="14"/>
  <c r="T30" i="14"/>
  <c r="L30" i="14"/>
  <c r="I30" i="14"/>
  <c r="H30" i="14"/>
  <c r="F22" i="23"/>
  <c r="F16" i="23"/>
  <c r="Q51" i="14"/>
  <c r="H51" i="14"/>
  <c r="J51" i="14"/>
  <c r="O51" i="14"/>
  <c r="W51" i="14"/>
  <c r="N51" i="14"/>
  <c r="V51" i="14"/>
  <c r="M51" i="14"/>
  <c r="I51" i="14"/>
  <c r="U51" i="14"/>
  <c r="L51" i="14"/>
  <c r="S51" i="14"/>
  <c r="T51" i="14"/>
  <c r="K51" i="14"/>
  <c r="R51" i="14"/>
  <c r="F8" i="23"/>
  <c r="T49" i="14"/>
  <c r="K49" i="14"/>
  <c r="S49" i="14"/>
  <c r="J49" i="14"/>
  <c r="R49" i="14"/>
  <c r="I49" i="14"/>
  <c r="V49" i="14"/>
  <c r="L49" i="14"/>
  <c r="Q49" i="14"/>
  <c r="H49" i="14"/>
  <c r="M49" i="14"/>
  <c r="O49" i="14"/>
  <c r="U49" i="14"/>
  <c r="W49" i="14"/>
  <c r="N49" i="14"/>
  <c r="Q50" i="14"/>
  <c r="H50" i="14"/>
  <c r="I50" i="14"/>
  <c r="O50" i="14"/>
  <c r="R50" i="14"/>
  <c r="W50" i="14"/>
  <c r="N50" i="14"/>
  <c r="V50" i="14"/>
  <c r="M50" i="14"/>
  <c r="U50" i="14"/>
  <c r="L50" i="14"/>
  <c r="J50" i="14"/>
  <c r="T50" i="14"/>
  <c r="K50" i="14"/>
  <c r="S50" i="14"/>
  <c r="F18" i="23"/>
  <c r="F6" i="23"/>
  <c r="AH14" i="34"/>
  <c r="E14" i="34"/>
  <c r="F19" i="23"/>
  <c r="S40" i="14"/>
  <c r="H40" i="14"/>
  <c r="J40" i="14"/>
  <c r="L40" i="14"/>
  <c r="O40" i="14"/>
  <c r="M40" i="14"/>
  <c r="U40" i="14"/>
  <c r="R40" i="14"/>
  <c r="W40" i="14"/>
  <c r="T40" i="14"/>
  <c r="I40" i="14"/>
  <c r="K40" i="14"/>
  <c r="Q40" i="14"/>
  <c r="N40" i="14"/>
  <c r="V40" i="14"/>
  <c r="F27" i="23"/>
  <c r="F13" i="23"/>
  <c r="F21" i="23"/>
  <c r="F7" i="23"/>
  <c r="F26" i="23"/>
  <c r="O11" i="14"/>
  <c r="W46" i="14"/>
  <c r="N46" i="14"/>
  <c r="M46" i="14"/>
  <c r="V46" i="14"/>
  <c r="H46" i="14"/>
  <c r="U46" i="14"/>
  <c r="L46" i="14"/>
  <c r="T46" i="14"/>
  <c r="K46" i="14"/>
  <c r="J46" i="14"/>
  <c r="I46" i="14"/>
  <c r="O46" i="14"/>
  <c r="S46" i="14"/>
  <c r="Q46" i="14"/>
  <c r="R46" i="14"/>
  <c r="S48" i="14"/>
  <c r="J48" i="14"/>
  <c r="R48" i="14"/>
  <c r="I48" i="14"/>
  <c r="Q48" i="14"/>
  <c r="H48" i="14"/>
  <c r="T48" i="14"/>
  <c r="O48" i="14"/>
  <c r="W48" i="14"/>
  <c r="N48" i="14"/>
  <c r="V48" i="14"/>
  <c r="M48" i="14"/>
  <c r="U48" i="14"/>
  <c r="L48" i="14"/>
  <c r="K48" i="14"/>
  <c r="U47" i="14"/>
  <c r="L47" i="14"/>
  <c r="M47" i="14"/>
  <c r="T47" i="14"/>
  <c r="K47" i="14"/>
  <c r="S47" i="14"/>
  <c r="J47" i="14"/>
  <c r="R47" i="14"/>
  <c r="I47" i="14"/>
  <c r="Q47" i="14"/>
  <c r="H47" i="14"/>
  <c r="O47" i="14"/>
  <c r="V47" i="14"/>
  <c r="W47" i="14"/>
  <c r="N47" i="14"/>
  <c r="J25" i="14"/>
  <c r="V25" i="14"/>
  <c r="R25" i="14"/>
  <c r="N25" i="14"/>
  <c r="L25" i="14"/>
  <c r="T25" i="14"/>
  <c r="U25" i="14"/>
  <c r="K25" i="14"/>
  <c r="H25" i="14"/>
  <c r="Q25" i="14"/>
  <c r="W25" i="14"/>
  <c r="M25" i="14"/>
  <c r="I25" i="14"/>
  <c r="S25" i="14"/>
  <c r="O25" i="14"/>
  <c r="E16" i="38"/>
  <c r="E17" i="38" s="1"/>
  <c r="O24" i="14"/>
  <c r="N21" i="14"/>
  <c r="L21" i="14"/>
  <c r="O21" i="14"/>
  <c r="T21" i="14"/>
  <c r="J21" i="14"/>
  <c r="M21" i="14"/>
  <c r="W21" i="14"/>
  <c r="S21" i="14"/>
  <c r="K21" i="14"/>
  <c r="I21" i="14"/>
  <c r="V21" i="14"/>
  <c r="R21" i="14"/>
  <c r="H21" i="14"/>
  <c r="Q21" i="14"/>
  <c r="U21" i="14"/>
  <c r="V44" i="14"/>
  <c r="O44" i="14"/>
  <c r="W44" i="14"/>
  <c r="S44" i="14"/>
  <c r="Q44" i="14"/>
  <c r="R44" i="14"/>
  <c r="T44" i="14"/>
  <c r="U44" i="14"/>
  <c r="T15" i="14"/>
  <c r="L15" i="14"/>
  <c r="S15" i="14"/>
  <c r="J15" i="14"/>
  <c r="O15" i="14"/>
  <c r="V15" i="14"/>
  <c r="N15" i="14"/>
  <c r="R15" i="14"/>
  <c r="H15" i="14"/>
  <c r="M15" i="14"/>
  <c r="U15" i="14"/>
  <c r="K15" i="14"/>
  <c r="Q15" i="14"/>
  <c r="W15" i="14"/>
  <c r="I15" i="14"/>
  <c r="N26" i="14"/>
  <c r="U26" i="14"/>
  <c r="Q26" i="14"/>
  <c r="H26" i="14"/>
  <c r="O26" i="14"/>
  <c r="T26" i="14"/>
  <c r="J26" i="14"/>
  <c r="M26" i="14"/>
  <c r="W26" i="14"/>
  <c r="S26" i="14"/>
  <c r="K26" i="14"/>
  <c r="I26" i="14"/>
  <c r="V26" i="14"/>
  <c r="R26" i="14"/>
  <c r="L26" i="14"/>
  <c r="O9" i="14"/>
  <c r="O12" i="14"/>
  <c r="O10" i="14"/>
  <c r="O13" i="14"/>
  <c r="T45" i="14"/>
  <c r="K45" i="14"/>
  <c r="J45" i="14"/>
  <c r="S45" i="14"/>
  <c r="R45" i="14"/>
  <c r="I45" i="14"/>
  <c r="Q45" i="14"/>
  <c r="H45" i="14"/>
  <c r="U45" i="14"/>
  <c r="O45" i="14"/>
  <c r="W45" i="14"/>
  <c r="N45" i="14"/>
  <c r="M45" i="14"/>
  <c r="L45" i="14"/>
  <c r="V45" i="14"/>
  <c r="E19" i="34"/>
  <c r="P1" i="23"/>
  <c r="W29" i="14"/>
  <c r="L29" i="14"/>
  <c r="K29" i="14"/>
  <c r="V29" i="14"/>
  <c r="H29" i="14"/>
  <c r="S29" i="14"/>
  <c r="U29" i="14"/>
  <c r="M29" i="14"/>
  <c r="T29" i="14"/>
  <c r="I29" i="14"/>
  <c r="N29" i="14"/>
  <c r="J29" i="14"/>
  <c r="R29" i="14"/>
  <c r="Q29" i="14"/>
  <c r="O29" i="14"/>
  <c r="W17" i="14"/>
  <c r="M17" i="14"/>
  <c r="V17" i="14"/>
  <c r="I17" i="14"/>
  <c r="U17" i="14"/>
  <c r="N17" i="14"/>
  <c r="T17" i="14"/>
  <c r="J17" i="14"/>
  <c r="S17" i="14"/>
  <c r="K17" i="14"/>
  <c r="H17" i="14"/>
  <c r="R17" i="14"/>
  <c r="Q17" i="14"/>
  <c r="L17" i="14"/>
  <c r="O17" i="14"/>
  <c r="T22" i="14"/>
  <c r="H22" i="14"/>
  <c r="W22" i="14"/>
  <c r="N22" i="14"/>
  <c r="V22" i="14"/>
  <c r="J22" i="14"/>
  <c r="R22" i="14"/>
  <c r="K22" i="14"/>
  <c r="O22" i="14"/>
  <c r="I22" i="14"/>
  <c r="U22" i="14"/>
  <c r="M22" i="14"/>
  <c r="L22" i="14"/>
  <c r="S22" i="14"/>
  <c r="Q22" i="14"/>
  <c r="E13" i="34"/>
  <c r="AH13" i="34"/>
  <c r="W24" i="14"/>
  <c r="V24" i="14"/>
  <c r="U24" i="14"/>
  <c r="T24" i="14"/>
  <c r="S24" i="14"/>
  <c r="R24" i="14"/>
  <c r="Q24" i="14"/>
  <c r="W19" i="14"/>
  <c r="V19" i="14"/>
  <c r="U19" i="14"/>
  <c r="T19" i="14"/>
  <c r="S19" i="14"/>
  <c r="R19" i="14"/>
  <c r="Q19" i="14"/>
  <c r="O19" i="14"/>
  <c r="W12" i="14"/>
  <c r="V12" i="14"/>
  <c r="U12" i="14"/>
  <c r="T12" i="14"/>
  <c r="Q12" i="14"/>
  <c r="S12" i="14"/>
  <c r="R12" i="14"/>
  <c r="W8" i="14"/>
  <c r="V8" i="14"/>
  <c r="U8" i="14"/>
  <c r="T8" i="14"/>
  <c r="S8" i="14"/>
  <c r="R8" i="14"/>
  <c r="Q8" i="14"/>
  <c r="O8" i="14"/>
  <c r="O18" i="14"/>
  <c r="W18" i="14"/>
  <c r="V18" i="14"/>
  <c r="U18" i="14"/>
  <c r="T18" i="14"/>
  <c r="S18" i="14"/>
  <c r="R18" i="14"/>
  <c r="Q18" i="14"/>
  <c r="S14" i="14"/>
  <c r="R14" i="14"/>
  <c r="W14" i="14"/>
  <c r="V14" i="14"/>
  <c r="O14" i="14"/>
  <c r="Q14" i="14"/>
  <c r="T14" i="14"/>
  <c r="U14" i="14"/>
  <c r="W20" i="14"/>
  <c r="V20" i="14"/>
  <c r="U20" i="14"/>
  <c r="T20" i="14"/>
  <c r="S20" i="14"/>
  <c r="R20" i="14"/>
  <c r="Q20" i="14"/>
  <c r="O20" i="14"/>
  <c r="W28" i="14"/>
  <c r="V28" i="14"/>
  <c r="U28" i="14"/>
  <c r="T28" i="14"/>
  <c r="Q28" i="14"/>
  <c r="O28" i="14"/>
  <c r="S28" i="14"/>
  <c r="R28" i="14"/>
  <c r="V5" i="14"/>
  <c r="U5" i="14"/>
  <c r="T5" i="14"/>
  <c r="S5" i="14"/>
  <c r="Q5" i="14"/>
  <c r="W5" i="14"/>
  <c r="O5" i="14"/>
  <c r="R5" i="14"/>
  <c r="W11" i="14"/>
  <c r="V11" i="14"/>
  <c r="U11" i="14"/>
  <c r="T11" i="14"/>
  <c r="S11" i="14"/>
  <c r="R11" i="14"/>
  <c r="Q11" i="14"/>
  <c r="O43" i="14"/>
  <c r="W43" i="14"/>
  <c r="V43" i="14"/>
  <c r="U43" i="14"/>
  <c r="T43" i="14"/>
  <c r="S43" i="14"/>
  <c r="R43" i="14"/>
  <c r="Q43" i="14"/>
  <c r="W31" i="14"/>
  <c r="V31" i="14"/>
  <c r="U31" i="14"/>
  <c r="T31" i="14"/>
  <c r="S31" i="14"/>
  <c r="R31" i="14"/>
  <c r="Q31" i="14"/>
  <c r="O31" i="14"/>
  <c r="W10" i="14"/>
  <c r="V10" i="14"/>
  <c r="U10" i="14"/>
  <c r="T10" i="14"/>
  <c r="S10" i="14"/>
  <c r="R10" i="14"/>
  <c r="Q10" i="14"/>
  <c r="W16" i="14"/>
  <c r="V16" i="14"/>
  <c r="U16" i="14"/>
  <c r="T16" i="14"/>
  <c r="S16" i="14"/>
  <c r="R16" i="14"/>
  <c r="Q16" i="14"/>
  <c r="O16" i="14"/>
  <c r="W23" i="14"/>
  <c r="V23" i="14"/>
  <c r="U23" i="14"/>
  <c r="T23" i="14"/>
  <c r="S23" i="14"/>
  <c r="R23" i="14"/>
  <c r="Q23" i="14"/>
  <c r="O23" i="14"/>
  <c r="W9" i="14"/>
  <c r="V9" i="14"/>
  <c r="U9" i="14"/>
  <c r="T9" i="14"/>
  <c r="S9" i="14"/>
  <c r="R9" i="14"/>
  <c r="Q9" i="14"/>
  <c r="W27" i="14"/>
  <c r="V27" i="14"/>
  <c r="U27" i="14"/>
  <c r="T27" i="14"/>
  <c r="S27" i="14"/>
  <c r="R27" i="14"/>
  <c r="Q27" i="14"/>
  <c r="O27" i="14"/>
  <c r="U6" i="14"/>
  <c r="S6" i="14"/>
  <c r="T6" i="14"/>
  <c r="R6" i="14"/>
  <c r="Q6" i="14"/>
  <c r="W6" i="14"/>
  <c r="O6" i="14"/>
  <c r="V6" i="14"/>
  <c r="W13" i="14"/>
  <c r="V13" i="14"/>
  <c r="U13" i="14"/>
  <c r="T13" i="14"/>
  <c r="S13" i="14"/>
  <c r="R13" i="14"/>
  <c r="Q13" i="14"/>
  <c r="I43" i="14"/>
  <c r="N44" i="14"/>
  <c r="H43" i="14"/>
  <c r="M44" i="14"/>
  <c r="L44" i="14"/>
  <c r="N43" i="14"/>
  <c r="H44" i="14"/>
  <c r="K44" i="14"/>
  <c r="M43" i="14"/>
  <c r="J43" i="14"/>
  <c r="J44" i="14"/>
  <c r="L43" i="14"/>
  <c r="I44" i="14"/>
  <c r="K43" i="14"/>
  <c r="N12" i="14"/>
  <c r="K12" i="14"/>
  <c r="I12" i="14"/>
  <c r="L12" i="14"/>
  <c r="H12" i="14"/>
  <c r="M12" i="14"/>
  <c r="J12" i="14"/>
  <c r="K18" i="14"/>
  <c r="L18" i="14"/>
  <c r="H18" i="14"/>
  <c r="M18" i="14"/>
  <c r="I18" i="14"/>
  <c r="J18" i="14"/>
  <c r="N18" i="14"/>
  <c r="M8" i="14"/>
  <c r="I8" i="14"/>
  <c r="N8" i="14"/>
  <c r="J8" i="14"/>
  <c r="K8" i="14"/>
  <c r="L8" i="14"/>
  <c r="H8" i="14"/>
  <c r="L14" i="14"/>
  <c r="N14" i="14"/>
  <c r="J14" i="14"/>
  <c r="H14" i="14"/>
  <c r="M14" i="14"/>
  <c r="K14" i="14"/>
  <c r="I14" i="14"/>
  <c r="K20" i="14"/>
  <c r="M20" i="14"/>
  <c r="N20" i="14"/>
  <c r="L20" i="14"/>
  <c r="H20" i="14"/>
  <c r="I20" i="14"/>
  <c r="J20" i="14"/>
  <c r="I28" i="14"/>
  <c r="K28" i="14"/>
  <c r="J28" i="14"/>
  <c r="L28" i="14"/>
  <c r="H28" i="14"/>
  <c r="M28" i="14"/>
  <c r="N28" i="14"/>
  <c r="K5" i="14"/>
  <c r="N5" i="14"/>
  <c r="I5" i="14"/>
  <c r="L5" i="14"/>
  <c r="H5" i="14"/>
  <c r="M5" i="14"/>
  <c r="J5" i="14"/>
  <c r="J11" i="14"/>
  <c r="L11" i="14"/>
  <c r="H11" i="14"/>
  <c r="M11" i="14"/>
  <c r="I11" i="14"/>
  <c r="N11" i="14"/>
  <c r="K11" i="14"/>
  <c r="M31" i="14"/>
  <c r="I31" i="14"/>
  <c r="N31" i="14"/>
  <c r="J31" i="14"/>
  <c r="K31" i="14"/>
  <c r="L31" i="14"/>
  <c r="H31" i="14"/>
  <c r="L10" i="14"/>
  <c r="H10" i="14"/>
  <c r="M10" i="14"/>
  <c r="I10" i="14"/>
  <c r="N10" i="14"/>
  <c r="J10" i="14"/>
  <c r="K10" i="14"/>
  <c r="M16" i="14"/>
  <c r="I16" i="14"/>
  <c r="K16" i="14"/>
  <c r="N16" i="14"/>
  <c r="J16" i="14"/>
  <c r="H16" i="14"/>
  <c r="L16" i="14"/>
  <c r="M23" i="14"/>
  <c r="I23" i="14"/>
  <c r="N23" i="14"/>
  <c r="J23" i="14"/>
  <c r="K23" i="14"/>
  <c r="L23" i="14"/>
  <c r="H23" i="14"/>
  <c r="K9" i="14"/>
  <c r="M9" i="14"/>
  <c r="I9" i="14"/>
  <c r="L9" i="14"/>
  <c r="N9" i="14"/>
  <c r="J9" i="14"/>
  <c r="H9" i="14"/>
  <c r="K27" i="14"/>
  <c r="L27" i="14"/>
  <c r="H27" i="14"/>
  <c r="M27" i="14"/>
  <c r="I27" i="14"/>
  <c r="N27" i="14"/>
  <c r="J27" i="14"/>
  <c r="N6" i="14"/>
  <c r="J6" i="14"/>
  <c r="K6" i="14"/>
  <c r="I6" i="14"/>
  <c r="L6" i="14"/>
  <c r="M6" i="14"/>
  <c r="H6" i="14"/>
  <c r="M24" i="14"/>
  <c r="I24" i="14"/>
  <c r="H24" i="14"/>
  <c r="N24" i="14"/>
  <c r="J24" i="14"/>
  <c r="L24" i="14"/>
  <c r="K24" i="14"/>
  <c r="K19" i="14"/>
  <c r="H19" i="14"/>
  <c r="L19" i="14"/>
  <c r="M19" i="14"/>
  <c r="I19" i="14"/>
  <c r="N19" i="14"/>
  <c r="J19" i="14"/>
  <c r="N13" i="14"/>
  <c r="J13" i="14"/>
  <c r="K13" i="14"/>
  <c r="L13" i="14"/>
  <c r="H13" i="14"/>
  <c r="M13" i="14"/>
  <c r="I13" i="14"/>
  <c r="E18" i="34"/>
  <c r="AH23" i="34"/>
  <c r="E23" i="34"/>
  <c r="AH15" i="34"/>
  <c r="E15" i="34"/>
  <c r="AH21" i="34"/>
  <c r="E21" i="34"/>
  <c r="AH20" i="34"/>
  <c r="E20" i="34"/>
  <c r="F6" i="26"/>
  <c r="E12" i="34"/>
  <c r="AH12" i="34"/>
  <c r="E16" i="34"/>
  <c r="AH34" i="34"/>
  <c r="P18" i="33"/>
  <c r="J18" i="33"/>
  <c r="G18" i="33"/>
  <c r="R18" i="33"/>
  <c r="Q18" i="33"/>
  <c r="U18" i="33"/>
  <c r="V18" i="33"/>
  <c r="L18" i="33"/>
  <c r="M18" i="33"/>
  <c r="S18" i="33"/>
  <c r="H18" i="33"/>
  <c r="N18" i="33"/>
  <c r="I18" i="33"/>
  <c r="K18" i="33"/>
  <c r="T18" i="33"/>
  <c r="R19" i="33"/>
  <c r="T19" i="33"/>
  <c r="U19" i="33"/>
  <c r="P19" i="33"/>
  <c r="I19" i="33"/>
  <c r="K19" i="33"/>
  <c r="J19" i="33"/>
  <c r="V19" i="33"/>
  <c r="G19" i="33"/>
  <c r="M19" i="33"/>
  <c r="Q19" i="33"/>
  <c r="S19" i="33"/>
  <c r="H19" i="33"/>
  <c r="N19" i="33"/>
  <c r="L19" i="33"/>
  <c r="E5" i="34"/>
  <c r="AH5" i="34"/>
  <c r="AH28" i="34"/>
  <c r="E28" i="34"/>
  <c r="AH10" i="34"/>
  <c r="E10" i="34"/>
  <c r="AH38" i="34"/>
  <c r="E38" i="34"/>
  <c r="K24" i="33"/>
  <c r="G24" i="33"/>
  <c r="H24" i="33"/>
  <c r="S24" i="33"/>
  <c r="N24" i="33"/>
  <c r="T24" i="33"/>
  <c r="J24" i="33"/>
  <c r="U24" i="33"/>
  <c r="L24" i="33"/>
  <c r="P24" i="33"/>
  <c r="V24" i="33"/>
  <c r="R24" i="33"/>
  <c r="Q24" i="33"/>
  <c r="M24" i="33"/>
  <c r="I24" i="33"/>
  <c r="Q16" i="33"/>
  <c r="U16" i="33"/>
  <c r="I16" i="33"/>
  <c r="H16" i="33"/>
  <c r="L16" i="33"/>
  <c r="V16" i="33"/>
  <c r="P16" i="33"/>
  <c r="T16" i="33"/>
  <c r="G16" i="33"/>
  <c r="K16" i="33"/>
  <c r="N16" i="33"/>
  <c r="J16" i="33"/>
  <c r="S16" i="33"/>
  <c r="R16" i="33"/>
  <c r="M16" i="33"/>
  <c r="T32" i="33"/>
  <c r="H32" i="33"/>
  <c r="K32" i="33"/>
  <c r="P32" i="33"/>
  <c r="R32" i="33"/>
  <c r="S32" i="33"/>
  <c r="G32" i="33"/>
  <c r="J32" i="33"/>
  <c r="U32" i="33"/>
  <c r="Q32" i="33"/>
  <c r="V32" i="33"/>
  <c r="N32" i="33"/>
  <c r="M32" i="33"/>
  <c r="I32" i="33"/>
  <c r="L32" i="33"/>
  <c r="J63" i="33"/>
  <c r="R63" i="33"/>
  <c r="V63" i="33"/>
  <c r="G63" i="33"/>
  <c r="S63" i="33"/>
  <c r="I63" i="33"/>
  <c r="M63" i="33"/>
  <c r="P63" i="33"/>
  <c r="Q63" i="33"/>
  <c r="U63" i="33"/>
  <c r="T63" i="33"/>
  <c r="H63" i="33"/>
  <c r="L63" i="33"/>
  <c r="K63" i="33"/>
  <c r="N63" i="33"/>
  <c r="N25" i="33"/>
  <c r="K25" i="33"/>
  <c r="T25" i="33"/>
  <c r="V25" i="33"/>
  <c r="L25" i="33"/>
  <c r="R25" i="33"/>
  <c r="M25" i="33"/>
  <c r="P25" i="33"/>
  <c r="I25" i="33"/>
  <c r="S25" i="33"/>
  <c r="J25" i="33"/>
  <c r="G25" i="33"/>
  <c r="Q25" i="33"/>
  <c r="U25" i="33"/>
  <c r="H25" i="33"/>
  <c r="V20" i="33"/>
  <c r="Q20" i="33"/>
  <c r="N20" i="33"/>
  <c r="M20" i="33"/>
  <c r="R20" i="33"/>
  <c r="S20" i="33"/>
  <c r="U20" i="33"/>
  <c r="I20" i="33"/>
  <c r="P20" i="33"/>
  <c r="G20" i="33"/>
  <c r="J20" i="33"/>
  <c r="L20" i="33"/>
  <c r="H20" i="33"/>
  <c r="K20" i="33"/>
  <c r="T20" i="33"/>
  <c r="E7" i="34"/>
  <c r="AH22" i="34"/>
  <c r="E22" i="34"/>
  <c r="AH9" i="34"/>
  <c r="E9" i="34"/>
  <c r="AH4" i="34"/>
  <c r="E4" i="34"/>
  <c r="AH31" i="34"/>
  <c r="E31" i="34"/>
  <c r="F27" i="34"/>
  <c r="O1" i="34"/>
  <c r="AH6" i="34"/>
  <c r="E6" i="34"/>
  <c r="AH11" i="34"/>
  <c r="E11" i="34"/>
  <c r="AH36" i="34"/>
  <c r="E36" i="34"/>
  <c r="AH8" i="34"/>
  <c r="E8" i="34"/>
  <c r="R8" i="33"/>
  <c r="I8" i="33"/>
  <c r="Q8" i="33"/>
  <c r="H8" i="33"/>
  <c r="G8" i="33"/>
  <c r="P8" i="33"/>
  <c r="S8" i="33"/>
  <c r="N8" i="33"/>
  <c r="U8" i="33"/>
  <c r="V8" i="33"/>
  <c r="M8" i="33"/>
  <c r="L8" i="33"/>
  <c r="J8" i="33"/>
  <c r="T8" i="33"/>
  <c r="K8" i="33"/>
  <c r="I11" i="33"/>
  <c r="Q11" i="33"/>
  <c r="H11" i="33"/>
  <c r="G11" i="33"/>
  <c r="P11" i="33"/>
  <c r="R11" i="33"/>
  <c r="N11" i="33"/>
  <c r="M11" i="33"/>
  <c r="U11" i="33"/>
  <c r="S11" i="33"/>
  <c r="V11" i="33"/>
  <c r="L11" i="33"/>
  <c r="T11" i="33"/>
  <c r="K11" i="33"/>
  <c r="J11" i="33"/>
  <c r="V26" i="33"/>
  <c r="M26" i="33"/>
  <c r="U26" i="33"/>
  <c r="L26" i="33"/>
  <c r="T26" i="33"/>
  <c r="K26" i="33"/>
  <c r="S26" i="33"/>
  <c r="J26" i="33"/>
  <c r="R26" i="33"/>
  <c r="I26" i="33"/>
  <c r="N26" i="33"/>
  <c r="Q26" i="33"/>
  <c r="H26" i="33"/>
  <c r="P26" i="33"/>
  <c r="G26" i="33"/>
  <c r="V5" i="33"/>
  <c r="M5" i="33"/>
  <c r="U5" i="33"/>
  <c r="L5" i="33"/>
  <c r="T5" i="33"/>
  <c r="K5" i="33"/>
  <c r="S5" i="33"/>
  <c r="J5" i="33"/>
  <c r="R5" i="33"/>
  <c r="I5" i="33"/>
  <c r="Q5" i="33"/>
  <c r="H5" i="33"/>
  <c r="N5" i="33"/>
  <c r="P5" i="33"/>
  <c r="G5" i="33"/>
  <c r="U4" i="33"/>
  <c r="L4" i="33"/>
  <c r="K4" i="33"/>
  <c r="T4" i="33"/>
  <c r="S4" i="33"/>
  <c r="J4" i="33"/>
  <c r="I4" i="33"/>
  <c r="Q4" i="33"/>
  <c r="H4" i="33"/>
  <c r="M4" i="33"/>
  <c r="R4" i="33"/>
  <c r="N4" i="33"/>
  <c r="P4" i="33"/>
  <c r="G4" i="33"/>
  <c r="V4" i="33"/>
  <c r="P28" i="33"/>
  <c r="G28" i="33"/>
  <c r="N28" i="33"/>
  <c r="M28" i="33"/>
  <c r="V28" i="33"/>
  <c r="H28" i="33"/>
  <c r="U28" i="33"/>
  <c r="L28" i="33"/>
  <c r="K28" i="33"/>
  <c r="S28" i="33"/>
  <c r="T28" i="33"/>
  <c r="Q28" i="33"/>
  <c r="J28" i="33"/>
  <c r="R28" i="33"/>
  <c r="I28" i="33"/>
  <c r="T62" i="33"/>
  <c r="K62" i="33"/>
  <c r="S62" i="33"/>
  <c r="J62" i="33"/>
  <c r="I62" i="33"/>
  <c r="R62" i="33"/>
  <c r="L62" i="33"/>
  <c r="Q62" i="33"/>
  <c r="H62" i="33"/>
  <c r="N62" i="33"/>
  <c r="P62" i="33"/>
  <c r="G62" i="33"/>
  <c r="U62" i="33"/>
  <c r="V62" i="33"/>
  <c r="M62" i="33"/>
  <c r="P7" i="33"/>
  <c r="G7" i="33"/>
  <c r="N7" i="33"/>
  <c r="V7" i="33"/>
  <c r="M7" i="33"/>
  <c r="U7" i="33"/>
  <c r="L7" i="33"/>
  <c r="Q7" i="33"/>
  <c r="T7" i="33"/>
  <c r="K7" i="33"/>
  <c r="S7" i="33"/>
  <c r="J7" i="33"/>
  <c r="R7" i="33"/>
  <c r="I7" i="33"/>
  <c r="H7" i="33"/>
  <c r="T30" i="33"/>
  <c r="K30" i="33"/>
  <c r="S30" i="33"/>
  <c r="J30" i="33"/>
  <c r="R30" i="33"/>
  <c r="I30" i="33"/>
  <c r="Q30" i="33"/>
  <c r="H30" i="33"/>
  <c r="P30" i="33"/>
  <c r="G30" i="33"/>
  <c r="L30" i="33"/>
  <c r="N30" i="33"/>
  <c r="V30" i="33"/>
  <c r="M30" i="33"/>
  <c r="U30" i="33"/>
  <c r="R23" i="33"/>
  <c r="I23" i="33"/>
  <c r="Q23" i="33"/>
  <c r="H23" i="33"/>
  <c r="P23" i="33"/>
  <c r="G23" i="33"/>
  <c r="N23" i="33"/>
  <c r="J23" i="33"/>
  <c r="V23" i="33"/>
  <c r="M23" i="33"/>
  <c r="S23" i="33"/>
  <c r="U23" i="33"/>
  <c r="L23" i="33"/>
  <c r="T23" i="33"/>
  <c r="K23" i="33"/>
  <c r="V22" i="33"/>
  <c r="M22" i="33"/>
  <c r="U22" i="33"/>
  <c r="L22" i="33"/>
  <c r="T22" i="33"/>
  <c r="K22" i="33"/>
  <c r="S22" i="33"/>
  <c r="J22" i="33"/>
  <c r="R22" i="33"/>
  <c r="I22" i="33"/>
  <c r="Q22" i="33"/>
  <c r="H22" i="33"/>
  <c r="N22" i="33"/>
  <c r="P22" i="33"/>
  <c r="G22" i="33"/>
  <c r="T9" i="33"/>
  <c r="K9" i="33"/>
  <c r="S9" i="33"/>
  <c r="J9" i="33"/>
  <c r="U9" i="33"/>
  <c r="R9" i="33"/>
  <c r="I9" i="33"/>
  <c r="L9" i="33"/>
  <c r="Q9" i="33"/>
  <c r="H9" i="33"/>
  <c r="P9" i="33"/>
  <c r="G9" i="33"/>
  <c r="N9" i="33"/>
  <c r="V9" i="33"/>
  <c r="M9" i="33"/>
  <c r="V21" i="33"/>
  <c r="M21" i="33"/>
  <c r="U21" i="33"/>
  <c r="L21" i="33"/>
  <c r="T21" i="33"/>
  <c r="K21" i="33"/>
  <c r="S21" i="33"/>
  <c r="J21" i="33"/>
  <c r="R21" i="33"/>
  <c r="I21" i="33"/>
  <c r="N21" i="33"/>
  <c r="Q21" i="33"/>
  <c r="H21" i="33"/>
  <c r="P21" i="33"/>
  <c r="G21" i="33"/>
  <c r="T15" i="33"/>
  <c r="K15" i="33"/>
  <c r="S15" i="33"/>
  <c r="J15" i="33"/>
  <c r="U15" i="33"/>
  <c r="R15" i="33"/>
  <c r="I15" i="33"/>
  <c r="L15" i="33"/>
  <c r="Q15" i="33"/>
  <c r="H15" i="33"/>
  <c r="N15" i="33"/>
  <c r="P15" i="33"/>
  <c r="G15" i="33"/>
  <c r="V15" i="33"/>
  <c r="M15" i="33"/>
  <c r="T14" i="33"/>
  <c r="K14" i="33"/>
  <c r="S14" i="33"/>
  <c r="J14" i="33"/>
  <c r="R14" i="33"/>
  <c r="I14" i="33"/>
  <c r="Q14" i="33"/>
  <c r="H14" i="33"/>
  <c r="U14" i="33"/>
  <c r="P14" i="33"/>
  <c r="G14" i="33"/>
  <c r="N14" i="33"/>
  <c r="L14" i="33"/>
  <c r="V14" i="33"/>
  <c r="M14" i="33"/>
  <c r="P6" i="33"/>
  <c r="G6" i="33"/>
  <c r="N6" i="33"/>
  <c r="V6" i="33"/>
  <c r="M6" i="33"/>
  <c r="U6" i="33"/>
  <c r="L6" i="33"/>
  <c r="H6" i="33"/>
  <c r="T6" i="33"/>
  <c r="K6" i="33"/>
  <c r="S6" i="33"/>
  <c r="J6" i="33"/>
  <c r="R6" i="33"/>
  <c r="I6" i="33"/>
  <c r="Q6" i="33"/>
  <c r="V61" i="33"/>
  <c r="M61" i="33"/>
  <c r="U61" i="33"/>
  <c r="L61" i="33"/>
  <c r="K61" i="33"/>
  <c r="T61" i="33"/>
  <c r="S61" i="33"/>
  <c r="J61" i="33"/>
  <c r="R61" i="33"/>
  <c r="I61" i="33"/>
  <c r="H61" i="33"/>
  <c r="Q61" i="33"/>
  <c r="N61" i="33"/>
  <c r="P61" i="33"/>
  <c r="G61" i="33"/>
  <c r="V13" i="33"/>
  <c r="M13" i="33"/>
  <c r="U13" i="33"/>
  <c r="L13" i="33"/>
  <c r="T13" i="33"/>
  <c r="K13" i="33"/>
  <c r="S13" i="33"/>
  <c r="J13" i="33"/>
  <c r="R13" i="33"/>
  <c r="I13" i="33"/>
  <c r="Q13" i="33"/>
  <c r="H13" i="33"/>
  <c r="N13" i="33"/>
  <c r="P13" i="33"/>
  <c r="G13" i="33"/>
  <c r="S10" i="33"/>
  <c r="J10" i="33"/>
  <c r="I10" i="33"/>
  <c r="U10" i="33"/>
  <c r="K10" i="33"/>
  <c r="R10" i="33"/>
  <c r="Q10" i="33"/>
  <c r="H10" i="33"/>
  <c r="G10" i="33"/>
  <c r="P10" i="33"/>
  <c r="T10" i="33"/>
  <c r="N10" i="33"/>
  <c r="L10" i="33"/>
  <c r="V10" i="33"/>
  <c r="M10" i="33"/>
  <c r="P27" i="33"/>
  <c r="G27" i="33"/>
  <c r="N27" i="33"/>
  <c r="V27" i="33"/>
  <c r="M27" i="33"/>
  <c r="U27" i="33"/>
  <c r="L27" i="33"/>
  <c r="T27" i="33"/>
  <c r="K27" i="33"/>
  <c r="H27" i="33"/>
  <c r="S27" i="33"/>
  <c r="J27" i="33"/>
  <c r="R27" i="33"/>
  <c r="I27" i="33"/>
  <c r="Q27" i="33"/>
  <c r="P29" i="33"/>
  <c r="G29" i="33"/>
  <c r="N29" i="33"/>
  <c r="V29" i="33"/>
  <c r="M29" i="33"/>
  <c r="U29" i="33"/>
  <c r="L29" i="33"/>
  <c r="Q29" i="33"/>
  <c r="T29" i="33"/>
  <c r="K29" i="33"/>
  <c r="S29" i="33"/>
  <c r="J29" i="33"/>
  <c r="H29" i="33"/>
  <c r="R29" i="33"/>
  <c r="I29" i="33"/>
  <c r="V17" i="33"/>
  <c r="M17" i="33"/>
  <c r="U17" i="33"/>
  <c r="L17" i="33"/>
  <c r="T17" i="33"/>
  <c r="K17" i="33"/>
  <c r="S17" i="33"/>
  <c r="J17" i="33"/>
  <c r="R17" i="33"/>
  <c r="I17" i="33"/>
  <c r="Q17" i="33"/>
  <c r="H17" i="33"/>
  <c r="N17" i="33"/>
  <c r="P17" i="33"/>
  <c r="G17" i="33"/>
  <c r="P31" i="33"/>
  <c r="G31" i="33"/>
  <c r="N31" i="33"/>
  <c r="V31" i="33"/>
  <c r="M31" i="33"/>
  <c r="U31" i="33"/>
  <c r="L31" i="33"/>
  <c r="T31" i="33"/>
  <c r="K31" i="33"/>
  <c r="S31" i="33"/>
  <c r="J31" i="33"/>
  <c r="Q31" i="33"/>
  <c r="R31" i="33"/>
  <c r="I31" i="33"/>
  <c r="H31" i="33"/>
  <c r="T12" i="33"/>
  <c r="K12" i="33"/>
  <c r="S12" i="33"/>
  <c r="J12" i="33"/>
  <c r="R12" i="33"/>
  <c r="I12" i="33"/>
  <c r="Q12" i="33"/>
  <c r="H12" i="33"/>
  <c r="U12" i="33"/>
  <c r="P12" i="33"/>
  <c r="G12" i="33"/>
  <c r="N12" i="33"/>
  <c r="V12" i="33"/>
  <c r="M12" i="33"/>
  <c r="L12" i="33"/>
  <c r="R4" i="14"/>
  <c r="I4" i="14"/>
  <c r="Q4" i="14"/>
  <c r="H4" i="14"/>
  <c r="J4" i="14"/>
  <c r="W4" i="14"/>
  <c r="N4" i="14"/>
  <c r="U4" i="14"/>
  <c r="S4" i="14"/>
  <c r="V4" i="14"/>
  <c r="M4" i="14"/>
  <c r="L4" i="14"/>
  <c r="T4" i="14"/>
  <c r="K4" i="14"/>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P80" i="6" l="1"/>
  <c r="G80" i="6" s="1"/>
  <c r="P62" i="14"/>
  <c r="G62" i="14" s="1"/>
  <c r="P61" i="14"/>
  <c r="G61" i="14" s="1"/>
  <c r="S1" i="36"/>
  <c r="T1" i="36"/>
  <c r="P135" i="6"/>
  <c r="G135" i="6" s="1"/>
  <c r="R1" i="36"/>
  <c r="P134" i="6"/>
  <c r="G134" i="6" s="1"/>
  <c r="P120" i="6"/>
  <c r="G120" i="6" s="1"/>
  <c r="P121" i="6"/>
  <c r="G121" i="6" s="1"/>
  <c r="P116" i="6"/>
  <c r="G116" i="6" s="1"/>
  <c r="P92" i="6"/>
  <c r="G92" i="6" s="1"/>
  <c r="F92" i="6" s="1"/>
  <c r="P130" i="6"/>
  <c r="G130" i="6" s="1"/>
  <c r="P113" i="6"/>
  <c r="G113" i="6" s="1"/>
  <c r="P117" i="6"/>
  <c r="G117" i="6" s="1"/>
  <c r="P60" i="14"/>
  <c r="G60" i="14" s="1"/>
  <c r="O45" i="33"/>
  <c r="F45" i="33" s="1"/>
  <c r="P56" i="6"/>
  <c r="G56" i="6" s="1"/>
  <c r="P104" i="6"/>
  <c r="G104" i="6" s="1"/>
  <c r="P58" i="14"/>
  <c r="G58" i="14" s="1"/>
  <c r="P56" i="14"/>
  <c r="G56" i="14" s="1"/>
  <c r="P7" i="14"/>
  <c r="G7" i="14" s="1"/>
  <c r="P55" i="14"/>
  <c r="G55" i="14" s="1"/>
  <c r="F55" i="14" s="1"/>
  <c r="P54" i="14"/>
  <c r="G54" i="14" s="1"/>
  <c r="P87" i="6"/>
  <c r="G87" i="6" s="1"/>
  <c r="P4" i="14"/>
  <c r="G4" i="14" s="1"/>
  <c r="F4" i="14" s="1"/>
  <c r="O1" i="14"/>
  <c r="P52" i="14"/>
  <c r="G52" i="14" s="1"/>
  <c r="AG52" i="14" s="1"/>
  <c r="P30" i="14"/>
  <c r="G30" i="14" s="1"/>
  <c r="AG30" i="14" s="1"/>
  <c r="P51" i="14"/>
  <c r="G51" i="14" s="1"/>
  <c r="P50" i="14"/>
  <c r="G50" i="14" s="1"/>
  <c r="AG50" i="14" s="1"/>
  <c r="P49" i="14"/>
  <c r="G49" i="14" s="1"/>
  <c r="AG1" i="23"/>
  <c r="P40" i="14"/>
  <c r="G40" i="14" s="1"/>
  <c r="AG40" i="14" s="1"/>
  <c r="I22" i="38"/>
  <c r="I2" i="38" s="1"/>
  <c r="P47" i="14"/>
  <c r="G47" i="14" s="1"/>
  <c r="AG47" i="14" s="1"/>
  <c r="P46" i="14"/>
  <c r="G46" i="14" s="1"/>
  <c r="AG46" i="14" s="1"/>
  <c r="P48" i="14"/>
  <c r="G48" i="14" s="1"/>
  <c r="P25" i="14"/>
  <c r="G25" i="14" s="1"/>
  <c r="AG25" i="14" s="1"/>
  <c r="P15" i="14"/>
  <c r="G15" i="14" s="1"/>
  <c r="AG15" i="14" s="1"/>
  <c r="P21" i="14"/>
  <c r="P44" i="14"/>
  <c r="G44" i="14" s="1"/>
  <c r="P26" i="14"/>
  <c r="G26" i="14" s="1"/>
  <c r="AG26" i="14" s="1"/>
  <c r="P45" i="14"/>
  <c r="G45" i="14" s="1"/>
  <c r="AG45" i="14" s="1"/>
  <c r="F5" i="26"/>
  <c r="P43" i="14"/>
  <c r="G43" i="14" s="1"/>
  <c r="AG43" i="14" s="1"/>
  <c r="P11" i="14"/>
  <c r="P18" i="14"/>
  <c r="G18" i="14" s="1"/>
  <c r="AG18" i="14" s="1"/>
  <c r="P29" i="14"/>
  <c r="P13" i="14"/>
  <c r="P27" i="14"/>
  <c r="P9" i="14"/>
  <c r="P23" i="14"/>
  <c r="G23" i="14" s="1"/>
  <c r="AG23" i="14" s="1"/>
  <c r="P16" i="14"/>
  <c r="P10" i="14"/>
  <c r="P31" i="14"/>
  <c r="P20" i="14"/>
  <c r="G20" i="14" s="1"/>
  <c r="AG20" i="14" s="1"/>
  <c r="P8" i="14"/>
  <c r="P19" i="14"/>
  <c r="G19" i="14" s="1"/>
  <c r="AG19" i="14" s="1"/>
  <c r="P24" i="14"/>
  <c r="P22" i="14"/>
  <c r="P14" i="14"/>
  <c r="P17" i="14"/>
  <c r="P6" i="14"/>
  <c r="P5" i="14"/>
  <c r="P28" i="14"/>
  <c r="G28" i="14" s="1"/>
  <c r="AG28" i="14" s="1"/>
  <c r="P12" i="14"/>
  <c r="G12" i="14" s="1"/>
  <c r="AG12" i="14" s="1"/>
  <c r="F9" i="26"/>
  <c r="F10" i="26"/>
  <c r="F11" i="26"/>
  <c r="F7" i="26"/>
  <c r="E7" i="26" s="1"/>
  <c r="O19" i="33"/>
  <c r="F19" i="33" s="1"/>
  <c r="O18" i="33"/>
  <c r="F18" i="33" s="1"/>
  <c r="O16" i="33"/>
  <c r="F16" i="33" s="1"/>
  <c r="O20" i="33"/>
  <c r="F20" i="33" s="1"/>
  <c r="O32" i="33"/>
  <c r="F32" i="33" s="1"/>
  <c r="O24" i="33"/>
  <c r="F24" i="33" s="1"/>
  <c r="O63" i="33"/>
  <c r="F63" i="33" s="1"/>
  <c r="O25" i="33"/>
  <c r="F25" i="33" s="1"/>
  <c r="AH27" i="34"/>
  <c r="E27" i="34"/>
  <c r="F1" i="34"/>
  <c r="O10" i="33"/>
  <c r="F10" i="33" s="1"/>
  <c r="AH10" i="33" s="1"/>
  <c r="O9" i="33"/>
  <c r="F9" i="33" s="1"/>
  <c r="E9" i="33" s="1"/>
  <c r="O26" i="33"/>
  <c r="F26" i="33" s="1"/>
  <c r="AH26" i="33" s="1"/>
  <c r="O30" i="33"/>
  <c r="F30" i="33" s="1"/>
  <c r="AH30" i="33" s="1"/>
  <c r="O15" i="33"/>
  <c r="F15" i="33" s="1"/>
  <c r="R1" i="33"/>
  <c r="K1" i="33"/>
  <c r="O27" i="33"/>
  <c r="F27" i="33" s="1"/>
  <c r="O61" i="33"/>
  <c r="F61" i="33" s="1"/>
  <c r="M1" i="33"/>
  <c r="L1" i="33"/>
  <c r="O8" i="33"/>
  <c r="F8" i="33" s="1"/>
  <c r="O29" i="33"/>
  <c r="F29" i="33" s="1"/>
  <c r="O13" i="33"/>
  <c r="F13" i="33" s="1"/>
  <c r="O62" i="33"/>
  <c r="F62" i="33" s="1"/>
  <c r="H1" i="33"/>
  <c r="U1" i="33"/>
  <c r="J1" i="33"/>
  <c r="O14" i="33"/>
  <c r="F14" i="33" s="1"/>
  <c r="O22" i="33"/>
  <c r="F22" i="33" s="1"/>
  <c r="O23" i="33"/>
  <c r="F23" i="33" s="1"/>
  <c r="O28" i="33"/>
  <c r="F28" i="33" s="1"/>
  <c r="Q1" i="33"/>
  <c r="O11" i="33"/>
  <c r="F11" i="33" s="1"/>
  <c r="O12" i="33"/>
  <c r="F12" i="33" s="1"/>
  <c r="O31" i="33"/>
  <c r="F31" i="33" s="1"/>
  <c r="V1" i="33"/>
  <c r="I1" i="33"/>
  <c r="O5" i="33"/>
  <c r="F5" i="33" s="1"/>
  <c r="N1" i="33"/>
  <c r="O6" i="33"/>
  <c r="F6" i="33" s="1"/>
  <c r="O21" i="33"/>
  <c r="F21" i="33" s="1"/>
  <c r="O7" i="33"/>
  <c r="F7" i="33" s="1"/>
  <c r="G1" i="33"/>
  <c r="T1" i="33"/>
  <c r="O17" i="33"/>
  <c r="F17" i="33" s="1"/>
  <c r="O4" i="33"/>
  <c r="P1" i="33"/>
  <c r="S1" i="33"/>
  <c r="G32" i="14"/>
  <c r="AG32" i="14" s="1"/>
  <c r="G39" i="14"/>
  <c r="AG39" i="14" s="1"/>
  <c r="G41" i="14"/>
  <c r="Q170" i="1"/>
  <c r="H4" i="6" s="1"/>
  <c r="Q171" i="1"/>
  <c r="Q172" i="1"/>
  <c r="AG80" i="6" l="1"/>
  <c r="F80" i="6"/>
  <c r="AG61" i="14"/>
  <c r="F61" i="14"/>
  <c r="F62" i="14"/>
  <c r="AG62" i="14"/>
  <c r="F134" i="6"/>
  <c r="AG134" i="6"/>
  <c r="AG135" i="6"/>
  <c r="F135" i="6"/>
  <c r="F121" i="6"/>
  <c r="AG121" i="6"/>
  <c r="AG120" i="6"/>
  <c r="F120" i="6"/>
  <c r="Q133" i="6"/>
  <c r="L133" i="6"/>
  <c r="H133" i="6"/>
  <c r="I133" i="6"/>
  <c r="O133" i="6"/>
  <c r="T133" i="6"/>
  <c r="W133" i="6"/>
  <c r="K133" i="6"/>
  <c r="N133" i="6"/>
  <c r="S133" i="6"/>
  <c r="V133" i="6"/>
  <c r="J133" i="6"/>
  <c r="M133" i="6"/>
  <c r="R133" i="6"/>
  <c r="U133" i="6"/>
  <c r="AG116" i="6"/>
  <c r="F116" i="6"/>
  <c r="AG92" i="6"/>
  <c r="F130" i="6"/>
  <c r="AG130" i="6"/>
  <c r="M124" i="6"/>
  <c r="I124" i="6"/>
  <c r="U124" i="6"/>
  <c r="N124" i="6"/>
  <c r="L124" i="6"/>
  <c r="Q124" i="6"/>
  <c r="T124" i="6"/>
  <c r="H124" i="6"/>
  <c r="K124" i="6"/>
  <c r="W124" i="6"/>
  <c r="S124" i="6"/>
  <c r="O124" i="6"/>
  <c r="J124" i="6"/>
  <c r="V124" i="6"/>
  <c r="R124" i="6"/>
  <c r="Q127" i="6"/>
  <c r="M127" i="6"/>
  <c r="H127" i="6"/>
  <c r="U127" i="6"/>
  <c r="O127" i="6"/>
  <c r="L127" i="6"/>
  <c r="K127" i="6"/>
  <c r="T127" i="6"/>
  <c r="W127" i="6"/>
  <c r="S127" i="6"/>
  <c r="N127" i="6"/>
  <c r="J127" i="6"/>
  <c r="I127" i="6"/>
  <c r="R127" i="6"/>
  <c r="V127" i="6"/>
  <c r="Q128" i="6"/>
  <c r="H128" i="6"/>
  <c r="N128" i="6"/>
  <c r="S128" i="6"/>
  <c r="U128" i="6"/>
  <c r="I128" i="6"/>
  <c r="L128" i="6"/>
  <c r="R128" i="6"/>
  <c r="O128" i="6"/>
  <c r="T128" i="6"/>
  <c r="M128" i="6"/>
  <c r="W128" i="6"/>
  <c r="K128" i="6"/>
  <c r="J128" i="6"/>
  <c r="V128" i="6"/>
  <c r="AG113" i="6"/>
  <c r="F113" i="6"/>
  <c r="AG117" i="6"/>
  <c r="F117" i="6"/>
  <c r="M84" i="6"/>
  <c r="R84" i="6"/>
  <c r="I84" i="6"/>
  <c r="V84" i="6"/>
  <c r="J84" i="6"/>
  <c r="U84" i="6"/>
  <c r="W84" i="6"/>
  <c r="Q84" i="6"/>
  <c r="S84" i="6"/>
  <c r="H84" i="6"/>
  <c r="T84" i="6"/>
  <c r="O84" i="6"/>
  <c r="N84" i="6"/>
  <c r="L84" i="6"/>
  <c r="K84" i="6"/>
  <c r="F60" i="14"/>
  <c r="AG60" i="14"/>
  <c r="AH45" i="33"/>
  <c r="E45" i="33"/>
  <c r="T109" i="6"/>
  <c r="N109" i="6"/>
  <c r="S109" i="6"/>
  <c r="I109" i="6"/>
  <c r="J109" i="6"/>
  <c r="V109" i="6"/>
  <c r="R109" i="6"/>
  <c r="M109" i="6"/>
  <c r="Q109" i="6"/>
  <c r="U109" i="6"/>
  <c r="H109" i="6"/>
  <c r="L109" i="6"/>
  <c r="O109" i="6"/>
  <c r="K109" i="6"/>
  <c r="W109" i="6"/>
  <c r="AG56" i="6"/>
  <c r="F56" i="6"/>
  <c r="F104" i="6"/>
  <c r="AG104" i="6"/>
  <c r="F58" i="14"/>
  <c r="AG58" i="14"/>
  <c r="AG56" i="14"/>
  <c r="F56" i="14"/>
  <c r="AG7" i="14"/>
  <c r="F7" i="14"/>
  <c r="AG55" i="14"/>
  <c r="F54" i="14"/>
  <c r="AG54" i="14"/>
  <c r="AG87" i="6"/>
  <c r="F87" i="6"/>
  <c r="K28" i="6"/>
  <c r="H28" i="6"/>
  <c r="T28" i="6"/>
  <c r="R28" i="6"/>
  <c r="O28" i="6"/>
  <c r="Q28" i="6"/>
  <c r="J28" i="6"/>
  <c r="N28" i="6"/>
  <c r="S28" i="6"/>
  <c r="M28" i="6"/>
  <c r="W28" i="6"/>
  <c r="L28" i="6"/>
  <c r="I28" i="6"/>
  <c r="U28" i="6"/>
  <c r="V28" i="6"/>
  <c r="F52" i="14"/>
  <c r="AG51" i="14"/>
  <c r="F51" i="14"/>
  <c r="F50" i="14"/>
  <c r="AG49" i="14"/>
  <c r="F49" i="14"/>
  <c r="F47" i="14"/>
  <c r="AG48" i="14"/>
  <c r="F48" i="14"/>
  <c r="F46" i="14"/>
  <c r="G24" i="14"/>
  <c r="F24" i="14" s="1"/>
  <c r="F45" i="14"/>
  <c r="P1" i="14"/>
  <c r="U49" i="6"/>
  <c r="S49" i="6"/>
  <c r="Q49" i="6"/>
  <c r="M49" i="6"/>
  <c r="K49" i="6"/>
  <c r="I49" i="6"/>
  <c r="O49" i="6"/>
  <c r="W49" i="6"/>
  <c r="V49" i="6"/>
  <c r="T49" i="6"/>
  <c r="R49" i="6"/>
  <c r="N49" i="6"/>
  <c r="L49" i="6"/>
  <c r="J49" i="6"/>
  <c r="H49" i="6"/>
  <c r="F43" i="14"/>
  <c r="AG44" i="14"/>
  <c r="F44" i="14"/>
  <c r="N96" i="32"/>
  <c r="V96" i="32"/>
  <c r="M96" i="32"/>
  <c r="U96" i="32"/>
  <c r="L96" i="32"/>
  <c r="S96" i="32"/>
  <c r="J96" i="32"/>
  <c r="K96" i="32"/>
  <c r="R96" i="32"/>
  <c r="I96" i="32"/>
  <c r="Q96" i="32"/>
  <c r="H96" i="32"/>
  <c r="P96" i="32"/>
  <c r="G96" i="32"/>
  <c r="T96" i="32"/>
  <c r="F41" i="14"/>
  <c r="AG41" i="14"/>
  <c r="T35" i="32"/>
  <c r="K35" i="32"/>
  <c r="J35" i="32"/>
  <c r="S35" i="32"/>
  <c r="R35" i="32"/>
  <c r="Q35" i="32"/>
  <c r="H35" i="32"/>
  <c r="P35" i="32"/>
  <c r="G35" i="32"/>
  <c r="N35" i="32"/>
  <c r="L35" i="32"/>
  <c r="V35" i="32"/>
  <c r="M35" i="32"/>
  <c r="I35" i="32"/>
  <c r="U35" i="32"/>
  <c r="AH18" i="33"/>
  <c r="E18" i="33"/>
  <c r="AH19" i="33"/>
  <c r="E19" i="33"/>
  <c r="F19" i="14"/>
  <c r="Y1" i="34"/>
  <c r="E25" i="33"/>
  <c r="AH25" i="33"/>
  <c r="AH63" i="33"/>
  <c r="E63" i="33"/>
  <c r="AH24" i="33"/>
  <c r="E24" i="33"/>
  <c r="AH32" i="33"/>
  <c r="E32" i="33"/>
  <c r="E20" i="33"/>
  <c r="AH20" i="33"/>
  <c r="E16" i="33"/>
  <c r="AH16" i="33"/>
  <c r="G5" i="14"/>
  <c r="AG5" i="14" s="1"/>
  <c r="AH9" i="33"/>
  <c r="E26" i="33"/>
  <c r="E30" i="33"/>
  <c r="E10" i="33"/>
  <c r="AH5" i="33"/>
  <c r="E5" i="33"/>
  <c r="AH61" i="33"/>
  <c r="E61" i="33"/>
  <c r="AH28" i="33"/>
  <c r="E28" i="33"/>
  <c r="AH27" i="33"/>
  <c r="E27" i="33"/>
  <c r="AH17" i="33"/>
  <c r="E17" i="33"/>
  <c r="AH23" i="33"/>
  <c r="E23" i="33"/>
  <c r="AH62" i="33"/>
  <c r="E62" i="33"/>
  <c r="AH31" i="33"/>
  <c r="E31" i="33"/>
  <c r="AH22" i="33"/>
  <c r="E22" i="33"/>
  <c r="AH13" i="33"/>
  <c r="E13" i="33"/>
  <c r="AH7" i="33"/>
  <c r="E7" i="33"/>
  <c r="AH12" i="33"/>
  <c r="E12" i="33"/>
  <c r="AH14" i="33"/>
  <c r="E14" i="33"/>
  <c r="AH29" i="33"/>
  <c r="E29" i="33"/>
  <c r="AH21" i="33"/>
  <c r="E21" i="33"/>
  <c r="AH11" i="33"/>
  <c r="E11" i="33"/>
  <c r="AH8" i="33"/>
  <c r="E8" i="33"/>
  <c r="F4" i="33"/>
  <c r="O1" i="33"/>
  <c r="AH6" i="33"/>
  <c r="E6" i="33"/>
  <c r="AH15" i="33"/>
  <c r="E15" i="33"/>
  <c r="F12" i="14"/>
  <c r="F18" i="14"/>
  <c r="F20" i="14"/>
  <c r="F28" i="14"/>
  <c r="F40" i="14"/>
  <c r="F39" i="14"/>
  <c r="F30" i="14"/>
  <c r="F32" i="14"/>
  <c r="F15" i="14"/>
  <c r="F26" i="14"/>
  <c r="F23" i="14"/>
  <c r="F25" i="14"/>
  <c r="F12" i="26"/>
  <c r="P133" i="6" l="1"/>
  <c r="G133" i="6" s="1"/>
  <c r="P127" i="6"/>
  <c r="G127" i="6" s="1"/>
  <c r="F127" i="6" s="1"/>
  <c r="P128" i="6"/>
  <c r="G128" i="6" s="1"/>
  <c r="P124" i="6"/>
  <c r="G124" i="6" s="1"/>
  <c r="P84" i="6"/>
  <c r="G84" i="6" s="1"/>
  <c r="P109" i="6"/>
  <c r="G109" i="6" s="1"/>
  <c r="P28" i="6"/>
  <c r="AG24" i="14"/>
  <c r="P49" i="6"/>
  <c r="O96" i="32"/>
  <c r="F96" i="32" s="1"/>
  <c r="O35" i="32"/>
  <c r="F35" i="32" s="1"/>
  <c r="F5" i="14"/>
  <c r="AH4" i="33"/>
  <c r="E4" i="33"/>
  <c r="F1" i="33"/>
  <c r="H11" i="26"/>
  <c r="H9" i="26"/>
  <c r="O4" i="6"/>
  <c r="AG133" i="6" l="1"/>
  <c r="F133" i="6"/>
  <c r="AG127" i="6"/>
  <c r="AG124" i="6"/>
  <c r="F124" i="6"/>
  <c r="AG128" i="6"/>
  <c r="F128" i="6"/>
  <c r="I125" i="6"/>
  <c r="W125" i="6"/>
  <c r="U125" i="6"/>
  <c r="K125" i="6"/>
  <c r="S125" i="6"/>
  <c r="Q125" i="6"/>
  <c r="N125" i="6"/>
  <c r="L125" i="6"/>
  <c r="J125" i="6"/>
  <c r="H125" i="6"/>
  <c r="V125" i="6"/>
  <c r="T125" i="6"/>
  <c r="R125" i="6"/>
  <c r="O125" i="6"/>
  <c r="M125" i="6"/>
  <c r="R111" i="6"/>
  <c r="T111" i="6"/>
  <c r="K111" i="6"/>
  <c r="O111" i="6"/>
  <c r="W111" i="6"/>
  <c r="U111" i="6"/>
  <c r="S111" i="6"/>
  <c r="J111" i="6"/>
  <c r="N111" i="6"/>
  <c r="L111" i="6"/>
  <c r="H111" i="6"/>
  <c r="Q111" i="6"/>
  <c r="I111" i="6"/>
  <c r="V111" i="6"/>
  <c r="M111" i="6"/>
  <c r="T122" i="6"/>
  <c r="K122" i="6"/>
  <c r="U122" i="6"/>
  <c r="S122" i="6"/>
  <c r="W122" i="6"/>
  <c r="N122" i="6"/>
  <c r="V122" i="6"/>
  <c r="M122" i="6"/>
  <c r="L122" i="6"/>
  <c r="O122" i="6"/>
  <c r="J122" i="6"/>
  <c r="H122" i="6"/>
  <c r="R122" i="6"/>
  <c r="I122" i="6"/>
  <c r="Q122" i="6"/>
  <c r="I81" i="6"/>
  <c r="R81" i="6"/>
  <c r="O81" i="6"/>
  <c r="L81" i="6"/>
  <c r="V81" i="6"/>
  <c r="W81" i="6"/>
  <c r="U81" i="6"/>
  <c r="M81" i="6"/>
  <c r="N81" i="6"/>
  <c r="J81" i="6"/>
  <c r="T81" i="6"/>
  <c r="H81" i="6"/>
  <c r="S81" i="6"/>
  <c r="K81" i="6"/>
  <c r="Q81" i="6"/>
  <c r="Q86" i="6"/>
  <c r="L86" i="6"/>
  <c r="H86" i="6"/>
  <c r="T86" i="6"/>
  <c r="O86" i="6"/>
  <c r="K86" i="6"/>
  <c r="R86" i="6"/>
  <c r="W86" i="6"/>
  <c r="N86" i="6"/>
  <c r="S86" i="6"/>
  <c r="U86" i="6"/>
  <c r="V86" i="6"/>
  <c r="J86" i="6"/>
  <c r="M86" i="6"/>
  <c r="I86" i="6"/>
  <c r="L112" i="6"/>
  <c r="K112" i="6"/>
  <c r="S112" i="6"/>
  <c r="H112" i="6"/>
  <c r="Q112" i="6"/>
  <c r="W112" i="6"/>
  <c r="N112" i="6"/>
  <c r="U112" i="6"/>
  <c r="T112" i="6"/>
  <c r="R112" i="6"/>
  <c r="M112" i="6"/>
  <c r="I112" i="6"/>
  <c r="O112" i="6"/>
  <c r="V112" i="6"/>
  <c r="J112" i="6"/>
  <c r="U115" i="6"/>
  <c r="S115" i="6"/>
  <c r="Q115" i="6"/>
  <c r="N115" i="6"/>
  <c r="L115" i="6"/>
  <c r="J115" i="6"/>
  <c r="H115" i="6"/>
  <c r="V115" i="6"/>
  <c r="T115" i="6"/>
  <c r="R115" i="6"/>
  <c r="O115" i="6"/>
  <c r="M115" i="6"/>
  <c r="K115" i="6"/>
  <c r="I115" i="6"/>
  <c r="W115" i="6"/>
  <c r="AG84" i="6"/>
  <c r="F84" i="6"/>
  <c r="U69" i="6"/>
  <c r="Q69" i="6"/>
  <c r="L69" i="6"/>
  <c r="H69" i="6"/>
  <c r="T69" i="6"/>
  <c r="O69" i="6"/>
  <c r="K69" i="6"/>
  <c r="W69" i="6"/>
  <c r="S69" i="6"/>
  <c r="N69" i="6"/>
  <c r="J69" i="6"/>
  <c r="V69" i="6"/>
  <c r="R69" i="6"/>
  <c r="M69" i="6"/>
  <c r="I69" i="6"/>
  <c r="T90" i="32"/>
  <c r="S90" i="32"/>
  <c r="R27" i="6"/>
  <c r="K27" i="6"/>
  <c r="I90" i="32"/>
  <c r="M27" i="6"/>
  <c r="O27" i="6"/>
  <c r="L27" i="6"/>
  <c r="P90" i="32"/>
  <c r="U27" i="6"/>
  <c r="Q90" i="32"/>
  <c r="M90" i="32"/>
  <c r="H27" i="6"/>
  <c r="N90" i="32"/>
  <c r="S27" i="6"/>
  <c r="K90" i="32"/>
  <c r="Q27" i="6"/>
  <c r="L90" i="32"/>
  <c r="R90" i="32"/>
  <c r="J90" i="32"/>
  <c r="J27" i="6"/>
  <c r="V27" i="6"/>
  <c r="W27" i="6"/>
  <c r="G90" i="32"/>
  <c r="I27" i="6"/>
  <c r="N27" i="6"/>
  <c r="V90" i="32"/>
  <c r="T27" i="6"/>
  <c r="U90" i="32"/>
  <c r="H90" i="32"/>
  <c r="S110" i="6"/>
  <c r="M110" i="6"/>
  <c r="R110" i="6"/>
  <c r="U110" i="6"/>
  <c r="I110" i="6"/>
  <c r="N110" i="6"/>
  <c r="Q110" i="6"/>
  <c r="L110" i="6"/>
  <c r="H110" i="6"/>
  <c r="T110" i="6"/>
  <c r="W110" i="6"/>
  <c r="J110" i="6"/>
  <c r="O110" i="6"/>
  <c r="K110" i="6"/>
  <c r="V110" i="6"/>
  <c r="S46" i="6"/>
  <c r="M46" i="6"/>
  <c r="I46" i="6"/>
  <c r="V46" i="6"/>
  <c r="R46" i="6"/>
  <c r="L46" i="6"/>
  <c r="H46" i="6"/>
  <c r="U46" i="6"/>
  <c r="Q46" i="6"/>
  <c r="K46" i="6"/>
  <c r="O46" i="6"/>
  <c r="T46" i="6"/>
  <c r="N46" i="6"/>
  <c r="J46" i="6"/>
  <c r="W46" i="6"/>
  <c r="F109" i="6"/>
  <c r="AG109" i="6"/>
  <c r="O99" i="6"/>
  <c r="U99" i="6"/>
  <c r="Q99" i="6"/>
  <c r="K99" i="6"/>
  <c r="N99" i="6"/>
  <c r="V99" i="6"/>
  <c r="I99" i="6"/>
  <c r="M99" i="6"/>
  <c r="J99" i="6"/>
  <c r="W99" i="6"/>
  <c r="L99" i="6"/>
  <c r="R99" i="6"/>
  <c r="T99" i="6"/>
  <c r="S99" i="6"/>
  <c r="H99" i="6"/>
  <c r="Q101" i="6"/>
  <c r="I101" i="6"/>
  <c r="V101" i="6"/>
  <c r="T101" i="6"/>
  <c r="N101" i="6"/>
  <c r="K101" i="6"/>
  <c r="J101" i="6"/>
  <c r="O101" i="6"/>
  <c r="R101" i="6"/>
  <c r="W101" i="6"/>
  <c r="M101" i="6"/>
  <c r="S101" i="6"/>
  <c r="H101" i="6"/>
  <c r="U101" i="6"/>
  <c r="L101" i="6"/>
  <c r="I96" i="6"/>
  <c r="S96" i="6"/>
  <c r="M96" i="6"/>
  <c r="R96" i="6"/>
  <c r="W96" i="6"/>
  <c r="V96" i="6"/>
  <c r="T96" i="6"/>
  <c r="K96" i="6"/>
  <c r="O96" i="6"/>
  <c r="J96" i="6"/>
  <c r="H96" i="6"/>
  <c r="U96" i="6"/>
  <c r="L96" i="6"/>
  <c r="Q96" i="6"/>
  <c r="N96" i="6"/>
  <c r="H44" i="6"/>
  <c r="S102" i="6"/>
  <c r="H102" i="6"/>
  <c r="N102" i="6"/>
  <c r="W102" i="6"/>
  <c r="V102" i="6"/>
  <c r="I102" i="6"/>
  <c r="K102" i="6"/>
  <c r="O102" i="6"/>
  <c r="J102" i="6"/>
  <c r="T102" i="6"/>
  <c r="M102" i="6"/>
  <c r="R102" i="6"/>
  <c r="Q102" i="6"/>
  <c r="L102" i="6"/>
  <c r="U102" i="6"/>
  <c r="L83" i="32"/>
  <c r="T24" i="6"/>
  <c r="K83" i="32"/>
  <c r="H24" i="6"/>
  <c r="S24" i="6"/>
  <c r="T83" i="32"/>
  <c r="O24" i="6"/>
  <c r="K24" i="6"/>
  <c r="G83" i="32"/>
  <c r="P83" i="32"/>
  <c r="H83" i="32"/>
  <c r="N83" i="32"/>
  <c r="L24" i="6"/>
  <c r="J24" i="6"/>
  <c r="V24" i="6"/>
  <c r="N24" i="6"/>
  <c r="V83" i="32"/>
  <c r="M83" i="32"/>
  <c r="M24" i="6"/>
  <c r="I83" i="32"/>
  <c r="R83" i="32"/>
  <c r="Q24" i="6"/>
  <c r="W24" i="6"/>
  <c r="I24" i="6"/>
  <c r="R24" i="6"/>
  <c r="Q83" i="32"/>
  <c r="U24" i="6"/>
  <c r="J83" i="32"/>
  <c r="U83" i="32"/>
  <c r="S83" i="32"/>
  <c r="L93" i="6"/>
  <c r="K93" i="6"/>
  <c r="R93" i="6"/>
  <c r="Q93" i="6"/>
  <c r="M93" i="6"/>
  <c r="T93" i="6"/>
  <c r="W93" i="6"/>
  <c r="J93" i="6"/>
  <c r="O93" i="6"/>
  <c r="N93" i="6"/>
  <c r="U93" i="6"/>
  <c r="I93" i="6"/>
  <c r="V93" i="6"/>
  <c r="H93" i="6"/>
  <c r="S93" i="6"/>
  <c r="H94" i="6"/>
  <c r="J94" i="6"/>
  <c r="W94" i="6"/>
  <c r="O94" i="6"/>
  <c r="V94" i="6"/>
  <c r="N94" i="6"/>
  <c r="U94" i="6"/>
  <c r="L94" i="6"/>
  <c r="R94" i="6"/>
  <c r="M94" i="6"/>
  <c r="Q94" i="6"/>
  <c r="K94" i="6"/>
  <c r="S94" i="6"/>
  <c r="T94" i="6"/>
  <c r="I94" i="6"/>
  <c r="Q108" i="6"/>
  <c r="N108" i="6"/>
  <c r="J108" i="6"/>
  <c r="K108" i="6"/>
  <c r="H108" i="6"/>
  <c r="S108" i="6"/>
  <c r="U108" i="6"/>
  <c r="R108" i="6"/>
  <c r="W108" i="6"/>
  <c r="O108" i="6"/>
  <c r="V108" i="6"/>
  <c r="L108" i="6"/>
  <c r="I108" i="6"/>
  <c r="T108" i="6"/>
  <c r="M108" i="6"/>
  <c r="S106" i="6"/>
  <c r="J106" i="6"/>
  <c r="M106" i="6"/>
  <c r="Q106" i="6"/>
  <c r="T106" i="6"/>
  <c r="H106" i="6"/>
  <c r="U106" i="6"/>
  <c r="I106" i="6"/>
  <c r="L106" i="6"/>
  <c r="O106" i="6"/>
  <c r="K106" i="6"/>
  <c r="W106" i="6"/>
  <c r="R106" i="6"/>
  <c r="N106" i="6"/>
  <c r="V106" i="6"/>
  <c r="T100" i="6"/>
  <c r="U100" i="6"/>
  <c r="S100" i="6"/>
  <c r="N100" i="6"/>
  <c r="R100" i="6"/>
  <c r="I100" i="6"/>
  <c r="L100" i="6"/>
  <c r="W100" i="6"/>
  <c r="M100" i="6"/>
  <c r="Q100" i="6"/>
  <c r="K100" i="6"/>
  <c r="O100" i="6"/>
  <c r="H100" i="6"/>
  <c r="V100" i="6"/>
  <c r="J100" i="6"/>
  <c r="H89" i="6"/>
  <c r="Q89" i="6"/>
  <c r="T89" i="6"/>
  <c r="S89" i="6"/>
  <c r="O89" i="6"/>
  <c r="W89" i="6"/>
  <c r="K89" i="6"/>
  <c r="I89" i="6"/>
  <c r="U89" i="6"/>
  <c r="M89" i="6"/>
  <c r="J89" i="6"/>
  <c r="V89" i="6"/>
  <c r="N89" i="6"/>
  <c r="R89" i="6"/>
  <c r="L89" i="6"/>
  <c r="K95" i="6"/>
  <c r="Q95" i="6"/>
  <c r="U95" i="6"/>
  <c r="S95" i="6"/>
  <c r="R95" i="6"/>
  <c r="M95" i="6"/>
  <c r="W95" i="6"/>
  <c r="V95" i="6"/>
  <c r="O95" i="6"/>
  <c r="T95" i="6"/>
  <c r="J95" i="6"/>
  <c r="H95" i="6"/>
  <c r="N95" i="6"/>
  <c r="L95" i="6"/>
  <c r="I95" i="6"/>
  <c r="O51" i="6"/>
  <c r="T51" i="6"/>
  <c r="M51" i="6"/>
  <c r="W51" i="6"/>
  <c r="I51" i="6"/>
  <c r="Q51" i="6"/>
  <c r="K51" i="6"/>
  <c r="U51" i="6"/>
  <c r="N51" i="6"/>
  <c r="H51" i="6"/>
  <c r="S51" i="6"/>
  <c r="L51" i="6"/>
  <c r="V51" i="6"/>
  <c r="R51" i="6"/>
  <c r="J51" i="6"/>
  <c r="L19" i="6"/>
  <c r="N19" i="6"/>
  <c r="U78" i="32"/>
  <c r="L78" i="32"/>
  <c r="U19" i="6"/>
  <c r="M19" i="6"/>
  <c r="T78" i="32"/>
  <c r="K78" i="32"/>
  <c r="I78" i="32"/>
  <c r="H78" i="32"/>
  <c r="K19" i="6"/>
  <c r="I19" i="6"/>
  <c r="S78" i="32"/>
  <c r="J78" i="32"/>
  <c r="R78" i="32"/>
  <c r="T19" i="6"/>
  <c r="V19" i="6"/>
  <c r="J19" i="6"/>
  <c r="H19" i="6"/>
  <c r="S19" i="6"/>
  <c r="O19" i="6"/>
  <c r="P78" i="32"/>
  <c r="G78" i="32"/>
  <c r="R19" i="6"/>
  <c r="W19" i="6"/>
  <c r="N78" i="32"/>
  <c r="M78" i="32"/>
  <c r="Q78" i="32"/>
  <c r="Q19" i="6"/>
  <c r="V78" i="32"/>
  <c r="O1" i="36"/>
  <c r="W1" i="36"/>
  <c r="J1" i="36"/>
  <c r="V1" i="36"/>
  <c r="M1" i="36"/>
  <c r="U1" i="36"/>
  <c r="L1" i="36"/>
  <c r="M20" i="6"/>
  <c r="Q79" i="32"/>
  <c r="K20" i="6"/>
  <c r="R20" i="6"/>
  <c r="J20" i="6"/>
  <c r="V79" i="32"/>
  <c r="N20" i="6"/>
  <c r="O20" i="6"/>
  <c r="R79" i="32"/>
  <c r="U20" i="6"/>
  <c r="U79" i="32"/>
  <c r="T79" i="32"/>
  <c r="I79" i="32"/>
  <c r="V20" i="6"/>
  <c r="K79" i="32"/>
  <c r="Q20" i="6"/>
  <c r="H79" i="32"/>
  <c r="P79" i="32"/>
  <c r="T20" i="6"/>
  <c r="S79" i="32"/>
  <c r="M79" i="32"/>
  <c r="G79" i="32"/>
  <c r="I20" i="6"/>
  <c r="J79" i="32"/>
  <c r="L20" i="6"/>
  <c r="N79" i="32"/>
  <c r="S20" i="6"/>
  <c r="W20" i="6"/>
  <c r="L79" i="32"/>
  <c r="H20" i="6"/>
  <c r="L53" i="6"/>
  <c r="Q53" i="6"/>
  <c r="T53" i="6"/>
  <c r="K53" i="6"/>
  <c r="O53" i="6"/>
  <c r="S53" i="6"/>
  <c r="W53" i="6"/>
  <c r="J53" i="6"/>
  <c r="N53" i="6"/>
  <c r="R53" i="6"/>
  <c r="V53" i="6"/>
  <c r="I53" i="6"/>
  <c r="U53" i="6"/>
  <c r="M53" i="6"/>
  <c r="U25" i="6"/>
  <c r="I25" i="6"/>
  <c r="N88" i="32"/>
  <c r="S88" i="32"/>
  <c r="K25" i="6"/>
  <c r="V25" i="6"/>
  <c r="V88" i="32"/>
  <c r="M88" i="32"/>
  <c r="T25" i="6"/>
  <c r="M25" i="6"/>
  <c r="U88" i="32"/>
  <c r="L88" i="32"/>
  <c r="J25" i="6"/>
  <c r="H25" i="6"/>
  <c r="T88" i="32"/>
  <c r="K88" i="32"/>
  <c r="S25" i="6"/>
  <c r="W25" i="6"/>
  <c r="R25" i="6"/>
  <c r="O25" i="6"/>
  <c r="R88" i="32"/>
  <c r="I88" i="32"/>
  <c r="Q25" i="6"/>
  <c r="Q88" i="32"/>
  <c r="H88" i="32"/>
  <c r="J88" i="32"/>
  <c r="L25" i="6"/>
  <c r="N25" i="6"/>
  <c r="P88" i="32"/>
  <c r="G88" i="32"/>
  <c r="S31" i="6"/>
  <c r="O31" i="6"/>
  <c r="P92" i="32"/>
  <c r="G92" i="32"/>
  <c r="R31" i="6"/>
  <c r="W31" i="6"/>
  <c r="N92" i="32"/>
  <c r="Q31" i="6"/>
  <c r="V92" i="32"/>
  <c r="M92" i="32"/>
  <c r="L31" i="6"/>
  <c r="N31" i="6"/>
  <c r="U92" i="32"/>
  <c r="L92" i="32"/>
  <c r="U31" i="6"/>
  <c r="V31" i="6"/>
  <c r="T92" i="32"/>
  <c r="K92" i="32"/>
  <c r="K31" i="6"/>
  <c r="M31" i="6"/>
  <c r="S92" i="32"/>
  <c r="J92" i="32"/>
  <c r="T31" i="6"/>
  <c r="H31" i="6"/>
  <c r="R92" i="32"/>
  <c r="I92" i="32"/>
  <c r="J31" i="6"/>
  <c r="I31" i="6"/>
  <c r="Q92" i="32"/>
  <c r="H92" i="32"/>
  <c r="L48" i="6"/>
  <c r="S48" i="6"/>
  <c r="N48" i="6"/>
  <c r="W48" i="6"/>
  <c r="R48" i="6"/>
  <c r="U48" i="6"/>
  <c r="O48" i="6"/>
  <c r="K48" i="6"/>
  <c r="V48" i="6"/>
  <c r="J48" i="6"/>
  <c r="H48" i="6"/>
  <c r="Q48" i="6"/>
  <c r="I48" i="6"/>
  <c r="M48" i="6"/>
  <c r="T48" i="6"/>
  <c r="M75" i="6"/>
  <c r="I75" i="6"/>
  <c r="U75" i="6"/>
  <c r="Q75" i="6"/>
  <c r="L75" i="6"/>
  <c r="H75" i="6"/>
  <c r="T75" i="6"/>
  <c r="O75" i="6"/>
  <c r="R75" i="6"/>
  <c r="K75" i="6"/>
  <c r="W75" i="6"/>
  <c r="S75" i="6"/>
  <c r="N75" i="6"/>
  <c r="J75" i="6"/>
  <c r="V75" i="6"/>
  <c r="H68" i="6"/>
  <c r="T68" i="6"/>
  <c r="O68" i="6"/>
  <c r="K68" i="6"/>
  <c r="W68" i="6"/>
  <c r="S68" i="6"/>
  <c r="N68" i="6"/>
  <c r="J68" i="6"/>
  <c r="V68" i="6"/>
  <c r="Q68" i="6"/>
  <c r="R68" i="6"/>
  <c r="M68" i="6"/>
  <c r="I68" i="6"/>
  <c r="U68" i="6"/>
  <c r="L68" i="6"/>
  <c r="K15" i="6"/>
  <c r="I15" i="6"/>
  <c r="N73" i="32"/>
  <c r="V73" i="32"/>
  <c r="T15" i="6"/>
  <c r="R15" i="6"/>
  <c r="M73" i="32"/>
  <c r="S15" i="6"/>
  <c r="U73" i="32"/>
  <c r="L73" i="32"/>
  <c r="Q15" i="6"/>
  <c r="O15" i="6"/>
  <c r="T73" i="32"/>
  <c r="K73" i="32"/>
  <c r="N15" i="6"/>
  <c r="W15" i="6"/>
  <c r="S73" i="32"/>
  <c r="J73" i="32"/>
  <c r="R73" i="32"/>
  <c r="M15" i="6"/>
  <c r="J15" i="6"/>
  <c r="L15" i="6"/>
  <c r="H15" i="6"/>
  <c r="Q73" i="32"/>
  <c r="H73" i="32"/>
  <c r="P73" i="32"/>
  <c r="I73" i="32"/>
  <c r="U15" i="6"/>
  <c r="V15" i="6"/>
  <c r="G73" i="32"/>
  <c r="H79" i="6"/>
  <c r="J79" i="6"/>
  <c r="T79" i="6"/>
  <c r="M79" i="6"/>
  <c r="O79" i="6"/>
  <c r="V79" i="6"/>
  <c r="K79" i="6"/>
  <c r="I79" i="6"/>
  <c r="R79" i="6"/>
  <c r="U79" i="6"/>
  <c r="W79" i="6"/>
  <c r="N79" i="6"/>
  <c r="Q79" i="6"/>
  <c r="S79" i="6"/>
  <c r="L79" i="6"/>
  <c r="U17" i="6"/>
  <c r="K17" i="6"/>
  <c r="Q17" i="6"/>
  <c r="G76" i="32"/>
  <c r="L17" i="6"/>
  <c r="R76" i="32"/>
  <c r="P76" i="32"/>
  <c r="U76" i="32"/>
  <c r="S76" i="32"/>
  <c r="V17" i="6"/>
  <c r="M76" i="32"/>
  <c r="H17" i="6"/>
  <c r="N17" i="6"/>
  <c r="W17" i="6"/>
  <c r="I76" i="32"/>
  <c r="L76" i="32"/>
  <c r="J76" i="32"/>
  <c r="Q76" i="32"/>
  <c r="M17" i="6"/>
  <c r="V76" i="32"/>
  <c r="S17" i="6"/>
  <c r="N76" i="32"/>
  <c r="H76" i="32"/>
  <c r="J17" i="6"/>
  <c r="O17" i="6"/>
  <c r="R17" i="6"/>
  <c r="I17" i="6"/>
  <c r="T76" i="32"/>
  <c r="K76" i="32"/>
  <c r="T17" i="6"/>
  <c r="W73" i="6"/>
  <c r="U73" i="6"/>
  <c r="S73" i="6"/>
  <c r="Q73" i="6"/>
  <c r="N73" i="6"/>
  <c r="L73" i="6"/>
  <c r="J73" i="6"/>
  <c r="M73" i="6"/>
  <c r="H73" i="6"/>
  <c r="V73" i="6"/>
  <c r="T73" i="6"/>
  <c r="R73" i="6"/>
  <c r="O73" i="6"/>
  <c r="K73" i="6"/>
  <c r="I73" i="6"/>
  <c r="H37" i="6"/>
  <c r="N37" i="6"/>
  <c r="L37" i="6"/>
  <c r="K37" i="6"/>
  <c r="S37" i="6"/>
  <c r="Q37" i="6"/>
  <c r="W37" i="6"/>
  <c r="O37" i="6"/>
  <c r="J37" i="6"/>
  <c r="M37" i="6"/>
  <c r="T37" i="6"/>
  <c r="R37" i="6"/>
  <c r="U37" i="6"/>
  <c r="I37" i="6"/>
  <c r="V37" i="6"/>
  <c r="Q23" i="6"/>
  <c r="T23" i="6"/>
  <c r="I82" i="32"/>
  <c r="S82" i="32"/>
  <c r="J82" i="32"/>
  <c r="N82" i="32"/>
  <c r="J23" i="6"/>
  <c r="V82" i="32"/>
  <c r="Q82" i="32"/>
  <c r="R23" i="6"/>
  <c r="P82" i="32"/>
  <c r="M82" i="32"/>
  <c r="U23" i="6"/>
  <c r="G82" i="32"/>
  <c r="H82" i="32"/>
  <c r="V23" i="6"/>
  <c r="H23" i="6"/>
  <c r="U82" i="32"/>
  <c r="N23" i="6"/>
  <c r="L23" i="6"/>
  <c r="T82" i="32"/>
  <c r="W23" i="6"/>
  <c r="I23" i="6"/>
  <c r="K82" i="32"/>
  <c r="O23" i="6"/>
  <c r="M23" i="6"/>
  <c r="L82" i="32"/>
  <c r="K23" i="6"/>
  <c r="S23" i="6"/>
  <c r="R82" i="32"/>
  <c r="N61" i="6"/>
  <c r="T61" i="6"/>
  <c r="I61" i="6"/>
  <c r="O61" i="6"/>
  <c r="W61" i="6"/>
  <c r="U61" i="6"/>
  <c r="R61" i="6"/>
  <c r="S61" i="6"/>
  <c r="Q61" i="6"/>
  <c r="V61" i="6"/>
  <c r="L61" i="6"/>
  <c r="J61" i="6"/>
  <c r="H61" i="6"/>
  <c r="M61" i="6"/>
  <c r="K61" i="6"/>
  <c r="Q77" i="6"/>
  <c r="H77" i="6"/>
  <c r="O77" i="6"/>
  <c r="W77" i="6"/>
  <c r="N77" i="6"/>
  <c r="V77" i="6"/>
  <c r="M77" i="6"/>
  <c r="U77" i="6"/>
  <c r="L77" i="6"/>
  <c r="T77" i="6"/>
  <c r="K77" i="6"/>
  <c r="S77" i="6"/>
  <c r="J77" i="6"/>
  <c r="R77" i="6"/>
  <c r="I77" i="6"/>
  <c r="N29" i="6"/>
  <c r="W29" i="6"/>
  <c r="M29" i="6"/>
  <c r="V29" i="6"/>
  <c r="L29" i="6"/>
  <c r="I29" i="6"/>
  <c r="H29" i="6"/>
  <c r="T29" i="6"/>
  <c r="U29" i="6"/>
  <c r="S29" i="6"/>
  <c r="O29" i="6"/>
  <c r="R29" i="6"/>
  <c r="J29" i="6"/>
  <c r="Q29" i="6"/>
  <c r="K29" i="6"/>
  <c r="T55" i="6"/>
  <c r="V55" i="6"/>
  <c r="K55" i="6"/>
  <c r="M55" i="6"/>
  <c r="I55" i="6"/>
  <c r="L55" i="6"/>
  <c r="S55" i="6"/>
  <c r="R55" i="6"/>
  <c r="H55" i="6"/>
  <c r="Q55" i="6"/>
  <c r="O55" i="6"/>
  <c r="U55" i="6"/>
  <c r="W55" i="6"/>
  <c r="J55" i="6"/>
  <c r="N55" i="6"/>
  <c r="T43" i="6"/>
  <c r="I43" i="6"/>
  <c r="S43" i="6"/>
  <c r="O43" i="6"/>
  <c r="R43" i="6"/>
  <c r="N43" i="6"/>
  <c r="Q43" i="6"/>
  <c r="M43" i="6"/>
  <c r="W43" i="6"/>
  <c r="L43" i="6"/>
  <c r="V43" i="6"/>
  <c r="U43" i="6"/>
  <c r="J43" i="6"/>
  <c r="K43" i="6"/>
  <c r="H43" i="6"/>
  <c r="M11" i="6"/>
  <c r="W11" i="6"/>
  <c r="U67" i="32"/>
  <c r="L67" i="32"/>
  <c r="L11" i="6"/>
  <c r="J11" i="6"/>
  <c r="T67" i="32"/>
  <c r="K67" i="32"/>
  <c r="S67" i="32"/>
  <c r="Q67" i="32"/>
  <c r="N67" i="32"/>
  <c r="U11" i="6"/>
  <c r="V11" i="6"/>
  <c r="J67" i="32"/>
  <c r="K11" i="6"/>
  <c r="R11" i="6"/>
  <c r="R67" i="32"/>
  <c r="I67" i="32"/>
  <c r="H67" i="32"/>
  <c r="V67" i="32"/>
  <c r="T11" i="6"/>
  <c r="I11" i="6"/>
  <c r="S11" i="6"/>
  <c r="P67" i="32"/>
  <c r="G67" i="32"/>
  <c r="M67" i="32"/>
  <c r="Q11" i="6"/>
  <c r="H11" i="6"/>
  <c r="N11" i="6"/>
  <c r="O11" i="6"/>
  <c r="J74" i="6"/>
  <c r="I74" i="6"/>
  <c r="H74" i="6"/>
  <c r="O74" i="6"/>
  <c r="N74" i="6"/>
  <c r="U74" i="6"/>
  <c r="T74" i="6"/>
  <c r="S74" i="6"/>
  <c r="R74" i="6"/>
  <c r="Q74" i="6"/>
  <c r="M74" i="6"/>
  <c r="W74" i="6"/>
  <c r="V74" i="6"/>
  <c r="L74" i="6"/>
  <c r="K74" i="6"/>
  <c r="T21" i="6"/>
  <c r="S21" i="6"/>
  <c r="O21" i="6"/>
  <c r="K21" i="6"/>
  <c r="R21" i="6"/>
  <c r="N21" i="6"/>
  <c r="J21" i="6"/>
  <c r="M21" i="6"/>
  <c r="W21" i="6"/>
  <c r="Q21" i="6"/>
  <c r="H21" i="6"/>
  <c r="L21" i="6"/>
  <c r="I21" i="6"/>
  <c r="U21" i="6"/>
  <c r="V21" i="6"/>
  <c r="W54" i="6"/>
  <c r="R54" i="6"/>
  <c r="K54" i="6"/>
  <c r="I54" i="6"/>
  <c r="N54" i="6"/>
  <c r="Q54" i="6"/>
  <c r="V54" i="6"/>
  <c r="O54" i="6"/>
  <c r="H54" i="6"/>
  <c r="M54" i="6"/>
  <c r="T54" i="6"/>
  <c r="S54" i="6"/>
  <c r="L54" i="6"/>
  <c r="J54" i="6"/>
  <c r="U54" i="6"/>
  <c r="T59" i="6"/>
  <c r="R59" i="6"/>
  <c r="K59" i="6"/>
  <c r="H59" i="6"/>
  <c r="I59" i="6"/>
  <c r="M59" i="6"/>
  <c r="W59" i="6"/>
  <c r="U59" i="6"/>
  <c r="S59" i="6"/>
  <c r="L59" i="6"/>
  <c r="N59" i="6"/>
  <c r="J59" i="6"/>
  <c r="O59" i="6"/>
  <c r="Q59" i="6"/>
  <c r="V59" i="6"/>
  <c r="R40" i="6"/>
  <c r="Q40" i="6"/>
  <c r="J40" i="6"/>
  <c r="N40" i="6"/>
  <c r="O40" i="6"/>
  <c r="M40" i="6"/>
  <c r="I40" i="6"/>
  <c r="L40" i="6"/>
  <c r="W40" i="6"/>
  <c r="U40" i="6"/>
  <c r="V40" i="6"/>
  <c r="H40" i="6"/>
  <c r="K40" i="6"/>
  <c r="S40" i="6"/>
  <c r="T40" i="6"/>
  <c r="T14" i="6"/>
  <c r="I14" i="6"/>
  <c r="S14" i="6"/>
  <c r="H14" i="6"/>
  <c r="P72" i="32"/>
  <c r="G72" i="32"/>
  <c r="N72" i="32"/>
  <c r="H72" i="32"/>
  <c r="R14" i="6"/>
  <c r="O14" i="6"/>
  <c r="K14" i="6"/>
  <c r="I72" i="32"/>
  <c r="Q14" i="6"/>
  <c r="V72" i="32"/>
  <c r="M72" i="32"/>
  <c r="V14" i="6"/>
  <c r="R72" i="32"/>
  <c r="M14" i="6"/>
  <c r="W14" i="6"/>
  <c r="U72" i="32"/>
  <c r="L72" i="32"/>
  <c r="L14" i="6"/>
  <c r="N14" i="6"/>
  <c r="T72" i="32"/>
  <c r="K72" i="32"/>
  <c r="J72" i="32"/>
  <c r="Q72" i="32"/>
  <c r="U14" i="6"/>
  <c r="J14" i="6"/>
  <c r="S72" i="32"/>
  <c r="U26" i="6"/>
  <c r="V26" i="6"/>
  <c r="K26" i="6"/>
  <c r="N26" i="6"/>
  <c r="T26" i="6"/>
  <c r="H26" i="6"/>
  <c r="S26" i="6"/>
  <c r="O26" i="6"/>
  <c r="R26" i="6"/>
  <c r="J26" i="6"/>
  <c r="I26" i="6"/>
  <c r="Q26" i="6"/>
  <c r="M26" i="6"/>
  <c r="W26" i="6"/>
  <c r="L26" i="6"/>
  <c r="L64" i="6"/>
  <c r="N64" i="6"/>
  <c r="R64" i="6"/>
  <c r="V64" i="6"/>
  <c r="I64" i="6"/>
  <c r="M64" i="6"/>
  <c r="Q64" i="6"/>
  <c r="T64" i="6"/>
  <c r="H64" i="6"/>
  <c r="K64" i="6"/>
  <c r="O64" i="6"/>
  <c r="S64" i="6"/>
  <c r="U64" i="6"/>
  <c r="J64" i="6"/>
  <c r="W64" i="6"/>
  <c r="Q57" i="6"/>
  <c r="K57" i="6"/>
  <c r="H57" i="6"/>
  <c r="J57" i="6"/>
  <c r="M57" i="6"/>
  <c r="S57" i="6"/>
  <c r="L57" i="6"/>
  <c r="R57" i="6"/>
  <c r="O57" i="6"/>
  <c r="I57" i="6"/>
  <c r="N57" i="6"/>
  <c r="W57" i="6"/>
  <c r="U57" i="6"/>
  <c r="V57" i="6"/>
  <c r="T57" i="6"/>
  <c r="I65" i="6"/>
  <c r="W65" i="6"/>
  <c r="M65" i="6"/>
  <c r="K65" i="6"/>
  <c r="Q65" i="6"/>
  <c r="N65" i="6"/>
  <c r="U65" i="6"/>
  <c r="J65" i="6"/>
  <c r="H65" i="6"/>
  <c r="S65" i="6"/>
  <c r="L65" i="6"/>
  <c r="R65" i="6"/>
  <c r="O65" i="6"/>
  <c r="V65" i="6"/>
  <c r="T65" i="6"/>
  <c r="K60" i="6"/>
  <c r="R60" i="6"/>
  <c r="S60" i="6"/>
  <c r="I60" i="6"/>
  <c r="T60" i="6"/>
  <c r="U60" i="6"/>
  <c r="W60" i="6"/>
  <c r="N60" i="6"/>
  <c r="J60" i="6"/>
  <c r="V60" i="6"/>
  <c r="Q60" i="6"/>
  <c r="M60" i="6"/>
  <c r="H60" i="6"/>
  <c r="O60" i="6"/>
  <c r="L60" i="6"/>
  <c r="R66" i="6"/>
  <c r="I66" i="6"/>
  <c r="Q66" i="6"/>
  <c r="O66" i="6"/>
  <c r="W66" i="6"/>
  <c r="N66" i="6"/>
  <c r="V66" i="6"/>
  <c r="M66" i="6"/>
  <c r="H66" i="6"/>
  <c r="U66" i="6"/>
  <c r="L66" i="6"/>
  <c r="T66" i="6"/>
  <c r="K66" i="6"/>
  <c r="S66" i="6"/>
  <c r="J66" i="6"/>
  <c r="O67" i="6"/>
  <c r="N67" i="6"/>
  <c r="W67" i="6"/>
  <c r="V67" i="6"/>
  <c r="M67" i="6"/>
  <c r="U67" i="6"/>
  <c r="L67" i="6"/>
  <c r="T67" i="6"/>
  <c r="K67" i="6"/>
  <c r="S67" i="6"/>
  <c r="J67" i="6"/>
  <c r="R67" i="6"/>
  <c r="I67" i="6"/>
  <c r="Q67" i="6"/>
  <c r="H67" i="6"/>
  <c r="K9" i="6"/>
  <c r="J9" i="6"/>
  <c r="T9" i="6"/>
  <c r="I9" i="6"/>
  <c r="S9" i="6"/>
  <c r="H9" i="6"/>
  <c r="R9" i="6"/>
  <c r="O9" i="6"/>
  <c r="Q9" i="6"/>
  <c r="M9" i="6"/>
  <c r="N9" i="6"/>
  <c r="L9" i="6"/>
  <c r="W9" i="6"/>
  <c r="U9" i="6"/>
  <c r="V9" i="6"/>
  <c r="O58" i="6"/>
  <c r="T58" i="6"/>
  <c r="W58" i="6"/>
  <c r="S58" i="6"/>
  <c r="N58" i="6"/>
  <c r="J58" i="6"/>
  <c r="L58" i="6"/>
  <c r="R58" i="6"/>
  <c r="V58" i="6"/>
  <c r="I58" i="6"/>
  <c r="M58" i="6"/>
  <c r="Q58" i="6"/>
  <c r="K58" i="6"/>
  <c r="H58" i="6"/>
  <c r="U58" i="6"/>
  <c r="H63" i="6"/>
  <c r="O63" i="6"/>
  <c r="W63" i="6"/>
  <c r="V63" i="6"/>
  <c r="N63" i="6"/>
  <c r="U63" i="6"/>
  <c r="M63" i="6"/>
  <c r="T63" i="6"/>
  <c r="L63" i="6"/>
  <c r="S63" i="6"/>
  <c r="K63" i="6"/>
  <c r="R63" i="6"/>
  <c r="J63" i="6"/>
  <c r="I63" i="6"/>
  <c r="Q63" i="6"/>
  <c r="N45" i="6"/>
  <c r="W45" i="6"/>
  <c r="M45" i="6"/>
  <c r="V45" i="6"/>
  <c r="Q45" i="6"/>
  <c r="L45" i="6"/>
  <c r="J45" i="6"/>
  <c r="U45" i="6"/>
  <c r="O45" i="6"/>
  <c r="H45" i="6"/>
  <c r="K45" i="6"/>
  <c r="S45" i="6"/>
  <c r="T45" i="6"/>
  <c r="R45" i="6"/>
  <c r="I45" i="6"/>
  <c r="I98" i="32"/>
  <c r="T98" i="32"/>
  <c r="U98" i="32"/>
  <c r="G98" i="32"/>
  <c r="H98" i="32"/>
  <c r="L98" i="32"/>
  <c r="R98" i="32"/>
  <c r="V98" i="32"/>
  <c r="S98" i="32"/>
  <c r="M98" i="32"/>
  <c r="N98" i="32"/>
  <c r="K98" i="32"/>
  <c r="P98" i="32"/>
  <c r="Q98" i="32"/>
  <c r="J98" i="32"/>
  <c r="L42" i="6"/>
  <c r="V42" i="6"/>
  <c r="U42" i="6"/>
  <c r="J42" i="6"/>
  <c r="K42" i="6"/>
  <c r="H42" i="6"/>
  <c r="T42" i="6"/>
  <c r="N42" i="6"/>
  <c r="S42" i="6"/>
  <c r="I42" i="6"/>
  <c r="M42" i="6"/>
  <c r="R42" i="6"/>
  <c r="O42" i="6"/>
  <c r="W42" i="6"/>
  <c r="Q42" i="6"/>
  <c r="O62" i="6"/>
  <c r="S62" i="6"/>
  <c r="M62" i="6"/>
  <c r="J62" i="6"/>
  <c r="W62" i="6"/>
  <c r="R62" i="6"/>
  <c r="N62" i="6"/>
  <c r="I62" i="6"/>
  <c r="V62" i="6"/>
  <c r="L62" i="6"/>
  <c r="U62" i="6"/>
  <c r="Q62" i="6"/>
  <c r="T62" i="6"/>
  <c r="H62" i="6"/>
  <c r="K62" i="6"/>
  <c r="U52" i="6"/>
  <c r="W52" i="6"/>
  <c r="Q52" i="6"/>
  <c r="S52" i="6"/>
  <c r="L52" i="6"/>
  <c r="J52" i="6"/>
  <c r="H52" i="6"/>
  <c r="V52" i="6"/>
  <c r="T52" i="6"/>
  <c r="R52" i="6"/>
  <c r="O52" i="6"/>
  <c r="M52" i="6"/>
  <c r="K52" i="6"/>
  <c r="N52" i="6"/>
  <c r="I52" i="6"/>
  <c r="N41" i="6"/>
  <c r="L41" i="6"/>
  <c r="U41" i="6"/>
  <c r="S41" i="6"/>
  <c r="V41" i="6"/>
  <c r="M41" i="6"/>
  <c r="I41" i="6"/>
  <c r="T41" i="6"/>
  <c r="R41" i="6"/>
  <c r="H41" i="6"/>
  <c r="O41" i="6"/>
  <c r="J41" i="6"/>
  <c r="Q41" i="6"/>
  <c r="K41" i="6"/>
  <c r="W41" i="6"/>
  <c r="H5" i="26"/>
  <c r="X1" i="14"/>
  <c r="R12" i="6"/>
  <c r="S12" i="6"/>
  <c r="N68" i="32"/>
  <c r="Q12" i="6"/>
  <c r="H12" i="6"/>
  <c r="V68" i="32"/>
  <c r="M68" i="32"/>
  <c r="N12" i="6"/>
  <c r="O12" i="6"/>
  <c r="U68" i="32"/>
  <c r="L68" i="32"/>
  <c r="M12" i="6"/>
  <c r="W12" i="6"/>
  <c r="T68" i="32"/>
  <c r="K68" i="32"/>
  <c r="S68" i="32"/>
  <c r="P68" i="32"/>
  <c r="L12" i="6"/>
  <c r="J12" i="6"/>
  <c r="J68" i="32"/>
  <c r="U12" i="6"/>
  <c r="V12" i="6"/>
  <c r="R68" i="32"/>
  <c r="I68" i="32"/>
  <c r="T12" i="6"/>
  <c r="K12" i="6"/>
  <c r="I12" i="6"/>
  <c r="Q68" i="32"/>
  <c r="H68" i="32"/>
  <c r="G68" i="32"/>
  <c r="K7" i="6"/>
  <c r="V7" i="6"/>
  <c r="S65" i="32"/>
  <c r="J65" i="32"/>
  <c r="T7" i="6"/>
  <c r="J7" i="6"/>
  <c r="R65" i="32"/>
  <c r="I65" i="32"/>
  <c r="S7" i="6"/>
  <c r="L7" i="6"/>
  <c r="Q65" i="32"/>
  <c r="H65" i="32"/>
  <c r="T65" i="32"/>
  <c r="I7" i="6"/>
  <c r="H7" i="6"/>
  <c r="P65" i="32"/>
  <c r="G65" i="32"/>
  <c r="M7" i="6"/>
  <c r="K65" i="32"/>
  <c r="R7" i="6"/>
  <c r="O7" i="6"/>
  <c r="N65" i="32"/>
  <c r="U65" i="32"/>
  <c r="U7" i="6"/>
  <c r="Q7" i="6"/>
  <c r="W7" i="6"/>
  <c r="V65" i="32"/>
  <c r="M65" i="32"/>
  <c r="N7" i="6"/>
  <c r="L65" i="32"/>
  <c r="M5" i="6"/>
  <c r="W5" i="6"/>
  <c r="R63" i="32"/>
  <c r="I63" i="32"/>
  <c r="N5" i="6"/>
  <c r="J63" i="32"/>
  <c r="L5" i="6"/>
  <c r="J5" i="6"/>
  <c r="Q63" i="32"/>
  <c r="H63" i="32"/>
  <c r="P63" i="32"/>
  <c r="U5" i="6"/>
  <c r="V5" i="6"/>
  <c r="G63" i="32"/>
  <c r="K5" i="6"/>
  <c r="N63" i="32"/>
  <c r="M63" i="32"/>
  <c r="K63" i="32"/>
  <c r="S5" i="6"/>
  <c r="I5" i="6"/>
  <c r="V63" i="32"/>
  <c r="R5" i="6"/>
  <c r="O5" i="6"/>
  <c r="U63" i="32"/>
  <c r="L63" i="32"/>
  <c r="T63" i="32"/>
  <c r="H5" i="6"/>
  <c r="S63" i="32"/>
  <c r="Q5" i="6"/>
  <c r="T5" i="6"/>
  <c r="S8" i="6"/>
  <c r="O8" i="6"/>
  <c r="R8" i="6"/>
  <c r="M8" i="6"/>
  <c r="Q8" i="6"/>
  <c r="L8" i="6"/>
  <c r="N8" i="6"/>
  <c r="H8" i="6"/>
  <c r="U8" i="6"/>
  <c r="V8" i="6"/>
  <c r="J8" i="6"/>
  <c r="K8" i="6"/>
  <c r="I8" i="6"/>
  <c r="T8" i="6"/>
  <c r="W8" i="6"/>
  <c r="N6" i="6"/>
  <c r="W6" i="6"/>
  <c r="M6" i="6"/>
  <c r="U6" i="6"/>
  <c r="L6" i="6"/>
  <c r="T6" i="6"/>
  <c r="J6" i="6"/>
  <c r="V6" i="6"/>
  <c r="S6" i="6"/>
  <c r="K6" i="6"/>
  <c r="R6" i="6"/>
  <c r="I6" i="6"/>
  <c r="Q6" i="6"/>
  <c r="H6" i="6"/>
  <c r="O6" i="6"/>
  <c r="V4" i="6"/>
  <c r="Q4" i="6"/>
  <c r="T62" i="32"/>
  <c r="K62" i="32"/>
  <c r="I4" i="6"/>
  <c r="K4" i="6"/>
  <c r="S62" i="32"/>
  <c r="J62" i="32"/>
  <c r="R62" i="32"/>
  <c r="T4" i="6"/>
  <c r="I62" i="32"/>
  <c r="L62" i="32"/>
  <c r="N4" i="6"/>
  <c r="M4" i="6"/>
  <c r="Q62" i="32"/>
  <c r="H62" i="32"/>
  <c r="G62" i="32"/>
  <c r="U4" i="6"/>
  <c r="J4" i="6"/>
  <c r="R4" i="6"/>
  <c r="P62" i="32"/>
  <c r="V62" i="32"/>
  <c r="U62" i="32"/>
  <c r="W4" i="6"/>
  <c r="L4" i="6"/>
  <c r="N62" i="32"/>
  <c r="S4" i="6"/>
  <c r="M62" i="32"/>
  <c r="L10" i="6"/>
  <c r="J10" i="6"/>
  <c r="S66" i="32"/>
  <c r="J66" i="32"/>
  <c r="T66" i="32"/>
  <c r="U10" i="6"/>
  <c r="V10" i="6"/>
  <c r="R66" i="32"/>
  <c r="I66" i="32"/>
  <c r="K10" i="6"/>
  <c r="H10" i="6"/>
  <c r="Q66" i="32"/>
  <c r="H66" i="32"/>
  <c r="T10" i="6"/>
  <c r="I10" i="6"/>
  <c r="P66" i="32"/>
  <c r="G66" i="32"/>
  <c r="N66" i="32"/>
  <c r="S10" i="6"/>
  <c r="O10" i="6"/>
  <c r="M10" i="6"/>
  <c r="K66" i="32"/>
  <c r="R10" i="6"/>
  <c r="V66" i="32"/>
  <c r="M66" i="32"/>
  <c r="N10" i="6"/>
  <c r="W10" i="6"/>
  <c r="U66" i="32"/>
  <c r="L66" i="32"/>
  <c r="Q10" i="6"/>
  <c r="K47" i="6"/>
  <c r="V47" i="6"/>
  <c r="R47" i="6"/>
  <c r="L47" i="6"/>
  <c r="H47" i="6"/>
  <c r="S47" i="6"/>
  <c r="T47" i="6"/>
  <c r="I47" i="6"/>
  <c r="J47" i="6"/>
  <c r="N47" i="6"/>
  <c r="W47" i="6"/>
  <c r="M47" i="6"/>
  <c r="Q47" i="6"/>
  <c r="U47" i="6"/>
  <c r="O47" i="6"/>
  <c r="L44" i="6"/>
  <c r="R44" i="6"/>
  <c r="U44" i="6"/>
  <c r="V44" i="6"/>
  <c r="W44" i="6"/>
  <c r="K44" i="6"/>
  <c r="J44" i="6"/>
  <c r="T44" i="6"/>
  <c r="S44" i="6"/>
  <c r="Q44" i="6"/>
  <c r="I44" i="6"/>
  <c r="M44" i="6"/>
  <c r="N44" i="6"/>
  <c r="O44" i="6"/>
  <c r="U36" i="6"/>
  <c r="H36" i="6"/>
  <c r="K36" i="6"/>
  <c r="N36" i="6"/>
  <c r="T36" i="6"/>
  <c r="J36" i="6"/>
  <c r="S36" i="6"/>
  <c r="O36" i="6"/>
  <c r="R36" i="6"/>
  <c r="I36" i="6"/>
  <c r="L36" i="6"/>
  <c r="Q36" i="6"/>
  <c r="V36" i="6"/>
  <c r="M36" i="6"/>
  <c r="W36" i="6"/>
  <c r="U38" i="6"/>
  <c r="J38" i="6"/>
  <c r="K38" i="6"/>
  <c r="V38" i="6"/>
  <c r="T38" i="6"/>
  <c r="H38" i="6"/>
  <c r="L38" i="6"/>
  <c r="S38" i="6"/>
  <c r="Q38" i="6"/>
  <c r="O38" i="6"/>
  <c r="R38" i="6"/>
  <c r="N38" i="6"/>
  <c r="I38" i="6"/>
  <c r="M38" i="6"/>
  <c r="W38" i="6"/>
  <c r="Q71" i="32"/>
  <c r="H71" i="32"/>
  <c r="S71" i="32"/>
  <c r="V71" i="32"/>
  <c r="N71" i="32"/>
  <c r="J71" i="32"/>
  <c r="M71" i="32"/>
  <c r="R71" i="32"/>
  <c r="U71" i="32"/>
  <c r="I71" i="32"/>
  <c r="L71" i="32"/>
  <c r="P71" i="32"/>
  <c r="T71" i="32"/>
  <c r="G71" i="32"/>
  <c r="K71" i="32"/>
  <c r="I18" i="6"/>
  <c r="J18" i="6"/>
  <c r="L77" i="32"/>
  <c r="P77" i="32"/>
  <c r="R18" i="6"/>
  <c r="L18" i="6"/>
  <c r="S77" i="32"/>
  <c r="G77" i="32"/>
  <c r="Q18" i="6"/>
  <c r="W18" i="6"/>
  <c r="J77" i="32"/>
  <c r="U77" i="32"/>
  <c r="N18" i="6"/>
  <c r="N77" i="32"/>
  <c r="R77" i="32"/>
  <c r="O18" i="6"/>
  <c r="U18" i="6"/>
  <c r="M18" i="6"/>
  <c r="T77" i="32"/>
  <c r="I77" i="32"/>
  <c r="K77" i="32"/>
  <c r="K18" i="6"/>
  <c r="V18" i="6"/>
  <c r="V77" i="32"/>
  <c r="Q77" i="32"/>
  <c r="T18" i="6"/>
  <c r="H18" i="6"/>
  <c r="M77" i="32"/>
  <c r="H77" i="32"/>
  <c r="S18" i="6"/>
  <c r="V50" i="6"/>
  <c r="M50" i="6"/>
  <c r="U50" i="6"/>
  <c r="L50" i="6"/>
  <c r="S50" i="6"/>
  <c r="J50" i="6"/>
  <c r="R50" i="6"/>
  <c r="I50" i="6"/>
  <c r="Q50" i="6"/>
  <c r="H50" i="6"/>
  <c r="O50" i="6"/>
  <c r="T50" i="6"/>
  <c r="W50" i="6"/>
  <c r="N50" i="6"/>
  <c r="K50" i="6"/>
  <c r="H35" i="6"/>
  <c r="S94" i="32"/>
  <c r="M94" i="32"/>
  <c r="U35" i="6"/>
  <c r="T35" i="6"/>
  <c r="J94" i="32"/>
  <c r="S35" i="6"/>
  <c r="J35" i="6"/>
  <c r="R94" i="32"/>
  <c r="L94" i="32"/>
  <c r="R35" i="6"/>
  <c r="O35" i="6"/>
  <c r="I94" i="32"/>
  <c r="P94" i="32"/>
  <c r="Q94" i="32"/>
  <c r="Q35" i="6"/>
  <c r="V35" i="6"/>
  <c r="T94" i="32"/>
  <c r="N35" i="6"/>
  <c r="I35" i="6"/>
  <c r="H94" i="32"/>
  <c r="K94" i="32"/>
  <c r="U94" i="32"/>
  <c r="M35" i="6"/>
  <c r="W35" i="6"/>
  <c r="N94" i="32"/>
  <c r="G94" i="32"/>
  <c r="L35" i="6"/>
  <c r="K35" i="6"/>
  <c r="V94" i="32"/>
  <c r="N33" i="6"/>
  <c r="I33" i="6"/>
  <c r="M33" i="6"/>
  <c r="W33" i="6"/>
  <c r="L33" i="6"/>
  <c r="V33" i="6"/>
  <c r="U33" i="6"/>
  <c r="Q33" i="6"/>
  <c r="K33" i="6"/>
  <c r="H33" i="6"/>
  <c r="T33" i="6"/>
  <c r="J33" i="6"/>
  <c r="S33" i="6"/>
  <c r="O33" i="6"/>
  <c r="R33" i="6"/>
  <c r="V36" i="32"/>
  <c r="N36" i="32"/>
  <c r="M36" i="32"/>
  <c r="G36" i="32"/>
  <c r="R36" i="32"/>
  <c r="U36" i="32"/>
  <c r="J36" i="32"/>
  <c r="I36" i="32"/>
  <c r="L36" i="32"/>
  <c r="Q36" i="32"/>
  <c r="T36" i="32"/>
  <c r="H36" i="32"/>
  <c r="K36" i="32"/>
  <c r="P36" i="32"/>
  <c r="S36" i="32"/>
  <c r="T30" i="6"/>
  <c r="V30" i="6"/>
  <c r="K91" i="32"/>
  <c r="N91" i="32"/>
  <c r="S30" i="6"/>
  <c r="H30" i="6"/>
  <c r="S91" i="32"/>
  <c r="I91" i="32"/>
  <c r="I30" i="6"/>
  <c r="O30" i="6"/>
  <c r="J91" i="32"/>
  <c r="V91" i="32"/>
  <c r="T91" i="32"/>
  <c r="R30" i="6"/>
  <c r="J30" i="6"/>
  <c r="Q91" i="32"/>
  <c r="M91" i="32"/>
  <c r="Q30" i="6"/>
  <c r="W30" i="6"/>
  <c r="H91" i="32"/>
  <c r="L30" i="6"/>
  <c r="N30" i="6"/>
  <c r="U91" i="32"/>
  <c r="R91" i="32"/>
  <c r="K30" i="6"/>
  <c r="U30" i="6"/>
  <c r="M30" i="6"/>
  <c r="L91" i="32"/>
  <c r="P91" i="32"/>
  <c r="G91" i="32"/>
  <c r="M32" i="6"/>
  <c r="L32" i="6"/>
  <c r="U32" i="6"/>
  <c r="K32" i="6"/>
  <c r="T32" i="6"/>
  <c r="S32" i="6"/>
  <c r="R32" i="6"/>
  <c r="Q32" i="6"/>
  <c r="I32" i="6"/>
  <c r="W32" i="6"/>
  <c r="V32" i="6"/>
  <c r="N32" i="6"/>
  <c r="H32" i="6"/>
  <c r="J32" i="6"/>
  <c r="O32" i="6"/>
  <c r="R16" i="6"/>
  <c r="Q16" i="6"/>
  <c r="N16" i="6"/>
  <c r="M16" i="6"/>
  <c r="L16" i="6"/>
  <c r="U16" i="6"/>
  <c r="K16" i="6"/>
  <c r="T16" i="6"/>
  <c r="H16" i="6"/>
  <c r="S16" i="6"/>
  <c r="O16" i="6"/>
  <c r="W16" i="6"/>
  <c r="V16" i="6"/>
  <c r="J16" i="6"/>
  <c r="I16" i="6"/>
  <c r="U74" i="32"/>
  <c r="L74" i="32"/>
  <c r="I74" i="32"/>
  <c r="T74" i="32"/>
  <c r="K74" i="32"/>
  <c r="S74" i="32"/>
  <c r="J74" i="32"/>
  <c r="Q74" i="32"/>
  <c r="H74" i="32"/>
  <c r="P74" i="32"/>
  <c r="G74" i="32"/>
  <c r="N74" i="32"/>
  <c r="R74" i="32"/>
  <c r="V74" i="32"/>
  <c r="M74" i="32"/>
  <c r="R39" i="6"/>
  <c r="Q39" i="6"/>
  <c r="N39" i="6"/>
  <c r="M39" i="6"/>
  <c r="L39" i="6"/>
  <c r="U39" i="6"/>
  <c r="K39" i="6"/>
  <c r="T39" i="6"/>
  <c r="J39" i="6"/>
  <c r="O39" i="6"/>
  <c r="I39" i="6"/>
  <c r="W39" i="6"/>
  <c r="H39" i="6"/>
  <c r="S39" i="6"/>
  <c r="V39" i="6"/>
  <c r="AH96" i="32"/>
  <c r="E96" i="32"/>
  <c r="T13" i="6"/>
  <c r="S13" i="6"/>
  <c r="R13" i="6"/>
  <c r="H13" i="6"/>
  <c r="Q13" i="6"/>
  <c r="N13" i="6"/>
  <c r="M13" i="6"/>
  <c r="L13" i="6"/>
  <c r="I13" i="6"/>
  <c r="K13" i="6"/>
  <c r="O13" i="6"/>
  <c r="J13" i="6"/>
  <c r="V13" i="6"/>
  <c r="W13" i="6"/>
  <c r="U13" i="6"/>
  <c r="V70" i="32"/>
  <c r="M70" i="32"/>
  <c r="U70" i="32"/>
  <c r="L70" i="32"/>
  <c r="S70" i="32"/>
  <c r="T70" i="32"/>
  <c r="K70" i="32"/>
  <c r="R70" i="32"/>
  <c r="I70" i="32"/>
  <c r="J70" i="32"/>
  <c r="Q70" i="32"/>
  <c r="H70" i="32"/>
  <c r="P70" i="32"/>
  <c r="G70" i="32"/>
  <c r="N70" i="32"/>
  <c r="L34" i="6"/>
  <c r="V34" i="6"/>
  <c r="U34" i="6"/>
  <c r="S34" i="6"/>
  <c r="K34" i="6"/>
  <c r="H34" i="6"/>
  <c r="T34" i="6"/>
  <c r="R34" i="6"/>
  <c r="J34" i="6"/>
  <c r="Q34" i="6"/>
  <c r="O34" i="6"/>
  <c r="N34" i="6"/>
  <c r="I34" i="6"/>
  <c r="M34" i="6"/>
  <c r="W34" i="6"/>
  <c r="H16" i="26"/>
  <c r="H20" i="26" s="1"/>
  <c r="H10" i="26"/>
  <c r="H8" i="26"/>
  <c r="H6" i="26"/>
  <c r="AH35" i="32"/>
  <c r="E35" i="32"/>
  <c r="P34" i="32"/>
  <c r="G34" i="32"/>
  <c r="U34" i="32"/>
  <c r="L34" i="32"/>
  <c r="N34" i="32"/>
  <c r="T34" i="32"/>
  <c r="K34" i="32"/>
  <c r="S34" i="32"/>
  <c r="J34" i="32"/>
  <c r="Q34" i="32"/>
  <c r="V34" i="32"/>
  <c r="R34" i="32"/>
  <c r="I34" i="32"/>
  <c r="H34" i="32"/>
  <c r="M34" i="32"/>
  <c r="Y1" i="33"/>
  <c r="Q23" i="32"/>
  <c r="H23" i="32"/>
  <c r="P23" i="32"/>
  <c r="G23" i="32"/>
  <c r="N23" i="32"/>
  <c r="V23" i="32"/>
  <c r="M23" i="32"/>
  <c r="U23" i="32"/>
  <c r="L23" i="32"/>
  <c r="T23" i="32"/>
  <c r="K23" i="32"/>
  <c r="R23" i="32"/>
  <c r="J23" i="32"/>
  <c r="I23" i="32"/>
  <c r="S23" i="32"/>
  <c r="S41" i="32"/>
  <c r="J41" i="32"/>
  <c r="R41" i="32"/>
  <c r="I41" i="32"/>
  <c r="Q41" i="32"/>
  <c r="H41" i="32"/>
  <c r="P41" i="32"/>
  <c r="G41" i="32"/>
  <c r="N41" i="32"/>
  <c r="V41" i="32"/>
  <c r="M41" i="32"/>
  <c r="U41" i="32"/>
  <c r="T41" i="32"/>
  <c r="L41" i="32"/>
  <c r="K41" i="32"/>
  <c r="Q26" i="32"/>
  <c r="H26" i="32"/>
  <c r="P26" i="32"/>
  <c r="G26" i="32"/>
  <c r="N26" i="32"/>
  <c r="V26" i="32"/>
  <c r="M26" i="32"/>
  <c r="U26" i="32"/>
  <c r="L26" i="32"/>
  <c r="T26" i="32"/>
  <c r="K26" i="32"/>
  <c r="S26" i="32"/>
  <c r="R26" i="32"/>
  <c r="J26" i="32"/>
  <c r="I26" i="32"/>
  <c r="P125" i="6" l="1"/>
  <c r="G125" i="6" s="1"/>
  <c r="P111" i="6"/>
  <c r="G111" i="6" s="1"/>
  <c r="P122" i="6"/>
  <c r="G122" i="6" s="1"/>
  <c r="AG122" i="6" s="1"/>
  <c r="P81" i="6"/>
  <c r="G81" i="6" s="1"/>
  <c r="P86" i="6"/>
  <c r="G86" i="6" s="1"/>
  <c r="P112" i="6"/>
  <c r="G112" i="6" s="1"/>
  <c r="P115" i="6"/>
  <c r="G115" i="6" s="1"/>
  <c r="P69" i="6"/>
  <c r="G69" i="6" s="1"/>
  <c r="P27" i="6"/>
  <c r="G27" i="6" s="1"/>
  <c r="O90" i="32"/>
  <c r="F90" i="32" s="1"/>
  <c r="P46" i="6"/>
  <c r="P110" i="6"/>
  <c r="G110" i="6" s="1"/>
  <c r="P99" i="6"/>
  <c r="G99" i="6" s="1"/>
  <c r="O83" i="32"/>
  <c r="F83" i="32" s="1"/>
  <c r="P96" i="6"/>
  <c r="G96" i="6" s="1"/>
  <c r="P24" i="6"/>
  <c r="P102" i="6"/>
  <c r="G102" i="6" s="1"/>
  <c r="P101" i="6"/>
  <c r="G101" i="6" s="1"/>
  <c r="P108" i="6"/>
  <c r="G108" i="6" s="1"/>
  <c r="P93" i="6"/>
  <c r="G93" i="6" s="1"/>
  <c r="P94" i="6"/>
  <c r="G94" i="6" s="1"/>
  <c r="P106" i="6"/>
  <c r="G106" i="6" s="1"/>
  <c r="P100" i="6"/>
  <c r="G100" i="6" s="1"/>
  <c r="P89" i="6"/>
  <c r="G89" i="6" s="1"/>
  <c r="P95" i="6"/>
  <c r="G95" i="6" s="1"/>
  <c r="P51" i="6"/>
  <c r="G51" i="6" s="1"/>
  <c r="AG51" i="6" s="1"/>
  <c r="O78" i="32"/>
  <c r="F78" i="32" s="1"/>
  <c r="P19" i="6"/>
  <c r="N1" i="36"/>
  <c r="X1" i="36"/>
  <c r="K1" i="36"/>
  <c r="O79" i="32"/>
  <c r="F79" i="32" s="1"/>
  <c r="P20" i="6"/>
  <c r="P53" i="6"/>
  <c r="G53" i="6" s="1"/>
  <c r="P25" i="6"/>
  <c r="O88" i="32"/>
  <c r="F88" i="32" s="1"/>
  <c r="P31" i="6"/>
  <c r="G31" i="6" s="1"/>
  <c r="AG31" i="6" s="1"/>
  <c r="O92" i="32"/>
  <c r="F92" i="32" s="1"/>
  <c r="P48" i="6"/>
  <c r="G48" i="6" s="1"/>
  <c r="AG48" i="6" s="1"/>
  <c r="P68" i="6"/>
  <c r="G68" i="6" s="1"/>
  <c r="AG68" i="6" s="1"/>
  <c r="P75" i="6"/>
  <c r="G75" i="6" s="1"/>
  <c r="AG75" i="6" s="1"/>
  <c r="O73" i="32"/>
  <c r="F73" i="32" s="1"/>
  <c r="AH73" i="32" s="1"/>
  <c r="P15" i="6"/>
  <c r="O76" i="32"/>
  <c r="F76" i="32" s="1"/>
  <c r="P79" i="6"/>
  <c r="G79" i="6" s="1"/>
  <c r="AG79" i="6" s="1"/>
  <c r="P17" i="6"/>
  <c r="P23" i="6"/>
  <c r="P37" i="6"/>
  <c r="P73" i="6"/>
  <c r="G73" i="6" s="1"/>
  <c r="AG73" i="6" s="1"/>
  <c r="O82" i="32"/>
  <c r="F82" i="32" s="1"/>
  <c r="O1" i="6"/>
  <c r="P61" i="6"/>
  <c r="G61" i="6" s="1"/>
  <c r="AG61" i="6" s="1"/>
  <c r="P77" i="6"/>
  <c r="G77" i="6" s="1"/>
  <c r="AG77" i="6" s="1"/>
  <c r="P29" i="6"/>
  <c r="P11" i="6"/>
  <c r="P74" i="6"/>
  <c r="G74" i="6" s="1"/>
  <c r="AG74" i="6" s="1"/>
  <c r="O67" i="32"/>
  <c r="F67" i="32" s="1"/>
  <c r="E67" i="32" s="1"/>
  <c r="P43" i="6"/>
  <c r="P55" i="6"/>
  <c r="G55" i="6" s="1"/>
  <c r="AG55" i="6" s="1"/>
  <c r="P40" i="6"/>
  <c r="P26" i="6"/>
  <c r="P54" i="6"/>
  <c r="G54" i="6" s="1"/>
  <c r="AG54" i="6" s="1"/>
  <c r="P59" i="6"/>
  <c r="G59" i="6" s="1"/>
  <c r="AG59" i="6" s="1"/>
  <c r="P21" i="6"/>
  <c r="P14" i="6"/>
  <c r="O72" i="32"/>
  <c r="F72" i="32" s="1"/>
  <c r="P57" i="6"/>
  <c r="G57" i="6" s="1"/>
  <c r="AG57" i="6" s="1"/>
  <c r="P64" i="6"/>
  <c r="G64" i="6" s="1"/>
  <c r="AG64" i="6" s="1"/>
  <c r="P65" i="6"/>
  <c r="G65" i="6" s="1"/>
  <c r="AG65" i="6" s="1"/>
  <c r="P60" i="6"/>
  <c r="G60" i="6" s="1"/>
  <c r="AG60" i="6" s="1"/>
  <c r="P67" i="6"/>
  <c r="G67" i="6" s="1"/>
  <c r="AG67" i="6" s="1"/>
  <c r="P66" i="6"/>
  <c r="G66" i="6" s="1"/>
  <c r="AG66" i="6" s="1"/>
  <c r="P58" i="6"/>
  <c r="G58" i="6" s="1"/>
  <c r="AG58" i="6" s="1"/>
  <c r="P9" i="6"/>
  <c r="P63" i="6"/>
  <c r="G63" i="6" s="1"/>
  <c r="AG63" i="6" s="1"/>
  <c r="P62" i="6"/>
  <c r="G62" i="6" s="1"/>
  <c r="AG62" i="6" s="1"/>
  <c r="P42" i="6"/>
  <c r="G42" i="6" s="1"/>
  <c r="F42" i="6" s="1"/>
  <c r="O98" i="32"/>
  <c r="F98" i="32" s="1"/>
  <c r="P41" i="6"/>
  <c r="P52" i="6"/>
  <c r="G52" i="6" s="1"/>
  <c r="AG52" i="6" s="1"/>
  <c r="P45" i="6"/>
  <c r="P4" i="6"/>
  <c r="G4" i="6" s="1"/>
  <c r="P47" i="6"/>
  <c r="P34" i="6"/>
  <c r="P10" i="6"/>
  <c r="P35" i="6"/>
  <c r="P38" i="6"/>
  <c r="P8" i="6"/>
  <c r="P7" i="6"/>
  <c r="P30" i="6"/>
  <c r="P6" i="6"/>
  <c r="P33" i="6"/>
  <c r="P12" i="6"/>
  <c r="P16" i="6"/>
  <c r="G16" i="6" s="1"/>
  <c r="AG16" i="6" s="1"/>
  <c r="P36" i="6"/>
  <c r="P13" i="6"/>
  <c r="P50" i="6"/>
  <c r="G50" i="6" s="1"/>
  <c r="AG50" i="6" s="1"/>
  <c r="P18" i="6"/>
  <c r="P32" i="6"/>
  <c r="P39" i="6"/>
  <c r="P44" i="6"/>
  <c r="P5" i="6"/>
  <c r="O62" i="32"/>
  <c r="F62" i="32" s="1"/>
  <c r="E62" i="32" s="1"/>
  <c r="O63" i="32"/>
  <c r="F63" i="32" s="1"/>
  <c r="O65" i="32"/>
  <c r="F65" i="32" s="1"/>
  <c r="O66" i="32"/>
  <c r="F66" i="32" s="1"/>
  <c r="O68" i="32"/>
  <c r="F68" i="32" s="1"/>
  <c r="O71" i="32"/>
  <c r="F71" i="32" s="1"/>
  <c r="AH71" i="32" s="1"/>
  <c r="O77" i="32"/>
  <c r="F77" i="32" s="1"/>
  <c r="O94" i="32"/>
  <c r="F94" i="32" s="1"/>
  <c r="O36" i="32"/>
  <c r="F36" i="32" s="1"/>
  <c r="O91" i="32"/>
  <c r="F91" i="32" s="1"/>
  <c r="O74" i="32"/>
  <c r="F74" i="32" s="1"/>
  <c r="E74" i="32" s="1"/>
  <c r="O70" i="32"/>
  <c r="F70" i="32" s="1"/>
  <c r="H12" i="26"/>
  <c r="H21" i="26" s="1"/>
  <c r="H23" i="26" s="1"/>
  <c r="G49" i="6"/>
  <c r="AG49" i="6" s="1"/>
  <c r="O34" i="32"/>
  <c r="F34" i="32" s="1"/>
  <c r="O41" i="32"/>
  <c r="F41" i="32" s="1"/>
  <c r="E41" i="32" s="1"/>
  <c r="O26" i="32"/>
  <c r="F26" i="32" s="1"/>
  <c r="E26" i="32" s="1"/>
  <c r="O23" i="32"/>
  <c r="F23" i="32" s="1"/>
  <c r="AH23" i="32" s="1"/>
  <c r="G38" i="14"/>
  <c r="AG38" i="14" s="1"/>
  <c r="G21" i="14"/>
  <c r="AG21" i="14" s="1"/>
  <c r="F111" i="6" l="1"/>
  <c r="AG111" i="6"/>
  <c r="AG125" i="6"/>
  <c r="F125" i="6"/>
  <c r="F122" i="6"/>
  <c r="AG81" i="6"/>
  <c r="F81" i="6"/>
  <c r="F86" i="6"/>
  <c r="AG86" i="6"/>
  <c r="F115" i="6"/>
  <c r="AG115" i="6"/>
  <c r="F112" i="6"/>
  <c r="AG112" i="6"/>
  <c r="AG69" i="6"/>
  <c r="F69" i="6"/>
  <c r="E90" i="32"/>
  <c r="AH90" i="32"/>
  <c r="AG27" i="6"/>
  <c r="F27" i="6"/>
  <c r="F110" i="6"/>
  <c r="AG110" i="6"/>
  <c r="F99" i="6"/>
  <c r="AG99" i="6"/>
  <c r="AG101" i="6"/>
  <c r="F101" i="6"/>
  <c r="AG102" i="6"/>
  <c r="F102" i="6"/>
  <c r="AG96" i="6"/>
  <c r="F96" i="6"/>
  <c r="AH83" i="32"/>
  <c r="E83" i="32"/>
  <c r="F106" i="6"/>
  <c r="AG106" i="6"/>
  <c r="F94" i="6"/>
  <c r="AG94" i="6"/>
  <c r="F93" i="6"/>
  <c r="AG93" i="6"/>
  <c r="AG108" i="6"/>
  <c r="F108" i="6"/>
  <c r="F100" i="6"/>
  <c r="AG100" i="6"/>
  <c r="AG95" i="6"/>
  <c r="F95" i="6"/>
  <c r="F89" i="6"/>
  <c r="AG89" i="6"/>
  <c r="F51" i="6"/>
  <c r="E78" i="32"/>
  <c r="AH78" i="32"/>
  <c r="AH79" i="32"/>
  <c r="E79" i="32"/>
  <c r="AG53" i="6"/>
  <c r="F53" i="6"/>
  <c r="E88" i="32"/>
  <c r="AH88" i="32"/>
  <c r="AG4" i="6"/>
  <c r="F48" i="6"/>
  <c r="E92" i="32"/>
  <c r="AH92" i="32"/>
  <c r="F31" i="6"/>
  <c r="F68" i="6"/>
  <c r="F75" i="6"/>
  <c r="E73" i="32"/>
  <c r="F79" i="6"/>
  <c r="AH76" i="32"/>
  <c r="E76" i="32"/>
  <c r="E82" i="32"/>
  <c r="AH82" i="32"/>
  <c r="F73" i="6"/>
  <c r="P1" i="6"/>
  <c r="F61" i="6"/>
  <c r="F77" i="6"/>
  <c r="AH67" i="32"/>
  <c r="F74" i="6"/>
  <c r="F55" i="6"/>
  <c r="F59" i="6"/>
  <c r="AH72" i="32"/>
  <c r="E72" i="32"/>
  <c r="F54" i="6"/>
  <c r="F64" i="6"/>
  <c r="F57" i="6"/>
  <c r="F65" i="6"/>
  <c r="F60" i="6"/>
  <c r="F66" i="6"/>
  <c r="F67" i="6"/>
  <c r="F58" i="6"/>
  <c r="F62" i="6"/>
  <c r="F63" i="6"/>
  <c r="F52" i="6"/>
  <c r="AH98" i="32"/>
  <c r="E98" i="32"/>
  <c r="AH62" i="32"/>
  <c r="AH68" i="32"/>
  <c r="E68" i="32"/>
  <c r="AH66" i="32"/>
  <c r="E66" i="32"/>
  <c r="AH65" i="32"/>
  <c r="E65" i="32"/>
  <c r="AH63" i="32"/>
  <c r="E63" i="32"/>
  <c r="E71" i="32"/>
  <c r="E77" i="32"/>
  <c r="AH77" i="32"/>
  <c r="F50" i="6"/>
  <c r="E94" i="32"/>
  <c r="AH94" i="32"/>
  <c r="AH91" i="32"/>
  <c r="E91" i="32"/>
  <c r="AH36" i="32"/>
  <c r="E36" i="32"/>
  <c r="AH74" i="32"/>
  <c r="AH70" i="32"/>
  <c r="E70" i="32"/>
  <c r="F16" i="6"/>
  <c r="F49" i="6"/>
  <c r="AH34" i="32"/>
  <c r="E34" i="32"/>
  <c r="AH41" i="32"/>
  <c r="AH26" i="32"/>
  <c r="E23" i="32"/>
  <c r="F21" i="14"/>
  <c r="F38" i="14"/>
  <c r="G35" i="14"/>
  <c r="AG35" i="14" s="1"/>
  <c r="G27" i="14"/>
  <c r="AG27" i="14" s="1"/>
  <c r="G37" i="14"/>
  <c r="AG37" i="14" s="1"/>
  <c r="G17" i="14"/>
  <c r="AG17" i="14" s="1"/>
  <c r="G22" i="14"/>
  <c r="AG22" i="14" s="1"/>
  <c r="G13" i="14"/>
  <c r="AG13" i="14" s="1"/>
  <c r="Q1" i="14"/>
  <c r="W1" i="14"/>
  <c r="L1" i="14"/>
  <c r="V1" i="14"/>
  <c r="G11" i="14"/>
  <c r="AG11" i="14" s="1"/>
  <c r="G14" i="14"/>
  <c r="AG14" i="14" s="1"/>
  <c r="H1" i="14"/>
  <c r="T1" i="14"/>
  <c r="N1" i="14"/>
  <c r="M1" i="14"/>
  <c r="G31" i="14"/>
  <c r="AG31" i="14" s="1"/>
  <c r="U1" i="14"/>
  <c r="R1" i="14"/>
  <c r="G34" i="14"/>
  <c r="AG34" i="14" s="1"/>
  <c r="J1" i="14"/>
  <c r="I1" i="14"/>
  <c r="G33" i="14"/>
  <c r="AG33" i="14" s="1"/>
  <c r="G29" i="14"/>
  <c r="AG29" i="14" s="1"/>
  <c r="G16" i="14"/>
  <c r="AG16" i="14" s="1"/>
  <c r="K1" i="14"/>
  <c r="S1" i="14"/>
  <c r="AG1" i="14" l="1"/>
  <c r="G5" i="26"/>
  <c r="E5" i="26" s="1"/>
  <c r="G8" i="14"/>
  <c r="AG8" i="14" s="1"/>
  <c r="G6" i="26"/>
  <c r="E6" i="26" s="1"/>
  <c r="G6" i="14"/>
  <c r="G11" i="26"/>
  <c r="E11" i="26" s="1"/>
  <c r="G9" i="14"/>
  <c r="AG9" i="14" s="1"/>
  <c r="G9" i="26"/>
  <c r="E9" i="26" s="1"/>
  <c r="G10" i="14"/>
  <c r="AG10" i="14" s="1"/>
  <c r="G8" i="26"/>
  <c r="E8" i="26" s="1"/>
  <c r="G10" i="26"/>
  <c r="E10" i="26" s="1"/>
  <c r="F27" i="14"/>
  <c r="F35" i="14"/>
  <c r="F16" i="14"/>
  <c r="F17" i="14"/>
  <c r="F37" i="14"/>
  <c r="F29" i="14"/>
  <c r="F34" i="14"/>
  <c r="F31" i="14"/>
  <c r="F14" i="14"/>
  <c r="F13" i="14"/>
  <c r="F33" i="14"/>
  <c r="F11" i="14"/>
  <c r="F22" i="14"/>
  <c r="G1" i="14" l="1"/>
  <c r="AG4" i="14"/>
  <c r="F6" i="14"/>
  <c r="AG6" i="14"/>
  <c r="F8" i="14"/>
  <c r="F9" i="14"/>
  <c r="G12" i="26"/>
  <c r="E12" i="26"/>
  <c r="F10" i="14"/>
  <c r="AJ1" i="14" l="1"/>
  <c r="N102" i="32"/>
  <c r="V102" i="32"/>
  <c r="M102" i="32"/>
  <c r="U102" i="32"/>
  <c r="L102" i="32"/>
  <c r="T102" i="32"/>
  <c r="K102" i="32"/>
  <c r="S102" i="32"/>
  <c r="J102" i="32"/>
  <c r="R102" i="32"/>
  <c r="I102" i="32"/>
  <c r="Q102" i="32"/>
  <c r="H102" i="32"/>
  <c r="P102" i="32"/>
  <c r="G102" i="32"/>
  <c r="N151" i="32"/>
  <c r="V151" i="32"/>
  <c r="M151" i="32"/>
  <c r="U151" i="32"/>
  <c r="L151" i="32"/>
  <c r="T151" i="32"/>
  <c r="K151" i="32"/>
  <c r="S151" i="32"/>
  <c r="J151" i="32"/>
  <c r="R151" i="32"/>
  <c r="I151" i="32"/>
  <c r="Q151" i="32"/>
  <c r="H151" i="32"/>
  <c r="P151" i="32"/>
  <c r="G151" i="32"/>
  <c r="T172" i="32"/>
  <c r="K172" i="32"/>
  <c r="S172" i="32"/>
  <c r="J172" i="32"/>
  <c r="R172" i="32"/>
  <c r="I172" i="32"/>
  <c r="Q172" i="32"/>
  <c r="H172" i="32"/>
  <c r="P172" i="32"/>
  <c r="G172" i="32"/>
  <c r="N172" i="32"/>
  <c r="V172" i="32"/>
  <c r="M172" i="32"/>
  <c r="U172" i="32"/>
  <c r="L172" i="32"/>
  <c r="I173" i="32"/>
  <c r="S173" i="32"/>
  <c r="U173" i="32"/>
  <c r="Q173" i="32"/>
  <c r="L173" i="32"/>
  <c r="H173" i="32"/>
  <c r="T173" i="32"/>
  <c r="P173" i="32"/>
  <c r="K173" i="32"/>
  <c r="G173" i="32"/>
  <c r="N173" i="32"/>
  <c r="J173" i="32"/>
  <c r="M173" i="32"/>
  <c r="R173" i="32"/>
  <c r="V173" i="32"/>
  <c r="R139" i="32"/>
  <c r="M139" i="32"/>
  <c r="I139" i="32"/>
  <c r="K139" i="32"/>
  <c r="U139" i="32"/>
  <c r="Q139" i="32"/>
  <c r="G139" i="32"/>
  <c r="L139" i="32"/>
  <c r="H139" i="32"/>
  <c r="T139" i="32"/>
  <c r="P139" i="32"/>
  <c r="S139" i="32"/>
  <c r="V139" i="32"/>
  <c r="J139" i="32"/>
  <c r="N139" i="32"/>
  <c r="S57" i="32"/>
  <c r="N57" i="32"/>
  <c r="J57" i="32"/>
  <c r="V57" i="32"/>
  <c r="R57" i="32"/>
  <c r="M57" i="32"/>
  <c r="I57" i="32"/>
  <c r="T57" i="32"/>
  <c r="K57" i="32"/>
  <c r="Q57" i="32"/>
  <c r="L57" i="32"/>
  <c r="P57" i="32"/>
  <c r="U57" i="32"/>
  <c r="H57" i="32"/>
  <c r="G57" i="32"/>
  <c r="T169" i="32"/>
  <c r="H169" i="32"/>
  <c r="K169" i="32"/>
  <c r="G169" i="32"/>
  <c r="M169" i="32"/>
  <c r="S169" i="32"/>
  <c r="I169" i="32"/>
  <c r="N169" i="32"/>
  <c r="J169" i="32"/>
  <c r="V169" i="32"/>
  <c r="R169" i="32"/>
  <c r="U169" i="32"/>
  <c r="Q169" i="32"/>
  <c r="L169" i="32"/>
  <c r="P169" i="32"/>
  <c r="N156" i="32"/>
  <c r="R156" i="32"/>
  <c r="V156" i="32"/>
  <c r="J156" i="32"/>
  <c r="H156" i="32"/>
  <c r="M156" i="32"/>
  <c r="I156" i="32"/>
  <c r="T156" i="32"/>
  <c r="U156" i="32"/>
  <c r="Q156" i="32"/>
  <c r="L156" i="32"/>
  <c r="P156" i="32"/>
  <c r="K156" i="32"/>
  <c r="G156" i="32"/>
  <c r="S156" i="32"/>
  <c r="R28" i="32"/>
  <c r="M28" i="32"/>
  <c r="I28" i="32"/>
  <c r="U28" i="32"/>
  <c r="Q28" i="32"/>
  <c r="L28" i="32"/>
  <c r="H28" i="32"/>
  <c r="T28" i="32"/>
  <c r="P28" i="32"/>
  <c r="K28" i="32"/>
  <c r="G28" i="32"/>
  <c r="S28" i="32"/>
  <c r="V28" i="32"/>
  <c r="J28" i="32"/>
  <c r="N28" i="32"/>
  <c r="T22" i="32"/>
  <c r="H22" i="32"/>
  <c r="K22" i="32"/>
  <c r="G22" i="32"/>
  <c r="S22" i="32"/>
  <c r="N22" i="32"/>
  <c r="J22" i="32"/>
  <c r="V22" i="32"/>
  <c r="R22" i="32"/>
  <c r="M22" i="32"/>
  <c r="I22" i="32"/>
  <c r="U22" i="32"/>
  <c r="Q22" i="32"/>
  <c r="L22" i="32"/>
  <c r="P22" i="32"/>
  <c r="J8" i="32"/>
  <c r="V8" i="32"/>
  <c r="R8" i="32"/>
  <c r="M8" i="32"/>
  <c r="I8" i="32"/>
  <c r="L8" i="32"/>
  <c r="Q8" i="32"/>
  <c r="K8" i="32"/>
  <c r="H8" i="32"/>
  <c r="U8" i="32"/>
  <c r="P8" i="32"/>
  <c r="T8" i="32"/>
  <c r="G8" i="32"/>
  <c r="S8" i="32"/>
  <c r="N8" i="32"/>
  <c r="N59" i="32"/>
  <c r="V59" i="32"/>
  <c r="M59" i="32"/>
  <c r="U59" i="32"/>
  <c r="L59" i="32"/>
  <c r="T59" i="32"/>
  <c r="K59" i="32"/>
  <c r="S59" i="32"/>
  <c r="J59" i="32"/>
  <c r="R59" i="32"/>
  <c r="I59" i="32"/>
  <c r="H59" i="32"/>
  <c r="Q59" i="32"/>
  <c r="P59" i="32"/>
  <c r="G59" i="32"/>
  <c r="S50" i="32"/>
  <c r="J50" i="32"/>
  <c r="R50" i="32"/>
  <c r="I50" i="32"/>
  <c r="Q50" i="32"/>
  <c r="H50" i="32"/>
  <c r="N50" i="32"/>
  <c r="K50" i="32"/>
  <c r="G50" i="32"/>
  <c r="V50" i="32"/>
  <c r="U50" i="32"/>
  <c r="T50" i="32"/>
  <c r="P50" i="32"/>
  <c r="M50" i="32"/>
  <c r="L50" i="32"/>
  <c r="N45" i="32"/>
  <c r="V45" i="32"/>
  <c r="M45" i="32"/>
  <c r="U45" i="32"/>
  <c r="L45" i="32"/>
  <c r="T45" i="32"/>
  <c r="S45" i="32"/>
  <c r="G45" i="32"/>
  <c r="R45" i="32"/>
  <c r="Q45" i="32"/>
  <c r="P45" i="32"/>
  <c r="K45" i="32"/>
  <c r="J45" i="32"/>
  <c r="I45" i="32"/>
  <c r="H45" i="32"/>
  <c r="Q33" i="32"/>
  <c r="H33" i="32"/>
  <c r="P33" i="32"/>
  <c r="G33" i="32"/>
  <c r="N33" i="32"/>
  <c r="V33" i="32"/>
  <c r="M33" i="32"/>
  <c r="U33" i="32"/>
  <c r="L33" i="32"/>
  <c r="T33" i="32"/>
  <c r="K33" i="32"/>
  <c r="R33" i="32"/>
  <c r="J33" i="32"/>
  <c r="I33" i="32"/>
  <c r="S33" i="32"/>
  <c r="Q48" i="32"/>
  <c r="H48" i="32"/>
  <c r="P48" i="32"/>
  <c r="N48" i="32"/>
  <c r="S48" i="32"/>
  <c r="R48" i="32"/>
  <c r="M48" i="32"/>
  <c r="L48" i="32"/>
  <c r="K48" i="32"/>
  <c r="V48" i="32"/>
  <c r="J48" i="32"/>
  <c r="U48" i="32"/>
  <c r="I48" i="32"/>
  <c r="T48" i="32"/>
  <c r="G48" i="32"/>
  <c r="P32" i="32"/>
  <c r="G32" i="32"/>
  <c r="N32" i="32"/>
  <c r="V32" i="32"/>
  <c r="M32" i="32"/>
  <c r="U32" i="32"/>
  <c r="L32" i="32"/>
  <c r="T32" i="32"/>
  <c r="K32" i="32"/>
  <c r="S32" i="32"/>
  <c r="J32" i="32"/>
  <c r="R32" i="32"/>
  <c r="I32" i="32"/>
  <c r="Q32" i="32"/>
  <c r="H32" i="32"/>
  <c r="R14" i="32"/>
  <c r="Q14" i="32"/>
  <c r="H14" i="32"/>
  <c r="P14" i="32"/>
  <c r="G14" i="32"/>
  <c r="I14" i="32"/>
  <c r="N14" i="32"/>
  <c r="V14" i="32"/>
  <c r="M14" i="32"/>
  <c r="U14" i="32"/>
  <c r="L14" i="32"/>
  <c r="T14" i="32"/>
  <c r="K14" i="32"/>
  <c r="S14" i="32"/>
  <c r="J14" i="32"/>
  <c r="S9" i="32"/>
  <c r="J9" i="32"/>
  <c r="R9" i="32"/>
  <c r="I9" i="32"/>
  <c r="Q9" i="32"/>
  <c r="H9" i="32"/>
  <c r="P9" i="32"/>
  <c r="G9" i="32"/>
  <c r="N9" i="32"/>
  <c r="V9" i="32"/>
  <c r="M9" i="32"/>
  <c r="U9" i="32"/>
  <c r="T9" i="32"/>
  <c r="L9" i="32"/>
  <c r="K9" i="32"/>
  <c r="H56" i="32"/>
  <c r="G56" i="32"/>
  <c r="N56" i="32"/>
  <c r="V56" i="32"/>
  <c r="M56" i="32"/>
  <c r="P56" i="32"/>
  <c r="U56" i="32"/>
  <c r="L56" i="32"/>
  <c r="T56" i="32"/>
  <c r="K56" i="32"/>
  <c r="S56" i="32"/>
  <c r="J56" i="32"/>
  <c r="R56" i="32"/>
  <c r="I56" i="32"/>
  <c r="Q56" i="32"/>
  <c r="K20" i="32"/>
  <c r="S20" i="32"/>
  <c r="J20" i="32"/>
  <c r="R20" i="32"/>
  <c r="I20" i="32"/>
  <c r="T20" i="32"/>
  <c r="Q20" i="32"/>
  <c r="H20" i="32"/>
  <c r="P20" i="32"/>
  <c r="G20" i="32"/>
  <c r="N20" i="32"/>
  <c r="V20" i="32"/>
  <c r="M20" i="32"/>
  <c r="U20" i="32"/>
  <c r="L20" i="32"/>
  <c r="Q27" i="32"/>
  <c r="H27" i="32"/>
  <c r="P27" i="32"/>
  <c r="G27" i="32"/>
  <c r="N27" i="32"/>
  <c r="V27" i="32"/>
  <c r="M27" i="32"/>
  <c r="U27" i="32"/>
  <c r="L27" i="32"/>
  <c r="T27" i="32"/>
  <c r="K27" i="32"/>
  <c r="S27" i="32"/>
  <c r="R27" i="32"/>
  <c r="J27" i="32"/>
  <c r="I27" i="32"/>
  <c r="S19" i="32"/>
  <c r="Q19" i="32"/>
  <c r="H19" i="32"/>
  <c r="P19" i="32"/>
  <c r="G19" i="32"/>
  <c r="R19" i="32"/>
  <c r="N19" i="32"/>
  <c r="V19" i="32"/>
  <c r="M19" i="32"/>
  <c r="U19" i="32"/>
  <c r="L19" i="32"/>
  <c r="I19" i="32"/>
  <c r="T19" i="32"/>
  <c r="K19" i="32"/>
  <c r="J19" i="32"/>
  <c r="N53" i="32"/>
  <c r="P53" i="32"/>
  <c r="V53" i="32"/>
  <c r="M53" i="32"/>
  <c r="U53" i="32"/>
  <c r="L53" i="32"/>
  <c r="T53" i="32"/>
  <c r="K53" i="32"/>
  <c r="S53" i="32"/>
  <c r="J53" i="32"/>
  <c r="R53" i="32"/>
  <c r="I53" i="32"/>
  <c r="Q53" i="32"/>
  <c r="H53" i="32"/>
  <c r="G53" i="32"/>
  <c r="U60" i="32"/>
  <c r="L60" i="32"/>
  <c r="T60" i="32"/>
  <c r="K60" i="32"/>
  <c r="S60" i="32"/>
  <c r="J60" i="32"/>
  <c r="R60" i="32"/>
  <c r="I60" i="32"/>
  <c r="Q60" i="32"/>
  <c r="H60" i="32"/>
  <c r="P60" i="32"/>
  <c r="G60" i="32"/>
  <c r="V60" i="32"/>
  <c r="N60" i="32"/>
  <c r="M60" i="32"/>
  <c r="S58" i="32"/>
  <c r="J58" i="32"/>
  <c r="R58" i="32"/>
  <c r="I58" i="32"/>
  <c r="Q58" i="32"/>
  <c r="H58" i="32"/>
  <c r="P58" i="32"/>
  <c r="G58" i="32"/>
  <c r="N58" i="32"/>
  <c r="V58" i="32"/>
  <c r="M58" i="32"/>
  <c r="L58" i="32"/>
  <c r="K58" i="32"/>
  <c r="U58" i="32"/>
  <c r="T58" i="32"/>
  <c r="Q31" i="32"/>
  <c r="H31" i="32"/>
  <c r="P31" i="32"/>
  <c r="G31" i="32"/>
  <c r="N31" i="32"/>
  <c r="V31" i="32"/>
  <c r="M31" i="32"/>
  <c r="U31" i="32"/>
  <c r="L31" i="32"/>
  <c r="T31" i="32"/>
  <c r="K31" i="32"/>
  <c r="S31" i="32"/>
  <c r="R31" i="32"/>
  <c r="J31" i="32"/>
  <c r="I31" i="32"/>
  <c r="S52" i="32"/>
  <c r="R52" i="32"/>
  <c r="I52" i="32"/>
  <c r="Q52" i="32"/>
  <c r="H52" i="32"/>
  <c r="P52" i="32"/>
  <c r="G52" i="32"/>
  <c r="T52" i="32"/>
  <c r="J52" i="32"/>
  <c r="N52" i="32"/>
  <c r="V52" i="32"/>
  <c r="M52" i="32"/>
  <c r="K52" i="32"/>
  <c r="U52" i="32"/>
  <c r="L52" i="32"/>
  <c r="U38" i="32"/>
  <c r="T38" i="32"/>
  <c r="K38" i="32"/>
  <c r="L38" i="32"/>
  <c r="S38" i="32"/>
  <c r="J38" i="32"/>
  <c r="V38" i="32"/>
  <c r="R38" i="32"/>
  <c r="I38" i="32"/>
  <c r="Q38" i="32"/>
  <c r="H38" i="32"/>
  <c r="P38" i="32"/>
  <c r="G38" i="32"/>
  <c r="M38" i="32"/>
  <c r="N38" i="32"/>
  <c r="S43" i="32"/>
  <c r="J43" i="32"/>
  <c r="R43" i="32"/>
  <c r="I43" i="32"/>
  <c r="Q43" i="32"/>
  <c r="H43" i="32"/>
  <c r="P43" i="32"/>
  <c r="G43" i="32"/>
  <c r="N43" i="32"/>
  <c r="V43" i="32"/>
  <c r="M43" i="32"/>
  <c r="U43" i="32"/>
  <c r="T43" i="32"/>
  <c r="L43" i="32"/>
  <c r="K43" i="32"/>
  <c r="U6" i="32"/>
  <c r="L6" i="32"/>
  <c r="T6" i="32"/>
  <c r="K6" i="32"/>
  <c r="S6" i="32"/>
  <c r="J6" i="32"/>
  <c r="R6" i="32"/>
  <c r="I6" i="32"/>
  <c r="Q6" i="32"/>
  <c r="H6" i="32"/>
  <c r="P6" i="32"/>
  <c r="G6" i="32"/>
  <c r="V6" i="32"/>
  <c r="N6" i="32"/>
  <c r="M6" i="32"/>
  <c r="U40" i="32"/>
  <c r="L40" i="32"/>
  <c r="T40" i="32"/>
  <c r="K40" i="32"/>
  <c r="S40" i="32"/>
  <c r="J40" i="32"/>
  <c r="R40" i="32"/>
  <c r="I40" i="32"/>
  <c r="Q40" i="32"/>
  <c r="H40" i="32"/>
  <c r="P40" i="32"/>
  <c r="G40" i="32"/>
  <c r="V40" i="32"/>
  <c r="N40" i="32"/>
  <c r="M40" i="32"/>
  <c r="N7" i="32"/>
  <c r="V7" i="32"/>
  <c r="M7" i="32"/>
  <c r="U7" i="32"/>
  <c r="L7" i="32"/>
  <c r="T7" i="32"/>
  <c r="K7" i="32"/>
  <c r="S7" i="32"/>
  <c r="J7" i="32"/>
  <c r="R7" i="32"/>
  <c r="I7" i="32"/>
  <c r="H7" i="32"/>
  <c r="G7" i="32"/>
  <c r="Q7" i="32"/>
  <c r="P7" i="32"/>
  <c r="L37" i="32"/>
  <c r="T37" i="32"/>
  <c r="K37" i="32"/>
  <c r="R37" i="32"/>
  <c r="S37" i="32"/>
  <c r="J37" i="32"/>
  <c r="Q37" i="32"/>
  <c r="H37" i="32"/>
  <c r="I37" i="32"/>
  <c r="U37" i="32"/>
  <c r="P37" i="32"/>
  <c r="G37" i="32"/>
  <c r="V37" i="32"/>
  <c r="M37" i="32"/>
  <c r="N37" i="32"/>
  <c r="Q30" i="32"/>
  <c r="H30" i="32"/>
  <c r="P30" i="32"/>
  <c r="G30" i="32"/>
  <c r="N30" i="32"/>
  <c r="V30" i="32"/>
  <c r="M30" i="32"/>
  <c r="U30" i="32"/>
  <c r="L30" i="32"/>
  <c r="T30" i="32"/>
  <c r="K30" i="32"/>
  <c r="I30" i="32"/>
  <c r="S30" i="32"/>
  <c r="R30" i="32"/>
  <c r="J30" i="32"/>
  <c r="H25" i="32"/>
  <c r="P25" i="32"/>
  <c r="G25" i="32"/>
  <c r="N25" i="32"/>
  <c r="I25" i="32"/>
  <c r="V25" i="32"/>
  <c r="M25" i="32"/>
  <c r="U25" i="32"/>
  <c r="L25" i="32"/>
  <c r="R25" i="32"/>
  <c r="Q25" i="32"/>
  <c r="T25" i="32"/>
  <c r="K25" i="32"/>
  <c r="S25" i="32"/>
  <c r="J25" i="32"/>
  <c r="R155" i="32"/>
  <c r="I155" i="32"/>
  <c r="G155" i="32"/>
  <c r="Q155" i="32"/>
  <c r="H155" i="32"/>
  <c r="N155" i="32"/>
  <c r="T155" i="32"/>
  <c r="S155" i="32"/>
  <c r="P155" i="32"/>
  <c r="K155" i="32"/>
  <c r="V155" i="32"/>
  <c r="M155" i="32"/>
  <c r="J155" i="32"/>
  <c r="U155" i="32"/>
  <c r="L155" i="32"/>
  <c r="U10" i="32"/>
  <c r="L10" i="32"/>
  <c r="T10" i="32"/>
  <c r="K10" i="32"/>
  <c r="S10" i="32"/>
  <c r="J10" i="32"/>
  <c r="R10" i="32"/>
  <c r="I10" i="32"/>
  <c r="Q10" i="32"/>
  <c r="H10" i="32"/>
  <c r="P10" i="32"/>
  <c r="G10" i="32"/>
  <c r="V10" i="32"/>
  <c r="N10" i="32"/>
  <c r="M10" i="32"/>
  <c r="P12" i="32"/>
  <c r="G12" i="32"/>
  <c r="N12" i="32"/>
  <c r="H12" i="32"/>
  <c r="M12" i="32"/>
  <c r="I12" i="32"/>
  <c r="V12" i="32"/>
  <c r="U12" i="32"/>
  <c r="L12" i="32"/>
  <c r="T12" i="32"/>
  <c r="K12" i="32"/>
  <c r="R12" i="32"/>
  <c r="S12" i="32"/>
  <c r="J12" i="32"/>
  <c r="Q12" i="32"/>
  <c r="T16" i="32"/>
  <c r="R16" i="32"/>
  <c r="I16" i="32"/>
  <c r="H16" i="32"/>
  <c r="J16" i="32"/>
  <c r="Q16" i="32"/>
  <c r="P16" i="32"/>
  <c r="K16" i="32"/>
  <c r="G16" i="32"/>
  <c r="N16" i="32"/>
  <c r="S16" i="32"/>
  <c r="V16" i="32"/>
  <c r="M16" i="32"/>
  <c r="U16" i="32"/>
  <c r="L16" i="32"/>
  <c r="P21" i="32"/>
  <c r="N21" i="32"/>
  <c r="V21" i="32"/>
  <c r="M21" i="32"/>
  <c r="L21" i="32"/>
  <c r="T21" i="32"/>
  <c r="K21" i="32"/>
  <c r="U21" i="32"/>
  <c r="S21" i="32"/>
  <c r="J21" i="32"/>
  <c r="R21" i="32"/>
  <c r="I21" i="32"/>
  <c r="Q21" i="32"/>
  <c r="H21" i="32"/>
  <c r="G21" i="32"/>
  <c r="N17" i="32"/>
  <c r="V17" i="32"/>
  <c r="M17" i="32"/>
  <c r="U17" i="32"/>
  <c r="L17" i="32"/>
  <c r="T17" i="32"/>
  <c r="K17" i="32"/>
  <c r="S17" i="32"/>
  <c r="J17" i="32"/>
  <c r="R17" i="32"/>
  <c r="I17" i="32"/>
  <c r="Q17" i="32"/>
  <c r="P17" i="32"/>
  <c r="H17" i="32"/>
  <c r="G17" i="32"/>
  <c r="S11" i="32"/>
  <c r="J11" i="32"/>
  <c r="R11" i="32"/>
  <c r="I11" i="32"/>
  <c r="Q11" i="32"/>
  <c r="H11" i="32"/>
  <c r="P11" i="32"/>
  <c r="G11" i="32"/>
  <c r="N11" i="32"/>
  <c r="V11" i="32"/>
  <c r="M11" i="32"/>
  <c r="U11" i="32"/>
  <c r="T11" i="32"/>
  <c r="L11" i="32"/>
  <c r="K11" i="32"/>
  <c r="Q24" i="32"/>
  <c r="H24" i="32"/>
  <c r="P24" i="32"/>
  <c r="G24" i="32"/>
  <c r="N24" i="32"/>
  <c r="V24" i="32"/>
  <c r="M24" i="32"/>
  <c r="U24" i="32"/>
  <c r="L24" i="32"/>
  <c r="T24" i="32"/>
  <c r="K24" i="32"/>
  <c r="S24" i="32"/>
  <c r="R24" i="32"/>
  <c r="J24" i="32"/>
  <c r="I24" i="32"/>
  <c r="S4" i="32"/>
  <c r="J4" i="32"/>
  <c r="R4" i="32"/>
  <c r="I4" i="32"/>
  <c r="Q4" i="32"/>
  <c r="H4" i="32"/>
  <c r="P4" i="32"/>
  <c r="G4" i="32"/>
  <c r="N4" i="32"/>
  <c r="V4" i="32"/>
  <c r="M4" i="32"/>
  <c r="T4" i="32"/>
  <c r="L4" i="32"/>
  <c r="K4" i="32"/>
  <c r="U4" i="32"/>
  <c r="U5" i="32"/>
  <c r="L5" i="32"/>
  <c r="T5" i="32"/>
  <c r="K5" i="32"/>
  <c r="S5" i="32"/>
  <c r="J5" i="32"/>
  <c r="R5" i="32"/>
  <c r="I5" i="32"/>
  <c r="Q5" i="32"/>
  <c r="H5" i="32"/>
  <c r="P5" i="32"/>
  <c r="G5" i="32"/>
  <c r="M5" i="32"/>
  <c r="V5" i="32"/>
  <c r="N5" i="32"/>
  <c r="N18" i="32"/>
  <c r="V18" i="32"/>
  <c r="M18" i="32"/>
  <c r="U18" i="32"/>
  <c r="L18" i="32"/>
  <c r="T18" i="32"/>
  <c r="K18" i="32"/>
  <c r="S18" i="32"/>
  <c r="J18" i="32"/>
  <c r="R18" i="32"/>
  <c r="I18" i="32"/>
  <c r="Q18" i="32"/>
  <c r="P18" i="32"/>
  <c r="H18" i="32"/>
  <c r="G18" i="32"/>
  <c r="Q13" i="32"/>
  <c r="H13" i="32"/>
  <c r="P13" i="32"/>
  <c r="G13" i="32"/>
  <c r="N13" i="32"/>
  <c r="U13" i="32"/>
  <c r="L13" i="32"/>
  <c r="T13" i="32"/>
  <c r="S13" i="32"/>
  <c r="R13" i="32"/>
  <c r="M13" i="32"/>
  <c r="K13" i="32"/>
  <c r="J13" i="32"/>
  <c r="I13" i="32"/>
  <c r="V13" i="32"/>
  <c r="N44" i="32"/>
  <c r="V44" i="32"/>
  <c r="M44" i="32"/>
  <c r="U44" i="32"/>
  <c r="L44" i="32"/>
  <c r="S44" i="32"/>
  <c r="J44" i="32"/>
  <c r="K44" i="32"/>
  <c r="I44" i="32"/>
  <c r="H44" i="32"/>
  <c r="G44" i="32"/>
  <c r="T44" i="32"/>
  <c r="R44" i="32"/>
  <c r="Q44" i="32"/>
  <c r="P44" i="32"/>
  <c r="U55" i="32"/>
  <c r="L55" i="32"/>
  <c r="T55" i="32"/>
  <c r="K55" i="32"/>
  <c r="S55" i="32"/>
  <c r="J55" i="32"/>
  <c r="Q55" i="32"/>
  <c r="H55" i="32"/>
  <c r="I55" i="32"/>
  <c r="G55" i="32"/>
  <c r="V55" i="32"/>
  <c r="R55" i="32"/>
  <c r="P55" i="32"/>
  <c r="N55" i="32"/>
  <c r="M55" i="32"/>
  <c r="Q42" i="32"/>
  <c r="H42" i="32"/>
  <c r="P42" i="32"/>
  <c r="G42" i="32"/>
  <c r="N42" i="32"/>
  <c r="U42" i="32"/>
  <c r="L42" i="32"/>
  <c r="R42" i="32"/>
  <c r="M42" i="32"/>
  <c r="K42" i="32"/>
  <c r="J42" i="32"/>
  <c r="I42" i="32"/>
  <c r="V42" i="32"/>
  <c r="T42" i="32"/>
  <c r="S42" i="32"/>
  <c r="N15" i="32"/>
  <c r="V15" i="32"/>
  <c r="M15" i="32"/>
  <c r="U15" i="32"/>
  <c r="L15" i="32"/>
  <c r="T15" i="32"/>
  <c r="K15" i="32"/>
  <c r="S15" i="32"/>
  <c r="J15" i="32"/>
  <c r="R15" i="32"/>
  <c r="I15" i="32"/>
  <c r="Q15" i="32"/>
  <c r="P15" i="32"/>
  <c r="H15" i="32"/>
  <c r="G15" i="32"/>
  <c r="S49" i="32"/>
  <c r="J49" i="32"/>
  <c r="R49" i="32"/>
  <c r="I49" i="32"/>
  <c r="Q49" i="32"/>
  <c r="H49" i="32"/>
  <c r="N49" i="32"/>
  <c r="T49" i="32"/>
  <c r="P49" i="32"/>
  <c r="M49" i="32"/>
  <c r="L49" i="32"/>
  <c r="K49" i="32"/>
  <c r="G49" i="32"/>
  <c r="V49" i="32"/>
  <c r="U49" i="32"/>
  <c r="Q47" i="32"/>
  <c r="H47" i="32"/>
  <c r="P47" i="32"/>
  <c r="G47" i="32"/>
  <c r="N47" i="32"/>
  <c r="U47" i="32"/>
  <c r="L47" i="32"/>
  <c r="K47" i="32"/>
  <c r="J47" i="32"/>
  <c r="I47" i="32"/>
  <c r="V47" i="32"/>
  <c r="T47" i="32"/>
  <c r="S47" i="32"/>
  <c r="R47" i="32"/>
  <c r="M47" i="32"/>
  <c r="N46" i="32"/>
  <c r="V46" i="32"/>
  <c r="M46" i="32"/>
  <c r="U46" i="32"/>
  <c r="L46" i="32"/>
  <c r="S46" i="32"/>
  <c r="J46" i="32"/>
  <c r="G46" i="32"/>
  <c r="T46" i="32"/>
  <c r="R46" i="32"/>
  <c r="Q46" i="32"/>
  <c r="P46" i="32"/>
  <c r="K46" i="32"/>
  <c r="I46" i="32"/>
  <c r="H46" i="32"/>
  <c r="U51" i="32"/>
  <c r="L51" i="32"/>
  <c r="T51" i="32"/>
  <c r="K51" i="32"/>
  <c r="S51" i="32"/>
  <c r="J51" i="32"/>
  <c r="Q51" i="32"/>
  <c r="H51" i="32"/>
  <c r="P51" i="32"/>
  <c r="N51" i="32"/>
  <c r="M51" i="32"/>
  <c r="I51" i="32"/>
  <c r="G51" i="32"/>
  <c r="V51" i="32"/>
  <c r="R51" i="32"/>
  <c r="U54" i="32"/>
  <c r="L54" i="32"/>
  <c r="T54" i="32"/>
  <c r="K54" i="32"/>
  <c r="S54" i="32"/>
  <c r="J54" i="32"/>
  <c r="Q54" i="32"/>
  <c r="H54" i="32"/>
  <c r="P54" i="32"/>
  <c r="G54" i="32"/>
  <c r="V54" i="32"/>
  <c r="R54" i="32"/>
  <c r="N54" i="32"/>
  <c r="M54" i="32"/>
  <c r="I54" i="32"/>
  <c r="U29" i="32"/>
  <c r="L29" i="32"/>
  <c r="T29" i="32"/>
  <c r="K29" i="32"/>
  <c r="S29" i="32"/>
  <c r="J29" i="32"/>
  <c r="R29" i="32"/>
  <c r="I29" i="32"/>
  <c r="Q29" i="32"/>
  <c r="H29" i="32"/>
  <c r="P29" i="32"/>
  <c r="G29" i="32"/>
  <c r="V29" i="32"/>
  <c r="N29" i="32"/>
  <c r="M29" i="32"/>
  <c r="R1" i="23"/>
  <c r="U1" i="23"/>
  <c r="N1" i="23"/>
  <c r="V1" i="23"/>
  <c r="W1" i="23"/>
  <c r="H1" i="23"/>
  <c r="Q1" i="23"/>
  <c r="S1" i="23"/>
  <c r="J1" i="23"/>
  <c r="K1" i="23"/>
  <c r="I1" i="23"/>
  <c r="T1" i="23"/>
  <c r="M1" i="23"/>
  <c r="L1" i="23"/>
  <c r="G47" i="6"/>
  <c r="AG47" i="6" s="1"/>
  <c r="G46" i="6"/>
  <c r="AG46" i="6" s="1"/>
  <c r="AH37" i="6"/>
  <c r="AF37" i="6"/>
  <c r="F46" i="6" l="1"/>
  <c r="F47" i="6"/>
  <c r="O102" i="32"/>
  <c r="F102" i="32" s="1"/>
  <c r="O151" i="32"/>
  <c r="F151" i="32" s="1"/>
  <c r="AH151" i="32" s="1"/>
  <c r="O172" i="32"/>
  <c r="F172" i="32" s="1"/>
  <c r="G12" i="6"/>
  <c r="AG12" i="6" s="1"/>
  <c r="O156" i="32"/>
  <c r="F156" i="32" s="1"/>
  <c r="E156" i="32" s="1"/>
  <c r="O57" i="32"/>
  <c r="F57" i="32" s="1"/>
  <c r="O169" i="32"/>
  <c r="F169" i="32" s="1"/>
  <c r="E169" i="32" s="1"/>
  <c r="O139" i="32"/>
  <c r="F139" i="32" s="1"/>
  <c r="G44" i="6"/>
  <c r="AG44" i="6" s="1"/>
  <c r="G45" i="6"/>
  <c r="AG45" i="6" s="1"/>
  <c r="G41" i="6"/>
  <c r="AG41" i="6" s="1"/>
  <c r="AG42" i="6"/>
  <c r="O173" i="32"/>
  <c r="F173" i="32" s="1"/>
  <c r="O8" i="32"/>
  <c r="F8" i="32" s="1"/>
  <c r="G18" i="6"/>
  <c r="AG18" i="6" s="1"/>
  <c r="O22" i="32"/>
  <c r="F22" i="32" s="1"/>
  <c r="O28" i="32"/>
  <c r="F28" i="32" s="1"/>
  <c r="O59" i="32"/>
  <c r="F59" i="32" s="1"/>
  <c r="AH59" i="32" s="1"/>
  <c r="G36" i="6"/>
  <c r="AG36" i="6" s="1"/>
  <c r="G22" i="6"/>
  <c r="AG22" i="6" s="1"/>
  <c r="O44" i="32"/>
  <c r="F44" i="32" s="1"/>
  <c r="O18" i="32"/>
  <c r="F18" i="32" s="1"/>
  <c r="AH18" i="32" s="1"/>
  <c r="O7" i="32"/>
  <c r="F7" i="32" s="1"/>
  <c r="AH7" i="32" s="1"/>
  <c r="O46" i="32"/>
  <c r="F46" i="32" s="1"/>
  <c r="AH46" i="32" s="1"/>
  <c r="G38" i="6"/>
  <c r="AG38" i="6" s="1"/>
  <c r="O5" i="32"/>
  <c r="F5" i="32" s="1"/>
  <c r="AH5" i="32" s="1"/>
  <c r="O10" i="32"/>
  <c r="F10" i="32" s="1"/>
  <c r="AH10" i="32" s="1"/>
  <c r="O54" i="32"/>
  <c r="F54" i="32" s="1"/>
  <c r="E54" i="32" s="1"/>
  <c r="O42" i="32"/>
  <c r="F42" i="32" s="1"/>
  <c r="E42" i="32" s="1"/>
  <c r="L1" i="32"/>
  <c r="Q1" i="32"/>
  <c r="O21" i="32"/>
  <c r="F21" i="32" s="1"/>
  <c r="AH21" i="32" s="1"/>
  <c r="O30" i="32"/>
  <c r="F30" i="32" s="1"/>
  <c r="AH30" i="32" s="1"/>
  <c r="O31" i="32"/>
  <c r="F31" i="32" s="1"/>
  <c r="E31" i="32" s="1"/>
  <c r="O32" i="32"/>
  <c r="F32" i="32" s="1"/>
  <c r="E32" i="32" s="1"/>
  <c r="O50" i="32"/>
  <c r="F50" i="32" s="1"/>
  <c r="E50" i="32" s="1"/>
  <c r="O25" i="32"/>
  <c r="F25" i="32" s="1"/>
  <c r="E25" i="32" s="1"/>
  <c r="T1" i="32"/>
  <c r="I1" i="32"/>
  <c r="O24" i="32"/>
  <c r="F24" i="32" s="1"/>
  <c r="E24" i="32" s="1"/>
  <c r="O16" i="32"/>
  <c r="F16" i="32" s="1"/>
  <c r="AH16" i="32" s="1"/>
  <c r="O38" i="32"/>
  <c r="F38" i="32" s="1"/>
  <c r="AH38" i="32" s="1"/>
  <c r="M1" i="32"/>
  <c r="O47" i="32"/>
  <c r="F47" i="32" s="1"/>
  <c r="E47" i="32" s="1"/>
  <c r="V1" i="32"/>
  <c r="J1" i="32"/>
  <c r="O58" i="32"/>
  <c r="F58" i="32" s="1"/>
  <c r="AH58" i="32" s="1"/>
  <c r="O19" i="32"/>
  <c r="F19" i="32" s="1"/>
  <c r="AH19" i="32" s="1"/>
  <c r="O27" i="32"/>
  <c r="F27" i="32" s="1"/>
  <c r="AH27" i="32" s="1"/>
  <c r="O45" i="32"/>
  <c r="F45" i="32" s="1"/>
  <c r="E45" i="32" s="1"/>
  <c r="O49" i="32"/>
  <c r="F49" i="32" s="1"/>
  <c r="E49" i="32" s="1"/>
  <c r="N1" i="32"/>
  <c r="S1" i="32"/>
  <c r="O11" i="32"/>
  <c r="F11" i="32" s="1"/>
  <c r="AH11" i="32" s="1"/>
  <c r="O155" i="32"/>
  <c r="F155" i="32" s="1"/>
  <c r="E155" i="32" s="1"/>
  <c r="O6" i="32"/>
  <c r="F6" i="32" s="1"/>
  <c r="E6" i="32" s="1"/>
  <c r="O20" i="32"/>
  <c r="F20" i="32" s="1"/>
  <c r="AH20" i="32" s="1"/>
  <c r="O9" i="32"/>
  <c r="F9" i="32" s="1"/>
  <c r="AH9" i="32" s="1"/>
  <c r="O33" i="32"/>
  <c r="F33" i="32" s="1"/>
  <c r="E33" i="32" s="1"/>
  <c r="R1" i="32"/>
  <c r="O55" i="32"/>
  <c r="F55" i="32" s="1"/>
  <c r="AH55" i="32" s="1"/>
  <c r="O13" i="32"/>
  <c r="F13" i="32" s="1"/>
  <c r="AH13" i="32" s="1"/>
  <c r="G1" i="32"/>
  <c r="O17" i="32"/>
  <c r="F17" i="32" s="1"/>
  <c r="AH17" i="32" s="1"/>
  <c r="O40" i="32"/>
  <c r="F40" i="32" s="1"/>
  <c r="AH40" i="32" s="1"/>
  <c r="O48" i="32"/>
  <c r="F48" i="32" s="1"/>
  <c r="AH48" i="32" s="1"/>
  <c r="U1" i="32"/>
  <c r="O12" i="32"/>
  <c r="F12" i="32" s="1"/>
  <c r="AH12" i="32" s="1"/>
  <c r="O52" i="32"/>
  <c r="F52" i="32" s="1"/>
  <c r="AH52" i="32" s="1"/>
  <c r="O60" i="32"/>
  <c r="F60" i="32" s="1"/>
  <c r="AH60" i="32" s="1"/>
  <c r="O53" i="32"/>
  <c r="F53" i="32" s="1"/>
  <c r="AH53" i="32" s="1"/>
  <c r="O56" i="32"/>
  <c r="F56" i="32" s="1"/>
  <c r="AH56" i="32" s="1"/>
  <c r="O14" i="32"/>
  <c r="F14" i="32" s="1"/>
  <c r="AH14" i="32" s="1"/>
  <c r="O29" i="32"/>
  <c r="F29" i="32" s="1"/>
  <c r="AH29" i="32" s="1"/>
  <c r="O51" i="32"/>
  <c r="F51" i="32" s="1"/>
  <c r="AH51" i="32" s="1"/>
  <c r="O15" i="32"/>
  <c r="F15" i="32" s="1"/>
  <c r="AH15" i="32" s="1"/>
  <c r="K1" i="32"/>
  <c r="H1" i="32"/>
  <c r="O37" i="32"/>
  <c r="F37" i="32" s="1"/>
  <c r="AH37" i="32" s="1"/>
  <c r="O43" i="32"/>
  <c r="F43" i="32" s="1"/>
  <c r="AH43" i="32" s="1"/>
  <c r="P1" i="32"/>
  <c r="O4" i="32"/>
  <c r="G10" i="6"/>
  <c r="AG10" i="6" s="1"/>
  <c r="G30" i="6"/>
  <c r="AG30" i="6" s="1"/>
  <c r="G34" i="6"/>
  <c r="AG34" i="6" s="1"/>
  <c r="G13" i="6"/>
  <c r="AG13" i="6" s="1"/>
  <c r="G15" i="6"/>
  <c r="AG15" i="6" s="1"/>
  <c r="G14" i="6"/>
  <c r="AG14" i="6" s="1"/>
  <c r="G39" i="6"/>
  <c r="AG39" i="6" s="1"/>
  <c r="G37" i="6"/>
  <c r="AG37" i="6" s="1"/>
  <c r="G40" i="6"/>
  <c r="AG40" i="6" s="1"/>
  <c r="G33" i="6"/>
  <c r="AG33" i="6" s="1"/>
  <c r="G5" i="6"/>
  <c r="G6" i="6"/>
  <c r="AG6" i="6" s="1"/>
  <c r="G26" i="6"/>
  <c r="AG26" i="6" s="1"/>
  <c r="G11" i="6"/>
  <c r="AG11" i="6" s="1"/>
  <c r="G29" i="6"/>
  <c r="AG29" i="6" s="1"/>
  <c r="G17" i="6"/>
  <c r="AG17" i="6" s="1"/>
  <c r="G43" i="6"/>
  <c r="AG43" i="6" s="1"/>
  <c r="G21" i="6"/>
  <c r="AG21" i="6" s="1"/>
  <c r="G32" i="6"/>
  <c r="AG32" i="6" s="1"/>
  <c r="G23" i="6"/>
  <c r="AG23" i="6" s="1"/>
  <c r="G35" i="6"/>
  <c r="AG35" i="6" s="1"/>
  <c r="G20" i="6"/>
  <c r="AG20" i="6" s="1"/>
  <c r="G8" i="6"/>
  <c r="AG8" i="6" s="1"/>
  <c r="G24" i="6"/>
  <c r="AG24" i="6" s="1"/>
  <c r="G25" i="6"/>
  <c r="AG25" i="6" s="1"/>
  <c r="G28" i="6"/>
  <c r="AG28" i="6" s="1"/>
  <c r="G19" i="6"/>
  <c r="AG19" i="6" s="1"/>
  <c r="G7" i="6"/>
  <c r="AG7" i="6" s="1"/>
  <c r="G9" i="6"/>
  <c r="AG9" i="6" s="1"/>
  <c r="AG5" i="6" l="1"/>
  <c r="G1" i="6"/>
  <c r="F29" i="6"/>
  <c r="F4" i="6"/>
  <c r="F5" i="6"/>
  <c r="F35" i="6"/>
  <c r="F23" i="6"/>
  <c r="F32" i="6"/>
  <c r="F21" i="6"/>
  <c r="F43" i="6"/>
  <c r="F17" i="6"/>
  <c r="F11" i="6"/>
  <c r="F26" i="6"/>
  <c r="F33" i="6"/>
  <c r="F40" i="6"/>
  <c r="F37" i="6"/>
  <c r="F39" i="6"/>
  <c r="F14" i="6"/>
  <c r="F15" i="6"/>
  <c r="F13" i="6"/>
  <c r="F34" i="6"/>
  <c r="F30" i="6"/>
  <c r="F38" i="6"/>
  <c r="F22" i="6"/>
  <c r="F36" i="6"/>
  <c r="F45" i="6"/>
  <c r="F44" i="6"/>
  <c r="F41" i="6"/>
  <c r="AH102" i="32"/>
  <c r="E102" i="32"/>
  <c r="E151" i="32"/>
  <c r="AH172" i="32"/>
  <c r="E172" i="32"/>
  <c r="E18" i="32"/>
  <c r="AH156" i="32"/>
  <c r="F12" i="6"/>
  <c r="AH169" i="32"/>
  <c r="AH139" i="32"/>
  <c r="E139" i="32"/>
  <c r="E57" i="32"/>
  <c r="AH57" i="32"/>
  <c r="AH173" i="32"/>
  <c r="E173" i="32"/>
  <c r="AH42" i="32"/>
  <c r="E30" i="32"/>
  <c r="AH45" i="32"/>
  <c r="E38" i="32"/>
  <c r="AH28" i="32"/>
  <c r="E28" i="32"/>
  <c r="AH22" i="32"/>
  <c r="E22" i="32"/>
  <c r="F18" i="6"/>
  <c r="AH8" i="32"/>
  <c r="E8" i="32"/>
  <c r="E46" i="32"/>
  <c r="E59" i="32"/>
  <c r="AH47" i="32"/>
  <c r="AH6" i="32"/>
  <c r="E12" i="32"/>
  <c r="E17" i="32"/>
  <c r="E19" i="32"/>
  <c r="E5" i="32"/>
  <c r="E48" i="32"/>
  <c r="E9" i="32"/>
  <c r="AH31" i="32"/>
  <c r="E37" i="32"/>
  <c r="E21" i="32"/>
  <c r="E53" i="32"/>
  <c r="AH33" i="32"/>
  <c r="AH24" i="32"/>
  <c r="AH44" i="32"/>
  <c r="E44" i="32"/>
  <c r="E56" i="32"/>
  <c r="E7" i="32"/>
  <c r="E40" i="32"/>
  <c r="E16" i="32"/>
  <c r="E52" i="32"/>
  <c r="E51" i="32"/>
  <c r="AH32" i="32"/>
  <c r="AH54" i="32"/>
  <c r="AH25" i="32"/>
  <c r="E15" i="32"/>
  <c r="AH50" i="32"/>
  <c r="E14" i="32"/>
  <c r="E10" i="32"/>
  <c r="AH49" i="32"/>
  <c r="E11" i="32"/>
  <c r="E13" i="32"/>
  <c r="E29" i="32"/>
  <c r="E58" i="32"/>
  <c r="E55" i="32"/>
  <c r="AH155" i="32"/>
  <c r="E27" i="32"/>
  <c r="E43" i="32"/>
  <c r="E20" i="32"/>
  <c r="E60" i="32"/>
  <c r="F4" i="32"/>
  <c r="O1" i="32"/>
  <c r="F19" i="6"/>
  <c r="F7" i="6"/>
  <c r="F28" i="6"/>
  <c r="F24" i="6"/>
  <c r="F20" i="6"/>
  <c r="F9" i="6"/>
  <c r="F10" i="6"/>
  <c r="F25" i="6"/>
  <c r="F8" i="6"/>
  <c r="F6" i="6"/>
  <c r="K1" i="6"/>
  <c r="L1" i="6"/>
  <c r="H1" i="6"/>
  <c r="Q1" i="6"/>
  <c r="J1" i="6"/>
  <c r="T1" i="6"/>
  <c r="S1" i="6"/>
  <c r="R1" i="6"/>
  <c r="U1" i="6"/>
  <c r="N1" i="6"/>
  <c r="I1" i="6"/>
  <c r="M1" i="6"/>
  <c r="V1" i="6"/>
  <c r="W1" i="6"/>
  <c r="AI1" i="6" l="1"/>
  <c r="AJ1" i="23"/>
  <c r="AG1" i="6"/>
  <c r="AH4" i="32"/>
  <c r="F1" i="32"/>
  <c r="E4" i="32"/>
  <c r="F21" i="26"/>
  <c r="G22" i="26"/>
  <c r="G23" i="26" s="1"/>
  <c r="AM6" i="6" l="1"/>
  <c r="AM7" i="6"/>
  <c r="AM9" i="6" s="1"/>
  <c r="Y1" i="32"/>
  <c r="F23" i="26"/>
  <c r="E21" i="26"/>
  <c r="E22" i="26"/>
  <c r="AM10" i="6" l="1"/>
  <c r="E23" i="26"/>
  <c r="D21" i="40" l="1"/>
  <c r="I123" i="38"/>
  <c r="I133" i="38" l="1"/>
  <c r="I129" i="38"/>
  <c r="I16" i="38"/>
  <c r="I17"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Eduarda Rodrigues Oliveira</author>
  </authors>
  <commentList>
    <comment ref="X2" authorId="0" shapeId="0" xr:uid="{35314DBB-25F4-4494-8F27-3AEBF0B02691}">
      <text>
        <r>
          <rPr>
            <b/>
            <sz val="9"/>
            <color indexed="81"/>
            <rFont val="Segoe UI"/>
            <family val="2"/>
          </rPr>
          <t>Eduarda Rodrigues Oliveira:</t>
        </r>
        <r>
          <rPr>
            <sz val="9"/>
            <color indexed="81"/>
            <rFont val="Segoe UI"/>
            <family val="2"/>
          </rPr>
          <t xml:space="preserve">
3% of overdue and remaining 97% provision to be made on case to case basis after discussion with marketing team</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<sst xmlns="http://schemas.openxmlformats.org/spreadsheetml/2006/main" count="15134" uniqueCount="923">
  <si>
    <t>CNPJ</t>
  </si>
  <si>
    <t>NUMNOTA</t>
  </si>
  <si>
    <t>DTVENC</t>
  </si>
  <si>
    <t>NOMEPARC</t>
  </si>
  <si>
    <t>CODPARC</t>
  </si>
  <si>
    <t>Dias vencidos</t>
  </si>
  <si>
    <t>Valor</t>
  </si>
  <si>
    <t>Guarantee</t>
  </si>
  <si>
    <t>Not Due</t>
  </si>
  <si>
    <t>1-30 Days</t>
  </si>
  <si>
    <t>31-60 Days</t>
  </si>
  <si>
    <t>61-90 Days</t>
  </si>
  <si>
    <t>91-120 Days</t>
  </si>
  <si>
    <t>121-180 Days</t>
  </si>
  <si>
    <t>181-360 Days</t>
  </si>
  <si>
    <t>Above 360 Days</t>
  </si>
  <si>
    <t>Aging Not Due</t>
  </si>
  <si>
    <t>Total AR</t>
  </si>
  <si>
    <t>Value</t>
  </si>
  <si>
    <t>Due date</t>
  </si>
  <si>
    <t>Type</t>
  </si>
  <si>
    <t>Period days</t>
  </si>
  <si>
    <t>CUSTOMER</t>
  </si>
  <si>
    <t>Tenor</t>
  </si>
  <si>
    <t>Payment collection history</t>
  </si>
  <si>
    <t xml:space="preserve">Exceeded Granted Credit </t>
  </si>
  <si>
    <t>Aging Overdue</t>
  </si>
  <si>
    <t>Overdue</t>
  </si>
  <si>
    <t>1</t>
  </si>
  <si>
    <t>Adtives</t>
  </si>
  <si>
    <t>FOSNOR - LUIS EDUARDO MAGALHAES</t>
  </si>
  <si>
    <t>..-</t>
  </si>
  <si>
    <t>00.000.000/0000-00</t>
  </si>
  <si>
    <t>VWI TRANSPORTES LTDA - ME</t>
  </si>
  <si>
    <t>CARGILL - UBERLÂNDIA</t>
  </si>
  <si>
    <t>VENDAS MERCADO INTERNO</t>
  </si>
  <si>
    <t>CIBRA - CAMAÇARI</t>
  </si>
  <si>
    <t>00.117.842/0001-28</t>
  </si>
  <si>
    <t>ADUBOS ARAGUAIA - ANAPOLIS</t>
  </si>
  <si>
    <t>FECOAGRO</t>
  </si>
  <si>
    <t>COMIGO - RIO VERDE</t>
  </si>
  <si>
    <t>HERINGER - RONDONÓPOLIS II</t>
  </si>
  <si>
    <t>22.266.175/0036-08</t>
  </si>
  <si>
    <t>FERTIPAR - RONDONÓPOLIS</t>
  </si>
  <si>
    <t>HERINGER - RIO VERDE</t>
  </si>
  <si>
    <t>UNIFÉRTIL - CANOAS UN2</t>
  </si>
  <si>
    <t>FERTIPAR - PARANAGUA</t>
  </si>
  <si>
    <t>FERTIPAR - SÃO LUÍS DO MARANHÃO</t>
  </si>
  <si>
    <t>06.191.223/0002-40</t>
  </si>
  <si>
    <t>ADUBOS ARAGUAIA - SORRISO</t>
  </si>
  <si>
    <t>FERTINE - RECIFE</t>
  </si>
  <si>
    <t>FERTIAL FERTILIZANTES USIFERTIL - MACEIO</t>
  </si>
  <si>
    <t>SOLO VIVO - ARAUCÁRIA</t>
  </si>
  <si>
    <t>TERRA FERTILIZANTES LTDA - ARAXÁ</t>
  </si>
  <si>
    <t>10.482.668/0001-76</t>
  </si>
  <si>
    <t>FERTILIZ. TOCANTINS - QUERÊNCIA</t>
  </si>
  <si>
    <t>FERTILIZ. TOCANTINS - SÃO LUIS</t>
  </si>
  <si>
    <t>YARA - PONTA GROSSA</t>
  </si>
  <si>
    <t>92.660.604/0138-37</t>
  </si>
  <si>
    <t>ADUBOS ARAGUAIA - RONDONOPOLIS</t>
  </si>
  <si>
    <t>YARA - RIO GRANDE</t>
  </si>
  <si>
    <t>92.660.604/0013-16</t>
  </si>
  <si>
    <t>MOSAIC - CAMPO GRANDE</t>
  </si>
  <si>
    <t>61.156.501/0081-30</t>
  </si>
  <si>
    <t>CIBRA - SÃO FRANCISCO DO SUL</t>
  </si>
  <si>
    <t>AURORA MINERAÇÃO LTDA</t>
  </si>
  <si>
    <t>02.964.101/0001-08</t>
  </si>
  <si>
    <t>MOSAIC - UBERABA (CIU1)</t>
  </si>
  <si>
    <t>33.931.486/0014-55</t>
  </si>
  <si>
    <t>MOSAIC - UBERABA (CIU2)</t>
  </si>
  <si>
    <t>33.931.486/0021-84</t>
  </si>
  <si>
    <t>MOSAIC - ARAXA (CMA)</t>
  </si>
  <si>
    <t>33.931.486/0019-60</t>
  </si>
  <si>
    <t>33.931.486/0009-98</t>
  </si>
  <si>
    <t>CIBRA - PARANAGUÁ II</t>
  </si>
  <si>
    <t>95.865.572/0024-36</t>
  </si>
  <si>
    <t>AMAGGI - COMODORO</t>
  </si>
  <si>
    <t>FERTGROW - SÃO LUIS</t>
  </si>
  <si>
    <t>BR FERTIL - PARANAGUA</t>
  </si>
  <si>
    <t>61.156.501/0117-86</t>
  </si>
  <si>
    <t>FERTILIZ. TOCANTINS - SINOP</t>
  </si>
  <si>
    <t>MOSAIC - SÃO LUIS</t>
  </si>
  <si>
    <t>61.156.501/0100-38</t>
  </si>
  <si>
    <t>ADUFERTIL JUNDIAI</t>
  </si>
  <si>
    <t>FERTILIZ. TOCANTINS - CATALÃO</t>
  </si>
  <si>
    <t>COONAGRO COOPERATIVA NACIONAL AGROINDUST</t>
  </si>
  <si>
    <t>84.828.003/0003-70</t>
  </si>
  <si>
    <t>SUPERBAC FERTILIZANTES I</t>
  </si>
  <si>
    <t>INTERFERTIL - SAO FRANCISCO DO SUL</t>
  </si>
  <si>
    <t>FERTIMAXI - CONCEICAO DO JACUIPE</t>
  </si>
  <si>
    <t>GLINFERTIL - SAO FRANCISCO DO SUL</t>
  </si>
  <si>
    <t>15.807.135/0001-30</t>
  </si>
  <si>
    <t>FERTIPAR - SINOP</t>
  </si>
  <si>
    <t>NUTRISOYA - CATALÃO</t>
  </si>
  <si>
    <t>FERTIPLANTA - VARGEM GRANDE DO SUL</t>
  </si>
  <si>
    <t>61.156.501/0110-00</t>
  </si>
  <si>
    <t>ONNO LOGISTICA  LTDA</t>
  </si>
  <si>
    <t>MOSAIC - PARANAGUA II</t>
  </si>
  <si>
    <t>61.156.501/0109-76</t>
  </si>
  <si>
    <t>MOSAIC - ROSARIO DO CATETE</t>
  </si>
  <si>
    <t>31.009.644/0001-74</t>
  </si>
  <si>
    <t>MOSAIC - SÃO FRANCISCO SUL</t>
  </si>
  <si>
    <t>61.156.501/0125-96</t>
  </si>
  <si>
    <t>MOSAIC - PARANAGUA I</t>
  </si>
  <si>
    <t>61.156.501/0080-50</t>
  </si>
  <si>
    <t>BENTONIT UNIAO - BOA VISTA</t>
  </si>
  <si>
    <t>CIBRA - UBERABA</t>
  </si>
  <si>
    <t>AMAGGI - SINOP</t>
  </si>
  <si>
    <t>AMAGGI - PORTO VELHO</t>
  </si>
  <si>
    <t>CIBRA - SINOP</t>
  </si>
  <si>
    <t>00.117.842/0016-04</t>
  </si>
  <si>
    <t>UNIFERTIL RIO GRANDE UN1</t>
  </si>
  <si>
    <t>YARA - CUBATÃO CUB3</t>
  </si>
  <si>
    <t>92.660.604/0170-77</t>
  </si>
  <si>
    <t>HINOVE - RIO BRILHANTE</t>
  </si>
  <si>
    <t>ADUBOS ARAGUAIA - PARANAGUÁ</t>
  </si>
  <si>
    <t>AGROPECUARIA MARATA - MARUIM</t>
  </si>
  <si>
    <t>HINOVE - REGISTRO/SP</t>
  </si>
  <si>
    <t>14.031.191/0004-06</t>
  </si>
  <si>
    <t>EUROCHEM SERRA DO SALITRE</t>
  </si>
  <si>
    <t>HERINGER - VIANA</t>
  </si>
  <si>
    <t>TERRA NATIVA</t>
  </si>
  <si>
    <t>TAKI AGRO - TRES CORAÇÕES</t>
  </si>
  <si>
    <t>08.684.752/0001-20</t>
  </si>
  <si>
    <t>VENDAS MERCADO EXTERNO</t>
  </si>
  <si>
    <t>BUNGE PARAGUAY S.A</t>
  </si>
  <si>
    <t>99.999.999/9999-99</t>
  </si>
  <si>
    <t>AGROBROKERS - COLÔMBIA</t>
  </si>
  <si>
    <t>FERTIMAX PARAGUAY</t>
  </si>
  <si>
    <t>ISUSA - URUGUAI</t>
  </si>
  <si>
    <t>MOSAIC FERTILIZANTES PARAGUAY S.R.L.</t>
  </si>
  <si>
    <t>SOLINAG CÍA.LTDA</t>
  </si>
  <si>
    <t>LYCSA ARGENTINA</t>
  </si>
  <si>
    <t>CIAGROPA SA</t>
  </si>
  <si>
    <t>DULARI - URUGUAY</t>
  </si>
  <si>
    <t>EXPONENCIAL ENERGIA LTDA.</t>
  </si>
  <si>
    <t>DMAE</t>
  </si>
  <si>
    <t>FRETES DIVERSOS</t>
  </si>
  <si>
    <t>INATIVO - MOSAIC ROSARIO DO CATETE</t>
  </si>
  <si>
    <t>33.931.486/0033-18</t>
  </si>
  <si>
    <t>LEANDRO MATOS DA CONCEICAO</t>
  </si>
  <si>
    <t>MÓVEIS E UTENSÍLIOS</t>
  </si>
  <si>
    <t>LOG RECICLAGEM</t>
  </si>
  <si>
    <t>VENDA DE SUCATAS</t>
  </si>
  <si>
    <t>WITZLER RECICLA EIRELI - ME</t>
  </si>
  <si>
    <t>BIOCARE AMBIENTAL EIRELI</t>
  </si>
  <si>
    <t>ITALO SILVA FELIX</t>
  </si>
  <si>
    <t>STENIO FREITAS CARVALHO</t>
  </si>
  <si>
    <t>AGROFERTIL - GOIANDIRA</t>
  </si>
  <si>
    <t>DELCORP S.A</t>
  </si>
  <si>
    <t>EQUILIBRIO - MOGI MIRIM</t>
  </si>
  <si>
    <t>FAZENDA BOA ESPERANÇA</t>
  </si>
  <si>
    <t>FERTISANTA FERTILIZANTES - RIO GRANDE</t>
  </si>
  <si>
    <t>JOAQUIM FERNANDES NETTO</t>
  </si>
  <si>
    <t>MADEFLOR FERTILIZANTES LTDA</t>
  </si>
  <si>
    <t>PLANT BEM - PARANAGUÁ</t>
  </si>
  <si>
    <t>PLANTA RICA AGRONEGÓCIOS LTDA</t>
  </si>
  <si>
    <t>SOLO FÉRTIL - AGRONEGÓCIO</t>
  </si>
  <si>
    <t>Credit Analysis</t>
  </si>
  <si>
    <t>NATIVA - IBIÁ</t>
  </si>
  <si>
    <t>VENDA PROD. INDUSTRIALIZADO - NFE</t>
  </si>
  <si>
    <t>VENDA A ORDEM</t>
  </si>
  <si>
    <t>FINANCEIRO GERAL</t>
  </si>
  <si>
    <t>HERINGER - OURINHOS</t>
  </si>
  <si>
    <t>UNIFERTIL - CANOAS UN1</t>
  </si>
  <si>
    <t>FERRO ALVAREZ</t>
  </si>
  <si>
    <t>FERTIPAR - VARGINHA</t>
  </si>
  <si>
    <t>FORTGREEN - PAICANDU</t>
  </si>
  <si>
    <t>FERTILIZ. TOCANTINS - ARAGUARI</t>
  </si>
  <si>
    <t>HERINGER - PAULINIA</t>
  </si>
  <si>
    <t>VENDA - NFE (EXPORTAÇÃO)</t>
  </si>
  <si>
    <t>FERMAGRI S.A</t>
  </si>
  <si>
    <t>2</t>
  </si>
  <si>
    <t>Fertilizers</t>
  </si>
  <si>
    <t>PROQUIGEL - CANDEIAS</t>
  </si>
  <si>
    <t>CISBRA QUIMICA - FORMOSA</t>
  </si>
  <si>
    <t>CENTRAL DO ADUBO COM E REPRESENTACAO LTD</t>
  </si>
  <si>
    <t>02.560.903/0001-52</t>
  </si>
  <si>
    <t>ABOPAR - PARAGUAY</t>
  </si>
  <si>
    <t>ROGERIO VIEIRA GOUVEA</t>
  </si>
  <si>
    <t>VENDA PROD REMETIDO P/ INDUSTRIALIZAÇÃO</t>
  </si>
  <si>
    <t>AGROVIVA</t>
  </si>
  <si>
    <t>19.195.655/0001-90</t>
  </si>
  <si>
    <t>SAGRA - PATROCINIO</t>
  </si>
  <si>
    <t>MARCELO MOREIRA DE SOUSA E OUTRO(S)</t>
  </si>
  <si>
    <t>TECNOMYL S.A.</t>
  </si>
  <si>
    <t>TERRA FERTIL - MACHADO</t>
  </si>
  <si>
    <t>15.003.086/0001-83</t>
  </si>
  <si>
    <t>FERTIPOL - DOURADOS</t>
  </si>
  <si>
    <t>11.827.200/0001-39</t>
  </si>
  <si>
    <t>VENDA DE IMOBILIZADO SEM ICMS</t>
  </si>
  <si>
    <t>FERTIBAL</t>
  </si>
  <si>
    <t>SETEC AGRO - UBERLANDIA</t>
  </si>
  <si>
    <t>08.685.699/0001-82</t>
  </si>
  <si>
    <t>MOGIANA TECNO AGRO</t>
  </si>
  <si>
    <t>33.030.913/0001-00</t>
  </si>
  <si>
    <t>VEGA AGRO</t>
  </si>
  <si>
    <t>10.356.626/0001-99</t>
  </si>
  <si>
    <t>CASA DAS SEMENTES</t>
  </si>
  <si>
    <t>03.285.659/0001-20</t>
  </si>
  <si>
    <t>FAZENDA BATURI</t>
  </si>
  <si>
    <t>294.299.338-33</t>
  </si>
  <si>
    <t>SITIO BOA ESPERANCA</t>
  </si>
  <si>
    <t>FAZENDA BRAVINHOS</t>
  </si>
  <si>
    <t>SITIO CAPOEIRA DOS PALMITOS</t>
  </si>
  <si>
    <t>AGROVENTANIA</t>
  </si>
  <si>
    <t>CBM FERTILIZANTES</t>
  </si>
  <si>
    <t>37.743.701/0001-20</t>
  </si>
  <si>
    <t>SAMUEL DE ASSIS CINTRA ARANTES</t>
  </si>
  <si>
    <t>AGRO BERALDO</t>
  </si>
  <si>
    <t>28.321.521/0001-60</t>
  </si>
  <si>
    <t>FAZENDA FORTALEZA</t>
  </si>
  <si>
    <t>FAZ.CÓRREGO FEIO LUG. FAZ.RECAN D. AG.CL</t>
  </si>
  <si>
    <t>FAZENDA CACHOEIRA</t>
  </si>
  <si>
    <t>DAVI RIBEIRO DE ARAUJO SILVA</t>
  </si>
  <si>
    <t>DHBAIXA</t>
  </si>
  <si>
    <t>NUFIN</t>
  </si>
  <si>
    <t>AD_BU</t>
  </si>
  <si>
    <t>NOME_BU</t>
  </si>
  <si>
    <t>DTENTSAI</t>
  </si>
  <si>
    <t>CODNAT</t>
  </si>
  <si>
    <t>DESCRNAT</t>
  </si>
  <si>
    <t>CODTIPOPER</t>
  </si>
  <si>
    <t>OPERACAO</t>
  </si>
  <si>
    <t>x</t>
  </si>
  <si>
    <t>Carta Fiança</t>
  </si>
  <si>
    <t>Clean</t>
  </si>
  <si>
    <t>CPR</t>
  </si>
  <si>
    <t>Aval Socios</t>
  </si>
  <si>
    <t>CLEAN/CPRF</t>
  </si>
  <si>
    <t>CPR-F</t>
  </si>
  <si>
    <t>1 year</t>
  </si>
  <si>
    <t>CPR-G</t>
  </si>
  <si>
    <t>CLEAN/FIANÇA</t>
  </si>
  <si>
    <t>10 months</t>
  </si>
  <si>
    <t>HERINGER - MANHUAÇU</t>
  </si>
  <si>
    <t>FERTILIZ. TOCANTINS - BARCARENA</t>
  </si>
  <si>
    <t>ANDRÉ ARAÚJO MARTINS</t>
  </si>
  <si>
    <t>HERINGER - CANDEIAS</t>
  </si>
  <si>
    <t>HERINGER - DOURADOS</t>
  </si>
  <si>
    <t>TERRENA - PATOS DE MINAS</t>
  </si>
  <si>
    <t>FERTILIZ. TOCANTINS - PORTO NACIONAL</t>
  </si>
  <si>
    <t>HERINGER - IGUATAMA</t>
  </si>
  <si>
    <t>CIBRA - CANDEIAS</t>
  </si>
  <si>
    <t>FERTILIZE - ALMIRANTE TAMANDARE-PR</t>
  </si>
  <si>
    <t>ADUBOS ARAGUAIA - CATALAO</t>
  </si>
  <si>
    <t>HERINGER - TRÊS CORAÇÕES</t>
  </si>
  <si>
    <t>MACROSOURCE PERÚ S.R.L.</t>
  </si>
  <si>
    <t>UNIFERTIL - CANOAS UN2</t>
  </si>
  <si>
    <t>FERTILIZE - ARAUCARIA-PR</t>
  </si>
  <si>
    <t>ADUBOS ARAGUAIA - CONFRESA</t>
  </si>
  <si>
    <t>MICROSOLO INDUSTRIAL - SETE LAGOAS</t>
  </si>
  <si>
    <t>61.156.501/0113-52</t>
  </si>
  <si>
    <t>NORDESTE COMERCIO DE FERTILIZ E TRANSP L</t>
  </si>
  <si>
    <t>TRIANGULO AGRO – POMPEU</t>
  </si>
  <si>
    <t>11.827.200/0004-81</t>
  </si>
  <si>
    <t>JOSAPAR - RIO GRANDE</t>
  </si>
  <si>
    <t>INPEK FERTILIZANTES - PARANAGUA</t>
  </si>
  <si>
    <t>OUROFERTIL - PELOTAS</t>
  </si>
  <si>
    <t>APROVAR AGROPECUARIA COMERCIO</t>
  </si>
  <si>
    <t>CIBRA - SAO LUIS</t>
  </si>
  <si>
    <t>DREYFUS SUIÇA</t>
  </si>
  <si>
    <t>TERA FERTILIZANTES - PATOS DE MINAS</t>
  </si>
  <si>
    <t>FERTIMAN - CONGONHAL</t>
  </si>
  <si>
    <t>KLEYTON DUARTE SOARES</t>
  </si>
  <si>
    <t>014.415.101-41</t>
  </si>
  <si>
    <t>ADUBOS ARAGUAIA - GUARANTÃ DO NORTE</t>
  </si>
  <si>
    <t>FAZENDA SANTA CRUZ</t>
  </si>
  <si>
    <t>FAZENDA SANTOS REIS II</t>
  </si>
  <si>
    <t>FAZENDA ARCOS SÃO JOÃO</t>
  </si>
  <si>
    <t>006.140.866-20</t>
  </si>
  <si>
    <t>GECAL - PAINS-MG</t>
  </si>
  <si>
    <t>JULIANE MARTINS PACHECO</t>
  </si>
  <si>
    <t>VLRDESDOB</t>
  </si>
  <si>
    <t>Days Overdue</t>
  </si>
  <si>
    <t>Not Overdue</t>
  </si>
  <si>
    <t>Overdue 0-90 days</t>
  </si>
  <si>
    <t>Overdue 91-180 days</t>
  </si>
  <si>
    <t>Overdue 181-360 days</t>
  </si>
  <si>
    <t>Overdue &gt;360</t>
  </si>
  <si>
    <t>0-90 days</t>
  </si>
  <si>
    <t>91-180 days</t>
  </si>
  <si>
    <t>181-360 days</t>
  </si>
  <si>
    <t>above 360 days</t>
  </si>
  <si>
    <t>Dedutive</t>
  </si>
  <si>
    <t>Administrative Decision</t>
  </si>
  <si>
    <t>Total Write off</t>
  </si>
  <si>
    <t>FERTIPAR - CANITAR</t>
  </si>
  <si>
    <t>PIS A RECOLHER</t>
  </si>
  <si>
    <t>SUL GOIANA - GOIATUBA</t>
  </si>
  <si>
    <t>COFINS A RECOLHER</t>
  </si>
  <si>
    <t>TERRA DE CULTIVO - MACHADO</t>
  </si>
  <si>
    <t>TEPEYAC</t>
  </si>
  <si>
    <t>ITERUM - RONDONOPOLIS</t>
  </si>
  <si>
    <t>YTL S.A. - PARAGUAI</t>
  </si>
  <si>
    <t>BUNGE - SANTOS</t>
  </si>
  <si>
    <t>SANTA MONICA AGRICOLA LTDA</t>
  </si>
  <si>
    <t>Bad debt provision</t>
  </si>
  <si>
    <t>AGROPECUARIA GOIANO</t>
  </si>
  <si>
    <t>OURO BRANCO - CONCEIÇÃO</t>
  </si>
  <si>
    <t>HERINGER - ROSÁRIO DO CATETE</t>
  </si>
  <si>
    <t>LIQUID TRANS LTDA</t>
  </si>
  <si>
    <t>GRANUPAR - RIO BRANCO DO SUL</t>
  </si>
  <si>
    <t>LOUIS DREYFUS - PARANAGUÁ</t>
  </si>
  <si>
    <t>CERES PERU S.A</t>
  </si>
  <si>
    <t>FERTILIZ. TOCANTINS - PAULINIA</t>
  </si>
  <si>
    <t>HINOVE AGROCIENCIA - GUARÁ</t>
  </si>
  <si>
    <t>MYRIN SA - URUGUAI</t>
  </si>
  <si>
    <t>MARIA JOSE DA SILVA</t>
  </si>
  <si>
    <t>844.462.855-72</t>
  </si>
  <si>
    <t>SAGRA - BAMBUÍ</t>
  </si>
  <si>
    <t>HERINGER - CATALÃO</t>
  </si>
  <si>
    <t>CIBRA - RIO GRANDE</t>
  </si>
  <si>
    <t>MACAXEIRA</t>
  </si>
  <si>
    <t>29.668.745/0001-05</t>
  </si>
  <si>
    <t>FAZENDA CATULES, DENOMINADO BAIXADA DA S</t>
  </si>
  <si>
    <t>Aditives</t>
  </si>
  <si>
    <t>Ilimitado</t>
  </si>
  <si>
    <t>Garantia</t>
  </si>
  <si>
    <t>Increase</t>
  </si>
  <si>
    <t>AGROPLANTA - BATATAIS</t>
  </si>
  <si>
    <t>JOSAPAR - PELOTAS</t>
  </si>
  <si>
    <t>FERTILIZANTES ALIANÇA - APARECIDA DE GOI</t>
  </si>
  <si>
    <t>AGRONELLI AGROINDUSTRIA LTDA</t>
  </si>
  <si>
    <t>EXPONENCIAL ENERGIA LTDA</t>
  </si>
  <si>
    <t>GEN FERTILIZANTES - BOM JESUS 2</t>
  </si>
  <si>
    <t>EXTRA CARGO ARMAZENS GERAIS</t>
  </si>
  <si>
    <t>FAZENDA PAIOL QUEIMADO</t>
  </si>
  <si>
    <t>AGRO MIL AGROS SAS</t>
  </si>
  <si>
    <t>EVOAGRO NUTRICION S.A.S - COLOMBIA</t>
  </si>
  <si>
    <t>BOLSA AGRONEGOCIO</t>
  </si>
  <si>
    <t>FAZENDA BARREIRAS</t>
  </si>
  <si>
    <t>SUPERFÉRTIL FERTILIZANTES - PATROCÍNIO</t>
  </si>
  <si>
    <t>FECOAGRO - SAO FRANCISCO DO SUL</t>
  </si>
  <si>
    <t>GA AGRONEGOCIOS</t>
  </si>
  <si>
    <t>27.273.296/0001-70</t>
  </si>
  <si>
    <t>NITROFERT SAS - COLOMBIA</t>
  </si>
  <si>
    <t>Remark</t>
  </si>
  <si>
    <t>BU</t>
  </si>
  <si>
    <t>Provision</t>
  </si>
  <si>
    <t>CENTRAL DO ADUBO</t>
  </si>
  <si>
    <t>Fertilizer</t>
  </si>
  <si>
    <t>SM AGRO / FAZ. BATURI</t>
  </si>
  <si>
    <t>Surety Bond</t>
  </si>
  <si>
    <t>Total Over Due in Litigation</t>
  </si>
  <si>
    <t xml:space="preserve">TERRA FERTILIZANTES LTDA </t>
  </si>
  <si>
    <t>FERTISANTA FERTILIZANTES</t>
  </si>
  <si>
    <t>Total Over Due with Possible Loss</t>
  </si>
  <si>
    <t>Low Risk - Expect to Receive soon</t>
  </si>
  <si>
    <t>Provision as per corporate policy</t>
  </si>
  <si>
    <t>Total</t>
  </si>
  <si>
    <t>Guarantee sent to the legal department so that they begin legal proceedings to collect the amount due</t>
  </si>
  <si>
    <t>BOLSA AGRONEGOCIOS</t>
  </si>
  <si>
    <t>FERTIPAR - CANDEIAS</t>
  </si>
  <si>
    <t>FERMAGRI S.A - EQUADOR</t>
  </si>
  <si>
    <t>SAGRA - ARAXÁ</t>
  </si>
  <si>
    <t>FAZENDA SERTAOZINHO</t>
  </si>
  <si>
    <t>HERINGER - RIO GRANDE</t>
  </si>
  <si>
    <t>ADUBOS BOA SAFRA - ITUMBIARA</t>
  </si>
  <si>
    <t>EQUILIBRA PERU S.A</t>
  </si>
  <si>
    <t>INDORAMA - SENEGAL</t>
  </si>
  <si>
    <t>INSS A RECOLHER</t>
  </si>
  <si>
    <t>IRRF</t>
  </si>
  <si>
    <t>IRRF S/ FOLHA DE PAGAMENTO</t>
  </si>
  <si>
    <t>PIS / COFINS / CSLL</t>
  </si>
  <si>
    <t>LOUIS DREYFUS - NOVA MUTUM</t>
  </si>
  <si>
    <t>FZD CATULES LUGAR DENOMINADO SANTA CRUZ</t>
  </si>
  <si>
    <t>AMÉRICA</t>
  </si>
  <si>
    <t>FAZENDA SANTA MONICA</t>
  </si>
  <si>
    <t>FAZENDA SANTA MÔNICA</t>
  </si>
  <si>
    <t>SITIO CRYSTAIS</t>
  </si>
  <si>
    <t>FERTILIZ. TOCANTINS - RONDONOPOLIS</t>
  </si>
  <si>
    <t>Não encontrado</t>
  </si>
  <si>
    <t>ASOCIACION DE COOPERATIVAS ARGENTINAS CL</t>
  </si>
  <si>
    <t>SYNGENTA SEEDS LTDA</t>
  </si>
  <si>
    <t>FAZENDA CATULES LUGAR DENOM. SANTA CRUZ</t>
  </si>
  <si>
    <t>FAZENDA FERRADURA</t>
  </si>
  <si>
    <t>TAKI AGRO - POUSO ALEGRE</t>
  </si>
  <si>
    <t>07.212.714/0001-02</t>
  </si>
  <si>
    <t>TAKI AGRO - SOCORRO</t>
  </si>
  <si>
    <t>39.750.862/0001-77</t>
  </si>
  <si>
    <t>TECNOMYL S.A. - PARAGUAY</t>
  </si>
  <si>
    <t>SEU LIXO</t>
  </si>
  <si>
    <t>50.454.037/0001-68</t>
  </si>
  <si>
    <t>CAPLA PANAMA</t>
  </si>
  <si>
    <t>FAZENDA BOA VISTA</t>
  </si>
  <si>
    <t>FAZENDA APARECIDA GLEBA 1</t>
  </si>
  <si>
    <t>CAMPO FERTIL - ANAPOLIS</t>
  </si>
  <si>
    <t>AGROBERALDO</t>
  </si>
  <si>
    <t>Provision 100%. Client’s overdues were protested at the registry office. Legal process ongoing</t>
  </si>
  <si>
    <t>EQUILÍBRIO - CATALÃO</t>
  </si>
  <si>
    <t>INKAFERT - PERU</t>
  </si>
  <si>
    <t>COPEVAL - CHILE</t>
  </si>
  <si>
    <t>ANAGRA - CHILE</t>
  </si>
  <si>
    <t>GRUPO ANDINA PERU</t>
  </si>
  <si>
    <t>FAZENDA CAMPO ALEGRE</t>
  </si>
  <si>
    <t>NATIVA AGRONEGOCIOS - IBIÁ</t>
  </si>
  <si>
    <t>CARGILL PARAGUAI</t>
  </si>
  <si>
    <t>SECRETARIA DA RECEITA FEDERAL</t>
  </si>
  <si>
    <t>GEN FERTILIZANTES - BARCARENA</t>
  </si>
  <si>
    <t>07.571.116/0015-25</t>
  </si>
  <si>
    <t>FERTALVO FERTILIZANTES - RONDONÓPOLIS</t>
  </si>
  <si>
    <t>C I ACEPALMA SA - COLOMBIA</t>
  </si>
  <si>
    <t>Judicial recovery plan presented but yet to be approved by Creditors Asembly: a meeting was held with AFT and a proposal of 65% discount on face value presented with a 18-month grace period and repayment over 10 years (in 20 installments).  Adfert has not received further details on the restructuring plan as previously agreed in the end of Oct. Creditors assembly yet to be marked and a vote will occur for the Debtors recovery plan approval. Adfert advisors have a strong believe that the plan as AS-IS will not be approved and new financial conditions will be needed by the debtors</t>
  </si>
  <si>
    <t>Client has phisycally closed its reseller shop. Current overdue invoices were dully protested at the registry office and legal action has been filed. Awaiting court´s decision ordering the defendants to be served for payment</t>
  </si>
  <si>
    <t>Adfert has taken legal action and collection recovery lawsuit to be filed within November. An agreement for a payment plan was not successfull</t>
  </si>
  <si>
    <t>Judicial recovery started</t>
  </si>
  <si>
    <t>old overdue</t>
  </si>
  <si>
    <t>GRUPO</t>
  </si>
  <si>
    <t>Grupo</t>
  </si>
  <si>
    <t>GRUPO FERTIPAR</t>
  </si>
  <si>
    <t>GRUPO EUROCHEM</t>
  </si>
  <si>
    <t>GRUPO MOSAIC</t>
  </si>
  <si>
    <t>GRUPO AMAGGI</t>
  </si>
  <si>
    <t>ADUBOS SUDOESTE - PARANAGUÁ</t>
  </si>
  <si>
    <t>GRUPO CIBRA</t>
  </si>
  <si>
    <t>GRUPO UNIFERTIL</t>
  </si>
  <si>
    <t>GRUPO CARGILL</t>
  </si>
  <si>
    <t>GRUPO ADUBOS ARAGUAIA</t>
  </si>
  <si>
    <t>GRUPO YARA</t>
  </si>
  <si>
    <t>GRUPO FERTILIZE</t>
  </si>
  <si>
    <t>GRUPO SUPERBAC</t>
  </si>
  <si>
    <t>GRUPO BUNGE</t>
  </si>
  <si>
    <t>GRUPO R3</t>
  </si>
  <si>
    <t>GRUPO LOUIS DREYFUS</t>
  </si>
  <si>
    <t>GRUPO SAGRA</t>
  </si>
  <si>
    <t>GRUPO TRIANGULO AGRO</t>
  </si>
  <si>
    <t>GRUPO HINOVE</t>
  </si>
  <si>
    <t>GRUPO LEANDRO SARTI</t>
  </si>
  <si>
    <t>GRUPO JOSAPAR</t>
  </si>
  <si>
    <t>GRUPO GEN FERTILIZANTES</t>
  </si>
  <si>
    <t>GRUPO TAKI AGRO</t>
  </si>
  <si>
    <t>GRUPO BOLSA AGRONEGOCIO</t>
  </si>
  <si>
    <t>LAMONIER ROMANOVISK DIAS SILVA</t>
  </si>
  <si>
    <t>GRUPO OURO BRANCO</t>
  </si>
  <si>
    <t>RATING</t>
  </si>
  <si>
    <t>CRÉDITO DISPONÍVEL</t>
  </si>
  <si>
    <t>FERTIBAL - EQUADOR</t>
  </si>
  <si>
    <t>Cód. Parceiro</t>
  </si>
  <si>
    <t>Nome Parceiro</t>
  </si>
  <si>
    <t>Grupo de Risco</t>
  </si>
  <si>
    <t>Data da Analise</t>
  </si>
  <si>
    <t>Valor do limite</t>
  </si>
  <si>
    <t>Informações da Analise</t>
  </si>
  <si>
    <t>Possui limite?</t>
  </si>
  <si>
    <t>Composição Garantias</t>
  </si>
  <si>
    <t>Fim da Garantia</t>
  </si>
  <si>
    <t>Sim</t>
  </si>
  <si>
    <t>ANALISE FEITO PELA BIOMA COM SUGESTAO LIMITE CLENA DE 500K PRAZO 120 DIAS E AVAL DE 1,5KK PRAZO 120 DIAS</t>
  </si>
  <si>
    <t>CARTA FIANÇA DE 1,8KK FEITO EM 26/06/2024</t>
  </si>
  <si>
    <t>Não</t>
  </si>
  <si>
    <t>FAZENDA SANTA ELIZA</t>
  </si>
  <si>
    <t>IPE AGROCOMERCIAL</t>
  </si>
  <si>
    <t>OURO SAFRA</t>
  </si>
  <si>
    <t>B</t>
  </si>
  <si>
    <t>O</t>
  </si>
  <si>
    <t>OURO BRANCO</t>
  </si>
  <si>
    <t>Analise efetuada pela Hecate. Limite Clena concedido de R$ 1.300.000,00</t>
  </si>
  <si>
    <t>Carta Fiança de R$ 1.300.000,00</t>
  </si>
  <si>
    <t>DESTAQUES
O grupo Agnelli, com mais de 17 anos no mercado, atua nos seguintes mercados:
•	Água (Porto Real)
•	Leite (Porto Real)
•	Pecuária (Agronelli Fazendas)
•	Móveis (Lucanelli)
•	Tecnologia da Informação (NellTech)
O código de atividade da Agronelli Agroindústria (CNAE 1121600) remete para a atividade de Fabricação de águas envasadas e não alguma atividade do Agro.
O relatório Serasa apresenta boa pontualidade no pagamento de fornecedores (97% pontual). Há registros negativos em nome da empresa e de seu Sócio MARCO TULIO PAOLINELLI, no entanto, não são consideradas relevantes.
Situação Econômico-Financeira
No balanço de 2021 para 2022 nota-se uma modificação nos números bastante relevante na Agronelli, provavelmente algum processo de Fusão ou aquisição. Não dispomos de informações sobre isso.
Embora a Agronelli tenha apresentado nos dois últimos exercícios (2023 e 2022) capacidade de autofinanciamento (Ebitda &gt; Variação da NCG), observa-se forte captação de dívidas bancárias nesses dois exercícios.
Em 2022, a captação de dívida bancária foi basicamente para repassar recursos a sócios. Já, em 2023, o principal direcionamento de recursos foi para investimentos em bens do imobilizado.
Embora o nível de endividamento seja moderado, mais da metade da dívida (59%) vem do mercado financeiro e não de suas atividades operacionais. E, a elevação da dívida nos últimos anos, refletiu significativamente em sua liquidez, que passou de 1,43 em 2021 para 1,06 em 2023.</t>
  </si>
  <si>
    <t>CLEAN</t>
  </si>
  <si>
    <t>C</t>
  </si>
  <si>
    <t>BIGFERTIL - CANDEIAS</t>
  </si>
  <si>
    <t>Essa empresa foi recentemente aberta por um empresário que, no passado, foi proprietário das fábricas da Fertipar no Nordeste. Como ainda não possui histórico de faturamento, o proprietário está atuando como avalista e oferecendo ativos como garantia de pagamento.
Informo também que a fábrica está 95% concluída, com previsão de produção de 120.000 toneladas de fertilizante no primeiro ano para comercialização própria, além de mais 90.000 toneladas destinadas à terceirização de serviços para outras empresas. Além disso, no mesmo local, eles operam há mais de um ano com a armazenagem de fertilizantes para terceiros, com capacidade estática de 120.000 toneladas.
Aditivos volumes / prazo de contrato:
1.	Megamicro: 200 ton./ano – 3 anos de prazo para pagamento
2.	Start Antidusting Incolor: 200 ton./ano – 3 anos de prazo para pagamento
3.	Uremax Coat (Verde, mesma tonalidade da Fertgrow): 15 ton./ano – 3 anos de prazo para pagamento</t>
  </si>
  <si>
    <t>Sem garantia</t>
  </si>
  <si>
    <t>LIMITE CONCEDIDO DE 70K E ANALISE A SER COMPLETADA</t>
  </si>
  <si>
    <t>A</t>
  </si>
  <si>
    <t>CREDITO</t>
  </si>
  <si>
    <t>Valor de Limite disponibilizado para todo grupo.</t>
  </si>
  <si>
    <t>FAZENDA PITAS</t>
  </si>
  <si>
    <t>The judicial collection lawsuit plan was signed and filed. Court decision has approved the settement agreement establishing a 24 months payment plan (montlhy payment). 1st installment not paid and the judicial collection is ongoing</t>
  </si>
  <si>
    <t>43.066.666/0001-55</t>
  </si>
  <si>
    <t>-</t>
  </si>
  <si>
    <t>D</t>
  </si>
  <si>
    <t>05.571.228/0011-27</t>
  </si>
  <si>
    <t>Approved Credit</t>
  </si>
  <si>
    <t>Credit Balance</t>
  </si>
  <si>
    <t>Credit Insurance</t>
  </si>
  <si>
    <t>Open Exposure</t>
  </si>
  <si>
    <t>Treasury Risk Status</t>
  </si>
  <si>
    <t>Probable</t>
  </si>
  <si>
    <t>Possible</t>
  </si>
  <si>
    <t>Rare</t>
  </si>
  <si>
    <t xml:space="preserve"> Guarantee Value</t>
  </si>
  <si>
    <t>PEDRO MACCÍO Y CIA S.A. - URUGUAI</t>
  </si>
  <si>
    <t>COONAGRO COOPERATIVA - PARANAGUA</t>
  </si>
  <si>
    <t>FAZENDA RIO BRILHANTE</t>
  </si>
  <si>
    <t>ADUBOS PARANAIBA - UBERLANDIA</t>
  </si>
  <si>
    <t>FERTYMEND - EQUADOR</t>
  </si>
  <si>
    <t>AGRO MIL AGROS SAS - COLOMBIA</t>
  </si>
  <si>
    <t>ADUBOS LEAO - LARANJEIRAS</t>
  </si>
  <si>
    <t>Payment Term</t>
  </si>
  <si>
    <t>NATURAL VERDE</t>
  </si>
  <si>
    <t>FERTLIZE AGRO</t>
  </si>
  <si>
    <t>SOLINAG CÍA.LTDA - EQUADOR</t>
  </si>
  <si>
    <t xml:space="preserve">Exposição </t>
  </si>
  <si>
    <t>GRUPO MOSAIC FERTILIZANTES DO BRASIL</t>
  </si>
  <si>
    <t>JOSÉ RIBEIRO DE CASTRO - SITIO MONGE</t>
  </si>
  <si>
    <t xml:space="preserve">in BRl </t>
  </si>
  <si>
    <t>Risk Provisions</t>
  </si>
  <si>
    <t>Central do Adubo</t>
  </si>
  <si>
    <t>SM Agro / Fazenda Baturi</t>
  </si>
  <si>
    <t xml:space="preserve">Judicial collection lawsuit is ongoing. </t>
  </si>
  <si>
    <t xml:space="preserve">CBM Fertilizantes </t>
  </si>
  <si>
    <t>Mogiana Tecno Agro</t>
  </si>
  <si>
    <t xml:space="preserve">AFT  received a renewalled payment proposal. Monthly payments along 2 yrs, with Machineary as guarantee and  worth 25% of Open Exposure.  
Formal proposal still pending full disclosre on documents and valuation on Machinery. </t>
  </si>
  <si>
    <t>Casa das Sementes</t>
  </si>
  <si>
    <t>Legal process ongoing and 100% of the invoices we provisioned.</t>
  </si>
  <si>
    <t xml:space="preserve">Terra Fértil </t>
  </si>
  <si>
    <t>AFT has reached a payment agreement: 15% paid by Oct 25 and 3 yearly installments (Oct 26-27-28). No discount on principal and price inflation indexed</t>
  </si>
  <si>
    <t>Agro Beraldo</t>
  </si>
  <si>
    <t>Total Over Due in Litigation (TOP 7)</t>
  </si>
  <si>
    <t>Planta Rica Agronegócios Ltda</t>
  </si>
  <si>
    <t>Equilíbrio - Mogi Mirim</t>
  </si>
  <si>
    <t>old overdue due to Quality issues</t>
  </si>
  <si>
    <t>Terra Fertilizantes Ltda</t>
  </si>
  <si>
    <t>Additives</t>
  </si>
  <si>
    <t>Plant Bem - Paranagua</t>
  </si>
  <si>
    <t>Fertisanta Fertilizantes</t>
  </si>
  <si>
    <t>Superbac</t>
  </si>
  <si>
    <t>No agreenment on payment. Judicial recovery process to begin</t>
  </si>
  <si>
    <t>Delcorp S.A</t>
  </si>
  <si>
    <t>Int'll</t>
  </si>
  <si>
    <t>LYCSA Argentina</t>
  </si>
  <si>
    <t>Indorama Senegal</t>
  </si>
  <si>
    <t>Freight Debit Notes</t>
  </si>
  <si>
    <t>GRUPO HERINGER</t>
  </si>
  <si>
    <t>GRUPO MOSAIC FERTILIZANTES P K LTDA</t>
  </si>
  <si>
    <t>GRUPO FERTILIZ TOCANTINS</t>
  </si>
  <si>
    <t>MOSAIC - RIO GRANDE</t>
  </si>
  <si>
    <t>SQM - CHILE</t>
  </si>
  <si>
    <t>TEPEYAC - MÉXICO</t>
  </si>
  <si>
    <t>Overdue received in the beginning of March</t>
  </si>
  <si>
    <t>JOSÉ  FRANCISCO PIRES DE SOUZA</t>
  </si>
  <si>
    <t>Cobrança</t>
  </si>
  <si>
    <t>Data renegociada</t>
  </si>
  <si>
    <t>Cobrança Administrativa</t>
  </si>
  <si>
    <t>Em Procedimento Judicial</t>
  </si>
  <si>
    <t>Recuperação Judicial</t>
  </si>
  <si>
    <t>Receivables as on 31st March 25</t>
  </si>
  <si>
    <t>Grupo Fert Tocantins</t>
  </si>
  <si>
    <t xml:space="preserve">Payment plan in negotiation: 10% payment in 2025 + 3 bullet yearly payments for the remaining debt.
</t>
  </si>
  <si>
    <t xml:space="preserve">Creditor´s assembly has been schedulled for May 2025.
Central has reached out to Adfert for preferred suppliers status and conditions are in negotiation along April early May to be presented in the Assembly. </t>
  </si>
  <si>
    <t>Additive</t>
  </si>
  <si>
    <t>09.384.948/0002-43</t>
  </si>
  <si>
    <t>14.267.717/0001-09</t>
  </si>
  <si>
    <t>BIOSAFRA - MARUIM</t>
  </si>
  <si>
    <t>32.112.142/0003-07</t>
  </si>
  <si>
    <t>08.811.119/0008-22</t>
  </si>
  <si>
    <t>AGROREP. REPRESENTACOES AGRICOLAS</t>
  </si>
  <si>
    <t>Due Date</t>
  </si>
  <si>
    <t>FASS AGRO FERTILIZANTES - SERTAOZINHO</t>
  </si>
  <si>
    <t>Amounts in 000</t>
  </si>
  <si>
    <t>Total receivables</t>
  </si>
  <si>
    <t>Receivables as on 28th Feb 25</t>
  </si>
  <si>
    <t>Provision risks - overdue receivables</t>
  </si>
  <si>
    <t>Creditor´s assembly Judicial recovery plan has not yet been approved by Creditors.
Adfert advisors believe that the AS-IS plan will not be approved and new financial conditions will need to be presented.</t>
  </si>
  <si>
    <t xml:space="preserve">Adfert has taken legal action and collection recovery lawsuit has been filed. Payment plan was not succesful. 
</t>
  </si>
  <si>
    <t>Current Status: In Litigation via Collection enforcement claim. The judicial process is still in the initial phase, and we are in the period of notifying the parties involved.
Upcoming Actions: We will await the procedures set forth by the court.</t>
  </si>
  <si>
    <t xml:space="preserve">Current Status:  In Litigation via Collection enforcement claim. The process is ongoing, and we have successfully notified the debtor via judicial court.
Upcoming Actions: AFT is seeking to seize assets from the debtor via the judicial claim which is ongoing. </t>
  </si>
  <si>
    <t>Current Status: In Litigation via Collection enforcement claim. An agreement has been reached between  parties, under the following terms: 
(i) Total settlement amount: R$ 3,192,985.64; 
(ii) Down payment: R$ 478,947.84, to be paid by October 30, 2025; 
(iii) Remaining balance: R$ 2,714,037.80, to be paid in three annual installments of R$ 904,679.26 each (2026 / 2027 / 2028), to be duly adjusted by inflation/court index.
Upcoming Actions: AFT awaiting for the downpayment from the debtor to fulfill the agreement (Oct 20th 2025).</t>
  </si>
  <si>
    <t>44.777.951/0001-47</t>
  </si>
  <si>
    <t>DELCORP S.A - EQUADOR</t>
  </si>
  <si>
    <t>61.156.501/0115-14</t>
  </si>
  <si>
    <t>BANDEIRANTES DEICMAR LOGISTICA INTEGRADA</t>
  </si>
  <si>
    <t>MOSAIC - RIO VERDE</t>
  </si>
  <si>
    <t>61.156.501/0207-77</t>
  </si>
  <si>
    <t>SOMAX - PARAGUAI</t>
  </si>
  <si>
    <t>NUTRION AGRONUTRIENTES LTDA.</t>
  </si>
  <si>
    <t>IMEX SUL INSUMOS - SANTA MARIA</t>
  </si>
  <si>
    <t xml:space="preserve">Collection Risk </t>
  </si>
  <si>
    <t>Total Over Due with Probable Loss</t>
  </si>
  <si>
    <t>GRUPO FERTIPAR FERTILIZANTES MATO GROSSO</t>
  </si>
  <si>
    <t>FECOAGRO FEDERACAO DAS COOPERATIVAS</t>
  </si>
  <si>
    <t>GRUPO FERTIPAR FERTILIZANTES MARANHAO</t>
  </si>
  <si>
    <t>GRUPOFERTIPAR FERTILIZANTES DO NORDESTE</t>
  </si>
  <si>
    <t>UPPER DOG COMERCIAL - SOROCABA</t>
  </si>
  <si>
    <t>CONNTACTA AGRONEGOCIOS</t>
  </si>
  <si>
    <t>54.764.341/0001-62</t>
  </si>
  <si>
    <t>Nro. Único</t>
  </si>
  <si>
    <t>Valor Analise de Credito</t>
  </si>
  <si>
    <t>Limite de dias</t>
  </si>
  <si>
    <t>Valor Total das garantias</t>
  </si>
  <si>
    <t>Ativo</t>
  </si>
  <si>
    <t>Limite Segurado</t>
  </si>
  <si>
    <t>Tipo de Garantia</t>
  </si>
  <si>
    <t>Vencimento da Análise</t>
  </si>
  <si>
    <t>NUTRIEN - URUGUAY</t>
  </si>
  <si>
    <t>Valor referente a valor coberto pela COFACE em seguro de credito</t>
  </si>
  <si>
    <t>CERRAGRI</t>
  </si>
  <si>
    <t>Limite concedido pelo Bruno Merlino</t>
  </si>
  <si>
    <t>GRUPO FERTINOR</t>
  </si>
  <si>
    <t>Valor de limite concedido por Bruno Merlino, ate resposta da seguradora.</t>
  </si>
  <si>
    <t>LIMITE CONCEDIDO PELO BRUNO</t>
  </si>
  <si>
    <t>Limite Liberado pela coface R$100.000,00</t>
  </si>
  <si>
    <t>Limite concedido por Bruno Merlino após analise de credito.</t>
  </si>
  <si>
    <t>Valor liberado pela seguradora de credito</t>
  </si>
  <si>
    <t>GRUPO FERTILIZANTES BANDEIRANTES</t>
  </si>
  <si>
    <t>GRUPO FERTIPAR FERTILIZANTES PARANA</t>
  </si>
  <si>
    <t>GRUPO FERTIPAR SUDESTE</t>
  </si>
  <si>
    <t>LIMITE CONCEDIDO PELA SEGURADORA COFACE</t>
  </si>
  <si>
    <t>LIMITE CONCEDIDO PELA COFACE</t>
  </si>
  <si>
    <t>Sum of Total Write off</t>
  </si>
  <si>
    <t>Nov 2023 Overdue. We don´t expect to receive collection from this client. The current status is that the client awaits for a court decision to accept the Judicial recovery process.</t>
  </si>
  <si>
    <t>June 2024 - invoice underpayment due client claim of weight divergence</t>
  </si>
  <si>
    <t xml:space="preserve">Nov 2024 - sale of scrap materials. </t>
  </si>
  <si>
    <t>Jul - 2024 - Sale of  old fixed assets to employees (chairs, desks etc) and it was not duly debited in employees payroll. Employee has left the company.</t>
  </si>
  <si>
    <t>Aug - 2024 - Sale of  old fixed assets to employees (chairs, desks etc) and it was not duly debited in employees payroll. Employee has left the company.</t>
  </si>
  <si>
    <t>May - 2024. In Litigation via collection enforcement. We don´t expect to have the collection. Client has been operation with a different Tax Id and we´re investigating how to link both companies to this claim.</t>
  </si>
  <si>
    <t>Write Off</t>
  </si>
  <si>
    <t>ITAFOS MINERACAO - ARRAIAS</t>
  </si>
  <si>
    <t>BENTONIT UNIAO - CAMPINA GRANDE</t>
  </si>
  <si>
    <t>08.142.953/0002-87</t>
  </si>
  <si>
    <t>PREMIUM FERTILIZANTES - ALFENAS</t>
  </si>
  <si>
    <t>SAFRA FERTILIZANTES - ALFENAS</t>
  </si>
  <si>
    <t>MANUCHAR ARGENTINA S.A</t>
  </si>
  <si>
    <t>Limite concedido por Bruno Merlino</t>
  </si>
  <si>
    <t>Limite aprovado pela coface</t>
  </si>
  <si>
    <t>LIMITE CONCEDIDO PELA SEGURADORA</t>
  </si>
  <si>
    <t>Limite liberado pela seguradora de credito (COFACE) R$3.000.000,00</t>
  </si>
  <si>
    <t>Limite liberado concedido pela coface</t>
  </si>
  <si>
    <t>LIMITE APROVADO 100.000,00 USD.</t>
  </si>
  <si>
    <t>COOMAP</t>
  </si>
  <si>
    <t>Limite concedido pelo Bruno</t>
  </si>
  <si>
    <t>Valor liberado pela seguradora de credito 200.000 USD</t>
  </si>
  <si>
    <t>LIMITE CONCEDIDO PELA COFACE  250.000,00 USD</t>
  </si>
  <si>
    <t>LIMITE APROVADO PELA SEGURADORA 125.000 USD</t>
  </si>
  <si>
    <t>CARGILL ARGENTINA</t>
  </si>
  <si>
    <t>LIMITE APROVADO PELA SEGURADORA 200.000 USD</t>
  </si>
  <si>
    <t>LIMITE CONCEDIDO PELA SEGURADORA 150.000 USD</t>
  </si>
  <si>
    <t>LIMITE APROVADO PELA SEGURADORA DE 90.000,00 USD.</t>
  </si>
  <si>
    <t>Valor liberado pela seguradora de credito  250.000,00 USD</t>
  </si>
  <si>
    <t>VALOR SEGURADO PELA SEGURADPRA  100.000 USD</t>
  </si>
  <si>
    <t>LIMITE APROVADO DE  200.000,00 USD.</t>
  </si>
  <si>
    <t>LIMITE APROVADO PELA SEGURADORA DE CREDITO  250.000 USD</t>
  </si>
  <si>
    <t>LIMITE CONCEDIDO PELA SEGURADORA 50.000,00 USD</t>
  </si>
  <si>
    <t>LIMITE CONCEDIDO PELA SEGURADORA 55.000,00 USD</t>
  </si>
  <si>
    <t>LIMITE CONCEDIDO PELA SEGURADORA  60.000,00 USD</t>
  </si>
  <si>
    <t>LA COLINA - EQUADOR</t>
  </si>
  <si>
    <t>SITIO PEDRA AZUL</t>
  </si>
  <si>
    <t>MACROSOURCE PERU S.R.L.</t>
  </si>
  <si>
    <t>AGROREP. COMERCIO AGRICOLA LTDA</t>
  </si>
  <si>
    <t>LIMITE CONSEDIDO PELA SEGURADORA</t>
  </si>
  <si>
    <t>LIMITE CONCEDIDO PELA SEGURADORA 120.000 USD</t>
  </si>
  <si>
    <t>Limite liberado pela seguradora de credito 50.000,00 USD</t>
  </si>
  <si>
    <t>FAZENDA MONTE ALEGRE</t>
  </si>
  <si>
    <t>VENDA PARA ENTREGA FUTURA</t>
  </si>
  <si>
    <t>MAXIMO S.A. PARAGUAI</t>
  </si>
  <si>
    <t>DELPAR SOLUCOES AMBIENTAIS LTDA.</t>
  </si>
  <si>
    <t>NOVA ENERGIA</t>
  </si>
  <si>
    <t>GRUPO FERTIPAR FERTILIZANTES DO NORDESTE</t>
  </si>
  <si>
    <t>405.350.450-34</t>
  </si>
  <si>
    <t>START QUIMICA - 22.685.341/0006-95</t>
  </si>
  <si>
    <t>Provaveis Vendas</t>
  </si>
  <si>
    <t>ADUBOS REAL S/A - POUSO ALEGRE</t>
  </si>
  <si>
    <t>LIMITE LIBERADO PELA SEGURADORA</t>
  </si>
  <si>
    <t>CERRADOS AGRONEGOCIOS</t>
  </si>
  <si>
    <t>FITOSAN A.S - EQUADOR</t>
  </si>
  <si>
    <t>LIMITE CONCEDIDO PELA COFACE 50.000 USD</t>
  </si>
  <si>
    <t>DESTAQUES
A Bolsa Agronegócios, constituída em 2006 (14 anos), é uma empresa de grande porte, especializada em soluções de irrigação, operando em parceria com multinacional israelense Netafim.
O balanço de 2022 apresenta crescimento da Receita Líquida de 42,7 em relação ao ano anterior, provavelmente em função de ter entrado no mercado de revenda de insumos para o agronegócio (a conferir).
Por ser cliente novo, não há histórico de compras com a INDORAMA. O relatório Serasa não apresenta informações de comportamento com fornecedores. No entanto, não há registros negativos em seu nome e nem em nome de seus administradores.
Situação Econômico-Financeira
As demonstrações contábeis dos três últimos anos (2023, 2022 e 2021) apresentam situação econômico-financeira típica de revenda de insumos, quais sejam:
•	Ativos constituídos basicamente por cotas a receber de clientes e estoque
•	Passio constituído basicamente por dívidas com Fornecedores e Adiantamento de Clientes
•	Baixas margens de lucro (Ebitda)
•	Elevada alavancagem (Dívida / PL)
•	Liquidez apertada (próximo de 1,00)
Financeiramente é bem administrada. Nestes exercícios analisados, o caixa gerado com suas atividades operacionais (Ebitda) foi mais que suficiente para cobrir suas necessidades de capital de giro. Destacando que, em 2023, a redução dos investimentos em estoques e o aumentou da captação de recursos via adiantamento de clientes contribui significativamente para a redução da necessidade de capital de giro (NCG).
Conclusão
Empresa de grande porte, com especialização em irrigação, se firmando em revenda de insumos. Embora bem administrada financeiramente, possui elevada alavancagem e liquidez apertada.</t>
  </si>
  <si>
    <t>limite coface  250.000,00 USD</t>
  </si>
  <si>
    <t>LIMITE CONCEDIDO 250.000 USD</t>
  </si>
  <si>
    <t>MINAS FARM</t>
  </si>
  <si>
    <t>Limite concedido pela coface</t>
  </si>
  <si>
    <t>OPCAO AGRONEGOCIOS</t>
  </si>
  <si>
    <t>R AGRO NEGOCIOS AGRICOLAS LTDA</t>
  </si>
  <si>
    <t>22.266.175/0031-01</t>
  </si>
  <si>
    <t>FAZENDA FAXINAL</t>
  </si>
  <si>
    <t>Valor atualizado para 4.000.000,00 cobertura por coface (Aumento de limite aprovado após comite de crédito)</t>
  </si>
  <si>
    <t>NITROBRAS IND. E COM. DE FERTILIZ. LTDA</t>
  </si>
  <si>
    <t>ORGANITEC - PARAGUAY</t>
  </si>
  <si>
    <t>800.909.976-</t>
  </si>
  <si>
    <t>LOUIS DREYFUS - URUGUAI</t>
  </si>
  <si>
    <t>Valor liberado pela seguradora de credito  50.000,00 USD</t>
  </si>
  <si>
    <t>ULTRAFERTIL</t>
  </si>
  <si>
    <t>Limite concedido pela seguradora COFACE</t>
  </si>
  <si>
    <t>ULTRAFERTIL / TIPLAM - SANTOS</t>
  </si>
  <si>
    <t>02.476.026/0008-02</t>
  </si>
  <si>
    <t>BIOAGGIL ARGENTINA S. A.</t>
  </si>
  <si>
    <t>SEIVAL AGROBUSINESS</t>
  </si>
  <si>
    <t>Fertilizer / Litigation</t>
  </si>
  <si>
    <t>Rótulos de Linha</t>
  </si>
  <si>
    <t>(vazio)</t>
  </si>
  <si>
    <t>Total Geral</t>
  </si>
  <si>
    <t>limite concedido pela seguradora</t>
  </si>
  <si>
    <t>GRUPO CAMPO RICO</t>
  </si>
  <si>
    <t>CAMPOFERT - COLOMBIA</t>
  </si>
  <si>
    <t>COFCO INTERNATIONAL ARGENTINA SA</t>
  </si>
  <si>
    <t>Valor liberado apos analise de credito</t>
  </si>
  <si>
    <t>LIMITE CONCEDIDO PELO BRUNO MERLINO</t>
  </si>
  <si>
    <t>ABODOM - REPUBLICA DOMINICANA</t>
  </si>
  <si>
    <t>BRUNA AMORIM FERREIRA</t>
  </si>
  <si>
    <t>APARELHOS DE INFORMÁTICA</t>
  </si>
  <si>
    <t>LETICIA FREITAS TEIXEIRA</t>
  </si>
  <si>
    <t>Funcionario</t>
  </si>
  <si>
    <t>Dedutivel - contablizado</t>
  </si>
  <si>
    <t>Dec- 2024 - Client facing fanancial difficulties and offered to return non-used final products. AFT is validating samples collected for quality assurance.</t>
  </si>
  <si>
    <t>Current Status: Creditor´s Assembly has been approved. All suppliers to receive 35% (65% haircut) of total Outstanding in 10 years (2x per year installments) after a 18-months grace period, corrected by TR inflation index. Prefered suppliers, such as AFT, are eligible to full Overdue recovery based on future sales. 3% of all new CAD Sales to offset Old Overdues and  4% for sales with tenor (credit). This condition is non-binding and the client is to grant AFT a real estate guarantee of BRL 1MM. 
Upcoming Actions: Decision will now need to undergo approval and pass the entire appeal period. This step may still take a couple months to be completed.</t>
  </si>
  <si>
    <t>Current Status: The Litigation  Collection enforcement claim process is ongoing.
Upcoming Actions: AFT awaiting for further updates by the court.</t>
  </si>
  <si>
    <t>Current Status: In Litigation via Collection enforcement claim. AFT received a proposal agreement, consisting of 12 initial installments of R$ 50,000.00, beginning March 28, which we had previously agreed after trying to negotiate a higher amount. From the 13th month, the proposal would be to rise monthly installments to R$ 100,000.00. 
This payment agreement would include both  principal (R$ 2,502,567.34) and Interest (R$ 204,693.57). We have, via the enforcement collection claim received BRL 29k from the clients account via judicial decison.
Upcoming Actions: we´ve not received feedback and are still assessing the viability of an agreed payment plan proposal. AFT is continuing to follow up on a payment schedule definition. AFT continues to follow on enforcement of any assets available from the client.</t>
  </si>
  <si>
    <t>Judicial settlement has been signed, under the following terms: 
(i) Total settlement amount: R$ 1,179,964.76, to be paid under the following conditions;
(ii) Agreed payment in Two installments of R$ 100,000.00 each, due on April 24, 2025, and September 30th, 2025; Client has paid BRL 100k of the 1st installment and 2nd  to be paid on the 30th of Sept.
(iii) Three annual installments of R$ 326,654.92 , due on September 30, 2026, September 30, 2027, and September 30, 2028;
Upcoming Actions: AFT awaiting for the payment plan agreed ofr September (another BRL 100k payment).</t>
  </si>
  <si>
    <t xml:space="preserve">Current Status: Client has issue a Judicial Recovery claim. The judicial process is still in the initial phase, and AFT has been notified. 
Upcoming Actions: AFT awaiting for the next steps to be set by court.
</t>
  </si>
  <si>
    <t>JOSE FRANCISCO PIRES DE SOUZA</t>
  </si>
  <si>
    <t xml:space="preserve">Open Exposure </t>
  </si>
  <si>
    <t>RESISUL GESTAO DE RESIDUOS LTDA</t>
  </si>
  <si>
    <t>FAZENDA SANTA FE LUGAR BOA VISTA</t>
  </si>
  <si>
    <t>Limite de crédito aprovado pela Coface para R$500.000,00 em 06/10</t>
  </si>
  <si>
    <t>Limite de Crédito de $250.000,00 aprovado pela Coface no dia 3/10
Taxa de Câmbio utilizada: R$5,50 -&gt; R$1.375.000,00</t>
  </si>
  <si>
    <t>AA</t>
  </si>
  <si>
    <t>LIMITE APROVADO POR CEO E CFO APÓS COMITE DE REVISÃO DE CREDITO.</t>
  </si>
  <si>
    <t>Limite de Crédito aprovado pela Coface para $100.000,00 em 06/10
Taxa de Câmbio utilizada: R$5,50 -&gt; R$550.000,00</t>
  </si>
  <si>
    <t>LIMITE CONCEDIDO APÓS APROVAÇÃO DE CEO E CFO.</t>
  </si>
  <si>
    <t>FERTGROW S.A</t>
  </si>
  <si>
    <t>ITAFOS</t>
  </si>
  <si>
    <t>TRIANGULO AGRO CONSULTORIA C/PRESCISAO</t>
  </si>
  <si>
    <t>S M AGRO</t>
  </si>
  <si>
    <t>MICROSOLO INDUSTRIAL</t>
  </si>
  <si>
    <t>ADUMAR FERTILIZANTES</t>
  </si>
  <si>
    <t>OLIVEIRAS AGRO</t>
  </si>
  <si>
    <t>D3 FERTILIZANTES</t>
  </si>
  <si>
    <t>MICHEL MAGAIVER ASSUNÇÃO BARBOSA</t>
  </si>
  <si>
    <t>AGROPECUARIA MARATA LTDA - MARUIM</t>
  </si>
  <si>
    <t>CODEL</t>
  </si>
  <si>
    <t>FELIPE TELES OLIVEIRA</t>
  </si>
  <si>
    <t>In 30/09</t>
  </si>
  <si>
    <t>MÁRCIO RODRIGO DA SILVA</t>
  </si>
  <si>
    <t>RODRIGO ESTAQUINI</t>
  </si>
  <si>
    <t>SYLVIA MARTINS DOMINGOS</t>
  </si>
  <si>
    <t>PARANAGRAN - IND E COM DE FERTILIZANTES</t>
  </si>
  <si>
    <t>NUTRIENTES IND DE FERTILIZANTES LTDA</t>
  </si>
  <si>
    <t>SAGRA - PIUMHI</t>
  </si>
  <si>
    <t>01.391.790/0013-80</t>
  </si>
  <si>
    <t>FURQUIM - RIO BRANCO DO SUL</t>
  </si>
  <si>
    <t>3 TENTOS - SANTA BARBARA DO SUL</t>
  </si>
  <si>
    <t>Limite de Crédito concedido diante aprovação da Coface</t>
  </si>
  <si>
    <t>LIMITE CONCEDIDO DE ACORDO COM FARM TECH</t>
  </si>
  <si>
    <t>Limite de crédito parcialmente aceito para $250.000 no dia 26/11
Taxa de Câmbio utilizada: R$5,50 -&gt; R$1.375.000</t>
  </si>
  <si>
    <t>GEES FERTILIZANTES - BALSAS II</t>
  </si>
  <si>
    <t>LIMITE DE CRÉDITO LIBERADO MEDIANTE APROVAÇÃO DA COFACE</t>
  </si>
  <si>
    <t>limite concedido pela seguradora coface</t>
  </si>
  <si>
    <t>FERTIMAIS FERTILIZANTES</t>
  </si>
  <si>
    <t>FERTZ FERTILIZANTES S/A</t>
  </si>
  <si>
    <t>TRAVISER S.A. EQUADOR</t>
  </si>
  <si>
    <t>Limite de crédito parcialmente aceito para $50.000 no dia 25/10
Taxa de Câmbio utilizada: R$5,50 -&gt; R$275.000</t>
  </si>
  <si>
    <t>Limite de crédito parcialmente aceito para $100.000 no dia 21/10
Taxa de Câmbio utilizada: R$5,50 -&gt; R$550.000</t>
  </si>
  <si>
    <t>Limite de Crédito solicitado por Bruno Merlino</t>
  </si>
  <si>
    <t>BRFERTIL SA</t>
  </si>
  <si>
    <t>LIMITE DE CRÉDITO CONCEDIDO MEDIANTE APROVAÇÃO DA COFACE</t>
  </si>
  <si>
    <t>Limite de Crédito garantido pela seguradora e aprovado no valor de R$250.000,00</t>
  </si>
  <si>
    <t>INTER - TMI - CANDEIAS</t>
  </si>
  <si>
    <t>INVICTA FERTILIZER - RIO GRANDE</t>
  </si>
  <si>
    <t>GRANPHOS - CANDEIAS</t>
  </si>
  <si>
    <t>Valor concedido diante aprovação da COFACE</t>
  </si>
  <si>
    <t>GRUPO FERTIMAN</t>
  </si>
  <si>
    <t>LIMITE DE CRÉDITO LIBERADO PELA COFACE</t>
  </si>
  <si>
    <t>ALFA NATURA DO BRASIL</t>
  </si>
  <si>
    <t>LIMITE DE CRÉDITO TOTALMENTE APROVADO PELA SEGURADORA COFACE
TAXA DE CÂMBIO PARA CONVERSÃO R$5,50</t>
  </si>
  <si>
    <t>COFCO INTERNATIONAL BRASIL S.A.</t>
  </si>
  <si>
    <t>LIMITE DE CRÉDITO TOTALMENTE ACEITO PELA SEGURADORA COFACE</t>
  </si>
  <si>
    <t>Aug- 2025 Payment plan negotiation ongoing.</t>
  </si>
  <si>
    <t>Sep 2025: Residual value from partial payment.</t>
  </si>
  <si>
    <t>In validation - AFT and Logistics companies in agreement to pay only Freight overstay only from 2024 onwards. BRL 112k invoices are from before 2024 and unders discussion to be addressed in Sept month end closing.</t>
  </si>
  <si>
    <t>Return goods invoices in dispute with client</t>
  </si>
  <si>
    <t>Cargo cleared at Colombia port customs. AFT is in contact with the customer for validation of the payment plan.</t>
  </si>
  <si>
    <t>Empresa de pequeno porte, tradicional no mercado em que atua. Administrada por sócios com experiência em gestão. Não possui apontamentos negativos. Classificada como risco baixo [2], em função da sólida situação econômico-financeira, embora tenha reduzido sua capacidade de autofinanciamento (Limite atualizado para finalizar pedido expedidos).</t>
  </si>
  <si>
    <t>LIMITE DE CRÉDITO PARCIALMENTE ACEITO PELA SEGURADORA COFACE</t>
  </si>
  <si>
    <t>BUNGE - ARGENTINA</t>
  </si>
  <si>
    <t>FERTI GROUP - URUGUAY</t>
  </si>
  <si>
    <t>LIMITE DE CRÉDITO LIBERADO PELA SEGURADORA COFACE
TAXA DE CÂMBIO UTILIZADA R$5,50 -&gt; R$192.500,00</t>
  </si>
  <si>
    <t>PACIFICOZONE EQUADOR</t>
  </si>
  <si>
    <t>LIMITE DE CRÉDITO TOTALMENTE ACEITO PELA SEGURADORA COFACE
TAXA DE CÂMBIO UTILIZADA R$5,50-&gt; 20.000 USD</t>
  </si>
  <si>
    <t>LIMITE DE CRÉDITO PARCIALMNTE ACEITO PELA SEGURADORA COFACE</t>
  </si>
  <si>
    <t>LIMITE DE CRÉDITO TOTALMENTE ACEITO PELA SEGURADORA COFACE
TAXA DE CÂMBIO UTILIZADA R$5,50 -&gt; 75.000 USD</t>
  </si>
  <si>
    <t>LIMITE DE CRÉDITO ACEITO PELA SEGURADORA COFACE</t>
  </si>
  <si>
    <t>STRATOS/MOSAIC - ROSARIO DO CATETE</t>
  </si>
  <si>
    <t>CIBRA - CAMACARI</t>
  </si>
  <si>
    <t>PATRICIA LARA SOUZA</t>
  </si>
  <si>
    <t>Coments</t>
  </si>
  <si>
    <t>Eurochem Group</t>
  </si>
  <si>
    <t>Int´l Clients</t>
  </si>
  <si>
    <t>Of current overdue</t>
  </si>
  <si>
    <t>MOSAIC - RONDONOPOLIS</t>
  </si>
  <si>
    <t>INCA-INCINERACAO E CONT. AMBIENTAL LTDA</t>
  </si>
  <si>
    <t>DIEGO DOS SANTOS PEREIRA</t>
  </si>
  <si>
    <t>FR. MEYER'S SOHN LOGISTICA BRASIL LTDA.</t>
  </si>
  <si>
    <t>LIMITE DE CRÉDITO TOTALMENTE ACEITO PELA SEGURADORA COFACE
TAXA DE CÂMBIO: R$ 5,50 -&gt;100.000 USD</t>
  </si>
  <si>
    <t>LYCSA BOLIVIA</t>
  </si>
  <si>
    <t>LIMITE DE CRÉDITO LIBERADO MEDIANTE APROVAÇÃO DA SEGURADORA COFACE
TAXA DE CÂMBIO: R$5,50 -&gt; 20.000 USD</t>
  </si>
  <si>
    <t>LIMITE DE CRÉDITO TOTALMENTE ACEITO PELA SEGURADORA COFACE
TAXA DE CÂMBIO: R$5,50 -&gt; 35.000 USD</t>
  </si>
  <si>
    <t>TRICATTO COMERCIO E REPRESENTACOES</t>
  </si>
  <si>
    <t>GRUPO NOBLEZA SRL</t>
  </si>
  <si>
    <t>LIMITE DE CRÉDITO TOTALMENTE ACEITO PELA SEGURADORA COFACE
TAXA DE CÂMBIO UTILIZADA: R$5,50 -&gt; 30.000 USD</t>
  </si>
  <si>
    <t>11.091.524/0001-51</t>
  </si>
  <si>
    <t>012.300.516-78</t>
  </si>
  <si>
    <t>LUCAS DA CONCEIÇÃO CASSIMIRO</t>
  </si>
  <si>
    <t>JOSE ROBERTO DOS SANTOS SILVA JUNIOR</t>
  </si>
  <si>
    <t>THIAGO RODRIGUES SANTOS</t>
  </si>
  <si>
    <t>MOTTA FERTILIZANTES</t>
  </si>
  <si>
    <t>DREYMOOR BRASIL COMERCIO DE FERTILIZANTE</t>
  </si>
  <si>
    <t>35.540.155/0001-03</t>
  </si>
  <si>
    <t>DREYMOOR FERTILIZANTES - CURITIBA</t>
  </si>
  <si>
    <t>INTERBULK</t>
  </si>
  <si>
    <t>In 28/01/2026</t>
  </si>
  <si>
    <t>In 27/01/2026</t>
  </si>
  <si>
    <t>MOSAIC - UBERABA (UBA III)</t>
  </si>
  <si>
    <t>MOSAIC - CATALÃO - MISTURA</t>
  </si>
  <si>
    <t>MOSAIC - CATALÃO (CMC2)</t>
  </si>
  <si>
    <t>LIMITE DE CRÉDITO TOTALMENTE ACEITO PELA SEGURADORA COFACE 
TAXA DE CÂMBIO: R$5,50 -&gt; 120.000 USD</t>
  </si>
  <si>
    <t>Limite Aprovado pelo Ceo (Puneet Gautam), para que o cliente possa realizar a compra.</t>
  </si>
  <si>
    <t>TIUKETA REPRESENTACAO</t>
  </si>
  <si>
    <t>LIMITE DE CRÉDITO TOTALMENTE ACEITO PELA SEGURADORA COFACE
TAXA DE CÂMBIO: R$5,50 -&gt; 110.000 USD</t>
  </si>
  <si>
    <t>PLENITUDE ARMAZENS GERAIS</t>
  </si>
  <si>
    <t>LIMITE APROVADO SOMENTE PARA ESSA COMPRA -  ESTAMOS RODANDO LIMITE PARA O CLIENTE VIA FARM TECH</t>
  </si>
  <si>
    <t>LIMITE DE CRÉDITO PARCIALMENTE ACEITO PELA SEGURADORA COFACE
TAXA DE CÂMBIO: R$5,50 -&gt; 60.000 USD</t>
  </si>
  <si>
    <t>LIMITE DE CRÉDITO TOTALMENTE ACEITO PELA SEGURADORA COFACE 
TAXA DE CÂMBIO: R$5,50 -&gt; 180.000 USD</t>
  </si>
  <si>
    <t>60.498.706/0134-88</t>
  </si>
  <si>
    <t>3</t>
  </si>
  <si>
    <t>Job Work</t>
  </si>
  <si>
    <t>87.249.561/0001-07</t>
  </si>
  <si>
    <t>ARSLOG SOLUCOES EM TRANSPORTE</t>
  </si>
  <si>
    <t>05.765.626/0001-02</t>
  </si>
  <si>
    <t>PERDA DE MERCADORIA COM SINISTRO</t>
  </si>
  <si>
    <t>CALPAR S.A. - PARAGUAY</t>
  </si>
  <si>
    <t>AUREN COMERCIALIZADORA DE ENERGIA LTDA</t>
  </si>
  <si>
    <t>MOSAIC - CUBATÃO</t>
  </si>
  <si>
    <t>61.156.501/0099-60</t>
  </si>
  <si>
    <t>GOTLAND EQUADOR (SOLINAG)</t>
  </si>
  <si>
    <t>19.512.950/9001-</t>
  </si>
  <si>
    <t>ANDRESSA CAROLINA SILVA RODRIGUES</t>
  </si>
  <si>
    <t>096.141.946-69</t>
  </si>
  <si>
    <t>DIÁRIAS E ESTADIA DE MOTORISTAS</t>
  </si>
  <si>
    <t>MOSAIC - CANDEIAS</t>
  </si>
  <si>
    <t>61.156.501/0086-45</t>
  </si>
  <si>
    <t>MOSAIC - SORRISO</t>
  </si>
  <si>
    <t>61.156.501/0092-93</t>
  </si>
  <si>
    <t>ABSOLUTA AGRO</t>
  </si>
  <si>
    <t>Limite concedido pela seguradora coface no valor de 300.000,00</t>
  </si>
  <si>
    <t>LIMITE DE CRÉDITO CONCEDIDO PELA SEGURADORA COFACE</t>
  </si>
  <si>
    <t>BIOLOGICA INSUMOS AGRICOLAS</t>
  </si>
  <si>
    <t>ITAFOS - ARRAIAS/TO</t>
  </si>
  <si>
    <t>LOIMITE DE CRÉDITO PARCIALMENTE ACEITO PELA SEGURADORA COFACE</t>
  </si>
  <si>
    <t>DBR AGROCET</t>
  </si>
  <si>
    <t>Jan - 2026 The client paid 50% of the amount in January 2026; the remainder will be paid in March.</t>
  </si>
  <si>
    <t>83.052.407/0003-51</t>
  </si>
  <si>
    <t>05.571.228/0003-17</t>
  </si>
  <si>
    <t>87.249.561/0020-70</t>
  </si>
  <si>
    <t>ELYMAR JOSE DA SILVA FERREIRA</t>
  </si>
  <si>
    <t>053.438.381-54</t>
  </si>
  <si>
    <t>MARCELO MARQUES COBRA - PESSOA FISICA</t>
  </si>
  <si>
    <t>01.094.764/0002-37</t>
  </si>
  <si>
    <t>77.294.254/0075-20</t>
  </si>
  <si>
    <t>87.249.561/0017-74</t>
  </si>
  <si>
    <t>04.251.044/0001-45</t>
  </si>
  <si>
    <t>VENDA MERC INDUSTRIALIZADA TERCEIROS</t>
  </si>
  <si>
    <t>14.031.191/0009-10</t>
  </si>
  <si>
    <t>FOSPAR - PARANAGUÁ</t>
  </si>
  <si>
    <t>Análise de crédito realizada dia 19/09.
O motivo da solicitação baseia-se no fato de que o cliente já tem um valor comprado de R$ 36.120,00.</t>
  </si>
  <si>
    <t>VISAO AGRO SOLUCOES E REPRESENTACOES</t>
  </si>
  <si>
    <t>FERTIBAS FERTILIZANTES</t>
  </si>
  <si>
    <t>LIMITE DE CRÉDITO TOTALEMENTE ACEITO PELA SEGURADORA COFACE</t>
  </si>
  <si>
    <t>LIMITE DE CRÉDITO TOTALEMENTE ACEITO PELA SEGURADORA COFACE
Taxa de Câmbio utilizada: R$5,50 -&gt; R$1.100.000</t>
  </si>
  <si>
    <t>TERMAG GUARUJA</t>
  </si>
  <si>
    <t>VITTA INSUMOS AGRICOLAS</t>
  </si>
  <si>
    <t>ADUBOS SUDOESTE - JATAÍ</t>
  </si>
  <si>
    <t>32.821.183/0004-45</t>
  </si>
  <si>
    <t>CAMPEVO - SÃO JOSE DO RIO PRETO</t>
  </si>
  <si>
    <t>44.777.951/0008-13</t>
  </si>
  <si>
    <t>CAMPEVO - ITAPETININGA</t>
  </si>
  <si>
    <t>44.777.951/0007-32</t>
  </si>
  <si>
    <t>CAMPEVO - JAÚ</t>
  </si>
  <si>
    <t>44.777.951/0010-38</t>
  </si>
  <si>
    <t>CAMPEVO - JALES</t>
  </si>
  <si>
    <t>44.777.951/0009-02</t>
  </si>
  <si>
    <t>MIP - COLOMBIA</t>
  </si>
  <si>
    <t>HERINGER - PARANAGUÁ</t>
  </si>
  <si>
    <t>87.456.562/0006-37</t>
  </si>
  <si>
    <t>04.987.734/0001-67</t>
  </si>
  <si>
    <t>LIMITE DE CRÉDITO TOTALMENTE ACEITO PELA SEGURADORA COFACE
TAXA DE CÂMBIO: R$5,50 -&gt; 100.000 USD</t>
  </si>
  <si>
    <t>GIGAMIX TECNOLOGIAS FUTURAS</t>
  </si>
  <si>
    <t>LIMITE CONCEDIDO PELA SEGURADORA COFACE NO VALOR DE R$500.000,00</t>
  </si>
  <si>
    <t>LIMITE DE CRÉDITO PARCIALEMENTE ACEITO PELA SEGURADORA COFACE</t>
  </si>
  <si>
    <t>Additive Intl.</t>
  </si>
  <si>
    <t xml:space="preserve">March - 2026 - </t>
  </si>
  <si>
    <t>Total Over Due in Litigation (TOP 12)</t>
  </si>
  <si>
    <t>800.553.179-</t>
  </si>
  <si>
    <t>ATMO COMERCIALIZADORA DE ENERGIA LTDA</t>
  </si>
  <si>
    <t>Additive / Litigation</t>
  </si>
  <si>
    <t>27.360.944/0001-26</t>
  </si>
  <si>
    <t>LOUIS DREYFUS - RONDONÓPOLIS</t>
  </si>
  <si>
    <t>47.067.525/0222-68</t>
  </si>
  <si>
    <t>MARCELO HONORIO DE CARVALHO RAMOS</t>
  </si>
  <si>
    <t>007.511.136-54</t>
  </si>
  <si>
    <t>09.384.948/0004-05</t>
  </si>
  <si>
    <t>03.306.578/0019-98</t>
  </si>
  <si>
    <t>03.306.578/0012-11</t>
  </si>
  <si>
    <t>77.294.254/0024-80</t>
  </si>
  <si>
    <t>Credit Approved</t>
  </si>
  <si>
    <t> Total AR</t>
  </si>
  <si>
    <t>Remark for Open Exposure (approved in credit committee,guarantee or credit approved based on credit rating).</t>
  </si>
  <si>
    <t>AR Not Due</t>
  </si>
  <si>
    <t>AR in Litigation</t>
  </si>
  <si>
    <t>Collection Risk Probable / Possible / Rare</t>
  </si>
  <si>
    <t>Customer</t>
  </si>
  <si>
    <t>Parceiro</t>
  </si>
  <si>
    <t>AR Over Due but not in Litigation</t>
  </si>
  <si>
    <t>ADUFÉRTIL - CAMPEVO</t>
  </si>
  <si>
    <t xml:space="preserve">Tipo aprovação de Credito </t>
  </si>
  <si>
    <t>AGROTEKNE-COMERCIO E REPRESENTACOES LTDA</t>
  </si>
  <si>
    <t>LIMITE DE CRÉDITO PARCIALMENTE ACEITO MEDIANTE APROVAÇÃO DA SEGURADORA COFACE</t>
  </si>
  <si>
    <t>LIMITE DE CRÉDITO REDUZIDO MEDIANTE ANÁLISE PELA SEGURADORA COFACE</t>
  </si>
  <si>
    <t>FERT SOLO COMERCIO DE PRODUTOS AGRICOLAS</t>
  </si>
  <si>
    <t>G.M-GOMES MARIN COM E REPR DE PROD AGRIC</t>
  </si>
  <si>
    <t>Limite concedido pela seguradora COFACE no valor de R$1.500.000,00</t>
  </si>
  <si>
    <t>LIMITE DE CRÉDITO PARCIALMENTE ACEITO PARA 180.000,00 USD PELA SEGURADORA COFACE
TAXA DE CÂMBIO UTILIZADA: R$5,50 -&gt;R$990.000</t>
  </si>
  <si>
    <t>MAFER MARILIA COMERCIO E REPRESENTACOES</t>
  </si>
  <si>
    <t>LIMITE DE CRÉDITO PARCIALEMENTE ACEITO MEDIANTE APROVAÇÃO DA SEGURADORA COFACE</t>
  </si>
  <si>
    <t>NOVO AGRO</t>
  </si>
  <si>
    <t>LIMITE DE CRÉDITO TOTALMENTE ACEITO MEDIANTE APROVAÇÃO DA SEGURADORA COFACE</t>
  </si>
  <si>
    <t>ROMA COMERCIO E REPRESENTACOES AGRICOLA</t>
  </si>
  <si>
    <t>SISTEMA COMERCIO E REPRESENTACOES LTDA</t>
  </si>
  <si>
    <t>SOBERANA</t>
  </si>
  <si>
    <t>FREIGHT DEBIT NOTES</t>
  </si>
  <si>
    <t>Receivables as on 30th Apr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</si>
</sst>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_);_(* \(#,##0.00\);_(* &quot;-&quot;??_);_(@_)"/>
    <numFmt numFmtId="165" formatCode="_-* #,##0_-;\-* #,##0_-;_-* &quot;-&quot;??_-;_-@_-"/>
    <numFmt numFmtId="166" formatCode="[$-416]mmm\-yy;@"/>
    <numFmt numFmtId="167" formatCode="#,##0.00_ ;[Red]\-#,##0.00\ "/>
    <numFmt numFmtId="168" formatCode="#,##0_ ;[Red]\-#,##0\ "/>
    <numFmt numFmtId="169" formatCode="#,##0.00000"/>
    <numFmt numFmtId="170" formatCode="_-[$$-409]* #,##0.00_ ;_-[$$-409]* \-#,##0.00\ ;_-[$$-409]* &quot;-&quot;??_ ;_-@_ "/>
    <numFmt numFmtId="171" formatCode="#,##0;[Red]#,##0"/>
    <numFmt numFmtId="172" formatCode="0.0%"/>
  </numFmts>
  <fonts count="51" x14ac:knownFonts="1">
    <font>
      <sz val="10"/>
      <color indexed="8"/>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indexed="8"/>
      <name val="Arial"/>
      <family val="2"/>
    </font>
    <font>
      <sz val="10"/>
      <color indexed="8"/>
      <name val="Arial"/>
      <family val="2"/>
    </font>
    <font>
      <b/>
      <sz val="11"/>
      <color theme="0"/>
      <name val="Arial"/>
      <family val="2"/>
    </font>
    <font>
      <sz val="11"/>
      <color theme="0"/>
      <name val="Arial"/>
      <family val="2"/>
    </font>
    <font>
      <b/>
      <sz val="9"/>
      <color theme="0"/>
      <name val="Arial"/>
      <family val="2"/>
    </font>
    <font>
      <b/>
      <sz val="9"/>
      <color indexed="8"/>
      <name val="Arial"/>
      <family val="2"/>
    </font>
    <font>
      <b/>
      <sz val="10"/>
      <color theme="0"/>
      <name val="Arial"/>
      <family val="2"/>
    </font>
    <font>
      <b/>
      <sz val="11"/>
      <color indexed="8"/>
      <name val="Calibri"/>
      <family val="2"/>
      <scheme val="minor"/>
    </font>
    <font>
      <sz val="10"/>
      <name val="Arial"/>
      <family val="2"/>
    </font>
    <font>
      <b/>
      <sz val="11"/>
      <name val="Arial"/>
      <family val="2"/>
    </font>
    <font>
      <sz val="12"/>
      <color theme="1"/>
      <name val="Aptos Narrow"/>
      <family val="2"/>
    </font>
    <font>
      <b/>
      <sz val="12"/>
      <color theme="0"/>
      <name val="Aptos Narrow"/>
      <family val="2"/>
    </font>
    <font>
      <sz val="8"/>
      <name val="Arial"/>
      <family val="2"/>
    </font>
    <font>
      <sz val="12"/>
      <color indexed="8"/>
      <name val="Aptos Narrow"/>
      <family val="2"/>
    </font>
    <font>
      <b/>
      <sz val="12"/>
      <color indexed="8"/>
      <name val="Aptos Narrow"/>
      <family val="2"/>
    </font>
    <font>
      <b/>
      <sz val="10"/>
      <color indexed="8"/>
      <name val="Arial"/>
      <family val="2"/>
    </font>
    <font>
      <sz val="10"/>
      <color rgb="FFFF0000"/>
      <name val="Arial"/>
      <family val="2"/>
    </font>
    <font>
      <b/>
      <sz val="11"/>
      <color theme="1"/>
      <name val="Calibri"/>
      <family val="2"/>
      <scheme val="minor"/>
    </font>
    <font>
      <b/>
      <sz val="12"/>
      <name val="Aptos Narrow"/>
      <family val="2"/>
    </font>
    <font>
      <b/>
      <sz val="9"/>
      <name val="Arial"/>
      <family val="2"/>
    </font>
    <font>
      <sz val="10"/>
      <color theme="1"/>
      <name val="Arial"/>
      <family val="2"/>
    </font>
    <font>
      <sz val="10"/>
      <color theme="0"/>
      <name val="Arial"/>
      <family val="2"/>
    </font>
    <font>
      <sz val="12"/>
      <color theme="0"/>
      <name val="Aptos Narrow"/>
      <family val="2"/>
    </font>
    <font>
      <sz val="10"/>
      <color rgb="FFEE0000"/>
      <name val="Arial"/>
      <family val="2"/>
    </font>
    <font>
      <sz val="10"/>
      <name val="Arial"/>
      <family val="2"/>
    </font>
    <font>
      <sz val="9"/>
      <color indexed="81"/>
      <name val="Segoe UI"/>
      <family val="2"/>
    </font>
    <font>
      <b/>
      <sz val="9"/>
      <color indexed="81"/>
      <name val="Segoe UI"/>
      <family val="2"/>
    </font>
    <font>
      <b/>
      <sz val="11"/>
      <color theme="0"/>
      <name val="Calibri"/>
      <family val="2"/>
      <scheme val="minor"/>
    </font>
    <font>
      <i/>
      <sz val="10"/>
      <name val="Arial"/>
      <family val="2"/>
    </font>
    <font>
      <i/>
      <sz val="11"/>
      <color theme="1"/>
      <name val="Calibri"/>
      <family val="2"/>
      <scheme val="minor"/>
    </font>
    <font>
      <b/>
      <sz val="10"/>
      <name val="Arial"/>
      <family val="2"/>
    </font>
    <font>
      <b/>
      <sz val="9"/>
      <color theme="1"/>
      <name val="Arial"/>
      <family val="2"/>
    </font>
    <font>
      <b/>
      <sz val="11"/>
      <color theme="1"/>
      <name val="Arial"/>
      <family val="2"/>
    </font>
    <font>
      <b/>
      <sz val="11"/>
      <color rgb="FFFFFFFF"/>
      <name val="Aptos Display"/>
      <family val="2"/>
    </font>
  </fonts>
  <fills count="18">
    <fill>
      <patternFill patternType="none"/>
    </fill>
    <fill>
      <patternFill patternType="gray125"/>
    </fill>
    <fill>
      <patternFill patternType="solid">
        <fgColor indexed="22"/>
        <bgColor indexed="9"/>
      </patternFill>
    </fill>
    <fill>
      <patternFill patternType="solid">
        <fgColor rgb="FF00206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4"/>
        <bgColor indexed="64"/>
      </patternFill>
    </fill>
    <fill>
      <patternFill patternType="solid">
        <fgColor rgb="FF1B307F"/>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2"/>
        <bgColor indexed="64"/>
      </patternFill>
    </fill>
    <fill>
      <patternFill patternType="solid">
        <fgColor theme="0"/>
        <bgColor indexed="64"/>
      </patternFill>
    </fill>
    <fill>
      <patternFill patternType="solid">
        <fgColor rgb="FF92D050"/>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tint="0.59999389629810485"/>
        <bgColor indexed="64"/>
      </patternFill>
    </fill>
  </fills>
  <borders count="27">
    <border>
      <left/>
      <right/>
      <top/>
      <bottom/>
      <diagonal/>
    </border>
    <border>
      <left/>
      <right/>
      <top/>
      <bottom style="double">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0">
    <xf numFmtId="0" fontId="0" fillId="0" borderId="0"/>
    <xf numFmtId="43" fontId="17" fillId="0" borderId="0" applyFont="0" applyFill="0" applyBorder="0" applyAlignment="0" applyProtection="0"/>
    <xf numFmtId="9" fontId="17" fillId="0" borderId="0" applyFont="0" applyFill="0" applyBorder="0" applyAlignment="0" applyProtection="0"/>
    <xf numFmtId="0" fontId="16" fillId="0" borderId="0"/>
    <xf numFmtId="43" fontId="16" fillId="0" borderId="0" applyFont="0" applyFill="0" applyBorder="0" applyAlignment="0" applyProtection="0"/>
    <xf numFmtId="9" fontId="16" fillId="0" borderId="0" applyFont="0" applyFill="0" applyBorder="0" applyAlignment="0" applyProtection="0"/>
    <xf numFmtId="43" fontId="17" fillId="0" borderId="0" applyFont="0" applyFill="0" applyBorder="0" applyAlignment="0" applyProtection="0"/>
    <xf numFmtId="0" fontId="17" fillId="0" borderId="0"/>
    <xf numFmtId="0" fontId="15" fillId="0" borderId="0"/>
    <xf numFmtId="0" fontId="14" fillId="0" borderId="0"/>
    <xf numFmtId="0" fontId="14" fillId="0" borderId="0"/>
    <xf numFmtId="9" fontId="14" fillId="0" borderId="0" applyFont="0" applyFill="0" applyBorder="0" applyAlignment="0" applyProtection="0"/>
    <xf numFmtId="0" fontId="13" fillId="0" borderId="0"/>
    <xf numFmtId="43" fontId="13" fillId="0" borderId="0" applyFont="0" applyFill="0" applyBorder="0" applyAlignment="0" applyProtection="0"/>
    <xf numFmtId="0" fontId="11" fillId="0" borderId="0"/>
    <xf numFmtId="43" fontId="17" fillId="0" borderId="0" applyFont="0" applyFill="0" applyBorder="0" applyAlignment="0" applyProtection="0"/>
    <xf numFmtId="0" fontId="11" fillId="0" borderId="0"/>
    <xf numFmtId="43" fontId="11" fillId="0" borderId="0" applyFont="0" applyFill="0" applyBorder="0" applyAlignment="0" applyProtection="0"/>
    <xf numFmtId="0" fontId="10" fillId="0" borderId="0"/>
    <xf numFmtId="43" fontId="10" fillId="0" borderId="0" applyFont="0" applyFill="0" applyBorder="0" applyAlignment="0" applyProtection="0"/>
    <xf numFmtId="0" fontId="41" fillId="0" borderId="0"/>
    <xf numFmtId="0" fontId="9" fillId="0" borderId="0"/>
    <xf numFmtId="43" fontId="9" fillId="0" borderId="0" applyFont="0" applyFill="0" applyBorder="0" applyAlignment="0" applyProtection="0"/>
    <xf numFmtId="0" fontId="25" fillId="0" borderId="0"/>
    <xf numFmtId="0" fontId="8" fillId="0" borderId="0"/>
    <xf numFmtId="43" fontId="8" fillId="0" borderId="0" applyFont="0" applyFill="0" applyBorder="0" applyAlignment="0" applyProtection="0"/>
    <xf numFmtId="0" fontId="6" fillId="0" borderId="0"/>
    <xf numFmtId="43" fontId="6" fillId="0" borderId="0" applyFont="0" applyFill="0" applyBorder="0" applyAlignment="0" applyProtection="0"/>
    <xf numFmtId="0" fontId="5" fillId="0" borderId="0"/>
    <xf numFmtId="43" fontId="5" fillId="0" borderId="0" applyFont="0" applyFill="0" applyBorder="0" applyAlignment="0" applyProtection="0"/>
    <xf numFmtId="0" fontId="4" fillId="0" borderId="0"/>
    <xf numFmtId="43" fontId="4" fillId="0" borderId="0" applyFont="0" applyFill="0" applyBorder="0" applyAlignment="0" applyProtection="0"/>
    <xf numFmtId="43" fontId="17"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43" fontId="17" fillId="0" borderId="0" applyFont="0" applyFill="0" applyBorder="0" applyAlignment="0" applyProtection="0"/>
    <xf numFmtId="0" fontId="3" fillId="0" borderId="0"/>
    <xf numFmtId="0" fontId="3" fillId="0" borderId="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17"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25"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cellStyleXfs>
  <cellXfs count="446">
    <xf numFmtId="0" fontId="0" fillId="0" borderId="0" xfId="0"/>
    <xf numFmtId="4" fontId="18" fillId="0" borderId="0" xfId="0" applyNumberFormat="1" applyFont="1"/>
    <xf numFmtId="0" fontId="17" fillId="2" borderId="0" xfId="0" applyFont="1" applyFill="1"/>
    <xf numFmtId="14" fontId="0" fillId="0" borderId="0" xfId="0" applyNumberFormat="1"/>
    <xf numFmtId="0" fontId="0" fillId="2" borderId="0" xfId="0" applyFill="1"/>
    <xf numFmtId="165" fontId="17" fillId="0" borderId="0" xfId="1" applyNumberFormat="1" applyFont="1" applyFill="1" applyBorder="1"/>
    <xf numFmtId="0" fontId="20" fillId="0" borderId="0" xfId="0" applyFont="1" applyAlignment="1">
      <alignment horizontal="center"/>
    </xf>
    <xf numFmtId="166" fontId="0" fillId="0" borderId="0" xfId="0" applyNumberFormat="1"/>
    <xf numFmtId="165" fontId="21" fillId="3" borderId="1" xfId="1" applyNumberFormat="1" applyFont="1" applyFill="1" applyBorder="1" applyAlignment="1">
      <alignment horizontal="center" vertical="center"/>
    </xf>
    <xf numFmtId="165" fontId="22" fillId="0" borderId="0" xfId="1" applyNumberFormat="1" applyFont="1"/>
    <xf numFmtId="165" fontId="22" fillId="0" borderId="0" xfId="1" applyNumberFormat="1" applyFont="1" applyFill="1" applyBorder="1"/>
    <xf numFmtId="165" fontId="22" fillId="0" borderId="0" xfId="1" applyNumberFormat="1" applyFont="1" applyAlignment="1">
      <alignment horizontal="center"/>
    </xf>
    <xf numFmtId="0" fontId="19" fillId="3" borderId="0" xfId="0" applyFont="1" applyFill="1" applyAlignment="1">
      <alignment horizontal="center"/>
    </xf>
    <xf numFmtId="166" fontId="19" fillId="3" borderId="0" xfId="0" applyNumberFormat="1" applyFont="1" applyFill="1" applyAlignment="1">
      <alignment horizontal="center"/>
    </xf>
    <xf numFmtId="165" fontId="22" fillId="0" borderId="0" xfId="1" applyNumberFormat="1" applyFont="1" applyFill="1" applyBorder="1" applyAlignment="1">
      <alignment horizontal="center" vertical="center"/>
    </xf>
    <xf numFmtId="166" fontId="19" fillId="3" borderId="0" xfId="0" applyNumberFormat="1" applyFont="1" applyFill="1" applyAlignment="1">
      <alignment horizontal="center" vertical="center"/>
    </xf>
    <xf numFmtId="0" fontId="0" fillId="0" borderId="0" xfId="0" applyAlignment="1">
      <alignment horizontal="center" vertical="center"/>
    </xf>
    <xf numFmtId="0" fontId="18" fillId="0" borderId="3" xfId="0" applyFont="1" applyBorder="1"/>
    <xf numFmtId="165" fontId="18" fillId="0" borderId="4" xfId="0" applyNumberFormat="1" applyFont="1" applyBorder="1"/>
    <xf numFmtId="165" fontId="0" fillId="0" borderId="4" xfId="1" applyNumberFormat="1" applyFont="1" applyBorder="1"/>
    <xf numFmtId="165" fontId="17" fillId="0" borderId="4" xfId="1" applyNumberFormat="1" applyFont="1" applyFill="1" applyBorder="1"/>
    <xf numFmtId="165" fontId="17" fillId="0" borderId="4" xfId="1" applyNumberFormat="1" applyFont="1" applyFill="1" applyBorder="1" applyAlignment="1">
      <alignment horizontal="center" vertical="center"/>
    </xf>
    <xf numFmtId="166" fontId="17" fillId="0" borderId="4" xfId="1" applyNumberFormat="1" applyFont="1" applyFill="1" applyBorder="1"/>
    <xf numFmtId="165" fontId="0" fillId="0" borderId="5" xfId="1" applyNumberFormat="1" applyFont="1" applyBorder="1"/>
    <xf numFmtId="167" fontId="0" fillId="0" borderId="0" xfId="0" applyNumberFormat="1"/>
    <xf numFmtId="4" fontId="0" fillId="0" borderId="0" xfId="0" applyNumberFormat="1"/>
    <xf numFmtId="0" fontId="0" fillId="0" borderId="0" xfId="0" applyAlignment="1">
      <alignment wrapText="1"/>
    </xf>
    <xf numFmtId="168" fontId="22" fillId="0" borderId="0" xfId="1" applyNumberFormat="1" applyFont="1"/>
    <xf numFmtId="168" fontId="18" fillId="0" borderId="4" xfId="0" applyNumberFormat="1" applyFont="1" applyBorder="1"/>
    <xf numFmtId="168" fontId="0" fillId="0" borderId="0" xfId="0" applyNumberFormat="1"/>
    <xf numFmtId="22" fontId="0" fillId="0" borderId="0" xfId="0" applyNumberFormat="1" applyAlignment="1">
      <alignment horizontal="center"/>
    </xf>
    <xf numFmtId="4" fontId="17" fillId="2" borderId="0" xfId="0" applyNumberFormat="1" applyFont="1" applyFill="1"/>
    <xf numFmtId="43" fontId="0" fillId="0" borderId="0" xfId="1" applyFont="1"/>
    <xf numFmtId="0" fontId="19" fillId="3" borderId="1" xfId="0" applyFont="1" applyFill="1" applyBorder="1"/>
    <xf numFmtId="169" fontId="0" fillId="0" borderId="0" xfId="0" applyNumberFormat="1"/>
    <xf numFmtId="43" fontId="0" fillId="0" borderId="0" xfId="0" applyNumberFormat="1"/>
    <xf numFmtId="165" fontId="0" fillId="0" borderId="0" xfId="0" applyNumberFormat="1"/>
    <xf numFmtId="168" fontId="23" fillId="3" borderId="0" xfId="0" applyNumberFormat="1" applyFont="1" applyFill="1" applyAlignment="1">
      <alignment wrapText="1"/>
    </xf>
    <xf numFmtId="168" fontId="23" fillId="3" borderId="6" xfId="0" applyNumberFormat="1" applyFont="1" applyFill="1" applyBorder="1" applyAlignment="1">
      <alignment wrapText="1"/>
    </xf>
    <xf numFmtId="167" fontId="23" fillId="3" borderId="0" xfId="0" applyNumberFormat="1" applyFont="1" applyFill="1" applyAlignment="1">
      <alignment vertical="center" wrapText="1"/>
    </xf>
    <xf numFmtId="167" fontId="23" fillId="3" borderId="6" xfId="0" applyNumberFormat="1" applyFont="1" applyFill="1" applyBorder="1" applyAlignment="1">
      <alignment vertical="center" wrapText="1"/>
    </xf>
    <xf numFmtId="0" fontId="0" fillId="0" borderId="3" xfId="0" applyBorder="1"/>
    <xf numFmtId="10" fontId="22" fillId="0" borderId="0" xfId="2" applyNumberFormat="1" applyFont="1" applyFill="1" applyBorder="1"/>
    <xf numFmtId="0" fontId="19" fillId="6" borderId="0" xfId="0" applyFont="1" applyFill="1" applyAlignment="1">
      <alignment horizontal="center"/>
    </xf>
    <xf numFmtId="0" fontId="19" fillId="6" borderId="2" xfId="0" applyFont="1" applyFill="1" applyBorder="1" applyAlignment="1">
      <alignment horizontal="center"/>
    </xf>
    <xf numFmtId="0" fontId="19" fillId="6" borderId="1" xfId="0" applyFont="1" applyFill="1" applyBorder="1"/>
    <xf numFmtId="0" fontId="19" fillId="3" borderId="0" xfId="0" applyFont="1" applyFill="1"/>
    <xf numFmtId="0" fontId="0" fillId="0" borderId="11" xfId="0" applyBorder="1"/>
    <xf numFmtId="165" fontId="28" fillId="7" borderId="0" xfId="6" applyNumberFormat="1" applyFont="1" applyFill="1" applyBorder="1" applyAlignment="1">
      <alignment horizontal="center" vertical="center"/>
    </xf>
    <xf numFmtId="0" fontId="30" fillId="0" borderId="0" xfId="7" applyFont="1" applyAlignment="1">
      <alignment vertical="center"/>
    </xf>
    <xf numFmtId="0" fontId="30" fillId="0" borderId="13" xfId="7" applyFont="1" applyBorder="1" applyAlignment="1">
      <alignment vertical="center"/>
    </xf>
    <xf numFmtId="0" fontId="28" fillId="7" borderId="0" xfId="7" applyFont="1" applyFill="1" applyAlignment="1">
      <alignment horizontal="center" vertical="center" wrapText="1"/>
    </xf>
    <xf numFmtId="0" fontId="28" fillId="7" borderId="15" xfId="7" applyFont="1" applyFill="1" applyBorder="1" applyAlignment="1">
      <alignment horizontal="center" vertical="center" wrapText="1"/>
    </xf>
    <xf numFmtId="0" fontId="28" fillId="7" borderId="7" xfId="7" applyFont="1" applyFill="1" applyBorder="1" applyAlignment="1">
      <alignment horizontal="center" vertical="center" wrapText="1"/>
    </xf>
    <xf numFmtId="0" fontId="30" fillId="0" borderId="0" xfId="7" applyFont="1" applyAlignment="1">
      <alignment horizontal="center" vertical="center" wrapText="1"/>
    </xf>
    <xf numFmtId="0" fontId="30" fillId="0" borderId="4" xfId="7" applyFont="1" applyBorder="1"/>
    <xf numFmtId="165" fontId="27" fillId="0" borderId="4" xfId="6" applyNumberFormat="1" applyFont="1" applyBorder="1"/>
    <xf numFmtId="165" fontId="27" fillId="0" borderId="16" xfId="6" applyNumberFormat="1" applyFont="1" applyBorder="1" applyAlignment="1">
      <alignment vertical="center"/>
    </xf>
    <xf numFmtId="165" fontId="27" fillId="0" borderId="6" xfId="6" applyNumberFormat="1" applyFont="1" applyBorder="1" applyAlignment="1">
      <alignment vertical="center"/>
    </xf>
    <xf numFmtId="165" fontId="27" fillId="0" borderId="17" xfId="6" applyNumberFormat="1" applyFont="1" applyBorder="1" applyAlignment="1">
      <alignment vertical="center"/>
    </xf>
    <xf numFmtId="165" fontId="27" fillId="0" borderId="0" xfId="6" applyNumberFormat="1" applyFont="1" applyBorder="1" applyAlignment="1">
      <alignment vertical="center"/>
    </xf>
    <xf numFmtId="0" fontId="30" fillId="0" borderId="4" xfId="8" applyFont="1" applyBorder="1" applyAlignment="1">
      <alignment horizontal="left" vertical="center" wrapText="1"/>
    </xf>
    <xf numFmtId="0" fontId="30" fillId="0" borderId="18" xfId="8" applyFont="1" applyBorder="1" applyAlignment="1">
      <alignment horizontal="left" vertical="center" wrapText="1"/>
    </xf>
    <xf numFmtId="165" fontId="27" fillId="0" borderId="19" xfId="6" applyNumberFormat="1" applyFont="1" applyBorder="1" applyAlignment="1">
      <alignment vertical="center"/>
    </xf>
    <xf numFmtId="165" fontId="27" fillId="0" borderId="4" xfId="6" applyNumberFormat="1" applyFont="1" applyBorder="1" applyAlignment="1">
      <alignment vertical="center"/>
    </xf>
    <xf numFmtId="165" fontId="27" fillId="0" borderId="18" xfId="6" applyNumberFormat="1" applyFont="1" applyBorder="1" applyAlignment="1">
      <alignment vertical="center"/>
    </xf>
    <xf numFmtId="165" fontId="27" fillId="0" borderId="19" xfId="6" applyNumberFormat="1" applyFont="1" applyBorder="1" applyAlignment="1">
      <alignment horizontal="center" vertical="center"/>
    </xf>
    <xf numFmtId="165" fontId="27" fillId="0" borderId="4" xfId="6" applyNumberFormat="1" applyFont="1" applyBorder="1" applyAlignment="1">
      <alignment horizontal="center" vertical="center"/>
    </xf>
    <xf numFmtId="166" fontId="27" fillId="0" borderId="4" xfId="6" applyNumberFormat="1" applyFont="1" applyBorder="1" applyAlignment="1">
      <alignment horizontal="center" vertical="center"/>
    </xf>
    <xf numFmtId="165" fontId="27" fillId="0" borderId="18" xfId="6" applyNumberFormat="1" applyFont="1" applyBorder="1" applyAlignment="1">
      <alignment horizontal="center" vertical="center"/>
    </xf>
    <xf numFmtId="165" fontId="30" fillId="0" borderId="19" xfId="6" applyNumberFormat="1" applyFont="1" applyFill="1" applyBorder="1" applyAlignment="1">
      <alignment vertical="center"/>
    </xf>
    <xf numFmtId="165" fontId="30" fillId="0" borderId="4" xfId="6" applyNumberFormat="1" applyFont="1" applyFill="1" applyBorder="1" applyAlignment="1">
      <alignment vertical="center"/>
    </xf>
    <xf numFmtId="165" fontId="30" fillId="0" borderId="18" xfId="6" applyNumberFormat="1" applyFont="1" applyFill="1" applyBorder="1" applyAlignment="1">
      <alignment horizontal="center" vertical="center"/>
    </xf>
    <xf numFmtId="0" fontId="31" fillId="8" borderId="4" xfId="7" applyFont="1" applyFill="1" applyBorder="1"/>
    <xf numFmtId="165" fontId="31" fillId="8" borderId="4" xfId="6" applyNumberFormat="1" applyFont="1" applyFill="1" applyBorder="1"/>
    <xf numFmtId="165" fontId="31" fillId="8" borderId="19" xfId="6" applyNumberFormat="1" applyFont="1" applyFill="1" applyBorder="1" applyAlignment="1">
      <alignment vertical="center"/>
    </xf>
    <xf numFmtId="165" fontId="31" fillId="8" borderId="4" xfId="6" applyNumberFormat="1" applyFont="1" applyFill="1" applyBorder="1" applyAlignment="1">
      <alignment vertical="center"/>
    </xf>
    <xf numFmtId="165" fontId="31" fillId="8" borderId="18" xfId="6" applyNumberFormat="1" applyFont="1" applyFill="1" applyBorder="1" applyAlignment="1">
      <alignment vertical="center"/>
    </xf>
    <xf numFmtId="165" fontId="31" fillId="0" borderId="0" xfId="6" applyNumberFormat="1" applyFont="1" applyBorder="1" applyAlignment="1">
      <alignment vertical="center"/>
    </xf>
    <xf numFmtId="0" fontId="30" fillId="0" borderId="4" xfId="8" applyFont="1" applyBorder="1" applyAlignment="1">
      <alignment vertical="center"/>
    </xf>
    <xf numFmtId="0" fontId="31" fillId="9" borderId="4" xfId="7" applyFont="1" applyFill="1" applyBorder="1"/>
    <xf numFmtId="165" fontId="31" fillId="9" borderId="4" xfId="6" applyNumberFormat="1" applyFont="1" applyFill="1" applyBorder="1"/>
    <xf numFmtId="165" fontId="31" fillId="9" borderId="15" xfId="6" applyNumberFormat="1" applyFont="1" applyFill="1" applyBorder="1" applyAlignment="1">
      <alignment vertical="center"/>
    </xf>
    <xf numFmtId="165" fontId="31" fillId="9" borderId="0" xfId="6" applyNumberFormat="1" applyFont="1" applyFill="1" applyBorder="1" applyAlignment="1">
      <alignment vertical="center"/>
    </xf>
    <xf numFmtId="165" fontId="31" fillId="9" borderId="7" xfId="6" applyNumberFormat="1" applyFont="1" applyFill="1" applyBorder="1" applyAlignment="1">
      <alignment vertical="center"/>
    </xf>
    <xf numFmtId="0" fontId="28" fillId="7" borderId="0" xfId="7" applyFont="1" applyFill="1" applyAlignment="1">
      <alignment horizontal="center"/>
    </xf>
    <xf numFmtId="0" fontId="28" fillId="7" borderId="0" xfId="7" applyFont="1" applyFill="1"/>
    <xf numFmtId="165" fontId="28" fillId="7" borderId="0" xfId="6" applyNumberFormat="1" applyFont="1" applyFill="1"/>
    <xf numFmtId="165" fontId="28" fillId="7" borderId="8" xfId="6" applyNumberFormat="1" applyFont="1" applyFill="1" applyBorder="1" applyAlignment="1">
      <alignment vertical="center"/>
    </xf>
    <xf numFmtId="165" fontId="28" fillId="7" borderId="9" xfId="6" applyNumberFormat="1" applyFont="1" applyFill="1" applyBorder="1" applyAlignment="1">
      <alignment vertical="center"/>
    </xf>
    <xf numFmtId="165" fontId="28" fillId="7" borderId="10" xfId="6" applyNumberFormat="1" applyFont="1" applyFill="1" applyBorder="1" applyAlignment="1">
      <alignment vertical="center"/>
    </xf>
    <xf numFmtId="165" fontId="27" fillId="0" borderId="9" xfId="6" applyNumberFormat="1" applyFont="1" applyBorder="1" applyAlignment="1">
      <alignment vertical="center"/>
    </xf>
    <xf numFmtId="165" fontId="28" fillId="7" borderId="0" xfId="6" applyNumberFormat="1" applyFont="1" applyFill="1" applyBorder="1" applyAlignment="1">
      <alignment vertical="center"/>
    </xf>
    <xf numFmtId="0" fontId="18" fillId="0" borderId="4" xfId="0" applyFont="1" applyBorder="1"/>
    <xf numFmtId="0" fontId="0" fillId="0" borderId="4" xfId="0" applyBorder="1"/>
    <xf numFmtId="165" fontId="21" fillId="3" borderId="0" xfId="1" applyNumberFormat="1" applyFont="1" applyFill="1" applyBorder="1" applyAlignment="1">
      <alignment vertical="center"/>
    </xf>
    <xf numFmtId="14" fontId="22" fillId="0" borderId="0" xfId="1" applyNumberFormat="1" applyFont="1" applyAlignment="1">
      <alignment horizontal="center"/>
    </xf>
    <xf numFmtId="0" fontId="0" fillId="0" borderId="4" xfId="0" applyBorder="1" applyAlignment="1">
      <alignment horizontal="center" vertical="center"/>
    </xf>
    <xf numFmtId="0" fontId="26" fillId="0" borderId="0" xfId="0" applyFont="1" applyAlignment="1">
      <alignment horizontal="center"/>
    </xf>
    <xf numFmtId="165" fontId="22" fillId="0" borderId="0" xfId="1" applyNumberFormat="1" applyFont="1" applyAlignment="1">
      <alignment horizontal="center" vertical="center"/>
    </xf>
    <xf numFmtId="0" fontId="0" fillId="0" borderId="0" xfId="0" applyAlignment="1">
      <alignment vertical="center"/>
    </xf>
    <xf numFmtId="165" fontId="22" fillId="0" borderId="0" xfId="1" applyNumberFormat="1" applyFont="1" applyAlignment="1">
      <alignment vertical="center"/>
    </xf>
    <xf numFmtId="165" fontId="21" fillId="3" borderId="1" xfId="1" applyNumberFormat="1" applyFont="1" applyFill="1" applyBorder="1" applyAlignment="1">
      <alignment vertical="center"/>
    </xf>
    <xf numFmtId="165" fontId="21" fillId="3" borderId="0" xfId="1" applyNumberFormat="1" applyFont="1" applyFill="1" applyBorder="1" applyAlignment="1">
      <alignment horizontal="center" vertical="center"/>
    </xf>
    <xf numFmtId="0" fontId="18" fillId="0" borderId="4" xfId="0" applyFont="1" applyBorder="1" applyAlignment="1">
      <alignment horizontal="center" vertical="center"/>
    </xf>
    <xf numFmtId="165" fontId="18" fillId="0" borderId="4" xfId="1" applyNumberFormat="1" applyFont="1" applyBorder="1"/>
    <xf numFmtId="165" fontId="18" fillId="0" borderId="4" xfId="1" applyNumberFormat="1" applyFont="1" applyBorder="1" applyAlignment="1">
      <alignment horizontal="center" vertical="center"/>
    </xf>
    <xf numFmtId="165" fontId="18" fillId="0" borderId="4" xfId="1" applyNumberFormat="1" applyFont="1" applyBorder="1" applyAlignment="1">
      <alignment vertical="center"/>
    </xf>
    <xf numFmtId="165" fontId="18" fillId="0" borderId="4" xfId="0" applyNumberFormat="1" applyFont="1" applyBorder="1" applyAlignment="1">
      <alignment vertical="center"/>
    </xf>
    <xf numFmtId="0" fontId="0" fillId="0" borderId="4" xfId="0" applyBorder="1" applyAlignment="1">
      <alignment horizontal="center"/>
    </xf>
    <xf numFmtId="0" fontId="18" fillId="0" borderId="4" xfId="0" applyFont="1" applyBorder="1" applyAlignment="1">
      <alignment horizontal="center"/>
    </xf>
    <xf numFmtId="0" fontId="18" fillId="0" borderId="11" xfId="0" applyFont="1" applyBorder="1"/>
    <xf numFmtId="0" fontId="23" fillId="3" borderId="0" xfId="0" applyFont="1" applyFill="1" applyAlignment="1">
      <alignment horizontal="center" wrapText="1"/>
    </xf>
    <xf numFmtId="167" fontId="23" fillId="3" borderId="0" xfId="0" applyNumberFormat="1" applyFont="1" applyFill="1" applyAlignment="1">
      <alignment horizontal="center"/>
    </xf>
    <xf numFmtId="0" fontId="19" fillId="3" borderId="0" xfId="0" applyFont="1" applyFill="1" applyAlignment="1">
      <alignment horizontal="center" wrapText="1"/>
    </xf>
    <xf numFmtId="43" fontId="22" fillId="0" borderId="0" xfId="1" applyFont="1"/>
    <xf numFmtId="0" fontId="19" fillId="3" borderId="0" xfId="0" applyFont="1" applyFill="1" applyAlignment="1">
      <alignment wrapText="1"/>
    </xf>
    <xf numFmtId="43" fontId="23" fillId="3" borderId="0" xfId="1" applyFont="1" applyFill="1" applyAlignment="1">
      <alignment vertical="center" wrapText="1"/>
    </xf>
    <xf numFmtId="0" fontId="19" fillId="3" borderId="0" xfId="0" applyFont="1" applyFill="1" applyAlignment="1">
      <alignment vertical="center" wrapText="1"/>
    </xf>
    <xf numFmtId="0" fontId="33" fillId="0" borderId="0" xfId="0" applyFont="1"/>
    <xf numFmtId="0" fontId="33" fillId="0" borderId="3" xfId="0" applyFont="1" applyBorder="1"/>
    <xf numFmtId="165" fontId="33" fillId="0" borderId="4" xfId="0" applyNumberFormat="1" applyFont="1" applyBorder="1"/>
    <xf numFmtId="165" fontId="33" fillId="0" borderId="4" xfId="1" applyNumberFormat="1" applyFont="1" applyBorder="1"/>
    <xf numFmtId="165" fontId="33" fillId="0" borderId="5" xfId="1" applyNumberFormat="1" applyFont="1" applyBorder="1"/>
    <xf numFmtId="165" fontId="33" fillId="0" borderId="0" xfId="1" applyNumberFormat="1" applyFont="1" applyFill="1" applyBorder="1"/>
    <xf numFmtId="165" fontId="33" fillId="0" borderId="4" xfId="1" applyNumberFormat="1" applyFont="1" applyFill="1" applyBorder="1"/>
    <xf numFmtId="166" fontId="33" fillId="0" borderId="4" xfId="1" applyNumberFormat="1" applyFont="1" applyFill="1" applyBorder="1"/>
    <xf numFmtId="0" fontId="33" fillId="0" borderId="4" xfId="0" applyFont="1" applyBorder="1"/>
    <xf numFmtId="165" fontId="0" fillId="0" borderId="0" xfId="1" applyNumberFormat="1" applyFont="1"/>
    <xf numFmtId="10" fontId="0" fillId="0" borderId="0" xfId="0" applyNumberFormat="1"/>
    <xf numFmtId="0" fontId="35" fillId="11" borderId="0" xfId="7" applyFont="1" applyFill="1" applyAlignment="1">
      <alignment horizontal="left" vertical="center" wrapText="1"/>
    </xf>
    <xf numFmtId="0" fontId="14" fillId="11" borderId="0" xfId="9" applyFill="1" applyAlignment="1">
      <alignment vertical="center"/>
    </xf>
    <xf numFmtId="0" fontId="14" fillId="0" borderId="0" xfId="9" applyAlignment="1">
      <alignment vertical="center"/>
    </xf>
    <xf numFmtId="0" fontId="30" fillId="0" borderId="4" xfId="7" applyFont="1" applyBorder="1" applyAlignment="1">
      <alignment horizontal="left" vertical="center"/>
    </xf>
    <xf numFmtId="165" fontId="27" fillId="0" borderId="4" xfId="6" applyNumberFormat="1" applyFont="1" applyBorder="1" applyAlignment="1">
      <alignment horizontal="left" vertical="center"/>
    </xf>
    <xf numFmtId="0" fontId="30" fillId="0" borderId="4" xfId="10" applyFont="1" applyBorder="1" applyAlignment="1">
      <alignment horizontal="left" vertical="center" wrapText="1"/>
    </xf>
    <xf numFmtId="0" fontId="30" fillId="0" borderId="4" xfId="10" applyFont="1" applyBorder="1" applyAlignment="1">
      <alignment horizontal="left" vertical="center"/>
    </xf>
    <xf numFmtId="0" fontId="30" fillId="11" borderId="4" xfId="10" applyFont="1" applyFill="1" applyBorder="1" applyAlignment="1">
      <alignment horizontal="left" vertical="center" wrapText="1"/>
    </xf>
    <xf numFmtId="43" fontId="0" fillId="0" borderId="6" xfId="6" applyFont="1" applyBorder="1" applyAlignment="1">
      <alignment vertical="center"/>
    </xf>
    <xf numFmtId="165" fontId="0" fillId="0" borderId="6" xfId="6" applyNumberFormat="1" applyFont="1" applyBorder="1" applyAlignment="1">
      <alignment vertical="center"/>
    </xf>
    <xf numFmtId="0" fontId="31" fillId="8" borderId="4" xfId="7" applyFont="1" applyFill="1" applyBorder="1" applyAlignment="1">
      <alignment horizontal="left" vertical="center"/>
    </xf>
    <xf numFmtId="165" fontId="31" fillId="8" borderId="4" xfId="6" applyNumberFormat="1" applyFont="1" applyFill="1" applyBorder="1" applyAlignment="1">
      <alignment horizontal="left" vertical="center"/>
    </xf>
    <xf numFmtId="165" fontId="27" fillId="11" borderId="4" xfId="6" applyNumberFormat="1" applyFont="1" applyFill="1" applyBorder="1" applyAlignment="1">
      <alignment horizontal="left" vertical="center"/>
    </xf>
    <xf numFmtId="0" fontId="27" fillId="0" borderId="4" xfId="6" applyNumberFormat="1" applyFont="1" applyBorder="1" applyAlignment="1">
      <alignment horizontal="left" vertical="center"/>
    </xf>
    <xf numFmtId="165" fontId="27" fillId="11" borderId="4" xfId="6" applyNumberFormat="1" applyFont="1" applyFill="1" applyBorder="1" applyAlignment="1">
      <alignment vertical="center"/>
    </xf>
    <xf numFmtId="0" fontId="30" fillId="11" borderId="4" xfId="7" applyFont="1" applyFill="1" applyBorder="1" applyAlignment="1">
      <alignment horizontal="left" vertical="center"/>
    </xf>
    <xf numFmtId="165" fontId="30" fillId="11" borderId="4" xfId="6" applyNumberFormat="1" applyFont="1" applyFill="1" applyBorder="1" applyAlignment="1">
      <alignment horizontal="left" vertical="center"/>
    </xf>
    <xf numFmtId="165" fontId="31" fillId="11" borderId="4" xfId="6" applyNumberFormat="1" applyFont="1" applyFill="1" applyBorder="1" applyAlignment="1">
      <alignment horizontal="left" vertical="center"/>
    </xf>
    <xf numFmtId="0" fontId="31" fillId="9" borderId="4" xfId="7" applyFont="1" applyFill="1" applyBorder="1" applyAlignment="1">
      <alignment horizontal="left" vertical="center"/>
    </xf>
    <xf numFmtId="165" fontId="31" fillId="9" borderId="4" xfId="6" applyNumberFormat="1" applyFont="1" applyFill="1" applyBorder="1" applyAlignment="1">
      <alignment horizontal="left" vertical="center"/>
    </xf>
    <xf numFmtId="165" fontId="31" fillId="9" borderId="4" xfId="6" applyNumberFormat="1" applyFont="1" applyFill="1" applyBorder="1" applyAlignment="1">
      <alignment vertical="center"/>
    </xf>
    <xf numFmtId="165" fontId="31" fillId="9" borderId="20" xfId="6" applyNumberFormat="1" applyFont="1" applyFill="1" applyBorder="1" applyAlignment="1">
      <alignment horizontal="left" vertical="center"/>
    </xf>
    <xf numFmtId="0" fontId="30" fillId="11" borderId="0" xfId="7" applyFont="1" applyFill="1" applyAlignment="1">
      <alignment horizontal="left" vertical="center"/>
    </xf>
    <xf numFmtId="165" fontId="30" fillId="11" borderId="0" xfId="6" applyNumberFormat="1" applyFont="1" applyFill="1" applyBorder="1" applyAlignment="1">
      <alignment vertical="center"/>
    </xf>
    <xf numFmtId="165" fontId="31" fillId="11" borderId="0" xfId="6" applyNumberFormat="1" applyFont="1" applyFill="1" applyBorder="1" applyAlignment="1">
      <alignment vertical="center"/>
    </xf>
    <xf numFmtId="165" fontId="31" fillId="11" borderId="0" xfId="6" applyNumberFormat="1" applyFont="1" applyFill="1" applyBorder="1" applyAlignment="1">
      <alignment horizontal="left" vertical="center"/>
    </xf>
    <xf numFmtId="165" fontId="30" fillId="11" borderId="0" xfId="6" applyNumberFormat="1" applyFont="1" applyFill="1" applyBorder="1" applyAlignment="1">
      <alignment horizontal="left" vertical="center"/>
    </xf>
    <xf numFmtId="0" fontId="28" fillId="7" borderId="0" xfId="7" applyFont="1" applyFill="1" applyAlignment="1">
      <alignment horizontal="left" vertical="center"/>
    </xf>
    <xf numFmtId="0" fontId="28" fillId="7" borderId="0" xfId="7" applyFont="1" applyFill="1" applyAlignment="1">
      <alignment vertical="center"/>
    </xf>
    <xf numFmtId="165" fontId="28" fillId="7" borderId="0" xfId="6" applyNumberFormat="1" applyFont="1" applyFill="1" applyAlignment="1">
      <alignment vertical="center"/>
    </xf>
    <xf numFmtId="165" fontId="28" fillId="7" borderId="0" xfId="6" applyNumberFormat="1" applyFont="1" applyFill="1" applyAlignment="1">
      <alignment horizontal="center" vertical="center"/>
    </xf>
    <xf numFmtId="165" fontId="14" fillId="0" borderId="0" xfId="9" applyNumberFormat="1" applyAlignment="1">
      <alignment vertical="center"/>
    </xf>
    <xf numFmtId="9" fontId="34" fillId="0" borderId="0" xfId="11" applyFont="1" applyAlignment="1">
      <alignment vertical="center"/>
    </xf>
    <xf numFmtId="43" fontId="14" fillId="0" borderId="0" xfId="1" applyFont="1" applyAlignment="1">
      <alignment vertical="center"/>
    </xf>
    <xf numFmtId="43" fontId="14" fillId="0" borderId="0" xfId="9" applyNumberFormat="1" applyAlignment="1">
      <alignment vertical="center"/>
    </xf>
    <xf numFmtId="165" fontId="22" fillId="0" borderId="0" xfId="1" applyNumberFormat="1" applyFont="1" applyFill="1"/>
    <xf numFmtId="165" fontId="12" fillId="0" borderId="0" xfId="9" applyNumberFormat="1" applyFont="1" applyAlignment="1">
      <alignment vertical="center"/>
    </xf>
    <xf numFmtId="14" fontId="36" fillId="0" borderId="0" xfId="1" applyNumberFormat="1" applyFont="1" applyAlignment="1">
      <alignment horizontal="center"/>
    </xf>
    <xf numFmtId="0" fontId="25" fillId="0" borderId="3" xfId="0" applyFont="1" applyBorder="1"/>
    <xf numFmtId="0" fontId="25" fillId="0" borderId="0" xfId="0" applyFont="1"/>
    <xf numFmtId="166" fontId="19" fillId="3" borderId="0" xfId="0" applyNumberFormat="1" applyFont="1" applyFill="1" applyAlignment="1">
      <alignment vertical="center" wrapText="1"/>
    </xf>
    <xf numFmtId="0" fontId="37" fillId="0" borderId="0" xfId="0" applyFont="1"/>
    <xf numFmtId="0" fontId="37" fillId="0" borderId="3" xfId="0" applyFont="1" applyBorder="1"/>
    <xf numFmtId="0" fontId="37" fillId="0" borderId="4" xfId="0" applyFont="1" applyBorder="1" applyAlignment="1">
      <alignment horizontal="center" vertical="center"/>
    </xf>
    <xf numFmtId="165" fontId="37" fillId="0" borderId="4" xfId="0" applyNumberFormat="1" applyFont="1" applyBorder="1"/>
    <xf numFmtId="165" fontId="37" fillId="0" borderId="4" xfId="1" applyNumberFormat="1" applyFont="1" applyBorder="1"/>
    <xf numFmtId="165" fontId="37" fillId="0" borderId="5" xfId="1" applyNumberFormat="1" applyFont="1" applyBorder="1"/>
    <xf numFmtId="165" fontId="37" fillId="0" borderId="0" xfId="1" applyNumberFormat="1" applyFont="1" applyFill="1" applyBorder="1"/>
    <xf numFmtId="165" fontId="37" fillId="0" borderId="4" xfId="1" applyNumberFormat="1" applyFont="1" applyFill="1" applyBorder="1"/>
    <xf numFmtId="166" fontId="37" fillId="0" borderId="4" xfId="1" applyNumberFormat="1" applyFont="1" applyFill="1" applyBorder="1"/>
    <xf numFmtId="0" fontId="25" fillId="0" borderId="11" xfId="0" applyFont="1" applyBorder="1"/>
    <xf numFmtId="165" fontId="25" fillId="0" borderId="4" xfId="0" applyNumberFormat="1" applyFont="1" applyBorder="1"/>
    <xf numFmtId="165" fontId="25" fillId="0" borderId="4" xfId="1" applyNumberFormat="1" applyFont="1" applyBorder="1"/>
    <xf numFmtId="165" fontId="25" fillId="0" borderId="0" xfId="1" applyNumberFormat="1" applyFont="1" applyFill="1" applyBorder="1"/>
    <xf numFmtId="165" fontId="25" fillId="0" borderId="4" xfId="1" applyNumberFormat="1" applyFont="1" applyFill="1" applyBorder="1"/>
    <xf numFmtId="166" fontId="25" fillId="0" borderId="4" xfId="1" applyNumberFormat="1" applyFont="1" applyFill="1" applyBorder="1"/>
    <xf numFmtId="0" fontId="25" fillId="0" borderId="4" xfId="0" applyFont="1" applyBorder="1" applyAlignment="1">
      <alignment horizontal="center" vertical="center"/>
    </xf>
    <xf numFmtId="165" fontId="25" fillId="0" borderId="5" xfId="1" applyNumberFormat="1" applyFont="1" applyBorder="1"/>
    <xf numFmtId="165" fontId="25" fillId="0" borderId="0" xfId="0" applyNumberFormat="1" applyFont="1"/>
    <xf numFmtId="165" fontId="36" fillId="0" borderId="0" xfId="1" applyNumberFormat="1" applyFont="1"/>
    <xf numFmtId="165" fontId="36" fillId="0" borderId="0" xfId="1" applyNumberFormat="1" applyFont="1" applyAlignment="1">
      <alignment horizontal="center"/>
    </xf>
    <xf numFmtId="165" fontId="36" fillId="0" borderId="0" xfId="1" applyNumberFormat="1" applyFont="1" applyFill="1" applyBorder="1"/>
    <xf numFmtId="0" fontId="38" fillId="0" borderId="0" xfId="0" applyFont="1"/>
    <xf numFmtId="0" fontId="11" fillId="0" borderId="0" xfId="14" applyAlignment="1">
      <alignment vertical="center"/>
    </xf>
    <xf numFmtId="0" fontId="28" fillId="11" borderId="0" xfId="7" applyFont="1" applyFill="1" applyAlignment="1">
      <alignment horizontal="center" vertical="center" wrapText="1"/>
    </xf>
    <xf numFmtId="0" fontId="11" fillId="11" borderId="0" xfId="14" applyFill="1" applyAlignment="1">
      <alignment vertical="center"/>
    </xf>
    <xf numFmtId="165" fontId="28" fillId="7" borderId="0" xfId="15" applyNumberFormat="1" applyFont="1" applyFill="1" applyAlignment="1">
      <alignment horizontal="center" vertical="center" wrapText="1"/>
    </xf>
    <xf numFmtId="0" fontId="30" fillId="0" borderId="4" xfId="16" applyFont="1" applyBorder="1" applyAlignment="1">
      <alignment horizontal="left" vertical="center" wrapText="1"/>
    </xf>
    <xf numFmtId="0" fontId="30" fillId="11" borderId="4" xfId="16" applyFont="1" applyFill="1" applyBorder="1" applyAlignment="1">
      <alignment horizontal="left" vertical="center" wrapText="1"/>
    </xf>
    <xf numFmtId="0" fontId="31" fillId="12" borderId="4" xfId="7" applyFont="1" applyFill="1" applyBorder="1" applyAlignment="1">
      <alignment horizontal="left" vertical="center"/>
    </xf>
    <xf numFmtId="165" fontId="31" fillId="12" borderId="4" xfId="6" applyNumberFormat="1" applyFont="1" applyFill="1" applyBorder="1" applyAlignment="1">
      <alignment horizontal="left" vertical="center"/>
    </xf>
    <xf numFmtId="164" fontId="11" fillId="0" borderId="0" xfId="14" applyNumberFormat="1" applyAlignment="1">
      <alignment vertical="center"/>
    </xf>
    <xf numFmtId="43" fontId="11" fillId="0" borderId="0" xfId="17" applyAlignment="1">
      <alignment vertical="center"/>
    </xf>
    <xf numFmtId="165" fontId="39" fillId="11" borderId="0" xfId="7" applyNumberFormat="1" applyFont="1" applyFill="1" applyAlignment="1">
      <alignment horizontal="center" vertical="center" wrapText="1"/>
    </xf>
    <xf numFmtId="9" fontId="0" fillId="0" borderId="0" xfId="0" applyNumberFormat="1"/>
    <xf numFmtId="0" fontId="25" fillId="0" borderId="0" xfId="0" applyFont="1" applyAlignment="1">
      <alignment wrapText="1"/>
    </xf>
    <xf numFmtId="0" fontId="26" fillId="0" borderId="0" xfId="0" applyFont="1" applyAlignment="1">
      <alignment horizontal="left"/>
    </xf>
    <xf numFmtId="43" fontId="26" fillId="0" borderId="0" xfId="0" applyNumberFormat="1" applyFont="1" applyAlignment="1">
      <alignment horizontal="left"/>
    </xf>
    <xf numFmtId="0" fontId="26" fillId="4" borderId="0" xfId="0" applyFont="1" applyFill="1" applyAlignment="1">
      <alignment horizontal="left"/>
    </xf>
    <xf numFmtId="0" fontId="26" fillId="5" borderId="0" xfId="0" applyFont="1" applyFill="1" applyAlignment="1">
      <alignment horizontal="right"/>
    </xf>
    <xf numFmtId="0" fontId="26" fillId="5" borderId="0" xfId="0" applyFont="1" applyFill="1" applyAlignment="1">
      <alignment horizontal="center"/>
    </xf>
    <xf numFmtId="0" fontId="26" fillId="5" borderId="0" xfId="0" applyFont="1" applyFill="1" applyAlignment="1">
      <alignment horizontal="left"/>
    </xf>
    <xf numFmtId="14" fontId="17" fillId="2" borderId="0" xfId="0" applyNumberFormat="1" applyFont="1" applyFill="1"/>
    <xf numFmtId="43" fontId="17" fillId="2" borderId="0" xfId="1" applyFont="1" applyFill="1"/>
    <xf numFmtId="0" fontId="30" fillId="11" borderId="20" xfId="7" applyFont="1" applyFill="1" applyBorder="1" applyAlignment="1">
      <alignment horizontal="left" vertical="center"/>
    </xf>
    <xf numFmtId="43" fontId="11" fillId="0" borderId="0" xfId="1" applyFont="1" applyAlignment="1">
      <alignment vertical="center"/>
    </xf>
    <xf numFmtId="43" fontId="11" fillId="0" borderId="0" xfId="14" applyNumberFormat="1" applyAlignment="1">
      <alignment vertical="center"/>
    </xf>
    <xf numFmtId="49" fontId="30" fillId="11" borderId="4" xfId="6" applyNumberFormat="1" applyFont="1" applyFill="1" applyBorder="1" applyAlignment="1">
      <alignment horizontal="left" vertical="center"/>
    </xf>
    <xf numFmtId="165" fontId="11" fillId="0" borderId="0" xfId="14" applyNumberFormat="1" applyAlignment="1">
      <alignment vertical="center"/>
    </xf>
    <xf numFmtId="49" fontId="30" fillId="0" borderId="4" xfId="16" applyNumberFormat="1" applyFont="1" applyBorder="1" applyAlignment="1">
      <alignment horizontal="left" vertical="center" wrapText="1"/>
    </xf>
    <xf numFmtId="49" fontId="30" fillId="11" borderId="4" xfId="16" applyNumberFormat="1" applyFont="1" applyFill="1" applyBorder="1" applyAlignment="1">
      <alignment horizontal="left" vertical="center" wrapText="1"/>
    </xf>
    <xf numFmtId="49" fontId="27" fillId="0" borderId="4" xfId="6" applyNumberFormat="1" applyFont="1" applyBorder="1" applyAlignment="1">
      <alignment horizontal="left" vertical="center"/>
    </xf>
    <xf numFmtId="49" fontId="31" fillId="11" borderId="4" xfId="6" applyNumberFormat="1" applyFont="1" applyFill="1" applyBorder="1" applyAlignment="1">
      <alignment horizontal="left" vertical="center"/>
    </xf>
    <xf numFmtId="49" fontId="31" fillId="11" borderId="0" xfId="6" applyNumberFormat="1" applyFont="1" applyFill="1" applyBorder="1" applyAlignment="1">
      <alignment horizontal="left" vertical="center"/>
    </xf>
    <xf numFmtId="43" fontId="18" fillId="0" borderId="4" xfId="1" applyFont="1" applyBorder="1" applyAlignment="1">
      <alignment horizontal="center"/>
    </xf>
    <xf numFmtId="166" fontId="19" fillId="3" borderId="0" xfId="0" applyNumberFormat="1" applyFont="1" applyFill="1" applyAlignment="1">
      <alignment vertical="center"/>
    </xf>
    <xf numFmtId="0" fontId="0" fillId="0" borderId="0" xfId="0" pivotButton="1"/>
    <xf numFmtId="0" fontId="0" fillId="0" borderId="0" xfId="0" applyAlignment="1">
      <alignment horizontal="left"/>
    </xf>
    <xf numFmtId="0" fontId="28" fillId="7" borderId="0" xfId="7" applyFont="1" applyFill="1" applyAlignment="1">
      <alignment horizontal="left" vertical="center" wrapText="1"/>
    </xf>
    <xf numFmtId="9" fontId="36" fillId="0" borderId="0" xfId="2" applyFont="1"/>
    <xf numFmtId="9" fontId="38" fillId="0" borderId="0" xfId="2" applyFont="1"/>
    <xf numFmtId="9" fontId="32" fillId="0" borderId="0" xfId="2" applyFont="1"/>
    <xf numFmtId="165" fontId="25" fillId="0" borderId="4" xfId="1" applyNumberFormat="1" applyFont="1" applyBorder="1" applyAlignment="1">
      <alignment vertical="center"/>
    </xf>
    <xf numFmtId="9" fontId="22" fillId="0" borderId="0" xfId="2" applyFont="1"/>
    <xf numFmtId="0" fontId="40" fillId="0" borderId="0" xfId="0" applyFont="1"/>
    <xf numFmtId="0" fontId="40" fillId="0" borderId="3" xfId="0" applyFont="1" applyBorder="1"/>
    <xf numFmtId="165" fontId="40" fillId="0" borderId="4" xfId="0" applyNumberFormat="1" applyFont="1" applyBorder="1"/>
    <xf numFmtId="165" fontId="40" fillId="0" borderId="4" xfId="1" applyNumberFormat="1" applyFont="1" applyBorder="1"/>
    <xf numFmtId="165" fontId="40" fillId="0" borderId="0" xfId="1" applyNumberFormat="1" applyFont="1" applyFill="1" applyBorder="1"/>
    <xf numFmtId="165" fontId="40" fillId="0" borderId="4" xfId="1" applyNumberFormat="1" applyFont="1" applyFill="1" applyBorder="1"/>
    <xf numFmtId="166" fontId="40" fillId="0" borderId="4" xfId="1" applyNumberFormat="1" applyFont="1" applyFill="1" applyBorder="1"/>
    <xf numFmtId="165" fontId="40" fillId="0" borderId="5" xfId="1" applyNumberFormat="1" applyFont="1" applyBorder="1"/>
    <xf numFmtId="43" fontId="25" fillId="0" borderId="4" xfId="1" applyFont="1" applyBorder="1" applyAlignment="1">
      <alignment horizontal="center" vertical="center"/>
    </xf>
    <xf numFmtId="0" fontId="26" fillId="3" borderId="0" xfId="0" applyFont="1" applyFill="1"/>
    <xf numFmtId="43" fontId="40" fillId="0" borderId="4" xfId="1" applyFont="1" applyBorder="1" applyAlignment="1">
      <alignment horizontal="center" vertical="center"/>
    </xf>
    <xf numFmtId="0" fontId="40" fillId="0" borderId="4" xfId="0" applyFont="1" applyBorder="1" applyAlignment="1">
      <alignment horizontal="center" vertical="center"/>
    </xf>
    <xf numFmtId="165" fontId="40" fillId="0" borderId="4" xfId="1" applyNumberFormat="1" applyFont="1" applyBorder="1" applyAlignment="1">
      <alignment vertical="center"/>
    </xf>
    <xf numFmtId="168" fontId="40" fillId="0" borderId="0" xfId="0" applyNumberFormat="1" applyFont="1" applyAlignment="1">
      <alignment horizontal="center"/>
    </xf>
    <xf numFmtId="165" fontId="40" fillId="0" borderId="4" xfId="0" applyNumberFormat="1" applyFont="1" applyBorder="1" applyAlignment="1">
      <alignment vertical="center"/>
    </xf>
    <xf numFmtId="165" fontId="27" fillId="0" borderId="4" xfId="1" applyNumberFormat="1" applyFont="1" applyBorder="1" applyAlignment="1">
      <alignment horizontal="left" vertical="center"/>
    </xf>
    <xf numFmtId="165" fontId="11" fillId="11" borderId="0" xfId="14" applyNumberFormat="1" applyFill="1" applyAlignment="1">
      <alignment vertical="center"/>
    </xf>
    <xf numFmtId="0" fontId="25" fillId="11" borderId="0" xfId="0" applyFont="1" applyFill="1"/>
    <xf numFmtId="0" fontId="37" fillId="11" borderId="0" xfId="0" applyFont="1" applyFill="1"/>
    <xf numFmtId="0" fontId="0" fillId="11" borderId="0" xfId="0" applyFill="1"/>
    <xf numFmtId="43" fontId="0" fillId="11" borderId="0" xfId="1" applyFont="1" applyFill="1"/>
    <xf numFmtId="165" fontId="25" fillId="11" borderId="0" xfId="1" applyNumberFormat="1" applyFont="1" applyFill="1" applyBorder="1"/>
    <xf numFmtId="165" fontId="11" fillId="0" borderId="0" xfId="1" applyNumberFormat="1" applyFont="1" applyAlignment="1">
      <alignment vertical="center"/>
    </xf>
    <xf numFmtId="165" fontId="30" fillId="11" borderId="4" xfId="1" applyNumberFormat="1" applyFont="1" applyFill="1" applyBorder="1" applyAlignment="1">
      <alignment horizontal="left" vertical="center"/>
    </xf>
    <xf numFmtId="14" fontId="0" fillId="0" borderId="0" xfId="0" applyNumberFormat="1" applyAlignment="1">
      <alignment horizontal="center"/>
    </xf>
    <xf numFmtId="170" fontId="0" fillId="0" borderId="0" xfId="0" applyNumberFormat="1"/>
    <xf numFmtId="170" fontId="0" fillId="0" borderId="0" xfId="1" applyNumberFormat="1" applyFont="1"/>
    <xf numFmtId="170" fontId="0" fillId="4" borderId="0" xfId="1" applyNumberFormat="1" applyFont="1" applyFill="1"/>
    <xf numFmtId="0" fontId="19" fillId="3" borderId="2" xfId="0" applyFont="1" applyFill="1" applyBorder="1" applyAlignment="1">
      <alignment horizontal="center"/>
    </xf>
    <xf numFmtId="165" fontId="36" fillId="4" borderId="0" xfId="1" applyNumberFormat="1" applyFont="1" applyFill="1" applyBorder="1" applyAlignment="1">
      <alignment vertical="center"/>
    </xf>
    <xf numFmtId="0" fontId="26" fillId="4" borderId="0" xfId="0" applyFont="1" applyFill="1" applyAlignment="1">
      <alignment horizontal="center"/>
    </xf>
    <xf numFmtId="0" fontId="26" fillId="4" borderId="2" xfId="0" applyFont="1" applyFill="1" applyBorder="1" applyAlignment="1">
      <alignment horizontal="center"/>
    </xf>
    <xf numFmtId="43" fontId="24" fillId="0" borderId="0" xfId="1" applyFont="1"/>
    <xf numFmtId="43" fontId="32" fillId="10" borderId="0" xfId="1" applyFont="1" applyFill="1"/>
    <xf numFmtId="43" fontId="0" fillId="0" borderId="0" xfId="1" applyFont="1" applyAlignment="1"/>
    <xf numFmtId="43" fontId="26" fillId="0" borderId="0" xfId="1" applyFont="1" applyAlignment="1">
      <alignment horizontal="left"/>
    </xf>
    <xf numFmtId="43" fontId="26" fillId="4" borderId="0" xfId="1" applyFont="1" applyFill="1" applyAlignment="1">
      <alignment horizontal="left"/>
    </xf>
    <xf numFmtId="43" fontId="26" fillId="5" borderId="0" xfId="1" applyFont="1" applyFill="1" applyAlignment="1">
      <alignment horizontal="left"/>
    </xf>
    <xf numFmtId="43" fontId="0" fillId="11" borderId="0" xfId="1" applyFont="1" applyFill="1" applyBorder="1"/>
    <xf numFmtId="4" fontId="34" fillId="0" borderId="0" xfId="0" applyNumberFormat="1" applyFont="1"/>
    <xf numFmtId="43" fontId="34" fillId="0" borderId="0" xfId="1" applyFont="1"/>
    <xf numFmtId="14" fontId="34" fillId="4" borderId="21" xfId="1" applyNumberFormat="1" applyFont="1" applyFill="1" applyBorder="1" applyAlignment="1">
      <alignment horizontal="center"/>
    </xf>
    <xf numFmtId="14" fontId="0" fillId="0" borderId="0" xfId="1" applyNumberFormat="1" applyFont="1" applyFill="1" applyAlignment="1"/>
    <xf numFmtId="165" fontId="28" fillId="7" borderId="0" xfId="1" applyNumberFormat="1" applyFont="1" applyFill="1" applyAlignment="1">
      <alignment vertical="center"/>
    </xf>
    <xf numFmtId="165" fontId="31" fillId="9" borderId="4" xfId="1" applyNumberFormat="1" applyFont="1" applyFill="1" applyBorder="1" applyAlignment="1">
      <alignment horizontal="left" vertical="center"/>
    </xf>
    <xf numFmtId="165" fontId="31" fillId="12" borderId="4" xfId="1" applyNumberFormat="1" applyFont="1" applyFill="1" applyBorder="1" applyAlignment="1">
      <alignment horizontal="left" vertical="center"/>
    </xf>
    <xf numFmtId="43" fontId="23" fillId="3" borderId="0" xfId="1" applyFont="1" applyFill="1" applyAlignment="1">
      <alignment horizontal="center" vertical="center" wrapText="1"/>
    </xf>
    <xf numFmtId="43" fontId="23" fillId="3" borderId="0" xfId="1" applyFont="1" applyFill="1" applyAlignment="1">
      <alignment horizontal="center" vertical="center"/>
    </xf>
    <xf numFmtId="0" fontId="20" fillId="0" borderId="0" xfId="0" applyFont="1" applyAlignment="1">
      <alignment horizontal="center" vertical="center"/>
    </xf>
    <xf numFmtId="165" fontId="21" fillId="3" borderId="0" xfId="1" applyNumberFormat="1" applyFont="1" applyFill="1" applyBorder="1" applyAlignment="1">
      <alignment vertical="center" wrapText="1"/>
    </xf>
    <xf numFmtId="165" fontId="19" fillId="3" borderId="6" xfId="1" applyNumberFormat="1" applyFont="1" applyFill="1" applyBorder="1" applyAlignment="1">
      <alignment vertical="center" wrapText="1"/>
    </xf>
    <xf numFmtId="165" fontId="19" fillId="3" borderId="1" xfId="1" applyNumberFormat="1" applyFont="1" applyFill="1" applyBorder="1" applyAlignment="1">
      <alignment horizontal="center" vertical="center"/>
    </xf>
    <xf numFmtId="165" fontId="19" fillId="3" borderId="0" xfId="1" applyNumberFormat="1" applyFont="1" applyFill="1" applyBorder="1" applyAlignment="1">
      <alignment horizontal="center" vertical="center"/>
    </xf>
    <xf numFmtId="165" fontId="27" fillId="11" borderId="4" xfId="1" applyNumberFormat="1" applyFont="1" applyFill="1" applyBorder="1" applyAlignment="1">
      <alignment horizontal="left" vertical="center"/>
    </xf>
    <xf numFmtId="165" fontId="27" fillId="11" borderId="4" xfId="6" applyNumberFormat="1" applyFont="1" applyFill="1" applyBorder="1" applyAlignment="1">
      <alignment horizontal="center" vertical="center"/>
    </xf>
    <xf numFmtId="0" fontId="7" fillId="11" borderId="0" xfId="14" applyFont="1" applyFill="1" applyAlignment="1">
      <alignment vertical="center"/>
    </xf>
    <xf numFmtId="43" fontId="11" fillId="11" borderId="0" xfId="1" applyFont="1" applyFill="1" applyAlignment="1">
      <alignment vertical="center"/>
    </xf>
    <xf numFmtId="171" fontId="19" fillId="3" borderId="6" xfId="0" applyNumberFormat="1" applyFont="1" applyFill="1" applyBorder="1" applyAlignment="1">
      <alignment horizontal="center" vertical="center" wrapText="1"/>
    </xf>
    <xf numFmtId="166" fontId="37" fillId="11" borderId="0" xfId="0" applyNumberFormat="1" applyFont="1" applyFill="1"/>
    <xf numFmtId="0" fontId="37" fillId="11" borderId="0" xfId="0" applyFont="1" applyFill="1" applyAlignment="1">
      <alignment horizontal="center" vertical="center"/>
    </xf>
    <xf numFmtId="171" fontId="37" fillId="11" borderId="0" xfId="0" applyNumberFormat="1" applyFont="1" applyFill="1"/>
    <xf numFmtId="165" fontId="25" fillId="0" borderId="20" xfId="1" applyNumberFormat="1" applyFont="1" applyBorder="1" applyAlignment="1">
      <alignment vertical="center"/>
    </xf>
    <xf numFmtId="0" fontId="25" fillId="0" borderId="0" xfId="0" applyFont="1" applyAlignment="1">
      <alignment vertical="center"/>
    </xf>
    <xf numFmtId="165" fontId="25" fillId="0" borderId="0" xfId="0" applyNumberFormat="1" applyFont="1" applyAlignment="1">
      <alignment vertical="center"/>
    </xf>
    <xf numFmtId="165" fontId="25" fillId="0" borderId="0" xfId="1" applyNumberFormat="1" applyFont="1" applyBorder="1" applyAlignment="1">
      <alignment vertical="center"/>
    </xf>
    <xf numFmtId="165" fontId="45" fillId="13" borderId="0" xfId="1" applyNumberFormat="1" applyFont="1" applyFill="1" applyBorder="1" applyAlignment="1">
      <alignment vertical="center"/>
    </xf>
    <xf numFmtId="165" fontId="25" fillId="14" borderId="0" xfId="1" applyNumberFormat="1" applyFont="1" applyFill="1" applyBorder="1" applyAlignment="1">
      <alignment vertical="center"/>
    </xf>
    <xf numFmtId="0" fontId="25" fillId="11" borderId="0" xfId="0" applyFont="1" applyFill="1" applyAlignment="1">
      <alignment vertical="center"/>
    </xf>
    <xf numFmtId="165" fontId="25" fillId="11" borderId="0" xfId="1" applyNumberFormat="1" applyFont="1" applyFill="1" applyBorder="1" applyAlignment="1">
      <alignment vertical="center"/>
    </xf>
    <xf numFmtId="165" fontId="25" fillId="14" borderId="20" xfId="1" applyNumberFormat="1" applyFont="1" applyFill="1" applyBorder="1" applyAlignment="1">
      <alignment vertical="center"/>
    </xf>
    <xf numFmtId="165" fontId="25" fillId="0" borderId="6" xfId="1" applyNumberFormat="1" applyFont="1" applyBorder="1" applyAlignment="1">
      <alignment vertical="center"/>
    </xf>
    <xf numFmtId="165" fontId="25" fillId="13" borderId="20" xfId="1" applyNumberFormat="1" applyFont="1" applyFill="1" applyBorder="1" applyAlignment="1">
      <alignment vertical="center"/>
    </xf>
    <xf numFmtId="165" fontId="25" fillId="13" borderId="0" xfId="1" applyNumberFormat="1" applyFont="1" applyFill="1" applyBorder="1" applyAlignment="1">
      <alignment vertical="center"/>
    </xf>
    <xf numFmtId="165" fontId="25" fillId="13" borderId="6" xfId="1" applyNumberFormat="1" applyFont="1" applyFill="1" applyBorder="1" applyAlignment="1">
      <alignment vertical="center"/>
    </xf>
    <xf numFmtId="0" fontId="0" fillId="0" borderId="0" xfId="0" applyAlignment="1">
      <alignment vertical="center" wrapText="1"/>
    </xf>
    <xf numFmtId="0" fontId="19" fillId="3" borderId="9" xfId="0" applyFont="1" applyFill="1" applyBorder="1" applyAlignment="1">
      <alignment horizontal="center" vertical="center" wrapText="1"/>
    </xf>
    <xf numFmtId="0" fontId="19" fillId="3" borderId="9" xfId="0" applyFont="1" applyFill="1" applyBorder="1" applyAlignment="1">
      <alignment horizontal="center" vertical="center"/>
    </xf>
    <xf numFmtId="0" fontId="47" fillId="11" borderId="0" xfId="0" applyFont="1" applyFill="1" applyAlignment="1">
      <alignment vertical="center"/>
    </xf>
    <xf numFmtId="0" fontId="34" fillId="0" borderId="0" xfId="0" applyFont="1"/>
    <xf numFmtId="165" fontId="34" fillId="0" borderId="0" xfId="0" applyNumberFormat="1" applyFont="1"/>
    <xf numFmtId="165" fontId="34" fillId="0" borderId="0" xfId="0" applyNumberFormat="1" applyFont="1" applyAlignment="1">
      <alignment horizontal="left"/>
    </xf>
    <xf numFmtId="9" fontId="34" fillId="15" borderId="0" xfId="2" applyFont="1" applyFill="1" applyAlignment="1">
      <alignment horizontal="center" vertical="center"/>
    </xf>
    <xf numFmtId="0" fontId="0" fillId="15" borderId="0" xfId="0" applyFill="1"/>
    <xf numFmtId="165" fontId="25" fillId="0" borderId="0" xfId="1" applyNumberFormat="1" applyFont="1" applyFill="1" applyBorder="1" applyAlignment="1">
      <alignment vertical="center"/>
    </xf>
    <xf numFmtId="171" fontId="48" fillId="0" borderId="0" xfId="1" applyNumberFormat="1" applyFont="1"/>
    <xf numFmtId="171" fontId="49" fillId="3" borderId="0" xfId="0" applyNumberFormat="1" applyFont="1" applyFill="1" applyAlignment="1">
      <alignment vertical="center" wrapText="1"/>
    </xf>
    <xf numFmtId="10" fontId="22" fillId="0" borderId="0" xfId="2" applyNumberFormat="1" applyFont="1"/>
    <xf numFmtId="22" fontId="0" fillId="0" borderId="0" xfId="0" applyNumberFormat="1"/>
    <xf numFmtId="165" fontId="25" fillId="14" borderId="0" xfId="0" applyNumberFormat="1" applyFont="1" applyFill="1" applyAlignment="1">
      <alignment vertical="center"/>
    </xf>
    <xf numFmtId="0" fontId="25" fillId="14" borderId="0" xfId="0" applyFont="1" applyFill="1" applyAlignment="1">
      <alignment vertical="center"/>
    </xf>
    <xf numFmtId="0" fontId="25" fillId="11" borderId="22" xfId="0" applyFont="1" applyFill="1" applyBorder="1" applyAlignment="1">
      <alignment vertical="center"/>
    </xf>
    <xf numFmtId="0" fontId="25" fillId="0" borderId="20" xfId="0" applyFont="1" applyBorder="1" applyAlignment="1">
      <alignment vertical="center"/>
    </xf>
    <xf numFmtId="165" fontId="25" fillId="0" borderId="20" xfId="0" applyNumberFormat="1" applyFont="1" applyBorder="1" applyAlignment="1">
      <alignment vertical="center"/>
    </xf>
    <xf numFmtId="0" fontId="0" fillId="0" borderId="23" xfId="0" applyBorder="1" applyAlignment="1">
      <alignment vertical="center" wrapText="1"/>
    </xf>
    <xf numFmtId="0" fontId="25" fillId="11" borderId="24" xfId="0" applyFont="1" applyFill="1" applyBorder="1" applyAlignment="1">
      <alignment vertical="center"/>
    </xf>
    <xf numFmtId="0" fontId="0" fillId="0" borderId="2" xfId="0" applyBorder="1" applyAlignment="1">
      <alignment vertical="center" wrapText="1"/>
    </xf>
    <xf numFmtId="0" fontId="45" fillId="13" borderId="24" xfId="0" applyFont="1" applyFill="1" applyBorder="1" applyAlignment="1">
      <alignment vertical="center"/>
    </xf>
    <xf numFmtId="0" fontId="25" fillId="14" borderId="24" xfId="0" applyFont="1" applyFill="1" applyBorder="1" applyAlignment="1">
      <alignment vertical="center"/>
    </xf>
    <xf numFmtId="0" fontId="0" fillId="14" borderId="2" xfId="0" applyFill="1" applyBorder="1" applyAlignment="1">
      <alignment vertical="center" wrapText="1"/>
    </xf>
    <xf numFmtId="0" fontId="25" fillId="11" borderId="25" xfId="0" applyFont="1" applyFill="1" applyBorder="1" applyAlignment="1">
      <alignment vertical="center"/>
    </xf>
    <xf numFmtId="0" fontId="0" fillId="0" borderId="26" xfId="0" applyBorder="1" applyAlignment="1">
      <alignment vertical="center" wrapText="1"/>
    </xf>
    <xf numFmtId="0" fontId="25" fillId="14" borderId="22" xfId="0" applyFont="1" applyFill="1" applyBorder="1" applyAlignment="1">
      <alignment vertical="center"/>
    </xf>
    <xf numFmtId="0" fontId="25" fillId="14" borderId="20" xfId="0" applyFont="1" applyFill="1" applyBorder="1" applyAlignment="1">
      <alignment vertical="center"/>
    </xf>
    <xf numFmtId="165" fontId="25" fillId="14" borderId="20" xfId="0" applyNumberFormat="1" applyFont="1" applyFill="1" applyBorder="1" applyAlignment="1">
      <alignment vertical="center"/>
    </xf>
    <xf numFmtId="0" fontId="0" fillId="14" borderId="23" xfId="0" applyFill="1" applyBorder="1" applyAlignment="1">
      <alignment vertical="center" wrapText="1"/>
    </xf>
    <xf numFmtId="0" fontId="25" fillId="0" borderId="6" xfId="0" applyFont="1" applyBorder="1" applyAlignment="1">
      <alignment vertical="center"/>
    </xf>
    <xf numFmtId="165" fontId="25" fillId="0" borderId="6" xfId="0" applyNumberFormat="1" applyFont="1" applyBorder="1" applyAlignment="1">
      <alignment vertical="center"/>
    </xf>
    <xf numFmtId="0" fontId="25" fillId="13" borderId="22" xfId="0" applyFont="1" applyFill="1" applyBorder="1" applyAlignment="1">
      <alignment vertical="center"/>
    </xf>
    <xf numFmtId="0" fontId="25" fillId="13" borderId="20" xfId="0" applyFont="1" applyFill="1" applyBorder="1" applyAlignment="1">
      <alignment vertical="center"/>
    </xf>
    <xf numFmtId="165" fontId="25" fillId="13" borderId="20" xfId="0" applyNumberFormat="1" applyFont="1" applyFill="1" applyBorder="1" applyAlignment="1">
      <alignment vertical="center"/>
    </xf>
    <xf numFmtId="0" fontId="0" fillId="13" borderId="23" xfId="0" applyFill="1" applyBorder="1" applyAlignment="1">
      <alignment vertical="center" wrapText="1"/>
    </xf>
    <xf numFmtId="0" fontId="25" fillId="13" borderId="24" xfId="0" applyFont="1" applyFill="1" applyBorder="1" applyAlignment="1">
      <alignment vertical="center"/>
    </xf>
    <xf numFmtId="0" fontId="0" fillId="13" borderId="2" xfId="0" applyFill="1" applyBorder="1" applyAlignment="1">
      <alignment vertical="center" wrapText="1"/>
    </xf>
    <xf numFmtId="0" fontId="0" fillId="13" borderId="2" xfId="0" applyFill="1" applyBorder="1" applyAlignment="1">
      <alignment wrapText="1"/>
    </xf>
    <xf numFmtId="0" fontId="25" fillId="13" borderId="25" xfId="0" applyFont="1" applyFill="1" applyBorder="1" applyAlignment="1">
      <alignment vertical="center"/>
    </xf>
    <xf numFmtId="0" fontId="25" fillId="13" borderId="6" xfId="0" applyFont="1" applyFill="1" applyBorder="1" applyAlignment="1">
      <alignment vertical="center"/>
    </xf>
    <xf numFmtId="165" fontId="25" fillId="13" borderId="6" xfId="0" applyNumberFormat="1" applyFont="1" applyFill="1" applyBorder="1" applyAlignment="1">
      <alignment vertical="center"/>
    </xf>
    <xf numFmtId="0" fontId="0" fillId="13" borderId="26" xfId="0" applyFill="1" applyBorder="1" applyAlignment="1">
      <alignment vertical="center" wrapText="1"/>
    </xf>
    <xf numFmtId="165" fontId="25" fillId="11" borderId="0" xfId="0" applyNumberFormat="1" applyFont="1" applyFill="1" applyAlignment="1">
      <alignment vertical="center"/>
    </xf>
    <xf numFmtId="0" fontId="45" fillId="13" borderId="0" xfId="0" applyFont="1" applyFill="1" applyAlignment="1">
      <alignment vertical="center"/>
    </xf>
    <xf numFmtId="165" fontId="45" fillId="13" borderId="0" xfId="0" applyNumberFormat="1" applyFont="1" applyFill="1" applyAlignment="1">
      <alignment vertical="center"/>
    </xf>
    <xf numFmtId="165" fontId="45" fillId="16" borderId="0" xfId="0" applyNumberFormat="1" applyFont="1" applyFill="1" applyAlignment="1">
      <alignment vertical="center"/>
    </xf>
    <xf numFmtId="165" fontId="45" fillId="14" borderId="0" xfId="0" applyNumberFormat="1" applyFont="1" applyFill="1" applyAlignment="1">
      <alignment vertical="center"/>
    </xf>
    <xf numFmtId="165" fontId="45" fillId="11" borderId="0" xfId="0" applyNumberFormat="1" applyFont="1" applyFill="1" applyAlignment="1">
      <alignment vertical="center"/>
    </xf>
    <xf numFmtId="165" fontId="45" fillId="11" borderId="6" xfId="0" applyNumberFormat="1" applyFont="1" applyFill="1" applyBorder="1" applyAlignment="1">
      <alignment vertical="center"/>
    </xf>
    <xf numFmtId="165" fontId="45" fillId="16" borderId="6" xfId="0" applyNumberFormat="1" applyFont="1" applyFill="1" applyBorder="1" applyAlignment="1">
      <alignment vertical="center"/>
    </xf>
    <xf numFmtId="165" fontId="25" fillId="16" borderId="0" xfId="0" applyNumberFormat="1" applyFont="1" applyFill="1" applyAlignment="1">
      <alignment vertical="center"/>
    </xf>
    <xf numFmtId="165" fontId="45" fillId="14" borderId="20" xfId="0" applyNumberFormat="1" applyFont="1" applyFill="1" applyBorder="1" applyAlignment="1">
      <alignment vertical="center"/>
    </xf>
    <xf numFmtId="0" fontId="44" fillId="3" borderId="0" xfId="0" applyFont="1" applyFill="1"/>
    <xf numFmtId="165" fontId="36" fillId="0" borderId="0" xfId="1" applyNumberFormat="1" applyFont="1" applyBorder="1" applyAlignment="1">
      <alignment horizontal="center"/>
    </xf>
    <xf numFmtId="14" fontId="36" fillId="0" borderId="0" xfId="1" applyNumberFormat="1" applyFont="1" applyBorder="1" applyAlignment="1">
      <alignment horizontal="center"/>
    </xf>
    <xf numFmtId="165" fontId="21" fillId="3" borderId="0" xfId="1" applyNumberFormat="1" applyFont="1" applyFill="1" applyBorder="1" applyAlignment="1">
      <alignment horizontal="center"/>
    </xf>
    <xf numFmtId="0" fontId="19" fillId="3" borderId="0" xfId="0" applyFont="1" applyFill="1" applyAlignment="1">
      <alignment horizontal="center" vertical="center" wrapText="1"/>
    </xf>
    <xf numFmtId="0" fontId="19" fillId="3" borderId="0" xfId="0" applyFont="1" applyFill="1" applyAlignment="1">
      <alignment horizontal="center" vertical="center"/>
    </xf>
    <xf numFmtId="165" fontId="25" fillId="16" borderId="6" xfId="0" applyNumberFormat="1" applyFont="1" applyFill="1" applyBorder="1" applyAlignment="1">
      <alignment vertical="center"/>
    </xf>
    <xf numFmtId="165" fontId="0" fillId="11" borderId="0" xfId="0" applyNumberFormat="1" applyFill="1"/>
    <xf numFmtId="0" fontId="34" fillId="11" borderId="0" xfId="0" applyFont="1" applyFill="1"/>
    <xf numFmtId="165" fontId="34" fillId="11" borderId="0" xfId="0" applyNumberFormat="1" applyFont="1" applyFill="1"/>
    <xf numFmtId="0" fontId="34" fillId="11" borderId="0" xfId="0" applyFont="1" applyFill="1" applyAlignment="1">
      <alignment wrapText="1"/>
    </xf>
    <xf numFmtId="165" fontId="34" fillId="11" borderId="0" xfId="0" applyNumberFormat="1" applyFont="1" applyFill="1" applyAlignment="1">
      <alignment horizontal="left"/>
    </xf>
    <xf numFmtId="165" fontId="25" fillId="16" borderId="0" xfId="1" applyNumberFormat="1" applyFont="1" applyFill="1" applyBorder="1" applyAlignment="1">
      <alignment vertical="center"/>
    </xf>
    <xf numFmtId="0" fontId="46" fillId="16" borderId="2" xfId="0" applyFont="1" applyFill="1" applyBorder="1" applyAlignment="1">
      <alignment vertical="center" wrapText="1"/>
    </xf>
    <xf numFmtId="0" fontId="25" fillId="13" borderId="0" xfId="0" applyFont="1" applyFill="1" applyAlignment="1">
      <alignment vertical="center"/>
    </xf>
    <xf numFmtId="165" fontId="25" fillId="13" borderId="0" xfId="0" applyNumberFormat="1" applyFont="1" applyFill="1" applyAlignment="1">
      <alignment vertical="center"/>
    </xf>
    <xf numFmtId="165" fontId="25" fillId="16" borderId="6" xfId="1" applyNumberFormat="1" applyFont="1" applyFill="1" applyBorder="1" applyAlignment="1">
      <alignment vertical="center"/>
    </xf>
    <xf numFmtId="165" fontId="30" fillId="11" borderId="4" xfId="6" quotePrefix="1" applyNumberFormat="1" applyFont="1" applyFill="1" applyBorder="1" applyAlignment="1">
      <alignment horizontal="left" vertical="center"/>
    </xf>
    <xf numFmtId="165" fontId="2" fillId="0" borderId="0" xfId="1" applyNumberFormat="1" applyFont="1" applyAlignment="1">
      <alignment vertical="center"/>
    </xf>
    <xf numFmtId="0" fontId="28" fillId="11" borderId="0" xfId="7" applyFont="1" applyFill="1" applyAlignment="1">
      <alignment horizontal="left" vertical="center" wrapText="1"/>
    </xf>
    <xf numFmtId="0" fontId="11" fillId="11" borderId="0" xfId="14" applyFill="1" applyAlignment="1">
      <alignment horizontal="left" vertical="center"/>
    </xf>
    <xf numFmtId="49" fontId="30" fillId="11" borderId="4" xfId="6" applyNumberFormat="1" applyFont="1" applyFill="1" applyBorder="1" applyAlignment="1">
      <alignment horizontal="left" vertical="center" wrapText="1"/>
    </xf>
    <xf numFmtId="0" fontId="37" fillId="11" borderId="0" xfId="0" applyFont="1" applyFill="1" applyAlignment="1">
      <alignment horizontal="center"/>
    </xf>
    <xf numFmtId="165" fontId="37" fillId="11" borderId="0" xfId="1" applyNumberFormat="1" applyFont="1" applyFill="1"/>
    <xf numFmtId="165" fontId="19" fillId="3" borderId="0" xfId="1" applyNumberFormat="1" applyFont="1" applyFill="1" applyAlignment="1">
      <alignment vertical="center" wrapText="1"/>
    </xf>
    <xf numFmtId="165" fontId="19" fillId="3" borderId="6" xfId="1" applyNumberFormat="1" applyFont="1" applyFill="1" applyBorder="1" applyAlignment="1">
      <alignment horizontal="center" vertical="center" wrapText="1"/>
    </xf>
    <xf numFmtId="165" fontId="19" fillId="3" borderId="0" xfId="1" applyNumberFormat="1" applyFont="1" applyFill="1" applyAlignment="1">
      <alignment vertical="center"/>
    </xf>
    <xf numFmtId="165" fontId="19" fillId="3" borderId="6" xfId="1" applyNumberFormat="1" applyFont="1" applyFill="1" applyBorder="1" applyAlignment="1">
      <alignment horizontal="center" vertical="center"/>
    </xf>
    <xf numFmtId="165" fontId="33" fillId="11" borderId="4" xfId="1" applyNumberFormat="1" applyFont="1" applyFill="1" applyBorder="1"/>
    <xf numFmtId="0" fontId="25" fillId="11" borderId="3" xfId="0" applyFont="1" applyFill="1" applyBorder="1"/>
    <xf numFmtId="0" fontId="25" fillId="11" borderId="4" xfId="0" applyFont="1" applyFill="1" applyBorder="1"/>
    <xf numFmtId="165" fontId="25" fillId="11" borderId="4" xfId="1" applyNumberFormat="1" applyFont="1" applyFill="1" applyBorder="1"/>
    <xf numFmtId="0" fontId="0" fillId="0" borderId="0" xfId="0" applyAlignment="1">
      <alignment horizontal="left" vertical="center"/>
    </xf>
    <xf numFmtId="169" fontId="0" fillId="0" borderId="0" xfId="0" applyNumberFormat="1" applyAlignment="1">
      <alignment horizontal="left" vertical="center"/>
    </xf>
    <xf numFmtId="22" fontId="0" fillId="0" borderId="0" xfId="0" applyNumberFormat="1" applyAlignment="1">
      <alignment horizontal="left" vertical="center"/>
    </xf>
    <xf numFmtId="165" fontId="37" fillId="11" borderId="4" xfId="1" applyNumberFormat="1" applyFont="1" applyFill="1" applyBorder="1"/>
    <xf numFmtId="0" fontId="50" fillId="3" borderId="0" xfId="0" applyFont="1" applyFill="1" applyAlignment="1">
      <alignment horizontal="center" vertical="center" wrapText="1"/>
    </xf>
    <xf numFmtId="0" fontId="50" fillId="11" borderId="0" xfId="0" applyFont="1" applyFill="1" applyAlignment="1">
      <alignment horizontal="center" vertical="center" wrapText="1"/>
    </xf>
    <xf numFmtId="0" fontId="50" fillId="17" borderId="0" xfId="0" applyFont="1" applyFill="1" applyAlignment="1">
      <alignment horizontal="center" vertical="center" wrapText="1"/>
    </xf>
    <xf numFmtId="0" fontId="47" fillId="0" borderId="0" xfId="0" applyFont="1"/>
    <xf numFmtId="165" fontId="32" fillId="0" borderId="0" xfId="1" applyNumberFormat="1" applyFont="1"/>
    <xf numFmtId="165" fontId="0" fillId="0" borderId="0" xfId="1" applyNumberFormat="1" applyFont="1" applyBorder="1"/>
    <xf numFmtId="165" fontId="0" fillId="0" borderId="4" xfId="0" applyNumberFormat="1" applyBorder="1"/>
    <xf numFmtId="165" fontId="33" fillId="11" borderId="0" xfId="1" applyNumberFormat="1" applyFont="1" applyFill="1"/>
    <xf numFmtId="165" fontId="33" fillId="11" borderId="4" xfId="1" applyNumberFormat="1" applyFont="1" applyFill="1" applyBorder="1" applyAlignment="1">
      <alignment horizontal="center" vertical="center"/>
    </xf>
    <xf numFmtId="165" fontId="37" fillId="11" borderId="4" xfId="1" applyNumberFormat="1" applyFont="1" applyFill="1" applyBorder="1" applyAlignment="1">
      <alignment horizontal="center" vertical="center"/>
    </xf>
    <xf numFmtId="165" fontId="25" fillId="11" borderId="5" xfId="1" applyNumberFormat="1" applyFont="1" applyFill="1" applyBorder="1"/>
    <xf numFmtId="165" fontId="25" fillId="11" borderId="0" xfId="1" applyNumberFormat="1" applyFont="1" applyFill="1"/>
    <xf numFmtId="43" fontId="0" fillId="0" borderId="0" xfId="1" applyFont="1" applyBorder="1"/>
    <xf numFmtId="172" fontId="0" fillId="0" borderId="0" xfId="2" applyNumberFormat="1" applyFont="1"/>
    <xf numFmtId="0" fontId="0" fillId="0" borderId="4" xfId="0" applyBorder="1" applyAlignment="1">
      <alignment wrapText="1"/>
    </xf>
    <xf numFmtId="0" fontId="32" fillId="0" borderId="0" xfId="0" applyFont="1"/>
    <xf numFmtId="14" fontId="32" fillId="0" borderId="0" xfId="0" applyNumberFormat="1" applyFont="1" applyAlignment="1">
      <alignment horizontal="center"/>
    </xf>
    <xf numFmtId="14" fontId="0" fillId="0" borderId="0" xfId="0" applyNumberFormat="1" applyAlignment="1">
      <alignment horizontal="center" wrapText="1"/>
    </xf>
    <xf numFmtId="4" fontId="0" fillId="0" borderId="0" xfId="0" applyNumberFormat="1" applyAlignment="1">
      <alignment wrapText="1"/>
    </xf>
    <xf numFmtId="0" fontId="31" fillId="9" borderId="20" xfId="7" applyFont="1" applyFill="1" applyBorder="1" applyAlignment="1">
      <alignment horizontal="left" vertical="center"/>
    </xf>
    <xf numFmtId="0" fontId="31" fillId="9" borderId="0" xfId="7" applyFont="1" applyFill="1" applyAlignment="1">
      <alignment horizontal="left" vertical="center"/>
    </xf>
    <xf numFmtId="0" fontId="31" fillId="9" borderId="6" xfId="7" applyFont="1" applyFill="1" applyBorder="1" applyAlignment="1">
      <alignment horizontal="left" vertical="center"/>
    </xf>
    <xf numFmtId="0" fontId="28" fillId="7" borderId="0" xfId="7" applyFont="1" applyFill="1" applyAlignment="1">
      <alignment horizontal="center" vertical="center" wrapText="1"/>
    </xf>
    <xf numFmtId="0" fontId="28" fillId="7" borderId="6" xfId="7" applyFont="1" applyFill="1" applyBorder="1" applyAlignment="1">
      <alignment horizontal="center" vertical="center" wrapText="1"/>
    </xf>
    <xf numFmtId="0" fontId="28" fillId="7" borderId="0" xfId="7" applyFont="1" applyFill="1" applyAlignment="1">
      <alignment horizontal="left" vertical="center" wrapText="1"/>
    </xf>
    <xf numFmtId="165" fontId="31" fillId="9" borderId="15" xfId="6" applyNumberFormat="1" applyFont="1" applyFill="1" applyBorder="1" applyAlignment="1">
      <alignment horizontal="center" vertical="center"/>
    </xf>
    <xf numFmtId="165" fontId="31" fillId="9" borderId="0" xfId="6" applyNumberFormat="1" applyFont="1" applyFill="1" applyBorder="1" applyAlignment="1">
      <alignment horizontal="center" vertical="center"/>
    </xf>
    <xf numFmtId="165" fontId="31" fillId="9" borderId="7" xfId="6" applyNumberFormat="1" applyFont="1" applyFill="1" applyBorder="1" applyAlignment="1">
      <alignment horizontal="center" vertical="center"/>
    </xf>
    <xf numFmtId="0" fontId="30" fillId="0" borderId="4" xfId="8" applyFont="1" applyBorder="1" applyAlignment="1">
      <alignment horizontal="left" vertical="center" wrapText="1"/>
    </xf>
    <xf numFmtId="0" fontId="30" fillId="0" borderId="18" xfId="8" applyFont="1" applyBorder="1" applyAlignment="1">
      <alignment horizontal="left" vertical="center" wrapText="1"/>
    </xf>
    <xf numFmtId="165" fontId="31" fillId="8" borderId="19" xfId="6" applyNumberFormat="1" applyFont="1" applyFill="1" applyBorder="1" applyAlignment="1">
      <alignment horizontal="center" vertical="center"/>
    </xf>
    <xf numFmtId="165" fontId="31" fillId="8" borderId="18" xfId="6" applyNumberFormat="1" applyFont="1" applyFill="1" applyBorder="1" applyAlignment="1">
      <alignment horizontal="center" vertical="center"/>
    </xf>
    <xf numFmtId="0" fontId="30" fillId="0" borderId="4" xfId="8" applyFont="1" applyBorder="1" applyAlignment="1">
      <alignment horizontal="left" vertical="center"/>
    </xf>
    <xf numFmtId="0" fontId="30" fillId="0" borderId="18" xfId="8" applyFont="1" applyBorder="1" applyAlignment="1">
      <alignment horizontal="left" vertical="center"/>
    </xf>
    <xf numFmtId="165" fontId="31" fillId="9" borderId="0" xfId="6" applyNumberFormat="1" applyFont="1" applyFill="1" applyBorder="1" applyAlignment="1">
      <alignment horizontal="left" vertical="center"/>
    </xf>
    <xf numFmtId="165" fontId="31" fillId="9" borderId="7" xfId="6" applyNumberFormat="1" applyFont="1" applyFill="1" applyBorder="1" applyAlignment="1">
      <alignment horizontal="left" vertical="center"/>
    </xf>
    <xf numFmtId="165" fontId="28" fillId="7" borderId="0" xfId="6" applyNumberFormat="1" applyFont="1" applyFill="1" applyBorder="1" applyAlignment="1">
      <alignment horizontal="center" vertical="center"/>
    </xf>
    <xf numFmtId="165" fontId="28" fillId="7" borderId="12" xfId="6" applyNumberFormat="1" applyFont="1" applyFill="1" applyBorder="1" applyAlignment="1">
      <alignment horizontal="center" vertical="center"/>
    </xf>
    <xf numFmtId="165" fontId="28" fillId="7" borderId="13" xfId="6" applyNumberFormat="1" applyFont="1" applyFill="1" applyBorder="1" applyAlignment="1">
      <alignment horizontal="center" vertical="center"/>
    </xf>
    <xf numFmtId="165" fontId="28" fillId="7" borderId="14" xfId="6" applyNumberFormat="1" applyFont="1" applyFill="1" applyBorder="1" applyAlignment="1">
      <alignment horizontal="center" vertical="center"/>
    </xf>
    <xf numFmtId="165" fontId="28" fillId="7" borderId="7" xfId="6" applyNumberFormat="1" applyFont="1" applyFill="1" applyBorder="1" applyAlignment="1">
      <alignment horizontal="center" vertical="center"/>
    </xf>
    <xf numFmtId="165" fontId="19" fillId="3" borderId="9" xfId="1" applyNumberFormat="1" applyFont="1" applyFill="1" applyBorder="1" applyAlignment="1">
      <alignment horizontal="center" vertical="center"/>
    </xf>
    <xf numFmtId="0" fontId="25" fillId="11" borderId="13" xfId="0" applyFont="1" applyFill="1" applyBorder="1" applyAlignment="1">
      <alignment horizontal="center" vertical="center"/>
    </xf>
    <xf numFmtId="0" fontId="25" fillId="11" borderId="0" xfId="0" applyFont="1" applyFill="1" applyAlignment="1">
      <alignment horizontal="center" vertical="center"/>
    </xf>
    <xf numFmtId="0" fontId="34" fillId="0" borderId="0" xfId="0" applyFont="1" applyAlignment="1">
      <alignment horizontal="right" wrapText="1"/>
    </xf>
    <xf numFmtId="0" fontId="19" fillId="6" borderId="1" xfId="0" applyFont="1" applyFill="1" applyBorder="1" applyAlignment="1">
      <alignment horizontal="center"/>
    </xf>
    <xf numFmtId="167" fontId="23" fillId="3" borderId="0" xfId="0" applyNumberFormat="1" applyFont="1" applyFill="1" applyAlignment="1">
      <alignment horizontal="center" vertical="center" wrapText="1"/>
    </xf>
    <xf numFmtId="165" fontId="1" fillId="0" borderId="0" xfId="1" applyNumberFormat="1" applyFont="1" applyAlignment="1">
      <alignment vertical="center"/>
    </xf>
  </cellXfs>
  <cellStyles count="60">
    <cellStyle name="Comma 2" xfId="13" xr:uid="{874080B7-6D7D-4791-B819-09809D6747DF}"/>
    <cellStyle name="Comma 2 2" xfId="15" xr:uid="{1809DBC2-F01D-4867-9501-30E956D35BCE}"/>
    <cellStyle name="Comma 2 2 2" xfId="44" xr:uid="{46400EEA-082F-4F6D-A608-30A67C5BCDDB}"/>
    <cellStyle name="Comma 2 3" xfId="42" xr:uid="{9DFFC466-F3D6-4E5D-8382-ED36A51D3B92}"/>
    <cellStyle name="Comma 3" xfId="17" xr:uid="{0D231C43-3405-4317-B578-43476CD515CC}"/>
    <cellStyle name="Comma 3 2" xfId="46" xr:uid="{2C274D64-5BEA-42EF-84A6-7EBCDDA2B1D4}"/>
    <cellStyle name="Comma 4" xfId="19" xr:uid="{7F4A472C-4F95-4FB0-99E5-1E5EA26A75B5}"/>
    <cellStyle name="Comma 4 2" xfId="48" xr:uid="{52307EF6-8418-4376-854D-1363AFAA465D}"/>
    <cellStyle name="Normal" xfId="0" builtinId="0"/>
    <cellStyle name="Normal 10" xfId="26" xr:uid="{B2B0F519-EBBA-4E4E-92AB-D6C68B06E71F}"/>
    <cellStyle name="Normal 10 2" xfId="54" xr:uid="{3702D645-5D65-405A-8CB4-05A157CBC22B}"/>
    <cellStyle name="Normal 11" xfId="28" xr:uid="{B82447AA-8171-4F89-9C4A-0466E0F7F369}"/>
    <cellStyle name="Normal 11 2" xfId="56" xr:uid="{C5F9F9DC-3354-4500-A22D-286216252433}"/>
    <cellStyle name="Normal 12" xfId="30" xr:uid="{863487BF-1F34-4216-B430-26A3B7FF556E}"/>
    <cellStyle name="Normal 12 2" xfId="58" xr:uid="{126FD190-1A3C-4C20-B700-2C86E27D64E8}"/>
    <cellStyle name="Normal 15" xfId="8" xr:uid="{3C32C365-893D-4D21-A47D-C0CF37FBE8DB}"/>
    <cellStyle name="Normal 15 2" xfId="10" xr:uid="{44B93899-69D6-457B-968B-D2F531A6200E}"/>
    <cellStyle name="Normal 15 2 2" xfId="16" xr:uid="{E5FC5B08-9E9F-4188-BE75-7CEBD1BD938D}"/>
    <cellStyle name="Normal 15 2 2 2" xfId="45" xr:uid="{197122C5-F54B-4923-B8E7-60B47200653B}"/>
    <cellStyle name="Normal 15 2 3" xfId="39" xr:uid="{25E4DD56-4CA9-4FA2-A8FE-0F29B2F8FB8F}"/>
    <cellStyle name="Normal 15 3" xfId="37" xr:uid="{01DFFEA9-719F-42C2-B84E-BFF644907C0F}"/>
    <cellStyle name="Normal 2" xfId="3" xr:uid="{E7384225-7ED8-458F-ADB9-516B931C0B73}"/>
    <cellStyle name="Normal 2 2" xfId="23" xr:uid="{EE2CB91C-76C6-4BC3-BD2A-4BDB3B5877AE}"/>
    <cellStyle name="Normal 2 3" xfId="33" xr:uid="{DD287C78-7694-4FF5-A1C0-D438E8FA872F}"/>
    <cellStyle name="Normal 3" xfId="7" xr:uid="{139ECE85-8DA9-485E-82BB-ABBCE159DAAB}"/>
    <cellStyle name="Normal 4" xfId="9" xr:uid="{CAB5548E-F733-4298-A008-88C45B3E0701}"/>
    <cellStyle name="Normal 4 2" xfId="14" xr:uid="{787D3188-8BE5-4BD1-8049-D43EAF660BC1}"/>
    <cellStyle name="Normal 4 2 2" xfId="43" xr:uid="{74B4A006-D70D-4093-9A33-F4890E453674}"/>
    <cellStyle name="Normal 4 3" xfId="38" xr:uid="{01A8C47A-AC35-437D-9CDA-5349B00855B0}"/>
    <cellStyle name="Normal 5" xfId="12" xr:uid="{15E3A065-0523-4787-AEE4-64E95EF578CD}"/>
    <cellStyle name="Normal 5 2" xfId="41" xr:uid="{3E9FB367-6DA2-44EB-BBEF-72F7163988BE}"/>
    <cellStyle name="Normal 6" xfId="18" xr:uid="{B74F48C0-EEC8-4D2C-A290-95EACEE30828}"/>
    <cellStyle name="Normal 6 2" xfId="47" xr:uid="{3169B1FE-3363-444E-B9B2-B704956FEA3C}"/>
    <cellStyle name="Normal 7" xfId="20" xr:uid="{A634AD2A-788C-474A-B02E-F56EC0311832}"/>
    <cellStyle name="Normal 7 2" xfId="49" xr:uid="{C155D7C0-686A-4518-A680-6B1541732921}"/>
    <cellStyle name="Normal 8" xfId="21" xr:uid="{7BD675FB-4B54-4267-A700-D8EFAB6A231B}"/>
    <cellStyle name="Normal 8 2" xfId="50" xr:uid="{DC8298DB-3448-40F7-BA58-4FC9820B6E90}"/>
    <cellStyle name="Normal 9" xfId="24" xr:uid="{EBC2AD4A-4959-496F-A748-C9221879E804}"/>
    <cellStyle name="Normal 9 2" xfId="52" xr:uid="{E1F0A5D4-488D-49C8-A613-602C11355DE1}"/>
    <cellStyle name="Percent 2" xfId="11" xr:uid="{3FCC0192-3E55-412F-915C-7D9B7C000DC4}"/>
    <cellStyle name="Percent 2 2" xfId="40" xr:uid="{BAA2050B-D362-4151-83E5-8D1CF8110491}"/>
    <cellStyle name="Porcentagem" xfId="2" builtinId="5"/>
    <cellStyle name="Porcentagem 2" xfId="5" xr:uid="{D056AE56-C667-4B0D-894B-A3951E1D535B}"/>
    <cellStyle name="Porcentagem 2 2" xfId="35" xr:uid="{CB08A571-24A0-48DB-8C6F-9D4D88D28CAA}"/>
    <cellStyle name="Vírgula" xfId="1" builtinId="3"/>
    <cellStyle name="Vírgula 2" xfId="4" xr:uid="{6A50FC50-6C0F-4801-9397-ED4193487740}"/>
    <cellStyle name="Vírgula 2 2" xfId="34" xr:uid="{B1A277FB-AD41-4858-BFC2-A1393068516F}"/>
    <cellStyle name="Vírgula 3" xfId="22" xr:uid="{A47CABB7-810B-4679-BA07-E3065EF642D2}"/>
    <cellStyle name="Vírgula 3 2" xfId="51" xr:uid="{4F106E0A-6CA5-49B4-8A5B-EC1A51C1D167}"/>
    <cellStyle name="Vírgula 4" xfId="6" xr:uid="{4C5555E0-EE6F-4FF7-9D1D-8F375B863ADD}"/>
    <cellStyle name="Vírgula 4 2" xfId="36" xr:uid="{642C183C-14C5-41A5-B5AD-75A54DFFB699}"/>
    <cellStyle name="Vírgula 5" xfId="25" xr:uid="{B7378EE7-CC8D-48A5-AC1D-71B8BF021EEB}"/>
    <cellStyle name="Vírgula 5 2" xfId="53" xr:uid="{B517C9CE-C8A4-47CB-A431-0717F40B135E}"/>
    <cellStyle name="Vírgula 6" xfId="27" xr:uid="{9E652800-E2D7-4E34-B6C5-FBD26A2DD620}"/>
    <cellStyle name="Vírgula 6 2" xfId="55" xr:uid="{D3EECB4A-D61C-468D-9ADA-CF5364BA7D18}"/>
    <cellStyle name="Vírgula 7" xfId="29" xr:uid="{CC6B3D25-0003-4849-B69D-C616B637FA21}"/>
    <cellStyle name="Vírgula 7 2" xfId="57" xr:uid="{0CCDA9B3-D294-4581-9B2D-194807E73611}"/>
    <cellStyle name="Vírgula 8" xfId="31" xr:uid="{7949992E-87BC-4899-8A40-ED475D92B561}"/>
    <cellStyle name="Vírgula 8 2" xfId="59" xr:uid="{5753C624-FEB6-4D37-BF91-8906A5D2C576}"/>
    <cellStyle name="Vírgula 9" xfId="32" xr:uid="{6FF0BED7-C78D-4F53-B71C-12D824961B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calcChain" Target="calcChain.xml"/><Relationship Id="rId30"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dro Henrique Rodrigues" refreshedDate="45936.684967939815" createdVersion="8" refreshedVersion="8" minRefreshableVersion="3" recordCount="340" xr:uid="{2C578CC2-27B9-40DA-9051-1FF548E41BE4}">
  <cacheSource type="worksheet">
    <worksheetSource ref="A1:Z1048576" sheet="Planilha1"/>
  </cacheSource>
  <cacheFields count="26">
    <cacheField name="CODPARC" numFmtId="0">
      <sharedItems containsString="0" containsBlank="1" containsNumber="1" containsInteger="1" minValue="2" maxValue="14447"/>
    </cacheField>
    <cacheField name="NOMEPARC" numFmtId="0">
      <sharedItems containsBlank="1" count="41">
        <s v="GRUPO MOSAIC FERTILIZANTES DO BRASIL"/>
        <s v="GRUPO MOSAIC FERTILIZANTES P K LTDA"/>
        <s v="TERRA FERTILIZANTES LTDA - ARAXÁ"/>
        <s v="DMAE"/>
        <s v="PLANT BEM - PARANAGUÁ"/>
        <s v="GRUPO CARGILL"/>
        <s v="FERTISANTA FERTILIZANTES - RIO GRANDE"/>
        <s v="SOLO FÉRTIL - AGRONEGÓCIO"/>
        <s v="GRUPO YARA"/>
        <s v="GRUPO FERTIPAR FERTILIZANTES MARANHAO"/>
        <s v="GRUPO SUPERBAC"/>
        <s v="PROQUIGEL - CANDEIAS"/>
        <s v="DELCORP S.A - EQUADOR"/>
        <s v="LOG RECICLAGEM"/>
        <s v="GRUPO FERTILIZ TOCANTINS"/>
        <s v="CENTRAL DO ADUBO COM E REPRESENTACAO LTD"/>
        <s v="GRUPO R3"/>
        <s v="PLANTA RICA AGRONEGÓCIOS LTDA"/>
        <s v="GLINFERTIL - SAO FRANCISCO DO SUL"/>
        <s v="WITZLER RECICLA EIRELI - ME"/>
        <s v="JOAQUIM FERNANDES NETTO"/>
        <s v="MOSAIC - ROSARIO DO CATETE"/>
        <s v="FAZENDA BOA ESPERANÇA"/>
        <s v="BIOCARE AMBIENTAL EIRELI"/>
        <s v="AGROFERTIL - GOIANDIRA"/>
        <s v="EQUILIBRIO - MOGI MIRIM"/>
        <s v="MADEFLOR FERTILIZANTES LTDA"/>
        <s v="TERRA FERTIL - MACHADO"/>
        <s v="GRUPO CIBRA"/>
        <s v="GRUPO LEANDRO SARTI"/>
        <s v="CASA DAS SEMENTES"/>
        <s v="LYCSA ARGENTINA"/>
        <s v="ITERUM - RONDONOPOLIS"/>
        <s v="INDORAMA - SENEGAL"/>
        <s v="CBM FERTILIZANTES"/>
        <s v="AGRO BERALDO"/>
        <s v="KLEYTON DUARTE SOARES"/>
        <s v="MARIA JOSE DA SILVA"/>
        <s v="SEU LIXO"/>
        <s v="JULIANE MARTINS PACHECO"/>
        <m/>
      </sharedItems>
    </cacheField>
    <cacheField name="CNPJ" numFmtId="0">
      <sharedItems containsBlank="1"/>
    </cacheField>
    <cacheField name="VLRDESDOB" numFmtId="0">
      <sharedItems containsString="0" containsBlank="1" containsNumber="1" minValue="38.5" maxValue="771600"/>
    </cacheField>
    <cacheField name="NUFIN" numFmtId="0">
      <sharedItems containsString="0" containsBlank="1" containsNumber="1" containsInteger="1" minValue="15720" maxValue="1246212732"/>
    </cacheField>
    <cacheField name="DTVENC" numFmtId="0">
      <sharedItems containsNonDate="0" containsDate="1" containsString="0" containsBlank="1" minDate="2013-05-28T00:00:00" maxDate="2025-02-16T00:00:00"/>
    </cacheField>
    <cacheField name="DHBAIXA" numFmtId="0">
      <sharedItems containsNonDate="0" containsString="0" containsBlank="1"/>
    </cacheField>
    <cacheField name="AD_BU" numFmtId="0">
      <sharedItems containsBlank="1"/>
    </cacheField>
    <cacheField name="NOME_BU" numFmtId="0">
      <sharedItems containsBlank="1"/>
    </cacheField>
    <cacheField name="NUMNOTA" numFmtId="0">
      <sharedItems containsString="0" containsBlank="1" containsNumber="1" containsInteger="1" minValue="28" maxValue="1246190701"/>
    </cacheField>
    <cacheField name="DTENTSAI" numFmtId="0">
      <sharedItems containsNonDate="0" containsDate="1" containsString="0" containsBlank="1" minDate="2013-04-30T00:00:00" maxDate="2025-01-03T00:00:00"/>
    </cacheField>
    <cacheField name="CODNAT" numFmtId="0">
      <sharedItems containsString="0" containsBlank="1" containsNumber="1" containsInteger="1" minValue="1010100" maxValue="4010300"/>
    </cacheField>
    <cacheField name="DESCRNAT" numFmtId="0">
      <sharedItems containsBlank="1"/>
    </cacheField>
    <cacheField name="Days Overdue" numFmtId="0">
      <sharedItems containsString="0" containsBlank="1" containsNumber="1" containsInteger="1" minValue="105" maxValue="4386"/>
    </cacheField>
    <cacheField name="In 30/04" numFmtId="0">
      <sharedItems containsString="0" containsBlank="1" containsNumber="1" minValue="0" maxValue="256935.85"/>
    </cacheField>
    <cacheField name="Increase" numFmtId="0">
      <sharedItems containsString="0" containsBlank="1" containsNumber="1" minValue="0" maxValue="39142.991999999998"/>
    </cacheField>
    <cacheField name="Not Overdue" numFmtId="0">
      <sharedItems containsString="0" containsBlank="1" containsNumber="1" containsInteger="1" minValue="0" maxValue="0"/>
    </cacheField>
    <cacheField name="0-90 days" numFmtId="0">
      <sharedItems containsString="0" containsBlank="1" containsNumber="1" containsInteger="1" minValue="0" maxValue="0"/>
    </cacheField>
    <cacheField name="91-180 days" numFmtId="0">
      <sharedItems containsString="0" containsBlank="1" containsNumber="1" minValue="0" maxValue="23148"/>
    </cacheField>
    <cacheField name="181-360 days" numFmtId="0">
      <sharedItems containsString="0" containsBlank="1" containsNumber="1" containsInteger="1" minValue="0" maxValue="0"/>
    </cacheField>
    <cacheField name="above 360 days" numFmtId="0">
      <sharedItems containsString="0" containsBlank="1" containsNumber="1" minValue="0" maxValue="81762.7065"/>
    </cacheField>
    <cacheField name="Dedutive" numFmtId="0">
      <sharedItems containsString="0" containsBlank="1" containsNumber="1" minValue="0" maxValue="178370"/>
    </cacheField>
    <cacheField name="Administrative Decision" numFmtId="0">
      <sharedItems containsString="0" containsBlank="1" containsNumber="1" minValue="0" maxValue="256935.85"/>
    </cacheField>
    <cacheField name="Total Write off" numFmtId="0">
      <sharedItems containsString="0" containsBlank="1" containsNumber="1" minValue="1.5" maxValue="256935.85"/>
    </cacheField>
    <cacheField name="Cobrança" numFmtId="0">
      <sharedItems containsBlank="1"/>
    </cacheField>
    <cacheField name="Data renegociad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0">
  <r>
    <n v="1257"/>
    <x v="0"/>
    <s v="61.156.501/0081-30"/>
    <n v="1980.8"/>
    <n v="1246032946"/>
    <d v="2022-08-01T00:00:00"/>
    <m/>
    <s v="1"/>
    <s v="Adtives"/>
    <n v="17935"/>
    <d v="2022-06-02T00:00:00"/>
    <n v="1010100"/>
    <s v="VENDAS MERCADO INTERNO"/>
    <n v="1034"/>
    <n v="1980.8"/>
    <n v="0"/>
    <n v="0"/>
    <n v="0"/>
    <n v="59.423999999999999"/>
    <n v="0"/>
    <n v="1921.376"/>
    <n v="1980.8"/>
    <n v="0"/>
    <n v="1980.8"/>
    <s v="Cobrança Administrativa"/>
    <m/>
  </r>
  <r>
    <n v="1787"/>
    <x v="1"/>
    <s v="33.931.486/0014-55"/>
    <n v="3600"/>
    <n v="1246031589"/>
    <d v="2022-08-11T00:00:00"/>
    <m/>
    <s v="1"/>
    <s v="Adtives"/>
    <n v="1246031589"/>
    <d v="2022-07-27T00:00:00"/>
    <n v="3041000"/>
    <s v="FRETES DIVERSOS"/>
    <n v="1024"/>
    <n v="3600"/>
    <n v="0"/>
    <n v="0"/>
    <n v="0"/>
    <n v="108"/>
    <n v="0"/>
    <n v="3492"/>
    <n v="3600"/>
    <n v="0"/>
    <n v="3600"/>
    <s v="Cobrança Administrativa"/>
    <m/>
  </r>
  <r>
    <n v="1787"/>
    <x v="1"/>
    <s v="33.931.486/0014-55"/>
    <n v="2700"/>
    <n v="1246055596"/>
    <d v="2022-11-24T00:00:00"/>
    <m/>
    <s v="1"/>
    <s v="Adtives"/>
    <n v="1246055596"/>
    <d v="2022-11-24T00:00:00"/>
    <n v="3041000"/>
    <s v="FRETES DIVERSOS"/>
    <n v="919"/>
    <n v="2700"/>
    <n v="0"/>
    <n v="0"/>
    <n v="0"/>
    <n v="81"/>
    <n v="0"/>
    <n v="2619"/>
    <n v="2700"/>
    <n v="0"/>
    <n v="2700"/>
    <s v="Cobrança Administrativa"/>
    <m/>
  </r>
  <r>
    <n v="1788"/>
    <x v="1"/>
    <s v="33.931.486/0021-84"/>
    <n v="5400"/>
    <n v="1246055599"/>
    <d v="2022-11-24T00:00:00"/>
    <m/>
    <s v="1"/>
    <s v="Adtives"/>
    <n v="1246055599"/>
    <d v="2022-11-24T00:00:00"/>
    <n v="3041000"/>
    <s v="FRETES DIVERSOS"/>
    <n v="919"/>
    <n v="5400"/>
    <n v="0"/>
    <n v="0"/>
    <n v="0"/>
    <n v="162"/>
    <n v="0"/>
    <n v="5238"/>
    <n v="5400"/>
    <n v="0"/>
    <n v="5400"/>
    <s v="Cobrança Administrativa"/>
    <m/>
  </r>
  <r>
    <n v="1788"/>
    <x v="1"/>
    <s v="33.931.486/0021-84"/>
    <n v="1200"/>
    <n v="1246190701"/>
    <d v="2025-01-17T00:00:00"/>
    <m/>
    <s v="1"/>
    <s v="Adtives"/>
    <n v="1246190701"/>
    <d v="2025-01-02T00:00:00"/>
    <n v="3041000"/>
    <s v="FRETES DIVERSOS"/>
    <n v="134"/>
    <n v="36"/>
    <n v="0"/>
    <n v="0"/>
    <n v="0"/>
    <n v="36"/>
    <n v="0"/>
    <n v="0"/>
    <n v="0"/>
    <n v="0"/>
    <n v="36"/>
    <s v="Cobrança Administrativa"/>
    <m/>
  </r>
  <r>
    <n v="1789"/>
    <x v="1"/>
    <s v="33.931.486/0019-60"/>
    <n v="2700"/>
    <n v="1246120461"/>
    <d v="2024-01-03T00:00:00"/>
    <m/>
    <s v="1"/>
    <s v="Adtives"/>
    <n v="191223"/>
    <d v="2023-12-19T00:00:00"/>
    <n v="3041000"/>
    <s v="FRETES DIVERSOS"/>
    <n v="514"/>
    <n v="2700"/>
    <n v="0"/>
    <n v="0"/>
    <n v="0"/>
    <n v="81"/>
    <n v="0"/>
    <n v="2619"/>
    <n v="2700"/>
    <n v="0"/>
    <n v="2700"/>
    <s v="Cobrança Administrativa"/>
    <m/>
  </r>
  <r>
    <n v="1789"/>
    <x v="1"/>
    <s v="33.931.486/0019-60"/>
    <n v="900"/>
    <n v="1246146095"/>
    <d v="2024-05-16T00:00:00"/>
    <m/>
    <s v="1"/>
    <s v="Adtives"/>
    <n v="1246120461"/>
    <d v="2024-05-16T00:00:00"/>
    <n v="3041000"/>
    <s v="FRETES DIVERSOS"/>
    <n v="380"/>
    <n v="27"/>
    <n v="873"/>
    <n v="0"/>
    <n v="0"/>
    <n v="27"/>
    <n v="0"/>
    <n v="873"/>
    <n v="900"/>
    <n v="0"/>
    <n v="900"/>
    <s v="Cobrança Administrativa"/>
    <m/>
  </r>
  <r>
    <n v="707"/>
    <x v="2"/>
    <s v="10.482.668/0001-76"/>
    <n v="40320"/>
    <n v="1246146706"/>
    <d v="2024-06-18T00:00:00"/>
    <m/>
    <s v="1"/>
    <s v="Adtives"/>
    <n v="3619"/>
    <d v="2024-05-21T00:00:00"/>
    <n v="1010100"/>
    <s v="VENDAS MERCADO INTERNO"/>
    <n v="347"/>
    <n v="1209.5999999999999"/>
    <n v="0"/>
    <n v="0"/>
    <n v="0"/>
    <n v="1209.5999999999999"/>
    <n v="0"/>
    <n v="0"/>
    <n v="0"/>
    <n v="0"/>
    <n v="1209.5999999999999"/>
    <s v="Em Procedimento Judicial"/>
    <m/>
  </r>
  <r>
    <n v="707"/>
    <x v="2"/>
    <s v="10.482.668/0001-76"/>
    <n v="14640"/>
    <n v="1246145696"/>
    <d v="2024-06-11T00:00:00"/>
    <m/>
    <s v="1"/>
    <s v="Adtives"/>
    <n v="3538"/>
    <d v="2024-05-14T00:00:00"/>
    <n v="1010100"/>
    <s v="VENDAS MERCADO INTERNO"/>
    <n v="354"/>
    <n v="439.2"/>
    <n v="0"/>
    <n v="0"/>
    <n v="0"/>
    <n v="439.2"/>
    <n v="0"/>
    <n v="0"/>
    <n v="14640"/>
    <n v="0"/>
    <n v="439.2"/>
    <s v="Em Procedimento Judicial"/>
    <m/>
  </r>
  <r>
    <n v="707"/>
    <x v="2"/>
    <s v="10.482.668/0001-76"/>
    <n v="43920"/>
    <n v="1246148035"/>
    <d v="2024-06-26T00:00:00"/>
    <m/>
    <s v="1"/>
    <s v="Adtives"/>
    <n v="3722"/>
    <d v="2024-05-29T00:00:00"/>
    <n v="1010100"/>
    <s v="VENDAS MERCADO INTERNO"/>
    <n v="339"/>
    <n v="1317.6"/>
    <n v="0"/>
    <n v="0"/>
    <n v="0"/>
    <n v="1317.6"/>
    <n v="0"/>
    <n v="0"/>
    <n v="0"/>
    <n v="0"/>
    <n v="1317.6"/>
    <s v="Em Procedimento Judicial"/>
    <m/>
  </r>
  <r>
    <n v="707"/>
    <x v="2"/>
    <s v="10.482.668/0001-76"/>
    <n v="36600"/>
    <n v="1246146938"/>
    <d v="2024-06-19T00:00:00"/>
    <m/>
    <s v="1"/>
    <s v="Adtives"/>
    <n v="3637"/>
    <d v="2024-05-22T00:00:00"/>
    <n v="1010100"/>
    <s v="VENDAS MERCADO INTERNO"/>
    <n v="346"/>
    <n v="1098"/>
    <n v="0"/>
    <n v="0"/>
    <n v="0"/>
    <n v="1098"/>
    <n v="0"/>
    <n v="0"/>
    <n v="0"/>
    <n v="0"/>
    <n v="1098"/>
    <s v="Em Procedimento Judicial"/>
    <m/>
  </r>
  <r>
    <n v="707"/>
    <x v="2"/>
    <s v="10.482.668/0001-76"/>
    <n v="33600"/>
    <n v="1246148036"/>
    <d v="2024-06-26T00:00:00"/>
    <m/>
    <s v="1"/>
    <s v="Adtives"/>
    <n v="3723"/>
    <d v="2024-05-29T00:00:00"/>
    <n v="1010100"/>
    <s v="VENDAS MERCADO INTERNO"/>
    <n v="339"/>
    <n v="1008"/>
    <n v="0"/>
    <n v="0"/>
    <n v="0"/>
    <n v="1008"/>
    <n v="0"/>
    <n v="0"/>
    <n v="0"/>
    <n v="0"/>
    <n v="1008"/>
    <s v="Em Procedimento Judicial"/>
    <m/>
  </r>
  <r>
    <n v="707"/>
    <x v="2"/>
    <s v="10.482.668/0001-76"/>
    <n v="16800"/>
    <n v="1246141445"/>
    <d v="2024-05-21T00:00:00"/>
    <m/>
    <s v="1"/>
    <s v="Adtives"/>
    <n v="3345"/>
    <d v="2024-04-23T00:00:00"/>
    <n v="1010100"/>
    <s v="VENDAS MERCADO INTERNO"/>
    <n v="375"/>
    <n v="504"/>
    <n v="16296"/>
    <n v="0"/>
    <n v="0"/>
    <n v="504"/>
    <n v="0"/>
    <n v="16296"/>
    <n v="16800"/>
    <n v="0"/>
    <n v="16800"/>
    <s v="Em Procedimento Judicial"/>
    <m/>
  </r>
  <r>
    <n v="707"/>
    <x v="2"/>
    <s v="10.482.668/0001-76"/>
    <n v="40353.599999999999"/>
    <n v="1246143397"/>
    <d v="2024-05-31T00:00:00"/>
    <m/>
    <s v="1"/>
    <s v="Adtives"/>
    <n v="3448"/>
    <d v="2024-05-03T00:00:00"/>
    <n v="1010100"/>
    <s v="VENDAS MERCADO INTERNO"/>
    <n v="365"/>
    <n v="1210.6079999999999"/>
    <n v="39142.991999999998"/>
    <n v="0"/>
    <n v="0"/>
    <n v="1210.6079999999999"/>
    <n v="0"/>
    <n v="39142.991999999998"/>
    <n v="0"/>
    <n v="0"/>
    <n v="40353.599999999999"/>
    <s v="Em Procedimento Judicial"/>
    <m/>
  </r>
  <r>
    <n v="934"/>
    <x v="3"/>
    <s v="25.769.548/0001-21"/>
    <n v="259.37"/>
    <n v="1246097838"/>
    <d v="2023-07-16T00:00:00"/>
    <m/>
    <m/>
    <s v="Não encontrado"/>
    <n v="355410"/>
    <d v="2023-07-01T00:00:00"/>
    <n v="3030400"/>
    <s v="ÁGUA"/>
    <n v="685"/>
    <n v="259.37"/>
    <n v="0"/>
    <n v="0"/>
    <n v="0"/>
    <n v="7.7810999999999995"/>
    <n v="0"/>
    <n v="251.5889"/>
    <n v="259.37"/>
    <n v="0"/>
    <n v="259.37"/>
    <s v="-"/>
    <m/>
  </r>
  <r>
    <n v="818"/>
    <x v="4"/>
    <s v="77.353.662/0014-94"/>
    <n v="62332.6"/>
    <n v="45582"/>
    <d v="2015-10-06T00:00:00"/>
    <m/>
    <s v="1"/>
    <s v="Adtives"/>
    <n v="4378"/>
    <d v="2015-09-08T00:00:00"/>
    <n v="1010100"/>
    <s v="VENDAS MERCADO INTERNO"/>
    <n v="3525"/>
    <n v="62332.6"/>
    <n v="0"/>
    <n v="0"/>
    <n v="0"/>
    <n v="1869.9779999999998"/>
    <n v="0"/>
    <n v="60462.621999999996"/>
    <n v="62332.6"/>
    <n v="0"/>
    <n v="62332.6"/>
    <s v="Cobrança Administrativa"/>
    <m/>
  </r>
  <r>
    <n v="818"/>
    <x v="4"/>
    <s v="77.353.662/0014-94"/>
    <n v="78540"/>
    <n v="46066"/>
    <d v="2015-10-16T00:00:00"/>
    <m/>
    <s v="1"/>
    <s v="Adtives"/>
    <n v="4422"/>
    <d v="2015-09-18T00:00:00"/>
    <n v="1010100"/>
    <s v="VENDAS MERCADO INTERNO"/>
    <n v="3515"/>
    <n v="78540"/>
    <n v="0"/>
    <n v="0"/>
    <n v="0"/>
    <n v="2356.1999999999998"/>
    <n v="0"/>
    <n v="76183.8"/>
    <n v="78540"/>
    <n v="0"/>
    <n v="78540"/>
    <s v="Cobrança Administrativa"/>
    <m/>
  </r>
  <r>
    <n v="2"/>
    <x v="5"/>
    <s v="60.498.706/0134-88"/>
    <n v="267.27"/>
    <n v="1246025314"/>
    <d v="2022-06-10T00:00:00"/>
    <m/>
    <s v="3"/>
    <s v="Job Work"/>
    <n v="1607"/>
    <d v="2022-05-13T00:00:00"/>
    <n v="1010100"/>
    <s v="VENDAS MERCADO INTERNO"/>
    <n v="1086"/>
    <n v="267.27"/>
    <n v="0"/>
    <n v="0"/>
    <n v="0"/>
    <n v="8.0180999999999987"/>
    <n v="0"/>
    <n v="259.25189999999998"/>
    <n v="267.27"/>
    <n v="0"/>
    <n v="267.27"/>
    <s v="Cobrança Administrativa"/>
    <m/>
  </r>
  <r>
    <n v="1345"/>
    <x v="6"/>
    <s v="14.475.478/0001-82"/>
    <n v="41379"/>
    <n v="47766"/>
    <d v="2015-09-29T00:00:00"/>
    <m/>
    <s v="1"/>
    <s v="Adtives"/>
    <n v="4454"/>
    <d v="2015-09-29T00:00:00"/>
    <n v="1010100"/>
    <s v="VENDAS MERCADO INTERNO"/>
    <n v="3532"/>
    <n v="41379"/>
    <n v="0"/>
    <n v="0"/>
    <n v="0"/>
    <n v="1241.3699999999999"/>
    <n v="0"/>
    <n v="40137.629999999997"/>
    <n v="41379"/>
    <n v="0"/>
    <n v="41379"/>
    <s v="Cobrança Administrativa"/>
    <m/>
  </r>
  <r>
    <n v="617"/>
    <x v="7"/>
    <s v="17.011.671/0001-50"/>
    <n v="1761.76"/>
    <n v="15810"/>
    <d v="2013-06-03T00:00:00"/>
    <m/>
    <s v="1"/>
    <s v="Adtives"/>
    <n v="2076"/>
    <d v="2013-05-06T00:00:00"/>
    <n v="1010100"/>
    <s v="VENDAS MERCADO INTERNO"/>
    <n v="4380"/>
    <n v="1761.7599999999998"/>
    <n v="0"/>
    <n v="0"/>
    <n v="0"/>
    <n v="52.852799999999995"/>
    <n v="0"/>
    <n v="1708.9071999999999"/>
    <n v="1761.76"/>
    <n v="0"/>
    <n v="1761.7599999999998"/>
    <s v="Cobrança Administrativa"/>
    <m/>
  </r>
  <r>
    <n v="617"/>
    <x v="7"/>
    <s v="17.011.671/0001-50"/>
    <n v="1760"/>
    <n v="15720"/>
    <d v="2013-05-28T00:00:00"/>
    <m/>
    <s v="1"/>
    <s v="Adtives"/>
    <n v="2065"/>
    <d v="2013-04-30T00:00:00"/>
    <n v="1010100"/>
    <s v="VENDAS MERCADO INTERNO"/>
    <n v="4386"/>
    <n v="1760"/>
    <n v="0"/>
    <n v="0"/>
    <n v="0"/>
    <n v="52.8"/>
    <n v="0"/>
    <n v="1707.2"/>
    <n v="1760"/>
    <n v="0"/>
    <n v="1760"/>
    <s v="Cobrança Administrativa"/>
    <m/>
  </r>
  <r>
    <n v="1159"/>
    <x v="8"/>
    <s v="92.660.604/0013-16"/>
    <n v="1800"/>
    <n v="1246087936"/>
    <d v="2023-07-05T00:00:00"/>
    <m/>
    <s v="1"/>
    <s v="Adtives"/>
    <n v="1246087936"/>
    <d v="2023-06-20T00:00:00"/>
    <n v="3041000"/>
    <s v="FRETES DIVERSOS"/>
    <n v="696"/>
    <n v="1800"/>
    <n v="0"/>
    <n v="0"/>
    <n v="0"/>
    <n v="54"/>
    <n v="0"/>
    <n v="1746"/>
    <n v="1800"/>
    <n v="0"/>
    <n v="1800"/>
    <s v="Cobrança Administrativa"/>
    <m/>
  </r>
  <r>
    <n v="1159"/>
    <x v="8"/>
    <s v="92.660.604/0013-16"/>
    <n v="2700"/>
    <n v="1246087941"/>
    <d v="2023-07-05T00:00:00"/>
    <m/>
    <s v="1"/>
    <s v="Adtives"/>
    <n v="1246087941"/>
    <d v="2023-06-20T00:00:00"/>
    <n v="3041000"/>
    <s v="FRETES DIVERSOS"/>
    <n v="696"/>
    <n v="2700"/>
    <n v="0"/>
    <n v="0"/>
    <n v="0"/>
    <n v="81"/>
    <n v="0"/>
    <n v="2619"/>
    <n v="2700"/>
    <n v="0"/>
    <n v="2700"/>
    <s v="Cobrança Administrativa"/>
    <m/>
  </r>
  <r>
    <n v="1159"/>
    <x v="8"/>
    <s v="92.660.604/0013-16"/>
    <n v="1800"/>
    <n v="1246087939"/>
    <d v="2023-07-05T00:00:00"/>
    <m/>
    <s v="1"/>
    <s v="Adtives"/>
    <n v="1246087939"/>
    <d v="2023-06-20T00:00:00"/>
    <n v="3041000"/>
    <s v="FRETES DIVERSOS"/>
    <n v="696"/>
    <n v="1800"/>
    <n v="0"/>
    <n v="0"/>
    <n v="0"/>
    <n v="54"/>
    <n v="0"/>
    <n v="1746"/>
    <n v="1800"/>
    <n v="0"/>
    <n v="1800"/>
    <s v="Cobrança Administrativa"/>
    <m/>
  </r>
  <r>
    <n v="1159"/>
    <x v="8"/>
    <s v="92.660.604/0013-16"/>
    <n v="1800"/>
    <n v="1246087937"/>
    <d v="2023-07-05T00:00:00"/>
    <m/>
    <s v="1"/>
    <s v="Adtives"/>
    <n v="1246087937"/>
    <d v="2023-06-20T00:00:00"/>
    <n v="3041000"/>
    <s v="FRETES DIVERSOS"/>
    <n v="696"/>
    <n v="1800"/>
    <n v="0"/>
    <n v="0"/>
    <n v="0"/>
    <n v="54"/>
    <n v="0"/>
    <n v="1746"/>
    <n v="1800"/>
    <n v="0"/>
    <n v="1800"/>
    <s v="Cobrança Administrativa"/>
    <m/>
  </r>
  <r>
    <n v="1159"/>
    <x v="8"/>
    <s v="92.660.604/0013-16"/>
    <n v="1800"/>
    <n v="1246087943"/>
    <d v="2023-07-05T00:00:00"/>
    <m/>
    <s v="1"/>
    <s v="Adtives"/>
    <n v="1246087943"/>
    <d v="2023-06-20T00:00:00"/>
    <n v="3041000"/>
    <s v="FRETES DIVERSOS"/>
    <n v="696"/>
    <n v="1800"/>
    <n v="0"/>
    <n v="0"/>
    <n v="0"/>
    <n v="54"/>
    <n v="0"/>
    <n v="1746"/>
    <n v="1800"/>
    <n v="0"/>
    <n v="1800"/>
    <s v="Cobrança Administrativa"/>
    <m/>
  </r>
  <r>
    <n v="1159"/>
    <x v="8"/>
    <s v="92.660.604/0013-16"/>
    <n v="2700"/>
    <n v="1246121301"/>
    <d v="2024-01-06T00:00:00"/>
    <m/>
    <s v="1"/>
    <s v="Adtives"/>
    <n v="1246121301"/>
    <d v="2023-12-22T00:00:00"/>
    <n v="3041000"/>
    <s v="FRETES DIVERSOS"/>
    <n v="511"/>
    <n v="2700"/>
    <n v="0"/>
    <n v="0"/>
    <n v="0"/>
    <n v="81"/>
    <n v="0"/>
    <n v="2619"/>
    <n v="2700"/>
    <n v="0"/>
    <n v="2700"/>
    <s v="Cobrança Administrativa"/>
    <m/>
  </r>
  <r>
    <n v="1159"/>
    <x v="8"/>
    <s v="92.660.604/0013-16"/>
    <n v="4800"/>
    <n v="1246121285"/>
    <d v="2024-01-06T00:00:00"/>
    <m/>
    <s v="1"/>
    <s v="Adtives"/>
    <n v="1246121285"/>
    <d v="2023-12-22T00:00:00"/>
    <n v="3041000"/>
    <s v="FRETES DIVERSOS"/>
    <n v="511"/>
    <n v="4800"/>
    <n v="0"/>
    <n v="0"/>
    <n v="0"/>
    <n v="144"/>
    <n v="0"/>
    <n v="4656"/>
    <n v="4800"/>
    <n v="0"/>
    <n v="4800"/>
    <s v="Cobrança Administrativa"/>
    <m/>
  </r>
  <r>
    <n v="1159"/>
    <x v="8"/>
    <s v="92.660.604/0013-16"/>
    <n v="2700"/>
    <n v="1246121300"/>
    <d v="2024-01-06T00:00:00"/>
    <m/>
    <s v="1"/>
    <s v="Adtives"/>
    <n v="1246121300"/>
    <d v="2023-12-22T00:00:00"/>
    <n v="3041000"/>
    <s v="FRETES DIVERSOS"/>
    <n v="511"/>
    <n v="2700"/>
    <n v="0"/>
    <n v="0"/>
    <n v="0"/>
    <n v="81"/>
    <n v="0"/>
    <n v="2619"/>
    <n v="2700"/>
    <n v="0"/>
    <n v="2700"/>
    <s v="Cobrança Administrativa"/>
    <m/>
  </r>
  <r>
    <n v="1159"/>
    <x v="8"/>
    <s v="92.660.604/0013-16"/>
    <n v="1800"/>
    <n v="1246121298"/>
    <d v="2024-01-06T00:00:00"/>
    <m/>
    <s v="1"/>
    <s v="Adtives"/>
    <n v="1246121298"/>
    <d v="2023-12-22T00:00:00"/>
    <n v="3041000"/>
    <s v="FRETES DIVERSOS"/>
    <n v="511"/>
    <n v="1800"/>
    <n v="0"/>
    <n v="0"/>
    <n v="0"/>
    <n v="54"/>
    <n v="0"/>
    <n v="1746"/>
    <n v="1800"/>
    <n v="0"/>
    <n v="1800"/>
    <s v="Cobrança Administrativa"/>
    <m/>
  </r>
  <r>
    <n v="1159"/>
    <x v="8"/>
    <s v="92.660.604/0013-16"/>
    <n v="2700"/>
    <n v="1246121302"/>
    <d v="2024-01-06T00:00:00"/>
    <m/>
    <s v="1"/>
    <s v="Adtives"/>
    <n v="1246121302"/>
    <d v="2023-12-22T00:00:00"/>
    <n v="3041000"/>
    <s v="FRETES DIVERSOS"/>
    <n v="511"/>
    <n v="2700"/>
    <n v="0"/>
    <n v="0"/>
    <n v="0"/>
    <n v="81"/>
    <n v="0"/>
    <n v="2619"/>
    <n v="2700"/>
    <n v="0"/>
    <n v="2700"/>
    <s v="Cobrança Administrativa"/>
    <m/>
  </r>
  <r>
    <n v="1159"/>
    <x v="8"/>
    <s v="92.660.604/0013-16"/>
    <n v="1200"/>
    <n v="1246121295"/>
    <d v="2024-01-06T00:00:00"/>
    <m/>
    <s v="1"/>
    <s v="Adtives"/>
    <n v="1246121295"/>
    <d v="2023-12-22T00:00:00"/>
    <n v="3041000"/>
    <s v="FRETES DIVERSOS"/>
    <n v="511"/>
    <n v="1200"/>
    <n v="0"/>
    <n v="0"/>
    <n v="0"/>
    <n v="36"/>
    <n v="0"/>
    <n v="1164"/>
    <n v="1200"/>
    <n v="0"/>
    <n v="1200"/>
    <s v="Cobrança Administrativa"/>
    <m/>
  </r>
  <r>
    <n v="1159"/>
    <x v="8"/>
    <s v="92.660.604/0013-16"/>
    <n v="2700"/>
    <n v="1246121297"/>
    <d v="2024-01-06T00:00:00"/>
    <m/>
    <s v="1"/>
    <s v="Adtives"/>
    <n v="1246121297"/>
    <d v="2023-12-22T00:00:00"/>
    <n v="3041000"/>
    <s v="FRETES DIVERSOS"/>
    <n v="511"/>
    <n v="2700"/>
    <n v="0"/>
    <n v="0"/>
    <n v="0"/>
    <n v="81"/>
    <n v="0"/>
    <n v="2619"/>
    <n v="2700"/>
    <n v="0"/>
    <n v="2700"/>
    <s v="Cobrança Administrativa"/>
    <m/>
  </r>
  <r>
    <n v="1159"/>
    <x v="8"/>
    <s v="92.660.604/0013-16"/>
    <n v="6300"/>
    <n v="1246121299"/>
    <d v="2024-01-06T00:00:00"/>
    <m/>
    <s v="1"/>
    <s v="Adtives"/>
    <n v="1246121299"/>
    <d v="2023-12-22T00:00:00"/>
    <n v="3041000"/>
    <s v="FRETES DIVERSOS"/>
    <n v="511"/>
    <n v="6300"/>
    <n v="0"/>
    <n v="0"/>
    <n v="0"/>
    <n v="189"/>
    <n v="0"/>
    <n v="6111"/>
    <n v="6300"/>
    <n v="0"/>
    <n v="6300"/>
    <s v="Cobrança Administrativa"/>
    <m/>
  </r>
  <r>
    <n v="1159"/>
    <x v="8"/>
    <s v="92.660.604/0013-16"/>
    <n v="3600"/>
    <n v="1246121296"/>
    <d v="2024-01-06T00:00:00"/>
    <m/>
    <s v="1"/>
    <s v="Adtives"/>
    <n v="1246121296"/>
    <d v="2023-12-22T00:00:00"/>
    <n v="3041000"/>
    <s v="FRETES DIVERSOS"/>
    <n v="511"/>
    <n v="3600"/>
    <n v="0"/>
    <n v="0"/>
    <n v="0"/>
    <n v="108"/>
    <n v="0"/>
    <n v="3492"/>
    <n v="3600"/>
    <n v="0"/>
    <n v="3600"/>
    <s v="Cobrança Administrativa"/>
    <m/>
  </r>
  <r>
    <n v="1159"/>
    <x v="8"/>
    <s v="92.660.604/0013-16"/>
    <n v="1200"/>
    <n v="1246135390"/>
    <d v="2024-04-06T00:00:00"/>
    <m/>
    <s v="1"/>
    <s v="Adtives"/>
    <n v="1246135390"/>
    <d v="2024-03-22T00:00:00"/>
    <n v="3041000"/>
    <s v="FRETES DIVERSOS"/>
    <n v="420"/>
    <n v="1200"/>
    <n v="0"/>
    <n v="0"/>
    <n v="0"/>
    <n v="36"/>
    <n v="0"/>
    <n v="1164"/>
    <n v="1200"/>
    <n v="0"/>
    <n v="1200"/>
    <s v="Cobrança Administrativa"/>
    <m/>
  </r>
  <r>
    <n v="1159"/>
    <x v="8"/>
    <s v="92.660.604/0013-16"/>
    <n v="1458"/>
    <n v="1246148463"/>
    <d v="2024-05-31T00:00:00"/>
    <m/>
    <s v="1"/>
    <s v="Adtives"/>
    <n v="3446"/>
    <d v="2024-05-03T00:00:00"/>
    <n v="1010100"/>
    <s v="VENDAS MERCADO INTERNO"/>
    <n v="365"/>
    <n v="43.739999999999995"/>
    <n v="1414.26"/>
    <n v="0"/>
    <n v="0"/>
    <n v="43.739999999999995"/>
    <n v="0"/>
    <n v="1414.26"/>
    <n v="1458"/>
    <n v="0"/>
    <n v="1458"/>
    <s v="Cobrança Administrativa"/>
    <m/>
  </r>
  <r>
    <n v="1159"/>
    <x v="8"/>
    <s v="92.660.604/0013-16"/>
    <n v="2400"/>
    <n v="1246135388"/>
    <d v="2024-04-06T00:00:00"/>
    <m/>
    <s v="1"/>
    <s v="Adtives"/>
    <n v="1246135388"/>
    <d v="2024-03-22T00:00:00"/>
    <n v="3041000"/>
    <s v="FRETES DIVERSOS"/>
    <n v="420"/>
    <n v="2400"/>
    <n v="0"/>
    <n v="0"/>
    <n v="0"/>
    <n v="72"/>
    <n v="0"/>
    <n v="2328"/>
    <n v="2400"/>
    <n v="0"/>
    <n v="2400"/>
    <s v="Cobrança Administrativa"/>
    <m/>
  </r>
  <r>
    <n v="1159"/>
    <x v="8"/>
    <s v="92.660.604/0013-16"/>
    <n v="1200"/>
    <n v="1246135385"/>
    <d v="2024-04-06T00:00:00"/>
    <m/>
    <s v="1"/>
    <s v="Adtives"/>
    <n v="1246135385"/>
    <d v="2024-03-22T00:00:00"/>
    <n v="3041000"/>
    <s v="FRETES DIVERSOS"/>
    <n v="420"/>
    <n v="1200"/>
    <n v="0"/>
    <n v="0"/>
    <n v="0"/>
    <n v="36"/>
    <n v="0"/>
    <n v="1164"/>
    <n v="1200"/>
    <n v="0"/>
    <n v="1200"/>
    <s v="Cobrança Administrativa"/>
    <m/>
  </r>
  <r>
    <n v="1159"/>
    <x v="8"/>
    <s v="92.660.604/0013-16"/>
    <n v="3600"/>
    <n v="1246135391"/>
    <d v="2024-04-06T00:00:00"/>
    <m/>
    <s v="1"/>
    <s v="Adtives"/>
    <n v="1246135391"/>
    <d v="2024-03-22T00:00:00"/>
    <n v="3041000"/>
    <s v="FRETES DIVERSOS"/>
    <n v="420"/>
    <n v="3600"/>
    <n v="0"/>
    <n v="0"/>
    <n v="0"/>
    <n v="108"/>
    <n v="0"/>
    <n v="3492"/>
    <n v="3600"/>
    <n v="0"/>
    <n v="3600"/>
    <s v="Cobrança Administrativa"/>
    <m/>
  </r>
  <r>
    <n v="1159"/>
    <x v="8"/>
    <s v="92.660.604/0013-16"/>
    <n v="2400"/>
    <n v="1246135382"/>
    <d v="2024-04-06T00:00:00"/>
    <m/>
    <s v="1"/>
    <s v="Adtives"/>
    <n v="1246135382"/>
    <d v="2024-03-22T00:00:00"/>
    <n v="3041000"/>
    <s v="FRETES DIVERSOS"/>
    <n v="420"/>
    <n v="2400"/>
    <n v="0"/>
    <n v="0"/>
    <n v="0"/>
    <n v="72"/>
    <n v="0"/>
    <n v="2328"/>
    <n v="2400"/>
    <n v="0"/>
    <n v="2400"/>
    <s v="Cobrança Administrativa"/>
    <m/>
  </r>
  <r>
    <n v="1159"/>
    <x v="8"/>
    <s v="92.660.604/0013-16"/>
    <n v="3600"/>
    <n v="1246173258"/>
    <d v="2024-10-10T00:00:00"/>
    <m/>
    <s v="1"/>
    <s v="Adtives"/>
    <n v="1246173258"/>
    <d v="2024-09-25T00:00:00"/>
    <n v="3041000"/>
    <s v="FRETES DIVERSOS"/>
    <n v="233"/>
    <n v="108"/>
    <n v="0"/>
    <n v="0"/>
    <n v="0"/>
    <n v="108"/>
    <n v="0"/>
    <n v="0"/>
    <n v="3600"/>
    <n v="0"/>
    <n v="108"/>
    <s v="Cobrança Administrativa"/>
    <m/>
  </r>
  <r>
    <n v="1159"/>
    <x v="8"/>
    <s v="92.660.604/0013-16"/>
    <n v="1200"/>
    <n v="1246173256"/>
    <d v="2024-10-10T00:00:00"/>
    <m/>
    <s v="1"/>
    <s v="Adtives"/>
    <n v="1246173256"/>
    <d v="2024-09-25T00:00:00"/>
    <n v="3041000"/>
    <s v="FRETES DIVERSOS"/>
    <n v="233"/>
    <n v="36"/>
    <n v="0"/>
    <n v="0"/>
    <n v="0"/>
    <n v="36"/>
    <n v="0"/>
    <n v="0"/>
    <n v="1200"/>
    <n v="0"/>
    <n v="36"/>
    <s v="Cobrança Administrativa"/>
    <m/>
  </r>
  <r>
    <n v="1159"/>
    <x v="8"/>
    <s v="92.660.604/0013-16"/>
    <n v="2400"/>
    <n v="1246173253"/>
    <d v="2024-10-10T00:00:00"/>
    <m/>
    <s v="1"/>
    <s v="Adtives"/>
    <n v="1246173253"/>
    <d v="2024-09-25T00:00:00"/>
    <n v="3041000"/>
    <s v="FRETES DIVERSOS"/>
    <n v="233"/>
    <n v="72"/>
    <n v="0"/>
    <n v="0"/>
    <n v="0"/>
    <n v="72"/>
    <n v="0"/>
    <n v="0"/>
    <n v="2400"/>
    <n v="0"/>
    <n v="72"/>
    <s v="Cobrança Administrativa"/>
    <m/>
  </r>
  <r>
    <n v="1159"/>
    <x v="8"/>
    <s v="92.660.604/0013-16"/>
    <n v="1200"/>
    <n v="1246173257"/>
    <d v="2024-10-10T00:00:00"/>
    <m/>
    <s v="1"/>
    <s v="Adtives"/>
    <n v="1246173257"/>
    <d v="2024-09-25T00:00:00"/>
    <n v="3041000"/>
    <s v="FRETES DIVERSOS"/>
    <n v="233"/>
    <n v="36"/>
    <n v="0"/>
    <n v="0"/>
    <n v="0"/>
    <n v="36"/>
    <n v="0"/>
    <n v="0"/>
    <n v="1200"/>
    <n v="0"/>
    <n v="36"/>
    <s v="Cobrança Administrativa"/>
    <m/>
  </r>
  <r>
    <n v="452"/>
    <x v="9"/>
    <s v="06.191.223/0002-40"/>
    <n v="1800"/>
    <n v="1246055195"/>
    <d v="2022-12-07T00:00:00"/>
    <m/>
    <s v="1"/>
    <s v="Adtives"/>
    <n v="1246055195"/>
    <d v="2022-11-22T00:00:00"/>
    <n v="3041000"/>
    <s v="FRETES DIVERSOS"/>
    <n v="906"/>
    <n v="1800"/>
    <n v="0"/>
    <n v="0"/>
    <n v="0"/>
    <n v="54"/>
    <n v="0"/>
    <n v="1746"/>
    <n v="1800"/>
    <n v="0"/>
    <n v="1800"/>
    <s v="-"/>
    <m/>
  </r>
  <r>
    <n v="2992"/>
    <x v="10"/>
    <s v="02.599.378/0001-89"/>
    <n v="102008.2"/>
    <n v="1246159250"/>
    <d v="2024-09-03T00:00:00"/>
    <m/>
    <s v="1"/>
    <s v="Adtives"/>
    <n v="4377"/>
    <d v="2024-07-20T00:00:00"/>
    <n v="1010100"/>
    <s v="VENDAS MERCADO INTERNO"/>
    <n v="270"/>
    <n v="3060.2459999999996"/>
    <n v="0"/>
    <n v="0"/>
    <n v="0"/>
    <n v="3060.2459999999996"/>
    <n v="0"/>
    <n v="0"/>
    <n v="102008.2"/>
    <n v="0"/>
    <n v="3060.2459999999996"/>
    <s v="Recuperação Judicial"/>
    <m/>
  </r>
  <r>
    <n v="2603"/>
    <x v="0"/>
    <s v="61.156.501/0100-38"/>
    <n v="4522.16"/>
    <n v="1246097965"/>
    <d v="2023-08-14T00:00:00"/>
    <m/>
    <s v="1"/>
    <s v="Adtives"/>
    <n v="21713"/>
    <d v="2023-06-15T00:00:00"/>
    <n v="1010100"/>
    <s v="VENDAS MERCADO INTERNO"/>
    <n v="656"/>
    <n v="4522.1599999999989"/>
    <n v="0"/>
    <n v="0"/>
    <n v="0"/>
    <n v="135.66479999999999"/>
    <n v="0"/>
    <n v="4386.4951999999994"/>
    <n v="4522.16"/>
    <n v="0"/>
    <n v="4522.1599999999989"/>
    <s v="Cobrança Administrativa"/>
    <m/>
  </r>
  <r>
    <n v="2605"/>
    <x v="11"/>
    <s v="27.515.154/0012-25"/>
    <n v="1390.8"/>
    <n v="2315619"/>
    <d v="2019-12-09T00:00:00"/>
    <m/>
    <s v="1"/>
    <s v="Adtives"/>
    <n v="10669"/>
    <d v="2019-12-09T00:00:00"/>
    <n v="1010100"/>
    <s v="VENDAS MERCADO INTERNO"/>
    <n v="2000"/>
    <n v="1390.8"/>
    <n v="0"/>
    <n v="0"/>
    <n v="0"/>
    <n v="41.723999999999997"/>
    <n v="0"/>
    <n v="1349.076"/>
    <n v="1390.8"/>
    <n v="0"/>
    <n v="1390.8"/>
    <s v="Cobrança Administrativa"/>
    <m/>
  </r>
  <r>
    <n v="2727"/>
    <x v="12"/>
    <s v="..-"/>
    <n v="84291.45"/>
    <n v="395536"/>
    <d v="2019-11-11T00:00:00"/>
    <m/>
    <m/>
    <s v="Não encontrado"/>
    <n v="8661"/>
    <d v="2018-12-27T00:00:00"/>
    <n v="1010100"/>
    <s v="VENDAS MERCADO INTERNO"/>
    <n v="2028"/>
    <n v="84291.45"/>
    <n v="0"/>
    <n v="0"/>
    <n v="0"/>
    <n v="2528.7435"/>
    <n v="0"/>
    <n v="81762.7065"/>
    <n v="0"/>
    <n v="0"/>
    <n v="84291.45"/>
    <s v="-"/>
    <m/>
  </r>
  <r>
    <n v="1227"/>
    <x v="13"/>
    <s v="13.292.389/0001-38"/>
    <n v="179"/>
    <n v="1246086366"/>
    <d v="2023-07-10T00:00:00"/>
    <m/>
    <s v="1"/>
    <s v="Adtives"/>
    <n v="2529"/>
    <d v="2023-06-12T00:00:00"/>
    <n v="1020400"/>
    <s v="VENDA DE SUCATAS"/>
    <n v="691"/>
    <n v="179"/>
    <n v="0"/>
    <n v="0"/>
    <n v="0"/>
    <n v="5.37"/>
    <n v="0"/>
    <n v="173.63"/>
    <n v="179"/>
    <n v="0"/>
    <n v="179"/>
    <s v="Cobrança Administrativa"/>
    <m/>
  </r>
  <r>
    <n v="1227"/>
    <x v="13"/>
    <s v="13.292.389/0001-38"/>
    <n v="183"/>
    <n v="1246086370"/>
    <d v="2023-07-10T00:00:00"/>
    <m/>
    <s v="1"/>
    <s v="Adtives"/>
    <n v="2532"/>
    <d v="2023-06-12T00:00:00"/>
    <n v="1020400"/>
    <s v="VENDA DE SUCATAS"/>
    <n v="691"/>
    <n v="183"/>
    <n v="0"/>
    <n v="0"/>
    <n v="0"/>
    <n v="5.49"/>
    <n v="0"/>
    <n v="177.51"/>
    <n v="183"/>
    <n v="0"/>
    <n v="183"/>
    <s v="Cobrança Administrativa"/>
    <m/>
  </r>
  <r>
    <n v="1227"/>
    <x v="13"/>
    <s v="13.292.389/0001-38"/>
    <n v="393.5"/>
    <n v="1246086261"/>
    <d v="2023-07-07T00:00:00"/>
    <m/>
    <s v="1"/>
    <s v="Adtives"/>
    <n v="21653"/>
    <d v="2023-06-09T00:00:00"/>
    <n v="1020400"/>
    <s v="VENDA DE SUCATAS"/>
    <n v="694"/>
    <n v="393.5"/>
    <n v="0"/>
    <n v="0"/>
    <n v="0"/>
    <n v="11.805"/>
    <n v="0"/>
    <n v="381.69499999999999"/>
    <n v="393.5"/>
    <n v="0"/>
    <n v="393.5"/>
    <s v="Cobrança Administrativa"/>
    <m/>
  </r>
  <r>
    <n v="1227"/>
    <x v="13"/>
    <s v="13.292.389/0001-38"/>
    <n v="81"/>
    <n v="1246086367"/>
    <d v="2023-07-10T00:00:00"/>
    <m/>
    <s v="1"/>
    <s v="Adtives"/>
    <n v="2530"/>
    <d v="2023-06-12T00:00:00"/>
    <n v="1020400"/>
    <s v="VENDA DE SUCATAS"/>
    <n v="691"/>
    <n v="81"/>
    <n v="0"/>
    <n v="0"/>
    <n v="0"/>
    <n v="2.4299999999999997"/>
    <n v="0"/>
    <n v="78.569999999999993"/>
    <n v="81"/>
    <n v="0"/>
    <n v="81"/>
    <s v="Cobrança Administrativa"/>
    <m/>
  </r>
  <r>
    <n v="1227"/>
    <x v="13"/>
    <s v="13.292.389/0001-38"/>
    <n v="370"/>
    <n v="1246086259"/>
    <d v="2023-07-07T00:00:00"/>
    <m/>
    <s v="1"/>
    <s v="Adtives"/>
    <n v="21651"/>
    <d v="2023-06-09T00:00:00"/>
    <n v="1020400"/>
    <s v="VENDA DE SUCATAS"/>
    <n v="694"/>
    <n v="370"/>
    <n v="0"/>
    <n v="0"/>
    <n v="0"/>
    <n v="11.1"/>
    <n v="0"/>
    <n v="358.9"/>
    <n v="370"/>
    <n v="0"/>
    <n v="370"/>
    <s v="Cobrança Administrativa"/>
    <m/>
  </r>
  <r>
    <n v="1227"/>
    <x v="13"/>
    <s v="13.292.389/0001-38"/>
    <n v="714.5"/>
    <n v="1246086258"/>
    <d v="2023-07-07T00:00:00"/>
    <m/>
    <s v="1"/>
    <s v="Adtives"/>
    <n v="21650"/>
    <d v="2023-06-09T00:00:00"/>
    <n v="1020400"/>
    <s v="VENDA DE SUCATAS"/>
    <n v="694"/>
    <n v="714.49999999999989"/>
    <n v="0"/>
    <n v="0"/>
    <n v="0"/>
    <n v="21.434999999999999"/>
    <n v="0"/>
    <n v="693.06499999999994"/>
    <n v="714.5"/>
    <n v="0"/>
    <n v="714.49999999999989"/>
    <s v="Cobrança Administrativa"/>
    <m/>
  </r>
  <r>
    <n v="1227"/>
    <x v="13"/>
    <s v="13.292.389/0001-38"/>
    <n v="546.5"/>
    <n v="1246086257"/>
    <d v="2023-07-07T00:00:00"/>
    <m/>
    <s v="1"/>
    <s v="Adtives"/>
    <n v="21649"/>
    <d v="2023-06-09T00:00:00"/>
    <n v="1020400"/>
    <s v="VENDA DE SUCATAS"/>
    <n v="694"/>
    <n v="546.5"/>
    <n v="0"/>
    <n v="0"/>
    <n v="0"/>
    <n v="16.395"/>
    <n v="0"/>
    <n v="530.10500000000002"/>
    <n v="546.5"/>
    <n v="0"/>
    <n v="546.5"/>
    <s v="Cobrança Administrativa"/>
    <m/>
  </r>
  <r>
    <n v="1227"/>
    <x v="13"/>
    <s v="13.292.389/0001-38"/>
    <n v="105"/>
    <n v="1246086368"/>
    <d v="2023-07-10T00:00:00"/>
    <m/>
    <s v="1"/>
    <s v="Adtives"/>
    <n v="2531"/>
    <d v="2023-06-12T00:00:00"/>
    <n v="1020400"/>
    <s v="VENDA DE SUCATAS"/>
    <n v="691"/>
    <n v="105"/>
    <n v="0"/>
    <n v="0"/>
    <n v="0"/>
    <n v="3.15"/>
    <n v="0"/>
    <n v="101.85"/>
    <n v="105"/>
    <n v="0"/>
    <n v="105"/>
    <s v="Cobrança Administrativa"/>
    <m/>
  </r>
  <r>
    <n v="1227"/>
    <x v="13"/>
    <s v="13.292.389/0001-38"/>
    <n v="357"/>
    <n v="1246086365"/>
    <d v="2023-07-10T00:00:00"/>
    <m/>
    <s v="1"/>
    <s v="Adtives"/>
    <n v="2528"/>
    <d v="2023-06-12T00:00:00"/>
    <n v="1020400"/>
    <s v="VENDA DE SUCATAS"/>
    <n v="691"/>
    <n v="356.99999999999994"/>
    <n v="0"/>
    <n v="0"/>
    <n v="0"/>
    <n v="10.709999999999999"/>
    <n v="0"/>
    <n v="346.28999999999996"/>
    <n v="357"/>
    <n v="0"/>
    <n v="356.99999999999994"/>
    <s v="Cobrança Administrativa"/>
    <m/>
  </r>
  <r>
    <n v="1227"/>
    <x v="13"/>
    <s v="13.292.389/0001-38"/>
    <n v="782"/>
    <n v="1246086260"/>
    <d v="2023-07-07T00:00:00"/>
    <m/>
    <s v="1"/>
    <s v="Adtives"/>
    <n v="21652"/>
    <d v="2023-06-09T00:00:00"/>
    <n v="1020400"/>
    <s v="VENDA DE SUCATAS"/>
    <n v="694"/>
    <n v="782"/>
    <n v="0"/>
    <n v="0"/>
    <n v="0"/>
    <n v="23.46"/>
    <n v="0"/>
    <n v="758.54"/>
    <n v="782"/>
    <n v="0"/>
    <n v="782"/>
    <s v="Cobrança Administrativa"/>
    <m/>
  </r>
  <r>
    <n v="1227"/>
    <x v="13"/>
    <s v="13.292.389/0001-38"/>
    <n v="219"/>
    <n v="1246096646"/>
    <d v="2023-09-05T00:00:00"/>
    <m/>
    <s v="1"/>
    <s v="Adtives"/>
    <n v="593"/>
    <d v="2023-08-08T00:00:00"/>
    <n v="1020400"/>
    <s v="VENDA DE SUCATAS"/>
    <n v="634"/>
    <n v="219"/>
    <n v="0"/>
    <n v="0"/>
    <n v="0"/>
    <n v="6.5699999999999994"/>
    <n v="0"/>
    <n v="212.43"/>
    <n v="219"/>
    <n v="0"/>
    <n v="219"/>
    <s v="Cobrança Administrativa"/>
    <m/>
  </r>
  <r>
    <n v="1227"/>
    <x v="13"/>
    <s v="13.292.389/0001-38"/>
    <n v="347"/>
    <n v="1246099797"/>
    <d v="2023-09-20T00:00:00"/>
    <m/>
    <s v="1"/>
    <s v="Adtives"/>
    <n v="825"/>
    <d v="2023-08-23T00:00:00"/>
    <n v="1020400"/>
    <s v="VENDA DE SUCATAS"/>
    <n v="619"/>
    <n v="347"/>
    <n v="0"/>
    <n v="0"/>
    <n v="0"/>
    <n v="10.41"/>
    <n v="0"/>
    <n v="336.59"/>
    <n v="347"/>
    <n v="0"/>
    <n v="347"/>
    <s v="Cobrança Administrativa"/>
    <m/>
  </r>
  <r>
    <n v="1227"/>
    <x v="13"/>
    <s v="13.292.389/0001-38"/>
    <n v="910.45"/>
    <n v="1246030181"/>
    <d v="2022-08-19T00:00:00"/>
    <m/>
    <s v="1"/>
    <s v="Adtives"/>
    <n v="1779"/>
    <d v="2022-07-22T00:00:00"/>
    <n v="1020400"/>
    <s v="VENDA DE SUCATAS"/>
    <n v="1016"/>
    <n v="910.45"/>
    <n v="0"/>
    <n v="0"/>
    <n v="0"/>
    <n v="27.313500000000001"/>
    <n v="0"/>
    <n v="883.13650000000007"/>
    <n v="910.45"/>
    <n v="0"/>
    <n v="910.45"/>
    <s v="Cobrança Administrativa"/>
    <m/>
  </r>
  <r>
    <n v="1227"/>
    <x v="13"/>
    <s v="13.292.389/0001-38"/>
    <n v="442"/>
    <n v="1246102916"/>
    <d v="2023-10-06T00:00:00"/>
    <m/>
    <s v="1"/>
    <s v="Adtives"/>
    <n v="1079"/>
    <d v="2023-09-08T00:00:00"/>
    <n v="1020400"/>
    <s v="VENDA DE SUCATAS"/>
    <n v="603"/>
    <n v="442"/>
    <n v="0"/>
    <n v="0"/>
    <n v="0"/>
    <n v="13.26"/>
    <n v="0"/>
    <n v="428.74"/>
    <n v="442"/>
    <n v="0"/>
    <n v="442"/>
    <s v="Cobrança Administrativa"/>
    <m/>
  </r>
  <r>
    <n v="1227"/>
    <x v="13"/>
    <s v="13.292.389/0001-38"/>
    <n v="424"/>
    <n v="1246114870"/>
    <d v="2023-12-11T00:00:00"/>
    <m/>
    <s v="1"/>
    <s v="Adtives"/>
    <n v="1954"/>
    <d v="2023-11-13T00:00:00"/>
    <n v="1020400"/>
    <s v="VENDA DE SUCATAS"/>
    <n v="537"/>
    <n v="424"/>
    <n v="0"/>
    <n v="0"/>
    <n v="0"/>
    <n v="12.719999999999999"/>
    <n v="0"/>
    <n v="411.28"/>
    <n v="424"/>
    <n v="0"/>
    <n v="424"/>
    <s v="Cobrança Administrativa"/>
    <m/>
  </r>
  <r>
    <n v="1227"/>
    <x v="13"/>
    <s v="13.292.389/0001-38"/>
    <n v="231.5"/>
    <n v="1246062956"/>
    <d v="2023-02-14T00:00:00"/>
    <m/>
    <s v="1"/>
    <s v="Adtives"/>
    <n v="2258"/>
    <d v="2023-01-17T00:00:00"/>
    <n v="1020400"/>
    <s v="VENDA DE SUCATAS"/>
    <n v="837"/>
    <n v="231.5"/>
    <n v="0"/>
    <n v="0"/>
    <n v="0"/>
    <n v="6.9449999999999994"/>
    <n v="0"/>
    <n v="224.55500000000001"/>
    <n v="231.5"/>
    <n v="0"/>
    <n v="231.5"/>
    <s v="Cobrança Administrativa"/>
    <m/>
  </r>
  <r>
    <n v="1227"/>
    <x v="13"/>
    <s v="13.292.389/0001-38"/>
    <n v="1646.5"/>
    <n v="1246057312"/>
    <d v="2023-01-04T00:00:00"/>
    <m/>
    <s v="1"/>
    <s v="Adtives"/>
    <n v="2123"/>
    <d v="2022-12-07T00:00:00"/>
    <n v="1020400"/>
    <s v="VENDA DE SUCATAS"/>
    <n v="878"/>
    <n v="1646.5"/>
    <n v="0"/>
    <n v="0"/>
    <n v="0"/>
    <n v="49.394999999999996"/>
    <n v="0"/>
    <n v="1597.105"/>
    <n v="1646.5"/>
    <n v="0"/>
    <n v="1646.5"/>
    <s v="Cobrança Administrativa"/>
    <m/>
  </r>
  <r>
    <n v="1227"/>
    <x v="13"/>
    <s v="13.292.389/0001-38"/>
    <n v="48"/>
    <n v="1246120001"/>
    <d v="2023-12-18T00:00:00"/>
    <m/>
    <s v="1"/>
    <s v="Adtives"/>
    <n v="2268"/>
    <d v="2023-12-18T00:00:00"/>
    <n v="1020400"/>
    <s v="VENDA DE SUCATAS"/>
    <n v="530"/>
    <n v="48"/>
    <n v="0"/>
    <n v="0"/>
    <n v="0"/>
    <n v="1.44"/>
    <n v="0"/>
    <n v="46.56"/>
    <n v="48"/>
    <n v="0"/>
    <n v="48"/>
    <s v="Cobrança Administrativa"/>
    <m/>
  </r>
  <r>
    <n v="1227"/>
    <x v="13"/>
    <s v="13.292.389/0001-38"/>
    <n v="115"/>
    <n v="1246116879"/>
    <d v="2023-12-26T00:00:00"/>
    <m/>
    <s v="1"/>
    <s v="Adtives"/>
    <n v="2111"/>
    <d v="2023-11-28T00:00:00"/>
    <n v="1020400"/>
    <s v="VENDA DE SUCATAS"/>
    <n v="522"/>
    <n v="115"/>
    <n v="0"/>
    <n v="0"/>
    <n v="0"/>
    <n v="3.4499999999999997"/>
    <n v="0"/>
    <n v="111.55"/>
    <n v="115"/>
    <n v="0"/>
    <n v="115"/>
    <s v="Cobrança Administrativa"/>
    <m/>
  </r>
  <r>
    <n v="1227"/>
    <x v="13"/>
    <s v="13.292.389/0001-38"/>
    <n v="384.06"/>
    <n v="1246062950"/>
    <d v="2023-02-14T00:00:00"/>
    <m/>
    <s v="1"/>
    <s v="Adtives"/>
    <n v="20454"/>
    <d v="2023-01-17T00:00:00"/>
    <n v="1020400"/>
    <s v="VENDA DE SUCATAS"/>
    <n v="837"/>
    <n v="384.06"/>
    <n v="0"/>
    <n v="0"/>
    <n v="0"/>
    <n v="11.521799999999999"/>
    <n v="0"/>
    <n v="372.53820000000002"/>
    <n v="384.06"/>
    <n v="0"/>
    <n v="384.06"/>
    <s v="Cobrança Administrativa"/>
    <m/>
  </r>
  <r>
    <n v="1227"/>
    <x v="13"/>
    <s v="13.292.389/0001-38"/>
    <n v="48"/>
    <n v="1246119984"/>
    <d v="2024-01-12T00:00:00"/>
    <m/>
    <s v="1"/>
    <s v="Adtives"/>
    <n v="2265"/>
    <d v="2023-12-15T00:00:00"/>
    <n v="1020400"/>
    <s v="VENDA DE SUCATAS"/>
    <n v="505"/>
    <n v="48"/>
    <n v="0"/>
    <n v="0"/>
    <n v="0"/>
    <n v="1.44"/>
    <n v="0"/>
    <n v="46.56"/>
    <n v="48"/>
    <n v="0"/>
    <n v="48"/>
    <s v="Cobrança Administrativa"/>
    <m/>
  </r>
  <r>
    <n v="1227"/>
    <x v="13"/>
    <s v="13.292.389/0001-38"/>
    <n v="42.6"/>
    <n v="1246114858"/>
    <d v="2023-12-11T00:00:00"/>
    <m/>
    <s v="1"/>
    <s v="Adtives"/>
    <n v="422"/>
    <d v="2023-11-13T00:00:00"/>
    <n v="1020400"/>
    <s v="VENDA DE SUCATAS"/>
    <n v="537"/>
    <n v="42.6"/>
    <n v="0"/>
    <n v="0"/>
    <n v="0"/>
    <n v="1.278"/>
    <n v="0"/>
    <n v="41.322000000000003"/>
    <n v="42.6"/>
    <n v="0"/>
    <n v="42.6"/>
    <s v="Cobrança Administrativa"/>
    <m/>
  </r>
  <r>
    <n v="1227"/>
    <x v="13"/>
    <s v="13.292.389/0001-38"/>
    <n v="134"/>
    <n v="1246102917"/>
    <d v="2023-10-06T00:00:00"/>
    <m/>
    <s v="1"/>
    <s v="Adtives"/>
    <n v="219"/>
    <d v="2023-09-08T00:00:00"/>
    <n v="1020400"/>
    <s v="VENDA DE SUCATAS"/>
    <n v="603"/>
    <n v="134"/>
    <n v="0"/>
    <n v="0"/>
    <n v="0"/>
    <n v="4.0199999999999996"/>
    <n v="0"/>
    <n v="129.97999999999999"/>
    <n v="134"/>
    <n v="0"/>
    <n v="134"/>
    <s v="Cobrança Administrativa"/>
    <m/>
  </r>
  <r>
    <n v="1227"/>
    <x v="13"/>
    <s v="13.292.389/0001-38"/>
    <n v="2403"/>
    <n v="1246110720"/>
    <d v="2023-11-20T00:00:00"/>
    <m/>
    <s v="1"/>
    <s v="Adtives"/>
    <n v="1699"/>
    <d v="2023-10-23T00:00:00"/>
    <n v="1020400"/>
    <s v="VENDA DE SUCATAS"/>
    <n v="558"/>
    <n v="2403"/>
    <n v="0"/>
    <n v="0"/>
    <n v="0"/>
    <n v="72.09"/>
    <n v="0"/>
    <n v="2330.91"/>
    <n v="2403"/>
    <n v="0"/>
    <n v="2403"/>
    <s v="Cobrança Administrativa"/>
    <m/>
  </r>
  <r>
    <n v="1227"/>
    <x v="13"/>
    <s v="13.292.389/0001-38"/>
    <n v="83.5"/>
    <n v="1246110733"/>
    <d v="2023-11-20T00:00:00"/>
    <m/>
    <s v="1"/>
    <s v="Adtives"/>
    <n v="361"/>
    <d v="2023-10-23T00:00:00"/>
    <n v="1020400"/>
    <s v="VENDA DE SUCATAS"/>
    <n v="558"/>
    <n v="83.5"/>
    <n v="0"/>
    <n v="0"/>
    <n v="0"/>
    <n v="2.5049999999999999"/>
    <n v="0"/>
    <n v="80.995000000000005"/>
    <n v="83.5"/>
    <n v="0"/>
    <n v="83.5"/>
    <s v="Cobrança Administrativa"/>
    <m/>
  </r>
  <r>
    <n v="1227"/>
    <x v="13"/>
    <s v="13.292.389/0001-38"/>
    <n v="399.5"/>
    <n v="1246116873"/>
    <d v="2023-12-26T00:00:00"/>
    <m/>
    <s v="1"/>
    <s v="Adtives"/>
    <n v="2109"/>
    <d v="2023-11-28T00:00:00"/>
    <n v="1020400"/>
    <s v="VENDA DE SUCATAS"/>
    <n v="522"/>
    <n v="399.5"/>
    <n v="0"/>
    <n v="0"/>
    <n v="0"/>
    <n v="11.984999999999999"/>
    <n v="0"/>
    <n v="387.51499999999999"/>
    <n v="399.5"/>
    <n v="0"/>
    <n v="399.5"/>
    <s v="Cobrança Administrativa"/>
    <m/>
  </r>
  <r>
    <n v="2588"/>
    <x v="14"/>
    <s v="05.571.228/0007-40"/>
    <n v="448200"/>
    <n v="1246184073"/>
    <d v="2025-01-05T00:00:00"/>
    <m/>
    <s v="1"/>
    <s v="Adtives"/>
    <n v="1523"/>
    <d v="2024-11-25T00:00:00"/>
    <n v="1010100"/>
    <s v="VENDAS MERCADO INTERNO"/>
    <n v="146"/>
    <n v="13446"/>
    <n v="0"/>
    <n v="0"/>
    <n v="0"/>
    <n v="13446"/>
    <n v="0"/>
    <n v="0"/>
    <n v="0"/>
    <n v="0"/>
    <n v="13446"/>
    <s v="Cobrança Administrativa"/>
    <m/>
  </r>
  <r>
    <n v="2588"/>
    <x v="14"/>
    <s v="05.571.228/0007-40"/>
    <n v="771600"/>
    <n v="1246188452"/>
    <d v="2025-01-20T00:00:00"/>
    <m/>
    <s v="1"/>
    <s v="Adtives"/>
    <n v="1597"/>
    <d v="2024-12-17T00:00:00"/>
    <n v="1010100"/>
    <s v="VENDAS MERCADO INTERNO"/>
    <n v="131"/>
    <n v="23148"/>
    <n v="0"/>
    <n v="0"/>
    <n v="0"/>
    <n v="23148"/>
    <n v="0"/>
    <n v="0"/>
    <n v="0"/>
    <n v="0"/>
    <n v="23148"/>
    <s v="Cobrança Administrativa"/>
    <m/>
  </r>
  <r>
    <n v="6132"/>
    <x v="15"/>
    <s v="02.560.903/0001-52"/>
    <n v="131993.79999999999"/>
    <n v="1246090615"/>
    <d v="2024-06-28T00:00:00"/>
    <m/>
    <s v="2"/>
    <s v="Fertilizers"/>
    <n v="33"/>
    <d v="2023-07-04T00:00:00"/>
    <n v="1010100"/>
    <s v="VENDAS MERCADO INTERNO"/>
    <n v="337"/>
    <n v="131993.79999999999"/>
    <n v="0"/>
    <n v="0"/>
    <n v="0"/>
    <n v="0"/>
    <n v="0"/>
    <n v="0"/>
    <n v="131993.79999999999"/>
    <n v="131993.79999999999"/>
    <n v="131993.79999999999"/>
    <s v="Recuperação Judicial"/>
    <m/>
  </r>
  <r>
    <n v="6132"/>
    <x v="15"/>
    <s v="02.560.903/0001-52"/>
    <n v="178370"/>
    <n v="1246091907"/>
    <d v="2024-05-25T00:00:00"/>
    <m/>
    <s v="2"/>
    <s v="Fertilizers"/>
    <n v="129"/>
    <d v="2023-07-12T00:00:00"/>
    <n v="1010100"/>
    <s v="VENDAS MERCADO INTERNO"/>
    <n v="371"/>
    <n v="178370"/>
    <n v="0"/>
    <n v="0"/>
    <n v="0"/>
    <n v="0"/>
    <n v="0"/>
    <n v="0"/>
    <n v="178370"/>
    <n v="178370"/>
    <n v="178370"/>
    <s v="Recuperação Judicial"/>
    <m/>
  </r>
  <r>
    <n v="6132"/>
    <x v="15"/>
    <s v="02.560.903/0001-52"/>
    <n v="178370"/>
    <n v="1246090579"/>
    <d v="2024-06-27T00:00:00"/>
    <m/>
    <s v="2"/>
    <s v="Fertilizers"/>
    <n v="28"/>
    <d v="2023-07-03T00:00:00"/>
    <n v="1010100"/>
    <s v="VENDAS MERCADO INTERNO"/>
    <n v="338"/>
    <n v="178370"/>
    <n v="0"/>
    <n v="0"/>
    <n v="0"/>
    <n v="0"/>
    <n v="0"/>
    <n v="0"/>
    <n v="178370"/>
    <n v="178370"/>
    <n v="178370"/>
    <s v="Recuperação Judicial"/>
    <m/>
  </r>
  <r>
    <n v="6132"/>
    <x v="15"/>
    <s v="02.560.903/0001-52"/>
    <n v="142696"/>
    <n v="1246091833"/>
    <d v="2024-05-24T00:00:00"/>
    <m/>
    <s v="2"/>
    <s v="Fertilizers"/>
    <n v="116"/>
    <d v="2023-07-11T00:00:00"/>
    <n v="1010100"/>
    <s v="VENDAS MERCADO INTERNO"/>
    <n v="372"/>
    <n v="142696"/>
    <n v="0"/>
    <n v="0"/>
    <n v="0"/>
    <n v="0"/>
    <n v="0"/>
    <n v="0"/>
    <n v="142696"/>
    <n v="142696"/>
    <n v="142696"/>
    <s v="Recuperação Judicial"/>
    <m/>
  </r>
  <r>
    <n v="6132"/>
    <x v="15"/>
    <s v="02.560.903/0001-52"/>
    <n v="60766.2"/>
    <n v="1246095119"/>
    <d v="2024-06-04T00:00:00"/>
    <m/>
    <s v="2"/>
    <s v="Fertilizers"/>
    <n v="93"/>
    <d v="2023-07-31T00:00:00"/>
    <n v="1010100"/>
    <s v="VENDAS MERCADO INTERNO"/>
    <n v="361"/>
    <n v="60766.2"/>
    <n v="0"/>
    <n v="0"/>
    <n v="0"/>
    <n v="0"/>
    <n v="0"/>
    <n v="0"/>
    <n v="60766.2"/>
    <n v="60766.2"/>
    <n v="60766.2"/>
    <s v="Recuperação Judicial"/>
    <m/>
  </r>
  <r>
    <n v="6132"/>
    <x v="15"/>
    <s v="02.560.903/0001-52"/>
    <n v="178260"/>
    <n v="1246091832"/>
    <d v="2024-05-24T00:00:00"/>
    <m/>
    <s v="2"/>
    <s v="Fertilizers"/>
    <n v="115"/>
    <d v="2023-07-11T00:00:00"/>
    <n v="1010100"/>
    <s v="VENDAS MERCADO INTERNO"/>
    <n v="372"/>
    <n v="178260"/>
    <n v="0"/>
    <n v="0"/>
    <n v="0"/>
    <n v="0"/>
    <n v="0"/>
    <n v="0"/>
    <n v="178260"/>
    <n v="178260"/>
    <n v="178260"/>
    <s v="Recuperação Judicial"/>
    <m/>
  </r>
  <r>
    <n v="6132"/>
    <x v="15"/>
    <s v="02.560.903/0001-52"/>
    <n v="151915.50000000003"/>
    <n v="1246095049"/>
    <d v="2024-06-04T00:00:00"/>
    <m/>
    <s v="2"/>
    <s v="Fertilizers"/>
    <n v="92"/>
    <d v="2023-07-31T00:00:00"/>
    <n v="1010100"/>
    <s v="VENDAS MERCADO INTERNO"/>
    <n v="361"/>
    <n v="151915.50000000003"/>
    <n v="0"/>
    <n v="0"/>
    <n v="0"/>
    <n v="0"/>
    <n v="0"/>
    <n v="0"/>
    <n v="151915.50000000003"/>
    <n v="151915.50000000003"/>
    <n v="151915.50000000003"/>
    <s v="Recuperação Judicial"/>
    <m/>
  </r>
  <r>
    <n v="6132"/>
    <x v="15"/>
    <s v="02.560.903/0001-52"/>
    <n v="91149.3"/>
    <n v="1246095124"/>
    <d v="2024-06-04T00:00:00"/>
    <m/>
    <s v="2"/>
    <s v="Fertilizers"/>
    <n v="94"/>
    <d v="2023-07-31T00:00:00"/>
    <n v="1010100"/>
    <s v="VENDAS MERCADO INTERNO"/>
    <n v="361"/>
    <n v="91149.3"/>
    <n v="0"/>
    <n v="0"/>
    <n v="0"/>
    <n v="0"/>
    <n v="0"/>
    <n v="0"/>
    <n v="91149.3"/>
    <n v="91149.3"/>
    <n v="91149.3"/>
    <s v="Recuperação Judicial"/>
    <m/>
  </r>
  <r>
    <n v="6132"/>
    <x v="15"/>
    <s v="02.560.903/0001-52"/>
    <n v="85223.34"/>
    <n v="1246097799"/>
    <d v="2024-05-30T00:00:00"/>
    <m/>
    <s v="2"/>
    <s v="Fertilizers"/>
    <n v="678"/>
    <d v="2023-08-14T00:00:00"/>
    <n v="1010100"/>
    <s v="VENDAS MERCADO INTERNO"/>
    <n v="366"/>
    <n v="85223.34"/>
    <n v="0"/>
    <n v="0"/>
    <n v="0"/>
    <n v="0"/>
    <n v="0"/>
    <n v="0"/>
    <n v="85223.34"/>
    <n v="85223.34"/>
    <n v="85223.34"/>
    <s v="Recuperação Judicial"/>
    <m/>
  </r>
  <r>
    <n v="6132"/>
    <x v="15"/>
    <s v="02.560.903/0001-52"/>
    <n v="84323.41"/>
    <n v="1246121990"/>
    <d v="2024-09-22T00:00:00"/>
    <m/>
    <s v="2"/>
    <s v="Fertilizers"/>
    <n v="2361"/>
    <d v="2023-12-29T00:00:00"/>
    <n v="1010100"/>
    <s v="VENDAS MERCADO INTERNO"/>
    <n v="251"/>
    <n v="22687.330670741947"/>
    <n v="0"/>
    <n v="0"/>
    <n v="0"/>
    <n v="0"/>
    <n v="0"/>
    <n v="0"/>
    <n v="84323.41"/>
    <n v="22687.330670741947"/>
    <n v="22687.330670741947"/>
    <s v="Recuperação Judicial"/>
    <m/>
  </r>
  <r>
    <n v="6132"/>
    <x v="15"/>
    <s v="02.560.903/0001-52"/>
    <n v="63251.12"/>
    <n v="1246128996"/>
    <d v="2024-10-06T00:00:00"/>
    <m/>
    <s v="2"/>
    <s v="Fertilizers"/>
    <n v="2766"/>
    <d v="2024-02-09T00:00:00"/>
    <n v="1010100"/>
    <s v="VENDAS MERCADO INTERNO"/>
    <n v="237"/>
    <n v="17017.801755583405"/>
    <n v="0"/>
    <n v="0"/>
    <n v="0"/>
    <n v="0"/>
    <n v="0"/>
    <n v="0"/>
    <n v="63251.12"/>
    <n v="17017.801755583405"/>
    <n v="17017.801755583405"/>
    <s v="Recuperação Judicial"/>
    <m/>
  </r>
  <r>
    <n v="6132"/>
    <x v="15"/>
    <s v="02.560.903/0001-52"/>
    <n v="52062"/>
    <n v="1246115169"/>
    <d v="2024-06-23T00:00:00"/>
    <m/>
    <s v="2"/>
    <s v="Fertilizers"/>
    <n v="1974"/>
    <d v="2023-11-14T00:00:00"/>
    <n v="1010100"/>
    <s v="VENDAS MERCADO INTERNO"/>
    <n v="342"/>
    <n v="52062"/>
    <n v="0"/>
    <n v="0"/>
    <n v="0"/>
    <n v="0"/>
    <n v="0"/>
    <n v="0"/>
    <n v="52062"/>
    <n v="52062"/>
    <n v="52062"/>
    <s v="Recuperação Judicial"/>
    <m/>
  </r>
  <r>
    <n v="6132"/>
    <x v="15"/>
    <s v="02.560.903/0001-52"/>
    <n v="32002.66"/>
    <n v="1246120211"/>
    <d v="2024-08-14T00:00:00"/>
    <m/>
    <s v="2"/>
    <s v="Fertilizers"/>
    <n v="2284"/>
    <d v="2023-12-18T00:00:00"/>
    <n v="1010100"/>
    <s v="VENDAS MERCADO INTERNO"/>
    <n v="290"/>
    <n v="8610.3601569638413"/>
    <n v="0"/>
    <n v="0"/>
    <n v="0"/>
    <n v="0"/>
    <n v="0"/>
    <n v="0"/>
    <n v="32002.66"/>
    <n v="8610.3601569638413"/>
    <n v="8610.3601569638413"/>
    <s v="Recuperação Judicial"/>
    <m/>
  </r>
  <r>
    <n v="6132"/>
    <x v="15"/>
    <s v="02.560.903/0001-52"/>
    <n v="112435.2"/>
    <n v="1246116054"/>
    <d v="2024-07-18T00:00:00"/>
    <m/>
    <s v="2"/>
    <s v="Fertilizers"/>
    <n v="2046"/>
    <d v="2023-11-21T00:00:00"/>
    <n v="1010100"/>
    <s v="VENDAS MERCADO INTERNO"/>
    <n v="317"/>
    <n v="30250.846845864093"/>
    <n v="0"/>
    <n v="0"/>
    <n v="0"/>
    <n v="0"/>
    <n v="0"/>
    <n v="0"/>
    <n v="112435.2"/>
    <n v="30250.846845864093"/>
    <n v="30250.846845864093"/>
    <s v="Recuperação Judicial"/>
    <m/>
  </r>
  <r>
    <n v="6132"/>
    <x v="15"/>
    <s v="02.560.903/0001-52"/>
    <n v="29450.6"/>
    <n v="1246128801"/>
    <d v="2024-11-09T00:00:00"/>
    <m/>
    <s v="2"/>
    <s v="Fertilizers"/>
    <n v="2746"/>
    <d v="2024-02-08T00:00:00"/>
    <n v="1010100"/>
    <s v="VENDAS MERCADO INTERNO"/>
    <n v="203"/>
    <n v="7923.724866579194"/>
    <n v="0"/>
    <n v="0"/>
    <n v="0"/>
    <n v="0"/>
    <n v="0"/>
    <n v="0"/>
    <n v="29450.6"/>
    <n v="7923.724866579194"/>
    <n v="7923.724866579194"/>
    <s v="Recuperação Judicial"/>
    <m/>
  </r>
  <r>
    <n v="6132"/>
    <x v="15"/>
    <s v="02.560.903/0001-52"/>
    <n v="87840"/>
    <n v="1246113431"/>
    <d v="2024-07-03T00:00:00"/>
    <m/>
    <s v="2"/>
    <s v="Fertilizers"/>
    <n v="1852"/>
    <d v="2023-11-06T00:00:00"/>
    <n v="1010100"/>
    <s v="VENDAS MERCADO INTERNO"/>
    <n v="332"/>
    <n v="23633.474098331324"/>
    <n v="0"/>
    <n v="0"/>
    <n v="0"/>
    <n v="0"/>
    <n v="0"/>
    <n v="0"/>
    <n v="87840"/>
    <n v="23633.474098331324"/>
    <n v="23633.474098331324"/>
    <s v="Recuperação Judicial"/>
    <m/>
  </r>
  <r>
    <n v="6132"/>
    <x v="15"/>
    <s v="02.560.903/0001-52"/>
    <n v="27201.1"/>
    <n v="1246124199"/>
    <d v="2024-09-22T00:00:00"/>
    <m/>
    <s v="2"/>
    <s v="Fertilizers"/>
    <n v="2454"/>
    <d v="2024-01-10T00:00:00"/>
    <n v="1010100"/>
    <s v="VENDAS MERCADO INTERNO"/>
    <n v="251"/>
    <n v="7318.4937647554652"/>
    <n v="0"/>
    <n v="0"/>
    <n v="0"/>
    <n v="0"/>
    <n v="0"/>
    <n v="0"/>
    <n v="27201.1"/>
    <n v="7318.4937647554652"/>
    <n v="7318.4937647554652"/>
    <s v="Recuperação Judicial"/>
    <m/>
  </r>
  <r>
    <n v="6132"/>
    <x v="15"/>
    <s v="02.560.903/0001-52"/>
    <n v="86529.600000000006"/>
    <n v="1246116354"/>
    <d v="2024-07-02T00:00:00"/>
    <m/>
    <s v="2"/>
    <s v="Fertilizers"/>
    <n v="2068"/>
    <d v="2023-11-23T00:00:00"/>
    <n v="1010100"/>
    <s v="VENDAS MERCADO INTERNO"/>
    <n v="333"/>
    <n v="23280.909156864414"/>
    <n v="0"/>
    <n v="0"/>
    <n v="0"/>
    <n v="0"/>
    <n v="0"/>
    <n v="0"/>
    <n v="86529.600000000006"/>
    <n v="23280.909156864414"/>
    <n v="23280.909156864414"/>
    <s v="Recuperação Judicial"/>
    <m/>
  </r>
  <r>
    <n v="6132"/>
    <x v="15"/>
    <s v="02.560.903/0001-52"/>
    <n v="171010"/>
    <n v="1246117256"/>
    <d v="2024-07-01T00:00:00"/>
    <m/>
    <s v="2"/>
    <s v="Fertilizers"/>
    <n v="2130"/>
    <d v="2023-11-30T00:00:00"/>
    <n v="1010100"/>
    <s v="VENDAS MERCADO INTERNO"/>
    <n v="334"/>
    <n v="46010.478205323765"/>
    <n v="0"/>
    <n v="0"/>
    <n v="0"/>
    <n v="0"/>
    <n v="0"/>
    <n v="0"/>
    <n v="171010"/>
    <n v="46010.478205323765"/>
    <n v="46010.478205323765"/>
    <s v="Recuperação Judicial"/>
    <m/>
  </r>
  <r>
    <n v="6132"/>
    <x v="15"/>
    <s v="02.560.903/0001-52"/>
    <n v="94461"/>
    <n v="1246125716"/>
    <d v="2024-10-13T00:00:00"/>
    <m/>
    <s v="2"/>
    <s v="Fertilizers"/>
    <n v="2541"/>
    <d v="2024-01-19T00:00:00"/>
    <n v="1010100"/>
    <s v="VENDAS MERCADO INTERNO"/>
    <n v="230"/>
    <n v="25414.863351576445"/>
    <n v="0"/>
    <n v="0"/>
    <n v="0"/>
    <n v="0"/>
    <n v="0"/>
    <n v="0"/>
    <n v="94461"/>
    <n v="25414.863351576445"/>
    <n v="25414.863351576445"/>
    <s v="Recuperação Judicial"/>
    <m/>
  </r>
  <r>
    <n v="6132"/>
    <x v="15"/>
    <s v="02.560.903/0001-52"/>
    <n v="67967"/>
    <n v="1246128327"/>
    <d v="2024-10-02T00:00:00"/>
    <m/>
    <s v="2"/>
    <s v="Fertilizers"/>
    <n v="2712"/>
    <d v="2024-02-05T00:00:00"/>
    <n v="1010100"/>
    <s v="VENDAS MERCADO INTERNO"/>
    <n v="241"/>
    <n v="18286.615824695866"/>
    <n v="0"/>
    <n v="0"/>
    <n v="0"/>
    <n v="0"/>
    <n v="0"/>
    <n v="0"/>
    <n v="67967"/>
    <n v="18286.615824695866"/>
    <n v="18286.615824695866"/>
    <s v="Recuperação Judicial"/>
    <m/>
  </r>
  <r>
    <n v="6132"/>
    <x v="15"/>
    <s v="02.560.903/0001-52"/>
    <n v="77852.5"/>
    <n v="1246128328"/>
    <d v="2024-10-02T00:00:00"/>
    <m/>
    <s v="2"/>
    <s v="Fertilizers"/>
    <n v="2713"/>
    <d v="2024-02-05T00:00:00"/>
    <n v="1010100"/>
    <s v="VENDAS MERCADO INTERNO"/>
    <n v="241"/>
    <n v="20946.32334062317"/>
    <n v="0"/>
    <n v="0"/>
    <n v="0"/>
    <n v="0"/>
    <n v="0"/>
    <n v="0"/>
    <n v="77852.5"/>
    <n v="20946.32334062317"/>
    <n v="20946.32334062317"/>
    <s v="Recuperação Judicial"/>
    <m/>
  </r>
  <r>
    <n v="6132"/>
    <x v="15"/>
    <s v="02.560.903/0001-52"/>
    <n v="41610.269999999997"/>
    <n v="1246128682"/>
    <d v="2024-11-08T00:00:00"/>
    <m/>
    <s v="2"/>
    <s v="Fertilizers"/>
    <n v="2737"/>
    <d v="2024-02-07T00:00:00"/>
    <n v="1010100"/>
    <s v="VENDAS MERCADO INTERNO"/>
    <n v="204"/>
    <n v="11195.300982121731"/>
    <n v="0"/>
    <n v="0"/>
    <n v="0"/>
    <n v="0"/>
    <n v="0"/>
    <n v="0"/>
    <n v="41610.269999999997"/>
    <n v="11195.300982121731"/>
    <n v="11195.300982121731"/>
    <s v="Recuperação Judicial"/>
    <m/>
  </r>
  <r>
    <n v="6132"/>
    <x v="15"/>
    <s v="02.560.903/0001-52"/>
    <n v="107254.39999999999"/>
    <n v="1246126442"/>
    <d v="2024-09-30T00:00:00"/>
    <m/>
    <s v="2"/>
    <s v="Fertilizers"/>
    <n v="2587"/>
    <d v="2024-01-24T00:00:00"/>
    <n v="1010100"/>
    <s v="VENDAS MERCADO INTERNO"/>
    <n v="243"/>
    <n v="28856.945404508959"/>
    <n v="0"/>
    <n v="0"/>
    <n v="0"/>
    <n v="0"/>
    <n v="0"/>
    <n v="0"/>
    <n v="107254.39999999999"/>
    <n v="28856.945404508959"/>
    <n v="28856.945404508959"/>
    <s v="Recuperação Judicial"/>
    <m/>
  </r>
  <r>
    <n v="6132"/>
    <x v="15"/>
    <s v="02.560.903/0001-52"/>
    <n v="56218.2"/>
    <n v="1246128800"/>
    <d v="2024-11-09T00:00:00"/>
    <m/>
    <s v="2"/>
    <s v="Fertilizers"/>
    <n v="2745"/>
    <d v="2024-02-08T00:00:00"/>
    <n v="1010100"/>
    <s v="VENDAS MERCADO INTERNO"/>
    <n v="203"/>
    <n v="15125.584853766051"/>
    <n v="0"/>
    <n v="0"/>
    <n v="0"/>
    <n v="0"/>
    <n v="0"/>
    <n v="0"/>
    <n v="56218.2"/>
    <n v="15125.584853766051"/>
    <n v="15125.584853766051"/>
    <s v="Recuperação Judicial"/>
    <m/>
  </r>
  <r>
    <n v="6132"/>
    <x v="15"/>
    <s v="02.560.903/0001-52"/>
    <n v="24480.99"/>
    <n v="1246127802"/>
    <d v="2024-11-07T00:00:00"/>
    <m/>
    <s v="2"/>
    <s v="Fertilizers"/>
    <n v="2674"/>
    <d v="2024-02-01T00:00:00"/>
    <n v="1010100"/>
    <s v="VENDAS MERCADO INTERNO"/>
    <n v="205"/>
    <n v="6586.6443882799194"/>
    <n v="0"/>
    <n v="0"/>
    <n v="0"/>
    <n v="0"/>
    <n v="0"/>
    <n v="0"/>
    <n v="24480.99"/>
    <n v="6586.6443882799194"/>
    <n v="6586.6443882799194"/>
    <s v="Recuperação Judicial"/>
    <m/>
  </r>
  <r>
    <n v="6132"/>
    <x v="15"/>
    <s v="02.560.903/0001-52"/>
    <n v="87043.520000000004"/>
    <n v="1246120531"/>
    <d v="2024-09-24T00:00:00"/>
    <m/>
    <s v="2"/>
    <s v="Fertilizers"/>
    <n v="2295"/>
    <d v="2023-12-19T00:00:00"/>
    <n v="1010100"/>
    <s v="VENDAS MERCADO INTERNO"/>
    <n v="249"/>
    <n v="23419.180047217491"/>
    <n v="0"/>
    <n v="0"/>
    <n v="0"/>
    <n v="0"/>
    <n v="0"/>
    <n v="0"/>
    <n v="87043.520000000004"/>
    <n v="23419.180047217491"/>
    <n v="23419.180047217491"/>
    <s v="Recuperação Judicial"/>
    <m/>
  </r>
  <r>
    <n v="6132"/>
    <x v="15"/>
    <s v="02.560.903/0001-52"/>
    <n v="87504.97"/>
    <n v="1246119910"/>
    <d v="2024-09-20T00:00:00"/>
    <m/>
    <s v="2"/>
    <s v="Fertilizers"/>
    <n v="2248"/>
    <d v="2023-12-15T00:00:00"/>
    <n v="1010100"/>
    <s v="VENDAS MERCADO INTERNO"/>
    <n v="253"/>
    <n v="23543.333811136832"/>
    <n v="0"/>
    <n v="0"/>
    <n v="0"/>
    <n v="0"/>
    <n v="0"/>
    <n v="0"/>
    <n v="87504.97"/>
    <n v="23543.333811136832"/>
    <n v="23543.333811136832"/>
    <s v="Recuperação Judicial"/>
    <m/>
  </r>
  <r>
    <n v="6132"/>
    <x v="15"/>
    <s v="02.560.903/0001-52"/>
    <n v="22997.32"/>
    <n v="1246119982"/>
    <d v="2024-08-11T00:00:00"/>
    <m/>
    <s v="2"/>
    <s v="Fertilizers"/>
    <n v="2263"/>
    <d v="2023-12-15T00:00:00"/>
    <n v="1010100"/>
    <s v="VENDAS MERCADO INTERNO"/>
    <n v="293"/>
    <n v="6187.4609124662666"/>
    <n v="0"/>
    <n v="0"/>
    <n v="0"/>
    <n v="0"/>
    <n v="0"/>
    <n v="0"/>
    <n v="22997.32"/>
    <n v="6187.4609124662666"/>
    <n v="6187.4609124662666"/>
    <s v="Recuperação Judicial"/>
    <m/>
  </r>
  <r>
    <n v="6132"/>
    <x v="15"/>
    <s v="02.560.903/0001-52"/>
    <n v="10860"/>
    <n v="1246122169"/>
    <d v="2024-06-26T00:00:00"/>
    <m/>
    <s v="2"/>
    <s v="Fertilizers"/>
    <n v="2373"/>
    <d v="2023-12-29T00:00:00"/>
    <n v="1010100"/>
    <s v="VENDAS MERCADO INTERNO"/>
    <n v="339"/>
    <n v="10860"/>
    <n v="0"/>
    <n v="0"/>
    <n v="0"/>
    <n v="0"/>
    <n v="0"/>
    <n v="0"/>
    <n v="10860"/>
    <n v="10860"/>
    <n v="10860"/>
    <s v="Recuperação Judicial"/>
    <m/>
  </r>
  <r>
    <n v="6132"/>
    <x v="15"/>
    <s v="02.560.903/0001-52"/>
    <n v="57205.5"/>
    <n v="1246122168"/>
    <d v="2024-09-22T00:00:00"/>
    <m/>
    <s v="2"/>
    <s v="Fertilizers"/>
    <n v="2372"/>
    <d v="2023-12-29T00:00:00"/>
    <n v="1010100"/>
    <s v="VENDAS MERCADO INTERNO"/>
    <n v="251"/>
    <n v="15391.219291121271"/>
    <n v="0"/>
    <n v="0"/>
    <n v="0"/>
    <n v="0"/>
    <n v="0"/>
    <n v="0"/>
    <n v="57205.5"/>
    <n v="15391.219291121271"/>
    <n v="15391.219291121271"/>
    <s v="Recuperação Judicial"/>
    <m/>
  </r>
  <r>
    <n v="6132"/>
    <x v="15"/>
    <s v="02.560.903/0001-52"/>
    <n v="109750.39999999999"/>
    <n v="1246117165"/>
    <d v="2024-06-30T00:00:00"/>
    <m/>
    <s v="2"/>
    <s v="Fertilizers"/>
    <n v="2128"/>
    <d v="2023-11-29T00:00:00"/>
    <n v="1010100"/>
    <s v="VENDAS MERCADO INTERNO"/>
    <n v="335"/>
    <n v="29528.497673969738"/>
    <n v="0"/>
    <n v="0"/>
    <n v="0"/>
    <n v="0"/>
    <n v="0"/>
    <n v="0"/>
    <n v="109750.39999999999"/>
    <n v="29528.497673969738"/>
    <n v="29528.497673969738"/>
    <s v="Recuperação Judicial"/>
    <m/>
  </r>
  <r>
    <n v="6132"/>
    <x v="15"/>
    <s v="02.560.903/0001-52"/>
    <n v="111644.8"/>
    <n v="1246117516"/>
    <d v="2024-09-01T00:00:00"/>
    <m/>
    <s v="2"/>
    <s v="Fertilizers"/>
    <n v="2140"/>
    <d v="2023-12-01T00:00:00"/>
    <n v="1010100"/>
    <s v="VENDAS MERCADO INTERNO"/>
    <n v="272"/>
    <n v="30038.188627201514"/>
    <n v="0"/>
    <n v="0"/>
    <n v="0"/>
    <n v="0"/>
    <n v="0"/>
    <n v="0"/>
    <n v="111644.8"/>
    <n v="30038.188627201514"/>
    <n v="30038.188627201514"/>
    <s v="Recuperação Judicial"/>
    <m/>
  </r>
  <r>
    <n v="6132"/>
    <x v="15"/>
    <s v="02.560.903/0001-52"/>
    <n v="136005.5"/>
    <n v="1246120768"/>
    <d v="2024-09-25T00:00:00"/>
    <m/>
    <s v="2"/>
    <s v="Fertilizers"/>
    <n v="2299"/>
    <d v="2023-12-20T00:00:00"/>
    <n v="1010100"/>
    <s v="VENDAS MERCADO INTERNO"/>
    <n v="248"/>
    <n v="36592.46882377733"/>
    <n v="0"/>
    <n v="0"/>
    <n v="0"/>
    <n v="0"/>
    <n v="0"/>
    <n v="0"/>
    <n v="136005.5"/>
    <n v="36592.46882377733"/>
    <n v="36592.46882377733"/>
    <s v="Recuperação Judicial"/>
    <m/>
  </r>
  <r>
    <n v="6132"/>
    <x v="15"/>
    <s v="02.560.903/0001-52"/>
    <n v="136005.5"/>
    <n v="1246124946"/>
    <d v="2024-10-01T00:00:00"/>
    <m/>
    <s v="2"/>
    <s v="Fertilizers"/>
    <n v="2498"/>
    <d v="2024-01-15T00:00:00"/>
    <n v="1010100"/>
    <s v="VENDAS MERCADO INTERNO"/>
    <n v="242"/>
    <n v="36592.46882377733"/>
    <n v="0"/>
    <n v="0"/>
    <n v="0"/>
    <n v="0"/>
    <n v="0"/>
    <n v="0"/>
    <n v="136005.5"/>
    <n v="36592.46882377733"/>
    <n v="36592.46882377733"/>
    <s v="Recuperação Judicial"/>
    <m/>
  </r>
  <r>
    <n v="6132"/>
    <x v="15"/>
    <s v="02.560.903/0001-52"/>
    <n v="87043.520000000004"/>
    <n v="1246120099"/>
    <d v="2024-09-23T00:00:00"/>
    <m/>
    <s v="2"/>
    <s v="Fertilizers"/>
    <n v="2279"/>
    <d v="2023-12-18T00:00:00"/>
    <n v="1010100"/>
    <s v="VENDAS MERCADO INTERNO"/>
    <n v="250"/>
    <n v="23419.180047217491"/>
    <n v="0"/>
    <n v="0"/>
    <n v="0"/>
    <n v="0"/>
    <n v="0"/>
    <n v="0"/>
    <n v="87043.520000000004"/>
    <n v="23419.180047217491"/>
    <n v="23419.180047217491"/>
    <s v="Recuperação Judicial"/>
    <m/>
  </r>
  <r>
    <n v="6132"/>
    <x v="15"/>
    <s v="02.560.903/0001-52"/>
    <n v="111465.88"/>
    <n v="1246127801"/>
    <d v="2024-11-07T00:00:00"/>
    <m/>
    <s v="2"/>
    <s v="Fertilizers"/>
    <n v="2673"/>
    <d v="2024-02-01T00:00:00"/>
    <n v="1010100"/>
    <s v="VENDAS MERCADO INTERNO"/>
    <n v="205"/>
    <n v="29990.049952501224"/>
    <n v="0"/>
    <n v="0"/>
    <n v="0"/>
    <n v="0"/>
    <n v="0"/>
    <n v="0"/>
    <n v="111465.88"/>
    <n v="29990.049952501224"/>
    <n v="29990.049952501224"/>
    <s v="Recuperação Judicial"/>
    <m/>
  </r>
  <r>
    <n v="6132"/>
    <x v="15"/>
    <s v="02.560.903/0001-52"/>
    <n v="47937.4"/>
    <n v="1246118354"/>
    <d v="2024-09-06T00:00:00"/>
    <m/>
    <s v="2"/>
    <s v="Fertilizers"/>
    <n v="2184"/>
    <d v="2023-12-06T00:00:00"/>
    <n v="1010100"/>
    <s v="VENDAS MERCADO INTERNO"/>
    <n v="267"/>
    <n v="12897.624103385109"/>
    <n v="0"/>
    <n v="0"/>
    <n v="0"/>
    <n v="0"/>
    <n v="0"/>
    <n v="0"/>
    <n v="47937.4"/>
    <n v="12897.624103385109"/>
    <n v="12897.624103385109"/>
    <s v="Recuperação Judicial"/>
    <m/>
  </r>
  <r>
    <n v="6132"/>
    <x v="15"/>
    <s v="02.560.903/0001-52"/>
    <n v="155705"/>
    <n v="1246129974"/>
    <d v="2024-10-03T00:00:00"/>
    <m/>
    <s v="2"/>
    <s v="Fertilizers"/>
    <n v="2839"/>
    <d v="2024-02-19T00:00:00"/>
    <n v="1010100"/>
    <s v="VENDAS MERCADO INTERNO"/>
    <n v="240"/>
    <n v="41892.64668124634"/>
    <n v="0"/>
    <n v="0"/>
    <n v="0"/>
    <n v="0"/>
    <n v="0"/>
    <n v="0"/>
    <n v="155705"/>
    <n v="41892.64668124634"/>
    <n v="41892.64668124634"/>
    <s v="Recuperação Judicial"/>
    <m/>
  </r>
  <r>
    <n v="6132"/>
    <x v="15"/>
    <s v="02.560.903/0001-52"/>
    <n v="42163.65"/>
    <n v="1246124200"/>
    <d v="2024-10-04T00:00:00"/>
    <m/>
    <s v="2"/>
    <s v="Fertilizers"/>
    <n v="2455"/>
    <d v="2024-01-10T00:00:00"/>
    <n v="1010100"/>
    <s v="VENDAS MERCADO INTERNO"/>
    <n v="239"/>
    <n v="11344.188640324539"/>
    <n v="0"/>
    <n v="0"/>
    <n v="0"/>
    <n v="0"/>
    <n v="0"/>
    <n v="0"/>
    <n v="42163.65"/>
    <n v="11344.188640324539"/>
    <n v="11344.188640324539"/>
    <s v="Recuperação Judicial"/>
    <m/>
  </r>
  <r>
    <n v="6132"/>
    <x v="15"/>
    <s v="02.560.903/0001-52"/>
    <n v="111065.60000000001"/>
    <n v="1246114703"/>
    <d v="2024-06-20T00:00:00"/>
    <m/>
    <s v="2"/>
    <s v="Fertilizers"/>
    <n v="1937"/>
    <d v="2023-11-11T00:00:00"/>
    <n v="1010100"/>
    <s v="VENDAS MERCADO INTERNO"/>
    <n v="345"/>
    <n v="111065.60000000001"/>
    <n v="0"/>
    <n v="0"/>
    <n v="0"/>
    <n v="0"/>
    <n v="0"/>
    <n v="0"/>
    <n v="111065.60000000001"/>
    <n v="111065.60000000001"/>
    <n v="111065.60000000001"/>
    <s v="Recuperação Judicial"/>
    <m/>
  </r>
  <r>
    <n v="6132"/>
    <x v="15"/>
    <s v="02.560.903/0001-52"/>
    <n v="27201.1"/>
    <n v="1246125717"/>
    <d v="2024-10-01T00:00:00"/>
    <m/>
    <s v="2"/>
    <s v="Fertilizers"/>
    <n v="2542"/>
    <d v="2024-01-19T00:00:00"/>
    <n v="1010100"/>
    <s v="VENDAS MERCADO INTERNO"/>
    <n v="242"/>
    <n v="7318.4937647554652"/>
    <n v="0"/>
    <n v="0"/>
    <n v="0"/>
    <n v="0"/>
    <n v="0"/>
    <n v="0"/>
    <n v="27201.1"/>
    <n v="7318.4937647554652"/>
    <n v="7318.4937647554652"/>
    <s v="Recuperação Judicial"/>
    <m/>
  </r>
  <r>
    <n v="6132"/>
    <x v="15"/>
    <s v="02.560.903/0001-52"/>
    <n v="136005.5"/>
    <n v="1246124718"/>
    <d v="2024-09-28T00:00:00"/>
    <m/>
    <s v="2"/>
    <s v="Fertilizers"/>
    <n v="2489"/>
    <d v="2024-01-12T00:00:00"/>
    <n v="1010100"/>
    <s v="VENDAS MERCADO INTERNO"/>
    <n v="245"/>
    <n v="36592.46882377733"/>
    <n v="0"/>
    <n v="0"/>
    <n v="0"/>
    <n v="0"/>
    <n v="0"/>
    <n v="0"/>
    <n v="136005.5"/>
    <n v="36592.46882377733"/>
    <n v="36592.46882377733"/>
    <s v="Recuperação Judicial"/>
    <m/>
  </r>
  <r>
    <n v="6132"/>
    <x v="15"/>
    <s v="02.560.903/0001-52"/>
    <n v="45093"/>
    <n v="1246128683"/>
    <d v="2024-11-08T00:00:00"/>
    <m/>
    <s v="2"/>
    <s v="Fertilizers"/>
    <n v="2738"/>
    <d v="2024-02-07T00:00:00"/>
    <n v="1010100"/>
    <s v="VENDAS MERCADO INTERNO"/>
    <n v="204"/>
    <n v="12132.334329645428"/>
    <n v="0"/>
    <n v="0"/>
    <n v="0"/>
    <n v="0"/>
    <n v="0"/>
    <n v="0"/>
    <n v="45093"/>
    <n v="12132.334329645428"/>
    <n v="12132.334329645428"/>
    <s v="Recuperação Judicial"/>
    <m/>
  </r>
  <r>
    <n v="6132"/>
    <x v="15"/>
    <s v="02.560.903/0001-52"/>
    <n v="82986.649999999994"/>
    <n v="1246113430"/>
    <d v="2024-07-03T00:00:00"/>
    <m/>
    <s v="2"/>
    <s v="Fertilizers"/>
    <n v="1851"/>
    <d v="2023-11-06T00:00:00"/>
    <n v="1010100"/>
    <s v="VENDAS MERCADO INTERNO"/>
    <n v="332"/>
    <n v="22327.673534634414"/>
    <n v="0"/>
    <n v="0"/>
    <n v="0"/>
    <n v="0"/>
    <n v="0"/>
    <n v="0"/>
    <n v="82986.649999999994"/>
    <n v="22327.673534634414"/>
    <n v="22327.673534634414"/>
    <s v="Recuperação Judicial"/>
    <m/>
  </r>
  <r>
    <n v="6132"/>
    <x v="15"/>
    <s v="02.560.903/0001-52"/>
    <n v="174445"/>
    <n v="1246116577"/>
    <d v="2024-06-25T00:00:00"/>
    <m/>
    <s v="2"/>
    <s v="Fertilizers"/>
    <n v="2091"/>
    <d v="2023-11-24T00:00:00"/>
    <n v="1010100"/>
    <s v="VENDAS MERCADO INTERNO"/>
    <n v="340"/>
    <n v="174445"/>
    <n v="0"/>
    <n v="0"/>
    <n v="0"/>
    <n v="0"/>
    <n v="0"/>
    <n v="0"/>
    <n v="174445"/>
    <n v="174445"/>
    <n v="174445"/>
    <s v="Recuperação Judicial"/>
    <m/>
  </r>
  <r>
    <n v="6132"/>
    <x v="15"/>
    <s v="02.560.903/0001-52"/>
    <n v="158956.25"/>
    <n v="1246104181"/>
    <d v="2024-06-01T00:00:00"/>
    <m/>
    <s v="2"/>
    <s v="Fertilizers"/>
    <n v="1180"/>
    <d v="2023-09-15T00:00:00"/>
    <n v="1010100"/>
    <s v="VENDAS MERCADO INTERNO"/>
    <n v="364"/>
    <n v="158956.25"/>
    <n v="0"/>
    <n v="0"/>
    <n v="0"/>
    <n v="0"/>
    <n v="0"/>
    <n v="0"/>
    <n v="158956.25"/>
    <n v="158956.25"/>
    <n v="158956.25"/>
    <s v="Recuperação Judicial"/>
    <m/>
  </r>
  <r>
    <n v="6132"/>
    <x v="15"/>
    <s v="02.560.903/0001-52"/>
    <n v="171662.49999999997"/>
    <n v="1246112815"/>
    <d v="2024-06-28T00:00:00"/>
    <m/>
    <s v="2"/>
    <s v="Fertilizers"/>
    <n v="1799"/>
    <d v="2023-11-01T00:00:00"/>
    <n v="1010100"/>
    <s v="VENDAS MERCADO INTERNO"/>
    <n v="337"/>
    <n v="171662.49999999997"/>
    <n v="0"/>
    <n v="0"/>
    <n v="0"/>
    <n v="0"/>
    <n v="0"/>
    <n v="0"/>
    <n v="171662.49999999997"/>
    <n v="171662.49999999997"/>
    <n v="171662.49999999997"/>
    <s v="Recuperação Judicial"/>
    <m/>
  </r>
  <r>
    <n v="6132"/>
    <x v="15"/>
    <s v="02.560.903/0001-52"/>
    <n v="174610"/>
    <n v="1246113736"/>
    <d v="2024-07-05T00:00:00"/>
    <m/>
    <s v="2"/>
    <s v="Fertilizers"/>
    <n v="1878"/>
    <d v="2023-11-08T00:00:00"/>
    <n v="1010100"/>
    <s v="VENDAS MERCADO INTERNO"/>
    <n v="330"/>
    <n v="46979.063209353735"/>
    <n v="0"/>
    <n v="0"/>
    <n v="0"/>
    <n v="0"/>
    <n v="0"/>
    <n v="0"/>
    <n v="174610"/>
    <n v="46979.063209353735"/>
    <n v="46979.063209353735"/>
    <s v="Recuperação Judicial"/>
    <m/>
  </r>
  <r>
    <n v="6132"/>
    <x v="15"/>
    <s v="02.560.903/0001-52"/>
    <n v="87840"/>
    <n v="1246111212"/>
    <d v="2024-06-21T00:00:00"/>
    <m/>
    <s v="2"/>
    <s v="Fertilizers"/>
    <n v="1720"/>
    <d v="2023-10-25T00:00:00"/>
    <n v="1010100"/>
    <s v="VENDAS MERCADO INTERNO"/>
    <n v="344"/>
    <n v="87840"/>
    <n v="0"/>
    <n v="0"/>
    <n v="0"/>
    <n v="0"/>
    <n v="0"/>
    <n v="0"/>
    <n v="87840"/>
    <n v="87840"/>
    <n v="87840"/>
    <s v="Recuperação Judicial"/>
    <m/>
  </r>
  <r>
    <n v="6132"/>
    <x v="15"/>
    <s v="02.560.903/0001-52"/>
    <n v="23787.68"/>
    <n v="1246115170"/>
    <d v="2024-06-23T00:00:00"/>
    <m/>
    <s v="2"/>
    <s v="Fertilizers"/>
    <n v="1975"/>
    <d v="2023-11-14T00:00:00"/>
    <n v="1010100"/>
    <s v="VENDAS MERCADO INTERNO"/>
    <n v="342"/>
    <n v="23787.68"/>
    <n v="0"/>
    <n v="0"/>
    <n v="0"/>
    <n v="0"/>
    <n v="0"/>
    <n v="0"/>
    <n v="23787.68"/>
    <n v="23787.68"/>
    <n v="23787.68"/>
    <s v="Recuperação Judicial"/>
    <m/>
  </r>
  <r>
    <n v="6132"/>
    <x v="15"/>
    <s v="02.560.903/0001-52"/>
    <n v="30381.599999999999"/>
    <n v="1246115171"/>
    <d v="2024-06-23T00:00:00"/>
    <m/>
    <s v="2"/>
    <s v="Fertilizers"/>
    <n v="1976"/>
    <d v="2023-11-14T00:00:00"/>
    <n v="1010100"/>
    <s v="VENDAS MERCADO INTERNO"/>
    <n v="342"/>
    <n v="30381.599999999999"/>
    <n v="0"/>
    <n v="0"/>
    <n v="0"/>
    <n v="0"/>
    <n v="0"/>
    <n v="0"/>
    <n v="30381.599999999999"/>
    <n v="30381.599999999999"/>
    <n v="30381.599999999999"/>
    <s v="Recuperação Judicial"/>
    <m/>
  </r>
  <r>
    <n v="6132"/>
    <x v="15"/>
    <s v="02.560.903/0001-52"/>
    <n v="107022"/>
    <n v="1246110109"/>
    <d v="2024-05-27T00:00:00"/>
    <m/>
    <s v="2"/>
    <s v="Fertilizers"/>
    <n v="347"/>
    <d v="2023-10-18T00:00:00"/>
    <n v="1010100"/>
    <s v="VENDAS MERCADO INTERNO"/>
    <n v="369"/>
    <n v="107022"/>
    <n v="0"/>
    <n v="0"/>
    <n v="0"/>
    <n v="0"/>
    <n v="0"/>
    <n v="0"/>
    <n v="107022"/>
    <n v="107022"/>
    <n v="107022"/>
    <s v="Recuperação Judicial"/>
    <m/>
  </r>
  <r>
    <n v="6132"/>
    <x v="15"/>
    <s v="02.560.903/0001-52"/>
    <n v="83822.5"/>
    <n v="1246111211"/>
    <d v="2024-06-21T00:00:00"/>
    <m/>
    <s v="2"/>
    <s v="Fertilizers"/>
    <n v="1719"/>
    <d v="2023-10-25T00:00:00"/>
    <n v="1010100"/>
    <s v="VENDAS MERCADO INTERNO"/>
    <n v="344"/>
    <n v="83822.5"/>
    <n v="0"/>
    <n v="0"/>
    <n v="0"/>
    <n v="0"/>
    <n v="0"/>
    <n v="0"/>
    <n v="83822.5"/>
    <n v="83822.5"/>
    <n v="83822.5"/>
    <s v="Recuperação Judicial"/>
    <m/>
  </r>
  <r>
    <n v="6132"/>
    <x v="15"/>
    <s v="02.560.903/0001-52"/>
    <n v="169458.49999999997"/>
    <n v="1246110264"/>
    <d v="2024-05-28T00:00:00"/>
    <m/>
    <s v="2"/>
    <s v="Fertilizers"/>
    <n v="1662"/>
    <d v="2023-10-19T00:00:00"/>
    <n v="1010100"/>
    <s v="VENDAS MERCADO INTERNO"/>
    <n v="368"/>
    <n v="169458.49999999997"/>
    <n v="0"/>
    <n v="0"/>
    <n v="0"/>
    <n v="0"/>
    <n v="0"/>
    <n v="0"/>
    <n v="169458.49999999997"/>
    <n v="169458.49999999997"/>
    <n v="169458.49999999997"/>
    <s v="Recuperação Judicial"/>
    <m/>
  </r>
  <r>
    <n v="6132"/>
    <x v="15"/>
    <s v="02.560.903/0001-52"/>
    <n v="135934"/>
    <n v="1246131961"/>
    <d v="2024-10-01T00:00:00"/>
    <m/>
    <s v="2"/>
    <s v="Fertilizers"/>
    <n v="2969"/>
    <d v="2024-03-01T00:00:00"/>
    <n v="1010100"/>
    <s v="VENDAS MERCADO INTERNO"/>
    <n v="242"/>
    <n v="36573.231649391731"/>
    <n v="0"/>
    <n v="0"/>
    <n v="0"/>
    <n v="0"/>
    <n v="0"/>
    <n v="0"/>
    <n v="135934"/>
    <n v="36573.231649391731"/>
    <n v="36573.231649391731"/>
    <s v="Recuperação Judicial"/>
    <m/>
  </r>
  <r>
    <n v="6132"/>
    <x v="15"/>
    <s v="02.560.903/0001-52"/>
    <n v="108747.2"/>
    <n v="1246132951"/>
    <d v="2024-10-07T00:00:00"/>
    <m/>
    <s v="2"/>
    <s v="Fertilizers"/>
    <n v="3007"/>
    <d v="2024-03-07T00:00:00"/>
    <n v="1010100"/>
    <s v="VENDAS MERCADO INTERNO"/>
    <n v="236"/>
    <n v="29258.585319513386"/>
    <n v="0"/>
    <n v="0"/>
    <n v="0"/>
    <n v="0"/>
    <n v="0"/>
    <n v="0"/>
    <n v="108747.2"/>
    <n v="29258.585319513386"/>
    <n v="29258.585319513386"/>
    <s v="Recuperação Judicial"/>
    <m/>
  </r>
  <r>
    <n v="6132"/>
    <x v="15"/>
    <s v="02.560.903/0001-52"/>
    <n v="86997.759999999995"/>
    <n v="1246131102"/>
    <d v="2024-10-05T00:00:00"/>
    <m/>
    <s v="2"/>
    <s v="Fertilizers"/>
    <n v="2917"/>
    <d v="2024-02-26T00:00:00"/>
    <n v="1010100"/>
    <s v="VENDAS MERCADO INTERNO"/>
    <n v="238"/>
    <n v="23406.868255610709"/>
    <n v="0"/>
    <n v="0"/>
    <n v="0"/>
    <n v="0"/>
    <n v="0"/>
    <n v="0"/>
    <n v="86997.759999999995"/>
    <n v="23406.868255610709"/>
    <n v="23406.868255610709"/>
    <s v="Recuperação Judicial"/>
    <m/>
  </r>
  <r>
    <n v="6132"/>
    <x v="15"/>
    <s v="02.560.903/0001-52"/>
    <n v="29450.6"/>
    <n v="1246146931"/>
    <d v="2024-10-19T00:00:00"/>
    <m/>
    <s v="2"/>
    <s v="Fertilizers"/>
    <n v="3632"/>
    <d v="2024-05-22T00:00:00"/>
    <n v="1010100"/>
    <s v="VENDAS MERCADO INTERNO"/>
    <n v="224"/>
    <n v="7923.724866579194"/>
    <n v="0"/>
    <n v="0"/>
    <n v="0"/>
    <n v="0"/>
    <n v="0"/>
    <n v="0"/>
    <n v="29450.6"/>
    <n v="7923.724866579194"/>
    <n v="7923.724866579194"/>
    <s v="Recuperação Judicial"/>
    <m/>
  </r>
  <r>
    <n v="6132"/>
    <x v="15"/>
    <s v="02.560.903/0001-52"/>
    <n v="38061.519999999997"/>
    <n v="1246146932"/>
    <d v="2024-10-04T00:00:00"/>
    <m/>
    <s v="2"/>
    <s v="Fertilizers"/>
    <n v="3633"/>
    <d v="2024-05-22T00:00:00"/>
    <n v="1010100"/>
    <s v="VENDAS MERCADO INTERNO"/>
    <n v="239"/>
    <n v="10240.504861829684"/>
    <n v="0"/>
    <n v="0"/>
    <n v="0"/>
    <n v="0"/>
    <n v="0"/>
    <n v="0"/>
    <n v="38061.519999999997"/>
    <n v="10240.504861829684"/>
    <n v="10240.504861829684"/>
    <s v="Recuperação Judicial"/>
    <m/>
  </r>
  <r>
    <n v="6132"/>
    <x v="15"/>
    <s v="02.560.903/0001-52"/>
    <n v="8760"/>
    <n v="1246146933"/>
    <d v="2024-06-19T00:00:00"/>
    <m/>
    <s v="2"/>
    <s v="Fertilizers"/>
    <n v="3634"/>
    <d v="2024-05-22T00:00:00"/>
    <n v="1010100"/>
    <s v="VENDAS MERCADO INTERNO"/>
    <n v="346"/>
    <n v="8760"/>
    <n v="0"/>
    <n v="0"/>
    <n v="0"/>
    <n v="0"/>
    <n v="0"/>
    <n v="0"/>
    <n v="8760"/>
    <n v="8760"/>
    <n v="8760"/>
    <s v="Recuperação Judicial"/>
    <m/>
  </r>
  <r>
    <n v="6132"/>
    <x v="15"/>
    <s v="02.560.903/0001-52"/>
    <n v="14851.85"/>
    <n v="1246132474"/>
    <d v="2024-10-05T00:00:00"/>
    <m/>
    <s v="2"/>
    <s v="Fertilizers"/>
    <n v="2989"/>
    <d v="2024-03-05T00:00:00"/>
    <n v="1010100"/>
    <s v="VENDAS MERCADO INTERNO"/>
    <n v="238"/>
    <n v="3995.910886695151"/>
    <n v="0"/>
    <n v="0"/>
    <n v="0"/>
    <n v="0"/>
    <n v="0"/>
    <n v="0"/>
    <n v="14851.85"/>
    <n v="3995.910886695151"/>
    <n v="3995.910886695151"/>
    <s v="Recuperação Judicial"/>
    <m/>
  </r>
  <r>
    <n v="6132"/>
    <x v="15"/>
    <s v="02.560.903/0001-52"/>
    <n v="99200.52"/>
    <n v="1246147269"/>
    <d v="2024-10-06T00:00:00"/>
    <m/>
    <s v="2"/>
    <s v="Fertilizers"/>
    <n v="3665"/>
    <d v="2024-05-24T00:00:00"/>
    <n v="1010100"/>
    <s v="VENDAS MERCADO INTERNO"/>
    <n v="237"/>
    <n v="26690.037795548706"/>
    <n v="0"/>
    <n v="0"/>
    <n v="0"/>
    <n v="0"/>
    <n v="0"/>
    <n v="0"/>
    <n v="99200.52"/>
    <n v="26690.037795548706"/>
    <n v="26690.037795548706"/>
    <s v="Recuperação Judicial"/>
    <m/>
  </r>
  <r>
    <n v="6132"/>
    <x v="15"/>
    <s v="02.560.903/0001-52"/>
    <n v="33509.519999999997"/>
    <n v="1246148020"/>
    <d v="2024-10-11T00:00:00"/>
    <m/>
    <s v="2"/>
    <s v="Fertilizers"/>
    <n v="3714"/>
    <d v="2024-05-29T00:00:00"/>
    <n v="1010100"/>
    <s v="VENDAS MERCADO INTERNO"/>
    <n v="232"/>
    <n v="9015.7829345117862"/>
    <n v="0"/>
    <n v="0"/>
    <n v="0"/>
    <n v="0"/>
    <n v="0"/>
    <n v="0"/>
    <n v="33509.519999999997"/>
    <n v="9015.7829345117862"/>
    <n v="9015.7829345117862"/>
    <s v="Recuperação Judicial"/>
    <m/>
  </r>
  <r>
    <n v="6132"/>
    <x v="15"/>
    <s v="02.560.903/0001-52"/>
    <n v="56218.2"/>
    <n v="1246148019"/>
    <d v="2024-10-11T00:00:00"/>
    <m/>
    <s v="2"/>
    <s v="Fertilizers"/>
    <n v="3713"/>
    <d v="2024-05-29T00:00:00"/>
    <n v="1010100"/>
    <s v="VENDAS MERCADO INTERNO"/>
    <n v="232"/>
    <n v="15125.584853766051"/>
    <n v="0"/>
    <n v="0"/>
    <n v="0"/>
    <n v="0"/>
    <n v="0"/>
    <n v="0"/>
    <n v="56218.2"/>
    <n v="15125.584853766051"/>
    <n v="15125.584853766051"/>
    <s v="Recuperação Judicial"/>
    <m/>
  </r>
  <r>
    <n v="6132"/>
    <x v="15"/>
    <s v="02.560.903/0001-52"/>
    <n v="95220.3"/>
    <n v="1246135170"/>
    <d v="2024-10-01T00:00:00"/>
    <m/>
    <s v="2"/>
    <s v="Fertilizers"/>
    <n v="3136"/>
    <d v="2024-03-21T00:00:00"/>
    <n v="1010100"/>
    <s v="VENDAS MERCADO INTERNO"/>
    <n v="242"/>
    <n v="25619.154072009769"/>
    <n v="0"/>
    <n v="0"/>
    <n v="0"/>
    <n v="0"/>
    <n v="0"/>
    <n v="0"/>
    <n v="95220.3"/>
    <n v="25619.154072009769"/>
    <n v="25619.154072009769"/>
    <s v="Recuperação Judicial"/>
    <m/>
  </r>
  <r>
    <n v="6132"/>
    <x v="15"/>
    <s v="02.560.903/0001-52"/>
    <n v="29542.9"/>
    <n v="1246135172"/>
    <d v="2024-10-01T00:00:00"/>
    <m/>
    <s v="2"/>
    <s v="Fertilizers"/>
    <n v="3137"/>
    <d v="2024-03-21T00:00:00"/>
    <n v="1010100"/>
    <s v="VENDAS MERCADO INTERNO"/>
    <n v="242"/>
    <n v="7948.558309876963"/>
    <n v="0"/>
    <n v="0"/>
    <n v="0"/>
    <n v="0"/>
    <n v="0"/>
    <n v="0"/>
    <n v="29542.9"/>
    <n v="7948.558309876963"/>
    <n v="7948.558309876963"/>
    <s v="Recuperação Judicial"/>
    <m/>
  </r>
  <r>
    <n v="6132"/>
    <x v="15"/>
    <s v="02.560.903/0001-52"/>
    <n v="92588.02"/>
    <n v="1246138275"/>
    <d v="2024-10-05T00:00:00"/>
    <m/>
    <s v="2"/>
    <s v="Fertilizers"/>
    <n v="3249"/>
    <d v="2024-04-08T00:00:00"/>
    <n v="1010100"/>
    <s v="VENDAS MERCADO INTERNO"/>
    <n v="238"/>
    <n v="24910.935479118652"/>
    <n v="0"/>
    <n v="0"/>
    <n v="0"/>
    <n v="0"/>
    <n v="0"/>
    <n v="0"/>
    <n v="92588.02"/>
    <n v="24910.935479118652"/>
    <n v="24910.935479118652"/>
    <s v="Recuperação Judicial"/>
    <m/>
  </r>
  <r>
    <n v="6132"/>
    <x v="15"/>
    <s v="02.560.903/0001-52"/>
    <n v="97872.48"/>
    <n v="1246135813"/>
    <d v="2024-10-05T00:00:00"/>
    <m/>
    <s v="2"/>
    <s v="Fertilizers"/>
    <n v="3160"/>
    <d v="2024-03-25T00:00:00"/>
    <n v="1010100"/>
    <s v="VENDAS MERCADO INTERNO"/>
    <n v="238"/>
    <n v="26332.726787562049"/>
    <n v="0"/>
    <n v="0"/>
    <n v="0"/>
    <n v="0"/>
    <n v="0"/>
    <n v="0"/>
    <n v="97872.48"/>
    <n v="26332.726787562049"/>
    <n v="26332.726787562049"/>
    <s v="Recuperação Judicial"/>
    <m/>
  </r>
  <r>
    <n v="6132"/>
    <x v="15"/>
    <s v="02.560.903/0001-52"/>
    <n v="155705"/>
    <n v="1246130904"/>
    <d v="2024-10-02T00:00:00"/>
    <m/>
    <s v="2"/>
    <s v="Fertilizers"/>
    <n v="2906"/>
    <d v="2024-02-23T00:00:00"/>
    <n v="1010100"/>
    <s v="VENDAS MERCADO INTERNO"/>
    <n v="241"/>
    <n v="41892.64668124634"/>
    <n v="0"/>
    <n v="0"/>
    <n v="0"/>
    <n v="0"/>
    <n v="0"/>
    <n v="0"/>
    <n v="155705"/>
    <n v="41892.64668124634"/>
    <n v="41892.64668124634"/>
    <s v="Recuperação Judicial"/>
    <m/>
  </r>
  <r>
    <n v="6132"/>
    <x v="15"/>
    <s v="02.560.903/0001-52"/>
    <n v="86997.759999999995"/>
    <n v="1246137598"/>
    <d v="2024-10-01T00:00:00"/>
    <m/>
    <s v="2"/>
    <s v="Fertilizers"/>
    <n v="3223"/>
    <d v="2024-04-04T00:00:00"/>
    <n v="1010100"/>
    <s v="VENDAS MERCADO INTERNO"/>
    <n v="242"/>
    <n v="23406.868255610709"/>
    <n v="0"/>
    <n v="0"/>
    <n v="0"/>
    <n v="0"/>
    <n v="0"/>
    <n v="0"/>
    <n v="86997.759999999995"/>
    <n v="23406.868255610709"/>
    <n v="23406.868255610709"/>
    <s v="Recuperação Judicial"/>
    <m/>
  </r>
  <r>
    <n v="6132"/>
    <x v="15"/>
    <s v="02.560.903/0001-52"/>
    <n v="55849.2"/>
    <n v="1246147270"/>
    <d v="2024-10-06T00:00:00"/>
    <m/>
    <s v="2"/>
    <s v="Fertilizers"/>
    <n v="3666"/>
    <d v="2024-05-24T00:00:00"/>
    <n v="1010100"/>
    <s v="VENDAS MERCADO INTERNO"/>
    <n v="237"/>
    <n v="15026.304890852978"/>
    <n v="0"/>
    <n v="0"/>
    <n v="0"/>
    <n v="0"/>
    <n v="0"/>
    <n v="0"/>
    <n v="55849.2"/>
    <n v="15026.304890852978"/>
    <n v="15026.304890852978"/>
    <s v="Recuperação Judicial"/>
    <m/>
  </r>
  <r>
    <n v="6132"/>
    <x v="15"/>
    <s v="02.560.903/0001-52"/>
    <n v="97872.48"/>
    <n v="1246131241"/>
    <d v="2024-10-06T00:00:00"/>
    <m/>
    <s v="2"/>
    <s v="Fertilizers"/>
    <n v="2928"/>
    <d v="2024-02-27T00:00:00"/>
    <n v="1010100"/>
    <s v="VENDAS MERCADO INTERNO"/>
    <n v="237"/>
    <n v="26332.726787562049"/>
    <n v="0"/>
    <n v="0"/>
    <n v="0"/>
    <n v="0"/>
    <n v="0"/>
    <n v="0"/>
    <n v="97872.48"/>
    <n v="26332.726787562049"/>
    <n v="26332.726787562049"/>
    <s v="Recuperação Judicial"/>
    <m/>
  </r>
  <r>
    <n v="6132"/>
    <x v="15"/>
    <s v="02.560.903/0001-52"/>
    <n v="57092.28"/>
    <n v="1246133070"/>
    <d v="2024-10-08T00:00:00"/>
    <m/>
    <s v="2"/>
    <s v="Fertilizers"/>
    <n v="3012"/>
    <d v="2024-03-08T00:00:00"/>
    <n v="1010100"/>
    <s v="VENDAS MERCADO INTERNO"/>
    <n v="235"/>
    <n v="15360.757292744529"/>
    <n v="0"/>
    <n v="0"/>
    <n v="0"/>
    <n v="0"/>
    <n v="0"/>
    <n v="0"/>
    <n v="57092.28"/>
    <n v="15360.757292744529"/>
    <n v="15360.757292744529"/>
    <s v="Recuperação Judicial"/>
    <m/>
  </r>
  <r>
    <n v="6132"/>
    <x v="15"/>
    <s v="02.560.903/0001-52"/>
    <n v="86997.759999999995"/>
    <n v="1246131594"/>
    <d v="2024-10-08T00:00:00"/>
    <m/>
    <s v="2"/>
    <s v="Fertilizers"/>
    <n v="2956"/>
    <d v="2024-02-29T00:00:00"/>
    <n v="1010100"/>
    <s v="VENDAS MERCADO INTERNO"/>
    <n v="235"/>
    <n v="23406.868255610709"/>
    <n v="0"/>
    <n v="0"/>
    <n v="0"/>
    <n v="0"/>
    <n v="0"/>
    <n v="0"/>
    <n v="86997.759999999995"/>
    <n v="23406.868255610709"/>
    <n v="23406.868255610709"/>
    <s v="Recuperação Judicial"/>
    <m/>
  </r>
  <r>
    <n v="6132"/>
    <x v="15"/>
    <s v="02.560.903/0001-52"/>
    <n v="86997.759999999995"/>
    <n v="1246133332"/>
    <d v="2024-10-11T00:00:00"/>
    <m/>
    <s v="2"/>
    <s v="Fertilizers"/>
    <n v="3028"/>
    <d v="2024-03-11T00:00:00"/>
    <n v="1010100"/>
    <s v="VENDAS MERCADO INTERNO"/>
    <n v="232"/>
    <n v="23406.868255610709"/>
    <n v="0"/>
    <n v="0"/>
    <n v="0"/>
    <n v="0"/>
    <n v="0"/>
    <n v="0"/>
    <n v="86997.759999999995"/>
    <n v="23406.868255610709"/>
    <n v="23406.868255610709"/>
    <s v="Recuperação Judicial"/>
    <m/>
  </r>
  <r>
    <n v="6132"/>
    <x v="15"/>
    <s v="02.560.903/0001-52"/>
    <n v="95153.8"/>
    <n v="1246133718"/>
    <d v="2024-10-13T00:00:00"/>
    <m/>
    <s v="2"/>
    <s v="Fertilizers"/>
    <n v="3051"/>
    <d v="2024-03-13T00:00:00"/>
    <n v="1010100"/>
    <s v="VENDAS MERCADO INTERNO"/>
    <n v="230"/>
    <n v="25601.262154574215"/>
    <n v="0"/>
    <n v="0"/>
    <n v="0"/>
    <n v="0"/>
    <n v="0"/>
    <n v="0"/>
    <n v="95153.8"/>
    <n v="25601.262154574215"/>
    <n v="25601.262154574215"/>
    <s v="Recuperação Judicial"/>
    <m/>
  </r>
  <r>
    <n v="6132"/>
    <x v="15"/>
    <s v="02.560.903/0001-52"/>
    <n v="116501.9"/>
    <n v="1246138114"/>
    <d v="2024-10-05T00:00:00"/>
    <m/>
    <s v="2"/>
    <s v="Fertilizers"/>
    <n v="3243"/>
    <d v="2024-04-08T00:00:00"/>
    <n v="1010100"/>
    <s v="VENDAS MERCADO INTERNO"/>
    <n v="238"/>
    <n v="31344.998133610949"/>
    <n v="0"/>
    <n v="0"/>
    <n v="0"/>
    <n v="0"/>
    <n v="0"/>
    <n v="0"/>
    <n v="116501.9"/>
    <n v="31344.998133610949"/>
    <n v="31344.998133610949"/>
    <s v="Recuperação Judicial"/>
    <m/>
  </r>
  <r>
    <n v="6132"/>
    <x v="15"/>
    <s v="02.560.903/0001-52"/>
    <n v="134954"/>
    <n v="1246130651"/>
    <d v="2024-10-01T00:00:00"/>
    <m/>
    <s v="2"/>
    <s v="Fertilizers"/>
    <n v="2889"/>
    <d v="2024-02-22T00:00:00"/>
    <n v="1010100"/>
    <s v="VENDAS MERCADO INTERNO"/>
    <n v="242"/>
    <n v="36309.561287183576"/>
    <n v="0"/>
    <n v="0"/>
    <n v="0"/>
    <n v="0"/>
    <n v="0"/>
    <n v="0"/>
    <n v="134954"/>
    <n v="36309.561287183576"/>
    <n v="36309.561287183576"/>
    <s v="Recuperação Judicial"/>
    <m/>
  </r>
  <r>
    <n v="6132"/>
    <x v="15"/>
    <s v="02.560.903/0001-52"/>
    <n v="86997.759999999995"/>
    <n v="1246131630"/>
    <d v="2024-10-08T00:00:00"/>
    <m/>
    <s v="2"/>
    <s v="Fertilizers"/>
    <n v="2958"/>
    <d v="2024-02-29T00:00:00"/>
    <n v="1010100"/>
    <s v="VENDAS MERCADO INTERNO"/>
    <n v="235"/>
    <n v="23406.868255610709"/>
    <n v="0"/>
    <n v="0"/>
    <n v="0"/>
    <n v="0"/>
    <n v="0"/>
    <n v="0"/>
    <n v="86997.759999999995"/>
    <n v="23406.868255610709"/>
    <n v="23406.868255610709"/>
    <s v="Recuperação Judicial"/>
    <m/>
  </r>
  <r>
    <n v="6132"/>
    <x v="15"/>
    <s v="02.560.903/0001-52"/>
    <n v="29949.599999999999"/>
    <n v="1246133071"/>
    <d v="2024-10-08T00:00:00"/>
    <m/>
    <s v="2"/>
    <s v="Fertilizers"/>
    <n v="3013"/>
    <d v="2024-03-08T00:00:00"/>
    <n v="1010100"/>
    <s v="VENDAS MERCADO INTERNO"/>
    <n v="235"/>
    <n v="8057.9815101933482"/>
    <n v="0"/>
    <n v="0"/>
    <n v="0"/>
    <n v="0"/>
    <n v="0"/>
    <n v="0"/>
    <n v="29949.599999999999"/>
    <n v="8057.9815101933482"/>
    <n v="8057.9815101933482"/>
    <s v="Recuperação Judicial"/>
    <m/>
  </r>
  <r>
    <n v="6132"/>
    <x v="15"/>
    <s v="02.560.903/0001-52"/>
    <n v="54275.6"/>
    <n v="1246132475"/>
    <d v="2024-10-05T00:00:00"/>
    <m/>
    <s v="2"/>
    <s v="Fertilizers"/>
    <n v="2990"/>
    <d v="2024-03-05T00:00:00"/>
    <n v="1010100"/>
    <s v="VENDAS MERCADO INTERNO"/>
    <n v="238"/>
    <n v="14602.925623535877"/>
    <n v="0"/>
    <n v="0"/>
    <n v="0"/>
    <n v="0"/>
    <n v="0"/>
    <n v="0"/>
    <n v="54275.6"/>
    <n v="14602.925623535877"/>
    <n v="14602.925623535877"/>
    <s v="Recuperação Judicial"/>
    <m/>
  </r>
  <r>
    <n v="6132"/>
    <x v="15"/>
    <s v="02.560.903/0001-52"/>
    <n v="97872.48"/>
    <n v="1246132869"/>
    <d v="2024-10-07T00:00:00"/>
    <m/>
    <s v="2"/>
    <s v="Fertilizers"/>
    <n v="3001"/>
    <d v="2024-03-07T00:00:00"/>
    <n v="1010100"/>
    <s v="VENDAS MERCADO INTERNO"/>
    <n v="236"/>
    <n v="26332.726787562049"/>
    <n v="0"/>
    <n v="0"/>
    <n v="0"/>
    <n v="0"/>
    <n v="0"/>
    <n v="0"/>
    <n v="97872.48"/>
    <n v="26332.726787562049"/>
    <n v="26332.726787562049"/>
    <s v="Recuperação Judicial"/>
    <m/>
  </r>
  <r>
    <n v="6132"/>
    <x v="15"/>
    <s v="02.560.903/0001-52"/>
    <n v="86997.759999999995"/>
    <n v="1246147192"/>
    <d v="2024-10-06T00:00:00"/>
    <m/>
    <s v="2"/>
    <s v="Fertilizers"/>
    <n v="3654"/>
    <d v="2024-05-24T00:00:00"/>
    <n v="1010100"/>
    <s v="VENDAS MERCADO INTERNO"/>
    <n v="237"/>
    <n v="23406.868255610709"/>
    <n v="0"/>
    <n v="0"/>
    <n v="0"/>
    <n v="0"/>
    <n v="0"/>
    <n v="0"/>
    <n v="86997.759999999995"/>
    <n v="23406.868255610709"/>
    <n v="23406.868255610709"/>
    <s v="Recuperação Judicial"/>
    <m/>
  </r>
  <r>
    <n v="6132"/>
    <x v="15"/>
    <s v="02.560.903/0001-52"/>
    <n v="101192.76"/>
    <n v="1246148270"/>
    <d v="2024-10-13T00:00:00"/>
    <m/>
    <s v="2"/>
    <s v="Fertilizers"/>
    <n v="3731"/>
    <d v="2024-05-31T00:00:00"/>
    <n v="1010100"/>
    <s v="VENDAS MERCADO INTERNO"/>
    <n v="230"/>
    <n v="27226.052736778893"/>
    <n v="0"/>
    <n v="0"/>
    <n v="0"/>
    <n v="0"/>
    <n v="0"/>
    <n v="0"/>
    <n v="101192.76"/>
    <n v="27226.052736778893"/>
    <n v="27226.052736778893"/>
    <s v="Recuperação Judicial"/>
    <m/>
  </r>
  <r>
    <n v="6304"/>
    <x v="16"/>
    <s v="20.354.986/0001-05"/>
    <n v="116900"/>
    <n v="1246176435"/>
    <d v="2025-02-15T00:00:00"/>
    <m/>
    <s v="2"/>
    <s v="Fertilizers"/>
    <n v="5643"/>
    <d v="2024-10-11T00:00:00"/>
    <n v="1010100"/>
    <s v="VENDAS MERCADO INTERNO"/>
    <n v="105"/>
    <n v="0"/>
    <n v="3507"/>
    <n v="0"/>
    <n v="0"/>
    <n v="3507"/>
    <n v="0"/>
    <n v="0"/>
    <n v="0"/>
    <n v="0"/>
    <n v="3507"/>
    <s v="Cobrança Administrativa"/>
    <m/>
  </r>
  <r>
    <n v="6304"/>
    <x v="16"/>
    <s v="20.354.986/0001-05"/>
    <n v="90600"/>
    <n v="1246176030"/>
    <d v="2025-02-15T00:00:00"/>
    <m/>
    <s v="2"/>
    <s v="Fertilizers"/>
    <n v="5613"/>
    <d v="2024-10-09T00:00:00"/>
    <n v="1010100"/>
    <s v="VENDAS MERCADO INTERNO"/>
    <n v="105"/>
    <n v="0"/>
    <n v="2718"/>
    <n v="0"/>
    <n v="0"/>
    <n v="2718"/>
    <n v="0"/>
    <n v="0"/>
    <n v="0"/>
    <n v="0"/>
    <n v="2718"/>
    <s v="Cobrança Administrativa"/>
    <m/>
  </r>
  <r>
    <n v="6304"/>
    <x v="16"/>
    <s v="20.354.986/0001-05"/>
    <n v="96640"/>
    <n v="1246179612"/>
    <d v="2025-02-15T00:00:00"/>
    <m/>
    <s v="2"/>
    <s v="Fertilizers"/>
    <n v="5902"/>
    <d v="2024-10-30T00:00:00"/>
    <n v="1010100"/>
    <s v="VENDAS MERCADO INTERNO"/>
    <n v="105"/>
    <n v="0"/>
    <n v="2899.2"/>
    <n v="0"/>
    <n v="0"/>
    <n v="2899.2"/>
    <n v="0"/>
    <n v="0"/>
    <n v="0"/>
    <n v="0"/>
    <n v="2899.2"/>
    <s v="Cobrança Administrativa"/>
    <m/>
  </r>
  <r>
    <n v="6304"/>
    <x v="16"/>
    <s v="20.354.986/0001-05"/>
    <n v="45030"/>
    <n v="1246181004"/>
    <d v="2025-02-15T00:00:00"/>
    <m/>
    <s v="2"/>
    <s v="Fertilizers"/>
    <n v="5993"/>
    <d v="2024-11-06T00:00:00"/>
    <n v="1010100"/>
    <s v="VENDAS MERCADO INTERNO"/>
    <n v="105"/>
    <n v="0"/>
    <n v="1350.8999999999999"/>
    <n v="0"/>
    <n v="0"/>
    <n v="1350.8999999999999"/>
    <n v="0"/>
    <n v="0"/>
    <n v="0"/>
    <n v="0"/>
    <n v="1350.8999999999999"/>
    <s v="Cobrança Administrativa"/>
    <m/>
  </r>
  <r>
    <n v="6304"/>
    <x v="16"/>
    <s v="20.354.986/0001-05"/>
    <n v="36240"/>
    <n v="1246179653"/>
    <d v="2025-02-15T00:00:00"/>
    <m/>
    <s v="2"/>
    <s v="Fertilizers"/>
    <n v="5905"/>
    <d v="2024-10-30T00:00:00"/>
    <n v="1010100"/>
    <s v="VENDAS MERCADO INTERNO"/>
    <n v="105"/>
    <n v="0"/>
    <n v="1087.2"/>
    <n v="0"/>
    <n v="0"/>
    <n v="1087.2"/>
    <n v="0"/>
    <n v="0"/>
    <n v="0"/>
    <n v="0"/>
    <n v="1087.2"/>
    <s v="Cobrança Administrativa"/>
    <m/>
  </r>
  <r>
    <n v="6304"/>
    <x v="16"/>
    <s v="20.354.986/0001-05"/>
    <n v="66456"/>
    <n v="1246176527"/>
    <d v="2025-02-15T00:00:00"/>
    <m/>
    <s v="2"/>
    <s v="Fertilizers"/>
    <n v="5648"/>
    <d v="2024-10-11T00:00:00"/>
    <n v="1010100"/>
    <s v="VENDAS MERCADO INTERNO"/>
    <n v="105"/>
    <n v="0"/>
    <n v="1993.6799999999998"/>
    <n v="0"/>
    <n v="0"/>
    <n v="1993.6799999999998"/>
    <n v="0"/>
    <n v="0"/>
    <n v="0"/>
    <n v="0"/>
    <n v="1993.6799999999998"/>
    <s v="Cobrança Administrativa"/>
    <m/>
  </r>
  <r>
    <n v="6304"/>
    <x v="16"/>
    <s v="20.354.986/0001-05"/>
    <n v="93520"/>
    <n v="1246175967"/>
    <d v="2025-02-15T00:00:00"/>
    <m/>
    <s v="2"/>
    <s v="Fertilizers"/>
    <n v="5611"/>
    <d v="2024-10-09T00:00:00"/>
    <n v="1010100"/>
    <s v="VENDAS MERCADO INTERNO"/>
    <n v="105"/>
    <n v="0"/>
    <n v="2805.6"/>
    <n v="0"/>
    <n v="0"/>
    <n v="2805.6"/>
    <n v="0"/>
    <n v="0"/>
    <n v="0"/>
    <n v="0"/>
    <n v="2805.6"/>
    <s v="Cobrança Administrativa"/>
    <m/>
  </r>
  <r>
    <n v="6304"/>
    <x v="16"/>
    <s v="20.354.986/0001-05"/>
    <n v="45300"/>
    <n v="1246181003"/>
    <d v="2025-02-15T00:00:00"/>
    <m/>
    <s v="2"/>
    <s v="Fertilizers"/>
    <n v="5992"/>
    <d v="2024-11-06T00:00:00"/>
    <n v="1010100"/>
    <s v="VENDAS MERCADO INTERNO"/>
    <n v="105"/>
    <n v="0"/>
    <n v="1359"/>
    <n v="0"/>
    <n v="0"/>
    <n v="1359"/>
    <n v="0"/>
    <n v="0"/>
    <n v="0"/>
    <n v="0"/>
    <n v="1359"/>
    <s v="Cobrança Administrativa"/>
    <m/>
  </r>
  <r>
    <n v="6304"/>
    <x v="16"/>
    <s v="20.354.986/0001-05"/>
    <n v="51688"/>
    <n v="1246179654"/>
    <d v="2025-02-15T00:00:00"/>
    <m/>
    <s v="2"/>
    <s v="Fertilizers"/>
    <n v="5906"/>
    <d v="2024-10-30T00:00:00"/>
    <n v="1010100"/>
    <s v="VENDAS MERCADO INTERNO"/>
    <n v="105"/>
    <n v="0"/>
    <n v="1550.6399999999999"/>
    <n v="0"/>
    <n v="0"/>
    <n v="1550.6399999999999"/>
    <n v="0"/>
    <n v="0"/>
    <n v="0"/>
    <n v="0"/>
    <n v="1550.6399999999999"/>
    <s v="Cobrança Administrativa"/>
    <m/>
  </r>
  <r>
    <n v="6304"/>
    <x v="16"/>
    <s v="20.354.986/0001-05"/>
    <n v="16700"/>
    <n v="1246176032"/>
    <d v="2025-02-15T00:00:00"/>
    <m/>
    <s v="2"/>
    <s v="Fertilizers"/>
    <n v="5614"/>
    <d v="2024-10-09T00:00:00"/>
    <n v="1010100"/>
    <s v="VENDAS MERCADO INTERNO"/>
    <n v="105"/>
    <n v="0"/>
    <n v="501"/>
    <n v="0"/>
    <n v="0"/>
    <n v="501"/>
    <n v="0"/>
    <n v="0"/>
    <n v="0"/>
    <n v="0"/>
    <n v="501"/>
    <s v="Cobrança Administrativa"/>
    <m/>
  </r>
  <r>
    <n v="5900"/>
    <x v="17"/>
    <s v="23.518.337/0001-90"/>
    <n v="69080"/>
    <n v="1245995296"/>
    <d v="2022-07-29T00:00:00"/>
    <m/>
    <s v="2"/>
    <s v="Fertilizers"/>
    <n v="16694"/>
    <d v="2022-01-18T00:00:00"/>
    <n v="1010100"/>
    <s v="VENDAS MERCADO INTERNO"/>
    <n v="1037"/>
    <n v="69079.999999999985"/>
    <n v="0"/>
    <n v="0"/>
    <n v="0"/>
    <n v="2072.4"/>
    <n v="0"/>
    <n v="67007.599999999991"/>
    <n v="69080"/>
    <n v="0"/>
    <n v="69079.999999999985"/>
    <s v="Cobrança Administrativa"/>
    <m/>
  </r>
  <r>
    <n v="5900"/>
    <x v="17"/>
    <s v="23.518.337/0001-90"/>
    <n v="41448"/>
    <n v="1245995293"/>
    <d v="2022-07-29T00:00:00"/>
    <m/>
    <s v="2"/>
    <s v="Fertilizers"/>
    <n v="16693"/>
    <d v="2022-01-18T00:00:00"/>
    <n v="1010100"/>
    <s v="VENDAS MERCADO INTERNO"/>
    <n v="1037"/>
    <n v="41448"/>
    <n v="0"/>
    <n v="0"/>
    <n v="0"/>
    <n v="1243.44"/>
    <n v="0"/>
    <n v="40204.559999999998"/>
    <n v="41448"/>
    <n v="0"/>
    <n v="41448"/>
    <s v="Cobrança Administrativa"/>
    <m/>
  </r>
  <r>
    <n v="4575"/>
    <x v="18"/>
    <s v="15.807.135/0001-30"/>
    <n v="20940"/>
    <n v="1246113043"/>
    <d v="2024-01-20T00:00:00"/>
    <m/>
    <s v="1"/>
    <s v="Adtives"/>
    <n v="1821"/>
    <d v="2023-11-03T00:00:00"/>
    <n v="1010100"/>
    <s v="VENDAS MERCADO INTERNO"/>
    <n v="497"/>
    <n v="20940"/>
    <n v="0"/>
    <n v="0"/>
    <n v="0"/>
    <n v="628.19999999999993"/>
    <n v="0"/>
    <n v="20311.8"/>
    <n v="20940"/>
    <n v="0"/>
    <n v="20940"/>
    <s v="Recuperação Judicial"/>
    <m/>
  </r>
  <r>
    <n v="6056"/>
    <x v="19"/>
    <s v="24.130.589/0001-00"/>
    <n v="1204"/>
    <n v="1246128476"/>
    <d v="2024-02-21T00:00:00"/>
    <m/>
    <m/>
    <s v="Não encontrado"/>
    <n v="2722"/>
    <d v="2024-02-06T00:00:00"/>
    <n v="1020400"/>
    <s v="VENDA DE SUCATAS"/>
    <n v="465"/>
    <n v="1203.9999999999998"/>
    <n v="0"/>
    <n v="0"/>
    <n v="0"/>
    <n v="36.119999999999997"/>
    <n v="0"/>
    <n v="1167.8799999999999"/>
    <n v="1204"/>
    <n v="0"/>
    <n v="1203.9999999999998"/>
    <s v="Cobrança Administrativa"/>
    <m/>
  </r>
  <r>
    <n v="6056"/>
    <x v="19"/>
    <s v="24.130.589/0001-00"/>
    <n v="38.5"/>
    <n v="1246128477"/>
    <d v="2024-02-21T00:00:00"/>
    <m/>
    <m/>
    <s v="Não encontrado"/>
    <n v="733"/>
    <d v="2024-02-06T00:00:00"/>
    <n v="1020400"/>
    <s v="VENDA DE SUCATAS"/>
    <n v="465"/>
    <n v="38.5"/>
    <n v="0"/>
    <n v="0"/>
    <n v="0"/>
    <n v="1.155"/>
    <n v="0"/>
    <n v="37.344999999999999"/>
    <n v="38.5"/>
    <n v="0"/>
    <n v="38.5"/>
    <s v="Cobrança Administrativa"/>
    <m/>
  </r>
  <r>
    <n v="6056"/>
    <x v="19"/>
    <s v="24.130.589/0001-00"/>
    <n v="99.5"/>
    <n v="1246128695"/>
    <d v="2024-02-23T00:00:00"/>
    <m/>
    <m/>
    <s v="Não encontrado"/>
    <n v="737"/>
    <d v="2024-02-08T00:00:00"/>
    <n v="1020400"/>
    <s v="VENDA DE SUCATAS"/>
    <n v="463"/>
    <n v="99.5"/>
    <n v="0"/>
    <n v="0"/>
    <n v="0"/>
    <n v="2.9849999999999999"/>
    <n v="0"/>
    <n v="96.515000000000001"/>
    <n v="99.5"/>
    <n v="0"/>
    <n v="99.5"/>
    <s v="Cobrança Administrativa"/>
    <m/>
  </r>
  <r>
    <n v="6056"/>
    <x v="19"/>
    <s v="24.130.589/0001-00"/>
    <n v="77.5"/>
    <n v="1246128013"/>
    <d v="2024-02-17T00:00:00"/>
    <m/>
    <m/>
    <s v="Não encontrado"/>
    <n v="2689"/>
    <d v="2024-02-02T00:00:00"/>
    <n v="1020400"/>
    <s v="VENDA DE SUCATAS"/>
    <n v="469"/>
    <n v="77.5"/>
    <n v="0"/>
    <n v="0"/>
    <n v="0"/>
    <n v="2.3249999999999997"/>
    <n v="0"/>
    <n v="75.174999999999997"/>
    <n v="77.5"/>
    <n v="0"/>
    <n v="77.5"/>
    <s v="Cobrança Administrativa"/>
    <m/>
  </r>
  <r>
    <n v="6056"/>
    <x v="19"/>
    <s v="24.130.589/0001-00"/>
    <n v="96"/>
    <n v="1246128978"/>
    <d v="2024-03-10T00:00:00"/>
    <m/>
    <m/>
    <s v="Não encontrado"/>
    <n v="747"/>
    <d v="2024-02-09T00:00:00"/>
    <n v="1020400"/>
    <s v="VENDA DE SUCATAS"/>
    <n v="447"/>
    <n v="96"/>
    <n v="0"/>
    <n v="0"/>
    <n v="0"/>
    <n v="2.88"/>
    <n v="0"/>
    <n v="93.12"/>
    <n v="96"/>
    <n v="0"/>
    <n v="96"/>
    <s v="Cobrança Administrativa"/>
    <m/>
  </r>
  <r>
    <n v="6406"/>
    <x v="20"/>
    <s v="640.463.706-53"/>
    <n v="13040"/>
    <n v="1246001242"/>
    <d v="2022-03-18T00:00:00"/>
    <m/>
    <s v="1"/>
    <s v="Adtives"/>
    <n v="16961"/>
    <d v="2022-02-18T00:00:00"/>
    <n v="1010100"/>
    <s v="VENDAS MERCADO INTERNO"/>
    <n v="1170"/>
    <n v="13040"/>
    <n v="0"/>
    <n v="0"/>
    <n v="0"/>
    <n v="391.2"/>
    <n v="0"/>
    <n v="12648.8"/>
    <n v="13040"/>
    <n v="0"/>
    <n v="13040"/>
    <s v="Cobrança Administrativa"/>
    <m/>
  </r>
  <r>
    <n v="6406"/>
    <x v="20"/>
    <s v="640.463.706-53"/>
    <n v="13040"/>
    <n v="1246000783"/>
    <d v="2022-03-17T00:00:00"/>
    <m/>
    <s v="1"/>
    <s v="Adtives"/>
    <n v="16937"/>
    <d v="2022-02-16T00:00:00"/>
    <n v="1010100"/>
    <s v="VENDAS MERCADO INTERNO"/>
    <n v="1171"/>
    <n v="13040"/>
    <n v="0"/>
    <n v="0"/>
    <n v="0"/>
    <n v="391.2"/>
    <n v="0"/>
    <n v="12648.8"/>
    <n v="13040"/>
    <n v="0"/>
    <n v="13040"/>
    <s v="Cobrança Administrativa"/>
    <m/>
  </r>
  <r>
    <n v="6477"/>
    <x v="0"/>
    <s v="61.156.501/0109-76"/>
    <n v="5400"/>
    <n v="1246054441"/>
    <d v="2022-12-02T00:00:00"/>
    <m/>
    <s v="1"/>
    <s v="Adtives"/>
    <n v="1246054441"/>
    <d v="2022-11-17T00:00:00"/>
    <n v="3041000"/>
    <s v="FRETES DIVERSOS"/>
    <n v="911"/>
    <n v="5400"/>
    <n v="0"/>
    <n v="0"/>
    <n v="0"/>
    <n v="162"/>
    <n v="0"/>
    <n v="5238"/>
    <n v="5400"/>
    <n v="0"/>
    <n v="5400"/>
    <s v="Cobrança Administrativa"/>
    <m/>
  </r>
  <r>
    <n v="6477"/>
    <x v="0"/>
    <s v="61.156.501/0109-76"/>
    <n v="6302.6"/>
    <n v="1246212732"/>
    <d v="2025-01-25T00:00:00"/>
    <m/>
    <s v="1"/>
    <s v="Adtives"/>
    <n v="6197"/>
    <d v="2024-11-26T00:00:00"/>
    <n v="1010100"/>
    <s v="VENDAS MERCADO INTERNO"/>
    <n v="126"/>
    <n v="0"/>
    <n v="189.078"/>
    <n v="0"/>
    <n v="0"/>
    <n v="189.078"/>
    <n v="0"/>
    <n v="0"/>
    <n v="0"/>
    <n v="0"/>
    <n v="189.078"/>
    <s v="Cobrança Administrativa"/>
    <m/>
  </r>
  <r>
    <n v="7022"/>
    <x v="21"/>
    <s v="31.009.644/0001-74"/>
    <n v="1800"/>
    <n v="1246054442"/>
    <d v="2022-12-02T00:00:00"/>
    <m/>
    <s v="1"/>
    <s v="Adtives"/>
    <n v="1246054442"/>
    <d v="2022-11-17T00:00:00"/>
    <n v="3041000"/>
    <s v="FRETES DIVERSOS"/>
    <n v="911"/>
    <n v="1800"/>
    <n v="0"/>
    <n v="0"/>
    <n v="0"/>
    <n v="54"/>
    <n v="0"/>
    <n v="1746"/>
    <n v="1800"/>
    <n v="0"/>
    <n v="1800"/>
    <s v="Cobrança Administrativa"/>
    <m/>
  </r>
  <r>
    <n v="7097"/>
    <x v="0"/>
    <s v="61.156.501/0125-96"/>
    <n v="11300"/>
    <n v="1246058687"/>
    <d v="2022-12-30T00:00:00"/>
    <m/>
    <s v="1"/>
    <s v="Adtives"/>
    <n v="1246058687"/>
    <d v="2022-12-15T00:00:00"/>
    <n v="3041000"/>
    <s v="FRETES DIVERSOS"/>
    <n v="883"/>
    <n v="11300"/>
    <n v="0"/>
    <n v="0"/>
    <n v="0"/>
    <n v="339"/>
    <n v="0"/>
    <n v="10961"/>
    <n v="11300"/>
    <n v="0"/>
    <n v="11300"/>
    <s v="Cobrança Administrativa"/>
    <m/>
  </r>
  <r>
    <n v="7097"/>
    <x v="0"/>
    <s v="61.156.501/0125-96"/>
    <n v="10183.120000000001"/>
    <n v="1246057240"/>
    <d v="2022-12-27T00:00:00"/>
    <m/>
    <s v="1"/>
    <s v="Adtives"/>
    <n v="71222"/>
    <d v="2022-12-07T00:00:00"/>
    <n v="3041000"/>
    <s v="FRETES DIVERSOS"/>
    <n v="886"/>
    <n v="10183.120000000001"/>
    <n v="0"/>
    <n v="0"/>
    <n v="0"/>
    <n v="305.49360000000001"/>
    <n v="0"/>
    <n v="9877.626400000001"/>
    <n v="10183.120000000001"/>
    <n v="0"/>
    <n v="10183.120000000001"/>
    <s v="Cobrança Administrativa"/>
    <m/>
  </r>
  <r>
    <n v="7443"/>
    <x v="0"/>
    <s v="61.156.501/0113-52"/>
    <n v="1200"/>
    <n v="1246156403"/>
    <d v="2024-07-23T00:00:00"/>
    <m/>
    <s v="1"/>
    <s v="Adtives"/>
    <n v="1246156403"/>
    <d v="2024-07-08T00:00:00"/>
    <n v="3041000"/>
    <s v="FRETES DIVERSOS"/>
    <n v="312"/>
    <n v="36"/>
    <n v="0"/>
    <n v="0"/>
    <n v="0"/>
    <n v="36"/>
    <n v="0"/>
    <n v="0"/>
    <n v="1200"/>
    <n v="0"/>
    <n v="36"/>
    <s v="Cobrança Administrativa"/>
    <m/>
  </r>
  <r>
    <n v="7443"/>
    <x v="0"/>
    <s v="61.156.501/0113-52"/>
    <n v="1200"/>
    <n v="1246156396"/>
    <d v="2024-07-23T00:00:00"/>
    <m/>
    <s v="1"/>
    <s v="Adtives"/>
    <n v="1246156396"/>
    <d v="2024-07-08T00:00:00"/>
    <n v="3041000"/>
    <s v="FRETES DIVERSOS"/>
    <n v="312"/>
    <n v="36"/>
    <n v="0"/>
    <n v="0"/>
    <n v="0"/>
    <n v="36"/>
    <n v="0"/>
    <n v="0"/>
    <n v="1200"/>
    <n v="0"/>
    <n v="36"/>
    <s v="Cobrança Administrativa"/>
    <m/>
  </r>
  <r>
    <n v="6694"/>
    <x v="22"/>
    <s v="863.175.636-91"/>
    <n v="7900"/>
    <n v="1245986175"/>
    <d v="2022-03-10T00:00:00"/>
    <m/>
    <s v="1"/>
    <s v="Adtives"/>
    <n v="16208"/>
    <d v="2021-12-02T00:00:00"/>
    <n v="1010100"/>
    <s v="VENDAS MERCADO INTERNO"/>
    <n v="1178"/>
    <n v="7900"/>
    <n v="0"/>
    <n v="0"/>
    <n v="0"/>
    <n v="237"/>
    <n v="0"/>
    <n v="7663"/>
    <n v="7900"/>
    <n v="0"/>
    <n v="7900"/>
    <s v="Cobrança Administrativa"/>
    <m/>
  </r>
  <r>
    <n v="7321"/>
    <x v="23"/>
    <s v="18.631.875/0001-57"/>
    <n v="5600"/>
    <n v="1246070435"/>
    <d v="2023-04-03T00:00:00"/>
    <m/>
    <s v="1"/>
    <s v="Adtives"/>
    <n v="20814"/>
    <d v="2023-03-06T00:00:00"/>
    <n v="1020400"/>
    <s v="VENDA DE SUCATAS"/>
    <n v="789"/>
    <n v="5600"/>
    <n v="0"/>
    <n v="0"/>
    <n v="0"/>
    <n v="168"/>
    <n v="0"/>
    <n v="5432"/>
    <n v="5600"/>
    <n v="0"/>
    <n v="5600"/>
    <s v="Cobrança Administrativa"/>
    <m/>
  </r>
  <r>
    <n v="7321"/>
    <x v="23"/>
    <s v="18.631.875/0001-57"/>
    <n v="3780"/>
    <n v="1246071556"/>
    <d v="2023-04-11T00:00:00"/>
    <m/>
    <s v="1"/>
    <s v="Adtives"/>
    <n v="20885"/>
    <d v="2023-03-14T00:00:00"/>
    <n v="1020400"/>
    <s v="VENDA DE SUCATAS"/>
    <n v="781"/>
    <n v="3780"/>
    <n v="0"/>
    <n v="0"/>
    <n v="0"/>
    <n v="113.39999999999999"/>
    <n v="0"/>
    <n v="3666.6"/>
    <n v="3780"/>
    <n v="0"/>
    <n v="3780"/>
    <s v="Cobrança Administrativa"/>
    <m/>
  </r>
  <r>
    <n v="7321"/>
    <x v="23"/>
    <s v="18.631.875/0001-57"/>
    <n v="2240"/>
    <n v="1246070969"/>
    <d v="2023-04-06T00:00:00"/>
    <m/>
    <s v="1"/>
    <s v="Adtives"/>
    <n v="20841"/>
    <d v="2023-03-09T00:00:00"/>
    <n v="1020400"/>
    <s v="VENDA DE SUCATAS"/>
    <n v="786"/>
    <n v="2239.9999999999995"/>
    <n v="0"/>
    <n v="0"/>
    <n v="0"/>
    <n v="67.2"/>
    <n v="0"/>
    <n v="2172.7999999999997"/>
    <n v="2240"/>
    <n v="0"/>
    <n v="2239.9999999999995"/>
    <s v="Cobrança Administrativa"/>
    <m/>
  </r>
  <r>
    <n v="7321"/>
    <x v="23"/>
    <s v="18.631.875/0001-57"/>
    <n v="4200"/>
    <n v="1246093575"/>
    <d v="2023-08-17T00:00:00"/>
    <m/>
    <s v="1"/>
    <s v="Adtives"/>
    <n v="280"/>
    <d v="2023-07-21T00:00:00"/>
    <n v="1020400"/>
    <s v="VENDA DE SUCATAS"/>
    <n v="653"/>
    <n v="4200"/>
    <n v="0"/>
    <n v="0"/>
    <n v="0"/>
    <n v="126"/>
    <n v="0"/>
    <n v="4074"/>
    <n v="4200"/>
    <n v="0"/>
    <n v="4200"/>
    <s v="Cobrança Administrativa"/>
    <m/>
  </r>
  <r>
    <n v="7302"/>
    <x v="0"/>
    <s v="61.156.501/0080-50"/>
    <n v="1800"/>
    <n v="1246045752"/>
    <d v="2022-10-14T00:00:00"/>
    <m/>
    <s v="1"/>
    <s v="Adtives"/>
    <n v="290922"/>
    <d v="2022-09-29T00:00:00"/>
    <n v="3041000"/>
    <s v="FRETES DIVERSOS"/>
    <n v="960"/>
    <n v="1800"/>
    <n v="0"/>
    <n v="0"/>
    <n v="0"/>
    <n v="54"/>
    <n v="0"/>
    <n v="1746"/>
    <n v="1800"/>
    <n v="0"/>
    <n v="1800"/>
    <s v="Cobrança Administrativa"/>
    <m/>
  </r>
  <r>
    <n v="7302"/>
    <x v="0"/>
    <s v="61.156.501/0080-50"/>
    <n v="7200"/>
    <n v="1246033417"/>
    <d v="2022-08-19T00:00:00"/>
    <m/>
    <s v="1"/>
    <s v="Adtives"/>
    <n v="1246033417"/>
    <d v="2022-08-04T00:00:00"/>
    <n v="3041000"/>
    <s v="FRETES DIVERSOS"/>
    <n v="1016"/>
    <n v="7200"/>
    <n v="0"/>
    <n v="0"/>
    <n v="0"/>
    <n v="216"/>
    <n v="0"/>
    <n v="6984"/>
    <n v="7200"/>
    <n v="0"/>
    <n v="7200"/>
    <s v="Cobrança Administrativa"/>
    <m/>
  </r>
  <r>
    <n v="7302"/>
    <x v="0"/>
    <s v="61.156.501/0080-50"/>
    <n v="1431.76"/>
    <n v="1246062794"/>
    <d v="2023-01-13T00:00:00"/>
    <m/>
    <s v="1"/>
    <s v="Adtives"/>
    <n v="19884"/>
    <d v="2022-11-14T00:00:00"/>
    <n v="1010100"/>
    <s v="VENDAS MERCADO INTERNO"/>
    <n v="869"/>
    <n v="1431.76"/>
    <n v="0"/>
    <n v="0"/>
    <n v="0"/>
    <n v="42.952799999999996"/>
    <n v="0"/>
    <n v="1388.8072"/>
    <n v="1431.76"/>
    <n v="0"/>
    <n v="1431.76"/>
    <s v="Cobrança Administrativa"/>
    <m/>
  </r>
  <r>
    <n v="7302"/>
    <x v="0"/>
    <s v="61.156.501/0080-50"/>
    <n v="9000"/>
    <n v="1246054438"/>
    <d v="2022-12-02T00:00:00"/>
    <m/>
    <s v="1"/>
    <s v="Adtives"/>
    <n v="1246054438"/>
    <d v="2022-11-17T00:00:00"/>
    <n v="3041000"/>
    <s v="FRETES DIVERSOS"/>
    <n v="911"/>
    <n v="9000"/>
    <n v="0"/>
    <n v="0"/>
    <n v="0"/>
    <n v="270"/>
    <n v="0"/>
    <n v="8730"/>
    <n v="9000"/>
    <n v="0"/>
    <n v="9000"/>
    <s v="Cobrança Administrativa"/>
    <m/>
  </r>
  <r>
    <n v="7302"/>
    <x v="0"/>
    <s v="61.156.501/0080-50"/>
    <n v="7200"/>
    <n v="1246057914"/>
    <d v="2022-12-27T00:00:00"/>
    <m/>
    <s v="1"/>
    <s v="Adtives"/>
    <n v="1246057914"/>
    <d v="2022-12-12T00:00:00"/>
    <n v="3041000"/>
    <s v="FRETES DIVERSOS"/>
    <n v="886"/>
    <n v="7200"/>
    <n v="0"/>
    <n v="0"/>
    <n v="0"/>
    <n v="216"/>
    <n v="0"/>
    <n v="6984"/>
    <n v="7200"/>
    <n v="0"/>
    <n v="7200"/>
    <s v="Cobrança Administrativa"/>
    <m/>
  </r>
  <r>
    <n v="7302"/>
    <x v="0"/>
    <s v="61.156.501/0080-50"/>
    <n v="2517.4"/>
    <n v="1246055324"/>
    <d v="2022-11-22T00:00:00"/>
    <m/>
    <s v="1"/>
    <s v="Adtives"/>
    <n v="19314"/>
    <d v="2022-09-23T00:00:00"/>
    <n v="1010100"/>
    <s v="VENDAS MERCADO INTERNO"/>
    <n v="921"/>
    <n v="2517.4"/>
    <n v="0"/>
    <n v="0"/>
    <n v="0"/>
    <n v="75.522000000000006"/>
    <n v="0"/>
    <n v="2441.8780000000002"/>
    <n v="2517.4"/>
    <n v="0"/>
    <n v="2517.4"/>
    <s v="Cobrança Administrativa"/>
    <m/>
  </r>
  <r>
    <n v="6415"/>
    <x v="0"/>
    <s v="33.931.486/0033-18"/>
    <n v="3600"/>
    <n v="1245985693"/>
    <d v="2022-05-11T00:00:00"/>
    <m/>
    <s v="1"/>
    <s v="Adtives"/>
    <n v="1245985693"/>
    <d v="2021-12-01T00:00:00"/>
    <n v="3041000"/>
    <s v="FRETES DIVERSOS"/>
    <n v="1116"/>
    <n v="3600"/>
    <n v="0"/>
    <n v="0"/>
    <n v="0"/>
    <n v="108"/>
    <n v="0"/>
    <n v="3492"/>
    <n v="3600"/>
    <n v="0"/>
    <n v="3600"/>
    <s v="Cobrança Administrativa"/>
    <m/>
  </r>
  <r>
    <n v="6853"/>
    <x v="24"/>
    <s v="35.366.255/0001-57"/>
    <n v="3796"/>
    <n v="1245975281"/>
    <d v="2022-03-25T00:00:00"/>
    <m/>
    <s v="1"/>
    <s v="Adtives"/>
    <n v="15335"/>
    <d v="2021-09-28T00:00:00"/>
    <n v="1010100"/>
    <s v="VENDAS MERCADO INTERNO"/>
    <n v="1163"/>
    <n v="3796"/>
    <n v="0"/>
    <n v="0"/>
    <n v="0"/>
    <n v="113.88"/>
    <n v="0"/>
    <n v="3682.12"/>
    <n v="3796"/>
    <n v="0"/>
    <n v="3796"/>
    <s v="Cobrança Administrativa"/>
    <m/>
  </r>
  <r>
    <n v="7167"/>
    <x v="25"/>
    <s v="09.263.706/0001-10"/>
    <n v="22222.25"/>
    <n v="1246035401"/>
    <d v="2022-06-30T00:00:00"/>
    <m/>
    <s v="2"/>
    <s v="Fertilizers"/>
    <n v="16299"/>
    <d v="2021-12-09T00:00:00"/>
    <n v="1010100"/>
    <s v="VENDAS MERCADO INTERNO"/>
    <n v="1066"/>
    <n v="22222.25"/>
    <n v="0"/>
    <n v="0"/>
    <n v="0"/>
    <n v="666.66750000000002"/>
    <n v="0"/>
    <n v="21555.5825"/>
    <n v="0"/>
    <n v="0"/>
    <n v="22222.25"/>
    <s v="Pendência de Baixa "/>
    <m/>
  </r>
  <r>
    <n v="9591"/>
    <x v="26"/>
    <s v="14.673.857/0001-87"/>
    <n v="1547.96"/>
    <n v="1246028461"/>
    <d v="2022-07-27T00:00:00"/>
    <m/>
    <s v="1"/>
    <s v="Adtives"/>
    <n v="13072022"/>
    <d v="2022-07-13T00:00:00"/>
    <n v="3041000"/>
    <s v="FRETES DIVERSOS"/>
    <n v="1039"/>
    <n v="1547.9599999999998"/>
    <n v="0"/>
    <n v="0"/>
    <n v="0"/>
    <n v="46.438800000000001"/>
    <n v="0"/>
    <n v="1501.5211999999999"/>
    <n v="1547.96"/>
    <n v="0"/>
    <n v="1547.9599999999998"/>
    <s v="Cobrança Administrativa"/>
    <m/>
  </r>
  <r>
    <n v="9298"/>
    <x v="27"/>
    <s v="15.003.086/0001-83"/>
    <n v="112475"/>
    <n v="1246069174"/>
    <d v="2024-09-20T00:00:00"/>
    <m/>
    <s v="2"/>
    <s v="Fertilizers"/>
    <n v="20770"/>
    <d v="2023-02-28T00:00:00"/>
    <n v="1010100"/>
    <s v="VENDAS MERCADO INTERNO"/>
    <n v="253"/>
    <n v="3374.25"/>
    <n v="0"/>
    <n v="0"/>
    <n v="0"/>
    <n v="3374.25"/>
    <n v="0"/>
    <n v="0"/>
    <n v="0"/>
    <n v="0"/>
    <n v="3374.25"/>
    <s v="Em Procedimento Judicial"/>
    <m/>
  </r>
  <r>
    <n v="9298"/>
    <x v="27"/>
    <s v="15.003.086/0001-83"/>
    <n v="111799"/>
    <n v="1246070285"/>
    <d v="2024-09-20T00:00:00"/>
    <m/>
    <s v="2"/>
    <s v="Fertilizers"/>
    <n v="20808"/>
    <d v="2023-03-06T00:00:00"/>
    <n v="1010100"/>
    <s v="VENDAS MERCADO INTERNO"/>
    <n v="253"/>
    <n v="3353.97"/>
    <n v="0"/>
    <n v="0"/>
    <n v="0"/>
    <n v="3353.97"/>
    <n v="0"/>
    <n v="0"/>
    <n v="0"/>
    <n v="0"/>
    <n v="3353.97"/>
    <s v="Em Procedimento Judicial"/>
    <m/>
  </r>
  <r>
    <n v="9298"/>
    <x v="27"/>
    <s v="15.003.086/0001-83"/>
    <n v="165851"/>
    <n v="1246068354"/>
    <d v="2024-09-20T00:00:00"/>
    <m/>
    <s v="2"/>
    <s v="Fertilizers"/>
    <n v="20726"/>
    <d v="2023-02-22T00:00:00"/>
    <n v="1010100"/>
    <s v="VENDAS MERCADO INTERNO"/>
    <n v="253"/>
    <n v="4975.53"/>
    <n v="0"/>
    <n v="0"/>
    <n v="0"/>
    <n v="4975.53"/>
    <n v="0"/>
    <n v="0"/>
    <n v="0"/>
    <n v="0"/>
    <n v="4975.53"/>
    <s v="Em Procedimento Judicial"/>
    <m/>
  </r>
  <r>
    <n v="9298"/>
    <x v="27"/>
    <s v="15.003.086/0001-83"/>
    <n v="111799"/>
    <n v="1246070436"/>
    <d v="2024-09-20T00:00:00"/>
    <m/>
    <s v="2"/>
    <s v="Fertilizers"/>
    <n v="20815"/>
    <d v="2023-03-06T00:00:00"/>
    <n v="1010100"/>
    <s v="VENDAS MERCADO INTERNO"/>
    <n v="253"/>
    <n v="3353.97"/>
    <n v="0"/>
    <n v="0"/>
    <n v="0"/>
    <n v="3353.97"/>
    <n v="0"/>
    <n v="0"/>
    <n v="0"/>
    <n v="0"/>
    <n v="3353.97"/>
    <s v="Em Procedimento Judicial"/>
    <m/>
  </r>
  <r>
    <n v="9298"/>
    <x v="27"/>
    <s v="15.003.086/0001-83"/>
    <n v="65548"/>
    <n v="1246070905"/>
    <d v="2024-09-20T00:00:00"/>
    <m/>
    <s v="2"/>
    <s v="Fertilizers"/>
    <n v="20839"/>
    <d v="2023-03-09T00:00:00"/>
    <n v="1010100"/>
    <s v="VENDAS MERCADO INTERNO"/>
    <n v="253"/>
    <n v="1966.4399999999998"/>
    <n v="0"/>
    <n v="0"/>
    <n v="0"/>
    <n v="1966.4399999999998"/>
    <n v="0"/>
    <n v="0"/>
    <n v="0"/>
    <n v="0"/>
    <n v="1966.4399999999998"/>
    <s v="Em Procedimento Judicial"/>
    <m/>
  </r>
  <r>
    <n v="9298"/>
    <x v="27"/>
    <s v="15.003.086/0001-83"/>
    <n v="112475"/>
    <n v="1246068948"/>
    <d v="2024-09-20T00:00:00"/>
    <m/>
    <s v="2"/>
    <s v="Fertilizers"/>
    <n v="20763"/>
    <d v="2023-02-27T00:00:00"/>
    <n v="1010100"/>
    <s v="VENDAS MERCADO INTERNO"/>
    <n v="253"/>
    <n v="3374.25"/>
    <n v="0"/>
    <n v="0"/>
    <n v="0"/>
    <n v="3374.25"/>
    <n v="0"/>
    <n v="0"/>
    <n v="0"/>
    <n v="0"/>
    <n v="3374.25"/>
    <s v="Em Procedimento Judicial"/>
    <m/>
  </r>
  <r>
    <n v="9298"/>
    <x v="27"/>
    <s v="15.003.086/0001-83"/>
    <n v="149824"/>
    <n v="1246068778"/>
    <d v="2024-09-20T00:00:00"/>
    <m/>
    <s v="2"/>
    <s v="Fertilizers"/>
    <n v="20750"/>
    <d v="2023-02-24T00:00:00"/>
    <n v="1010100"/>
    <s v="VENDAS MERCADO INTERNO"/>
    <n v="253"/>
    <n v="4494.72"/>
    <n v="0"/>
    <n v="0"/>
    <n v="0"/>
    <n v="4494.72"/>
    <n v="0"/>
    <n v="0"/>
    <n v="0"/>
    <n v="0"/>
    <n v="4494.72"/>
    <s v="Em Procedimento Judicial"/>
    <m/>
  </r>
  <r>
    <n v="9298"/>
    <x v="27"/>
    <s v="15.003.086/0001-83"/>
    <n v="131203"/>
    <n v="1246070820"/>
    <d v="2024-09-20T00:00:00"/>
    <m/>
    <s v="2"/>
    <s v="Fertilizers"/>
    <n v="20836"/>
    <d v="2023-03-08T00:00:00"/>
    <n v="1010100"/>
    <s v="VENDAS MERCADO INTERNO"/>
    <n v="253"/>
    <n v="3936.0899999999997"/>
    <n v="0"/>
    <n v="0"/>
    <n v="0"/>
    <n v="3936.0899999999997"/>
    <n v="0"/>
    <n v="0"/>
    <n v="0"/>
    <n v="0"/>
    <n v="3936.0899999999997"/>
    <s v="Em Procedimento Judicial"/>
    <m/>
  </r>
  <r>
    <n v="9298"/>
    <x v="27"/>
    <s v="15.003.086/0001-83"/>
    <n v="119356.2"/>
    <n v="1246068614"/>
    <d v="2024-09-20T00:00:00"/>
    <m/>
    <s v="2"/>
    <s v="Fertilizers"/>
    <n v="20734"/>
    <d v="2023-02-23T00:00:00"/>
    <n v="1010100"/>
    <s v="VENDAS MERCADO INTERNO"/>
    <n v="253"/>
    <n v="3580.6859999999997"/>
    <n v="0"/>
    <n v="0"/>
    <n v="0"/>
    <n v="3580.6859999999997"/>
    <n v="0"/>
    <n v="0"/>
    <n v="0"/>
    <n v="0"/>
    <n v="3580.6859999999997"/>
    <s v="Em Procedimento Judicial"/>
    <m/>
  </r>
  <r>
    <n v="9298"/>
    <x v="27"/>
    <s v="15.003.086/0001-83"/>
    <n v="122521"/>
    <n v="1246068997"/>
    <d v="2024-09-20T00:00:00"/>
    <m/>
    <s v="2"/>
    <s v="Fertilizers"/>
    <n v="20767"/>
    <d v="2023-02-27T00:00:00"/>
    <n v="1010100"/>
    <s v="VENDAS MERCADO INTERNO"/>
    <n v="253"/>
    <n v="3675.6299999999997"/>
    <n v="0"/>
    <n v="0"/>
    <n v="0"/>
    <n v="3675.6299999999997"/>
    <n v="0"/>
    <n v="0"/>
    <n v="0"/>
    <n v="0"/>
    <n v="3675.6299999999997"/>
    <s v="Em Procedimento Judicial"/>
    <m/>
  </r>
  <r>
    <n v="9298"/>
    <x v="27"/>
    <s v="15.003.086/0001-83"/>
    <n v="118731.49"/>
    <n v="1246083500"/>
    <d v="2024-09-20T00:00:00"/>
    <m/>
    <s v="2"/>
    <s v="Fertilizers"/>
    <n v="21456"/>
    <d v="2023-05-24T00:00:00"/>
    <n v="1010100"/>
    <s v="VENDAS MERCADO INTERNO"/>
    <n v="253"/>
    <n v="3561.9447"/>
    <n v="0"/>
    <n v="0"/>
    <n v="0"/>
    <n v="3561.9447"/>
    <n v="0"/>
    <n v="0"/>
    <n v="0"/>
    <n v="0"/>
    <n v="3561.9447"/>
    <s v="Em Procedimento Judicial"/>
    <m/>
  </r>
  <r>
    <n v="9298"/>
    <x v="27"/>
    <s v="15.003.086/0001-83"/>
    <n v="52557.4"/>
    <n v="1246083593"/>
    <d v="2024-09-20T00:00:00"/>
    <m/>
    <s v="2"/>
    <s v="Fertilizers"/>
    <n v="21460"/>
    <d v="2023-05-24T00:00:00"/>
    <n v="1010100"/>
    <s v="VENDAS MERCADO INTERNO"/>
    <n v="253"/>
    <n v="1576.722"/>
    <n v="0"/>
    <n v="0"/>
    <n v="0"/>
    <n v="1576.722"/>
    <n v="0"/>
    <n v="0"/>
    <n v="0"/>
    <n v="0"/>
    <n v="1576.722"/>
    <s v="Em Procedimento Judicial"/>
    <m/>
  </r>
  <r>
    <n v="9298"/>
    <x v="27"/>
    <s v="15.003.086/0001-83"/>
    <n v="52557.4"/>
    <n v="1246083373"/>
    <d v="2024-09-20T00:00:00"/>
    <m/>
    <s v="2"/>
    <s v="Fertilizers"/>
    <n v="21444"/>
    <d v="2023-05-23T00:00:00"/>
    <n v="1010100"/>
    <s v="VENDAS MERCADO INTERNO"/>
    <n v="253"/>
    <n v="1576.722"/>
    <n v="0"/>
    <n v="0"/>
    <n v="0"/>
    <n v="1576.722"/>
    <n v="0"/>
    <n v="0"/>
    <n v="0"/>
    <n v="0"/>
    <n v="1576.722"/>
    <s v="Em Procedimento Judicial"/>
    <m/>
  </r>
  <r>
    <n v="9298"/>
    <x v="27"/>
    <s v="15.003.086/0001-83"/>
    <n v="13957.5"/>
    <n v="1246084673"/>
    <d v="2024-09-20T00:00:00"/>
    <m/>
    <s v="2"/>
    <s v="Fertilizers"/>
    <n v="21538"/>
    <d v="2023-05-31T00:00:00"/>
    <n v="1010100"/>
    <s v="VENDAS MERCADO INTERNO"/>
    <n v="253"/>
    <n v="418.72499999999997"/>
    <n v="0"/>
    <n v="0"/>
    <n v="0"/>
    <n v="418.72499999999997"/>
    <n v="0"/>
    <n v="0"/>
    <n v="13957.5"/>
    <n v="0"/>
    <n v="418.72499999999997"/>
    <s v="Em Procedimento Judicial"/>
    <m/>
  </r>
  <r>
    <n v="9298"/>
    <x v="27"/>
    <s v="15.003.086/0001-83"/>
    <n v="40756.75"/>
    <n v="1246084671"/>
    <d v="2024-09-20T00:00:00"/>
    <m/>
    <s v="2"/>
    <s v="Fertilizers"/>
    <n v="21537"/>
    <d v="2023-05-31T00:00:00"/>
    <n v="1010100"/>
    <s v="VENDAS MERCADO INTERNO"/>
    <n v="253"/>
    <n v="1222.7024999999999"/>
    <n v="0"/>
    <n v="0"/>
    <n v="0"/>
    <n v="1222.7024999999999"/>
    <n v="0"/>
    <n v="0"/>
    <n v="0"/>
    <n v="0"/>
    <n v="1222.7024999999999"/>
    <s v="Em Procedimento Judicial"/>
    <m/>
  </r>
  <r>
    <n v="9298"/>
    <x v="27"/>
    <s v="15.003.086/0001-83"/>
    <n v="13238.05"/>
    <n v="1246088994"/>
    <d v="2024-09-20T00:00:00"/>
    <m/>
    <s v="2"/>
    <s v="Fertilizers"/>
    <n v="20723"/>
    <d v="2023-02-22T00:00:00"/>
    <n v="1010100"/>
    <s v="VENDAS MERCADO INTERNO"/>
    <n v="253"/>
    <n v="397.14149999999995"/>
    <n v="0"/>
    <n v="0"/>
    <n v="0"/>
    <n v="397.14149999999995"/>
    <n v="0"/>
    <n v="0"/>
    <n v="13238.05"/>
    <n v="0"/>
    <n v="397.14149999999995"/>
    <s v="Em Procedimento Judicial"/>
    <m/>
  </r>
  <r>
    <n v="9298"/>
    <x v="27"/>
    <s v="15.003.086/0001-83"/>
    <n v="59732.4"/>
    <n v="1246095048"/>
    <d v="2024-09-13T00:00:00"/>
    <m/>
    <s v="2"/>
    <s v="Fertilizers"/>
    <n v="437"/>
    <d v="2023-07-31T00:00:00"/>
    <n v="1010100"/>
    <s v="VENDAS MERCADO INTERNO"/>
    <n v="260"/>
    <n v="1791.972"/>
    <n v="0"/>
    <n v="0"/>
    <n v="0"/>
    <n v="1791.972"/>
    <n v="0"/>
    <n v="0"/>
    <n v="0"/>
    <n v="0"/>
    <n v="1791.972"/>
    <s v="Em Procedimento Judicial"/>
    <m/>
  </r>
  <r>
    <n v="9298"/>
    <x v="27"/>
    <s v="15.003.086/0001-83"/>
    <n v="133637.4"/>
    <n v="1246099829"/>
    <d v="2024-09-11T00:00:00"/>
    <m/>
    <s v="2"/>
    <s v="Fertilizers"/>
    <n v="828"/>
    <d v="2023-08-23T00:00:00"/>
    <n v="1010100"/>
    <s v="VENDAS MERCADO INTERNO"/>
    <n v="262"/>
    <n v="4009.1219999999998"/>
    <n v="0"/>
    <n v="0"/>
    <n v="0"/>
    <n v="4009.1219999999998"/>
    <n v="0"/>
    <n v="0"/>
    <n v="0"/>
    <n v="0"/>
    <n v="4009.1219999999998"/>
    <s v="Em Procedimento Judicial"/>
    <m/>
  </r>
  <r>
    <n v="9298"/>
    <x v="27"/>
    <s v="15.003.086/0001-83"/>
    <n v="118788.8"/>
    <n v="1246099199"/>
    <d v="2024-09-27T00:00:00"/>
    <m/>
    <s v="2"/>
    <s v="Fertilizers"/>
    <n v="768"/>
    <d v="2023-08-21T00:00:00"/>
    <n v="1010100"/>
    <s v="VENDAS MERCADO INTERNO"/>
    <n v="246"/>
    <n v="3563.6639999999998"/>
    <n v="0"/>
    <n v="0"/>
    <n v="0"/>
    <n v="3563.6639999999998"/>
    <n v="0"/>
    <n v="0"/>
    <n v="0"/>
    <n v="0"/>
    <n v="3563.6639999999998"/>
    <s v="Em Procedimento Judicial"/>
    <m/>
  </r>
  <r>
    <n v="9298"/>
    <x v="27"/>
    <s v="15.003.086/0001-83"/>
    <n v="118788.8"/>
    <n v="1246099294"/>
    <d v="2024-09-27T00:00:00"/>
    <m/>
    <s v="2"/>
    <s v="Fertilizers"/>
    <n v="777"/>
    <d v="2023-08-21T00:00:00"/>
    <n v="1010100"/>
    <s v="VENDAS MERCADO INTERNO"/>
    <n v="246"/>
    <n v="3563.6639999999998"/>
    <n v="0"/>
    <n v="0"/>
    <n v="0"/>
    <n v="3563.6639999999998"/>
    <n v="0"/>
    <n v="0"/>
    <n v="0"/>
    <n v="0"/>
    <n v="3563.6639999999998"/>
    <s v="Em Procedimento Judicial"/>
    <m/>
  </r>
  <r>
    <n v="9298"/>
    <x v="27"/>
    <s v="15.003.086/0001-83"/>
    <n v="148492.1"/>
    <n v="1246105304"/>
    <d v="2024-09-20T00:00:00"/>
    <m/>
    <s v="2"/>
    <s v="Fertilizers"/>
    <n v="1270"/>
    <d v="2023-09-21T00:00:00"/>
    <n v="1010100"/>
    <s v="VENDAS MERCADO INTERNO"/>
    <n v="253"/>
    <n v="4454.7629999999999"/>
    <n v="0"/>
    <n v="0"/>
    <n v="0"/>
    <n v="4454.7629999999999"/>
    <n v="0"/>
    <n v="0"/>
    <n v="0"/>
    <n v="0"/>
    <n v="4454.7629999999999"/>
    <s v="Em Procedimento Judicial"/>
    <m/>
  </r>
  <r>
    <n v="9298"/>
    <x v="27"/>
    <s v="15.003.086/0001-83"/>
    <n v="79894"/>
    <n v="1246114860"/>
    <d v="2024-09-20T00:00:00"/>
    <m/>
    <s v="2"/>
    <s v="Fertilizers"/>
    <n v="1951"/>
    <d v="2023-11-13T00:00:00"/>
    <n v="1010100"/>
    <s v="VENDAS MERCADO INTERNO"/>
    <n v="253"/>
    <n v="2396.8199999999997"/>
    <n v="0"/>
    <n v="0"/>
    <n v="0"/>
    <n v="2396.8199999999997"/>
    <n v="0"/>
    <n v="0"/>
    <n v="0"/>
    <n v="0"/>
    <n v="2396.8199999999997"/>
    <s v="Em Procedimento Judicial"/>
    <m/>
  </r>
  <r>
    <n v="9298"/>
    <x v="27"/>
    <s v="15.003.086/0001-83"/>
    <n v="123567.8"/>
    <n v="1246103672"/>
    <d v="2024-10-02T00:00:00"/>
    <m/>
    <s v="2"/>
    <s v="Fertilizers"/>
    <n v="1150"/>
    <d v="2023-09-13T00:00:00"/>
    <n v="1010100"/>
    <s v="VENDAS MERCADO INTERNO"/>
    <n v="241"/>
    <n v="3707.0340000000001"/>
    <n v="0"/>
    <n v="0"/>
    <n v="0"/>
    <n v="3707.0340000000001"/>
    <n v="0"/>
    <n v="0"/>
    <n v="0"/>
    <n v="0"/>
    <n v="3707.0340000000001"/>
    <s v="Em Procedimento Judicial"/>
    <m/>
  </r>
  <r>
    <n v="9298"/>
    <x v="27"/>
    <s v="15.003.086/0001-83"/>
    <n v="113355.6"/>
    <n v="1246116199"/>
    <d v="2024-09-26T00:00:00"/>
    <m/>
    <s v="2"/>
    <s v="Fertilizers"/>
    <n v="2054"/>
    <d v="2023-11-22T00:00:00"/>
    <n v="1010100"/>
    <s v="VENDAS MERCADO INTERNO"/>
    <n v="247"/>
    <n v="3400.6680000000001"/>
    <n v="0"/>
    <n v="0"/>
    <n v="0"/>
    <n v="3400.6680000000001"/>
    <n v="0"/>
    <n v="0"/>
    <n v="0"/>
    <n v="0"/>
    <n v="3400.6680000000001"/>
    <s v="Em Procedimento Judicial"/>
    <m/>
  </r>
  <r>
    <n v="9298"/>
    <x v="27"/>
    <s v="15.003.086/0001-83"/>
    <n v="143583.76"/>
    <n v="1246106222"/>
    <d v="2024-09-25T00:00:00"/>
    <m/>
    <s v="2"/>
    <s v="Fertilizers"/>
    <n v="1341"/>
    <d v="2023-09-26T00:00:00"/>
    <n v="1010100"/>
    <s v="VENDAS MERCADO INTERNO"/>
    <n v="248"/>
    <n v="4307.5128000000004"/>
    <n v="0"/>
    <n v="0"/>
    <n v="0"/>
    <n v="4307.5128000000004"/>
    <n v="0"/>
    <n v="0"/>
    <n v="0"/>
    <n v="0"/>
    <n v="4307.5128000000004"/>
    <s v="Em Procedimento Judicial"/>
    <m/>
  </r>
  <r>
    <n v="9298"/>
    <x v="27"/>
    <s v="15.003.086/0001-83"/>
    <n v="55612.2"/>
    <n v="1246104999"/>
    <d v="2024-09-20T00:00:00"/>
    <m/>
    <s v="2"/>
    <s v="Fertilizers"/>
    <n v="1249"/>
    <d v="2023-09-20T00:00:00"/>
    <n v="1010100"/>
    <s v="VENDAS MERCADO INTERNO"/>
    <n v="253"/>
    <n v="1668.3659999999998"/>
    <n v="0"/>
    <n v="0"/>
    <n v="0"/>
    <n v="1668.3659999999998"/>
    <n v="0"/>
    <n v="0"/>
    <n v="0"/>
    <n v="0"/>
    <n v="1668.3659999999998"/>
    <s v="Em Procedimento Judicial"/>
    <m/>
  </r>
  <r>
    <n v="9298"/>
    <x v="27"/>
    <s v="15.003.086/0001-83"/>
    <n v="64234.84"/>
    <n v="1246115394"/>
    <d v="2024-09-20T00:00:00"/>
    <m/>
    <s v="2"/>
    <s v="Fertilizers"/>
    <n v="1991"/>
    <d v="2023-11-16T00:00:00"/>
    <n v="1010100"/>
    <s v="VENDAS MERCADO INTERNO"/>
    <n v="253"/>
    <n v="1927.0451999999998"/>
    <n v="0"/>
    <n v="0"/>
    <n v="0"/>
    <n v="1927.0451999999998"/>
    <n v="0"/>
    <n v="0"/>
    <n v="0"/>
    <n v="0"/>
    <n v="1927.0451999999998"/>
    <s v="Em Procedimento Judicial"/>
    <m/>
  </r>
  <r>
    <n v="9298"/>
    <x v="27"/>
    <s v="15.003.086/0001-83"/>
    <n v="54534.2"/>
    <n v="1246115392"/>
    <d v="2024-09-20T00:00:00"/>
    <m/>
    <s v="2"/>
    <s v="Fertilizers"/>
    <n v="1990"/>
    <d v="2023-11-16T00:00:00"/>
    <n v="1010100"/>
    <s v="VENDAS MERCADO INTERNO"/>
    <n v="253"/>
    <n v="1636.0259999999998"/>
    <n v="0"/>
    <n v="0"/>
    <n v="0"/>
    <n v="1636.0259999999998"/>
    <n v="0"/>
    <n v="0"/>
    <n v="0"/>
    <n v="0"/>
    <n v="1636.0259999999998"/>
    <s v="Em Procedimento Judicial"/>
    <m/>
  </r>
  <r>
    <n v="9298"/>
    <x v="27"/>
    <s v="15.003.086/0001-83"/>
    <n v="139293.64000000001"/>
    <n v="1246105902"/>
    <d v="2024-09-24T00:00:00"/>
    <m/>
    <s v="2"/>
    <s v="Fertilizers"/>
    <n v="1319"/>
    <d v="2023-09-25T00:00:00"/>
    <n v="1010100"/>
    <s v="VENDAS MERCADO INTERNO"/>
    <n v="249"/>
    <n v="4178.8092000000006"/>
    <n v="0"/>
    <n v="0"/>
    <n v="0"/>
    <n v="4178.8092000000006"/>
    <n v="0"/>
    <n v="0"/>
    <n v="0"/>
    <n v="0"/>
    <n v="4178.8092000000006"/>
    <s v="Em Procedimento Judicial"/>
    <m/>
  </r>
  <r>
    <n v="9298"/>
    <x v="27"/>
    <s v="15.003.086/0001-83"/>
    <n v="68013.36"/>
    <n v="1246114866"/>
    <d v="2024-09-20T00:00:00"/>
    <m/>
    <s v="2"/>
    <s v="Fertilizers"/>
    <n v="1952"/>
    <d v="2023-11-13T00:00:00"/>
    <n v="1010100"/>
    <s v="VENDAS MERCADO INTERNO"/>
    <n v="253"/>
    <n v="2040.4007999999999"/>
    <n v="0"/>
    <n v="0"/>
    <n v="0"/>
    <n v="2040.4007999999999"/>
    <n v="0"/>
    <n v="0"/>
    <n v="0"/>
    <n v="0"/>
    <n v="2040.4007999999999"/>
    <s v="Em Procedimento Judicial"/>
    <m/>
  </r>
  <r>
    <n v="9298"/>
    <x v="27"/>
    <s v="15.003.086/0001-83"/>
    <n v="55611.199999999997"/>
    <n v="1246167304"/>
    <d v="2024-09-20T00:00:00"/>
    <m/>
    <s v="2"/>
    <s v="Fertilizers"/>
    <n v="1244"/>
    <d v="2023-09-20T00:00:00"/>
    <n v="1010100"/>
    <s v="VENDAS MERCADO INTERNO"/>
    <n v="253"/>
    <n v="1668.3359999999998"/>
    <n v="0"/>
    <n v="0"/>
    <n v="0"/>
    <n v="1668.3359999999998"/>
    <n v="0"/>
    <n v="0"/>
    <n v="0"/>
    <n v="0"/>
    <n v="1668.3359999999998"/>
    <s v="Em Procedimento Judicial"/>
    <m/>
  </r>
  <r>
    <n v="10660"/>
    <x v="8"/>
    <s v="92.660.604/0170-77"/>
    <n v="1282.56"/>
    <n v="1246157883"/>
    <d v="2024-06-29T00:00:00"/>
    <m/>
    <s v="1"/>
    <s v="Adtives"/>
    <n v="3740"/>
    <d v="2024-06-01T00:00:00"/>
    <n v="1010100"/>
    <s v="VENDAS MERCADO INTERNO"/>
    <n v="336"/>
    <n v="38.476799999999997"/>
    <n v="0"/>
    <n v="0"/>
    <n v="0"/>
    <n v="38.476799999999997"/>
    <n v="0"/>
    <n v="0"/>
    <n v="1282.56"/>
    <n v="0"/>
    <n v="38.476799999999997"/>
    <s v="Cobrança Administrativa"/>
    <m/>
  </r>
  <r>
    <n v="10660"/>
    <x v="8"/>
    <s v="92.660.604/0170-77"/>
    <n v="1603.2"/>
    <n v="1246176576"/>
    <d v="2024-10-12T00:00:00"/>
    <m/>
    <s v="1"/>
    <s v="Adtives"/>
    <n v="5264"/>
    <d v="2024-09-14T00:00:00"/>
    <n v="1010100"/>
    <s v="VENDAS MERCADO INTERNO"/>
    <n v="231"/>
    <n v="48.095999999999997"/>
    <n v="0"/>
    <n v="0"/>
    <n v="0"/>
    <n v="48.095999999999997"/>
    <n v="0"/>
    <n v="0"/>
    <n v="1603.2"/>
    <n v="0"/>
    <n v="48.095999999999997"/>
    <s v="Cobrança Administrativa"/>
    <m/>
  </r>
  <r>
    <n v="10660"/>
    <x v="8"/>
    <s v="92.660.604/0170-77"/>
    <n v="1282.56"/>
    <n v="1246184893"/>
    <d v="2024-11-27T00:00:00"/>
    <m/>
    <s v="1"/>
    <s v="Adtives"/>
    <n v="5907"/>
    <d v="2024-10-30T00:00:00"/>
    <n v="1010100"/>
    <s v="VENDAS MERCADO INTERNO"/>
    <n v="185"/>
    <n v="38.476799999999997"/>
    <n v="0"/>
    <n v="0"/>
    <n v="0"/>
    <n v="38.476799999999997"/>
    <n v="0"/>
    <n v="0"/>
    <n v="1282.56"/>
    <n v="0"/>
    <n v="38.476799999999997"/>
    <s v="Cobrança Administrativa"/>
    <m/>
  </r>
  <r>
    <n v="10434"/>
    <x v="28"/>
    <s v="00.117.842/0016-04"/>
    <n v="1200"/>
    <n v="1246180341"/>
    <d v="2024-11-19T00:00:00"/>
    <m/>
    <s v="1"/>
    <s v="Adtives"/>
    <n v="1246180341"/>
    <d v="2024-11-04T00:00:00"/>
    <n v="3041000"/>
    <s v="FRETES DIVERSOS"/>
    <n v="193"/>
    <n v="36"/>
    <n v="0"/>
    <n v="0"/>
    <n v="0"/>
    <n v="36"/>
    <n v="0"/>
    <n v="0"/>
    <n v="1200"/>
    <n v="0"/>
    <n v="36"/>
    <s v="Cobrança Administrativa"/>
    <m/>
  </r>
  <r>
    <n v="11207"/>
    <x v="29"/>
    <s v="08.685.699/0001-82"/>
    <n v="153825.49"/>
    <n v="1246067872"/>
    <d v="2024-04-30T00:00:00"/>
    <m/>
    <s v="2"/>
    <s v="Fertilizers"/>
    <n v="20696"/>
    <d v="2023-02-16T00:00:00"/>
    <n v="1010100"/>
    <s v="VENDAS MERCADO INTERNO"/>
    <n v="396"/>
    <n v="153825.49"/>
    <n v="0"/>
    <n v="0"/>
    <n v="0"/>
    <n v="0"/>
    <n v="0"/>
    <n v="0"/>
    <n v="153825.49"/>
    <n v="153825.49"/>
    <n v="153825.49"/>
    <s v="Em Procedimento Judicial"/>
    <m/>
  </r>
  <r>
    <n v="11207"/>
    <x v="29"/>
    <s v="08.685.699/0001-82"/>
    <n v="118231.86"/>
    <n v="1246074301"/>
    <d v="2024-04-30T00:00:00"/>
    <m/>
    <s v="2"/>
    <s v="Fertilizers"/>
    <n v="21005"/>
    <d v="2023-03-30T00:00:00"/>
    <n v="1010100"/>
    <s v="VENDAS MERCADO INTERNO"/>
    <n v="396"/>
    <n v="118231.86"/>
    <n v="0"/>
    <n v="0"/>
    <n v="0"/>
    <n v="0"/>
    <n v="0"/>
    <n v="0"/>
    <n v="118231.86"/>
    <n v="118231.86"/>
    <n v="118231.86"/>
    <s v="Em Procedimento Judicial"/>
    <m/>
  </r>
  <r>
    <n v="11207"/>
    <x v="29"/>
    <s v="08.685.699/0001-82"/>
    <n v="91167.15"/>
    <n v="1246075550"/>
    <d v="2024-04-30T00:00:00"/>
    <m/>
    <s v="2"/>
    <s v="Fertilizers"/>
    <n v="21053"/>
    <d v="2023-04-06T00:00:00"/>
    <n v="1010100"/>
    <s v="VENDAS MERCADO INTERNO"/>
    <n v="396"/>
    <n v="91167.15"/>
    <n v="0"/>
    <n v="0"/>
    <n v="0"/>
    <n v="0"/>
    <n v="0"/>
    <n v="0"/>
    <n v="91167.15"/>
    <n v="91167.15"/>
    <n v="91167.15"/>
    <s v="Em Procedimento Judicial"/>
    <m/>
  </r>
  <r>
    <n v="11207"/>
    <x v="29"/>
    <s v="08.685.699/0001-82"/>
    <n v="43771.16"/>
    <n v="1246094423"/>
    <d v="2024-05-11T00:00:00"/>
    <m/>
    <s v="2"/>
    <s v="Fertilizers"/>
    <n v="356"/>
    <d v="2023-07-26T00:00:00"/>
    <n v="1010100"/>
    <s v="VENDAS MERCADO INTERNO"/>
    <n v="385"/>
    <n v="43771.16"/>
    <n v="0"/>
    <n v="0"/>
    <n v="0"/>
    <n v="0"/>
    <n v="0"/>
    <n v="0"/>
    <n v="43771.16"/>
    <n v="43771.16"/>
    <n v="43771.16"/>
    <s v="Em Procedimento Judicial"/>
    <m/>
  </r>
  <r>
    <n v="11207"/>
    <x v="29"/>
    <s v="08.685.699/0001-82"/>
    <n v="44760.26"/>
    <n v="1246092027"/>
    <d v="2024-07-31T00:00:00"/>
    <m/>
    <s v="2"/>
    <s v="Fertilizers"/>
    <n v="138"/>
    <d v="2023-07-12T00:00:00"/>
    <n v="1010100"/>
    <s v="VENDAS MERCADO INTERNO"/>
    <n v="304"/>
    <n v="44760.26"/>
    <n v="0"/>
    <n v="0"/>
    <n v="0"/>
    <n v="0"/>
    <n v="0"/>
    <n v="0"/>
    <n v="0"/>
    <n v="44760.26"/>
    <n v="44760.26"/>
    <s v="Em Procedimento Judicial"/>
    <m/>
  </r>
  <r>
    <n v="11207"/>
    <x v="29"/>
    <s v="08.685.699/0001-82"/>
    <n v="43771.16"/>
    <n v="1246093362"/>
    <d v="2024-05-05T00:00:00"/>
    <m/>
    <s v="2"/>
    <s v="Fertilizers"/>
    <n v="253"/>
    <d v="2023-07-20T00:00:00"/>
    <n v="1010100"/>
    <s v="VENDAS MERCADO INTERNO"/>
    <n v="391"/>
    <n v="43771.16"/>
    <n v="0"/>
    <n v="0"/>
    <n v="0"/>
    <n v="0"/>
    <n v="0"/>
    <n v="0"/>
    <n v="43771.16"/>
    <n v="43771.16"/>
    <n v="43771.16"/>
    <s v="Em Procedimento Judicial"/>
    <m/>
  </r>
  <r>
    <n v="11207"/>
    <x v="29"/>
    <s v="08.685.699/0001-82"/>
    <n v="47925.4"/>
    <n v="1246094864"/>
    <d v="2024-09-09T00:00:00"/>
    <m/>
    <s v="2"/>
    <s v="Fertilizers"/>
    <n v="407"/>
    <d v="2023-07-28T00:00:00"/>
    <n v="1010100"/>
    <s v="VENDAS MERCADO INTERNO"/>
    <n v="264"/>
    <n v="47925.4"/>
    <n v="0"/>
    <n v="0"/>
    <n v="0"/>
    <n v="0"/>
    <n v="0"/>
    <n v="0"/>
    <n v="0"/>
    <n v="47925.4"/>
    <n v="47925.4"/>
    <s v="Em Procedimento Judicial"/>
    <m/>
  </r>
  <r>
    <n v="11207"/>
    <x v="29"/>
    <s v="08.685.699/0001-82"/>
    <n v="106301.38"/>
    <n v="1246094863"/>
    <d v="2024-05-13T00:00:00"/>
    <m/>
    <s v="2"/>
    <s v="Fertilizers"/>
    <n v="406"/>
    <d v="2023-07-28T00:00:00"/>
    <n v="1010100"/>
    <s v="VENDAS MERCADO INTERNO"/>
    <n v="383"/>
    <n v="106301.38"/>
    <n v="0"/>
    <n v="0"/>
    <n v="0"/>
    <n v="0"/>
    <n v="0"/>
    <n v="0"/>
    <n v="106301.38"/>
    <n v="106301.38"/>
    <n v="106301.38"/>
    <s v="Em Procedimento Judicial"/>
    <m/>
  </r>
  <r>
    <n v="11207"/>
    <x v="29"/>
    <s v="08.685.699/0001-82"/>
    <n v="150072.54"/>
    <n v="1246095554"/>
    <d v="2024-05-03T00:00:00"/>
    <m/>
    <s v="2"/>
    <s v="Fertilizers"/>
    <n v="485"/>
    <d v="2023-08-02T00:00:00"/>
    <n v="1010100"/>
    <s v="VENDAS MERCADO INTERNO"/>
    <n v="393"/>
    <n v="150072.54"/>
    <n v="0"/>
    <n v="0"/>
    <n v="0"/>
    <n v="0"/>
    <n v="0"/>
    <n v="0"/>
    <n v="150072.54"/>
    <n v="150072.54"/>
    <n v="150072.54"/>
    <s v="Em Procedimento Judicial"/>
    <m/>
  </r>
  <r>
    <n v="11207"/>
    <x v="29"/>
    <s v="08.685.699/0001-82"/>
    <n v="150072.54999999999"/>
    <n v="1246098101"/>
    <d v="2024-05-02T00:00:00"/>
    <m/>
    <s v="2"/>
    <s v="Fertilizers"/>
    <n v="151"/>
    <d v="2023-08-16T00:00:00"/>
    <n v="1010100"/>
    <s v="VENDAS MERCADO INTERNO"/>
    <n v="394"/>
    <n v="150072.54999999999"/>
    <n v="0"/>
    <n v="0"/>
    <n v="0"/>
    <n v="0"/>
    <n v="0"/>
    <n v="0"/>
    <n v="150072.54999999999"/>
    <n v="150072.54999999999"/>
    <n v="150072.54999999999"/>
    <s v="Em Procedimento Judicial"/>
    <m/>
  </r>
  <r>
    <n v="11207"/>
    <x v="29"/>
    <s v="08.685.699/0001-82"/>
    <n v="43771.16"/>
    <n v="1246098102"/>
    <d v="2024-05-02T00:00:00"/>
    <m/>
    <s v="2"/>
    <s v="Fertilizers"/>
    <n v="152"/>
    <d v="2023-08-16T00:00:00"/>
    <n v="1010100"/>
    <s v="VENDAS MERCADO INTERNO"/>
    <n v="394"/>
    <n v="43771.16"/>
    <n v="0"/>
    <n v="0"/>
    <n v="0"/>
    <n v="0"/>
    <n v="0"/>
    <n v="0"/>
    <n v="43771.16"/>
    <n v="43771.16"/>
    <n v="43771.16"/>
    <s v="Em Procedimento Judicial"/>
    <m/>
  </r>
  <r>
    <n v="11207"/>
    <x v="29"/>
    <s v="08.685.699/0001-82"/>
    <n v="150072.54"/>
    <n v="1246096042"/>
    <d v="2024-05-05T00:00:00"/>
    <m/>
    <s v="2"/>
    <s v="Fertilizers"/>
    <n v="520"/>
    <d v="2023-08-04T00:00:00"/>
    <n v="1010100"/>
    <s v="VENDAS MERCADO INTERNO"/>
    <n v="391"/>
    <n v="150072.54"/>
    <n v="0"/>
    <n v="0"/>
    <n v="0"/>
    <n v="0"/>
    <n v="0"/>
    <n v="0"/>
    <n v="150072.54"/>
    <n v="150072.54"/>
    <n v="150072.54"/>
    <s v="Em Procedimento Judicial"/>
    <m/>
  </r>
  <r>
    <n v="11207"/>
    <x v="29"/>
    <s v="08.685.699/0001-82"/>
    <n v="150072.54999999999"/>
    <n v="1246098739"/>
    <d v="2024-06-03T00:00:00"/>
    <m/>
    <s v="2"/>
    <s v="Fertilizers"/>
    <n v="161"/>
    <d v="2023-08-18T00:00:00"/>
    <n v="1010100"/>
    <s v="VENDAS MERCADO INTERNO"/>
    <n v="362"/>
    <n v="150072.54999999999"/>
    <n v="0"/>
    <n v="0"/>
    <n v="0"/>
    <n v="0"/>
    <n v="0"/>
    <n v="0"/>
    <n v="0"/>
    <n v="150072.54999999999"/>
    <n v="150072.54999999999"/>
    <s v="Em Procedimento Judicial"/>
    <m/>
  </r>
  <r>
    <n v="11207"/>
    <x v="29"/>
    <s v="08.685.699/0001-82"/>
    <n v="150072.54"/>
    <n v="1246103409"/>
    <d v="2024-05-09T00:00:00"/>
    <m/>
    <s v="2"/>
    <s v="Fertilizers"/>
    <n v="231"/>
    <d v="2023-09-12T00:00:00"/>
    <n v="1010100"/>
    <s v="VENDAS MERCADO INTERNO"/>
    <n v="387"/>
    <n v="150072.54"/>
    <n v="0"/>
    <n v="0"/>
    <n v="0"/>
    <n v="0"/>
    <n v="0"/>
    <n v="0"/>
    <n v="150072.54"/>
    <n v="150072.54"/>
    <n v="150072.54"/>
    <s v="Em Procedimento Judicial"/>
    <m/>
  </r>
  <r>
    <n v="11207"/>
    <x v="29"/>
    <s v="08.685.699/0001-82"/>
    <n v="150072.54999999999"/>
    <n v="1246104480"/>
    <d v="2024-05-15T00:00:00"/>
    <m/>
    <s v="2"/>
    <s v="Fertilizers"/>
    <n v="1209"/>
    <d v="2023-09-18T00:00:00"/>
    <n v="1010100"/>
    <s v="VENDAS MERCADO INTERNO"/>
    <n v="381"/>
    <n v="150072.54999999999"/>
    <n v="0"/>
    <n v="0"/>
    <n v="0"/>
    <n v="0"/>
    <n v="0"/>
    <n v="0"/>
    <n v="150072.54999999999"/>
    <n v="150072.54999999999"/>
    <n v="150072.54999999999"/>
    <s v="Em Procedimento Judicial"/>
    <m/>
  </r>
  <r>
    <n v="11207"/>
    <x v="29"/>
    <s v="08.685.699/0001-82"/>
    <n v="98152.42"/>
    <n v="1246128194"/>
    <d v="2024-10-30T00:00:00"/>
    <m/>
    <s v="2"/>
    <s v="Fertilizers"/>
    <n v="2705"/>
    <d v="2024-02-05T00:00:00"/>
    <n v="1010100"/>
    <s v="VENDAS MERCADO INTERNO"/>
    <n v="213"/>
    <n v="98152.42"/>
    <n v="0"/>
    <n v="0"/>
    <n v="0"/>
    <n v="0"/>
    <n v="0"/>
    <n v="0"/>
    <n v="0"/>
    <n v="98152.42"/>
    <n v="98152.42"/>
    <s v="Em Procedimento Judicial"/>
    <m/>
  </r>
  <r>
    <n v="11207"/>
    <x v="29"/>
    <s v="08.685.699/0001-82"/>
    <n v="98152.43"/>
    <n v="1246128212"/>
    <d v="2024-10-30T00:00:00"/>
    <m/>
    <s v="2"/>
    <s v="Fertilizers"/>
    <n v="2708"/>
    <d v="2024-02-05T00:00:00"/>
    <n v="1010100"/>
    <s v="VENDAS MERCADO INTERNO"/>
    <n v="213"/>
    <n v="98152.43"/>
    <n v="0"/>
    <n v="0"/>
    <n v="0"/>
    <n v="0"/>
    <n v="0"/>
    <n v="0"/>
    <n v="0"/>
    <n v="98152.43"/>
    <n v="98152.43"/>
    <s v="Em Procedimento Judicial"/>
    <m/>
  </r>
  <r>
    <n v="11207"/>
    <x v="29"/>
    <s v="08.685.699/0001-82"/>
    <n v="43771.16"/>
    <n v="1246102312"/>
    <d v="2024-05-02T00:00:00"/>
    <m/>
    <s v="2"/>
    <s v="Fertilizers"/>
    <n v="1038"/>
    <d v="2023-09-05T00:00:00"/>
    <n v="1010100"/>
    <s v="VENDAS MERCADO INTERNO"/>
    <n v="394"/>
    <n v="43771.16"/>
    <n v="0"/>
    <n v="0"/>
    <n v="0"/>
    <n v="0"/>
    <n v="0"/>
    <n v="0"/>
    <n v="43771.16"/>
    <n v="43771.16"/>
    <n v="43771.16"/>
    <s v="Em Procedimento Judicial"/>
    <m/>
  </r>
  <r>
    <n v="11207"/>
    <x v="29"/>
    <s v="08.685.699/0001-82"/>
    <n v="43771.16"/>
    <n v="1246103425"/>
    <d v="2024-05-09T00:00:00"/>
    <m/>
    <s v="2"/>
    <s v="Fertilizers"/>
    <n v="232"/>
    <d v="2023-09-12T00:00:00"/>
    <n v="1010100"/>
    <s v="VENDAS MERCADO INTERNO"/>
    <n v="387"/>
    <n v="43771.16"/>
    <n v="0"/>
    <n v="0"/>
    <n v="0"/>
    <n v="0"/>
    <n v="0"/>
    <n v="0"/>
    <n v="43771.16"/>
    <n v="43771.16"/>
    <n v="43771.16"/>
    <s v="Em Procedimento Judicial"/>
    <m/>
  </r>
  <r>
    <n v="11207"/>
    <x v="29"/>
    <s v="08.685.699/0001-82"/>
    <n v="85883.37"/>
    <n v="1246128634"/>
    <d v="2024-11-01T00:00:00"/>
    <m/>
    <s v="2"/>
    <s v="Fertilizers"/>
    <n v="2731"/>
    <d v="2024-02-07T00:00:00"/>
    <n v="1010100"/>
    <s v="VENDAS MERCADO INTERNO"/>
    <n v="211"/>
    <n v="85883.37"/>
    <n v="0"/>
    <n v="0"/>
    <n v="0"/>
    <n v="0"/>
    <n v="0"/>
    <n v="0"/>
    <n v="0"/>
    <n v="85883.37"/>
    <n v="85883.37"/>
    <s v="Em Procedimento Judicial"/>
    <m/>
  </r>
  <r>
    <n v="11207"/>
    <x v="29"/>
    <s v="08.685.699/0001-82"/>
    <n v="150072.54"/>
    <n v="1246106013"/>
    <d v="2024-05-04T00:00:00"/>
    <m/>
    <s v="2"/>
    <s v="Fertilizers"/>
    <n v="1329"/>
    <d v="2023-09-25T00:00:00"/>
    <n v="1010100"/>
    <s v="VENDAS MERCADO INTERNO"/>
    <n v="392"/>
    <n v="150072.54"/>
    <n v="0"/>
    <n v="0"/>
    <n v="0"/>
    <n v="0"/>
    <n v="0"/>
    <n v="0"/>
    <n v="150072.54"/>
    <n v="150072.54"/>
    <n v="150072.54"/>
    <s v="Em Procedimento Judicial"/>
    <m/>
  </r>
  <r>
    <n v="11207"/>
    <x v="29"/>
    <s v="08.685.699/0001-82"/>
    <n v="150072.54"/>
    <n v="1246102752"/>
    <d v="2024-05-03T00:00:00"/>
    <m/>
    <s v="2"/>
    <s v="Fertilizers"/>
    <n v="1071"/>
    <d v="2023-09-06T00:00:00"/>
    <n v="1010100"/>
    <s v="VENDAS MERCADO INTERNO"/>
    <n v="393"/>
    <n v="150072.54"/>
    <n v="0"/>
    <n v="0"/>
    <n v="0"/>
    <n v="0"/>
    <n v="0"/>
    <n v="0"/>
    <n v="150072.54"/>
    <n v="150072.54"/>
    <n v="150072.54"/>
    <s v="Em Procedimento Judicial"/>
    <m/>
  </r>
  <r>
    <n v="11207"/>
    <x v="29"/>
    <s v="08.685.699/0001-82"/>
    <n v="43771.16"/>
    <n v="1246103933"/>
    <d v="2024-05-11T00:00:00"/>
    <m/>
    <s v="2"/>
    <s v="Fertilizers"/>
    <n v="1167"/>
    <d v="2023-09-14T00:00:00"/>
    <n v="1010100"/>
    <s v="VENDAS MERCADO INTERNO"/>
    <n v="385"/>
    <n v="43771.16"/>
    <n v="0"/>
    <n v="0"/>
    <n v="0"/>
    <n v="0"/>
    <n v="0"/>
    <n v="0"/>
    <n v="43771.16"/>
    <n v="43771.16"/>
    <n v="43771.16"/>
    <s v="Em Procedimento Judicial"/>
    <m/>
  </r>
  <r>
    <n v="11207"/>
    <x v="29"/>
    <s v="08.685.699/0001-82"/>
    <n v="150072.54"/>
    <n v="1246105096"/>
    <d v="2024-05-17T00:00:00"/>
    <m/>
    <s v="2"/>
    <s v="Fertilizers"/>
    <n v="1263"/>
    <d v="2023-09-20T00:00:00"/>
    <n v="1010100"/>
    <s v="VENDAS MERCADO INTERNO"/>
    <n v="379"/>
    <n v="150072.54"/>
    <n v="0"/>
    <n v="0"/>
    <n v="0"/>
    <n v="0"/>
    <n v="0"/>
    <n v="0"/>
    <n v="150072.54"/>
    <n v="150072.54"/>
    <n v="150072.54"/>
    <s v="Em Procedimento Judicial"/>
    <m/>
  </r>
  <r>
    <n v="11207"/>
    <x v="29"/>
    <s v="08.685.699/0001-82"/>
    <n v="85883.37"/>
    <n v="1246131973"/>
    <d v="2024-10-30T00:00:00"/>
    <m/>
    <s v="2"/>
    <s v="Fertilizers"/>
    <n v="2972"/>
    <d v="2024-03-01T00:00:00"/>
    <n v="1010100"/>
    <s v="VENDAS MERCADO INTERNO"/>
    <n v="213"/>
    <n v="85883.37"/>
    <n v="0"/>
    <n v="0"/>
    <n v="0"/>
    <n v="0"/>
    <n v="0"/>
    <n v="0"/>
    <n v="0"/>
    <n v="85883.37"/>
    <n v="85883.37"/>
    <s v="Em Procedimento Judicial"/>
    <m/>
  </r>
  <r>
    <n v="10456"/>
    <x v="30"/>
    <s v="03.285.659/0001-20"/>
    <n v="88700.98"/>
    <n v="1246071886"/>
    <d v="2023-09-30T00:00:00"/>
    <m/>
    <s v="2"/>
    <s v="Fertilizers"/>
    <n v="20898"/>
    <d v="2023-03-15T00:00:00"/>
    <n v="1010100"/>
    <s v="VENDAS MERCADO INTERNO"/>
    <n v="609"/>
    <n v="88700.98"/>
    <n v="0"/>
    <n v="0"/>
    <n v="0"/>
    <n v="0"/>
    <n v="0"/>
    <n v="0"/>
    <n v="88700.98"/>
    <n v="88700.98"/>
    <n v="88700.98"/>
    <s v="Em Procedimento Judicial"/>
    <m/>
  </r>
  <r>
    <n v="10456"/>
    <x v="30"/>
    <s v="03.285.659/0001-20"/>
    <n v="111322.27"/>
    <n v="1246093334"/>
    <d v="2024-09-02T00:00:00"/>
    <m/>
    <s v="2"/>
    <s v="Fertilizers"/>
    <n v="251"/>
    <d v="2023-07-20T00:00:00"/>
    <n v="1010100"/>
    <s v="VENDAS MERCADO INTERNO"/>
    <n v="271"/>
    <n v="111322.27"/>
    <n v="0"/>
    <n v="0"/>
    <n v="0"/>
    <n v="0"/>
    <n v="0"/>
    <n v="0"/>
    <n v="0"/>
    <n v="111322.27"/>
    <n v="111322.27"/>
    <s v="Em Procedimento Judicial"/>
    <m/>
  </r>
  <r>
    <n v="10456"/>
    <x v="30"/>
    <s v="03.285.659/0001-20"/>
    <n v="118491.86"/>
    <n v="1246097861"/>
    <d v="2024-09-30T00:00:00"/>
    <m/>
    <s v="2"/>
    <s v="Fertilizers"/>
    <n v="683"/>
    <d v="2023-08-14T00:00:00"/>
    <n v="1010100"/>
    <s v="VENDAS MERCADO INTERNO"/>
    <n v="243"/>
    <n v="118491.86"/>
    <n v="0"/>
    <n v="0"/>
    <n v="0"/>
    <n v="0"/>
    <n v="0"/>
    <n v="0"/>
    <n v="0"/>
    <n v="118491.86"/>
    <n v="118491.86"/>
    <s v="Em Procedimento Judicial"/>
    <m/>
  </r>
  <r>
    <n v="10456"/>
    <x v="30"/>
    <s v="03.285.659/0001-20"/>
    <n v="117498.04"/>
    <n v="1246099432"/>
    <d v="2024-09-10T00:00:00"/>
    <m/>
    <s v="2"/>
    <s v="Fertilizers"/>
    <n v="787"/>
    <d v="2023-08-22T00:00:00"/>
    <n v="1010100"/>
    <s v="VENDAS MERCADO INTERNO"/>
    <n v="263"/>
    <n v="117498.04"/>
    <n v="0"/>
    <n v="0"/>
    <n v="0"/>
    <n v="0"/>
    <n v="0"/>
    <n v="0"/>
    <n v="0"/>
    <n v="117498.04"/>
    <n v="117498.04"/>
    <s v="Em Procedimento Judicial"/>
    <m/>
  </r>
  <r>
    <n v="10456"/>
    <x v="30"/>
    <s v="03.285.659/0001-20"/>
    <n v="100560.82"/>
    <n v="1246100417"/>
    <d v="2024-09-13T00:00:00"/>
    <m/>
    <s v="2"/>
    <s v="Fertilizers"/>
    <n v="183"/>
    <d v="2023-08-25T00:00:00"/>
    <n v="1010100"/>
    <s v="VENDAS MERCADO INTERNO"/>
    <n v="260"/>
    <n v="100560.82"/>
    <n v="0"/>
    <n v="0"/>
    <n v="0"/>
    <n v="0"/>
    <n v="0"/>
    <n v="0"/>
    <n v="0"/>
    <n v="100560.82"/>
    <n v="100560.82"/>
    <s v="Em Procedimento Judicial"/>
    <m/>
  </r>
  <r>
    <n v="10456"/>
    <x v="30"/>
    <s v="03.285.659/0001-20"/>
    <n v="61416.78"/>
    <n v="1246065449"/>
    <d v="2023-09-30T00:00:00"/>
    <m/>
    <s v="2"/>
    <s v="Fertilizers"/>
    <n v="20596"/>
    <d v="2023-02-01T00:00:00"/>
    <n v="1010100"/>
    <s v="VENDAS MERCADO INTERNO"/>
    <n v="609"/>
    <n v="61416.78"/>
    <n v="0"/>
    <n v="0"/>
    <n v="0"/>
    <n v="0"/>
    <n v="0"/>
    <n v="0"/>
    <n v="61416.78"/>
    <n v="61416.78"/>
    <n v="61416.78"/>
    <s v="Em Procedimento Judicial"/>
    <m/>
  </r>
  <r>
    <n v="10456"/>
    <x v="30"/>
    <s v="03.285.659/0001-20"/>
    <n v="106537.82"/>
    <n v="1246110763"/>
    <d v="2024-08-30T00:00:00"/>
    <m/>
    <s v="2"/>
    <s v="Fertilizers"/>
    <n v="1702"/>
    <d v="2023-10-23T00:00:00"/>
    <n v="1010100"/>
    <s v="VENDAS MERCADO INTERNO"/>
    <n v="274"/>
    <n v="106537.82"/>
    <n v="0"/>
    <n v="0"/>
    <n v="0"/>
    <n v="0"/>
    <n v="0"/>
    <n v="0"/>
    <n v="0"/>
    <n v="106537.82"/>
    <n v="106537.82"/>
    <s v="Em Procedimento Judicial"/>
    <m/>
  </r>
  <r>
    <n v="10456"/>
    <x v="30"/>
    <s v="03.285.659/0001-20"/>
    <n v="110173.77"/>
    <n v="1246067444"/>
    <d v="2023-09-30T00:00:00"/>
    <m/>
    <s v="2"/>
    <s v="Fertilizers"/>
    <n v="20680"/>
    <d v="2023-02-14T00:00:00"/>
    <n v="1010100"/>
    <s v="VENDAS MERCADO INTERNO"/>
    <n v="609"/>
    <n v="110173.77"/>
    <n v="0"/>
    <n v="0"/>
    <n v="0"/>
    <n v="0"/>
    <n v="0"/>
    <n v="0"/>
    <n v="110173.77"/>
    <n v="110173.77"/>
    <n v="110173.77"/>
    <s v="Em Procedimento Judicial"/>
    <m/>
  </r>
  <r>
    <n v="10456"/>
    <x v="30"/>
    <s v="03.285.659/0001-20"/>
    <n v="153644.62"/>
    <n v="1246066037"/>
    <d v="2023-09-30T00:00:00"/>
    <m/>
    <s v="2"/>
    <s v="Fertilizers"/>
    <n v="20619"/>
    <d v="2023-02-06T00:00:00"/>
    <n v="1010100"/>
    <s v="VENDAS MERCADO INTERNO"/>
    <n v="609"/>
    <n v="153644.62"/>
    <n v="0"/>
    <n v="0"/>
    <n v="0"/>
    <n v="0"/>
    <n v="0"/>
    <n v="0"/>
    <n v="153644.62"/>
    <n v="153644.62"/>
    <n v="153644.62"/>
    <s v="Em Procedimento Judicial"/>
    <m/>
  </r>
  <r>
    <n v="10456"/>
    <x v="30"/>
    <s v="03.285.659/0001-20"/>
    <n v="121627.64"/>
    <n v="1246061337"/>
    <d v="2023-09-30T00:00:00"/>
    <m/>
    <s v="2"/>
    <s v="Fertilizers"/>
    <n v="20371"/>
    <d v="2023-01-04T00:00:00"/>
    <n v="1010100"/>
    <s v="VENDAS MERCADO INTERNO"/>
    <n v="609"/>
    <n v="121627.64"/>
    <n v="0"/>
    <n v="0"/>
    <n v="0"/>
    <n v="0"/>
    <n v="0"/>
    <n v="0"/>
    <n v="121627.64"/>
    <n v="121627.64"/>
    <n v="121627.64"/>
    <s v="Em Procedimento Judicial"/>
    <m/>
  </r>
  <r>
    <n v="10456"/>
    <x v="30"/>
    <s v="03.285.659/0001-20"/>
    <n v="119763.56"/>
    <n v="1246107272"/>
    <d v="2024-09-01T00:00:00"/>
    <m/>
    <s v="2"/>
    <s v="Fertilizers"/>
    <n v="1444"/>
    <d v="2023-10-02T00:00:00"/>
    <n v="1010100"/>
    <s v="VENDAS MERCADO INTERNO"/>
    <n v="272"/>
    <n v="119763.56"/>
    <n v="0"/>
    <n v="0"/>
    <n v="0"/>
    <n v="0"/>
    <n v="0"/>
    <n v="0"/>
    <n v="0"/>
    <n v="119763.56"/>
    <n v="119763.56"/>
    <s v="Em Procedimento Judicial"/>
    <m/>
  </r>
  <r>
    <n v="10456"/>
    <x v="30"/>
    <s v="03.285.659/0001-20"/>
    <n v="129996.55"/>
    <n v="1246063009"/>
    <d v="2023-09-30T00:00:00"/>
    <m/>
    <s v="2"/>
    <s v="Fertilizers"/>
    <n v="20458"/>
    <d v="2023-01-17T00:00:00"/>
    <n v="1010100"/>
    <s v="VENDAS MERCADO INTERNO"/>
    <n v="609"/>
    <n v="129996.55"/>
    <n v="0"/>
    <n v="0"/>
    <n v="0"/>
    <n v="0"/>
    <n v="0"/>
    <n v="0"/>
    <n v="129996.55"/>
    <n v="129996.55"/>
    <n v="129996.55"/>
    <s v="Em Procedimento Judicial"/>
    <m/>
  </r>
  <r>
    <n v="10456"/>
    <x v="30"/>
    <s v="03.285.659/0001-20"/>
    <n v="61021.61"/>
    <n v="1246063058"/>
    <d v="2023-09-30T00:00:00"/>
    <m/>
    <s v="2"/>
    <s v="Fertilizers"/>
    <n v="20480"/>
    <d v="2023-01-17T00:00:00"/>
    <n v="1010100"/>
    <s v="VENDAS MERCADO INTERNO"/>
    <n v="609"/>
    <n v="61021.61"/>
    <n v="0"/>
    <n v="0"/>
    <n v="0"/>
    <n v="0"/>
    <n v="0"/>
    <n v="0"/>
    <n v="61021.61"/>
    <n v="61021.61"/>
    <n v="61021.61"/>
    <s v="Em Procedimento Judicial"/>
    <m/>
  </r>
  <r>
    <n v="10456"/>
    <x v="30"/>
    <s v="03.285.659/0001-20"/>
    <n v="111090.76"/>
    <n v="1246063995"/>
    <d v="2023-09-30T00:00:00"/>
    <m/>
    <s v="2"/>
    <s v="Fertilizers"/>
    <n v="20513"/>
    <d v="2023-01-23T00:00:00"/>
    <n v="1010100"/>
    <s v="VENDAS MERCADO INTERNO"/>
    <n v="609"/>
    <n v="111090.76"/>
    <n v="0"/>
    <n v="0"/>
    <n v="0"/>
    <n v="0"/>
    <n v="0"/>
    <n v="0"/>
    <n v="111090.76"/>
    <n v="111090.76"/>
    <n v="111090.76"/>
    <s v="Em Procedimento Judicial"/>
    <m/>
  </r>
  <r>
    <n v="10456"/>
    <x v="30"/>
    <s v="03.285.659/0001-20"/>
    <n v="110522.5"/>
    <n v="1246106689"/>
    <d v="2024-09-22T00:00:00"/>
    <m/>
    <s v="2"/>
    <s v="Fertilizers"/>
    <n v="1400"/>
    <d v="2023-09-28T00:00:00"/>
    <n v="1010100"/>
    <s v="VENDAS MERCADO INTERNO"/>
    <n v="251"/>
    <n v="110522.5"/>
    <n v="0"/>
    <n v="0"/>
    <n v="0"/>
    <n v="0"/>
    <n v="0"/>
    <n v="0"/>
    <n v="0"/>
    <n v="110522.5"/>
    <n v="110522.5"/>
    <s v="Em Procedimento Judicial"/>
    <m/>
  </r>
  <r>
    <n v="10456"/>
    <x v="30"/>
    <s v="03.285.659/0001-20"/>
    <n v="94275.76"/>
    <n v="1246103838"/>
    <d v="2024-09-08T00:00:00"/>
    <m/>
    <s v="2"/>
    <s v="Fertilizers"/>
    <n v="1159"/>
    <d v="2023-09-14T00:00:00"/>
    <n v="1010100"/>
    <s v="VENDAS MERCADO INTERNO"/>
    <n v="265"/>
    <n v="94275.76"/>
    <n v="0"/>
    <n v="0"/>
    <n v="0"/>
    <n v="0"/>
    <n v="0"/>
    <n v="0"/>
    <n v="0"/>
    <n v="94275.76"/>
    <n v="94275.76"/>
    <s v="Em Procedimento Judicial"/>
    <m/>
  </r>
  <r>
    <n v="11456"/>
    <x v="29"/>
    <s v="294.299.338-33"/>
    <n v="108608.88999999998"/>
    <n v="1246074872"/>
    <d v="2024-04-30T00:00:00"/>
    <m/>
    <s v="2"/>
    <s v="Fertilizers"/>
    <n v="21029"/>
    <d v="2023-04-03T00:00:00"/>
    <n v="1010100"/>
    <s v="VENDAS MERCADO INTERNO"/>
    <n v="396"/>
    <n v="108608.88999999998"/>
    <n v="0"/>
    <n v="0"/>
    <n v="0"/>
    <n v="0"/>
    <n v="0"/>
    <n v="0"/>
    <n v="108608.88999999998"/>
    <n v="108608.88999999998"/>
    <n v="108608.88999999998"/>
    <s v="Em Procedimento Judicial"/>
    <m/>
  </r>
  <r>
    <n v="11456"/>
    <x v="29"/>
    <s v="294.299.338-33"/>
    <n v="136139"/>
    <n v="1246074571"/>
    <d v="2024-04-30T00:00:00"/>
    <m/>
    <s v="2"/>
    <s v="Fertilizers"/>
    <n v="21023"/>
    <d v="2023-04-01T00:00:00"/>
    <n v="1010100"/>
    <s v="VENDAS MERCADO INTERNO"/>
    <n v="396"/>
    <n v="136139"/>
    <n v="0"/>
    <n v="0"/>
    <n v="0"/>
    <n v="0"/>
    <n v="0"/>
    <n v="0"/>
    <n v="136139"/>
    <n v="136139"/>
    <n v="136139"/>
    <s v="Em Procedimento Judicial"/>
    <m/>
  </r>
  <r>
    <n v="11456"/>
    <x v="29"/>
    <s v="294.299.338-33"/>
    <n v="150110.1"/>
    <n v="1246127149"/>
    <d v="2024-11-19T00:00:00"/>
    <m/>
    <s v="2"/>
    <s v="Fertilizers"/>
    <n v="2634"/>
    <d v="2024-01-29T00:00:00"/>
    <n v="1010100"/>
    <s v="VENDAS MERCADO INTERNO"/>
    <n v="193"/>
    <n v="150110.1"/>
    <n v="0"/>
    <n v="0"/>
    <n v="0"/>
    <n v="0"/>
    <n v="0"/>
    <n v="0"/>
    <n v="0"/>
    <n v="150110.1"/>
    <n v="150110.1"/>
    <s v="Em Procedimento Judicial"/>
    <m/>
  </r>
  <r>
    <n v="11456"/>
    <x v="29"/>
    <s v="294.299.338-33"/>
    <n v="150110.1"/>
    <n v="1246128463"/>
    <d v="2024-11-27T00:00:00"/>
    <m/>
    <s v="2"/>
    <s v="Fertilizers"/>
    <n v="2720"/>
    <d v="2024-02-06T00:00:00"/>
    <n v="1010100"/>
    <s v="VENDAS MERCADO INTERNO"/>
    <n v="185"/>
    <n v="150110.1"/>
    <n v="0"/>
    <n v="0"/>
    <n v="0"/>
    <n v="0"/>
    <n v="0"/>
    <n v="0"/>
    <n v="0"/>
    <n v="150110.1"/>
    <n v="150110.1"/>
    <s v="Em Procedimento Judicial"/>
    <m/>
  </r>
  <r>
    <n v="10676"/>
    <x v="31"/>
    <s v="00.000.000/0000-00"/>
    <n v="256935.85"/>
    <n v="1246069607"/>
    <d v="2023-08-29T00:00:00"/>
    <m/>
    <s v="1"/>
    <s v="Adtives"/>
    <n v="2347"/>
    <d v="2023-03-02T00:00:00"/>
    <n v="1010200"/>
    <s v="VENDAS MERCADO EXTERNO"/>
    <n v="641"/>
    <n v="256935.85"/>
    <n v="0"/>
    <n v="0"/>
    <n v="0"/>
    <n v="0"/>
    <n v="0"/>
    <n v="0"/>
    <n v="0"/>
    <n v="256935.85"/>
    <n v="256935.85"/>
    <s v="Cobrança Administrativa"/>
    <m/>
  </r>
  <r>
    <n v="12943"/>
    <x v="32"/>
    <s v="07.571.116/0015-25"/>
    <n v="82290"/>
    <n v="1246187828"/>
    <d v="2025-01-10T00:00:00"/>
    <m/>
    <s v="1"/>
    <s v="Adtives"/>
    <n v="1585"/>
    <d v="2024-12-13T00:00:00"/>
    <n v="1010100"/>
    <s v="VENDAS MERCADO INTERNO"/>
    <n v="141"/>
    <n v="2468.6999999999998"/>
    <n v="0"/>
    <n v="0"/>
    <n v="0"/>
    <n v="2468.6999999999998"/>
    <n v="0"/>
    <n v="0"/>
    <n v="0"/>
    <n v="0"/>
    <n v="2468.6999999999998"/>
    <s v="Cobrança Administrativa"/>
    <m/>
  </r>
  <r>
    <n v="12943"/>
    <x v="32"/>
    <s v="07.571.116/0015-25"/>
    <n v="82290"/>
    <n v="1246187829"/>
    <d v="2025-02-07T00:00:00"/>
    <m/>
    <s v="1"/>
    <s v="Adtives"/>
    <n v="1585"/>
    <d v="2024-12-13T00:00:00"/>
    <n v="1010100"/>
    <s v="VENDAS MERCADO INTERNO"/>
    <n v="113"/>
    <n v="0"/>
    <n v="2468.6999999999998"/>
    <n v="0"/>
    <n v="0"/>
    <n v="2468.6999999999998"/>
    <n v="0"/>
    <n v="0"/>
    <n v="0"/>
    <n v="0"/>
    <n v="2468.6999999999998"/>
    <s v="Cobrança Administrativa"/>
    <m/>
  </r>
  <r>
    <n v="12943"/>
    <x v="32"/>
    <s v="07.571.116/0015-25"/>
    <n v="49170"/>
    <n v="1246183176"/>
    <d v="2024-12-16T00:00:00"/>
    <m/>
    <s v="1"/>
    <s v="Adtives"/>
    <n v="6129"/>
    <d v="2024-11-18T00:00:00"/>
    <n v="1010100"/>
    <s v="VENDAS MERCADO INTERNO"/>
    <n v="166"/>
    <n v="1475.1"/>
    <n v="0"/>
    <n v="0"/>
    <n v="0"/>
    <n v="1475.1"/>
    <n v="0"/>
    <n v="0"/>
    <n v="0"/>
    <n v="0"/>
    <n v="1475.1"/>
    <s v="Cobrança Administrativa"/>
    <m/>
  </r>
  <r>
    <n v="12365"/>
    <x v="33"/>
    <s v="..-"/>
    <n v="86145.42"/>
    <n v="1246181410"/>
    <d v="2025-02-06T00:00:00"/>
    <m/>
    <s v="1"/>
    <s v="Adtives"/>
    <n v="6005"/>
    <d v="2024-11-08T00:00:00"/>
    <n v="1010200"/>
    <s v="VENDAS MERCADO EXTERNO"/>
    <n v="114"/>
    <n v="0"/>
    <n v="2584.3625999999999"/>
    <n v="0"/>
    <n v="0"/>
    <n v="2584.3625999999999"/>
    <n v="0"/>
    <n v="0"/>
    <n v="0"/>
    <n v="0"/>
    <n v="2584.3625999999999"/>
    <s v="Cobrança Administrativa"/>
    <m/>
  </r>
  <r>
    <n v="12365"/>
    <x v="33"/>
    <s v="..-"/>
    <n v="110758.38999999998"/>
    <n v="1246181553"/>
    <d v="2025-02-06T00:00:00"/>
    <m/>
    <s v="1"/>
    <s v="Adtives"/>
    <n v="6015"/>
    <d v="2024-11-08T00:00:00"/>
    <n v="1010200"/>
    <s v="VENDAS MERCADO EXTERNO"/>
    <n v="114"/>
    <n v="0"/>
    <n v="3322.7516999999993"/>
    <n v="0"/>
    <n v="0"/>
    <n v="3322.7516999999993"/>
    <n v="0"/>
    <n v="0"/>
    <n v="0"/>
    <n v="0"/>
    <n v="3322.7516999999993"/>
    <s v="Cobrança Administrativa"/>
    <m/>
  </r>
  <r>
    <n v="12295"/>
    <x v="34"/>
    <s v="37.743.701/0001-20"/>
    <n v="129728"/>
    <n v="1246100036"/>
    <d v="2024-09-12T00:00:00"/>
    <m/>
    <s v="2"/>
    <s v="Fertilizers"/>
    <n v="843"/>
    <d v="2023-08-24T00:00:00"/>
    <n v="1010100"/>
    <s v="VENDAS MERCADO INTERNO"/>
    <n v="261"/>
    <n v="129728"/>
    <n v="0"/>
    <n v="0"/>
    <n v="0"/>
    <n v="0"/>
    <n v="0"/>
    <n v="0"/>
    <n v="0"/>
    <n v="129728"/>
    <n v="129728"/>
    <s v="Em Procedimento Judicial"/>
    <m/>
  </r>
  <r>
    <n v="12295"/>
    <x v="34"/>
    <s v="37.743.701/0001-20"/>
    <n v="126208"/>
    <n v="1246106003"/>
    <d v="2024-09-24T00:00:00"/>
    <m/>
    <s v="2"/>
    <s v="Fertilizers"/>
    <n v="1328"/>
    <d v="2023-09-25T00:00:00"/>
    <n v="1010100"/>
    <s v="VENDAS MERCADO INTERNO"/>
    <n v="249"/>
    <n v="126208"/>
    <n v="0"/>
    <n v="0"/>
    <n v="0"/>
    <n v="0"/>
    <n v="0"/>
    <n v="0"/>
    <n v="0"/>
    <n v="126208"/>
    <n v="126208"/>
    <s v="Em Procedimento Judicial"/>
    <m/>
  </r>
  <r>
    <n v="12295"/>
    <x v="34"/>
    <s v="37.743.701/0001-20"/>
    <n v="19965"/>
    <n v="1246100409"/>
    <d v="2024-09-13T00:00:00"/>
    <m/>
    <s v="2"/>
    <s v="Fertilizers"/>
    <n v="864"/>
    <d v="2023-08-25T00:00:00"/>
    <n v="1010100"/>
    <s v="VENDAS MERCADO INTERNO"/>
    <n v="260"/>
    <n v="19965"/>
    <n v="0"/>
    <n v="0"/>
    <n v="0"/>
    <n v="0"/>
    <n v="0"/>
    <n v="0"/>
    <n v="0"/>
    <n v="19965"/>
    <n v="19965"/>
    <s v="Em Procedimento Judicial"/>
    <m/>
  </r>
  <r>
    <n v="12295"/>
    <x v="34"/>
    <s v="37.743.701/0001-20"/>
    <n v="102625"/>
    <n v="1246100411"/>
    <d v="2024-09-13T00:00:00"/>
    <m/>
    <s v="2"/>
    <s v="Fertilizers"/>
    <n v="865"/>
    <d v="2023-08-25T00:00:00"/>
    <n v="1010100"/>
    <s v="VENDAS MERCADO INTERNO"/>
    <n v="260"/>
    <n v="102625"/>
    <n v="0"/>
    <n v="0"/>
    <n v="0"/>
    <n v="0"/>
    <n v="0"/>
    <n v="0"/>
    <n v="0"/>
    <n v="102625"/>
    <n v="102625"/>
    <s v="Em Procedimento Judicial"/>
    <m/>
  </r>
  <r>
    <n v="12295"/>
    <x v="34"/>
    <s v="37.743.701/0001-20"/>
    <n v="23664"/>
    <n v="1246100034"/>
    <d v="2024-09-12T00:00:00"/>
    <m/>
    <s v="2"/>
    <s v="Fertilizers"/>
    <n v="842"/>
    <d v="2023-08-24T00:00:00"/>
    <n v="1010100"/>
    <s v="VENDAS MERCADO INTERNO"/>
    <n v="261"/>
    <n v="23664"/>
    <n v="0"/>
    <n v="0"/>
    <n v="0"/>
    <n v="0"/>
    <n v="0"/>
    <n v="0"/>
    <n v="0"/>
    <n v="23664"/>
    <n v="23664"/>
    <s v="Em Procedimento Judicial"/>
    <m/>
  </r>
  <r>
    <n v="12295"/>
    <x v="34"/>
    <s v="37.743.701/0001-20"/>
    <n v="126845"/>
    <n v="1246102685"/>
    <d v="2024-09-25T00:00:00"/>
    <m/>
    <s v="2"/>
    <s v="Fertilizers"/>
    <n v="1060"/>
    <d v="2023-09-06T00:00:00"/>
    <n v="1010100"/>
    <s v="VENDAS MERCADO INTERNO"/>
    <n v="248"/>
    <n v="126845"/>
    <n v="0"/>
    <n v="0"/>
    <n v="0"/>
    <n v="0"/>
    <n v="0"/>
    <n v="0"/>
    <n v="0"/>
    <n v="126845"/>
    <n v="126845"/>
    <s v="Em Procedimento Judicial"/>
    <m/>
  </r>
  <r>
    <n v="12295"/>
    <x v="34"/>
    <s v="37.743.701/0001-20"/>
    <n v="119790"/>
    <n v="1246100311"/>
    <d v="2024-09-13T00:00:00"/>
    <m/>
    <s v="2"/>
    <s v="Fertilizers"/>
    <n v="851"/>
    <d v="2023-08-25T00:00:00"/>
    <n v="1010100"/>
    <s v="VENDAS MERCADO INTERNO"/>
    <n v="260"/>
    <n v="119790"/>
    <n v="0"/>
    <n v="0"/>
    <n v="0"/>
    <n v="0"/>
    <n v="0"/>
    <n v="0"/>
    <n v="0"/>
    <n v="119790"/>
    <n v="119790"/>
    <s v="Em Procedimento Judicial"/>
    <m/>
  </r>
  <r>
    <n v="12295"/>
    <x v="34"/>
    <s v="37.743.701/0001-20"/>
    <n v="149872"/>
    <n v="1246099793"/>
    <d v="2024-09-11T00:00:00"/>
    <m/>
    <s v="2"/>
    <s v="Fertilizers"/>
    <n v="176"/>
    <d v="2023-08-23T00:00:00"/>
    <n v="1010100"/>
    <s v="VENDAS MERCADO INTERNO"/>
    <n v="262"/>
    <n v="149872"/>
    <n v="0"/>
    <n v="0"/>
    <n v="0"/>
    <n v="0"/>
    <n v="0"/>
    <n v="0"/>
    <n v="0"/>
    <n v="149872"/>
    <n v="149872"/>
    <s v="Em Procedimento Judicial"/>
    <m/>
  </r>
  <r>
    <n v="12295"/>
    <x v="34"/>
    <s v="37.743.701/0001-20"/>
    <n v="127776"/>
    <n v="1246102654"/>
    <d v="2024-09-25T00:00:00"/>
    <m/>
    <s v="2"/>
    <s v="Fertilizers"/>
    <n v="1053"/>
    <d v="2023-09-06T00:00:00"/>
    <n v="1010100"/>
    <s v="VENDAS MERCADO INTERNO"/>
    <n v="248"/>
    <n v="127776"/>
    <n v="0"/>
    <n v="0"/>
    <n v="0"/>
    <n v="0"/>
    <n v="0"/>
    <n v="0"/>
    <n v="0"/>
    <n v="127776"/>
    <n v="127776"/>
    <s v="Em Procedimento Judicial"/>
    <m/>
  </r>
  <r>
    <n v="12295"/>
    <x v="34"/>
    <s v="37.743.701/0001-20"/>
    <n v="7328"/>
    <n v="1246210431"/>
    <d v="2024-09-11T00:00:00"/>
    <m/>
    <s v="2"/>
    <s v="Fertilizers"/>
    <n v="177"/>
    <d v="2023-08-23T00:00:00"/>
    <n v="1010100"/>
    <s v="VENDAS MERCADO INTERNO"/>
    <n v="262"/>
    <n v="7328"/>
    <n v="0"/>
    <n v="0"/>
    <n v="0"/>
    <n v="0"/>
    <n v="0"/>
    <n v="0"/>
    <n v="7328"/>
    <n v="7328"/>
    <n v="7328"/>
    <s v="Em Procedimento Judicial"/>
    <m/>
  </r>
  <r>
    <n v="12295"/>
    <x v="34"/>
    <s v="37.743.701/0001-20"/>
    <n v="76544"/>
    <n v="1246211113"/>
    <d v="2024-09-11T00:00:00"/>
    <m/>
    <s v="2"/>
    <s v="Fertilizers"/>
    <n v="829"/>
    <d v="2023-08-23T00:00:00"/>
    <n v="1010100"/>
    <s v="VENDAS MERCADO INTERNO"/>
    <n v="262"/>
    <n v="76544"/>
    <n v="0"/>
    <n v="0"/>
    <n v="0"/>
    <n v="0"/>
    <n v="0"/>
    <n v="0"/>
    <n v="0"/>
    <n v="76544"/>
    <n v="76544"/>
    <s v="Em Procedimento Judicial"/>
    <m/>
  </r>
  <r>
    <n v="13193"/>
    <x v="35"/>
    <s v="28.321.521/0001-60"/>
    <n v="39218.19"/>
    <n v="1246129675"/>
    <d v="2024-11-02T00:00:00"/>
    <m/>
    <s v="2"/>
    <s v="Fertilizers"/>
    <n v="2817"/>
    <d v="2024-02-16T00:00:00"/>
    <n v="1010100"/>
    <s v="VENDAS MERCADO INTERNO"/>
    <n v="210"/>
    <n v="1176.5457000000001"/>
    <n v="0"/>
    <n v="0"/>
    <n v="0"/>
    <n v="1176.5457000000001"/>
    <n v="0"/>
    <n v="0"/>
    <n v="0"/>
    <n v="0"/>
    <n v="1176.5457000000001"/>
    <s v="Em Procedimento Judicial"/>
    <m/>
  </r>
  <r>
    <n v="13193"/>
    <x v="35"/>
    <s v="28.321.521/0001-60"/>
    <n v="96537.1"/>
    <n v="1246128994"/>
    <d v="2024-11-03T00:00:00"/>
    <m/>
    <s v="2"/>
    <s v="Fertilizers"/>
    <n v="2765"/>
    <d v="2024-02-09T00:00:00"/>
    <n v="1010100"/>
    <s v="VENDAS MERCADO INTERNO"/>
    <n v="209"/>
    <n v="2896.1130000000003"/>
    <n v="0"/>
    <n v="0"/>
    <n v="0"/>
    <n v="2896.1130000000003"/>
    <n v="0"/>
    <n v="0"/>
    <n v="0"/>
    <n v="0"/>
    <n v="2896.1130000000003"/>
    <s v="Em Procedimento Judicial"/>
    <m/>
  </r>
  <r>
    <n v="13193"/>
    <x v="35"/>
    <s v="28.321.521/0001-60"/>
    <n v="14369.79"/>
    <n v="1246129687"/>
    <d v="2024-10-29T00:00:00"/>
    <m/>
    <s v="2"/>
    <s v="Fertilizers"/>
    <n v="2824"/>
    <d v="2024-02-16T00:00:00"/>
    <n v="1010100"/>
    <s v="VENDAS MERCADO INTERNO"/>
    <n v="214"/>
    <n v="431.09370000000001"/>
    <n v="0"/>
    <n v="0"/>
    <n v="0"/>
    <n v="431.09370000000001"/>
    <n v="0"/>
    <n v="0"/>
    <n v="14369.79"/>
    <n v="0"/>
    <n v="431.09370000000001"/>
    <s v="Em Procedimento Judicial"/>
    <m/>
  </r>
  <r>
    <n v="13193"/>
    <x v="35"/>
    <s v="28.321.521/0001-60"/>
    <n v="102482.69"/>
    <n v="1246129689"/>
    <d v="2024-10-29T00:00:00"/>
    <m/>
    <s v="2"/>
    <s v="Fertilizers"/>
    <n v="2825"/>
    <d v="2024-02-16T00:00:00"/>
    <n v="1010100"/>
    <s v="VENDAS MERCADO INTERNO"/>
    <n v="214"/>
    <n v="3074.4807000000001"/>
    <n v="0"/>
    <n v="0"/>
    <n v="0"/>
    <n v="3074.4807000000001"/>
    <n v="0"/>
    <n v="0"/>
    <n v="0"/>
    <n v="0"/>
    <n v="3074.4807000000001"/>
    <s v="Em Procedimento Judicial"/>
    <m/>
  </r>
  <r>
    <n v="13193"/>
    <x v="35"/>
    <s v="28.321.521/0001-60"/>
    <n v="96537.1"/>
    <n v="1246128030"/>
    <d v="2024-11-08T00:00:00"/>
    <m/>
    <s v="2"/>
    <s v="Fertilizers"/>
    <n v="2691"/>
    <d v="2024-02-02T00:00:00"/>
    <n v="1010100"/>
    <s v="VENDAS MERCADO INTERNO"/>
    <n v="204"/>
    <n v="2896.1130000000003"/>
    <n v="0"/>
    <n v="0"/>
    <n v="0"/>
    <n v="2896.1130000000003"/>
    <n v="0"/>
    <n v="0"/>
    <n v="0"/>
    <n v="0"/>
    <n v="2896.1130000000003"/>
    <s v="Em Procedimento Judicial"/>
    <m/>
  </r>
  <r>
    <n v="13193"/>
    <x v="35"/>
    <s v="28.321.521/0001-60"/>
    <n v="96537.1"/>
    <n v="1246129535"/>
    <d v="2024-11-01T00:00:00"/>
    <m/>
    <s v="2"/>
    <s v="Fertilizers"/>
    <n v="2797"/>
    <d v="2024-02-15T00:00:00"/>
    <n v="1010100"/>
    <s v="VENDAS MERCADO INTERNO"/>
    <n v="211"/>
    <n v="2896.1130000000003"/>
    <n v="0"/>
    <n v="0"/>
    <n v="0"/>
    <n v="2896.1130000000003"/>
    <n v="0"/>
    <n v="0"/>
    <n v="0"/>
    <n v="0"/>
    <n v="2896.1130000000003"/>
    <s v="Em Procedimento Judicial"/>
    <m/>
  </r>
  <r>
    <n v="13193"/>
    <x v="35"/>
    <s v="28.321.521/0001-60"/>
    <n v="12586.97"/>
    <n v="1246129615"/>
    <d v="2024-10-29T00:00:00"/>
    <m/>
    <s v="2"/>
    <s v="Fertilizers"/>
    <n v="2804"/>
    <d v="2024-02-16T00:00:00"/>
    <n v="1010100"/>
    <s v="VENDAS MERCADO INTERNO"/>
    <n v="214"/>
    <n v="377.60909999999996"/>
    <n v="0"/>
    <n v="0"/>
    <n v="0"/>
    <n v="377.60909999999996"/>
    <n v="0"/>
    <n v="0"/>
    <n v="12586.97"/>
    <n v="0"/>
    <n v="377.60909999999996"/>
    <s v="Em Procedimento Judicial"/>
    <m/>
  </r>
  <r>
    <n v="13193"/>
    <x v="35"/>
    <s v="28.321.521/0001-60"/>
    <n v="96537.1"/>
    <n v="1246129423"/>
    <d v="2024-11-01T00:00:00"/>
    <m/>
    <s v="2"/>
    <s v="Fertilizers"/>
    <n v="2793"/>
    <d v="2024-02-15T00:00:00"/>
    <n v="1010100"/>
    <s v="VENDAS MERCADO INTERNO"/>
    <n v="211"/>
    <n v="2896.1130000000003"/>
    <n v="0"/>
    <n v="0"/>
    <n v="0"/>
    <n v="2896.1130000000003"/>
    <n v="0"/>
    <n v="0"/>
    <n v="0"/>
    <n v="0"/>
    <n v="2896.1130000000003"/>
    <s v="Em Procedimento Judicial"/>
    <m/>
  </r>
  <r>
    <n v="13193"/>
    <x v="35"/>
    <s v="28.321.521/0001-60"/>
    <n v="96537.1"/>
    <n v="1246129513"/>
    <d v="2024-11-09T00:00:00"/>
    <m/>
    <s v="2"/>
    <s v="Fertilizers"/>
    <n v="2795"/>
    <d v="2024-02-15T00:00:00"/>
    <n v="1010100"/>
    <s v="VENDAS MERCADO INTERNO"/>
    <n v="203"/>
    <n v="2896.1130000000003"/>
    <n v="0"/>
    <n v="0"/>
    <n v="0"/>
    <n v="2896.1130000000003"/>
    <n v="0"/>
    <n v="0"/>
    <n v="0"/>
    <n v="0"/>
    <n v="2896.1130000000003"/>
    <s v="Em Procedimento Judicial"/>
    <m/>
  </r>
  <r>
    <n v="13193"/>
    <x v="35"/>
    <s v="28.321.521/0001-60"/>
    <n v="100695.77"/>
    <n v="1246129348"/>
    <d v="2024-10-27T00:00:00"/>
    <m/>
    <s v="2"/>
    <s v="Fertilizers"/>
    <n v="2788"/>
    <d v="2024-02-14T00:00:00"/>
    <n v="1010100"/>
    <s v="VENDAS MERCADO INTERNO"/>
    <n v="216"/>
    <n v="3020.8730999999998"/>
    <n v="0"/>
    <n v="0"/>
    <n v="0"/>
    <n v="3020.8730999999998"/>
    <n v="0"/>
    <n v="0"/>
    <n v="0"/>
    <n v="0"/>
    <n v="3020.8730999999998"/>
    <s v="Em Procedimento Judicial"/>
    <m/>
  </r>
  <r>
    <n v="13193"/>
    <x v="35"/>
    <s v="28.321.521/0001-60"/>
    <n v="96537.12"/>
    <n v="1246129613"/>
    <d v="2024-11-02T00:00:00"/>
    <m/>
    <s v="2"/>
    <s v="Fertilizers"/>
    <n v="2803"/>
    <d v="2024-02-16T00:00:00"/>
    <n v="1010100"/>
    <s v="VENDAS MERCADO INTERNO"/>
    <n v="210"/>
    <n v="2896.1135999999997"/>
    <n v="0"/>
    <n v="0"/>
    <n v="0"/>
    <n v="2896.1135999999997"/>
    <n v="0"/>
    <n v="0"/>
    <n v="0"/>
    <n v="0"/>
    <n v="2896.1135999999997"/>
    <s v="Em Procedimento Judicial"/>
    <m/>
  </r>
  <r>
    <n v="13193"/>
    <x v="35"/>
    <s v="28.321.521/0001-60"/>
    <n v="114958.38999999998"/>
    <n v="1246126152"/>
    <d v="2024-10-29T00:00:00"/>
    <m/>
    <s v="2"/>
    <s v="Fertilizers"/>
    <n v="2568"/>
    <d v="2024-01-23T00:00:00"/>
    <n v="1010100"/>
    <s v="VENDAS MERCADO INTERNO"/>
    <n v="214"/>
    <n v="3448.7516999999993"/>
    <n v="0"/>
    <n v="0"/>
    <n v="0"/>
    <n v="3448.7516999999993"/>
    <n v="0"/>
    <n v="0"/>
    <n v="0"/>
    <n v="0"/>
    <n v="3448.7516999999993"/>
    <s v="Em Procedimento Judicial"/>
    <m/>
  </r>
  <r>
    <n v="13193"/>
    <x v="35"/>
    <s v="28.321.521/0001-60"/>
    <n v="111898.75000000001"/>
    <n v="1246126325"/>
    <d v="2024-10-30T00:00:00"/>
    <m/>
    <s v="2"/>
    <s v="Fertilizers"/>
    <n v="2581"/>
    <d v="2024-01-24T00:00:00"/>
    <n v="1010100"/>
    <s v="VENDAS MERCADO INTERNO"/>
    <n v="213"/>
    <n v="3356.9625000000001"/>
    <n v="0"/>
    <n v="0"/>
    <n v="0"/>
    <n v="3356.9625000000001"/>
    <n v="0"/>
    <n v="0"/>
    <n v="0"/>
    <n v="0"/>
    <n v="3356.9625000000001"/>
    <s v="Em Procedimento Judicial"/>
    <m/>
  </r>
  <r>
    <n v="13193"/>
    <x v="35"/>
    <s v="28.321.521/0001-60"/>
    <n v="108604.24"/>
    <n v="1246126878"/>
    <d v="2024-11-01T00:00:00"/>
    <m/>
    <s v="2"/>
    <s v="Fertilizers"/>
    <n v="2614"/>
    <d v="2024-01-26T00:00:00"/>
    <n v="1010100"/>
    <s v="VENDAS MERCADO INTERNO"/>
    <n v="211"/>
    <n v="3258.1271999999999"/>
    <n v="0"/>
    <n v="0"/>
    <n v="0"/>
    <n v="3258.1271999999999"/>
    <n v="0"/>
    <n v="0"/>
    <n v="0"/>
    <n v="0"/>
    <n v="3258.1271999999999"/>
    <s v="Em Procedimento Judicial"/>
    <m/>
  </r>
  <r>
    <n v="13193"/>
    <x v="35"/>
    <s v="28.321.521/0001-60"/>
    <n v="110524.44"/>
    <n v="1246126771"/>
    <d v="2024-11-01T00:00:00"/>
    <m/>
    <s v="2"/>
    <s v="Fertilizers"/>
    <n v="2605"/>
    <d v="2024-01-26T00:00:00"/>
    <n v="1010100"/>
    <s v="VENDAS MERCADO INTERNO"/>
    <n v="211"/>
    <n v="3315.7332000000001"/>
    <n v="0"/>
    <n v="0"/>
    <n v="0"/>
    <n v="3315.7332000000001"/>
    <n v="0"/>
    <n v="0"/>
    <n v="0"/>
    <n v="0"/>
    <n v="3315.7332000000001"/>
    <s v="Em Procedimento Judicial"/>
    <m/>
  </r>
  <r>
    <n v="13193"/>
    <x v="35"/>
    <s v="28.321.521/0001-60"/>
    <n v="81453.179999999993"/>
    <n v="1246126682"/>
    <d v="2024-10-31T00:00:00"/>
    <m/>
    <s v="2"/>
    <s v="Fertilizers"/>
    <n v="2598"/>
    <d v="2024-01-25T00:00:00"/>
    <n v="1010100"/>
    <s v="VENDAS MERCADO INTERNO"/>
    <n v="212"/>
    <n v="2443.5953999999997"/>
    <n v="0"/>
    <n v="0"/>
    <n v="0"/>
    <n v="2443.5953999999997"/>
    <n v="0"/>
    <n v="0"/>
    <n v="0"/>
    <n v="0"/>
    <n v="2443.5953999999997"/>
    <s v="Em Procedimento Judicial"/>
    <m/>
  </r>
  <r>
    <n v="13193"/>
    <x v="35"/>
    <s v="28.321.521/0001-60"/>
    <n v="97994.5"/>
    <n v="1246124699"/>
    <d v="2024-10-28T00:00:00"/>
    <m/>
    <s v="2"/>
    <s v="Fertilizers"/>
    <n v="2485"/>
    <d v="2024-01-12T00:00:00"/>
    <n v="1010100"/>
    <s v="VENDAS MERCADO INTERNO"/>
    <n v="215"/>
    <n v="2939.835"/>
    <n v="0"/>
    <n v="0"/>
    <n v="0"/>
    <n v="2939.835"/>
    <n v="0"/>
    <n v="0"/>
    <n v="0"/>
    <n v="0"/>
    <n v="2939.835"/>
    <s v="Em Procedimento Judicial"/>
    <m/>
  </r>
  <r>
    <n v="13193"/>
    <x v="35"/>
    <s v="28.321.521/0001-60"/>
    <n v="102482.69"/>
    <n v="1246129677"/>
    <d v="2024-10-29T00:00:00"/>
    <m/>
    <s v="2"/>
    <s v="Fertilizers"/>
    <n v="2818"/>
    <d v="2024-02-16T00:00:00"/>
    <n v="1010100"/>
    <s v="VENDAS MERCADO INTERNO"/>
    <n v="214"/>
    <n v="3074.4807000000001"/>
    <n v="0"/>
    <n v="0"/>
    <n v="0"/>
    <n v="3074.4807000000001"/>
    <n v="0"/>
    <n v="0"/>
    <n v="0"/>
    <n v="0"/>
    <n v="3074.4807000000001"/>
    <s v="Em Procedimento Judicial"/>
    <m/>
  </r>
  <r>
    <n v="13193"/>
    <x v="35"/>
    <s v="28.321.521/0001-60"/>
    <n v="140175.09"/>
    <n v="1246130332"/>
    <d v="2024-11-03T00:00:00"/>
    <m/>
    <s v="2"/>
    <s v="Fertilizers"/>
    <n v="2873"/>
    <d v="2024-02-21T00:00:00"/>
    <n v="1010100"/>
    <s v="VENDAS MERCADO INTERNO"/>
    <n v="209"/>
    <n v="4205.2527"/>
    <n v="0"/>
    <n v="0"/>
    <n v="0"/>
    <n v="4205.2527"/>
    <n v="0"/>
    <n v="0"/>
    <n v="0"/>
    <n v="0"/>
    <n v="4205.2527"/>
    <s v="Em Procedimento Judicial"/>
    <m/>
  </r>
  <r>
    <n v="13193"/>
    <x v="35"/>
    <s v="28.321.521/0001-60"/>
    <n v="112140.07"/>
    <n v="1246130309"/>
    <d v="2024-11-03T00:00:00"/>
    <m/>
    <s v="2"/>
    <s v="Fertilizers"/>
    <n v="2867"/>
    <d v="2024-02-21T00:00:00"/>
    <n v="1010100"/>
    <s v="VENDAS MERCADO INTERNO"/>
    <n v="209"/>
    <n v="3364.2021"/>
    <n v="0"/>
    <n v="0"/>
    <n v="0"/>
    <n v="3364.2021"/>
    <n v="0"/>
    <n v="0"/>
    <n v="0"/>
    <n v="0"/>
    <n v="3364.2021"/>
    <s v="Em Procedimento Judicial"/>
    <m/>
  </r>
  <r>
    <n v="13193"/>
    <x v="35"/>
    <s v="28.321.521/0001-60"/>
    <n v="105131.31"/>
    <n v="1246132575"/>
    <d v="2024-11-01T00:00:00"/>
    <m/>
    <s v="2"/>
    <s v="Fertilizers"/>
    <n v="2994"/>
    <d v="2024-03-06T00:00:00"/>
    <n v="1010100"/>
    <s v="VENDAS MERCADO INTERNO"/>
    <n v="211"/>
    <n v="3153.9393"/>
    <n v="0"/>
    <n v="0"/>
    <n v="0"/>
    <n v="3153.9393"/>
    <n v="0"/>
    <n v="0"/>
    <n v="0"/>
    <n v="0"/>
    <n v="3153.9393"/>
    <s v="Em Procedimento Judicial"/>
    <m/>
  </r>
  <r>
    <n v="13193"/>
    <x v="35"/>
    <s v="28.321.521/0001-60"/>
    <n v="97257.29"/>
    <n v="1246139180"/>
    <d v="2024-10-08T00:00:00"/>
    <m/>
    <s v="2"/>
    <s v="Fertilizers"/>
    <n v="3265"/>
    <d v="2024-04-11T00:00:00"/>
    <n v="1010100"/>
    <s v="VENDAS MERCADO INTERNO"/>
    <n v="235"/>
    <n v="2917.7186999999999"/>
    <n v="0"/>
    <n v="0"/>
    <n v="0"/>
    <n v="2917.7186999999999"/>
    <n v="0"/>
    <n v="0"/>
    <n v="0"/>
    <n v="0"/>
    <n v="2917.7186999999999"/>
    <s v="Em Procedimento Judicial"/>
    <m/>
  </r>
  <r>
    <n v="13193"/>
    <x v="35"/>
    <s v="28.321.521/0001-60"/>
    <n v="104293.46"/>
    <n v="1246135519"/>
    <d v="2024-11-04T00:00:00"/>
    <m/>
    <s v="2"/>
    <s v="Fertilizers"/>
    <n v="3146"/>
    <d v="2024-03-22T00:00:00"/>
    <n v="1010100"/>
    <s v="VENDAS MERCADO INTERNO"/>
    <n v="208"/>
    <n v="3128.8038000000001"/>
    <n v="0"/>
    <n v="0"/>
    <n v="0"/>
    <n v="3128.8038000000001"/>
    <n v="0"/>
    <n v="0"/>
    <n v="0"/>
    <n v="0"/>
    <n v="3128.8038000000001"/>
    <s v="Em Procedimento Judicial"/>
    <m/>
  </r>
  <r>
    <n v="13193"/>
    <x v="35"/>
    <s v="28.321.521/0001-60"/>
    <n v="120980.73"/>
    <n v="1246138904"/>
    <d v="2024-10-07T00:00:00"/>
    <m/>
    <s v="2"/>
    <s v="Fertilizers"/>
    <n v="3260"/>
    <d v="2024-04-10T00:00:00"/>
    <n v="1010100"/>
    <s v="VENDAS MERCADO INTERNO"/>
    <n v="236"/>
    <n v="3629.4218999999998"/>
    <n v="0"/>
    <n v="0"/>
    <n v="0"/>
    <n v="3629.4218999999998"/>
    <n v="0"/>
    <n v="0"/>
    <n v="0"/>
    <n v="0"/>
    <n v="3629.4218999999998"/>
    <s v="Em Procedimento Judicial"/>
    <m/>
  </r>
  <r>
    <n v="13193"/>
    <x v="35"/>
    <s v="28.321.521/0001-60"/>
    <n v="142145.26999999999"/>
    <n v="1246138695"/>
    <d v="2024-10-06T00:00:00"/>
    <m/>
    <s v="2"/>
    <s v="Fertilizers"/>
    <n v="3255"/>
    <d v="2024-04-09T00:00:00"/>
    <n v="1010100"/>
    <s v="VENDAS MERCADO INTERNO"/>
    <n v="237"/>
    <n v="4264.3580999999995"/>
    <n v="0"/>
    <n v="0"/>
    <n v="0"/>
    <n v="4264.3580999999995"/>
    <n v="0"/>
    <n v="0"/>
    <n v="0"/>
    <n v="0"/>
    <n v="4264.3580999999995"/>
    <s v="Em Procedimento Judicial"/>
    <m/>
  </r>
  <r>
    <n v="13193"/>
    <x v="35"/>
    <s v="28.321.521/0001-60"/>
    <n v="30167.84"/>
    <n v="1246134824"/>
    <d v="2024-11-01T00:00:00"/>
    <m/>
    <s v="2"/>
    <s v="Fertilizers"/>
    <n v="3122"/>
    <d v="2024-03-19T00:00:00"/>
    <n v="1010100"/>
    <s v="VENDAS MERCADO INTERNO"/>
    <n v="211"/>
    <n v="905.03519999999992"/>
    <n v="0"/>
    <n v="0"/>
    <n v="0"/>
    <n v="905.03519999999992"/>
    <n v="0"/>
    <n v="0"/>
    <n v="0"/>
    <n v="0"/>
    <n v="905.03519999999992"/>
    <s v="Em Procedimento Judicial"/>
    <m/>
  </r>
  <r>
    <n v="13193"/>
    <x v="35"/>
    <s v="28.321.521/0001-60"/>
    <n v="96077.53"/>
    <n v="1246134935"/>
    <d v="2024-11-02T00:00:00"/>
    <m/>
    <s v="2"/>
    <s v="Fertilizers"/>
    <n v="3128"/>
    <d v="2024-03-20T00:00:00"/>
    <n v="1010100"/>
    <s v="VENDAS MERCADO INTERNO"/>
    <n v="210"/>
    <n v="2882.3258999999998"/>
    <n v="0"/>
    <n v="0"/>
    <n v="0"/>
    <n v="2882.3258999999998"/>
    <n v="0"/>
    <n v="0"/>
    <n v="0"/>
    <n v="0"/>
    <n v="2882.3258999999998"/>
    <s v="Em Procedimento Judicial"/>
    <m/>
  </r>
  <r>
    <n v="13193"/>
    <x v="35"/>
    <s v="28.321.521/0001-60"/>
    <n v="90503.54"/>
    <n v="1246134807"/>
    <d v="2024-11-01T00:00:00"/>
    <m/>
    <s v="2"/>
    <s v="Fertilizers"/>
    <n v="3119"/>
    <d v="2024-03-19T00:00:00"/>
    <n v="1010100"/>
    <s v="VENDAS MERCADO INTERNO"/>
    <n v="211"/>
    <n v="2715.1061999999997"/>
    <n v="0"/>
    <n v="0"/>
    <n v="0"/>
    <n v="2715.1061999999997"/>
    <n v="0"/>
    <n v="0"/>
    <n v="0"/>
    <n v="0"/>
    <n v="2715.1061999999997"/>
    <s v="Em Procedimento Judicial"/>
    <m/>
  </r>
  <r>
    <n v="13193"/>
    <x v="35"/>
    <s v="28.321.521/0001-60"/>
    <n v="90503.54"/>
    <n v="1246134540"/>
    <d v="2024-10-31T00:00:00"/>
    <m/>
    <s v="2"/>
    <s v="Fertilizers"/>
    <n v="3110"/>
    <d v="2024-03-18T00:00:00"/>
    <n v="1010100"/>
    <s v="VENDAS MERCADO INTERNO"/>
    <n v="212"/>
    <n v="2715.1061999999997"/>
    <n v="0"/>
    <n v="0"/>
    <n v="0"/>
    <n v="2715.1061999999997"/>
    <n v="0"/>
    <n v="0"/>
    <n v="0"/>
    <n v="0"/>
    <n v="2715.1061999999997"/>
    <s v="Em Procedimento Judicial"/>
    <m/>
  </r>
  <r>
    <n v="13193"/>
    <x v="35"/>
    <s v="28.321.521/0001-60"/>
    <n v="82776.289999999994"/>
    <n v="1246139327"/>
    <d v="2024-10-08T00:00:00"/>
    <m/>
    <s v="2"/>
    <s v="Fertilizers"/>
    <n v="3272"/>
    <d v="2024-04-11T00:00:00"/>
    <n v="1010100"/>
    <s v="VENDAS MERCADO INTERNO"/>
    <n v="235"/>
    <n v="2483.2886999999996"/>
    <n v="0"/>
    <n v="0"/>
    <n v="0"/>
    <n v="2483.2886999999996"/>
    <n v="0"/>
    <n v="0"/>
    <n v="0"/>
    <n v="0"/>
    <n v="2483.2886999999996"/>
    <s v="Em Procedimento Judicial"/>
    <m/>
  </r>
  <r>
    <n v="13193"/>
    <x v="35"/>
    <s v="28.321.521/0001-60"/>
    <n v="64051.68"/>
    <n v="1246134828"/>
    <d v="2024-11-01T00:00:00"/>
    <m/>
    <s v="2"/>
    <s v="Fertilizers"/>
    <n v="3123"/>
    <d v="2024-03-19T00:00:00"/>
    <n v="1010100"/>
    <s v="VENDAS MERCADO INTERNO"/>
    <n v="211"/>
    <n v="1921.5503999999999"/>
    <n v="0"/>
    <n v="0"/>
    <n v="0"/>
    <n v="1921.5503999999999"/>
    <n v="0"/>
    <n v="0"/>
    <n v="0"/>
    <n v="0"/>
    <n v="1921.5503999999999"/>
    <s v="Em Procedimento Judicial"/>
    <m/>
  </r>
  <r>
    <n v="13193"/>
    <x v="35"/>
    <s v="28.321.521/0001-60"/>
    <n v="96077.53"/>
    <n v="1246134926"/>
    <d v="2024-11-02T00:00:00"/>
    <m/>
    <s v="2"/>
    <s v="Fertilizers"/>
    <n v="3126"/>
    <d v="2024-03-20T00:00:00"/>
    <n v="1010100"/>
    <s v="VENDAS MERCADO INTERNO"/>
    <n v="210"/>
    <n v="2882.3258999999998"/>
    <n v="0"/>
    <n v="0"/>
    <n v="0"/>
    <n v="2882.3258999999998"/>
    <n v="0"/>
    <n v="0"/>
    <n v="0"/>
    <n v="0"/>
    <n v="2882.3258999999998"/>
    <s v="Em Procedimento Judicial"/>
    <m/>
  </r>
  <r>
    <n v="13193"/>
    <x v="35"/>
    <s v="28.321.521/0001-60"/>
    <n v="96077.53"/>
    <n v="1246135475"/>
    <d v="2024-11-04T00:00:00"/>
    <m/>
    <s v="2"/>
    <s v="Fertilizers"/>
    <n v="3143"/>
    <d v="2024-03-22T00:00:00"/>
    <n v="1010100"/>
    <s v="VENDAS MERCADO INTERNO"/>
    <n v="208"/>
    <n v="2882.3258999999998"/>
    <n v="0"/>
    <n v="0"/>
    <n v="0"/>
    <n v="2882.3258999999998"/>
    <n v="0"/>
    <n v="0"/>
    <n v="0"/>
    <n v="0"/>
    <n v="2882.3258999999998"/>
    <s v="Em Procedimento Judicial"/>
    <m/>
  </r>
  <r>
    <n v="14094"/>
    <x v="36"/>
    <s v="014.415.101-41"/>
    <n v="100"/>
    <n v="1246154530"/>
    <d v="2024-07-01T00:00:00"/>
    <m/>
    <m/>
    <s v="Não encontrado"/>
    <n v="4088"/>
    <d v="2024-07-01T00:00:00"/>
    <n v="4010300"/>
    <s v="MÓVEIS E UTENSÍLIOS"/>
    <n v="334"/>
    <n v="3"/>
    <n v="0"/>
    <n v="0"/>
    <n v="0"/>
    <n v="3"/>
    <n v="0"/>
    <n v="0"/>
    <n v="100"/>
    <n v="0"/>
    <n v="3"/>
    <s v="-"/>
    <m/>
  </r>
  <r>
    <n v="13873"/>
    <x v="37"/>
    <s v="844.462.855-72"/>
    <n v="50"/>
    <n v="1246166396"/>
    <d v="2024-08-21T00:00:00"/>
    <m/>
    <m/>
    <s v="Não encontrado"/>
    <n v="4854"/>
    <d v="2024-08-21T00:00:00"/>
    <n v="4010300"/>
    <s v="MÓVEIS E UTENSÍLIOS"/>
    <n v="283"/>
    <n v="1.5"/>
    <n v="0"/>
    <n v="0"/>
    <n v="0"/>
    <n v="1.5"/>
    <n v="0"/>
    <n v="0"/>
    <n v="50"/>
    <n v="0"/>
    <n v="1.5"/>
    <s v="-"/>
    <m/>
  </r>
  <r>
    <n v="14106"/>
    <x v="38"/>
    <s v="50.454.037/0001-68"/>
    <n v="300"/>
    <n v="1246182736"/>
    <d v="2024-11-29T00:00:00"/>
    <m/>
    <m/>
    <s v="Não encontrado"/>
    <n v="6092"/>
    <d v="2024-11-14T00:00:00"/>
    <n v="1020400"/>
    <s v="VENDA DE SUCATAS"/>
    <n v="183"/>
    <n v="9"/>
    <n v="0"/>
    <n v="0"/>
    <n v="0"/>
    <n v="9"/>
    <n v="0"/>
    <n v="0"/>
    <n v="300"/>
    <n v="0"/>
    <n v="9"/>
    <s v="Cobrança Administrativa"/>
    <m/>
  </r>
  <r>
    <n v="14447"/>
    <x v="39"/>
    <s v="112.519.456-19"/>
    <n v="960"/>
    <n v="1246187011"/>
    <d v="2024-12-24T00:00:00"/>
    <m/>
    <m/>
    <s v="Não encontrado"/>
    <n v="6358"/>
    <d v="2024-12-09T00:00:00"/>
    <n v="1010100"/>
    <s v="VENDAS MERCADO INTERNO"/>
    <n v="158"/>
    <n v="28.799999999999997"/>
    <n v="0"/>
    <n v="0"/>
    <n v="0"/>
    <n v="28.799999999999997"/>
    <n v="0"/>
    <n v="0"/>
    <n v="0"/>
    <n v="0"/>
    <n v="28.799999999999997"/>
    <s v="-"/>
    <m/>
  </r>
  <r>
    <m/>
    <x v="40"/>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360683-3868-4D87-8AA4-6E7B1278632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5" firstHeaderRow="1" firstDataRow="1" firstDataCol="1"/>
  <pivotFields count="26">
    <pivotField showAll="0"/>
    <pivotField axis="axisRow" showAll="0">
      <items count="42">
        <item x="35"/>
        <item x="24"/>
        <item x="23"/>
        <item x="30"/>
        <item x="34"/>
        <item x="15"/>
        <item x="12"/>
        <item x="3"/>
        <item x="25"/>
        <item x="22"/>
        <item x="6"/>
        <item x="18"/>
        <item x="5"/>
        <item x="28"/>
        <item x="14"/>
        <item x="9"/>
        <item x="29"/>
        <item x="0"/>
        <item x="1"/>
        <item x="16"/>
        <item x="10"/>
        <item x="8"/>
        <item x="33"/>
        <item x="32"/>
        <item x="20"/>
        <item x="39"/>
        <item x="36"/>
        <item x="13"/>
        <item x="31"/>
        <item x="26"/>
        <item x="37"/>
        <item x="21"/>
        <item x="4"/>
        <item x="17"/>
        <item x="11"/>
        <item x="38"/>
        <item x="7"/>
        <item x="27"/>
        <item x="2"/>
        <item x="19"/>
        <item x="4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Sum of Total Write off" fld="23" baseField="1"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51F4-2778-4E4A-BE26-75C4E309E92D}">
  <sheetPr>
    <tabColor theme="3"/>
    <outlinePr summaryBelow="0"/>
  </sheetPr>
  <dimension ref="B1:S140"/>
  <sheetViews>
    <sheetView showGridLines="0" tabSelected="1" topLeftCell="A20" zoomScale="70" zoomScaleNormal="70" workbookViewId="0">
      <pane xSplit="4" ySplit="6" topLeftCell="E26" activePane="bottomRight" state="frozen"/>
      <selection activeCell="A9" sqref="A9:XFD9"/>
      <selection pane="topRight" activeCell="A9" sqref="A9:XFD9"/>
      <selection pane="bottomLeft" activeCell="A9" sqref="A9:XFD9"/>
      <selection pane="bottomRight" activeCell="S27" sqref="S27"/>
    </sheetView>
  </sheetViews>
  <sheetFormatPr defaultColWidth="8.88671875" defaultRowHeight="14.4" outlineLevelRow="2" x14ac:dyDescent="0.25"/>
  <cols>
    <col min="1" max="1" width="2.109375" style="193" customWidth="1"/>
    <col min="2" max="2" width="45.44140625" style="193" bestFit="1" customWidth="1"/>
    <col min="3" max="3" width="0.88671875" style="195" customWidth="1"/>
    <col min="4" max="4" width="13.44140625" style="193" bestFit="1" customWidth="1"/>
    <col min="5" max="5" width="16.44140625" style="193" bestFit="1" customWidth="1"/>
    <col min="6" max="6" width="15" style="193" bestFit="1" customWidth="1"/>
    <col min="7" max="7" width="16.88671875" style="193" bestFit="1" customWidth="1"/>
    <col min="8" max="8" width="0.88671875" style="195" customWidth="1"/>
    <col min="9" max="9" width="19" style="193" bestFit="1" customWidth="1"/>
    <col min="10" max="10" width="13.33203125" style="193" customWidth="1"/>
    <col min="11" max="11" width="0.88671875" style="195" customWidth="1"/>
    <col min="12" max="12" width="16.33203125" style="193" bestFit="1" customWidth="1"/>
    <col min="13" max="13" width="16.109375" style="193" bestFit="1" customWidth="1"/>
    <col min="14" max="14" width="14.33203125" style="193" customWidth="1"/>
    <col min="15" max="15" width="0.88671875" style="195" customWidth="1"/>
    <col min="16" max="16" width="92.88671875" style="193" customWidth="1"/>
    <col min="17" max="17" width="16" style="193" bestFit="1" customWidth="1"/>
    <col min="18" max="18" width="13.6640625" style="193" customWidth="1"/>
    <col min="19" max="19" width="14" style="193" bestFit="1" customWidth="1"/>
    <col min="20" max="20" width="11.109375" style="193" bestFit="1" customWidth="1"/>
    <col min="21" max="21" width="9" style="193" customWidth="1"/>
    <col min="22" max="16384" width="8.88671875" style="193"/>
  </cols>
  <sheetData>
    <row r="1" spans="2:16" ht="15.6" hidden="1" x14ac:dyDescent="0.25">
      <c r="B1" s="193" t="s">
        <v>552</v>
      </c>
      <c r="C1" s="194"/>
    </row>
    <row r="2" spans="2:16" ht="15.6" hidden="1" x14ac:dyDescent="0.25">
      <c r="B2" s="422" t="s">
        <v>553</v>
      </c>
      <c r="C2" s="422"/>
      <c r="D2" s="422"/>
      <c r="E2" s="422"/>
      <c r="F2" s="422"/>
      <c r="G2" s="228"/>
      <c r="I2" s="196">
        <f>I22/1000</f>
        <v>59548.325869999993</v>
      </c>
      <c r="J2" s="196">
        <f>J22/1000</f>
        <v>95548.816729999991</v>
      </c>
    </row>
    <row r="3" spans="2:16" ht="14.4" hidden="1" customHeight="1" x14ac:dyDescent="0.25">
      <c r="C3" s="193"/>
    </row>
    <row r="4" spans="2:16" ht="15.6" hidden="1" x14ac:dyDescent="0.25">
      <c r="B4" s="420" t="s">
        <v>554</v>
      </c>
      <c r="C4" s="194"/>
      <c r="D4" s="420" t="s">
        <v>338</v>
      </c>
      <c r="E4" s="420" t="s">
        <v>27</v>
      </c>
      <c r="F4" s="420" t="s">
        <v>8</v>
      </c>
      <c r="G4" s="420" t="s">
        <v>8</v>
      </c>
      <c r="I4" s="420" t="s">
        <v>339</v>
      </c>
      <c r="J4" s="420" t="s">
        <v>339</v>
      </c>
      <c r="L4" s="420" t="s">
        <v>555</v>
      </c>
      <c r="M4" s="420"/>
      <c r="N4" s="420"/>
      <c r="P4" s="420" t="s">
        <v>337</v>
      </c>
    </row>
    <row r="5" spans="2:16" ht="15.6" hidden="1" x14ac:dyDescent="0.25">
      <c r="B5" s="421"/>
      <c r="C5" s="194"/>
      <c r="D5" s="421"/>
      <c r="E5" s="421"/>
      <c r="F5" s="421"/>
      <c r="G5" s="421"/>
      <c r="I5" s="421"/>
      <c r="J5" s="421"/>
      <c r="L5" s="51" t="s">
        <v>480</v>
      </c>
      <c r="M5" s="51" t="s">
        <v>481</v>
      </c>
      <c r="N5" s="51" t="s">
        <v>482</v>
      </c>
      <c r="P5" s="421"/>
    </row>
    <row r="6" spans="2:16" ht="46.8" hidden="1" x14ac:dyDescent="0.25">
      <c r="B6" s="133" t="s">
        <v>500</v>
      </c>
      <c r="C6" s="194"/>
      <c r="D6" s="133" t="s">
        <v>341</v>
      </c>
      <c r="E6" s="134">
        <f t="shared" ref="E6:I12" si="0">E26/1000</f>
        <v>7560.7277999999969</v>
      </c>
      <c r="F6" s="134">
        <f t="shared" si="0"/>
        <v>0</v>
      </c>
      <c r="G6" s="134">
        <f t="shared" ref="G6" si="1">G26/1000</f>
        <v>7560.7277999999969</v>
      </c>
      <c r="I6" s="134">
        <f t="shared" si="0"/>
        <v>0</v>
      </c>
      <c r="J6" s="134">
        <f t="shared" ref="J6" si="2">J26/1000</f>
        <v>0</v>
      </c>
      <c r="L6" s="134">
        <f t="shared" ref="L6:N12" si="3">L26/1000</f>
        <v>0</v>
      </c>
      <c r="M6" s="134">
        <f t="shared" si="3"/>
        <v>7560.7277999999969</v>
      </c>
      <c r="N6" s="134">
        <f t="shared" si="3"/>
        <v>0</v>
      </c>
      <c r="P6" s="197" t="s">
        <v>556</v>
      </c>
    </row>
    <row r="7" spans="2:16" ht="15.6" hidden="1" x14ac:dyDescent="0.25">
      <c r="B7" s="133" t="s">
        <v>501</v>
      </c>
      <c r="C7" s="194"/>
      <c r="D7" s="133" t="s">
        <v>341</v>
      </c>
      <c r="E7" s="134">
        <f t="shared" si="0"/>
        <v>3088.5310700000009</v>
      </c>
      <c r="F7" s="134">
        <f t="shared" si="0"/>
        <v>0</v>
      </c>
      <c r="G7" s="134">
        <f t="shared" ref="G7" si="4">G27/1000</f>
        <v>3088.5310700000009</v>
      </c>
      <c r="I7" s="134">
        <f t="shared" si="0"/>
        <v>3088.5310700000009</v>
      </c>
      <c r="J7" s="134">
        <f t="shared" ref="J7" si="5">J27/1000</f>
        <v>0</v>
      </c>
      <c r="L7" s="134">
        <f t="shared" si="3"/>
        <v>3088.5310700000009</v>
      </c>
      <c r="M7" s="134">
        <f t="shared" si="3"/>
        <v>0</v>
      </c>
      <c r="N7" s="134">
        <f t="shared" si="3"/>
        <v>0</v>
      </c>
      <c r="P7" s="197" t="s">
        <v>502</v>
      </c>
    </row>
    <row r="8" spans="2:16" ht="46.8" hidden="1" x14ac:dyDescent="0.25">
      <c r="B8" s="133" t="s">
        <v>503</v>
      </c>
      <c r="C8" s="194"/>
      <c r="D8" s="133" t="s">
        <v>341</v>
      </c>
      <c r="E8" s="134">
        <f t="shared" si="0"/>
        <v>3044.8509199999994</v>
      </c>
      <c r="F8" s="134">
        <f t="shared" si="0"/>
        <v>0</v>
      </c>
      <c r="G8" s="134">
        <f t="shared" ref="G8" si="6">G28/1000</f>
        <v>3044.8509199999994</v>
      </c>
      <c r="I8" s="134">
        <f t="shared" si="0"/>
        <v>3044.8509199999994</v>
      </c>
      <c r="J8" s="134">
        <f t="shared" ref="J8" si="7">J28/1000</f>
        <v>0</v>
      </c>
      <c r="L8" s="134">
        <f t="shared" si="3"/>
        <v>3044.8509199999994</v>
      </c>
      <c r="M8" s="134">
        <f t="shared" si="3"/>
        <v>0</v>
      </c>
      <c r="N8" s="134">
        <f t="shared" si="3"/>
        <v>0</v>
      </c>
      <c r="P8" s="197" t="s">
        <v>557</v>
      </c>
    </row>
    <row r="9" spans="2:16" ht="46.8" hidden="1" x14ac:dyDescent="0.25">
      <c r="B9" s="133" t="s">
        <v>504</v>
      </c>
      <c r="C9" s="194"/>
      <c r="D9" s="133" t="s">
        <v>341</v>
      </c>
      <c r="E9" s="134">
        <f t="shared" si="0"/>
        <v>2492.8420500000007</v>
      </c>
      <c r="F9" s="134">
        <f t="shared" si="0"/>
        <v>0</v>
      </c>
      <c r="G9" s="134">
        <f t="shared" ref="G9" si="8">G29/1000</f>
        <v>2492.8420500000007</v>
      </c>
      <c r="I9" s="134">
        <f t="shared" si="0"/>
        <v>0</v>
      </c>
      <c r="J9" s="134">
        <f t="shared" ref="J9" si="9">J29/1000</f>
        <v>0</v>
      </c>
      <c r="L9" s="134">
        <f t="shared" si="3"/>
        <v>0</v>
      </c>
      <c r="M9" s="134">
        <f t="shared" si="3"/>
        <v>2492.8420500000007</v>
      </c>
      <c r="N9" s="134">
        <f t="shared" si="3"/>
        <v>0</v>
      </c>
      <c r="P9" s="198" t="s">
        <v>505</v>
      </c>
    </row>
    <row r="10" spans="2:16" ht="15.6" hidden="1" x14ac:dyDescent="0.25">
      <c r="B10" s="133" t="s">
        <v>506</v>
      </c>
      <c r="C10" s="194"/>
      <c r="D10" s="133" t="s">
        <v>341</v>
      </c>
      <c r="E10" s="134">
        <f t="shared" si="0"/>
        <v>1863.2008999999998</v>
      </c>
      <c r="F10" s="134">
        <f t="shared" si="0"/>
        <v>0</v>
      </c>
      <c r="G10" s="134">
        <f t="shared" ref="G10" si="10">G30/1000</f>
        <v>1863.2008999999998</v>
      </c>
      <c r="I10" s="134">
        <f t="shared" si="0"/>
        <v>1863.2008999999998</v>
      </c>
      <c r="J10" s="134">
        <f t="shared" ref="J10" si="11">J30/1000</f>
        <v>0</v>
      </c>
      <c r="L10" s="134">
        <f t="shared" si="3"/>
        <v>1863.2008999999998</v>
      </c>
      <c r="M10" s="134">
        <f t="shared" si="3"/>
        <v>0</v>
      </c>
      <c r="N10" s="134">
        <f t="shared" si="3"/>
        <v>0</v>
      </c>
      <c r="P10" s="197" t="s">
        <v>507</v>
      </c>
    </row>
    <row r="11" spans="2:16" ht="31.2" hidden="1" x14ac:dyDescent="0.25">
      <c r="B11" s="133" t="s">
        <v>508</v>
      </c>
      <c r="C11" s="194"/>
      <c r="D11" s="133" t="s">
        <v>341</v>
      </c>
      <c r="E11" s="134">
        <f t="shared" si="0"/>
        <v>1702.8487400000001</v>
      </c>
      <c r="F11" s="134">
        <f t="shared" si="0"/>
        <v>0</v>
      </c>
      <c r="G11" s="134">
        <f t="shared" ref="G11" si="12">G31/1000</f>
        <v>1702.8487400000001</v>
      </c>
      <c r="I11" s="134">
        <f t="shared" si="0"/>
        <v>1702.8487400000001</v>
      </c>
      <c r="J11" s="134">
        <f t="shared" ref="J11" si="13">J31/1000</f>
        <v>0</v>
      </c>
      <c r="L11" s="134">
        <f t="shared" si="3"/>
        <v>1702.8487400000001</v>
      </c>
      <c r="M11" s="134">
        <f t="shared" si="3"/>
        <v>0</v>
      </c>
      <c r="N11" s="134">
        <f t="shared" si="3"/>
        <v>0</v>
      </c>
      <c r="P11" s="198" t="s">
        <v>509</v>
      </c>
    </row>
    <row r="12" spans="2:16" ht="15.6" hidden="1" x14ac:dyDescent="0.25">
      <c r="B12" s="133" t="s">
        <v>510</v>
      </c>
      <c r="C12" s="194"/>
      <c r="D12" s="133" t="s">
        <v>341</v>
      </c>
      <c r="E12" s="134">
        <f t="shared" si="0"/>
        <v>876.01175000000001</v>
      </c>
      <c r="F12" s="134">
        <f t="shared" si="0"/>
        <v>0</v>
      </c>
      <c r="G12" s="134">
        <f t="shared" ref="G12" si="14">G32/1000</f>
        <v>876.01175000000001</v>
      </c>
      <c r="I12" s="134">
        <f t="shared" si="0"/>
        <v>0</v>
      </c>
      <c r="J12" s="134">
        <f t="shared" ref="J12" si="15">J32/1000</f>
        <v>0</v>
      </c>
      <c r="L12" s="134">
        <f t="shared" si="3"/>
        <v>0</v>
      </c>
      <c r="M12" s="134">
        <f t="shared" si="3"/>
        <v>876.01175000000001</v>
      </c>
      <c r="N12" s="134">
        <f t="shared" si="3"/>
        <v>0</v>
      </c>
      <c r="P12" s="197" t="s">
        <v>502</v>
      </c>
    </row>
    <row r="13" spans="2:16" ht="15.6" hidden="1" x14ac:dyDescent="0.25">
      <c r="B13" s="133"/>
      <c r="C13" s="194"/>
      <c r="D13" s="133"/>
      <c r="E13" s="134"/>
      <c r="F13" s="134"/>
      <c r="G13" s="134"/>
      <c r="I13" s="134"/>
      <c r="J13" s="134"/>
      <c r="L13" s="138"/>
      <c r="M13" s="139"/>
      <c r="N13" s="134"/>
      <c r="P13" s="197"/>
    </row>
    <row r="14" spans="2:16" ht="15.6" hidden="1" x14ac:dyDescent="0.25">
      <c r="B14" s="199" t="s">
        <v>511</v>
      </c>
      <c r="C14" s="194"/>
      <c r="D14" s="199"/>
      <c r="E14" s="200">
        <f>E39/1000</f>
        <v>22315.752189999999</v>
      </c>
      <c r="F14" s="200">
        <v>0</v>
      </c>
      <c r="G14" s="200">
        <v>0</v>
      </c>
      <c r="I14" s="200">
        <f>I39/1000</f>
        <v>10937.332189999999</v>
      </c>
      <c r="J14" s="200">
        <f>J39/1000</f>
        <v>0</v>
      </c>
      <c r="L14" s="200">
        <f>L39/1000</f>
        <v>10937.332189999999</v>
      </c>
      <c r="M14" s="200">
        <f>M39/1000</f>
        <v>11378.419999999998</v>
      </c>
      <c r="N14" s="200">
        <v>0</v>
      </c>
      <c r="P14" s="200"/>
    </row>
    <row r="15" spans="2:16" ht="15.6" hidden="1" x14ac:dyDescent="0.25">
      <c r="B15" s="148" t="s">
        <v>347</v>
      </c>
      <c r="C15" s="194"/>
      <c r="D15" s="148"/>
      <c r="E15" s="149">
        <f>E45/1000</f>
        <v>6.0763199999999999</v>
      </c>
      <c r="F15" s="149">
        <v>0</v>
      </c>
      <c r="G15" s="149">
        <v>0</v>
      </c>
      <c r="I15" s="149">
        <f>I45/1000</f>
        <v>6.0763199999999999</v>
      </c>
      <c r="J15" s="149">
        <f>J45/1000</f>
        <v>0</v>
      </c>
      <c r="L15" s="149">
        <f>L45/1000</f>
        <v>6.0763199999999999</v>
      </c>
      <c r="M15" s="149">
        <f>M45/1000</f>
        <v>0</v>
      </c>
      <c r="N15" s="149">
        <v>0</v>
      </c>
      <c r="P15" s="149"/>
    </row>
    <row r="16" spans="2:16" ht="15.6" hidden="1" x14ac:dyDescent="0.25">
      <c r="B16" s="148" t="s">
        <v>348</v>
      </c>
      <c r="C16" s="194"/>
      <c r="D16" s="148"/>
      <c r="E16" s="149">
        <f>E46/1000</f>
        <v>1226.0065</v>
      </c>
      <c r="F16" s="149">
        <f>F46/1000</f>
        <v>0</v>
      </c>
      <c r="G16" s="149">
        <f>G46/1000</f>
        <v>1226.0065</v>
      </c>
      <c r="I16" s="149">
        <f>I46/1000</f>
        <v>177.60126559999998</v>
      </c>
      <c r="J16" s="149">
        <f>J46/1000</f>
        <v>0</v>
      </c>
      <c r="L16" s="149">
        <f>L46/1000</f>
        <v>0</v>
      </c>
      <c r="M16" s="149">
        <f>M46/1000</f>
        <v>0</v>
      </c>
      <c r="N16" s="149">
        <f>N46/1000</f>
        <v>1226.0065</v>
      </c>
      <c r="P16" s="149" t="s">
        <v>349</v>
      </c>
    </row>
    <row r="17" spans="2:19" ht="15.6" hidden="1" x14ac:dyDescent="0.25">
      <c r="B17" s="157" t="s">
        <v>350</v>
      </c>
      <c r="C17" s="194"/>
      <c r="D17" s="158"/>
      <c r="E17" s="159">
        <f>E16+E15+E14</f>
        <v>23547.835009999999</v>
      </c>
      <c r="F17" s="159">
        <f>F16+F15+F14</f>
        <v>0</v>
      </c>
      <c r="G17" s="159">
        <f>G16+G15+G14</f>
        <v>1226.0065</v>
      </c>
      <c r="I17" s="159">
        <f>I16+I15+I14</f>
        <v>11121.0097756</v>
      </c>
      <c r="J17" s="159">
        <f>J16+J15+J14</f>
        <v>0</v>
      </c>
      <c r="L17" s="159">
        <f>L14+L15</f>
        <v>10943.408509999999</v>
      </c>
      <c r="M17" s="159">
        <f>M16+M14</f>
        <v>11378.419999999998</v>
      </c>
      <c r="N17" s="159">
        <f>N16+N14</f>
        <v>1226.0065</v>
      </c>
      <c r="P17" s="160"/>
    </row>
    <row r="18" spans="2:19" hidden="1" x14ac:dyDescent="0.25"/>
    <row r="19" spans="2:19" ht="15.6" hidden="1" x14ac:dyDescent="0.25">
      <c r="B19" s="130" t="s">
        <v>498</v>
      </c>
      <c r="I19" s="201"/>
      <c r="J19" s="201"/>
    </row>
    <row r="20" spans="2:19" ht="15.6" x14ac:dyDescent="0.25">
      <c r="B20" s="130"/>
      <c r="I20" s="202"/>
      <c r="J20" s="202"/>
    </row>
    <row r="21" spans="2:19" ht="15.6" x14ac:dyDescent="0.25">
      <c r="B21" s="130"/>
      <c r="I21" s="201"/>
      <c r="J21" s="201"/>
      <c r="P21" s="195"/>
    </row>
    <row r="22" spans="2:19" ht="15.6" hidden="1" x14ac:dyDescent="0.25">
      <c r="B22" s="51" t="s">
        <v>553</v>
      </c>
      <c r="C22" s="51"/>
      <c r="D22" s="51"/>
      <c r="E22" s="51"/>
      <c r="F22" s="51"/>
      <c r="G22" s="51"/>
      <c r="I22" s="196">
        <f>SUM(E123:F123)</f>
        <v>59548325.86999999</v>
      </c>
      <c r="J22" s="196">
        <f>SUM(F123:G123)</f>
        <v>95548816.729999989</v>
      </c>
    </row>
    <row r="23" spans="2:19" ht="15.6" hidden="1" x14ac:dyDescent="0.25">
      <c r="B23" s="130"/>
    </row>
    <row r="24" spans="2:19" ht="15.6" x14ac:dyDescent="0.25">
      <c r="B24" s="420" t="s">
        <v>922</v>
      </c>
      <c r="C24" s="194"/>
      <c r="D24" s="420" t="s">
        <v>338</v>
      </c>
      <c r="E24" s="420" t="s">
        <v>27</v>
      </c>
      <c r="F24" s="420" t="s">
        <v>8</v>
      </c>
      <c r="G24" s="420" t="s">
        <v>350</v>
      </c>
      <c r="I24" s="420" t="s">
        <v>339</v>
      </c>
      <c r="J24" s="420" t="s">
        <v>609</v>
      </c>
      <c r="L24" s="420" t="s">
        <v>570</v>
      </c>
      <c r="M24" s="420"/>
      <c r="N24" s="420"/>
      <c r="P24" s="420" t="s">
        <v>337</v>
      </c>
    </row>
    <row r="25" spans="2:19" ht="15.6" x14ac:dyDescent="0.25">
      <c r="B25" s="421"/>
      <c r="C25" s="194"/>
      <c r="D25" s="421"/>
      <c r="E25" s="421"/>
      <c r="F25" s="421"/>
      <c r="G25" s="421"/>
      <c r="I25" s="421"/>
      <c r="J25" s="421"/>
      <c r="L25" s="51" t="s">
        <v>480</v>
      </c>
      <c r="M25" s="51" t="s">
        <v>481</v>
      </c>
      <c r="N25" s="51" t="s">
        <v>482</v>
      </c>
      <c r="P25" s="421"/>
    </row>
    <row r="26" spans="2:19" ht="116.4" customHeight="1" x14ac:dyDescent="0.25">
      <c r="B26" s="133" t="s">
        <v>176</v>
      </c>
      <c r="C26" s="194"/>
      <c r="D26" s="145" t="s">
        <v>173</v>
      </c>
      <c r="E26" s="134">
        <v>7560727.799999997</v>
      </c>
      <c r="F26" s="134">
        <v>0</v>
      </c>
      <c r="G26" s="249">
        <f>SUM(E26:F26)</f>
        <v>7560727.799999997</v>
      </c>
      <c r="H26" s="250"/>
      <c r="I26" s="134">
        <v>0</v>
      </c>
      <c r="J26" s="134"/>
      <c r="L26" s="67">
        <f>I26</f>
        <v>0</v>
      </c>
      <c r="M26" s="67">
        <f>E26-I26</f>
        <v>7560727.799999997</v>
      </c>
      <c r="N26" s="67"/>
      <c r="P26" s="219" t="s">
        <v>697</v>
      </c>
      <c r="S26" s="215"/>
    </row>
    <row r="27" spans="2:19" ht="72" customHeight="1" x14ac:dyDescent="0.25">
      <c r="B27" s="133" t="s">
        <v>428</v>
      </c>
      <c r="C27" s="194"/>
      <c r="D27" s="145" t="s">
        <v>173</v>
      </c>
      <c r="E27" s="134">
        <v>3088531.0700000008</v>
      </c>
      <c r="F27" s="134">
        <v>0</v>
      </c>
      <c r="G27" s="249">
        <f t="shared" ref="G27:G30" si="16">SUM(E27:F27)</f>
        <v>3088531.0700000008</v>
      </c>
      <c r="I27" s="134">
        <v>3088531.0700000008</v>
      </c>
      <c r="J27" s="134"/>
      <c r="L27" s="67">
        <f t="shared" ref="L27:L32" si="17">I27</f>
        <v>3088531.0700000008</v>
      </c>
      <c r="M27" s="67">
        <f t="shared" ref="M27:M37" si="18">E27-I27</f>
        <v>0</v>
      </c>
      <c r="N27" s="67"/>
      <c r="P27" s="219" t="s">
        <v>558</v>
      </c>
      <c r="S27" s="215"/>
    </row>
    <row r="28" spans="2:19" ht="57.6" customHeight="1" x14ac:dyDescent="0.25">
      <c r="B28" s="133" t="s">
        <v>209</v>
      </c>
      <c r="C28" s="194"/>
      <c r="D28" s="145" t="s">
        <v>173</v>
      </c>
      <c r="E28" s="134">
        <v>3044850.9199999995</v>
      </c>
      <c r="F28" s="134">
        <v>0</v>
      </c>
      <c r="G28" s="249">
        <f>SUM(E28:F28)</f>
        <v>3044850.9199999995</v>
      </c>
      <c r="I28" s="134">
        <v>3044850.9199999995</v>
      </c>
      <c r="J28" s="134"/>
      <c r="L28" s="67">
        <f t="shared" si="17"/>
        <v>3044850.9199999995</v>
      </c>
      <c r="M28" s="67">
        <f t="shared" si="18"/>
        <v>0</v>
      </c>
      <c r="N28" s="67"/>
      <c r="P28" s="219" t="s">
        <v>698</v>
      </c>
      <c r="S28" s="216"/>
    </row>
    <row r="29" spans="2:19" s="195" customFormat="1" ht="135.6" customHeight="1" x14ac:dyDescent="0.25">
      <c r="B29" s="145" t="s">
        <v>186</v>
      </c>
      <c r="C29" s="194"/>
      <c r="D29" s="145" t="s">
        <v>173</v>
      </c>
      <c r="E29" s="134">
        <v>2492842.0500000007</v>
      </c>
      <c r="F29" s="142">
        <v>0</v>
      </c>
      <c r="G29" s="287">
        <f>SUM(E29:F29)</f>
        <v>2492842.0500000007</v>
      </c>
      <c r="I29" s="134">
        <v>0</v>
      </c>
      <c r="J29" s="142"/>
      <c r="L29" s="288">
        <f t="shared" si="17"/>
        <v>0</v>
      </c>
      <c r="M29" s="67">
        <f t="shared" si="18"/>
        <v>2492842.0500000007</v>
      </c>
      <c r="N29" s="288"/>
      <c r="P29" s="220" t="s">
        <v>560</v>
      </c>
      <c r="Q29" s="289"/>
      <c r="S29" s="290"/>
    </row>
    <row r="30" spans="2:19" ht="181.95" customHeight="1" x14ac:dyDescent="0.25">
      <c r="B30" s="133" t="s">
        <v>194</v>
      </c>
      <c r="C30" s="194"/>
      <c r="D30" s="145" t="s">
        <v>173</v>
      </c>
      <c r="E30" s="134">
        <v>1863200.9</v>
      </c>
      <c r="F30" s="134">
        <v>0</v>
      </c>
      <c r="G30" s="249">
        <f t="shared" si="16"/>
        <v>1863200.9</v>
      </c>
      <c r="I30" s="134">
        <v>1863200.9</v>
      </c>
      <c r="J30" s="134"/>
      <c r="L30" s="67">
        <f t="shared" si="17"/>
        <v>1863200.9</v>
      </c>
      <c r="M30" s="67">
        <f t="shared" si="18"/>
        <v>0</v>
      </c>
      <c r="N30" s="67"/>
      <c r="P30" s="219" t="s">
        <v>699</v>
      </c>
      <c r="S30" s="216"/>
    </row>
    <row r="31" spans="2:19" ht="79.95" customHeight="1" x14ac:dyDescent="0.25">
      <c r="B31" s="133" t="s">
        <v>198</v>
      </c>
      <c r="C31" s="194"/>
      <c r="D31" s="145" t="s">
        <v>173</v>
      </c>
      <c r="E31" s="134">
        <v>1702848.7400000002</v>
      </c>
      <c r="F31" s="134">
        <v>0</v>
      </c>
      <c r="G31" s="249">
        <f t="shared" ref="G31:G37" si="19">SUM(E31:F31)</f>
        <v>1702848.7400000002</v>
      </c>
      <c r="I31" s="134">
        <v>1702848.7400000002</v>
      </c>
      <c r="J31" s="134"/>
      <c r="L31" s="67">
        <f>I31</f>
        <v>1702848.7400000002</v>
      </c>
      <c r="M31" s="67">
        <f t="shared" si="18"/>
        <v>0</v>
      </c>
      <c r="N31" s="67"/>
      <c r="P31" s="220" t="s">
        <v>559</v>
      </c>
    </row>
    <row r="32" spans="2:19" ht="140.4" x14ac:dyDescent="0.25">
      <c r="B32" s="133" t="s">
        <v>206</v>
      </c>
      <c r="C32" s="194"/>
      <c r="D32" s="145" t="s">
        <v>173</v>
      </c>
      <c r="E32" s="134">
        <v>876011.75</v>
      </c>
      <c r="F32" s="134">
        <v>0</v>
      </c>
      <c r="G32" s="249">
        <f t="shared" si="19"/>
        <v>876011.75</v>
      </c>
      <c r="I32" s="134">
        <v>0</v>
      </c>
      <c r="J32" s="134"/>
      <c r="L32" s="67">
        <f t="shared" si="17"/>
        <v>0</v>
      </c>
      <c r="M32" s="67">
        <f t="shared" si="18"/>
        <v>876011.75</v>
      </c>
      <c r="N32" s="67"/>
      <c r="P32" s="219" t="s">
        <v>700</v>
      </c>
    </row>
    <row r="33" spans="2:19" ht="62.4" x14ac:dyDescent="0.25">
      <c r="B33" s="145" t="s">
        <v>426</v>
      </c>
      <c r="C33" s="381"/>
      <c r="D33" s="145" t="s">
        <v>173</v>
      </c>
      <c r="E33" s="134">
        <v>237309.12</v>
      </c>
      <c r="F33" s="142">
        <v>0</v>
      </c>
      <c r="G33" s="287">
        <f t="shared" si="19"/>
        <v>237309.12</v>
      </c>
      <c r="H33" s="382"/>
      <c r="I33" s="134">
        <v>237309.12</v>
      </c>
      <c r="J33" s="142"/>
      <c r="K33" s="382"/>
      <c r="L33" s="142">
        <f>I33</f>
        <v>237309.12</v>
      </c>
      <c r="M33" s="67">
        <f t="shared" si="18"/>
        <v>0</v>
      </c>
      <c r="N33" s="142"/>
      <c r="O33" s="382"/>
      <c r="P33" s="220" t="s">
        <v>701</v>
      </c>
    </row>
    <row r="34" spans="2:19" ht="46.8" x14ac:dyDescent="0.25">
      <c r="B34" s="145" t="s">
        <v>53</v>
      </c>
      <c r="C34" s="194"/>
      <c r="D34" s="145" t="s">
        <v>516</v>
      </c>
      <c r="E34" s="142">
        <v>226233.60000000001</v>
      </c>
      <c r="F34" s="142">
        <v>0</v>
      </c>
      <c r="G34" s="287">
        <f t="shared" si="19"/>
        <v>226233.60000000001</v>
      </c>
      <c r="I34" s="134">
        <v>226233.60000000001</v>
      </c>
      <c r="J34" s="142"/>
      <c r="L34" s="288">
        <f t="shared" ref="L34:L37" si="20">I34</f>
        <v>226233.60000000001</v>
      </c>
      <c r="M34" s="288">
        <f t="shared" si="18"/>
        <v>0</v>
      </c>
      <c r="N34" s="288"/>
      <c r="P34" s="220" t="s">
        <v>608</v>
      </c>
    </row>
    <row r="35" spans="2:19" ht="33" customHeight="1" x14ac:dyDescent="0.25">
      <c r="B35" s="145" t="s">
        <v>269</v>
      </c>
      <c r="C35" s="194"/>
      <c r="D35" s="145" t="s">
        <v>173</v>
      </c>
      <c r="E35" s="142">
        <v>988506.24</v>
      </c>
      <c r="F35" s="142">
        <v>0</v>
      </c>
      <c r="G35" s="287">
        <f t="shared" si="19"/>
        <v>988506.24</v>
      </c>
      <c r="I35" s="134">
        <v>539667.84000000008</v>
      </c>
      <c r="J35" s="142"/>
      <c r="L35" s="288">
        <f t="shared" si="20"/>
        <v>539667.84000000008</v>
      </c>
      <c r="M35" s="288">
        <f t="shared" si="18"/>
        <v>448838.39999999991</v>
      </c>
      <c r="N35" s="288"/>
      <c r="P35" s="220" t="s">
        <v>759</v>
      </c>
    </row>
    <row r="36" spans="2:19" ht="45.6" customHeight="1" x14ac:dyDescent="0.25">
      <c r="B36" s="145" t="s">
        <v>293</v>
      </c>
      <c r="C36" s="194"/>
      <c r="D36" s="145" t="s">
        <v>516</v>
      </c>
      <c r="E36" s="142">
        <v>213750</v>
      </c>
      <c r="F36" s="142">
        <v>0</v>
      </c>
      <c r="G36" s="287">
        <f t="shared" si="19"/>
        <v>213750</v>
      </c>
      <c r="I36" s="134">
        <v>213750</v>
      </c>
      <c r="J36" s="142"/>
      <c r="L36" s="288">
        <f t="shared" si="20"/>
        <v>213750</v>
      </c>
      <c r="M36" s="288">
        <f t="shared" si="18"/>
        <v>0</v>
      </c>
      <c r="N36" s="288"/>
      <c r="P36" s="220" t="s">
        <v>696</v>
      </c>
    </row>
    <row r="37" spans="2:19" ht="51" customHeight="1" x14ac:dyDescent="0.25">
      <c r="B37" s="145" t="s">
        <v>90</v>
      </c>
      <c r="C37" s="194"/>
      <c r="D37" s="145" t="s">
        <v>516</v>
      </c>
      <c r="E37" s="142">
        <v>20940</v>
      </c>
      <c r="F37" s="142">
        <v>0</v>
      </c>
      <c r="G37" s="287">
        <f t="shared" si="19"/>
        <v>20940</v>
      </c>
      <c r="I37" s="134">
        <v>20940</v>
      </c>
      <c r="J37" s="142"/>
      <c r="L37" s="288">
        <f t="shared" si="20"/>
        <v>20940</v>
      </c>
      <c r="M37" s="288">
        <f t="shared" si="18"/>
        <v>0</v>
      </c>
      <c r="N37" s="288"/>
      <c r="P37" s="220" t="s">
        <v>603</v>
      </c>
    </row>
    <row r="38" spans="2:19" ht="15.6" x14ac:dyDescent="0.25">
      <c r="B38" s="133"/>
      <c r="C38" s="194"/>
      <c r="D38" s="133"/>
      <c r="E38" s="134"/>
      <c r="F38" s="134"/>
      <c r="G38" s="134"/>
      <c r="I38" s="134"/>
      <c r="J38" s="134"/>
      <c r="L38" s="67"/>
      <c r="M38" s="67"/>
      <c r="N38" s="134"/>
      <c r="P38" s="197"/>
    </row>
    <row r="39" spans="2:19" ht="13.95" customHeight="1" x14ac:dyDescent="0.25">
      <c r="B39" s="199" t="s">
        <v>883</v>
      </c>
      <c r="C39" s="194"/>
      <c r="D39" s="199"/>
      <c r="E39" s="200">
        <f>SUM(E26:E37)</f>
        <v>22315752.189999998</v>
      </c>
      <c r="F39" s="200">
        <f>SUM(F26:F37)</f>
        <v>0</v>
      </c>
      <c r="G39" s="200">
        <f>SUM(G26:G37)</f>
        <v>22315752.189999998</v>
      </c>
      <c r="I39" s="279">
        <f>SUM(I26:I37)</f>
        <v>10937332.189999999</v>
      </c>
      <c r="J39" s="200">
        <f>SUM(J26:J37)</f>
        <v>0</v>
      </c>
      <c r="L39" s="279">
        <f>SUM(L26:L37)</f>
        <v>10937332.189999999</v>
      </c>
      <c r="M39" s="200">
        <f>SUM(M26:M37)</f>
        <v>11378419.999999998</v>
      </c>
      <c r="N39" s="200">
        <f>SUM(N26:N37)</f>
        <v>0</v>
      </c>
      <c r="P39" s="200"/>
    </row>
    <row r="40" spans="2:19" ht="31.2" outlineLevel="1" x14ac:dyDescent="0.25">
      <c r="B40" s="214" t="s">
        <v>264</v>
      </c>
      <c r="C40" s="194"/>
      <c r="D40" s="145" t="s">
        <v>516</v>
      </c>
      <c r="E40" s="146">
        <v>100</v>
      </c>
      <c r="F40" s="134">
        <v>0</v>
      </c>
      <c r="G40" s="147">
        <f t="shared" ref="G40:G43" si="21">SUM(E40:F40)</f>
        <v>100</v>
      </c>
      <c r="I40" s="134">
        <v>100</v>
      </c>
      <c r="J40" s="142"/>
      <c r="L40" s="146">
        <f>I40</f>
        <v>100</v>
      </c>
      <c r="M40" s="146">
        <f t="shared" ref="M40:M43" si="22">E40-L40</f>
        <v>0</v>
      </c>
      <c r="N40" s="146"/>
      <c r="P40" s="383" t="s">
        <v>606</v>
      </c>
    </row>
    <row r="41" spans="2:19" ht="31.2" outlineLevel="1" x14ac:dyDescent="0.25">
      <c r="B41" s="214" t="s">
        <v>308</v>
      </c>
      <c r="C41" s="194"/>
      <c r="D41" s="145" t="s">
        <v>516</v>
      </c>
      <c r="E41" s="146">
        <v>50</v>
      </c>
      <c r="F41" s="134">
        <v>0</v>
      </c>
      <c r="G41" s="147">
        <f t="shared" si="21"/>
        <v>50</v>
      </c>
      <c r="I41" s="134">
        <v>50</v>
      </c>
      <c r="J41" s="142"/>
      <c r="L41" s="146">
        <f t="shared" ref="L41:L42" si="23">I41</f>
        <v>50</v>
      </c>
      <c r="M41" s="146">
        <f t="shared" si="22"/>
        <v>0</v>
      </c>
      <c r="N41" s="146"/>
      <c r="P41" s="383" t="s">
        <v>607</v>
      </c>
    </row>
    <row r="42" spans="2:19" ht="15.6" outlineLevel="1" x14ac:dyDescent="0.25">
      <c r="B42" s="214" t="s">
        <v>419</v>
      </c>
      <c r="C42" s="194"/>
      <c r="D42" s="145" t="s">
        <v>516</v>
      </c>
      <c r="E42" s="146">
        <v>5626.32</v>
      </c>
      <c r="F42" s="134">
        <v>0</v>
      </c>
      <c r="G42" s="147">
        <f t="shared" si="21"/>
        <v>5626.32</v>
      </c>
      <c r="I42" s="134">
        <v>5626.32</v>
      </c>
      <c r="J42" s="142"/>
      <c r="L42" s="146">
        <f t="shared" si="23"/>
        <v>5626.32</v>
      </c>
      <c r="M42" s="146">
        <f>E42-L42</f>
        <v>0</v>
      </c>
      <c r="N42" s="146"/>
      <c r="P42" s="383" t="s">
        <v>604</v>
      </c>
    </row>
    <row r="43" spans="2:19" ht="16.95" customHeight="1" outlineLevel="1" x14ac:dyDescent="0.25">
      <c r="B43" s="214" t="s">
        <v>382</v>
      </c>
      <c r="C43" s="194"/>
      <c r="D43" s="145" t="s">
        <v>516</v>
      </c>
      <c r="E43" s="146">
        <v>300</v>
      </c>
      <c r="F43" s="134">
        <v>0</v>
      </c>
      <c r="G43" s="147">
        <f t="shared" si="21"/>
        <v>300</v>
      </c>
      <c r="I43" s="134">
        <v>300</v>
      </c>
      <c r="J43" s="142"/>
      <c r="L43" s="146">
        <f>I43</f>
        <v>300</v>
      </c>
      <c r="M43" s="146">
        <f t="shared" si="22"/>
        <v>0</v>
      </c>
      <c r="N43" s="146"/>
      <c r="P43" s="217" t="s">
        <v>605</v>
      </c>
    </row>
    <row r="44" spans="2:19" ht="16.95" customHeight="1" outlineLevel="1" x14ac:dyDescent="0.25">
      <c r="B44" s="145"/>
      <c r="C44" s="194"/>
      <c r="D44" s="145"/>
      <c r="E44" s="257"/>
      <c r="F44" s="134"/>
      <c r="G44" s="147"/>
      <c r="I44" s="134"/>
      <c r="J44" s="134"/>
      <c r="L44" s="146"/>
      <c r="M44" s="146"/>
      <c r="N44" s="147"/>
      <c r="P44" s="221"/>
    </row>
    <row r="45" spans="2:19" ht="15.6" collapsed="1" x14ac:dyDescent="0.25">
      <c r="B45" s="148" t="s">
        <v>571</v>
      </c>
      <c r="C45" s="194"/>
      <c r="D45" s="148"/>
      <c r="E45" s="149">
        <f>SUM(E40:E44)</f>
        <v>6076.32</v>
      </c>
      <c r="F45" s="149">
        <f>SUM(F40:F44)</f>
        <v>0</v>
      </c>
      <c r="G45" s="149">
        <f>SUM(G40:G44)</f>
        <v>6076.32</v>
      </c>
      <c r="I45" s="278">
        <f>SUM(I40:I44)</f>
        <v>6076.32</v>
      </c>
      <c r="J45" s="149">
        <f>SUM(J40:J44)</f>
        <v>0</v>
      </c>
      <c r="L45" s="149">
        <f>SUM(L40:L44)</f>
        <v>6076.32</v>
      </c>
      <c r="M45" s="149">
        <f>SUM(M40:M44)</f>
        <v>0</v>
      </c>
      <c r="N45" s="149">
        <f>SUM(N40:N44)</f>
        <v>0</v>
      </c>
      <c r="P45" s="149"/>
    </row>
    <row r="46" spans="2:19" ht="15.6" x14ac:dyDescent="0.25">
      <c r="B46" s="148" t="s">
        <v>348</v>
      </c>
      <c r="C46" s="194"/>
      <c r="D46" s="148"/>
      <c r="E46" s="149">
        <f>SUM(E47:E56)</f>
        <v>1226006.5</v>
      </c>
      <c r="F46" s="149">
        <f>F57+F58+F59</f>
        <v>0</v>
      </c>
      <c r="G46" s="149">
        <f>SUM(G47:G56)</f>
        <v>1226006.5</v>
      </c>
      <c r="I46" s="278">
        <f>SUM(I47:I56)</f>
        <v>177601.26559999998</v>
      </c>
      <c r="J46" s="149">
        <f>SUM(J47:J56)</f>
        <v>0</v>
      </c>
      <c r="L46" s="149">
        <f>SUM(L47:L56)</f>
        <v>0</v>
      </c>
      <c r="M46" s="149">
        <f>SUM(M47:M56)</f>
        <v>0</v>
      </c>
      <c r="N46" s="149">
        <f>SUM(N47:N56)</f>
        <v>1226006.5</v>
      </c>
      <c r="P46" s="149" t="s">
        <v>349</v>
      </c>
    </row>
    <row r="47" spans="2:19" s="195" customFormat="1" ht="15.6" outlineLevel="2" x14ac:dyDescent="0.3">
      <c r="B47" s="145" t="s">
        <v>127</v>
      </c>
      <c r="C47" s="194"/>
      <c r="D47" s="145" t="s">
        <v>881</v>
      </c>
      <c r="E47" s="146">
        <v>449507.68999999994</v>
      </c>
      <c r="F47" s="147"/>
      <c r="G47" s="147">
        <v>449507.68999999994</v>
      </c>
      <c r="I47" s="134">
        <v>13485.2307</v>
      </c>
      <c r="J47" s="134"/>
      <c r="L47" s="146"/>
      <c r="M47" s="146"/>
      <c r="N47" s="146">
        <f>E47</f>
        <v>449507.68999999994</v>
      </c>
      <c r="P47" s="217" t="s">
        <v>763</v>
      </c>
      <c r="S47" s="266"/>
    </row>
    <row r="48" spans="2:19" s="195" customFormat="1" ht="15.6" outlineLevel="2" x14ac:dyDescent="0.3">
      <c r="B48" s="145" t="s">
        <v>437</v>
      </c>
      <c r="C48" s="194"/>
      <c r="D48" s="145" t="s">
        <v>881</v>
      </c>
      <c r="E48" s="146">
        <v>14548.35</v>
      </c>
      <c r="F48" s="147"/>
      <c r="G48" s="147">
        <f>SUM(E48:F48)</f>
        <v>14548.35</v>
      </c>
      <c r="I48" s="134">
        <v>436.45049999999998</v>
      </c>
      <c r="J48" s="134"/>
      <c r="L48" s="146"/>
      <c r="M48" s="146"/>
      <c r="N48" s="146">
        <f t="shared" ref="N48:N56" si="24">E48</f>
        <v>14548.35</v>
      </c>
      <c r="P48" s="217" t="s">
        <v>842</v>
      </c>
      <c r="S48" s="266"/>
    </row>
    <row r="49" spans="2:19" s="195" customFormat="1" ht="15.6" outlineLevel="2" x14ac:dyDescent="0.3">
      <c r="B49" s="145" t="s">
        <v>65</v>
      </c>
      <c r="C49" s="194"/>
      <c r="D49" s="145" t="s">
        <v>516</v>
      </c>
      <c r="E49" s="146">
        <v>37491.5</v>
      </c>
      <c r="F49" s="147"/>
      <c r="G49" s="147">
        <f t="shared" ref="G49:G50" si="25">SUM(E49:F49)</f>
        <v>37491.5</v>
      </c>
      <c r="I49" s="134">
        <v>0</v>
      </c>
      <c r="J49" s="134"/>
      <c r="L49" s="146"/>
      <c r="M49" s="146"/>
      <c r="N49" s="146">
        <f t="shared" si="24"/>
        <v>37491.5</v>
      </c>
      <c r="P49" s="217"/>
      <c r="S49" s="266"/>
    </row>
    <row r="50" spans="2:19" s="195" customFormat="1" ht="15.6" outlineLevel="2" x14ac:dyDescent="0.25">
      <c r="B50" s="145" t="s">
        <v>533</v>
      </c>
      <c r="C50" s="194"/>
      <c r="D50" s="145" t="s">
        <v>516</v>
      </c>
      <c r="E50" s="146">
        <v>100</v>
      </c>
      <c r="F50" s="147"/>
      <c r="G50" s="147">
        <f t="shared" si="25"/>
        <v>100</v>
      </c>
      <c r="I50" s="134">
        <v>0</v>
      </c>
      <c r="J50" s="134"/>
      <c r="L50" s="146"/>
      <c r="M50" s="146"/>
      <c r="N50" s="146">
        <f t="shared" si="24"/>
        <v>100</v>
      </c>
      <c r="P50" s="217"/>
    </row>
    <row r="51" spans="2:19" s="195" customFormat="1" ht="15.6" outlineLevel="2" x14ac:dyDescent="0.25">
      <c r="B51" s="145" t="s">
        <v>819</v>
      </c>
      <c r="C51" s="194"/>
      <c r="D51" s="145" t="s">
        <v>516</v>
      </c>
      <c r="E51" s="146">
        <v>49440</v>
      </c>
      <c r="F51" s="147"/>
      <c r="G51" s="147">
        <f t="shared" ref="G51:G55" si="26">SUM(E51:F51)</f>
        <v>49440</v>
      </c>
      <c r="I51" s="134">
        <v>0</v>
      </c>
      <c r="J51" s="134"/>
      <c r="L51" s="146"/>
      <c r="M51" s="146"/>
      <c r="N51" s="146">
        <f t="shared" si="24"/>
        <v>49440</v>
      </c>
      <c r="P51" s="217" t="s">
        <v>882</v>
      </c>
    </row>
    <row r="52" spans="2:19" s="195" customFormat="1" ht="15.6" outlineLevel="2" x14ac:dyDescent="0.25">
      <c r="B52" s="145" t="s">
        <v>119</v>
      </c>
      <c r="C52" s="194"/>
      <c r="D52" s="145" t="s">
        <v>516</v>
      </c>
      <c r="E52" s="146">
        <v>315971.7</v>
      </c>
      <c r="F52" s="147"/>
      <c r="G52" s="147">
        <f t="shared" si="26"/>
        <v>315971.7</v>
      </c>
      <c r="I52" s="134">
        <v>0</v>
      </c>
      <c r="J52" s="134"/>
      <c r="L52" s="146"/>
      <c r="M52" s="146"/>
      <c r="N52" s="146">
        <f t="shared" si="24"/>
        <v>315971.7</v>
      </c>
      <c r="P52" s="217"/>
    </row>
    <row r="53" spans="2:19" s="195" customFormat="1" ht="15.6" outlineLevel="2" x14ac:dyDescent="0.25">
      <c r="B53" s="145" t="s">
        <v>379</v>
      </c>
      <c r="C53" s="194"/>
      <c r="D53" s="145" t="s">
        <v>516</v>
      </c>
      <c r="E53" s="146">
        <v>184217.94</v>
      </c>
      <c r="F53" s="147"/>
      <c r="G53" s="147">
        <f t="shared" si="26"/>
        <v>184217.94</v>
      </c>
      <c r="I53" s="134">
        <v>0</v>
      </c>
      <c r="J53" s="134"/>
      <c r="L53" s="146"/>
      <c r="M53" s="146"/>
      <c r="N53" s="146">
        <f t="shared" si="24"/>
        <v>184217.94</v>
      </c>
      <c r="P53" s="217"/>
      <c r="R53" s="250"/>
    </row>
    <row r="54" spans="2:19" s="195" customFormat="1" ht="15.6" outlineLevel="2" x14ac:dyDescent="0.25">
      <c r="B54" s="145" t="s">
        <v>496</v>
      </c>
      <c r="C54" s="194"/>
      <c r="D54" s="145" t="s">
        <v>516</v>
      </c>
      <c r="E54" s="146">
        <v>16818.920000000002</v>
      </c>
      <c r="F54" s="147"/>
      <c r="G54" s="147">
        <f t="shared" si="26"/>
        <v>16818.920000000002</v>
      </c>
      <c r="I54" s="134">
        <v>16756.646000000001</v>
      </c>
      <c r="J54" s="134"/>
      <c r="L54" s="146"/>
      <c r="M54" s="146"/>
      <c r="N54" s="146">
        <f t="shared" si="24"/>
        <v>16818.920000000002</v>
      </c>
      <c r="P54" s="217" t="s">
        <v>762</v>
      </c>
    </row>
    <row r="55" spans="2:19" s="195" customFormat="1" ht="15.6" outlineLevel="2" x14ac:dyDescent="0.25">
      <c r="B55" s="145" t="s">
        <v>670</v>
      </c>
      <c r="C55" s="194"/>
      <c r="D55" s="145" t="s">
        <v>881</v>
      </c>
      <c r="E55" s="146">
        <v>527.28</v>
      </c>
      <c r="F55" s="147"/>
      <c r="G55" s="147">
        <f t="shared" si="26"/>
        <v>527.28</v>
      </c>
      <c r="I55" s="134">
        <v>15.818399999999999</v>
      </c>
      <c r="J55" s="134"/>
      <c r="L55" s="146"/>
      <c r="M55" s="146"/>
      <c r="N55" s="146">
        <f t="shared" si="24"/>
        <v>527.28</v>
      </c>
      <c r="P55" s="217" t="s">
        <v>760</v>
      </c>
    </row>
    <row r="56" spans="2:19" s="195" customFormat="1" ht="46.8" outlineLevel="2" x14ac:dyDescent="0.25">
      <c r="B56" s="145" t="s">
        <v>525</v>
      </c>
      <c r="C56" s="194"/>
      <c r="D56" s="145" t="s">
        <v>516</v>
      </c>
      <c r="E56" s="379">
        <v>157383.12</v>
      </c>
      <c r="F56" s="147"/>
      <c r="G56" s="147">
        <f>SUM(E56:F56)</f>
        <v>157383.12</v>
      </c>
      <c r="I56" s="134">
        <v>146907.12</v>
      </c>
      <c r="J56" s="146"/>
      <c r="L56" s="146"/>
      <c r="M56" s="146"/>
      <c r="N56" s="146">
        <f t="shared" si="24"/>
        <v>157383.12</v>
      </c>
      <c r="P56" s="383" t="s">
        <v>761</v>
      </c>
    </row>
    <row r="57" spans="2:19" ht="15.6" outlineLevel="1" x14ac:dyDescent="0.25">
      <c r="B57" s="417" t="s">
        <v>8</v>
      </c>
      <c r="C57" s="194"/>
      <c r="D57" s="148" t="s">
        <v>516</v>
      </c>
      <c r="E57" s="150"/>
      <c r="F57" s="149"/>
      <c r="G57" s="149"/>
      <c r="I57" s="149"/>
      <c r="J57" s="149"/>
      <c r="L57" s="149"/>
      <c r="M57" s="149"/>
      <c r="N57" s="149"/>
      <c r="P57" s="149"/>
    </row>
    <row r="58" spans="2:19" ht="15.6" outlineLevel="1" x14ac:dyDescent="0.25">
      <c r="B58" s="418"/>
      <c r="C58" s="194"/>
      <c r="D58" s="148" t="s">
        <v>881</v>
      </c>
      <c r="E58" s="150"/>
      <c r="F58" s="149"/>
      <c r="G58" s="149"/>
      <c r="I58" s="149"/>
      <c r="J58" s="149"/>
      <c r="L58" s="149"/>
      <c r="M58" s="149"/>
      <c r="N58" s="149"/>
      <c r="P58" s="149"/>
    </row>
    <row r="59" spans="2:19" ht="15.6" outlineLevel="1" x14ac:dyDescent="0.25">
      <c r="B59" s="419"/>
      <c r="C59" s="194"/>
      <c r="D59" s="148" t="s">
        <v>173</v>
      </c>
      <c r="E59" s="150"/>
      <c r="F59" s="149"/>
      <c r="G59" s="149"/>
      <c r="I59" s="149"/>
      <c r="J59" s="149"/>
      <c r="L59" s="149"/>
      <c r="M59" s="149"/>
      <c r="N59" s="149"/>
      <c r="P59" s="149"/>
    </row>
    <row r="60" spans="2:19" s="195" customFormat="1" ht="21" customHeight="1" outlineLevel="2" x14ac:dyDescent="0.25">
      <c r="B60" s="152" t="s">
        <v>527</v>
      </c>
      <c r="C60" s="203"/>
      <c r="D60" s="145" t="s">
        <v>516</v>
      </c>
      <c r="E60" s="153"/>
      <c r="F60" s="153">
        <v>6765009.8999999994</v>
      </c>
      <c r="G60" s="153">
        <f t="shared" ref="G60:G104" si="27">E60+F60</f>
        <v>6765009.8999999994</v>
      </c>
      <c r="I60" s="154"/>
      <c r="J60" s="154"/>
      <c r="L60" s="155"/>
      <c r="M60" s="155"/>
      <c r="N60" s="153"/>
      <c r="O60" s="153">
        <v>475235</v>
      </c>
      <c r="P60" s="223"/>
    </row>
    <row r="61" spans="2:19" s="195" customFormat="1" ht="15.6" outlineLevel="2" x14ac:dyDescent="0.25">
      <c r="B61" s="152" t="s">
        <v>419</v>
      </c>
      <c r="C61" s="194"/>
      <c r="D61" s="145" t="s">
        <v>516</v>
      </c>
      <c r="E61" s="146"/>
      <c r="F61" s="146">
        <v>4084092.1799999997</v>
      </c>
      <c r="G61" s="153">
        <f t="shared" si="27"/>
        <v>4084092.1799999997</v>
      </c>
      <c r="I61" s="146"/>
      <c r="J61" s="146"/>
      <c r="L61" s="146"/>
      <c r="M61" s="146"/>
      <c r="N61" s="146"/>
      <c r="O61" s="146">
        <v>3633158.100000001</v>
      </c>
      <c r="P61" s="222"/>
    </row>
    <row r="62" spans="2:19" s="195" customFormat="1" ht="15.6" outlineLevel="2" x14ac:dyDescent="0.25">
      <c r="B62" s="152" t="s">
        <v>416</v>
      </c>
      <c r="C62" s="194"/>
      <c r="D62" s="145" t="s">
        <v>516</v>
      </c>
      <c r="E62" s="146"/>
      <c r="F62" s="146">
        <v>3756608.9000000004</v>
      </c>
      <c r="G62" s="153">
        <f t="shared" si="27"/>
        <v>3756608.9000000004</v>
      </c>
      <c r="I62" s="146"/>
      <c r="J62" s="146"/>
      <c r="L62" s="146"/>
      <c r="M62" s="146"/>
      <c r="N62" s="146"/>
      <c r="O62" s="146"/>
      <c r="P62" s="222"/>
    </row>
    <row r="63" spans="2:19" s="195" customFormat="1" ht="15.6" outlineLevel="2" x14ac:dyDescent="0.25">
      <c r="B63" s="152" t="s">
        <v>496</v>
      </c>
      <c r="C63" s="194"/>
      <c r="D63" s="145" t="s">
        <v>516</v>
      </c>
      <c r="E63" s="146"/>
      <c r="F63" s="146">
        <v>2961615.42</v>
      </c>
      <c r="G63" s="153">
        <f t="shared" si="27"/>
        <v>2961615.42</v>
      </c>
      <c r="I63" s="146"/>
      <c r="J63" s="146"/>
      <c r="L63" s="146"/>
      <c r="M63" s="146"/>
      <c r="N63" s="146"/>
      <c r="O63" s="146"/>
      <c r="P63" s="222"/>
    </row>
    <row r="64" spans="2:19" s="195" customFormat="1" ht="15.6" outlineLevel="2" x14ac:dyDescent="0.25">
      <c r="B64" s="152" t="s">
        <v>119</v>
      </c>
      <c r="C64" s="194"/>
      <c r="D64" s="145" t="s">
        <v>516</v>
      </c>
      <c r="E64" s="146"/>
      <c r="F64" s="146">
        <v>477840</v>
      </c>
      <c r="G64" s="153">
        <f t="shared" si="27"/>
        <v>477840</v>
      </c>
      <c r="I64" s="146"/>
      <c r="J64" s="146"/>
      <c r="L64" s="146"/>
      <c r="M64" s="146"/>
      <c r="N64" s="146"/>
      <c r="O64" s="146"/>
      <c r="P64" s="222"/>
    </row>
    <row r="65" spans="2:18" s="195" customFormat="1" ht="15.6" outlineLevel="2" x14ac:dyDescent="0.25">
      <c r="B65" s="152" t="s">
        <v>774</v>
      </c>
      <c r="C65" s="194"/>
      <c r="D65" s="145" t="s">
        <v>516</v>
      </c>
      <c r="E65" s="146"/>
      <c r="F65" s="146">
        <v>707551.6</v>
      </c>
      <c r="G65" s="153">
        <f t="shared" si="27"/>
        <v>707551.6</v>
      </c>
      <c r="I65" s="146"/>
      <c r="J65" s="146"/>
      <c r="L65" s="146"/>
      <c r="M65" s="146"/>
      <c r="N65" s="146"/>
      <c r="O65" s="146">
        <v>3231664.82</v>
      </c>
      <c r="P65" s="222"/>
    </row>
    <row r="66" spans="2:18" s="195" customFormat="1" ht="15.6" outlineLevel="2" x14ac:dyDescent="0.25">
      <c r="B66" s="152" t="s">
        <v>573</v>
      </c>
      <c r="C66" s="194"/>
      <c r="D66" s="145" t="s">
        <v>516</v>
      </c>
      <c r="E66" s="146"/>
      <c r="F66" s="146">
        <v>654535.73</v>
      </c>
      <c r="G66" s="153">
        <f t="shared" si="27"/>
        <v>654535.73</v>
      </c>
      <c r="I66" s="146"/>
      <c r="J66" s="146"/>
      <c r="L66" s="146"/>
      <c r="M66" s="146"/>
      <c r="N66" s="146"/>
      <c r="O66" s="146">
        <v>225884.2</v>
      </c>
      <c r="P66" s="222"/>
    </row>
    <row r="67" spans="2:18" s="195" customFormat="1" ht="15.6" outlineLevel="2" x14ac:dyDescent="0.25">
      <c r="B67" s="152" t="s">
        <v>415</v>
      </c>
      <c r="C67" s="194"/>
      <c r="D67" s="145" t="s">
        <v>516</v>
      </c>
      <c r="E67" s="146"/>
      <c r="F67" s="146">
        <v>654015.69999999995</v>
      </c>
      <c r="G67" s="153">
        <f t="shared" si="27"/>
        <v>654015.69999999995</v>
      </c>
      <c r="I67" s="146"/>
      <c r="J67" s="146"/>
      <c r="L67" s="146"/>
      <c r="M67" s="146"/>
      <c r="N67" s="146"/>
      <c r="O67" s="146">
        <v>6158350.8999999994</v>
      </c>
      <c r="P67" s="222"/>
    </row>
    <row r="68" spans="2:18" s="195" customFormat="1" ht="15.6" outlineLevel="2" x14ac:dyDescent="0.25">
      <c r="B68" s="152" t="s">
        <v>427</v>
      </c>
      <c r="C68" s="194"/>
      <c r="D68" s="145" t="s">
        <v>516</v>
      </c>
      <c r="E68" s="146"/>
      <c r="F68" s="146">
        <v>604009.9</v>
      </c>
      <c r="G68" s="153">
        <f t="shared" si="27"/>
        <v>604009.9</v>
      </c>
      <c r="I68" s="146"/>
      <c r="J68" s="146"/>
      <c r="L68" s="146"/>
      <c r="M68" s="146"/>
      <c r="N68" s="146"/>
      <c r="O68" s="146">
        <v>866804.7</v>
      </c>
      <c r="P68" s="222"/>
    </row>
    <row r="69" spans="2:18" s="195" customFormat="1" ht="15.6" outlineLevel="2" x14ac:dyDescent="0.25">
      <c r="B69" s="152" t="s">
        <v>30</v>
      </c>
      <c r="C69" s="194"/>
      <c r="D69" s="145" t="s">
        <v>516</v>
      </c>
      <c r="E69" s="146"/>
      <c r="F69" s="146">
        <v>517338.2</v>
      </c>
      <c r="G69" s="153">
        <f t="shared" si="27"/>
        <v>517338.2</v>
      </c>
      <c r="I69" s="146"/>
      <c r="J69" s="146"/>
      <c r="L69" s="146"/>
      <c r="M69" s="146"/>
      <c r="N69" s="146"/>
      <c r="O69" s="146">
        <v>158126.39999999999</v>
      </c>
      <c r="P69" s="222"/>
    </row>
    <row r="70" spans="2:18" s="195" customFormat="1" ht="15.6" outlineLevel="2" x14ac:dyDescent="0.25">
      <c r="B70" s="152" t="s">
        <v>674</v>
      </c>
      <c r="C70" s="194"/>
      <c r="D70" s="145" t="s">
        <v>516</v>
      </c>
      <c r="E70" s="146"/>
      <c r="F70" s="146">
        <v>516611.39999999997</v>
      </c>
      <c r="G70" s="153">
        <f t="shared" si="27"/>
        <v>516611.39999999997</v>
      </c>
      <c r="I70" s="146"/>
      <c r="J70" s="146"/>
      <c r="L70" s="146"/>
      <c r="M70" s="146"/>
      <c r="N70" s="146"/>
      <c r="O70" s="146">
        <v>1227102.3999999999</v>
      </c>
      <c r="P70" s="222"/>
    </row>
    <row r="71" spans="2:18" s="195" customFormat="1" ht="15.6" outlineLevel="2" x14ac:dyDescent="0.25">
      <c r="B71" s="152" t="s">
        <v>83</v>
      </c>
      <c r="C71" s="194"/>
      <c r="D71" s="145" t="s">
        <v>516</v>
      </c>
      <c r="E71" s="146"/>
      <c r="F71" s="146">
        <v>410856.52</v>
      </c>
      <c r="G71" s="153">
        <f t="shared" si="27"/>
        <v>410856.52</v>
      </c>
      <c r="I71" s="146"/>
      <c r="J71" s="146"/>
      <c r="L71" s="146"/>
      <c r="M71" s="146"/>
      <c r="N71" s="146"/>
      <c r="O71" s="146">
        <v>53489.3</v>
      </c>
      <c r="P71" s="222"/>
    </row>
    <row r="72" spans="2:18" s="195" customFormat="1" ht="15.6" outlineLevel="2" x14ac:dyDescent="0.25">
      <c r="B72" s="152" t="s">
        <v>528</v>
      </c>
      <c r="C72" s="194"/>
      <c r="D72" s="145" t="s">
        <v>516</v>
      </c>
      <c r="E72" s="146"/>
      <c r="F72" s="146">
        <v>409551.4</v>
      </c>
      <c r="G72" s="153">
        <f t="shared" si="27"/>
        <v>409551.4</v>
      </c>
      <c r="I72" s="146"/>
      <c r="J72" s="146"/>
      <c r="L72" s="146"/>
      <c r="M72" s="146"/>
      <c r="N72" s="146"/>
      <c r="O72" s="146"/>
      <c r="P72" s="222"/>
    </row>
    <row r="73" spans="2:18" s="195" customFormat="1" ht="15.6" outlineLevel="2" x14ac:dyDescent="0.25">
      <c r="B73" s="152" t="s">
        <v>611</v>
      </c>
      <c r="C73" s="194"/>
      <c r="D73" s="145" t="s">
        <v>516</v>
      </c>
      <c r="E73" s="146"/>
      <c r="F73" s="146">
        <v>395265</v>
      </c>
      <c r="G73" s="153">
        <f t="shared" si="27"/>
        <v>395265</v>
      </c>
      <c r="I73" s="146"/>
      <c r="J73" s="146"/>
      <c r="L73" s="146"/>
      <c r="M73" s="146"/>
      <c r="N73" s="146"/>
      <c r="O73" s="146">
        <v>528498.80000000005</v>
      </c>
      <c r="P73" s="222"/>
    </row>
    <row r="74" spans="2:18" s="195" customFormat="1" ht="15.6" outlineLevel="2" x14ac:dyDescent="0.25">
      <c r="B74" s="152" t="s">
        <v>721</v>
      </c>
      <c r="C74" s="194"/>
      <c r="D74" s="145" t="s">
        <v>516</v>
      </c>
      <c r="E74" s="146"/>
      <c r="F74" s="146">
        <v>290220</v>
      </c>
      <c r="G74" s="153">
        <f t="shared" si="27"/>
        <v>290220</v>
      </c>
      <c r="I74" s="146"/>
      <c r="J74" s="146"/>
      <c r="L74" s="146"/>
      <c r="M74" s="146"/>
      <c r="N74" s="146"/>
      <c r="O74" s="146">
        <v>417989.80000000005</v>
      </c>
      <c r="P74" s="222"/>
    </row>
    <row r="75" spans="2:18" s="195" customFormat="1" ht="15.6" outlineLevel="2" x14ac:dyDescent="0.25">
      <c r="B75" s="152" t="s">
        <v>526</v>
      </c>
      <c r="C75" s="194"/>
      <c r="D75" s="145" t="s">
        <v>516</v>
      </c>
      <c r="E75" s="146"/>
      <c r="F75" s="146">
        <v>248897.61</v>
      </c>
      <c r="G75" s="153">
        <f t="shared" si="27"/>
        <v>248897.61</v>
      </c>
      <c r="I75" s="146"/>
      <c r="J75" s="146"/>
      <c r="L75" s="146"/>
      <c r="M75" s="146"/>
      <c r="N75" s="146"/>
      <c r="O75" s="146">
        <v>1424871.4000000001</v>
      </c>
      <c r="P75" s="222"/>
    </row>
    <row r="76" spans="2:18" s="195" customFormat="1" ht="15.6" outlineLevel="2" x14ac:dyDescent="0.25">
      <c r="B76" s="152" t="s">
        <v>729</v>
      </c>
      <c r="C76" s="194"/>
      <c r="D76" s="145" t="s">
        <v>516</v>
      </c>
      <c r="E76" s="146"/>
      <c r="F76" s="146">
        <v>244032</v>
      </c>
      <c r="G76" s="153">
        <f t="shared" si="27"/>
        <v>244032</v>
      </c>
      <c r="I76" s="146"/>
      <c r="J76" s="146"/>
      <c r="L76" s="146"/>
      <c r="M76" s="146"/>
      <c r="N76" s="146"/>
      <c r="O76" s="146">
        <v>1708772</v>
      </c>
      <c r="P76" s="222"/>
    </row>
    <row r="77" spans="2:18" s="195" customFormat="1" ht="15.6" outlineLevel="2" x14ac:dyDescent="0.25">
      <c r="B77" s="152" t="s">
        <v>572</v>
      </c>
      <c r="C77" s="194"/>
      <c r="D77" s="145" t="s">
        <v>516</v>
      </c>
      <c r="E77" s="146"/>
      <c r="F77" s="146">
        <v>243513</v>
      </c>
      <c r="G77" s="153">
        <f t="shared" si="27"/>
        <v>243513</v>
      </c>
      <c r="I77" s="146"/>
      <c r="J77" s="146"/>
      <c r="L77" s="146"/>
      <c r="M77" s="146"/>
      <c r="N77" s="146"/>
      <c r="O77" s="146">
        <v>324729</v>
      </c>
      <c r="P77" s="222"/>
    </row>
    <row r="78" spans="2:18" s="195" customFormat="1" ht="15.6" outlineLevel="2" x14ac:dyDescent="0.25">
      <c r="B78" s="152" t="s">
        <v>546</v>
      </c>
      <c r="C78" s="194"/>
      <c r="D78" s="145" t="s">
        <v>516</v>
      </c>
      <c r="E78" s="146"/>
      <c r="F78" s="146">
        <v>215702.86</v>
      </c>
      <c r="G78" s="153">
        <f t="shared" si="27"/>
        <v>215702.86</v>
      </c>
      <c r="I78" s="146"/>
      <c r="J78" s="146"/>
      <c r="L78" s="146"/>
      <c r="M78" s="146"/>
      <c r="N78" s="146"/>
      <c r="O78" s="146">
        <v>1034572.5</v>
      </c>
      <c r="P78" s="222"/>
      <c r="R78" s="250"/>
    </row>
    <row r="79" spans="2:18" s="195" customFormat="1" ht="15.6" outlineLevel="2" x14ac:dyDescent="0.25">
      <c r="B79" s="152" t="s">
        <v>65</v>
      </c>
      <c r="C79" s="194"/>
      <c r="D79" s="145" t="s">
        <v>516</v>
      </c>
      <c r="E79" s="146"/>
      <c r="F79" s="146">
        <v>151537.20000000001</v>
      </c>
      <c r="G79" s="153">
        <f t="shared" si="27"/>
        <v>151537.20000000001</v>
      </c>
      <c r="I79" s="146"/>
      <c r="J79" s="146"/>
      <c r="L79" s="146"/>
      <c r="M79" s="146"/>
      <c r="N79" s="146"/>
      <c r="O79" s="146">
        <v>444240</v>
      </c>
      <c r="P79" s="222"/>
      <c r="R79" s="250"/>
    </row>
    <row r="80" spans="2:18" s="195" customFormat="1" ht="15.6" outlineLevel="2" x14ac:dyDescent="0.25">
      <c r="B80" s="152" t="s">
        <v>429</v>
      </c>
      <c r="C80" s="194"/>
      <c r="D80" s="145" t="s">
        <v>516</v>
      </c>
      <c r="E80" s="146"/>
      <c r="F80" s="146">
        <v>185040</v>
      </c>
      <c r="G80" s="153">
        <f t="shared" si="27"/>
        <v>185040</v>
      </c>
      <c r="I80" s="146"/>
      <c r="J80" s="146"/>
      <c r="L80" s="146"/>
      <c r="M80" s="146"/>
      <c r="N80" s="146"/>
      <c r="O80" s="146">
        <v>159679.79999999999</v>
      </c>
      <c r="P80" s="222"/>
    </row>
    <row r="81" spans="2:16" s="195" customFormat="1" ht="15.6" outlineLevel="2" x14ac:dyDescent="0.25">
      <c r="B81" s="152" t="s">
        <v>413</v>
      </c>
      <c r="C81" s="194"/>
      <c r="D81" s="145" t="s">
        <v>516</v>
      </c>
      <c r="E81" s="146"/>
      <c r="F81" s="146">
        <v>153263.79999999999</v>
      </c>
      <c r="G81" s="153">
        <f t="shared" si="27"/>
        <v>153263.79999999999</v>
      </c>
      <c r="I81" s="146"/>
      <c r="J81" s="146"/>
      <c r="L81" s="146"/>
      <c r="M81" s="146"/>
      <c r="N81" s="146"/>
      <c r="O81" s="146">
        <v>23451.75</v>
      </c>
      <c r="P81" s="222"/>
    </row>
    <row r="82" spans="2:16" s="195" customFormat="1" ht="15.6" outlineLevel="2" x14ac:dyDescent="0.25">
      <c r="B82" s="152" t="s">
        <v>712</v>
      </c>
      <c r="C82" s="194"/>
      <c r="D82" s="145" t="s">
        <v>516</v>
      </c>
      <c r="E82" s="146"/>
      <c r="F82" s="146">
        <v>105829.4</v>
      </c>
      <c r="G82" s="153">
        <f t="shared" si="27"/>
        <v>105829.4</v>
      </c>
      <c r="I82" s="146"/>
      <c r="J82" s="146"/>
      <c r="L82" s="146"/>
      <c r="M82" s="146"/>
      <c r="N82" s="146"/>
      <c r="O82" s="146"/>
      <c r="P82" s="222"/>
    </row>
    <row r="83" spans="2:16" s="195" customFormat="1" ht="15.6" outlineLevel="2" x14ac:dyDescent="0.25">
      <c r="B83" s="152" t="s">
        <v>485</v>
      </c>
      <c r="C83" s="194"/>
      <c r="D83" s="145" t="s">
        <v>516</v>
      </c>
      <c r="E83" s="146"/>
      <c r="F83" s="146">
        <v>80079.3</v>
      </c>
      <c r="G83" s="153">
        <f t="shared" si="27"/>
        <v>80079.3</v>
      </c>
      <c r="I83" s="146"/>
      <c r="J83" s="146"/>
      <c r="L83" s="146"/>
      <c r="M83" s="146"/>
      <c r="N83" s="146"/>
      <c r="O83" s="146"/>
      <c r="P83" s="222"/>
    </row>
    <row r="84" spans="2:16" s="195" customFormat="1" ht="15.6" outlineLevel="2" x14ac:dyDescent="0.25">
      <c r="B84" s="152" t="s">
        <v>418</v>
      </c>
      <c r="C84" s="194"/>
      <c r="D84" s="145" t="s">
        <v>516</v>
      </c>
      <c r="E84" s="146"/>
      <c r="F84" s="146">
        <v>65330</v>
      </c>
      <c r="G84" s="153">
        <f t="shared" si="27"/>
        <v>65330</v>
      </c>
      <c r="I84" s="146"/>
      <c r="J84" s="146"/>
      <c r="L84" s="146"/>
      <c r="M84" s="146"/>
      <c r="N84" s="146"/>
      <c r="O84" s="146"/>
      <c r="P84" s="222"/>
    </row>
    <row r="85" spans="2:16" s="195" customFormat="1" ht="15.6" outlineLevel="2" x14ac:dyDescent="0.25">
      <c r="B85" s="152" t="s">
        <v>424</v>
      </c>
      <c r="C85" s="194"/>
      <c r="D85" s="145" t="s">
        <v>516</v>
      </c>
      <c r="E85" s="146"/>
      <c r="F85" s="146">
        <v>62566.400000000001</v>
      </c>
      <c r="G85" s="153">
        <f t="shared" si="27"/>
        <v>62566.400000000001</v>
      </c>
      <c r="I85" s="146"/>
      <c r="J85" s="146"/>
      <c r="L85" s="146"/>
      <c r="M85" s="146"/>
      <c r="N85" s="146"/>
      <c r="O85" s="146"/>
      <c r="P85" s="222"/>
    </row>
    <row r="86" spans="2:16" s="195" customFormat="1" ht="15.6" outlineLevel="2" x14ac:dyDescent="0.25">
      <c r="B86" s="152" t="s">
        <v>88</v>
      </c>
      <c r="C86" s="194"/>
      <c r="D86" s="145" t="s">
        <v>516</v>
      </c>
      <c r="E86" s="146"/>
      <c r="F86" s="146">
        <v>44919</v>
      </c>
      <c r="G86" s="153">
        <f t="shared" si="27"/>
        <v>44919</v>
      </c>
      <c r="I86" s="146"/>
      <c r="J86" s="146"/>
      <c r="L86" s="146"/>
      <c r="M86" s="146"/>
      <c r="N86" s="146"/>
      <c r="O86" s="146"/>
      <c r="P86" s="222"/>
    </row>
    <row r="87" spans="2:16" s="195" customFormat="1" ht="15.6" outlineLevel="2" x14ac:dyDescent="0.25">
      <c r="B87" s="152" t="s">
        <v>302</v>
      </c>
      <c r="C87" s="194"/>
      <c r="D87" s="145" t="s">
        <v>516</v>
      </c>
      <c r="E87" s="146"/>
      <c r="F87" s="146">
        <v>43569.75</v>
      </c>
      <c r="G87" s="153">
        <f t="shared" si="27"/>
        <v>43569.75</v>
      </c>
      <c r="I87" s="146"/>
      <c r="J87" s="146"/>
      <c r="L87" s="146"/>
      <c r="M87" s="146"/>
      <c r="N87" s="146"/>
      <c r="O87" s="146"/>
      <c r="P87" s="222"/>
    </row>
    <row r="88" spans="2:16" s="195" customFormat="1" ht="15.6" outlineLevel="2" x14ac:dyDescent="0.25">
      <c r="B88" s="152" t="s">
        <v>490</v>
      </c>
      <c r="C88" s="194"/>
      <c r="D88" s="145" t="s">
        <v>516</v>
      </c>
      <c r="E88" s="146"/>
      <c r="F88" s="146">
        <v>26290</v>
      </c>
      <c r="G88" s="153">
        <f t="shared" si="27"/>
        <v>26290</v>
      </c>
      <c r="I88" s="146"/>
      <c r="J88" s="146"/>
      <c r="L88" s="146"/>
      <c r="M88" s="146"/>
      <c r="N88" s="146"/>
      <c r="O88" s="146"/>
      <c r="P88" s="222"/>
    </row>
    <row r="89" spans="2:16" s="195" customFormat="1" ht="15.6" outlineLevel="2" x14ac:dyDescent="0.25">
      <c r="B89" s="152" t="s">
        <v>921</v>
      </c>
      <c r="C89" s="194"/>
      <c r="D89" s="145" t="s">
        <v>516</v>
      </c>
      <c r="E89" s="146"/>
      <c r="F89" s="146">
        <v>19200</v>
      </c>
      <c r="G89" s="153">
        <f t="shared" si="27"/>
        <v>19200</v>
      </c>
      <c r="I89" s="146"/>
      <c r="J89" s="146"/>
      <c r="L89" s="146"/>
      <c r="M89" s="146"/>
      <c r="N89" s="146"/>
      <c r="O89" s="146"/>
      <c r="P89" s="222"/>
    </row>
    <row r="90" spans="2:16" s="195" customFormat="1" ht="15.6" outlineLevel="2" x14ac:dyDescent="0.25">
      <c r="B90" s="152" t="s">
        <v>417</v>
      </c>
      <c r="C90" s="194"/>
      <c r="D90" s="145" t="s">
        <v>516</v>
      </c>
      <c r="E90" s="146"/>
      <c r="F90" s="146">
        <v>13431</v>
      </c>
      <c r="G90" s="153">
        <f t="shared" si="27"/>
        <v>13431</v>
      </c>
      <c r="I90" s="146"/>
      <c r="J90" s="146"/>
      <c r="L90" s="146"/>
      <c r="M90" s="146"/>
      <c r="N90" s="146"/>
      <c r="O90" s="146"/>
      <c r="P90" s="222"/>
    </row>
    <row r="91" spans="2:16" s="195" customFormat="1" ht="15.6" outlineLevel="2" x14ac:dyDescent="0.25">
      <c r="B91" s="152" t="s">
        <v>890</v>
      </c>
      <c r="C91" s="194"/>
      <c r="D91" s="145" t="s">
        <v>516</v>
      </c>
      <c r="E91" s="146"/>
      <c r="F91" s="146">
        <v>1743</v>
      </c>
      <c r="G91" s="153">
        <f t="shared" si="27"/>
        <v>1743</v>
      </c>
      <c r="I91" s="146"/>
      <c r="J91" s="146"/>
      <c r="L91" s="146"/>
      <c r="M91" s="146"/>
      <c r="N91" s="146"/>
      <c r="O91" s="146">
        <v>73440</v>
      </c>
      <c r="P91" s="222"/>
    </row>
    <row r="92" spans="2:16" s="195" customFormat="1" ht="15.6" outlineLevel="2" x14ac:dyDescent="0.25">
      <c r="B92" s="152" t="s">
        <v>828</v>
      </c>
      <c r="C92" s="194"/>
      <c r="D92" s="145" t="s">
        <v>516</v>
      </c>
      <c r="E92" s="146"/>
      <c r="F92" s="146">
        <v>583.34</v>
      </c>
      <c r="G92" s="153">
        <f t="shared" si="27"/>
        <v>583.34</v>
      </c>
      <c r="I92" s="146"/>
      <c r="J92" s="146"/>
      <c r="L92" s="146"/>
      <c r="M92" s="146"/>
      <c r="N92" s="146"/>
      <c r="O92" s="146">
        <v>112012.5</v>
      </c>
      <c r="P92" s="222"/>
    </row>
    <row r="93" spans="2:16" s="195" customFormat="1" ht="15.6" outlineLevel="2" x14ac:dyDescent="0.25">
      <c r="B93" s="152" t="s">
        <v>846</v>
      </c>
      <c r="C93" s="194"/>
      <c r="D93" s="145" t="s">
        <v>516</v>
      </c>
      <c r="E93" s="146"/>
      <c r="F93" s="146">
        <v>331</v>
      </c>
      <c r="G93" s="153">
        <f t="shared" si="27"/>
        <v>331</v>
      </c>
      <c r="I93" s="146"/>
      <c r="J93" s="146"/>
      <c r="L93" s="146"/>
      <c r="M93" s="146"/>
      <c r="N93" s="146"/>
      <c r="O93" s="146">
        <v>42240</v>
      </c>
      <c r="P93" s="222"/>
    </row>
    <row r="94" spans="2:16" s="195" customFormat="1" ht="15.6" outlineLevel="2" x14ac:dyDescent="0.25">
      <c r="B94" s="152" t="s">
        <v>181</v>
      </c>
      <c r="C94" s="194"/>
      <c r="D94" s="145" t="s">
        <v>173</v>
      </c>
      <c r="E94" s="146"/>
      <c r="F94" s="146">
        <v>1200190.42</v>
      </c>
      <c r="G94" s="153">
        <f t="shared" si="27"/>
        <v>1200190.42</v>
      </c>
      <c r="I94" s="146"/>
      <c r="J94" s="146"/>
      <c r="L94" s="146"/>
      <c r="M94" s="146"/>
      <c r="N94" s="146"/>
      <c r="O94" s="146"/>
      <c r="P94" s="222"/>
    </row>
    <row r="95" spans="2:16" s="195" customFormat="1" ht="15.6" outlineLevel="2" x14ac:dyDescent="0.25">
      <c r="B95" s="152" t="s">
        <v>577</v>
      </c>
      <c r="C95" s="194"/>
      <c r="D95" s="145" t="s">
        <v>173</v>
      </c>
      <c r="E95" s="146"/>
      <c r="F95" s="146">
        <v>739540.06</v>
      </c>
      <c r="G95" s="153">
        <f t="shared" si="27"/>
        <v>739540.06</v>
      </c>
      <c r="I95" s="146"/>
      <c r="J95" s="146"/>
      <c r="L95" s="146"/>
      <c r="M95" s="146"/>
      <c r="N95" s="146"/>
      <c r="O95" s="146"/>
      <c r="P95" s="222"/>
    </row>
    <row r="96" spans="2:16" s="195" customFormat="1" ht="15.6" outlineLevel="2" x14ac:dyDescent="0.25">
      <c r="B96" s="152" t="s">
        <v>905</v>
      </c>
      <c r="C96" s="194"/>
      <c r="D96" s="145" t="s">
        <v>173</v>
      </c>
      <c r="E96" s="146"/>
      <c r="F96" s="146">
        <v>734953.47000000009</v>
      </c>
      <c r="G96" s="153">
        <f t="shared" si="27"/>
        <v>734953.47000000009</v>
      </c>
      <c r="I96" s="146"/>
      <c r="J96" s="146"/>
      <c r="L96" s="146"/>
      <c r="M96" s="146"/>
      <c r="N96" s="146"/>
      <c r="O96" s="146"/>
      <c r="P96" s="222"/>
    </row>
    <row r="97" spans="2:16" s="195" customFormat="1" ht="15.6" outlineLevel="2" x14ac:dyDescent="0.25">
      <c r="B97" s="152" t="s">
        <v>334</v>
      </c>
      <c r="C97" s="194"/>
      <c r="D97" s="145" t="s">
        <v>173</v>
      </c>
      <c r="E97" s="146"/>
      <c r="F97" s="146">
        <v>482989</v>
      </c>
      <c r="G97" s="153">
        <f t="shared" si="27"/>
        <v>482989</v>
      </c>
      <c r="I97" s="146"/>
      <c r="J97" s="146"/>
      <c r="L97" s="146"/>
      <c r="M97" s="146"/>
      <c r="N97" s="146"/>
      <c r="O97" s="146"/>
      <c r="P97" s="222"/>
    </row>
    <row r="98" spans="2:16" s="195" customFormat="1" ht="15.6" outlineLevel="2" x14ac:dyDescent="0.25">
      <c r="B98" s="152" t="s">
        <v>376</v>
      </c>
      <c r="C98" s="194"/>
      <c r="D98" s="145" t="s">
        <v>173</v>
      </c>
      <c r="E98" s="146"/>
      <c r="F98" s="146">
        <v>329327.90999999997</v>
      </c>
      <c r="G98" s="153">
        <f t="shared" si="27"/>
        <v>329327.90999999997</v>
      </c>
      <c r="I98" s="146"/>
      <c r="J98" s="146"/>
      <c r="L98" s="146"/>
      <c r="M98" s="146"/>
      <c r="N98" s="146"/>
      <c r="O98" s="146"/>
      <c r="P98" s="222"/>
    </row>
    <row r="99" spans="2:16" s="195" customFormat="1" ht="15.6" outlineLevel="2" x14ac:dyDescent="0.25">
      <c r="B99" s="152" t="s">
        <v>431</v>
      </c>
      <c r="C99" s="194"/>
      <c r="D99" s="145" t="s">
        <v>173</v>
      </c>
      <c r="E99" s="146"/>
      <c r="F99" s="146">
        <v>306727.12</v>
      </c>
      <c r="G99" s="153">
        <f t="shared" si="27"/>
        <v>306727.12</v>
      </c>
      <c r="I99" s="146"/>
      <c r="J99" s="146"/>
      <c r="L99" s="146"/>
      <c r="M99" s="146"/>
      <c r="N99" s="146"/>
      <c r="O99" s="146"/>
      <c r="P99" s="222"/>
    </row>
    <row r="100" spans="2:16" s="195" customFormat="1" ht="15.6" outlineLevel="2" x14ac:dyDescent="0.25">
      <c r="B100" s="152" t="s">
        <v>549</v>
      </c>
      <c r="C100" s="194"/>
      <c r="D100" s="145" t="s">
        <v>173</v>
      </c>
      <c r="E100" s="146"/>
      <c r="F100" s="146">
        <v>299642.08</v>
      </c>
      <c r="G100" s="153">
        <f t="shared" si="27"/>
        <v>299642.08</v>
      </c>
      <c r="I100" s="146"/>
      <c r="J100" s="146"/>
      <c r="L100" s="146"/>
      <c r="M100" s="146"/>
      <c r="N100" s="146"/>
      <c r="O100" s="146"/>
      <c r="P100" s="222"/>
    </row>
    <row r="101" spans="2:16" s="195" customFormat="1" ht="15.6" outlineLevel="2" x14ac:dyDescent="0.25">
      <c r="B101" s="152" t="s">
        <v>377</v>
      </c>
      <c r="C101" s="194"/>
      <c r="D101" s="145" t="s">
        <v>173</v>
      </c>
      <c r="E101" s="146"/>
      <c r="F101" s="146">
        <v>222808.17</v>
      </c>
      <c r="G101" s="153">
        <f t="shared" si="27"/>
        <v>222808.17</v>
      </c>
      <c r="I101" s="146"/>
      <c r="J101" s="146"/>
      <c r="L101" s="146"/>
      <c r="M101" s="146"/>
      <c r="N101" s="146"/>
      <c r="O101" s="146"/>
      <c r="P101" s="222"/>
    </row>
    <row r="102" spans="2:16" s="195" customFormat="1" ht="15.6" outlineLevel="2" x14ac:dyDescent="0.25">
      <c r="B102" s="152" t="s">
        <v>432</v>
      </c>
      <c r="C102" s="194"/>
      <c r="D102" s="145" t="s">
        <v>173</v>
      </c>
      <c r="E102" s="146"/>
      <c r="F102" s="146">
        <v>133718</v>
      </c>
      <c r="G102" s="153">
        <f t="shared" si="27"/>
        <v>133718</v>
      </c>
      <c r="I102" s="146"/>
      <c r="J102" s="146"/>
      <c r="L102" s="146"/>
      <c r="M102" s="146"/>
      <c r="N102" s="146"/>
      <c r="O102" s="146"/>
      <c r="P102" s="222"/>
    </row>
    <row r="103" spans="2:16" s="195" customFormat="1" ht="15.6" outlineLevel="2" x14ac:dyDescent="0.25">
      <c r="B103" s="152" t="s">
        <v>196</v>
      </c>
      <c r="C103" s="194"/>
      <c r="D103" s="145" t="s">
        <v>173</v>
      </c>
      <c r="E103" s="146"/>
      <c r="F103" s="146">
        <v>131680</v>
      </c>
      <c r="G103" s="153">
        <f t="shared" si="27"/>
        <v>131680</v>
      </c>
      <c r="I103" s="146"/>
      <c r="J103" s="146"/>
      <c r="L103" s="146"/>
      <c r="M103" s="146"/>
      <c r="N103" s="146"/>
      <c r="O103" s="146"/>
      <c r="P103" s="222"/>
    </row>
    <row r="104" spans="2:16" s="195" customFormat="1" ht="15.6" outlineLevel="2" x14ac:dyDescent="0.25">
      <c r="B104" s="152" t="s">
        <v>425</v>
      </c>
      <c r="C104" s="194"/>
      <c r="D104" s="145" t="s">
        <v>173</v>
      </c>
      <c r="E104" s="146"/>
      <c r="F104" s="146">
        <v>5030.5</v>
      </c>
      <c r="G104" s="153">
        <f t="shared" si="27"/>
        <v>5030.5</v>
      </c>
      <c r="I104" s="146"/>
      <c r="J104" s="146"/>
      <c r="L104" s="146"/>
      <c r="M104" s="146"/>
      <c r="N104" s="146"/>
      <c r="O104" s="146"/>
      <c r="P104" s="222"/>
    </row>
    <row r="105" spans="2:16" s="195" customFormat="1" ht="15.6" outlineLevel="2" x14ac:dyDescent="0.25">
      <c r="B105" s="152" t="s">
        <v>336</v>
      </c>
      <c r="C105" s="194"/>
      <c r="D105" s="145" t="s">
        <v>881</v>
      </c>
      <c r="E105" s="146"/>
      <c r="F105" s="146">
        <v>3280155.1799999997</v>
      </c>
      <c r="G105" s="153">
        <f t="shared" ref="G105:G122" si="28">E105+F105</f>
        <v>3280155.1799999997</v>
      </c>
      <c r="I105" s="146"/>
      <c r="J105" s="146"/>
      <c r="L105" s="146"/>
      <c r="M105" s="146"/>
      <c r="N105" s="146"/>
      <c r="O105" s="146"/>
      <c r="P105" s="222"/>
    </row>
    <row r="106" spans="2:16" s="195" customFormat="1" ht="15.6" outlineLevel="2" x14ac:dyDescent="0.25">
      <c r="B106" s="152" t="s">
        <v>627</v>
      </c>
      <c r="C106" s="194"/>
      <c r="D106" s="145" t="s">
        <v>881</v>
      </c>
      <c r="E106" s="146"/>
      <c r="F106" s="146">
        <v>687688.91</v>
      </c>
      <c r="G106" s="153">
        <f t="shared" si="28"/>
        <v>687688.91</v>
      </c>
      <c r="I106" s="146"/>
      <c r="J106" s="146"/>
      <c r="L106" s="146"/>
      <c r="M106" s="146"/>
      <c r="N106" s="146"/>
      <c r="O106" s="156"/>
      <c r="P106" s="222"/>
    </row>
    <row r="107" spans="2:16" s="195" customFormat="1" ht="15.6" outlineLevel="2" x14ac:dyDescent="0.25">
      <c r="B107" s="152" t="s">
        <v>354</v>
      </c>
      <c r="C107" s="194"/>
      <c r="D107" s="145" t="s">
        <v>881</v>
      </c>
      <c r="E107" s="146"/>
      <c r="F107" s="146">
        <v>400087.85</v>
      </c>
      <c r="G107" s="153">
        <f t="shared" si="28"/>
        <v>400087.85</v>
      </c>
      <c r="I107" s="146"/>
      <c r="J107" s="146"/>
      <c r="L107" s="146"/>
      <c r="M107" s="146"/>
      <c r="N107" s="146"/>
      <c r="P107" s="222"/>
    </row>
    <row r="108" spans="2:16" s="195" customFormat="1" ht="15.6" outlineLevel="2" x14ac:dyDescent="0.25">
      <c r="B108" s="152" t="s">
        <v>294</v>
      </c>
      <c r="C108" s="194"/>
      <c r="D108" s="145" t="s">
        <v>881</v>
      </c>
      <c r="E108" s="146"/>
      <c r="F108" s="146">
        <v>350009.44999999995</v>
      </c>
      <c r="G108" s="153">
        <f t="shared" si="28"/>
        <v>350009.44999999995</v>
      </c>
      <c r="I108" s="146"/>
      <c r="J108" s="146"/>
      <c r="L108" s="146"/>
      <c r="M108" s="146"/>
      <c r="N108" s="146"/>
      <c r="P108" s="222"/>
    </row>
    <row r="109" spans="2:16" s="195" customFormat="1" ht="15.6" outlineLevel="2" x14ac:dyDescent="0.25">
      <c r="B109" s="152" t="s">
        <v>381</v>
      </c>
      <c r="C109" s="194"/>
      <c r="D109" s="145" t="s">
        <v>881</v>
      </c>
      <c r="E109" s="146"/>
      <c r="F109" s="146">
        <v>262313.01</v>
      </c>
      <c r="G109" s="153">
        <f t="shared" si="28"/>
        <v>262313.01</v>
      </c>
      <c r="I109" s="146"/>
      <c r="J109" s="146"/>
      <c r="L109" s="146"/>
      <c r="M109" s="146"/>
      <c r="N109" s="146"/>
      <c r="P109" s="222"/>
    </row>
    <row r="110" spans="2:16" s="195" customFormat="1" ht="15.6" outlineLevel="2" x14ac:dyDescent="0.25">
      <c r="B110" s="152" t="s">
        <v>402</v>
      </c>
      <c r="C110" s="194"/>
      <c r="D110" s="145" t="s">
        <v>881</v>
      </c>
      <c r="E110" s="146"/>
      <c r="F110" s="146">
        <v>250261.53</v>
      </c>
      <c r="G110" s="153">
        <f t="shared" si="28"/>
        <v>250261.53</v>
      </c>
      <c r="I110" s="146"/>
      <c r="J110" s="146"/>
      <c r="L110" s="146"/>
      <c r="M110" s="146"/>
      <c r="N110" s="146"/>
      <c r="P110" s="222"/>
    </row>
    <row r="111" spans="2:16" s="195" customFormat="1" ht="15.6" outlineLevel="2" x14ac:dyDescent="0.25">
      <c r="B111" s="152" t="s">
        <v>128</v>
      </c>
      <c r="C111" s="194"/>
      <c r="D111" s="145" t="s">
        <v>881</v>
      </c>
      <c r="E111" s="146"/>
      <c r="F111" s="146">
        <v>157149.47</v>
      </c>
      <c r="G111" s="153">
        <f t="shared" si="28"/>
        <v>157149.47</v>
      </c>
      <c r="I111" s="146"/>
      <c r="J111" s="146"/>
      <c r="L111" s="146"/>
      <c r="M111" s="146"/>
      <c r="N111" s="146"/>
      <c r="P111" s="222"/>
    </row>
    <row r="112" spans="2:16" s="195" customFormat="1" ht="15.6" outlineLevel="2" x14ac:dyDescent="0.25">
      <c r="B112" s="152" t="s">
        <v>125</v>
      </c>
      <c r="C112" s="194"/>
      <c r="D112" s="145" t="s">
        <v>881</v>
      </c>
      <c r="E112" s="146"/>
      <c r="F112" s="146">
        <v>150064.82999999999</v>
      </c>
      <c r="G112" s="153">
        <f t="shared" si="28"/>
        <v>150064.82999999999</v>
      </c>
      <c r="I112" s="146"/>
      <c r="J112" s="146"/>
      <c r="L112" s="146"/>
      <c r="M112" s="146"/>
      <c r="N112" s="146"/>
      <c r="P112" s="222"/>
    </row>
    <row r="113" spans="2:16" s="195" customFormat="1" ht="15.6" outlineLevel="2" x14ac:dyDescent="0.25">
      <c r="B113" s="152" t="s">
        <v>567</v>
      </c>
      <c r="C113" s="194"/>
      <c r="D113" s="145" t="s">
        <v>881</v>
      </c>
      <c r="E113" s="146"/>
      <c r="F113" s="146">
        <v>137716.91</v>
      </c>
      <c r="G113" s="153">
        <f t="shared" si="28"/>
        <v>137716.91</v>
      </c>
      <c r="I113" s="146"/>
      <c r="J113" s="146"/>
      <c r="L113" s="146"/>
      <c r="M113" s="146"/>
      <c r="N113" s="146"/>
      <c r="P113" s="222"/>
    </row>
    <row r="114" spans="2:16" s="195" customFormat="1" ht="15.6" outlineLevel="2" x14ac:dyDescent="0.25">
      <c r="B114" s="152" t="s">
        <v>129</v>
      </c>
      <c r="C114" s="194"/>
      <c r="D114" s="145" t="s">
        <v>881</v>
      </c>
      <c r="E114" s="146"/>
      <c r="F114" s="146">
        <v>131960.06</v>
      </c>
      <c r="G114" s="153">
        <f t="shared" si="28"/>
        <v>131960.06</v>
      </c>
      <c r="I114" s="146"/>
      <c r="J114" s="146"/>
      <c r="L114" s="146"/>
      <c r="M114" s="146"/>
      <c r="N114" s="146"/>
      <c r="P114" s="222"/>
    </row>
    <row r="115" spans="2:16" s="195" customFormat="1" ht="15.6" outlineLevel="2" x14ac:dyDescent="0.25">
      <c r="B115" s="152" t="s">
        <v>531</v>
      </c>
      <c r="C115" s="194"/>
      <c r="D115" s="145" t="s">
        <v>881</v>
      </c>
      <c r="E115" s="146"/>
      <c r="F115" s="146">
        <v>103419.88999999998</v>
      </c>
      <c r="G115" s="153">
        <f t="shared" si="28"/>
        <v>103419.88999999998</v>
      </c>
      <c r="I115" s="146"/>
      <c r="J115" s="146"/>
      <c r="L115" s="146"/>
      <c r="M115" s="146"/>
      <c r="N115" s="146"/>
      <c r="P115" s="222"/>
    </row>
    <row r="116" spans="2:16" s="195" customFormat="1" ht="15.6" outlineLevel="2" x14ac:dyDescent="0.25">
      <c r="B116" s="152" t="s">
        <v>392</v>
      </c>
      <c r="C116" s="194"/>
      <c r="D116" s="145" t="s">
        <v>881</v>
      </c>
      <c r="E116" s="146"/>
      <c r="F116" s="146">
        <v>92361.18</v>
      </c>
      <c r="G116" s="153">
        <f t="shared" si="28"/>
        <v>92361.18</v>
      </c>
      <c r="I116" s="146"/>
      <c r="J116" s="146"/>
      <c r="L116" s="146"/>
      <c r="M116" s="146"/>
      <c r="N116" s="146"/>
      <c r="P116" s="222"/>
    </row>
    <row r="117" spans="2:16" s="195" customFormat="1" ht="15.6" outlineLevel="2" x14ac:dyDescent="0.25">
      <c r="B117" s="152" t="s">
        <v>304</v>
      </c>
      <c r="C117" s="194"/>
      <c r="D117" s="145" t="s">
        <v>881</v>
      </c>
      <c r="E117" s="146"/>
      <c r="F117" s="146">
        <v>86689.1</v>
      </c>
      <c r="G117" s="153">
        <f t="shared" si="28"/>
        <v>86689.1</v>
      </c>
      <c r="I117" s="146"/>
      <c r="J117" s="146"/>
      <c r="L117" s="146"/>
      <c r="M117" s="146"/>
      <c r="N117" s="146"/>
      <c r="P117" s="222"/>
    </row>
    <row r="118" spans="2:16" s="195" customFormat="1" ht="15.6" outlineLevel="2" x14ac:dyDescent="0.25">
      <c r="B118" s="152" t="s">
        <v>489</v>
      </c>
      <c r="C118" s="194"/>
      <c r="D118" s="145" t="s">
        <v>881</v>
      </c>
      <c r="E118" s="146"/>
      <c r="F118" s="146">
        <v>76480.23</v>
      </c>
      <c r="G118" s="153">
        <f t="shared" si="28"/>
        <v>76480.23</v>
      </c>
      <c r="I118" s="146"/>
      <c r="J118" s="146"/>
      <c r="L118" s="146"/>
      <c r="M118" s="146"/>
      <c r="N118" s="146"/>
      <c r="P118" s="222"/>
    </row>
    <row r="119" spans="2:16" s="195" customFormat="1" ht="15.6" outlineLevel="2" x14ac:dyDescent="0.25">
      <c r="B119" s="152" t="s">
        <v>640</v>
      </c>
      <c r="C119" s="194"/>
      <c r="D119" s="145" t="s">
        <v>881</v>
      </c>
      <c r="E119" s="146"/>
      <c r="F119" s="146">
        <v>49956.68</v>
      </c>
      <c r="G119" s="153">
        <f t="shared" si="28"/>
        <v>49956.68</v>
      </c>
      <c r="I119" s="146"/>
      <c r="J119" s="146"/>
      <c r="L119" s="146"/>
      <c r="M119" s="146"/>
      <c r="N119" s="146"/>
      <c r="P119" s="222"/>
    </row>
    <row r="120" spans="2:16" s="195" customFormat="1" ht="15.6" outlineLevel="2" x14ac:dyDescent="0.25">
      <c r="B120" s="152" t="s">
        <v>826</v>
      </c>
      <c r="C120" s="194"/>
      <c r="D120" s="145" t="s">
        <v>881</v>
      </c>
      <c r="E120" s="146"/>
      <c r="F120" s="146">
        <v>45718.46</v>
      </c>
      <c r="G120" s="153">
        <f t="shared" si="28"/>
        <v>45718.46</v>
      </c>
      <c r="I120" s="146"/>
      <c r="J120" s="146"/>
      <c r="L120" s="146"/>
      <c r="M120" s="146"/>
      <c r="N120" s="146"/>
      <c r="P120" s="222"/>
    </row>
    <row r="121" spans="2:16" s="195" customFormat="1" ht="15.6" outlineLevel="2" x14ac:dyDescent="0.25">
      <c r="B121" s="152" t="s">
        <v>359</v>
      </c>
      <c r="C121" s="194"/>
      <c r="D121" s="145" t="s">
        <v>881</v>
      </c>
      <c r="E121" s="146"/>
      <c r="F121" s="146">
        <v>40017.64</v>
      </c>
      <c r="G121" s="153">
        <f t="shared" ref="G121" si="29">E121+F121</f>
        <v>40017.64</v>
      </c>
      <c r="I121" s="146"/>
      <c r="J121" s="146"/>
      <c r="L121" s="146"/>
      <c r="M121" s="146"/>
      <c r="N121" s="146"/>
      <c r="P121" s="222"/>
    </row>
    <row r="122" spans="2:16" s="195" customFormat="1" ht="15.6" outlineLevel="2" x14ac:dyDescent="0.25">
      <c r="B122" s="152" t="s">
        <v>670</v>
      </c>
      <c r="C122" s="194"/>
      <c r="D122" s="145" t="s">
        <v>881</v>
      </c>
      <c r="E122" s="146"/>
      <c r="F122" s="146">
        <v>853.24</v>
      </c>
      <c r="G122" s="153">
        <f t="shared" si="28"/>
        <v>853.24</v>
      </c>
      <c r="I122" s="146"/>
      <c r="J122" s="146"/>
      <c r="L122" s="146"/>
      <c r="M122" s="146"/>
      <c r="N122" s="146"/>
      <c r="P122" s="222"/>
    </row>
    <row r="123" spans="2:16" ht="15.6" x14ac:dyDescent="0.25">
      <c r="B123" s="157" t="s">
        <v>350</v>
      </c>
      <c r="C123" s="194"/>
      <c r="D123" s="158"/>
      <c r="E123" s="159">
        <f>E46+E45+E39+SUM(E60:E122)</f>
        <v>23547835.009999998</v>
      </c>
      <c r="F123" s="159">
        <f>F46+F45+F39+SUM(F60:F122)</f>
        <v>36000490.859999992</v>
      </c>
      <c r="G123" s="159">
        <f>G46+G45+G39+SUM(G60:G122)</f>
        <v>59548325.86999999</v>
      </c>
      <c r="I123" s="159">
        <f>I46+I45+I39+SUM(I60:I122)</f>
        <v>11121009.775599999</v>
      </c>
      <c r="J123" s="159">
        <f>J46+J45+J39+SUM(J60:J122)</f>
        <v>0</v>
      </c>
      <c r="L123" s="159">
        <f>L46+L45+L39+SUM(L60:L122)</f>
        <v>10943408.51</v>
      </c>
      <c r="M123" s="159">
        <f>M46+M45+M39+SUM(M60:M122)</f>
        <v>11378419.999999998</v>
      </c>
      <c r="N123" s="159">
        <f>N46+N45+N39+SUM(N60:N122)</f>
        <v>1226006.5</v>
      </c>
      <c r="P123" s="160"/>
    </row>
    <row r="124" spans="2:16" ht="15.6" x14ac:dyDescent="0.25">
      <c r="C124" s="194"/>
    </row>
    <row r="125" spans="2:16" ht="15.6" x14ac:dyDescent="0.25">
      <c r="B125" s="157"/>
      <c r="C125" s="194"/>
      <c r="D125" s="158" t="s">
        <v>881</v>
      </c>
      <c r="E125" s="159">
        <f>SUMIF($D$26:$D$123,$D125,E$26:E$123)</f>
        <v>464583.31999999995</v>
      </c>
      <c r="F125" s="159">
        <f>SUMIF($D$26:$D$123,$D125,F$26:F$123)</f>
        <v>6302903.6199999982</v>
      </c>
      <c r="G125" s="159">
        <f>SUMIF($D$26:$D$123,$D125,G$26:G$123)</f>
        <v>6767486.9399999976</v>
      </c>
      <c r="H125" s="195">
        <f>SUMIF($D$26:$D$123,$D125,H$26:H$123)</f>
        <v>0</v>
      </c>
      <c r="I125" s="159">
        <f>SUMIF($D$26:$D$123,$D125,I$26:I$123)</f>
        <v>13937.499600000001</v>
      </c>
      <c r="J125" s="159">
        <f>SUMIF($D$26:$D$123,$D125,J$26:J$123)</f>
        <v>0</v>
      </c>
      <c r="K125" s="195">
        <f>SUMIF($D$26:$D$123,$D125,K$26:K$123)</f>
        <v>0</v>
      </c>
      <c r="L125" s="159">
        <f>SUMIF($D$26:$D$123,$D125,L$26:L$123)</f>
        <v>0</v>
      </c>
      <c r="M125" s="159">
        <f>SUMIF($D$26:$D$123,$D125,M$26:M$123)</f>
        <v>0</v>
      </c>
      <c r="N125" s="159">
        <f>SUMIF($D$26:$D$123,$D125,N$26:N$123)</f>
        <v>464583.31999999995</v>
      </c>
      <c r="P125" s="160"/>
    </row>
    <row r="126" spans="2:16" ht="15.6" x14ac:dyDescent="0.25">
      <c r="B126" s="157"/>
      <c r="C126" s="194"/>
      <c r="D126" s="158" t="s">
        <v>173</v>
      </c>
      <c r="E126" s="159">
        <f>SUMIF($D$26:$D$123,$D126,E$26:E$123)</f>
        <v>21854828.589999996</v>
      </c>
      <c r="F126" s="159">
        <f>SUMIF($D$26:$D$123,$D126,F$26:F$123)</f>
        <v>4586606.7300000004</v>
      </c>
      <c r="G126" s="159">
        <f>SUMIF($D$26:$D$123,$D126,G$26:G$123)</f>
        <v>26441435.319999997</v>
      </c>
      <c r="H126" s="195">
        <f>SUMIF($D$26:$D$123,$D126,H$26:H$123)</f>
        <v>0</v>
      </c>
      <c r="I126" s="159">
        <f>SUMIF($D$26:$D$123,$D126,I$26:I$123)</f>
        <v>10476408.59</v>
      </c>
      <c r="J126" s="159">
        <f>SUMIF($D$26:$D$123,$D126,J$26:J$123)</f>
        <v>0</v>
      </c>
      <c r="K126" s="195">
        <f>SUMIF($D$26:$D$123,$D126,K$26:K$123)</f>
        <v>0</v>
      </c>
      <c r="L126" s="159">
        <f>SUMIF($D$26:$D$123,$D126,L$26:L$123)</f>
        <v>10476408.59</v>
      </c>
      <c r="M126" s="159">
        <f>SUMIF($D$26:$D$123,$D126,M$26:M$123)</f>
        <v>11378419.999999998</v>
      </c>
      <c r="N126" s="159">
        <f>SUMIF($D$26:$D$123,$D126,N$26:N$123)</f>
        <v>0</v>
      </c>
      <c r="P126" s="160"/>
    </row>
    <row r="127" spans="2:16" ht="15.6" x14ac:dyDescent="0.25">
      <c r="B127" s="157"/>
      <c r="C127" s="194"/>
      <c r="D127" s="158" t="s">
        <v>516</v>
      </c>
      <c r="E127" s="159">
        <f>SUMIF($D$26:$D$123,$D127,E$26:E$123)</f>
        <v>1228423.0999999996</v>
      </c>
      <c r="F127" s="159">
        <f>SUMIF($D$26:$D$123,$D127,F$26:F$123)</f>
        <v>25110980.50999999</v>
      </c>
      <c r="G127" s="159">
        <f>SUMIF($D$26:$D$123,$D127,G$26:G$123)</f>
        <v>26339403.609999992</v>
      </c>
      <c r="H127" s="195">
        <f>SUMIF($D$26:$D$123,$D127,H$26:H$123)</f>
        <v>0</v>
      </c>
      <c r="I127" s="159">
        <f>SUMIF($D$26:$D$123,$D127,I$26:I$123)</f>
        <v>630663.68599999999</v>
      </c>
      <c r="J127" s="159">
        <f>SUMIF($D$26:$D$123,$D127,J$26:J$123)</f>
        <v>0</v>
      </c>
      <c r="K127" s="195">
        <f>SUMIF($D$26:$D$123,$D127,K$26:K$123)</f>
        <v>0</v>
      </c>
      <c r="L127" s="159">
        <f>SUMIF($D$26:$D$123,$D127,L$26:L$123)</f>
        <v>466999.92</v>
      </c>
      <c r="M127" s="159">
        <f>SUMIF($D$26:$D$123,$D127,M$26:M$123)</f>
        <v>0</v>
      </c>
      <c r="N127" s="159">
        <f>SUMIF($D$26:$D$123,$D127,N$26:N$123)</f>
        <v>761423.18</v>
      </c>
      <c r="P127" s="160"/>
    </row>
    <row r="128" spans="2:16" ht="15.6" x14ac:dyDescent="0.25">
      <c r="B128" s="157"/>
      <c r="C128" s="194"/>
      <c r="D128" s="158" t="s">
        <v>350</v>
      </c>
      <c r="E128" s="159">
        <f>SUM(E125:E127)</f>
        <v>23547835.009999998</v>
      </c>
      <c r="F128" s="159">
        <f t="shared" ref="F128:N128" si="30">SUM(F125:F127)</f>
        <v>36000490.859999985</v>
      </c>
      <c r="G128" s="159">
        <f t="shared" si="30"/>
        <v>59548325.86999999</v>
      </c>
      <c r="H128" s="195">
        <f t="shared" si="30"/>
        <v>0</v>
      </c>
      <c r="I128" s="277">
        <f>SUM(I125:I127)</f>
        <v>11121009.775600001</v>
      </c>
      <c r="J128" s="159">
        <f t="shared" si="30"/>
        <v>0</v>
      </c>
      <c r="K128" s="195">
        <f t="shared" si="30"/>
        <v>0</v>
      </c>
      <c r="L128" s="159">
        <f t="shared" si="30"/>
        <v>10943408.51</v>
      </c>
      <c r="M128" s="159">
        <f t="shared" si="30"/>
        <v>11378419.999999998</v>
      </c>
      <c r="N128" s="159">
        <f t="shared" si="30"/>
        <v>1226006.5</v>
      </c>
      <c r="P128" s="160"/>
    </row>
    <row r="129" spans="5:14" x14ac:dyDescent="0.25">
      <c r="E129" s="218">
        <f>+E128-E123</f>
        <v>0</v>
      </c>
      <c r="F129" s="218">
        <f>+F128-F123</f>
        <v>0</v>
      </c>
      <c r="G129" s="218">
        <f>+G128-G123</f>
        <v>0</v>
      </c>
      <c r="H129" s="218">
        <f t="shared" ref="H129:K129" si="31">+H128-H123</f>
        <v>0</v>
      </c>
      <c r="I129" s="218">
        <f>+I128-I123</f>
        <v>0</v>
      </c>
      <c r="J129" s="218">
        <f>+J128-J123</f>
        <v>0</v>
      </c>
      <c r="K129" s="218">
        <f t="shared" si="31"/>
        <v>0</v>
      </c>
      <c r="L129" s="218">
        <f>+L128-L123</f>
        <v>0</v>
      </c>
      <c r="M129" s="218">
        <f>+M128-M123</f>
        <v>0</v>
      </c>
      <c r="N129" s="218">
        <f>+N128-N123</f>
        <v>0</v>
      </c>
    </row>
    <row r="130" spans="5:14" x14ac:dyDescent="0.25">
      <c r="I130" s="218"/>
      <c r="J130" s="218"/>
      <c r="M130" s="218"/>
    </row>
    <row r="131" spans="5:14" x14ac:dyDescent="0.25">
      <c r="I131" s="216"/>
      <c r="J131" s="216"/>
    </row>
    <row r="132" spans="5:14" x14ac:dyDescent="0.25">
      <c r="E132" s="380">
        <f>23390451.89+157383.12</f>
        <v>23547835.010000002</v>
      </c>
      <c r="F132" s="445">
        <f>35981290.86+19200</f>
        <v>36000490.859999999</v>
      </c>
      <c r="G132" s="380">
        <f>59371742.75+157383.12+19200</f>
        <v>59548325.869999997</v>
      </c>
      <c r="I132" s="256">
        <v>11121009.775599996</v>
      </c>
    </row>
    <row r="133" spans="5:14" x14ac:dyDescent="0.25">
      <c r="E133" s="218">
        <f>E132-E123</f>
        <v>0</v>
      </c>
      <c r="F133" s="218">
        <f>F132-F123</f>
        <v>0</v>
      </c>
      <c r="G133" s="218">
        <f>G123-G132</f>
        <v>0</v>
      </c>
      <c r="H133" s="218">
        <f t="shared" ref="H133" si="32">H123-H132</f>
        <v>0</v>
      </c>
      <c r="I133" s="256">
        <f>I123-I132</f>
        <v>0</v>
      </c>
    </row>
    <row r="136" spans="5:14" x14ac:dyDescent="0.25">
      <c r="E136" s="218"/>
      <c r="F136" s="218"/>
    </row>
    <row r="137" spans="5:14" x14ac:dyDescent="0.25">
      <c r="E137" s="215"/>
      <c r="F137" s="218"/>
    </row>
    <row r="138" spans="5:14" x14ac:dyDescent="0.25">
      <c r="E138" s="215"/>
    </row>
    <row r="139" spans="5:14" x14ac:dyDescent="0.25">
      <c r="E139" s="216"/>
      <c r="G139" s="218"/>
    </row>
    <row r="140" spans="5:14" x14ac:dyDescent="0.25">
      <c r="E140" s="216"/>
    </row>
  </sheetData>
  <autoFilter ref="A21:T129" xr:uid="{4E0151F4-2778-4E4A-BE26-75C4E309E92D}"/>
  <mergeCells count="21">
    <mergeCell ref="B2:D2"/>
    <mergeCell ref="E2:F2"/>
    <mergeCell ref="B4:B5"/>
    <mergeCell ref="D4:D5"/>
    <mergeCell ref="E4:E5"/>
    <mergeCell ref="F4:F5"/>
    <mergeCell ref="B57:B59"/>
    <mergeCell ref="I4:I5"/>
    <mergeCell ref="L4:N4"/>
    <mergeCell ref="P4:P5"/>
    <mergeCell ref="B24:B25"/>
    <mergeCell ref="D24:D25"/>
    <mergeCell ref="E24:E25"/>
    <mergeCell ref="F24:F25"/>
    <mergeCell ref="I24:I25"/>
    <mergeCell ref="L24:N24"/>
    <mergeCell ref="P24:P25"/>
    <mergeCell ref="G4:G5"/>
    <mergeCell ref="G24:G25"/>
    <mergeCell ref="J4:J5"/>
    <mergeCell ref="J24:J25"/>
  </mergeCell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34D62-86B4-4A8B-A8B8-38B0A71940A4}">
  <sheetPr>
    <tabColor rgb="FF00B050"/>
  </sheetPr>
  <dimension ref="B1:M113"/>
  <sheetViews>
    <sheetView showGridLines="0" zoomScale="70" zoomScaleNormal="70" workbookViewId="0">
      <pane xSplit="3" ySplit="3" topLeftCell="D4" activePane="bottomRight" state="frozen"/>
      <selection pane="topRight" activeCell="D1" sqref="D1"/>
      <selection pane="bottomLeft" activeCell="A6" sqref="A6"/>
      <selection pane="bottomRight" activeCell="G9" sqref="G9"/>
    </sheetView>
  </sheetViews>
  <sheetFormatPr defaultColWidth="8.88671875" defaultRowHeight="14.4" outlineLevelRow="1" x14ac:dyDescent="0.25"/>
  <cols>
    <col min="1" max="1" width="2.109375" style="132" customWidth="1"/>
    <col min="2" max="2" width="35.6640625" style="132" bestFit="1" customWidth="1"/>
    <col min="3" max="3" width="0.88671875" style="131" customWidth="1"/>
    <col min="4" max="4" width="10.44140625" style="132" bestFit="1" customWidth="1"/>
    <col min="5" max="5" width="13.5546875" style="132" bestFit="1" customWidth="1"/>
    <col min="6" max="6" width="15" style="132" bestFit="1" customWidth="1"/>
    <col min="7" max="7" width="13.33203125" style="132" customWidth="1"/>
    <col min="8" max="8" width="0.88671875" style="131" customWidth="1"/>
    <col min="9" max="9" width="11.6640625" style="132" customWidth="1"/>
    <col min="10" max="10" width="12.88671875" style="132" customWidth="1"/>
    <col min="11" max="11" width="11.6640625" style="132" customWidth="1"/>
    <col min="12" max="12" width="0.88671875" style="131" customWidth="1"/>
    <col min="13" max="13" width="140.33203125" style="132" customWidth="1"/>
    <col min="14" max="16384" width="8.88671875" style="132"/>
  </cols>
  <sheetData>
    <row r="1" spans="2:13" ht="15.6" x14ac:dyDescent="0.25">
      <c r="B1" s="130" t="s">
        <v>498</v>
      </c>
    </row>
    <row r="2" spans="2:13" ht="15.6" x14ac:dyDescent="0.25">
      <c r="B2" s="420" t="s">
        <v>539</v>
      </c>
      <c r="D2" s="420" t="s">
        <v>338</v>
      </c>
      <c r="E2" s="420" t="s">
        <v>27</v>
      </c>
      <c r="F2" s="420" t="s">
        <v>8</v>
      </c>
      <c r="G2" s="420" t="s">
        <v>339</v>
      </c>
      <c r="I2" s="420" t="s">
        <v>499</v>
      </c>
      <c r="J2" s="420"/>
      <c r="K2" s="420"/>
      <c r="M2" s="420" t="s">
        <v>337</v>
      </c>
    </row>
    <row r="3" spans="2:13" ht="15.6" x14ac:dyDescent="0.25">
      <c r="B3" s="421"/>
      <c r="D3" s="421"/>
      <c r="E3" s="421"/>
      <c r="F3" s="421"/>
      <c r="G3" s="421"/>
      <c r="I3" s="51" t="s">
        <v>480</v>
      </c>
      <c r="J3" s="51" t="s">
        <v>481</v>
      </c>
      <c r="K3" s="51" t="s">
        <v>482</v>
      </c>
      <c r="M3" s="421"/>
    </row>
    <row r="4" spans="2:13" ht="34.200000000000003" customHeight="1" x14ac:dyDescent="0.25">
      <c r="B4" s="133" t="s">
        <v>500</v>
      </c>
      <c r="D4" s="133" t="s">
        <v>341</v>
      </c>
      <c r="E4" s="134">
        <v>7560727.7999999998</v>
      </c>
      <c r="F4" s="134"/>
      <c r="G4" s="134">
        <v>3780363.9000000008</v>
      </c>
      <c r="I4" s="67">
        <v>3780363.8999999985</v>
      </c>
      <c r="J4" s="67">
        <v>3780363.8999999985</v>
      </c>
      <c r="K4" s="67"/>
      <c r="M4" s="135" t="s">
        <v>542</v>
      </c>
    </row>
    <row r="5" spans="2:13" ht="22.2" customHeight="1" x14ac:dyDescent="0.25">
      <c r="B5" s="133" t="s">
        <v>501</v>
      </c>
      <c r="D5" s="133" t="s">
        <v>341</v>
      </c>
      <c r="E5" s="134">
        <v>3088531.07</v>
      </c>
      <c r="F5" s="134">
        <v>0</v>
      </c>
      <c r="G5" s="134">
        <v>3088531.0700000008</v>
      </c>
      <c r="I5" s="67">
        <v>3088531.0700000008</v>
      </c>
      <c r="J5" s="67"/>
      <c r="K5" s="67"/>
      <c r="M5" s="135" t="s">
        <v>502</v>
      </c>
    </row>
    <row r="6" spans="2:13" ht="21.6" customHeight="1" x14ac:dyDescent="0.25">
      <c r="B6" s="133" t="s">
        <v>503</v>
      </c>
      <c r="D6" s="133" t="s">
        <v>341</v>
      </c>
      <c r="E6" s="134">
        <v>1076345</v>
      </c>
      <c r="F6" s="134">
        <v>0</v>
      </c>
      <c r="G6" s="134">
        <v>1076345</v>
      </c>
      <c r="I6" s="67">
        <v>1076345</v>
      </c>
      <c r="J6" s="67"/>
      <c r="K6" s="67"/>
      <c r="M6" s="136" t="s">
        <v>541</v>
      </c>
    </row>
    <row r="7" spans="2:13" ht="31.2" x14ac:dyDescent="0.25">
      <c r="B7" s="133" t="s">
        <v>504</v>
      </c>
      <c r="D7" s="133" t="s">
        <v>341</v>
      </c>
      <c r="E7" s="134">
        <v>1892359.96</v>
      </c>
      <c r="F7" s="134">
        <v>0</v>
      </c>
      <c r="G7" s="134">
        <v>0</v>
      </c>
      <c r="I7" s="67">
        <v>0</v>
      </c>
      <c r="J7" s="67">
        <v>1892359.9599999997</v>
      </c>
      <c r="K7" s="67"/>
      <c r="M7" s="137" t="s">
        <v>505</v>
      </c>
    </row>
    <row r="8" spans="2:13" ht="15.6" x14ac:dyDescent="0.25">
      <c r="B8" s="133" t="s">
        <v>506</v>
      </c>
      <c r="D8" s="133" t="s">
        <v>341</v>
      </c>
      <c r="E8" s="134">
        <v>1716645.3400000003</v>
      </c>
      <c r="F8" s="134"/>
      <c r="G8" s="134">
        <v>1716645.3400000003</v>
      </c>
      <c r="I8" s="67">
        <v>1716645.3400000003</v>
      </c>
      <c r="J8" s="67"/>
      <c r="K8" s="67"/>
      <c r="M8" s="135" t="s">
        <v>507</v>
      </c>
    </row>
    <row r="9" spans="2:13" ht="31.2" x14ac:dyDescent="0.25">
      <c r="B9" s="133" t="s">
        <v>508</v>
      </c>
      <c r="D9" s="133" t="s">
        <v>341</v>
      </c>
      <c r="E9" s="134">
        <v>2971789.8900000006</v>
      </c>
      <c r="F9" s="134"/>
      <c r="G9" s="134">
        <v>89153.696699999986</v>
      </c>
      <c r="I9" s="67"/>
      <c r="J9" s="67">
        <v>2971789.8900000006</v>
      </c>
      <c r="K9" s="67"/>
      <c r="M9" s="137" t="s">
        <v>509</v>
      </c>
    </row>
    <row r="10" spans="2:13" ht="15.6" x14ac:dyDescent="0.25">
      <c r="B10" s="133" t="s">
        <v>510</v>
      </c>
      <c r="D10" s="133" t="s">
        <v>341</v>
      </c>
      <c r="E10" s="134">
        <v>3044850.92</v>
      </c>
      <c r="F10" s="134">
        <v>0</v>
      </c>
      <c r="G10" s="134">
        <v>91345.527599999972</v>
      </c>
      <c r="I10" s="67"/>
      <c r="J10" s="67">
        <v>3044850.9199999995</v>
      </c>
      <c r="K10" s="67"/>
      <c r="M10" s="135" t="s">
        <v>502</v>
      </c>
    </row>
    <row r="11" spans="2:13" ht="1.95" customHeight="1" x14ac:dyDescent="0.25">
      <c r="B11" s="133"/>
      <c r="D11" s="133"/>
      <c r="E11" s="134"/>
      <c r="F11" s="134"/>
      <c r="G11" s="134"/>
      <c r="I11" s="138"/>
      <c r="J11" s="139"/>
      <c r="K11" s="134"/>
      <c r="M11" s="135"/>
    </row>
    <row r="12" spans="2:13" ht="15.6" x14ac:dyDescent="0.25">
      <c r="B12" s="140" t="s">
        <v>511</v>
      </c>
      <c r="D12" s="140"/>
      <c r="E12" s="141">
        <f>SUM(E4:E10)</f>
        <v>21351249.979999997</v>
      </c>
      <c r="F12" s="141">
        <f>SUM(F4:F10)</f>
        <v>0</v>
      </c>
      <c r="G12" s="141">
        <f>SUM(G4:G10)</f>
        <v>9842384.5343000013</v>
      </c>
      <c r="I12" s="141">
        <f>SUM(I4:I10)</f>
        <v>9661885.3099999987</v>
      </c>
      <c r="J12" s="141">
        <f>SUM(J4:J10)</f>
        <v>11689364.67</v>
      </c>
      <c r="K12" s="141">
        <f>SUM(K4:K10)</f>
        <v>0</v>
      </c>
      <c r="M12" s="141"/>
    </row>
    <row r="13" spans="2:13" ht="15.6" hidden="1" outlineLevel="1" x14ac:dyDescent="0.25">
      <c r="B13" s="133" t="s">
        <v>512</v>
      </c>
      <c r="D13" s="133" t="s">
        <v>173</v>
      </c>
      <c r="E13" s="64">
        <v>110528</v>
      </c>
      <c r="F13" s="134">
        <v>0</v>
      </c>
      <c r="G13" s="134">
        <v>110527.99999999999</v>
      </c>
      <c r="I13" s="64">
        <v>110528</v>
      </c>
      <c r="J13" s="142"/>
      <c r="K13" s="142"/>
      <c r="M13" s="143" t="s">
        <v>407</v>
      </c>
    </row>
    <row r="14" spans="2:13" ht="15.6" hidden="1" outlineLevel="1" x14ac:dyDescent="0.25">
      <c r="B14" s="133" t="s">
        <v>513</v>
      </c>
      <c r="D14" s="133" t="s">
        <v>173</v>
      </c>
      <c r="E14" s="64">
        <v>22222.25</v>
      </c>
      <c r="F14" s="134">
        <v>0</v>
      </c>
      <c r="G14" s="134">
        <v>22222.25</v>
      </c>
      <c r="I14" s="142">
        <v>22222.25</v>
      </c>
      <c r="J14" s="142"/>
      <c r="K14" s="142"/>
      <c r="M14" s="143" t="s">
        <v>514</v>
      </c>
    </row>
    <row r="15" spans="2:13" ht="15.6" hidden="1" outlineLevel="1" x14ac:dyDescent="0.25">
      <c r="B15" s="133" t="s">
        <v>515</v>
      </c>
      <c r="D15" s="133" t="s">
        <v>516</v>
      </c>
      <c r="E15" s="64">
        <v>226233.60000000001</v>
      </c>
      <c r="F15" s="134">
        <v>0</v>
      </c>
      <c r="G15" s="134">
        <v>6787.0079999999998</v>
      </c>
      <c r="I15" s="144">
        <v>226233.60000000001</v>
      </c>
      <c r="J15" s="142"/>
      <c r="K15" s="142"/>
      <c r="M15" s="143" t="s">
        <v>406</v>
      </c>
    </row>
    <row r="16" spans="2:13" ht="15.6" hidden="1" outlineLevel="1" x14ac:dyDescent="0.25">
      <c r="B16" s="133" t="s">
        <v>517</v>
      </c>
      <c r="D16" s="133" t="s">
        <v>516</v>
      </c>
      <c r="E16" s="64">
        <v>140872.6</v>
      </c>
      <c r="F16" s="134">
        <v>0</v>
      </c>
      <c r="G16" s="134">
        <v>140872.6</v>
      </c>
      <c r="I16" s="144">
        <v>140872.6</v>
      </c>
      <c r="J16" s="142"/>
      <c r="K16" s="142"/>
      <c r="M16" s="143" t="s">
        <v>407</v>
      </c>
    </row>
    <row r="17" spans="2:13" ht="15.6" hidden="1" outlineLevel="1" x14ac:dyDescent="0.25">
      <c r="B17" s="133" t="s">
        <v>518</v>
      </c>
      <c r="D17" s="133" t="s">
        <v>516</v>
      </c>
      <c r="E17" s="64">
        <v>41379</v>
      </c>
      <c r="F17" s="134">
        <v>0</v>
      </c>
      <c r="G17" s="134">
        <v>41379</v>
      </c>
      <c r="I17" s="142">
        <v>41379</v>
      </c>
      <c r="J17" s="142"/>
      <c r="K17" s="142"/>
      <c r="M17" s="143" t="s">
        <v>407</v>
      </c>
    </row>
    <row r="18" spans="2:13" ht="15.6" hidden="1" outlineLevel="1" x14ac:dyDescent="0.25">
      <c r="B18" s="133" t="s">
        <v>90</v>
      </c>
      <c r="D18" s="133" t="s">
        <v>516</v>
      </c>
      <c r="E18" s="64">
        <v>20940</v>
      </c>
      <c r="F18" s="134"/>
      <c r="G18" s="134">
        <v>20940</v>
      </c>
      <c r="I18" s="64">
        <v>20940</v>
      </c>
      <c r="J18" s="142"/>
      <c r="K18" s="142"/>
      <c r="M18" s="143"/>
    </row>
    <row r="19" spans="2:13" s="131" customFormat="1" ht="15.6" hidden="1" outlineLevel="1" x14ac:dyDescent="0.25">
      <c r="B19" s="133" t="s">
        <v>519</v>
      </c>
      <c r="D19" s="145" t="s">
        <v>516</v>
      </c>
      <c r="E19" s="146">
        <v>102008.2</v>
      </c>
      <c r="F19" s="147"/>
      <c r="G19" s="146">
        <v>3060.25</v>
      </c>
      <c r="I19" s="146">
        <v>102008.2</v>
      </c>
      <c r="J19" s="147"/>
      <c r="K19" s="147"/>
      <c r="M19" s="143" t="s">
        <v>520</v>
      </c>
    </row>
    <row r="20" spans="2:13" ht="15.6" hidden="1" outlineLevel="1" x14ac:dyDescent="0.25">
      <c r="B20" s="136" t="s">
        <v>521</v>
      </c>
      <c r="D20" s="133" t="s">
        <v>516</v>
      </c>
      <c r="E20" s="64">
        <v>84291.45</v>
      </c>
      <c r="F20" s="134">
        <v>0</v>
      </c>
      <c r="G20" s="134">
        <v>84291.45</v>
      </c>
      <c r="I20" s="144">
        <v>84291.45</v>
      </c>
      <c r="J20" s="142"/>
      <c r="K20" s="142"/>
      <c r="M20" s="143" t="s">
        <v>407</v>
      </c>
    </row>
    <row r="21" spans="2:13" ht="15.6" collapsed="1" x14ac:dyDescent="0.25">
      <c r="B21" s="148" t="s">
        <v>347</v>
      </c>
      <c r="D21" s="148"/>
      <c r="E21" s="149">
        <f>SUM(E13:E20)</f>
        <v>748475.09999999986</v>
      </c>
      <c r="F21" s="149">
        <f>SUM(F13:F20)</f>
        <v>0</v>
      </c>
      <c r="G21" s="149">
        <f>SUM(G13:G20)</f>
        <v>430080.55800000002</v>
      </c>
      <c r="I21" s="149">
        <f>SUM(I13:I20)</f>
        <v>748475.09999999986</v>
      </c>
      <c r="J21" s="149">
        <f>SUM(J13:J20)</f>
        <v>0</v>
      </c>
      <c r="K21" s="149">
        <f>SUM(K13:K20)</f>
        <v>0</v>
      </c>
      <c r="M21" s="149"/>
    </row>
    <row r="22" spans="2:13" ht="15.6" x14ac:dyDescent="0.25">
      <c r="B22" s="148" t="s">
        <v>348</v>
      </c>
      <c r="D22" s="148"/>
      <c r="E22" s="149">
        <f>SUM(E23:E43)</f>
        <v>7425775.789999987</v>
      </c>
      <c r="F22" s="149">
        <f>F44+F45+F46</f>
        <v>35847179.720000006</v>
      </c>
      <c r="G22" s="149">
        <f>SUM(G23:G43)</f>
        <v>526944.99209999992</v>
      </c>
      <c r="I22" s="149"/>
      <c r="J22" s="149"/>
      <c r="K22" s="149"/>
      <c r="M22" s="149" t="s">
        <v>349</v>
      </c>
    </row>
    <row r="23" spans="2:13" s="131" customFormat="1" ht="15.6" hidden="1" outlineLevel="1" x14ac:dyDescent="0.25">
      <c r="B23" s="145" t="s">
        <v>540</v>
      </c>
      <c r="D23" s="145" t="s">
        <v>516</v>
      </c>
      <c r="E23" s="146">
        <f>1991399-67239</f>
        <v>1924160</v>
      </c>
      <c r="F23" s="146"/>
      <c r="G23" s="146">
        <v>67314</v>
      </c>
      <c r="I23" s="147"/>
      <c r="J23" s="147"/>
      <c r="K23" s="146">
        <f>E23</f>
        <v>1924160</v>
      </c>
      <c r="M23" s="146" t="s">
        <v>532</v>
      </c>
    </row>
    <row r="24" spans="2:13" s="131" customFormat="1" ht="15.6" hidden="1" outlineLevel="1" x14ac:dyDescent="0.25">
      <c r="B24" s="145" t="s">
        <v>496</v>
      </c>
      <c r="D24" s="145" t="s">
        <v>516</v>
      </c>
      <c r="E24" s="146">
        <f>765704.79-80843.12</f>
        <v>684861.67</v>
      </c>
      <c r="F24" s="146"/>
      <c r="G24" s="146">
        <v>66674.040000000008</v>
      </c>
      <c r="I24" s="147"/>
      <c r="J24" s="147"/>
      <c r="K24" s="146">
        <f>E24</f>
        <v>684861.67</v>
      </c>
      <c r="M24" s="147"/>
    </row>
    <row r="25" spans="2:13" s="131" customFormat="1" ht="15.6" hidden="1" outlineLevel="1" x14ac:dyDescent="0.25">
      <c r="B25" s="145" t="s">
        <v>293</v>
      </c>
      <c r="D25" s="145" t="s">
        <v>516</v>
      </c>
      <c r="E25" s="146">
        <v>213750</v>
      </c>
      <c r="F25" s="146"/>
      <c r="G25" s="146">
        <v>1475.1</v>
      </c>
      <c r="I25" s="147"/>
      <c r="J25" s="147"/>
      <c r="K25" s="146"/>
      <c r="M25" s="147"/>
    </row>
    <row r="26" spans="2:13" s="131" customFormat="1" ht="15.6" hidden="1" outlineLevel="1" x14ac:dyDescent="0.25">
      <c r="B26" s="145" t="s">
        <v>413</v>
      </c>
      <c r="D26" s="145" t="s">
        <v>516</v>
      </c>
      <c r="E26" s="146">
        <v>56400</v>
      </c>
      <c r="F26" s="146"/>
      <c r="G26" s="146"/>
      <c r="I26" s="147"/>
      <c r="J26" s="147"/>
      <c r="K26" s="146"/>
      <c r="M26" s="147"/>
    </row>
    <row r="27" spans="2:13" s="131" customFormat="1" ht="15.6" hidden="1" outlineLevel="1" x14ac:dyDescent="0.25">
      <c r="B27" s="145" t="s">
        <v>526</v>
      </c>
      <c r="D27" s="145" t="s">
        <v>516</v>
      </c>
      <c r="E27" s="146">
        <v>397800</v>
      </c>
      <c r="F27" s="146"/>
      <c r="G27" s="146"/>
      <c r="I27" s="147"/>
      <c r="J27" s="147"/>
      <c r="K27" s="146"/>
      <c r="M27" s="147"/>
    </row>
    <row r="28" spans="2:13" s="131" customFormat="1" ht="15.6" hidden="1" outlineLevel="1" x14ac:dyDescent="0.25">
      <c r="B28" s="145" t="s">
        <v>527</v>
      </c>
      <c r="D28" s="145" t="s">
        <v>516</v>
      </c>
      <c r="E28" s="146">
        <f>123685.2-16500</f>
        <v>107185.2</v>
      </c>
      <c r="F28" s="146"/>
      <c r="G28" s="146"/>
      <c r="I28" s="147"/>
      <c r="J28" s="147"/>
      <c r="K28" s="146"/>
      <c r="M28" s="147"/>
    </row>
    <row r="29" spans="2:13" s="131" customFormat="1" ht="15.6" hidden="1" outlineLevel="1" x14ac:dyDescent="0.25">
      <c r="B29" s="145" t="s">
        <v>415</v>
      </c>
      <c r="D29" s="145" t="s">
        <v>516</v>
      </c>
      <c r="E29" s="146">
        <f>414240-1200</f>
        <v>413040</v>
      </c>
      <c r="F29" s="146"/>
      <c r="G29" s="146"/>
      <c r="I29" s="147"/>
      <c r="J29" s="147"/>
      <c r="K29" s="146"/>
      <c r="M29" s="147"/>
    </row>
    <row r="30" spans="2:13" s="131" customFormat="1" ht="15.6" hidden="1" outlineLevel="1" x14ac:dyDescent="0.25">
      <c r="B30" s="145" t="s">
        <v>419</v>
      </c>
      <c r="D30" s="145" t="s">
        <v>516</v>
      </c>
      <c r="E30" s="146">
        <f>63226.32-57600</f>
        <v>5626.32</v>
      </c>
      <c r="F30" s="146"/>
      <c r="G30" s="146"/>
      <c r="I30" s="147"/>
      <c r="J30" s="147"/>
      <c r="K30" s="146"/>
      <c r="M30" s="147"/>
    </row>
    <row r="31" spans="2:13" s="131" customFormat="1" ht="15.6" hidden="1" outlineLevel="1" x14ac:dyDescent="0.25">
      <c r="B31" s="145" t="s">
        <v>523</v>
      </c>
      <c r="D31" s="145" t="s">
        <v>522</v>
      </c>
      <c r="E31" s="146">
        <v>256935.85</v>
      </c>
      <c r="F31" s="146"/>
      <c r="G31" s="146">
        <v>256935.85</v>
      </c>
      <c r="I31" s="147"/>
      <c r="J31" s="146">
        <v>256935.85</v>
      </c>
      <c r="K31" s="147"/>
      <c r="M31" s="147"/>
    </row>
    <row r="32" spans="2:13" s="131" customFormat="1" ht="15.6" hidden="1" outlineLevel="1" x14ac:dyDescent="0.25">
      <c r="B32" s="145" t="s">
        <v>488</v>
      </c>
      <c r="D32" s="145" t="s">
        <v>522</v>
      </c>
      <c r="E32" s="146">
        <v>69886.47</v>
      </c>
      <c r="F32" s="146"/>
      <c r="G32" s="146"/>
      <c r="I32" s="147"/>
      <c r="J32" s="147"/>
      <c r="K32" s="146"/>
      <c r="M32" s="147"/>
    </row>
    <row r="33" spans="2:13" s="131" customFormat="1" ht="15.6" hidden="1" outlineLevel="1" x14ac:dyDescent="0.25">
      <c r="B33" s="145" t="s">
        <v>489</v>
      </c>
      <c r="D33" s="145" t="s">
        <v>522</v>
      </c>
      <c r="E33" s="146">
        <v>136847.66999999998</v>
      </c>
      <c r="F33" s="146"/>
      <c r="G33" s="146"/>
      <c r="I33" s="147"/>
      <c r="J33" s="147"/>
      <c r="K33" s="146"/>
      <c r="M33" s="147"/>
    </row>
    <row r="34" spans="2:13" s="131" customFormat="1" ht="15.6" hidden="1" outlineLevel="1" x14ac:dyDescent="0.25">
      <c r="B34" s="145" t="s">
        <v>437</v>
      </c>
      <c r="D34" s="145" t="s">
        <v>522</v>
      </c>
      <c r="E34" s="146">
        <v>82123.570000000007</v>
      </c>
      <c r="F34" s="146"/>
      <c r="G34" s="146"/>
      <c r="I34" s="147"/>
      <c r="J34" s="147"/>
      <c r="K34" s="146"/>
      <c r="M34" s="147"/>
    </row>
    <row r="35" spans="2:13" s="131" customFormat="1" ht="15.6" hidden="1" outlineLevel="1" x14ac:dyDescent="0.25">
      <c r="B35" s="145" t="s">
        <v>373</v>
      </c>
      <c r="D35" s="145" t="s">
        <v>522</v>
      </c>
      <c r="E35" s="146">
        <v>703377.76</v>
      </c>
      <c r="F35" s="146"/>
      <c r="G35" s="146"/>
      <c r="I35" s="147"/>
      <c r="J35" s="147"/>
      <c r="K35" s="146"/>
      <c r="M35" s="147"/>
    </row>
    <row r="36" spans="2:13" s="131" customFormat="1" ht="15.6" hidden="1" outlineLevel="1" x14ac:dyDescent="0.25">
      <c r="B36" s="145" t="s">
        <v>381</v>
      </c>
      <c r="D36" s="145" t="s">
        <v>522</v>
      </c>
      <c r="E36" s="146">
        <v>201503.56</v>
      </c>
      <c r="F36" s="146"/>
      <c r="G36" s="146"/>
      <c r="I36" s="147"/>
      <c r="J36" s="147"/>
      <c r="K36" s="146"/>
      <c r="M36" s="147"/>
    </row>
    <row r="37" spans="2:13" s="131" customFormat="1" ht="15.6" hidden="1" outlineLevel="1" x14ac:dyDescent="0.25">
      <c r="B37" s="145" t="s">
        <v>178</v>
      </c>
      <c r="D37" s="145" t="s">
        <v>522</v>
      </c>
      <c r="E37" s="146">
        <v>150938.01999999999</v>
      </c>
      <c r="F37" s="146"/>
      <c r="G37" s="146"/>
      <c r="I37" s="147"/>
      <c r="J37" s="147"/>
      <c r="K37" s="146"/>
      <c r="M37" s="147"/>
    </row>
    <row r="38" spans="2:13" s="131" customFormat="1" ht="15.6" hidden="1" outlineLevel="1" x14ac:dyDescent="0.25">
      <c r="B38" s="145" t="s">
        <v>402</v>
      </c>
      <c r="D38" s="145" t="s">
        <v>522</v>
      </c>
      <c r="E38" s="146">
        <v>317041.26</v>
      </c>
      <c r="F38" s="146"/>
      <c r="G38" s="146"/>
      <c r="I38" s="147"/>
      <c r="J38" s="147"/>
      <c r="K38" s="146">
        <f>E38</f>
        <v>317041.26</v>
      </c>
      <c r="M38" s="147"/>
    </row>
    <row r="39" spans="2:13" s="131" customFormat="1" ht="15.6" hidden="1" outlineLevel="1" x14ac:dyDescent="0.25">
      <c r="B39" s="145" t="s">
        <v>524</v>
      </c>
      <c r="D39" s="145" t="s">
        <v>522</v>
      </c>
      <c r="E39" s="146">
        <v>381748.49</v>
      </c>
      <c r="F39" s="146"/>
      <c r="G39" s="146">
        <v>0</v>
      </c>
      <c r="I39" s="147"/>
      <c r="J39" s="147"/>
      <c r="K39" s="146">
        <f>E39</f>
        <v>381748.49</v>
      </c>
      <c r="M39" s="147"/>
    </row>
    <row r="40" spans="2:13" s="131" customFormat="1" ht="15.6" hidden="1" outlineLevel="1" x14ac:dyDescent="0.25">
      <c r="B40" s="145" t="s">
        <v>426</v>
      </c>
      <c r="D40" s="145" t="s">
        <v>173</v>
      </c>
      <c r="E40" s="146">
        <v>237309.12</v>
      </c>
      <c r="F40" s="146"/>
      <c r="G40" s="146">
        <v>0</v>
      </c>
      <c r="I40" s="147"/>
      <c r="J40" s="147"/>
      <c r="K40" s="146">
        <v>117330.4</v>
      </c>
      <c r="M40" s="147"/>
    </row>
    <row r="41" spans="2:13" s="131" customFormat="1" ht="15.6" hidden="1" outlineLevel="1" x14ac:dyDescent="0.25">
      <c r="B41" s="145" t="s">
        <v>423</v>
      </c>
      <c r="D41" s="145" t="s">
        <v>173</v>
      </c>
      <c r="E41" s="146">
        <v>659074</v>
      </c>
      <c r="F41" s="146"/>
      <c r="G41" s="146">
        <v>0</v>
      </c>
      <c r="I41" s="147"/>
      <c r="J41" s="146">
        <v>659074</v>
      </c>
      <c r="K41" s="146"/>
      <c r="M41" s="147"/>
    </row>
    <row r="42" spans="2:13" s="131" customFormat="1" ht="15.6" hidden="1" outlineLevel="1" x14ac:dyDescent="0.25">
      <c r="B42" s="145" t="s">
        <v>431</v>
      </c>
      <c r="D42" s="145" t="s">
        <v>173</v>
      </c>
      <c r="E42" s="146">
        <v>110937.09</v>
      </c>
      <c r="F42" s="146"/>
      <c r="G42" s="146"/>
      <c r="I42" s="147"/>
      <c r="J42" s="146"/>
      <c r="K42" s="146"/>
      <c r="M42" s="147"/>
    </row>
    <row r="43" spans="2:13" s="131" customFormat="1" ht="15.6" hidden="1" outlineLevel="1" x14ac:dyDescent="0.25">
      <c r="B43" s="145" t="s">
        <v>525</v>
      </c>
      <c r="D43" s="145" t="s">
        <v>516</v>
      </c>
      <c r="E43" s="146">
        <v>315229.73999998719</v>
      </c>
      <c r="F43" s="146"/>
      <c r="G43" s="146">
        <v>134546.00209999995</v>
      </c>
      <c r="I43" s="147"/>
      <c r="J43" s="146">
        <v>175719.14</v>
      </c>
      <c r="K43" s="147"/>
      <c r="M43" s="147"/>
    </row>
    <row r="44" spans="2:13" ht="15.6" collapsed="1" x14ac:dyDescent="0.25">
      <c r="B44" s="417" t="s">
        <v>8</v>
      </c>
      <c r="D44" s="148" t="s">
        <v>516</v>
      </c>
      <c r="E44" s="150"/>
      <c r="F44" s="149">
        <f>SUM(F47:F78)</f>
        <v>18871536.700000003</v>
      </c>
      <c r="G44" s="149"/>
      <c r="I44" s="149"/>
      <c r="J44" s="149"/>
      <c r="K44" s="149"/>
      <c r="M44" s="149"/>
    </row>
    <row r="45" spans="2:13" ht="15.6" x14ac:dyDescent="0.25">
      <c r="B45" s="418"/>
      <c r="D45" s="148" t="s">
        <v>522</v>
      </c>
      <c r="E45" s="150"/>
      <c r="F45" s="149">
        <f>SUM(F79:F86)</f>
        <v>3652295.6</v>
      </c>
      <c r="G45" s="149"/>
      <c r="I45" s="149"/>
      <c r="J45" s="149"/>
      <c r="K45" s="149"/>
      <c r="M45" s="149"/>
    </row>
    <row r="46" spans="2:13" ht="15.6" x14ac:dyDescent="0.25">
      <c r="B46" s="419"/>
      <c r="D46" s="148" t="s">
        <v>173</v>
      </c>
      <c r="E46" s="150"/>
      <c r="F46" s="149">
        <f>SUM(F87:F101)</f>
        <v>13323347.42</v>
      </c>
      <c r="G46" s="149"/>
      <c r="I46" s="151"/>
      <c r="J46" s="151"/>
      <c r="K46" s="151"/>
      <c r="M46" s="149"/>
    </row>
    <row r="47" spans="2:13" s="131" customFormat="1" ht="15.6" hidden="1" outlineLevel="1" x14ac:dyDescent="0.25">
      <c r="B47" s="152" t="s">
        <v>496</v>
      </c>
      <c r="D47" s="152" t="s">
        <v>516</v>
      </c>
      <c r="E47" s="153"/>
      <c r="F47" s="153">
        <v>4854100.5500000007</v>
      </c>
      <c r="G47" s="154"/>
      <c r="I47" s="155"/>
      <c r="J47" s="155"/>
      <c r="K47" s="156"/>
      <c r="M47" s="155"/>
    </row>
    <row r="48" spans="2:13" s="131" customFormat="1" ht="15.6" hidden="1" outlineLevel="1" x14ac:dyDescent="0.25">
      <c r="B48" s="152" t="s">
        <v>415</v>
      </c>
      <c r="D48" s="152" t="s">
        <v>516</v>
      </c>
      <c r="E48" s="153"/>
      <c r="F48" s="153">
        <v>1106366.3999999999</v>
      </c>
      <c r="G48" s="154"/>
      <c r="I48" s="155"/>
      <c r="J48" s="155"/>
      <c r="K48" s="156"/>
      <c r="M48" s="155"/>
    </row>
    <row r="49" spans="2:13" s="131" customFormat="1" ht="15.6" hidden="1" outlineLevel="1" x14ac:dyDescent="0.25">
      <c r="B49" s="152" t="s">
        <v>419</v>
      </c>
      <c r="D49" s="152" t="s">
        <v>516</v>
      </c>
      <c r="E49" s="153"/>
      <c r="F49" s="153">
        <v>1274871.1500000001</v>
      </c>
      <c r="G49" s="154"/>
      <c r="I49" s="155"/>
      <c r="J49" s="155"/>
      <c r="K49" s="156"/>
      <c r="M49" s="155"/>
    </row>
    <row r="50" spans="2:13" s="131" customFormat="1" ht="15.6" hidden="1" outlineLevel="1" x14ac:dyDescent="0.25">
      <c r="B50" s="152" t="s">
        <v>418</v>
      </c>
      <c r="D50" s="152" t="s">
        <v>516</v>
      </c>
      <c r="E50" s="153"/>
      <c r="F50" s="153">
        <v>731100.8</v>
      </c>
      <c r="G50" s="154"/>
      <c r="I50" s="155"/>
      <c r="J50" s="155"/>
      <c r="K50" s="156"/>
      <c r="M50" s="155"/>
    </row>
    <row r="51" spans="2:13" s="131" customFormat="1" ht="15.6" hidden="1" outlineLevel="1" x14ac:dyDescent="0.25">
      <c r="B51" s="152" t="s">
        <v>413</v>
      </c>
      <c r="D51" s="152" t="s">
        <v>516</v>
      </c>
      <c r="E51" s="153"/>
      <c r="F51" s="153">
        <v>262079.7</v>
      </c>
      <c r="G51" s="154"/>
      <c r="I51" s="155"/>
      <c r="J51" s="156"/>
      <c r="K51" s="155"/>
      <c r="M51" s="155"/>
    </row>
    <row r="52" spans="2:13" s="131" customFormat="1" ht="15.6" hidden="1" outlineLevel="1" x14ac:dyDescent="0.25">
      <c r="B52" s="152" t="s">
        <v>416</v>
      </c>
      <c r="D52" s="152" t="s">
        <v>516</v>
      </c>
      <c r="E52" s="153"/>
      <c r="F52" s="153">
        <v>1077992.3</v>
      </c>
      <c r="G52" s="154"/>
      <c r="I52" s="155"/>
      <c r="J52" s="155"/>
      <c r="K52" s="156"/>
      <c r="M52" s="155"/>
    </row>
    <row r="53" spans="2:13" s="131" customFormat="1" ht="15.6" hidden="1" outlineLevel="1" x14ac:dyDescent="0.25">
      <c r="B53" s="152" t="s">
        <v>427</v>
      </c>
      <c r="D53" s="152" t="s">
        <v>516</v>
      </c>
      <c r="E53" s="153"/>
      <c r="F53" s="153">
        <v>449952</v>
      </c>
      <c r="G53" s="154"/>
      <c r="I53" s="155"/>
      <c r="J53" s="155"/>
      <c r="K53" s="156"/>
      <c r="M53" s="155"/>
    </row>
    <row r="54" spans="2:13" s="131" customFormat="1" ht="15.6" hidden="1" outlineLevel="1" x14ac:dyDescent="0.25">
      <c r="B54" s="152" t="s">
        <v>410</v>
      </c>
      <c r="D54" s="152" t="s">
        <v>516</v>
      </c>
      <c r="E54" s="153"/>
      <c r="F54" s="153">
        <v>253506.3</v>
      </c>
      <c r="G54" s="154"/>
      <c r="I54" s="155"/>
      <c r="J54" s="155"/>
      <c r="K54" s="156"/>
      <c r="M54" s="155"/>
    </row>
    <row r="55" spans="2:13" s="131" customFormat="1" ht="15.6" hidden="1" outlineLevel="1" x14ac:dyDescent="0.25">
      <c r="B55" s="152" t="s">
        <v>83</v>
      </c>
      <c r="D55" s="152" t="s">
        <v>516</v>
      </c>
      <c r="E55" s="153"/>
      <c r="F55" s="153">
        <v>31680</v>
      </c>
      <c r="G55" s="154"/>
      <c r="I55" s="155"/>
      <c r="J55" s="155"/>
      <c r="K55" s="156"/>
      <c r="M55" s="155"/>
    </row>
    <row r="56" spans="2:13" s="131" customFormat="1" ht="15.6" hidden="1" outlineLevel="1" x14ac:dyDescent="0.25">
      <c r="B56" s="152" t="s">
        <v>333</v>
      </c>
      <c r="D56" s="152" t="s">
        <v>516</v>
      </c>
      <c r="E56" s="153"/>
      <c r="F56" s="153">
        <v>52255</v>
      </c>
      <c r="G56" s="154"/>
      <c r="I56" s="155"/>
      <c r="J56" s="155"/>
      <c r="K56" s="156"/>
      <c r="M56" s="155"/>
    </row>
    <row r="57" spans="2:13" s="131" customFormat="1" ht="15.6" hidden="1" outlineLevel="1" x14ac:dyDescent="0.25">
      <c r="B57" s="152" t="s">
        <v>65</v>
      </c>
      <c r="D57" s="152" t="s">
        <v>516</v>
      </c>
      <c r="E57" s="153"/>
      <c r="F57" s="153">
        <v>338567.44999999995</v>
      </c>
      <c r="G57" s="154"/>
      <c r="I57" s="155"/>
      <c r="J57" s="155"/>
      <c r="K57" s="156"/>
      <c r="M57" s="155"/>
    </row>
    <row r="58" spans="2:13" s="131" customFormat="1" ht="15.6" hidden="1" outlineLevel="1" x14ac:dyDescent="0.25">
      <c r="B58" s="152" t="s">
        <v>485</v>
      </c>
      <c r="D58" s="152" t="s">
        <v>516</v>
      </c>
      <c r="E58" s="153"/>
      <c r="F58" s="153">
        <v>137577.70000000001</v>
      </c>
      <c r="G58" s="154"/>
      <c r="I58" s="155"/>
      <c r="J58" s="155"/>
      <c r="K58" s="156"/>
      <c r="M58" s="155"/>
    </row>
    <row r="59" spans="2:13" s="131" customFormat="1" ht="15.6" hidden="1" outlineLevel="1" x14ac:dyDescent="0.25">
      <c r="B59" s="152" t="s">
        <v>420</v>
      </c>
      <c r="D59" s="152" t="s">
        <v>516</v>
      </c>
      <c r="E59" s="153"/>
      <c r="F59" s="153">
        <v>103110</v>
      </c>
      <c r="G59" s="154"/>
      <c r="I59" s="155"/>
      <c r="J59" s="156"/>
      <c r="K59" s="155"/>
      <c r="M59" s="155"/>
    </row>
    <row r="60" spans="2:13" s="131" customFormat="1" ht="15.6" hidden="1" outlineLevel="1" x14ac:dyDescent="0.25">
      <c r="B60" s="152" t="s">
        <v>89</v>
      </c>
      <c r="D60" s="152" t="s">
        <v>516</v>
      </c>
      <c r="E60" s="153"/>
      <c r="F60" s="153">
        <v>253912.5</v>
      </c>
      <c r="G60" s="154"/>
      <c r="I60" s="155"/>
      <c r="J60" s="155"/>
      <c r="K60" s="156"/>
      <c r="M60" s="155"/>
    </row>
    <row r="61" spans="2:13" s="131" customFormat="1" ht="15.6" hidden="1" outlineLevel="1" x14ac:dyDescent="0.25">
      <c r="B61" s="152" t="s">
        <v>289</v>
      </c>
      <c r="D61" s="152" t="s">
        <v>516</v>
      </c>
      <c r="E61" s="153"/>
      <c r="F61" s="153">
        <v>60967.199999999997</v>
      </c>
      <c r="G61" s="154"/>
      <c r="I61" s="155"/>
      <c r="J61" s="155"/>
      <c r="K61" s="156"/>
      <c r="M61" s="155"/>
    </row>
    <row r="62" spans="2:13" s="131" customFormat="1" ht="15.6" hidden="1" outlineLevel="1" x14ac:dyDescent="0.25">
      <c r="B62" s="152" t="s">
        <v>417</v>
      </c>
      <c r="D62" s="152" t="s">
        <v>516</v>
      </c>
      <c r="E62" s="153"/>
      <c r="F62" s="153">
        <v>54784</v>
      </c>
      <c r="G62" s="154"/>
      <c r="I62" s="155"/>
      <c r="J62" s="155"/>
      <c r="K62" s="156"/>
      <c r="M62" s="155"/>
    </row>
    <row r="63" spans="2:13" s="131" customFormat="1" ht="15.6" hidden="1" outlineLevel="1" x14ac:dyDescent="0.25">
      <c r="B63" s="152" t="s">
        <v>433</v>
      </c>
      <c r="D63" s="152" t="s">
        <v>516</v>
      </c>
      <c r="E63" s="153"/>
      <c r="F63" s="153">
        <v>200</v>
      </c>
      <c r="G63" s="154"/>
      <c r="I63" s="155"/>
      <c r="J63" s="155"/>
      <c r="K63" s="156"/>
      <c r="M63" s="155"/>
    </row>
    <row r="64" spans="2:13" s="131" customFormat="1" ht="15.6" hidden="1" outlineLevel="1" x14ac:dyDescent="0.25">
      <c r="B64" s="152" t="s">
        <v>50</v>
      </c>
      <c r="D64" s="152" t="s">
        <v>516</v>
      </c>
      <c r="E64" s="153"/>
      <c r="F64" s="153">
        <v>42240</v>
      </c>
      <c r="G64" s="154"/>
      <c r="I64" s="155"/>
      <c r="J64" s="155"/>
      <c r="K64" s="156"/>
      <c r="M64" s="155"/>
    </row>
    <row r="65" spans="2:13" s="131" customFormat="1" ht="15.6" hidden="1" outlineLevel="1" x14ac:dyDescent="0.25">
      <c r="B65" s="152" t="s">
        <v>119</v>
      </c>
      <c r="D65" s="152" t="s">
        <v>516</v>
      </c>
      <c r="E65" s="153"/>
      <c r="F65" s="153">
        <v>153616.20000000001</v>
      </c>
      <c r="G65" s="154"/>
      <c r="I65" s="155"/>
      <c r="J65" s="155"/>
      <c r="K65" s="156"/>
      <c r="M65" s="155"/>
    </row>
    <row r="66" spans="2:13" s="131" customFormat="1" ht="15.6" hidden="1" outlineLevel="1" x14ac:dyDescent="0.25">
      <c r="B66" s="152" t="s">
        <v>487</v>
      </c>
      <c r="D66" s="152" t="s">
        <v>516</v>
      </c>
      <c r="E66" s="153"/>
      <c r="F66" s="153">
        <v>5790</v>
      </c>
      <c r="G66" s="154"/>
      <c r="I66" s="155"/>
      <c r="J66" s="156"/>
      <c r="K66" s="155"/>
      <c r="M66" s="155"/>
    </row>
    <row r="67" spans="2:13" s="131" customFormat="1" ht="15.6" hidden="1" outlineLevel="1" x14ac:dyDescent="0.25">
      <c r="B67" s="152" t="s">
        <v>99</v>
      </c>
      <c r="D67" s="152" t="s">
        <v>516</v>
      </c>
      <c r="E67" s="153"/>
      <c r="F67" s="153">
        <v>648940.69999999995</v>
      </c>
      <c r="G67" s="154"/>
      <c r="I67" s="155"/>
      <c r="J67" s="155"/>
      <c r="K67" s="156"/>
      <c r="M67" s="155"/>
    </row>
    <row r="68" spans="2:13" s="131" customFormat="1" ht="15.6" hidden="1" outlineLevel="1" x14ac:dyDescent="0.25">
      <c r="B68" s="152" t="s">
        <v>528</v>
      </c>
      <c r="D68" s="152" t="s">
        <v>516</v>
      </c>
      <c r="E68" s="153"/>
      <c r="F68" s="153">
        <v>483969.5</v>
      </c>
      <c r="G68" s="154"/>
      <c r="I68" s="155"/>
      <c r="J68" s="155"/>
      <c r="K68" s="156"/>
      <c r="M68" s="155"/>
    </row>
    <row r="69" spans="2:13" s="131" customFormat="1" ht="15.6" hidden="1" outlineLevel="1" x14ac:dyDescent="0.25">
      <c r="B69" s="152" t="s">
        <v>526</v>
      </c>
      <c r="D69" s="152" t="s">
        <v>516</v>
      </c>
      <c r="E69" s="153"/>
      <c r="F69" s="153">
        <v>1102251.6000000001</v>
      </c>
      <c r="G69" s="154"/>
      <c r="I69" s="155"/>
      <c r="J69" s="155"/>
      <c r="K69" s="156"/>
      <c r="M69" s="155"/>
    </row>
    <row r="70" spans="2:13" s="131" customFormat="1" ht="15.6" hidden="1" outlineLevel="1" x14ac:dyDescent="0.25">
      <c r="B70" s="152" t="s">
        <v>527</v>
      </c>
      <c r="D70" s="152" t="s">
        <v>516</v>
      </c>
      <c r="E70" s="153"/>
      <c r="F70" s="153">
        <v>4750434.6999999993</v>
      </c>
      <c r="G70" s="154"/>
      <c r="I70" s="155"/>
      <c r="J70" s="155"/>
      <c r="K70" s="156"/>
      <c r="M70" s="155"/>
    </row>
    <row r="71" spans="2:13" s="131" customFormat="1" ht="15.6" hidden="1" outlineLevel="1" x14ac:dyDescent="0.25">
      <c r="B71" s="152" t="s">
        <v>88</v>
      </c>
      <c r="D71" s="152" t="s">
        <v>516</v>
      </c>
      <c r="E71" s="153"/>
      <c r="F71" s="153">
        <v>42531.6</v>
      </c>
      <c r="G71" s="154"/>
      <c r="I71" s="155"/>
      <c r="J71" s="155"/>
      <c r="K71" s="156"/>
      <c r="M71" s="155"/>
    </row>
    <row r="72" spans="2:13" s="131" customFormat="1" ht="15.6" hidden="1" outlineLevel="1" x14ac:dyDescent="0.25">
      <c r="B72" s="152" t="s">
        <v>78</v>
      </c>
      <c r="D72" s="152" t="s">
        <v>516</v>
      </c>
      <c r="E72" s="153"/>
      <c r="F72" s="153">
        <v>300600</v>
      </c>
      <c r="G72" s="154"/>
      <c r="I72" s="155"/>
      <c r="J72" s="155"/>
      <c r="K72" s="156"/>
      <c r="M72" s="155"/>
    </row>
    <row r="73" spans="2:13" s="131" customFormat="1" ht="15.6" hidden="1" outlineLevel="1" x14ac:dyDescent="0.25">
      <c r="B73" s="152" t="s">
        <v>358</v>
      </c>
      <c r="D73" s="152" t="s">
        <v>516</v>
      </c>
      <c r="E73" s="153"/>
      <c r="F73" s="153">
        <v>14673.75</v>
      </c>
      <c r="G73" s="154"/>
      <c r="I73" s="155"/>
      <c r="J73" s="155"/>
      <c r="K73" s="156"/>
      <c r="M73" s="155"/>
    </row>
    <row r="74" spans="2:13" s="131" customFormat="1" ht="15.6" hidden="1" outlineLevel="1" x14ac:dyDescent="0.25">
      <c r="B74" s="152" t="s">
        <v>240</v>
      </c>
      <c r="D74" s="152" t="s">
        <v>516</v>
      </c>
      <c r="E74" s="153"/>
      <c r="F74" s="153">
        <v>114800</v>
      </c>
      <c r="G74" s="154"/>
      <c r="I74" s="155"/>
      <c r="J74" s="155"/>
      <c r="K74" s="156"/>
      <c r="M74" s="155"/>
    </row>
    <row r="75" spans="2:13" s="131" customFormat="1" ht="15.6" hidden="1" outlineLevel="1" x14ac:dyDescent="0.25">
      <c r="B75" s="152" t="s">
        <v>165</v>
      </c>
      <c r="D75" s="152" t="s">
        <v>516</v>
      </c>
      <c r="E75" s="153"/>
      <c r="F75" s="153">
        <v>8937</v>
      </c>
      <c r="G75" s="154"/>
      <c r="I75" s="155"/>
      <c r="J75" s="155"/>
      <c r="K75" s="156"/>
      <c r="M75" s="155"/>
    </row>
    <row r="76" spans="2:13" s="131" customFormat="1" ht="15.6" hidden="1" outlineLevel="1" x14ac:dyDescent="0.25">
      <c r="B76" s="152" t="s">
        <v>302</v>
      </c>
      <c r="D76" s="152" t="s">
        <v>516</v>
      </c>
      <c r="E76" s="153"/>
      <c r="F76" s="153">
        <v>88160</v>
      </c>
      <c r="G76" s="154"/>
      <c r="I76" s="155"/>
      <c r="J76" s="155"/>
      <c r="K76" s="156"/>
      <c r="M76" s="155"/>
    </row>
    <row r="77" spans="2:13" s="131" customFormat="1" ht="15.6" hidden="1" outlineLevel="1" x14ac:dyDescent="0.25">
      <c r="B77" s="152" t="s">
        <v>251</v>
      </c>
      <c r="D77" s="152" t="s">
        <v>516</v>
      </c>
      <c r="E77" s="153"/>
      <c r="F77" s="153">
        <v>71078.600000000006</v>
      </c>
      <c r="G77" s="154"/>
      <c r="I77" s="155"/>
      <c r="J77" s="155"/>
      <c r="K77" s="156"/>
      <c r="M77" s="155"/>
    </row>
    <row r="78" spans="2:13" s="131" customFormat="1" ht="15.6" hidden="1" outlineLevel="1" x14ac:dyDescent="0.25">
      <c r="B78" s="152" t="s">
        <v>533</v>
      </c>
      <c r="D78" s="152" t="s">
        <v>516</v>
      </c>
      <c r="E78" s="153"/>
      <c r="F78" s="153">
        <v>490</v>
      </c>
      <c r="G78" s="154"/>
      <c r="I78" s="155"/>
      <c r="J78" s="155"/>
      <c r="K78" s="156"/>
      <c r="M78" s="155"/>
    </row>
    <row r="79" spans="2:13" s="131" customFormat="1" ht="15.6" hidden="1" outlineLevel="1" x14ac:dyDescent="0.25">
      <c r="B79" s="152" t="s">
        <v>294</v>
      </c>
      <c r="D79" s="152" t="s">
        <v>522</v>
      </c>
      <c r="E79" s="153"/>
      <c r="F79" s="153">
        <v>205146.77</v>
      </c>
      <c r="G79" s="154"/>
      <c r="I79" s="155"/>
      <c r="J79" s="155"/>
      <c r="K79" s="156"/>
      <c r="M79" s="155"/>
    </row>
    <row r="80" spans="2:13" s="131" customFormat="1" ht="15.6" hidden="1" outlineLevel="1" x14ac:dyDescent="0.25">
      <c r="B80" s="131" t="s">
        <v>336</v>
      </c>
      <c r="D80" s="152" t="s">
        <v>522</v>
      </c>
      <c r="E80" s="153"/>
      <c r="F80" s="153">
        <v>1813339.18</v>
      </c>
      <c r="G80" s="154"/>
      <c r="I80" s="155"/>
      <c r="J80" s="155"/>
      <c r="K80" s="156"/>
      <c r="M80" s="155"/>
    </row>
    <row r="81" spans="2:13" s="131" customFormat="1" ht="15.6" hidden="1" outlineLevel="1" x14ac:dyDescent="0.25">
      <c r="B81" s="152" t="s">
        <v>494</v>
      </c>
      <c r="D81" s="152" t="s">
        <v>522</v>
      </c>
      <c r="E81" s="153"/>
      <c r="F81" s="153">
        <v>84667.959999999992</v>
      </c>
      <c r="G81" s="154"/>
      <c r="I81" s="155"/>
      <c r="J81" s="155"/>
      <c r="K81" s="156"/>
      <c r="M81" s="155"/>
    </row>
    <row r="82" spans="2:13" s="131" customFormat="1" ht="15.6" hidden="1" outlineLevel="1" x14ac:dyDescent="0.25">
      <c r="B82" s="152" t="s">
        <v>354</v>
      </c>
      <c r="D82" s="152" t="s">
        <v>522</v>
      </c>
      <c r="E82" s="153"/>
      <c r="F82" s="153">
        <v>339293.79000000004</v>
      </c>
      <c r="G82" s="154"/>
      <c r="I82" s="155"/>
      <c r="J82" s="156"/>
      <c r="K82" s="155"/>
      <c r="M82" s="155"/>
    </row>
    <row r="83" spans="2:13" s="131" customFormat="1" ht="15.6" hidden="1" outlineLevel="1" x14ac:dyDescent="0.25">
      <c r="B83" s="152" t="s">
        <v>247</v>
      </c>
      <c r="D83" s="152" t="s">
        <v>522</v>
      </c>
      <c r="E83" s="153"/>
      <c r="F83" s="153">
        <v>35211.26</v>
      </c>
      <c r="G83" s="154"/>
      <c r="I83" s="155"/>
      <c r="J83" s="155"/>
      <c r="K83" s="156"/>
      <c r="M83" s="155"/>
    </row>
    <row r="84" spans="2:13" s="131" customFormat="1" ht="15.6" hidden="1" outlineLevel="1" x14ac:dyDescent="0.25">
      <c r="B84" s="152" t="s">
        <v>531</v>
      </c>
      <c r="D84" s="152" t="s">
        <v>522</v>
      </c>
      <c r="E84" s="153"/>
      <c r="F84" s="153">
        <v>616283.28</v>
      </c>
      <c r="G84" s="154"/>
      <c r="I84" s="155"/>
      <c r="J84" s="155"/>
      <c r="K84" s="156"/>
      <c r="M84" s="155"/>
    </row>
    <row r="85" spans="2:13" s="131" customFormat="1" ht="15.6" hidden="1" outlineLevel="1" x14ac:dyDescent="0.25">
      <c r="B85" s="152" t="s">
        <v>422</v>
      </c>
      <c r="D85" s="152" t="s">
        <v>522</v>
      </c>
      <c r="E85" s="153"/>
      <c r="F85" s="153">
        <v>164944.82</v>
      </c>
      <c r="G85" s="154"/>
      <c r="I85" s="155"/>
      <c r="J85" s="155"/>
      <c r="K85" s="156"/>
      <c r="M85" s="155"/>
    </row>
    <row r="86" spans="2:13" s="131" customFormat="1" ht="15.6" hidden="1" outlineLevel="1" x14ac:dyDescent="0.25">
      <c r="B86" s="152" t="s">
        <v>329</v>
      </c>
      <c r="D86" s="152" t="s">
        <v>522</v>
      </c>
      <c r="E86" s="153"/>
      <c r="F86" s="153">
        <v>393408.54</v>
      </c>
      <c r="G86" s="154"/>
      <c r="I86" s="155"/>
      <c r="J86" s="155"/>
      <c r="K86" s="156"/>
      <c r="M86" s="155"/>
    </row>
    <row r="87" spans="2:13" s="131" customFormat="1" ht="15.6" hidden="1" outlineLevel="1" x14ac:dyDescent="0.25">
      <c r="B87" s="152" t="s">
        <v>431</v>
      </c>
      <c r="D87" s="152" t="s">
        <v>173</v>
      </c>
      <c r="E87" s="153"/>
      <c r="F87" s="153">
        <v>4684761.47</v>
      </c>
      <c r="G87" s="154"/>
      <c r="I87" s="155"/>
      <c r="J87" s="156"/>
      <c r="K87" s="155"/>
      <c r="M87" s="155"/>
    </row>
    <row r="88" spans="2:13" s="131" customFormat="1" ht="15.6" hidden="1" outlineLevel="1" x14ac:dyDescent="0.25">
      <c r="B88" s="152" t="s">
        <v>196</v>
      </c>
      <c r="D88" s="152" t="s">
        <v>173</v>
      </c>
      <c r="E88" s="153"/>
      <c r="F88" s="153">
        <v>2252925.09</v>
      </c>
      <c r="G88" s="154"/>
      <c r="I88" s="155"/>
      <c r="J88" s="155"/>
      <c r="K88" s="156"/>
      <c r="M88" s="155"/>
    </row>
    <row r="89" spans="2:13" s="131" customFormat="1" ht="15.6" hidden="1" outlineLevel="1" x14ac:dyDescent="0.25">
      <c r="B89" s="152" t="s">
        <v>334</v>
      </c>
      <c r="D89" s="152" t="s">
        <v>173</v>
      </c>
      <c r="E89" s="153"/>
      <c r="F89" s="153">
        <v>1283605.1099999999</v>
      </c>
      <c r="G89" s="154"/>
      <c r="I89" s="155"/>
      <c r="J89" s="155"/>
      <c r="K89" s="156"/>
      <c r="M89" s="155"/>
    </row>
    <row r="90" spans="2:13" s="131" customFormat="1" ht="15.6" hidden="1" outlineLevel="1" x14ac:dyDescent="0.25">
      <c r="B90" s="152" t="s">
        <v>181</v>
      </c>
      <c r="D90" s="152" t="s">
        <v>173</v>
      </c>
      <c r="E90" s="153"/>
      <c r="F90" s="153">
        <v>838343.24</v>
      </c>
      <c r="G90" s="154"/>
      <c r="I90" s="155"/>
      <c r="J90" s="155"/>
      <c r="K90" s="156"/>
      <c r="M90" s="155"/>
    </row>
    <row r="91" spans="2:13" s="131" customFormat="1" ht="15.6" hidden="1" outlineLevel="1" x14ac:dyDescent="0.25">
      <c r="B91" s="152" t="s">
        <v>434</v>
      </c>
      <c r="D91" s="152" t="s">
        <v>173</v>
      </c>
      <c r="E91" s="153"/>
      <c r="F91" s="153">
        <v>625005.6</v>
      </c>
      <c r="G91" s="154"/>
      <c r="I91" s="155"/>
      <c r="J91" s="155"/>
      <c r="K91" s="156"/>
      <c r="M91" s="155"/>
    </row>
    <row r="92" spans="2:13" s="131" customFormat="1" ht="15.6" hidden="1" outlineLevel="1" x14ac:dyDescent="0.25">
      <c r="B92" s="152" t="s">
        <v>432</v>
      </c>
      <c r="D92" s="152" t="s">
        <v>173</v>
      </c>
      <c r="E92" s="153"/>
      <c r="F92" s="153">
        <v>675501.37</v>
      </c>
      <c r="G92" s="154"/>
      <c r="I92" s="155"/>
      <c r="J92" s="156"/>
      <c r="K92" s="155"/>
      <c r="M92" s="155"/>
    </row>
    <row r="93" spans="2:13" s="131" customFormat="1" ht="15.6" hidden="1" outlineLevel="1" x14ac:dyDescent="0.25">
      <c r="B93" s="152" t="s">
        <v>269</v>
      </c>
      <c r="D93" s="152" t="s">
        <v>173</v>
      </c>
      <c r="E93" s="153"/>
      <c r="F93" s="153">
        <v>988506.24</v>
      </c>
      <c r="G93" s="154"/>
      <c r="I93" s="155"/>
      <c r="J93" s="156"/>
      <c r="K93" s="155"/>
      <c r="M93" s="155"/>
    </row>
    <row r="94" spans="2:13" s="131" customFormat="1" ht="15.6" hidden="1" outlineLevel="1" x14ac:dyDescent="0.25">
      <c r="B94" s="152" t="s">
        <v>211</v>
      </c>
      <c r="D94" s="152" t="s">
        <v>173</v>
      </c>
      <c r="E94" s="153"/>
      <c r="F94" s="153">
        <v>292087.18</v>
      </c>
      <c r="G94" s="154"/>
      <c r="I94" s="155"/>
      <c r="J94" s="156"/>
      <c r="K94" s="155"/>
      <c r="M94" s="155"/>
    </row>
    <row r="95" spans="2:13" s="131" customFormat="1" ht="15.6" hidden="1" outlineLevel="1" x14ac:dyDescent="0.25">
      <c r="B95" s="152" t="s">
        <v>313</v>
      </c>
      <c r="D95" s="152" t="s">
        <v>173</v>
      </c>
      <c r="E95" s="153"/>
      <c r="F95" s="153">
        <v>489036.18</v>
      </c>
      <c r="G95" s="154"/>
      <c r="I95" s="155"/>
      <c r="J95" s="156"/>
      <c r="K95" s="155"/>
      <c r="M95" s="155"/>
    </row>
    <row r="96" spans="2:13" s="131" customFormat="1" ht="15.6" hidden="1" outlineLevel="1" x14ac:dyDescent="0.25">
      <c r="B96" s="152" t="s">
        <v>356</v>
      </c>
      <c r="D96" s="152" t="s">
        <v>173</v>
      </c>
      <c r="E96" s="153"/>
      <c r="F96" s="153">
        <v>332173.24</v>
      </c>
      <c r="G96" s="154"/>
      <c r="I96" s="155"/>
      <c r="J96" s="156"/>
      <c r="K96" s="155"/>
      <c r="M96" s="155"/>
    </row>
    <row r="97" spans="2:13" s="131" customFormat="1" ht="15.6" hidden="1" outlineLevel="1" x14ac:dyDescent="0.25">
      <c r="B97" s="152" t="s">
        <v>375</v>
      </c>
      <c r="D97" s="152" t="s">
        <v>173</v>
      </c>
      <c r="E97" s="153"/>
      <c r="F97" s="153">
        <v>326160</v>
      </c>
      <c r="G97" s="154"/>
      <c r="I97" s="155"/>
      <c r="J97" s="156"/>
      <c r="K97" s="155"/>
      <c r="M97" s="155"/>
    </row>
    <row r="98" spans="2:13" s="131" customFormat="1" ht="15.6" hidden="1" outlineLevel="1" x14ac:dyDescent="0.25">
      <c r="B98" s="152" t="s">
        <v>259</v>
      </c>
      <c r="D98" s="152" t="s">
        <v>173</v>
      </c>
      <c r="E98" s="153"/>
      <c r="F98" s="153">
        <v>339938.22000000003</v>
      </c>
      <c r="G98" s="154"/>
      <c r="I98" s="155"/>
      <c r="J98" s="156"/>
      <c r="K98" s="155"/>
      <c r="M98" s="155"/>
    </row>
    <row r="99" spans="2:13" s="131" customFormat="1" ht="15.6" hidden="1" outlineLevel="1" x14ac:dyDescent="0.25">
      <c r="B99" s="152" t="s">
        <v>425</v>
      </c>
      <c r="D99" s="152" t="s">
        <v>173</v>
      </c>
      <c r="E99" s="153"/>
      <c r="F99" s="153">
        <v>3800</v>
      </c>
      <c r="G99" s="154"/>
      <c r="I99" s="155"/>
      <c r="J99" s="156"/>
      <c r="K99" s="155"/>
      <c r="M99" s="155"/>
    </row>
    <row r="100" spans="2:13" s="131" customFormat="1" ht="15.6" hidden="1" outlineLevel="1" x14ac:dyDescent="0.25">
      <c r="B100" s="152" t="s">
        <v>376</v>
      </c>
      <c r="D100" s="152" t="s">
        <v>173</v>
      </c>
      <c r="E100" s="153"/>
      <c r="F100" s="153">
        <v>47884</v>
      </c>
      <c r="G100" s="154"/>
      <c r="I100" s="155"/>
      <c r="J100" s="156"/>
      <c r="K100" s="155"/>
      <c r="M100" s="155"/>
    </row>
    <row r="101" spans="2:13" s="131" customFormat="1" ht="15.6" hidden="1" outlineLevel="1" x14ac:dyDescent="0.25">
      <c r="B101" s="152" t="s">
        <v>451</v>
      </c>
      <c r="D101" s="152" t="s">
        <v>173</v>
      </c>
      <c r="E101" s="153"/>
      <c r="F101" s="153">
        <v>143620.48000000001</v>
      </c>
      <c r="G101" s="154"/>
      <c r="I101" s="155"/>
      <c r="J101" s="156"/>
      <c r="K101" s="155"/>
      <c r="M101" s="155"/>
    </row>
    <row r="102" spans="2:13" ht="15.6" collapsed="1" x14ac:dyDescent="0.25">
      <c r="B102" s="157" t="s">
        <v>350</v>
      </c>
      <c r="D102" s="158"/>
      <c r="E102" s="159">
        <f>SUM(E23:E43)+E12+E21+F22</f>
        <v>65372680.589999989</v>
      </c>
      <c r="F102" s="159">
        <f>SUM(F21:F22)+F12</f>
        <v>35847179.720000006</v>
      </c>
      <c r="G102" s="159">
        <f>+G22+G21+G12</f>
        <v>10799410.084400002</v>
      </c>
      <c r="I102" s="159"/>
      <c r="J102" s="159"/>
      <c r="K102" s="159"/>
      <c r="M102" s="160"/>
    </row>
    <row r="106" spans="2:13" x14ac:dyDescent="0.25">
      <c r="E106" s="161"/>
      <c r="I106" s="161"/>
    </row>
    <row r="107" spans="2:13" x14ac:dyDescent="0.25">
      <c r="E107" s="161"/>
      <c r="F107" s="166"/>
    </row>
    <row r="108" spans="2:13" x14ac:dyDescent="0.25">
      <c r="E108" s="161"/>
      <c r="F108" s="164"/>
    </row>
    <row r="109" spans="2:13" x14ac:dyDescent="0.25">
      <c r="E109" s="162"/>
    </row>
    <row r="110" spans="2:13" x14ac:dyDescent="0.25">
      <c r="F110" s="161"/>
    </row>
    <row r="111" spans="2:13" x14ac:dyDescent="0.25">
      <c r="F111" s="163"/>
      <c r="G111" s="163"/>
    </row>
    <row r="112" spans="2:13" x14ac:dyDescent="0.25">
      <c r="F112" s="163"/>
    </row>
    <row r="113" spans="6:6" x14ac:dyDescent="0.25">
      <c r="F113" s="163"/>
    </row>
  </sheetData>
  <mergeCells count="8">
    <mergeCell ref="M2:M3"/>
    <mergeCell ref="B44:B46"/>
    <mergeCell ref="B2:B3"/>
    <mergeCell ref="D2:D3"/>
    <mergeCell ref="E2:E3"/>
    <mergeCell ref="F2:F3"/>
    <mergeCell ref="G2:G3"/>
    <mergeCell ref="I2:K2"/>
  </mergeCells>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D184B-BE00-43D7-A209-98DCCA081C09}">
  <dimension ref="C2:T28"/>
  <sheetViews>
    <sheetView showGridLines="0" topLeftCell="A9" zoomScale="80" zoomScaleNormal="80" workbookViewId="0">
      <selection activeCell="F6" sqref="F6"/>
    </sheetView>
  </sheetViews>
  <sheetFormatPr defaultRowHeight="13.2" x14ac:dyDescent="0.25"/>
  <cols>
    <col min="1" max="1" width="2.88671875" customWidth="1"/>
    <col min="2" max="2" width="5.109375" customWidth="1"/>
    <col min="3" max="3" width="34.5546875" bestFit="1" customWidth="1"/>
    <col min="4" max="4" width="9.88671875" bestFit="1" customWidth="1"/>
    <col min="5" max="7" width="12.33203125" bestFit="1" customWidth="1"/>
    <col min="8" max="8" width="11.33203125" bestFit="1" customWidth="1"/>
    <col min="10" max="10" width="11.33203125" bestFit="1" customWidth="1"/>
    <col min="11" max="11" width="13.33203125" bestFit="1" customWidth="1"/>
    <col min="12" max="12" width="7" bestFit="1" customWidth="1"/>
    <col min="14" max="14" width="11.33203125" bestFit="1" customWidth="1"/>
    <col min="15" max="15" width="13.33203125" bestFit="1" customWidth="1"/>
    <col min="16" max="16" width="8.44140625" bestFit="1" customWidth="1"/>
    <col min="17" max="17" width="11.6640625" bestFit="1" customWidth="1"/>
    <col min="19" max="19" width="69.109375" bestFit="1" customWidth="1"/>
  </cols>
  <sheetData>
    <row r="2" spans="3:20" ht="13.8" thickBot="1" x14ac:dyDescent="0.3"/>
    <row r="3" spans="3:20" ht="15.6" x14ac:dyDescent="0.25">
      <c r="C3" s="434"/>
      <c r="D3" s="434"/>
      <c r="E3" s="434"/>
      <c r="F3" s="434"/>
      <c r="G3" s="434"/>
      <c r="H3" s="434"/>
      <c r="I3" s="49"/>
      <c r="J3" s="435" t="s">
        <v>158</v>
      </c>
      <c r="K3" s="436"/>
      <c r="L3" s="437"/>
      <c r="M3" s="50"/>
      <c r="N3" s="436" t="s">
        <v>7</v>
      </c>
      <c r="O3" s="436"/>
      <c r="P3" s="436"/>
      <c r="Q3" s="437"/>
      <c r="R3" s="49"/>
      <c r="S3" s="436" t="s">
        <v>337</v>
      </c>
      <c r="T3" s="437"/>
    </row>
    <row r="4" spans="3:20" ht="31.2" x14ac:dyDescent="0.25">
      <c r="C4" s="48" t="s">
        <v>22</v>
      </c>
      <c r="D4" s="51" t="s">
        <v>338</v>
      </c>
      <c r="E4" s="51" t="s">
        <v>17</v>
      </c>
      <c r="F4" s="51" t="s">
        <v>27</v>
      </c>
      <c r="G4" s="51" t="s">
        <v>8</v>
      </c>
      <c r="H4" s="51" t="s">
        <v>339</v>
      </c>
      <c r="I4" s="49"/>
      <c r="J4" s="52" t="s">
        <v>18</v>
      </c>
      <c r="K4" s="51" t="s">
        <v>20</v>
      </c>
      <c r="L4" s="53" t="s">
        <v>21</v>
      </c>
      <c r="M4" s="54"/>
      <c r="N4" s="51" t="s">
        <v>18</v>
      </c>
      <c r="O4" s="51" t="s">
        <v>20</v>
      </c>
      <c r="P4" s="51" t="s">
        <v>19</v>
      </c>
      <c r="Q4" s="53" t="s">
        <v>23</v>
      </c>
      <c r="R4" s="49"/>
      <c r="S4" s="434"/>
      <c r="T4" s="438"/>
    </row>
    <row r="5" spans="3:20" ht="27" customHeight="1" x14ac:dyDescent="0.3">
      <c r="C5" s="55" t="s">
        <v>340</v>
      </c>
      <c r="D5" s="55" t="s">
        <v>341</v>
      </c>
      <c r="E5" s="56">
        <f>F5+G5</f>
        <v>7560727.799999997</v>
      </c>
      <c r="F5" s="56">
        <f>'Painel Fertilizers'!O4</f>
        <v>7560727.799999997</v>
      </c>
      <c r="G5" s="56">
        <f>'Painel Fertilizers'!P4</f>
        <v>0</v>
      </c>
      <c r="H5" s="56">
        <f>'Painel Fertilizers'!X4</f>
        <v>0</v>
      </c>
      <c r="I5" s="49"/>
      <c r="J5" s="57">
        <v>0</v>
      </c>
      <c r="K5" s="58">
        <v>0</v>
      </c>
      <c r="L5" s="59">
        <v>0</v>
      </c>
      <c r="M5" s="60"/>
      <c r="N5" s="57">
        <v>0</v>
      </c>
      <c r="O5" s="58">
        <v>0</v>
      </c>
      <c r="P5" s="58">
        <v>0</v>
      </c>
      <c r="Q5" s="59">
        <v>0</v>
      </c>
      <c r="R5" s="49"/>
      <c r="S5" s="426" t="s">
        <v>403</v>
      </c>
      <c r="T5" s="427"/>
    </row>
    <row r="6" spans="3:20" ht="27" customHeight="1" x14ac:dyDescent="0.3">
      <c r="C6" s="55" t="s">
        <v>342</v>
      </c>
      <c r="D6" s="55" t="s">
        <v>341</v>
      </c>
      <c r="E6" s="56" t="e">
        <f t="shared" ref="E6:E9" si="0">F6+G6</f>
        <v>#REF!</v>
      </c>
      <c r="F6" s="56" t="e">
        <f>'Painel Fertilizers'!#REF!</f>
        <v>#REF!</v>
      </c>
      <c r="G6" s="56" t="e">
        <f>'Painel Fertilizers'!#REF!</f>
        <v>#REF!</v>
      </c>
      <c r="H6" s="56" t="e">
        <f>'Painel Fertilizers'!#REF!</f>
        <v>#REF!</v>
      </c>
      <c r="I6" s="49"/>
      <c r="J6" s="63">
        <v>300000</v>
      </c>
      <c r="K6" s="64" t="s">
        <v>226</v>
      </c>
      <c r="L6" s="65">
        <v>0</v>
      </c>
      <c r="M6" s="60"/>
      <c r="N6" s="66">
        <v>740000</v>
      </c>
      <c r="O6" s="67" t="s">
        <v>227</v>
      </c>
      <c r="P6" s="68">
        <v>45566</v>
      </c>
      <c r="Q6" s="69" t="s">
        <v>234</v>
      </c>
      <c r="R6" s="49"/>
      <c r="S6" s="426" t="s">
        <v>404</v>
      </c>
      <c r="T6" s="427"/>
    </row>
    <row r="7" spans="3:20" ht="27" customHeight="1" x14ac:dyDescent="0.3">
      <c r="C7" s="55" t="s">
        <v>206</v>
      </c>
      <c r="D7" s="55" t="s">
        <v>341</v>
      </c>
      <c r="E7" s="56">
        <f t="shared" si="0"/>
        <v>0</v>
      </c>
      <c r="F7" s="56">
        <f>'Painel Fertilizers'!O20</f>
        <v>0</v>
      </c>
      <c r="G7" s="56">
        <v>0</v>
      </c>
      <c r="H7" s="56">
        <v>0</v>
      </c>
      <c r="I7" s="49"/>
      <c r="J7" s="63"/>
      <c r="K7" s="64"/>
      <c r="L7" s="65"/>
      <c r="M7" s="60"/>
      <c r="N7" s="66">
        <v>4000000</v>
      </c>
      <c r="O7" s="67" t="s">
        <v>232</v>
      </c>
      <c r="P7" s="68">
        <v>45505</v>
      </c>
      <c r="Q7" s="69" t="s">
        <v>231</v>
      </c>
      <c r="R7" s="49"/>
      <c r="S7" s="61" t="s">
        <v>405</v>
      </c>
      <c r="T7" s="62"/>
    </row>
    <row r="8" spans="3:20" ht="27" customHeight="1" x14ac:dyDescent="0.3">
      <c r="C8" s="55" t="s">
        <v>194</v>
      </c>
      <c r="D8" s="55" t="s">
        <v>341</v>
      </c>
      <c r="E8" s="56">
        <f t="shared" si="0"/>
        <v>2026077.96</v>
      </c>
      <c r="F8" s="56">
        <v>1892359.96</v>
      </c>
      <c r="G8" s="56">
        <f>'Painel Fertilizers'!P20</f>
        <v>133718</v>
      </c>
      <c r="H8" s="56">
        <f>'Painel Fertilizers'!X5</f>
        <v>3088531.0700000008</v>
      </c>
      <c r="I8" s="49"/>
      <c r="J8" s="70">
        <v>1000000</v>
      </c>
      <c r="K8" s="71" t="s">
        <v>343</v>
      </c>
      <c r="L8" s="72">
        <v>360</v>
      </c>
      <c r="M8" s="60"/>
      <c r="N8" s="63">
        <v>1892360</v>
      </c>
      <c r="O8" s="71" t="s">
        <v>343</v>
      </c>
      <c r="P8" s="68">
        <v>45597</v>
      </c>
      <c r="Q8" s="69" t="s">
        <v>231</v>
      </c>
      <c r="R8" s="49"/>
      <c r="S8" s="426" t="s">
        <v>470</v>
      </c>
      <c r="T8" s="427"/>
    </row>
    <row r="9" spans="3:20" ht="27" customHeight="1" x14ac:dyDescent="0.3">
      <c r="C9" s="55" t="s">
        <v>198</v>
      </c>
      <c r="D9" s="55" t="s">
        <v>341</v>
      </c>
      <c r="E9" s="56">
        <f t="shared" si="0"/>
        <v>3044850.9199999995</v>
      </c>
      <c r="F9" s="56">
        <f>'Painel Fertilizers'!O6</f>
        <v>3044850.9199999995</v>
      </c>
      <c r="G9" s="56">
        <f>'Painel Fertilizers'!P6</f>
        <v>0</v>
      </c>
      <c r="H9" s="56">
        <f>'Painel Fertilizers'!X6</f>
        <v>3044850.9199999995</v>
      </c>
      <c r="I9" s="49"/>
      <c r="J9" s="63">
        <v>2000000</v>
      </c>
      <c r="K9" s="71" t="s">
        <v>343</v>
      </c>
      <c r="L9" s="65">
        <v>120</v>
      </c>
      <c r="M9" s="60"/>
      <c r="N9" s="63"/>
      <c r="O9" s="64"/>
      <c r="P9" s="64"/>
      <c r="Q9" s="65"/>
      <c r="R9" s="49"/>
      <c r="S9" s="426" t="s">
        <v>389</v>
      </c>
      <c r="T9" s="427"/>
    </row>
    <row r="10" spans="3:20" ht="27" customHeight="1" x14ac:dyDescent="0.3">
      <c r="C10" s="55" t="s">
        <v>186</v>
      </c>
      <c r="D10" s="55" t="s">
        <v>341</v>
      </c>
      <c r="E10" s="56">
        <f>F10+G10</f>
        <v>876011.75</v>
      </c>
      <c r="F10" s="56">
        <f>'Painel Fertilizers'!O10</f>
        <v>876011.75</v>
      </c>
      <c r="G10" s="56">
        <f>'Painel Fertilizers'!P10</f>
        <v>0</v>
      </c>
      <c r="H10" s="56">
        <f>'Painel Fertilizers'!X10</f>
        <v>0</v>
      </c>
      <c r="I10" s="49"/>
      <c r="J10" s="63"/>
      <c r="K10" s="71"/>
      <c r="L10" s="65"/>
      <c r="M10" s="60"/>
      <c r="N10" s="63">
        <v>5517407.7000000002</v>
      </c>
      <c r="O10" s="71" t="s">
        <v>343</v>
      </c>
      <c r="P10" s="68">
        <v>45606</v>
      </c>
      <c r="Q10" s="65" t="s">
        <v>231</v>
      </c>
      <c r="R10" s="49"/>
      <c r="S10" s="61" t="s">
        <v>351</v>
      </c>
      <c r="T10" s="62"/>
    </row>
    <row r="11" spans="3:20" ht="27" customHeight="1" x14ac:dyDescent="0.3">
      <c r="C11" s="55" t="s">
        <v>388</v>
      </c>
      <c r="D11" s="55" t="s">
        <v>341</v>
      </c>
      <c r="E11" s="56">
        <f>F11+G11</f>
        <v>0</v>
      </c>
      <c r="F11" s="56">
        <f>'Painel Fertilizers'!O22</f>
        <v>0</v>
      </c>
      <c r="G11" s="56">
        <f>'Painel Fertilizers'!P22</f>
        <v>0</v>
      </c>
      <c r="H11" s="56">
        <f>'Painel Fertilizers'!X22</f>
        <v>0</v>
      </c>
      <c r="I11" s="49"/>
      <c r="J11" s="63"/>
      <c r="K11" s="71"/>
      <c r="L11" s="65"/>
      <c r="M11" s="60"/>
      <c r="N11" s="63">
        <v>3000000</v>
      </c>
      <c r="O11" s="71" t="s">
        <v>343</v>
      </c>
      <c r="P11" s="68">
        <v>45627</v>
      </c>
      <c r="Q11" s="65" t="s">
        <v>231</v>
      </c>
      <c r="R11" s="49"/>
      <c r="S11" s="61" t="s">
        <v>351</v>
      </c>
      <c r="T11" s="62"/>
    </row>
    <row r="12" spans="3:20" ht="27" customHeight="1" x14ac:dyDescent="0.3">
      <c r="C12" s="73" t="s">
        <v>344</v>
      </c>
      <c r="D12" s="73"/>
      <c r="E12" s="74" t="e">
        <f>SUM(E5:E11)</f>
        <v>#REF!</v>
      </c>
      <c r="F12" s="74" t="e">
        <f>SUM(F5:F11)</f>
        <v>#REF!</v>
      </c>
      <c r="G12" s="74" t="e">
        <f>SUM(G5:G11)</f>
        <v>#REF!</v>
      </c>
      <c r="H12" s="74" t="e">
        <f>SUM(H5:H11)</f>
        <v>#REF!</v>
      </c>
      <c r="I12" s="49"/>
      <c r="J12" s="75"/>
      <c r="K12" s="76"/>
      <c r="L12" s="77"/>
      <c r="M12" s="78"/>
      <c r="N12" s="75"/>
      <c r="O12" s="76"/>
      <c r="P12" s="76"/>
      <c r="Q12" s="77"/>
      <c r="R12" s="49"/>
      <c r="S12" s="428"/>
      <c r="T12" s="429"/>
    </row>
    <row r="13" spans="3:20" ht="22.2" customHeight="1" x14ac:dyDescent="0.3">
      <c r="C13" s="55" t="s">
        <v>156</v>
      </c>
      <c r="D13" s="55" t="s">
        <v>173</v>
      </c>
      <c r="E13" s="56">
        <f>F13+G13</f>
        <v>110528</v>
      </c>
      <c r="F13" s="56">
        <v>110528</v>
      </c>
      <c r="G13" s="56">
        <v>0</v>
      </c>
      <c r="H13" s="56">
        <v>110527.99999999999</v>
      </c>
      <c r="I13" s="49"/>
      <c r="J13" s="57"/>
      <c r="K13" s="58"/>
      <c r="L13" s="59"/>
      <c r="M13" s="60"/>
      <c r="N13" s="63"/>
      <c r="O13" s="64"/>
      <c r="P13" s="64"/>
      <c r="Q13" s="65"/>
      <c r="R13" s="49"/>
      <c r="S13" s="430" t="s">
        <v>407</v>
      </c>
      <c r="T13" s="431"/>
    </row>
    <row r="14" spans="3:20" ht="22.2" customHeight="1" x14ac:dyDescent="0.3">
      <c r="C14" s="55" t="s">
        <v>203</v>
      </c>
      <c r="D14" s="55" t="s">
        <v>173</v>
      </c>
      <c r="E14" s="56">
        <f t="shared" ref="E14:E19" si="1">F14+G14</f>
        <v>34132.18</v>
      </c>
      <c r="F14" s="56">
        <v>34132.18</v>
      </c>
      <c r="G14" s="56">
        <v>0</v>
      </c>
      <c r="H14" s="56">
        <v>1023.9653999999999</v>
      </c>
      <c r="I14" s="49"/>
      <c r="J14" s="57"/>
      <c r="K14" s="58"/>
      <c r="L14" s="59"/>
      <c r="M14" s="60"/>
      <c r="N14" s="63"/>
      <c r="O14" s="64"/>
      <c r="P14" s="64"/>
      <c r="Q14" s="65"/>
      <c r="R14" s="49"/>
      <c r="S14" s="426" t="s">
        <v>406</v>
      </c>
      <c r="T14" s="427"/>
    </row>
    <row r="15" spans="3:20" ht="22.2" customHeight="1" x14ac:dyDescent="0.3">
      <c r="C15" s="55" t="s">
        <v>150</v>
      </c>
      <c r="D15" s="55" t="s">
        <v>173</v>
      </c>
      <c r="E15" s="56">
        <f t="shared" si="1"/>
        <v>22222.25</v>
      </c>
      <c r="F15" s="56">
        <v>22222.25</v>
      </c>
      <c r="G15" s="56">
        <v>0</v>
      </c>
      <c r="H15" s="56">
        <v>22222.25</v>
      </c>
      <c r="I15" s="49"/>
      <c r="J15" s="57"/>
      <c r="K15" s="58"/>
      <c r="L15" s="59"/>
      <c r="M15" s="60"/>
      <c r="N15" s="63"/>
      <c r="O15" s="64"/>
      <c r="P15" s="64"/>
      <c r="Q15" s="65"/>
      <c r="R15" s="49"/>
      <c r="S15" s="430" t="s">
        <v>407</v>
      </c>
      <c r="T15" s="431"/>
    </row>
    <row r="16" spans="3:20" ht="22.2" customHeight="1" x14ac:dyDescent="0.3">
      <c r="C16" s="55" t="s">
        <v>345</v>
      </c>
      <c r="D16" s="55" t="s">
        <v>316</v>
      </c>
      <c r="E16" s="56">
        <f t="shared" si="1"/>
        <v>226233.60000000001</v>
      </c>
      <c r="F16" s="56">
        <v>226233.60000000001</v>
      </c>
      <c r="G16" s="56">
        <v>0</v>
      </c>
      <c r="H16" s="56">
        <f>'Painel Additive'!X6</f>
        <v>63226.319999999992</v>
      </c>
      <c r="I16" s="49"/>
      <c r="J16" s="57"/>
      <c r="K16" s="58"/>
      <c r="L16" s="59"/>
      <c r="M16" s="60"/>
      <c r="N16" s="63"/>
      <c r="O16" s="64"/>
      <c r="P16" s="64"/>
      <c r="Q16" s="65"/>
      <c r="R16" s="49"/>
      <c r="S16" s="426" t="s">
        <v>406</v>
      </c>
      <c r="T16" s="427"/>
    </row>
    <row r="17" spans="3:20" ht="22.2" customHeight="1" x14ac:dyDescent="0.3">
      <c r="C17" s="55" t="s">
        <v>155</v>
      </c>
      <c r="D17" s="55" t="s">
        <v>316</v>
      </c>
      <c r="E17" s="56">
        <f t="shared" si="1"/>
        <v>140872.6</v>
      </c>
      <c r="F17" s="56">
        <v>140872.6</v>
      </c>
      <c r="G17" s="56">
        <v>0</v>
      </c>
      <c r="H17" s="56">
        <v>140872.6</v>
      </c>
      <c r="I17" s="49"/>
      <c r="J17" s="57"/>
      <c r="K17" s="58"/>
      <c r="L17" s="59"/>
      <c r="M17" s="60"/>
      <c r="N17" s="63"/>
      <c r="O17" s="64"/>
      <c r="P17" s="64"/>
      <c r="Q17" s="65"/>
      <c r="R17" s="49"/>
      <c r="S17" s="430" t="s">
        <v>407</v>
      </c>
      <c r="T17" s="431"/>
    </row>
    <row r="18" spans="3:20" ht="22.2" customHeight="1" x14ac:dyDescent="0.3">
      <c r="C18" s="55" t="s">
        <v>346</v>
      </c>
      <c r="D18" s="55" t="s">
        <v>316</v>
      </c>
      <c r="E18" s="56">
        <f t="shared" si="1"/>
        <v>41379</v>
      </c>
      <c r="F18" s="56">
        <v>41379</v>
      </c>
      <c r="G18" s="56">
        <v>0</v>
      </c>
      <c r="H18" s="56">
        <v>41379</v>
      </c>
      <c r="I18" s="49"/>
      <c r="J18" s="57"/>
      <c r="K18" s="58"/>
      <c r="L18" s="59"/>
      <c r="M18" s="60"/>
      <c r="N18" s="63"/>
      <c r="O18" s="64"/>
      <c r="P18" s="64"/>
      <c r="Q18" s="65"/>
      <c r="R18" s="49"/>
      <c r="S18" s="430" t="s">
        <v>407</v>
      </c>
      <c r="T18" s="431"/>
    </row>
    <row r="19" spans="3:20" ht="22.2" customHeight="1" x14ac:dyDescent="0.3">
      <c r="C19" s="79" t="s">
        <v>149</v>
      </c>
      <c r="D19" s="55" t="s">
        <v>316</v>
      </c>
      <c r="E19" s="56">
        <f t="shared" si="1"/>
        <v>84291.45</v>
      </c>
      <c r="F19" s="56">
        <v>84291.45</v>
      </c>
      <c r="G19" s="56">
        <v>0</v>
      </c>
      <c r="H19" s="56">
        <v>84291.45</v>
      </c>
      <c r="I19" s="49"/>
      <c r="J19" s="57"/>
      <c r="K19" s="58"/>
      <c r="L19" s="59"/>
      <c r="M19" s="60"/>
      <c r="N19" s="63"/>
      <c r="O19" s="64"/>
      <c r="P19" s="68"/>
      <c r="Q19" s="69"/>
      <c r="R19" s="49"/>
      <c r="S19" s="430" t="s">
        <v>407</v>
      </c>
      <c r="T19" s="431"/>
    </row>
    <row r="20" spans="3:20" ht="27" customHeight="1" x14ac:dyDescent="0.3">
      <c r="C20" s="80" t="s">
        <v>347</v>
      </c>
      <c r="D20" s="80"/>
      <c r="E20" s="81">
        <f>SUM(E13:E19)</f>
        <v>659659.07999999996</v>
      </c>
      <c r="F20" s="81">
        <f>SUM(F13:F19)</f>
        <v>659659.07999999996</v>
      </c>
      <c r="G20" s="81">
        <f>SUM(G13:G19)</f>
        <v>0</v>
      </c>
      <c r="H20" s="81">
        <f>SUM(H13:H19)</f>
        <v>463543.58540000004</v>
      </c>
      <c r="I20" s="49"/>
      <c r="J20" s="82"/>
      <c r="K20" s="83"/>
      <c r="L20" s="84"/>
      <c r="M20" s="78"/>
      <c r="N20" s="83"/>
      <c r="O20" s="83"/>
      <c r="P20" s="83"/>
      <c r="Q20" s="84"/>
      <c r="R20" s="49"/>
      <c r="S20" s="424"/>
      <c r="T20" s="425"/>
    </row>
    <row r="21" spans="3:20" ht="27" customHeight="1" x14ac:dyDescent="0.3">
      <c r="C21" s="80" t="s">
        <v>348</v>
      </c>
      <c r="D21" s="80"/>
      <c r="E21" s="81" t="e">
        <f t="shared" ref="E21:E22" si="2">F21+G21</f>
        <v>#REF!</v>
      </c>
      <c r="F21" s="81" t="e">
        <f>-(F20+F12)+'Painel Additive'!O1+'Painel Fertilizers'!O1+'Painel International'!O1</f>
        <v>#REF!</v>
      </c>
      <c r="G21" s="81">
        <v>0</v>
      </c>
      <c r="H21" s="81" t="e">
        <f>'Bad Debt Provision'!#REF! - (H12+H20)</f>
        <v>#REF!</v>
      </c>
      <c r="I21" s="49"/>
      <c r="J21" s="423"/>
      <c r="K21" s="424"/>
      <c r="L21" s="425"/>
      <c r="M21" s="78"/>
      <c r="N21" s="424"/>
      <c r="O21" s="424"/>
      <c r="P21" s="424"/>
      <c r="Q21" s="425"/>
      <c r="R21" s="49"/>
      <c r="S21" s="432" t="s">
        <v>349</v>
      </c>
      <c r="T21" s="433"/>
    </row>
    <row r="22" spans="3:20" ht="27" customHeight="1" x14ac:dyDescent="0.3">
      <c r="C22" s="80" t="s">
        <v>8</v>
      </c>
      <c r="D22" s="80"/>
      <c r="E22" s="81">
        <f t="shared" si="2"/>
        <v>34736829.919999994</v>
      </c>
      <c r="F22" s="81">
        <v>0</v>
      </c>
      <c r="G22" s="81">
        <f>'Painel Additive'!P1+'Painel Fertilizers'!P1+'Painel International'!P1</f>
        <v>34736829.919999994</v>
      </c>
      <c r="H22" s="81">
        <v>0</v>
      </c>
      <c r="I22" s="49"/>
      <c r="J22" s="423"/>
      <c r="K22" s="424"/>
      <c r="L22" s="425"/>
      <c r="M22" s="60"/>
      <c r="N22" s="424"/>
      <c r="O22" s="424"/>
      <c r="P22" s="424"/>
      <c r="Q22" s="425"/>
      <c r="R22" s="49"/>
      <c r="S22" s="424"/>
      <c r="T22" s="425"/>
    </row>
    <row r="23" spans="3:20" ht="25.2" customHeight="1" thickBot="1" x14ac:dyDescent="0.35">
      <c r="C23" s="85" t="s">
        <v>350</v>
      </c>
      <c r="D23" s="86"/>
      <c r="E23" s="87" t="e">
        <f>SUM(E20:E22)+E12</f>
        <v>#REF!</v>
      </c>
      <c r="F23" s="87" t="e">
        <f>SUM(F20:F22)+F12</f>
        <v>#REF!</v>
      </c>
      <c r="G23" s="87" t="e">
        <f>SUM(G20:G22)+G12</f>
        <v>#REF!</v>
      </c>
      <c r="H23" s="87" t="e">
        <f>SUM(H20:H22)+H12</f>
        <v>#REF!</v>
      </c>
      <c r="I23" s="49"/>
      <c r="J23" s="88"/>
      <c r="K23" s="89"/>
      <c r="L23" s="90"/>
      <c r="M23" s="91"/>
      <c r="N23" s="89"/>
      <c r="O23" s="89"/>
      <c r="P23" s="89"/>
      <c r="Q23" s="90"/>
      <c r="R23" s="49"/>
      <c r="S23" s="92"/>
      <c r="T23" s="92"/>
    </row>
    <row r="28" spans="3:20" x14ac:dyDescent="0.25">
      <c r="F28" s="25"/>
    </row>
  </sheetData>
  <mergeCells count="23">
    <mergeCell ref="S17:T17"/>
    <mergeCell ref="S6:T6"/>
    <mergeCell ref="C3:H3"/>
    <mergeCell ref="J3:L3"/>
    <mergeCell ref="N3:Q3"/>
    <mergeCell ref="S3:T4"/>
    <mergeCell ref="S5:T5"/>
    <mergeCell ref="J22:L22"/>
    <mergeCell ref="N22:Q22"/>
    <mergeCell ref="S22:T22"/>
    <mergeCell ref="S8:T8"/>
    <mergeCell ref="S9:T9"/>
    <mergeCell ref="S12:T12"/>
    <mergeCell ref="S13:T13"/>
    <mergeCell ref="S14:T14"/>
    <mergeCell ref="S16:T16"/>
    <mergeCell ref="S19:T19"/>
    <mergeCell ref="S20:T20"/>
    <mergeCell ref="J21:L21"/>
    <mergeCell ref="N21:Q21"/>
    <mergeCell ref="S21:T21"/>
    <mergeCell ref="S15:T15"/>
    <mergeCell ref="S18:T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D4D84-AD5B-4C84-B52D-A79E2A24F32A}">
  <dimension ref="A1:R1530"/>
  <sheetViews>
    <sheetView zoomScale="80" zoomScaleNormal="80" workbookViewId="0">
      <pane xSplit="3" ySplit="2" topLeftCell="D3" activePane="bottomRight" state="frozen"/>
      <selection activeCell="F4" sqref="F4"/>
      <selection pane="topRight" activeCell="F4" sqref="F4"/>
      <selection pane="bottomLeft" activeCell="F4" sqref="F4"/>
      <selection pane="bottomRight" activeCell="A3" sqref="A3:P599"/>
    </sheetView>
  </sheetViews>
  <sheetFormatPr defaultRowHeight="13.2" x14ac:dyDescent="0.25"/>
  <cols>
    <col min="1" max="1" width="12.6640625" bestFit="1" customWidth="1"/>
    <col min="2" max="2" width="47.109375" bestFit="1" customWidth="1"/>
    <col min="3" max="3" width="18.33203125" bestFit="1" customWidth="1"/>
    <col min="4" max="4" width="15.44140625" style="25" bestFit="1" customWidth="1"/>
    <col min="5" max="5" width="14.441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8.33203125" bestFit="1" customWidth="1"/>
    <col min="14" max="14" width="15" bestFit="1" customWidth="1"/>
    <col min="15" max="15" width="43.6640625" bestFit="1" customWidth="1"/>
    <col min="16" max="16" width="47.109375" bestFit="1" customWidth="1"/>
    <col min="17" max="17" width="15.77734375" customWidth="1"/>
    <col min="18" max="18" width="11.6640625" bestFit="1" customWidth="1"/>
  </cols>
  <sheetData>
    <row r="1" spans="1:18" x14ac:dyDescent="0.25">
      <c r="D1" s="1">
        <f>SUBTOTAL(9,D3:D1086)</f>
        <v>59548325.870000005</v>
      </c>
      <c r="E1" s="1">
        <f>'Data Additive'!D1+'Data Fertilizers'!D1+'Data International'!D1</f>
        <v>59371742.75</v>
      </c>
      <c r="F1" s="35">
        <f>'Data Additive'!D1+'Data Fertilizers'!D1+'Data International'!D1+'freight debit notes'!D1</f>
        <v>59548325.869999997</v>
      </c>
      <c r="G1" s="25">
        <f>D1-F1</f>
        <v>0</v>
      </c>
      <c r="H1" s="25"/>
      <c r="R1" s="3">
        <v>46141</v>
      </c>
    </row>
    <row r="2" spans="1:18" x14ac:dyDescent="0.25">
      <c r="A2" s="2" t="s">
        <v>4</v>
      </c>
      <c r="B2" s="2" t="s">
        <v>3</v>
      </c>
      <c r="C2" s="2" t="s">
        <v>0</v>
      </c>
      <c r="D2" s="31" t="s">
        <v>6</v>
      </c>
      <c r="E2" s="2" t="s">
        <v>216</v>
      </c>
      <c r="F2" s="2" t="s">
        <v>2</v>
      </c>
      <c r="G2" s="2" t="s">
        <v>215</v>
      </c>
      <c r="H2" s="2" t="s">
        <v>217</v>
      </c>
      <c r="I2" s="2" t="s">
        <v>218</v>
      </c>
      <c r="J2" s="2" t="s">
        <v>1</v>
      </c>
      <c r="K2" s="2" t="s">
        <v>219</v>
      </c>
      <c r="L2" s="2" t="s">
        <v>220</v>
      </c>
      <c r="M2" s="2" t="s">
        <v>221</v>
      </c>
      <c r="N2" s="2" t="s">
        <v>222</v>
      </c>
      <c r="O2" s="2" t="s">
        <v>223</v>
      </c>
      <c r="P2" s="2" t="s">
        <v>409</v>
      </c>
      <c r="Q2" s="4" t="s">
        <v>5</v>
      </c>
    </row>
    <row r="3" spans="1:18" ht="12.6" customHeight="1" x14ac:dyDescent="0.25">
      <c r="A3">
        <v>205</v>
      </c>
      <c r="B3" t="s">
        <v>43</v>
      </c>
      <c r="C3" t="s">
        <v>544</v>
      </c>
      <c r="D3" s="34">
        <v>80589.600000000006</v>
      </c>
      <c r="E3">
        <v>1246271690</v>
      </c>
      <c r="F3" s="30">
        <v>46157</v>
      </c>
      <c r="G3" s="30"/>
      <c r="H3" t="s">
        <v>28</v>
      </c>
      <c r="I3" t="s">
        <v>29</v>
      </c>
      <c r="J3">
        <v>11158</v>
      </c>
      <c r="K3" s="30">
        <v>46129</v>
      </c>
      <c r="L3">
        <v>1010100</v>
      </c>
      <c r="M3" t="s">
        <v>35</v>
      </c>
      <c r="N3">
        <v>161</v>
      </c>
      <c r="O3" t="s">
        <v>160</v>
      </c>
      <c r="P3" t="s">
        <v>572</v>
      </c>
      <c r="Q3">
        <f>$R$1-F3</f>
        <v>-16</v>
      </c>
      <c r="R3">
        <f>_xlfn.XLOOKUP(E3,'Data Additive'!E:E,'Data Additive'!E:E,0)</f>
        <v>1246271690</v>
      </c>
    </row>
    <row r="4" spans="1:18" x14ac:dyDescent="0.25">
      <c r="A4">
        <v>205</v>
      </c>
      <c r="B4" t="s">
        <v>43</v>
      </c>
      <c r="C4" t="s">
        <v>544</v>
      </c>
      <c r="D4" s="34">
        <v>81051.399999999994</v>
      </c>
      <c r="E4">
        <v>1246273002</v>
      </c>
      <c r="F4" s="30">
        <v>46168</v>
      </c>
      <c r="G4" s="30"/>
      <c r="H4" t="s">
        <v>28</v>
      </c>
      <c r="I4" t="s">
        <v>29</v>
      </c>
      <c r="J4">
        <v>11248</v>
      </c>
      <c r="K4" s="30">
        <v>46140</v>
      </c>
      <c r="L4">
        <v>1010100</v>
      </c>
      <c r="M4" t="s">
        <v>35</v>
      </c>
      <c r="N4">
        <v>161</v>
      </c>
      <c r="O4" t="s">
        <v>160</v>
      </c>
      <c r="P4" t="s">
        <v>572</v>
      </c>
      <c r="Q4">
        <f t="shared" ref="Q4:Q59" si="0">$R$1-F4</f>
        <v>-27</v>
      </c>
      <c r="R4">
        <f>_xlfn.XLOOKUP(E4,'Data Additive'!E:E,'Data Additive'!E:E,0)</f>
        <v>1246273002</v>
      </c>
    </row>
    <row r="5" spans="1:18" x14ac:dyDescent="0.25">
      <c r="A5">
        <v>1257</v>
      </c>
      <c r="B5" t="s">
        <v>62</v>
      </c>
      <c r="C5" t="s">
        <v>63</v>
      </c>
      <c r="D5" s="34">
        <v>1980.8</v>
      </c>
      <c r="E5">
        <v>1246032946</v>
      </c>
      <c r="F5" s="30">
        <v>44774</v>
      </c>
      <c r="G5" s="30"/>
      <c r="H5" t="s">
        <v>28</v>
      </c>
      <c r="I5" t="s">
        <v>29</v>
      </c>
      <c r="J5">
        <v>17935</v>
      </c>
      <c r="K5" s="30">
        <v>44714</v>
      </c>
      <c r="L5">
        <v>1010100</v>
      </c>
      <c r="M5" t="s">
        <v>35</v>
      </c>
      <c r="N5">
        <v>56</v>
      </c>
      <c r="O5" t="s">
        <v>161</v>
      </c>
      <c r="P5" t="s">
        <v>496</v>
      </c>
      <c r="Q5">
        <f t="shared" si="0"/>
        <v>1367</v>
      </c>
      <c r="R5">
        <f>_xlfn.XLOOKUP(E5,'Data Additive'!E:E,'Data Additive'!E:E,0)</f>
        <v>1246032946</v>
      </c>
    </row>
    <row r="6" spans="1:18" x14ac:dyDescent="0.25">
      <c r="A6">
        <v>1953</v>
      </c>
      <c r="B6" t="s">
        <v>76</v>
      </c>
      <c r="C6" t="s">
        <v>850</v>
      </c>
      <c r="D6" s="34">
        <v>58917.8</v>
      </c>
      <c r="E6">
        <v>1246267986</v>
      </c>
      <c r="F6" s="30">
        <v>46158</v>
      </c>
      <c r="G6" s="30"/>
      <c r="H6" t="s">
        <v>28</v>
      </c>
      <c r="I6" t="s">
        <v>29</v>
      </c>
      <c r="J6">
        <v>10907</v>
      </c>
      <c r="K6" s="30">
        <v>46098</v>
      </c>
      <c r="L6">
        <v>1010100</v>
      </c>
      <c r="M6" t="s">
        <v>35</v>
      </c>
      <c r="N6">
        <v>161</v>
      </c>
      <c r="O6" t="s">
        <v>160</v>
      </c>
      <c r="P6" t="s">
        <v>413</v>
      </c>
      <c r="Q6">
        <f t="shared" si="0"/>
        <v>-17</v>
      </c>
      <c r="R6">
        <f>_xlfn.XLOOKUP(E6,'Data Additive'!E:E,'Data Additive'!E:E,0)</f>
        <v>1246267986</v>
      </c>
    </row>
    <row r="7" spans="1:18" x14ac:dyDescent="0.25">
      <c r="A7">
        <v>1787</v>
      </c>
      <c r="B7" t="s">
        <v>67</v>
      </c>
      <c r="C7" t="s">
        <v>68</v>
      </c>
      <c r="D7" s="34">
        <v>107059.2</v>
      </c>
      <c r="E7">
        <v>1246262114</v>
      </c>
      <c r="F7" s="30">
        <v>46146</v>
      </c>
      <c r="G7" s="30">
        <v>46146</v>
      </c>
      <c r="H7" t="s">
        <v>28</v>
      </c>
      <c r="I7" t="s">
        <v>29</v>
      </c>
      <c r="J7">
        <v>10629</v>
      </c>
      <c r="K7" s="30">
        <v>46056</v>
      </c>
      <c r="L7">
        <v>1010100</v>
      </c>
      <c r="M7" t="s">
        <v>35</v>
      </c>
      <c r="N7">
        <v>161</v>
      </c>
      <c r="O7" t="s">
        <v>160</v>
      </c>
      <c r="P7" t="s">
        <v>527</v>
      </c>
      <c r="Q7">
        <f t="shared" si="0"/>
        <v>-5</v>
      </c>
      <c r="R7">
        <f>_xlfn.XLOOKUP(E7,'Data Additive'!E:E,'Data Additive'!E:E,0)</f>
        <v>1246262114</v>
      </c>
    </row>
    <row r="8" spans="1:18" x14ac:dyDescent="0.25">
      <c r="A8">
        <v>1787</v>
      </c>
      <c r="B8" t="s">
        <v>67</v>
      </c>
      <c r="C8" t="s">
        <v>68</v>
      </c>
      <c r="D8" s="34">
        <v>3600</v>
      </c>
      <c r="E8">
        <v>1246031589</v>
      </c>
      <c r="F8" s="30">
        <v>44784</v>
      </c>
      <c r="G8" s="30"/>
      <c r="H8" t="s">
        <v>28</v>
      </c>
      <c r="I8" t="s">
        <v>29</v>
      </c>
      <c r="J8">
        <v>1246031589</v>
      </c>
      <c r="K8" s="30">
        <v>44769</v>
      </c>
      <c r="L8">
        <v>3041000</v>
      </c>
      <c r="M8" t="s">
        <v>137</v>
      </c>
      <c r="N8">
        <v>46</v>
      </c>
      <c r="O8" t="s">
        <v>162</v>
      </c>
      <c r="P8" t="s">
        <v>527</v>
      </c>
      <c r="Q8">
        <f t="shared" si="0"/>
        <v>1357</v>
      </c>
      <c r="R8">
        <f>_xlfn.XLOOKUP(E8,'Data Additive'!E:E,'Data Additive'!E:E,0)</f>
        <v>0</v>
      </c>
    </row>
    <row r="9" spans="1:18" x14ac:dyDescent="0.25">
      <c r="A9">
        <v>1787</v>
      </c>
      <c r="B9" t="s">
        <v>67</v>
      </c>
      <c r="C9" t="s">
        <v>68</v>
      </c>
      <c r="D9" s="34">
        <v>2700</v>
      </c>
      <c r="E9">
        <v>1246055596</v>
      </c>
      <c r="F9" s="30">
        <v>44889</v>
      </c>
      <c r="G9" s="30"/>
      <c r="H9" t="s">
        <v>28</v>
      </c>
      <c r="I9" t="s">
        <v>29</v>
      </c>
      <c r="J9">
        <v>1246055596</v>
      </c>
      <c r="K9" s="30">
        <v>44889</v>
      </c>
      <c r="L9">
        <v>3041000</v>
      </c>
      <c r="M9" t="s">
        <v>137</v>
      </c>
      <c r="N9">
        <v>46</v>
      </c>
      <c r="O9" t="s">
        <v>162</v>
      </c>
      <c r="P9" t="s">
        <v>527</v>
      </c>
      <c r="Q9">
        <f t="shared" si="0"/>
        <v>1252</v>
      </c>
      <c r="R9">
        <f>_xlfn.XLOOKUP(E9,'Data Additive'!E:E,'Data Additive'!E:E,0)</f>
        <v>0</v>
      </c>
    </row>
    <row r="10" spans="1:18" x14ac:dyDescent="0.25">
      <c r="A10">
        <v>1787</v>
      </c>
      <c r="B10" t="s">
        <v>67</v>
      </c>
      <c r="C10" t="s">
        <v>68</v>
      </c>
      <c r="D10" s="34">
        <v>109862.39999999999</v>
      </c>
      <c r="E10">
        <v>1246271310</v>
      </c>
      <c r="F10" s="30">
        <v>46216</v>
      </c>
      <c r="G10" s="30"/>
      <c r="H10" t="s">
        <v>28</v>
      </c>
      <c r="I10" t="s">
        <v>29</v>
      </c>
      <c r="J10">
        <v>11116</v>
      </c>
      <c r="K10" s="30">
        <v>46126</v>
      </c>
      <c r="L10">
        <v>1010100</v>
      </c>
      <c r="M10" t="s">
        <v>35</v>
      </c>
      <c r="N10">
        <v>161</v>
      </c>
      <c r="O10" t="s">
        <v>160</v>
      </c>
      <c r="P10" t="s">
        <v>527</v>
      </c>
      <c r="Q10">
        <f t="shared" si="0"/>
        <v>-75</v>
      </c>
      <c r="R10">
        <f>_xlfn.XLOOKUP(E10,'Data Additive'!E:E,'Data Additive'!E:E,0)</f>
        <v>1246271310</v>
      </c>
    </row>
    <row r="11" spans="1:18" x14ac:dyDescent="0.25">
      <c r="A11">
        <v>1787</v>
      </c>
      <c r="B11" t="s">
        <v>67</v>
      </c>
      <c r="C11" t="s">
        <v>68</v>
      </c>
      <c r="D11" s="34">
        <v>116928</v>
      </c>
      <c r="E11">
        <v>1246267948</v>
      </c>
      <c r="F11" s="30">
        <v>46187</v>
      </c>
      <c r="G11" s="30"/>
      <c r="H11" t="s">
        <v>28</v>
      </c>
      <c r="I11" t="s">
        <v>29</v>
      </c>
      <c r="J11">
        <v>10899</v>
      </c>
      <c r="K11" s="30">
        <v>46097</v>
      </c>
      <c r="L11">
        <v>1010100</v>
      </c>
      <c r="M11" t="s">
        <v>35</v>
      </c>
      <c r="N11">
        <v>161</v>
      </c>
      <c r="O11" t="s">
        <v>160</v>
      </c>
      <c r="P11" t="s">
        <v>527</v>
      </c>
      <c r="Q11">
        <f t="shared" si="0"/>
        <v>-46</v>
      </c>
      <c r="R11">
        <f>_xlfn.XLOOKUP(E11,'Data Additive'!E:E,'Data Additive'!E:E,0)</f>
        <v>1246267948</v>
      </c>
    </row>
    <row r="12" spans="1:18" x14ac:dyDescent="0.25">
      <c r="A12">
        <v>1787</v>
      </c>
      <c r="B12" t="s">
        <v>67</v>
      </c>
      <c r="C12" t="s">
        <v>68</v>
      </c>
      <c r="D12" s="34">
        <v>115891.2</v>
      </c>
      <c r="E12">
        <v>1246262540</v>
      </c>
      <c r="F12" s="30">
        <v>46149</v>
      </c>
      <c r="G12" s="30"/>
      <c r="H12" t="s">
        <v>28</v>
      </c>
      <c r="I12" t="s">
        <v>29</v>
      </c>
      <c r="J12">
        <v>10652</v>
      </c>
      <c r="K12" s="30">
        <v>46059</v>
      </c>
      <c r="L12">
        <v>1010100</v>
      </c>
      <c r="M12" t="s">
        <v>35</v>
      </c>
      <c r="N12">
        <v>161</v>
      </c>
      <c r="O12" t="s">
        <v>160</v>
      </c>
      <c r="P12" t="s">
        <v>527</v>
      </c>
      <c r="Q12">
        <f t="shared" si="0"/>
        <v>-8</v>
      </c>
      <c r="R12">
        <f>_xlfn.XLOOKUP(E12,'Data Additive'!E:E,'Data Additive'!E:E,0)</f>
        <v>1246262540</v>
      </c>
    </row>
    <row r="13" spans="1:18" x14ac:dyDescent="0.25">
      <c r="A13">
        <v>1787</v>
      </c>
      <c r="B13" t="s">
        <v>67</v>
      </c>
      <c r="C13" t="s">
        <v>68</v>
      </c>
      <c r="D13" s="34">
        <v>103795.2</v>
      </c>
      <c r="E13">
        <v>1246268633</v>
      </c>
      <c r="F13" s="30">
        <v>46194</v>
      </c>
      <c r="G13" s="30"/>
      <c r="H13" t="s">
        <v>28</v>
      </c>
      <c r="I13" t="s">
        <v>29</v>
      </c>
      <c r="J13">
        <v>10957</v>
      </c>
      <c r="K13" s="30">
        <v>46104</v>
      </c>
      <c r="L13">
        <v>1010100</v>
      </c>
      <c r="M13" t="s">
        <v>35</v>
      </c>
      <c r="N13">
        <v>161</v>
      </c>
      <c r="O13" t="s">
        <v>160</v>
      </c>
      <c r="P13" t="s">
        <v>527</v>
      </c>
      <c r="Q13">
        <f t="shared" si="0"/>
        <v>-53</v>
      </c>
      <c r="R13">
        <f>_xlfn.XLOOKUP(E13,'Data Additive'!E:E,'Data Additive'!E:E,0)</f>
        <v>1246268633</v>
      </c>
    </row>
    <row r="14" spans="1:18" x14ac:dyDescent="0.25">
      <c r="A14">
        <v>1787</v>
      </c>
      <c r="B14" t="s">
        <v>67</v>
      </c>
      <c r="C14" t="s">
        <v>68</v>
      </c>
      <c r="D14" s="34">
        <v>111360</v>
      </c>
      <c r="E14">
        <v>1246268748</v>
      </c>
      <c r="F14" s="30">
        <v>46195</v>
      </c>
      <c r="G14" s="30"/>
      <c r="H14" t="s">
        <v>28</v>
      </c>
      <c r="I14" t="s">
        <v>29</v>
      </c>
      <c r="J14">
        <v>10965</v>
      </c>
      <c r="K14" s="30">
        <v>46105</v>
      </c>
      <c r="L14">
        <v>1010100</v>
      </c>
      <c r="M14" t="s">
        <v>35</v>
      </c>
      <c r="N14">
        <v>161</v>
      </c>
      <c r="O14" t="s">
        <v>160</v>
      </c>
      <c r="P14" t="s">
        <v>527</v>
      </c>
      <c r="Q14">
        <f t="shared" si="0"/>
        <v>-54</v>
      </c>
      <c r="R14">
        <f>_xlfn.XLOOKUP(E14,'Data Additive'!E:E,'Data Additive'!E:E,0)</f>
        <v>1246268748</v>
      </c>
    </row>
    <row r="15" spans="1:18" x14ac:dyDescent="0.25">
      <c r="A15">
        <v>1787</v>
      </c>
      <c r="B15" t="s">
        <v>67</v>
      </c>
      <c r="C15" t="s">
        <v>68</v>
      </c>
      <c r="D15" s="34">
        <v>114662.39999999999</v>
      </c>
      <c r="E15">
        <v>1246268585</v>
      </c>
      <c r="F15" s="30">
        <v>46161</v>
      </c>
      <c r="G15" s="30"/>
      <c r="H15" t="s">
        <v>28</v>
      </c>
      <c r="I15" t="s">
        <v>29</v>
      </c>
      <c r="J15">
        <v>10953</v>
      </c>
      <c r="K15" s="30">
        <v>46101</v>
      </c>
      <c r="L15">
        <v>1010100</v>
      </c>
      <c r="M15" t="s">
        <v>35</v>
      </c>
      <c r="N15">
        <v>161</v>
      </c>
      <c r="O15" t="s">
        <v>160</v>
      </c>
      <c r="P15" t="s">
        <v>527</v>
      </c>
      <c r="Q15">
        <f t="shared" si="0"/>
        <v>-20</v>
      </c>
      <c r="R15">
        <f>_xlfn.XLOOKUP(E15,'Data Additive'!E:E,'Data Additive'!E:E,0)</f>
        <v>1246268585</v>
      </c>
    </row>
    <row r="16" spans="1:18" x14ac:dyDescent="0.25">
      <c r="A16">
        <v>1787</v>
      </c>
      <c r="B16" t="s">
        <v>67</v>
      </c>
      <c r="C16" t="s">
        <v>68</v>
      </c>
      <c r="D16" s="34">
        <v>115852.8</v>
      </c>
      <c r="E16">
        <v>1246270635</v>
      </c>
      <c r="F16" s="30">
        <v>46210</v>
      </c>
      <c r="G16" s="30"/>
      <c r="H16" t="s">
        <v>28</v>
      </c>
      <c r="I16" t="s">
        <v>29</v>
      </c>
      <c r="J16">
        <v>11072</v>
      </c>
      <c r="K16" s="30">
        <v>46120</v>
      </c>
      <c r="L16">
        <v>1010100</v>
      </c>
      <c r="M16" t="s">
        <v>35</v>
      </c>
      <c r="N16">
        <v>161</v>
      </c>
      <c r="O16" t="s">
        <v>160</v>
      </c>
      <c r="P16" t="s">
        <v>527</v>
      </c>
      <c r="Q16">
        <f t="shared" si="0"/>
        <v>-69</v>
      </c>
      <c r="R16">
        <f>_xlfn.XLOOKUP(E16,'Data Additive'!E:E,'Data Additive'!E:E,0)</f>
        <v>1246270635</v>
      </c>
    </row>
    <row r="17" spans="1:18" x14ac:dyDescent="0.25">
      <c r="A17">
        <v>1787</v>
      </c>
      <c r="B17" t="s">
        <v>67</v>
      </c>
      <c r="C17" t="s">
        <v>68</v>
      </c>
      <c r="D17" s="34">
        <v>114739.2</v>
      </c>
      <c r="E17">
        <v>1246271165</v>
      </c>
      <c r="F17" s="30">
        <v>46215</v>
      </c>
      <c r="G17" s="30"/>
      <c r="H17" t="s">
        <v>28</v>
      </c>
      <c r="I17" t="s">
        <v>29</v>
      </c>
      <c r="J17">
        <v>11105</v>
      </c>
      <c r="K17" s="30">
        <v>46125</v>
      </c>
      <c r="L17">
        <v>1010100</v>
      </c>
      <c r="M17" t="s">
        <v>35</v>
      </c>
      <c r="N17">
        <v>161</v>
      </c>
      <c r="O17" t="s">
        <v>160</v>
      </c>
      <c r="P17" t="s">
        <v>527</v>
      </c>
      <c r="Q17">
        <f t="shared" si="0"/>
        <v>-74</v>
      </c>
      <c r="R17">
        <f>_xlfn.XLOOKUP(E17,'Data Additive'!E:E,'Data Additive'!E:E,0)</f>
        <v>1246271165</v>
      </c>
    </row>
    <row r="18" spans="1:18" x14ac:dyDescent="0.25">
      <c r="A18">
        <v>1787</v>
      </c>
      <c r="B18" t="s">
        <v>67</v>
      </c>
      <c r="C18" t="s">
        <v>68</v>
      </c>
      <c r="D18" s="34">
        <v>114969.60000000001</v>
      </c>
      <c r="E18">
        <v>1246264543</v>
      </c>
      <c r="F18" s="30">
        <v>46166</v>
      </c>
      <c r="G18" s="30"/>
      <c r="H18" t="s">
        <v>28</v>
      </c>
      <c r="I18" t="s">
        <v>29</v>
      </c>
      <c r="J18">
        <v>10746</v>
      </c>
      <c r="K18" s="30">
        <v>46076</v>
      </c>
      <c r="L18">
        <v>1010100</v>
      </c>
      <c r="M18" t="s">
        <v>35</v>
      </c>
      <c r="N18">
        <v>161</v>
      </c>
      <c r="O18" t="s">
        <v>160</v>
      </c>
      <c r="P18" t="s">
        <v>527</v>
      </c>
      <c r="Q18">
        <f t="shared" si="0"/>
        <v>-25</v>
      </c>
      <c r="R18">
        <f>_xlfn.XLOOKUP(E18,'Data Additive'!E:E,'Data Additive'!E:E,0)</f>
        <v>1246264543</v>
      </c>
    </row>
    <row r="19" spans="1:18" x14ac:dyDescent="0.25">
      <c r="A19">
        <v>1787</v>
      </c>
      <c r="B19" t="s">
        <v>67</v>
      </c>
      <c r="C19" t="s">
        <v>68</v>
      </c>
      <c r="D19" s="34">
        <v>113356.8</v>
      </c>
      <c r="E19">
        <v>1246269731</v>
      </c>
      <c r="F19" s="30">
        <v>46202</v>
      </c>
      <c r="G19" s="30"/>
      <c r="H19" t="s">
        <v>28</v>
      </c>
      <c r="I19" t="s">
        <v>29</v>
      </c>
      <c r="J19">
        <v>11014</v>
      </c>
      <c r="K19" s="30">
        <v>46112</v>
      </c>
      <c r="L19">
        <v>1010100</v>
      </c>
      <c r="M19" t="s">
        <v>35</v>
      </c>
      <c r="N19">
        <v>161</v>
      </c>
      <c r="O19" t="s">
        <v>160</v>
      </c>
      <c r="P19" t="s">
        <v>527</v>
      </c>
      <c r="Q19">
        <f t="shared" si="0"/>
        <v>-61</v>
      </c>
      <c r="R19">
        <f>_xlfn.XLOOKUP(E19,'Data Additive'!E:E,'Data Additive'!E:E,0)</f>
        <v>1246269731</v>
      </c>
    </row>
    <row r="20" spans="1:18" x14ac:dyDescent="0.25">
      <c r="A20">
        <v>1787</v>
      </c>
      <c r="B20" t="s">
        <v>67</v>
      </c>
      <c r="C20" t="s">
        <v>68</v>
      </c>
      <c r="D20" s="34">
        <v>110246.39999999999</v>
      </c>
      <c r="E20">
        <v>1246272757</v>
      </c>
      <c r="F20" s="30">
        <v>46229</v>
      </c>
      <c r="G20" s="30"/>
      <c r="H20" t="s">
        <v>28</v>
      </c>
      <c r="I20" t="s">
        <v>29</v>
      </c>
      <c r="J20">
        <v>11229</v>
      </c>
      <c r="K20" s="30">
        <v>46139</v>
      </c>
      <c r="L20">
        <v>1010100</v>
      </c>
      <c r="M20" t="s">
        <v>35</v>
      </c>
      <c r="N20">
        <v>161</v>
      </c>
      <c r="O20" t="s">
        <v>160</v>
      </c>
      <c r="P20" t="s">
        <v>527</v>
      </c>
      <c r="Q20">
        <f t="shared" si="0"/>
        <v>-88</v>
      </c>
      <c r="R20">
        <f>_xlfn.XLOOKUP(E20,'Data Additive'!E:E,'Data Additive'!E:E,0)</f>
        <v>1246272757</v>
      </c>
    </row>
    <row r="21" spans="1:18" x14ac:dyDescent="0.25">
      <c r="A21">
        <v>1787</v>
      </c>
      <c r="B21" t="s">
        <v>67</v>
      </c>
      <c r="C21" t="s">
        <v>68</v>
      </c>
      <c r="D21" s="34">
        <v>115392</v>
      </c>
      <c r="E21">
        <v>1246265885</v>
      </c>
      <c r="F21" s="30">
        <v>46173</v>
      </c>
      <c r="G21" s="30"/>
      <c r="H21" t="s">
        <v>28</v>
      </c>
      <c r="I21" t="s">
        <v>29</v>
      </c>
      <c r="J21">
        <v>10791</v>
      </c>
      <c r="K21" s="30">
        <v>46083</v>
      </c>
      <c r="L21">
        <v>1010100</v>
      </c>
      <c r="M21" t="s">
        <v>35</v>
      </c>
      <c r="N21">
        <v>161</v>
      </c>
      <c r="O21" t="s">
        <v>160</v>
      </c>
      <c r="P21" t="s">
        <v>527</v>
      </c>
      <c r="Q21">
        <f t="shared" si="0"/>
        <v>-32</v>
      </c>
      <c r="R21">
        <f>_xlfn.XLOOKUP(E21,'Data Additive'!E:E,'Data Additive'!E:E,0)</f>
        <v>1246265885</v>
      </c>
    </row>
    <row r="22" spans="1:18" x14ac:dyDescent="0.25">
      <c r="A22">
        <v>1787</v>
      </c>
      <c r="B22" t="s">
        <v>67</v>
      </c>
      <c r="C22" t="s">
        <v>68</v>
      </c>
      <c r="D22" s="34">
        <v>115046.39999999999</v>
      </c>
      <c r="E22">
        <v>1246267207</v>
      </c>
      <c r="F22" s="30">
        <v>46181</v>
      </c>
      <c r="G22" s="30"/>
      <c r="H22" t="s">
        <v>28</v>
      </c>
      <c r="I22" t="s">
        <v>29</v>
      </c>
      <c r="J22">
        <v>10856</v>
      </c>
      <c r="K22" s="30">
        <v>46091</v>
      </c>
      <c r="L22">
        <v>1010100</v>
      </c>
      <c r="M22" t="s">
        <v>35</v>
      </c>
      <c r="N22">
        <v>161</v>
      </c>
      <c r="O22" t="s">
        <v>160</v>
      </c>
      <c r="P22" t="s">
        <v>527</v>
      </c>
      <c r="Q22">
        <f t="shared" si="0"/>
        <v>-40</v>
      </c>
      <c r="R22">
        <f>_xlfn.XLOOKUP(E22,'Data Additive'!E:E,'Data Additive'!E:E,0)</f>
        <v>1246267207</v>
      </c>
    </row>
    <row r="23" spans="1:18" x14ac:dyDescent="0.25">
      <c r="A23">
        <v>1787</v>
      </c>
      <c r="B23" t="s">
        <v>67</v>
      </c>
      <c r="C23" t="s">
        <v>68</v>
      </c>
      <c r="D23" s="34">
        <v>115968</v>
      </c>
      <c r="E23">
        <v>1246270152</v>
      </c>
      <c r="F23" s="30">
        <v>46204</v>
      </c>
      <c r="G23" s="30"/>
      <c r="H23" t="s">
        <v>28</v>
      </c>
      <c r="I23" t="s">
        <v>29</v>
      </c>
      <c r="J23">
        <v>11043</v>
      </c>
      <c r="K23" s="30">
        <v>46114</v>
      </c>
      <c r="L23">
        <v>1010100</v>
      </c>
      <c r="M23" t="s">
        <v>35</v>
      </c>
      <c r="N23">
        <v>161</v>
      </c>
      <c r="O23" t="s">
        <v>160</v>
      </c>
      <c r="P23" t="s">
        <v>527</v>
      </c>
      <c r="Q23">
        <f t="shared" si="0"/>
        <v>-63</v>
      </c>
      <c r="R23">
        <f>_xlfn.XLOOKUP(E23,'Data Additive'!E:E,'Data Additive'!E:E,0)</f>
        <v>1246270152</v>
      </c>
    </row>
    <row r="24" spans="1:18" x14ac:dyDescent="0.25">
      <c r="A24">
        <v>1787</v>
      </c>
      <c r="B24" t="s">
        <v>67</v>
      </c>
      <c r="C24" t="s">
        <v>68</v>
      </c>
      <c r="D24" s="34">
        <v>116889.60000000001</v>
      </c>
      <c r="E24">
        <v>1246271830</v>
      </c>
      <c r="F24" s="30">
        <v>46222</v>
      </c>
      <c r="G24" s="30"/>
      <c r="H24" t="s">
        <v>28</v>
      </c>
      <c r="I24" t="s">
        <v>29</v>
      </c>
      <c r="J24">
        <v>11172</v>
      </c>
      <c r="K24" s="30">
        <v>46132</v>
      </c>
      <c r="L24">
        <v>1010100</v>
      </c>
      <c r="M24" t="s">
        <v>35</v>
      </c>
      <c r="N24">
        <v>161</v>
      </c>
      <c r="O24" t="s">
        <v>160</v>
      </c>
      <c r="P24" t="s">
        <v>527</v>
      </c>
      <c r="Q24">
        <f t="shared" si="0"/>
        <v>-81</v>
      </c>
      <c r="R24">
        <f>_xlfn.XLOOKUP(E24,'Data Additive'!E:E,'Data Additive'!E:E,0)</f>
        <v>1246271830</v>
      </c>
    </row>
    <row r="25" spans="1:18" x14ac:dyDescent="0.25">
      <c r="A25">
        <v>1787</v>
      </c>
      <c r="B25" t="s">
        <v>67</v>
      </c>
      <c r="C25" t="s">
        <v>68</v>
      </c>
      <c r="D25" s="34">
        <v>114201.60000000001</v>
      </c>
      <c r="E25">
        <v>1246262790</v>
      </c>
      <c r="F25" s="30">
        <v>46152</v>
      </c>
      <c r="G25" s="30"/>
      <c r="H25" t="s">
        <v>28</v>
      </c>
      <c r="I25" t="s">
        <v>29</v>
      </c>
      <c r="J25">
        <v>10666</v>
      </c>
      <c r="K25" s="30">
        <v>46062</v>
      </c>
      <c r="L25">
        <v>1010100</v>
      </c>
      <c r="M25" t="s">
        <v>35</v>
      </c>
      <c r="N25">
        <v>161</v>
      </c>
      <c r="O25" t="s">
        <v>160</v>
      </c>
      <c r="P25" t="s">
        <v>527</v>
      </c>
      <c r="Q25">
        <f t="shared" si="0"/>
        <v>-11</v>
      </c>
      <c r="R25">
        <f>_xlfn.XLOOKUP(E25,'Data Additive'!E:E,'Data Additive'!E:E,0)</f>
        <v>1246262790</v>
      </c>
    </row>
    <row r="26" spans="1:18" x14ac:dyDescent="0.25">
      <c r="A26">
        <v>1787</v>
      </c>
      <c r="B26" t="s">
        <v>67</v>
      </c>
      <c r="C26" t="s">
        <v>68</v>
      </c>
      <c r="D26" s="34">
        <v>108864</v>
      </c>
      <c r="E26">
        <v>1246263600</v>
      </c>
      <c r="F26" s="30">
        <v>46156</v>
      </c>
      <c r="G26" s="30"/>
      <c r="H26" t="s">
        <v>28</v>
      </c>
      <c r="I26" t="s">
        <v>29</v>
      </c>
      <c r="J26">
        <v>10688</v>
      </c>
      <c r="K26" s="30">
        <v>46066</v>
      </c>
      <c r="L26">
        <v>1010100</v>
      </c>
      <c r="M26" t="s">
        <v>35</v>
      </c>
      <c r="N26">
        <v>161</v>
      </c>
      <c r="O26" t="s">
        <v>160</v>
      </c>
      <c r="P26" t="s">
        <v>527</v>
      </c>
      <c r="Q26">
        <f t="shared" si="0"/>
        <v>-15</v>
      </c>
      <c r="R26">
        <f>_xlfn.XLOOKUP(E26,'Data Additive'!E:E,'Data Additive'!E:E,0)</f>
        <v>1246263600</v>
      </c>
    </row>
    <row r="27" spans="1:18" x14ac:dyDescent="0.25">
      <c r="A27">
        <v>1787</v>
      </c>
      <c r="B27" t="s">
        <v>67</v>
      </c>
      <c r="C27" t="s">
        <v>68</v>
      </c>
      <c r="D27" s="34">
        <v>110937.60000000001</v>
      </c>
      <c r="E27">
        <v>1246268467</v>
      </c>
      <c r="F27" s="30">
        <v>46190</v>
      </c>
      <c r="G27" s="30"/>
      <c r="H27" t="s">
        <v>28</v>
      </c>
      <c r="I27" t="s">
        <v>29</v>
      </c>
      <c r="J27">
        <v>10936</v>
      </c>
      <c r="K27" s="30">
        <v>46100</v>
      </c>
      <c r="L27">
        <v>1010100</v>
      </c>
      <c r="M27" t="s">
        <v>35</v>
      </c>
      <c r="N27">
        <v>161</v>
      </c>
      <c r="O27" t="s">
        <v>160</v>
      </c>
      <c r="P27" t="s">
        <v>527</v>
      </c>
      <c r="Q27">
        <f t="shared" si="0"/>
        <v>-49</v>
      </c>
      <c r="R27">
        <f>_xlfn.XLOOKUP(E27,'Data Additive'!E:E,'Data Additive'!E:E,0)</f>
        <v>1246268467</v>
      </c>
    </row>
    <row r="28" spans="1:18" x14ac:dyDescent="0.25">
      <c r="A28">
        <v>1787</v>
      </c>
      <c r="B28" t="s">
        <v>67</v>
      </c>
      <c r="C28" t="s">
        <v>68</v>
      </c>
      <c r="D28" s="34">
        <v>116889.60000000001</v>
      </c>
      <c r="E28">
        <v>1246271678</v>
      </c>
      <c r="F28" s="30">
        <v>46219</v>
      </c>
      <c r="G28" s="30"/>
      <c r="H28" t="s">
        <v>28</v>
      </c>
      <c r="I28" t="s">
        <v>29</v>
      </c>
      <c r="J28">
        <v>11157</v>
      </c>
      <c r="K28" s="30">
        <v>46129</v>
      </c>
      <c r="L28">
        <v>1010100</v>
      </c>
      <c r="M28" t="s">
        <v>35</v>
      </c>
      <c r="N28">
        <v>161</v>
      </c>
      <c r="O28" t="s">
        <v>160</v>
      </c>
      <c r="P28" t="s">
        <v>527</v>
      </c>
      <c r="Q28">
        <f t="shared" si="0"/>
        <v>-78</v>
      </c>
      <c r="R28">
        <f>_xlfn.XLOOKUP(E28,'Data Additive'!E:E,'Data Additive'!E:E,0)</f>
        <v>1246271678</v>
      </c>
    </row>
    <row r="29" spans="1:18" x14ac:dyDescent="0.25">
      <c r="A29">
        <v>1787</v>
      </c>
      <c r="B29" t="s">
        <v>67</v>
      </c>
      <c r="C29" t="s">
        <v>68</v>
      </c>
      <c r="D29" s="34">
        <v>110131.2</v>
      </c>
      <c r="E29">
        <v>1246272134</v>
      </c>
      <c r="F29" s="30">
        <v>46224</v>
      </c>
      <c r="G29" s="30"/>
      <c r="H29" t="s">
        <v>28</v>
      </c>
      <c r="I29" t="s">
        <v>29</v>
      </c>
      <c r="J29">
        <v>11192</v>
      </c>
      <c r="K29" s="30">
        <v>46134</v>
      </c>
      <c r="L29">
        <v>1010100</v>
      </c>
      <c r="M29" t="s">
        <v>35</v>
      </c>
      <c r="N29">
        <v>161</v>
      </c>
      <c r="O29" t="s">
        <v>160</v>
      </c>
      <c r="P29" t="s">
        <v>527</v>
      </c>
      <c r="Q29">
        <f t="shared" si="0"/>
        <v>-83</v>
      </c>
      <c r="R29">
        <f>_xlfn.XLOOKUP(E29,'Data Additive'!E:E,'Data Additive'!E:E,0)</f>
        <v>1246272134</v>
      </c>
    </row>
    <row r="30" spans="1:18" x14ac:dyDescent="0.25">
      <c r="A30">
        <v>1787</v>
      </c>
      <c r="B30" t="s">
        <v>67</v>
      </c>
      <c r="C30" t="s">
        <v>68</v>
      </c>
      <c r="D30" s="34">
        <v>112358.39999999999</v>
      </c>
      <c r="E30">
        <v>1246272202</v>
      </c>
      <c r="F30" s="30">
        <v>46225</v>
      </c>
      <c r="G30" s="30"/>
      <c r="H30" t="s">
        <v>28</v>
      </c>
      <c r="I30" t="s">
        <v>29</v>
      </c>
      <c r="J30">
        <v>11197</v>
      </c>
      <c r="K30" s="30">
        <v>46135</v>
      </c>
      <c r="L30">
        <v>1010100</v>
      </c>
      <c r="M30" t="s">
        <v>35</v>
      </c>
      <c r="N30">
        <v>161</v>
      </c>
      <c r="O30" t="s">
        <v>160</v>
      </c>
      <c r="P30" t="s">
        <v>527</v>
      </c>
      <c r="Q30">
        <f t="shared" si="0"/>
        <v>-84</v>
      </c>
      <c r="R30">
        <f>_xlfn.XLOOKUP(E30,'Data Additive'!E:E,'Data Additive'!E:E,0)</f>
        <v>1246272202</v>
      </c>
    </row>
    <row r="31" spans="1:18" x14ac:dyDescent="0.25">
      <c r="A31">
        <v>1787</v>
      </c>
      <c r="B31" t="s">
        <v>67</v>
      </c>
      <c r="C31" t="s">
        <v>68</v>
      </c>
      <c r="D31" s="34">
        <v>110592</v>
      </c>
      <c r="E31">
        <v>1246269420</v>
      </c>
      <c r="F31" s="30">
        <v>46198</v>
      </c>
      <c r="G31" s="30"/>
      <c r="H31" t="s">
        <v>28</v>
      </c>
      <c r="I31" t="s">
        <v>29</v>
      </c>
      <c r="J31">
        <v>10989</v>
      </c>
      <c r="K31" s="30">
        <v>46108</v>
      </c>
      <c r="L31">
        <v>1010100</v>
      </c>
      <c r="M31" t="s">
        <v>35</v>
      </c>
      <c r="N31">
        <v>161</v>
      </c>
      <c r="O31" t="s">
        <v>160</v>
      </c>
      <c r="P31" t="s">
        <v>527</v>
      </c>
      <c r="Q31">
        <f t="shared" si="0"/>
        <v>-57</v>
      </c>
      <c r="R31">
        <f>_xlfn.XLOOKUP(E31,'Data Additive'!E:E,'Data Additive'!E:E,0)</f>
        <v>1246269420</v>
      </c>
    </row>
    <row r="32" spans="1:18" x14ac:dyDescent="0.25">
      <c r="A32">
        <v>1787</v>
      </c>
      <c r="B32" t="s">
        <v>67</v>
      </c>
      <c r="C32" t="s">
        <v>68</v>
      </c>
      <c r="D32" s="34">
        <v>114393.60000000001</v>
      </c>
      <c r="E32">
        <v>1246263371</v>
      </c>
      <c r="F32" s="30">
        <v>46154</v>
      </c>
      <c r="G32" s="30"/>
      <c r="H32" t="s">
        <v>28</v>
      </c>
      <c r="I32" t="s">
        <v>29</v>
      </c>
      <c r="J32">
        <v>10678</v>
      </c>
      <c r="K32" s="30">
        <v>46064</v>
      </c>
      <c r="L32">
        <v>1010100</v>
      </c>
      <c r="M32" t="s">
        <v>35</v>
      </c>
      <c r="N32">
        <v>161</v>
      </c>
      <c r="O32" t="s">
        <v>160</v>
      </c>
      <c r="P32" t="s">
        <v>527</v>
      </c>
      <c r="Q32">
        <f t="shared" si="0"/>
        <v>-13</v>
      </c>
      <c r="R32">
        <f>_xlfn.XLOOKUP(E32,'Data Additive'!E:E,'Data Additive'!E:E,0)</f>
        <v>1246263371</v>
      </c>
    </row>
    <row r="33" spans="1:18" x14ac:dyDescent="0.25">
      <c r="A33">
        <v>1787</v>
      </c>
      <c r="B33" t="s">
        <v>67</v>
      </c>
      <c r="C33" t="s">
        <v>68</v>
      </c>
      <c r="D33" s="34">
        <v>116006.39999999999</v>
      </c>
      <c r="E33">
        <v>1246267015</v>
      </c>
      <c r="F33" s="30">
        <v>46180</v>
      </c>
      <c r="G33" s="30"/>
      <c r="H33" t="s">
        <v>28</v>
      </c>
      <c r="I33" t="s">
        <v>29</v>
      </c>
      <c r="J33">
        <v>10844</v>
      </c>
      <c r="K33" s="30">
        <v>46090</v>
      </c>
      <c r="L33">
        <v>1010100</v>
      </c>
      <c r="M33" t="s">
        <v>35</v>
      </c>
      <c r="N33">
        <v>161</v>
      </c>
      <c r="O33" t="s">
        <v>160</v>
      </c>
      <c r="P33" t="s">
        <v>527</v>
      </c>
      <c r="Q33">
        <f t="shared" si="0"/>
        <v>-39</v>
      </c>
      <c r="R33">
        <f>_xlfn.XLOOKUP(E33,'Data Additive'!E:E,'Data Additive'!E:E,0)</f>
        <v>1246267015</v>
      </c>
    </row>
    <row r="34" spans="1:18" x14ac:dyDescent="0.25">
      <c r="A34">
        <v>1787</v>
      </c>
      <c r="B34" t="s">
        <v>67</v>
      </c>
      <c r="C34" t="s">
        <v>68</v>
      </c>
      <c r="D34" s="34">
        <v>111552</v>
      </c>
      <c r="E34">
        <v>1246269890</v>
      </c>
      <c r="F34" s="30">
        <v>46203</v>
      </c>
      <c r="G34" s="30"/>
      <c r="H34" t="s">
        <v>28</v>
      </c>
      <c r="I34" t="s">
        <v>29</v>
      </c>
      <c r="J34">
        <v>11025</v>
      </c>
      <c r="K34" s="30">
        <v>46113</v>
      </c>
      <c r="L34">
        <v>1010100</v>
      </c>
      <c r="M34" t="s">
        <v>35</v>
      </c>
      <c r="N34">
        <v>161</v>
      </c>
      <c r="O34" t="s">
        <v>160</v>
      </c>
      <c r="P34" t="s">
        <v>527</v>
      </c>
      <c r="Q34">
        <f t="shared" si="0"/>
        <v>-62</v>
      </c>
      <c r="R34">
        <f>_xlfn.XLOOKUP(E34,'Data Additive'!E:E,'Data Additive'!E:E,0)</f>
        <v>1246269890</v>
      </c>
    </row>
    <row r="35" spans="1:18" x14ac:dyDescent="0.25">
      <c r="A35">
        <v>1787</v>
      </c>
      <c r="B35" t="s">
        <v>67</v>
      </c>
      <c r="C35" t="s">
        <v>68</v>
      </c>
      <c r="D35" s="34">
        <v>112204.8</v>
      </c>
      <c r="E35">
        <v>1246269591</v>
      </c>
      <c r="F35" s="30">
        <v>46201</v>
      </c>
      <c r="G35" s="30"/>
      <c r="H35" t="s">
        <v>28</v>
      </c>
      <c r="I35" t="s">
        <v>29</v>
      </c>
      <c r="J35">
        <v>11002</v>
      </c>
      <c r="K35" s="30">
        <v>46111</v>
      </c>
      <c r="L35">
        <v>1010100</v>
      </c>
      <c r="M35" t="s">
        <v>35</v>
      </c>
      <c r="N35">
        <v>161</v>
      </c>
      <c r="O35" t="s">
        <v>160</v>
      </c>
      <c r="P35" t="s">
        <v>527</v>
      </c>
      <c r="Q35">
        <f t="shared" si="0"/>
        <v>-60</v>
      </c>
      <c r="R35">
        <f>_xlfn.XLOOKUP(E35,'Data Additive'!E:E,'Data Additive'!E:E,0)</f>
        <v>1246269591</v>
      </c>
    </row>
    <row r="36" spans="1:18" x14ac:dyDescent="0.25">
      <c r="A36">
        <v>1787</v>
      </c>
      <c r="B36" t="s">
        <v>67</v>
      </c>
      <c r="C36" t="s">
        <v>68</v>
      </c>
      <c r="D36" s="34">
        <v>112588.8</v>
      </c>
      <c r="E36">
        <v>1246263994</v>
      </c>
      <c r="F36" s="30">
        <v>46161</v>
      </c>
      <c r="G36" s="30"/>
      <c r="H36" t="s">
        <v>28</v>
      </c>
      <c r="I36" t="s">
        <v>29</v>
      </c>
      <c r="J36">
        <v>10714</v>
      </c>
      <c r="K36" s="30">
        <v>46071</v>
      </c>
      <c r="L36">
        <v>1010100</v>
      </c>
      <c r="M36" t="s">
        <v>35</v>
      </c>
      <c r="N36">
        <v>161</v>
      </c>
      <c r="O36" t="s">
        <v>160</v>
      </c>
      <c r="P36" t="s">
        <v>527</v>
      </c>
      <c r="Q36">
        <f t="shared" si="0"/>
        <v>-20</v>
      </c>
      <c r="R36">
        <f>_xlfn.XLOOKUP(E36,'Data Additive'!E:E,'Data Additive'!E:E,0)</f>
        <v>1246263994</v>
      </c>
    </row>
    <row r="37" spans="1:18" x14ac:dyDescent="0.25">
      <c r="A37">
        <v>1787</v>
      </c>
      <c r="B37" t="s">
        <v>67</v>
      </c>
      <c r="C37" t="s">
        <v>68</v>
      </c>
      <c r="D37" s="34">
        <v>116121.60000000001</v>
      </c>
      <c r="E37">
        <v>1246270879</v>
      </c>
      <c r="F37" s="30">
        <v>46211</v>
      </c>
      <c r="G37" s="30"/>
      <c r="H37" t="s">
        <v>28</v>
      </c>
      <c r="I37" t="s">
        <v>29</v>
      </c>
      <c r="J37">
        <v>11080</v>
      </c>
      <c r="K37" s="30">
        <v>46121</v>
      </c>
      <c r="L37">
        <v>1010100</v>
      </c>
      <c r="M37" t="s">
        <v>35</v>
      </c>
      <c r="N37">
        <v>161</v>
      </c>
      <c r="O37" t="s">
        <v>160</v>
      </c>
      <c r="P37" t="s">
        <v>527</v>
      </c>
      <c r="Q37">
        <f t="shared" si="0"/>
        <v>-70</v>
      </c>
      <c r="R37">
        <f>_xlfn.XLOOKUP(E37,'Data Additive'!E:E,'Data Additive'!E:E,0)</f>
        <v>1246270879</v>
      </c>
    </row>
    <row r="38" spans="1:18" x14ac:dyDescent="0.25">
      <c r="A38">
        <v>1787</v>
      </c>
      <c r="B38" t="s">
        <v>67</v>
      </c>
      <c r="C38" t="s">
        <v>68</v>
      </c>
      <c r="D38" s="34">
        <v>115315.2</v>
      </c>
      <c r="E38">
        <v>1246265189</v>
      </c>
      <c r="F38" s="30">
        <v>46168</v>
      </c>
      <c r="G38" s="30"/>
      <c r="H38" t="s">
        <v>28</v>
      </c>
      <c r="I38" t="s">
        <v>29</v>
      </c>
      <c r="J38">
        <v>10768</v>
      </c>
      <c r="K38" s="30">
        <v>46078</v>
      </c>
      <c r="L38">
        <v>1010100</v>
      </c>
      <c r="M38" t="s">
        <v>35</v>
      </c>
      <c r="N38">
        <v>161</v>
      </c>
      <c r="O38" t="s">
        <v>160</v>
      </c>
      <c r="P38" t="s">
        <v>527</v>
      </c>
      <c r="Q38">
        <f t="shared" si="0"/>
        <v>-27</v>
      </c>
      <c r="R38">
        <f>_xlfn.XLOOKUP(E38,'Data Additive'!E:E,'Data Additive'!E:E,0)</f>
        <v>1246265189</v>
      </c>
    </row>
    <row r="39" spans="1:18" x14ac:dyDescent="0.25">
      <c r="A39">
        <v>1787</v>
      </c>
      <c r="B39" t="s">
        <v>67</v>
      </c>
      <c r="C39" t="s">
        <v>68</v>
      </c>
      <c r="D39" s="34">
        <v>115468.8</v>
      </c>
      <c r="E39">
        <v>1246266348</v>
      </c>
      <c r="F39" s="30">
        <v>46175</v>
      </c>
      <c r="G39" s="30"/>
      <c r="H39" t="s">
        <v>28</v>
      </c>
      <c r="I39" t="s">
        <v>29</v>
      </c>
      <c r="J39">
        <v>10811</v>
      </c>
      <c r="K39" s="30">
        <v>46085</v>
      </c>
      <c r="L39">
        <v>1010100</v>
      </c>
      <c r="M39" t="s">
        <v>35</v>
      </c>
      <c r="N39">
        <v>161</v>
      </c>
      <c r="O39" t="s">
        <v>160</v>
      </c>
      <c r="P39" t="s">
        <v>527</v>
      </c>
      <c r="Q39">
        <f t="shared" si="0"/>
        <v>-34</v>
      </c>
      <c r="R39">
        <f>_xlfn.XLOOKUP(E39,'Data Additive'!E:E,'Data Additive'!E:E,0)</f>
        <v>1246266348</v>
      </c>
    </row>
    <row r="40" spans="1:18" x14ac:dyDescent="0.25">
      <c r="A40">
        <v>1787</v>
      </c>
      <c r="B40" t="s">
        <v>67</v>
      </c>
      <c r="C40" t="s">
        <v>68</v>
      </c>
      <c r="D40" s="34">
        <v>114086.39999999999</v>
      </c>
      <c r="E40">
        <v>1246267743</v>
      </c>
      <c r="F40" s="30">
        <v>46184</v>
      </c>
      <c r="G40" s="30"/>
      <c r="H40" t="s">
        <v>28</v>
      </c>
      <c r="I40" t="s">
        <v>29</v>
      </c>
      <c r="J40">
        <v>10882</v>
      </c>
      <c r="K40" s="30">
        <v>46094</v>
      </c>
      <c r="L40">
        <v>1010100</v>
      </c>
      <c r="M40" t="s">
        <v>35</v>
      </c>
      <c r="N40">
        <v>161</v>
      </c>
      <c r="O40" t="s">
        <v>160</v>
      </c>
      <c r="P40" t="s">
        <v>527</v>
      </c>
      <c r="Q40">
        <f t="shared" si="0"/>
        <v>-43</v>
      </c>
      <c r="R40">
        <f>_xlfn.XLOOKUP(E40,'Data Additive'!E:E,'Data Additive'!E:E,0)</f>
        <v>1246267743</v>
      </c>
    </row>
    <row r="41" spans="1:18" x14ac:dyDescent="0.25">
      <c r="A41">
        <v>1788</v>
      </c>
      <c r="B41" t="s">
        <v>69</v>
      </c>
      <c r="C41" t="s">
        <v>70</v>
      </c>
      <c r="D41" s="34">
        <v>5400</v>
      </c>
      <c r="E41">
        <v>1246055599</v>
      </c>
      <c r="F41" s="30">
        <v>44889</v>
      </c>
      <c r="G41" s="30"/>
      <c r="H41" t="s">
        <v>28</v>
      </c>
      <c r="I41" t="s">
        <v>29</v>
      </c>
      <c r="J41">
        <v>1246055599</v>
      </c>
      <c r="K41" s="30">
        <v>44889</v>
      </c>
      <c r="L41">
        <v>3041000</v>
      </c>
      <c r="M41" t="s">
        <v>137</v>
      </c>
      <c r="N41">
        <v>46</v>
      </c>
      <c r="O41" t="s">
        <v>162</v>
      </c>
      <c r="P41" t="s">
        <v>527</v>
      </c>
      <c r="Q41">
        <f t="shared" si="0"/>
        <v>1252</v>
      </c>
      <c r="R41">
        <f>_xlfn.XLOOKUP(E41,'Data Additive'!E:E,'Data Additive'!E:E,0)</f>
        <v>0</v>
      </c>
    </row>
    <row r="42" spans="1:18" x14ac:dyDescent="0.25">
      <c r="A42">
        <v>1788</v>
      </c>
      <c r="B42" t="s">
        <v>69</v>
      </c>
      <c r="C42" t="s">
        <v>70</v>
      </c>
      <c r="D42" s="34">
        <v>1200</v>
      </c>
      <c r="E42">
        <v>1246190701</v>
      </c>
      <c r="F42" s="30">
        <v>45674</v>
      </c>
      <c r="G42" s="30"/>
      <c r="H42" t="s">
        <v>28</v>
      </c>
      <c r="I42" t="s">
        <v>29</v>
      </c>
      <c r="J42">
        <v>1246190701</v>
      </c>
      <c r="K42" s="30">
        <v>45659</v>
      </c>
      <c r="L42">
        <v>3041000</v>
      </c>
      <c r="M42" t="s">
        <v>137</v>
      </c>
      <c r="N42">
        <v>46</v>
      </c>
      <c r="O42" t="s">
        <v>162</v>
      </c>
      <c r="P42" t="s">
        <v>527</v>
      </c>
      <c r="Q42">
        <f t="shared" si="0"/>
        <v>467</v>
      </c>
      <c r="R42">
        <f>_xlfn.XLOOKUP(E42,'Data Additive'!E:E,'Data Additive'!E:E,0)</f>
        <v>0</v>
      </c>
    </row>
    <row r="43" spans="1:18" x14ac:dyDescent="0.25">
      <c r="A43">
        <v>1788</v>
      </c>
      <c r="B43" t="s">
        <v>69</v>
      </c>
      <c r="C43" t="s">
        <v>70</v>
      </c>
      <c r="D43" s="34">
        <v>116928</v>
      </c>
      <c r="E43">
        <v>1246267567</v>
      </c>
      <c r="F43" s="30">
        <v>46183</v>
      </c>
      <c r="G43" s="30"/>
      <c r="H43" t="s">
        <v>28</v>
      </c>
      <c r="I43" t="s">
        <v>29</v>
      </c>
      <c r="J43">
        <v>10870</v>
      </c>
      <c r="K43" s="30">
        <v>46093</v>
      </c>
      <c r="L43">
        <v>1010100</v>
      </c>
      <c r="M43" t="s">
        <v>35</v>
      </c>
      <c r="N43">
        <v>161</v>
      </c>
      <c r="O43" t="s">
        <v>160</v>
      </c>
      <c r="P43" t="s">
        <v>527</v>
      </c>
      <c r="Q43">
        <f t="shared" si="0"/>
        <v>-42</v>
      </c>
      <c r="R43">
        <f>_xlfn.XLOOKUP(E43,'Data Additive'!E:E,'Data Additive'!E:E,0)</f>
        <v>1246267567</v>
      </c>
    </row>
    <row r="44" spans="1:18" x14ac:dyDescent="0.25">
      <c r="A44">
        <v>1788</v>
      </c>
      <c r="B44" t="s">
        <v>69</v>
      </c>
      <c r="C44" t="s">
        <v>70</v>
      </c>
      <c r="D44" s="34">
        <v>117120</v>
      </c>
      <c r="E44">
        <v>1246270425</v>
      </c>
      <c r="F44" s="30">
        <v>46208</v>
      </c>
      <c r="G44" s="30"/>
      <c r="H44" t="s">
        <v>28</v>
      </c>
      <c r="I44" t="s">
        <v>29</v>
      </c>
      <c r="J44">
        <v>11060</v>
      </c>
      <c r="K44" s="30">
        <v>46118</v>
      </c>
      <c r="L44">
        <v>1010100</v>
      </c>
      <c r="M44" t="s">
        <v>35</v>
      </c>
      <c r="N44">
        <v>161</v>
      </c>
      <c r="O44" t="s">
        <v>160</v>
      </c>
      <c r="P44" t="s">
        <v>527</v>
      </c>
      <c r="Q44">
        <f t="shared" si="0"/>
        <v>-67</v>
      </c>
      <c r="R44">
        <f>_xlfn.XLOOKUP(E44,'Data Additive'!E:E,'Data Additive'!E:E,0)</f>
        <v>1246270425</v>
      </c>
    </row>
    <row r="45" spans="1:18" x14ac:dyDescent="0.25">
      <c r="A45">
        <v>1789</v>
      </c>
      <c r="B45" t="s">
        <v>71</v>
      </c>
      <c r="C45" t="s">
        <v>72</v>
      </c>
      <c r="D45" s="34">
        <v>2700</v>
      </c>
      <c r="E45">
        <v>1246120461</v>
      </c>
      <c r="F45" s="30">
        <v>45294</v>
      </c>
      <c r="G45" s="30"/>
      <c r="H45" t="s">
        <v>28</v>
      </c>
      <c r="I45" t="s">
        <v>29</v>
      </c>
      <c r="J45">
        <v>191223</v>
      </c>
      <c r="K45" s="30">
        <v>45279</v>
      </c>
      <c r="L45">
        <v>3041000</v>
      </c>
      <c r="M45" t="s">
        <v>137</v>
      </c>
      <c r="N45">
        <v>46</v>
      </c>
      <c r="O45" t="s">
        <v>162</v>
      </c>
      <c r="P45" t="s">
        <v>527</v>
      </c>
      <c r="Q45">
        <f t="shared" si="0"/>
        <v>847</v>
      </c>
      <c r="R45">
        <f>_xlfn.XLOOKUP(E45,'Data Additive'!E:E,'Data Additive'!E:E,0)</f>
        <v>0</v>
      </c>
    </row>
    <row r="46" spans="1:18" x14ac:dyDescent="0.25">
      <c r="A46">
        <v>1789</v>
      </c>
      <c r="B46" t="s">
        <v>71</v>
      </c>
      <c r="C46" t="s">
        <v>72</v>
      </c>
      <c r="D46" s="34">
        <v>900</v>
      </c>
      <c r="E46">
        <v>1246146095</v>
      </c>
      <c r="F46" s="30">
        <v>45428</v>
      </c>
      <c r="G46" s="30"/>
      <c r="H46" t="s">
        <v>28</v>
      </c>
      <c r="I46" t="s">
        <v>29</v>
      </c>
      <c r="J46">
        <v>1246120461</v>
      </c>
      <c r="K46" s="30">
        <v>45428</v>
      </c>
      <c r="L46">
        <v>3041000</v>
      </c>
      <c r="M46" t="s">
        <v>137</v>
      </c>
      <c r="N46">
        <v>46</v>
      </c>
      <c r="O46" t="s">
        <v>162</v>
      </c>
      <c r="P46" t="s">
        <v>527</v>
      </c>
      <c r="Q46">
        <f t="shared" si="0"/>
        <v>713</v>
      </c>
      <c r="R46">
        <f>_xlfn.XLOOKUP(E46,'Data Additive'!E:E,'Data Additive'!E:E,0)</f>
        <v>0</v>
      </c>
    </row>
    <row r="47" spans="1:18" x14ac:dyDescent="0.25">
      <c r="A47">
        <v>1789</v>
      </c>
      <c r="B47" t="s">
        <v>71</v>
      </c>
      <c r="C47" t="s">
        <v>72</v>
      </c>
      <c r="D47" s="34">
        <v>116044.8</v>
      </c>
      <c r="E47">
        <v>1246267816</v>
      </c>
      <c r="F47" s="30">
        <v>46187</v>
      </c>
      <c r="G47" s="30"/>
      <c r="H47" t="s">
        <v>28</v>
      </c>
      <c r="I47" t="s">
        <v>29</v>
      </c>
      <c r="J47">
        <v>10889</v>
      </c>
      <c r="K47" s="30">
        <v>46097</v>
      </c>
      <c r="L47">
        <v>1010100</v>
      </c>
      <c r="M47" t="s">
        <v>35</v>
      </c>
      <c r="N47">
        <v>161</v>
      </c>
      <c r="O47" t="s">
        <v>160</v>
      </c>
      <c r="P47" t="s">
        <v>527</v>
      </c>
      <c r="Q47">
        <f t="shared" si="0"/>
        <v>-46</v>
      </c>
      <c r="R47">
        <f>_xlfn.XLOOKUP(E47,'Data Additive'!E:E,'Data Additive'!E:E,0)</f>
        <v>1246267816</v>
      </c>
    </row>
    <row r="48" spans="1:18" x14ac:dyDescent="0.25">
      <c r="A48">
        <v>1789</v>
      </c>
      <c r="B48" t="s">
        <v>71</v>
      </c>
      <c r="C48" t="s">
        <v>72</v>
      </c>
      <c r="D48" s="34">
        <v>115507.2</v>
      </c>
      <c r="E48">
        <v>1246269759</v>
      </c>
      <c r="F48" s="30">
        <v>46202</v>
      </c>
      <c r="G48" s="30"/>
      <c r="H48" t="s">
        <v>28</v>
      </c>
      <c r="I48" t="s">
        <v>29</v>
      </c>
      <c r="J48">
        <v>11017</v>
      </c>
      <c r="K48" s="30">
        <v>46112</v>
      </c>
      <c r="L48">
        <v>1010100</v>
      </c>
      <c r="M48" t="s">
        <v>35</v>
      </c>
      <c r="N48">
        <v>161</v>
      </c>
      <c r="O48" t="s">
        <v>160</v>
      </c>
      <c r="P48" t="s">
        <v>527</v>
      </c>
      <c r="Q48">
        <f t="shared" si="0"/>
        <v>-61</v>
      </c>
      <c r="R48">
        <f>_xlfn.XLOOKUP(E48,'Data Additive'!E:E,'Data Additive'!E:E,0)</f>
        <v>1246269759</v>
      </c>
    </row>
    <row r="49" spans="1:18" x14ac:dyDescent="0.25">
      <c r="A49">
        <v>1789</v>
      </c>
      <c r="B49" t="s">
        <v>71</v>
      </c>
      <c r="C49" t="s">
        <v>72</v>
      </c>
      <c r="D49" s="34">
        <v>114432</v>
      </c>
      <c r="E49">
        <v>1246270845</v>
      </c>
      <c r="F49" s="30">
        <v>46181</v>
      </c>
      <c r="G49" s="30"/>
      <c r="H49" t="s">
        <v>28</v>
      </c>
      <c r="I49" t="s">
        <v>29</v>
      </c>
      <c r="J49">
        <v>11079</v>
      </c>
      <c r="K49" s="30">
        <v>46121</v>
      </c>
      <c r="L49">
        <v>1010100</v>
      </c>
      <c r="M49" t="s">
        <v>35</v>
      </c>
      <c r="N49">
        <v>161</v>
      </c>
      <c r="O49" t="s">
        <v>160</v>
      </c>
      <c r="P49" t="s">
        <v>527</v>
      </c>
      <c r="Q49">
        <f t="shared" si="0"/>
        <v>-40</v>
      </c>
      <c r="R49">
        <f>_xlfn.XLOOKUP(E49,'Data Additive'!E:E,'Data Additive'!E:E,0)</f>
        <v>1246270845</v>
      </c>
    </row>
    <row r="50" spans="1:18" x14ac:dyDescent="0.25">
      <c r="A50">
        <v>1789</v>
      </c>
      <c r="B50" t="s">
        <v>71</v>
      </c>
      <c r="C50" t="s">
        <v>72</v>
      </c>
      <c r="D50" s="34">
        <v>114470.39999999999</v>
      </c>
      <c r="E50">
        <v>1246268819</v>
      </c>
      <c r="F50" s="30">
        <v>46195</v>
      </c>
      <c r="G50" s="30"/>
      <c r="H50" t="s">
        <v>28</v>
      </c>
      <c r="I50" t="s">
        <v>29</v>
      </c>
      <c r="J50">
        <v>10967</v>
      </c>
      <c r="K50" s="30">
        <v>46105</v>
      </c>
      <c r="L50">
        <v>1010100</v>
      </c>
      <c r="M50" t="s">
        <v>35</v>
      </c>
      <c r="N50">
        <v>161</v>
      </c>
      <c r="O50" t="s">
        <v>160</v>
      </c>
      <c r="P50" t="s">
        <v>527</v>
      </c>
      <c r="Q50">
        <f t="shared" si="0"/>
        <v>-54</v>
      </c>
      <c r="R50">
        <f>_xlfn.XLOOKUP(E50,'Data Additive'!E:E,'Data Additive'!E:E,0)</f>
        <v>1246268819</v>
      </c>
    </row>
    <row r="51" spans="1:18" x14ac:dyDescent="0.25">
      <c r="A51">
        <v>1789</v>
      </c>
      <c r="B51" t="s">
        <v>71</v>
      </c>
      <c r="C51" t="s">
        <v>72</v>
      </c>
      <c r="D51" s="34">
        <v>114662.39999999999</v>
      </c>
      <c r="E51">
        <v>1246271452</v>
      </c>
      <c r="F51" s="30">
        <v>46187</v>
      </c>
      <c r="G51" s="30"/>
      <c r="H51" t="s">
        <v>28</v>
      </c>
      <c r="I51" t="s">
        <v>29</v>
      </c>
      <c r="J51">
        <v>11126</v>
      </c>
      <c r="K51" s="30">
        <v>46127</v>
      </c>
      <c r="L51">
        <v>1010100</v>
      </c>
      <c r="M51" t="s">
        <v>35</v>
      </c>
      <c r="N51">
        <v>161</v>
      </c>
      <c r="O51" t="s">
        <v>160</v>
      </c>
      <c r="P51" t="s">
        <v>527</v>
      </c>
      <c r="Q51">
        <f t="shared" si="0"/>
        <v>-46</v>
      </c>
      <c r="R51">
        <f>_xlfn.XLOOKUP(E51,'Data Additive'!E:E,'Data Additive'!E:E,0)</f>
        <v>1246271452</v>
      </c>
    </row>
    <row r="52" spans="1:18" x14ac:dyDescent="0.25">
      <c r="A52">
        <v>1789</v>
      </c>
      <c r="B52" t="s">
        <v>71</v>
      </c>
      <c r="C52" t="s">
        <v>72</v>
      </c>
      <c r="D52" s="34">
        <v>115123.2</v>
      </c>
      <c r="E52">
        <v>1246269430</v>
      </c>
      <c r="F52" s="30">
        <v>46198</v>
      </c>
      <c r="G52" s="30"/>
      <c r="H52" t="s">
        <v>28</v>
      </c>
      <c r="I52" t="s">
        <v>29</v>
      </c>
      <c r="J52">
        <v>10992</v>
      </c>
      <c r="K52" s="30">
        <v>46108</v>
      </c>
      <c r="L52">
        <v>1010100</v>
      </c>
      <c r="M52" t="s">
        <v>35</v>
      </c>
      <c r="N52">
        <v>161</v>
      </c>
      <c r="O52" t="s">
        <v>160</v>
      </c>
      <c r="P52" t="s">
        <v>527</v>
      </c>
      <c r="Q52">
        <f t="shared" si="0"/>
        <v>-57</v>
      </c>
      <c r="R52">
        <f>_xlfn.XLOOKUP(E52,'Data Additive'!E:E,'Data Additive'!E:E,0)</f>
        <v>1246269430</v>
      </c>
    </row>
    <row r="53" spans="1:18" x14ac:dyDescent="0.25">
      <c r="A53">
        <v>1789</v>
      </c>
      <c r="B53" t="s">
        <v>71</v>
      </c>
      <c r="C53" t="s">
        <v>72</v>
      </c>
      <c r="D53" s="34">
        <v>115584</v>
      </c>
      <c r="E53">
        <v>1246272745</v>
      </c>
      <c r="F53" s="30">
        <v>46229</v>
      </c>
      <c r="G53" s="30"/>
      <c r="H53" t="s">
        <v>28</v>
      </c>
      <c r="I53" t="s">
        <v>29</v>
      </c>
      <c r="J53">
        <v>11224</v>
      </c>
      <c r="K53" s="30">
        <v>46139</v>
      </c>
      <c r="L53">
        <v>1010100</v>
      </c>
      <c r="M53" t="s">
        <v>35</v>
      </c>
      <c r="N53">
        <v>161</v>
      </c>
      <c r="O53" t="s">
        <v>160</v>
      </c>
      <c r="P53" t="s">
        <v>527</v>
      </c>
      <c r="Q53">
        <f t="shared" si="0"/>
        <v>-88</v>
      </c>
      <c r="R53">
        <f>_xlfn.XLOOKUP(E53,'Data Additive'!E:E,'Data Additive'!E:E,0)</f>
        <v>1246272745</v>
      </c>
    </row>
    <row r="54" spans="1:18" x14ac:dyDescent="0.25">
      <c r="A54">
        <v>1789</v>
      </c>
      <c r="B54" t="s">
        <v>71</v>
      </c>
      <c r="C54" t="s">
        <v>72</v>
      </c>
      <c r="D54" s="34">
        <v>116044.8</v>
      </c>
      <c r="E54">
        <v>1246268551</v>
      </c>
      <c r="F54" s="30">
        <v>46191</v>
      </c>
      <c r="G54" s="30"/>
      <c r="H54" t="s">
        <v>28</v>
      </c>
      <c r="I54" t="s">
        <v>29</v>
      </c>
      <c r="J54">
        <v>10945</v>
      </c>
      <c r="K54" s="30">
        <v>46101</v>
      </c>
      <c r="L54">
        <v>1010100</v>
      </c>
      <c r="M54" t="s">
        <v>35</v>
      </c>
      <c r="N54">
        <v>161</v>
      </c>
      <c r="O54" t="s">
        <v>160</v>
      </c>
      <c r="P54" t="s">
        <v>527</v>
      </c>
      <c r="Q54">
        <f t="shared" si="0"/>
        <v>-50</v>
      </c>
      <c r="R54">
        <f>_xlfn.XLOOKUP(E54,'Data Additive'!E:E,'Data Additive'!E:E,0)</f>
        <v>1246268551</v>
      </c>
    </row>
    <row r="55" spans="1:18" x14ac:dyDescent="0.25">
      <c r="A55">
        <v>1789</v>
      </c>
      <c r="B55" t="s">
        <v>71</v>
      </c>
      <c r="C55" t="s">
        <v>72</v>
      </c>
      <c r="D55" s="34">
        <v>115814.39999999999</v>
      </c>
      <c r="E55">
        <v>1246270360</v>
      </c>
      <c r="F55" s="30">
        <v>46178</v>
      </c>
      <c r="G55" s="30"/>
      <c r="H55" t="s">
        <v>28</v>
      </c>
      <c r="I55" t="s">
        <v>29</v>
      </c>
      <c r="J55">
        <v>11053</v>
      </c>
      <c r="K55" s="30">
        <v>46118</v>
      </c>
      <c r="L55">
        <v>1010100</v>
      </c>
      <c r="M55" t="s">
        <v>35</v>
      </c>
      <c r="N55">
        <v>161</v>
      </c>
      <c r="O55" t="s">
        <v>160</v>
      </c>
      <c r="P55" t="s">
        <v>527</v>
      </c>
      <c r="Q55">
        <f t="shared" si="0"/>
        <v>-37</v>
      </c>
      <c r="R55">
        <f>_xlfn.XLOOKUP(E55,'Data Additive'!E:E,'Data Additive'!E:E,0)</f>
        <v>1246270360</v>
      </c>
    </row>
    <row r="56" spans="1:18" x14ac:dyDescent="0.25">
      <c r="A56">
        <v>1789</v>
      </c>
      <c r="B56" t="s">
        <v>71</v>
      </c>
      <c r="C56" t="s">
        <v>72</v>
      </c>
      <c r="D56" s="34">
        <v>115353.60000000001</v>
      </c>
      <c r="E56">
        <v>1246266246</v>
      </c>
      <c r="F56" s="30">
        <v>46174</v>
      </c>
      <c r="G56" s="30"/>
      <c r="H56" t="s">
        <v>28</v>
      </c>
      <c r="I56" t="s">
        <v>29</v>
      </c>
      <c r="J56">
        <v>10804</v>
      </c>
      <c r="K56" s="30">
        <v>46084</v>
      </c>
      <c r="L56">
        <v>1010100</v>
      </c>
      <c r="M56" t="s">
        <v>35</v>
      </c>
      <c r="N56">
        <v>161</v>
      </c>
      <c r="O56" t="s">
        <v>160</v>
      </c>
      <c r="P56" t="s">
        <v>527</v>
      </c>
      <c r="Q56">
        <f t="shared" si="0"/>
        <v>-33</v>
      </c>
      <c r="R56">
        <f>_xlfn.XLOOKUP(E56,'Data Additive'!E:E,'Data Additive'!E:E,0)</f>
        <v>1246266246</v>
      </c>
    </row>
    <row r="57" spans="1:18" x14ac:dyDescent="0.25">
      <c r="A57">
        <v>1789</v>
      </c>
      <c r="B57" t="s">
        <v>71</v>
      </c>
      <c r="C57" t="s">
        <v>72</v>
      </c>
      <c r="D57" s="34">
        <v>114048</v>
      </c>
      <c r="E57">
        <v>1246268138</v>
      </c>
      <c r="F57" s="30">
        <v>46188</v>
      </c>
      <c r="G57" s="30"/>
      <c r="H57" t="s">
        <v>28</v>
      </c>
      <c r="I57" t="s">
        <v>29</v>
      </c>
      <c r="J57">
        <v>10914</v>
      </c>
      <c r="K57" s="30">
        <v>46098</v>
      </c>
      <c r="L57">
        <v>1010100</v>
      </c>
      <c r="M57" t="s">
        <v>35</v>
      </c>
      <c r="N57">
        <v>161</v>
      </c>
      <c r="O57" t="s">
        <v>160</v>
      </c>
      <c r="P57" t="s">
        <v>527</v>
      </c>
      <c r="Q57">
        <f t="shared" si="0"/>
        <v>-47</v>
      </c>
      <c r="R57">
        <f>_xlfn.XLOOKUP(E57,'Data Additive'!E:E,'Data Additive'!E:E,0)</f>
        <v>1246268138</v>
      </c>
    </row>
    <row r="58" spans="1:18" x14ac:dyDescent="0.25">
      <c r="A58">
        <v>1789</v>
      </c>
      <c r="B58" t="s">
        <v>71</v>
      </c>
      <c r="C58" t="s">
        <v>72</v>
      </c>
      <c r="D58" s="34">
        <v>115468.8</v>
      </c>
      <c r="E58">
        <v>1246267594</v>
      </c>
      <c r="F58" s="30">
        <v>46183</v>
      </c>
      <c r="G58" s="30"/>
      <c r="H58" t="s">
        <v>28</v>
      </c>
      <c r="I58" t="s">
        <v>29</v>
      </c>
      <c r="J58">
        <v>10873</v>
      </c>
      <c r="K58" s="30">
        <v>46093</v>
      </c>
      <c r="L58">
        <v>1010100</v>
      </c>
      <c r="M58" t="s">
        <v>35</v>
      </c>
      <c r="N58">
        <v>161</v>
      </c>
      <c r="O58" t="s">
        <v>160</v>
      </c>
      <c r="P58" t="s">
        <v>527</v>
      </c>
      <c r="Q58">
        <f t="shared" si="0"/>
        <v>-42</v>
      </c>
      <c r="R58">
        <f>_xlfn.XLOOKUP(E58,'Data Additive'!E:E,'Data Additive'!E:E,0)</f>
        <v>1246267594</v>
      </c>
    </row>
    <row r="59" spans="1:18" x14ac:dyDescent="0.25">
      <c r="A59">
        <v>97</v>
      </c>
      <c r="B59" t="s">
        <v>333</v>
      </c>
      <c r="C59" t="s">
        <v>843</v>
      </c>
      <c r="D59" s="34">
        <v>95687.8</v>
      </c>
      <c r="E59">
        <v>1246273059</v>
      </c>
      <c r="F59" s="30">
        <v>46169</v>
      </c>
      <c r="G59" s="30"/>
      <c r="H59" t="s">
        <v>28</v>
      </c>
      <c r="I59" t="s">
        <v>29</v>
      </c>
      <c r="J59">
        <v>11255</v>
      </c>
      <c r="K59" s="30">
        <v>46141</v>
      </c>
      <c r="L59">
        <v>1010100</v>
      </c>
      <c r="M59" t="s">
        <v>35</v>
      </c>
      <c r="N59">
        <v>161</v>
      </c>
      <c r="O59" t="s">
        <v>160</v>
      </c>
      <c r="P59" t="s">
        <v>573</v>
      </c>
      <c r="Q59">
        <f t="shared" si="0"/>
        <v>-28</v>
      </c>
      <c r="R59">
        <f>_xlfn.XLOOKUP(E59,'Data Additive'!E:E,'Data Additive'!E:E,0)</f>
        <v>1246273059</v>
      </c>
    </row>
    <row r="60" spans="1:18" x14ac:dyDescent="0.25">
      <c r="A60">
        <v>97</v>
      </c>
      <c r="B60" t="s">
        <v>333</v>
      </c>
      <c r="C60" t="s">
        <v>843</v>
      </c>
      <c r="D60" s="34">
        <v>47888.6</v>
      </c>
      <c r="E60">
        <v>1246272517</v>
      </c>
      <c r="F60" s="30">
        <v>46164</v>
      </c>
      <c r="G60" s="30"/>
      <c r="H60" t="s">
        <v>28</v>
      </c>
      <c r="I60" t="s">
        <v>29</v>
      </c>
      <c r="J60">
        <v>11216</v>
      </c>
      <c r="K60" s="30">
        <v>46136</v>
      </c>
      <c r="L60">
        <v>1010100</v>
      </c>
      <c r="M60" t="s">
        <v>35</v>
      </c>
      <c r="N60">
        <v>161</v>
      </c>
      <c r="O60" t="s">
        <v>160</v>
      </c>
      <c r="P60" t="s">
        <v>573</v>
      </c>
      <c r="Q60">
        <f t="shared" ref="Q60:Q116" si="1">$R$1-F60</f>
        <v>-23</v>
      </c>
      <c r="R60">
        <f>_xlfn.XLOOKUP(E60,'Data Additive'!E:E,'Data Additive'!E:E,0)</f>
        <v>1246272517</v>
      </c>
    </row>
    <row r="61" spans="1:18" x14ac:dyDescent="0.25">
      <c r="A61">
        <v>97</v>
      </c>
      <c r="B61" t="s">
        <v>333</v>
      </c>
      <c r="C61" t="s">
        <v>843</v>
      </c>
      <c r="D61" s="34">
        <v>414764.93</v>
      </c>
      <c r="E61">
        <v>1246271365</v>
      </c>
      <c r="F61" s="30">
        <v>46154</v>
      </c>
      <c r="G61" s="30"/>
      <c r="H61" t="s">
        <v>28</v>
      </c>
      <c r="I61" t="s">
        <v>29</v>
      </c>
      <c r="J61">
        <v>2874</v>
      </c>
      <c r="K61" s="30">
        <v>46126</v>
      </c>
      <c r="L61">
        <v>1010100</v>
      </c>
      <c r="M61" t="s">
        <v>35</v>
      </c>
      <c r="N61">
        <v>161</v>
      </c>
      <c r="O61" t="s">
        <v>160</v>
      </c>
      <c r="P61" t="s">
        <v>573</v>
      </c>
      <c r="Q61">
        <f t="shared" si="1"/>
        <v>-13</v>
      </c>
      <c r="R61">
        <f>_xlfn.XLOOKUP(E61,'Data Additive'!E:E,'Data Additive'!E:E,0)</f>
        <v>1246271365</v>
      </c>
    </row>
    <row r="62" spans="1:18" x14ac:dyDescent="0.25">
      <c r="A62">
        <v>97</v>
      </c>
      <c r="B62" t="s">
        <v>333</v>
      </c>
      <c r="C62" t="s">
        <v>843</v>
      </c>
      <c r="D62" s="34">
        <v>96194.4</v>
      </c>
      <c r="E62">
        <v>1246271092</v>
      </c>
      <c r="F62" s="30">
        <v>46150</v>
      </c>
      <c r="G62" s="30"/>
      <c r="H62" t="s">
        <v>28</v>
      </c>
      <c r="I62" t="s">
        <v>29</v>
      </c>
      <c r="J62">
        <v>11101</v>
      </c>
      <c r="K62" s="30">
        <v>46122</v>
      </c>
      <c r="L62">
        <v>1010100</v>
      </c>
      <c r="M62" t="s">
        <v>35</v>
      </c>
      <c r="N62">
        <v>161</v>
      </c>
      <c r="O62" t="s">
        <v>160</v>
      </c>
      <c r="P62" t="s">
        <v>573</v>
      </c>
      <c r="Q62">
        <f t="shared" si="1"/>
        <v>-9</v>
      </c>
      <c r="R62">
        <f>_xlfn.XLOOKUP(E62,'Data Additive'!E:E,'Data Additive'!E:E,0)</f>
        <v>1246271092</v>
      </c>
    </row>
    <row r="63" spans="1:18" x14ac:dyDescent="0.25">
      <c r="A63">
        <v>43</v>
      </c>
      <c r="B63" t="s">
        <v>775</v>
      </c>
      <c r="C63" t="s">
        <v>37</v>
      </c>
      <c r="D63" s="34">
        <v>3600</v>
      </c>
      <c r="E63">
        <v>1246271938</v>
      </c>
      <c r="F63" s="30">
        <v>46147</v>
      </c>
      <c r="G63" s="30"/>
      <c r="H63" t="s">
        <v>28</v>
      </c>
      <c r="I63" t="s">
        <v>29</v>
      </c>
      <c r="J63">
        <v>1246271938</v>
      </c>
      <c r="K63" s="30">
        <v>46132</v>
      </c>
      <c r="L63">
        <v>3042200</v>
      </c>
      <c r="M63" t="s">
        <v>830</v>
      </c>
      <c r="N63">
        <v>46</v>
      </c>
      <c r="O63" t="s">
        <v>162</v>
      </c>
      <c r="P63" t="s">
        <v>415</v>
      </c>
      <c r="Q63">
        <f t="shared" si="1"/>
        <v>-6</v>
      </c>
      <c r="R63">
        <f>_xlfn.XLOOKUP(E63,'Data Additive'!E:E,'Data Additive'!E:E,0)</f>
        <v>0</v>
      </c>
    </row>
    <row r="64" spans="1:18" x14ac:dyDescent="0.25">
      <c r="A64">
        <v>43</v>
      </c>
      <c r="B64" t="s">
        <v>775</v>
      </c>
      <c r="C64" t="s">
        <v>37</v>
      </c>
      <c r="D64" s="34">
        <v>71341.5</v>
      </c>
      <c r="E64">
        <v>1246273286</v>
      </c>
      <c r="F64" s="30">
        <v>46170</v>
      </c>
      <c r="G64" s="30"/>
      <c r="H64" t="s">
        <v>28</v>
      </c>
      <c r="I64" t="s">
        <v>29</v>
      </c>
      <c r="J64">
        <v>11275</v>
      </c>
      <c r="K64" s="30">
        <v>46142</v>
      </c>
      <c r="L64">
        <v>1010100</v>
      </c>
      <c r="M64" t="s">
        <v>35</v>
      </c>
      <c r="N64">
        <v>161</v>
      </c>
      <c r="O64" t="s">
        <v>160</v>
      </c>
      <c r="P64" t="s">
        <v>415</v>
      </c>
      <c r="Q64">
        <f t="shared" si="1"/>
        <v>-29</v>
      </c>
      <c r="R64">
        <f>_xlfn.XLOOKUP(E64,'Data Additive'!E:E,'Data Additive'!E:E,0)</f>
        <v>1246273286</v>
      </c>
    </row>
    <row r="65" spans="1:18" x14ac:dyDescent="0.25">
      <c r="A65">
        <v>43</v>
      </c>
      <c r="B65" t="s">
        <v>775</v>
      </c>
      <c r="C65" t="s">
        <v>37</v>
      </c>
      <c r="D65" s="34">
        <v>71431.8</v>
      </c>
      <c r="E65">
        <v>1246271493</v>
      </c>
      <c r="F65" s="30">
        <v>46155</v>
      </c>
      <c r="G65" s="30"/>
      <c r="H65" t="s">
        <v>28</v>
      </c>
      <c r="I65" t="s">
        <v>29</v>
      </c>
      <c r="J65">
        <v>11132</v>
      </c>
      <c r="K65" s="30">
        <v>46127</v>
      </c>
      <c r="L65">
        <v>1010100</v>
      </c>
      <c r="M65" t="s">
        <v>35</v>
      </c>
      <c r="N65">
        <v>161</v>
      </c>
      <c r="O65" t="s">
        <v>160</v>
      </c>
      <c r="P65" t="s">
        <v>415</v>
      </c>
      <c r="Q65">
        <f t="shared" si="1"/>
        <v>-14</v>
      </c>
      <c r="R65">
        <f>_xlfn.XLOOKUP(E65,'Data Additive'!E:E,'Data Additive'!E:E,0)</f>
        <v>1246271493</v>
      </c>
    </row>
    <row r="66" spans="1:18" x14ac:dyDescent="0.25">
      <c r="A66">
        <v>43</v>
      </c>
      <c r="B66" t="s">
        <v>775</v>
      </c>
      <c r="C66" t="s">
        <v>37</v>
      </c>
      <c r="D66" s="34">
        <v>3600</v>
      </c>
      <c r="E66">
        <v>1246271937</v>
      </c>
      <c r="F66" s="30">
        <v>46147</v>
      </c>
      <c r="G66" s="30"/>
      <c r="H66" t="s">
        <v>28</v>
      </c>
      <c r="I66" t="s">
        <v>29</v>
      </c>
      <c r="J66">
        <v>1246271937</v>
      </c>
      <c r="K66" s="30">
        <v>46132</v>
      </c>
      <c r="L66">
        <v>3042200</v>
      </c>
      <c r="M66" t="s">
        <v>830</v>
      </c>
      <c r="N66">
        <v>46</v>
      </c>
      <c r="O66" t="s">
        <v>162</v>
      </c>
      <c r="P66" t="s">
        <v>415</v>
      </c>
      <c r="Q66">
        <f t="shared" si="1"/>
        <v>-6</v>
      </c>
      <c r="R66">
        <f>_xlfn.XLOOKUP(E66,'Data Additive'!E:E,'Data Additive'!E:E,0)</f>
        <v>0</v>
      </c>
    </row>
    <row r="67" spans="1:18" x14ac:dyDescent="0.25">
      <c r="A67">
        <v>43</v>
      </c>
      <c r="B67" t="s">
        <v>775</v>
      </c>
      <c r="C67" t="s">
        <v>37</v>
      </c>
      <c r="D67" s="34">
        <v>3600</v>
      </c>
      <c r="E67">
        <v>1246271931</v>
      </c>
      <c r="F67" s="30">
        <v>46147</v>
      </c>
      <c r="G67" s="30"/>
      <c r="H67" t="s">
        <v>28</v>
      </c>
      <c r="I67" t="s">
        <v>29</v>
      </c>
      <c r="J67">
        <v>1246271931</v>
      </c>
      <c r="K67" s="30">
        <v>46132</v>
      </c>
      <c r="L67">
        <v>3042200</v>
      </c>
      <c r="M67" t="s">
        <v>830</v>
      </c>
      <c r="N67">
        <v>46</v>
      </c>
      <c r="O67" t="s">
        <v>162</v>
      </c>
      <c r="P67" t="s">
        <v>415</v>
      </c>
      <c r="Q67">
        <f t="shared" si="1"/>
        <v>-6</v>
      </c>
      <c r="R67">
        <f>_xlfn.XLOOKUP(E67,'Data Additive'!E:E,'Data Additive'!E:E,0)</f>
        <v>0</v>
      </c>
    </row>
    <row r="68" spans="1:18" x14ac:dyDescent="0.25">
      <c r="A68">
        <v>43</v>
      </c>
      <c r="B68" t="s">
        <v>775</v>
      </c>
      <c r="C68" t="s">
        <v>37</v>
      </c>
      <c r="D68" s="34">
        <v>6000</v>
      </c>
      <c r="E68">
        <v>1246271936</v>
      </c>
      <c r="F68" s="30">
        <v>46147</v>
      </c>
      <c r="G68" s="30"/>
      <c r="H68" t="s">
        <v>28</v>
      </c>
      <c r="I68" t="s">
        <v>29</v>
      </c>
      <c r="J68">
        <v>1246271936</v>
      </c>
      <c r="K68" s="30">
        <v>46132</v>
      </c>
      <c r="L68">
        <v>3042200</v>
      </c>
      <c r="M68" t="s">
        <v>830</v>
      </c>
      <c r="N68">
        <v>46</v>
      </c>
      <c r="O68" t="s">
        <v>162</v>
      </c>
      <c r="P68" t="s">
        <v>415</v>
      </c>
      <c r="Q68">
        <f t="shared" si="1"/>
        <v>-6</v>
      </c>
      <c r="R68">
        <f>_xlfn.XLOOKUP(E68,'Data Additive'!E:E,'Data Additive'!E:E,0)</f>
        <v>0</v>
      </c>
    </row>
    <row r="69" spans="1:18" x14ac:dyDescent="0.25">
      <c r="A69">
        <v>43</v>
      </c>
      <c r="B69" t="s">
        <v>775</v>
      </c>
      <c r="C69" t="s">
        <v>37</v>
      </c>
      <c r="D69" s="34">
        <v>2400</v>
      </c>
      <c r="E69">
        <v>1246271921</v>
      </c>
      <c r="F69" s="30">
        <v>46147</v>
      </c>
      <c r="G69" s="30"/>
      <c r="H69" t="s">
        <v>28</v>
      </c>
      <c r="I69" t="s">
        <v>29</v>
      </c>
      <c r="J69">
        <v>1246271921</v>
      </c>
      <c r="K69" s="30">
        <v>46132</v>
      </c>
      <c r="L69">
        <v>3042200</v>
      </c>
      <c r="M69" t="s">
        <v>830</v>
      </c>
      <c r="N69">
        <v>46</v>
      </c>
      <c r="O69" t="s">
        <v>162</v>
      </c>
      <c r="P69" t="s">
        <v>415</v>
      </c>
      <c r="Q69">
        <f t="shared" si="1"/>
        <v>-6</v>
      </c>
      <c r="R69">
        <f>_xlfn.XLOOKUP(E69,'Data Additive'!E:E,'Data Additive'!E:E,0)</f>
        <v>0</v>
      </c>
    </row>
    <row r="70" spans="1:18" x14ac:dyDescent="0.25">
      <c r="A70">
        <v>43</v>
      </c>
      <c r="B70" t="s">
        <v>775</v>
      </c>
      <c r="C70" t="s">
        <v>37</v>
      </c>
      <c r="D70" s="34">
        <v>71289.600000000006</v>
      </c>
      <c r="E70">
        <v>1246270729</v>
      </c>
      <c r="F70" s="30">
        <v>46148</v>
      </c>
      <c r="G70" s="30"/>
      <c r="H70" t="s">
        <v>28</v>
      </c>
      <c r="I70" t="s">
        <v>29</v>
      </c>
      <c r="J70">
        <v>11076</v>
      </c>
      <c r="K70" s="30">
        <v>46120</v>
      </c>
      <c r="L70">
        <v>1010100</v>
      </c>
      <c r="M70" t="s">
        <v>35</v>
      </c>
      <c r="N70">
        <v>161</v>
      </c>
      <c r="O70" t="s">
        <v>160</v>
      </c>
      <c r="P70" t="s">
        <v>415</v>
      </c>
      <c r="Q70">
        <f t="shared" si="1"/>
        <v>-7</v>
      </c>
      <c r="R70">
        <f>_xlfn.XLOOKUP(E70,'Data Additive'!E:E,'Data Additive'!E:E,0)</f>
        <v>1246270729</v>
      </c>
    </row>
    <row r="71" spans="1:18" x14ac:dyDescent="0.25">
      <c r="A71">
        <v>43</v>
      </c>
      <c r="B71" t="s">
        <v>775</v>
      </c>
      <c r="C71" t="s">
        <v>37</v>
      </c>
      <c r="D71" s="34">
        <v>71652.2</v>
      </c>
      <c r="E71">
        <v>1246272199</v>
      </c>
      <c r="F71" s="30">
        <v>46163</v>
      </c>
      <c r="G71" s="30"/>
      <c r="H71" t="s">
        <v>28</v>
      </c>
      <c r="I71" t="s">
        <v>29</v>
      </c>
      <c r="J71">
        <v>11195</v>
      </c>
      <c r="K71" s="30">
        <v>46135</v>
      </c>
      <c r="L71">
        <v>1010100</v>
      </c>
      <c r="M71" t="s">
        <v>35</v>
      </c>
      <c r="N71">
        <v>161</v>
      </c>
      <c r="O71" t="s">
        <v>160</v>
      </c>
      <c r="P71" t="s">
        <v>415</v>
      </c>
      <c r="Q71">
        <f t="shared" si="1"/>
        <v>-22</v>
      </c>
      <c r="R71">
        <f>_xlfn.XLOOKUP(E71,'Data Additive'!E:E,'Data Additive'!E:E,0)</f>
        <v>1246272199</v>
      </c>
    </row>
    <row r="72" spans="1:18" x14ac:dyDescent="0.25">
      <c r="A72">
        <v>43</v>
      </c>
      <c r="B72" t="s">
        <v>775</v>
      </c>
      <c r="C72" t="s">
        <v>37</v>
      </c>
      <c r="D72" s="34">
        <v>71652.2</v>
      </c>
      <c r="E72">
        <v>1246272852</v>
      </c>
      <c r="F72" s="30">
        <v>46167</v>
      </c>
      <c r="G72" s="30"/>
      <c r="H72" t="s">
        <v>28</v>
      </c>
      <c r="I72" t="s">
        <v>29</v>
      </c>
      <c r="J72">
        <v>11238</v>
      </c>
      <c r="K72" s="30">
        <v>46139</v>
      </c>
      <c r="L72">
        <v>1010100</v>
      </c>
      <c r="M72" t="s">
        <v>35</v>
      </c>
      <c r="N72">
        <v>161</v>
      </c>
      <c r="O72" t="s">
        <v>160</v>
      </c>
      <c r="P72" t="s">
        <v>415</v>
      </c>
      <c r="Q72">
        <f t="shared" si="1"/>
        <v>-26</v>
      </c>
      <c r="R72">
        <f>_xlfn.XLOOKUP(E72,'Data Additive'!E:E,'Data Additive'!E:E,0)</f>
        <v>1246272852</v>
      </c>
    </row>
    <row r="73" spans="1:18" x14ac:dyDescent="0.25">
      <c r="A73">
        <v>1936</v>
      </c>
      <c r="B73" t="s">
        <v>74</v>
      </c>
      <c r="C73" t="s">
        <v>75</v>
      </c>
      <c r="D73" s="34">
        <v>54000</v>
      </c>
      <c r="E73">
        <v>1246271887</v>
      </c>
      <c r="F73" s="30">
        <v>46160</v>
      </c>
      <c r="G73" s="30"/>
      <c r="H73" t="s">
        <v>28</v>
      </c>
      <c r="I73" t="s">
        <v>29</v>
      </c>
      <c r="J73">
        <v>11175</v>
      </c>
      <c r="K73" s="30">
        <v>46132</v>
      </c>
      <c r="L73">
        <v>1010100</v>
      </c>
      <c r="M73" t="s">
        <v>35</v>
      </c>
      <c r="N73">
        <v>56</v>
      </c>
      <c r="O73" t="s">
        <v>161</v>
      </c>
      <c r="P73" t="s">
        <v>415</v>
      </c>
      <c r="Q73">
        <f t="shared" si="1"/>
        <v>-19</v>
      </c>
      <c r="R73">
        <f>_xlfn.XLOOKUP(E73,'Data Additive'!E:E,'Data Additive'!E:E,0)</f>
        <v>1246271887</v>
      </c>
    </row>
    <row r="74" spans="1:18" x14ac:dyDescent="0.25">
      <c r="A74">
        <v>1936</v>
      </c>
      <c r="B74" t="s">
        <v>74</v>
      </c>
      <c r="C74" t="s">
        <v>75</v>
      </c>
      <c r="D74" s="34">
        <v>39900</v>
      </c>
      <c r="E74">
        <v>1246271562</v>
      </c>
      <c r="F74" s="30">
        <v>46156</v>
      </c>
      <c r="G74" s="30"/>
      <c r="H74" t="s">
        <v>28</v>
      </c>
      <c r="I74" t="s">
        <v>29</v>
      </c>
      <c r="J74">
        <v>11139</v>
      </c>
      <c r="K74" s="30">
        <v>46128</v>
      </c>
      <c r="L74">
        <v>1010100</v>
      </c>
      <c r="M74" t="s">
        <v>35</v>
      </c>
      <c r="N74">
        <v>56</v>
      </c>
      <c r="O74" t="s">
        <v>161</v>
      </c>
      <c r="P74" t="s">
        <v>415</v>
      </c>
      <c r="Q74">
        <f t="shared" si="1"/>
        <v>-15</v>
      </c>
      <c r="R74">
        <f>_xlfn.XLOOKUP(E74,'Data Additive'!E:E,'Data Additive'!E:E,0)</f>
        <v>1246271562</v>
      </c>
    </row>
    <row r="75" spans="1:18" x14ac:dyDescent="0.25">
      <c r="A75">
        <v>33</v>
      </c>
      <c r="B75" t="s">
        <v>874</v>
      </c>
      <c r="C75" t="s">
        <v>666</v>
      </c>
      <c r="D75" s="34">
        <v>52960</v>
      </c>
      <c r="E75">
        <v>1246272783</v>
      </c>
      <c r="F75" s="30">
        <v>46169</v>
      </c>
      <c r="G75" s="30"/>
      <c r="H75" t="s">
        <v>28</v>
      </c>
      <c r="I75" t="s">
        <v>29</v>
      </c>
      <c r="J75">
        <v>11230</v>
      </c>
      <c r="K75" s="30">
        <v>46139</v>
      </c>
      <c r="L75">
        <v>1010100</v>
      </c>
      <c r="M75" t="s">
        <v>35</v>
      </c>
      <c r="N75">
        <v>161</v>
      </c>
      <c r="O75" t="s">
        <v>160</v>
      </c>
      <c r="P75" t="s">
        <v>526</v>
      </c>
      <c r="Q75">
        <f t="shared" si="1"/>
        <v>-28</v>
      </c>
      <c r="R75">
        <f>_xlfn.XLOOKUP(E75,'Data Additive'!E:E,'Data Additive'!E:E,0)</f>
        <v>1246272783</v>
      </c>
    </row>
    <row r="76" spans="1:18" x14ac:dyDescent="0.25">
      <c r="A76">
        <v>33</v>
      </c>
      <c r="B76" t="s">
        <v>874</v>
      </c>
      <c r="C76" t="s">
        <v>666</v>
      </c>
      <c r="D76" s="34">
        <v>99167.6</v>
      </c>
      <c r="E76">
        <v>1246271248</v>
      </c>
      <c r="F76" s="30">
        <v>46155</v>
      </c>
      <c r="G76" s="30"/>
      <c r="H76" t="s">
        <v>28</v>
      </c>
      <c r="I76" t="s">
        <v>29</v>
      </c>
      <c r="J76">
        <v>11114</v>
      </c>
      <c r="K76" s="30">
        <v>46125</v>
      </c>
      <c r="L76">
        <v>1010100</v>
      </c>
      <c r="M76" t="s">
        <v>35</v>
      </c>
      <c r="N76">
        <v>161</v>
      </c>
      <c r="O76" t="s">
        <v>160</v>
      </c>
      <c r="P76" t="s">
        <v>526</v>
      </c>
      <c r="Q76">
        <f t="shared" si="1"/>
        <v>-14</v>
      </c>
      <c r="R76">
        <f>_xlfn.XLOOKUP(E76,'Data Additive'!E:E,'Data Additive'!E:E,0)</f>
        <v>1246271248</v>
      </c>
    </row>
    <row r="77" spans="1:18" x14ac:dyDescent="0.25">
      <c r="A77">
        <v>214</v>
      </c>
      <c r="B77" t="s">
        <v>164</v>
      </c>
      <c r="C77" t="s">
        <v>818</v>
      </c>
      <c r="D77" s="34">
        <v>82931.8</v>
      </c>
      <c r="E77">
        <v>1246270505</v>
      </c>
      <c r="F77" s="30">
        <v>46147</v>
      </c>
      <c r="G77" s="30">
        <v>46147</v>
      </c>
      <c r="H77" t="s">
        <v>28</v>
      </c>
      <c r="I77" t="s">
        <v>29</v>
      </c>
      <c r="J77">
        <v>11065</v>
      </c>
      <c r="K77" s="30">
        <v>46119</v>
      </c>
      <c r="L77">
        <v>1010100</v>
      </c>
      <c r="M77" t="s">
        <v>35</v>
      </c>
      <c r="N77">
        <v>161</v>
      </c>
      <c r="O77" t="s">
        <v>160</v>
      </c>
      <c r="P77" t="s">
        <v>416</v>
      </c>
      <c r="Q77">
        <f t="shared" si="1"/>
        <v>-6</v>
      </c>
      <c r="R77">
        <f>_xlfn.XLOOKUP(E77,'Data Additive'!E:E,'Data Additive'!E:E,0)</f>
        <v>1246270505</v>
      </c>
    </row>
    <row r="78" spans="1:18" x14ac:dyDescent="0.25">
      <c r="A78">
        <v>214</v>
      </c>
      <c r="B78" t="s">
        <v>164</v>
      </c>
      <c r="C78" t="s">
        <v>818</v>
      </c>
      <c r="D78" s="34">
        <v>82854.100000000006</v>
      </c>
      <c r="E78">
        <v>1246272851</v>
      </c>
      <c r="F78" s="30">
        <v>46167</v>
      </c>
      <c r="G78" s="30"/>
      <c r="H78" t="s">
        <v>28</v>
      </c>
      <c r="I78" t="s">
        <v>29</v>
      </c>
      <c r="J78">
        <v>11237</v>
      </c>
      <c r="K78" s="30">
        <v>46139</v>
      </c>
      <c r="L78">
        <v>1010100</v>
      </c>
      <c r="M78" t="s">
        <v>35</v>
      </c>
      <c r="N78">
        <v>161</v>
      </c>
      <c r="O78" t="s">
        <v>160</v>
      </c>
      <c r="P78" t="s">
        <v>416</v>
      </c>
      <c r="Q78">
        <f t="shared" si="1"/>
        <v>-26</v>
      </c>
      <c r="R78">
        <f>_xlfn.XLOOKUP(E78,'Data Additive'!E:E,'Data Additive'!E:E,0)</f>
        <v>1246272851</v>
      </c>
    </row>
    <row r="79" spans="1:18" x14ac:dyDescent="0.25">
      <c r="A79">
        <v>214</v>
      </c>
      <c r="B79" t="s">
        <v>164</v>
      </c>
      <c r="C79" t="s">
        <v>818</v>
      </c>
      <c r="D79" s="34">
        <v>99281.7</v>
      </c>
      <c r="E79">
        <v>1246271672</v>
      </c>
      <c r="F79" s="30">
        <v>46157</v>
      </c>
      <c r="G79" s="30"/>
      <c r="H79" t="s">
        <v>28</v>
      </c>
      <c r="I79" t="s">
        <v>29</v>
      </c>
      <c r="J79">
        <v>11156</v>
      </c>
      <c r="K79" s="30">
        <v>46129</v>
      </c>
      <c r="L79">
        <v>1010100</v>
      </c>
      <c r="M79" t="s">
        <v>35</v>
      </c>
      <c r="N79">
        <v>161</v>
      </c>
      <c r="O79" t="s">
        <v>160</v>
      </c>
      <c r="P79" t="s">
        <v>416</v>
      </c>
      <c r="Q79">
        <f t="shared" si="1"/>
        <v>-16</v>
      </c>
      <c r="R79">
        <f>_xlfn.XLOOKUP(E79,'Data Additive'!E:E,'Data Additive'!E:E,0)</f>
        <v>1246271672</v>
      </c>
    </row>
    <row r="80" spans="1:18" x14ac:dyDescent="0.25">
      <c r="A80">
        <v>2</v>
      </c>
      <c r="B80" t="s">
        <v>34</v>
      </c>
      <c r="C80" t="s">
        <v>815</v>
      </c>
      <c r="D80" s="34">
        <v>13431</v>
      </c>
      <c r="E80">
        <v>1246272905</v>
      </c>
      <c r="F80" s="30">
        <v>46168</v>
      </c>
      <c r="G80" s="30">
        <v>46146</v>
      </c>
      <c r="H80" t="s">
        <v>816</v>
      </c>
      <c r="I80" t="s">
        <v>817</v>
      </c>
      <c r="J80">
        <v>2898</v>
      </c>
      <c r="K80" s="30">
        <v>46140</v>
      </c>
      <c r="L80">
        <v>1010100</v>
      </c>
      <c r="M80" t="s">
        <v>35</v>
      </c>
      <c r="N80">
        <v>199</v>
      </c>
      <c r="O80" t="s">
        <v>853</v>
      </c>
      <c r="P80" t="s">
        <v>417</v>
      </c>
      <c r="Q80">
        <f t="shared" si="1"/>
        <v>-27</v>
      </c>
      <c r="R80">
        <f>_xlfn.XLOOKUP(E80,'Data Additive'!E:E,'Data Additive'!E:E,0)</f>
        <v>1246272905</v>
      </c>
    </row>
    <row r="81" spans="1:18" x14ac:dyDescent="0.25">
      <c r="A81">
        <v>183</v>
      </c>
      <c r="B81" t="s">
        <v>41</v>
      </c>
      <c r="C81" t="s">
        <v>42</v>
      </c>
      <c r="D81" s="34">
        <v>4231.96</v>
      </c>
      <c r="E81">
        <v>1246014155</v>
      </c>
      <c r="F81" s="30">
        <v>47847</v>
      </c>
      <c r="G81" s="30"/>
      <c r="H81" t="s">
        <v>28</v>
      </c>
      <c r="I81" t="s">
        <v>29</v>
      </c>
      <c r="J81">
        <v>8361</v>
      </c>
      <c r="K81" s="30">
        <v>43384</v>
      </c>
      <c r="L81">
        <v>1010100</v>
      </c>
      <c r="M81" t="s">
        <v>35</v>
      </c>
      <c r="N81">
        <v>161</v>
      </c>
      <c r="O81" t="s">
        <v>160</v>
      </c>
      <c r="P81" t="s">
        <v>526</v>
      </c>
      <c r="Q81">
        <f t="shared" si="1"/>
        <v>-1706</v>
      </c>
      <c r="R81">
        <f>_xlfn.XLOOKUP(E81,'Data Additive'!E:E,'Data Additive'!E:E,0)</f>
        <v>1246014155</v>
      </c>
    </row>
    <row r="82" spans="1:18" x14ac:dyDescent="0.25">
      <c r="A82">
        <v>183</v>
      </c>
      <c r="B82" t="s">
        <v>41</v>
      </c>
      <c r="C82" t="s">
        <v>42</v>
      </c>
      <c r="D82" s="34">
        <v>4045.01</v>
      </c>
      <c r="E82">
        <v>1246014156</v>
      </c>
      <c r="F82" s="30">
        <v>48212</v>
      </c>
      <c r="G82" s="30"/>
      <c r="H82" t="s">
        <v>28</v>
      </c>
      <c r="I82" t="s">
        <v>29</v>
      </c>
      <c r="J82">
        <v>8361</v>
      </c>
      <c r="K82" s="30">
        <v>43384</v>
      </c>
      <c r="L82">
        <v>1010100</v>
      </c>
      <c r="M82" t="s">
        <v>35</v>
      </c>
      <c r="N82">
        <v>161</v>
      </c>
      <c r="O82" t="s">
        <v>160</v>
      </c>
      <c r="P82" t="s">
        <v>526</v>
      </c>
      <c r="Q82">
        <f t="shared" si="1"/>
        <v>-2071</v>
      </c>
      <c r="R82">
        <f>_xlfn.XLOOKUP(E82,'Data Additive'!E:E,'Data Additive'!E:E,0)</f>
        <v>1246014156</v>
      </c>
    </row>
    <row r="83" spans="1:18" x14ac:dyDescent="0.25">
      <c r="A83">
        <v>183</v>
      </c>
      <c r="B83" t="s">
        <v>41</v>
      </c>
      <c r="C83" t="s">
        <v>42</v>
      </c>
      <c r="D83" s="34">
        <v>4339.6000000000004</v>
      </c>
      <c r="E83">
        <v>1246014157</v>
      </c>
      <c r="F83" s="30">
        <v>48578</v>
      </c>
      <c r="G83" s="30"/>
      <c r="H83" t="s">
        <v>28</v>
      </c>
      <c r="I83" t="s">
        <v>29</v>
      </c>
      <c r="J83">
        <v>8361</v>
      </c>
      <c r="K83" s="30">
        <v>43384</v>
      </c>
      <c r="L83">
        <v>1010100</v>
      </c>
      <c r="M83" t="s">
        <v>35</v>
      </c>
      <c r="N83">
        <v>161</v>
      </c>
      <c r="O83" t="s">
        <v>160</v>
      </c>
      <c r="P83" t="s">
        <v>526</v>
      </c>
      <c r="Q83">
        <f t="shared" si="1"/>
        <v>-2437</v>
      </c>
      <c r="R83">
        <f>_xlfn.XLOOKUP(E83,'Data Additive'!E:E,'Data Additive'!E:E,0)</f>
        <v>1246014157</v>
      </c>
    </row>
    <row r="84" spans="1:18" x14ac:dyDescent="0.25">
      <c r="A84">
        <v>183</v>
      </c>
      <c r="B84" t="s">
        <v>41</v>
      </c>
      <c r="C84" t="s">
        <v>42</v>
      </c>
      <c r="D84" s="34">
        <v>7512.16</v>
      </c>
      <c r="E84">
        <v>1246014158</v>
      </c>
      <c r="F84" s="30">
        <v>48943</v>
      </c>
      <c r="G84" s="30"/>
      <c r="H84" t="s">
        <v>28</v>
      </c>
      <c r="I84" t="s">
        <v>29</v>
      </c>
      <c r="J84">
        <v>8361</v>
      </c>
      <c r="K84" s="30">
        <v>43384</v>
      </c>
      <c r="L84">
        <v>1010100</v>
      </c>
      <c r="M84" t="s">
        <v>35</v>
      </c>
      <c r="N84">
        <v>161</v>
      </c>
      <c r="O84" t="s">
        <v>160</v>
      </c>
      <c r="P84" t="s">
        <v>526</v>
      </c>
      <c r="Q84">
        <f t="shared" si="1"/>
        <v>-2802</v>
      </c>
      <c r="R84">
        <f>_xlfn.XLOOKUP(E84,'Data Additive'!E:E,'Data Additive'!E:E,0)</f>
        <v>1246014158</v>
      </c>
    </row>
    <row r="85" spans="1:18" x14ac:dyDescent="0.25">
      <c r="A85">
        <v>183</v>
      </c>
      <c r="B85" t="s">
        <v>41</v>
      </c>
      <c r="C85" t="s">
        <v>42</v>
      </c>
      <c r="D85" s="34">
        <v>30552.86</v>
      </c>
      <c r="E85">
        <v>1246014159</v>
      </c>
      <c r="F85" s="30">
        <v>49308</v>
      </c>
      <c r="G85" s="30"/>
      <c r="H85" t="s">
        <v>28</v>
      </c>
      <c r="I85" t="s">
        <v>29</v>
      </c>
      <c r="J85">
        <v>8361</v>
      </c>
      <c r="K85" s="30">
        <v>43384</v>
      </c>
      <c r="L85">
        <v>1010100</v>
      </c>
      <c r="M85" t="s">
        <v>35</v>
      </c>
      <c r="N85">
        <v>161</v>
      </c>
      <c r="O85" t="s">
        <v>160</v>
      </c>
      <c r="P85" t="s">
        <v>526</v>
      </c>
      <c r="Q85">
        <f t="shared" si="1"/>
        <v>-3167</v>
      </c>
      <c r="R85">
        <f>_xlfn.XLOOKUP(E85,'Data Additive'!E:E,'Data Additive'!E:E,0)</f>
        <v>1246014159</v>
      </c>
    </row>
    <row r="86" spans="1:18" x14ac:dyDescent="0.25">
      <c r="A86">
        <v>183</v>
      </c>
      <c r="B86" t="s">
        <v>41</v>
      </c>
      <c r="C86" t="s">
        <v>42</v>
      </c>
      <c r="D86" s="34">
        <v>1512.63</v>
      </c>
      <c r="E86">
        <v>1246014161</v>
      </c>
      <c r="F86" s="30">
        <v>50039</v>
      </c>
      <c r="G86" s="30"/>
      <c r="H86" t="s">
        <v>28</v>
      </c>
      <c r="I86" t="s">
        <v>29</v>
      </c>
      <c r="J86">
        <v>8361</v>
      </c>
      <c r="K86" s="30">
        <v>43384</v>
      </c>
      <c r="L86">
        <v>1010100</v>
      </c>
      <c r="M86" t="s">
        <v>35</v>
      </c>
      <c r="N86">
        <v>161</v>
      </c>
      <c r="O86" t="s">
        <v>160</v>
      </c>
      <c r="P86" t="s">
        <v>526</v>
      </c>
      <c r="Q86">
        <f t="shared" si="1"/>
        <v>-3898</v>
      </c>
      <c r="R86">
        <f>_xlfn.XLOOKUP(E86,'Data Additive'!E:E,'Data Additive'!E:E,0)</f>
        <v>1246014161</v>
      </c>
    </row>
    <row r="87" spans="1:18" x14ac:dyDescent="0.25">
      <c r="A87">
        <v>183</v>
      </c>
      <c r="B87" t="s">
        <v>41</v>
      </c>
      <c r="C87" t="s">
        <v>42</v>
      </c>
      <c r="D87" s="34">
        <v>1982.85</v>
      </c>
      <c r="E87">
        <v>1246014162</v>
      </c>
      <c r="F87" s="30">
        <v>50404</v>
      </c>
      <c r="G87" s="30"/>
      <c r="H87" t="s">
        <v>28</v>
      </c>
      <c r="I87" t="s">
        <v>29</v>
      </c>
      <c r="J87">
        <v>8361</v>
      </c>
      <c r="K87" s="30">
        <v>43384</v>
      </c>
      <c r="L87">
        <v>1010100</v>
      </c>
      <c r="M87" t="s">
        <v>35</v>
      </c>
      <c r="N87">
        <v>161</v>
      </c>
      <c r="O87" t="s">
        <v>160</v>
      </c>
      <c r="P87" t="s">
        <v>526</v>
      </c>
      <c r="Q87">
        <f t="shared" si="1"/>
        <v>-4263</v>
      </c>
      <c r="R87">
        <f>_xlfn.XLOOKUP(E87,'Data Additive'!E:E,'Data Additive'!E:E,0)</f>
        <v>1246014162</v>
      </c>
    </row>
    <row r="88" spans="1:18" x14ac:dyDescent="0.25">
      <c r="A88">
        <v>183</v>
      </c>
      <c r="B88" t="s">
        <v>41</v>
      </c>
      <c r="C88" t="s">
        <v>42</v>
      </c>
      <c r="D88" s="34">
        <v>2549.38</v>
      </c>
      <c r="E88">
        <v>1246014163</v>
      </c>
      <c r="F88" s="30">
        <v>50769</v>
      </c>
      <c r="G88" s="30"/>
      <c r="H88" t="s">
        <v>28</v>
      </c>
      <c r="I88" t="s">
        <v>29</v>
      </c>
      <c r="J88">
        <v>8361</v>
      </c>
      <c r="K88" s="30">
        <v>43384</v>
      </c>
      <c r="L88">
        <v>1010100</v>
      </c>
      <c r="M88" t="s">
        <v>35</v>
      </c>
      <c r="N88">
        <v>161</v>
      </c>
      <c r="O88" t="s">
        <v>160</v>
      </c>
      <c r="P88" t="s">
        <v>526</v>
      </c>
      <c r="Q88">
        <f t="shared" si="1"/>
        <v>-4628</v>
      </c>
      <c r="R88">
        <f>_xlfn.XLOOKUP(E88,'Data Additive'!E:E,'Data Additive'!E:E,0)</f>
        <v>1246014163</v>
      </c>
    </row>
    <row r="89" spans="1:18" x14ac:dyDescent="0.25">
      <c r="A89">
        <v>183</v>
      </c>
      <c r="B89" t="s">
        <v>41</v>
      </c>
      <c r="C89" t="s">
        <v>42</v>
      </c>
      <c r="D89" s="34">
        <v>5546.31</v>
      </c>
      <c r="E89">
        <v>1246014165</v>
      </c>
      <c r="F89" s="30">
        <v>51500</v>
      </c>
      <c r="G89" s="30"/>
      <c r="H89" t="s">
        <v>28</v>
      </c>
      <c r="I89" t="s">
        <v>29</v>
      </c>
      <c r="J89">
        <v>8361</v>
      </c>
      <c r="K89" s="30">
        <v>43384</v>
      </c>
      <c r="L89">
        <v>1010100</v>
      </c>
      <c r="M89" t="s">
        <v>35</v>
      </c>
      <c r="N89">
        <v>161</v>
      </c>
      <c r="O89" t="s">
        <v>160</v>
      </c>
      <c r="P89" t="s">
        <v>526</v>
      </c>
      <c r="Q89">
        <f t="shared" si="1"/>
        <v>-5359</v>
      </c>
      <c r="R89">
        <f>_xlfn.XLOOKUP(E89,'Data Additive'!E:E,'Data Additive'!E:E,0)</f>
        <v>1246014165</v>
      </c>
    </row>
    <row r="90" spans="1:18" x14ac:dyDescent="0.25">
      <c r="A90">
        <v>183</v>
      </c>
      <c r="B90" t="s">
        <v>41</v>
      </c>
      <c r="C90" t="s">
        <v>42</v>
      </c>
      <c r="D90" s="34">
        <v>5546.31</v>
      </c>
      <c r="E90">
        <v>1246014166</v>
      </c>
      <c r="F90" s="30">
        <v>51865</v>
      </c>
      <c r="G90" s="30"/>
      <c r="H90" t="s">
        <v>28</v>
      </c>
      <c r="I90" t="s">
        <v>29</v>
      </c>
      <c r="J90">
        <v>8361</v>
      </c>
      <c r="K90" s="30">
        <v>43384</v>
      </c>
      <c r="L90">
        <v>1010100</v>
      </c>
      <c r="M90" t="s">
        <v>35</v>
      </c>
      <c r="N90">
        <v>161</v>
      </c>
      <c r="O90" t="s">
        <v>160</v>
      </c>
      <c r="P90" t="s">
        <v>526</v>
      </c>
      <c r="Q90">
        <f t="shared" si="1"/>
        <v>-5724</v>
      </c>
      <c r="R90">
        <f>_xlfn.XLOOKUP(E90,'Data Additive'!E:E,'Data Additive'!E:E,0)</f>
        <v>1246014166</v>
      </c>
    </row>
    <row r="91" spans="1:18" x14ac:dyDescent="0.25">
      <c r="A91">
        <v>183</v>
      </c>
      <c r="B91" t="s">
        <v>41</v>
      </c>
      <c r="C91" t="s">
        <v>42</v>
      </c>
      <c r="D91" s="34">
        <v>5546.31</v>
      </c>
      <c r="E91">
        <v>1246014167</v>
      </c>
      <c r="F91" s="30">
        <v>52230</v>
      </c>
      <c r="G91" s="30"/>
      <c r="H91" t="s">
        <v>28</v>
      </c>
      <c r="I91" t="s">
        <v>29</v>
      </c>
      <c r="J91">
        <v>8361</v>
      </c>
      <c r="K91" s="30">
        <v>43384</v>
      </c>
      <c r="L91">
        <v>1010100</v>
      </c>
      <c r="M91" t="s">
        <v>35</v>
      </c>
      <c r="N91">
        <v>161</v>
      </c>
      <c r="O91" t="s">
        <v>160</v>
      </c>
      <c r="P91" t="s">
        <v>526</v>
      </c>
      <c r="Q91">
        <f t="shared" si="1"/>
        <v>-6089</v>
      </c>
      <c r="R91">
        <f>_xlfn.XLOOKUP(E91,'Data Additive'!E:E,'Data Additive'!E:E,0)</f>
        <v>1246014167</v>
      </c>
    </row>
    <row r="92" spans="1:18" x14ac:dyDescent="0.25">
      <c r="A92">
        <v>183</v>
      </c>
      <c r="B92" t="s">
        <v>41</v>
      </c>
      <c r="C92" t="s">
        <v>42</v>
      </c>
      <c r="D92" s="34">
        <v>5546.31</v>
      </c>
      <c r="E92">
        <v>1246014168</v>
      </c>
      <c r="F92" s="30">
        <v>52595</v>
      </c>
      <c r="G92" s="30"/>
      <c r="H92" t="s">
        <v>28</v>
      </c>
      <c r="I92" t="s">
        <v>29</v>
      </c>
      <c r="J92">
        <v>8361</v>
      </c>
      <c r="K92" s="30">
        <v>43384</v>
      </c>
      <c r="L92">
        <v>1010100</v>
      </c>
      <c r="M92" t="s">
        <v>35</v>
      </c>
      <c r="N92">
        <v>161</v>
      </c>
      <c r="O92" t="s">
        <v>160</v>
      </c>
      <c r="P92" t="s">
        <v>526</v>
      </c>
      <c r="Q92">
        <f t="shared" si="1"/>
        <v>-6454</v>
      </c>
      <c r="R92">
        <f>_xlfn.XLOOKUP(E92,'Data Additive'!E:E,'Data Additive'!E:E,0)</f>
        <v>1246014168</v>
      </c>
    </row>
    <row r="93" spans="1:18" x14ac:dyDescent="0.25">
      <c r="A93">
        <v>183</v>
      </c>
      <c r="B93" t="s">
        <v>41</v>
      </c>
      <c r="C93" t="s">
        <v>42</v>
      </c>
      <c r="D93" s="34">
        <v>5546.31</v>
      </c>
      <c r="E93">
        <v>1246014169</v>
      </c>
      <c r="F93" s="30">
        <v>52961</v>
      </c>
      <c r="G93" s="30"/>
      <c r="H93" t="s">
        <v>28</v>
      </c>
      <c r="I93" t="s">
        <v>29</v>
      </c>
      <c r="J93">
        <v>8361</v>
      </c>
      <c r="K93" s="30">
        <v>43384</v>
      </c>
      <c r="L93">
        <v>1010100</v>
      </c>
      <c r="M93" t="s">
        <v>35</v>
      </c>
      <c r="N93">
        <v>161</v>
      </c>
      <c r="O93" t="s">
        <v>160</v>
      </c>
      <c r="P93" t="s">
        <v>526</v>
      </c>
      <c r="Q93">
        <f t="shared" si="1"/>
        <v>-6820</v>
      </c>
      <c r="R93">
        <f>_xlfn.XLOOKUP(E93,'Data Additive'!E:E,'Data Additive'!E:E,0)</f>
        <v>1246014169</v>
      </c>
    </row>
    <row r="94" spans="1:18" x14ac:dyDescent="0.25">
      <c r="A94">
        <v>183</v>
      </c>
      <c r="B94" t="s">
        <v>41</v>
      </c>
      <c r="C94" t="s">
        <v>42</v>
      </c>
      <c r="D94" s="34">
        <v>5568.96</v>
      </c>
      <c r="E94">
        <v>1246014170</v>
      </c>
      <c r="F94" s="30">
        <v>53326</v>
      </c>
      <c r="G94" s="30"/>
      <c r="H94" t="s">
        <v>28</v>
      </c>
      <c r="I94" t="s">
        <v>29</v>
      </c>
      <c r="J94">
        <v>8361</v>
      </c>
      <c r="K94" s="30">
        <v>43384</v>
      </c>
      <c r="L94">
        <v>1010100</v>
      </c>
      <c r="M94" t="s">
        <v>35</v>
      </c>
      <c r="N94">
        <v>161</v>
      </c>
      <c r="O94" t="s">
        <v>160</v>
      </c>
      <c r="P94" t="s">
        <v>526</v>
      </c>
      <c r="Q94">
        <f t="shared" si="1"/>
        <v>-7185</v>
      </c>
      <c r="R94">
        <f>_xlfn.XLOOKUP(E94,'Data Additive'!E:E,'Data Additive'!E:E,0)</f>
        <v>1246014170</v>
      </c>
    </row>
    <row r="95" spans="1:18" x14ac:dyDescent="0.25">
      <c r="A95">
        <v>183</v>
      </c>
      <c r="B95" t="s">
        <v>41</v>
      </c>
      <c r="C95" t="s">
        <v>42</v>
      </c>
      <c r="D95" s="34">
        <v>2487.06</v>
      </c>
      <c r="E95">
        <v>1246137877</v>
      </c>
      <c r="F95" s="30">
        <v>49673</v>
      </c>
      <c r="G95" s="30"/>
      <c r="H95" t="s">
        <v>28</v>
      </c>
      <c r="I95" t="s">
        <v>29</v>
      </c>
      <c r="J95">
        <v>8361</v>
      </c>
      <c r="K95" s="30">
        <v>43384</v>
      </c>
      <c r="L95">
        <v>1010100</v>
      </c>
      <c r="M95" t="s">
        <v>35</v>
      </c>
      <c r="N95">
        <v>161</v>
      </c>
      <c r="O95" t="s">
        <v>160</v>
      </c>
      <c r="P95" t="s">
        <v>526</v>
      </c>
      <c r="Q95">
        <f t="shared" si="1"/>
        <v>-3532</v>
      </c>
      <c r="R95">
        <f>_xlfn.XLOOKUP(E95,'Data Additive'!E:E,'Data Additive'!E:E,0)</f>
        <v>1246137877</v>
      </c>
    </row>
    <row r="96" spans="1:18" x14ac:dyDescent="0.25">
      <c r="A96">
        <v>183</v>
      </c>
      <c r="B96" t="s">
        <v>41</v>
      </c>
      <c r="C96" t="s">
        <v>42</v>
      </c>
      <c r="D96" s="34">
        <v>2151.75</v>
      </c>
      <c r="E96">
        <v>1246265345</v>
      </c>
      <c r="F96" s="30">
        <v>47482</v>
      </c>
      <c r="G96" s="30"/>
      <c r="H96" t="s">
        <v>28</v>
      </c>
      <c r="I96" t="s">
        <v>29</v>
      </c>
      <c r="J96">
        <v>8361</v>
      </c>
      <c r="K96" s="30">
        <v>43384</v>
      </c>
      <c r="L96">
        <v>1010100</v>
      </c>
      <c r="M96" t="s">
        <v>35</v>
      </c>
      <c r="N96">
        <v>161</v>
      </c>
      <c r="O96" t="s">
        <v>160</v>
      </c>
      <c r="P96" t="s">
        <v>526</v>
      </c>
      <c r="Q96">
        <f t="shared" si="1"/>
        <v>-1341</v>
      </c>
      <c r="R96">
        <f>_xlfn.XLOOKUP(E96,'Data Additive'!E:E,'Data Additive'!E:E,0)</f>
        <v>1246265345</v>
      </c>
    </row>
    <row r="97" spans="1:18" x14ac:dyDescent="0.25">
      <c r="A97">
        <v>183</v>
      </c>
      <c r="B97" t="s">
        <v>41</v>
      </c>
      <c r="C97" t="s">
        <v>42</v>
      </c>
      <c r="D97" s="34">
        <v>2104.2399999999998</v>
      </c>
      <c r="E97">
        <v>1246233818</v>
      </c>
      <c r="F97" s="30">
        <v>51134</v>
      </c>
      <c r="G97" s="30"/>
      <c r="H97" t="s">
        <v>28</v>
      </c>
      <c r="I97" t="s">
        <v>29</v>
      </c>
      <c r="J97">
        <v>8361</v>
      </c>
      <c r="K97" s="30">
        <v>43384</v>
      </c>
      <c r="L97">
        <v>1010100</v>
      </c>
      <c r="M97" t="s">
        <v>35</v>
      </c>
      <c r="N97">
        <v>161</v>
      </c>
      <c r="O97" t="s">
        <v>160</v>
      </c>
      <c r="P97" t="s">
        <v>526</v>
      </c>
      <c r="Q97">
        <f t="shared" si="1"/>
        <v>-4993</v>
      </c>
      <c r="R97">
        <f>_xlfn.XLOOKUP(E97,'Data Additive'!E:E,'Data Additive'!E:E,0)</f>
        <v>1246233818</v>
      </c>
    </row>
    <row r="98" spans="1:18" x14ac:dyDescent="0.25">
      <c r="A98">
        <v>1023</v>
      </c>
      <c r="B98" t="s">
        <v>59</v>
      </c>
      <c r="C98" t="s">
        <v>893</v>
      </c>
      <c r="D98" s="34">
        <v>29520</v>
      </c>
      <c r="E98">
        <v>1246273185</v>
      </c>
      <c r="F98" s="30">
        <v>46202</v>
      </c>
      <c r="G98" s="30"/>
      <c r="H98" t="s">
        <v>28</v>
      </c>
      <c r="I98" t="s">
        <v>29</v>
      </c>
      <c r="J98">
        <v>11269</v>
      </c>
      <c r="K98" s="30">
        <v>46142</v>
      </c>
      <c r="L98">
        <v>1010100</v>
      </c>
      <c r="M98" t="s">
        <v>35</v>
      </c>
      <c r="N98">
        <v>161</v>
      </c>
      <c r="O98" t="s">
        <v>160</v>
      </c>
      <c r="P98" t="s">
        <v>418</v>
      </c>
      <c r="Q98">
        <f t="shared" si="1"/>
        <v>-61</v>
      </c>
      <c r="R98">
        <f>_xlfn.XLOOKUP(E98,'Data Additive'!E:E,'Data Additive'!E:E,0)</f>
        <v>1246273185</v>
      </c>
    </row>
    <row r="99" spans="1:18" x14ac:dyDescent="0.25">
      <c r="A99">
        <v>1792</v>
      </c>
      <c r="B99" t="s">
        <v>806</v>
      </c>
      <c r="C99" t="s">
        <v>73</v>
      </c>
      <c r="D99" s="34">
        <v>116676.6</v>
      </c>
      <c r="E99">
        <v>1246272414</v>
      </c>
      <c r="F99" s="30">
        <v>46226</v>
      </c>
      <c r="G99" s="30"/>
      <c r="H99" t="s">
        <v>28</v>
      </c>
      <c r="I99" t="s">
        <v>29</v>
      </c>
      <c r="J99">
        <v>11211</v>
      </c>
      <c r="K99" s="30">
        <v>46136</v>
      </c>
      <c r="L99">
        <v>1010100</v>
      </c>
      <c r="M99" t="s">
        <v>35</v>
      </c>
      <c r="N99">
        <v>161</v>
      </c>
      <c r="O99" t="s">
        <v>160</v>
      </c>
      <c r="P99" t="s">
        <v>527</v>
      </c>
      <c r="Q99">
        <f t="shared" si="1"/>
        <v>-85</v>
      </c>
      <c r="R99">
        <f>_xlfn.XLOOKUP(E99,'Data Additive'!E:E,'Data Additive'!E:E,0)</f>
        <v>1246272414</v>
      </c>
    </row>
    <row r="100" spans="1:18" x14ac:dyDescent="0.25">
      <c r="A100">
        <v>1792</v>
      </c>
      <c r="B100" t="s">
        <v>806</v>
      </c>
      <c r="C100" t="s">
        <v>73</v>
      </c>
      <c r="D100" s="34">
        <v>118553.1</v>
      </c>
      <c r="E100">
        <v>1246265418</v>
      </c>
      <c r="F100" s="30">
        <v>46169</v>
      </c>
      <c r="G100" s="30"/>
      <c r="H100" t="s">
        <v>28</v>
      </c>
      <c r="I100" t="s">
        <v>29</v>
      </c>
      <c r="J100">
        <v>10776</v>
      </c>
      <c r="K100" s="30">
        <v>46079</v>
      </c>
      <c r="L100">
        <v>1010100</v>
      </c>
      <c r="M100" t="s">
        <v>35</v>
      </c>
      <c r="N100">
        <v>161</v>
      </c>
      <c r="O100" t="s">
        <v>160</v>
      </c>
      <c r="P100" t="s">
        <v>527</v>
      </c>
      <c r="Q100">
        <f t="shared" si="1"/>
        <v>-28</v>
      </c>
      <c r="R100">
        <f>_xlfn.XLOOKUP(E100,'Data Additive'!E:E,'Data Additive'!E:E,0)</f>
        <v>1246265418</v>
      </c>
    </row>
    <row r="101" spans="1:18" x14ac:dyDescent="0.25">
      <c r="A101">
        <v>1792</v>
      </c>
      <c r="B101" t="s">
        <v>806</v>
      </c>
      <c r="C101" t="s">
        <v>73</v>
      </c>
      <c r="D101" s="34">
        <v>116343</v>
      </c>
      <c r="E101">
        <v>1246267070</v>
      </c>
      <c r="F101" s="30">
        <v>46180</v>
      </c>
      <c r="G101" s="30"/>
      <c r="H101" t="s">
        <v>28</v>
      </c>
      <c r="I101" t="s">
        <v>29</v>
      </c>
      <c r="J101">
        <v>10846</v>
      </c>
      <c r="K101" s="30">
        <v>46090</v>
      </c>
      <c r="L101">
        <v>1010100</v>
      </c>
      <c r="M101" t="s">
        <v>35</v>
      </c>
      <c r="N101">
        <v>161</v>
      </c>
      <c r="O101" t="s">
        <v>160</v>
      </c>
      <c r="P101" t="s">
        <v>527</v>
      </c>
      <c r="Q101">
        <f t="shared" si="1"/>
        <v>-39</v>
      </c>
      <c r="R101">
        <f>_xlfn.XLOOKUP(E101,'Data Additive'!E:E,'Data Additive'!E:E,0)</f>
        <v>1246267070</v>
      </c>
    </row>
    <row r="102" spans="1:18" x14ac:dyDescent="0.25">
      <c r="A102">
        <v>1792</v>
      </c>
      <c r="B102" t="s">
        <v>806</v>
      </c>
      <c r="C102" t="s">
        <v>73</v>
      </c>
      <c r="D102" s="34">
        <v>118845</v>
      </c>
      <c r="E102">
        <v>1246269004</v>
      </c>
      <c r="F102" s="30">
        <v>46196</v>
      </c>
      <c r="G102" s="30"/>
      <c r="H102" t="s">
        <v>28</v>
      </c>
      <c r="I102" t="s">
        <v>29</v>
      </c>
      <c r="J102">
        <v>10975</v>
      </c>
      <c r="K102" s="30">
        <v>46106</v>
      </c>
      <c r="L102">
        <v>1010100</v>
      </c>
      <c r="M102" t="s">
        <v>35</v>
      </c>
      <c r="N102">
        <v>161</v>
      </c>
      <c r="O102" t="s">
        <v>160</v>
      </c>
      <c r="P102" t="s">
        <v>527</v>
      </c>
      <c r="Q102">
        <f t="shared" si="1"/>
        <v>-55</v>
      </c>
      <c r="R102">
        <f>_xlfn.XLOOKUP(E102,'Data Additive'!E:E,'Data Additive'!E:E,0)</f>
        <v>1246269004</v>
      </c>
    </row>
    <row r="103" spans="1:18" x14ac:dyDescent="0.25">
      <c r="A103">
        <v>1792</v>
      </c>
      <c r="B103" t="s">
        <v>806</v>
      </c>
      <c r="C103" t="s">
        <v>73</v>
      </c>
      <c r="D103" s="34">
        <v>117260.4</v>
      </c>
      <c r="E103">
        <v>1246270521</v>
      </c>
      <c r="F103" s="30">
        <v>46209</v>
      </c>
      <c r="G103" s="30"/>
      <c r="H103" t="s">
        <v>28</v>
      </c>
      <c r="I103" t="s">
        <v>29</v>
      </c>
      <c r="J103">
        <v>11066</v>
      </c>
      <c r="K103" s="30">
        <v>46119</v>
      </c>
      <c r="L103">
        <v>1010100</v>
      </c>
      <c r="M103" t="s">
        <v>35</v>
      </c>
      <c r="N103">
        <v>161</v>
      </c>
      <c r="O103" t="s">
        <v>160</v>
      </c>
      <c r="P103" t="s">
        <v>527</v>
      </c>
      <c r="Q103">
        <f t="shared" si="1"/>
        <v>-68</v>
      </c>
      <c r="R103">
        <f>_xlfn.XLOOKUP(E103,'Data Additive'!E:E,'Data Additive'!E:E,0)</f>
        <v>1246270521</v>
      </c>
    </row>
    <row r="104" spans="1:18" x14ac:dyDescent="0.25">
      <c r="A104">
        <v>1792</v>
      </c>
      <c r="B104" t="s">
        <v>806</v>
      </c>
      <c r="C104" t="s">
        <v>73</v>
      </c>
      <c r="D104" s="34">
        <v>118302.9</v>
      </c>
      <c r="E104">
        <v>1246266107</v>
      </c>
      <c r="F104" s="30">
        <v>46174</v>
      </c>
      <c r="G104" s="30"/>
      <c r="H104" t="s">
        <v>28</v>
      </c>
      <c r="I104" t="s">
        <v>29</v>
      </c>
      <c r="J104">
        <v>10803</v>
      </c>
      <c r="K104" s="30">
        <v>46084</v>
      </c>
      <c r="L104">
        <v>1010100</v>
      </c>
      <c r="M104" t="s">
        <v>35</v>
      </c>
      <c r="N104">
        <v>161</v>
      </c>
      <c r="O104" t="s">
        <v>160</v>
      </c>
      <c r="P104" t="s">
        <v>527</v>
      </c>
      <c r="Q104">
        <f t="shared" si="1"/>
        <v>-33</v>
      </c>
      <c r="R104">
        <f>_xlfn.XLOOKUP(E104,'Data Additive'!E:E,'Data Additive'!E:E,0)</f>
        <v>1246266107</v>
      </c>
    </row>
    <row r="105" spans="1:18" x14ac:dyDescent="0.25">
      <c r="A105">
        <v>1792</v>
      </c>
      <c r="B105" t="s">
        <v>806</v>
      </c>
      <c r="C105" t="s">
        <v>73</v>
      </c>
      <c r="D105" s="34">
        <v>116343</v>
      </c>
      <c r="E105">
        <v>1246268258</v>
      </c>
      <c r="F105" s="30">
        <v>46189</v>
      </c>
      <c r="G105" s="30"/>
      <c r="H105" t="s">
        <v>28</v>
      </c>
      <c r="I105" t="s">
        <v>29</v>
      </c>
      <c r="J105">
        <v>10918</v>
      </c>
      <c r="K105" s="30">
        <v>46099</v>
      </c>
      <c r="L105">
        <v>1010100</v>
      </c>
      <c r="M105" t="s">
        <v>35</v>
      </c>
      <c r="N105">
        <v>161</v>
      </c>
      <c r="O105" t="s">
        <v>160</v>
      </c>
      <c r="P105" t="s">
        <v>527</v>
      </c>
      <c r="Q105">
        <f t="shared" si="1"/>
        <v>-48</v>
      </c>
      <c r="R105">
        <f>_xlfn.XLOOKUP(E105,'Data Additive'!E:E,'Data Additive'!E:E,0)</f>
        <v>1246268258</v>
      </c>
    </row>
    <row r="106" spans="1:18" x14ac:dyDescent="0.25">
      <c r="A106">
        <v>1792</v>
      </c>
      <c r="B106" t="s">
        <v>806</v>
      </c>
      <c r="C106" t="s">
        <v>73</v>
      </c>
      <c r="D106" s="34">
        <v>116760</v>
      </c>
      <c r="E106">
        <v>1246270240</v>
      </c>
      <c r="F106" s="30">
        <v>46204</v>
      </c>
      <c r="G106" s="30"/>
      <c r="H106" t="s">
        <v>28</v>
      </c>
      <c r="I106" t="s">
        <v>29</v>
      </c>
      <c r="J106">
        <v>11049</v>
      </c>
      <c r="K106" s="30">
        <v>46114</v>
      </c>
      <c r="L106">
        <v>1010100</v>
      </c>
      <c r="M106" t="s">
        <v>35</v>
      </c>
      <c r="N106">
        <v>161</v>
      </c>
      <c r="O106" t="s">
        <v>160</v>
      </c>
      <c r="P106" t="s">
        <v>527</v>
      </c>
      <c r="Q106">
        <f t="shared" si="1"/>
        <v>-63</v>
      </c>
      <c r="R106">
        <f>_xlfn.XLOOKUP(E106,'Data Additive'!E:E,'Data Additive'!E:E,0)</f>
        <v>1246270240</v>
      </c>
    </row>
    <row r="107" spans="1:18" x14ac:dyDescent="0.25">
      <c r="A107">
        <v>1792</v>
      </c>
      <c r="B107" t="s">
        <v>806</v>
      </c>
      <c r="C107" t="s">
        <v>73</v>
      </c>
      <c r="D107" s="34">
        <v>117051.9</v>
      </c>
      <c r="E107">
        <v>1246269741</v>
      </c>
      <c r="F107" s="30">
        <v>46202</v>
      </c>
      <c r="G107" s="30"/>
      <c r="H107" t="s">
        <v>28</v>
      </c>
      <c r="I107" t="s">
        <v>29</v>
      </c>
      <c r="J107">
        <v>11015</v>
      </c>
      <c r="K107" s="30">
        <v>46112</v>
      </c>
      <c r="L107">
        <v>1010100</v>
      </c>
      <c r="M107" t="s">
        <v>35</v>
      </c>
      <c r="N107">
        <v>161</v>
      </c>
      <c r="O107" t="s">
        <v>160</v>
      </c>
      <c r="P107" t="s">
        <v>527</v>
      </c>
      <c r="Q107">
        <f t="shared" si="1"/>
        <v>-61</v>
      </c>
      <c r="R107">
        <f>_xlfn.XLOOKUP(E107,'Data Additive'!E:E,'Data Additive'!E:E,0)</f>
        <v>1246269741</v>
      </c>
    </row>
    <row r="108" spans="1:18" x14ac:dyDescent="0.25">
      <c r="A108">
        <v>1792</v>
      </c>
      <c r="B108" t="s">
        <v>806</v>
      </c>
      <c r="C108" t="s">
        <v>73</v>
      </c>
      <c r="D108" s="34">
        <v>115842.6</v>
      </c>
      <c r="E108">
        <v>1246271433</v>
      </c>
      <c r="F108" s="30">
        <v>46217</v>
      </c>
      <c r="G108" s="30"/>
      <c r="H108" t="s">
        <v>28</v>
      </c>
      <c r="I108" t="s">
        <v>29</v>
      </c>
      <c r="J108">
        <v>11125</v>
      </c>
      <c r="K108" s="30">
        <v>46127</v>
      </c>
      <c r="L108">
        <v>1010100</v>
      </c>
      <c r="M108" t="s">
        <v>35</v>
      </c>
      <c r="N108">
        <v>161</v>
      </c>
      <c r="O108" t="s">
        <v>160</v>
      </c>
      <c r="P108" t="s">
        <v>527</v>
      </c>
      <c r="Q108">
        <f t="shared" si="1"/>
        <v>-76</v>
      </c>
      <c r="R108">
        <f>_xlfn.XLOOKUP(E108,'Data Additive'!E:E,'Data Additive'!E:E,0)</f>
        <v>1246271433</v>
      </c>
    </row>
    <row r="109" spans="1:18" x14ac:dyDescent="0.25">
      <c r="A109">
        <v>1792</v>
      </c>
      <c r="B109" t="s">
        <v>806</v>
      </c>
      <c r="C109" t="s">
        <v>73</v>
      </c>
      <c r="D109" s="34">
        <v>116134.5</v>
      </c>
      <c r="E109">
        <v>1246271003</v>
      </c>
      <c r="F109" s="30">
        <v>46212</v>
      </c>
      <c r="G109" s="30"/>
      <c r="H109" t="s">
        <v>28</v>
      </c>
      <c r="I109" t="s">
        <v>29</v>
      </c>
      <c r="J109">
        <v>11092</v>
      </c>
      <c r="K109" s="30">
        <v>46122</v>
      </c>
      <c r="L109">
        <v>1010100</v>
      </c>
      <c r="M109" t="s">
        <v>35</v>
      </c>
      <c r="N109">
        <v>161</v>
      </c>
      <c r="O109" t="s">
        <v>160</v>
      </c>
      <c r="P109" t="s">
        <v>527</v>
      </c>
      <c r="Q109">
        <f t="shared" si="1"/>
        <v>-71</v>
      </c>
      <c r="R109">
        <f>_xlfn.XLOOKUP(E109,'Data Additive'!E:E,'Data Additive'!E:E,0)</f>
        <v>1246271003</v>
      </c>
    </row>
    <row r="110" spans="1:18" x14ac:dyDescent="0.25">
      <c r="A110">
        <v>1792</v>
      </c>
      <c r="B110" t="s">
        <v>806</v>
      </c>
      <c r="C110" t="s">
        <v>73</v>
      </c>
      <c r="D110" s="34">
        <v>120471.3</v>
      </c>
      <c r="E110">
        <v>1246272043</v>
      </c>
      <c r="F110" s="30">
        <v>46224</v>
      </c>
      <c r="G110" s="30"/>
      <c r="H110" t="s">
        <v>28</v>
      </c>
      <c r="I110" t="s">
        <v>29</v>
      </c>
      <c r="J110">
        <v>11190</v>
      </c>
      <c r="K110" s="30">
        <v>46134</v>
      </c>
      <c r="L110">
        <v>1010100</v>
      </c>
      <c r="M110" t="s">
        <v>35</v>
      </c>
      <c r="N110">
        <v>161</v>
      </c>
      <c r="O110" t="s">
        <v>160</v>
      </c>
      <c r="P110" t="s">
        <v>527</v>
      </c>
      <c r="Q110">
        <f t="shared" si="1"/>
        <v>-83</v>
      </c>
      <c r="R110">
        <f>_xlfn.XLOOKUP(E110,'Data Additive'!E:E,'Data Additive'!E:E,0)</f>
        <v>1246272043</v>
      </c>
    </row>
    <row r="111" spans="1:18" x14ac:dyDescent="0.25">
      <c r="A111">
        <v>1792</v>
      </c>
      <c r="B111" t="s">
        <v>806</v>
      </c>
      <c r="C111" t="s">
        <v>73</v>
      </c>
      <c r="D111" s="34">
        <v>116092.8</v>
      </c>
      <c r="E111">
        <v>1246267659</v>
      </c>
      <c r="F111" s="30">
        <v>46184</v>
      </c>
      <c r="G111" s="30"/>
      <c r="H111" t="s">
        <v>28</v>
      </c>
      <c r="I111" t="s">
        <v>29</v>
      </c>
      <c r="J111">
        <v>10876</v>
      </c>
      <c r="K111" s="30">
        <v>46094</v>
      </c>
      <c r="L111">
        <v>1010100</v>
      </c>
      <c r="M111" t="s">
        <v>35</v>
      </c>
      <c r="N111">
        <v>161</v>
      </c>
      <c r="O111" t="s">
        <v>160</v>
      </c>
      <c r="P111" t="s">
        <v>527</v>
      </c>
      <c r="Q111">
        <f t="shared" si="1"/>
        <v>-43</v>
      </c>
      <c r="R111">
        <f>_xlfn.XLOOKUP(E111,'Data Additive'!E:E,'Data Additive'!E:E,0)</f>
        <v>1246267659</v>
      </c>
    </row>
    <row r="112" spans="1:18" x14ac:dyDescent="0.25">
      <c r="A112">
        <v>201</v>
      </c>
      <c r="B112" t="s">
        <v>321</v>
      </c>
      <c r="C112" t="s">
        <v>875</v>
      </c>
      <c r="D112" s="34">
        <v>185040</v>
      </c>
      <c r="E112">
        <v>1246269671</v>
      </c>
      <c r="F112" s="30">
        <v>46231</v>
      </c>
      <c r="G112" s="30"/>
      <c r="H112" t="s">
        <v>28</v>
      </c>
      <c r="I112" t="s">
        <v>29</v>
      </c>
      <c r="J112">
        <v>2855</v>
      </c>
      <c r="K112" s="30">
        <v>46111</v>
      </c>
      <c r="L112">
        <v>1010100</v>
      </c>
      <c r="M112" t="s">
        <v>35</v>
      </c>
      <c r="N112">
        <v>161</v>
      </c>
      <c r="O112" t="s">
        <v>160</v>
      </c>
      <c r="P112" t="s">
        <v>429</v>
      </c>
      <c r="Q112">
        <f t="shared" si="1"/>
        <v>-90</v>
      </c>
      <c r="R112">
        <f>_xlfn.XLOOKUP(E112,'Data Additive'!E:E,'Data Additive'!E:E,0)</f>
        <v>1246269671</v>
      </c>
    </row>
    <row r="113" spans="1:18" x14ac:dyDescent="0.25">
      <c r="A113">
        <v>903</v>
      </c>
      <c r="B113" t="s">
        <v>57</v>
      </c>
      <c r="C113" t="s">
        <v>58</v>
      </c>
      <c r="D113" s="34">
        <v>133334.43</v>
      </c>
      <c r="E113">
        <v>1246268951</v>
      </c>
      <c r="F113" s="30">
        <v>46146</v>
      </c>
      <c r="G113" s="30">
        <v>46146</v>
      </c>
      <c r="H113" t="s">
        <v>28</v>
      </c>
      <c r="I113" t="s">
        <v>29</v>
      </c>
      <c r="J113">
        <v>10971</v>
      </c>
      <c r="K113" s="30">
        <v>46106</v>
      </c>
      <c r="L113">
        <v>1010100</v>
      </c>
      <c r="M113" t="s">
        <v>35</v>
      </c>
      <c r="N113">
        <v>161</v>
      </c>
      <c r="O113" t="s">
        <v>160</v>
      </c>
      <c r="P113" t="s">
        <v>419</v>
      </c>
      <c r="Q113">
        <f t="shared" si="1"/>
        <v>-5</v>
      </c>
      <c r="R113">
        <f>_xlfn.XLOOKUP(E113,'Data Additive'!E:E,'Data Additive'!E:E,0)</f>
        <v>1246268951</v>
      </c>
    </row>
    <row r="114" spans="1:18" x14ac:dyDescent="0.25">
      <c r="A114">
        <v>903</v>
      </c>
      <c r="B114" t="s">
        <v>57</v>
      </c>
      <c r="C114" t="s">
        <v>58</v>
      </c>
      <c r="D114" s="34">
        <v>135135.03</v>
      </c>
      <c r="E114">
        <v>1246272230</v>
      </c>
      <c r="F114" s="30">
        <v>46175</v>
      </c>
      <c r="G114" s="30"/>
      <c r="H114" t="s">
        <v>28</v>
      </c>
      <c r="I114" t="s">
        <v>29</v>
      </c>
      <c r="J114">
        <v>11199</v>
      </c>
      <c r="K114" s="30">
        <v>46135</v>
      </c>
      <c r="L114">
        <v>1010100</v>
      </c>
      <c r="M114" t="s">
        <v>35</v>
      </c>
      <c r="N114">
        <v>161</v>
      </c>
      <c r="O114" t="s">
        <v>160</v>
      </c>
      <c r="P114" t="s">
        <v>419</v>
      </c>
      <c r="Q114">
        <f t="shared" si="1"/>
        <v>-34</v>
      </c>
      <c r="R114">
        <f>_xlfn.XLOOKUP(E114,'Data Additive'!E:E,'Data Additive'!E:E,0)</f>
        <v>1246272230</v>
      </c>
    </row>
    <row r="115" spans="1:18" x14ac:dyDescent="0.25">
      <c r="A115">
        <v>903</v>
      </c>
      <c r="B115" t="s">
        <v>57</v>
      </c>
      <c r="C115" t="s">
        <v>58</v>
      </c>
      <c r="D115" s="34">
        <v>134594.85</v>
      </c>
      <c r="E115">
        <v>1246270087</v>
      </c>
      <c r="F115" s="30">
        <v>46154</v>
      </c>
      <c r="G115" s="30"/>
      <c r="H115" t="s">
        <v>28</v>
      </c>
      <c r="I115" t="s">
        <v>29</v>
      </c>
      <c r="J115">
        <v>11034</v>
      </c>
      <c r="K115" s="30">
        <v>46114</v>
      </c>
      <c r="L115">
        <v>1010100</v>
      </c>
      <c r="M115" t="s">
        <v>35</v>
      </c>
      <c r="N115">
        <v>161</v>
      </c>
      <c r="O115" t="s">
        <v>160</v>
      </c>
      <c r="P115" t="s">
        <v>419</v>
      </c>
      <c r="Q115">
        <f t="shared" si="1"/>
        <v>-13</v>
      </c>
      <c r="R115">
        <f>_xlfn.XLOOKUP(E115,'Data Additive'!E:E,'Data Additive'!E:E,0)</f>
        <v>1246270087</v>
      </c>
    </row>
    <row r="116" spans="1:18" x14ac:dyDescent="0.25">
      <c r="A116">
        <v>903</v>
      </c>
      <c r="B116" t="s">
        <v>57</v>
      </c>
      <c r="C116" t="s">
        <v>58</v>
      </c>
      <c r="D116" s="34">
        <v>134504.82</v>
      </c>
      <c r="E116">
        <v>1246271047</v>
      </c>
      <c r="F116" s="30">
        <v>46162</v>
      </c>
      <c r="G116" s="30"/>
      <c r="H116" t="s">
        <v>28</v>
      </c>
      <c r="I116" t="s">
        <v>29</v>
      </c>
      <c r="J116">
        <v>11098</v>
      </c>
      <c r="K116" s="30">
        <v>46122</v>
      </c>
      <c r="L116">
        <v>1010100</v>
      </c>
      <c r="M116" t="s">
        <v>35</v>
      </c>
      <c r="N116">
        <v>161</v>
      </c>
      <c r="O116" t="s">
        <v>160</v>
      </c>
      <c r="P116" t="s">
        <v>419</v>
      </c>
      <c r="Q116">
        <f t="shared" si="1"/>
        <v>-21</v>
      </c>
      <c r="R116">
        <f>_xlfn.XLOOKUP(E116,'Data Additive'!E:E,'Data Additive'!E:E,0)</f>
        <v>1246271047</v>
      </c>
    </row>
    <row r="117" spans="1:18" x14ac:dyDescent="0.25">
      <c r="A117">
        <v>903</v>
      </c>
      <c r="B117" t="s">
        <v>57</v>
      </c>
      <c r="C117" t="s">
        <v>58</v>
      </c>
      <c r="D117" s="34">
        <v>134864.94</v>
      </c>
      <c r="E117">
        <v>1246269425</v>
      </c>
      <c r="F117" s="30">
        <v>46148</v>
      </c>
      <c r="G117" s="30"/>
      <c r="H117" t="s">
        <v>28</v>
      </c>
      <c r="I117" t="s">
        <v>29</v>
      </c>
      <c r="J117">
        <v>10990</v>
      </c>
      <c r="K117" s="30">
        <v>46108</v>
      </c>
      <c r="L117">
        <v>1010100</v>
      </c>
      <c r="M117" t="s">
        <v>35</v>
      </c>
      <c r="N117">
        <v>161</v>
      </c>
      <c r="O117" t="s">
        <v>160</v>
      </c>
      <c r="P117" t="s">
        <v>419</v>
      </c>
      <c r="Q117">
        <f t="shared" ref="Q117:Q162" si="2">$R$1-F117</f>
        <v>-7</v>
      </c>
      <c r="R117">
        <f>_xlfn.XLOOKUP(E117,'Data Additive'!E:E,'Data Additive'!E:E,0)</f>
        <v>1246269425</v>
      </c>
    </row>
    <row r="118" spans="1:18" x14ac:dyDescent="0.25">
      <c r="A118">
        <v>903</v>
      </c>
      <c r="B118" t="s">
        <v>57</v>
      </c>
      <c r="C118" t="s">
        <v>58</v>
      </c>
      <c r="D118" s="34">
        <v>134774.91</v>
      </c>
      <c r="E118">
        <v>1246273177</v>
      </c>
      <c r="F118" s="30">
        <v>46182</v>
      </c>
      <c r="G118" s="30"/>
      <c r="H118" t="s">
        <v>28</v>
      </c>
      <c r="I118" t="s">
        <v>29</v>
      </c>
      <c r="J118">
        <v>11266</v>
      </c>
      <c r="K118" s="30">
        <v>46142</v>
      </c>
      <c r="L118">
        <v>1010100</v>
      </c>
      <c r="M118" t="s">
        <v>35</v>
      </c>
      <c r="N118">
        <v>161</v>
      </c>
      <c r="O118" t="s">
        <v>160</v>
      </c>
      <c r="P118" t="s">
        <v>419</v>
      </c>
      <c r="Q118">
        <f t="shared" si="2"/>
        <v>-41</v>
      </c>
      <c r="R118">
        <f>_xlfn.XLOOKUP(E118,'Data Additive'!E:E,'Data Additive'!E:E,0)</f>
        <v>1246273177</v>
      </c>
    </row>
    <row r="119" spans="1:18" x14ac:dyDescent="0.25">
      <c r="A119">
        <v>86</v>
      </c>
      <c r="B119" t="s">
        <v>38</v>
      </c>
      <c r="C119" t="s">
        <v>894</v>
      </c>
      <c r="D119" s="34">
        <v>35810</v>
      </c>
      <c r="E119">
        <v>1246273225</v>
      </c>
      <c r="F119" s="30">
        <v>46202</v>
      </c>
      <c r="G119" s="30"/>
      <c r="H119" t="s">
        <v>28</v>
      </c>
      <c r="I119" t="s">
        <v>29</v>
      </c>
      <c r="J119">
        <v>11271</v>
      </c>
      <c r="K119" s="30">
        <v>46142</v>
      </c>
      <c r="L119">
        <v>1010100</v>
      </c>
      <c r="M119" t="s">
        <v>35</v>
      </c>
      <c r="N119">
        <v>161</v>
      </c>
      <c r="O119" t="s">
        <v>160</v>
      </c>
      <c r="P119" t="s">
        <v>418</v>
      </c>
      <c r="Q119">
        <f t="shared" si="2"/>
        <v>-61</v>
      </c>
      <c r="R119">
        <f>_xlfn.XLOOKUP(E119,'Data Additive'!E:E,'Data Additive'!E:E,0)</f>
        <v>1246273225</v>
      </c>
    </row>
    <row r="120" spans="1:18" x14ac:dyDescent="0.25">
      <c r="A120">
        <v>729</v>
      </c>
      <c r="B120" t="s">
        <v>56</v>
      </c>
      <c r="C120" t="s">
        <v>844</v>
      </c>
      <c r="D120" s="34">
        <v>69762.399999999994</v>
      </c>
      <c r="E120">
        <v>1246273030</v>
      </c>
      <c r="F120" s="30">
        <v>46201</v>
      </c>
      <c r="G120" s="30"/>
      <c r="H120" t="s">
        <v>28</v>
      </c>
      <c r="I120" t="s">
        <v>29</v>
      </c>
      <c r="J120">
        <v>11251</v>
      </c>
      <c r="K120" s="30">
        <v>46141</v>
      </c>
      <c r="L120">
        <v>1010100</v>
      </c>
      <c r="M120" t="s">
        <v>35</v>
      </c>
      <c r="N120">
        <v>161</v>
      </c>
      <c r="O120" t="s">
        <v>160</v>
      </c>
      <c r="P120" t="s">
        <v>528</v>
      </c>
      <c r="Q120">
        <f t="shared" si="2"/>
        <v>-60</v>
      </c>
      <c r="R120">
        <f>_xlfn.XLOOKUP(E120,'Data Additive'!E:E,'Data Additive'!E:E,0)</f>
        <v>1246273030</v>
      </c>
    </row>
    <row r="121" spans="1:18" x14ac:dyDescent="0.25">
      <c r="A121">
        <v>1159</v>
      </c>
      <c r="B121" t="s">
        <v>60</v>
      </c>
      <c r="C121" t="s">
        <v>61</v>
      </c>
      <c r="D121" s="34">
        <v>272555.71999999997</v>
      </c>
      <c r="E121">
        <v>1246268636</v>
      </c>
      <c r="F121" s="30">
        <v>46144</v>
      </c>
      <c r="G121" s="30">
        <v>46146</v>
      </c>
      <c r="H121" t="s">
        <v>28</v>
      </c>
      <c r="I121" t="s">
        <v>29</v>
      </c>
      <c r="J121">
        <v>10958</v>
      </c>
      <c r="K121" s="30">
        <v>46104</v>
      </c>
      <c r="L121">
        <v>1010100</v>
      </c>
      <c r="M121" t="s">
        <v>35</v>
      </c>
      <c r="N121">
        <v>161</v>
      </c>
      <c r="O121" t="s">
        <v>160</v>
      </c>
      <c r="P121" t="s">
        <v>419</v>
      </c>
      <c r="Q121">
        <f t="shared" si="2"/>
        <v>-3</v>
      </c>
      <c r="R121">
        <f>_xlfn.XLOOKUP(E121,'Data Additive'!E:E,'Data Additive'!E:E,0)</f>
        <v>1246268636</v>
      </c>
    </row>
    <row r="122" spans="1:18" x14ac:dyDescent="0.25">
      <c r="A122">
        <v>1159</v>
      </c>
      <c r="B122" t="s">
        <v>60</v>
      </c>
      <c r="C122" t="s">
        <v>61</v>
      </c>
      <c r="D122" s="34">
        <v>8928.75</v>
      </c>
      <c r="E122">
        <v>1246273695</v>
      </c>
      <c r="F122" s="30">
        <v>46180</v>
      </c>
      <c r="G122" s="30">
        <v>46148</v>
      </c>
      <c r="H122" t="s">
        <v>28</v>
      </c>
      <c r="I122" t="s">
        <v>29</v>
      </c>
      <c r="J122">
        <v>11240</v>
      </c>
      <c r="K122" s="30">
        <v>46140</v>
      </c>
      <c r="L122">
        <v>1010100</v>
      </c>
      <c r="M122" t="s">
        <v>35</v>
      </c>
      <c r="N122">
        <v>161</v>
      </c>
      <c r="O122" t="s">
        <v>160</v>
      </c>
      <c r="P122" t="s">
        <v>419</v>
      </c>
      <c r="Q122">
        <f t="shared" si="2"/>
        <v>-39</v>
      </c>
      <c r="R122">
        <f>_xlfn.XLOOKUP(E122,'Data Additive'!E:E,'Data Additive'!E:E,0)</f>
        <v>1246273695</v>
      </c>
    </row>
    <row r="123" spans="1:18" x14ac:dyDescent="0.25">
      <c r="A123">
        <v>1159</v>
      </c>
      <c r="B123" t="s">
        <v>60</v>
      </c>
      <c r="C123" t="s">
        <v>61</v>
      </c>
      <c r="D123" s="34">
        <v>1800</v>
      </c>
      <c r="E123">
        <v>1246087936</v>
      </c>
      <c r="F123" s="30">
        <v>45112</v>
      </c>
      <c r="G123" s="30"/>
      <c r="H123" t="s">
        <v>28</v>
      </c>
      <c r="I123" t="s">
        <v>29</v>
      </c>
      <c r="J123">
        <v>1246087936</v>
      </c>
      <c r="K123" s="30">
        <v>45097</v>
      </c>
      <c r="L123">
        <v>3041000</v>
      </c>
      <c r="M123" t="s">
        <v>137</v>
      </c>
      <c r="N123">
        <v>46</v>
      </c>
      <c r="O123" t="s">
        <v>162</v>
      </c>
      <c r="P123" t="s">
        <v>419</v>
      </c>
      <c r="Q123">
        <f t="shared" si="2"/>
        <v>1029</v>
      </c>
      <c r="R123">
        <f>_xlfn.XLOOKUP(E123,'Data Additive'!E:E,'Data Additive'!E:E,0)</f>
        <v>0</v>
      </c>
    </row>
    <row r="124" spans="1:18" x14ac:dyDescent="0.25">
      <c r="A124">
        <v>1159</v>
      </c>
      <c r="B124" t="s">
        <v>60</v>
      </c>
      <c r="C124" t="s">
        <v>61</v>
      </c>
      <c r="D124" s="34">
        <v>2700</v>
      </c>
      <c r="E124">
        <v>1246087941</v>
      </c>
      <c r="F124" s="30">
        <v>45112</v>
      </c>
      <c r="G124" s="30"/>
      <c r="H124" t="s">
        <v>28</v>
      </c>
      <c r="I124" t="s">
        <v>29</v>
      </c>
      <c r="J124">
        <v>1246087941</v>
      </c>
      <c r="K124" s="30">
        <v>45097</v>
      </c>
      <c r="L124">
        <v>3041000</v>
      </c>
      <c r="M124" t="s">
        <v>137</v>
      </c>
      <c r="N124">
        <v>46</v>
      </c>
      <c r="O124" t="s">
        <v>162</v>
      </c>
      <c r="P124" t="s">
        <v>419</v>
      </c>
      <c r="Q124">
        <f t="shared" si="2"/>
        <v>1029</v>
      </c>
      <c r="R124">
        <f>_xlfn.XLOOKUP(E124,'Data Additive'!E:E,'Data Additive'!E:E,0)</f>
        <v>0</v>
      </c>
    </row>
    <row r="125" spans="1:18" x14ac:dyDescent="0.25">
      <c r="A125">
        <v>1159</v>
      </c>
      <c r="B125" t="s">
        <v>60</v>
      </c>
      <c r="C125" t="s">
        <v>61</v>
      </c>
      <c r="D125" s="34">
        <v>1800</v>
      </c>
      <c r="E125">
        <v>1246087939</v>
      </c>
      <c r="F125" s="30">
        <v>45112</v>
      </c>
      <c r="G125" s="30"/>
      <c r="H125" t="s">
        <v>28</v>
      </c>
      <c r="I125" t="s">
        <v>29</v>
      </c>
      <c r="J125">
        <v>1246087939</v>
      </c>
      <c r="K125" s="30">
        <v>45097</v>
      </c>
      <c r="L125">
        <v>3041000</v>
      </c>
      <c r="M125" t="s">
        <v>137</v>
      </c>
      <c r="N125">
        <v>46</v>
      </c>
      <c r="O125" t="s">
        <v>162</v>
      </c>
      <c r="P125" t="s">
        <v>419</v>
      </c>
      <c r="Q125">
        <f t="shared" si="2"/>
        <v>1029</v>
      </c>
      <c r="R125">
        <f>_xlfn.XLOOKUP(E125,'Data Additive'!E:E,'Data Additive'!E:E,0)</f>
        <v>0</v>
      </c>
    </row>
    <row r="126" spans="1:18" x14ac:dyDescent="0.25">
      <c r="A126">
        <v>1159</v>
      </c>
      <c r="B126" t="s">
        <v>60</v>
      </c>
      <c r="C126" t="s">
        <v>61</v>
      </c>
      <c r="D126" s="34">
        <v>1800</v>
      </c>
      <c r="E126">
        <v>1246087937</v>
      </c>
      <c r="F126" s="30">
        <v>45112</v>
      </c>
      <c r="G126" s="30"/>
      <c r="H126" t="s">
        <v>28</v>
      </c>
      <c r="I126" t="s">
        <v>29</v>
      </c>
      <c r="J126">
        <v>1246087937</v>
      </c>
      <c r="K126" s="30">
        <v>45097</v>
      </c>
      <c r="L126">
        <v>3041000</v>
      </c>
      <c r="M126" t="s">
        <v>137</v>
      </c>
      <c r="N126">
        <v>46</v>
      </c>
      <c r="O126" t="s">
        <v>162</v>
      </c>
      <c r="P126" t="s">
        <v>419</v>
      </c>
      <c r="Q126">
        <f t="shared" si="2"/>
        <v>1029</v>
      </c>
      <c r="R126">
        <f>_xlfn.XLOOKUP(E126,'Data Additive'!E:E,'Data Additive'!E:E,0)</f>
        <v>0</v>
      </c>
    </row>
    <row r="127" spans="1:18" x14ac:dyDescent="0.25">
      <c r="A127">
        <v>1159</v>
      </c>
      <c r="B127" t="s">
        <v>60</v>
      </c>
      <c r="C127" t="s">
        <v>61</v>
      </c>
      <c r="D127" s="34">
        <v>1800</v>
      </c>
      <c r="E127">
        <v>1246087943</v>
      </c>
      <c r="F127" s="30">
        <v>45112</v>
      </c>
      <c r="G127" s="30"/>
      <c r="H127" t="s">
        <v>28</v>
      </c>
      <c r="I127" t="s">
        <v>29</v>
      </c>
      <c r="J127">
        <v>1246087943</v>
      </c>
      <c r="K127" s="30">
        <v>45097</v>
      </c>
      <c r="L127">
        <v>3041000</v>
      </c>
      <c r="M127" t="s">
        <v>137</v>
      </c>
      <c r="N127">
        <v>46</v>
      </c>
      <c r="O127" t="s">
        <v>162</v>
      </c>
      <c r="P127" t="s">
        <v>419</v>
      </c>
      <c r="Q127">
        <f t="shared" si="2"/>
        <v>1029</v>
      </c>
      <c r="R127">
        <f>_xlfn.XLOOKUP(E127,'Data Additive'!E:E,'Data Additive'!E:E,0)</f>
        <v>0</v>
      </c>
    </row>
    <row r="128" spans="1:18" x14ac:dyDescent="0.25">
      <c r="A128">
        <v>1159</v>
      </c>
      <c r="B128" t="s">
        <v>60</v>
      </c>
      <c r="C128" t="s">
        <v>61</v>
      </c>
      <c r="D128" s="34">
        <v>2700</v>
      </c>
      <c r="E128">
        <v>1246121301</v>
      </c>
      <c r="F128" s="30">
        <v>45297</v>
      </c>
      <c r="G128" s="30"/>
      <c r="H128" t="s">
        <v>28</v>
      </c>
      <c r="I128" t="s">
        <v>29</v>
      </c>
      <c r="J128">
        <v>1246121301</v>
      </c>
      <c r="K128" s="30">
        <v>45282</v>
      </c>
      <c r="L128">
        <v>3041000</v>
      </c>
      <c r="M128" t="s">
        <v>137</v>
      </c>
      <c r="N128">
        <v>46</v>
      </c>
      <c r="O128" t="s">
        <v>162</v>
      </c>
      <c r="P128" t="s">
        <v>419</v>
      </c>
      <c r="Q128">
        <f t="shared" si="2"/>
        <v>844</v>
      </c>
      <c r="R128">
        <f>_xlfn.XLOOKUP(E128,'Data Additive'!E:E,'Data Additive'!E:E,0)</f>
        <v>0</v>
      </c>
    </row>
    <row r="129" spans="1:18" x14ac:dyDescent="0.25">
      <c r="A129">
        <v>1159</v>
      </c>
      <c r="B129" t="s">
        <v>60</v>
      </c>
      <c r="C129" t="s">
        <v>61</v>
      </c>
      <c r="D129" s="34">
        <v>4800</v>
      </c>
      <c r="E129">
        <v>1246121285</v>
      </c>
      <c r="F129" s="30">
        <v>45297</v>
      </c>
      <c r="G129" s="30"/>
      <c r="H129" t="s">
        <v>28</v>
      </c>
      <c r="I129" t="s">
        <v>29</v>
      </c>
      <c r="J129">
        <v>1246121285</v>
      </c>
      <c r="K129" s="30">
        <v>45282</v>
      </c>
      <c r="L129">
        <v>3041000</v>
      </c>
      <c r="M129" t="s">
        <v>137</v>
      </c>
      <c r="N129">
        <v>46</v>
      </c>
      <c r="O129" t="s">
        <v>162</v>
      </c>
      <c r="P129" t="s">
        <v>419</v>
      </c>
      <c r="Q129">
        <f t="shared" si="2"/>
        <v>844</v>
      </c>
      <c r="R129">
        <f>_xlfn.XLOOKUP(E129,'Data Additive'!E:E,'Data Additive'!E:E,0)</f>
        <v>0</v>
      </c>
    </row>
    <row r="130" spans="1:18" x14ac:dyDescent="0.25">
      <c r="A130">
        <v>1159</v>
      </c>
      <c r="B130" t="s">
        <v>60</v>
      </c>
      <c r="C130" t="s">
        <v>61</v>
      </c>
      <c r="D130" s="34">
        <v>2700</v>
      </c>
      <c r="E130">
        <v>1246121300</v>
      </c>
      <c r="F130" s="30">
        <v>45297</v>
      </c>
      <c r="G130" s="30"/>
      <c r="H130" t="s">
        <v>28</v>
      </c>
      <c r="I130" t="s">
        <v>29</v>
      </c>
      <c r="J130">
        <v>1246121300</v>
      </c>
      <c r="K130" s="30">
        <v>45282</v>
      </c>
      <c r="L130">
        <v>3041000</v>
      </c>
      <c r="M130" t="s">
        <v>137</v>
      </c>
      <c r="N130">
        <v>46</v>
      </c>
      <c r="O130" t="s">
        <v>162</v>
      </c>
      <c r="P130" t="s">
        <v>419</v>
      </c>
      <c r="Q130">
        <f t="shared" si="2"/>
        <v>844</v>
      </c>
      <c r="R130">
        <f>_xlfn.XLOOKUP(E130,'Data Additive'!E:E,'Data Additive'!E:E,0)</f>
        <v>0</v>
      </c>
    </row>
    <row r="131" spans="1:18" x14ac:dyDescent="0.25">
      <c r="A131">
        <v>1159</v>
      </c>
      <c r="B131" t="s">
        <v>60</v>
      </c>
      <c r="C131" t="s">
        <v>61</v>
      </c>
      <c r="D131" s="34">
        <v>1800</v>
      </c>
      <c r="E131">
        <v>1246121298</v>
      </c>
      <c r="F131" s="30">
        <v>45297</v>
      </c>
      <c r="G131" s="30"/>
      <c r="H131" t="s">
        <v>28</v>
      </c>
      <c r="I131" t="s">
        <v>29</v>
      </c>
      <c r="J131">
        <v>1246121298</v>
      </c>
      <c r="K131" s="30">
        <v>45282</v>
      </c>
      <c r="L131">
        <v>3041000</v>
      </c>
      <c r="M131" t="s">
        <v>137</v>
      </c>
      <c r="N131">
        <v>46</v>
      </c>
      <c r="O131" t="s">
        <v>162</v>
      </c>
      <c r="P131" t="s">
        <v>419</v>
      </c>
      <c r="Q131">
        <f t="shared" si="2"/>
        <v>844</v>
      </c>
      <c r="R131">
        <f>_xlfn.XLOOKUP(E131,'Data Additive'!E:E,'Data Additive'!E:E,0)</f>
        <v>0</v>
      </c>
    </row>
    <row r="132" spans="1:18" x14ac:dyDescent="0.25">
      <c r="A132">
        <v>1159</v>
      </c>
      <c r="B132" t="s">
        <v>60</v>
      </c>
      <c r="C132" t="s">
        <v>61</v>
      </c>
      <c r="D132" s="34">
        <v>2700</v>
      </c>
      <c r="E132">
        <v>1246121302</v>
      </c>
      <c r="F132" s="30">
        <v>45297</v>
      </c>
      <c r="G132" s="30"/>
      <c r="H132" t="s">
        <v>28</v>
      </c>
      <c r="I132" t="s">
        <v>29</v>
      </c>
      <c r="J132">
        <v>1246121302</v>
      </c>
      <c r="K132" s="30">
        <v>45282</v>
      </c>
      <c r="L132">
        <v>3041000</v>
      </c>
      <c r="M132" t="s">
        <v>137</v>
      </c>
      <c r="N132">
        <v>46</v>
      </c>
      <c r="O132" t="s">
        <v>162</v>
      </c>
      <c r="P132" t="s">
        <v>419</v>
      </c>
      <c r="Q132">
        <f t="shared" si="2"/>
        <v>844</v>
      </c>
      <c r="R132">
        <f>_xlfn.XLOOKUP(E132,'Data Additive'!E:E,'Data Additive'!E:E,0)</f>
        <v>0</v>
      </c>
    </row>
    <row r="133" spans="1:18" x14ac:dyDescent="0.25">
      <c r="A133">
        <v>1159</v>
      </c>
      <c r="B133" t="s">
        <v>60</v>
      </c>
      <c r="C133" t="s">
        <v>61</v>
      </c>
      <c r="D133" s="34">
        <v>1200</v>
      </c>
      <c r="E133">
        <v>1246121295</v>
      </c>
      <c r="F133" s="30">
        <v>45297</v>
      </c>
      <c r="G133" s="30"/>
      <c r="H133" t="s">
        <v>28</v>
      </c>
      <c r="I133" t="s">
        <v>29</v>
      </c>
      <c r="J133">
        <v>1246121295</v>
      </c>
      <c r="K133" s="30">
        <v>45282</v>
      </c>
      <c r="L133">
        <v>3041000</v>
      </c>
      <c r="M133" t="s">
        <v>137</v>
      </c>
      <c r="N133">
        <v>46</v>
      </c>
      <c r="O133" t="s">
        <v>162</v>
      </c>
      <c r="P133" t="s">
        <v>419</v>
      </c>
      <c r="Q133">
        <f t="shared" si="2"/>
        <v>844</v>
      </c>
      <c r="R133">
        <f>_xlfn.XLOOKUP(E133,'Data Additive'!E:E,'Data Additive'!E:E,0)</f>
        <v>0</v>
      </c>
    </row>
    <row r="134" spans="1:18" x14ac:dyDescent="0.25">
      <c r="A134">
        <v>1159</v>
      </c>
      <c r="B134" t="s">
        <v>60</v>
      </c>
      <c r="C134" t="s">
        <v>61</v>
      </c>
      <c r="D134" s="34">
        <v>2700</v>
      </c>
      <c r="E134">
        <v>1246121297</v>
      </c>
      <c r="F134" s="30">
        <v>45297</v>
      </c>
      <c r="G134" s="30"/>
      <c r="H134" t="s">
        <v>28</v>
      </c>
      <c r="I134" t="s">
        <v>29</v>
      </c>
      <c r="J134">
        <v>1246121297</v>
      </c>
      <c r="K134" s="30">
        <v>45282</v>
      </c>
      <c r="L134">
        <v>3041000</v>
      </c>
      <c r="M134" t="s">
        <v>137</v>
      </c>
      <c r="N134">
        <v>46</v>
      </c>
      <c r="O134" t="s">
        <v>162</v>
      </c>
      <c r="P134" t="s">
        <v>419</v>
      </c>
      <c r="Q134">
        <f t="shared" si="2"/>
        <v>844</v>
      </c>
      <c r="R134">
        <f>_xlfn.XLOOKUP(E134,'Data Additive'!E:E,'Data Additive'!E:E,0)</f>
        <v>0</v>
      </c>
    </row>
    <row r="135" spans="1:18" x14ac:dyDescent="0.25">
      <c r="A135">
        <v>1159</v>
      </c>
      <c r="B135" t="s">
        <v>60</v>
      </c>
      <c r="C135" t="s">
        <v>61</v>
      </c>
      <c r="D135" s="34">
        <v>6300</v>
      </c>
      <c r="E135">
        <v>1246121299</v>
      </c>
      <c r="F135" s="30">
        <v>45297</v>
      </c>
      <c r="G135" s="30"/>
      <c r="H135" t="s">
        <v>28</v>
      </c>
      <c r="I135" t="s">
        <v>29</v>
      </c>
      <c r="J135">
        <v>1246121299</v>
      </c>
      <c r="K135" s="30">
        <v>45282</v>
      </c>
      <c r="L135">
        <v>3041000</v>
      </c>
      <c r="M135" t="s">
        <v>137</v>
      </c>
      <c r="N135">
        <v>46</v>
      </c>
      <c r="O135" t="s">
        <v>162</v>
      </c>
      <c r="P135" t="s">
        <v>419</v>
      </c>
      <c r="Q135">
        <f t="shared" si="2"/>
        <v>844</v>
      </c>
      <c r="R135">
        <f>_xlfn.XLOOKUP(E135,'Data Additive'!E:E,'Data Additive'!E:E,0)</f>
        <v>0</v>
      </c>
    </row>
    <row r="136" spans="1:18" x14ac:dyDescent="0.25">
      <c r="A136">
        <v>1159</v>
      </c>
      <c r="B136" t="s">
        <v>60</v>
      </c>
      <c r="C136" t="s">
        <v>61</v>
      </c>
      <c r="D136" s="34">
        <v>3600</v>
      </c>
      <c r="E136">
        <v>1246121296</v>
      </c>
      <c r="F136" s="30">
        <v>45297</v>
      </c>
      <c r="G136" s="30"/>
      <c r="H136" t="s">
        <v>28</v>
      </c>
      <c r="I136" t="s">
        <v>29</v>
      </c>
      <c r="J136">
        <v>1246121296</v>
      </c>
      <c r="K136" s="30">
        <v>45282</v>
      </c>
      <c r="L136">
        <v>3041000</v>
      </c>
      <c r="M136" t="s">
        <v>137</v>
      </c>
      <c r="N136">
        <v>46</v>
      </c>
      <c r="O136" t="s">
        <v>162</v>
      </c>
      <c r="P136" t="s">
        <v>419</v>
      </c>
      <c r="Q136">
        <f t="shared" si="2"/>
        <v>844</v>
      </c>
      <c r="R136">
        <f>_xlfn.XLOOKUP(E136,'Data Additive'!E:E,'Data Additive'!E:E,0)</f>
        <v>0</v>
      </c>
    </row>
    <row r="137" spans="1:18" x14ac:dyDescent="0.25">
      <c r="A137">
        <v>1159</v>
      </c>
      <c r="B137" t="s">
        <v>60</v>
      </c>
      <c r="C137" t="s">
        <v>61</v>
      </c>
      <c r="D137" s="34">
        <v>1200</v>
      </c>
      <c r="E137">
        <v>1246135390</v>
      </c>
      <c r="F137" s="30">
        <v>45388</v>
      </c>
      <c r="G137" s="30"/>
      <c r="H137" t="s">
        <v>28</v>
      </c>
      <c r="I137" t="s">
        <v>29</v>
      </c>
      <c r="J137">
        <v>1246135390</v>
      </c>
      <c r="K137" s="30">
        <v>45373</v>
      </c>
      <c r="L137">
        <v>3041000</v>
      </c>
      <c r="M137" t="s">
        <v>137</v>
      </c>
      <c r="N137">
        <v>46</v>
      </c>
      <c r="O137" t="s">
        <v>162</v>
      </c>
      <c r="P137" t="s">
        <v>419</v>
      </c>
      <c r="Q137">
        <f t="shared" si="2"/>
        <v>753</v>
      </c>
      <c r="R137">
        <f>_xlfn.XLOOKUP(E137,'Data Additive'!E:E,'Data Additive'!E:E,0)</f>
        <v>0</v>
      </c>
    </row>
    <row r="138" spans="1:18" x14ac:dyDescent="0.25">
      <c r="A138">
        <v>1159</v>
      </c>
      <c r="B138" t="s">
        <v>60</v>
      </c>
      <c r="C138" t="s">
        <v>61</v>
      </c>
      <c r="D138" s="34">
        <v>1458</v>
      </c>
      <c r="E138">
        <v>1246148463</v>
      </c>
      <c r="F138" s="30">
        <v>45443</v>
      </c>
      <c r="G138" s="30"/>
      <c r="H138" t="s">
        <v>28</v>
      </c>
      <c r="I138" t="s">
        <v>29</v>
      </c>
      <c r="J138">
        <v>3446</v>
      </c>
      <c r="K138" s="30">
        <v>45415</v>
      </c>
      <c r="L138">
        <v>1010100</v>
      </c>
      <c r="M138" t="s">
        <v>35</v>
      </c>
      <c r="N138">
        <v>161</v>
      </c>
      <c r="O138" t="s">
        <v>160</v>
      </c>
      <c r="P138" t="s">
        <v>419</v>
      </c>
      <c r="Q138">
        <f t="shared" si="2"/>
        <v>698</v>
      </c>
      <c r="R138">
        <f>_xlfn.XLOOKUP(E138,'Data Additive'!E:E,'Data Additive'!E:E,0)</f>
        <v>1246148463</v>
      </c>
    </row>
    <row r="139" spans="1:18" x14ac:dyDescent="0.25">
      <c r="A139">
        <v>1159</v>
      </c>
      <c r="B139" t="s">
        <v>60</v>
      </c>
      <c r="C139" t="s">
        <v>61</v>
      </c>
      <c r="D139" s="34">
        <v>2400</v>
      </c>
      <c r="E139">
        <v>1246135388</v>
      </c>
      <c r="F139" s="30">
        <v>45388</v>
      </c>
      <c r="G139" s="30"/>
      <c r="H139" t="s">
        <v>28</v>
      </c>
      <c r="I139" t="s">
        <v>29</v>
      </c>
      <c r="J139">
        <v>1246135388</v>
      </c>
      <c r="K139" s="30">
        <v>45373</v>
      </c>
      <c r="L139">
        <v>3041000</v>
      </c>
      <c r="M139" t="s">
        <v>137</v>
      </c>
      <c r="N139">
        <v>46</v>
      </c>
      <c r="O139" t="s">
        <v>162</v>
      </c>
      <c r="P139" t="s">
        <v>419</v>
      </c>
      <c r="Q139">
        <f t="shared" si="2"/>
        <v>753</v>
      </c>
      <c r="R139">
        <f>_xlfn.XLOOKUP(E139,'Data Additive'!E:E,'Data Additive'!E:E,0)</f>
        <v>0</v>
      </c>
    </row>
    <row r="140" spans="1:18" x14ac:dyDescent="0.25">
      <c r="A140">
        <v>1159</v>
      </c>
      <c r="B140" t="s">
        <v>60</v>
      </c>
      <c r="C140" t="s">
        <v>61</v>
      </c>
      <c r="D140" s="34">
        <v>1200</v>
      </c>
      <c r="E140">
        <v>1246135385</v>
      </c>
      <c r="F140" s="30">
        <v>45388</v>
      </c>
      <c r="G140" s="30"/>
      <c r="H140" t="s">
        <v>28</v>
      </c>
      <c r="I140" t="s">
        <v>29</v>
      </c>
      <c r="J140">
        <v>1246135385</v>
      </c>
      <c r="K140" s="30">
        <v>45373</v>
      </c>
      <c r="L140">
        <v>3041000</v>
      </c>
      <c r="M140" t="s">
        <v>137</v>
      </c>
      <c r="N140">
        <v>46</v>
      </c>
      <c r="O140" t="s">
        <v>162</v>
      </c>
      <c r="P140" t="s">
        <v>419</v>
      </c>
      <c r="Q140">
        <f t="shared" si="2"/>
        <v>753</v>
      </c>
      <c r="R140">
        <f>_xlfn.XLOOKUP(E140,'Data Additive'!E:E,'Data Additive'!E:E,0)</f>
        <v>0</v>
      </c>
    </row>
    <row r="141" spans="1:18" x14ac:dyDescent="0.25">
      <c r="A141">
        <v>1159</v>
      </c>
      <c r="B141" t="s">
        <v>60</v>
      </c>
      <c r="C141" t="s">
        <v>61</v>
      </c>
      <c r="D141" s="34">
        <v>3600</v>
      </c>
      <c r="E141">
        <v>1246135391</v>
      </c>
      <c r="F141" s="30">
        <v>45388</v>
      </c>
      <c r="G141" s="30"/>
      <c r="H141" t="s">
        <v>28</v>
      </c>
      <c r="I141" t="s">
        <v>29</v>
      </c>
      <c r="J141">
        <v>1246135391</v>
      </c>
      <c r="K141" s="30">
        <v>45373</v>
      </c>
      <c r="L141">
        <v>3041000</v>
      </c>
      <c r="M141" t="s">
        <v>137</v>
      </c>
      <c r="N141">
        <v>46</v>
      </c>
      <c r="O141" t="s">
        <v>162</v>
      </c>
      <c r="P141" t="s">
        <v>419</v>
      </c>
      <c r="Q141">
        <f t="shared" si="2"/>
        <v>753</v>
      </c>
      <c r="R141">
        <f>_xlfn.XLOOKUP(E141,'Data Additive'!E:E,'Data Additive'!E:E,0)</f>
        <v>0</v>
      </c>
    </row>
    <row r="142" spans="1:18" x14ac:dyDescent="0.25">
      <c r="A142">
        <v>1159</v>
      </c>
      <c r="B142" t="s">
        <v>60</v>
      </c>
      <c r="C142" t="s">
        <v>61</v>
      </c>
      <c r="D142" s="34">
        <v>2400</v>
      </c>
      <c r="E142">
        <v>1246135382</v>
      </c>
      <c r="F142" s="30">
        <v>45388</v>
      </c>
      <c r="G142" s="30"/>
      <c r="H142" t="s">
        <v>28</v>
      </c>
      <c r="I142" t="s">
        <v>29</v>
      </c>
      <c r="J142">
        <v>1246135382</v>
      </c>
      <c r="K142" s="30">
        <v>45373</v>
      </c>
      <c r="L142">
        <v>3041000</v>
      </c>
      <c r="M142" t="s">
        <v>137</v>
      </c>
      <c r="N142">
        <v>46</v>
      </c>
      <c r="O142" t="s">
        <v>162</v>
      </c>
      <c r="P142" t="s">
        <v>419</v>
      </c>
      <c r="Q142">
        <f t="shared" si="2"/>
        <v>753</v>
      </c>
      <c r="R142">
        <f>_xlfn.XLOOKUP(E142,'Data Additive'!E:E,'Data Additive'!E:E,0)</f>
        <v>0</v>
      </c>
    </row>
    <row r="143" spans="1:18" x14ac:dyDescent="0.25">
      <c r="A143">
        <v>1159</v>
      </c>
      <c r="B143" t="s">
        <v>60</v>
      </c>
      <c r="C143" t="s">
        <v>61</v>
      </c>
      <c r="D143" s="34">
        <v>3600</v>
      </c>
      <c r="E143">
        <v>1246173258</v>
      </c>
      <c r="F143" s="30">
        <v>45575</v>
      </c>
      <c r="G143" s="30"/>
      <c r="H143" t="s">
        <v>28</v>
      </c>
      <c r="I143" t="s">
        <v>29</v>
      </c>
      <c r="J143">
        <v>1246173258</v>
      </c>
      <c r="K143" s="30">
        <v>45560</v>
      </c>
      <c r="L143">
        <v>3041000</v>
      </c>
      <c r="M143" t="s">
        <v>137</v>
      </c>
      <c r="N143">
        <v>46</v>
      </c>
      <c r="O143" t="s">
        <v>162</v>
      </c>
      <c r="P143" t="s">
        <v>419</v>
      </c>
      <c r="Q143">
        <f t="shared" si="2"/>
        <v>566</v>
      </c>
      <c r="R143">
        <f>_xlfn.XLOOKUP(E143,'Data Additive'!E:E,'Data Additive'!E:E,0)</f>
        <v>0</v>
      </c>
    </row>
    <row r="144" spans="1:18" x14ac:dyDescent="0.25">
      <c r="A144">
        <v>1159</v>
      </c>
      <c r="B144" t="s">
        <v>60</v>
      </c>
      <c r="C144" t="s">
        <v>61</v>
      </c>
      <c r="D144" s="34">
        <v>1200</v>
      </c>
      <c r="E144">
        <v>1246173256</v>
      </c>
      <c r="F144" s="30">
        <v>45575</v>
      </c>
      <c r="G144" s="30"/>
      <c r="H144" t="s">
        <v>28</v>
      </c>
      <c r="I144" t="s">
        <v>29</v>
      </c>
      <c r="J144">
        <v>1246173256</v>
      </c>
      <c r="K144" s="30">
        <v>45560</v>
      </c>
      <c r="L144">
        <v>3041000</v>
      </c>
      <c r="M144" t="s">
        <v>137</v>
      </c>
      <c r="N144">
        <v>46</v>
      </c>
      <c r="O144" t="s">
        <v>162</v>
      </c>
      <c r="P144" t="s">
        <v>419</v>
      </c>
      <c r="Q144">
        <f t="shared" si="2"/>
        <v>566</v>
      </c>
      <c r="R144">
        <f>_xlfn.XLOOKUP(E144,'Data Additive'!E:E,'Data Additive'!E:E,0)</f>
        <v>0</v>
      </c>
    </row>
    <row r="145" spans="1:18" x14ac:dyDescent="0.25">
      <c r="A145">
        <v>1159</v>
      </c>
      <c r="B145" t="s">
        <v>60</v>
      </c>
      <c r="C145" t="s">
        <v>61</v>
      </c>
      <c r="D145" s="34">
        <v>2400</v>
      </c>
      <c r="E145">
        <v>1246173253</v>
      </c>
      <c r="F145" s="30">
        <v>45575</v>
      </c>
      <c r="G145" s="30"/>
      <c r="H145" t="s">
        <v>28</v>
      </c>
      <c r="I145" t="s">
        <v>29</v>
      </c>
      <c r="J145">
        <v>1246173253</v>
      </c>
      <c r="K145" s="30">
        <v>45560</v>
      </c>
      <c r="L145">
        <v>3041000</v>
      </c>
      <c r="M145" t="s">
        <v>137</v>
      </c>
      <c r="N145">
        <v>46</v>
      </c>
      <c r="O145" t="s">
        <v>162</v>
      </c>
      <c r="P145" t="s">
        <v>419</v>
      </c>
      <c r="Q145">
        <f t="shared" si="2"/>
        <v>566</v>
      </c>
      <c r="R145">
        <f>_xlfn.XLOOKUP(E145,'Data Additive'!E:E,'Data Additive'!E:E,0)</f>
        <v>0</v>
      </c>
    </row>
    <row r="146" spans="1:18" x14ac:dyDescent="0.25">
      <c r="A146">
        <v>1159</v>
      </c>
      <c r="B146" t="s">
        <v>60</v>
      </c>
      <c r="C146" t="s">
        <v>61</v>
      </c>
      <c r="D146" s="34">
        <v>1200</v>
      </c>
      <c r="E146">
        <v>1246173257</v>
      </c>
      <c r="F146" s="30">
        <v>45575</v>
      </c>
      <c r="G146" s="30"/>
      <c r="H146" t="s">
        <v>28</v>
      </c>
      <c r="I146" t="s">
        <v>29</v>
      </c>
      <c r="J146">
        <v>1246173257</v>
      </c>
      <c r="K146" s="30">
        <v>45560</v>
      </c>
      <c r="L146">
        <v>3041000</v>
      </c>
      <c r="M146" t="s">
        <v>137</v>
      </c>
      <c r="N146">
        <v>46</v>
      </c>
      <c r="O146" t="s">
        <v>162</v>
      </c>
      <c r="P146" t="s">
        <v>419</v>
      </c>
      <c r="Q146">
        <f t="shared" si="2"/>
        <v>566</v>
      </c>
      <c r="R146">
        <f>_xlfn.XLOOKUP(E146,'Data Additive'!E:E,'Data Additive'!E:E,0)</f>
        <v>0</v>
      </c>
    </row>
    <row r="147" spans="1:18" x14ac:dyDescent="0.25">
      <c r="A147">
        <v>1159</v>
      </c>
      <c r="B147" t="s">
        <v>60</v>
      </c>
      <c r="C147" t="s">
        <v>61</v>
      </c>
      <c r="D147" s="34">
        <v>274909.24</v>
      </c>
      <c r="E147">
        <v>1246271894</v>
      </c>
      <c r="F147" s="30">
        <v>46172</v>
      </c>
      <c r="G147" s="30"/>
      <c r="H147" t="s">
        <v>28</v>
      </c>
      <c r="I147" t="s">
        <v>29</v>
      </c>
      <c r="J147">
        <v>11179</v>
      </c>
      <c r="K147" s="30">
        <v>46132</v>
      </c>
      <c r="L147">
        <v>1010100</v>
      </c>
      <c r="M147" t="s">
        <v>35</v>
      </c>
      <c r="N147">
        <v>161</v>
      </c>
      <c r="O147" t="s">
        <v>160</v>
      </c>
      <c r="P147" t="s">
        <v>419</v>
      </c>
      <c r="Q147">
        <f t="shared" si="2"/>
        <v>-31</v>
      </c>
      <c r="R147">
        <f>_xlfn.XLOOKUP(E147,'Data Additive'!E:E,'Data Additive'!E:E,0)</f>
        <v>1246271894</v>
      </c>
    </row>
    <row r="148" spans="1:18" x14ac:dyDescent="0.25">
      <c r="A148">
        <v>1159</v>
      </c>
      <c r="B148" t="s">
        <v>60</v>
      </c>
      <c r="C148" t="s">
        <v>61</v>
      </c>
      <c r="D148" s="34">
        <v>271741.03999999998</v>
      </c>
      <c r="E148">
        <v>1246269608</v>
      </c>
      <c r="F148" s="30">
        <v>46151</v>
      </c>
      <c r="G148" s="30"/>
      <c r="H148" t="s">
        <v>28</v>
      </c>
      <c r="I148" t="s">
        <v>29</v>
      </c>
      <c r="J148">
        <v>11006</v>
      </c>
      <c r="K148" s="30">
        <v>46111</v>
      </c>
      <c r="L148">
        <v>1010100</v>
      </c>
      <c r="M148" t="s">
        <v>35</v>
      </c>
      <c r="N148">
        <v>161</v>
      </c>
      <c r="O148" t="s">
        <v>160</v>
      </c>
      <c r="P148" t="s">
        <v>419</v>
      </c>
      <c r="Q148">
        <f t="shared" si="2"/>
        <v>-10</v>
      </c>
      <c r="R148">
        <f>_xlfn.XLOOKUP(E148,'Data Additive'!E:E,'Data Additive'!E:E,0)</f>
        <v>1246269608</v>
      </c>
    </row>
    <row r="149" spans="1:18" x14ac:dyDescent="0.25">
      <c r="A149">
        <v>1159</v>
      </c>
      <c r="B149" t="s">
        <v>60</v>
      </c>
      <c r="C149" t="s">
        <v>61</v>
      </c>
      <c r="D149" s="34">
        <v>272193.64</v>
      </c>
      <c r="E149">
        <v>1246269418</v>
      </c>
      <c r="F149" s="30">
        <v>46148</v>
      </c>
      <c r="G149" s="30"/>
      <c r="H149" t="s">
        <v>28</v>
      </c>
      <c r="I149" t="s">
        <v>29</v>
      </c>
      <c r="J149">
        <v>10988</v>
      </c>
      <c r="K149" s="30">
        <v>46108</v>
      </c>
      <c r="L149">
        <v>1010100</v>
      </c>
      <c r="M149" t="s">
        <v>35</v>
      </c>
      <c r="N149">
        <v>161</v>
      </c>
      <c r="O149" t="s">
        <v>160</v>
      </c>
      <c r="P149" t="s">
        <v>419</v>
      </c>
      <c r="Q149">
        <f t="shared" si="2"/>
        <v>-7</v>
      </c>
      <c r="R149">
        <f>_xlfn.XLOOKUP(E149,'Data Additive'!E:E,'Data Additive'!E:E,0)</f>
        <v>1246269418</v>
      </c>
    </row>
    <row r="150" spans="1:18" x14ac:dyDescent="0.25">
      <c r="A150">
        <v>1159</v>
      </c>
      <c r="B150" t="s">
        <v>60</v>
      </c>
      <c r="C150" t="s">
        <v>61</v>
      </c>
      <c r="D150" s="34">
        <v>271469.48</v>
      </c>
      <c r="E150">
        <v>1246270981</v>
      </c>
      <c r="F150" s="30">
        <v>46162</v>
      </c>
      <c r="G150" s="30"/>
      <c r="H150" t="s">
        <v>28</v>
      </c>
      <c r="I150" t="s">
        <v>29</v>
      </c>
      <c r="J150">
        <v>11089</v>
      </c>
      <c r="K150" s="30">
        <v>46122</v>
      </c>
      <c r="L150">
        <v>1010100</v>
      </c>
      <c r="M150" t="s">
        <v>35</v>
      </c>
      <c r="N150">
        <v>161</v>
      </c>
      <c r="O150" t="s">
        <v>160</v>
      </c>
      <c r="P150" t="s">
        <v>419</v>
      </c>
      <c r="Q150">
        <f t="shared" si="2"/>
        <v>-21</v>
      </c>
      <c r="R150">
        <f>_xlfn.XLOOKUP(E150,'Data Additive'!E:E,'Data Additive'!E:E,0)</f>
        <v>1246270981</v>
      </c>
    </row>
    <row r="151" spans="1:18" x14ac:dyDescent="0.25">
      <c r="A151">
        <v>1159</v>
      </c>
      <c r="B151" t="s">
        <v>60</v>
      </c>
      <c r="C151" t="s">
        <v>61</v>
      </c>
      <c r="D151" s="34">
        <v>271650.52</v>
      </c>
      <c r="E151">
        <v>1246270614</v>
      </c>
      <c r="F151" s="30">
        <v>46160</v>
      </c>
      <c r="G151" s="30"/>
      <c r="H151" t="s">
        <v>28</v>
      </c>
      <c r="I151" t="s">
        <v>29</v>
      </c>
      <c r="J151">
        <v>11070</v>
      </c>
      <c r="K151" s="30">
        <v>46120</v>
      </c>
      <c r="L151">
        <v>1010100</v>
      </c>
      <c r="M151" t="s">
        <v>35</v>
      </c>
      <c r="N151">
        <v>161</v>
      </c>
      <c r="O151" t="s">
        <v>160</v>
      </c>
      <c r="P151" t="s">
        <v>419</v>
      </c>
      <c r="Q151">
        <f t="shared" si="2"/>
        <v>-19</v>
      </c>
      <c r="R151">
        <f>_xlfn.XLOOKUP(E151,'Data Additive'!E:E,'Data Additive'!E:E,0)</f>
        <v>1246270614</v>
      </c>
    </row>
    <row r="152" spans="1:18" x14ac:dyDescent="0.25">
      <c r="A152">
        <v>1159</v>
      </c>
      <c r="B152" t="s">
        <v>60</v>
      </c>
      <c r="C152" t="s">
        <v>61</v>
      </c>
      <c r="D152" s="34">
        <v>271831.56</v>
      </c>
      <c r="E152">
        <v>1246269882</v>
      </c>
      <c r="F152" s="30">
        <v>46153</v>
      </c>
      <c r="G152" s="30"/>
      <c r="H152" t="s">
        <v>28</v>
      </c>
      <c r="I152" t="s">
        <v>29</v>
      </c>
      <c r="J152">
        <v>11024</v>
      </c>
      <c r="K152" s="30">
        <v>46113</v>
      </c>
      <c r="L152">
        <v>1010100</v>
      </c>
      <c r="M152" t="s">
        <v>35</v>
      </c>
      <c r="N152">
        <v>161</v>
      </c>
      <c r="O152" t="s">
        <v>160</v>
      </c>
      <c r="P152" t="s">
        <v>419</v>
      </c>
      <c r="Q152">
        <f t="shared" si="2"/>
        <v>-12</v>
      </c>
      <c r="R152">
        <f>_xlfn.XLOOKUP(E152,'Data Additive'!E:E,'Data Additive'!E:E,0)</f>
        <v>1246269882</v>
      </c>
    </row>
    <row r="153" spans="1:18" x14ac:dyDescent="0.25">
      <c r="A153">
        <v>1159</v>
      </c>
      <c r="B153" t="s">
        <v>60</v>
      </c>
      <c r="C153" t="s">
        <v>61</v>
      </c>
      <c r="D153" s="34">
        <v>271469.48</v>
      </c>
      <c r="E153">
        <v>1246273041</v>
      </c>
      <c r="F153" s="30">
        <v>46181</v>
      </c>
      <c r="G153" s="30"/>
      <c r="H153" t="s">
        <v>28</v>
      </c>
      <c r="I153" t="s">
        <v>29</v>
      </c>
      <c r="J153">
        <v>11254</v>
      </c>
      <c r="K153" s="30">
        <v>46141</v>
      </c>
      <c r="L153">
        <v>1010100</v>
      </c>
      <c r="M153" t="s">
        <v>35</v>
      </c>
      <c r="N153">
        <v>161</v>
      </c>
      <c r="O153" t="s">
        <v>160</v>
      </c>
      <c r="P153" t="s">
        <v>419</v>
      </c>
      <c r="Q153">
        <f t="shared" si="2"/>
        <v>-40</v>
      </c>
      <c r="R153">
        <f>_xlfn.XLOOKUP(E153,'Data Additive'!E:E,'Data Additive'!E:E,0)</f>
        <v>1246273041</v>
      </c>
    </row>
    <row r="154" spans="1:18" x14ac:dyDescent="0.25">
      <c r="A154">
        <v>1159</v>
      </c>
      <c r="B154" t="s">
        <v>60</v>
      </c>
      <c r="C154" t="s">
        <v>61</v>
      </c>
      <c r="D154" s="34">
        <v>272193.64</v>
      </c>
      <c r="E154">
        <v>1246273282</v>
      </c>
      <c r="F154" s="30">
        <v>46182</v>
      </c>
      <c r="G154" s="30"/>
      <c r="H154" t="s">
        <v>28</v>
      </c>
      <c r="I154" t="s">
        <v>29</v>
      </c>
      <c r="J154">
        <v>11274</v>
      </c>
      <c r="K154" s="30">
        <v>46142</v>
      </c>
      <c r="L154">
        <v>1010100</v>
      </c>
      <c r="M154" t="s">
        <v>35</v>
      </c>
      <c r="N154">
        <v>161</v>
      </c>
      <c r="O154" t="s">
        <v>160</v>
      </c>
      <c r="P154" t="s">
        <v>419</v>
      </c>
      <c r="Q154">
        <f t="shared" si="2"/>
        <v>-41</v>
      </c>
      <c r="R154">
        <f>_xlfn.XLOOKUP(E154,'Data Additive'!E:E,'Data Additive'!E:E,0)</f>
        <v>1246273282</v>
      </c>
    </row>
    <row r="155" spans="1:18" x14ac:dyDescent="0.25">
      <c r="A155">
        <v>1159</v>
      </c>
      <c r="B155" t="s">
        <v>60</v>
      </c>
      <c r="C155" t="s">
        <v>61</v>
      </c>
      <c r="D155" s="34">
        <v>272012.59999999998</v>
      </c>
      <c r="E155">
        <v>1246272754</v>
      </c>
      <c r="F155" s="30">
        <v>46179</v>
      </c>
      <c r="G155" s="30"/>
      <c r="H155" t="s">
        <v>28</v>
      </c>
      <c r="I155" t="s">
        <v>29</v>
      </c>
      <c r="J155">
        <v>11228</v>
      </c>
      <c r="K155" s="30">
        <v>46139</v>
      </c>
      <c r="L155">
        <v>1010100</v>
      </c>
      <c r="M155" t="s">
        <v>35</v>
      </c>
      <c r="N155">
        <v>161</v>
      </c>
      <c r="O155" t="s">
        <v>160</v>
      </c>
      <c r="P155" t="s">
        <v>419</v>
      </c>
      <c r="Q155">
        <f t="shared" si="2"/>
        <v>-38</v>
      </c>
      <c r="R155">
        <f>_xlfn.XLOOKUP(E155,'Data Additive'!E:E,'Data Additive'!E:E,0)</f>
        <v>1246272754</v>
      </c>
    </row>
    <row r="156" spans="1:18" x14ac:dyDescent="0.25">
      <c r="A156">
        <v>1159</v>
      </c>
      <c r="B156" t="s">
        <v>60</v>
      </c>
      <c r="C156" t="s">
        <v>61</v>
      </c>
      <c r="D156" s="34">
        <v>271107.40000000002</v>
      </c>
      <c r="E156">
        <v>1246271171</v>
      </c>
      <c r="F156" s="30">
        <v>46165</v>
      </c>
      <c r="G156" s="30"/>
      <c r="H156" t="s">
        <v>28</v>
      </c>
      <c r="I156" t="s">
        <v>29</v>
      </c>
      <c r="J156">
        <v>11108</v>
      </c>
      <c r="K156" s="30">
        <v>46125</v>
      </c>
      <c r="L156">
        <v>1010100</v>
      </c>
      <c r="M156" t="s">
        <v>35</v>
      </c>
      <c r="N156">
        <v>161</v>
      </c>
      <c r="O156" t="s">
        <v>160</v>
      </c>
      <c r="P156" t="s">
        <v>419</v>
      </c>
      <c r="Q156">
        <f t="shared" si="2"/>
        <v>-24</v>
      </c>
      <c r="R156">
        <f>_xlfn.XLOOKUP(E156,'Data Additive'!E:E,'Data Additive'!E:E,0)</f>
        <v>1246271171</v>
      </c>
    </row>
    <row r="157" spans="1:18" x14ac:dyDescent="0.25">
      <c r="A157">
        <v>1159</v>
      </c>
      <c r="B157" t="s">
        <v>60</v>
      </c>
      <c r="C157" t="s">
        <v>61</v>
      </c>
      <c r="D157" s="34">
        <v>2445.4499999999998</v>
      </c>
      <c r="E157">
        <v>1246272869</v>
      </c>
      <c r="F157" s="30">
        <v>46180</v>
      </c>
      <c r="G157" s="30"/>
      <c r="H157" t="s">
        <v>28</v>
      </c>
      <c r="I157" t="s">
        <v>29</v>
      </c>
      <c r="J157">
        <v>11240</v>
      </c>
      <c r="K157" s="30">
        <v>46140</v>
      </c>
      <c r="L157">
        <v>1010100</v>
      </c>
      <c r="M157" t="s">
        <v>35</v>
      </c>
      <c r="N157">
        <v>161</v>
      </c>
      <c r="O157" t="s">
        <v>160</v>
      </c>
      <c r="P157" t="s">
        <v>419</v>
      </c>
      <c r="Q157">
        <f t="shared" si="2"/>
        <v>-39</v>
      </c>
      <c r="R157">
        <f>_xlfn.XLOOKUP(E157,'Data Additive'!E:E,'Data Additive'!E:E,0)</f>
        <v>1246272869</v>
      </c>
    </row>
    <row r="158" spans="1:18" x14ac:dyDescent="0.25">
      <c r="A158">
        <v>1159</v>
      </c>
      <c r="B158" t="s">
        <v>60</v>
      </c>
      <c r="C158" t="s">
        <v>61</v>
      </c>
      <c r="D158" s="34">
        <v>272374.68</v>
      </c>
      <c r="E158">
        <v>1246272204</v>
      </c>
      <c r="F158" s="30">
        <v>46175</v>
      </c>
      <c r="G158" s="30"/>
      <c r="H158" t="s">
        <v>28</v>
      </c>
      <c r="I158" t="s">
        <v>29</v>
      </c>
      <c r="J158">
        <v>11198</v>
      </c>
      <c r="K158" s="30">
        <v>46135</v>
      </c>
      <c r="L158">
        <v>1010100</v>
      </c>
      <c r="M158" t="s">
        <v>35</v>
      </c>
      <c r="N158">
        <v>161</v>
      </c>
      <c r="O158" t="s">
        <v>160</v>
      </c>
      <c r="P158" t="s">
        <v>419</v>
      </c>
      <c r="Q158">
        <f t="shared" si="2"/>
        <v>-34</v>
      </c>
      <c r="R158">
        <f>_xlfn.XLOOKUP(E158,'Data Additive'!E:E,'Data Additive'!E:E,0)</f>
        <v>1246272204</v>
      </c>
    </row>
    <row r="159" spans="1:18" x14ac:dyDescent="0.25">
      <c r="A159">
        <v>452</v>
      </c>
      <c r="B159" t="s">
        <v>47</v>
      </c>
      <c r="C159" t="s">
        <v>48</v>
      </c>
      <c r="D159" s="34">
        <v>1800</v>
      </c>
      <c r="E159">
        <v>1246055195</v>
      </c>
      <c r="F159" s="30">
        <v>44902</v>
      </c>
      <c r="G159" s="30"/>
      <c r="H159" t="s">
        <v>28</v>
      </c>
      <c r="I159" t="s">
        <v>29</v>
      </c>
      <c r="J159">
        <v>1246055195</v>
      </c>
      <c r="K159" s="30">
        <v>44887</v>
      </c>
      <c r="L159">
        <v>3041000</v>
      </c>
      <c r="M159" t="s">
        <v>137</v>
      </c>
      <c r="N159">
        <v>46</v>
      </c>
      <c r="O159" t="s">
        <v>162</v>
      </c>
      <c r="P159" t="s">
        <v>574</v>
      </c>
      <c r="Q159">
        <f t="shared" si="2"/>
        <v>1239</v>
      </c>
      <c r="R159">
        <f>_xlfn.XLOOKUP(E159,'Data Additive'!E:E,'Data Additive'!E:E,0)</f>
        <v>0</v>
      </c>
    </row>
    <row r="160" spans="1:18" x14ac:dyDescent="0.25">
      <c r="A160">
        <v>3232</v>
      </c>
      <c r="B160" t="s">
        <v>168</v>
      </c>
      <c r="C160" t="s">
        <v>474</v>
      </c>
      <c r="D160" s="34">
        <v>169206.9</v>
      </c>
      <c r="E160">
        <v>1246270989</v>
      </c>
      <c r="F160" s="30">
        <v>46182</v>
      </c>
      <c r="G160" s="30"/>
      <c r="H160" t="s">
        <v>28</v>
      </c>
      <c r="I160" t="s">
        <v>29</v>
      </c>
      <c r="J160">
        <v>11091</v>
      </c>
      <c r="K160" s="30">
        <v>46122</v>
      </c>
      <c r="L160">
        <v>1010100</v>
      </c>
      <c r="M160" t="s">
        <v>35</v>
      </c>
      <c r="N160">
        <v>161</v>
      </c>
      <c r="O160" t="s">
        <v>160</v>
      </c>
      <c r="P160" t="s">
        <v>528</v>
      </c>
      <c r="Q160">
        <f t="shared" si="2"/>
        <v>-41</v>
      </c>
      <c r="R160">
        <f>_xlfn.XLOOKUP(E160,'Data Additive'!E:E,'Data Additive'!E:E,0)</f>
        <v>1246270989</v>
      </c>
    </row>
    <row r="161" spans="1:18" x14ac:dyDescent="0.25">
      <c r="A161">
        <v>3232</v>
      </c>
      <c r="B161" t="s">
        <v>168</v>
      </c>
      <c r="C161" t="s">
        <v>474</v>
      </c>
      <c r="D161" s="34">
        <v>170582.1</v>
      </c>
      <c r="E161">
        <v>1246270155</v>
      </c>
      <c r="F161" s="30">
        <v>46174</v>
      </c>
      <c r="G161" s="30"/>
      <c r="H161" t="s">
        <v>28</v>
      </c>
      <c r="I161" t="s">
        <v>29</v>
      </c>
      <c r="J161">
        <v>11044</v>
      </c>
      <c r="K161" s="30">
        <v>46114</v>
      </c>
      <c r="L161">
        <v>1010100</v>
      </c>
      <c r="M161" t="s">
        <v>35</v>
      </c>
      <c r="N161">
        <v>161</v>
      </c>
      <c r="O161" t="s">
        <v>160</v>
      </c>
      <c r="P161" t="s">
        <v>528</v>
      </c>
      <c r="Q161">
        <f t="shared" si="2"/>
        <v>-33</v>
      </c>
      <c r="R161">
        <f>_xlfn.XLOOKUP(E161,'Data Additive'!E:E,'Data Additive'!E:E,0)</f>
        <v>1246270155</v>
      </c>
    </row>
    <row r="162" spans="1:18" x14ac:dyDescent="0.25">
      <c r="A162">
        <v>2603</v>
      </c>
      <c r="B162" t="s">
        <v>81</v>
      </c>
      <c r="C162" t="s">
        <v>82</v>
      </c>
      <c r="D162" s="34">
        <v>4522.16</v>
      </c>
      <c r="E162">
        <v>1246097965</v>
      </c>
      <c r="F162" s="30">
        <v>45152</v>
      </c>
      <c r="G162" s="30"/>
      <c r="H162" t="s">
        <v>28</v>
      </c>
      <c r="I162" t="s">
        <v>29</v>
      </c>
      <c r="J162">
        <v>21713</v>
      </c>
      <c r="K162" s="30">
        <v>45092</v>
      </c>
      <c r="L162">
        <v>1010100</v>
      </c>
      <c r="M162" t="s">
        <v>35</v>
      </c>
      <c r="N162">
        <v>56</v>
      </c>
      <c r="O162" t="s">
        <v>161</v>
      </c>
      <c r="P162" t="s">
        <v>496</v>
      </c>
      <c r="Q162">
        <f t="shared" si="2"/>
        <v>989</v>
      </c>
      <c r="R162">
        <f>_xlfn.XLOOKUP(E162,'Data Additive'!E:E,'Data Additive'!E:E,0)</f>
        <v>1246097965</v>
      </c>
    </row>
    <row r="163" spans="1:18" x14ac:dyDescent="0.25">
      <c r="A163">
        <v>2559</v>
      </c>
      <c r="B163" t="s">
        <v>529</v>
      </c>
      <c r="C163" t="s">
        <v>79</v>
      </c>
      <c r="D163" s="34">
        <v>1200</v>
      </c>
      <c r="E163">
        <v>1246203587</v>
      </c>
      <c r="F163" s="30">
        <v>45750</v>
      </c>
      <c r="G163" s="30"/>
      <c r="H163" t="s">
        <v>28</v>
      </c>
      <c r="I163" t="s">
        <v>29</v>
      </c>
      <c r="J163">
        <v>1246203587</v>
      </c>
      <c r="K163" s="30">
        <v>45735</v>
      </c>
      <c r="L163">
        <v>3041000</v>
      </c>
      <c r="M163" t="s">
        <v>137</v>
      </c>
      <c r="N163">
        <v>46</v>
      </c>
      <c r="O163" t="s">
        <v>162</v>
      </c>
      <c r="P163" t="s">
        <v>496</v>
      </c>
      <c r="Q163">
        <f t="shared" ref="Q163:Q205" si="3">$R$1-F163</f>
        <v>391</v>
      </c>
      <c r="R163">
        <f>_xlfn.XLOOKUP(E163,'Data Additive'!E:E,'Data Additive'!E:E,0)</f>
        <v>0</v>
      </c>
    </row>
    <row r="164" spans="1:18" x14ac:dyDescent="0.25">
      <c r="A164">
        <v>2559</v>
      </c>
      <c r="B164" t="s">
        <v>529</v>
      </c>
      <c r="C164" t="s">
        <v>79</v>
      </c>
      <c r="D164" s="34">
        <v>7200</v>
      </c>
      <c r="E164">
        <v>1246203586</v>
      </c>
      <c r="F164" s="30">
        <v>45750</v>
      </c>
      <c r="G164" s="30"/>
      <c r="H164" t="s">
        <v>28</v>
      </c>
      <c r="I164" t="s">
        <v>29</v>
      </c>
      <c r="J164">
        <v>1246203586</v>
      </c>
      <c r="K164" s="30">
        <v>45735</v>
      </c>
      <c r="L164">
        <v>3041000</v>
      </c>
      <c r="M164" t="s">
        <v>137</v>
      </c>
      <c r="N164">
        <v>46</v>
      </c>
      <c r="O164" t="s">
        <v>162</v>
      </c>
      <c r="P164" t="s">
        <v>496</v>
      </c>
      <c r="Q164">
        <f t="shared" si="3"/>
        <v>391</v>
      </c>
      <c r="R164">
        <f>_xlfn.XLOOKUP(E164,'Data Additive'!E:E,'Data Additive'!E:E,0)</f>
        <v>0</v>
      </c>
    </row>
    <row r="165" spans="1:18" x14ac:dyDescent="0.25">
      <c r="A165">
        <v>2559</v>
      </c>
      <c r="B165" t="s">
        <v>529</v>
      </c>
      <c r="C165" t="s">
        <v>79</v>
      </c>
      <c r="D165" s="34">
        <v>1200</v>
      </c>
      <c r="E165">
        <v>1246203585</v>
      </c>
      <c r="F165" s="30">
        <v>45750</v>
      </c>
      <c r="G165" s="30"/>
      <c r="H165" t="s">
        <v>28</v>
      </c>
      <c r="I165" t="s">
        <v>29</v>
      </c>
      <c r="J165">
        <v>1246203585</v>
      </c>
      <c r="K165" s="30">
        <v>45735</v>
      </c>
      <c r="L165">
        <v>3041000</v>
      </c>
      <c r="M165" t="s">
        <v>137</v>
      </c>
      <c r="N165">
        <v>46</v>
      </c>
      <c r="O165" t="s">
        <v>162</v>
      </c>
      <c r="P165" t="s">
        <v>496</v>
      </c>
      <c r="Q165">
        <f t="shared" si="3"/>
        <v>391</v>
      </c>
      <c r="R165">
        <f>_xlfn.XLOOKUP(E165,'Data Additive'!E:E,'Data Additive'!E:E,0)</f>
        <v>0</v>
      </c>
    </row>
    <row r="166" spans="1:18" x14ac:dyDescent="0.25">
      <c r="A166">
        <v>2559</v>
      </c>
      <c r="B166" t="s">
        <v>529</v>
      </c>
      <c r="C166" t="s">
        <v>79</v>
      </c>
      <c r="D166" s="34">
        <v>78390</v>
      </c>
      <c r="E166">
        <v>1246270082</v>
      </c>
      <c r="F166" s="30">
        <v>46204</v>
      </c>
      <c r="G166" s="30"/>
      <c r="H166" t="s">
        <v>28</v>
      </c>
      <c r="I166" t="s">
        <v>29</v>
      </c>
      <c r="J166">
        <v>11033</v>
      </c>
      <c r="K166" s="30">
        <v>46114</v>
      </c>
      <c r="L166">
        <v>1010100</v>
      </c>
      <c r="M166" t="s">
        <v>35</v>
      </c>
      <c r="N166">
        <v>161</v>
      </c>
      <c r="O166" t="s">
        <v>160</v>
      </c>
      <c r="P166" t="s">
        <v>496</v>
      </c>
      <c r="Q166">
        <f t="shared" si="3"/>
        <v>-63</v>
      </c>
      <c r="R166">
        <f>_xlfn.XLOOKUP(E166,'Data Additive'!E:E,'Data Additive'!E:E,0)</f>
        <v>1246270082</v>
      </c>
    </row>
    <row r="167" spans="1:18" x14ac:dyDescent="0.25">
      <c r="A167">
        <v>2559</v>
      </c>
      <c r="B167" t="s">
        <v>529</v>
      </c>
      <c r="C167" t="s">
        <v>79</v>
      </c>
      <c r="D167" s="34">
        <v>195730.4</v>
      </c>
      <c r="E167">
        <v>1246271698</v>
      </c>
      <c r="F167" s="30">
        <v>46219</v>
      </c>
      <c r="G167" s="30"/>
      <c r="H167" t="s">
        <v>28</v>
      </c>
      <c r="I167" t="s">
        <v>29</v>
      </c>
      <c r="J167">
        <v>11159</v>
      </c>
      <c r="K167" s="30">
        <v>46129</v>
      </c>
      <c r="L167">
        <v>1010100</v>
      </c>
      <c r="M167" t="s">
        <v>35</v>
      </c>
      <c r="N167">
        <v>161</v>
      </c>
      <c r="O167" t="s">
        <v>160</v>
      </c>
      <c r="P167" t="s">
        <v>496</v>
      </c>
      <c r="Q167">
        <f t="shared" si="3"/>
        <v>-78</v>
      </c>
      <c r="R167">
        <f>_xlfn.XLOOKUP(E167,'Data Additive'!E:E,'Data Additive'!E:E,0)</f>
        <v>1246271698</v>
      </c>
    </row>
    <row r="168" spans="1:18" x14ac:dyDescent="0.25">
      <c r="A168">
        <v>2559</v>
      </c>
      <c r="B168" t="s">
        <v>529</v>
      </c>
      <c r="C168" t="s">
        <v>79</v>
      </c>
      <c r="D168" s="34">
        <v>196447.6</v>
      </c>
      <c r="E168">
        <v>1246272595</v>
      </c>
      <c r="F168" s="30">
        <v>46226</v>
      </c>
      <c r="G168" s="30"/>
      <c r="H168" t="s">
        <v>28</v>
      </c>
      <c r="I168" t="s">
        <v>29</v>
      </c>
      <c r="J168">
        <v>11219</v>
      </c>
      <c r="K168" s="30">
        <v>46136</v>
      </c>
      <c r="L168">
        <v>1010100</v>
      </c>
      <c r="M168" t="s">
        <v>35</v>
      </c>
      <c r="N168">
        <v>161</v>
      </c>
      <c r="O168" t="s">
        <v>160</v>
      </c>
      <c r="P168" t="s">
        <v>496</v>
      </c>
      <c r="Q168">
        <f t="shared" si="3"/>
        <v>-85</v>
      </c>
      <c r="R168">
        <f>_xlfn.XLOOKUP(E168,'Data Additive'!E:E,'Data Additive'!E:E,0)</f>
        <v>1246272595</v>
      </c>
    </row>
    <row r="169" spans="1:18" x14ac:dyDescent="0.25">
      <c r="A169">
        <v>2559</v>
      </c>
      <c r="B169" t="s">
        <v>529</v>
      </c>
      <c r="C169" t="s">
        <v>79</v>
      </c>
      <c r="D169" s="34">
        <v>6000</v>
      </c>
      <c r="E169">
        <v>1246244748</v>
      </c>
      <c r="F169" s="30">
        <v>45968</v>
      </c>
      <c r="G169" s="30"/>
      <c r="H169" t="s">
        <v>28</v>
      </c>
      <c r="I169" t="s">
        <v>29</v>
      </c>
      <c r="J169">
        <v>1246244748</v>
      </c>
      <c r="K169" s="30">
        <v>45953</v>
      </c>
      <c r="L169">
        <v>3041000</v>
      </c>
      <c r="M169" t="s">
        <v>137</v>
      </c>
      <c r="N169">
        <v>46</v>
      </c>
      <c r="O169" t="s">
        <v>162</v>
      </c>
      <c r="P169" t="s">
        <v>496</v>
      </c>
      <c r="Q169">
        <f t="shared" si="3"/>
        <v>173</v>
      </c>
      <c r="R169">
        <f>_xlfn.XLOOKUP(E169,'Data Additive'!E:E,'Data Additive'!E:E,0)</f>
        <v>0</v>
      </c>
    </row>
    <row r="170" spans="1:18" x14ac:dyDescent="0.25">
      <c r="A170">
        <v>215</v>
      </c>
      <c r="B170" t="s">
        <v>248</v>
      </c>
      <c r="C170" t="s">
        <v>851</v>
      </c>
      <c r="D170" s="34">
        <v>339600</v>
      </c>
      <c r="E170">
        <v>1246271897</v>
      </c>
      <c r="F170" s="30">
        <v>46160</v>
      </c>
      <c r="G170" s="30"/>
      <c r="H170" t="s">
        <v>28</v>
      </c>
      <c r="I170" t="s">
        <v>29</v>
      </c>
      <c r="J170">
        <v>2881</v>
      </c>
      <c r="K170" s="30">
        <v>46132</v>
      </c>
      <c r="L170">
        <v>1010100</v>
      </c>
      <c r="M170" t="s">
        <v>35</v>
      </c>
      <c r="N170">
        <v>7</v>
      </c>
      <c r="O170" t="s">
        <v>646</v>
      </c>
      <c r="P170" t="s">
        <v>416</v>
      </c>
      <c r="Q170">
        <f t="shared" si="3"/>
        <v>-19</v>
      </c>
      <c r="R170">
        <f>_xlfn.XLOOKUP(E170,'Data Additive'!E:E,'Data Additive'!E:E,0)</f>
        <v>1246271897</v>
      </c>
    </row>
    <row r="171" spans="1:18" x14ac:dyDescent="0.25">
      <c r="A171">
        <v>215</v>
      </c>
      <c r="B171" t="s">
        <v>248</v>
      </c>
      <c r="C171" t="s">
        <v>851</v>
      </c>
      <c r="D171" s="34">
        <v>1018800</v>
      </c>
      <c r="E171">
        <v>1246272741</v>
      </c>
      <c r="F171" s="30">
        <v>46167</v>
      </c>
      <c r="G171" s="30"/>
      <c r="H171" t="s">
        <v>28</v>
      </c>
      <c r="I171" t="s">
        <v>29</v>
      </c>
      <c r="J171">
        <v>2895</v>
      </c>
      <c r="K171" s="30">
        <v>46139</v>
      </c>
      <c r="L171">
        <v>1010100</v>
      </c>
      <c r="M171" t="s">
        <v>35</v>
      </c>
      <c r="N171">
        <v>7</v>
      </c>
      <c r="O171" t="s">
        <v>646</v>
      </c>
      <c r="P171" t="s">
        <v>416</v>
      </c>
      <c r="Q171">
        <f t="shared" si="3"/>
        <v>-26</v>
      </c>
      <c r="R171">
        <f>_xlfn.XLOOKUP(E171,'Data Additive'!E:E,'Data Additive'!E:E,0)</f>
        <v>1246272741</v>
      </c>
    </row>
    <row r="172" spans="1:18" x14ac:dyDescent="0.25">
      <c r="A172">
        <v>2949</v>
      </c>
      <c r="B172" t="s">
        <v>831</v>
      </c>
      <c r="C172" t="s">
        <v>832</v>
      </c>
      <c r="D172" s="34">
        <v>67841.5</v>
      </c>
      <c r="E172">
        <v>1246265741</v>
      </c>
      <c r="F172" s="30">
        <v>46170</v>
      </c>
      <c r="G172" s="30"/>
      <c r="H172" t="s">
        <v>28</v>
      </c>
      <c r="I172" t="s">
        <v>29</v>
      </c>
      <c r="J172">
        <v>10785</v>
      </c>
      <c r="K172" s="30">
        <v>46080</v>
      </c>
      <c r="L172">
        <v>1010100</v>
      </c>
      <c r="M172" t="s">
        <v>35</v>
      </c>
      <c r="N172">
        <v>161</v>
      </c>
      <c r="O172" t="s">
        <v>160</v>
      </c>
      <c r="P172" t="s">
        <v>496</v>
      </c>
      <c r="Q172">
        <f t="shared" si="3"/>
        <v>-29</v>
      </c>
      <c r="R172">
        <f>_xlfn.XLOOKUP(E172,'Data Additive'!E:E,'Data Additive'!E:E,0)</f>
        <v>1246265741</v>
      </c>
    </row>
    <row r="173" spans="1:18" x14ac:dyDescent="0.25">
      <c r="A173">
        <v>5182</v>
      </c>
      <c r="B173" t="s">
        <v>92</v>
      </c>
      <c r="C173" t="s">
        <v>892</v>
      </c>
      <c r="D173" s="34">
        <v>81872</v>
      </c>
      <c r="E173">
        <v>1246273036</v>
      </c>
      <c r="F173" s="30">
        <v>46169</v>
      </c>
      <c r="G173" s="30"/>
      <c r="H173" t="s">
        <v>28</v>
      </c>
      <c r="I173" t="s">
        <v>29</v>
      </c>
      <c r="J173">
        <v>11252</v>
      </c>
      <c r="K173" s="30">
        <v>46141</v>
      </c>
      <c r="L173">
        <v>1010100</v>
      </c>
      <c r="M173" t="s">
        <v>35</v>
      </c>
      <c r="N173">
        <v>161</v>
      </c>
      <c r="O173" t="s">
        <v>160</v>
      </c>
      <c r="P173" t="s">
        <v>572</v>
      </c>
      <c r="Q173">
        <f t="shared" si="3"/>
        <v>-28</v>
      </c>
      <c r="R173">
        <f>_xlfn.XLOOKUP(E173,'Data Additive'!E:E,'Data Additive'!E:E,0)</f>
        <v>1246273036</v>
      </c>
    </row>
    <row r="174" spans="1:18" x14ac:dyDescent="0.25">
      <c r="A174">
        <v>6124</v>
      </c>
      <c r="B174" t="s">
        <v>804</v>
      </c>
      <c r="C174" t="s">
        <v>95</v>
      </c>
      <c r="D174" s="34">
        <v>417259.92</v>
      </c>
      <c r="E174">
        <v>1246267573</v>
      </c>
      <c r="F174" s="30">
        <v>46153</v>
      </c>
      <c r="G174" s="30"/>
      <c r="H174" t="s">
        <v>28</v>
      </c>
      <c r="I174" t="s">
        <v>29</v>
      </c>
      <c r="J174">
        <v>2808</v>
      </c>
      <c r="K174" s="30">
        <v>46093</v>
      </c>
      <c r="L174">
        <v>1010100</v>
      </c>
      <c r="M174" t="s">
        <v>35</v>
      </c>
      <c r="N174">
        <v>161</v>
      </c>
      <c r="O174" t="s">
        <v>160</v>
      </c>
      <c r="P174" t="s">
        <v>496</v>
      </c>
      <c r="Q174">
        <f t="shared" si="3"/>
        <v>-12</v>
      </c>
      <c r="R174">
        <f>_xlfn.XLOOKUP(E174,'Data Additive'!E:E,'Data Additive'!E:E,0)</f>
        <v>1246267573</v>
      </c>
    </row>
    <row r="175" spans="1:18" x14ac:dyDescent="0.25">
      <c r="A175">
        <v>6124</v>
      </c>
      <c r="B175" t="s">
        <v>804</v>
      </c>
      <c r="C175" t="s">
        <v>95</v>
      </c>
      <c r="D175" s="34">
        <v>51634.400000000001</v>
      </c>
      <c r="E175">
        <v>1246271329</v>
      </c>
      <c r="F175" s="30">
        <v>46216</v>
      </c>
      <c r="G175" s="30"/>
      <c r="H175" t="s">
        <v>28</v>
      </c>
      <c r="I175" t="s">
        <v>29</v>
      </c>
      <c r="J175">
        <v>11119</v>
      </c>
      <c r="K175" s="30">
        <v>46126</v>
      </c>
      <c r="L175">
        <v>1010100</v>
      </c>
      <c r="M175" t="s">
        <v>35</v>
      </c>
      <c r="N175">
        <v>161</v>
      </c>
      <c r="O175" t="s">
        <v>160</v>
      </c>
      <c r="P175" t="s">
        <v>496</v>
      </c>
      <c r="Q175">
        <f t="shared" si="3"/>
        <v>-75</v>
      </c>
      <c r="R175">
        <f>_xlfn.XLOOKUP(E175,'Data Additive'!E:E,'Data Additive'!E:E,0)</f>
        <v>1246271329</v>
      </c>
    </row>
    <row r="176" spans="1:18" x14ac:dyDescent="0.25">
      <c r="A176">
        <v>6124</v>
      </c>
      <c r="B176" t="s">
        <v>804</v>
      </c>
      <c r="C176" t="s">
        <v>95</v>
      </c>
      <c r="D176" s="34">
        <v>55246.400000000001</v>
      </c>
      <c r="E176">
        <v>1246264147</v>
      </c>
      <c r="F176" s="30">
        <v>46162</v>
      </c>
      <c r="G176" s="30"/>
      <c r="H176" t="s">
        <v>28</v>
      </c>
      <c r="I176" t="s">
        <v>29</v>
      </c>
      <c r="J176">
        <v>10720</v>
      </c>
      <c r="K176" s="30">
        <v>46072</v>
      </c>
      <c r="L176">
        <v>1010100</v>
      </c>
      <c r="M176" t="s">
        <v>35</v>
      </c>
      <c r="N176">
        <v>161</v>
      </c>
      <c r="O176" t="s">
        <v>160</v>
      </c>
      <c r="P176" t="s">
        <v>496</v>
      </c>
      <c r="Q176">
        <f t="shared" si="3"/>
        <v>-21</v>
      </c>
      <c r="R176">
        <f>_xlfn.XLOOKUP(E176,'Data Additive'!E:E,'Data Additive'!E:E,0)</f>
        <v>1246264147</v>
      </c>
    </row>
    <row r="177" spans="1:18" x14ac:dyDescent="0.25">
      <c r="A177">
        <v>6124</v>
      </c>
      <c r="B177" t="s">
        <v>804</v>
      </c>
      <c r="C177" t="s">
        <v>95</v>
      </c>
      <c r="D177" s="34">
        <v>52374</v>
      </c>
      <c r="E177">
        <v>1246267926</v>
      </c>
      <c r="F177" s="30">
        <v>46187</v>
      </c>
      <c r="G177" s="30"/>
      <c r="H177" t="s">
        <v>28</v>
      </c>
      <c r="I177" t="s">
        <v>29</v>
      </c>
      <c r="J177">
        <v>10897</v>
      </c>
      <c r="K177" s="30">
        <v>46097</v>
      </c>
      <c r="L177">
        <v>1010100</v>
      </c>
      <c r="M177" t="s">
        <v>35</v>
      </c>
      <c r="N177">
        <v>161</v>
      </c>
      <c r="O177" t="s">
        <v>160</v>
      </c>
      <c r="P177" t="s">
        <v>496</v>
      </c>
      <c r="Q177">
        <f t="shared" si="3"/>
        <v>-46</v>
      </c>
      <c r="R177">
        <f>_xlfn.XLOOKUP(E177,'Data Additive'!E:E,'Data Additive'!E:E,0)</f>
        <v>1246267926</v>
      </c>
    </row>
    <row r="178" spans="1:18" x14ac:dyDescent="0.25">
      <c r="A178">
        <v>7102</v>
      </c>
      <c r="B178" t="s">
        <v>781</v>
      </c>
      <c r="C178" t="s">
        <v>563</v>
      </c>
      <c r="D178" s="34">
        <v>62553.7</v>
      </c>
      <c r="E178">
        <v>1246262017</v>
      </c>
      <c r="F178" s="30">
        <v>46145</v>
      </c>
      <c r="G178" s="30">
        <v>46146</v>
      </c>
      <c r="H178" t="s">
        <v>28</v>
      </c>
      <c r="I178" t="s">
        <v>29</v>
      </c>
      <c r="J178">
        <v>10626</v>
      </c>
      <c r="K178" s="30">
        <v>46055</v>
      </c>
      <c r="L178">
        <v>1010100</v>
      </c>
      <c r="M178" t="s">
        <v>35</v>
      </c>
      <c r="N178">
        <v>161</v>
      </c>
      <c r="O178" t="s">
        <v>160</v>
      </c>
      <c r="P178" t="s">
        <v>496</v>
      </c>
      <c r="Q178">
        <f t="shared" si="3"/>
        <v>-4</v>
      </c>
      <c r="R178">
        <f>_xlfn.XLOOKUP(E178,'Data Additive'!E:E,'Data Additive'!E:E,0)</f>
        <v>1246262017</v>
      </c>
    </row>
    <row r="179" spans="1:18" x14ac:dyDescent="0.25">
      <c r="A179">
        <v>7102</v>
      </c>
      <c r="B179" t="s">
        <v>781</v>
      </c>
      <c r="C179" t="s">
        <v>563</v>
      </c>
      <c r="D179" s="34">
        <v>63327</v>
      </c>
      <c r="E179">
        <v>1246270569</v>
      </c>
      <c r="F179" s="30">
        <v>46210</v>
      </c>
      <c r="G179" s="30"/>
      <c r="H179" t="s">
        <v>28</v>
      </c>
      <c r="I179" t="s">
        <v>29</v>
      </c>
      <c r="J179">
        <v>11069</v>
      </c>
      <c r="K179" s="30">
        <v>46120</v>
      </c>
      <c r="L179">
        <v>1010100</v>
      </c>
      <c r="M179" t="s">
        <v>35</v>
      </c>
      <c r="N179">
        <v>161</v>
      </c>
      <c r="O179" t="s">
        <v>160</v>
      </c>
      <c r="P179" t="s">
        <v>496</v>
      </c>
      <c r="Q179">
        <f t="shared" si="3"/>
        <v>-69</v>
      </c>
      <c r="R179">
        <f>_xlfn.XLOOKUP(E179,'Data Additive'!E:E,'Data Additive'!E:E,0)</f>
        <v>1246270569</v>
      </c>
    </row>
    <row r="180" spans="1:18" x14ac:dyDescent="0.25">
      <c r="A180">
        <v>7102</v>
      </c>
      <c r="B180" t="s">
        <v>781</v>
      </c>
      <c r="C180" t="s">
        <v>563</v>
      </c>
      <c r="D180" s="34">
        <v>62637.3</v>
      </c>
      <c r="E180">
        <v>1246268784</v>
      </c>
      <c r="F180" s="30">
        <v>46195</v>
      </c>
      <c r="G180" s="30"/>
      <c r="H180" t="s">
        <v>28</v>
      </c>
      <c r="I180" t="s">
        <v>29</v>
      </c>
      <c r="J180">
        <v>10966</v>
      </c>
      <c r="K180" s="30">
        <v>46105</v>
      </c>
      <c r="L180">
        <v>1010100</v>
      </c>
      <c r="M180" t="s">
        <v>35</v>
      </c>
      <c r="N180">
        <v>161</v>
      </c>
      <c r="O180" t="s">
        <v>160</v>
      </c>
      <c r="P180" t="s">
        <v>496</v>
      </c>
      <c r="Q180">
        <f t="shared" si="3"/>
        <v>-54</v>
      </c>
      <c r="R180">
        <f>_xlfn.XLOOKUP(E180,'Data Additive'!E:E,'Data Additive'!E:E,0)</f>
        <v>1246268784</v>
      </c>
    </row>
    <row r="181" spans="1:18" x14ac:dyDescent="0.25">
      <c r="A181">
        <v>7102</v>
      </c>
      <c r="B181" t="s">
        <v>781</v>
      </c>
      <c r="C181" t="s">
        <v>563</v>
      </c>
      <c r="D181" s="34">
        <v>62700</v>
      </c>
      <c r="E181">
        <v>1246262728</v>
      </c>
      <c r="F181" s="30">
        <v>46152</v>
      </c>
      <c r="G181" s="30"/>
      <c r="H181" t="s">
        <v>28</v>
      </c>
      <c r="I181" t="s">
        <v>29</v>
      </c>
      <c r="J181">
        <v>10663</v>
      </c>
      <c r="K181" s="30">
        <v>46062</v>
      </c>
      <c r="L181">
        <v>1010100</v>
      </c>
      <c r="M181" t="s">
        <v>35</v>
      </c>
      <c r="N181">
        <v>161</v>
      </c>
      <c r="O181" t="s">
        <v>160</v>
      </c>
      <c r="P181" t="s">
        <v>496</v>
      </c>
      <c r="Q181">
        <f t="shared" si="3"/>
        <v>-11</v>
      </c>
      <c r="R181">
        <f>_xlfn.XLOOKUP(E181,'Data Additive'!E:E,'Data Additive'!E:E,0)</f>
        <v>1246262728</v>
      </c>
    </row>
    <row r="182" spans="1:18" x14ac:dyDescent="0.25">
      <c r="A182">
        <v>7102</v>
      </c>
      <c r="B182" t="s">
        <v>781</v>
      </c>
      <c r="C182" t="s">
        <v>563</v>
      </c>
      <c r="D182" s="34">
        <v>4800</v>
      </c>
      <c r="E182">
        <v>1246247639</v>
      </c>
      <c r="F182" s="30">
        <v>45982</v>
      </c>
      <c r="G182" s="30"/>
      <c r="H182" t="s">
        <v>28</v>
      </c>
      <c r="I182" t="s">
        <v>29</v>
      </c>
      <c r="J182">
        <v>1246247639</v>
      </c>
      <c r="K182" s="30">
        <v>45967</v>
      </c>
      <c r="L182">
        <v>3041000</v>
      </c>
      <c r="M182" t="s">
        <v>137</v>
      </c>
      <c r="N182">
        <v>46</v>
      </c>
      <c r="O182" t="s">
        <v>162</v>
      </c>
      <c r="P182" t="s">
        <v>496</v>
      </c>
      <c r="Q182">
        <f t="shared" si="3"/>
        <v>159</v>
      </c>
      <c r="R182">
        <f>_xlfn.XLOOKUP(E182,'Data Additive'!E:E,'Data Additive'!E:E,0)</f>
        <v>0</v>
      </c>
    </row>
    <row r="183" spans="1:18" x14ac:dyDescent="0.25">
      <c r="A183">
        <v>7662</v>
      </c>
      <c r="B183" t="s">
        <v>105</v>
      </c>
      <c r="C183" t="s">
        <v>548</v>
      </c>
      <c r="D183" s="34">
        <v>57795</v>
      </c>
      <c r="E183">
        <v>1246266876</v>
      </c>
      <c r="F183" s="30">
        <v>46147</v>
      </c>
      <c r="G183" s="30">
        <v>46147</v>
      </c>
      <c r="H183" t="s">
        <v>28</v>
      </c>
      <c r="I183" t="s">
        <v>29</v>
      </c>
      <c r="J183">
        <v>2799</v>
      </c>
      <c r="K183" s="30">
        <v>46087</v>
      </c>
      <c r="L183">
        <v>1010100</v>
      </c>
      <c r="M183" t="s">
        <v>35</v>
      </c>
      <c r="N183">
        <v>161</v>
      </c>
      <c r="O183" t="s">
        <v>160</v>
      </c>
      <c r="P183" t="s">
        <v>611</v>
      </c>
      <c r="Q183">
        <f t="shared" si="3"/>
        <v>-6</v>
      </c>
      <c r="R183">
        <f>_xlfn.XLOOKUP(E183,'Data Additive'!E:E,'Data Additive'!E:E,0)</f>
        <v>1246266876</v>
      </c>
    </row>
    <row r="184" spans="1:18" x14ac:dyDescent="0.25">
      <c r="A184">
        <v>7662</v>
      </c>
      <c r="B184" t="s">
        <v>105</v>
      </c>
      <c r="C184" t="s">
        <v>548</v>
      </c>
      <c r="D184" s="34">
        <v>91675</v>
      </c>
      <c r="E184">
        <v>1246273180</v>
      </c>
      <c r="F184" s="30">
        <v>46202</v>
      </c>
      <c r="G184" s="30"/>
      <c r="H184" t="s">
        <v>28</v>
      </c>
      <c r="I184" t="s">
        <v>29</v>
      </c>
      <c r="J184">
        <v>2902</v>
      </c>
      <c r="K184" s="30">
        <v>46142</v>
      </c>
      <c r="L184">
        <v>1010100</v>
      </c>
      <c r="M184" t="s">
        <v>35</v>
      </c>
      <c r="N184">
        <v>161</v>
      </c>
      <c r="O184" t="s">
        <v>160</v>
      </c>
      <c r="P184" t="s">
        <v>611</v>
      </c>
      <c r="Q184">
        <f t="shared" si="3"/>
        <v>-61</v>
      </c>
      <c r="R184">
        <f>_xlfn.XLOOKUP(E184,'Data Additive'!E:E,'Data Additive'!E:E,0)</f>
        <v>1246273180</v>
      </c>
    </row>
    <row r="185" spans="1:18" x14ac:dyDescent="0.25">
      <c r="A185">
        <v>7662</v>
      </c>
      <c r="B185" t="s">
        <v>105</v>
      </c>
      <c r="C185" t="s">
        <v>548</v>
      </c>
      <c r="D185" s="34">
        <v>91675</v>
      </c>
      <c r="E185">
        <v>1246273179</v>
      </c>
      <c r="F185" s="30">
        <v>46187</v>
      </c>
      <c r="G185" s="30"/>
      <c r="H185" t="s">
        <v>28</v>
      </c>
      <c r="I185" t="s">
        <v>29</v>
      </c>
      <c r="J185">
        <v>2902</v>
      </c>
      <c r="K185" s="30">
        <v>46142</v>
      </c>
      <c r="L185">
        <v>1010100</v>
      </c>
      <c r="M185" t="s">
        <v>35</v>
      </c>
      <c r="N185">
        <v>161</v>
      </c>
      <c r="O185" t="s">
        <v>160</v>
      </c>
      <c r="P185" t="s">
        <v>611</v>
      </c>
      <c r="Q185">
        <f t="shared" si="3"/>
        <v>-46</v>
      </c>
      <c r="R185">
        <f>_xlfn.XLOOKUP(E185,'Data Additive'!E:E,'Data Additive'!E:E,0)</f>
        <v>1246273179</v>
      </c>
    </row>
    <row r="186" spans="1:18" x14ac:dyDescent="0.25">
      <c r="A186">
        <v>7662</v>
      </c>
      <c r="B186" t="s">
        <v>105</v>
      </c>
      <c r="C186" t="s">
        <v>548</v>
      </c>
      <c r="D186" s="34">
        <v>77060</v>
      </c>
      <c r="E186">
        <v>1246269689</v>
      </c>
      <c r="F186" s="30">
        <v>46157</v>
      </c>
      <c r="G186" s="30"/>
      <c r="H186" t="s">
        <v>28</v>
      </c>
      <c r="I186" t="s">
        <v>29</v>
      </c>
      <c r="J186">
        <v>2856</v>
      </c>
      <c r="K186" s="30">
        <v>46112</v>
      </c>
      <c r="L186">
        <v>1010100</v>
      </c>
      <c r="M186" t="s">
        <v>35</v>
      </c>
      <c r="N186">
        <v>161</v>
      </c>
      <c r="O186" t="s">
        <v>160</v>
      </c>
      <c r="P186" t="s">
        <v>611</v>
      </c>
      <c r="Q186">
        <f t="shared" si="3"/>
        <v>-16</v>
      </c>
      <c r="R186">
        <f>_xlfn.XLOOKUP(E186,'Data Additive'!E:E,'Data Additive'!E:E,0)</f>
        <v>1246269689</v>
      </c>
    </row>
    <row r="187" spans="1:18" x14ac:dyDescent="0.25">
      <c r="A187">
        <v>7662</v>
      </c>
      <c r="B187" t="s">
        <v>105</v>
      </c>
      <c r="C187" t="s">
        <v>548</v>
      </c>
      <c r="D187" s="34">
        <v>77060</v>
      </c>
      <c r="E187">
        <v>1246269690</v>
      </c>
      <c r="F187" s="30">
        <v>46172</v>
      </c>
      <c r="G187" s="30"/>
      <c r="H187" t="s">
        <v>28</v>
      </c>
      <c r="I187" t="s">
        <v>29</v>
      </c>
      <c r="J187">
        <v>2856</v>
      </c>
      <c r="K187" s="30">
        <v>46112</v>
      </c>
      <c r="L187">
        <v>1010100</v>
      </c>
      <c r="M187" t="s">
        <v>35</v>
      </c>
      <c r="N187">
        <v>161</v>
      </c>
      <c r="O187" t="s">
        <v>160</v>
      </c>
      <c r="P187" t="s">
        <v>611</v>
      </c>
      <c r="Q187">
        <f t="shared" si="3"/>
        <v>-31</v>
      </c>
      <c r="R187">
        <f>_xlfn.XLOOKUP(E187,'Data Additive'!E:E,'Data Additive'!E:E,0)</f>
        <v>1246269690</v>
      </c>
    </row>
    <row r="188" spans="1:18" x14ac:dyDescent="0.25">
      <c r="A188">
        <v>7479</v>
      </c>
      <c r="B188" t="s">
        <v>824</v>
      </c>
      <c r="C188" t="s">
        <v>825</v>
      </c>
      <c r="D188" s="34">
        <v>64104.800000000003</v>
      </c>
      <c r="E188">
        <v>1246264518</v>
      </c>
      <c r="F188" s="30">
        <v>46166</v>
      </c>
      <c r="G188" s="30"/>
      <c r="H188" t="s">
        <v>28</v>
      </c>
      <c r="I188" t="s">
        <v>29</v>
      </c>
      <c r="J188">
        <v>10739</v>
      </c>
      <c r="K188" s="30">
        <v>46076</v>
      </c>
      <c r="L188">
        <v>1010100</v>
      </c>
      <c r="M188" t="s">
        <v>35</v>
      </c>
      <c r="N188">
        <v>56</v>
      </c>
      <c r="O188" t="s">
        <v>161</v>
      </c>
      <c r="P188" t="s">
        <v>496</v>
      </c>
      <c r="Q188">
        <f t="shared" si="3"/>
        <v>-25</v>
      </c>
      <c r="R188">
        <f>_xlfn.XLOOKUP(E188,'Data Additive'!E:E,'Data Additive'!E:E,0)</f>
        <v>1246264518</v>
      </c>
    </row>
    <row r="189" spans="1:18" x14ac:dyDescent="0.25">
      <c r="A189">
        <v>6477</v>
      </c>
      <c r="B189" t="s">
        <v>97</v>
      </c>
      <c r="C189" t="s">
        <v>98</v>
      </c>
      <c r="D189" s="34">
        <v>167720</v>
      </c>
      <c r="E189">
        <v>1246262010</v>
      </c>
      <c r="F189" s="30">
        <v>46145</v>
      </c>
      <c r="G189" s="30">
        <v>46146</v>
      </c>
      <c r="H189" t="s">
        <v>28</v>
      </c>
      <c r="I189" t="s">
        <v>29</v>
      </c>
      <c r="J189">
        <v>10625</v>
      </c>
      <c r="K189" s="30">
        <v>46055</v>
      </c>
      <c r="L189">
        <v>1010100</v>
      </c>
      <c r="M189" t="s">
        <v>35</v>
      </c>
      <c r="N189">
        <v>161</v>
      </c>
      <c r="O189" t="s">
        <v>160</v>
      </c>
      <c r="P189" t="s">
        <v>496</v>
      </c>
      <c r="Q189">
        <f t="shared" si="3"/>
        <v>-4</v>
      </c>
      <c r="R189">
        <f>_xlfn.XLOOKUP(E189,'Data Additive'!E:E,'Data Additive'!E:E,0)</f>
        <v>1246262010</v>
      </c>
    </row>
    <row r="190" spans="1:18" x14ac:dyDescent="0.25">
      <c r="A190">
        <v>6477</v>
      </c>
      <c r="B190" t="s">
        <v>97</v>
      </c>
      <c r="C190" t="s">
        <v>98</v>
      </c>
      <c r="D190" s="34">
        <v>5400</v>
      </c>
      <c r="E190">
        <v>1246054441</v>
      </c>
      <c r="F190" s="30">
        <v>44897</v>
      </c>
      <c r="G190" s="30"/>
      <c r="H190" t="s">
        <v>28</v>
      </c>
      <c r="I190" t="s">
        <v>29</v>
      </c>
      <c r="J190">
        <v>1246054441</v>
      </c>
      <c r="K190" s="30">
        <v>44882</v>
      </c>
      <c r="L190">
        <v>3041000</v>
      </c>
      <c r="M190" t="s">
        <v>137</v>
      </c>
      <c r="N190">
        <v>46</v>
      </c>
      <c r="O190" t="s">
        <v>162</v>
      </c>
      <c r="P190" t="s">
        <v>496</v>
      </c>
      <c r="Q190">
        <f t="shared" si="3"/>
        <v>1244</v>
      </c>
      <c r="R190">
        <f>_xlfn.XLOOKUP(E190,'Data Additive'!E:E,'Data Additive'!E:E,0)</f>
        <v>0</v>
      </c>
    </row>
    <row r="191" spans="1:18" x14ac:dyDescent="0.25">
      <c r="A191">
        <v>6477</v>
      </c>
      <c r="B191" t="s">
        <v>97</v>
      </c>
      <c r="C191" t="s">
        <v>98</v>
      </c>
      <c r="D191" s="34">
        <v>166320</v>
      </c>
      <c r="E191">
        <v>1246263184</v>
      </c>
      <c r="F191" s="30">
        <v>46153</v>
      </c>
      <c r="G191" s="30"/>
      <c r="H191" t="s">
        <v>28</v>
      </c>
      <c r="I191" t="s">
        <v>29</v>
      </c>
      <c r="J191">
        <v>10673</v>
      </c>
      <c r="K191" s="30">
        <v>46063</v>
      </c>
      <c r="L191">
        <v>1010100</v>
      </c>
      <c r="M191" t="s">
        <v>35</v>
      </c>
      <c r="N191">
        <v>161</v>
      </c>
      <c r="O191" t="s">
        <v>160</v>
      </c>
      <c r="P191" t="s">
        <v>496</v>
      </c>
      <c r="Q191">
        <f t="shared" si="3"/>
        <v>-12</v>
      </c>
      <c r="R191">
        <f>_xlfn.XLOOKUP(E191,'Data Additive'!E:E,'Data Additive'!E:E,0)</f>
        <v>1246263184</v>
      </c>
    </row>
    <row r="192" spans="1:18" x14ac:dyDescent="0.25">
      <c r="A192">
        <v>6477</v>
      </c>
      <c r="B192" t="s">
        <v>97</v>
      </c>
      <c r="C192" t="s">
        <v>98</v>
      </c>
      <c r="D192" s="34">
        <v>6302.6</v>
      </c>
      <c r="E192">
        <v>1246212732</v>
      </c>
      <c r="F192" s="30">
        <v>45682</v>
      </c>
      <c r="G192" s="30"/>
      <c r="H192" t="s">
        <v>28</v>
      </c>
      <c r="I192" t="s">
        <v>29</v>
      </c>
      <c r="J192">
        <v>6197</v>
      </c>
      <c r="K192" s="30">
        <v>45622</v>
      </c>
      <c r="L192">
        <v>1010100</v>
      </c>
      <c r="M192" t="s">
        <v>35</v>
      </c>
      <c r="N192">
        <v>161</v>
      </c>
      <c r="O192" t="s">
        <v>160</v>
      </c>
      <c r="P192" t="s">
        <v>496</v>
      </c>
      <c r="Q192">
        <f t="shared" si="3"/>
        <v>459</v>
      </c>
      <c r="R192">
        <f>_xlfn.XLOOKUP(E192,'Data Additive'!E:E,'Data Additive'!E:E,0)</f>
        <v>1246212732</v>
      </c>
    </row>
    <row r="193" spans="1:18" x14ac:dyDescent="0.25">
      <c r="A193">
        <v>7097</v>
      </c>
      <c r="B193" t="s">
        <v>101</v>
      </c>
      <c r="C193" t="s">
        <v>102</v>
      </c>
      <c r="D193" s="34">
        <v>177977.8</v>
      </c>
      <c r="E193">
        <v>1246265921</v>
      </c>
      <c r="F193" s="30">
        <v>46173</v>
      </c>
      <c r="G193" s="30">
        <v>46146</v>
      </c>
      <c r="H193" t="s">
        <v>28</v>
      </c>
      <c r="I193" t="s">
        <v>29</v>
      </c>
      <c r="J193">
        <v>10795</v>
      </c>
      <c r="K193" s="30">
        <v>46083</v>
      </c>
      <c r="L193">
        <v>1010100</v>
      </c>
      <c r="M193" t="s">
        <v>35</v>
      </c>
      <c r="N193">
        <v>161</v>
      </c>
      <c r="O193" t="s">
        <v>160</v>
      </c>
      <c r="P193" t="s">
        <v>496</v>
      </c>
      <c r="Q193">
        <f t="shared" si="3"/>
        <v>-32</v>
      </c>
      <c r="R193">
        <f>_xlfn.XLOOKUP(E193,'Data Additive'!E:E,'Data Additive'!E:E,0)</f>
        <v>1246265921</v>
      </c>
    </row>
    <row r="194" spans="1:18" x14ac:dyDescent="0.25">
      <c r="A194">
        <v>7097</v>
      </c>
      <c r="B194" t="s">
        <v>101</v>
      </c>
      <c r="C194" t="s">
        <v>102</v>
      </c>
      <c r="D194" s="34">
        <v>11300</v>
      </c>
      <c r="E194">
        <v>1246058687</v>
      </c>
      <c r="F194" s="30">
        <v>44925</v>
      </c>
      <c r="G194" s="30"/>
      <c r="H194" t="s">
        <v>28</v>
      </c>
      <c r="I194" t="s">
        <v>29</v>
      </c>
      <c r="J194">
        <v>1246058687</v>
      </c>
      <c r="K194" s="30">
        <v>44910</v>
      </c>
      <c r="L194">
        <v>3041000</v>
      </c>
      <c r="M194" t="s">
        <v>137</v>
      </c>
      <c r="N194">
        <v>46</v>
      </c>
      <c r="O194" t="s">
        <v>162</v>
      </c>
      <c r="P194" t="s">
        <v>496</v>
      </c>
      <c r="Q194">
        <f t="shared" si="3"/>
        <v>1216</v>
      </c>
      <c r="R194">
        <f>_xlfn.XLOOKUP(E194,'Data Additive'!E:E,'Data Additive'!E:E,0)</f>
        <v>0</v>
      </c>
    </row>
    <row r="195" spans="1:18" x14ac:dyDescent="0.25">
      <c r="A195">
        <v>7097</v>
      </c>
      <c r="B195" t="s">
        <v>101</v>
      </c>
      <c r="C195" t="s">
        <v>102</v>
      </c>
      <c r="D195" s="34">
        <v>10183.120000000001</v>
      </c>
      <c r="E195">
        <v>1246057240</v>
      </c>
      <c r="F195" s="30">
        <v>44922</v>
      </c>
      <c r="G195" s="30"/>
      <c r="H195" t="s">
        <v>28</v>
      </c>
      <c r="I195" t="s">
        <v>29</v>
      </c>
      <c r="J195">
        <v>71222</v>
      </c>
      <c r="K195" s="30">
        <v>44902</v>
      </c>
      <c r="L195">
        <v>3041000</v>
      </c>
      <c r="M195" t="s">
        <v>137</v>
      </c>
      <c r="N195">
        <v>46</v>
      </c>
      <c r="O195" t="s">
        <v>162</v>
      </c>
      <c r="P195" t="s">
        <v>496</v>
      </c>
      <c r="Q195">
        <f t="shared" si="3"/>
        <v>1219</v>
      </c>
      <c r="R195">
        <f>_xlfn.XLOOKUP(E195,'Data Additive'!E:E,'Data Additive'!E:E,0)</f>
        <v>0</v>
      </c>
    </row>
    <row r="196" spans="1:18" x14ac:dyDescent="0.25">
      <c r="A196">
        <v>7443</v>
      </c>
      <c r="B196" t="s">
        <v>805</v>
      </c>
      <c r="C196" t="s">
        <v>252</v>
      </c>
      <c r="D196" s="34">
        <v>1200</v>
      </c>
      <c r="E196">
        <v>1246156403</v>
      </c>
      <c r="F196" s="30">
        <v>45496</v>
      </c>
      <c r="G196" s="30"/>
      <c r="H196" t="s">
        <v>28</v>
      </c>
      <c r="I196" t="s">
        <v>29</v>
      </c>
      <c r="J196">
        <v>1246156403</v>
      </c>
      <c r="K196" s="30">
        <v>45481</v>
      </c>
      <c r="L196">
        <v>3041000</v>
      </c>
      <c r="M196" t="s">
        <v>137</v>
      </c>
      <c r="N196">
        <v>46</v>
      </c>
      <c r="O196" t="s">
        <v>162</v>
      </c>
      <c r="P196" t="s">
        <v>496</v>
      </c>
      <c r="Q196">
        <f t="shared" si="3"/>
        <v>645</v>
      </c>
      <c r="R196">
        <f>_xlfn.XLOOKUP(E196,'Data Additive'!E:E,'Data Additive'!E:E,0)</f>
        <v>0</v>
      </c>
    </row>
    <row r="197" spans="1:18" x14ac:dyDescent="0.25">
      <c r="A197">
        <v>7443</v>
      </c>
      <c r="B197" t="s">
        <v>805</v>
      </c>
      <c r="C197" t="s">
        <v>252</v>
      </c>
      <c r="D197" s="34">
        <v>1200</v>
      </c>
      <c r="E197">
        <v>1246156396</v>
      </c>
      <c r="F197" s="30">
        <v>45496</v>
      </c>
      <c r="G197" s="30"/>
      <c r="H197" t="s">
        <v>28</v>
      </c>
      <c r="I197" t="s">
        <v>29</v>
      </c>
      <c r="J197">
        <v>1246156396</v>
      </c>
      <c r="K197" s="30">
        <v>45481</v>
      </c>
      <c r="L197">
        <v>3041000</v>
      </c>
      <c r="M197" t="s">
        <v>137</v>
      </c>
      <c r="N197">
        <v>46</v>
      </c>
      <c r="O197" t="s">
        <v>162</v>
      </c>
      <c r="P197" t="s">
        <v>496</v>
      </c>
      <c r="Q197">
        <f t="shared" si="3"/>
        <v>645</v>
      </c>
      <c r="R197">
        <f>_xlfn.XLOOKUP(E197,'Data Additive'!E:E,'Data Additive'!E:E,0)</f>
        <v>0</v>
      </c>
    </row>
    <row r="198" spans="1:18" x14ac:dyDescent="0.25">
      <c r="A198">
        <v>7024</v>
      </c>
      <c r="B198" t="s">
        <v>833</v>
      </c>
      <c r="C198" t="s">
        <v>834</v>
      </c>
      <c r="D198" s="34">
        <v>70855.199999999997</v>
      </c>
      <c r="E198">
        <v>1246269662</v>
      </c>
      <c r="F198" s="30">
        <v>46201</v>
      </c>
      <c r="G198" s="30"/>
      <c r="H198" t="s">
        <v>28</v>
      </c>
      <c r="I198" t="s">
        <v>29</v>
      </c>
      <c r="J198">
        <v>11011</v>
      </c>
      <c r="K198" s="30">
        <v>46111</v>
      </c>
      <c r="L198">
        <v>1010100</v>
      </c>
      <c r="M198" t="s">
        <v>35</v>
      </c>
      <c r="N198">
        <v>161</v>
      </c>
      <c r="O198" t="s">
        <v>160</v>
      </c>
      <c r="P198" t="s">
        <v>496</v>
      </c>
      <c r="Q198">
        <f t="shared" si="3"/>
        <v>-60</v>
      </c>
      <c r="R198">
        <f>_xlfn.XLOOKUP(E198,'Data Additive'!E:E,'Data Additive'!E:E,0)</f>
        <v>1246269662</v>
      </c>
    </row>
    <row r="199" spans="1:18" x14ac:dyDescent="0.25">
      <c r="A199">
        <v>7024</v>
      </c>
      <c r="B199" t="s">
        <v>833</v>
      </c>
      <c r="C199" t="s">
        <v>834</v>
      </c>
      <c r="D199" s="34">
        <v>71323.199999999997</v>
      </c>
      <c r="E199">
        <v>1246270943</v>
      </c>
      <c r="F199" s="30">
        <v>46212</v>
      </c>
      <c r="G199" s="30"/>
      <c r="H199" t="s">
        <v>28</v>
      </c>
      <c r="I199" t="s">
        <v>29</v>
      </c>
      <c r="J199">
        <v>11084</v>
      </c>
      <c r="K199" s="30">
        <v>46122</v>
      </c>
      <c r="L199">
        <v>1010100</v>
      </c>
      <c r="M199" t="s">
        <v>35</v>
      </c>
      <c r="N199">
        <v>161</v>
      </c>
      <c r="O199" t="s">
        <v>160</v>
      </c>
      <c r="P199" t="s">
        <v>496</v>
      </c>
      <c r="Q199">
        <f t="shared" si="3"/>
        <v>-71</v>
      </c>
      <c r="R199">
        <f>_xlfn.XLOOKUP(E199,'Data Additive'!E:E,'Data Additive'!E:E,0)</f>
        <v>1246270943</v>
      </c>
    </row>
    <row r="200" spans="1:18" x14ac:dyDescent="0.25">
      <c r="A200">
        <v>7024</v>
      </c>
      <c r="B200" t="s">
        <v>833</v>
      </c>
      <c r="C200" t="s">
        <v>834</v>
      </c>
      <c r="D200" s="34">
        <v>70410.600000000006</v>
      </c>
      <c r="E200">
        <v>1246265856</v>
      </c>
      <c r="F200" s="30">
        <v>46170</v>
      </c>
      <c r="G200" s="30"/>
      <c r="H200" t="s">
        <v>28</v>
      </c>
      <c r="I200" t="s">
        <v>29</v>
      </c>
      <c r="J200">
        <v>10790</v>
      </c>
      <c r="K200" s="30">
        <v>46080</v>
      </c>
      <c r="L200">
        <v>1010100</v>
      </c>
      <c r="M200" t="s">
        <v>35</v>
      </c>
      <c r="N200">
        <v>161</v>
      </c>
      <c r="O200" t="s">
        <v>160</v>
      </c>
      <c r="P200" t="s">
        <v>496</v>
      </c>
      <c r="Q200">
        <f t="shared" si="3"/>
        <v>-29</v>
      </c>
      <c r="R200">
        <f>_xlfn.XLOOKUP(E200,'Data Additive'!E:E,'Data Additive'!E:E,0)</f>
        <v>1246265856</v>
      </c>
    </row>
    <row r="201" spans="1:18" x14ac:dyDescent="0.25">
      <c r="A201">
        <v>7302</v>
      </c>
      <c r="B201" t="s">
        <v>103</v>
      </c>
      <c r="C201" t="s">
        <v>104</v>
      </c>
      <c r="D201" s="34">
        <v>167720</v>
      </c>
      <c r="E201">
        <v>1246262004</v>
      </c>
      <c r="F201" s="30">
        <v>46145</v>
      </c>
      <c r="G201" s="30">
        <v>46146</v>
      </c>
      <c r="H201" t="s">
        <v>28</v>
      </c>
      <c r="I201" t="s">
        <v>29</v>
      </c>
      <c r="J201">
        <v>10622</v>
      </c>
      <c r="K201" s="30">
        <v>46055</v>
      </c>
      <c r="L201">
        <v>1010100</v>
      </c>
      <c r="M201" t="s">
        <v>35</v>
      </c>
      <c r="N201">
        <v>161</v>
      </c>
      <c r="O201" t="s">
        <v>160</v>
      </c>
      <c r="P201" t="s">
        <v>496</v>
      </c>
      <c r="Q201">
        <f t="shared" si="3"/>
        <v>-4</v>
      </c>
      <c r="R201">
        <f>_xlfn.XLOOKUP(E201,'Data Additive'!E:E,'Data Additive'!E:E,0)</f>
        <v>1246262004</v>
      </c>
    </row>
    <row r="202" spans="1:18" x14ac:dyDescent="0.25">
      <c r="A202">
        <v>7302</v>
      </c>
      <c r="B202" t="s">
        <v>103</v>
      </c>
      <c r="C202" t="s">
        <v>104</v>
      </c>
      <c r="D202" s="34">
        <v>1800</v>
      </c>
      <c r="E202">
        <v>1246045752</v>
      </c>
      <c r="F202" s="30">
        <v>44848</v>
      </c>
      <c r="G202" s="30"/>
      <c r="H202" t="s">
        <v>28</v>
      </c>
      <c r="I202" t="s">
        <v>29</v>
      </c>
      <c r="J202">
        <v>290922</v>
      </c>
      <c r="K202" s="30">
        <v>44833</v>
      </c>
      <c r="L202">
        <v>3041000</v>
      </c>
      <c r="M202" t="s">
        <v>137</v>
      </c>
      <c r="N202">
        <v>46</v>
      </c>
      <c r="O202" t="s">
        <v>162</v>
      </c>
      <c r="P202" t="s">
        <v>496</v>
      </c>
      <c r="Q202">
        <f t="shared" si="3"/>
        <v>1293</v>
      </c>
      <c r="R202">
        <f>_xlfn.XLOOKUP(E202,'Data Additive'!E:E,'Data Additive'!E:E,0)</f>
        <v>0</v>
      </c>
    </row>
    <row r="203" spans="1:18" x14ac:dyDescent="0.25">
      <c r="A203">
        <v>7302</v>
      </c>
      <c r="B203" t="s">
        <v>103</v>
      </c>
      <c r="C203" t="s">
        <v>104</v>
      </c>
      <c r="D203" s="34">
        <v>7200</v>
      </c>
      <c r="E203">
        <v>1246033417</v>
      </c>
      <c r="F203" s="30">
        <v>44792</v>
      </c>
      <c r="G203" s="30"/>
      <c r="H203" t="s">
        <v>28</v>
      </c>
      <c r="I203" t="s">
        <v>29</v>
      </c>
      <c r="J203">
        <v>1246033417</v>
      </c>
      <c r="K203" s="30">
        <v>44777</v>
      </c>
      <c r="L203">
        <v>3041000</v>
      </c>
      <c r="M203" t="s">
        <v>137</v>
      </c>
      <c r="N203">
        <v>46</v>
      </c>
      <c r="O203" t="s">
        <v>162</v>
      </c>
      <c r="P203" t="s">
        <v>496</v>
      </c>
      <c r="Q203">
        <f t="shared" si="3"/>
        <v>1349</v>
      </c>
      <c r="R203">
        <f>_xlfn.XLOOKUP(E203,'Data Additive'!E:E,'Data Additive'!E:E,0)</f>
        <v>0</v>
      </c>
    </row>
    <row r="204" spans="1:18" x14ac:dyDescent="0.25">
      <c r="A204">
        <v>7302</v>
      </c>
      <c r="B204" t="s">
        <v>103</v>
      </c>
      <c r="C204" t="s">
        <v>104</v>
      </c>
      <c r="D204" s="34">
        <v>1431.76</v>
      </c>
      <c r="E204">
        <v>1246062794</v>
      </c>
      <c r="F204" s="30">
        <v>44939</v>
      </c>
      <c r="G204" s="30"/>
      <c r="H204" t="s">
        <v>28</v>
      </c>
      <c r="I204" t="s">
        <v>29</v>
      </c>
      <c r="J204">
        <v>19884</v>
      </c>
      <c r="K204" s="30">
        <v>44879</v>
      </c>
      <c r="L204">
        <v>1010100</v>
      </c>
      <c r="M204" t="s">
        <v>35</v>
      </c>
      <c r="N204">
        <v>80</v>
      </c>
      <c r="O204" t="s">
        <v>180</v>
      </c>
      <c r="P204" t="s">
        <v>496</v>
      </c>
      <c r="Q204">
        <f t="shared" si="3"/>
        <v>1202</v>
      </c>
      <c r="R204">
        <f>_xlfn.XLOOKUP(E204,'Data Additive'!E:E,'Data Additive'!E:E,0)</f>
        <v>1246062794</v>
      </c>
    </row>
    <row r="205" spans="1:18" x14ac:dyDescent="0.25">
      <c r="A205">
        <v>7302</v>
      </c>
      <c r="B205" t="s">
        <v>103</v>
      </c>
      <c r="C205" t="s">
        <v>104</v>
      </c>
      <c r="D205" s="34">
        <v>9000</v>
      </c>
      <c r="E205">
        <v>1246054438</v>
      </c>
      <c r="F205" s="30">
        <v>44897</v>
      </c>
      <c r="G205" s="30"/>
      <c r="H205" t="s">
        <v>28</v>
      </c>
      <c r="I205" t="s">
        <v>29</v>
      </c>
      <c r="J205">
        <v>1246054438</v>
      </c>
      <c r="K205" s="30">
        <v>44882</v>
      </c>
      <c r="L205">
        <v>3041000</v>
      </c>
      <c r="M205" t="s">
        <v>137</v>
      </c>
      <c r="N205">
        <v>46</v>
      </c>
      <c r="O205" t="s">
        <v>162</v>
      </c>
      <c r="P205" t="s">
        <v>496</v>
      </c>
      <c r="Q205">
        <f t="shared" si="3"/>
        <v>1244</v>
      </c>
      <c r="R205">
        <f>_xlfn.XLOOKUP(E205,'Data Additive'!E:E,'Data Additive'!E:E,0)</f>
        <v>0</v>
      </c>
    </row>
    <row r="206" spans="1:18" x14ac:dyDescent="0.25">
      <c r="A206">
        <v>7302</v>
      </c>
      <c r="B206" t="s">
        <v>103</v>
      </c>
      <c r="C206" t="s">
        <v>104</v>
      </c>
      <c r="D206" s="34">
        <v>7200</v>
      </c>
      <c r="E206">
        <v>1246057914</v>
      </c>
      <c r="F206" s="30">
        <v>44922</v>
      </c>
      <c r="G206" s="30"/>
      <c r="H206" t="s">
        <v>28</v>
      </c>
      <c r="I206" t="s">
        <v>29</v>
      </c>
      <c r="J206">
        <v>1246057914</v>
      </c>
      <c r="K206" s="30">
        <v>44907</v>
      </c>
      <c r="L206">
        <v>3041000</v>
      </c>
      <c r="M206" t="s">
        <v>137</v>
      </c>
      <c r="N206">
        <v>46</v>
      </c>
      <c r="O206" t="s">
        <v>162</v>
      </c>
      <c r="P206" t="s">
        <v>496</v>
      </c>
      <c r="Q206">
        <f t="shared" ref="Q206:Q267" si="4">$R$1-F206</f>
        <v>1219</v>
      </c>
      <c r="R206">
        <f>_xlfn.XLOOKUP(E206,'Data Additive'!E:E,'Data Additive'!E:E,0)</f>
        <v>0</v>
      </c>
    </row>
    <row r="207" spans="1:18" x14ac:dyDescent="0.25">
      <c r="A207">
        <v>7302</v>
      </c>
      <c r="B207" t="s">
        <v>103</v>
      </c>
      <c r="C207" t="s">
        <v>104</v>
      </c>
      <c r="D207" s="34">
        <v>2517.4</v>
      </c>
      <c r="E207">
        <v>1246055324</v>
      </c>
      <c r="F207" s="30">
        <v>44887</v>
      </c>
      <c r="G207" s="30"/>
      <c r="H207" t="s">
        <v>28</v>
      </c>
      <c r="I207" t="s">
        <v>29</v>
      </c>
      <c r="J207">
        <v>19314</v>
      </c>
      <c r="K207" s="30">
        <v>44827</v>
      </c>
      <c r="L207">
        <v>1010100</v>
      </c>
      <c r="M207" t="s">
        <v>35</v>
      </c>
      <c r="N207">
        <v>161</v>
      </c>
      <c r="O207" t="s">
        <v>160</v>
      </c>
      <c r="P207" t="s">
        <v>496</v>
      </c>
      <c r="Q207">
        <f t="shared" si="4"/>
        <v>1254</v>
      </c>
      <c r="R207">
        <f>_xlfn.XLOOKUP(E207,'Data Additive'!E:E,'Data Additive'!E:E,0)</f>
        <v>1246055324</v>
      </c>
    </row>
    <row r="208" spans="1:18" x14ac:dyDescent="0.25">
      <c r="A208">
        <v>7302</v>
      </c>
      <c r="B208" t="s">
        <v>103</v>
      </c>
      <c r="C208" t="s">
        <v>104</v>
      </c>
      <c r="D208" s="34">
        <v>36679.800000000003</v>
      </c>
      <c r="E208">
        <v>1246272740</v>
      </c>
      <c r="F208" s="30">
        <v>46229</v>
      </c>
      <c r="G208" s="30"/>
      <c r="H208" t="s">
        <v>28</v>
      </c>
      <c r="I208" t="s">
        <v>29</v>
      </c>
      <c r="J208">
        <v>11223</v>
      </c>
      <c r="K208" s="30">
        <v>46139</v>
      </c>
      <c r="L208">
        <v>1010100</v>
      </c>
      <c r="M208" t="s">
        <v>35</v>
      </c>
      <c r="N208">
        <v>161</v>
      </c>
      <c r="O208" t="s">
        <v>160</v>
      </c>
      <c r="P208" t="s">
        <v>496</v>
      </c>
      <c r="Q208">
        <f t="shared" si="4"/>
        <v>-88</v>
      </c>
      <c r="R208">
        <f>_xlfn.XLOOKUP(E208,'Data Additive'!E:E,'Data Additive'!E:E,0)</f>
        <v>1246272740</v>
      </c>
    </row>
    <row r="209" spans="1:18" x14ac:dyDescent="0.25">
      <c r="A209">
        <v>7302</v>
      </c>
      <c r="B209" t="s">
        <v>103</v>
      </c>
      <c r="C209" t="s">
        <v>104</v>
      </c>
      <c r="D209" s="34">
        <v>166320</v>
      </c>
      <c r="E209">
        <v>1246263181</v>
      </c>
      <c r="F209" s="30">
        <v>46153</v>
      </c>
      <c r="G209" s="30"/>
      <c r="H209" t="s">
        <v>28</v>
      </c>
      <c r="I209" t="s">
        <v>29</v>
      </c>
      <c r="J209">
        <v>10672</v>
      </c>
      <c r="K209" s="30">
        <v>46063</v>
      </c>
      <c r="L209">
        <v>1010100</v>
      </c>
      <c r="M209" t="s">
        <v>35</v>
      </c>
      <c r="N209">
        <v>161</v>
      </c>
      <c r="O209" t="s">
        <v>160</v>
      </c>
      <c r="P209" t="s">
        <v>496</v>
      </c>
      <c r="Q209">
        <f t="shared" si="4"/>
        <v>-12</v>
      </c>
      <c r="R209">
        <f>_xlfn.XLOOKUP(E209,'Data Additive'!E:E,'Data Additive'!E:E,0)</f>
        <v>1246263181</v>
      </c>
    </row>
    <row r="210" spans="1:18" x14ac:dyDescent="0.25">
      <c r="A210">
        <v>7302</v>
      </c>
      <c r="B210" t="s">
        <v>103</v>
      </c>
      <c r="C210" t="s">
        <v>104</v>
      </c>
      <c r="D210" s="34">
        <v>67867.8</v>
      </c>
      <c r="E210">
        <v>1246270495</v>
      </c>
      <c r="F210" s="30">
        <v>46209</v>
      </c>
      <c r="G210" s="30"/>
      <c r="H210" t="s">
        <v>28</v>
      </c>
      <c r="I210" t="s">
        <v>29</v>
      </c>
      <c r="J210">
        <v>11064</v>
      </c>
      <c r="K210" s="30">
        <v>46119</v>
      </c>
      <c r="L210">
        <v>1010100</v>
      </c>
      <c r="M210" t="s">
        <v>35</v>
      </c>
      <c r="N210">
        <v>161</v>
      </c>
      <c r="O210" t="s">
        <v>160</v>
      </c>
      <c r="P210" t="s">
        <v>496</v>
      </c>
      <c r="Q210">
        <f t="shared" si="4"/>
        <v>-68</v>
      </c>
      <c r="R210">
        <f>_xlfn.XLOOKUP(E210,'Data Additive'!E:E,'Data Additive'!E:E,0)</f>
        <v>1246270495</v>
      </c>
    </row>
    <row r="211" spans="1:18" x14ac:dyDescent="0.25">
      <c r="A211">
        <v>7302</v>
      </c>
      <c r="B211" t="s">
        <v>103</v>
      </c>
      <c r="C211" t="s">
        <v>104</v>
      </c>
      <c r="D211" s="34">
        <v>181231</v>
      </c>
      <c r="E211">
        <v>1246273299</v>
      </c>
      <c r="F211" s="30">
        <v>46232</v>
      </c>
      <c r="G211" s="30"/>
      <c r="H211" t="s">
        <v>28</v>
      </c>
      <c r="I211" t="s">
        <v>29</v>
      </c>
      <c r="J211">
        <v>11276</v>
      </c>
      <c r="K211" s="30">
        <v>46142</v>
      </c>
      <c r="L211">
        <v>1010100</v>
      </c>
      <c r="M211" t="s">
        <v>35</v>
      </c>
      <c r="N211">
        <v>161</v>
      </c>
      <c r="O211" t="s">
        <v>160</v>
      </c>
      <c r="P211" t="s">
        <v>496</v>
      </c>
      <c r="Q211">
        <f t="shared" si="4"/>
        <v>-91</v>
      </c>
      <c r="R211">
        <f>_xlfn.XLOOKUP(E211,'Data Additive'!E:E,'Data Additive'!E:E,0)</f>
        <v>1246273299</v>
      </c>
    </row>
    <row r="212" spans="1:18" x14ac:dyDescent="0.25">
      <c r="A212">
        <v>7302</v>
      </c>
      <c r="B212" t="s">
        <v>103</v>
      </c>
      <c r="C212" t="s">
        <v>104</v>
      </c>
      <c r="D212" s="34">
        <v>129924</v>
      </c>
      <c r="E212">
        <v>1246268530</v>
      </c>
      <c r="F212" s="30">
        <v>46191</v>
      </c>
      <c r="G212" s="30"/>
      <c r="H212" t="s">
        <v>28</v>
      </c>
      <c r="I212" t="s">
        <v>29</v>
      </c>
      <c r="J212">
        <v>10941</v>
      </c>
      <c r="K212" s="30">
        <v>46101</v>
      </c>
      <c r="L212">
        <v>1010100</v>
      </c>
      <c r="M212" t="s">
        <v>35</v>
      </c>
      <c r="N212">
        <v>56</v>
      </c>
      <c r="O212" t="s">
        <v>161</v>
      </c>
      <c r="P212" t="s">
        <v>496</v>
      </c>
      <c r="Q212">
        <f t="shared" si="4"/>
        <v>-50</v>
      </c>
      <c r="R212">
        <f>_xlfn.XLOOKUP(E212,'Data Additive'!E:E,'Data Additive'!E:E,0)</f>
        <v>1246268530</v>
      </c>
    </row>
    <row r="213" spans="1:18" x14ac:dyDescent="0.25">
      <c r="A213">
        <v>7302</v>
      </c>
      <c r="B213" t="s">
        <v>103</v>
      </c>
      <c r="C213" t="s">
        <v>104</v>
      </c>
      <c r="D213" s="34">
        <v>64.2</v>
      </c>
      <c r="E213">
        <v>1246226087</v>
      </c>
      <c r="F213" s="30">
        <v>45919</v>
      </c>
      <c r="G213" s="30"/>
      <c r="H213" t="s">
        <v>28</v>
      </c>
      <c r="I213" t="s">
        <v>29</v>
      </c>
      <c r="J213">
        <v>8559</v>
      </c>
      <c r="K213" s="30">
        <v>45859</v>
      </c>
      <c r="L213">
        <v>1010100</v>
      </c>
      <c r="M213" t="s">
        <v>35</v>
      </c>
      <c r="N213">
        <v>161</v>
      </c>
      <c r="O213" t="s">
        <v>160</v>
      </c>
      <c r="P213" t="s">
        <v>496</v>
      </c>
      <c r="Q213">
        <f t="shared" si="4"/>
        <v>222</v>
      </c>
      <c r="R213">
        <f>_xlfn.XLOOKUP(E213,'Data Additive'!E:E,'Data Additive'!E:E,0)</f>
        <v>1246226087</v>
      </c>
    </row>
    <row r="214" spans="1:18" x14ac:dyDescent="0.25">
      <c r="A214">
        <v>6415</v>
      </c>
      <c r="B214" t="s">
        <v>138</v>
      </c>
      <c r="C214" t="s">
        <v>139</v>
      </c>
      <c r="D214" s="34">
        <v>3600</v>
      </c>
      <c r="E214">
        <v>1245985693</v>
      </c>
      <c r="F214" s="30">
        <v>44692</v>
      </c>
      <c r="G214" s="30"/>
      <c r="H214" t="s">
        <v>28</v>
      </c>
      <c r="I214" t="s">
        <v>29</v>
      </c>
      <c r="J214">
        <v>1245985693</v>
      </c>
      <c r="K214" s="30">
        <v>44531</v>
      </c>
      <c r="L214">
        <v>3041000</v>
      </c>
      <c r="M214" t="s">
        <v>137</v>
      </c>
      <c r="N214">
        <v>46</v>
      </c>
      <c r="O214" t="s">
        <v>162</v>
      </c>
      <c r="P214" t="s">
        <v>496</v>
      </c>
      <c r="Q214">
        <f t="shared" si="4"/>
        <v>1449</v>
      </c>
      <c r="R214">
        <f>_xlfn.XLOOKUP(E214,'Data Additive'!E:E,'Data Additive'!E:E,0)</f>
        <v>0</v>
      </c>
    </row>
    <row r="215" spans="1:18" x14ac:dyDescent="0.25">
      <c r="A215">
        <v>7103</v>
      </c>
      <c r="B215" t="s">
        <v>565</v>
      </c>
      <c r="C215" t="s">
        <v>566</v>
      </c>
      <c r="D215" s="34">
        <v>57019</v>
      </c>
      <c r="E215">
        <v>1246269403</v>
      </c>
      <c r="F215" s="30">
        <v>46198</v>
      </c>
      <c r="G215" s="30"/>
      <c r="H215" t="s">
        <v>28</v>
      </c>
      <c r="I215" t="s">
        <v>29</v>
      </c>
      <c r="J215">
        <v>10985</v>
      </c>
      <c r="K215" s="30">
        <v>46108</v>
      </c>
      <c r="L215">
        <v>1010100</v>
      </c>
      <c r="M215" t="s">
        <v>35</v>
      </c>
      <c r="N215">
        <v>161</v>
      </c>
      <c r="O215" t="s">
        <v>160</v>
      </c>
      <c r="P215" t="s">
        <v>496</v>
      </c>
      <c r="Q215">
        <f t="shared" si="4"/>
        <v>-57</v>
      </c>
      <c r="R215">
        <f>_xlfn.XLOOKUP(E215,'Data Additive'!E:E,'Data Additive'!E:E,0)</f>
        <v>1246269403</v>
      </c>
    </row>
    <row r="216" spans="1:18" x14ac:dyDescent="0.25">
      <c r="A216">
        <v>8413</v>
      </c>
      <c r="B216" t="s">
        <v>107</v>
      </c>
      <c r="C216" t="s">
        <v>895</v>
      </c>
      <c r="D216" s="34">
        <v>94346</v>
      </c>
      <c r="E216">
        <v>1246273107</v>
      </c>
      <c r="F216" s="30">
        <v>46201</v>
      </c>
      <c r="G216" s="30"/>
      <c r="H216" t="s">
        <v>28</v>
      </c>
      <c r="I216" t="s">
        <v>29</v>
      </c>
      <c r="J216">
        <v>11262</v>
      </c>
      <c r="K216" s="30">
        <v>46141</v>
      </c>
      <c r="L216">
        <v>1010100</v>
      </c>
      <c r="M216" t="s">
        <v>35</v>
      </c>
      <c r="N216">
        <v>161</v>
      </c>
      <c r="O216" t="s">
        <v>160</v>
      </c>
      <c r="P216" t="s">
        <v>413</v>
      </c>
      <c r="Q216">
        <f t="shared" si="4"/>
        <v>-60</v>
      </c>
      <c r="R216">
        <f>_xlfn.XLOOKUP(E216,'Data Additive'!E:E,'Data Additive'!E:E,0)</f>
        <v>1246273107</v>
      </c>
    </row>
    <row r="217" spans="1:18" x14ac:dyDescent="0.25">
      <c r="A217">
        <v>9824</v>
      </c>
      <c r="B217" t="s">
        <v>714</v>
      </c>
      <c r="C217" t="s">
        <v>189</v>
      </c>
      <c r="D217" s="34">
        <v>69971.199999999997</v>
      </c>
      <c r="E217">
        <v>1246154720</v>
      </c>
      <c r="F217" s="30">
        <v>45738</v>
      </c>
      <c r="G217" s="30"/>
      <c r="H217" t="s">
        <v>172</v>
      </c>
      <c r="I217" t="s">
        <v>173</v>
      </c>
      <c r="J217">
        <v>4113</v>
      </c>
      <c r="K217" s="30">
        <v>45475</v>
      </c>
      <c r="L217">
        <v>1010100</v>
      </c>
      <c r="M217" t="s">
        <v>35</v>
      </c>
      <c r="N217">
        <v>161</v>
      </c>
      <c r="O217" t="s">
        <v>160</v>
      </c>
      <c r="P217" t="s">
        <v>426</v>
      </c>
      <c r="Q217">
        <f t="shared" si="4"/>
        <v>403</v>
      </c>
      <c r="R217">
        <f>_xlfn.XLOOKUP(E217,'Data Additive'!E:E,'Data Additive'!E:E,0)</f>
        <v>0</v>
      </c>
    </row>
    <row r="218" spans="1:18" x14ac:dyDescent="0.25">
      <c r="A218">
        <v>9824</v>
      </c>
      <c r="B218" t="s">
        <v>714</v>
      </c>
      <c r="C218" t="s">
        <v>189</v>
      </c>
      <c r="D218" s="34">
        <v>60656</v>
      </c>
      <c r="E218">
        <v>1246154724</v>
      </c>
      <c r="F218" s="30">
        <v>45738</v>
      </c>
      <c r="G218" s="30"/>
      <c r="H218" t="s">
        <v>172</v>
      </c>
      <c r="I218" t="s">
        <v>173</v>
      </c>
      <c r="J218">
        <v>4114</v>
      </c>
      <c r="K218" s="30">
        <v>45475</v>
      </c>
      <c r="L218">
        <v>1010100</v>
      </c>
      <c r="M218" t="s">
        <v>35</v>
      </c>
      <c r="N218">
        <v>161</v>
      </c>
      <c r="O218" t="s">
        <v>160</v>
      </c>
      <c r="P218" t="s">
        <v>426</v>
      </c>
      <c r="Q218">
        <f t="shared" si="4"/>
        <v>403</v>
      </c>
      <c r="R218">
        <f>_xlfn.XLOOKUP(E218,'Data Additive'!E:E,'Data Additive'!E:E,0)</f>
        <v>0</v>
      </c>
    </row>
    <row r="219" spans="1:18" x14ac:dyDescent="0.25">
      <c r="A219">
        <v>10473</v>
      </c>
      <c r="B219" t="s">
        <v>888</v>
      </c>
      <c r="C219" t="s">
        <v>889</v>
      </c>
      <c r="D219" s="34">
        <v>62566.400000000001</v>
      </c>
      <c r="E219">
        <v>1246272889</v>
      </c>
      <c r="F219" s="30">
        <v>46175</v>
      </c>
      <c r="G219" s="30"/>
      <c r="H219" t="s">
        <v>28</v>
      </c>
      <c r="I219" t="s">
        <v>29</v>
      </c>
      <c r="J219">
        <v>11243</v>
      </c>
      <c r="K219" s="30">
        <v>46140</v>
      </c>
      <c r="L219">
        <v>1010100</v>
      </c>
      <c r="M219" t="s">
        <v>35</v>
      </c>
      <c r="N219">
        <v>161</v>
      </c>
      <c r="O219" t="s">
        <v>160</v>
      </c>
      <c r="P219" t="s">
        <v>424</v>
      </c>
      <c r="Q219">
        <f t="shared" si="4"/>
        <v>-34</v>
      </c>
      <c r="R219">
        <f>_xlfn.XLOOKUP(E219,'Data Additive'!E:E,'Data Additive'!E:E,0)</f>
        <v>1246272889</v>
      </c>
    </row>
    <row r="220" spans="1:18" x14ac:dyDescent="0.25">
      <c r="A220">
        <v>11724</v>
      </c>
      <c r="B220" t="s">
        <v>117</v>
      </c>
      <c r="C220" t="s">
        <v>118</v>
      </c>
      <c r="D220" s="34">
        <v>143868</v>
      </c>
      <c r="E220">
        <v>1246267487</v>
      </c>
      <c r="F220" s="30">
        <v>46167</v>
      </c>
      <c r="G220" s="30"/>
      <c r="H220" t="s">
        <v>28</v>
      </c>
      <c r="I220" t="s">
        <v>29</v>
      </c>
      <c r="J220">
        <v>10867</v>
      </c>
      <c r="K220" s="30">
        <v>46092</v>
      </c>
      <c r="L220">
        <v>1010100</v>
      </c>
      <c r="M220" t="s">
        <v>35</v>
      </c>
      <c r="N220">
        <v>161</v>
      </c>
      <c r="O220" t="s">
        <v>160</v>
      </c>
      <c r="P220" t="s">
        <v>427</v>
      </c>
      <c r="Q220">
        <f t="shared" si="4"/>
        <v>-26</v>
      </c>
      <c r="R220">
        <f>_xlfn.XLOOKUP(E220,'Data Additive'!E:E,'Data Additive'!E:E,0)</f>
        <v>1246267487</v>
      </c>
    </row>
    <row r="221" spans="1:18" x14ac:dyDescent="0.25">
      <c r="A221">
        <v>11724</v>
      </c>
      <c r="B221" t="s">
        <v>117</v>
      </c>
      <c r="C221" t="s">
        <v>118</v>
      </c>
      <c r="D221" s="34">
        <v>72162</v>
      </c>
      <c r="E221">
        <v>1246271964</v>
      </c>
      <c r="F221" s="30">
        <v>46198</v>
      </c>
      <c r="G221" s="30"/>
      <c r="H221" t="s">
        <v>28</v>
      </c>
      <c r="I221" t="s">
        <v>29</v>
      </c>
      <c r="J221">
        <v>11187</v>
      </c>
      <c r="K221" s="30">
        <v>46132</v>
      </c>
      <c r="L221">
        <v>1010100</v>
      </c>
      <c r="M221" t="s">
        <v>35</v>
      </c>
      <c r="N221">
        <v>161</v>
      </c>
      <c r="O221" t="s">
        <v>160</v>
      </c>
      <c r="P221" t="s">
        <v>427</v>
      </c>
      <c r="Q221">
        <f t="shared" si="4"/>
        <v>-57</v>
      </c>
      <c r="R221">
        <f>_xlfn.XLOOKUP(E221,'Data Additive'!E:E,'Data Additive'!E:E,0)</f>
        <v>1246271964</v>
      </c>
    </row>
    <row r="222" spans="1:18" x14ac:dyDescent="0.25">
      <c r="A222">
        <v>11724</v>
      </c>
      <c r="B222" t="s">
        <v>117</v>
      </c>
      <c r="C222" t="s">
        <v>118</v>
      </c>
      <c r="D222" s="34">
        <v>72162</v>
      </c>
      <c r="E222">
        <v>1246271962</v>
      </c>
      <c r="F222" s="30">
        <v>46198</v>
      </c>
      <c r="G222" s="30"/>
      <c r="H222" t="s">
        <v>28</v>
      </c>
      <c r="I222" t="s">
        <v>29</v>
      </c>
      <c r="J222">
        <v>11186</v>
      </c>
      <c r="K222" s="30">
        <v>46132</v>
      </c>
      <c r="L222">
        <v>1010100</v>
      </c>
      <c r="M222" t="s">
        <v>35</v>
      </c>
      <c r="N222">
        <v>161</v>
      </c>
      <c r="O222" t="s">
        <v>160</v>
      </c>
      <c r="P222" t="s">
        <v>427</v>
      </c>
      <c r="Q222">
        <f t="shared" si="4"/>
        <v>-57</v>
      </c>
      <c r="R222">
        <f>_xlfn.XLOOKUP(E222,'Data Additive'!E:E,'Data Additive'!E:E,0)</f>
        <v>1246271962</v>
      </c>
    </row>
    <row r="223" spans="1:18" x14ac:dyDescent="0.25">
      <c r="A223">
        <v>11724</v>
      </c>
      <c r="B223" t="s">
        <v>117</v>
      </c>
      <c r="C223" t="s">
        <v>118</v>
      </c>
      <c r="D223" s="34">
        <v>178561.9</v>
      </c>
      <c r="E223">
        <v>1246270926</v>
      </c>
      <c r="F223" s="30">
        <v>46183</v>
      </c>
      <c r="G223" s="30"/>
      <c r="H223" t="s">
        <v>28</v>
      </c>
      <c r="I223" t="s">
        <v>29</v>
      </c>
      <c r="J223">
        <v>11082</v>
      </c>
      <c r="K223" s="30">
        <v>46121</v>
      </c>
      <c r="L223">
        <v>1010100</v>
      </c>
      <c r="M223" t="s">
        <v>35</v>
      </c>
      <c r="N223">
        <v>161</v>
      </c>
      <c r="O223" t="s">
        <v>160</v>
      </c>
      <c r="P223" t="s">
        <v>427</v>
      </c>
      <c r="Q223">
        <f t="shared" si="4"/>
        <v>-42</v>
      </c>
      <c r="R223">
        <f>_xlfn.XLOOKUP(E223,'Data Additive'!E:E,'Data Additive'!E:E,0)</f>
        <v>1246270926</v>
      </c>
    </row>
    <row r="224" spans="1:18" x14ac:dyDescent="0.25">
      <c r="A224">
        <v>10371</v>
      </c>
      <c r="B224" t="s">
        <v>254</v>
      </c>
      <c r="C224" t="s">
        <v>255</v>
      </c>
      <c r="D224" s="34">
        <v>56674.77</v>
      </c>
      <c r="E224">
        <v>1246161059</v>
      </c>
      <c r="F224" s="30">
        <v>45736</v>
      </c>
      <c r="G224" s="30"/>
      <c r="H224" t="s">
        <v>172</v>
      </c>
      <c r="I224" t="s">
        <v>173</v>
      </c>
      <c r="J224">
        <v>4516</v>
      </c>
      <c r="K224" s="30">
        <v>45502</v>
      </c>
      <c r="L224">
        <v>1010100</v>
      </c>
      <c r="M224" t="s">
        <v>35</v>
      </c>
      <c r="N224">
        <v>161</v>
      </c>
      <c r="O224" t="s">
        <v>160</v>
      </c>
      <c r="P224" t="s">
        <v>426</v>
      </c>
      <c r="Q224">
        <f t="shared" si="4"/>
        <v>405</v>
      </c>
      <c r="R224">
        <f>_xlfn.XLOOKUP(E224,'Data Additive'!E:E,'Data Additive'!E:E,0)</f>
        <v>0</v>
      </c>
    </row>
    <row r="225" spans="1:18" x14ac:dyDescent="0.25">
      <c r="A225">
        <v>10371</v>
      </c>
      <c r="B225" t="s">
        <v>254</v>
      </c>
      <c r="C225" t="s">
        <v>255</v>
      </c>
      <c r="D225" s="34">
        <v>50007.15</v>
      </c>
      <c r="E225">
        <v>1246161057</v>
      </c>
      <c r="F225" s="30">
        <v>45736</v>
      </c>
      <c r="G225" s="30"/>
      <c r="H225" t="s">
        <v>172</v>
      </c>
      <c r="I225" t="s">
        <v>173</v>
      </c>
      <c r="J225">
        <v>4515</v>
      </c>
      <c r="K225" s="30">
        <v>45502</v>
      </c>
      <c r="L225">
        <v>1010100</v>
      </c>
      <c r="M225" t="s">
        <v>35</v>
      </c>
      <c r="N225">
        <v>161</v>
      </c>
      <c r="O225" t="s">
        <v>160</v>
      </c>
      <c r="P225" t="s">
        <v>426</v>
      </c>
      <c r="Q225">
        <f t="shared" si="4"/>
        <v>405</v>
      </c>
      <c r="R225">
        <f>_xlfn.XLOOKUP(E225,'Data Additive'!E:E,'Data Additive'!E:E,0)</f>
        <v>0</v>
      </c>
    </row>
    <row r="226" spans="1:18" x14ac:dyDescent="0.25">
      <c r="A226">
        <v>10660</v>
      </c>
      <c r="B226" t="s">
        <v>112</v>
      </c>
      <c r="C226" t="s">
        <v>113</v>
      </c>
      <c r="D226" s="34">
        <v>1282.56</v>
      </c>
      <c r="E226">
        <v>1246157883</v>
      </c>
      <c r="F226" s="30">
        <v>45472</v>
      </c>
      <c r="G226" s="30"/>
      <c r="H226" t="s">
        <v>28</v>
      </c>
      <c r="I226" t="s">
        <v>29</v>
      </c>
      <c r="J226">
        <v>3740</v>
      </c>
      <c r="K226" s="30">
        <v>45444</v>
      </c>
      <c r="L226">
        <v>1010100</v>
      </c>
      <c r="M226" t="s">
        <v>35</v>
      </c>
      <c r="N226">
        <v>161</v>
      </c>
      <c r="O226" t="s">
        <v>160</v>
      </c>
      <c r="P226" t="s">
        <v>419</v>
      </c>
      <c r="Q226">
        <f t="shared" si="4"/>
        <v>669</v>
      </c>
      <c r="R226">
        <f>_xlfn.XLOOKUP(E226,'Data Additive'!E:E,'Data Additive'!E:E,0)</f>
        <v>1246157883</v>
      </c>
    </row>
    <row r="227" spans="1:18" x14ac:dyDescent="0.25">
      <c r="A227">
        <v>10660</v>
      </c>
      <c r="B227" t="s">
        <v>112</v>
      </c>
      <c r="C227" t="s">
        <v>113</v>
      </c>
      <c r="D227" s="34">
        <v>1603.2</v>
      </c>
      <c r="E227">
        <v>1246176576</v>
      </c>
      <c r="F227" s="30">
        <v>45577</v>
      </c>
      <c r="G227" s="30"/>
      <c r="H227" t="s">
        <v>28</v>
      </c>
      <c r="I227" t="s">
        <v>29</v>
      </c>
      <c r="J227">
        <v>5264</v>
      </c>
      <c r="K227" s="30">
        <v>45549</v>
      </c>
      <c r="L227">
        <v>1010100</v>
      </c>
      <c r="M227" t="s">
        <v>35</v>
      </c>
      <c r="N227">
        <v>161</v>
      </c>
      <c r="O227" t="s">
        <v>160</v>
      </c>
      <c r="P227" t="s">
        <v>419</v>
      </c>
      <c r="Q227">
        <f t="shared" si="4"/>
        <v>564</v>
      </c>
      <c r="R227">
        <f>_xlfn.XLOOKUP(E227,'Data Additive'!E:E,'Data Additive'!E:E,0)</f>
        <v>1246176576</v>
      </c>
    </row>
    <row r="228" spans="1:18" x14ac:dyDescent="0.25">
      <c r="A228">
        <v>10660</v>
      </c>
      <c r="B228" t="s">
        <v>112</v>
      </c>
      <c r="C228" t="s">
        <v>113</v>
      </c>
      <c r="D228" s="34">
        <v>1282.56</v>
      </c>
      <c r="E228">
        <v>1246184893</v>
      </c>
      <c r="F228" s="30">
        <v>45623</v>
      </c>
      <c r="G228" s="30"/>
      <c r="H228" t="s">
        <v>28</v>
      </c>
      <c r="I228" t="s">
        <v>29</v>
      </c>
      <c r="J228">
        <v>5907</v>
      </c>
      <c r="K228" s="30">
        <v>45595</v>
      </c>
      <c r="L228">
        <v>1010100</v>
      </c>
      <c r="M228" t="s">
        <v>35</v>
      </c>
      <c r="N228">
        <v>161</v>
      </c>
      <c r="O228" t="s">
        <v>160</v>
      </c>
      <c r="P228" t="s">
        <v>419</v>
      </c>
      <c r="Q228">
        <f t="shared" si="4"/>
        <v>518</v>
      </c>
      <c r="R228">
        <f>_xlfn.XLOOKUP(E228,'Data Additive'!E:E,'Data Additive'!E:E,0)</f>
        <v>1246184893</v>
      </c>
    </row>
    <row r="229" spans="1:18" x14ac:dyDescent="0.25">
      <c r="A229">
        <v>10434</v>
      </c>
      <c r="B229" t="s">
        <v>109</v>
      </c>
      <c r="C229" t="s">
        <v>110</v>
      </c>
      <c r="D229" s="34">
        <v>1200</v>
      </c>
      <c r="E229">
        <v>1246180341</v>
      </c>
      <c r="F229" s="30">
        <v>45615</v>
      </c>
      <c r="G229" s="30"/>
      <c r="H229" t="s">
        <v>28</v>
      </c>
      <c r="I229" t="s">
        <v>29</v>
      </c>
      <c r="J229">
        <v>1246180341</v>
      </c>
      <c r="K229" s="30">
        <v>45600</v>
      </c>
      <c r="L229">
        <v>3041000</v>
      </c>
      <c r="M229" t="s">
        <v>137</v>
      </c>
      <c r="N229">
        <v>46</v>
      </c>
      <c r="O229" t="s">
        <v>162</v>
      </c>
      <c r="P229" t="s">
        <v>415</v>
      </c>
      <c r="Q229">
        <f t="shared" si="4"/>
        <v>526</v>
      </c>
      <c r="R229">
        <f>_xlfn.XLOOKUP(E229,'Data Additive'!E:E,'Data Additive'!E:E,0)</f>
        <v>0</v>
      </c>
    </row>
    <row r="230" spans="1:18" x14ac:dyDescent="0.25">
      <c r="A230">
        <v>10434</v>
      </c>
      <c r="B230" t="s">
        <v>109</v>
      </c>
      <c r="C230" t="s">
        <v>110</v>
      </c>
      <c r="D230" s="34">
        <v>101696.4</v>
      </c>
      <c r="E230">
        <v>1246272407</v>
      </c>
      <c r="F230" s="30">
        <v>46164</v>
      </c>
      <c r="G230" s="30"/>
      <c r="H230" t="s">
        <v>28</v>
      </c>
      <c r="I230" t="s">
        <v>29</v>
      </c>
      <c r="J230">
        <v>11209</v>
      </c>
      <c r="K230" s="30">
        <v>46136</v>
      </c>
      <c r="L230">
        <v>1010100</v>
      </c>
      <c r="M230" t="s">
        <v>35</v>
      </c>
      <c r="N230">
        <v>161</v>
      </c>
      <c r="O230" t="s">
        <v>160</v>
      </c>
      <c r="P230" t="s">
        <v>415</v>
      </c>
      <c r="Q230">
        <f t="shared" si="4"/>
        <v>-23</v>
      </c>
      <c r="R230">
        <f>_xlfn.XLOOKUP(E230,'Data Additive'!E:E,'Data Additive'!E:E,0)</f>
        <v>1246272407</v>
      </c>
    </row>
    <row r="231" spans="1:18" x14ac:dyDescent="0.25">
      <c r="A231">
        <v>10434</v>
      </c>
      <c r="B231" t="s">
        <v>109</v>
      </c>
      <c r="C231" t="s">
        <v>110</v>
      </c>
      <c r="D231" s="34">
        <v>101052</v>
      </c>
      <c r="E231">
        <v>1246271891</v>
      </c>
      <c r="F231" s="30">
        <v>46160</v>
      </c>
      <c r="G231" s="30"/>
      <c r="H231" t="s">
        <v>28</v>
      </c>
      <c r="I231" t="s">
        <v>29</v>
      </c>
      <c r="J231">
        <v>11178</v>
      </c>
      <c r="K231" s="30">
        <v>46132</v>
      </c>
      <c r="L231">
        <v>1010100</v>
      </c>
      <c r="M231" t="s">
        <v>35</v>
      </c>
      <c r="N231">
        <v>161</v>
      </c>
      <c r="O231" t="s">
        <v>160</v>
      </c>
      <c r="P231" t="s">
        <v>415</v>
      </c>
      <c r="Q231">
        <f t="shared" si="4"/>
        <v>-19</v>
      </c>
      <c r="R231">
        <f>_xlfn.XLOOKUP(E231,'Data Additive'!E:E,'Data Additive'!E:E,0)</f>
        <v>1246271891</v>
      </c>
    </row>
    <row r="232" spans="1:18" x14ac:dyDescent="0.25">
      <c r="A232">
        <v>11207</v>
      </c>
      <c r="B232" t="s">
        <v>715</v>
      </c>
      <c r="C232" t="s">
        <v>193</v>
      </c>
      <c r="D232" s="34">
        <v>153825.49</v>
      </c>
      <c r="E232">
        <v>1246067872</v>
      </c>
      <c r="F232" s="30">
        <v>45412</v>
      </c>
      <c r="G232" s="30"/>
      <c r="H232" t="s">
        <v>172</v>
      </c>
      <c r="I232" t="s">
        <v>173</v>
      </c>
      <c r="J232">
        <v>20696</v>
      </c>
      <c r="K232" s="30">
        <v>44973</v>
      </c>
      <c r="L232">
        <v>1010100</v>
      </c>
      <c r="M232" t="s">
        <v>35</v>
      </c>
      <c r="N232">
        <v>161</v>
      </c>
      <c r="O232" t="s">
        <v>160</v>
      </c>
      <c r="P232" t="s">
        <v>428</v>
      </c>
      <c r="Q232">
        <f t="shared" si="4"/>
        <v>729</v>
      </c>
      <c r="R232">
        <f>_xlfn.XLOOKUP(E232,'Data Additive'!E:E,'Data Additive'!E:E,0)</f>
        <v>0</v>
      </c>
    </row>
    <row r="233" spans="1:18" x14ac:dyDescent="0.25">
      <c r="A233">
        <v>11207</v>
      </c>
      <c r="B233" t="s">
        <v>715</v>
      </c>
      <c r="C233" t="s">
        <v>193</v>
      </c>
      <c r="D233" s="34">
        <v>118231.86</v>
      </c>
      <c r="E233">
        <v>1246074301</v>
      </c>
      <c r="F233" s="30">
        <v>45412</v>
      </c>
      <c r="G233" s="30"/>
      <c r="H233" t="s">
        <v>172</v>
      </c>
      <c r="I233" t="s">
        <v>173</v>
      </c>
      <c r="J233">
        <v>21005</v>
      </c>
      <c r="K233" s="30">
        <v>45015</v>
      </c>
      <c r="L233">
        <v>1010100</v>
      </c>
      <c r="M233" t="s">
        <v>35</v>
      </c>
      <c r="N233">
        <v>161</v>
      </c>
      <c r="O233" t="s">
        <v>160</v>
      </c>
      <c r="P233" t="s">
        <v>428</v>
      </c>
      <c r="Q233">
        <f t="shared" si="4"/>
        <v>729</v>
      </c>
      <c r="R233">
        <f>_xlfn.XLOOKUP(E233,'Data Additive'!E:E,'Data Additive'!E:E,0)</f>
        <v>0</v>
      </c>
    </row>
    <row r="234" spans="1:18" x14ac:dyDescent="0.25">
      <c r="A234">
        <v>11207</v>
      </c>
      <c r="B234" t="s">
        <v>715</v>
      </c>
      <c r="C234" t="s">
        <v>193</v>
      </c>
      <c r="D234" s="34">
        <v>91167.15</v>
      </c>
      <c r="E234">
        <v>1246075550</v>
      </c>
      <c r="F234" s="30">
        <v>45412</v>
      </c>
      <c r="G234" s="30"/>
      <c r="H234" t="s">
        <v>172</v>
      </c>
      <c r="I234" t="s">
        <v>173</v>
      </c>
      <c r="J234">
        <v>21053</v>
      </c>
      <c r="K234" s="30">
        <v>45022</v>
      </c>
      <c r="L234">
        <v>1010100</v>
      </c>
      <c r="M234" t="s">
        <v>35</v>
      </c>
      <c r="N234">
        <v>161</v>
      </c>
      <c r="O234" t="s">
        <v>160</v>
      </c>
      <c r="P234" t="s">
        <v>428</v>
      </c>
      <c r="Q234">
        <f t="shared" si="4"/>
        <v>729</v>
      </c>
      <c r="R234">
        <f>_xlfn.XLOOKUP(E234,'Data Additive'!E:E,'Data Additive'!E:E,0)</f>
        <v>0</v>
      </c>
    </row>
    <row r="235" spans="1:18" x14ac:dyDescent="0.25">
      <c r="A235">
        <v>11207</v>
      </c>
      <c r="B235" t="s">
        <v>715</v>
      </c>
      <c r="C235" t="s">
        <v>193</v>
      </c>
      <c r="D235" s="34">
        <v>43771.16</v>
      </c>
      <c r="E235">
        <v>1246094423</v>
      </c>
      <c r="F235" s="30">
        <v>45423</v>
      </c>
      <c r="G235" s="30"/>
      <c r="H235" t="s">
        <v>172</v>
      </c>
      <c r="I235" t="s">
        <v>173</v>
      </c>
      <c r="J235">
        <v>356</v>
      </c>
      <c r="K235" s="30">
        <v>45133</v>
      </c>
      <c r="L235">
        <v>1010100</v>
      </c>
      <c r="M235" t="s">
        <v>35</v>
      </c>
      <c r="N235">
        <v>161</v>
      </c>
      <c r="O235" t="s">
        <v>160</v>
      </c>
      <c r="P235" t="s">
        <v>428</v>
      </c>
      <c r="Q235">
        <f t="shared" si="4"/>
        <v>718</v>
      </c>
      <c r="R235">
        <f>_xlfn.XLOOKUP(E235,'Data Additive'!E:E,'Data Additive'!E:E,0)</f>
        <v>0</v>
      </c>
    </row>
    <row r="236" spans="1:18" x14ac:dyDescent="0.25">
      <c r="A236">
        <v>11207</v>
      </c>
      <c r="B236" t="s">
        <v>715</v>
      </c>
      <c r="C236" t="s">
        <v>193</v>
      </c>
      <c r="D236" s="34">
        <v>44760.26</v>
      </c>
      <c r="E236">
        <v>1246092027</v>
      </c>
      <c r="F236" s="30">
        <v>45504</v>
      </c>
      <c r="G236" s="30"/>
      <c r="H236" t="s">
        <v>172</v>
      </c>
      <c r="I236" t="s">
        <v>173</v>
      </c>
      <c r="J236">
        <v>138</v>
      </c>
      <c r="K236" s="30">
        <v>45119</v>
      </c>
      <c r="L236">
        <v>1010100</v>
      </c>
      <c r="M236" t="s">
        <v>35</v>
      </c>
      <c r="N236">
        <v>161</v>
      </c>
      <c r="O236" t="s">
        <v>160</v>
      </c>
      <c r="P236" t="s">
        <v>428</v>
      </c>
      <c r="Q236">
        <f t="shared" si="4"/>
        <v>637</v>
      </c>
      <c r="R236">
        <f>_xlfn.XLOOKUP(E236,'Data Additive'!E:E,'Data Additive'!E:E,0)</f>
        <v>0</v>
      </c>
    </row>
    <row r="237" spans="1:18" x14ac:dyDescent="0.25">
      <c r="A237">
        <v>11207</v>
      </c>
      <c r="B237" t="s">
        <v>715</v>
      </c>
      <c r="C237" t="s">
        <v>193</v>
      </c>
      <c r="D237" s="34">
        <v>43771.16</v>
      </c>
      <c r="E237">
        <v>1246093362</v>
      </c>
      <c r="F237" s="30">
        <v>45417</v>
      </c>
      <c r="G237" s="30"/>
      <c r="H237" t="s">
        <v>172</v>
      </c>
      <c r="I237" t="s">
        <v>173</v>
      </c>
      <c r="J237">
        <v>253</v>
      </c>
      <c r="K237" s="30">
        <v>45127</v>
      </c>
      <c r="L237">
        <v>1010100</v>
      </c>
      <c r="M237" t="s">
        <v>35</v>
      </c>
      <c r="N237">
        <v>161</v>
      </c>
      <c r="O237" t="s">
        <v>160</v>
      </c>
      <c r="P237" t="s">
        <v>428</v>
      </c>
      <c r="Q237">
        <f t="shared" si="4"/>
        <v>724</v>
      </c>
      <c r="R237">
        <f>_xlfn.XLOOKUP(E237,'Data Additive'!E:E,'Data Additive'!E:E,0)</f>
        <v>0</v>
      </c>
    </row>
    <row r="238" spans="1:18" x14ac:dyDescent="0.25">
      <c r="A238">
        <v>11207</v>
      </c>
      <c r="B238" t="s">
        <v>715</v>
      </c>
      <c r="C238" t="s">
        <v>193</v>
      </c>
      <c r="D238" s="34">
        <v>47925.4</v>
      </c>
      <c r="E238">
        <v>1246094864</v>
      </c>
      <c r="F238" s="30">
        <v>45544</v>
      </c>
      <c r="G238" s="30"/>
      <c r="H238" t="s">
        <v>172</v>
      </c>
      <c r="I238" t="s">
        <v>173</v>
      </c>
      <c r="J238">
        <v>407</v>
      </c>
      <c r="K238" s="30">
        <v>45135</v>
      </c>
      <c r="L238">
        <v>1010100</v>
      </c>
      <c r="M238" t="s">
        <v>35</v>
      </c>
      <c r="N238">
        <v>161</v>
      </c>
      <c r="O238" t="s">
        <v>160</v>
      </c>
      <c r="P238" t="s">
        <v>428</v>
      </c>
      <c r="Q238">
        <f t="shared" si="4"/>
        <v>597</v>
      </c>
      <c r="R238">
        <f>_xlfn.XLOOKUP(E238,'Data Additive'!E:E,'Data Additive'!E:E,0)</f>
        <v>0</v>
      </c>
    </row>
    <row r="239" spans="1:18" x14ac:dyDescent="0.25">
      <c r="A239">
        <v>11207</v>
      </c>
      <c r="B239" t="s">
        <v>715</v>
      </c>
      <c r="C239" t="s">
        <v>193</v>
      </c>
      <c r="D239" s="34">
        <v>106301.38</v>
      </c>
      <c r="E239">
        <v>1246094863</v>
      </c>
      <c r="F239" s="30">
        <v>45425</v>
      </c>
      <c r="G239" s="30"/>
      <c r="H239" t="s">
        <v>172</v>
      </c>
      <c r="I239" t="s">
        <v>173</v>
      </c>
      <c r="J239">
        <v>406</v>
      </c>
      <c r="K239" s="30">
        <v>45135</v>
      </c>
      <c r="L239">
        <v>1010100</v>
      </c>
      <c r="M239" t="s">
        <v>35</v>
      </c>
      <c r="N239">
        <v>161</v>
      </c>
      <c r="O239" t="s">
        <v>160</v>
      </c>
      <c r="P239" t="s">
        <v>428</v>
      </c>
      <c r="Q239">
        <f t="shared" si="4"/>
        <v>716</v>
      </c>
      <c r="R239">
        <f>_xlfn.XLOOKUP(E239,'Data Additive'!E:E,'Data Additive'!E:E,0)</f>
        <v>0</v>
      </c>
    </row>
    <row r="240" spans="1:18" x14ac:dyDescent="0.25">
      <c r="A240">
        <v>11207</v>
      </c>
      <c r="B240" t="s">
        <v>715</v>
      </c>
      <c r="C240" t="s">
        <v>193</v>
      </c>
      <c r="D240" s="34">
        <v>150072.54</v>
      </c>
      <c r="E240">
        <v>1246095554</v>
      </c>
      <c r="F240" s="30">
        <v>45415</v>
      </c>
      <c r="G240" s="30"/>
      <c r="H240" t="s">
        <v>172</v>
      </c>
      <c r="I240" t="s">
        <v>173</v>
      </c>
      <c r="J240">
        <v>485</v>
      </c>
      <c r="K240" s="30">
        <v>45140</v>
      </c>
      <c r="L240">
        <v>1010100</v>
      </c>
      <c r="M240" t="s">
        <v>35</v>
      </c>
      <c r="N240">
        <v>161</v>
      </c>
      <c r="O240" t="s">
        <v>160</v>
      </c>
      <c r="P240" t="s">
        <v>428</v>
      </c>
      <c r="Q240">
        <f t="shared" si="4"/>
        <v>726</v>
      </c>
      <c r="R240">
        <f>_xlfn.XLOOKUP(E240,'Data Additive'!E:E,'Data Additive'!E:E,0)</f>
        <v>0</v>
      </c>
    </row>
    <row r="241" spans="1:18" x14ac:dyDescent="0.25">
      <c r="A241">
        <v>11207</v>
      </c>
      <c r="B241" t="s">
        <v>715</v>
      </c>
      <c r="C241" t="s">
        <v>193</v>
      </c>
      <c r="D241" s="34">
        <v>150072.54999999999</v>
      </c>
      <c r="E241">
        <v>1246098101</v>
      </c>
      <c r="F241" s="30">
        <v>45414</v>
      </c>
      <c r="G241" s="30"/>
      <c r="H241" t="s">
        <v>172</v>
      </c>
      <c r="I241" t="s">
        <v>173</v>
      </c>
      <c r="J241">
        <v>151</v>
      </c>
      <c r="K241" s="30">
        <v>45154</v>
      </c>
      <c r="L241">
        <v>1010100</v>
      </c>
      <c r="M241" t="s">
        <v>35</v>
      </c>
      <c r="N241">
        <v>161</v>
      </c>
      <c r="O241" t="s">
        <v>160</v>
      </c>
      <c r="P241" t="s">
        <v>428</v>
      </c>
      <c r="Q241">
        <f t="shared" si="4"/>
        <v>727</v>
      </c>
      <c r="R241">
        <f>_xlfn.XLOOKUP(E241,'Data Additive'!E:E,'Data Additive'!E:E,0)</f>
        <v>0</v>
      </c>
    </row>
    <row r="242" spans="1:18" x14ac:dyDescent="0.25">
      <c r="A242">
        <v>11207</v>
      </c>
      <c r="B242" t="s">
        <v>715</v>
      </c>
      <c r="C242" t="s">
        <v>193</v>
      </c>
      <c r="D242" s="34">
        <v>43771.16</v>
      </c>
      <c r="E242">
        <v>1246098102</v>
      </c>
      <c r="F242" s="30">
        <v>45414</v>
      </c>
      <c r="G242" s="30"/>
      <c r="H242" t="s">
        <v>172</v>
      </c>
      <c r="I242" t="s">
        <v>173</v>
      </c>
      <c r="J242">
        <v>152</v>
      </c>
      <c r="K242" s="30">
        <v>45154</v>
      </c>
      <c r="L242">
        <v>1010100</v>
      </c>
      <c r="M242" t="s">
        <v>35</v>
      </c>
      <c r="N242">
        <v>161</v>
      </c>
      <c r="O242" t="s">
        <v>160</v>
      </c>
      <c r="P242" t="s">
        <v>428</v>
      </c>
      <c r="Q242">
        <f t="shared" si="4"/>
        <v>727</v>
      </c>
      <c r="R242">
        <f>_xlfn.XLOOKUP(E242,'Data Additive'!E:E,'Data Additive'!E:E,0)</f>
        <v>0</v>
      </c>
    </row>
    <row r="243" spans="1:18" x14ac:dyDescent="0.25">
      <c r="A243">
        <v>11207</v>
      </c>
      <c r="B243" t="s">
        <v>715</v>
      </c>
      <c r="C243" t="s">
        <v>193</v>
      </c>
      <c r="D243" s="34">
        <v>150072.54</v>
      </c>
      <c r="E243">
        <v>1246096042</v>
      </c>
      <c r="F243" s="30">
        <v>45417</v>
      </c>
      <c r="G243" s="30"/>
      <c r="H243" t="s">
        <v>172</v>
      </c>
      <c r="I243" t="s">
        <v>173</v>
      </c>
      <c r="J243">
        <v>520</v>
      </c>
      <c r="K243" s="30">
        <v>45142</v>
      </c>
      <c r="L243">
        <v>1010100</v>
      </c>
      <c r="M243" t="s">
        <v>35</v>
      </c>
      <c r="N243">
        <v>161</v>
      </c>
      <c r="O243" t="s">
        <v>160</v>
      </c>
      <c r="P243" t="s">
        <v>428</v>
      </c>
      <c r="Q243">
        <f t="shared" si="4"/>
        <v>724</v>
      </c>
      <c r="R243">
        <f>_xlfn.XLOOKUP(E243,'Data Additive'!E:E,'Data Additive'!E:E,0)</f>
        <v>0</v>
      </c>
    </row>
    <row r="244" spans="1:18" x14ac:dyDescent="0.25">
      <c r="A244">
        <v>11207</v>
      </c>
      <c r="B244" t="s">
        <v>715</v>
      </c>
      <c r="C244" t="s">
        <v>193</v>
      </c>
      <c r="D244" s="34">
        <v>150072.54999999999</v>
      </c>
      <c r="E244">
        <v>1246098739</v>
      </c>
      <c r="F244" s="30">
        <v>45446</v>
      </c>
      <c r="G244" s="30"/>
      <c r="H244" t="s">
        <v>172</v>
      </c>
      <c r="I244" t="s">
        <v>173</v>
      </c>
      <c r="J244">
        <v>161</v>
      </c>
      <c r="K244" s="30">
        <v>45156</v>
      </c>
      <c r="L244">
        <v>1010100</v>
      </c>
      <c r="M244" t="s">
        <v>35</v>
      </c>
      <c r="N244">
        <v>161</v>
      </c>
      <c r="O244" t="s">
        <v>160</v>
      </c>
      <c r="P244" t="s">
        <v>428</v>
      </c>
      <c r="Q244">
        <f t="shared" si="4"/>
        <v>695</v>
      </c>
      <c r="R244">
        <f>_xlfn.XLOOKUP(E244,'Data Additive'!E:E,'Data Additive'!E:E,0)</f>
        <v>0</v>
      </c>
    </row>
    <row r="245" spans="1:18" x14ac:dyDescent="0.25">
      <c r="A245">
        <v>11207</v>
      </c>
      <c r="B245" t="s">
        <v>715</v>
      </c>
      <c r="C245" t="s">
        <v>193</v>
      </c>
      <c r="D245" s="34">
        <v>150072.54</v>
      </c>
      <c r="E245">
        <v>1246103409</v>
      </c>
      <c r="F245" s="30">
        <v>45421</v>
      </c>
      <c r="G245" s="30"/>
      <c r="H245" t="s">
        <v>172</v>
      </c>
      <c r="I245" t="s">
        <v>173</v>
      </c>
      <c r="J245">
        <v>231</v>
      </c>
      <c r="K245" s="30">
        <v>45181</v>
      </c>
      <c r="L245">
        <v>1010100</v>
      </c>
      <c r="M245" t="s">
        <v>35</v>
      </c>
      <c r="N245">
        <v>161</v>
      </c>
      <c r="O245" t="s">
        <v>160</v>
      </c>
      <c r="P245" t="s">
        <v>428</v>
      </c>
      <c r="Q245">
        <f t="shared" si="4"/>
        <v>720</v>
      </c>
      <c r="R245">
        <f>_xlfn.XLOOKUP(E245,'Data Additive'!E:E,'Data Additive'!E:E,0)</f>
        <v>0</v>
      </c>
    </row>
    <row r="246" spans="1:18" x14ac:dyDescent="0.25">
      <c r="A246">
        <v>11207</v>
      </c>
      <c r="B246" t="s">
        <v>715</v>
      </c>
      <c r="C246" t="s">
        <v>193</v>
      </c>
      <c r="D246" s="34">
        <v>150072.54999999999</v>
      </c>
      <c r="E246">
        <v>1246104480</v>
      </c>
      <c r="F246" s="30">
        <v>45427</v>
      </c>
      <c r="G246" s="30"/>
      <c r="H246" t="s">
        <v>172</v>
      </c>
      <c r="I246" t="s">
        <v>173</v>
      </c>
      <c r="J246">
        <v>1209</v>
      </c>
      <c r="K246" s="30">
        <v>45187</v>
      </c>
      <c r="L246">
        <v>1010100</v>
      </c>
      <c r="M246" t="s">
        <v>35</v>
      </c>
      <c r="N246">
        <v>161</v>
      </c>
      <c r="O246" t="s">
        <v>160</v>
      </c>
      <c r="P246" t="s">
        <v>428</v>
      </c>
      <c r="Q246">
        <f t="shared" si="4"/>
        <v>714</v>
      </c>
      <c r="R246">
        <f>_xlfn.XLOOKUP(E246,'Data Additive'!E:E,'Data Additive'!E:E,0)</f>
        <v>0</v>
      </c>
    </row>
    <row r="247" spans="1:18" x14ac:dyDescent="0.25">
      <c r="A247">
        <v>11207</v>
      </c>
      <c r="B247" t="s">
        <v>715</v>
      </c>
      <c r="C247" t="s">
        <v>193</v>
      </c>
      <c r="D247" s="34">
        <v>98152.42</v>
      </c>
      <c r="E247">
        <v>1246128194</v>
      </c>
      <c r="F247" s="30">
        <v>45595</v>
      </c>
      <c r="G247" s="30"/>
      <c r="H247" t="s">
        <v>172</v>
      </c>
      <c r="I247" t="s">
        <v>173</v>
      </c>
      <c r="J247">
        <v>2705</v>
      </c>
      <c r="K247" s="30">
        <v>45327</v>
      </c>
      <c r="L247">
        <v>1010100</v>
      </c>
      <c r="M247" t="s">
        <v>35</v>
      </c>
      <c r="N247">
        <v>161</v>
      </c>
      <c r="O247" t="s">
        <v>160</v>
      </c>
      <c r="P247" t="s">
        <v>428</v>
      </c>
      <c r="Q247">
        <f t="shared" si="4"/>
        <v>546</v>
      </c>
      <c r="R247">
        <f>_xlfn.XLOOKUP(E247,'Data Additive'!E:E,'Data Additive'!E:E,0)</f>
        <v>0</v>
      </c>
    </row>
    <row r="248" spans="1:18" x14ac:dyDescent="0.25">
      <c r="A248">
        <v>11207</v>
      </c>
      <c r="B248" t="s">
        <v>715</v>
      </c>
      <c r="C248" t="s">
        <v>193</v>
      </c>
      <c r="D248" s="34">
        <v>98152.43</v>
      </c>
      <c r="E248">
        <v>1246128212</v>
      </c>
      <c r="F248" s="30">
        <v>45595</v>
      </c>
      <c r="G248" s="30"/>
      <c r="H248" t="s">
        <v>172</v>
      </c>
      <c r="I248" t="s">
        <v>173</v>
      </c>
      <c r="J248">
        <v>2708</v>
      </c>
      <c r="K248" s="30">
        <v>45327</v>
      </c>
      <c r="L248">
        <v>1010100</v>
      </c>
      <c r="M248" t="s">
        <v>35</v>
      </c>
      <c r="N248">
        <v>161</v>
      </c>
      <c r="O248" t="s">
        <v>160</v>
      </c>
      <c r="P248" t="s">
        <v>428</v>
      </c>
      <c r="Q248">
        <f t="shared" si="4"/>
        <v>546</v>
      </c>
      <c r="R248">
        <f>_xlfn.XLOOKUP(E248,'Data Additive'!E:E,'Data Additive'!E:E,0)</f>
        <v>0</v>
      </c>
    </row>
    <row r="249" spans="1:18" x14ac:dyDescent="0.25">
      <c r="A249">
        <v>11207</v>
      </c>
      <c r="B249" t="s">
        <v>715</v>
      </c>
      <c r="C249" t="s">
        <v>193</v>
      </c>
      <c r="D249" s="34">
        <v>43771.16</v>
      </c>
      <c r="E249">
        <v>1246102312</v>
      </c>
      <c r="F249" s="30">
        <v>45414</v>
      </c>
      <c r="G249" s="30"/>
      <c r="H249" t="s">
        <v>172</v>
      </c>
      <c r="I249" t="s">
        <v>173</v>
      </c>
      <c r="J249">
        <v>1038</v>
      </c>
      <c r="K249" s="30">
        <v>45174</v>
      </c>
      <c r="L249">
        <v>1010100</v>
      </c>
      <c r="M249" t="s">
        <v>35</v>
      </c>
      <c r="N249">
        <v>161</v>
      </c>
      <c r="O249" t="s">
        <v>160</v>
      </c>
      <c r="P249" t="s">
        <v>428</v>
      </c>
      <c r="Q249">
        <f t="shared" si="4"/>
        <v>727</v>
      </c>
      <c r="R249">
        <f>_xlfn.XLOOKUP(E249,'Data Additive'!E:E,'Data Additive'!E:E,0)</f>
        <v>0</v>
      </c>
    </row>
    <row r="250" spans="1:18" x14ac:dyDescent="0.25">
      <c r="A250">
        <v>11207</v>
      </c>
      <c r="B250" t="s">
        <v>715</v>
      </c>
      <c r="C250" t="s">
        <v>193</v>
      </c>
      <c r="D250" s="34">
        <v>43771.16</v>
      </c>
      <c r="E250">
        <v>1246103425</v>
      </c>
      <c r="F250" s="30">
        <v>45421</v>
      </c>
      <c r="G250" s="30"/>
      <c r="H250" t="s">
        <v>172</v>
      </c>
      <c r="I250" t="s">
        <v>173</v>
      </c>
      <c r="J250">
        <v>232</v>
      </c>
      <c r="K250" s="30">
        <v>45181</v>
      </c>
      <c r="L250">
        <v>1010100</v>
      </c>
      <c r="M250" t="s">
        <v>35</v>
      </c>
      <c r="N250">
        <v>161</v>
      </c>
      <c r="O250" t="s">
        <v>160</v>
      </c>
      <c r="P250" t="s">
        <v>428</v>
      </c>
      <c r="Q250">
        <f t="shared" si="4"/>
        <v>720</v>
      </c>
      <c r="R250">
        <f>_xlfn.XLOOKUP(E250,'Data Additive'!E:E,'Data Additive'!E:E,0)</f>
        <v>0</v>
      </c>
    </row>
    <row r="251" spans="1:18" x14ac:dyDescent="0.25">
      <c r="A251">
        <v>11207</v>
      </c>
      <c r="B251" t="s">
        <v>715</v>
      </c>
      <c r="C251" t="s">
        <v>193</v>
      </c>
      <c r="D251" s="34">
        <v>85883.37</v>
      </c>
      <c r="E251">
        <v>1246128634</v>
      </c>
      <c r="F251" s="30">
        <v>45597</v>
      </c>
      <c r="G251" s="30"/>
      <c r="H251" t="s">
        <v>172</v>
      </c>
      <c r="I251" t="s">
        <v>173</v>
      </c>
      <c r="J251">
        <v>2731</v>
      </c>
      <c r="K251" s="30">
        <v>45329</v>
      </c>
      <c r="L251">
        <v>1010100</v>
      </c>
      <c r="M251" t="s">
        <v>35</v>
      </c>
      <c r="N251">
        <v>161</v>
      </c>
      <c r="O251" t="s">
        <v>160</v>
      </c>
      <c r="P251" t="s">
        <v>428</v>
      </c>
      <c r="Q251">
        <f t="shared" si="4"/>
        <v>544</v>
      </c>
      <c r="R251">
        <f>_xlfn.XLOOKUP(E251,'Data Additive'!E:E,'Data Additive'!E:E,0)</f>
        <v>0</v>
      </c>
    </row>
    <row r="252" spans="1:18" x14ac:dyDescent="0.25">
      <c r="A252">
        <v>11207</v>
      </c>
      <c r="B252" t="s">
        <v>715</v>
      </c>
      <c r="C252" t="s">
        <v>193</v>
      </c>
      <c r="D252" s="34">
        <v>150072.54</v>
      </c>
      <c r="E252">
        <v>1246106013</v>
      </c>
      <c r="F252" s="30">
        <v>45416</v>
      </c>
      <c r="G252" s="30"/>
      <c r="H252" t="s">
        <v>172</v>
      </c>
      <c r="I252" t="s">
        <v>173</v>
      </c>
      <c r="J252">
        <v>1329</v>
      </c>
      <c r="K252" s="30">
        <v>45194</v>
      </c>
      <c r="L252">
        <v>1010100</v>
      </c>
      <c r="M252" t="s">
        <v>35</v>
      </c>
      <c r="N252">
        <v>161</v>
      </c>
      <c r="O252" t="s">
        <v>160</v>
      </c>
      <c r="P252" t="s">
        <v>428</v>
      </c>
      <c r="Q252">
        <f t="shared" si="4"/>
        <v>725</v>
      </c>
      <c r="R252">
        <f>_xlfn.XLOOKUP(E252,'Data Additive'!E:E,'Data Additive'!E:E,0)</f>
        <v>0</v>
      </c>
    </row>
    <row r="253" spans="1:18" x14ac:dyDescent="0.25">
      <c r="A253">
        <v>11207</v>
      </c>
      <c r="B253" t="s">
        <v>715</v>
      </c>
      <c r="C253" t="s">
        <v>193</v>
      </c>
      <c r="D253" s="34">
        <v>150072.54</v>
      </c>
      <c r="E253">
        <v>1246102752</v>
      </c>
      <c r="F253" s="30">
        <v>45415</v>
      </c>
      <c r="G253" s="30"/>
      <c r="H253" t="s">
        <v>172</v>
      </c>
      <c r="I253" t="s">
        <v>173</v>
      </c>
      <c r="J253">
        <v>1071</v>
      </c>
      <c r="K253" s="30">
        <v>45175</v>
      </c>
      <c r="L253">
        <v>1010100</v>
      </c>
      <c r="M253" t="s">
        <v>35</v>
      </c>
      <c r="N253">
        <v>161</v>
      </c>
      <c r="O253" t="s">
        <v>160</v>
      </c>
      <c r="P253" t="s">
        <v>428</v>
      </c>
      <c r="Q253">
        <f t="shared" si="4"/>
        <v>726</v>
      </c>
      <c r="R253">
        <f>_xlfn.XLOOKUP(E253,'Data Additive'!E:E,'Data Additive'!E:E,0)</f>
        <v>0</v>
      </c>
    </row>
    <row r="254" spans="1:18" x14ac:dyDescent="0.25">
      <c r="A254">
        <v>11207</v>
      </c>
      <c r="B254" t="s">
        <v>715</v>
      </c>
      <c r="C254" t="s">
        <v>193</v>
      </c>
      <c r="D254" s="34">
        <v>43771.16</v>
      </c>
      <c r="E254">
        <v>1246103933</v>
      </c>
      <c r="F254" s="30">
        <v>45423</v>
      </c>
      <c r="G254" s="30"/>
      <c r="H254" t="s">
        <v>172</v>
      </c>
      <c r="I254" t="s">
        <v>173</v>
      </c>
      <c r="J254">
        <v>1167</v>
      </c>
      <c r="K254" s="30">
        <v>45183</v>
      </c>
      <c r="L254">
        <v>1010100</v>
      </c>
      <c r="M254" t="s">
        <v>35</v>
      </c>
      <c r="N254">
        <v>161</v>
      </c>
      <c r="O254" t="s">
        <v>160</v>
      </c>
      <c r="P254" t="s">
        <v>428</v>
      </c>
      <c r="Q254">
        <f t="shared" si="4"/>
        <v>718</v>
      </c>
      <c r="R254">
        <f>_xlfn.XLOOKUP(E254,'Data Additive'!E:E,'Data Additive'!E:E,0)</f>
        <v>0</v>
      </c>
    </row>
    <row r="255" spans="1:18" x14ac:dyDescent="0.25">
      <c r="A255">
        <v>11207</v>
      </c>
      <c r="B255" t="s">
        <v>715</v>
      </c>
      <c r="C255" t="s">
        <v>193</v>
      </c>
      <c r="D255" s="34">
        <v>150072.54</v>
      </c>
      <c r="E255">
        <v>1246105096</v>
      </c>
      <c r="F255" s="30">
        <v>45429</v>
      </c>
      <c r="G255" s="30"/>
      <c r="H255" t="s">
        <v>172</v>
      </c>
      <c r="I255" t="s">
        <v>173</v>
      </c>
      <c r="J255">
        <v>1263</v>
      </c>
      <c r="K255" s="30">
        <v>45189</v>
      </c>
      <c r="L255">
        <v>1010100</v>
      </c>
      <c r="M255" t="s">
        <v>35</v>
      </c>
      <c r="N255">
        <v>161</v>
      </c>
      <c r="O255" t="s">
        <v>160</v>
      </c>
      <c r="P255" t="s">
        <v>428</v>
      </c>
      <c r="Q255">
        <f t="shared" si="4"/>
        <v>712</v>
      </c>
      <c r="R255">
        <f>_xlfn.XLOOKUP(E255,'Data Additive'!E:E,'Data Additive'!E:E,0)</f>
        <v>0</v>
      </c>
    </row>
    <row r="256" spans="1:18" x14ac:dyDescent="0.25">
      <c r="A256">
        <v>11207</v>
      </c>
      <c r="B256" t="s">
        <v>715</v>
      </c>
      <c r="C256" t="s">
        <v>193</v>
      </c>
      <c r="D256" s="34">
        <v>85883.37</v>
      </c>
      <c r="E256">
        <v>1246131973</v>
      </c>
      <c r="F256" s="30">
        <v>45595</v>
      </c>
      <c r="G256" s="30"/>
      <c r="H256" t="s">
        <v>172</v>
      </c>
      <c r="I256" t="s">
        <v>173</v>
      </c>
      <c r="J256">
        <v>2972</v>
      </c>
      <c r="K256" s="30">
        <v>45352</v>
      </c>
      <c r="L256">
        <v>1010100</v>
      </c>
      <c r="M256" t="s">
        <v>35</v>
      </c>
      <c r="N256">
        <v>161</v>
      </c>
      <c r="O256" t="s">
        <v>160</v>
      </c>
      <c r="P256" t="s">
        <v>428</v>
      </c>
      <c r="Q256">
        <f t="shared" si="4"/>
        <v>546</v>
      </c>
      <c r="R256">
        <f>_xlfn.XLOOKUP(E256,'Data Additive'!E:E,'Data Additive'!E:E,0)</f>
        <v>0</v>
      </c>
    </row>
    <row r="257" spans="1:18" x14ac:dyDescent="0.25">
      <c r="A257">
        <v>11456</v>
      </c>
      <c r="B257" t="s">
        <v>200</v>
      </c>
      <c r="C257" t="s">
        <v>201</v>
      </c>
      <c r="D257" s="34">
        <v>108608.88999999998</v>
      </c>
      <c r="E257">
        <v>1246074872</v>
      </c>
      <c r="F257" s="30">
        <v>45412</v>
      </c>
      <c r="G257" s="30"/>
      <c r="H257" t="s">
        <v>172</v>
      </c>
      <c r="I257" t="s">
        <v>173</v>
      </c>
      <c r="J257">
        <v>21029</v>
      </c>
      <c r="K257" s="30">
        <v>45019</v>
      </c>
      <c r="L257">
        <v>1010100</v>
      </c>
      <c r="M257" t="s">
        <v>35</v>
      </c>
      <c r="N257">
        <v>161</v>
      </c>
      <c r="O257" t="s">
        <v>160</v>
      </c>
      <c r="P257" t="s">
        <v>428</v>
      </c>
      <c r="Q257">
        <f t="shared" si="4"/>
        <v>729</v>
      </c>
      <c r="R257">
        <f>_xlfn.XLOOKUP(E257,'Data Additive'!E:E,'Data Additive'!E:E,0)</f>
        <v>0</v>
      </c>
    </row>
    <row r="258" spans="1:18" x14ac:dyDescent="0.25">
      <c r="A258">
        <v>11456</v>
      </c>
      <c r="B258" t="s">
        <v>200</v>
      </c>
      <c r="C258" t="s">
        <v>201</v>
      </c>
      <c r="D258" s="34">
        <v>136139</v>
      </c>
      <c r="E258">
        <v>1246074571</v>
      </c>
      <c r="F258" s="30">
        <v>45412</v>
      </c>
      <c r="G258" s="30"/>
      <c r="H258" t="s">
        <v>172</v>
      </c>
      <c r="I258" t="s">
        <v>173</v>
      </c>
      <c r="J258">
        <v>21023</v>
      </c>
      <c r="K258" s="30">
        <v>45017</v>
      </c>
      <c r="L258">
        <v>1010100</v>
      </c>
      <c r="M258" t="s">
        <v>35</v>
      </c>
      <c r="N258">
        <v>161</v>
      </c>
      <c r="O258" t="s">
        <v>160</v>
      </c>
      <c r="P258" t="s">
        <v>428</v>
      </c>
      <c r="Q258">
        <f t="shared" si="4"/>
        <v>729</v>
      </c>
      <c r="R258">
        <f>_xlfn.XLOOKUP(E258,'Data Additive'!E:E,'Data Additive'!E:E,0)</f>
        <v>0</v>
      </c>
    </row>
    <row r="259" spans="1:18" x14ac:dyDescent="0.25">
      <c r="A259">
        <v>11456</v>
      </c>
      <c r="B259" t="s">
        <v>200</v>
      </c>
      <c r="C259" t="s">
        <v>201</v>
      </c>
      <c r="D259" s="34">
        <v>150110.1</v>
      </c>
      <c r="E259">
        <v>1246127149</v>
      </c>
      <c r="F259" s="30">
        <v>45615</v>
      </c>
      <c r="G259" s="30"/>
      <c r="H259" t="s">
        <v>172</v>
      </c>
      <c r="I259" t="s">
        <v>173</v>
      </c>
      <c r="J259">
        <v>2634</v>
      </c>
      <c r="K259" s="30">
        <v>45320</v>
      </c>
      <c r="L259">
        <v>1010100</v>
      </c>
      <c r="M259" t="s">
        <v>35</v>
      </c>
      <c r="N259">
        <v>161</v>
      </c>
      <c r="O259" t="s">
        <v>160</v>
      </c>
      <c r="P259" t="s">
        <v>428</v>
      </c>
      <c r="Q259">
        <f t="shared" si="4"/>
        <v>526</v>
      </c>
      <c r="R259">
        <f>_xlfn.XLOOKUP(E259,'Data Additive'!E:E,'Data Additive'!E:E,0)</f>
        <v>0</v>
      </c>
    </row>
    <row r="260" spans="1:18" x14ac:dyDescent="0.25">
      <c r="A260">
        <v>11456</v>
      </c>
      <c r="B260" t="s">
        <v>200</v>
      </c>
      <c r="C260" t="s">
        <v>201</v>
      </c>
      <c r="D260" s="34">
        <v>150110.1</v>
      </c>
      <c r="E260">
        <v>1246128463</v>
      </c>
      <c r="F260" s="30">
        <v>45623</v>
      </c>
      <c r="G260" s="30"/>
      <c r="H260" t="s">
        <v>172</v>
      </c>
      <c r="I260" t="s">
        <v>173</v>
      </c>
      <c r="J260">
        <v>2720</v>
      </c>
      <c r="K260" s="30">
        <v>45328</v>
      </c>
      <c r="L260">
        <v>1010100</v>
      </c>
      <c r="M260" t="s">
        <v>35</v>
      </c>
      <c r="N260">
        <v>161</v>
      </c>
      <c r="O260" t="s">
        <v>160</v>
      </c>
      <c r="P260" t="s">
        <v>428</v>
      </c>
      <c r="Q260">
        <f t="shared" si="4"/>
        <v>518</v>
      </c>
      <c r="R260">
        <f>_xlfn.XLOOKUP(E260,'Data Additive'!E:E,'Data Additive'!E:E,0)</f>
        <v>0</v>
      </c>
    </row>
    <row r="261" spans="1:18" x14ac:dyDescent="0.25">
      <c r="A261">
        <v>10492</v>
      </c>
      <c r="B261" t="s">
        <v>111</v>
      </c>
      <c r="C261" t="s">
        <v>845</v>
      </c>
      <c r="D261" s="34">
        <v>83061.3</v>
      </c>
      <c r="E261">
        <v>1246271169</v>
      </c>
      <c r="F261" s="30">
        <v>46153</v>
      </c>
      <c r="G261" s="30"/>
      <c r="H261" t="s">
        <v>28</v>
      </c>
      <c r="I261" t="s">
        <v>29</v>
      </c>
      <c r="J261">
        <v>11106</v>
      </c>
      <c r="K261" s="30">
        <v>46125</v>
      </c>
      <c r="L261">
        <v>1010100</v>
      </c>
      <c r="M261" t="s">
        <v>35</v>
      </c>
      <c r="N261">
        <v>161</v>
      </c>
      <c r="O261" t="s">
        <v>160</v>
      </c>
      <c r="P261" t="s">
        <v>416</v>
      </c>
      <c r="Q261">
        <f t="shared" si="4"/>
        <v>-12</v>
      </c>
      <c r="R261">
        <f>_xlfn.XLOOKUP(E261,'Data Additive'!E:E,'Data Additive'!E:E,0)</f>
        <v>1246271169</v>
      </c>
    </row>
    <row r="262" spans="1:18" x14ac:dyDescent="0.25">
      <c r="A262">
        <v>10492</v>
      </c>
      <c r="B262" t="s">
        <v>111</v>
      </c>
      <c r="C262" t="s">
        <v>845</v>
      </c>
      <c r="D262" s="34">
        <v>1698000</v>
      </c>
      <c r="E262">
        <v>1246272739</v>
      </c>
      <c r="F262" s="30">
        <v>46167</v>
      </c>
      <c r="G262" s="30"/>
      <c r="H262" t="s">
        <v>28</v>
      </c>
      <c r="I262" t="s">
        <v>29</v>
      </c>
      <c r="J262">
        <v>2894</v>
      </c>
      <c r="K262" s="30">
        <v>46139</v>
      </c>
      <c r="L262">
        <v>1010100</v>
      </c>
      <c r="M262" t="s">
        <v>35</v>
      </c>
      <c r="N262">
        <v>7</v>
      </c>
      <c r="O262" t="s">
        <v>646</v>
      </c>
      <c r="P262" t="s">
        <v>416</v>
      </c>
      <c r="Q262">
        <f t="shared" si="4"/>
        <v>-26</v>
      </c>
      <c r="R262">
        <f>_xlfn.XLOOKUP(E262,'Data Additive'!E:E,'Data Additive'!E:E,0)</f>
        <v>1246272739</v>
      </c>
    </row>
    <row r="263" spans="1:18" x14ac:dyDescent="0.25">
      <c r="A263">
        <v>10492</v>
      </c>
      <c r="B263" t="s">
        <v>111</v>
      </c>
      <c r="C263" t="s">
        <v>845</v>
      </c>
      <c r="D263" s="34">
        <v>352080</v>
      </c>
      <c r="E263">
        <v>1246271663</v>
      </c>
      <c r="F263" s="30">
        <v>46157</v>
      </c>
      <c r="G263" s="30"/>
      <c r="H263" t="s">
        <v>28</v>
      </c>
      <c r="I263" t="s">
        <v>29</v>
      </c>
      <c r="J263">
        <v>2875</v>
      </c>
      <c r="K263" s="30">
        <v>46129</v>
      </c>
      <c r="L263">
        <v>1010100</v>
      </c>
      <c r="M263" t="s">
        <v>35</v>
      </c>
      <c r="N263">
        <v>161</v>
      </c>
      <c r="O263" t="s">
        <v>160</v>
      </c>
      <c r="P263" t="s">
        <v>416</v>
      </c>
      <c r="Q263">
        <f t="shared" si="4"/>
        <v>-16</v>
      </c>
      <c r="R263">
        <f>_xlfn.XLOOKUP(E263,'Data Additive'!E:E,'Data Additive'!E:E,0)</f>
        <v>1246271663</v>
      </c>
    </row>
    <row r="264" spans="1:18" x14ac:dyDescent="0.25">
      <c r="A264">
        <v>13018</v>
      </c>
      <c r="B264" t="s">
        <v>676</v>
      </c>
      <c r="C264" t="s">
        <v>677</v>
      </c>
      <c r="D264" s="34">
        <v>63625.599999999999</v>
      </c>
      <c r="E264">
        <v>1246271772</v>
      </c>
      <c r="F264" s="30">
        <v>46157</v>
      </c>
      <c r="G264" s="30"/>
      <c r="H264" t="s">
        <v>28</v>
      </c>
      <c r="I264" t="s">
        <v>29</v>
      </c>
      <c r="J264">
        <v>11167</v>
      </c>
      <c r="K264" s="30">
        <v>46129</v>
      </c>
      <c r="L264">
        <v>1010100</v>
      </c>
      <c r="M264" t="s">
        <v>35</v>
      </c>
      <c r="N264">
        <v>161</v>
      </c>
      <c r="O264" t="s">
        <v>160</v>
      </c>
      <c r="P264" t="s">
        <v>674</v>
      </c>
      <c r="Q264">
        <f t="shared" si="4"/>
        <v>-16</v>
      </c>
      <c r="R264">
        <f>_xlfn.XLOOKUP(E264,'Data Additive'!E:E,'Data Additive'!E:E,0)</f>
        <v>1246271772</v>
      </c>
    </row>
    <row r="265" spans="1:18" x14ac:dyDescent="0.25">
      <c r="A265">
        <v>13018</v>
      </c>
      <c r="B265" t="s">
        <v>676</v>
      </c>
      <c r="C265" t="s">
        <v>677</v>
      </c>
      <c r="D265" s="34">
        <v>61407.199999999997</v>
      </c>
      <c r="E265">
        <v>1246271899</v>
      </c>
      <c r="F265" s="30">
        <v>46160</v>
      </c>
      <c r="G265" s="30"/>
      <c r="H265" t="s">
        <v>28</v>
      </c>
      <c r="I265" t="s">
        <v>29</v>
      </c>
      <c r="J265">
        <v>11180</v>
      </c>
      <c r="K265" s="30">
        <v>46132</v>
      </c>
      <c r="L265">
        <v>1010100</v>
      </c>
      <c r="M265" t="s">
        <v>35</v>
      </c>
      <c r="N265">
        <v>161</v>
      </c>
      <c r="O265" t="s">
        <v>160</v>
      </c>
      <c r="P265" t="s">
        <v>674</v>
      </c>
      <c r="Q265">
        <f t="shared" si="4"/>
        <v>-19</v>
      </c>
      <c r="R265">
        <f>_xlfn.XLOOKUP(E265,'Data Additive'!E:E,'Data Additive'!E:E,0)</f>
        <v>1246271899</v>
      </c>
    </row>
    <row r="266" spans="1:18" x14ac:dyDescent="0.25">
      <c r="A266">
        <v>13018</v>
      </c>
      <c r="B266" t="s">
        <v>676</v>
      </c>
      <c r="C266" t="s">
        <v>677</v>
      </c>
      <c r="D266" s="34">
        <v>63838</v>
      </c>
      <c r="E266">
        <v>1246271508</v>
      </c>
      <c r="F266" s="30">
        <v>46155</v>
      </c>
      <c r="G266" s="30"/>
      <c r="H266" t="s">
        <v>28</v>
      </c>
      <c r="I266" t="s">
        <v>29</v>
      </c>
      <c r="J266">
        <v>11134</v>
      </c>
      <c r="K266" s="30">
        <v>46127</v>
      </c>
      <c r="L266">
        <v>1010100</v>
      </c>
      <c r="M266" t="s">
        <v>35</v>
      </c>
      <c r="N266">
        <v>161</v>
      </c>
      <c r="O266" t="s">
        <v>160</v>
      </c>
      <c r="P266" t="s">
        <v>674</v>
      </c>
      <c r="Q266">
        <f t="shared" si="4"/>
        <v>-14</v>
      </c>
      <c r="R266">
        <f>_xlfn.XLOOKUP(E266,'Data Additive'!E:E,'Data Additive'!E:E,0)</f>
        <v>1246271508</v>
      </c>
    </row>
    <row r="267" spans="1:18" x14ac:dyDescent="0.25">
      <c r="A267">
        <v>13018</v>
      </c>
      <c r="B267" t="s">
        <v>676</v>
      </c>
      <c r="C267" t="s">
        <v>677</v>
      </c>
      <c r="D267" s="34">
        <v>327740.59999999998</v>
      </c>
      <c r="E267">
        <v>1246272485</v>
      </c>
      <c r="F267" s="30">
        <v>46164</v>
      </c>
      <c r="G267" s="30"/>
      <c r="H267" t="s">
        <v>28</v>
      </c>
      <c r="I267" t="s">
        <v>29</v>
      </c>
      <c r="J267">
        <v>11214</v>
      </c>
      <c r="K267" s="30">
        <v>46136</v>
      </c>
      <c r="L267">
        <v>1010100</v>
      </c>
      <c r="M267" t="s">
        <v>35</v>
      </c>
      <c r="N267">
        <v>161</v>
      </c>
      <c r="O267" t="s">
        <v>160</v>
      </c>
      <c r="P267" t="s">
        <v>674</v>
      </c>
      <c r="Q267">
        <f t="shared" si="4"/>
        <v>-23</v>
      </c>
      <c r="R267">
        <f>_xlfn.XLOOKUP(E267,'Data Additive'!E:E,'Data Additive'!E:E,0)</f>
        <v>1246272485</v>
      </c>
    </row>
    <row r="268" spans="1:18" x14ac:dyDescent="0.25">
      <c r="A268">
        <v>12741</v>
      </c>
      <c r="B268" t="s">
        <v>306</v>
      </c>
      <c r="C268" t="s">
        <v>854</v>
      </c>
      <c r="D268" s="34">
        <v>137256</v>
      </c>
      <c r="E268">
        <v>1246268240</v>
      </c>
      <c r="F268" s="30">
        <v>46167</v>
      </c>
      <c r="G268" s="30"/>
      <c r="H268" t="s">
        <v>28</v>
      </c>
      <c r="I268" t="s">
        <v>29</v>
      </c>
      <c r="J268">
        <v>10917</v>
      </c>
      <c r="K268" s="30">
        <v>46099</v>
      </c>
      <c r="L268">
        <v>1010100</v>
      </c>
      <c r="M268" t="s">
        <v>35</v>
      </c>
      <c r="N268">
        <v>161</v>
      </c>
      <c r="O268" t="s">
        <v>160</v>
      </c>
      <c r="P268" t="s">
        <v>427</v>
      </c>
      <c r="Q268">
        <f t="shared" ref="Q268:Q311" si="5">$R$1-F268</f>
        <v>-26</v>
      </c>
      <c r="R268">
        <f>_xlfn.XLOOKUP(E268,'Data Additive'!E:E,'Data Additive'!E:E,0)</f>
        <v>1246268240</v>
      </c>
    </row>
    <row r="269" spans="1:18" x14ac:dyDescent="0.25">
      <c r="A269">
        <v>14166</v>
      </c>
      <c r="B269" t="s">
        <v>122</v>
      </c>
      <c r="C269" t="s">
        <v>123</v>
      </c>
      <c r="D269" s="34">
        <v>82152</v>
      </c>
      <c r="E269">
        <v>1246231876</v>
      </c>
      <c r="F269" s="30">
        <v>46144</v>
      </c>
      <c r="G269" s="30">
        <v>46146</v>
      </c>
      <c r="H269" t="s">
        <v>172</v>
      </c>
      <c r="I269" t="s">
        <v>173</v>
      </c>
      <c r="J269">
        <v>8933</v>
      </c>
      <c r="K269" s="30">
        <v>45888</v>
      </c>
      <c r="L269">
        <v>1010100</v>
      </c>
      <c r="M269" t="s">
        <v>35</v>
      </c>
      <c r="N269">
        <v>161</v>
      </c>
      <c r="O269" t="s">
        <v>160</v>
      </c>
      <c r="P269" t="s">
        <v>431</v>
      </c>
      <c r="Q269">
        <f t="shared" si="5"/>
        <v>-3</v>
      </c>
      <c r="R269">
        <f>_xlfn.XLOOKUP(E269,'Data Additive'!E:E,'Data Additive'!E:E,0)</f>
        <v>0</v>
      </c>
    </row>
    <row r="270" spans="1:18" x14ac:dyDescent="0.25">
      <c r="A270">
        <v>14166</v>
      </c>
      <c r="B270" t="s">
        <v>122</v>
      </c>
      <c r="C270" t="s">
        <v>123</v>
      </c>
      <c r="D270" s="34">
        <v>93462.6</v>
      </c>
      <c r="E270">
        <v>1246231878</v>
      </c>
      <c r="F270" s="30">
        <v>46144</v>
      </c>
      <c r="G270" s="30">
        <v>46146</v>
      </c>
      <c r="H270" t="s">
        <v>172</v>
      </c>
      <c r="I270" t="s">
        <v>173</v>
      </c>
      <c r="J270">
        <v>8934</v>
      </c>
      <c r="K270" s="30">
        <v>45888</v>
      </c>
      <c r="L270">
        <v>1010100</v>
      </c>
      <c r="M270" t="s">
        <v>35</v>
      </c>
      <c r="N270">
        <v>161</v>
      </c>
      <c r="O270" t="s">
        <v>160</v>
      </c>
      <c r="P270" t="s">
        <v>431</v>
      </c>
      <c r="Q270">
        <f t="shared" si="5"/>
        <v>-3</v>
      </c>
      <c r="R270">
        <f>_xlfn.XLOOKUP(E270,'Data Additive'!E:E,'Data Additive'!E:E,0)</f>
        <v>0</v>
      </c>
    </row>
    <row r="271" spans="1:18" x14ac:dyDescent="0.25">
      <c r="A271">
        <v>14166</v>
      </c>
      <c r="B271" t="s">
        <v>122</v>
      </c>
      <c r="C271" t="s">
        <v>123</v>
      </c>
      <c r="D271" s="34">
        <v>131112.51999999999</v>
      </c>
      <c r="E271">
        <v>1246231981</v>
      </c>
      <c r="F271" s="30">
        <v>46143</v>
      </c>
      <c r="G271" s="30">
        <v>46146</v>
      </c>
      <c r="H271" t="s">
        <v>172</v>
      </c>
      <c r="I271" t="s">
        <v>173</v>
      </c>
      <c r="J271">
        <v>8941</v>
      </c>
      <c r="K271" s="30">
        <v>45889</v>
      </c>
      <c r="L271">
        <v>1010100</v>
      </c>
      <c r="M271" t="s">
        <v>35</v>
      </c>
      <c r="N271">
        <v>56</v>
      </c>
      <c r="O271" t="s">
        <v>161</v>
      </c>
      <c r="P271" t="s">
        <v>431</v>
      </c>
      <c r="Q271">
        <f t="shared" si="5"/>
        <v>-2</v>
      </c>
      <c r="R271">
        <f>_xlfn.XLOOKUP(E271,'Data Additive'!E:E,'Data Additive'!E:E,0)</f>
        <v>0</v>
      </c>
    </row>
    <row r="272" spans="1:18" x14ac:dyDescent="0.25">
      <c r="A272">
        <v>14849</v>
      </c>
      <c r="B272" t="s">
        <v>352</v>
      </c>
      <c r="C272" t="s">
        <v>612</v>
      </c>
      <c r="D272" s="34">
        <v>133718</v>
      </c>
      <c r="E272">
        <v>1246222953</v>
      </c>
      <c r="F272" s="30">
        <v>46143</v>
      </c>
      <c r="G272" s="30">
        <v>46146</v>
      </c>
      <c r="H272" t="s">
        <v>172</v>
      </c>
      <c r="I272" t="s">
        <v>173</v>
      </c>
      <c r="J272">
        <v>8360</v>
      </c>
      <c r="K272" s="30">
        <v>45841</v>
      </c>
      <c r="L272">
        <v>1010100</v>
      </c>
      <c r="M272" t="s">
        <v>35</v>
      </c>
      <c r="N272">
        <v>161</v>
      </c>
      <c r="O272" t="s">
        <v>160</v>
      </c>
      <c r="P272" t="s">
        <v>432</v>
      </c>
      <c r="Q272">
        <f t="shared" si="5"/>
        <v>-2</v>
      </c>
      <c r="R272">
        <f>_xlfn.XLOOKUP(E272,'Data Additive'!E:E,'Data Additive'!E:E,0)</f>
        <v>0</v>
      </c>
    </row>
    <row r="273" spans="1:18" x14ac:dyDescent="0.25">
      <c r="A273">
        <v>15908</v>
      </c>
      <c r="B273" t="s">
        <v>865</v>
      </c>
      <c r="C273" t="s">
        <v>866</v>
      </c>
      <c r="D273" s="34">
        <v>152185.74</v>
      </c>
      <c r="E273">
        <v>1246268845</v>
      </c>
      <c r="F273" s="30">
        <v>46195</v>
      </c>
      <c r="G273" s="30"/>
      <c r="H273" t="s">
        <v>172</v>
      </c>
      <c r="I273" t="s">
        <v>173</v>
      </c>
      <c r="J273">
        <v>10968</v>
      </c>
      <c r="K273" s="30">
        <v>46105</v>
      </c>
      <c r="L273">
        <v>1010100</v>
      </c>
      <c r="M273" t="s">
        <v>35</v>
      </c>
      <c r="N273">
        <v>161</v>
      </c>
      <c r="O273" t="s">
        <v>160</v>
      </c>
      <c r="P273" t="s">
        <v>905</v>
      </c>
      <c r="Q273">
        <f t="shared" si="5"/>
        <v>-54</v>
      </c>
      <c r="R273">
        <f>_xlfn.XLOOKUP(E273,'Data Additive'!E:E,'Data Additive'!E:E,0)</f>
        <v>0</v>
      </c>
    </row>
    <row r="274" spans="1:18" x14ac:dyDescent="0.25">
      <c r="A274">
        <v>15908</v>
      </c>
      <c r="B274" t="s">
        <v>865</v>
      </c>
      <c r="C274" t="s">
        <v>866</v>
      </c>
      <c r="D274" s="34">
        <v>38698.71</v>
      </c>
      <c r="E274">
        <v>1246268455</v>
      </c>
      <c r="F274" s="30">
        <v>46190</v>
      </c>
      <c r="G274" s="30"/>
      <c r="H274" t="s">
        <v>172</v>
      </c>
      <c r="I274" t="s">
        <v>173</v>
      </c>
      <c r="J274">
        <v>10935</v>
      </c>
      <c r="K274" s="30">
        <v>46100</v>
      </c>
      <c r="L274">
        <v>1010100</v>
      </c>
      <c r="M274" t="s">
        <v>35</v>
      </c>
      <c r="N274">
        <v>161</v>
      </c>
      <c r="O274" t="s">
        <v>160</v>
      </c>
      <c r="P274" t="s">
        <v>905</v>
      </c>
      <c r="Q274">
        <f t="shared" si="5"/>
        <v>-49</v>
      </c>
      <c r="R274">
        <f>_xlfn.XLOOKUP(E274,'Data Additive'!E:E,'Data Additive'!E:E,0)</f>
        <v>0</v>
      </c>
    </row>
    <row r="275" spans="1:18" x14ac:dyDescent="0.25">
      <c r="A275">
        <v>15905</v>
      </c>
      <c r="B275" t="s">
        <v>867</v>
      </c>
      <c r="C275" t="s">
        <v>868</v>
      </c>
      <c r="D275" s="34">
        <v>51551.06</v>
      </c>
      <c r="E275">
        <v>1246268473</v>
      </c>
      <c r="F275" s="30">
        <v>46190</v>
      </c>
      <c r="G275" s="30"/>
      <c r="H275" t="s">
        <v>172</v>
      </c>
      <c r="I275" t="s">
        <v>173</v>
      </c>
      <c r="J275">
        <v>10938</v>
      </c>
      <c r="K275" s="30">
        <v>46100</v>
      </c>
      <c r="L275">
        <v>1010100</v>
      </c>
      <c r="M275" t="s">
        <v>35</v>
      </c>
      <c r="N275">
        <v>161</v>
      </c>
      <c r="O275" t="s">
        <v>160</v>
      </c>
      <c r="P275" t="s">
        <v>905</v>
      </c>
      <c r="Q275">
        <f t="shared" si="5"/>
        <v>-49</v>
      </c>
      <c r="R275">
        <f>_xlfn.XLOOKUP(E275,'Data Additive'!E:E,'Data Additive'!E:E,0)</f>
        <v>0</v>
      </c>
    </row>
    <row r="276" spans="1:18" x14ac:dyDescent="0.25">
      <c r="A276">
        <v>15905</v>
      </c>
      <c r="B276" t="s">
        <v>867</v>
      </c>
      <c r="C276" t="s">
        <v>868</v>
      </c>
      <c r="D276" s="34">
        <v>177522.26</v>
      </c>
      <c r="E276">
        <v>1246268967</v>
      </c>
      <c r="F276" s="30">
        <v>46196</v>
      </c>
      <c r="G276" s="30"/>
      <c r="H276" t="s">
        <v>172</v>
      </c>
      <c r="I276" t="s">
        <v>173</v>
      </c>
      <c r="J276">
        <v>10973</v>
      </c>
      <c r="K276" s="30">
        <v>46106</v>
      </c>
      <c r="L276">
        <v>1010100</v>
      </c>
      <c r="M276" t="s">
        <v>35</v>
      </c>
      <c r="N276">
        <v>161</v>
      </c>
      <c r="O276" t="s">
        <v>160</v>
      </c>
      <c r="P276" t="s">
        <v>905</v>
      </c>
      <c r="Q276">
        <f t="shared" si="5"/>
        <v>-55</v>
      </c>
      <c r="R276">
        <f>_xlfn.XLOOKUP(E276,'Data Additive'!E:E,'Data Additive'!E:E,0)</f>
        <v>0</v>
      </c>
    </row>
    <row r="277" spans="1:18" x14ac:dyDescent="0.25">
      <c r="A277">
        <v>15905</v>
      </c>
      <c r="B277" t="s">
        <v>867</v>
      </c>
      <c r="C277" t="s">
        <v>868</v>
      </c>
      <c r="D277" s="34">
        <v>72587.789999999994</v>
      </c>
      <c r="E277">
        <v>1246271194</v>
      </c>
      <c r="F277" s="30">
        <v>46215</v>
      </c>
      <c r="G277" s="30"/>
      <c r="H277" t="s">
        <v>172</v>
      </c>
      <c r="I277" t="s">
        <v>173</v>
      </c>
      <c r="J277">
        <v>11111</v>
      </c>
      <c r="K277" s="30">
        <v>46125</v>
      </c>
      <c r="L277">
        <v>1010100</v>
      </c>
      <c r="M277" t="s">
        <v>35</v>
      </c>
      <c r="N277">
        <v>161</v>
      </c>
      <c r="O277" t="s">
        <v>160</v>
      </c>
      <c r="P277" t="s">
        <v>905</v>
      </c>
      <c r="Q277">
        <f t="shared" si="5"/>
        <v>-74</v>
      </c>
      <c r="R277">
        <f>_xlfn.XLOOKUP(E277,'Data Additive'!E:E,'Data Additive'!E:E,0)</f>
        <v>0</v>
      </c>
    </row>
    <row r="278" spans="1:18" x14ac:dyDescent="0.25">
      <c r="A278">
        <v>16387</v>
      </c>
      <c r="B278" t="s">
        <v>730</v>
      </c>
      <c r="C278" t="s">
        <v>731</v>
      </c>
      <c r="D278" s="34">
        <v>5030.5</v>
      </c>
      <c r="E278">
        <v>1246250305</v>
      </c>
      <c r="F278" s="30">
        <v>46254</v>
      </c>
      <c r="G278" s="30"/>
      <c r="H278" t="s">
        <v>172</v>
      </c>
      <c r="I278" t="s">
        <v>173</v>
      </c>
      <c r="J278">
        <v>10088</v>
      </c>
      <c r="K278" s="30">
        <v>45982</v>
      </c>
      <c r="L278">
        <v>1010100</v>
      </c>
      <c r="M278" t="s">
        <v>35</v>
      </c>
      <c r="N278">
        <v>161</v>
      </c>
      <c r="O278" t="s">
        <v>160</v>
      </c>
      <c r="P278" t="s">
        <v>425</v>
      </c>
      <c r="Q278">
        <f t="shared" si="5"/>
        <v>-113</v>
      </c>
      <c r="R278">
        <f>_xlfn.XLOOKUP(E278,'Data Additive'!E:E,'Data Additive'!E:E,0)</f>
        <v>0</v>
      </c>
    </row>
    <row r="279" spans="1:18" x14ac:dyDescent="0.25">
      <c r="A279">
        <v>15906</v>
      </c>
      <c r="B279" t="s">
        <v>869</v>
      </c>
      <c r="C279" t="s">
        <v>870</v>
      </c>
      <c r="D279" s="34">
        <v>51551.06</v>
      </c>
      <c r="E279">
        <v>1246268468</v>
      </c>
      <c r="F279" s="30">
        <v>46190</v>
      </c>
      <c r="G279" s="30"/>
      <c r="H279" t="s">
        <v>172</v>
      </c>
      <c r="I279" t="s">
        <v>173</v>
      </c>
      <c r="J279">
        <v>10937</v>
      </c>
      <c r="K279" s="30">
        <v>46100</v>
      </c>
      <c r="L279">
        <v>1010100</v>
      </c>
      <c r="M279" t="s">
        <v>35</v>
      </c>
      <c r="N279">
        <v>161</v>
      </c>
      <c r="O279" t="s">
        <v>160</v>
      </c>
      <c r="P279" t="s">
        <v>905</v>
      </c>
      <c r="Q279">
        <f t="shared" si="5"/>
        <v>-49</v>
      </c>
      <c r="R279">
        <f>_xlfn.XLOOKUP(E279,'Data Additive'!E:E,'Data Additive'!E:E,0)</f>
        <v>0</v>
      </c>
    </row>
    <row r="280" spans="1:18" x14ac:dyDescent="0.25">
      <c r="A280">
        <v>15904</v>
      </c>
      <c r="B280" t="s">
        <v>871</v>
      </c>
      <c r="C280" t="s">
        <v>872</v>
      </c>
      <c r="D280" s="34">
        <v>38698.71</v>
      </c>
      <c r="E280">
        <v>1246268475</v>
      </c>
      <c r="F280" s="30">
        <v>46190</v>
      </c>
      <c r="G280" s="30"/>
      <c r="H280" t="s">
        <v>172</v>
      </c>
      <c r="I280" t="s">
        <v>173</v>
      </c>
      <c r="J280">
        <v>10939</v>
      </c>
      <c r="K280" s="30">
        <v>46100</v>
      </c>
      <c r="L280">
        <v>1010100</v>
      </c>
      <c r="M280" t="s">
        <v>35</v>
      </c>
      <c r="N280">
        <v>161</v>
      </c>
      <c r="O280" t="s">
        <v>160</v>
      </c>
      <c r="P280" t="s">
        <v>905</v>
      </c>
      <c r="Q280">
        <f t="shared" si="5"/>
        <v>-49</v>
      </c>
      <c r="R280">
        <f>_xlfn.XLOOKUP(E280,'Data Additive'!E:E,'Data Additive'!E:E,0)</f>
        <v>0</v>
      </c>
    </row>
    <row r="281" spans="1:18" x14ac:dyDescent="0.25">
      <c r="A281">
        <v>15904</v>
      </c>
      <c r="B281" t="s">
        <v>871</v>
      </c>
      <c r="C281" t="s">
        <v>872</v>
      </c>
      <c r="D281" s="34">
        <v>152158.14000000001</v>
      </c>
      <c r="E281">
        <v>1246269114</v>
      </c>
      <c r="F281" s="30">
        <v>46196</v>
      </c>
      <c r="G281" s="30"/>
      <c r="H281" t="s">
        <v>172</v>
      </c>
      <c r="I281" t="s">
        <v>173</v>
      </c>
      <c r="J281">
        <v>10978</v>
      </c>
      <c r="K281" s="30">
        <v>46106</v>
      </c>
      <c r="L281">
        <v>1010100</v>
      </c>
      <c r="M281" t="s">
        <v>35</v>
      </c>
      <c r="N281">
        <v>161</v>
      </c>
      <c r="O281" t="s">
        <v>160</v>
      </c>
      <c r="P281" t="s">
        <v>905</v>
      </c>
      <c r="Q281">
        <f t="shared" si="5"/>
        <v>-55</v>
      </c>
      <c r="R281">
        <f>_xlfn.XLOOKUP(E281,'Data Additive'!E:E,'Data Additive'!E:E,0)</f>
        <v>0</v>
      </c>
    </row>
    <row r="282" spans="1:18" x14ac:dyDescent="0.25">
      <c r="A282">
        <v>707</v>
      </c>
      <c r="B282" t="s">
        <v>53</v>
      </c>
      <c r="C282" t="s">
        <v>54</v>
      </c>
      <c r="D282" s="34">
        <v>40320</v>
      </c>
      <c r="E282">
        <v>1246146706</v>
      </c>
      <c r="F282" s="30">
        <v>45461</v>
      </c>
      <c r="G282" s="30"/>
      <c r="H282" t="s">
        <v>28</v>
      </c>
      <c r="I282" t="s">
        <v>29</v>
      </c>
      <c r="J282">
        <v>3619</v>
      </c>
      <c r="K282" s="30">
        <v>45433</v>
      </c>
      <c r="L282">
        <v>1010100</v>
      </c>
      <c r="M282" t="s">
        <v>35</v>
      </c>
      <c r="N282">
        <v>161</v>
      </c>
      <c r="O282" t="s">
        <v>160</v>
      </c>
      <c r="P282" t="s">
        <v>53</v>
      </c>
      <c r="Q282">
        <f t="shared" si="5"/>
        <v>680</v>
      </c>
      <c r="R282">
        <f>_xlfn.XLOOKUP(E282,'Data Additive'!E:E,'Data Additive'!E:E,0)</f>
        <v>1246146706</v>
      </c>
    </row>
    <row r="283" spans="1:18" x14ac:dyDescent="0.25">
      <c r="A283">
        <v>707</v>
      </c>
      <c r="B283" t="s">
        <v>53</v>
      </c>
      <c r="C283" t="s">
        <v>54</v>
      </c>
      <c r="D283" s="34">
        <v>14640</v>
      </c>
      <c r="E283">
        <v>1246145696</v>
      </c>
      <c r="F283" s="30">
        <v>45454</v>
      </c>
      <c r="G283" s="30"/>
      <c r="H283" t="s">
        <v>28</v>
      </c>
      <c r="I283" t="s">
        <v>29</v>
      </c>
      <c r="J283">
        <v>3538</v>
      </c>
      <c r="K283" s="30">
        <v>45426</v>
      </c>
      <c r="L283">
        <v>1010100</v>
      </c>
      <c r="M283" t="s">
        <v>35</v>
      </c>
      <c r="N283">
        <v>161</v>
      </c>
      <c r="O283" t="s">
        <v>160</v>
      </c>
      <c r="P283" t="s">
        <v>53</v>
      </c>
      <c r="Q283">
        <f t="shared" si="5"/>
        <v>687</v>
      </c>
      <c r="R283">
        <f>_xlfn.XLOOKUP(E283,'Data Additive'!E:E,'Data Additive'!E:E,0)</f>
        <v>1246145696</v>
      </c>
    </row>
    <row r="284" spans="1:18" x14ac:dyDescent="0.25">
      <c r="A284">
        <v>707</v>
      </c>
      <c r="B284" t="s">
        <v>53</v>
      </c>
      <c r="C284" t="s">
        <v>54</v>
      </c>
      <c r="D284" s="34">
        <v>43920</v>
      </c>
      <c r="E284">
        <v>1246148035</v>
      </c>
      <c r="F284" s="30">
        <v>45469</v>
      </c>
      <c r="G284" s="30"/>
      <c r="H284" t="s">
        <v>28</v>
      </c>
      <c r="I284" t="s">
        <v>29</v>
      </c>
      <c r="J284">
        <v>3722</v>
      </c>
      <c r="K284" s="30">
        <v>45441</v>
      </c>
      <c r="L284">
        <v>1010100</v>
      </c>
      <c r="M284" t="s">
        <v>35</v>
      </c>
      <c r="N284">
        <v>161</v>
      </c>
      <c r="O284" t="s">
        <v>160</v>
      </c>
      <c r="P284" t="s">
        <v>53</v>
      </c>
      <c r="Q284">
        <f t="shared" si="5"/>
        <v>672</v>
      </c>
      <c r="R284">
        <f>_xlfn.XLOOKUP(E284,'Data Additive'!E:E,'Data Additive'!E:E,0)</f>
        <v>1246148035</v>
      </c>
    </row>
    <row r="285" spans="1:18" x14ac:dyDescent="0.25">
      <c r="A285">
        <v>707</v>
      </c>
      <c r="B285" t="s">
        <v>53</v>
      </c>
      <c r="C285" t="s">
        <v>54</v>
      </c>
      <c r="D285" s="34">
        <v>36600</v>
      </c>
      <c r="E285">
        <v>1246146938</v>
      </c>
      <c r="F285" s="30">
        <v>45462</v>
      </c>
      <c r="G285" s="30"/>
      <c r="H285" t="s">
        <v>28</v>
      </c>
      <c r="I285" t="s">
        <v>29</v>
      </c>
      <c r="J285">
        <v>3637</v>
      </c>
      <c r="K285" s="30">
        <v>45434</v>
      </c>
      <c r="L285">
        <v>1010100</v>
      </c>
      <c r="M285" t="s">
        <v>35</v>
      </c>
      <c r="N285">
        <v>161</v>
      </c>
      <c r="O285" t="s">
        <v>160</v>
      </c>
      <c r="P285" t="s">
        <v>53</v>
      </c>
      <c r="Q285">
        <f t="shared" si="5"/>
        <v>679</v>
      </c>
      <c r="R285">
        <f>_xlfn.XLOOKUP(E285,'Data Additive'!E:E,'Data Additive'!E:E,0)</f>
        <v>1246146938</v>
      </c>
    </row>
    <row r="286" spans="1:18" x14ac:dyDescent="0.25">
      <c r="A286">
        <v>707</v>
      </c>
      <c r="B286" t="s">
        <v>53</v>
      </c>
      <c r="C286" t="s">
        <v>54</v>
      </c>
      <c r="D286" s="34">
        <v>33600</v>
      </c>
      <c r="E286">
        <v>1246148036</v>
      </c>
      <c r="F286" s="30">
        <v>45469</v>
      </c>
      <c r="G286" s="30"/>
      <c r="H286" t="s">
        <v>28</v>
      </c>
      <c r="I286" t="s">
        <v>29</v>
      </c>
      <c r="J286">
        <v>3723</v>
      </c>
      <c r="K286" s="30">
        <v>45441</v>
      </c>
      <c r="L286">
        <v>1010100</v>
      </c>
      <c r="M286" t="s">
        <v>35</v>
      </c>
      <c r="N286">
        <v>161</v>
      </c>
      <c r="O286" t="s">
        <v>160</v>
      </c>
      <c r="P286" t="s">
        <v>53</v>
      </c>
      <c r="Q286">
        <f t="shared" si="5"/>
        <v>672</v>
      </c>
      <c r="R286">
        <f>_xlfn.XLOOKUP(E286,'Data Additive'!E:E,'Data Additive'!E:E,0)</f>
        <v>1246148036</v>
      </c>
    </row>
    <row r="287" spans="1:18" x14ac:dyDescent="0.25">
      <c r="A287">
        <v>707</v>
      </c>
      <c r="B287" t="s">
        <v>53</v>
      </c>
      <c r="C287" t="s">
        <v>54</v>
      </c>
      <c r="D287" s="34">
        <v>16800</v>
      </c>
      <c r="E287">
        <v>1246141445</v>
      </c>
      <c r="F287" s="30">
        <v>45433</v>
      </c>
      <c r="G287" s="30"/>
      <c r="H287" t="s">
        <v>28</v>
      </c>
      <c r="I287" t="s">
        <v>29</v>
      </c>
      <c r="J287">
        <v>3345</v>
      </c>
      <c r="K287" s="30">
        <v>45405</v>
      </c>
      <c r="L287">
        <v>1010100</v>
      </c>
      <c r="M287" t="s">
        <v>35</v>
      </c>
      <c r="N287">
        <v>161</v>
      </c>
      <c r="O287" t="s">
        <v>160</v>
      </c>
      <c r="P287" t="s">
        <v>53</v>
      </c>
      <c r="Q287">
        <f t="shared" si="5"/>
        <v>708</v>
      </c>
      <c r="R287">
        <f>_xlfn.XLOOKUP(E287,'Data Additive'!E:E,'Data Additive'!E:E,0)</f>
        <v>1246141445</v>
      </c>
    </row>
    <row r="288" spans="1:18" x14ac:dyDescent="0.25">
      <c r="A288">
        <v>707</v>
      </c>
      <c r="B288" t="s">
        <v>53</v>
      </c>
      <c r="C288" t="s">
        <v>54</v>
      </c>
      <c r="D288" s="34">
        <v>40353.599999999999</v>
      </c>
      <c r="E288">
        <v>1246143397</v>
      </c>
      <c r="F288" s="30">
        <v>45443</v>
      </c>
      <c r="G288" s="30"/>
      <c r="H288" t="s">
        <v>28</v>
      </c>
      <c r="I288" t="s">
        <v>29</v>
      </c>
      <c r="J288">
        <v>3448</v>
      </c>
      <c r="K288" s="30">
        <v>45415</v>
      </c>
      <c r="L288">
        <v>1010100</v>
      </c>
      <c r="M288" t="s">
        <v>35</v>
      </c>
      <c r="N288">
        <v>161</v>
      </c>
      <c r="O288" t="s">
        <v>160</v>
      </c>
      <c r="P288" t="s">
        <v>53</v>
      </c>
      <c r="Q288">
        <f t="shared" si="5"/>
        <v>698</v>
      </c>
      <c r="R288">
        <f>_xlfn.XLOOKUP(E288,'Data Additive'!E:E,'Data Additive'!E:E,0)</f>
        <v>1246143397</v>
      </c>
    </row>
    <row r="289" spans="1:18" x14ac:dyDescent="0.25">
      <c r="A289">
        <v>1462</v>
      </c>
      <c r="B289" t="s">
        <v>65</v>
      </c>
      <c r="C289" t="s">
        <v>66</v>
      </c>
      <c r="D289" s="34">
        <v>37608.400000000001</v>
      </c>
      <c r="E289">
        <v>1246266894</v>
      </c>
      <c r="F289" s="30">
        <v>46147</v>
      </c>
      <c r="G289" s="30">
        <v>46147</v>
      </c>
      <c r="H289" t="s">
        <v>28</v>
      </c>
      <c r="I289" t="s">
        <v>29</v>
      </c>
      <c r="J289">
        <v>10834</v>
      </c>
      <c r="K289" s="30">
        <v>46087</v>
      </c>
      <c r="L289">
        <v>1010100</v>
      </c>
      <c r="M289" t="s">
        <v>35</v>
      </c>
      <c r="N289">
        <v>161</v>
      </c>
      <c r="O289" t="s">
        <v>160</v>
      </c>
      <c r="P289" t="s">
        <v>65</v>
      </c>
      <c r="Q289">
        <f t="shared" si="5"/>
        <v>-6</v>
      </c>
      <c r="R289">
        <f>_xlfn.XLOOKUP(E289,'Data Additive'!E:E,'Data Additive'!E:E,0)</f>
        <v>1246266894</v>
      </c>
    </row>
    <row r="290" spans="1:18" x14ac:dyDescent="0.25">
      <c r="A290">
        <v>1462</v>
      </c>
      <c r="B290" t="s">
        <v>65</v>
      </c>
      <c r="C290" t="s">
        <v>66</v>
      </c>
      <c r="D290" s="34">
        <v>37608.400000000001</v>
      </c>
      <c r="E290">
        <v>1246266895</v>
      </c>
      <c r="F290" s="30">
        <v>46157</v>
      </c>
      <c r="G290" s="30"/>
      <c r="H290" t="s">
        <v>28</v>
      </c>
      <c r="I290" t="s">
        <v>29</v>
      </c>
      <c r="J290">
        <v>10834</v>
      </c>
      <c r="K290" s="30">
        <v>46087</v>
      </c>
      <c r="L290">
        <v>1010100</v>
      </c>
      <c r="M290" t="s">
        <v>35</v>
      </c>
      <c r="N290">
        <v>161</v>
      </c>
      <c r="O290" t="s">
        <v>160</v>
      </c>
      <c r="P290" t="s">
        <v>65</v>
      </c>
      <c r="Q290">
        <f t="shared" si="5"/>
        <v>-16</v>
      </c>
      <c r="R290">
        <f>_xlfn.XLOOKUP(E290,'Data Additive'!E:E,'Data Additive'!E:E,0)</f>
        <v>1246266895</v>
      </c>
    </row>
    <row r="291" spans="1:18" x14ac:dyDescent="0.25">
      <c r="A291">
        <v>1462</v>
      </c>
      <c r="B291" t="s">
        <v>65</v>
      </c>
      <c r="C291" t="s">
        <v>66</v>
      </c>
      <c r="D291" s="34">
        <v>38160.199999999997</v>
      </c>
      <c r="E291">
        <v>1246270126</v>
      </c>
      <c r="F291" s="30">
        <v>46174</v>
      </c>
      <c r="G291" s="30"/>
      <c r="H291" t="s">
        <v>28</v>
      </c>
      <c r="I291" t="s">
        <v>29</v>
      </c>
      <c r="J291">
        <v>11041</v>
      </c>
      <c r="K291" s="30">
        <v>46114</v>
      </c>
      <c r="L291">
        <v>1010100</v>
      </c>
      <c r="M291" t="s">
        <v>35</v>
      </c>
      <c r="N291">
        <v>161</v>
      </c>
      <c r="O291" t="s">
        <v>160</v>
      </c>
      <c r="P291" t="s">
        <v>65</v>
      </c>
      <c r="Q291">
        <f t="shared" si="5"/>
        <v>-33</v>
      </c>
      <c r="R291">
        <f>_xlfn.XLOOKUP(E291,'Data Additive'!E:E,'Data Additive'!E:E,0)</f>
        <v>1246270126</v>
      </c>
    </row>
    <row r="292" spans="1:18" x14ac:dyDescent="0.25">
      <c r="A292">
        <v>1462</v>
      </c>
      <c r="B292" t="s">
        <v>65</v>
      </c>
      <c r="C292" t="s">
        <v>66</v>
      </c>
      <c r="D292" s="34">
        <v>38160.199999999997</v>
      </c>
      <c r="E292">
        <v>1246270127</v>
      </c>
      <c r="F292" s="30">
        <v>46184</v>
      </c>
      <c r="G292" s="30"/>
      <c r="H292" t="s">
        <v>28</v>
      </c>
      <c r="I292" t="s">
        <v>29</v>
      </c>
      <c r="J292">
        <v>11041</v>
      </c>
      <c r="K292" s="30">
        <v>46114</v>
      </c>
      <c r="L292">
        <v>1010100</v>
      </c>
      <c r="M292" t="s">
        <v>35</v>
      </c>
      <c r="N292">
        <v>161</v>
      </c>
      <c r="O292" t="s">
        <v>160</v>
      </c>
      <c r="P292" t="s">
        <v>65</v>
      </c>
      <c r="Q292">
        <f t="shared" si="5"/>
        <v>-43</v>
      </c>
      <c r="R292">
        <f>_xlfn.XLOOKUP(E292,'Data Additive'!E:E,'Data Additive'!E:E,0)</f>
        <v>1246270127</v>
      </c>
    </row>
    <row r="293" spans="1:18" x14ac:dyDescent="0.25">
      <c r="A293">
        <v>1462</v>
      </c>
      <c r="B293" t="s">
        <v>65</v>
      </c>
      <c r="C293" t="s">
        <v>66</v>
      </c>
      <c r="D293" s="34">
        <v>37491.5</v>
      </c>
      <c r="E293">
        <v>1246262009</v>
      </c>
      <c r="F293" s="30">
        <v>46125</v>
      </c>
      <c r="G293" s="30"/>
      <c r="H293" t="s">
        <v>28</v>
      </c>
      <c r="I293" t="s">
        <v>29</v>
      </c>
      <c r="J293">
        <v>10624</v>
      </c>
      <c r="K293" s="30">
        <v>46055</v>
      </c>
      <c r="L293">
        <v>1010100</v>
      </c>
      <c r="M293" t="s">
        <v>35</v>
      </c>
      <c r="N293">
        <v>161</v>
      </c>
      <c r="O293" t="s">
        <v>160</v>
      </c>
      <c r="P293" t="s">
        <v>65</v>
      </c>
      <c r="Q293">
        <f t="shared" si="5"/>
        <v>16</v>
      </c>
      <c r="R293">
        <f>_xlfn.XLOOKUP(E293,'Data Additive'!E:E,'Data Additive'!E:E,0)</f>
        <v>1246262009</v>
      </c>
    </row>
    <row r="294" spans="1:18" x14ac:dyDescent="0.25">
      <c r="A294">
        <v>2011</v>
      </c>
      <c r="B294" t="s">
        <v>712</v>
      </c>
      <c r="C294" t="s">
        <v>545</v>
      </c>
      <c r="D294" s="34">
        <v>105829.4</v>
      </c>
      <c r="E294">
        <v>1246271331</v>
      </c>
      <c r="F294" s="30">
        <v>46154</v>
      </c>
      <c r="G294" s="30"/>
      <c r="H294" t="s">
        <v>28</v>
      </c>
      <c r="I294" t="s">
        <v>29</v>
      </c>
      <c r="J294">
        <v>11121</v>
      </c>
      <c r="K294" s="30">
        <v>46126</v>
      </c>
      <c r="L294">
        <v>1010100</v>
      </c>
      <c r="M294" t="s">
        <v>35</v>
      </c>
      <c r="N294">
        <v>161</v>
      </c>
      <c r="O294" t="s">
        <v>160</v>
      </c>
      <c r="P294" t="s">
        <v>712</v>
      </c>
      <c r="Q294">
        <f t="shared" si="5"/>
        <v>-13</v>
      </c>
      <c r="R294">
        <f>_xlfn.XLOOKUP(E294,'Data Additive'!E:E,'Data Additive'!E:E,0)</f>
        <v>1246271331</v>
      </c>
    </row>
    <row r="295" spans="1:18" x14ac:dyDescent="0.25">
      <c r="A295">
        <v>3297</v>
      </c>
      <c r="B295" t="s">
        <v>640</v>
      </c>
      <c r="C295" t="s">
        <v>31</v>
      </c>
      <c r="D295" s="34">
        <v>49956.68</v>
      </c>
      <c r="E295">
        <v>1246271355</v>
      </c>
      <c r="F295" s="30">
        <v>46186</v>
      </c>
      <c r="G295" s="30"/>
      <c r="H295" t="s">
        <v>28</v>
      </c>
      <c r="I295" t="s">
        <v>29</v>
      </c>
      <c r="J295">
        <v>11123</v>
      </c>
      <c r="K295" s="30">
        <v>46126</v>
      </c>
      <c r="L295">
        <v>1010200</v>
      </c>
      <c r="M295" t="s">
        <v>124</v>
      </c>
      <c r="N295">
        <v>40</v>
      </c>
      <c r="O295" t="s">
        <v>170</v>
      </c>
      <c r="P295" t="s">
        <v>640</v>
      </c>
      <c r="Q295">
        <f t="shared" si="5"/>
        <v>-45</v>
      </c>
      <c r="R295">
        <f>_xlfn.XLOOKUP(E295,'Data Additive'!E:E,'Data Additive'!E:E,0)</f>
        <v>0</v>
      </c>
    </row>
    <row r="296" spans="1:18" x14ac:dyDescent="0.25">
      <c r="A296">
        <v>3426</v>
      </c>
      <c r="B296" t="s">
        <v>402</v>
      </c>
      <c r="C296" t="s">
        <v>32</v>
      </c>
      <c r="D296" s="34">
        <v>250261.53</v>
      </c>
      <c r="E296">
        <v>1246272081</v>
      </c>
      <c r="F296" s="30">
        <v>46194</v>
      </c>
      <c r="G296" s="30"/>
      <c r="H296" t="s">
        <v>28</v>
      </c>
      <c r="I296" t="s">
        <v>29</v>
      </c>
      <c r="J296">
        <v>2886</v>
      </c>
      <c r="K296" s="30">
        <v>46134</v>
      </c>
      <c r="L296">
        <v>1010200</v>
      </c>
      <c r="M296" t="s">
        <v>124</v>
      </c>
      <c r="N296">
        <v>40</v>
      </c>
      <c r="O296" t="s">
        <v>170</v>
      </c>
      <c r="P296" t="s">
        <v>402</v>
      </c>
      <c r="Q296">
        <f t="shared" si="5"/>
        <v>-53</v>
      </c>
      <c r="R296">
        <f>_xlfn.XLOOKUP(E296,'Data Additive'!E:E,'Data Additive'!E:E,0)</f>
        <v>0</v>
      </c>
    </row>
    <row r="297" spans="1:18" x14ac:dyDescent="0.25">
      <c r="A297">
        <v>2247</v>
      </c>
      <c r="B297" t="s">
        <v>490</v>
      </c>
      <c r="C297" t="s">
        <v>887</v>
      </c>
      <c r="D297" s="34">
        <v>12189</v>
      </c>
      <c r="E297">
        <v>1246272759</v>
      </c>
      <c r="F297" s="30">
        <v>46167</v>
      </c>
      <c r="G297" s="30"/>
      <c r="H297" t="s">
        <v>28</v>
      </c>
      <c r="I297" t="s">
        <v>29</v>
      </c>
      <c r="J297">
        <v>2896</v>
      </c>
      <c r="K297" s="30">
        <v>46139</v>
      </c>
      <c r="L297">
        <v>1010100</v>
      </c>
      <c r="M297" t="s">
        <v>35</v>
      </c>
      <c r="N297">
        <v>161</v>
      </c>
      <c r="O297" t="s">
        <v>160</v>
      </c>
      <c r="P297" t="s">
        <v>490</v>
      </c>
      <c r="Q297">
        <f t="shared" si="5"/>
        <v>-26</v>
      </c>
      <c r="R297">
        <f>_xlfn.XLOOKUP(E297,'Data Additive'!E:E,'Data Additive'!E:E,0)</f>
        <v>1246272759</v>
      </c>
    </row>
    <row r="298" spans="1:18" x14ac:dyDescent="0.25">
      <c r="A298">
        <v>2247</v>
      </c>
      <c r="B298" t="s">
        <v>490</v>
      </c>
      <c r="C298" t="s">
        <v>887</v>
      </c>
      <c r="D298" s="34">
        <v>12189</v>
      </c>
      <c r="E298">
        <v>1246272760</v>
      </c>
      <c r="F298" s="30">
        <v>46195</v>
      </c>
      <c r="G298" s="30"/>
      <c r="H298" t="s">
        <v>28</v>
      </c>
      <c r="I298" t="s">
        <v>29</v>
      </c>
      <c r="J298">
        <v>2896</v>
      </c>
      <c r="K298" s="30">
        <v>46139</v>
      </c>
      <c r="L298">
        <v>1010100</v>
      </c>
      <c r="M298" t="s">
        <v>35</v>
      </c>
      <c r="N298">
        <v>161</v>
      </c>
      <c r="O298" t="s">
        <v>160</v>
      </c>
      <c r="P298" t="s">
        <v>490</v>
      </c>
      <c r="Q298">
        <f t="shared" si="5"/>
        <v>-54</v>
      </c>
      <c r="R298">
        <f>_xlfn.XLOOKUP(E298,'Data Additive'!E:E,'Data Additive'!E:E,0)</f>
        <v>1246272760</v>
      </c>
    </row>
    <row r="299" spans="1:18" x14ac:dyDescent="0.25">
      <c r="A299">
        <v>2247</v>
      </c>
      <c r="B299" t="s">
        <v>490</v>
      </c>
      <c r="C299" t="s">
        <v>887</v>
      </c>
      <c r="D299" s="34">
        <v>956</v>
      </c>
      <c r="E299">
        <v>1246272577</v>
      </c>
      <c r="F299" s="30">
        <v>46164</v>
      </c>
      <c r="G299" s="30"/>
      <c r="H299" t="s">
        <v>28</v>
      </c>
      <c r="I299" t="s">
        <v>29</v>
      </c>
      <c r="J299">
        <v>2892</v>
      </c>
      <c r="K299" s="30">
        <v>46136</v>
      </c>
      <c r="L299">
        <v>1010100</v>
      </c>
      <c r="M299" t="s">
        <v>35</v>
      </c>
      <c r="N299">
        <v>161</v>
      </c>
      <c r="O299" t="s">
        <v>160</v>
      </c>
      <c r="P299" t="s">
        <v>490</v>
      </c>
      <c r="Q299">
        <f t="shared" si="5"/>
        <v>-23</v>
      </c>
      <c r="R299">
        <f>_xlfn.XLOOKUP(E299,'Data Additive'!E:E,'Data Additive'!E:E,0)</f>
        <v>1246272577</v>
      </c>
    </row>
    <row r="300" spans="1:18" x14ac:dyDescent="0.25">
      <c r="A300">
        <v>2247</v>
      </c>
      <c r="B300" t="s">
        <v>490</v>
      </c>
      <c r="C300" t="s">
        <v>887</v>
      </c>
      <c r="D300" s="34">
        <v>956</v>
      </c>
      <c r="E300">
        <v>1246272578</v>
      </c>
      <c r="F300" s="30">
        <v>46192</v>
      </c>
      <c r="G300" s="30"/>
      <c r="H300" t="s">
        <v>28</v>
      </c>
      <c r="I300" t="s">
        <v>29</v>
      </c>
      <c r="J300">
        <v>2892</v>
      </c>
      <c r="K300" s="30">
        <v>46136</v>
      </c>
      <c r="L300">
        <v>1010100</v>
      </c>
      <c r="M300" t="s">
        <v>35</v>
      </c>
      <c r="N300">
        <v>161</v>
      </c>
      <c r="O300" t="s">
        <v>160</v>
      </c>
      <c r="P300" t="s">
        <v>490</v>
      </c>
      <c r="Q300">
        <f t="shared" si="5"/>
        <v>-51</v>
      </c>
      <c r="R300">
        <f>_xlfn.XLOOKUP(E300,'Data Additive'!E:E,'Data Additive'!E:E,0)</f>
        <v>1246272578</v>
      </c>
    </row>
    <row r="301" spans="1:18" x14ac:dyDescent="0.25">
      <c r="A301">
        <v>2680</v>
      </c>
      <c r="B301" t="s">
        <v>354</v>
      </c>
      <c r="C301" t="s">
        <v>31</v>
      </c>
      <c r="D301" s="34">
        <v>224812.61</v>
      </c>
      <c r="E301">
        <v>1246263810</v>
      </c>
      <c r="F301" s="30">
        <v>46144</v>
      </c>
      <c r="G301" s="30"/>
      <c r="H301" t="s">
        <v>28</v>
      </c>
      <c r="I301" t="s">
        <v>29</v>
      </c>
      <c r="J301">
        <v>2743</v>
      </c>
      <c r="K301" s="30">
        <v>46069</v>
      </c>
      <c r="L301">
        <v>1010200</v>
      </c>
      <c r="M301" t="s">
        <v>124</v>
      </c>
      <c r="N301">
        <v>40</v>
      </c>
      <c r="O301" t="s">
        <v>170</v>
      </c>
      <c r="P301" t="s">
        <v>354</v>
      </c>
      <c r="Q301">
        <f t="shared" si="5"/>
        <v>-3</v>
      </c>
      <c r="R301">
        <f>_xlfn.XLOOKUP(E301,'Data Additive'!E:E,'Data Additive'!E:E,0)</f>
        <v>0</v>
      </c>
    </row>
    <row r="302" spans="1:18" x14ac:dyDescent="0.25">
      <c r="A302">
        <v>2680</v>
      </c>
      <c r="B302" t="s">
        <v>354</v>
      </c>
      <c r="C302" t="s">
        <v>31</v>
      </c>
      <c r="D302" s="34">
        <v>175275.24</v>
      </c>
      <c r="E302">
        <v>1246272069</v>
      </c>
      <c r="F302" s="30">
        <v>46194</v>
      </c>
      <c r="G302" s="30"/>
      <c r="H302" t="s">
        <v>28</v>
      </c>
      <c r="I302" t="s">
        <v>29</v>
      </c>
      <c r="J302">
        <v>11191</v>
      </c>
      <c r="K302" s="30">
        <v>46134</v>
      </c>
      <c r="L302">
        <v>1010200</v>
      </c>
      <c r="M302" t="s">
        <v>124</v>
      </c>
      <c r="N302">
        <v>40</v>
      </c>
      <c r="O302" t="s">
        <v>170</v>
      </c>
      <c r="P302" t="s">
        <v>354</v>
      </c>
      <c r="Q302">
        <f t="shared" si="5"/>
        <v>-53</v>
      </c>
      <c r="R302">
        <f>_xlfn.XLOOKUP(E302,'Data Additive'!E:E,'Data Additive'!E:E,0)</f>
        <v>0</v>
      </c>
    </row>
    <row r="303" spans="1:18" x14ac:dyDescent="0.25">
      <c r="A303">
        <v>3142</v>
      </c>
      <c r="B303" t="s">
        <v>88</v>
      </c>
      <c r="C303" t="s">
        <v>849</v>
      </c>
      <c r="D303" s="34">
        <v>44919</v>
      </c>
      <c r="E303">
        <v>1246272504</v>
      </c>
      <c r="F303" s="30">
        <v>46164</v>
      </c>
      <c r="G303" s="30"/>
      <c r="H303" t="s">
        <v>28</v>
      </c>
      <c r="I303" t="s">
        <v>29</v>
      </c>
      <c r="J303">
        <v>11215</v>
      </c>
      <c r="K303" s="30">
        <v>46136</v>
      </c>
      <c r="L303">
        <v>1010100</v>
      </c>
      <c r="M303" t="s">
        <v>35</v>
      </c>
      <c r="N303">
        <v>161</v>
      </c>
      <c r="O303" t="s">
        <v>160</v>
      </c>
      <c r="P303" t="s">
        <v>88</v>
      </c>
      <c r="Q303">
        <f t="shared" si="5"/>
        <v>-23</v>
      </c>
      <c r="R303">
        <f>_xlfn.XLOOKUP(E303,'Data Additive'!E:E,'Data Additive'!E:E,0)</f>
        <v>1246272504</v>
      </c>
    </row>
    <row r="304" spans="1:18" x14ac:dyDescent="0.25">
      <c r="A304">
        <v>2900</v>
      </c>
      <c r="B304" t="s">
        <v>546</v>
      </c>
      <c r="C304" t="s">
        <v>852</v>
      </c>
      <c r="D304" s="34">
        <v>46001.19</v>
      </c>
      <c r="E304">
        <v>1246272842</v>
      </c>
      <c r="F304" s="30">
        <v>46167</v>
      </c>
      <c r="G304" s="30"/>
      <c r="H304" t="s">
        <v>28</v>
      </c>
      <c r="I304" t="s">
        <v>29</v>
      </c>
      <c r="J304">
        <v>11234</v>
      </c>
      <c r="K304" s="30">
        <v>46139</v>
      </c>
      <c r="L304">
        <v>1010100</v>
      </c>
      <c r="M304" t="s">
        <v>35</v>
      </c>
      <c r="N304">
        <v>161</v>
      </c>
      <c r="O304" t="s">
        <v>160</v>
      </c>
      <c r="P304" t="s">
        <v>546</v>
      </c>
      <c r="Q304">
        <f t="shared" si="5"/>
        <v>-26</v>
      </c>
      <c r="R304">
        <f>_xlfn.XLOOKUP(E304,'Data Additive'!E:E,'Data Additive'!E:E,0)</f>
        <v>1246272842</v>
      </c>
    </row>
    <row r="305" spans="1:18" x14ac:dyDescent="0.25">
      <c r="A305">
        <v>2900</v>
      </c>
      <c r="B305" t="s">
        <v>546</v>
      </c>
      <c r="C305" t="s">
        <v>852</v>
      </c>
      <c r="D305" s="34">
        <v>46001.18</v>
      </c>
      <c r="E305">
        <v>1246272843</v>
      </c>
      <c r="F305" s="30">
        <v>46195</v>
      </c>
      <c r="G305" s="30"/>
      <c r="H305" t="s">
        <v>28</v>
      </c>
      <c r="I305" t="s">
        <v>29</v>
      </c>
      <c r="J305">
        <v>11234</v>
      </c>
      <c r="K305" s="30">
        <v>46139</v>
      </c>
      <c r="L305">
        <v>1010100</v>
      </c>
      <c r="M305" t="s">
        <v>35</v>
      </c>
      <c r="N305">
        <v>161</v>
      </c>
      <c r="O305" t="s">
        <v>160</v>
      </c>
      <c r="P305" t="s">
        <v>546</v>
      </c>
      <c r="Q305">
        <f t="shared" si="5"/>
        <v>-54</v>
      </c>
      <c r="R305">
        <f>_xlfn.XLOOKUP(E305,'Data Additive'!E:E,'Data Additive'!E:E,0)</f>
        <v>1246272843</v>
      </c>
    </row>
    <row r="306" spans="1:18" x14ac:dyDescent="0.25">
      <c r="A306">
        <v>2900</v>
      </c>
      <c r="B306" t="s">
        <v>546</v>
      </c>
      <c r="C306" t="s">
        <v>852</v>
      </c>
      <c r="D306" s="34">
        <v>17017.16</v>
      </c>
      <c r="E306">
        <v>1246267967</v>
      </c>
      <c r="F306" s="30">
        <v>46157</v>
      </c>
      <c r="G306" s="30"/>
      <c r="H306" t="s">
        <v>28</v>
      </c>
      <c r="I306" t="s">
        <v>29</v>
      </c>
      <c r="J306">
        <v>10901</v>
      </c>
      <c r="K306" s="30">
        <v>46097</v>
      </c>
      <c r="L306">
        <v>1010100</v>
      </c>
      <c r="M306" t="s">
        <v>35</v>
      </c>
      <c r="N306">
        <v>161</v>
      </c>
      <c r="O306" t="s">
        <v>160</v>
      </c>
      <c r="P306" t="s">
        <v>546</v>
      </c>
      <c r="Q306">
        <f t="shared" si="5"/>
        <v>-16</v>
      </c>
      <c r="R306">
        <f>_xlfn.XLOOKUP(E306,'Data Additive'!E:E,'Data Additive'!E:E,0)</f>
        <v>1246267967</v>
      </c>
    </row>
    <row r="307" spans="1:18" x14ac:dyDescent="0.25">
      <c r="A307">
        <v>2900</v>
      </c>
      <c r="B307" t="s">
        <v>546</v>
      </c>
      <c r="C307" t="s">
        <v>852</v>
      </c>
      <c r="D307" s="34">
        <v>17017.16</v>
      </c>
      <c r="E307">
        <v>1246267968</v>
      </c>
      <c r="F307" s="30">
        <v>46187</v>
      </c>
      <c r="G307" s="30"/>
      <c r="H307" t="s">
        <v>28</v>
      </c>
      <c r="I307" t="s">
        <v>29</v>
      </c>
      <c r="J307">
        <v>10901</v>
      </c>
      <c r="K307" s="30">
        <v>46097</v>
      </c>
      <c r="L307">
        <v>1010100</v>
      </c>
      <c r="M307" t="s">
        <v>35</v>
      </c>
      <c r="N307">
        <v>161</v>
      </c>
      <c r="O307" t="s">
        <v>160</v>
      </c>
      <c r="P307" t="s">
        <v>546</v>
      </c>
      <c r="Q307">
        <f t="shared" si="5"/>
        <v>-46</v>
      </c>
      <c r="R307">
        <f>_xlfn.XLOOKUP(E307,'Data Additive'!E:E,'Data Additive'!E:E,0)</f>
        <v>1246267968</v>
      </c>
    </row>
    <row r="308" spans="1:18" x14ac:dyDescent="0.25">
      <c r="A308">
        <v>2900</v>
      </c>
      <c r="B308" t="s">
        <v>546</v>
      </c>
      <c r="C308" t="s">
        <v>852</v>
      </c>
      <c r="D308" s="34">
        <v>10112.23</v>
      </c>
      <c r="E308">
        <v>1246272847</v>
      </c>
      <c r="F308" s="30">
        <v>46167</v>
      </c>
      <c r="G308" s="30"/>
      <c r="H308" t="s">
        <v>28</v>
      </c>
      <c r="I308" t="s">
        <v>29</v>
      </c>
      <c r="J308">
        <v>11236</v>
      </c>
      <c r="K308" s="30">
        <v>46139</v>
      </c>
      <c r="L308">
        <v>1010100</v>
      </c>
      <c r="M308" t="s">
        <v>35</v>
      </c>
      <c r="N308">
        <v>161</v>
      </c>
      <c r="O308" t="s">
        <v>160</v>
      </c>
      <c r="P308" t="s">
        <v>546</v>
      </c>
      <c r="Q308">
        <f t="shared" si="5"/>
        <v>-26</v>
      </c>
      <c r="R308">
        <f>_xlfn.XLOOKUP(E308,'Data Additive'!E:E,'Data Additive'!E:E,0)</f>
        <v>1246272847</v>
      </c>
    </row>
    <row r="309" spans="1:18" x14ac:dyDescent="0.25">
      <c r="A309">
        <v>2900</v>
      </c>
      <c r="B309" t="s">
        <v>546</v>
      </c>
      <c r="C309" t="s">
        <v>852</v>
      </c>
      <c r="D309" s="34">
        <v>10112.23</v>
      </c>
      <c r="E309">
        <v>1246272848</v>
      </c>
      <c r="F309" s="30">
        <v>46195</v>
      </c>
      <c r="G309" s="30"/>
      <c r="H309" t="s">
        <v>28</v>
      </c>
      <c r="I309" t="s">
        <v>29</v>
      </c>
      <c r="J309">
        <v>11236</v>
      </c>
      <c r="K309" s="30">
        <v>46139</v>
      </c>
      <c r="L309">
        <v>1010100</v>
      </c>
      <c r="M309" t="s">
        <v>35</v>
      </c>
      <c r="N309">
        <v>161</v>
      </c>
      <c r="O309" t="s">
        <v>160</v>
      </c>
      <c r="P309" t="s">
        <v>546</v>
      </c>
      <c r="Q309">
        <f t="shared" si="5"/>
        <v>-54</v>
      </c>
      <c r="R309">
        <f>_xlfn.XLOOKUP(E309,'Data Additive'!E:E,'Data Additive'!E:E,0)</f>
        <v>1246272848</v>
      </c>
    </row>
    <row r="310" spans="1:18" x14ac:dyDescent="0.25">
      <c r="A310">
        <v>2900</v>
      </c>
      <c r="B310" t="s">
        <v>546</v>
      </c>
      <c r="C310" t="s">
        <v>852</v>
      </c>
      <c r="D310" s="34">
        <v>2225.04</v>
      </c>
      <c r="E310">
        <v>1246272845</v>
      </c>
      <c r="F310" s="30">
        <v>46167</v>
      </c>
      <c r="G310" s="30"/>
      <c r="H310" t="s">
        <v>28</v>
      </c>
      <c r="I310" t="s">
        <v>29</v>
      </c>
      <c r="J310">
        <v>11235</v>
      </c>
      <c r="K310" s="30">
        <v>46139</v>
      </c>
      <c r="L310">
        <v>1010100</v>
      </c>
      <c r="M310" t="s">
        <v>35</v>
      </c>
      <c r="N310">
        <v>161</v>
      </c>
      <c r="O310" t="s">
        <v>160</v>
      </c>
      <c r="P310" t="s">
        <v>546</v>
      </c>
      <c r="Q310">
        <f t="shared" si="5"/>
        <v>-26</v>
      </c>
      <c r="R310">
        <f>_xlfn.XLOOKUP(E310,'Data Additive'!E:E,'Data Additive'!E:E,0)</f>
        <v>1246272845</v>
      </c>
    </row>
    <row r="311" spans="1:18" x14ac:dyDescent="0.25">
      <c r="A311">
        <v>2900</v>
      </c>
      <c r="B311" t="s">
        <v>546</v>
      </c>
      <c r="C311" t="s">
        <v>852</v>
      </c>
      <c r="D311" s="34">
        <v>2225.04</v>
      </c>
      <c r="E311">
        <v>1246272846</v>
      </c>
      <c r="F311" s="30">
        <v>46195</v>
      </c>
      <c r="G311" s="30"/>
      <c r="H311" t="s">
        <v>28</v>
      </c>
      <c r="I311" t="s">
        <v>29</v>
      </c>
      <c r="J311">
        <v>11235</v>
      </c>
      <c r="K311" s="30">
        <v>46139</v>
      </c>
      <c r="L311">
        <v>1010100</v>
      </c>
      <c r="M311" t="s">
        <v>35</v>
      </c>
      <c r="N311">
        <v>161</v>
      </c>
      <c r="O311" t="s">
        <v>160</v>
      </c>
      <c r="P311" t="s">
        <v>546</v>
      </c>
      <c r="Q311">
        <f t="shared" si="5"/>
        <v>-54</v>
      </c>
      <c r="R311">
        <f>_xlfn.XLOOKUP(E311,'Data Additive'!E:E,'Data Additive'!E:E,0)</f>
        <v>1246272846</v>
      </c>
    </row>
    <row r="312" spans="1:18" x14ac:dyDescent="0.25">
      <c r="A312">
        <v>2900</v>
      </c>
      <c r="B312" t="s">
        <v>546</v>
      </c>
      <c r="C312" t="s">
        <v>852</v>
      </c>
      <c r="D312" s="34">
        <v>32495.81</v>
      </c>
      <c r="E312">
        <v>1246267972</v>
      </c>
      <c r="F312" s="30">
        <v>46157</v>
      </c>
      <c r="G312" s="30"/>
      <c r="H312" t="s">
        <v>28</v>
      </c>
      <c r="I312" t="s">
        <v>29</v>
      </c>
      <c r="J312">
        <v>10902</v>
      </c>
      <c r="K312" s="30">
        <v>46097</v>
      </c>
      <c r="L312">
        <v>1010100</v>
      </c>
      <c r="M312" t="s">
        <v>35</v>
      </c>
      <c r="N312">
        <v>161</v>
      </c>
      <c r="O312" t="s">
        <v>160</v>
      </c>
      <c r="P312" t="s">
        <v>546</v>
      </c>
      <c r="Q312">
        <f t="shared" ref="Q312:Q368" si="6">$R$1-F312</f>
        <v>-16</v>
      </c>
      <c r="R312">
        <f>_xlfn.XLOOKUP(E312,'Data Additive'!E:E,'Data Additive'!E:E,0)</f>
        <v>1246267972</v>
      </c>
    </row>
    <row r="313" spans="1:18" x14ac:dyDescent="0.25">
      <c r="A313">
        <v>2900</v>
      </c>
      <c r="B313" t="s">
        <v>546</v>
      </c>
      <c r="C313" t="s">
        <v>852</v>
      </c>
      <c r="D313" s="34">
        <v>32495.82</v>
      </c>
      <c r="E313">
        <v>1246267973</v>
      </c>
      <c r="F313" s="30">
        <v>46187</v>
      </c>
      <c r="G313" s="30"/>
      <c r="H313" t="s">
        <v>28</v>
      </c>
      <c r="I313" t="s">
        <v>29</v>
      </c>
      <c r="J313">
        <v>10902</v>
      </c>
      <c r="K313" s="30">
        <v>46097</v>
      </c>
      <c r="L313">
        <v>1010100</v>
      </c>
      <c r="M313" t="s">
        <v>35</v>
      </c>
      <c r="N313">
        <v>161</v>
      </c>
      <c r="O313" t="s">
        <v>160</v>
      </c>
      <c r="P313" t="s">
        <v>546</v>
      </c>
      <c r="Q313">
        <f t="shared" si="6"/>
        <v>-46</v>
      </c>
      <c r="R313">
        <f>_xlfn.XLOOKUP(E313,'Data Additive'!E:E,'Data Additive'!E:E,0)</f>
        <v>1246267973</v>
      </c>
    </row>
    <row r="314" spans="1:18" x14ac:dyDescent="0.25">
      <c r="A314">
        <v>2925</v>
      </c>
      <c r="B314" t="s">
        <v>392</v>
      </c>
      <c r="C314" t="s">
        <v>31</v>
      </c>
      <c r="D314" s="34">
        <v>92361.18</v>
      </c>
      <c r="E314">
        <v>1246273169</v>
      </c>
      <c r="F314" s="30">
        <v>46172</v>
      </c>
      <c r="G314" s="30"/>
      <c r="H314" t="s">
        <v>28</v>
      </c>
      <c r="I314" t="s">
        <v>29</v>
      </c>
      <c r="J314">
        <v>11264</v>
      </c>
      <c r="K314" s="30">
        <v>46142</v>
      </c>
      <c r="L314">
        <v>1010200</v>
      </c>
      <c r="M314" t="s">
        <v>124</v>
      </c>
      <c r="N314">
        <v>40</v>
      </c>
      <c r="O314" t="s">
        <v>170</v>
      </c>
      <c r="P314" t="s">
        <v>392</v>
      </c>
      <c r="Q314">
        <f t="shared" si="6"/>
        <v>-31</v>
      </c>
      <c r="R314">
        <f>_xlfn.XLOOKUP(E314,'Data Additive'!E:E,'Data Additive'!E:E,0)</f>
        <v>0</v>
      </c>
    </row>
    <row r="315" spans="1:18" x14ac:dyDescent="0.25">
      <c r="A315">
        <v>2622</v>
      </c>
      <c r="B315" t="s">
        <v>83</v>
      </c>
      <c r="C315" t="s">
        <v>561</v>
      </c>
      <c r="D315" s="34">
        <v>410856.52</v>
      </c>
      <c r="E315">
        <v>1246268936</v>
      </c>
      <c r="F315" s="30">
        <v>46196</v>
      </c>
      <c r="G315" s="30"/>
      <c r="H315" t="s">
        <v>28</v>
      </c>
      <c r="I315" t="s">
        <v>29</v>
      </c>
      <c r="J315">
        <v>2842</v>
      </c>
      <c r="K315" s="30">
        <v>46106</v>
      </c>
      <c r="L315">
        <v>1010100</v>
      </c>
      <c r="M315" t="s">
        <v>35</v>
      </c>
      <c r="N315">
        <v>161</v>
      </c>
      <c r="O315" t="s">
        <v>160</v>
      </c>
      <c r="P315" t="s">
        <v>83</v>
      </c>
      <c r="Q315">
        <f t="shared" si="6"/>
        <v>-55</v>
      </c>
      <c r="R315">
        <f>_xlfn.XLOOKUP(E315,'Data Additive'!E:E,'Data Additive'!E:E,0)</f>
        <v>1246268936</v>
      </c>
    </row>
    <row r="316" spans="1:18" x14ac:dyDescent="0.25">
      <c r="A316">
        <v>2975</v>
      </c>
      <c r="B316" t="s">
        <v>485</v>
      </c>
      <c r="C316" t="s">
        <v>86</v>
      </c>
      <c r="D316" s="34">
        <v>80079.3</v>
      </c>
      <c r="E316">
        <v>1246271560</v>
      </c>
      <c r="F316" s="30">
        <v>46156</v>
      </c>
      <c r="G316" s="30"/>
      <c r="H316" t="s">
        <v>28</v>
      </c>
      <c r="I316" t="s">
        <v>29</v>
      </c>
      <c r="J316">
        <v>11138</v>
      </c>
      <c r="K316" s="30">
        <v>46128</v>
      </c>
      <c r="L316">
        <v>1010100</v>
      </c>
      <c r="M316" t="s">
        <v>35</v>
      </c>
      <c r="N316">
        <v>161</v>
      </c>
      <c r="O316" t="s">
        <v>160</v>
      </c>
      <c r="P316" t="s">
        <v>485</v>
      </c>
      <c r="Q316">
        <f t="shared" si="6"/>
        <v>-15</v>
      </c>
      <c r="R316">
        <f>_xlfn.XLOOKUP(E316,'Data Additive'!E:E,'Data Additive'!E:E,0)</f>
        <v>1246271560</v>
      </c>
    </row>
    <row r="317" spans="1:18" x14ac:dyDescent="0.25">
      <c r="A317">
        <v>2346</v>
      </c>
      <c r="B317" t="s">
        <v>531</v>
      </c>
      <c r="C317" t="s">
        <v>792</v>
      </c>
      <c r="D317" s="34">
        <v>103419.88999999998</v>
      </c>
      <c r="E317">
        <v>1246265843</v>
      </c>
      <c r="F317" s="30">
        <v>46170</v>
      </c>
      <c r="G317" s="30"/>
      <c r="H317" t="s">
        <v>28</v>
      </c>
      <c r="I317" t="s">
        <v>29</v>
      </c>
      <c r="J317">
        <v>2789</v>
      </c>
      <c r="K317" s="30">
        <v>46080</v>
      </c>
      <c r="L317">
        <v>1010200</v>
      </c>
      <c r="M317" t="s">
        <v>124</v>
      </c>
      <c r="N317">
        <v>40</v>
      </c>
      <c r="O317" t="s">
        <v>170</v>
      </c>
      <c r="P317" t="s">
        <v>531</v>
      </c>
      <c r="Q317">
        <f t="shared" si="6"/>
        <v>-29</v>
      </c>
      <c r="R317">
        <f>_xlfn.XLOOKUP(E317,'Data Additive'!E:E,'Data Additive'!E:E,0)</f>
        <v>0</v>
      </c>
    </row>
    <row r="318" spans="1:18" x14ac:dyDescent="0.25">
      <c r="A318">
        <v>2651</v>
      </c>
      <c r="B318" t="s">
        <v>127</v>
      </c>
      <c r="C318" t="s">
        <v>31</v>
      </c>
      <c r="D318" s="34">
        <v>252226.12</v>
      </c>
      <c r="E318">
        <v>1246223341</v>
      </c>
      <c r="F318" s="30">
        <v>45935</v>
      </c>
      <c r="G318" s="30"/>
      <c r="H318" t="s">
        <v>28</v>
      </c>
      <c r="I318" t="s">
        <v>29</v>
      </c>
      <c r="J318">
        <v>8388</v>
      </c>
      <c r="K318" s="30">
        <v>45845</v>
      </c>
      <c r="L318">
        <v>1010200</v>
      </c>
      <c r="M318" t="s">
        <v>124</v>
      </c>
      <c r="N318">
        <v>40</v>
      </c>
      <c r="O318" t="s">
        <v>170</v>
      </c>
      <c r="P318" t="s">
        <v>127</v>
      </c>
      <c r="Q318">
        <f t="shared" si="6"/>
        <v>206</v>
      </c>
      <c r="R318">
        <f>_xlfn.XLOOKUP(E318,'Data Additive'!E:E,'Data Additive'!E:E,0)</f>
        <v>0</v>
      </c>
    </row>
    <row r="319" spans="1:18" x14ac:dyDescent="0.25">
      <c r="A319">
        <v>2651</v>
      </c>
      <c r="B319" t="s">
        <v>127</v>
      </c>
      <c r="C319" t="s">
        <v>31</v>
      </c>
      <c r="D319" s="34">
        <v>197281.56999999998</v>
      </c>
      <c r="E319">
        <v>1246213269</v>
      </c>
      <c r="F319" s="30">
        <v>45849</v>
      </c>
      <c r="G319" s="30"/>
      <c r="H319" t="s">
        <v>28</v>
      </c>
      <c r="I319" t="s">
        <v>29</v>
      </c>
      <c r="J319">
        <v>1965</v>
      </c>
      <c r="K319" s="30">
        <v>45789</v>
      </c>
      <c r="L319">
        <v>1010200</v>
      </c>
      <c r="M319" t="s">
        <v>124</v>
      </c>
      <c r="N319">
        <v>40</v>
      </c>
      <c r="O319" t="s">
        <v>170</v>
      </c>
      <c r="P319" t="s">
        <v>127</v>
      </c>
      <c r="Q319">
        <f t="shared" si="6"/>
        <v>292</v>
      </c>
      <c r="R319">
        <f>_xlfn.XLOOKUP(E319,'Data Additive'!E:E,'Data Additive'!E:E,0)</f>
        <v>0</v>
      </c>
    </row>
    <row r="320" spans="1:18" x14ac:dyDescent="0.25">
      <c r="A320">
        <v>2652</v>
      </c>
      <c r="B320" t="s">
        <v>128</v>
      </c>
      <c r="C320" t="s">
        <v>31</v>
      </c>
      <c r="D320" s="34">
        <v>157149.47</v>
      </c>
      <c r="E320">
        <v>1246271559</v>
      </c>
      <c r="F320" s="30">
        <v>46158</v>
      </c>
      <c r="G320" s="30"/>
      <c r="H320" t="s">
        <v>28</v>
      </c>
      <c r="I320" t="s">
        <v>29</v>
      </c>
      <c r="J320">
        <v>11137</v>
      </c>
      <c r="K320" s="30">
        <v>46128</v>
      </c>
      <c r="L320">
        <v>1010200</v>
      </c>
      <c r="M320" t="s">
        <v>124</v>
      </c>
      <c r="N320">
        <v>40</v>
      </c>
      <c r="O320" t="s">
        <v>170</v>
      </c>
      <c r="P320" t="s">
        <v>128</v>
      </c>
      <c r="Q320">
        <f t="shared" si="6"/>
        <v>-17</v>
      </c>
      <c r="R320">
        <f>_xlfn.XLOOKUP(E320,'Data Additive'!E:E,'Data Additive'!E:E,0)</f>
        <v>0</v>
      </c>
    </row>
    <row r="321" spans="1:18" x14ac:dyDescent="0.25">
      <c r="A321">
        <v>2287</v>
      </c>
      <c r="B321" t="s">
        <v>125</v>
      </c>
      <c r="C321" t="s">
        <v>126</v>
      </c>
      <c r="D321" s="34">
        <v>150064.82999999999</v>
      </c>
      <c r="E321">
        <v>1246273103</v>
      </c>
      <c r="F321" s="30">
        <v>46171</v>
      </c>
      <c r="G321" s="30"/>
      <c r="H321" t="s">
        <v>28</v>
      </c>
      <c r="I321" t="s">
        <v>29</v>
      </c>
      <c r="J321">
        <v>11261</v>
      </c>
      <c r="K321" s="30">
        <v>46141</v>
      </c>
      <c r="L321">
        <v>1010200</v>
      </c>
      <c r="M321" t="s">
        <v>124</v>
      </c>
      <c r="N321">
        <v>40</v>
      </c>
      <c r="O321" t="s">
        <v>170</v>
      </c>
      <c r="P321" t="s">
        <v>125</v>
      </c>
      <c r="Q321">
        <f t="shared" si="6"/>
        <v>-30</v>
      </c>
      <c r="R321">
        <f>_xlfn.XLOOKUP(E321,'Data Additive'!E:E,'Data Additive'!E:E,0)</f>
        <v>0</v>
      </c>
    </row>
    <row r="322" spans="1:18" x14ac:dyDescent="0.25">
      <c r="A322">
        <v>2655</v>
      </c>
      <c r="B322" t="s">
        <v>359</v>
      </c>
      <c r="C322" t="s">
        <v>31</v>
      </c>
      <c r="D322" s="34">
        <v>40017.64</v>
      </c>
      <c r="E322">
        <v>1246268741</v>
      </c>
      <c r="F322" s="30">
        <v>46165</v>
      </c>
      <c r="G322" s="30"/>
      <c r="H322" t="s">
        <v>28</v>
      </c>
      <c r="I322" t="s">
        <v>29</v>
      </c>
      <c r="J322">
        <v>10964</v>
      </c>
      <c r="K322" s="30">
        <v>46105</v>
      </c>
      <c r="L322">
        <v>1010200</v>
      </c>
      <c r="M322" t="s">
        <v>124</v>
      </c>
      <c r="N322">
        <v>40</v>
      </c>
      <c r="O322" t="s">
        <v>170</v>
      </c>
      <c r="P322" t="s">
        <v>359</v>
      </c>
      <c r="Q322">
        <f t="shared" si="6"/>
        <v>-24</v>
      </c>
      <c r="R322">
        <f>_xlfn.XLOOKUP(E322,'Data Additive'!E:E,'Data Additive'!E:E,0)</f>
        <v>0</v>
      </c>
    </row>
    <row r="323" spans="1:18" x14ac:dyDescent="0.25">
      <c r="A323">
        <v>2656</v>
      </c>
      <c r="B323" t="s">
        <v>129</v>
      </c>
      <c r="C323" t="s">
        <v>31</v>
      </c>
      <c r="D323" s="34">
        <v>131960.06</v>
      </c>
      <c r="E323">
        <v>1246271948</v>
      </c>
      <c r="F323" s="30">
        <v>46162</v>
      </c>
      <c r="G323" s="30"/>
      <c r="H323" t="s">
        <v>28</v>
      </c>
      <c r="I323" t="s">
        <v>29</v>
      </c>
      <c r="J323">
        <v>11185</v>
      </c>
      <c r="K323" s="30">
        <v>46132</v>
      </c>
      <c r="L323">
        <v>1010200</v>
      </c>
      <c r="M323" t="s">
        <v>124</v>
      </c>
      <c r="N323">
        <v>40</v>
      </c>
      <c r="O323" t="s">
        <v>170</v>
      </c>
      <c r="P323" t="s">
        <v>129</v>
      </c>
      <c r="Q323">
        <f t="shared" si="6"/>
        <v>-21</v>
      </c>
      <c r="R323">
        <f>_xlfn.XLOOKUP(E323,'Data Additive'!E:E,'Data Additive'!E:E,0)</f>
        <v>0</v>
      </c>
    </row>
    <row r="324" spans="1:18" x14ac:dyDescent="0.25">
      <c r="A324">
        <v>6132</v>
      </c>
      <c r="B324" t="s">
        <v>176</v>
      </c>
      <c r="C324" t="s">
        <v>177</v>
      </c>
      <c r="D324" s="34">
        <v>131993.79999999999</v>
      </c>
      <c r="E324">
        <v>1246090615</v>
      </c>
      <c r="F324" s="30">
        <v>45471</v>
      </c>
      <c r="G324" s="30"/>
      <c r="H324" t="s">
        <v>172</v>
      </c>
      <c r="I324" t="s">
        <v>173</v>
      </c>
      <c r="J324">
        <v>33</v>
      </c>
      <c r="K324" s="30">
        <v>45111</v>
      </c>
      <c r="L324">
        <v>1010100</v>
      </c>
      <c r="M324" t="s">
        <v>35</v>
      </c>
      <c r="N324">
        <v>161</v>
      </c>
      <c r="O324" t="s">
        <v>160</v>
      </c>
      <c r="P324" t="s">
        <v>176</v>
      </c>
      <c r="Q324">
        <f t="shared" si="6"/>
        <v>670</v>
      </c>
      <c r="R324">
        <f>_xlfn.XLOOKUP(E324,'Data Additive'!E:E,'Data Additive'!E:E,0)</f>
        <v>0</v>
      </c>
    </row>
    <row r="325" spans="1:18" x14ac:dyDescent="0.25">
      <c r="A325">
        <v>6132</v>
      </c>
      <c r="B325" t="s">
        <v>176</v>
      </c>
      <c r="C325" t="s">
        <v>177</v>
      </c>
      <c r="D325" s="34">
        <v>178370</v>
      </c>
      <c r="E325">
        <v>1246091907</v>
      </c>
      <c r="F325" s="30">
        <v>45437</v>
      </c>
      <c r="G325" s="30"/>
      <c r="H325" t="s">
        <v>172</v>
      </c>
      <c r="I325" t="s">
        <v>173</v>
      </c>
      <c r="J325">
        <v>129</v>
      </c>
      <c r="K325" s="30">
        <v>45119</v>
      </c>
      <c r="L325">
        <v>1010100</v>
      </c>
      <c r="M325" t="s">
        <v>35</v>
      </c>
      <c r="N325">
        <v>161</v>
      </c>
      <c r="O325" t="s">
        <v>160</v>
      </c>
      <c r="P325" t="s">
        <v>176</v>
      </c>
      <c r="Q325">
        <f t="shared" si="6"/>
        <v>704</v>
      </c>
      <c r="R325">
        <f>_xlfn.XLOOKUP(E325,'Data Additive'!E:E,'Data Additive'!E:E,0)</f>
        <v>0</v>
      </c>
    </row>
    <row r="326" spans="1:18" x14ac:dyDescent="0.25">
      <c r="A326">
        <v>6132</v>
      </c>
      <c r="B326" t="s">
        <v>176</v>
      </c>
      <c r="C326" t="s">
        <v>177</v>
      </c>
      <c r="D326" s="34">
        <v>178370</v>
      </c>
      <c r="E326">
        <v>1246090579</v>
      </c>
      <c r="F326" s="30">
        <v>45470</v>
      </c>
      <c r="G326" s="30"/>
      <c r="H326" t="s">
        <v>172</v>
      </c>
      <c r="I326" t="s">
        <v>173</v>
      </c>
      <c r="J326">
        <v>28</v>
      </c>
      <c r="K326" s="30">
        <v>45110</v>
      </c>
      <c r="L326">
        <v>1010100</v>
      </c>
      <c r="M326" t="s">
        <v>35</v>
      </c>
      <c r="N326">
        <v>161</v>
      </c>
      <c r="O326" t="s">
        <v>160</v>
      </c>
      <c r="P326" t="s">
        <v>176</v>
      </c>
      <c r="Q326">
        <f t="shared" si="6"/>
        <v>671</v>
      </c>
      <c r="R326">
        <f>_xlfn.XLOOKUP(E326,'Data Additive'!E:E,'Data Additive'!E:E,0)</f>
        <v>0</v>
      </c>
    </row>
    <row r="327" spans="1:18" x14ac:dyDescent="0.25">
      <c r="A327">
        <v>6132</v>
      </c>
      <c r="B327" t="s">
        <v>176</v>
      </c>
      <c r="C327" t="s">
        <v>177</v>
      </c>
      <c r="D327" s="34">
        <v>142696</v>
      </c>
      <c r="E327">
        <v>1246091833</v>
      </c>
      <c r="F327" s="30">
        <v>45436</v>
      </c>
      <c r="G327" s="30"/>
      <c r="H327" t="s">
        <v>172</v>
      </c>
      <c r="I327" t="s">
        <v>173</v>
      </c>
      <c r="J327">
        <v>116</v>
      </c>
      <c r="K327" s="30">
        <v>45118</v>
      </c>
      <c r="L327">
        <v>1010100</v>
      </c>
      <c r="M327" t="s">
        <v>35</v>
      </c>
      <c r="N327">
        <v>161</v>
      </c>
      <c r="O327" t="s">
        <v>160</v>
      </c>
      <c r="P327" t="s">
        <v>176</v>
      </c>
      <c r="Q327">
        <f t="shared" si="6"/>
        <v>705</v>
      </c>
      <c r="R327">
        <f>_xlfn.XLOOKUP(E327,'Data Additive'!E:E,'Data Additive'!E:E,0)</f>
        <v>0</v>
      </c>
    </row>
    <row r="328" spans="1:18" x14ac:dyDescent="0.25">
      <c r="A328">
        <v>6132</v>
      </c>
      <c r="B328" t="s">
        <v>176</v>
      </c>
      <c r="C328" t="s">
        <v>177</v>
      </c>
      <c r="D328" s="34">
        <v>60766.2</v>
      </c>
      <c r="E328">
        <v>1246095119</v>
      </c>
      <c r="F328" s="30">
        <v>45447</v>
      </c>
      <c r="G328" s="30"/>
      <c r="H328" t="s">
        <v>172</v>
      </c>
      <c r="I328" t="s">
        <v>173</v>
      </c>
      <c r="J328">
        <v>93</v>
      </c>
      <c r="K328" s="30">
        <v>45138</v>
      </c>
      <c r="L328">
        <v>1010100</v>
      </c>
      <c r="M328" t="s">
        <v>35</v>
      </c>
      <c r="N328">
        <v>161</v>
      </c>
      <c r="O328" t="s">
        <v>160</v>
      </c>
      <c r="P328" t="s">
        <v>176</v>
      </c>
      <c r="Q328">
        <f t="shared" si="6"/>
        <v>694</v>
      </c>
      <c r="R328">
        <f>_xlfn.XLOOKUP(E328,'Data Additive'!E:E,'Data Additive'!E:E,0)</f>
        <v>0</v>
      </c>
    </row>
    <row r="329" spans="1:18" x14ac:dyDescent="0.25">
      <c r="A329">
        <v>6132</v>
      </c>
      <c r="B329" t="s">
        <v>176</v>
      </c>
      <c r="C329" t="s">
        <v>177</v>
      </c>
      <c r="D329" s="34">
        <v>178260</v>
      </c>
      <c r="E329">
        <v>1246091832</v>
      </c>
      <c r="F329" s="30">
        <v>45436</v>
      </c>
      <c r="G329" s="30"/>
      <c r="H329" t="s">
        <v>172</v>
      </c>
      <c r="I329" t="s">
        <v>173</v>
      </c>
      <c r="J329">
        <v>115</v>
      </c>
      <c r="K329" s="30">
        <v>45118</v>
      </c>
      <c r="L329">
        <v>1010100</v>
      </c>
      <c r="M329" t="s">
        <v>35</v>
      </c>
      <c r="N329">
        <v>161</v>
      </c>
      <c r="O329" t="s">
        <v>160</v>
      </c>
      <c r="P329" t="s">
        <v>176</v>
      </c>
      <c r="Q329">
        <f t="shared" si="6"/>
        <v>705</v>
      </c>
      <c r="R329">
        <f>_xlfn.XLOOKUP(E329,'Data Additive'!E:E,'Data Additive'!E:E,0)</f>
        <v>0</v>
      </c>
    </row>
    <row r="330" spans="1:18" x14ac:dyDescent="0.25">
      <c r="A330">
        <v>6132</v>
      </c>
      <c r="B330" t="s">
        <v>176</v>
      </c>
      <c r="C330" t="s">
        <v>177</v>
      </c>
      <c r="D330" s="34">
        <v>151915.50000000003</v>
      </c>
      <c r="E330">
        <v>1246095049</v>
      </c>
      <c r="F330" s="30">
        <v>45447</v>
      </c>
      <c r="G330" s="30"/>
      <c r="H330" t="s">
        <v>172</v>
      </c>
      <c r="I330" t="s">
        <v>173</v>
      </c>
      <c r="J330">
        <v>92</v>
      </c>
      <c r="K330" s="30">
        <v>45138</v>
      </c>
      <c r="L330">
        <v>1010100</v>
      </c>
      <c r="M330" t="s">
        <v>35</v>
      </c>
      <c r="N330">
        <v>161</v>
      </c>
      <c r="O330" t="s">
        <v>160</v>
      </c>
      <c r="P330" t="s">
        <v>176</v>
      </c>
      <c r="Q330">
        <f t="shared" si="6"/>
        <v>694</v>
      </c>
      <c r="R330">
        <f>_xlfn.XLOOKUP(E330,'Data Additive'!E:E,'Data Additive'!E:E,0)</f>
        <v>0</v>
      </c>
    </row>
    <row r="331" spans="1:18" x14ac:dyDescent="0.25">
      <c r="A331">
        <v>6132</v>
      </c>
      <c r="B331" t="s">
        <v>176</v>
      </c>
      <c r="C331" t="s">
        <v>177</v>
      </c>
      <c r="D331" s="34">
        <v>91149.3</v>
      </c>
      <c r="E331">
        <v>1246095124</v>
      </c>
      <c r="F331" s="30">
        <v>45447</v>
      </c>
      <c r="G331" s="30"/>
      <c r="H331" t="s">
        <v>172</v>
      </c>
      <c r="I331" t="s">
        <v>173</v>
      </c>
      <c r="J331">
        <v>94</v>
      </c>
      <c r="K331" s="30">
        <v>45138</v>
      </c>
      <c r="L331">
        <v>1010100</v>
      </c>
      <c r="M331" t="s">
        <v>35</v>
      </c>
      <c r="N331">
        <v>161</v>
      </c>
      <c r="O331" t="s">
        <v>160</v>
      </c>
      <c r="P331" t="s">
        <v>176</v>
      </c>
      <c r="Q331">
        <f t="shared" si="6"/>
        <v>694</v>
      </c>
      <c r="R331">
        <f>_xlfn.XLOOKUP(E331,'Data Additive'!E:E,'Data Additive'!E:E,0)</f>
        <v>0</v>
      </c>
    </row>
    <row r="332" spans="1:18" x14ac:dyDescent="0.25">
      <c r="A332">
        <v>6132</v>
      </c>
      <c r="B332" t="s">
        <v>176</v>
      </c>
      <c r="C332" t="s">
        <v>177</v>
      </c>
      <c r="D332" s="34">
        <v>85223.34</v>
      </c>
      <c r="E332">
        <v>1246097799</v>
      </c>
      <c r="F332" s="30">
        <v>45442</v>
      </c>
      <c r="G332" s="30"/>
      <c r="H332" t="s">
        <v>172</v>
      </c>
      <c r="I332" t="s">
        <v>173</v>
      </c>
      <c r="J332">
        <v>678</v>
      </c>
      <c r="K332" s="30">
        <v>45152</v>
      </c>
      <c r="L332">
        <v>1010100</v>
      </c>
      <c r="M332" t="s">
        <v>35</v>
      </c>
      <c r="N332">
        <v>161</v>
      </c>
      <c r="O332" t="s">
        <v>160</v>
      </c>
      <c r="P332" t="s">
        <v>176</v>
      </c>
      <c r="Q332">
        <f t="shared" si="6"/>
        <v>699</v>
      </c>
      <c r="R332">
        <f>_xlfn.XLOOKUP(E332,'Data Additive'!E:E,'Data Additive'!E:E,0)</f>
        <v>0</v>
      </c>
    </row>
    <row r="333" spans="1:18" x14ac:dyDescent="0.25">
      <c r="A333">
        <v>6132</v>
      </c>
      <c r="B333" t="s">
        <v>176</v>
      </c>
      <c r="C333" t="s">
        <v>177</v>
      </c>
      <c r="D333" s="34">
        <v>84323.41</v>
      </c>
      <c r="E333">
        <v>1246121990</v>
      </c>
      <c r="F333" s="30">
        <v>45557</v>
      </c>
      <c r="G333" s="30"/>
      <c r="H333" t="s">
        <v>172</v>
      </c>
      <c r="I333" t="s">
        <v>173</v>
      </c>
      <c r="J333">
        <v>2361</v>
      </c>
      <c r="K333" s="30">
        <v>45289</v>
      </c>
      <c r="L333">
        <v>1010100</v>
      </c>
      <c r="M333" t="s">
        <v>35</v>
      </c>
      <c r="N333">
        <v>161</v>
      </c>
      <c r="O333" t="s">
        <v>160</v>
      </c>
      <c r="P333" t="s">
        <v>176</v>
      </c>
      <c r="Q333">
        <f t="shared" si="6"/>
        <v>584</v>
      </c>
      <c r="R333">
        <f>_xlfn.XLOOKUP(E333,'Data Additive'!E:E,'Data Additive'!E:E,0)</f>
        <v>0</v>
      </c>
    </row>
    <row r="334" spans="1:18" x14ac:dyDescent="0.25">
      <c r="A334">
        <v>6132</v>
      </c>
      <c r="B334" t="s">
        <v>176</v>
      </c>
      <c r="C334" t="s">
        <v>177</v>
      </c>
      <c r="D334" s="34">
        <v>63251.12</v>
      </c>
      <c r="E334">
        <v>1246128996</v>
      </c>
      <c r="F334" s="30">
        <v>45571</v>
      </c>
      <c r="G334" s="30"/>
      <c r="H334" t="s">
        <v>172</v>
      </c>
      <c r="I334" t="s">
        <v>173</v>
      </c>
      <c r="J334">
        <v>2766</v>
      </c>
      <c r="K334" s="30">
        <v>45331</v>
      </c>
      <c r="L334">
        <v>1010100</v>
      </c>
      <c r="M334" t="s">
        <v>35</v>
      </c>
      <c r="N334">
        <v>161</v>
      </c>
      <c r="O334" t="s">
        <v>160</v>
      </c>
      <c r="P334" t="s">
        <v>176</v>
      </c>
      <c r="Q334">
        <f t="shared" si="6"/>
        <v>570</v>
      </c>
      <c r="R334">
        <f>_xlfn.XLOOKUP(E334,'Data Additive'!E:E,'Data Additive'!E:E,0)</f>
        <v>0</v>
      </c>
    </row>
    <row r="335" spans="1:18" x14ac:dyDescent="0.25">
      <c r="A335">
        <v>6132</v>
      </c>
      <c r="B335" t="s">
        <v>176</v>
      </c>
      <c r="C335" t="s">
        <v>177</v>
      </c>
      <c r="D335" s="34">
        <v>52062</v>
      </c>
      <c r="E335">
        <v>1246115169</v>
      </c>
      <c r="F335" s="30">
        <v>45466</v>
      </c>
      <c r="G335" s="30"/>
      <c r="H335" t="s">
        <v>172</v>
      </c>
      <c r="I335" t="s">
        <v>173</v>
      </c>
      <c r="J335">
        <v>1974</v>
      </c>
      <c r="K335" s="30">
        <v>45244</v>
      </c>
      <c r="L335">
        <v>1010100</v>
      </c>
      <c r="M335" t="s">
        <v>35</v>
      </c>
      <c r="N335">
        <v>161</v>
      </c>
      <c r="O335" t="s">
        <v>160</v>
      </c>
      <c r="P335" t="s">
        <v>176</v>
      </c>
      <c r="Q335">
        <f t="shared" si="6"/>
        <v>675</v>
      </c>
      <c r="R335">
        <f>_xlfn.XLOOKUP(E335,'Data Additive'!E:E,'Data Additive'!E:E,0)</f>
        <v>0</v>
      </c>
    </row>
    <row r="336" spans="1:18" x14ac:dyDescent="0.25">
      <c r="A336">
        <v>6132</v>
      </c>
      <c r="B336" t="s">
        <v>176</v>
      </c>
      <c r="C336" t="s">
        <v>177</v>
      </c>
      <c r="D336" s="34">
        <v>32002.66</v>
      </c>
      <c r="E336">
        <v>1246120211</v>
      </c>
      <c r="F336" s="30">
        <v>45518</v>
      </c>
      <c r="G336" s="30"/>
      <c r="H336" t="s">
        <v>172</v>
      </c>
      <c r="I336" t="s">
        <v>173</v>
      </c>
      <c r="J336">
        <v>2284</v>
      </c>
      <c r="K336" s="30">
        <v>45278</v>
      </c>
      <c r="L336">
        <v>1010100</v>
      </c>
      <c r="M336" t="s">
        <v>35</v>
      </c>
      <c r="N336">
        <v>161</v>
      </c>
      <c r="O336" t="s">
        <v>160</v>
      </c>
      <c r="P336" t="s">
        <v>176</v>
      </c>
      <c r="Q336">
        <f t="shared" si="6"/>
        <v>623</v>
      </c>
      <c r="R336">
        <f>_xlfn.XLOOKUP(E336,'Data Additive'!E:E,'Data Additive'!E:E,0)</f>
        <v>0</v>
      </c>
    </row>
    <row r="337" spans="1:18" x14ac:dyDescent="0.25">
      <c r="A337">
        <v>6132</v>
      </c>
      <c r="B337" t="s">
        <v>176</v>
      </c>
      <c r="C337" t="s">
        <v>177</v>
      </c>
      <c r="D337" s="34">
        <v>112435.2</v>
      </c>
      <c r="E337">
        <v>1246116054</v>
      </c>
      <c r="F337" s="30">
        <v>45491</v>
      </c>
      <c r="G337" s="30"/>
      <c r="H337" t="s">
        <v>172</v>
      </c>
      <c r="I337" t="s">
        <v>173</v>
      </c>
      <c r="J337">
        <v>2046</v>
      </c>
      <c r="K337" s="30">
        <v>45251</v>
      </c>
      <c r="L337">
        <v>1010100</v>
      </c>
      <c r="M337" t="s">
        <v>35</v>
      </c>
      <c r="N337">
        <v>161</v>
      </c>
      <c r="O337" t="s">
        <v>160</v>
      </c>
      <c r="P337" t="s">
        <v>176</v>
      </c>
      <c r="Q337">
        <f t="shared" si="6"/>
        <v>650</v>
      </c>
      <c r="R337">
        <f>_xlfn.XLOOKUP(E337,'Data Additive'!E:E,'Data Additive'!E:E,0)</f>
        <v>0</v>
      </c>
    </row>
    <row r="338" spans="1:18" x14ac:dyDescent="0.25">
      <c r="A338">
        <v>6132</v>
      </c>
      <c r="B338" t="s">
        <v>176</v>
      </c>
      <c r="C338" t="s">
        <v>177</v>
      </c>
      <c r="D338" s="34">
        <v>29450.6</v>
      </c>
      <c r="E338">
        <v>1246128801</v>
      </c>
      <c r="F338" s="30">
        <v>45605</v>
      </c>
      <c r="G338" s="30"/>
      <c r="H338" t="s">
        <v>172</v>
      </c>
      <c r="I338" t="s">
        <v>173</v>
      </c>
      <c r="J338">
        <v>2746</v>
      </c>
      <c r="K338" s="30">
        <v>45330</v>
      </c>
      <c r="L338">
        <v>1010100</v>
      </c>
      <c r="M338" t="s">
        <v>35</v>
      </c>
      <c r="N338">
        <v>161</v>
      </c>
      <c r="O338" t="s">
        <v>160</v>
      </c>
      <c r="P338" t="s">
        <v>176</v>
      </c>
      <c r="Q338">
        <f t="shared" si="6"/>
        <v>536</v>
      </c>
      <c r="R338">
        <f>_xlfn.XLOOKUP(E338,'Data Additive'!E:E,'Data Additive'!E:E,0)</f>
        <v>0</v>
      </c>
    </row>
    <row r="339" spans="1:18" x14ac:dyDescent="0.25">
      <c r="A339">
        <v>6132</v>
      </c>
      <c r="B339" t="s">
        <v>176</v>
      </c>
      <c r="C339" t="s">
        <v>177</v>
      </c>
      <c r="D339" s="34">
        <v>87840</v>
      </c>
      <c r="E339">
        <v>1246113431</v>
      </c>
      <c r="F339" s="30">
        <v>45476</v>
      </c>
      <c r="G339" s="30"/>
      <c r="H339" t="s">
        <v>172</v>
      </c>
      <c r="I339" t="s">
        <v>173</v>
      </c>
      <c r="J339">
        <v>1852</v>
      </c>
      <c r="K339" s="30">
        <v>45236</v>
      </c>
      <c r="L339">
        <v>1010100</v>
      </c>
      <c r="M339" t="s">
        <v>35</v>
      </c>
      <c r="N339">
        <v>161</v>
      </c>
      <c r="O339" t="s">
        <v>160</v>
      </c>
      <c r="P339" t="s">
        <v>176</v>
      </c>
      <c r="Q339">
        <f t="shared" si="6"/>
        <v>665</v>
      </c>
      <c r="R339">
        <f>_xlfn.XLOOKUP(E339,'Data Additive'!E:E,'Data Additive'!E:E,0)</f>
        <v>0</v>
      </c>
    </row>
    <row r="340" spans="1:18" x14ac:dyDescent="0.25">
      <c r="A340">
        <v>6132</v>
      </c>
      <c r="B340" t="s">
        <v>176</v>
      </c>
      <c r="C340" t="s">
        <v>177</v>
      </c>
      <c r="D340" s="34">
        <v>27201.1</v>
      </c>
      <c r="E340">
        <v>1246124199</v>
      </c>
      <c r="F340" s="30">
        <v>45557</v>
      </c>
      <c r="G340" s="30"/>
      <c r="H340" t="s">
        <v>172</v>
      </c>
      <c r="I340" t="s">
        <v>173</v>
      </c>
      <c r="J340">
        <v>2454</v>
      </c>
      <c r="K340" s="30">
        <v>45301</v>
      </c>
      <c r="L340">
        <v>1010100</v>
      </c>
      <c r="M340" t="s">
        <v>35</v>
      </c>
      <c r="N340">
        <v>161</v>
      </c>
      <c r="O340" t="s">
        <v>160</v>
      </c>
      <c r="P340" t="s">
        <v>176</v>
      </c>
      <c r="Q340">
        <f t="shared" si="6"/>
        <v>584</v>
      </c>
      <c r="R340">
        <f>_xlfn.XLOOKUP(E340,'Data Additive'!E:E,'Data Additive'!E:E,0)</f>
        <v>0</v>
      </c>
    </row>
    <row r="341" spans="1:18" x14ac:dyDescent="0.25">
      <c r="A341">
        <v>6132</v>
      </c>
      <c r="B341" t="s">
        <v>176</v>
      </c>
      <c r="C341" t="s">
        <v>177</v>
      </c>
      <c r="D341" s="34">
        <v>86529.600000000006</v>
      </c>
      <c r="E341">
        <v>1246116354</v>
      </c>
      <c r="F341" s="30">
        <v>45475</v>
      </c>
      <c r="G341" s="30"/>
      <c r="H341" t="s">
        <v>172</v>
      </c>
      <c r="I341" t="s">
        <v>173</v>
      </c>
      <c r="J341">
        <v>2068</v>
      </c>
      <c r="K341" s="30">
        <v>45253</v>
      </c>
      <c r="L341">
        <v>1010100</v>
      </c>
      <c r="M341" t="s">
        <v>35</v>
      </c>
      <c r="N341">
        <v>161</v>
      </c>
      <c r="O341" t="s">
        <v>160</v>
      </c>
      <c r="P341" t="s">
        <v>176</v>
      </c>
      <c r="Q341">
        <f t="shared" si="6"/>
        <v>666</v>
      </c>
      <c r="R341">
        <f>_xlfn.XLOOKUP(E341,'Data Additive'!E:E,'Data Additive'!E:E,0)</f>
        <v>0</v>
      </c>
    </row>
    <row r="342" spans="1:18" x14ac:dyDescent="0.25">
      <c r="A342">
        <v>6132</v>
      </c>
      <c r="B342" t="s">
        <v>176</v>
      </c>
      <c r="C342" t="s">
        <v>177</v>
      </c>
      <c r="D342" s="34">
        <v>171010</v>
      </c>
      <c r="E342">
        <v>1246117256</v>
      </c>
      <c r="F342" s="30">
        <v>45474</v>
      </c>
      <c r="G342" s="30"/>
      <c r="H342" t="s">
        <v>172</v>
      </c>
      <c r="I342" t="s">
        <v>173</v>
      </c>
      <c r="J342">
        <v>2130</v>
      </c>
      <c r="K342" s="30">
        <v>45260</v>
      </c>
      <c r="L342">
        <v>1010100</v>
      </c>
      <c r="M342" t="s">
        <v>35</v>
      </c>
      <c r="N342">
        <v>161</v>
      </c>
      <c r="O342" t="s">
        <v>160</v>
      </c>
      <c r="P342" t="s">
        <v>176</v>
      </c>
      <c r="Q342">
        <f t="shared" si="6"/>
        <v>667</v>
      </c>
      <c r="R342">
        <f>_xlfn.XLOOKUP(E342,'Data Additive'!E:E,'Data Additive'!E:E,0)</f>
        <v>0</v>
      </c>
    </row>
    <row r="343" spans="1:18" x14ac:dyDescent="0.25">
      <c r="A343">
        <v>6132</v>
      </c>
      <c r="B343" t="s">
        <v>176</v>
      </c>
      <c r="C343" t="s">
        <v>177</v>
      </c>
      <c r="D343" s="34">
        <v>94461</v>
      </c>
      <c r="E343">
        <v>1246125716</v>
      </c>
      <c r="F343" s="30">
        <v>45578</v>
      </c>
      <c r="G343" s="30"/>
      <c r="H343" t="s">
        <v>172</v>
      </c>
      <c r="I343" t="s">
        <v>173</v>
      </c>
      <c r="J343">
        <v>2541</v>
      </c>
      <c r="K343" s="30">
        <v>45310</v>
      </c>
      <c r="L343">
        <v>1010100</v>
      </c>
      <c r="M343" t="s">
        <v>35</v>
      </c>
      <c r="N343">
        <v>161</v>
      </c>
      <c r="O343" t="s">
        <v>160</v>
      </c>
      <c r="P343" t="s">
        <v>176</v>
      </c>
      <c r="Q343">
        <f t="shared" si="6"/>
        <v>563</v>
      </c>
      <c r="R343">
        <f>_xlfn.XLOOKUP(E343,'Data Additive'!E:E,'Data Additive'!E:E,0)</f>
        <v>0</v>
      </c>
    </row>
    <row r="344" spans="1:18" x14ac:dyDescent="0.25">
      <c r="A344">
        <v>6132</v>
      </c>
      <c r="B344" t="s">
        <v>176</v>
      </c>
      <c r="C344" t="s">
        <v>177</v>
      </c>
      <c r="D344" s="34">
        <v>67967</v>
      </c>
      <c r="E344">
        <v>1246128327</v>
      </c>
      <c r="F344" s="30">
        <v>45567</v>
      </c>
      <c r="G344" s="30"/>
      <c r="H344" t="s">
        <v>172</v>
      </c>
      <c r="I344" t="s">
        <v>173</v>
      </c>
      <c r="J344">
        <v>2712</v>
      </c>
      <c r="K344" s="30">
        <v>45327</v>
      </c>
      <c r="L344">
        <v>1010100</v>
      </c>
      <c r="M344" t="s">
        <v>35</v>
      </c>
      <c r="N344">
        <v>161</v>
      </c>
      <c r="O344" t="s">
        <v>160</v>
      </c>
      <c r="P344" t="s">
        <v>176</v>
      </c>
      <c r="Q344">
        <f t="shared" si="6"/>
        <v>574</v>
      </c>
      <c r="R344">
        <f>_xlfn.XLOOKUP(E344,'Data Additive'!E:E,'Data Additive'!E:E,0)</f>
        <v>0</v>
      </c>
    </row>
    <row r="345" spans="1:18" x14ac:dyDescent="0.25">
      <c r="A345">
        <v>6132</v>
      </c>
      <c r="B345" t="s">
        <v>176</v>
      </c>
      <c r="C345" t="s">
        <v>177</v>
      </c>
      <c r="D345" s="34">
        <v>77852.5</v>
      </c>
      <c r="E345">
        <v>1246128328</v>
      </c>
      <c r="F345" s="30">
        <v>45567</v>
      </c>
      <c r="G345" s="30"/>
      <c r="H345" t="s">
        <v>172</v>
      </c>
      <c r="I345" t="s">
        <v>173</v>
      </c>
      <c r="J345">
        <v>2713</v>
      </c>
      <c r="K345" s="30">
        <v>45327</v>
      </c>
      <c r="L345">
        <v>1010100</v>
      </c>
      <c r="M345" t="s">
        <v>35</v>
      </c>
      <c r="N345">
        <v>161</v>
      </c>
      <c r="O345" t="s">
        <v>160</v>
      </c>
      <c r="P345" t="s">
        <v>176</v>
      </c>
      <c r="Q345">
        <f t="shared" si="6"/>
        <v>574</v>
      </c>
      <c r="R345">
        <f>_xlfn.XLOOKUP(E345,'Data Additive'!E:E,'Data Additive'!E:E,0)</f>
        <v>0</v>
      </c>
    </row>
    <row r="346" spans="1:18" x14ac:dyDescent="0.25">
      <c r="A346">
        <v>6132</v>
      </c>
      <c r="B346" t="s">
        <v>176</v>
      </c>
      <c r="C346" t="s">
        <v>177</v>
      </c>
      <c r="D346" s="34">
        <v>41610.269999999997</v>
      </c>
      <c r="E346">
        <v>1246128682</v>
      </c>
      <c r="F346" s="30">
        <v>45604</v>
      </c>
      <c r="G346" s="30"/>
      <c r="H346" t="s">
        <v>172</v>
      </c>
      <c r="I346" t="s">
        <v>173</v>
      </c>
      <c r="J346">
        <v>2737</v>
      </c>
      <c r="K346" s="30">
        <v>45329</v>
      </c>
      <c r="L346">
        <v>1010100</v>
      </c>
      <c r="M346" t="s">
        <v>35</v>
      </c>
      <c r="N346">
        <v>161</v>
      </c>
      <c r="O346" t="s">
        <v>160</v>
      </c>
      <c r="P346" t="s">
        <v>176</v>
      </c>
      <c r="Q346">
        <f t="shared" si="6"/>
        <v>537</v>
      </c>
      <c r="R346">
        <f>_xlfn.XLOOKUP(E346,'Data Additive'!E:E,'Data Additive'!E:E,0)</f>
        <v>0</v>
      </c>
    </row>
    <row r="347" spans="1:18" x14ac:dyDescent="0.25">
      <c r="A347">
        <v>6132</v>
      </c>
      <c r="B347" t="s">
        <v>176</v>
      </c>
      <c r="C347" t="s">
        <v>177</v>
      </c>
      <c r="D347" s="34">
        <v>107254.39999999999</v>
      </c>
      <c r="E347">
        <v>1246126442</v>
      </c>
      <c r="F347" s="30">
        <v>45565</v>
      </c>
      <c r="G347" s="30"/>
      <c r="H347" t="s">
        <v>172</v>
      </c>
      <c r="I347" t="s">
        <v>173</v>
      </c>
      <c r="J347">
        <v>2587</v>
      </c>
      <c r="K347" s="30">
        <v>45315</v>
      </c>
      <c r="L347">
        <v>1010100</v>
      </c>
      <c r="M347" t="s">
        <v>35</v>
      </c>
      <c r="N347">
        <v>161</v>
      </c>
      <c r="O347" t="s">
        <v>160</v>
      </c>
      <c r="P347" t="s">
        <v>176</v>
      </c>
      <c r="Q347">
        <f t="shared" si="6"/>
        <v>576</v>
      </c>
      <c r="R347">
        <f>_xlfn.XLOOKUP(E347,'Data Additive'!E:E,'Data Additive'!E:E,0)</f>
        <v>0</v>
      </c>
    </row>
    <row r="348" spans="1:18" x14ac:dyDescent="0.25">
      <c r="A348">
        <v>6132</v>
      </c>
      <c r="B348" t="s">
        <v>176</v>
      </c>
      <c r="C348" t="s">
        <v>177</v>
      </c>
      <c r="D348" s="34">
        <v>56218.2</v>
      </c>
      <c r="E348">
        <v>1246128800</v>
      </c>
      <c r="F348" s="30">
        <v>45605</v>
      </c>
      <c r="G348" s="30"/>
      <c r="H348" t="s">
        <v>172</v>
      </c>
      <c r="I348" t="s">
        <v>173</v>
      </c>
      <c r="J348">
        <v>2745</v>
      </c>
      <c r="K348" s="30">
        <v>45330</v>
      </c>
      <c r="L348">
        <v>1010100</v>
      </c>
      <c r="M348" t="s">
        <v>35</v>
      </c>
      <c r="N348">
        <v>161</v>
      </c>
      <c r="O348" t="s">
        <v>160</v>
      </c>
      <c r="P348" t="s">
        <v>176</v>
      </c>
      <c r="Q348">
        <f t="shared" si="6"/>
        <v>536</v>
      </c>
      <c r="R348">
        <f>_xlfn.XLOOKUP(E348,'Data Additive'!E:E,'Data Additive'!E:E,0)</f>
        <v>0</v>
      </c>
    </row>
    <row r="349" spans="1:18" x14ac:dyDescent="0.25">
      <c r="A349">
        <v>6132</v>
      </c>
      <c r="B349" t="s">
        <v>176</v>
      </c>
      <c r="C349" t="s">
        <v>177</v>
      </c>
      <c r="D349" s="34">
        <v>24480.99</v>
      </c>
      <c r="E349">
        <v>1246127802</v>
      </c>
      <c r="F349" s="30">
        <v>45603</v>
      </c>
      <c r="G349" s="30"/>
      <c r="H349" t="s">
        <v>172</v>
      </c>
      <c r="I349" t="s">
        <v>173</v>
      </c>
      <c r="J349">
        <v>2674</v>
      </c>
      <c r="K349" s="30">
        <v>45323</v>
      </c>
      <c r="L349">
        <v>1010100</v>
      </c>
      <c r="M349" t="s">
        <v>35</v>
      </c>
      <c r="N349">
        <v>161</v>
      </c>
      <c r="O349" t="s">
        <v>160</v>
      </c>
      <c r="P349" t="s">
        <v>176</v>
      </c>
      <c r="Q349">
        <f t="shared" si="6"/>
        <v>538</v>
      </c>
      <c r="R349">
        <f>_xlfn.XLOOKUP(E349,'Data Additive'!E:E,'Data Additive'!E:E,0)</f>
        <v>0</v>
      </c>
    </row>
    <row r="350" spans="1:18" x14ac:dyDescent="0.25">
      <c r="A350">
        <v>6132</v>
      </c>
      <c r="B350" t="s">
        <v>176</v>
      </c>
      <c r="C350" t="s">
        <v>177</v>
      </c>
      <c r="D350" s="34">
        <v>87043.520000000004</v>
      </c>
      <c r="E350">
        <v>1246120531</v>
      </c>
      <c r="F350" s="30">
        <v>45559</v>
      </c>
      <c r="G350" s="30"/>
      <c r="H350" t="s">
        <v>172</v>
      </c>
      <c r="I350" t="s">
        <v>173</v>
      </c>
      <c r="J350">
        <v>2295</v>
      </c>
      <c r="K350" s="30">
        <v>45279</v>
      </c>
      <c r="L350">
        <v>1010100</v>
      </c>
      <c r="M350" t="s">
        <v>35</v>
      </c>
      <c r="N350">
        <v>161</v>
      </c>
      <c r="O350" t="s">
        <v>160</v>
      </c>
      <c r="P350" t="s">
        <v>176</v>
      </c>
      <c r="Q350">
        <f t="shared" si="6"/>
        <v>582</v>
      </c>
      <c r="R350">
        <f>_xlfn.XLOOKUP(E350,'Data Additive'!E:E,'Data Additive'!E:E,0)</f>
        <v>0</v>
      </c>
    </row>
    <row r="351" spans="1:18" x14ac:dyDescent="0.25">
      <c r="A351">
        <v>6132</v>
      </c>
      <c r="B351" t="s">
        <v>176</v>
      </c>
      <c r="C351" t="s">
        <v>177</v>
      </c>
      <c r="D351" s="34">
        <v>87504.97</v>
      </c>
      <c r="E351">
        <v>1246119910</v>
      </c>
      <c r="F351" s="30">
        <v>45555</v>
      </c>
      <c r="G351" s="30"/>
      <c r="H351" t="s">
        <v>172</v>
      </c>
      <c r="I351" t="s">
        <v>173</v>
      </c>
      <c r="J351">
        <v>2248</v>
      </c>
      <c r="K351" s="30">
        <v>45275</v>
      </c>
      <c r="L351">
        <v>1010100</v>
      </c>
      <c r="M351" t="s">
        <v>35</v>
      </c>
      <c r="N351">
        <v>161</v>
      </c>
      <c r="O351" t="s">
        <v>160</v>
      </c>
      <c r="P351" t="s">
        <v>176</v>
      </c>
      <c r="Q351">
        <f t="shared" si="6"/>
        <v>586</v>
      </c>
      <c r="R351">
        <f>_xlfn.XLOOKUP(E351,'Data Additive'!E:E,'Data Additive'!E:E,0)</f>
        <v>0</v>
      </c>
    </row>
    <row r="352" spans="1:18" x14ac:dyDescent="0.25">
      <c r="A352">
        <v>6132</v>
      </c>
      <c r="B352" t="s">
        <v>176</v>
      </c>
      <c r="C352" t="s">
        <v>177</v>
      </c>
      <c r="D352" s="34">
        <v>22997.32</v>
      </c>
      <c r="E352">
        <v>1246119982</v>
      </c>
      <c r="F352" s="30">
        <v>45515</v>
      </c>
      <c r="G352" s="30"/>
      <c r="H352" t="s">
        <v>172</v>
      </c>
      <c r="I352" t="s">
        <v>173</v>
      </c>
      <c r="J352">
        <v>2263</v>
      </c>
      <c r="K352" s="30">
        <v>45275</v>
      </c>
      <c r="L352">
        <v>1010100</v>
      </c>
      <c r="M352" t="s">
        <v>35</v>
      </c>
      <c r="N352">
        <v>161</v>
      </c>
      <c r="O352" t="s">
        <v>160</v>
      </c>
      <c r="P352" t="s">
        <v>176</v>
      </c>
      <c r="Q352">
        <f t="shared" si="6"/>
        <v>626</v>
      </c>
      <c r="R352">
        <f>_xlfn.XLOOKUP(E352,'Data Additive'!E:E,'Data Additive'!E:E,0)</f>
        <v>0</v>
      </c>
    </row>
    <row r="353" spans="1:18" x14ac:dyDescent="0.25">
      <c r="A353">
        <v>6132</v>
      </c>
      <c r="B353" t="s">
        <v>176</v>
      </c>
      <c r="C353" t="s">
        <v>177</v>
      </c>
      <c r="D353" s="34">
        <v>10860</v>
      </c>
      <c r="E353">
        <v>1246122169</v>
      </c>
      <c r="F353" s="30">
        <v>45469</v>
      </c>
      <c r="G353" s="30"/>
      <c r="H353" t="s">
        <v>172</v>
      </c>
      <c r="I353" t="s">
        <v>173</v>
      </c>
      <c r="J353">
        <v>2373</v>
      </c>
      <c r="K353" s="30">
        <v>45289</v>
      </c>
      <c r="L353">
        <v>1010100</v>
      </c>
      <c r="M353" t="s">
        <v>35</v>
      </c>
      <c r="N353">
        <v>161</v>
      </c>
      <c r="O353" t="s">
        <v>160</v>
      </c>
      <c r="P353" t="s">
        <v>176</v>
      </c>
      <c r="Q353">
        <f t="shared" si="6"/>
        <v>672</v>
      </c>
      <c r="R353">
        <f>_xlfn.XLOOKUP(E353,'Data Additive'!E:E,'Data Additive'!E:E,0)</f>
        <v>0</v>
      </c>
    </row>
    <row r="354" spans="1:18" x14ac:dyDescent="0.25">
      <c r="A354">
        <v>6132</v>
      </c>
      <c r="B354" t="s">
        <v>176</v>
      </c>
      <c r="C354" t="s">
        <v>177</v>
      </c>
      <c r="D354" s="34">
        <v>57205.5</v>
      </c>
      <c r="E354">
        <v>1246122168</v>
      </c>
      <c r="F354" s="30">
        <v>45557</v>
      </c>
      <c r="G354" s="30"/>
      <c r="H354" t="s">
        <v>172</v>
      </c>
      <c r="I354" t="s">
        <v>173</v>
      </c>
      <c r="J354">
        <v>2372</v>
      </c>
      <c r="K354" s="30">
        <v>45289</v>
      </c>
      <c r="L354">
        <v>1010100</v>
      </c>
      <c r="M354" t="s">
        <v>35</v>
      </c>
      <c r="N354">
        <v>161</v>
      </c>
      <c r="O354" t="s">
        <v>160</v>
      </c>
      <c r="P354" t="s">
        <v>176</v>
      </c>
      <c r="Q354">
        <f t="shared" si="6"/>
        <v>584</v>
      </c>
      <c r="R354">
        <f>_xlfn.XLOOKUP(E354,'Data Additive'!E:E,'Data Additive'!E:E,0)</f>
        <v>0</v>
      </c>
    </row>
    <row r="355" spans="1:18" x14ac:dyDescent="0.25">
      <c r="A355">
        <v>6132</v>
      </c>
      <c r="B355" t="s">
        <v>176</v>
      </c>
      <c r="C355" t="s">
        <v>177</v>
      </c>
      <c r="D355" s="34">
        <v>109750.39999999999</v>
      </c>
      <c r="E355">
        <v>1246117165</v>
      </c>
      <c r="F355" s="30">
        <v>45473</v>
      </c>
      <c r="G355" s="30"/>
      <c r="H355" t="s">
        <v>172</v>
      </c>
      <c r="I355" t="s">
        <v>173</v>
      </c>
      <c r="J355">
        <v>2128</v>
      </c>
      <c r="K355" s="30">
        <v>45259</v>
      </c>
      <c r="L355">
        <v>1010100</v>
      </c>
      <c r="M355" t="s">
        <v>35</v>
      </c>
      <c r="N355">
        <v>161</v>
      </c>
      <c r="O355" t="s">
        <v>160</v>
      </c>
      <c r="P355" t="s">
        <v>176</v>
      </c>
      <c r="Q355">
        <f t="shared" si="6"/>
        <v>668</v>
      </c>
      <c r="R355">
        <f>_xlfn.XLOOKUP(E355,'Data Additive'!E:E,'Data Additive'!E:E,0)</f>
        <v>0</v>
      </c>
    </row>
    <row r="356" spans="1:18" x14ac:dyDescent="0.25">
      <c r="A356">
        <v>6132</v>
      </c>
      <c r="B356" t="s">
        <v>176</v>
      </c>
      <c r="C356" t="s">
        <v>177</v>
      </c>
      <c r="D356" s="34">
        <v>111644.8</v>
      </c>
      <c r="E356">
        <v>1246117516</v>
      </c>
      <c r="F356" s="30">
        <v>45536</v>
      </c>
      <c r="G356" s="30"/>
      <c r="H356" t="s">
        <v>172</v>
      </c>
      <c r="I356" t="s">
        <v>173</v>
      </c>
      <c r="J356">
        <v>2140</v>
      </c>
      <c r="K356" s="30">
        <v>45261</v>
      </c>
      <c r="L356">
        <v>1010100</v>
      </c>
      <c r="M356" t="s">
        <v>35</v>
      </c>
      <c r="N356">
        <v>161</v>
      </c>
      <c r="O356" t="s">
        <v>160</v>
      </c>
      <c r="P356" t="s">
        <v>176</v>
      </c>
      <c r="Q356">
        <f t="shared" si="6"/>
        <v>605</v>
      </c>
      <c r="R356">
        <f>_xlfn.XLOOKUP(E356,'Data Additive'!E:E,'Data Additive'!E:E,0)</f>
        <v>0</v>
      </c>
    </row>
    <row r="357" spans="1:18" x14ac:dyDescent="0.25">
      <c r="A357">
        <v>6132</v>
      </c>
      <c r="B357" t="s">
        <v>176</v>
      </c>
      <c r="C357" t="s">
        <v>177</v>
      </c>
      <c r="D357" s="34">
        <v>136005.5</v>
      </c>
      <c r="E357">
        <v>1246120768</v>
      </c>
      <c r="F357" s="30">
        <v>45560</v>
      </c>
      <c r="G357" s="30"/>
      <c r="H357" t="s">
        <v>172</v>
      </c>
      <c r="I357" t="s">
        <v>173</v>
      </c>
      <c r="J357">
        <v>2299</v>
      </c>
      <c r="K357" s="30">
        <v>45280</v>
      </c>
      <c r="L357">
        <v>1010100</v>
      </c>
      <c r="M357" t="s">
        <v>35</v>
      </c>
      <c r="N357">
        <v>161</v>
      </c>
      <c r="O357" t="s">
        <v>160</v>
      </c>
      <c r="P357" t="s">
        <v>176</v>
      </c>
      <c r="Q357">
        <f t="shared" si="6"/>
        <v>581</v>
      </c>
      <c r="R357">
        <f>_xlfn.XLOOKUP(E357,'Data Additive'!E:E,'Data Additive'!E:E,0)</f>
        <v>0</v>
      </c>
    </row>
    <row r="358" spans="1:18" x14ac:dyDescent="0.25">
      <c r="A358">
        <v>6132</v>
      </c>
      <c r="B358" t="s">
        <v>176</v>
      </c>
      <c r="C358" t="s">
        <v>177</v>
      </c>
      <c r="D358" s="34">
        <v>136005.5</v>
      </c>
      <c r="E358">
        <v>1246124946</v>
      </c>
      <c r="F358" s="30">
        <v>45566</v>
      </c>
      <c r="G358" s="30"/>
      <c r="H358" t="s">
        <v>172</v>
      </c>
      <c r="I358" t="s">
        <v>173</v>
      </c>
      <c r="J358">
        <v>2498</v>
      </c>
      <c r="K358" s="30">
        <v>45306</v>
      </c>
      <c r="L358">
        <v>1010100</v>
      </c>
      <c r="M358" t="s">
        <v>35</v>
      </c>
      <c r="N358">
        <v>161</v>
      </c>
      <c r="O358" t="s">
        <v>160</v>
      </c>
      <c r="P358" t="s">
        <v>176</v>
      </c>
      <c r="Q358">
        <f t="shared" si="6"/>
        <v>575</v>
      </c>
      <c r="R358">
        <f>_xlfn.XLOOKUP(E358,'Data Additive'!E:E,'Data Additive'!E:E,0)</f>
        <v>0</v>
      </c>
    </row>
    <row r="359" spans="1:18" x14ac:dyDescent="0.25">
      <c r="A359">
        <v>6132</v>
      </c>
      <c r="B359" t="s">
        <v>176</v>
      </c>
      <c r="C359" t="s">
        <v>177</v>
      </c>
      <c r="D359" s="34">
        <v>87043.520000000004</v>
      </c>
      <c r="E359">
        <v>1246120099</v>
      </c>
      <c r="F359" s="30">
        <v>45558</v>
      </c>
      <c r="G359" s="30"/>
      <c r="H359" t="s">
        <v>172</v>
      </c>
      <c r="I359" t="s">
        <v>173</v>
      </c>
      <c r="J359">
        <v>2279</v>
      </c>
      <c r="K359" s="30">
        <v>45278</v>
      </c>
      <c r="L359">
        <v>1010100</v>
      </c>
      <c r="M359" t="s">
        <v>35</v>
      </c>
      <c r="N359">
        <v>161</v>
      </c>
      <c r="O359" t="s">
        <v>160</v>
      </c>
      <c r="P359" t="s">
        <v>176</v>
      </c>
      <c r="Q359">
        <f t="shared" si="6"/>
        <v>583</v>
      </c>
      <c r="R359">
        <f>_xlfn.XLOOKUP(E359,'Data Additive'!E:E,'Data Additive'!E:E,0)</f>
        <v>0</v>
      </c>
    </row>
    <row r="360" spans="1:18" x14ac:dyDescent="0.25">
      <c r="A360">
        <v>6132</v>
      </c>
      <c r="B360" t="s">
        <v>176</v>
      </c>
      <c r="C360" t="s">
        <v>177</v>
      </c>
      <c r="D360" s="34">
        <v>111465.88</v>
      </c>
      <c r="E360">
        <v>1246127801</v>
      </c>
      <c r="F360" s="30">
        <v>45603</v>
      </c>
      <c r="G360" s="30"/>
      <c r="H360" t="s">
        <v>172</v>
      </c>
      <c r="I360" t="s">
        <v>173</v>
      </c>
      <c r="J360">
        <v>2673</v>
      </c>
      <c r="K360" s="30">
        <v>45323</v>
      </c>
      <c r="L360">
        <v>1010100</v>
      </c>
      <c r="M360" t="s">
        <v>35</v>
      </c>
      <c r="N360">
        <v>161</v>
      </c>
      <c r="O360" t="s">
        <v>160</v>
      </c>
      <c r="P360" t="s">
        <v>176</v>
      </c>
      <c r="Q360">
        <f t="shared" si="6"/>
        <v>538</v>
      </c>
      <c r="R360">
        <f>_xlfn.XLOOKUP(E360,'Data Additive'!E:E,'Data Additive'!E:E,0)</f>
        <v>0</v>
      </c>
    </row>
    <row r="361" spans="1:18" x14ac:dyDescent="0.25">
      <c r="A361">
        <v>6132</v>
      </c>
      <c r="B361" t="s">
        <v>176</v>
      </c>
      <c r="C361" t="s">
        <v>177</v>
      </c>
      <c r="D361" s="34">
        <v>47937.4</v>
      </c>
      <c r="E361">
        <v>1246118354</v>
      </c>
      <c r="F361" s="30">
        <v>45541</v>
      </c>
      <c r="G361" s="30"/>
      <c r="H361" t="s">
        <v>172</v>
      </c>
      <c r="I361" t="s">
        <v>173</v>
      </c>
      <c r="J361">
        <v>2184</v>
      </c>
      <c r="K361" s="30">
        <v>45266</v>
      </c>
      <c r="L361">
        <v>1010100</v>
      </c>
      <c r="M361" t="s">
        <v>35</v>
      </c>
      <c r="N361">
        <v>161</v>
      </c>
      <c r="O361" t="s">
        <v>160</v>
      </c>
      <c r="P361" t="s">
        <v>176</v>
      </c>
      <c r="Q361">
        <f t="shared" si="6"/>
        <v>600</v>
      </c>
      <c r="R361">
        <f>_xlfn.XLOOKUP(E361,'Data Additive'!E:E,'Data Additive'!E:E,0)</f>
        <v>0</v>
      </c>
    </row>
    <row r="362" spans="1:18" x14ac:dyDescent="0.25">
      <c r="A362">
        <v>6132</v>
      </c>
      <c r="B362" t="s">
        <v>176</v>
      </c>
      <c r="C362" t="s">
        <v>177</v>
      </c>
      <c r="D362" s="34">
        <v>155705</v>
      </c>
      <c r="E362">
        <v>1246129974</v>
      </c>
      <c r="F362" s="30">
        <v>45568</v>
      </c>
      <c r="G362" s="30"/>
      <c r="H362" t="s">
        <v>172</v>
      </c>
      <c r="I362" t="s">
        <v>173</v>
      </c>
      <c r="J362">
        <v>2839</v>
      </c>
      <c r="K362" s="30">
        <v>45341</v>
      </c>
      <c r="L362">
        <v>1010100</v>
      </c>
      <c r="M362" t="s">
        <v>35</v>
      </c>
      <c r="N362">
        <v>161</v>
      </c>
      <c r="O362" t="s">
        <v>160</v>
      </c>
      <c r="P362" t="s">
        <v>176</v>
      </c>
      <c r="Q362">
        <f t="shared" si="6"/>
        <v>573</v>
      </c>
      <c r="R362">
        <f>_xlfn.XLOOKUP(E362,'Data Additive'!E:E,'Data Additive'!E:E,0)</f>
        <v>0</v>
      </c>
    </row>
    <row r="363" spans="1:18" x14ac:dyDescent="0.25">
      <c r="A363">
        <v>6132</v>
      </c>
      <c r="B363" t="s">
        <v>176</v>
      </c>
      <c r="C363" t="s">
        <v>177</v>
      </c>
      <c r="D363" s="34">
        <v>42163.65</v>
      </c>
      <c r="E363">
        <v>1246124200</v>
      </c>
      <c r="F363" s="30">
        <v>45569</v>
      </c>
      <c r="G363" s="30"/>
      <c r="H363" t="s">
        <v>172</v>
      </c>
      <c r="I363" t="s">
        <v>173</v>
      </c>
      <c r="J363">
        <v>2455</v>
      </c>
      <c r="K363" s="30">
        <v>45301</v>
      </c>
      <c r="L363">
        <v>1010100</v>
      </c>
      <c r="M363" t="s">
        <v>35</v>
      </c>
      <c r="N363">
        <v>161</v>
      </c>
      <c r="O363" t="s">
        <v>160</v>
      </c>
      <c r="P363" t="s">
        <v>176</v>
      </c>
      <c r="Q363">
        <f t="shared" si="6"/>
        <v>572</v>
      </c>
      <c r="R363">
        <f>_xlfn.XLOOKUP(E363,'Data Additive'!E:E,'Data Additive'!E:E,0)</f>
        <v>0</v>
      </c>
    </row>
    <row r="364" spans="1:18" x14ac:dyDescent="0.25">
      <c r="A364">
        <v>6132</v>
      </c>
      <c r="B364" t="s">
        <v>176</v>
      </c>
      <c r="C364" t="s">
        <v>177</v>
      </c>
      <c r="D364" s="34">
        <v>111065.60000000001</v>
      </c>
      <c r="E364">
        <v>1246114703</v>
      </c>
      <c r="F364" s="30">
        <v>45463</v>
      </c>
      <c r="G364" s="30"/>
      <c r="H364" t="s">
        <v>172</v>
      </c>
      <c r="I364" t="s">
        <v>173</v>
      </c>
      <c r="J364">
        <v>1937</v>
      </c>
      <c r="K364" s="30">
        <v>45241</v>
      </c>
      <c r="L364">
        <v>1010100</v>
      </c>
      <c r="M364" t="s">
        <v>35</v>
      </c>
      <c r="N364">
        <v>161</v>
      </c>
      <c r="O364" t="s">
        <v>160</v>
      </c>
      <c r="P364" t="s">
        <v>176</v>
      </c>
      <c r="Q364">
        <f t="shared" si="6"/>
        <v>678</v>
      </c>
      <c r="R364">
        <f>_xlfn.XLOOKUP(E364,'Data Additive'!E:E,'Data Additive'!E:E,0)</f>
        <v>0</v>
      </c>
    </row>
    <row r="365" spans="1:18" x14ac:dyDescent="0.25">
      <c r="A365">
        <v>6132</v>
      </c>
      <c r="B365" t="s">
        <v>176</v>
      </c>
      <c r="C365" t="s">
        <v>177</v>
      </c>
      <c r="D365" s="34">
        <v>27201.1</v>
      </c>
      <c r="E365">
        <v>1246125717</v>
      </c>
      <c r="F365" s="30">
        <v>45566</v>
      </c>
      <c r="G365" s="30"/>
      <c r="H365" t="s">
        <v>172</v>
      </c>
      <c r="I365" t="s">
        <v>173</v>
      </c>
      <c r="J365">
        <v>2542</v>
      </c>
      <c r="K365" s="30">
        <v>45310</v>
      </c>
      <c r="L365">
        <v>1010100</v>
      </c>
      <c r="M365" t="s">
        <v>35</v>
      </c>
      <c r="N365">
        <v>161</v>
      </c>
      <c r="O365" t="s">
        <v>160</v>
      </c>
      <c r="P365" t="s">
        <v>176</v>
      </c>
      <c r="Q365">
        <f t="shared" si="6"/>
        <v>575</v>
      </c>
      <c r="R365">
        <f>_xlfn.XLOOKUP(E365,'Data Additive'!E:E,'Data Additive'!E:E,0)</f>
        <v>0</v>
      </c>
    </row>
    <row r="366" spans="1:18" x14ac:dyDescent="0.25">
      <c r="A366">
        <v>6132</v>
      </c>
      <c r="B366" t="s">
        <v>176</v>
      </c>
      <c r="C366" t="s">
        <v>177</v>
      </c>
      <c r="D366" s="34">
        <v>136005.5</v>
      </c>
      <c r="E366">
        <v>1246124718</v>
      </c>
      <c r="F366" s="30">
        <v>45563</v>
      </c>
      <c r="G366" s="30"/>
      <c r="H366" t="s">
        <v>172</v>
      </c>
      <c r="I366" t="s">
        <v>173</v>
      </c>
      <c r="J366">
        <v>2489</v>
      </c>
      <c r="K366" s="30">
        <v>45303</v>
      </c>
      <c r="L366">
        <v>1010100</v>
      </c>
      <c r="M366" t="s">
        <v>35</v>
      </c>
      <c r="N366">
        <v>161</v>
      </c>
      <c r="O366" t="s">
        <v>160</v>
      </c>
      <c r="P366" t="s">
        <v>176</v>
      </c>
      <c r="Q366">
        <f t="shared" si="6"/>
        <v>578</v>
      </c>
      <c r="R366">
        <f>_xlfn.XLOOKUP(E366,'Data Additive'!E:E,'Data Additive'!E:E,0)</f>
        <v>0</v>
      </c>
    </row>
    <row r="367" spans="1:18" x14ac:dyDescent="0.25">
      <c r="A367">
        <v>6132</v>
      </c>
      <c r="B367" t="s">
        <v>176</v>
      </c>
      <c r="C367" t="s">
        <v>177</v>
      </c>
      <c r="D367" s="34">
        <v>45093</v>
      </c>
      <c r="E367">
        <v>1246128683</v>
      </c>
      <c r="F367" s="30">
        <v>45604</v>
      </c>
      <c r="G367" s="30"/>
      <c r="H367" t="s">
        <v>172</v>
      </c>
      <c r="I367" t="s">
        <v>173</v>
      </c>
      <c r="J367">
        <v>2738</v>
      </c>
      <c r="K367" s="30">
        <v>45329</v>
      </c>
      <c r="L367">
        <v>1010100</v>
      </c>
      <c r="M367" t="s">
        <v>35</v>
      </c>
      <c r="N367">
        <v>161</v>
      </c>
      <c r="O367" t="s">
        <v>160</v>
      </c>
      <c r="P367" t="s">
        <v>176</v>
      </c>
      <c r="Q367">
        <f t="shared" si="6"/>
        <v>537</v>
      </c>
      <c r="R367">
        <f>_xlfn.XLOOKUP(E367,'Data Additive'!E:E,'Data Additive'!E:E,0)</f>
        <v>0</v>
      </c>
    </row>
    <row r="368" spans="1:18" x14ac:dyDescent="0.25">
      <c r="A368">
        <v>6132</v>
      </c>
      <c r="B368" t="s">
        <v>176</v>
      </c>
      <c r="C368" t="s">
        <v>177</v>
      </c>
      <c r="D368" s="34">
        <v>82986.649999999994</v>
      </c>
      <c r="E368">
        <v>1246113430</v>
      </c>
      <c r="F368" s="30">
        <v>45476</v>
      </c>
      <c r="G368" s="30"/>
      <c r="H368" t="s">
        <v>172</v>
      </c>
      <c r="I368" t="s">
        <v>173</v>
      </c>
      <c r="J368">
        <v>1851</v>
      </c>
      <c r="K368" s="30">
        <v>45236</v>
      </c>
      <c r="L368">
        <v>1010100</v>
      </c>
      <c r="M368" t="s">
        <v>35</v>
      </c>
      <c r="N368">
        <v>161</v>
      </c>
      <c r="O368" t="s">
        <v>160</v>
      </c>
      <c r="P368" t="s">
        <v>176</v>
      </c>
      <c r="Q368">
        <f t="shared" si="6"/>
        <v>665</v>
      </c>
      <c r="R368">
        <f>_xlfn.XLOOKUP(E368,'Data Additive'!E:E,'Data Additive'!E:E,0)</f>
        <v>0</v>
      </c>
    </row>
    <row r="369" spans="1:18" x14ac:dyDescent="0.25">
      <c r="A369">
        <v>6132</v>
      </c>
      <c r="B369" t="s">
        <v>176</v>
      </c>
      <c r="C369" t="s">
        <v>177</v>
      </c>
      <c r="D369" s="34">
        <v>174445</v>
      </c>
      <c r="E369">
        <v>1246116577</v>
      </c>
      <c r="F369" s="30">
        <v>45468</v>
      </c>
      <c r="G369" s="30"/>
      <c r="H369" t="s">
        <v>172</v>
      </c>
      <c r="I369" t="s">
        <v>173</v>
      </c>
      <c r="J369">
        <v>2091</v>
      </c>
      <c r="K369" s="30">
        <v>45254</v>
      </c>
      <c r="L369">
        <v>1010100</v>
      </c>
      <c r="M369" t="s">
        <v>35</v>
      </c>
      <c r="N369">
        <v>161</v>
      </c>
      <c r="O369" t="s">
        <v>160</v>
      </c>
      <c r="P369" t="s">
        <v>176</v>
      </c>
      <c r="Q369">
        <f t="shared" ref="Q369:Q402" si="7">$R$1-F369</f>
        <v>673</v>
      </c>
      <c r="R369">
        <f>_xlfn.XLOOKUP(E369,'Data Additive'!E:E,'Data Additive'!E:E,0)</f>
        <v>0</v>
      </c>
    </row>
    <row r="370" spans="1:18" x14ac:dyDescent="0.25">
      <c r="A370">
        <v>6132</v>
      </c>
      <c r="B370" t="s">
        <v>176</v>
      </c>
      <c r="C370" t="s">
        <v>177</v>
      </c>
      <c r="D370" s="34">
        <v>158956.25</v>
      </c>
      <c r="E370">
        <v>1246104181</v>
      </c>
      <c r="F370" s="30">
        <v>45444</v>
      </c>
      <c r="G370" s="30"/>
      <c r="H370" t="s">
        <v>172</v>
      </c>
      <c r="I370" t="s">
        <v>173</v>
      </c>
      <c r="J370">
        <v>1180</v>
      </c>
      <c r="K370" s="30">
        <v>45184</v>
      </c>
      <c r="L370">
        <v>1010100</v>
      </c>
      <c r="M370" t="s">
        <v>35</v>
      </c>
      <c r="N370">
        <v>161</v>
      </c>
      <c r="O370" t="s">
        <v>160</v>
      </c>
      <c r="P370" t="s">
        <v>176</v>
      </c>
      <c r="Q370">
        <f t="shared" si="7"/>
        <v>697</v>
      </c>
      <c r="R370">
        <f>_xlfn.XLOOKUP(E370,'Data Additive'!E:E,'Data Additive'!E:E,0)</f>
        <v>0</v>
      </c>
    </row>
    <row r="371" spans="1:18" x14ac:dyDescent="0.25">
      <c r="A371">
        <v>6132</v>
      </c>
      <c r="B371" t="s">
        <v>176</v>
      </c>
      <c r="C371" t="s">
        <v>177</v>
      </c>
      <c r="D371" s="34">
        <v>171662.49999999997</v>
      </c>
      <c r="E371">
        <v>1246112815</v>
      </c>
      <c r="F371" s="30">
        <v>45471</v>
      </c>
      <c r="G371" s="30"/>
      <c r="H371" t="s">
        <v>172</v>
      </c>
      <c r="I371" t="s">
        <v>173</v>
      </c>
      <c r="J371">
        <v>1799</v>
      </c>
      <c r="K371" s="30">
        <v>45231</v>
      </c>
      <c r="L371">
        <v>1010100</v>
      </c>
      <c r="M371" t="s">
        <v>35</v>
      </c>
      <c r="N371">
        <v>161</v>
      </c>
      <c r="O371" t="s">
        <v>160</v>
      </c>
      <c r="P371" t="s">
        <v>176</v>
      </c>
      <c r="Q371">
        <f t="shared" si="7"/>
        <v>670</v>
      </c>
      <c r="R371">
        <f>_xlfn.XLOOKUP(E371,'Data Additive'!E:E,'Data Additive'!E:E,0)</f>
        <v>0</v>
      </c>
    </row>
    <row r="372" spans="1:18" x14ac:dyDescent="0.25">
      <c r="A372">
        <v>6132</v>
      </c>
      <c r="B372" t="s">
        <v>176</v>
      </c>
      <c r="C372" t="s">
        <v>177</v>
      </c>
      <c r="D372" s="34">
        <v>174610</v>
      </c>
      <c r="E372">
        <v>1246113736</v>
      </c>
      <c r="F372" s="30">
        <v>45478</v>
      </c>
      <c r="G372" s="30"/>
      <c r="H372" t="s">
        <v>172</v>
      </c>
      <c r="I372" t="s">
        <v>173</v>
      </c>
      <c r="J372">
        <v>1878</v>
      </c>
      <c r="K372" s="30">
        <v>45238</v>
      </c>
      <c r="L372">
        <v>1010100</v>
      </c>
      <c r="M372" t="s">
        <v>35</v>
      </c>
      <c r="N372">
        <v>161</v>
      </c>
      <c r="O372" t="s">
        <v>160</v>
      </c>
      <c r="P372" t="s">
        <v>176</v>
      </c>
      <c r="Q372">
        <f t="shared" si="7"/>
        <v>663</v>
      </c>
      <c r="R372">
        <f>_xlfn.XLOOKUP(E372,'Data Additive'!E:E,'Data Additive'!E:E,0)</f>
        <v>0</v>
      </c>
    </row>
    <row r="373" spans="1:18" x14ac:dyDescent="0.25">
      <c r="A373">
        <v>6132</v>
      </c>
      <c r="B373" t="s">
        <v>176</v>
      </c>
      <c r="C373" t="s">
        <v>177</v>
      </c>
      <c r="D373" s="34">
        <v>87840</v>
      </c>
      <c r="E373">
        <v>1246111212</v>
      </c>
      <c r="F373" s="30">
        <v>45464</v>
      </c>
      <c r="G373" s="30"/>
      <c r="H373" t="s">
        <v>172</v>
      </c>
      <c r="I373" t="s">
        <v>173</v>
      </c>
      <c r="J373">
        <v>1720</v>
      </c>
      <c r="K373" s="30">
        <v>45224</v>
      </c>
      <c r="L373">
        <v>1010100</v>
      </c>
      <c r="M373" t="s">
        <v>35</v>
      </c>
      <c r="N373">
        <v>161</v>
      </c>
      <c r="O373" t="s">
        <v>160</v>
      </c>
      <c r="P373" t="s">
        <v>176</v>
      </c>
      <c r="Q373">
        <f t="shared" si="7"/>
        <v>677</v>
      </c>
      <c r="R373">
        <f>_xlfn.XLOOKUP(E373,'Data Additive'!E:E,'Data Additive'!E:E,0)</f>
        <v>0</v>
      </c>
    </row>
    <row r="374" spans="1:18" x14ac:dyDescent="0.25">
      <c r="A374">
        <v>6132</v>
      </c>
      <c r="B374" t="s">
        <v>176</v>
      </c>
      <c r="C374" t="s">
        <v>177</v>
      </c>
      <c r="D374" s="34">
        <v>23787.68</v>
      </c>
      <c r="E374">
        <v>1246115170</v>
      </c>
      <c r="F374" s="30">
        <v>45466</v>
      </c>
      <c r="G374" s="30"/>
      <c r="H374" t="s">
        <v>172</v>
      </c>
      <c r="I374" t="s">
        <v>173</v>
      </c>
      <c r="J374">
        <v>1975</v>
      </c>
      <c r="K374" s="30">
        <v>45244</v>
      </c>
      <c r="L374">
        <v>1010100</v>
      </c>
      <c r="M374" t="s">
        <v>35</v>
      </c>
      <c r="N374">
        <v>161</v>
      </c>
      <c r="O374" t="s">
        <v>160</v>
      </c>
      <c r="P374" t="s">
        <v>176</v>
      </c>
      <c r="Q374">
        <f t="shared" si="7"/>
        <v>675</v>
      </c>
      <c r="R374">
        <f>_xlfn.XLOOKUP(E374,'Data Additive'!E:E,'Data Additive'!E:E,0)</f>
        <v>0</v>
      </c>
    </row>
    <row r="375" spans="1:18" x14ac:dyDescent="0.25">
      <c r="A375">
        <v>6132</v>
      </c>
      <c r="B375" t="s">
        <v>176</v>
      </c>
      <c r="C375" t="s">
        <v>177</v>
      </c>
      <c r="D375" s="34">
        <v>30381.599999999999</v>
      </c>
      <c r="E375">
        <v>1246115171</v>
      </c>
      <c r="F375" s="30">
        <v>45466</v>
      </c>
      <c r="G375" s="30"/>
      <c r="H375" t="s">
        <v>172</v>
      </c>
      <c r="I375" t="s">
        <v>173</v>
      </c>
      <c r="J375">
        <v>1976</v>
      </c>
      <c r="K375" s="30">
        <v>45244</v>
      </c>
      <c r="L375">
        <v>1010100</v>
      </c>
      <c r="M375" t="s">
        <v>35</v>
      </c>
      <c r="N375">
        <v>161</v>
      </c>
      <c r="O375" t="s">
        <v>160</v>
      </c>
      <c r="P375" t="s">
        <v>176</v>
      </c>
      <c r="Q375">
        <f t="shared" si="7"/>
        <v>675</v>
      </c>
      <c r="R375">
        <f>_xlfn.XLOOKUP(E375,'Data Additive'!E:E,'Data Additive'!E:E,0)</f>
        <v>0</v>
      </c>
    </row>
    <row r="376" spans="1:18" x14ac:dyDescent="0.25">
      <c r="A376">
        <v>6132</v>
      </c>
      <c r="B376" t="s">
        <v>176</v>
      </c>
      <c r="C376" t="s">
        <v>177</v>
      </c>
      <c r="D376" s="34">
        <v>107022</v>
      </c>
      <c r="E376">
        <v>1246110109</v>
      </c>
      <c r="F376" s="30">
        <v>45439</v>
      </c>
      <c r="G376" s="30"/>
      <c r="H376" t="s">
        <v>172</v>
      </c>
      <c r="I376" t="s">
        <v>173</v>
      </c>
      <c r="J376">
        <v>347</v>
      </c>
      <c r="K376" s="30">
        <v>45217</v>
      </c>
      <c r="L376">
        <v>1010100</v>
      </c>
      <c r="M376" t="s">
        <v>35</v>
      </c>
      <c r="N376">
        <v>161</v>
      </c>
      <c r="O376" t="s">
        <v>160</v>
      </c>
      <c r="P376" t="s">
        <v>176</v>
      </c>
      <c r="Q376">
        <f t="shared" si="7"/>
        <v>702</v>
      </c>
      <c r="R376">
        <f>_xlfn.XLOOKUP(E376,'Data Additive'!E:E,'Data Additive'!E:E,0)</f>
        <v>0</v>
      </c>
    </row>
    <row r="377" spans="1:18" x14ac:dyDescent="0.25">
      <c r="A377">
        <v>6132</v>
      </c>
      <c r="B377" t="s">
        <v>176</v>
      </c>
      <c r="C377" t="s">
        <v>177</v>
      </c>
      <c r="D377" s="34">
        <v>83822.5</v>
      </c>
      <c r="E377">
        <v>1246111211</v>
      </c>
      <c r="F377" s="30">
        <v>45464</v>
      </c>
      <c r="G377" s="30"/>
      <c r="H377" t="s">
        <v>172</v>
      </c>
      <c r="I377" t="s">
        <v>173</v>
      </c>
      <c r="J377">
        <v>1719</v>
      </c>
      <c r="K377" s="30">
        <v>45224</v>
      </c>
      <c r="L377">
        <v>1010100</v>
      </c>
      <c r="M377" t="s">
        <v>35</v>
      </c>
      <c r="N377">
        <v>161</v>
      </c>
      <c r="O377" t="s">
        <v>160</v>
      </c>
      <c r="P377" t="s">
        <v>176</v>
      </c>
      <c r="Q377">
        <f t="shared" si="7"/>
        <v>677</v>
      </c>
      <c r="R377">
        <f>_xlfn.XLOOKUP(E377,'Data Additive'!E:E,'Data Additive'!E:E,0)</f>
        <v>0</v>
      </c>
    </row>
    <row r="378" spans="1:18" x14ac:dyDescent="0.25">
      <c r="A378">
        <v>6132</v>
      </c>
      <c r="B378" t="s">
        <v>176</v>
      </c>
      <c r="C378" t="s">
        <v>177</v>
      </c>
      <c r="D378" s="34">
        <v>169458.49999999997</v>
      </c>
      <c r="E378">
        <v>1246110264</v>
      </c>
      <c r="F378" s="30">
        <v>45440</v>
      </c>
      <c r="G378" s="30"/>
      <c r="H378" t="s">
        <v>172</v>
      </c>
      <c r="I378" t="s">
        <v>173</v>
      </c>
      <c r="J378">
        <v>1662</v>
      </c>
      <c r="K378" s="30">
        <v>45218</v>
      </c>
      <c r="L378">
        <v>1010100</v>
      </c>
      <c r="M378" t="s">
        <v>35</v>
      </c>
      <c r="N378">
        <v>161</v>
      </c>
      <c r="O378" t="s">
        <v>160</v>
      </c>
      <c r="P378" t="s">
        <v>176</v>
      </c>
      <c r="Q378">
        <f t="shared" si="7"/>
        <v>701</v>
      </c>
      <c r="R378">
        <f>_xlfn.XLOOKUP(E378,'Data Additive'!E:E,'Data Additive'!E:E,0)</f>
        <v>0</v>
      </c>
    </row>
    <row r="379" spans="1:18" x14ac:dyDescent="0.25">
      <c r="A379">
        <v>6132</v>
      </c>
      <c r="B379" t="s">
        <v>176</v>
      </c>
      <c r="C379" t="s">
        <v>177</v>
      </c>
      <c r="D379" s="34">
        <v>135934</v>
      </c>
      <c r="E379">
        <v>1246131961</v>
      </c>
      <c r="F379" s="30">
        <v>45566</v>
      </c>
      <c r="G379" s="30"/>
      <c r="H379" t="s">
        <v>172</v>
      </c>
      <c r="I379" t="s">
        <v>173</v>
      </c>
      <c r="J379">
        <v>2969</v>
      </c>
      <c r="K379" s="30">
        <v>45352</v>
      </c>
      <c r="L379">
        <v>1010100</v>
      </c>
      <c r="M379" t="s">
        <v>35</v>
      </c>
      <c r="N379">
        <v>161</v>
      </c>
      <c r="O379" t="s">
        <v>160</v>
      </c>
      <c r="P379" t="s">
        <v>176</v>
      </c>
      <c r="Q379">
        <f t="shared" si="7"/>
        <v>575</v>
      </c>
      <c r="R379">
        <f>_xlfn.XLOOKUP(E379,'Data Additive'!E:E,'Data Additive'!E:E,0)</f>
        <v>0</v>
      </c>
    </row>
    <row r="380" spans="1:18" x14ac:dyDescent="0.25">
      <c r="A380">
        <v>6132</v>
      </c>
      <c r="B380" t="s">
        <v>176</v>
      </c>
      <c r="C380" t="s">
        <v>177</v>
      </c>
      <c r="D380" s="34">
        <v>108747.2</v>
      </c>
      <c r="E380">
        <v>1246132951</v>
      </c>
      <c r="F380" s="30">
        <v>45572</v>
      </c>
      <c r="G380" s="30"/>
      <c r="H380" t="s">
        <v>172</v>
      </c>
      <c r="I380" t="s">
        <v>173</v>
      </c>
      <c r="J380">
        <v>3007</v>
      </c>
      <c r="K380" s="30">
        <v>45358</v>
      </c>
      <c r="L380">
        <v>1010100</v>
      </c>
      <c r="M380" t="s">
        <v>35</v>
      </c>
      <c r="N380">
        <v>161</v>
      </c>
      <c r="O380" t="s">
        <v>160</v>
      </c>
      <c r="P380" t="s">
        <v>176</v>
      </c>
      <c r="Q380">
        <f t="shared" si="7"/>
        <v>569</v>
      </c>
      <c r="R380">
        <f>_xlfn.XLOOKUP(E380,'Data Additive'!E:E,'Data Additive'!E:E,0)</f>
        <v>0</v>
      </c>
    </row>
    <row r="381" spans="1:18" x14ac:dyDescent="0.25">
      <c r="A381">
        <v>6132</v>
      </c>
      <c r="B381" t="s">
        <v>176</v>
      </c>
      <c r="C381" t="s">
        <v>177</v>
      </c>
      <c r="D381" s="34">
        <v>86997.759999999995</v>
      </c>
      <c r="E381">
        <v>1246131102</v>
      </c>
      <c r="F381" s="30">
        <v>45570</v>
      </c>
      <c r="G381" s="30"/>
      <c r="H381" t="s">
        <v>172</v>
      </c>
      <c r="I381" t="s">
        <v>173</v>
      </c>
      <c r="J381">
        <v>2917</v>
      </c>
      <c r="K381" s="30">
        <v>45348</v>
      </c>
      <c r="L381">
        <v>1010100</v>
      </c>
      <c r="M381" t="s">
        <v>35</v>
      </c>
      <c r="N381">
        <v>161</v>
      </c>
      <c r="O381" t="s">
        <v>160</v>
      </c>
      <c r="P381" t="s">
        <v>176</v>
      </c>
      <c r="Q381">
        <f t="shared" si="7"/>
        <v>571</v>
      </c>
      <c r="R381">
        <f>_xlfn.XLOOKUP(E381,'Data Additive'!E:E,'Data Additive'!E:E,0)</f>
        <v>0</v>
      </c>
    </row>
    <row r="382" spans="1:18" x14ac:dyDescent="0.25">
      <c r="A382">
        <v>6132</v>
      </c>
      <c r="B382" t="s">
        <v>176</v>
      </c>
      <c r="C382" t="s">
        <v>177</v>
      </c>
      <c r="D382" s="34">
        <v>29450.6</v>
      </c>
      <c r="E382">
        <v>1246146931</v>
      </c>
      <c r="F382" s="30">
        <v>45584</v>
      </c>
      <c r="G382" s="30"/>
      <c r="H382" t="s">
        <v>172</v>
      </c>
      <c r="I382" t="s">
        <v>173</v>
      </c>
      <c r="J382">
        <v>3632</v>
      </c>
      <c r="K382" s="30">
        <v>45434</v>
      </c>
      <c r="L382">
        <v>1010100</v>
      </c>
      <c r="M382" t="s">
        <v>35</v>
      </c>
      <c r="N382">
        <v>161</v>
      </c>
      <c r="O382" t="s">
        <v>160</v>
      </c>
      <c r="P382" t="s">
        <v>176</v>
      </c>
      <c r="Q382">
        <f t="shared" si="7"/>
        <v>557</v>
      </c>
      <c r="R382">
        <f>_xlfn.XLOOKUP(E382,'Data Additive'!E:E,'Data Additive'!E:E,0)</f>
        <v>0</v>
      </c>
    </row>
    <row r="383" spans="1:18" x14ac:dyDescent="0.25">
      <c r="A383">
        <v>6132</v>
      </c>
      <c r="B383" t="s">
        <v>176</v>
      </c>
      <c r="C383" t="s">
        <v>177</v>
      </c>
      <c r="D383" s="34">
        <v>38061.519999999997</v>
      </c>
      <c r="E383">
        <v>1246146932</v>
      </c>
      <c r="F383" s="30">
        <v>45569</v>
      </c>
      <c r="G383" s="30"/>
      <c r="H383" t="s">
        <v>172</v>
      </c>
      <c r="I383" t="s">
        <v>173</v>
      </c>
      <c r="J383">
        <v>3633</v>
      </c>
      <c r="K383" s="30">
        <v>45434</v>
      </c>
      <c r="L383">
        <v>1010100</v>
      </c>
      <c r="M383" t="s">
        <v>35</v>
      </c>
      <c r="N383">
        <v>161</v>
      </c>
      <c r="O383" t="s">
        <v>160</v>
      </c>
      <c r="P383" t="s">
        <v>176</v>
      </c>
      <c r="Q383">
        <f t="shared" si="7"/>
        <v>572</v>
      </c>
      <c r="R383">
        <f>_xlfn.XLOOKUP(E383,'Data Additive'!E:E,'Data Additive'!E:E,0)</f>
        <v>0</v>
      </c>
    </row>
    <row r="384" spans="1:18" x14ac:dyDescent="0.25">
      <c r="A384">
        <v>6132</v>
      </c>
      <c r="B384" t="s">
        <v>176</v>
      </c>
      <c r="C384" t="s">
        <v>177</v>
      </c>
      <c r="D384" s="34">
        <v>8760</v>
      </c>
      <c r="E384">
        <v>1246146933</v>
      </c>
      <c r="F384" s="30">
        <v>45462</v>
      </c>
      <c r="G384" s="30"/>
      <c r="H384" t="s">
        <v>172</v>
      </c>
      <c r="I384" t="s">
        <v>173</v>
      </c>
      <c r="J384">
        <v>3634</v>
      </c>
      <c r="K384" s="30">
        <v>45434</v>
      </c>
      <c r="L384">
        <v>1010100</v>
      </c>
      <c r="M384" t="s">
        <v>35</v>
      </c>
      <c r="N384">
        <v>161</v>
      </c>
      <c r="O384" t="s">
        <v>160</v>
      </c>
      <c r="P384" t="s">
        <v>176</v>
      </c>
      <c r="Q384">
        <f t="shared" si="7"/>
        <v>679</v>
      </c>
      <c r="R384">
        <f>_xlfn.XLOOKUP(E384,'Data Additive'!E:E,'Data Additive'!E:E,0)</f>
        <v>0</v>
      </c>
    </row>
    <row r="385" spans="1:18" x14ac:dyDescent="0.25">
      <c r="A385">
        <v>6132</v>
      </c>
      <c r="B385" t="s">
        <v>176</v>
      </c>
      <c r="C385" t="s">
        <v>177</v>
      </c>
      <c r="D385" s="34">
        <v>14851.85</v>
      </c>
      <c r="E385">
        <v>1246132474</v>
      </c>
      <c r="F385" s="30">
        <v>45570</v>
      </c>
      <c r="G385" s="30"/>
      <c r="H385" t="s">
        <v>172</v>
      </c>
      <c r="I385" t="s">
        <v>173</v>
      </c>
      <c r="J385">
        <v>2989</v>
      </c>
      <c r="K385" s="30">
        <v>45356</v>
      </c>
      <c r="L385">
        <v>1010100</v>
      </c>
      <c r="M385" t="s">
        <v>35</v>
      </c>
      <c r="N385">
        <v>161</v>
      </c>
      <c r="O385" t="s">
        <v>160</v>
      </c>
      <c r="P385" t="s">
        <v>176</v>
      </c>
      <c r="Q385">
        <f t="shared" si="7"/>
        <v>571</v>
      </c>
      <c r="R385">
        <f>_xlfn.XLOOKUP(E385,'Data Additive'!E:E,'Data Additive'!E:E,0)</f>
        <v>0</v>
      </c>
    </row>
    <row r="386" spans="1:18" x14ac:dyDescent="0.25">
      <c r="A386">
        <v>6132</v>
      </c>
      <c r="B386" t="s">
        <v>176</v>
      </c>
      <c r="C386" t="s">
        <v>177</v>
      </c>
      <c r="D386" s="34">
        <v>99200.52</v>
      </c>
      <c r="E386">
        <v>1246147269</v>
      </c>
      <c r="F386" s="30">
        <v>45571</v>
      </c>
      <c r="G386" s="30"/>
      <c r="H386" t="s">
        <v>172</v>
      </c>
      <c r="I386" t="s">
        <v>173</v>
      </c>
      <c r="J386">
        <v>3665</v>
      </c>
      <c r="K386" s="30">
        <v>45436</v>
      </c>
      <c r="L386">
        <v>1010100</v>
      </c>
      <c r="M386" t="s">
        <v>35</v>
      </c>
      <c r="N386">
        <v>161</v>
      </c>
      <c r="O386" t="s">
        <v>160</v>
      </c>
      <c r="P386" t="s">
        <v>176</v>
      </c>
      <c r="Q386">
        <f t="shared" si="7"/>
        <v>570</v>
      </c>
      <c r="R386">
        <f>_xlfn.XLOOKUP(E386,'Data Additive'!E:E,'Data Additive'!E:E,0)</f>
        <v>0</v>
      </c>
    </row>
    <row r="387" spans="1:18" x14ac:dyDescent="0.25">
      <c r="A387">
        <v>6132</v>
      </c>
      <c r="B387" t="s">
        <v>176</v>
      </c>
      <c r="C387" t="s">
        <v>177</v>
      </c>
      <c r="D387" s="34">
        <v>33509.519999999997</v>
      </c>
      <c r="E387">
        <v>1246148020</v>
      </c>
      <c r="F387" s="30">
        <v>45576</v>
      </c>
      <c r="G387" s="30"/>
      <c r="H387" t="s">
        <v>172</v>
      </c>
      <c r="I387" t="s">
        <v>173</v>
      </c>
      <c r="J387">
        <v>3714</v>
      </c>
      <c r="K387" s="30">
        <v>45441</v>
      </c>
      <c r="L387">
        <v>1010100</v>
      </c>
      <c r="M387" t="s">
        <v>35</v>
      </c>
      <c r="N387">
        <v>161</v>
      </c>
      <c r="O387" t="s">
        <v>160</v>
      </c>
      <c r="P387" t="s">
        <v>176</v>
      </c>
      <c r="Q387">
        <f t="shared" si="7"/>
        <v>565</v>
      </c>
      <c r="R387">
        <f>_xlfn.XLOOKUP(E387,'Data Additive'!E:E,'Data Additive'!E:E,0)</f>
        <v>0</v>
      </c>
    </row>
    <row r="388" spans="1:18" x14ac:dyDescent="0.25">
      <c r="A388">
        <v>6132</v>
      </c>
      <c r="B388" t="s">
        <v>176</v>
      </c>
      <c r="C388" t="s">
        <v>177</v>
      </c>
      <c r="D388" s="34">
        <v>56218.2</v>
      </c>
      <c r="E388">
        <v>1246148019</v>
      </c>
      <c r="F388" s="30">
        <v>45576</v>
      </c>
      <c r="G388" s="30"/>
      <c r="H388" t="s">
        <v>172</v>
      </c>
      <c r="I388" t="s">
        <v>173</v>
      </c>
      <c r="J388">
        <v>3713</v>
      </c>
      <c r="K388" s="30">
        <v>45441</v>
      </c>
      <c r="L388">
        <v>1010100</v>
      </c>
      <c r="M388" t="s">
        <v>35</v>
      </c>
      <c r="N388">
        <v>161</v>
      </c>
      <c r="O388" t="s">
        <v>160</v>
      </c>
      <c r="P388" t="s">
        <v>176</v>
      </c>
      <c r="Q388">
        <f t="shared" si="7"/>
        <v>565</v>
      </c>
      <c r="R388">
        <f>_xlfn.XLOOKUP(E388,'Data Additive'!E:E,'Data Additive'!E:E,0)</f>
        <v>0</v>
      </c>
    </row>
    <row r="389" spans="1:18" x14ac:dyDescent="0.25">
      <c r="A389">
        <v>6132</v>
      </c>
      <c r="B389" t="s">
        <v>176</v>
      </c>
      <c r="C389" t="s">
        <v>177</v>
      </c>
      <c r="D389" s="34">
        <v>95220.3</v>
      </c>
      <c r="E389">
        <v>1246135170</v>
      </c>
      <c r="F389" s="30">
        <v>45566</v>
      </c>
      <c r="G389" s="30"/>
      <c r="H389" t="s">
        <v>172</v>
      </c>
      <c r="I389" t="s">
        <v>173</v>
      </c>
      <c r="J389">
        <v>3136</v>
      </c>
      <c r="K389" s="30">
        <v>45372</v>
      </c>
      <c r="L389">
        <v>1010100</v>
      </c>
      <c r="M389" t="s">
        <v>35</v>
      </c>
      <c r="N389">
        <v>161</v>
      </c>
      <c r="O389" t="s">
        <v>160</v>
      </c>
      <c r="P389" t="s">
        <v>176</v>
      </c>
      <c r="Q389">
        <f t="shared" si="7"/>
        <v>575</v>
      </c>
      <c r="R389">
        <f>_xlfn.XLOOKUP(E389,'Data Additive'!E:E,'Data Additive'!E:E,0)</f>
        <v>0</v>
      </c>
    </row>
    <row r="390" spans="1:18" x14ac:dyDescent="0.25">
      <c r="A390">
        <v>6132</v>
      </c>
      <c r="B390" t="s">
        <v>176</v>
      </c>
      <c r="C390" t="s">
        <v>177</v>
      </c>
      <c r="D390" s="34">
        <v>29542.9</v>
      </c>
      <c r="E390">
        <v>1246135172</v>
      </c>
      <c r="F390" s="30">
        <v>45566</v>
      </c>
      <c r="G390" s="30"/>
      <c r="H390" t="s">
        <v>172</v>
      </c>
      <c r="I390" t="s">
        <v>173</v>
      </c>
      <c r="J390">
        <v>3137</v>
      </c>
      <c r="K390" s="30">
        <v>45372</v>
      </c>
      <c r="L390">
        <v>1010100</v>
      </c>
      <c r="M390" t="s">
        <v>35</v>
      </c>
      <c r="N390">
        <v>161</v>
      </c>
      <c r="O390" t="s">
        <v>160</v>
      </c>
      <c r="P390" t="s">
        <v>176</v>
      </c>
      <c r="Q390">
        <f t="shared" si="7"/>
        <v>575</v>
      </c>
      <c r="R390">
        <f>_xlfn.XLOOKUP(E390,'Data Additive'!E:E,'Data Additive'!E:E,0)</f>
        <v>0</v>
      </c>
    </row>
    <row r="391" spans="1:18" x14ac:dyDescent="0.25">
      <c r="A391">
        <v>6132</v>
      </c>
      <c r="B391" t="s">
        <v>176</v>
      </c>
      <c r="C391" t="s">
        <v>177</v>
      </c>
      <c r="D391" s="34">
        <v>92588.02</v>
      </c>
      <c r="E391">
        <v>1246138275</v>
      </c>
      <c r="F391" s="30">
        <v>45570</v>
      </c>
      <c r="G391" s="30"/>
      <c r="H391" t="s">
        <v>172</v>
      </c>
      <c r="I391" t="s">
        <v>173</v>
      </c>
      <c r="J391">
        <v>3249</v>
      </c>
      <c r="K391" s="30">
        <v>45390</v>
      </c>
      <c r="L391">
        <v>1010100</v>
      </c>
      <c r="M391" t="s">
        <v>35</v>
      </c>
      <c r="N391">
        <v>161</v>
      </c>
      <c r="O391" t="s">
        <v>160</v>
      </c>
      <c r="P391" t="s">
        <v>176</v>
      </c>
      <c r="Q391">
        <f t="shared" si="7"/>
        <v>571</v>
      </c>
      <c r="R391">
        <f>_xlfn.XLOOKUP(E391,'Data Additive'!E:E,'Data Additive'!E:E,0)</f>
        <v>0</v>
      </c>
    </row>
    <row r="392" spans="1:18" x14ac:dyDescent="0.25">
      <c r="A392">
        <v>6132</v>
      </c>
      <c r="B392" t="s">
        <v>176</v>
      </c>
      <c r="C392" t="s">
        <v>177</v>
      </c>
      <c r="D392" s="34">
        <v>97872.48</v>
      </c>
      <c r="E392">
        <v>1246135813</v>
      </c>
      <c r="F392" s="30">
        <v>45570</v>
      </c>
      <c r="G392" s="30"/>
      <c r="H392" t="s">
        <v>172</v>
      </c>
      <c r="I392" t="s">
        <v>173</v>
      </c>
      <c r="J392">
        <v>3160</v>
      </c>
      <c r="K392" s="30">
        <v>45376</v>
      </c>
      <c r="L392">
        <v>1010100</v>
      </c>
      <c r="M392" t="s">
        <v>35</v>
      </c>
      <c r="N392">
        <v>161</v>
      </c>
      <c r="O392" t="s">
        <v>160</v>
      </c>
      <c r="P392" t="s">
        <v>176</v>
      </c>
      <c r="Q392">
        <f t="shared" si="7"/>
        <v>571</v>
      </c>
      <c r="R392">
        <f>_xlfn.XLOOKUP(E392,'Data Additive'!E:E,'Data Additive'!E:E,0)</f>
        <v>0</v>
      </c>
    </row>
    <row r="393" spans="1:18" x14ac:dyDescent="0.25">
      <c r="A393">
        <v>6132</v>
      </c>
      <c r="B393" t="s">
        <v>176</v>
      </c>
      <c r="C393" t="s">
        <v>177</v>
      </c>
      <c r="D393" s="34">
        <v>155705</v>
      </c>
      <c r="E393">
        <v>1246130904</v>
      </c>
      <c r="F393" s="30">
        <v>45567</v>
      </c>
      <c r="G393" s="30"/>
      <c r="H393" t="s">
        <v>172</v>
      </c>
      <c r="I393" t="s">
        <v>173</v>
      </c>
      <c r="J393">
        <v>2906</v>
      </c>
      <c r="K393" s="30">
        <v>45345</v>
      </c>
      <c r="L393">
        <v>1010100</v>
      </c>
      <c r="M393" t="s">
        <v>35</v>
      </c>
      <c r="N393">
        <v>161</v>
      </c>
      <c r="O393" t="s">
        <v>160</v>
      </c>
      <c r="P393" t="s">
        <v>176</v>
      </c>
      <c r="Q393">
        <f t="shared" si="7"/>
        <v>574</v>
      </c>
      <c r="R393">
        <f>_xlfn.XLOOKUP(E393,'Data Additive'!E:E,'Data Additive'!E:E,0)</f>
        <v>0</v>
      </c>
    </row>
    <row r="394" spans="1:18" x14ac:dyDescent="0.25">
      <c r="A394">
        <v>6132</v>
      </c>
      <c r="B394" t="s">
        <v>176</v>
      </c>
      <c r="C394" t="s">
        <v>177</v>
      </c>
      <c r="D394" s="34">
        <v>86997.759999999995</v>
      </c>
      <c r="E394">
        <v>1246137598</v>
      </c>
      <c r="F394" s="30">
        <v>45566</v>
      </c>
      <c r="G394" s="30"/>
      <c r="H394" t="s">
        <v>172</v>
      </c>
      <c r="I394" t="s">
        <v>173</v>
      </c>
      <c r="J394">
        <v>3223</v>
      </c>
      <c r="K394" s="30">
        <v>45386</v>
      </c>
      <c r="L394">
        <v>1010100</v>
      </c>
      <c r="M394" t="s">
        <v>35</v>
      </c>
      <c r="N394">
        <v>161</v>
      </c>
      <c r="O394" t="s">
        <v>160</v>
      </c>
      <c r="P394" t="s">
        <v>176</v>
      </c>
      <c r="Q394">
        <f t="shared" si="7"/>
        <v>575</v>
      </c>
      <c r="R394">
        <f>_xlfn.XLOOKUP(E394,'Data Additive'!E:E,'Data Additive'!E:E,0)</f>
        <v>0</v>
      </c>
    </row>
    <row r="395" spans="1:18" x14ac:dyDescent="0.25">
      <c r="A395">
        <v>6132</v>
      </c>
      <c r="B395" t="s">
        <v>176</v>
      </c>
      <c r="C395" t="s">
        <v>177</v>
      </c>
      <c r="D395" s="34">
        <v>55849.2</v>
      </c>
      <c r="E395">
        <v>1246147270</v>
      </c>
      <c r="F395" s="30">
        <v>45571</v>
      </c>
      <c r="G395" s="30"/>
      <c r="H395" t="s">
        <v>172</v>
      </c>
      <c r="I395" t="s">
        <v>173</v>
      </c>
      <c r="J395">
        <v>3666</v>
      </c>
      <c r="K395" s="30">
        <v>45436</v>
      </c>
      <c r="L395">
        <v>1010100</v>
      </c>
      <c r="M395" t="s">
        <v>35</v>
      </c>
      <c r="N395">
        <v>161</v>
      </c>
      <c r="O395" t="s">
        <v>160</v>
      </c>
      <c r="P395" t="s">
        <v>176</v>
      </c>
      <c r="Q395">
        <f t="shared" si="7"/>
        <v>570</v>
      </c>
      <c r="R395">
        <f>_xlfn.XLOOKUP(E395,'Data Additive'!E:E,'Data Additive'!E:E,0)</f>
        <v>0</v>
      </c>
    </row>
    <row r="396" spans="1:18" x14ac:dyDescent="0.25">
      <c r="A396">
        <v>6132</v>
      </c>
      <c r="B396" t="s">
        <v>176</v>
      </c>
      <c r="C396" t="s">
        <v>177</v>
      </c>
      <c r="D396" s="34">
        <v>97872.48</v>
      </c>
      <c r="E396">
        <v>1246131241</v>
      </c>
      <c r="F396" s="30">
        <v>45571</v>
      </c>
      <c r="G396" s="30"/>
      <c r="H396" t="s">
        <v>172</v>
      </c>
      <c r="I396" t="s">
        <v>173</v>
      </c>
      <c r="J396">
        <v>2928</v>
      </c>
      <c r="K396" s="30">
        <v>45349</v>
      </c>
      <c r="L396">
        <v>1010100</v>
      </c>
      <c r="M396" t="s">
        <v>35</v>
      </c>
      <c r="N396">
        <v>161</v>
      </c>
      <c r="O396" t="s">
        <v>160</v>
      </c>
      <c r="P396" t="s">
        <v>176</v>
      </c>
      <c r="Q396">
        <f t="shared" si="7"/>
        <v>570</v>
      </c>
      <c r="R396">
        <f>_xlfn.XLOOKUP(E396,'Data Additive'!E:E,'Data Additive'!E:E,0)</f>
        <v>0</v>
      </c>
    </row>
    <row r="397" spans="1:18" x14ac:dyDescent="0.25">
      <c r="A397">
        <v>6132</v>
      </c>
      <c r="B397" t="s">
        <v>176</v>
      </c>
      <c r="C397" t="s">
        <v>177</v>
      </c>
      <c r="D397" s="34">
        <v>57092.28</v>
      </c>
      <c r="E397">
        <v>1246133070</v>
      </c>
      <c r="F397" s="30">
        <v>45573</v>
      </c>
      <c r="G397" s="30"/>
      <c r="H397" t="s">
        <v>172</v>
      </c>
      <c r="I397" t="s">
        <v>173</v>
      </c>
      <c r="J397">
        <v>3012</v>
      </c>
      <c r="K397" s="30">
        <v>45359</v>
      </c>
      <c r="L397">
        <v>1010100</v>
      </c>
      <c r="M397" t="s">
        <v>35</v>
      </c>
      <c r="N397">
        <v>161</v>
      </c>
      <c r="O397" t="s">
        <v>160</v>
      </c>
      <c r="P397" t="s">
        <v>176</v>
      </c>
      <c r="Q397">
        <f t="shared" si="7"/>
        <v>568</v>
      </c>
      <c r="R397">
        <f>_xlfn.XLOOKUP(E397,'Data Additive'!E:E,'Data Additive'!E:E,0)</f>
        <v>0</v>
      </c>
    </row>
    <row r="398" spans="1:18" x14ac:dyDescent="0.25">
      <c r="A398">
        <v>6132</v>
      </c>
      <c r="B398" t="s">
        <v>176</v>
      </c>
      <c r="C398" t="s">
        <v>177</v>
      </c>
      <c r="D398" s="34">
        <v>86997.759999999995</v>
      </c>
      <c r="E398">
        <v>1246131594</v>
      </c>
      <c r="F398" s="30">
        <v>45573</v>
      </c>
      <c r="G398" s="30"/>
      <c r="H398" t="s">
        <v>172</v>
      </c>
      <c r="I398" t="s">
        <v>173</v>
      </c>
      <c r="J398">
        <v>2956</v>
      </c>
      <c r="K398" s="30">
        <v>45351</v>
      </c>
      <c r="L398">
        <v>1010100</v>
      </c>
      <c r="M398" t="s">
        <v>35</v>
      </c>
      <c r="N398">
        <v>161</v>
      </c>
      <c r="O398" t="s">
        <v>160</v>
      </c>
      <c r="P398" t="s">
        <v>176</v>
      </c>
      <c r="Q398">
        <f t="shared" si="7"/>
        <v>568</v>
      </c>
      <c r="R398">
        <f>_xlfn.XLOOKUP(E398,'Data Additive'!E:E,'Data Additive'!E:E,0)</f>
        <v>0</v>
      </c>
    </row>
    <row r="399" spans="1:18" x14ac:dyDescent="0.25">
      <c r="A399">
        <v>6132</v>
      </c>
      <c r="B399" t="s">
        <v>176</v>
      </c>
      <c r="C399" t="s">
        <v>177</v>
      </c>
      <c r="D399" s="34">
        <v>86997.759999999995</v>
      </c>
      <c r="E399">
        <v>1246133332</v>
      </c>
      <c r="F399" s="30">
        <v>45576</v>
      </c>
      <c r="G399" s="30"/>
      <c r="H399" t="s">
        <v>172</v>
      </c>
      <c r="I399" t="s">
        <v>173</v>
      </c>
      <c r="J399">
        <v>3028</v>
      </c>
      <c r="K399" s="30">
        <v>45362</v>
      </c>
      <c r="L399">
        <v>1010100</v>
      </c>
      <c r="M399" t="s">
        <v>35</v>
      </c>
      <c r="N399">
        <v>161</v>
      </c>
      <c r="O399" t="s">
        <v>160</v>
      </c>
      <c r="P399" t="s">
        <v>176</v>
      </c>
      <c r="Q399">
        <f t="shared" si="7"/>
        <v>565</v>
      </c>
      <c r="R399">
        <f>_xlfn.XLOOKUP(E399,'Data Additive'!E:E,'Data Additive'!E:E,0)</f>
        <v>0</v>
      </c>
    </row>
    <row r="400" spans="1:18" x14ac:dyDescent="0.25">
      <c r="A400">
        <v>6132</v>
      </c>
      <c r="B400" t="s">
        <v>176</v>
      </c>
      <c r="C400" t="s">
        <v>177</v>
      </c>
      <c r="D400" s="34">
        <v>95153.8</v>
      </c>
      <c r="E400">
        <v>1246133718</v>
      </c>
      <c r="F400" s="30">
        <v>45578</v>
      </c>
      <c r="G400" s="30"/>
      <c r="H400" t="s">
        <v>172</v>
      </c>
      <c r="I400" t="s">
        <v>173</v>
      </c>
      <c r="J400">
        <v>3051</v>
      </c>
      <c r="K400" s="30">
        <v>45364</v>
      </c>
      <c r="L400">
        <v>1010100</v>
      </c>
      <c r="M400" t="s">
        <v>35</v>
      </c>
      <c r="N400">
        <v>161</v>
      </c>
      <c r="O400" t="s">
        <v>160</v>
      </c>
      <c r="P400" t="s">
        <v>176</v>
      </c>
      <c r="Q400">
        <f t="shared" si="7"/>
        <v>563</v>
      </c>
      <c r="R400">
        <f>_xlfn.XLOOKUP(E400,'Data Additive'!E:E,'Data Additive'!E:E,0)</f>
        <v>0</v>
      </c>
    </row>
    <row r="401" spans="1:18" x14ac:dyDescent="0.25">
      <c r="A401">
        <v>6132</v>
      </c>
      <c r="B401" t="s">
        <v>176</v>
      </c>
      <c r="C401" t="s">
        <v>177</v>
      </c>
      <c r="D401" s="34">
        <v>116501.9</v>
      </c>
      <c r="E401">
        <v>1246138114</v>
      </c>
      <c r="F401" s="30">
        <v>45570</v>
      </c>
      <c r="G401" s="30"/>
      <c r="H401" t="s">
        <v>172</v>
      </c>
      <c r="I401" t="s">
        <v>173</v>
      </c>
      <c r="J401">
        <v>3243</v>
      </c>
      <c r="K401" s="30">
        <v>45390</v>
      </c>
      <c r="L401">
        <v>1010100</v>
      </c>
      <c r="M401" t="s">
        <v>35</v>
      </c>
      <c r="N401">
        <v>161</v>
      </c>
      <c r="O401" t="s">
        <v>160</v>
      </c>
      <c r="P401" t="s">
        <v>176</v>
      </c>
      <c r="Q401">
        <f t="shared" si="7"/>
        <v>571</v>
      </c>
      <c r="R401">
        <f>_xlfn.XLOOKUP(E401,'Data Additive'!E:E,'Data Additive'!E:E,0)</f>
        <v>0</v>
      </c>
    </row>
    <row r="402" spans="1:18" x14ac:dyDescent="0.25">
      <c r="A402">
        <v>6132</v>
      </c>
      <c r="B402" t="s">
        <v>176</v>
      </c>
      <c r="C402" t="s">
        <v>177</v>
      </c>
      <c r="D402" s="34">
        <v>134954</v>
      </c>
      <c r="E402">
        <v>1246130651</v>
      </c>
      <c r="F402" s="30">
        <v>45566</v>
      </c>
      <c r="G402" s="30"/>
      <c r="H402" t="s">
        <v>172</v>
      </c>
      <c r="I402" t="s">
        <v>173</v>
      </c>
      <c r="J402">
        <v>2889</v>
      </c>
      <c r="K402" s="30">
        <v>45344</v>
      </c>
      <c r="L402">
        <v>1010100</v>
      </c>
      <c r="M402" t="s">
        <v>35</v>
      </c>
      <c r="N402">
        <v>161</v>
      </c>
      <c r="O402" t="s">
        <v>160</v>
      </c>
      <c r="P402" t="s">
        <v>176</v>
      </c>
      <c r="Q402">
        <f t="shared" si="7"/>
        <v>575</v>
      </c>
      <c r="R402">
        <f>_xlfn.XLOOKUP(E402,'Data Additive'!E:E,'Data Additive'!E:E,0)</f>
        <v>0</v>
      </c>
    </row>
    <row r="403" spans="1:18" x14ac:dyDescent="0.25">
      <c r="A403">
        <v>6132</v>
      </c>
      <c r="B403" t="s">
        <v>176</v>
      </c>
      <c r="C403" t="s">
        <v>177</v>
      </c>
      <c r="D403" s="34">
        <v>86997.759999999995</v>
      </c>
      <c r="E403">
        <v>1246131630</v>
      </c>
      <c r="F403" s="30">
        <v>45573</v>
      </c>
      <c r="G403" s="30"/>
      <c r="H403" t="s">
        <v>172</v>
      </c>
      <c r="I403" t="s">
        <v>173</v>
      </c>
      <c r="J403">
        <v>2958</v>
      </c>
      <c r="K403" s="30">
        <v>45351</v>
      </c>
      <c r="L403">
        <v>1010100</v>
      </c>
      <c r="M403" t="s">
        <v>35</v>
      </c>
      <c r="N403">
        <v>161</v>
      </c>
      <c r="O403" t="s">
        <v>160</v>
      </c>
      <c r="P403" t="s">
        <v>176</v>
      </c>
      <c r="Q403">
        <f t="shared" ref="Q403:Q445" si="8">$R$1-F403</f>
        <v>568</v>
      </c>
      <c r="R403">
        <f>_xlfn.XLOOKUP(E403,'Data Additive'!E:E,'Data Additive'!E:E,0)</f>
        <v>0</v>
      </c>
    </row>
    <row r="404" spans="1:18" x14ac:dyDescent="0.25">
      <c r="A404">
        <v>6132</v>
      </c>
      <c r="B404" t="s">
        <v>176</v>
      </c>
      <c r="C404" t="s">
        <v>177</v>
      </c>
      <c r="D404" s="34">
        <v>29949.599999999999</v>
      </c>
      <c r="E404">
        <v>1246133071</v>
      </c>
      <c r="F404" s="30">
        <v>45573</v>
      </c>
      <c r="G404" s="30"/>
      <c r="H404" t="s">
        <v>172</v>
      </c>
      <c r="I404" t="s">
        <v>173</v>
      </c>
      <c r="J404">
        <v>3013</v>
      </c>
      <c r="K404" s="30">
        <v>45359</v>
      </c>
      <c r="L404">
        <v>1010100</v>
      </c>
      <c r="M404" t="s">
        <v>35</v>
      </c>
      <c r="N404">
        <v>161</v>
      </c>
      <c r="O404" t="s">
        <v>160</v>
      </c>
      <c r="P404" t="s">
        <v>176</v>
      </c>
      <c r="Q404">
        <f t="shared" si="8"/>
        <v>568</v>
      </c>
      <c r="R404">
        <f>_xlfn.XLOOKUP(E404,'Data Additive'!E:E,'Data Additive'!E:E,0)</f>
        <v>0</v>
      </c>
    </row>
    <row r="405" spans="1:18" x14ac:dyDescent="0.25">
      <c r="A405">
        <v>6132</v>
      </c>
      <c r="B405" t="s">
        <v>176</v>
      </c>
      <c r="C405" t="s">
        <v>177</v>
      </c>
      <c r="D405" s="34">
        <v>54275.6</v>
      </c>
      <c r="E405">
        <v>1246132475</v>
      </c>
      <c r="F405" s="30">
        <v>45570</v>
      </c>
      <c r="G405" s="30"/>
      <c r="H405" t="s">
        <v>172</v>
      </c>
      <c r="I405" t="s">
        <v>173</v>
      </c>
      <c r="J405">
        <v>2990</v>
      </c>
      <c r="K405" s="30">
        <v>45356</v>
      </c>
      <c r="L405">
        <v>1010100</v>
      </c>
      <c r="M405" t="s">
        <v>35</v>
      </c>
      <c r="N405">
        <v>161</v>
      </c>
      <c r="O405" t="s">
        <v>160</v>
      </c>
      <c r="P405" t="s">
        <v>176</v>
      </c>
      <c r="Q405">
        <f t="shared" si="8"/>
        <v>571</v>
      </c>
      <c r="R405">
        <f>_xlfn.XLOOKUP(E405,'Data Additive'!E:E,'Data Additive'!E:E,0)</f>
        <v>0</v>
      </c>
    </row>
    <row r="406" spans="1:18" x14ac:dyDescent="0.25">
      <c r="A406">
        <v>6132</v>
      </c>
      <c r="B406" t="s">
        <v>176</v>
      </c>
      <c r="C406" t="s">
        <v>177</v>
      </c>
      <c r="D406" s="34">
        <v>97872.48</v>
      </c>
      <c r="E406">
        <v>1246132869</v>
      </c>
      <c r="F406" s="30">
        <v>45572</v>
      </c>
      <c r="G406" s="30"/>
      <c r="H406" t="s">
        <v>172</v>
      </c>
      <c r="I406" t="s">
        <v>173</v>
      </c>
      <c r="J406">
        <v>3001</v>
      </c>
      <c r="K406" s="30">
        <v>45358</v>
      </c>
      <c r="L406">
        <v>1010100</v>
      </c>
      <c r="M406" t="s">
        <v>35</v>
      </c>
      <c r="N406">
        <v>161</v>
      </c>
      <c r="O406" t="s">
        <v>160</v>
      </c>
      <c r="P406" t="s">
        <v>176</v>
      </c>
      <c r="Q406">
        <f t="shared" si="8"/>
        <v>569</v>
      </c>
      <c r="R406">
        <f>_xlfn.XLOOKUP(E406,'Data Additive'!E:E,'Data Additive'!E:E,0)</f>
        <v>0</v>
      </c>
    </row>
    <row r="407" spans="1:18" x14ac:dyDescent="0.25">
      <c r="A407">
        <v>6132</v>
      </c>
      <c r="B407" t="s">
        <v>176</v>
      </c>
      <c r="C407" t="s">
        <v>177</v>
      </c>
      <c r="D407" s="34">
        <v>86997.759999999995</v>
      </c>
      <c r="E407">
        <v>1246147192</v>
      </c>
      <c r="F407" s="30">
        <v>45571</v>
      </c>
      <c r="G407" s="30"/>
      <c r="H407" t="s">
        <v>172</v>
      </c>
      <c r="I407" t="s">
        <v>173</v>
      </c>
      <c r="J407">
        <v>3654</v>
      </c>
      <c r="K407" s="30">
        <v>45436</v>
      </c>
      <c r="L407">
        <v>1010100</v>
      </c>
      <c r="M407" t="s">
        <v>35</v>
      </c>
      <c r="N407">
        <v>161</v>
      </c>
      <c r="O407" t="s">
        <v>160</v>
      </c>
      <c r="P407" t="s">
        <v>176</v>
      </c>
      <c r="Q407">
        <f t="shared" si="8"/>
        <v>570</v>
      </c>
      <c r="R407">
        <f>_xlfn.XLOOKUP(E407,'Data Additive'!E:E,'Data Additive'!E:E,0)</f>
        <v>0</v>
      </c>
    </row>
    <row r="408" spans="1:18" ht="0.6" customHeight="1" x14ac:dyDescent="0.25">
      <c r="A408">
        <v>6132</v>
      </c>
      <c r="B408" t="s">
        <v>176</v>
      </c>
      <c r="C408" t="s">
        <v>177</v>
      </c>
      <c r="D408" s="34">
        <v>101192.76</v>
      </c>
      <c r="E408">
        <v>1246148270</v>
      </c>
      <c r="F408" s="30">
        <v>45578</v>
      </c>
      <c r="G408" s="30"/>
      <c r="H408" t="s">
        <v>172</v>
      </c>
      <c r="I408" t="s">
        <v>173</v>
      </c>
      <c r="J408">
        <v>3731</v>
      </c>
      <c r="K408" s="30">
        <v>45443</v>
      </c>
      <c r="L408">
        <v>1010100</v>
      </c>
      <c r="M408" t="s">
        <v>35</v>
      </c>
      <c r="N408">
        <v>161</v>
      </c>
      <c r="O408" t="s">
        <v>160</v>
      </c>
      <c r="P408" t="s">
        <v>176</v>
      </c>
      <c r="Q408">
        <f t="shared" si="8"/>
        <v>563</v>
      </c>
      <c r="R408">
        <f>_xlfn.XLOOKUP(E408,'Data Additive'!E:E,'Data Additive'!E:E,0)</f>
        <v>0</v>
      </c>
    </row>
    <row r="409" spans="1:18" x14ac:dyDescent="0.25">
      <c r="A409">
        <v>5519</v>
      </c>
      <c r="B409" t="s">
        <v>302</v>
      </c>
      <c r="C409" t="s">
        <v>876</v>
      </c>
      <c r="D409" s="34">
        <v>43569.75</v>
      </c>
      <c r="E409">
        <v>1246269683</v>
      </c>
      <c r="F409" s="30">
        <v>46172</v>
      </c>
      <c r="G409" s="30"/>
      <c r="H409" t="s">
        <v>28</v>
      </c>
      <c r="I409" t="s">
        <v>29</v>
      </c>
      <c r="J409">
        <v>11012</v>
      </c>
      <c r="K409" s="30">
        <v>46112</v>
      </c>
      <c r="L409">
        <v>1010100</v>
      </c>
      <c r="M409" t="s">
        <v>35</v>
      </c>
      <c r="N409">
        <v>161</v>
      </c>
      <c r="O409" t="s">
        <v>160</v>
      </c>
      <c r="P409" t="s">
        <v>302</v>
      </c>
      <c r="Q409">
        <f t="shared" si="8"/>
        <v>-31</v>
      </c>
      <c r="R409">
        <f>_xlfn.XLOOKUP(E409,'Data Additive'!E:E,'Data Additive'!E:E,0)</f>
        <v>1246269683</v>
      </c>
    </row>
    <row r="410" spans="1:18" x14ac:dyDescent="0.25">
      <c r="A410">
        <v>6177</v>
      </c>
      <c r="B410" t="s">
        <v>729</v>
      </c>
      <c r="C410" t="s">
        <v>799</v>
      </c>
      <c r="D410" s="34">
        <v>122180</v>
      </c>
      <c r="E410">
        <v>1246273001</v>
      </c>
      <c r="F410" s="30">
        <v>46200</v>
      </c>
      <c r="G410" s="30"/>
      <c r="H410" t="s">
        <v>28</v>
      </c>
      <c r="I410" t="s">
        <v>29</v>
      </c>
      <c r="J410">
        <v>11247</v>
      </c>
      <c r="K410" s="30">
        <v>46140</v>
      </c>
      <c r="L410">
        <v>1010100</v>
      </c>
      <c r="M410" t="s">
        <v>35</v>
      </c>
      <c r="N410">
        <v>161</v>
      </c>
      <c r="O410" t="s">
        <v>160</v>
      </c>
      <c r="P410" t="s">
        <v>729</v>
      </c>
      <c r="Q410">
        <f t="shared" si="8"/>
        <v>-59</v>
      </c>
      <c r="R410">
        <f>_xlfn.XLOOKUP(E410,'Data Additive'!E:E,'Data Additive'!E:E,0)</f>
        <v>1246273001</v>
      </c>
    </row>
    <row r="411" spans="1:18" x14ac:dyDescent="0.25">
      <c r="A411">
        <v>6177</v>
      </c>
      <c r="B411" t="s">
        <v>729</v>
      </c>
      <c r="C411" t="s">
        <v>799</v>
      </c>
      <c r="D411" s="34">
        <v>121852</v>
      </c>
      <c r="E411">
        <v>1246269467</v>
      </c>
      <c r="F411" s="30">
        <v>46168</v>
      </c>
      <c r="G411" s="30"/>
      <c r="H411" t="s">
        <v>28</v>
      </c>
      <c r="I411" t="s">
        <v>29</v>
      </c>
      <c r="J411">
        <v>10994</v>
      </c>
      <c r="K411" s="30">
        <v>46108</v>
      </c>
      <c r="L411">
        <v>1010100</v>
      </c>
      <c r="M411" t="s">
        <v>35</v>
      </c>
      <c r="N411">
        <v>161</v>
      </c>
      <c r="O411" t="s">
        <v>160</v>
      </c>
      <c r="P411" t="s">
        <v>729</v>
      </c>
      <c r="Q411">
        <f t="shared" si="8"/>
        <v>-27</v>
      </c>
      <c r="R411">
        <f>_xlfn.XLOOKUP(E411,'Data Additive'!E:E,'Data Additive'!E:E,0)</f>
        <v>1246269467</v>
      </c>
    </row>
    <row r="412" spans="1:18" x14ac:dyDescent="0.25">
      <c r="A412">
        <v>5300</v>
      </c>
      <c r="B412" t="s">
        <v>30</v>
      </c>
      <c r="C412" t="s">
        <v>547</v>
      </c>
      <c r="D412" s="34">
        <v>175004.1</v>
      </c>
      <c r="E412">
        <v>1246270198</v>
      </c>
      <c r="F412" s="30">
        <v>46142</v>
      </c>
      <c r="G412" s="30">
        <v>46146</v>
      </c>
      <c r="H412" t="s">
        <v>28</v>
      </c>
      <c r="I412" t="s">
        <v>29</v>
      </c>
      <c r="J412">
        <v>11048</v>
      </c>
      <c r="K412" s="30">
        <v>46114</v>
      </c>
      <c r="L412">
        <v>1010100</v>
      </c>
      <c r="M412" t="s">
        <v>35</v>
      </c>
      <c r="N412">
        <v>161</v>
      </c>
      <c r="O412" t="s">
        <v>160</v>
      </c>
      <c r="P412" t="s">
        <v>30</v>
      </c>
      <c r="Q412">
        <f t="shared" si="8"/>
        <v>-1</v>
      </c>
      <c r="R412">
        <f>_xlfn.XLOOKUP(E412,'Data Additive'!E:E,'Data Additive'!E:E,0)</f>
        <v>1246270198</v>
      </c>
    </row>
    <row r="413" spans="1:18" x14ac:dyDescent="0.25">
      <c r="A413">
        <v>5300</v>
      </c>
      <c r="B413" t="s">
        <v>30</v>
      </c>
      <c r="C413" t="s">
        <v>547</v>
      </c>
      <c r="D413" s="34">
        <v>169176.4</v>
      </c>
      <c r="E413">
        <v>1246273181</v>
      </c>
      <c r="F413" s="30">
        <v>46170</v>
      </c>
      <c r="G413" s="30"/>
      <c r="H413" t="s">
        <v>28</v>
      </c>
      <c r="I413" t="s">
        <v>29</v>
      </c>
      <c r="J413">
        <v>11268</v>
      </c>
      <c r="K413" s="30">
        <v>46142</v>
      </c>
      <c r="L413">
        <v>1010100</v>
      </c>
      <c r="M413" t="s">
        <v>35</v>
      </c>
      <c r="N413">
        <v>161</v>
      </c>
      <c r="O413" t="s">
        <v>160</v>
      </c>
      <c r="P413" t="s">
        <v>30</v>
      </c>
      <c r="Q413">
        <f t="shared" si="8"/>
        <v>-29</v>
      </c>
      <c r="R413">
        <f>_xlfn.XLOOKUP(E413,'Data Additive'!E:E,'Data Additive'!E:E,0)</f>
        <v>1246273181</v>
      </c>
    </row>
    <row r="414" spans="1:18" x14ac:dyDescent="0.25">
      <c r="A414">
        <v>5300</v>
      </c>
      <c r="B414" t="s">
        <v>30</v>
      </c>
      <c r="C414" t="s">
        <v>547</v>
      </c>
      <c r="D414" s="34">
        <v>173157.7</v>
      </c>
      <c r="E414">
        <v>1246271143</v>
      </c>
      <c r="F414" s="30">
        <v>46153</v>
      </c>
      <c r="G414" s="30"/>
      <c r="H414" t="s">
        <v>28</v>
      </c>
      <c r="I414" t="s">
        <v>29</v>
      </c>
      <c r="J414">
        <v>11104</v>
      </c>
      <c r="K414" s="30">
        <v>46125</v>
      </c>
      <c r="L414">
        <v>1010100</v>
      </c>
      <c r="M414" t="s">
        <v>35</v>
      </c>
      <c r="N414">
        <v>161</v>
      </c>
      <c r="O414" t="s">
        <v>160</v>
      </c>
      <c r="P414" t="s">
        <v>30</v>
      </c>
      <c r="Q414">
        <f t="shared" si="8"/>
        <v>-12</v>
      </c>
      <c r="R414">
        <f>_xlfn.XLOOKUP(E414,'Data Additive'!E:E,'Data Additive'!E:E,0)</f>
        <v>1246271143</v>
      </c>
    </row>
    <row r="415" spans="1:18" x14ac:dyDescent="0.25">
      <c r="A415">
        <v>4575</v>
      </c>
      <c r="B415" t="s">
        <v>90</v>
      </c>
      <c r="C415" t="s">
        <v>91</v>
      </c>
      <c r="D415" s="34">
        <v>20940</v>
      </c>
      <c r="E415">
        <v>1246113043</v>
      </c>
      <c r="F415" s="30">
        <v>45311</v>
      </c>
      <c r="G415" s="30"/>
      <c r="H415" t="s">
        <v>28</v>
      </c>
      <c r="I415" t="s">
        <v>29</v>
      </c>
      <c r="J415">
        <v>1821</v>
      </c>
      <c r="K415" s="30">
        <v>45233</v>
      </c>
      <c r="L415">
        <v>1010100</v>
      </c>
      <c r="M415" t="s">
        <v>35</v>
      </c>
      <c r="N415">
        <v>161</v>
      </c>
      <c r="O415" t="s">
        <v>160</v>
      </c>
      <c r="P415" t="s">
        <v>90</v>
      </c>
      <c r="Q415">
        <f t="shared" si="8"/>
        <v>830</v>
      </c>
      <c r="R415">
        <f>_xlfn.XLOOKUP(E415,'Data Additive'!E:E,'Data Additive'!E:E,0)</f>
        <v>1246113043</v>
      </c>
    </row>
    <row r="416" spans="1:18" x14ac:dyDescent="0.25">
      <c r="A416">
        <v>7022</v>
      </c>
      <c r="B416" t="s">
        <v>774</v>
      </c>
      <c r="C416" t="s">
        <v>100</v>
      </c>
      <c r="D416" s="34">
        <v>1800</v>
      </c>
      <c r="E416">
        <v>1246054442</v>
      </c>
      <c r="F416" s="30">
        <v>44897</v>
      </c>
      <c r="G416" s="30"/>
      <c r="H416" t="s">
        <v>28</v>
      </c>
      <c r="I416" t="s">
        <v>29</v>
      </c>
      <c r="J416">
        <v>1246054442</v>
      </c>
      <c r="K416" s="30">
        <v>44882</v>
      </c>
      <c r="L416">
        <v>3041000</v>
      </c>
      <c r="M416" t="s">
        <v>137</v>
      </c>
      <c r="N416">
        <v>46</v>
      </c>
      <c r="O416" t="s">
        <v>162</v>
      </c>
      <c r="P416" t="s">
        <v>774</v>
      </c>
      <c r="Q416">
        <f t="shared" si="8"/>
        <v>1244</v>
      </c>
      <c r="R416">
        <f>_xlfn.XLOOKUP(E416,'Data Additive'!E:E,'Data Additive'!E:E,0)</f>
        <v>0</v>
      </c>
    </row>
    <row r="417" spans="1:18" x14ac:dyDescent="0.25">
      <c r="A417">
        <v>7022</v>
      </c>
      <c r="B417" t="s">
        <v>774</v>
      </c>
      <c r="C417" t="s">
        <v>100</v>
      </c>
      <c r="D417" s="34">
        <v>70658.399999999994</v>
      </c>
      <c r="E417">
        <v>1246270917</v>
      </c>
      <c r="F417" s="30">
        <v>46211</v>
      </c>
      <c r="G417" s="30"/>
      <c r="H417" t="s">
        <v>28</v>
      </c>
      <c r="I417" t="s">
        <v>29</v>
      </c>
      <c r="J417">
        <v>11081</v>
      </c>
      <c r="K417" s="30">
        <v>46121</v>
      </c>
      <c r="L417">
        <v>1010100</v>
      </c>
      <c r="M417" t="s">
        <v>35</v>
      </c>
      <c r="N417">
        <v>161</v>
      </c>
      <c r="O417" t="s">
        <v>160</v>
      </c>
      <c r="P417" t="s">
        <v>774</v>
      </c>
      <c r="Q417">
        <f t="shared" si="8"/>
        <v>-70</v>
      </c>
      <c r="R417">
        <f>_xlfn.XLOOKUP(E417,'Data Additive'!E:E,'Data Additive'!E:E,0)</f>
        <v>1246270917</v>
      </c>
    </row>
    <row r="418" spans="1:18" x14ac:dyDescent="0.25">
      <c r="A418">
        <v>7022</v>
      </c>
      <c r="B418" t="s">
        <v>774</v>
      </c>
      <c r="C418" t="s">
        <v>100</v>
      </c>
      <c r="D418" s="34">
        <v>70894.399999999994</v>
      </c>
      <c r="E418">
        <v>1246270966</v>
      </c>
      <c r="F418" s="30">
        <v>46212</v>
      </c>
      <c r="G418" s="30"/>
      <c r="H418" t="s">
        <v>28</v>
      </c>
      <c r="I418" t="s">
        <v>29</v>
      </c>
      <c r="J418">
        <v>11087</v>
      </c>
      <c r="K418" s="30">
        <v>46122</v>
      </c>
      <c r="L418">
        <v>1010100</v>
      </c>
      <c r="M418" t="s">
        <v>35</v>
      </c>
      <c r="N418">
        <v>161</v>
      </c>
      <c r="O418" t="s">
        <v>160</v>
      </c>
      <c r="P418" t="s">
        <v>774</v>
      </c>
      <c r="Q418">
        <f t="shared" si="8"/>
        <v>-71</v>
      </c>
      <c r="R418">
        <f>_xlfn.XLOOKUP(E418,'Data Additive'!E:E,'Data Additive'!E:E,0)</f>
        <v>1246270966</v>
      </c>
    </row>
    <row r="419" spans="1:18" x14ac:dyDescent="0.25">
      <c r="A419">
        <v>7022</v>
      </c>
      <c r="B419" t="s">
        <v>774</v>
      </c>
      <c r="C419" t="s">
        <v>100</v>
      </c>
      <c r="D419" s="34">
        <v>70894.399999999994</v>
      </c>
      <c r="E419">
        <v>1246269324</v>
      </c>
      <c r="F419" s="30">
        <v>46197</v>
      </c>
      <c r="G419" s="30"/>
      <c r="H419" t="s">
        <v>28</v>
      </c>
      <c r="I419" t="s">
        <v>29</v>
      </c>
      <c r="J419">
        <v>10982</v>
      </c>
      <c r="K419" s="30">
        <v>46107</v>
      </c>
      <c r="L419">
        <v>1010100</v>
      </c>
      <c r="M419" t="s">
        <v>35</v>
      </c>
      <c r="N419">
        <v>161</v>
      </c>
      <c r="O419" t="s">
        <v>160</v>
      </c>
      <c r="P419" t="s">
        <v>774</v>
      </c>
      <c r="Q419">
        <f t="shared" si="8"/>
        <v>-56</v>
      </c>
      <c r="R419">
        <f>_xlfn.XLOOKUP(E419,'Data Additive'!E:E,'Data Additive'!E:E,0)</f>
        <v>1246269324</v>
      </c>
    </row>
    <row r="420" spans="1:18" x14ac:dyDescent="0.25">
      <c r="A420">
        <v>7022</v>
      </c>
      <c r="B420" t="s">
        <v>774</v>
      </c>
      <c r="C420" t="s">
        <v>100</v>
      </c>
      <c r="D420" s="34">
        <v>70705.600000000006</v>
      </c>
      <c r="E420">
        <v>1246268533</v>
      </c>
      <c r="F420" s="30">
        <v>46191</v>
      </c>
      <c r="G420" s="30"/>
      <c r="H420" t="s">
        <v>28</v>
      </c>
      <c r="I420" t="s">
        <v>29</v>
      </c>
      <c r="J420">
        <v>10943</v>
      </c>
      <c r="K420" s="30">
        <v>46101</v>
      </c>
      <c r="L420">
        <v>1010100</v>
      </c>
      <c r="M420" t="s">
        <v>35</v>
      </c>
      <c r="N420">
        <v>161</v>
      </c>
      <c r="O420" t="s">
        <v>160</v>
      </c>
      <c r="P420" t="s">
        <v>774</v>
      </c>
      <c r="Q420">
        <f t="shared" si="8"/>
        <v>-50</v>
      </c>
      <c r="R420">
        <f>_xlfn.XLOOKUP(E420,'Data Additive'!E:E,'Data Additive'!E:E,0)</f>
        <v>1246268533</v>
      </c>
    </row>
    <row r="421" spans="1:18" x14ac:dyDescent="0.25">
      <c r="A421">
        <v>7022</v>
      </c>
      <c r="B421" t="s">
        <v>774</v>
      </c>
      <c r="C421" t="s">
        <v>100</v>
      </c>
      <c r="D421" s="34">
        <v>70516.800000000003</v>
      </c>
      <c r="E421">
        <v>1246270817</v>
      </c>
      <c r="F421" s="30">
        <v>46211</v>
      </c>
      <c r="G421" s="30"/>
      <c r="H421" t="s">
        <v>28</v>
      </c>
      <c r="I421" t="s">
        <v>29</v>
      </c>
      <c r="J421">
        <v>11077</v>
      </c>
      <c r="K421" s="30">
        <v>46121</v>
      </c>
      <c r="L421">
        <v>1010100</v>
      </c>
      <c r="M421" t="s">
        <v>35</v>
      </c>
      <c r="N421">
        <v>161</v>
      </c>
      <c r="O421" t="s">
        <v>160</v>
      </c>
      <c r="P421" t="s">
        <v>774</v>
      </c>
      <c r="Q421">
        <f t="shared" si="8"/>
        <v>-70</v>
      </c>
      <c r="R421">
        <f>_xlfn.XLOOKUP(E421,'Data Additive'!E:E,'Data Additive'!E:E,0)</f>
        <v>1246270817</v>
      </c>
    </row>
    <row r="422" spans="1:18" x14ac:dyDescent="0.25">
      <c r="A422">
        <v>7022</v>
      </c>
      <c r="B422" t="s">
        <v>774</v>
      </c>
      <c r="C422" t="s">
        <v>100</v>
      </c>
      <c r="D422" s="34">
        <v>71012.399999999994</v>
      </c>
      <c r="E422">
        <v>1246272359</v>
      </c>
      <c r="F422" s="30">
        <v>46226</v>
      </c>
      <c r="G422" s="30"/>
      <c r="H422" t="s">
        <v>28</v>
      </c>
      <c r="I422" t="s">
        <v>29</v>
      </c>
      <c r="J422">
        <v>11207</v>
      </c>
      <c r="K422" s="30">
        <v>46136</v>
      </c>
      <c r="L422">
        <v>1010100</v>
      </c>
      <c r="M422" t="s">
        <v>35</v>
      </c>
      <c r="N422">
        <v>161</v>
      </c>
      <c r="O422" t="s">
        <v>160</v>
      </c>
      <c r="P422" t="s">
        <v>774</v>
      </c>
      <c r="Q422">
        <f t="shared" si="8"/>
        <v>-85</v>
      </c>
      <c r="R422">
        <f>_xlfn.XLOOKUP(E422,'Data Additive'!E:E,'Data Additive'!E:E,0)</f>
        <v>1246272359</v>
      </c>
    </row>
    <row r="423" spans="1:18" x14ac:dyDescent="0.25">
      <c r="A423">
        <v>7022</v>
      </c>
      <c r="B423" t="s">
        <v>774</v>
      </c>
      <c r="C423" t="s">
        <v>100</v>
      </c>
      <c r="D423" s="34">
        <v>70705.600000000006</v>
      </c>
      <c r="E423">
        <v>1246267824</v>
      </c>
      <c r="F423" s="30">
        <v>46157</v>
      </c>
      <c r="G423" s="30"/>
      <c r="H423" t="s">
        <v>28</v>
      </c>
      <c r="I423" t="s">
        <v>29</v>
      </c>
      <c r="J423">
        <v>10891</v>
      </c>
      <c r="K423" s="30">
        <v>46097</v>
      </c>
      <c r="L423">
        <v>1010100</v>
      </c>
      <c r="M423" t="s">
        <v>35</v>
      </c>
      <c r="N423">
        <v>161</v>
      </c>
      <c r="O423" t="s">
        <v>160</v>
      </c>
      <c r="P423" t="s">
        <v>774</v>
      </c>
      <c r="Q423">
        <f t="shared" si="8"/>
        <v>-16</v>
      </c>
      <c r="R423">
        <f>_xlfn.XLOOKUP(E423,'Data Additive'!E:E,'Data Additive'!E:E,0)</f>
        <v>1246267824</v>
      </c>
    </row>
    <row r="424" spans="1:18" x14ac:dyDescent="0.25">
      <c r="A424">
        <v>7022</v>
      </c>
      <c r="B424" t="s">
        <v>774</v>
      </c>
      <c r="C424" t="s">
        <v>100</v>
      </c>
      <c r="D424" s="34">
        <v>70516.800000000003</v>
      </c>
      <c r="E424">
        <v>1246270344</v>
      </c>
      <c r="F424" s="30">
        <v>46208</v>
      </c>
      <c r="G424" s="30"/>
      <c r="H424" t="s">
        <v>28</v>
      </c>
      <c r="I424" t="s">
        <v>29</v>
      </c>
      <c r="J424">
        <v>11052</v>
      </c>
      <c r="K424" s="30">
        <v>46118</v>
      </c>
      <c r="L424">
        <v>1010100</v>
      </c>
      <c r="M424" t="s">
        <v>35</v>
      </c>
      <c r="N424">
        <v>161</v>
      </c>
      <c r="O424" t="s">
        <v>160</v>
      </c>
      <c r="P424" t="s">
        <v>774</v>
      </c>
      <c r="Q424">
        <f t="shared" si="8"/>
        <v>-67</v>
      </c>
      <c r="R424">
        <f>_xlfn.XLOOKUP(E424,'Data Additive'!E:E,'Data Additive'!E:E,0)</f>
        <v>1246270344</v>
      </c>
    </row>
    <row r="425" spans="1:18" x14ac:dyDescent="0.25">
      <c r="A425">
        <v>7022</v>
      </c>
      <c r="B425" t="s">
        <v>774</v>
      </c>
      <c r="C425" t="s">
        <v>100</v>
      </c>
      <c r="D425" s="34">
        <v>70705.600000000006</v>
      </c>
      <c r="E425">
        <v>1246271135</v>
      </c>
      <c r="F425" s="30">
        <v>46215</v>
      </c>
      <c r="G425" s="30"/>
      <c r="H425" t="s">
        <v>28</v>
      </c>
      <c r="I425" t="s">
        <v>29</v>
      </c>
      <c r="J425">
        <v>11102</v>
      </c>
      <c r="K425" s="30">
        <v>46125</v>
      </c>
      <c r="L425">
        <v>1010100</v>
      </c>
      <c r="M425" t="s">
        <v>35</v>
      </c>
      <c r="N425">
        <v>161</v>
      </c>
      <c r="O425" t="s">
        <v>160</v>
      </c>
      <c r="P425" t="s">
        <v>774</v>
      </c>
      <c r="Q425">
        <f t="shared" si="8"/>
        <v>-74</v>
      </c>
      <c r="R425">
        <f>_xlfn.XLOOKUP(E425,'Data Additive'!E:E,'Data Additive'!E:E,0)</f>
        <v>1246271135</v>
      </c>
    </row>
    <row r="426" spans="1:18" x14ac:dyDescent="0.25">
      <c r="A426">
        <v>7022</v>
      </c>
      <c r="B426" t="s">
        <v>774</v>
      </c>
      <c r="C426" t="s">
        <v>100</v>
      </c>
      <c r="D426" s="34">
        <v>70941.600000000006</v>
      </c>
      <c r="E426">
        <v>1246271888</v>
      </c>
      <c r="F426" s="30">
        <v>46222</v>
      </c>
      <c r="G426" s="30"/>
      <c r="H426" t="s">
        <v>28</v>
      </c>
      <c r="I426" t="s">
        <v>29</v>
      </c>
      <c r="J426">
        <v>11176</v>
      </c>
      <c r="K426" s="30">
        <v>46132</v>
      </c>
      <c r="L426">
        <v>1010100</v>
      </c>
      <c r="M426" t="s">
        <v>35</v>
      </c>
      <c r="N426">
        <v>161</v>
      </c>
      <c r="O426" t="s">
        <v>160</v>
      </c>
      <c r="P426" t="s">
        <v>774</v>
      </c>
      <c r="Q426">
        <f t="shared" si="8"/>
        <v>-81</v>
      </c>
      <c r="R426">
        <f>_xlfn.XLOOKUP(E426,'Data Additive'!E:E,'Data Additive'!E:E,0)</f>
        <v>1246271888</v>
      </c>
    </row>
    <row r="427" spans="1:18" x14ac:dyDescent="0.25">
      <c r="A427">
        <v>7060</v>
      </c>
      <c r="B427" t="s">
        <v>181</v>
      </c>
      <c r="C427" t="s">
        <v>182</v>
      </c>
      <c r="D427" s="34">
        <v>130331.92</v>
      </c>
      <c r="E427">
        <v>1246232349</v>
      </c>
      <c r="F427" s="30">
        <v>46144</v>
      </c>
      <c r="G427" s="30">
        <v>46146</v>
      </c>
      <c r="H427" t="s">
        <v>172</v>
      </c>
      <c r="I427" t="s">
        <v>173</v>
      </c>
      <c r="J427">
        <v>8975</v>
      </c>
      <c r="K427" s="30">
        <v>45890</v>
      </c>
      <c r="L427">
        <v>1010100</v>
      </c>
      <c r="M427" t="s">
        <v>35</v>
      </c>
      <c r="N427">
        <v>56</v>
      </c>
      <c r="O427" t="s">
        <v>161</v>
      </c>
      <c r="P427" t="s">
        <v>181</v>
      </c>
      <c r="Q427">
        <f t="shared" si="8"/>
        <v>-3</v>
      </c>
      <c r="R427">
        <f>_xlfn.XLOOKUP(E427,'Data Additive'!E:E,'Data Additive'!E:E,0)</f>
        <v>0</v>
      </c>
    </row>
    <row r="428" spans="1:18" x14ac:dyDescent="0.25">
      <c r="A428">
        <v>7060</v>
      </c>
      <c r="B428" t="s">
        <v>181</v>
      </c>
      <c r="C428" t="s">
        <v>182</v>
      </c>
      <c r="D428" s="34">
        <v>6817.24</v>
      </c>
      <c r="E428">
        <v>1246232336</v>
      </c>
      <c r="F428" s="30">
        <v>46144</v>
      </c>
      <c r="G428" s="30">
        <v>46146</v>
      </c>
      <c r="H428" t="s">
        <v>172</v>
      </c>
      <c r="I428" t="s">
        <v>173</v>
      </c>
      <c r="J428">
        <v>8973</v>
      </c>
      <c r="K428" s="30">
        <v>45890</v>
      </c>
      <c r="L428">
        <v>1010100</v>
      </c>
      <c r="M428" t="s">
        <v>35</v>
      </c>
      <c r="N428">
        <v>56</v>
      </c>
      <c r="O428" t="s">
        <v>161</v>
      </c>
      <c r="P428" t="s">
        <v>181</v>
      </c>
      <c r="Q428">
        <f t="shared" si="8"/>
        <v>-3</v>
      </c>
      <c r="R428">
        <f>_xlfn.XLOOKUP(E428,'Data Additive'!E:E,'Data Additive'!E:E,0)</f>
        <v>0</v>
      </c>
    </row>
    <row r="429" spans="1:18" x14ac:dyDescent="0.25">
      <c r="A429">
        <v>7060</v>
      </c>
      <c r="B429" t="s">
        <v>181</v>
      </c>
      <c r="C429" t="s">
        <v>182</v>
      </c>
      <c r="D429" s="34">
        <v>5180.3999999999996</v>
      </c>
      <c r="E429">
        <v>1246254161</v>
      </c>
      <c r="F429" s="30">
        <v>46281</v>
      </c>
      <c r="G429" s="30"/>
      <c r="H429" t="s">
        <v>172</v>
      </c>
      <c r="I429" t="s">
        <v>173</v>
      </c>
      <c r="J429">
        <v>10278</v>
      </c>
      <c r="K429" s="30">
        <v>46006</v>
      </c>
      <c r="L429">
        <v>1010100</v>
      </c>
      <c r="M429" t="s">
        <v>35</v>
      </c>
      <c r="N429">
        <v>161</v>
      </c>
      <c r="O429" t="s">
        <v>160</v>
      </c>
      <c r="P429" t="s">
        <v>181</v>
      </c>
      <c r="Q429">
        <f t="shared" si="8"/>
        <v>-140</v>
      </c>
      <c r="R429">
        <f>_xlfn.XLOOKUP(E429,'Data Additive'!E:E,'Data Additive'!E:E,0)</f>
        <v>0</v>
      </c>
    </row>
    <row r="430" spans="1:18" x14ac:dyDescent="0.25">
      <c r="A430">
        <v>7060</v>
      </c>
      <c r="B430" t="s">
        <v>181</v>
      </c>
      <c r="C430" t="s">
        <v>182</v>
      </c>
      <c r="D430" s="34">
        <v>8288.64</v>
      </c>
      <c r="E430">
        <v>1246252321</v>
      </c>
      <c r="F430" s="30">
        <v>46269</v>
      </c>
      <c r="G430" s="30"/>
      <c r="H430" t="s">
        <v>172</v>
      </c>
      <c r="I430" t="s">
        <v>173</v>
      </c>
      <c r="J430">
        <v>10183</v>
      </c>
      <c r="K430" s="30">
        <v>45994</v>
      </c>
      <c r="L430">
        <v>1010100</v>
      </c>
      <c r="M430" t="s">
        <v>35</v>
      </c>
      <c r="N430">
        <v>161</v>
      </c>
      <c r="O430" t="s">
        <v>160</v>
      </c>
      <c r="P430" t="s">
        <v>181</v>
      </c>
      <c r="Q430">
        <f t="shared" si="8"/>
        <v>-128</v>
      </c>
      <c r="R430">
        <f>_xlfn.XLOOKUP(E430,'Data Additive'!E:E,'Data Additive'!E:E,0)</f>
        <v>0</v>
      </c>
    </row>
    <row r="431" spans="1:18" x14ac:dyDescent="0.25">
      <c r="A431">
        <v>7060</v>
      </c>
      <c r="B431" t="s">
        <v>181</v>
      </c>
      <c r="C431" t="s">
        <v>182</v>
      </c>
      <c r="D431" s="34">
        <v>67383.5</v>
      </c>
      <c r="E431">
        <v>1246254471</v>
      </c>
      <c r="F431" s="30">
        <v>46279</v>
      </c>
      <c r="G431" s="30"/>
      <c r="H431" t="s">
        <v>172</v>
      </c>
      <c r="I431" t="s">
        <v>173</v>
      </c>
      <c r="J431">
        <v>10301</v>
      </c>
      <c r="K431" s="30">
        <v>46007</v>
      </c>
      <c r="L431">
        <v>1010100</v>
      </c>
      <c r="M431" t="s">
        <v>35</v>
      </c>
      <c r="N431">
        <v>161</v>
      </c>
      <c r="O431" t="s">
        <v>160</v>
      </c>
      <c r="P431" t="s">
        <v>181</v>
      </c>
      <c r="Q431">
        <f t="shared" si="8"/>
        <v>-138</v>
      </c>
      <c r="R431">
        <f>_xlfn.XLOOKUP(E431,'Data Additive'!E:E,'Data Additive'!E:E,0)</f>
        <v>0</v>
      </c>
    </row>
    <row r="432" spans="1:18" x14ac:dyDescent="0.25">
      <c r="A432">
        <v>7060</v>
      </c>
      <c r="B432" t="s">
        <v>181</v>
      </c>
      <c r="C432" t="s">
        <v>182</v>
      </c>
      <c r="D432" s="34">
        <v>202489.44</v>
      </c>
      <c r="E432">
        <v>1246233024</v>
      </c>
      <c r="F432" s="30">
        <v>46264</v>
      </c>
      <c r="G432" s="30"/>
      <c r="H432" t="s">
        <v>172</v>
      </c>
      <c r="I432" t="s">
        <v>173</v>
      </c>
      <c r="J432">
        <v>9046</v>
      </c>
      <c r="K432" s="30">
        <v>45895</v>
      </c>
      <c r="L432">
        <v>1010100</v>
      </c>
      <c r="M432" t="s">
        <v>35</v>
      </c>
      <c r="N432">
        <v>56</v>
      </c>
      <c r="O432" t="s">
        <v>161</v>
      </c>
      <c r="P432" t="s">
        <v>181</v>
      </c>
      <c r="Q432">
        <f t="shared" si="8"/>
        <v>-123</v>
      </c>
      <c r="R432">
        <f>_xlfn.XLOOKUP(E432,'Data Additive'!E:E,'Data Additive'!E:E,0)</f>
        <v>0</v>
      </c>
    </row>
    <row r="433" spans="1:18" x14ac:dyDescent="0.25">
      <c r="A433">
        <v>7060</v>
      </c>
      <c r="B433" t="s">
        <v>181</v>
      </c>
      <c r="C433" t="s">
        <v>182</v>
      </c>
      <c r="D433" s="34">
        <v>210926.49999999997</v>
      </c>
      <c r="E433">
        <v>1246232491</v>
      </c>
      <c r="F433" s="30">
        <v>46264</v>
      </c>
      <c r="G433" s="30"/>
      <c r="H433" t="s">
        <v>172</v>
      </c>
      <c r="I433" t="s">
        <v>173</v>
      </c>
      <c r="J433">
        <v>9006</v>
      </c>
      <c r="K433" s="30">
        <v>45891</v>
      </c>
      <c r="L433">
        <v>1010100</v>
      </c>
      <c r="M433" t="s">
        <v>35</v>
      </c>
      <c r="N433">
        <v>56</v>
      </c>
      <c r="O433" t="s">
        <v>161</v>
      </c>
      <c r="P433" t="s">
        <v>181</v>
      </c>
      <c r="Q433">
        <f t="shared" si="8"/>
        <v>-123</v>
      </c>
      <c r="R433">
        <f>_xlfn.XLOOKUP(E433,'Data Additive'!E:E,'Data Additive'!E:E,0)</f>
        <v>0</v>
      </c>
    </row>
    <row r="434" spans="1:18" x14ac:dyDescent="0.25">
      <c r="A434">
        <v>7060</v>
      </c>
      <c r="B434" t="s">
        <v>181</v>
      </c>
      <c r="C434" t="s">
        <v>182</v>
      </c>
      <c r="D434" s="34">
        <v>135891.48000000001</v>
      </c>
      <c r="E434">
        <v>1246233319</v>
      </c>
      <c r="F434" s="30">
        <v>46266</v>
      </c>
      <c r="G434" s="30"/>
      <c r="H434" t="s">
        <v>172</v>
      </c>
      <c r="I434" t="s">
        <v>173</v>
      </c>
      <c r="J434">
        <v>9076</v>
      </c>
      <c r="K434" s="30">
        <v>45896</v>
      </c>
      <c r="L434">
        <v>1010100</v>
      </c>
      <c r="M434" t="s">
        <v>35</v>
      </c>
      <c r="N434">
        <v>56</v>
      </c>
      <c r="O434" t="s">
        <v>161</v>
      </c>
      <c r="P434" t="s">
        <v>181</v>
      </c>
      <c r="Q434">
        <f t="shared" si="8"/>
        <v>-125</v>
      </c>
      <c r="R434">
        <f>_xlfn.XLOOKUP(E434,'Data Additive'!E:E,'Data Additive'!E:E,0)</f>
        <v>0</v>
      </c>
    </row>
    <row r="435" spans="1:18" x14ac:dyDescent="0.25">
      <c r="A435">
        <v>7060</v>
      </c>
      <c r="B435" t="s">
        <v>181</v>
      </c>
      <c r="C435" t="s">
        <v>182</v>
      </c>
      <c r="D435" s="34">
        <v>137584.20000000001</v>
      </c>
      <c r="E435">
        <v>1246232316</v>
      </c>
      <c r="F435" s="30">
        <v>46144</v>
      </c>
      <c r="G435" s="30"/>
      <c r="H435" t="s">
        <v>172</v>
      </c>
      <c r="I435" t="s">
        <v>173</v>
      </c>
      <c r="J435">
        <v>8971</v>
      </c>
      <c r="K435" s="30">
        <v>45890</v>
      </c>
      <c r="L435">
        <v>1010100</v>
      </c>
      <c r="M435" t="s">
        <v>35</v>
      </c>
      <c r="N435">
        <v>56</v>
      </c>
      <c r="O435" t="s">
        <v>161</v>
      </c>
      <c r="P435" t="s">
        <v>181</v>
      </c>
      <c r="Q435">
        <f t="shared" si="8"/>
        <v>-3</v>
      </c>
      <c r="R435">
        <f>_xlfn.XLOOKUP(E435,'Data Additive'!E:E,'Data Additive'!E:E,0)</f>
        <v>0</v>
      </c>
    </row>
    <row r="436" spans="1:18" x14ac:dyDescent="0.25">
      <c r="A436">
        <v>7060</v>
      </c>
      <c r="B436" t="s">
        <v>181</v>
      </c>
      <c r="C436" t="s">
        <v>182</v>
      </c>
      <c r="D436" s="34">
        <v>160304.14000000001</v>
      </c>
      <c r="E436">
        <v>1246232724</v>
      </c>
      <c r="F436" s="30">
        <v>46264</v>
      </c>
      <c r="G436" s="30"/>
      <c r="H436" t="s">
        <v>172</v>
      </c>
      <c r="I436" t="s">
        <v>173</v>
      </c>
      <c r="J436">
        <v>9023</v>
      </c>
      <c r="K436" s="30">
        <v>45894</v>
      </c>
      <c r="L436">
        <v>1010100</v>
      </c>
      <c r="M436" t="s">
        <v>35</v>
      </c>
      <c r="N436">
        <v>56</v>
      </c>
      <c r="O436" t="s">
        <v>161</v>
      </c>
      <c r="P436" t="s">
        <v>181</v>
      </c>
      <c r="Q436">
        <f t="shared" si="8"/>
        <v>-123</v>
      </c>
      <c r="R436">
        <f>_xlfn.XLOOKUP(E436,'Data Additive'!E:E,'Data Additive'!E:E,0)</f>
        <v>0</v>
      </c>
    </row>
    <row r="437" spans="1:18" x14ac:dyDescent="0.25">
      <c r="A437">
        <v>7060</v>
      </c>
      <c r="B437" t="s">
        <v>181</v>
      </c>
      <c r="C437" t="s">
        <v>182</v>
      </c>
      <c r="D437" s="34">
        <v>134992.95999999999</v>
      </c>
      <c r="E437">
        <v>1246233318</v>
      </c>
      <c r="F437" s="30">
        <v>46265</v>
      </c>
      <c r="G437" s="30"/>
      <c r="H437" t="s">
        <v>172</v>
      </c>
      <c r="I437" t="s">
        <v>173</v>
      </c>
      <c r="J437">
        <v>9075</v>
      </c>
      <c r="K437" s="30">
        <v>45896</v>
      </c>
      <c r="L437">
        <v>1010100</v>
      </c>
      <c r="M437" t="s">
        <v>35</v>
      </c>
      <c r="N437">
        <v>56</v>
      </c>
      <c r="O437" t="s">
        <v>161</v>
      </c>
      <c r="P437" t="s">
        <v>181</v>
      </c>
      <c r="Q437">
        <f t="shared" si="8"/>
        <v>-124</v>
      </c>
      <c r="R437">
        <f>_xlfn.XLOOKUP(E437,'Data Additive'!E:E,'Data Additive'!E:E,0)</f>
        <v>0</v>
      </c>
    </row>
    <row r="438" spans="1:18" x14ac:dyDescent="0.25">
      <c r="A438">
        <v>6370</v>
      </c>
      <c r="B438" t="s">
        <v>294</v>
      </c>
      <c r="C438" t="s">
        <v>32</v>
      </c>
      <c r="D438" s="34">
        <v>177202.68</v>
      </c>
      <c r="E438">
        <v>1246270149</v>
      </c>
      <c r="F438" s="30">
        <v>46144</v>
      </c>
      <c r="G438" s="30"/>
      <c r="H438" t="s">
        <v>28</v>
      </c>
      <c r="I438" t="s">
        <v>29</v>
      </c>
      <c r="J438">
        <v>11042</v>
      </c>
      <c r="K438" s="30">
        <v>46114</v>
      </c>
      <c r="L438">
        <v>1010200</v>
      </c>
      <c r="M438" t="s">
        <v>124</v>
      </c>
      <c r="N438">
        <v>40</v>
      </c>
      <c r="O438" t="s">
        <v>170</v>
      </c>
      <c r="P438" t="s">
        <v>294</v>
      </c>
      <c r="Q438">
        <f t="shared" si="8"/>
        <v>-3</v>
      </c>
      <c r="R438">
        <f>_xlfn.XLOOKUP(E438,'Data Additive'!E:E,'Data Additive'!E:E,0)</f>
        <v>0</v>
      </c>
    </row>
    <row r="439" spans="1:18" x14ac:dyDescent="0.25">
      <c r="A439">
        <v>6370</v>
      </c>
      <c r="B439" t="s">
        <v>294</v>
      </c>
      <c r="C439" t="s">
        <v>32</v>
      </c>
      <c r="D439" s="34">
        <v>172806.77</v>
      </c>
      <c r="E439">
        <v>1246272162</v>
      </c>
      <c r="F439" s="30">
        <v>46164</v>
      </c>
      <c r="G439" s="30"/>
      <c r="H439" t="s">
        <v>28</v>
      </c>
      <c r="I439" t="s">
        <v>29</v>
      </c>
      <c r="J439">
        <v>11193</v>
      </c>
      <c r="K439" s="30">
        <v>46134</v>
      </c>
      <c r="L439">
        <v>1010200</v>
      </c>
      <c r="M439" t="s">
        <v>124</v>
      </c>
      <c r="N439">
        <v>40</v>
      </c>
      <c r="O439" t="s">
        <v>170</v>
      </c>
      <c r="P439" t="s">
        <v>294</v>
      </c>
      <c r="Q439">
        <f t="shared" si="8"/>
        <v>-23</v>
      </c>
      <c r="R439">
        <f>_xlfn.XLOOKUP(E439,'Data Additive'!E:E,'Data Additive'!E:E,0)</f>
        <v>0</v>
      </c>
    </row>
    <row r="440" spans="1:18" x14ac:dyDescent="0.25">
      <c r="A440">
        <v>9708</v>
      </c>
      <c r="B440" t="s">
        <v>627</v>
      </c>
      <c r="C440" t="s">
        <v>31</v>
      </c>
      <c r="D440" s="34">
        <v>687688.91</v>
      </c>
      <c r="E440">
        <v>1246271322</v>
      </c>
      <c r="F440" s="30">
        <v>46186</v>
      </c>
      <c r="G440" s="30"/>
      <c r="I440" t="s">
        <v>372</v>
      </c>
      <c r="J440">
        <v>11122</v>
      </c>
      <c r="K440" s="30">
        <v>46126</v>
      </c>
      <c r="L440">
        <v>1010200</v>
      </c>
      <c r="M440" t="s">
        <v>124</v>
      </c>
      <c r="N440">
        <v>40</v>
      </c>
      <c r="O440" t="s">
        <v>170</v>
      </c>
      <c r="P440" t="s">
        <v>627</v>
      </c>
      <c r="Q440">
        <f t="shared" si="8"/>
        <v>-45</v>
      </c>
      <c r="R440">
        <f>_xlfn.XLOOKUP(E440,'Data Additive'!E:E,'Data Additive'!E:E,0)</f>
        <v>0</v>
      </c>
    </row>
    <row r="441" spans="1:18" x14ac:dyDescent="0.25">
      <c r="A441">
        <v>8187</v>
      </c>
      <c r="B441" t="s">
        <v>549</v>
      </c>
      <c r="C441" t="s">
        <v>314</v>
      </c>
      <c r="D441" s="34">
        <v>299642.08</v>
      </c>
      <c r="E441">
        <v>1246270723</v>
      </c>
      <c r="F441" s="30">
        <v>46357</v>
      </c>
      <c r="G441" s="30"/>
      <c r="H441" t="s">
        <v>172</v>
      </c>
      <c r="I441" t="s">
        <v>173</v>
      </c>
      <c r="J441">
        <v>11075</v>
      </c>
      <c r="K441" s="30">
        <v>46120</v>
      </c>
      <c r="L441">
        <v>1010100</v>
      </c>
      <c r="M441" t="s">
        <v>35</v>
      </c>
      <c r="N441">
        <v>161</v>
      </c>
      <c r="O441" t="s">
        <v>160</v>
      </c>
      <c r="P441" t="s">
        <v>549</v>
      </c>
      <c r="Q441">
        <f t="shared" si="8"/>
        <v>-216</v>
      </c>
      <c r="R441">
        <f>_xlfn.XLOOKUP(E441,'Data Additive'!E:E,'Data Additive'!E:E,0)</f>
        <v>0</v>
      </c>
    </row>
    <row r="442" spans="1:18" x14ac:dyDescent="0.25">
      <c r="A442">
        <v>9295</v>
      </c>
      <c r="B442" t="s">
        <v>381</v>
      </c>
      <c r="C442" t="s">
        <v>126</v>
      </c>
      <c r="D442" s="34">
        <v>130127.06</v>
      </c>
      <c r="E442">
        <v>1246270982</v>
      </c>
      <c r="F442" s="30">
        <v>46152</v>
      </c>
      <c r="G442" s="30"/>
      <c r="H442" t="s">
        <v>28</v>
      </c>
      <c r="I442" t="s">
        <v>29</v>
      </c>
      <c r="J442">
        <v>11090</v>
      </c>
      <c r="K442" s="30">
        <v>46122</v>
      </c>
      <c r="L442">
        <v>1010200</v>
      </c>
      <c r="M442" t="s">
        <v>124</v>
      </c>
      <c r="N442">
        <v>40</v>
      </c>
      <c r="O442" t="s">
        <v>170</v>
      </c>
      <c r="P442" t="s">
        <v>381</v>
      </c>
      <c r="Q442">
        <f t="shared" si="8"/>
        <v>-11</v>
      </c>
      <c r="R442">
        <f>_xlfn.XLOOKUP(E442,'Data Additive'!E:E,'Data Additive'!E:E,0)</f>
        <v>0</v>
      </c>
    </row>
    <row r="443" spans="1:18" x14ac:dyDescent="0.25">
      <c r="A443">
        <v>9295</v>
      </c>
      <c r="B443" t="s">
        <v>381</v>
      </c>
      <c r="C443" t="s">
        <v>126</v>
      </c>
      <c r="D443" s="34">
        <v>132185.95000000001</v>
      </c>
      <c r="E443">
        <v>1246270621</v>
      </c>
      <c r="F443" s="30">
        <v>46150</v>
      </c>
      <c r="G443" s="30"/>
      <c r="H443" t="s">
        <v>28</v>
      </c>
      <c r="I443" t="s">
        <v>29</v>
      </c>
      <c r="J443">
        <v>11071</v>
      </c>
      <c r="K443" s="30">
        <v>46120</v>
      </c>
      <c r="L443">
        <v>1010200</v>
      </c>
      <c r="M443" t="s">
        <v>124</v>
      </c>
      <c r="N443">
        <v>40</v>
      </c>
      <c r="O443" t="s">
        <v>170</v>
      </c>
      <c r="P443" t="s">
        <v>381</v>
      </c>
      <c r="Q443">
        <f t="shared" si="8"/>
        <v>-9</v>
      </c>
      <c r="R443">
        <f>_xlfn.XLOOKUP(E443,'Data Additive'!E:E,'Data Additive'!E:E,0)</f>
        <v>0</v>
      </c>
    </row>
    <row r="444" spans="1:18" x14ac:dyDescent="0.25">
      <c r="A444">
        <v>9298</v>
      </c>
      <c r="B444" t="s">
        <v>186</v>
      </c>
      <c r="C444" t="s">
        <v>187</v>
      </c>
      <c r="D444" s="34">
        <v>111799</v>
      </c>
      <c r="E444">
        <v>1246070436</v>
      </c>
      <c r="F444" s="30">
        <v>45555</v>
      </c>
      <c r="G444" s="30"/>
      <c r="H444" t="s">
        <v>172</v>
      </c>
      <c r="I444" t="s">
        <v>173</v>
      </c>
      <c r="J444">
        <v>20815</v>
      </c>
      <c r="K444" s="30">
        <v>44991</v>
      </c>
      <c r="L444">
        <v>1010100</v>
      </c>
      <c r="M444" t="s">
        <v>35</v>
      </c>
      <c r="N444">
        <v>161</v>
      </c>
      <c r="O444" t="s">
        <v>160</v>
      </c>
      <c r="P444" t="s">
        <v>186</v>
      </c>
      <c r="Q444">
        <f t="shared" si="8"/>
        <v>586</v>
      </c>
      <c r="R444">
        <f>_xlfn.XLOOKUP(E444,'Data Additive'!E:E,'Data Additive'!E:E,0)</f>
        <v>0</v>
      </c>
    </row>
    <row r="445" spans="1:18" x14ac:dyDescent="0.25">
      <c r="A445">
        <v>9298</v>
      </c>
      <c r="B445" t="s">
        <v>186</v>
      </c>
      <c r="C445" t="s">
        <v>187</v>
      </c>
      <c r="D445" s="34">
        <v>65548</v>
      </c>
      <c r="E445">
        <v>1246070905</v>
      </c>
      <c r="F445" s="30">
        <v>45555</v>
      </c>
      <c r="G445" s="30"/>
      <c r="H445" t="s">
        <v>172</v>
      </c>
      <c r="I445" t="s">
        <v>173</v>
      </c>
      <c r="J445">
        <v>20839</v>
      </c>
      <c r="K445" s="30">
        <v>44994</v>
      </c>
      <c r="L445">
        <v>1010100</v>
      </c>
      <c r="M445" t="s">
        <v>35</v>
      </c>
      <c r="N445">
        <v>161</v>
      </c>
      <c r="O445" t="s">
        <v>160</v>
      </c>
      <c r="P445" t="s">
        <v>186</v>
      </c>
      <c r="Q445">
        <f t="shared" si="8"/>
        <v>586</v>
      </c>
      <c r="R445">
        <f>_xlfn.XLOOKUP(E445,'Data Additive'!E:E,'Data Additive'!E:E,0)</f>
        <v>0</v>
      </c>
    </row>
    <row r="446" spans="1:18" x14ac:dyDescent="0.25">
      <c r="A446">
        <v>9298</v>
      </c>
      <c r="B446" t="s">
        <v>186</v>
      </c>
      <c r="C446" t="s">
        <v>187</v>
      </c>
      <c r="D446" s="34">
        <v>112475</v>
      </c>
      <c r="E446">
        <v>1246068948</v>
      </c>
      <c r="F446" s="30">
        <v>45555</v>
      </c>
      <c r="G446" s="30"/>
      <c r="H446" t="s">
        <v>172</v>
      </c>
      <c r="I446" t="s">
        <v>173</v>
      </c>
      <c r="J446">
        <v>20763</v>
      </c>
      <c r="K446" s="30">
        <v>44984</v>
      </c>
      <c r="L446">
        <v>1010100</v>
      </c>
      <c r="M446" t="s">
        <v>35</v>
      </c>
      <c r="N446">
        <v>161</v>
      </c>
      <c r="O446" t="s">
        <v>160</v>
      </c>
      <c r="P446" t="s">
        <v>186</v>
      </c>
      <c r="Q446">
        <f t="shared" ref="Q446:Q506" si="9">$R$1-F446</f>
        <v>586</v>
      </c>
      <c r="R446">
        <f>_xlfn.XLOOKUP(E446,'Data Additive'!E:E,'Data Additive'!E:E,0)</f>
        <v>0</v>
      </c>
    </row>
    <row r="447" spans="1:18" x14ac:dyDescent="0.25">
      <c r="A447">
        <v>9298</v>
      </c>
      <c r="B447" t="s">
        <v>186</v>
      </c>
      <c r="C447" t="s">
        <v>187</v>
      </c>
      <c r="D447" s="34">
        <v>149824</v>
      </c>
      <c r="E447">
        <v>1246068778</v>
      </c>
      <c r="F447" s="30">
        <v>45555</v>
      </c>
      <c r="G447" s="30"/>
      <c r="H447" t="s">
        <v>172</v>
      </c>
      <c r="I447" t="s">
        <v>173</v>
      </c>
      <c r="J447">
        <v>20750</v>
      </c>
      <c r="K447" s="30">
        <v>44981</v>
      </c>
      <c r="L447">
        <v>1010100</v>
      </c>
      <c r="M447" t="s">
        <v>35</v>
      </c>
      <c r="N447">
        <v>161</v>
      </c>
      <c r="O447" t="s">
        <v>160</v>
      </c>
      <c r="P447" t="s">
        <v>186</v>
      </c>
      <c r="Q447">
        <f t="shared" si="9"/>
        <v>586</v>
      </c>
      <c r="R447">
        <f>_xlfn.XLOOKUP(E447,'Data Additive'!E:E,'Data Additive'!E:E,0)</f>
        <v>0</v>
      </c>
    </row>
    <row r="448" spans="1:18" x14ac:dyDescent="0.25">
      <c r="A448">
        <v>9298</v>
      </c>
      <c r="B448" t="s">
        <v>186</v>
      </c>
      <c r="C448" t="s">
        <v>187</v>
      </c>
      <c r="D448" s="34">
        <v>131203</v>
      </c>
      <c r="E448">
        <v>1246070820</v>
      </c>
      <c r="F448" s="30">
        <v>45555</v>
      </c>
      <c r="G448" s="30"/>
      <c r="H448" t="s">
        <v>172</v>
      </c>
      <c r="I448" t="s">
        <v>173</v>
      </c>
      <c r="J448">
        <v>20836</v>
      </c>
      <c r="K448" s="30">
        <v>44993</v>
      </c>
      <c r="L448">
        <v>1010100</v>
      </c>
      <c r="M448" t="s">
        <v>35</v>
      </c>
      <c r="N448">
        <v>161</v>
      </c>
      <c r="O448" t="s">
        <v>160</v>
      </c>
      <c r="P448" t="s">
        <v>186</v>
      </c>
      <c r="Q448">
        <f t="shared" si="9"/>
        <v>586</v>
      </c>
      <c r="R448">
        <f>_xlfn.XLOOKUP(E448,'Data Additive'!E:E,'Data Additive'!E:E,0)</f>
        <v>0</v>
      </c>
    </row>
    <row r="449" spans="1:18" x14ac:dyDescent="0.25">
      <c r="A449">
        <v>9298</v>
      </c>
      <c r="B449" t="s">
        <v>186</v>
      </c>
      <c r="C449" t="s">
        <v>187</v>
      </c>
      <c r="D449" s="34">
        <v>119356.2</v>
      </c>
      <c r="E449">
        <v>1246068614</v>
      </c>
      <c r="F449" s="30">
        <v>45555</v>
      </c>
      <c r="G449" s="30"/>
      <c r="H449" t="s">
        <v>172</v>
      </c>
      <c r="I449" t="s">
        <v>173</v>
      </c>
      <c r="J449">
        <v>20734</v>
      </c>
      <c r="K449" s="30">
        <v>44980</v>
      </c>
      <c r="L449">
        <v>1010100</v>
      </c>
      <c r="M449" t="s">
        <v>35</v>
      </c>
      <c r="N449">
        <v>161</v>
      </c>
      <c r="O449" t="s">
        <v>160</v>
      </c>
      <c r="P449" t="s">
        <v>186</v>
      </c>
      <c r="Q449">
        <f t="shared" si="9"/>
        <v>586</v>
      </c>
      <c r="R449">
        <f>_xlfn.XLOOKUP(E449,'Data Additive'!E:E,'Data Additive'!E:E,0)</f>
        <v>0</v>
      </c>
    </row>
    <row r="450" spans="1:18" x14ac:dyDescent="0.25">
      <c r="A450">
        <v>9298</v>
      </c>
      <c r="B450" t="s">
        <v>186</v>
      </c>
      <c r="C450" t="s">
        <v>187</v>
      </c>
      <c r="D450" s="34">
        <v>122521</v>
      </c>
      <c r="E450">
        <v>1246068997</v>
      </c>
      <c r="F450" s="30">
        <v>45555</v>
      </c>
      <c r="G450" s="30"/>
      <c r="H450" t="s">
        <v>172</v>
      </c>
      <c r="I450" t="s">
        <v>173</v>
      </c>
      <c r="J450">
        <v>20767</v>
      </c>
      <c r="K450" s="30">
        <v>44984</v>
      </c>
      <c r="L450">
        <v>1010100</v>
      </c>
      <c r="M450" t="s">
        <v>35</v>
      </c>
      <c r="N450">
        <v>161</v>
      </c>
      <c r="O450" t="s">
        <v>160</v>
      </c>
      <c r="P450" t="s">
        <v>186</v>
      </c>
      <c r="Q450">
        <f t="shared" si="9"/>
        <v>586</v>
      </c>
      <c r="R450">
        <f>_xlfn.XLOOKUP(E450,'Data Additive'!E:E,'Data Additive'!E:E,0)</f>
        <v>0</v>
      </c>
    </row>
    <row r="451" spans="1:18" x14ac:dyDescent="0.25">
      <c r="A451">
        <v>9298</v>
      </c>
      <c r="B451" t="s">
        <v>186</v>
      </c>
      <c r="C451" t="s">
        <v>187</v>
      </c>
      <c r="D451" s="34">
        <v>118731.49</v>
      </c>
      <c r="E451">
        <v>1246083500</v>
      </c>
      <c r="F451" s="30">
        <v>45555</v>
      </c>
      <c r="G451" s="30"/>
      <c r="H451" t="s">
        <v>172</v>
      </c>
      <c r="I451" t="s">
        <v>173</v>
      </c>
      <c r="J451">
        <v>21456</v>
      </c>
      <c r="K451" s="30">
        <v>45070</v>
      </c>
      <c r="L451">
        <v>1010100</v>
      </c>
      <c r="M451" t="s">
        <v>35</v>
      </c>
      <c r="N451">
        <v>161</v>
      </c>
      <c r="O451" t="s">
        <v>160</v>
      </c>
      <c r="P451" t="s">
        <v>186</v>
      </c>
      <c r="Q451">
        <f t="shared" si="9"/>
        <v>586</v>
      </c>
      <c r="R451">
        <f>_xlfn.XLOOKUP(E451,'Data Additive'!E:E,'Data Additive'!E:E,0)</f>
        <v>0</v>
      </c>
    </row>
    <row r="452" spans="1:18" x14ac:dyDescent="0.25">
      <c r="A452">
        <v>9298</v>
      </c>
      <c r="B452" t="s">
        <v>186</v>
      </c>
      <c r="C452" t="s">
        <v>187</v>
      </c>
      <c r="D452" s="34">
        <v>52557.4</v>
      </c>
      <c r="E452">
        <v>1246083593</v>
      </c>
      <c r="F452" s="30">
        <v>45555</v>
      </c>
      <c r="G452" s="30"/>
      <c r="H452" t="s">
        <v>172</v>
      </c>
      <c r="I452" t="s">
        <v>173</v>
      </c>
      <c r="J452">
        <v>21460</v>
      </c>
      <c r="K452" s="30">
        <v>45070</v>
      </c>
      <c r="L452">
        <v>1010100</v>
      </c>
      <c r="M452" t="s">
        <v>35</v>
      </c>
      <c r="N452">
        <v>161</v>
      </c>
      <c r="O452" t="s">
        <v>160</v>
      </c>
      <c r="P452" t="s">
        <v>186</v>
      </c>
      <c r="Q452">
        <f t="shared" si="9"/>
        <v>586</v>
      </c>
      <c r="R452">
        <f>_xlfn.XLOOKUP(E452,'Data Additive'!E:E,'Data Additive'!E:E,0)</f>
        <v>0</v>
      </c>
    </row>
    <row r="453" spans="1:18" x14ac:dyDescent="0.25">
      <c r="A453">
        <v>9298</v>
      </c>
      <c r="B453" t="s">
        <v>186</v>
      </c>
      <c r="C453" t="s">
        <v>187</v>
      </c>
      <c r="D453" s="34">
        <v>52557.4</v>
      </c>
      <c r="E453">
        <v>1246083373</v>
      </c>
      <c r="F453" s="30">
        <v>45555</v>
      </c>
      <c r="G453" s="30"/>
      <c r="H453" t="s">
        <v>172</v>
      </c>
      <c r="I453" t="s">
        <v>173</v>
      </c>
      <c r="J453">
        <v>21444</v>
      </c>
      <c r="K453" s="30">
        <v>45069</v>
      </c>
      <c r="L453">
        <v>1010100</v>
      </c>
      <c r="M453" t="s">
        <v>35</v>
      </c>
      <c r="N453">
        <v>161</v>
      </c>
      <c r="O453" t="s">
        <v>160</v>
      </c>
      <c r="P453" t="s">
        <v>186</v>
      </c>
      <c r="Q453">
        <f t="shared" si="9"/>
        <v>586</v>
      </c>
      <c r="R453">
        <f>_xlfn.XLOOKUP(E453,'Data Additive'!E:E,'Data Additive'!E:E,0)</f>
        <v>0</v>
      </c>
    </row>
    <row r="454" spans="1:18" x14ac:dyDescent="0.25">
      <c r="A454">
        <v>9298</v>
      </c>
      <c r="B454" t="s">
        <v>186</v>
      </c>
      <c r="C454" t="s">
        <v>187</v>
      </c>
      <c r="D454" s="34">
        <v>13957.5</v>
      </c>
      <c r="E454">
        <v>1246084673</v>
      </c>
      <c r="F454" s="30">
        <v>45555</v>
      </c>
      <c r="G454" s="30"/>
      <c r="H454" t="s">
        <v>172</v>
      </c>
      <c r="I454" t="s">
        <v>173</v>
      </c>
      <c r="J454">
        <v>21538</v>
      </c>
      <c r="K454" s="30">
        <v>45077</v>
      </c>
      <c r="L454">
        <v>1010100</v>
      </c>
      <c r="M454" t="s">
        <v>35</v>
      </c>
      <c r="N454">
        <v>161</v>
      </c>
      <c r="O454" t="s">
        <v>160</v>
      </c>
      <c r="P454" t="s">
        <v>186</v>
      </c>
      <c r="Q454">
        <f t="shared" si="9"/>
        <v>586</v>
      </c>
      <c r="R454">
        <f>_xlfn.XLOOKUP(E454,'Data Additive'!E:E,'Data Additive'!E:E,0)</f>
        <v>0</v>
      </c>
    </row>
    <row r="455" spans="1:18" x14ac:dyDescent="0.25">
      <c r="A455">
        <v>9298</v>
      </c>
      <c r="B455" t="s">
        <v>186</v>
      </c>
      <c r="C455" t="s">
        <v>187</v>
      </c>
      <c r="D455" s="34">
        <v>40756.75</v>
      </c>
      <c r="E455">
        <v>1246084671</v>
      </c>
      <c r="F455" s="30">
        <v>45555</v>
      </c>
      <c r="G455" s="30"/>
      <c r="H455" t="s">
        <v>172</v>
      </c>
      <c r="I455" t="s">
        <v>173</v>
      </c>
      <c r="J455">
        <v>21537</v>
      </c>
      <c r="K455" s="30">
        <v>45077</v>
      </c>
      <c r="L455">
        <v>1010100</v>
      </c>
      <c r="M455" t="s">
        <v>35</v>
      </c>
      <c r="N455">
        <v>161</v>
      </c>
      <c r="O455" t="s">
        <v>160</v>
      </c>
      <c r="P455" t="s">
        <v>186</v>
      </c>
      <c r="Q455">
        <f t="shared" si="9"/>
        <v>586</v>
      </c>
      <c r="R455">
        <f>_xlfn.XLOOKUP(E455,'Data Additive'!E:E,'Data Additive'!E:E,0)</f>
        <v>0</v>
      </c>
    </row>
    <row r="456" spans="1:18" x14ac:dyDescent="0.25">
      <c r="A456">
        <v>9298</v>
      </c>
      <c r="B456" t="s">
        <v>186</v>
      </c>
      <c r="C456" t="s">
        <v>187</v>
      </c>
      <c r="D456" s="34">
        <v>13238.05</v>
      </c>
      <c r="E456">
        <v>1246088994</v>
      </c>
      <c r="F456" s="30">
        <v>45555</v>
      </c>
      <c r="G456" s="30"/>
      <c r="H456" t="s">
        <v>172</v>
      </c>
      <c r="I456" t="s">
        <v>173</v>
      </c>
      <c r="J456">
        <v>20723</v>
      </c>
      <c r="K456" s="30">
        <v>44979</v>
      </c>
      <c r="L456">
        <v>1010100</v>
      </c>
      <c r="M456" t="s">
        <v>35</v>
      </c>
      <c r="N456">
        <v>161</v>
      </c>
      <c r="O456" t="s">
        <v>160</v>
      </c>
      <c r="P456" t="s">
        <v>186</v>
      </c>
      <c r="Q456">
        <f t="shared" si="9"/>
        <v>586</v>
      </c>
      <c r="R456">
        <f>_xlfn.XLOOKUP(E456,'Data Additive'!E:E,'Data Additive'!E:E,0)</f>
        <v>0</v>
      </c>
    </row>
    <row r="457" spans="1:18" x14ac:dyDescent="0.25">
      <c r="A457">
        <v>9298</v>
      </c>
      <c r="B457" t="s">
        <v>186</v>
      </c>
      <c r="C457" t="s">
        <v>187</v>
      </c>
      <c r="D457" s="34">
        <v>118788.8</v>
      </c>
      <c r="E457">
        <v>1246099199</v>
      </c>
      <c r="F457" s="30">
        <v>45562</v>
      </c>
      <c r="G457" s="30"/>
      <c r="H457" t="s">
        <v>172</v>
      </c>
      <c r="I457" t="s">
        <v>173</v>
      </c>
      <c r="J457">
        <v>768</v>
      </c>
      <c r="K457" s="30">
        <v>45159</v>
      </c>
      <c r="L457">
        <v>1010100</v>
      </c>
      <c r="M457" t="s">
        <v>35</v>
      </c>
      <c r="N457">
        <v>161</v>
      </c>
      <c r="O457" t="s">
        <v>160</v>
      </c>
      <c r="P457" t="s">
        <v>186</v>
      </c>
      <c r="Q457">
        <f t="shared" si="9"/>
        <v>579</v>
      </c>
      <c r="R457">
        <f>_xlfn.XLOOKUP(E457,'Data Additive'!E:E,'Data Additive'!E:E,0)</f>
        <v>0</v>
      </c>
    </row>
    <row r="458" spans="1:18" x14ac:dyDescent="0.25">
      <c r="A458">
        <v>9298</v>
      </c>
      <c r="B458" t="s">
        <v>186</v>
      </c>
      <c r="C458" t="s">
        <v>187</v>
      </c>
      <c r="D458" s="34">
        <v>118788.8</v>
      </c>
      <c r="E458">
        <v>1246099294</v>
      </c>
      <c r="F458" s="30">
        <v>45562</v>
      </c>
      <c r="G458" s="30"/>
      <c r="H458" t="s">
        <v>172</v>
      </c>
      <c r="I458" t="s">
        <v>173</v>
      </c>
      <c r="J458">
        <v>777</v>
      </c>
      <c r="K458" s="30">
        <v>45159</v>
      </c>
      <c r="L458">
        <v>1010100</v>
      </c>
      <c r="M458" t="s">
        <v>35</v>
      </c>
      <c r="N458">
        <v>161</v>
      </c>
      <c r="O458" t="s">
        <v>160</v>
      </c>
      <c r="P458" t="s">
        <v>186</v>
      </c>
      <c r="Q458">
        <f t="shared" si="9"/>
        <v>579</v>
      </c>
      <c r="R458">
        <f>_xlfn.XLOOKUP(E458,'Data Additive'!E:E,'Data Additive'!E:E,0)</f>
        <v>0</v>
      </c>
    </row>
    <row r="459" spans="1:18" x14ac:dyDescent="0.25">
      <c r="A459">
        <v>9298</v>
      </c>
      <c r="B459" t="s">
        <v>186</v>
      </c>
      <c r="C459" t="s">
        <v>187</v>
      </c>
      <c r="D459" s="34">
        <v>148492.1</v>
      </c>
      <c r="E459">
        <v>1246105304</v>
      </c>
      <c r="F459" s="30">
        <v>45555</v>
      </c>
      <c r="G459" s="30"/>
      <c r="H459" t="s">
        <v>172</v>
      </c>
      <c r="I459" t="s">
        <v>173</v>
      </c>
      <c r="J459">
        <v>1270</v>
      </c>
      <c r="K459" s="30">
        <v>45190</v>
      </c>
      <c r="L459">
        <v>1010100</v>
      </c>
      <c r="M459" t="s">
        <v>35</v>
      </c>
      <c r="N459">
        <v>161</v>
      </c>
      <c r="O459" t="s">
        <v>160</v>
      </c>
      <c r="P459" t="s">
        <v>186</v>
      </c>
      <c r="Q459">
        <f t="shared" si="9"/>
        <v>586</v>
      </c>
      <c r="R459">
        <f>_xlfn.XLOOKUP(E459,'Data Additive'!E:E,'Data Additive'!E:E,0)</f>
        <v>0</v>
      </c>
    </row>
    <row r="460" spans="1:18" x14ac:dyDescent="0.25">
      <c r="A460">
        <v>9298</v>
      </c>
      <c r="B460" t="s">
        <v>186</v>
      </c>
      <c r="C460" t="s">
        <v>187</v>
      </c>
      <c r="D460" s="34">
        <v>79894</v>
      </c>
      <c r="E460">
        <v>1246114860</v>
      </c>
      <c r="F460" s="30">
        <v>45555</v>
      </c>
      <c r="G460" s="30"/>
      <c r="H460" t="s">
        <v>172</v>
      </c>
      <c r="I460" t="s">
        <v>173</v>
      </c>
      <c r="J460">
        <v>1951</v>
      </c>
      <c r="K460" s="30">
        <v>45243</v>
      </c>
      <c r="L460">
        <v>1010100</v>
      </c>
      <c r="M460" t="s">
        <v>35</v>
      </c>
      <c r="N460">
        <v>161</v>
      </c>
      <c r="O460" t="s">
        <v>160</v>
      </c>
      <c r="P460" t="s">
        <v>186</v>
      </c>
      <c r="Q460">
        <f t="shared" si="9"/>
        <v>586</v>
      </c>
      <c r="R460">
        <f>_xlfn.XLOOKUP(E460,'Data Additive'!E:E,'Data Additive'!E:E,0)</f>
        <v>0</v>
      </c>
    </row>
    <row r="461" spans="1:18" x14ac:dyDescent="0.25">
      <c r="A461">
        <v>9298</v>
      </c>
      <c r="B461" t="s">
        <v>186</v>
      </c>
      <c r="C461" t="s">
        <v>187</v>
      </c>
      <c r="D461" s="34">
        <v>123567.8</v>
      </c>
      <c r="E461">
        <v>1246103672</v>
      </c>
      <c r="F461" s="30">
        <v>45567</v>
      </c>
      <c r="G461" s="30"/>
      <c r="H461" t="s">
        <v>172</v>
      </c>
      <c r="I461" t="s">
        <v>173</v>
      </c>
      <c r="J461">
        <v>1150</v>
      </c>
      <c r="K461" s="30">
        <v>45182</v>
      </c>
      <c r="L461">
        <v>1010100</v>
      </c>
      <c r="M461" t="s">
        <v>35</v>
      </c>
      <c r="N461">
        <v>161</v>
      </c>
      <c r="O461" t="s">
        <v>160</v>
      </c>
      <c r="P461" t="s">
        <v>186</v>
      </c>
      <c r="Q461">
        <f t="shared" si="9"/>
        <v>574</v>
      </c>
      <c r="R461">
        <f>_xlfn.XLOOKUP(E461,'Data Additive'!E:E,'Data Additive'!E:E,0)</f>
        <v>0</v>
      </c>
    </row>
    <row r="462" spans="1:18" x14ac:dyDescent="0.25">
      <c r="A462">
        <v>9298</v>
      </c>
      <c r="B462" t="s">
        <v>186</v>
      </c>
      <c r="C462" t="s">
        <v>187</v>
      </c>
      <c r="D462" s="34">
        <v>113355.6</v>
      </c>
      <c r="E462">
        <v>1246116199</v>
      </c>
      <c r="F462" s="30">
        <v>45561</v>
      </c>
      <c r="G462" s="30"/>
      <c r="H462" t="s">
        <v>172</v>
      </c>
      <c r="I462" t="s">
        <v>173</v>
      </c>
      <c r="J462">
        <v>2054</v>
      </c>
      <c r="K462" s="30">
        <v>45252</v>
      </c>
      <c r="L462">
        <v>1010100</v>
      </c>
      <c r="M462" t="s">
        <v>35</v>
      </c>
      <c r="N462">
        <v>161</v>
      </c>
      <c r="O462" t="s">
        <v>160</v>
      </c>
      <c r="P462" t="s">
        <v>186</v>
      </c>
      <c r="Q462">
        <f t="shared" si="9"/>
        <v>580</v>
      </c>
      <c r="R462">
        <f>_xlfn.XLOOKUP(E462,'Data Additive'!E:E,'Data Additive'!E:E,0)</f>
        <v>0</v>
      </c>
    </row>
    <row r="463" spans="1:18" x14ac:dyDescent="0.25">
      <c r="A463">
        <v>9298</v>
      </c>
      <c r="B463" t="s">
        <v>186</v>
      </c>
      <c r="C463" t="s">
        <v>187</v>
      </c>
      <c r="D463" s="34">
        <v>143583.76</v>
      </c>
      <c r="E463">
        <v>1246106222</v>
      </c>
      <c r="F463" s="30">
        <v>45560</v>
      </c>
      <c r="G463" s="30"/>
      <c r="H463" t="s">
        <v>172</v>
      </c>
      <c r="I463" t="s">
        <v>173</v>
      </c>
      <c r="J463">
        <v>1341</v>
      </c>
      <c r="K463" s="30">
        <v>45195</v>
      </c>
      <c r="L463">
        <v>1010100</v>
      </c>
      <c r="M463" t="s">
        <v>35</v>
      </c>
      <c r="N463">
        <v>161</v>
      </c>
      <c r="O463" t="s">
        <v>160</v>
      </c>
      <c r="P463" t="s">
        <v>186</v>
      </c>
      <c r="Q463">
        <f t="shared" si="9"/>
        <v>581</v>
      </c>
      <c r="R463">
        <f>_xlfn.XLOOKUP(E463,'Data Additive'!E:E,'Data Additive'!E:E,0)</f>
        <v>0</v>
      </c>
    </row>
    <row r="464" spans="1:18" x14ac:dyDescent="0.25">
      <c r="A464">
        <v>9298</v>
      </c>
      <c r="B464" t="s">
        <v>186</v>
      </c>
      <c r="C464" t="s">
        <v>187</v>
      </c>
      <c r="D464" s="34">
        <v>55612.2</v>
      </c>
      <c r="E464">
        <v>1246104999</v>
      </c>
      <c r="F464" s="30">
        <v>45555</v>
      </c>
      <c r="G464" s="30"/>
      <c r="H464" t="s">
        <v>172</v>
      </c>
      <c r="I464" t="s">
        <v>173</v>
      </c>
      <c r="J464">
        <v>1249</v>
      </c>
      <c r="K464" s="30">
        <v>45189</v>
      </c>
      <c r="L464">
        <v>1010100</v>
      </c>
      <c r="M464" t="s">
        <v>35</v>
      </c>
      <c r="N464">
        <v>161</v>
      </c>
      <c r="O464" t="s">
        <v>160</v>
      </c>
      <c r="P464" t="s">
        <v>186</v>
      </c>
      <c r="Q464">
        <f t="shared" si="9"/>
        <v>586</v>
      </c>
      <c r="R464">
        <f>_xlfn.XLOOKUP(E464,'Data Additive'!E:E,'Data Additive'!E:E,0)</f>
        <v>0</v>
      </c>
    </row>
    <row r="465" spans="1:18" x14ac:dyDescent="0.25">
      <c r="A465">
        <v>9298</v>
      </c>
      <c r="B465" t="s">
        <v>186</v>
      </c>
      <c r="C465" t="s">
        <v>187</v>
      </c>
      <c r="D465" s="34">
        <v>64234.84</v>
      </c>
      <c r="E465">
        <v>1246115394</v>
      </c>
      <c r="F465" s="30">
        <v>45555</v>
      </c>
      <c r="G465" s="30"/>
      <c r="H465" t="s">
        <v>172</v>
      </c>
      <c r="I465" t="s">
        <v>173</v>
      </c>
      <c r="J465">
        <v>1991</v>
      </c>
      <c r="K465" s="30">
        <v>45246</v>
      </c>
      <c r="L465">
        <v>1010100</v>
      </c>
      <c r="M465" t="s">
        <v>35</v>
      </c>
      <c r="N465">
        <v>161</v>
      </c>
      <c r="O465" t="s">
        <v>160</v>
      </c>
      <c r="P465" t="s">
        <v>186</v>
      </c>
      <c r="Q465">
        <f t="shared" si="9"/>
        <v>586</v>
      </c>
      <c r="R465">
        <f>_xlfn.XLOOKUP(E465,'Data Additive'!E:E,'Data Additive'!E:E,0)</f>
        <v>0</v>
      </c>
    </row>
    <row r="466" spans="1:18" x14ac:dyDescent="0.25">
      <c r="A466">
        <v>9298</v>
      </c>
      <c r="B466" t="s">
        <v>186</v>
      </c>
      <c r="C466" t="s">
        <v>187</v>
      </c>
      <c r="D466" s="34">
        <v>54534.2</v>
      </c>
      <c r="E466">
        <v>1246115392</v>
      </c>
      <c r="F466" s="30">
        <v>45555</v>
      </c>
      <c r="G466" s="30"/>
      <c r="H466" t="s">
        <v>172</v>
      </c>
      <c r="I466" t="s">
        <v>173</v>
      </c>
      <c r="J466">
        <v>1990</v>
      </c>
      <c r="K466" s="30">
        <v>45246</v>
      </c>
      <c r="L466">
        <v>1010100</v>
      </c>
      <c r="M466" t="s">
        <v>35</v>
      </c>
      <c r="N466">
        <v>161</v>
      </c>
      <c r="O466" t="s">
        <v>160</v>
      </c>
      <c r="P466" t="s">
        <v>186</v>
      </c>
      <c r="Q466">
        <f t="shared" si="9"/>
        <v>586</v>
      </c>
      <c r="R466">
        <f>_xlfn.XLOOKUP(E466,'Data Additive'!E:E,'Data Additive'!E:E,0)</f>
        <v>0</v>
      </c>
    </row>
    <row r="467" spans="1:18" x14ac:dyDescent="0.25">
      <c r="A467">
        <v>9298</v>
      </c>
      <c r="B467" t="s">
        <v>186</v>
      </c>
      <c r="C467" t="s">
        <v>187</v>
      </c>
      <c r="D467" s="34">
        <v>139293.64000000001</v>
      </c>
      <c r="E467">
        <v>1246105902</v>
      </c>
      <c r="F467" s="30">
        <v>45559</v>
      </c>
      <c r="G467" s="30"/>
      <c r="H467" t="s">
        <v>172</v>
      </c>
      <c r="I467" t="s">
        <v>173</v>
      </c>
      <c r="J467">
        <v>1319</v>
      </c>
      <c r="K467" s="30">
        <v>45194</v>
      </c>
      <c r="L467">
        <v>1010100</v>
      </c>
      <c r="M467" t="s">
        <v>35</v>
      </c>
      <c r="N467">
        <v>161</v>
      </c>
      <c r="O467" t="s">
        <v>160</v>
      </c>
      <c r="P467" t="s">
        <v>186</v>
      </c>
      <c r="Q467">
        <f t="shared" si="9"/>
        <v>582</v>
      </c>
      <c r="R467">
        <f>_xlfn.XLOOKUP(E467,'Data Additive'!E:E,'Data Additive'!E:E,0)</f>
        <v>0</v>
      </c>
    </row>
    <row r="468" spans="1:18" x14ac:dyDescent="0.25">
      <c r="A468">
        <v>9298</v>
      </c>
      <c r="B468" t="s">
        <v>186</v>
      </c>
      <c r="C468" t="s">
        <v>187</v>
      </c>
      <c r="D468" s="34">
        <v>68013.36</v>
      </c>
      <c r="E468">
        <v>1246114866</v>
      </c>
      <c r="F468" s="30">
        <v>45555</v>
      </c>
      <c r="G468" s="30"/>
      <c r="H468" t="s">
        <v>172</v>
      </c>
      <c r="I468" t="s">
        <v>173</v>
      </c>
      <c r="J468">
        <v>1952</v>
      </c>
      <c r="K468" s="30">
        <v>45243</v>
      </c>
      <c r="L468">
        <v>1010100</v>
      </c>
      <c r="M468" t="s">
        <v>35</v>
      </c>
      <c r="N468">
        <v>161</v>
      </c>
      <c r="O468" t="s">
        <v>160</v>
      </c>
      <c r="P468" t="s">
        <v>186</v>
      </c>
      <c r="Q468">
        <f t="shared" si="9"/>
        <v>586</v>
      </c>
      <c r="R468">
        <f>_xlfn.XLOOKUP(E468,'Data Additive'!E:E,'Data Additive'!E:E,0)</f>
        <v>0</v>
      </c>
    </row>
    <row r="469" spans="1:18" x14ac:dyDescent="0.25">
      <c r="A469">
        <v>9298</v>
      </c>
      <c r="B469" t="s">
        <v>186</v>
      </c>
      <c r="C469" t="s">
        <v>187</v>
      </c>
      <c r="D469" s="34">
        <v>55611.199999999997</v>
      </c>
      <c r="E469">
        <v>1246167304</v>
      </c>
      <c r="F469" s="30">
        <v>45555</v>
      </c>
      <c r="G469" s="30"/>
      <c r="H469" t="s">
        <v>172</v>
      </c>
      <c r="I469" t="s">
        <v>173</v>
      </c>
      <c r="J469">
        <v>1244</v>
      </c>
      <c r="K469" s="30">
        <v>45189</v>
      </c>
      <c r="L469">
        <v>1010100</v>
      </c>
      <c r="M469" t="s">
        <v>35</v>
      </c>
      <c r="N469">
        <v>161</v>
      </c>
      <c r="O469" t="s">
        <v>160</v>
      </c>
      <c r="P469" t="s">
        <v>186</v>
      </c>
      <c r="Q469">
        <f t="shared" si="9"/>
        <v>586</v>
      </c>
      <c r="R469">
        <f>_xlfn.XLOOKUP(E469,'Data Additive'!E:E,'Data Additive'!E:E,0)</f>
        <v>0</v>
      </c>
    </row>
    <row r="470" spans="1:18" x14ac:dyDescent="0.25">
      <c r="A470">
        <v>9298</v>
      </c>
      <c r="B470" t="s">
        <v>186</v>
      </c>
      <c r="C470" t="s">
        <v>187</v>
      </c>
      <c r="D470" s="34">
        <v>104546.96</v>
      </c>
      <c r="E470">
        <v>1246244742</v>
      </c>
      <c r="F470" s="30">
        <v>45555</v>
      </c>
      <c r="G470" s="30"/>
      <c r="H470" t="s">
        <v>172</v>
      </c>
      <c r="I470" t="s">
        <v>173</v>
      </c>
      <c r="J470">
        <v>20726</v>
      </c>
      <c r="K470" s="30">
        <v>44979</v>
      </c>
      <c r="L470">
        <v>1010100</v>
      </c>
      <c r="M470" t="s">
        <v>35</v>
      </c>
      <c r="N470">
        <v>161</v>
      </c>
      <c r="O470" t="s">
        <v>160</v>
      </c>
      <c r="P470" t="s">
        <v>186</v>
      </c>
      <c r="Q470">
        <f t="shared" si="9"/>
        <v>586</v>
      </c>
      <c r="R470">
        <f>_xlfn.XLOOKUP(E470,'Data Additive'!E:E,'Data Additive'!E:E,0)</f>
        <v>0</v>
      </c>
    </row>
    <row r="471" spans="1:18" x14ac:dyDescent="0.25">
      <c r="A471">
        <v>9355</v>
      </c>
      <c r="B471" t="s">
        <v>336</v>
      </c>
      <c r="C471" t="s">
        <v>31</v>
      </c>
      <c r="D471" s="34">
        <v>604265.81999999983</v>
      </c>
      <c r="E471">
        <v>1246264749</v>
      </c>
      <c r="F471" s="30">
        <v>46177</v>
      </c>
      <c r="G471" s="30"/>
      <c r="H471" t="s">
        <v>28</v>
      </c>
      <c r="I471" t="s">
        <v>29</v>
      </c>
      <c r="J471">
        <v>2768</v>
      </c>
      <c r="K471" s="30">
        <v>46077</v>
      </c>
      <c r="L471">
        <v>1010200</v>
      </c>
      <c r="M471" t="s">
        <v>124</v>
      </c>
      <c r="N471">
        <v>40</v>
      </c>
      <c r="O471" t="s">
        <v>170</v>
      </c>
      <c r="P471" t="s">
        <v>336</v>
      </c>
      <c r="Q471">
        <f t="shared" si="9"/>
        <v>-36</v>
      </c>
      <c r="R471">
        <f>_xlfn.XLOOKUP(E471,'Data Additive'!E:E,'Data Additive'!E:E,0)</f>
        <v>0</v>
      </c>
    </row>
    <row r="472" spans="1:18" x14ac:dyDescent="0.25">
      <c r="A472">
        <v>9355</v>
      </c>
      <c r="B472" t="s">
        <v>336</v>
      </c>
      <c r="C472" t="s">
        <v>31</v>
      </c>
      <c r="D472" s="34">
        <v>1191855.2599999998</v>
      </c>
      <c r="E472">
        <v>1246265046</v>
      </c>
      <c r="F472" s="30">
        <v>46180</v>
      </c>
      <c r="G472" s="30"/>
      <c r="H472" t="s">
        <v>28</v>
      </c>
      <c r="I472" t="s">
        <v>29</v>
      </c>
      <c r="J472">
        <v>10762</v>
      </c>
      <c r="K472" s="30">
        <v>46078</v>
      </c>
      <c r="L472">
        <v>1010200</v>
      </c>
      <c r="M472" t="s">
        <v>124</v>
      </c>
      <c r="N472">
        <v>40</v>
      </c>
      <c r="O472" t="s">
        <v>170</v>
      </c>
      <c r="P472" t="s">
        <v>336</v>
      </c>
      <c r="Q472">
        <f t="shared" si="9"/>
        <v>-39</v>
      </c>
      <c r="R472">
        <f>_xlfn.XLOOKUP(E472,'Data Additive'!E:E,'Data Additive'!E:E,0)</f>
        <v>0</v>
      </c>
    </row>
    <row r="473" spans="1:18" x14ac:dyDescent="0.25">
      <c r="A473">
        <v>9355</v>
      </c>
      <c r="B473" t="s">
        <v>336</v>
      </c>
      <c r="C473" t="s">
        <v>31</v>
      </c>
      <c r="D473" s="34">
        <v>292178.84000000003</v>
      </c>
      <c r="E473">
        <v>1246264769</v>
      </c>
      <c r="F473" s="30">
        <v>46180</v>
      </c>
      <c r="G473" s="30"/>
      <c r="H473" t="s">
        <v>28</v>
      </c>
      <c r="I473" t="s">
        <v>29</v>
      </c>
      <c r="J473">
        <v>10753</v>
      </c>
      <c r="K473" s="30">
        <v>46077</v>
      </c>
      <c r="L473">
        <v>1010200</v>
      </c>
      <c r="M473" t="s">
        <v>124</v>
      </c>
      <c r="N473">
        <v>40</v>
      </c>
      <c r="O473" t="s">
        <v>170</v>
      </c>
      <c r="P473" t="s">
        <v>336</v>
      </c>
      <c r="Q473">
        <f t="shared" si="9"/>
        <v>-39</v>
      </c>
      <c r="R473">
        <f>_xlfn.XLOOKUP(E473,'Data Additive'!E:E,'Data Additive'!E:E,0)</f>
        <v>0</v>
      </c>
    </row>
    <row r="474" spans="1:18" x14ac:dyDescent="0.25">
      <c r="A474">
        <v>9355</v>
      </c>
      <c r="B474" t="s">
        <v>336</v>
      </c>
      <c r="C474" t="s">
        <v>31</v>
      </c>
      <c r="D474" s="34">
        <v>1191855.2599999998</v>
      </c>
      <c r="E474">
        <v>1246265200</v>
      </c>
      <c r="F474" s="30">
        <v>46177</v>
      </c>
      <c r="G474" s="30"/>
      <c r="H474" t="s">
        <v>28</v>
      </c>
      <c r="I474" t="s">
        <v>29</v>
      </c>
      <c r="J474">
        <v>2778</v>
      </c>
      <c r="K474" s="30">
        <v>46078</v>
      </c>
      <c r="L474">
        <v>1010200</v>
      </c>
      <c r="M474" t="s">
        <v>124</v>
      </c>
      <c r="N474">
        <v>40</v>
      </c>
      <c r="O474" t="s">
        <v>170</v>
      </c>
      <c r="P474" t="s">
        <v>336</v>
      </c>
      <c r="Q474">
        <f t="shared" si="9"/>
        <v>-36</v>
      </c>
      <c r="R474">
        <f>_xlfn.XLOOKUP(E474,'Data Additive'!E:E,'Data Additive'!E:E,0)</f>
        <v>0</v>
      </c>
    </row>
    <row r="475" spans="1:18" x14ac:dyDescent="0.25">
      <c r="A475">
        <v>9830</v>
      </c>
      <c r="B475" t="s">
        <v>846</v>
      </c>
      <c r="C475" t="s">
        <v>847</v>
      </c>
      <c r="D475" s="34">
        <v>331</v>
      </c>
      <c r="E475">
        <v>1246266368</v>
      </c>
      <c r="F475" s="30">
        <v>46175</v>
      </c>
      <c r="G475" s="30"/>
      <c r="I475" t="s">
        <v>372</v>
      </c>
      <c r="J475">
        <v>10813</v>
      </c>
      <c r="K475" s="30">
        <v>46085</v>
      </c>
      <c r="L475">
        <v>4011600</v>
      </c>
      <c r="M475" t="s">
        <v>692</v>
      </c>
      <c r="N475">
        <v>244</v>
      </c>
      <c r="O475" t="s">
        <v>190</v>
      </c>
      <c r="P475" t="s">
        <v>846</v>
      </c>
      <c r="Q475">
        <f t="shared" si="9"/>
        <v>-34</v>
      </c>
      <c r="R475">
        <f>_xlfn.XLOOKUP(E475,'Data Additive'!E:E,'Data Additive'!E:E,0)</f>
        <v>1246266368</v>
      </c>
    </row>
    <row r="476" spans="1:18" x14ac:dyDescent="0.25">
      <c r="A476">
        <v>10677</v>
      </c>
      <c r="B476" t="s">
        <v>890</v>
      </c>
      <c r="C476" t="s">
        <v>891</v>
      </c>
      <c r="D476" s="34">
        <v>581</v>
      </c>
      <c r="E476">
        <v>1246272911</v>
      </c>
      <c r="F476" s="30">
        <v>46170</v>
      </c>
      <c r="G476" s="30"/>
      <c r="I476" t="s">
        <v>372</v>
      </c>
      <c r="J476">
        <v>11244</v>
      </c>
      <c r="K476" s="30">
        <v>46140</v>
      </c>
      <c r="L476">
        <v>4011600</v>
      </c>
      <c r="M476" t="s">
        <v>692</v>
      </c>
      <c r="N476">
        <v>244</v>
      </c>
      <c r="O476" t="s">
        <v>190</v>
      </c>
      <c r="P476" t="s">
        <v>890</v>
      </c>
      <c r="Q476">
        <f t="shared" si="9"/>
        <v>-29</v>
      </c>
      <c r="R476">
        <f>_xlfn.XLOOKUP(E476,'Data Additive'!E:E,'Data Additive'!E:E,0)</f>
        <v>1246272911</v>
      </c>
    </row>
    <row r="477" spans="1:18" x14ac:dyDescent="0.25">
      <c r="A477">
        <v>10677</v>
      </c>
      <c r="B477" t="s">
        <v>890</v>
      </c>
      <c r="C477" t="s">
        <v>891</v>
      </c>
      <c r="D477" s="34">
        <v>581</v>
      </c>
      <c r="E477">
        <v>1246272912</v>
      </c>
      <c r="F477" s="30">
        <v>46200</v>
      </c>
      <c r="G477" s="30"/>
      <c r="I477" t="s">
        <v>372</v>
      </c>
      <c r="J477">
        <v>11244</v>
      </c>
      <c r="K477" s="30">
        <v>46140</v>
      </c>
      <c r="L477">
        <v>4011600</v>
      </c>
      <c r="M477" t="s">
        <v>692</v>
      </c>
      <c r="N477">
        <v>244</v>
      </c>
      <c r="O477" t="s">
        <v>190</v>
      </c>
      <c r="P477" t="s">
        <v>890</v>
      </c>
      <c r="Q477">
        <f t="shared" si="9"/>
        <v>-59</v>
      </c>
      <c r="R477">
        <f>_xlfn.XLOOKUP(E477,'Data Additive'!E:E,'Data Additive'!E:E,0)</f>
        <v>1246272912</v>
      </c>
    </row>
    <row r="478" spans="1:18" x14ac:dyDescent="0.25">
      <c r="A478">
        <v>10677</v>
      </c>
      <c r="B478" t="s">
        <v>890</v>
      </c>
      <c r="C478" t="s">
        <v>891</v>
      </c>
      <c r="D478" s="34">
        <v>581</v>
      </c>
      <c r="E478">
        <v>1246272913</v>
      </c>
      <c r="F478" s="30">
        <v>46230</v>
      </c>
      <c r="G478" s="30"/>
      <c r="I478" t="s">
        <v>372</v>
      </c>
      <c r="J478">
        <v>11244</v>
      </c>
      <c r="K478" s="30">
        <v>46140</v>
      </c>
      <c r="L478">
        <v>4011600</v>
      </c>
      <c r="M478" t="s">
        <v>692</v>
      </c>
      <c r="N478">
        <v>244</v>
      </c>
      <c r="O478" t="s">
        <v>190</v>
      </c>
      <c r="P478" t="s">
        <v>890</v>
      </c>
      <c r="Q478">
        <f t="shared" si="9"/>
        <v>-89</v>
      </c>
      <c r="R478">
        <f>_xlfn.XLOOKUP(E478,'Data Additive'!E:E,'Data Additive'!E:E,0)</f>
        <v>1246272913</v>
      </c>
    </row>
    <row r="479" spans="1:18" x14ac:dyDescent="0.25">
      <c r="A479">
        <v>11768</v>
      </c>
      <c r="B479" t="s">
        <v>304</v>
      </c>
      <c r="C479" t="s">
        <v>31</v>
      </c>
      <c r="D479" s="34">
        <v>86689.1</v>
      </c>
      <c r="E479">
        <v>1246264534</v>
      </c>
      <c r="F479" s="30">
        <v>46158</v>
      </c>
      <c r="G479" s="30"/>
      <c r="H479" t="s">
        <v>28</v>
      </c>
      <c r="I479" t="s">
        <v>29</v>
      </c>
      <c r="J479">
        <v>10744</v>
      </c>
      <c r="K479" s="30">
        <v>46076</v>
      </c>
      <c r="L479">
        <v>1010200</v>
      </c>
      <c r="M479" t="s">
        <v>124</v>
      </c>
      <c r="N479">
        <v>40</v>
      </c>
      <c r="O479" t="s">
        <v>170</v>
      </c>
      <c r="P479" t="s">
        <v>304</v>
      </c>
      <c r="Q479">
        <f t="shared" si="9"/>
        <v>-17</v>
      </c>
      <c r="R479">
        <f>_xlfn.XLOOKUP(E479,'Data Additive'!E:E,'Data Additive'!E:E,0)</f>
        <v>0</v>
      </c>
    </row>
    <row r="480" spans="1:18" x14ac:dyDescent="0.25">
      <c r="A480">
        <v>11770</v>
      </c>
      <c r="B480" t="s">
        <v>437</v>
      </c>
      <c r="C480" t="s">
        <v>31</v>
      </c>
      <c r="D480" s="34">
        <v>14548.35</v>
      </c>
      <c r="E480">
        <v>1246263524</v>
      </c>
      <c r="F480" s="30">
        <v>46039</v>
      </c>
      <c r="G480" s="30"/>
      <c r="H480" t="s">
        <v>28</v>
      </c>
      <c r="I480" t="s">
        <v>29</v>
      </c>
      <c r="J480">
        <v>9853</v>
      </c>
      <c r="K480" s="30">
        <v>45959</v>
      </c>
      <c r="L480">
        <v>1010200</v>
      </c>
      <c r="M480" t="s">
        <v>124</v>
      </c>
      <c r="N480">
        <v>40</v>
      </c>
      <c r="O480" t="s">
        <v>170</v>
      </c>
      <c r="P480" t="s">
        <v>437</v>
      </c>
      <c r="Q480">
        <f t="shared" si="9"/>
        <v>102</v>
      </c>
      <c r="R480">
        <f>_xlfn.XLOOKUP(E480,'Data Additive'!E:E,'Data Additive'!E:E,0)</f>
        <v>0</v>
      </c>
    </row>
    <row r="481" spans="1:18" x14ac:dyDescent="0.25">
      <c r="A481">
        <v>10454</v>
      </c>
      <c r="B481" t="s">
        <v>194</v>
      </c>
      <c r="C481" t="s">
        <v>195</v>
      </c>
      <c r="D481" s="34">
        <v>144418.20000000001</v>
      </c>
      <c r="E481">
        <v>1246051128</v>
      </c>
      <c r="F481" s="30">
        <v>45229</v>
      </c>
      <c r="G481" s="30"/>
      <c r="H481" t="s">
        <v>172</v>
      </c>
      <c r="I481" t="s">
        <v>173</v>
      </c>
      <c r="J481">
        <v>19700</v>
      </c>
      <c r="K481" s="30">
        <v>44860</v>
      </c>
      <c r="L481">
        <v>1010100</v>
      </c>
      <c r="M481" t="s">
        <v>35</v>
      </c>
      <c r="N481">
        <v>161</v>
      </c>
      <c r="O481" t="s">
        <v>160</v>
      </c>
      <c r="P481" t="s">
        <v>194</v>
      </c>
      <c r="Q481">
        <f t="shared" si="9"/>
        <v>912</v>
      </c>
      <c r="R481">
        <f>_xlfn.XLOOKUP(E481,'Data Additive'!E:E,'Data Additive'!E:E,0)</f>
        <v>0</v>
      </c>
    </row>
    <row r="482" spans="1:18" x14ac:dyDescent="0.25">
      <c r="A482">
        <v>10454</v>
      </c>
      <c r="B482" t="s">
        <v>194</v>
      </c>
      <c r="C482" t="s">
        <v>195</v>
      </c>
      <c r="D482" s="34">
        <v>144418.20000000001</v>
      </c>
      <c r="E482">
        <v>1246049220</v>
      </c>
      <c r="F482" s="30">
        <v>45229</v>
      </c>
      <c r="G482" s="30"/>
      <c r="H482" t="s">
        <v>172</v>
      </c>
      <c r="I482" t="s">
        <v>173</v>
      </c>
      <c r="J482">
        <v>19589</v>
      </c>
      <c r="K482" s="30">
        <v>44852</v>
      </c>
      <c r="L482">
        <v>1010100</v>
      </c>
      <c r="M482" t="s">
        <v>35</v>
      </c>
      <c r="N482">
        <v>161</v>
      </c>
      <c r="O482" t="s">
        <v>160</v>
      </c>
      <c r="P482" t="s">
        <v>194</v>
      </c>
      <c r="Q482">
        <f t="shared" si="9"/>
        <v>912</v>
      </c>
      <c r="R482">
        <f>_xlfn.XLOOKUP(E482,'Data Additive'!E:E,'Data Additive'!E:E,0)</f>
        <v>0</v>
      </c>
    </row>
    <row r="483" spans="1:18" x14ac:dyDescent="0.25">
      <c r="A483">
        <v>10454</v>
      </c>
      <c r="B483" t="s">
        <v>194</v>
      </c>
      <c r="C483" t="s">
        <v>195</v>
      </c>
      <c r="D483" s="34">
        <v>149099.07999999999</v>
      </c>
      <c r="E483">
        <v>1246058414</v>
      </c>
      <c r="F483" s="30">
        <v>45229</v>
      </c>
      <c r="G483" s="30"/>
      <c r="H483" t="s">
        <v>172</v>
      </c>
      <c r="I483" t="s">
        <v>173</v>
      </c>
      <c r="J483">
        <v>20191</v>
      </c>
      <c r="K483" s="30">
        <v>44909</v>
      </c>
      <c r="L483">
        <v>1010100</v>
      </c>
      <c r="M483" t="s">
        <v>35</v>
      </c>
      <c r="N483">
        <v>161</v>
      </c>
      <c r="O483" t="s">
        <v>160</v>
      </c>
      <c r="P483" t="s">
        <v>194</v>
      </c>
      <c r="Q483">
        <f t="shared" si="9"/>
        <v>912</v>
      </c>
      <c r="R483">
        <f>_xlfn.XLOOKUP(E483,'Data Additive'!E:E,'Data Additive'!E:E,0)</f>
        <v>0</v>
      </c>
    </row>
    <row r="484" spans="1:18" x14ac:dyDescent="0.25">
      <c r="A484">
        <v>10454</v>
      </c>
      <c r="B484" t="s">
        <v>194</v>
      </c>
      <c r="C484" t="s">
        <v>195</v>
      </c>
      <c r="D484" s="34">
        <v>151022.07999999999</v>
      </c>
      <c r="E484">
        <v>1246066481</v>
      </c>
      <c r="F484" s="30">
        <v>45229</v>
      </c>
      <c r="G484" s="30"/>
      <c r="H484" t="s">
        <v>172</v>
      </c>
      <c r="I484" t="s">
        <v>173</v>
      </c>
      <c r="J484">
        <v>20644</v>
      </c>
      <c r="K484" s="30">
        <v>44965</v>
      </c>
      <c r="L484">
        <v>1010100</v>
      </c>
      <c r="M484" t="s">
        <v>35</v>
      </c>
      <c r="N484">
        <v>161</v>
      </c>
      <c r="O484" t="s">
        <v>160</v>
      </c>
      <c r="P484" t="s">
        <v>194</v>
      </c>
      <c r="Q484">
        <f t="shared" si="9"/>
        <v>912</v>
      </c>
      <c r="R484">
        <f>_xlfn.XLOOKUP(E484,'Data Additive'!E:E,'Data Additive'!E:E,0)</f>
        <v>0</v>
      </c>
    </row>
    <row r="485" spans="1:18" x14ac:dyDescent="0.25">
      <c r="A485">
        <v>10454</v>
      </c>
      <c r="B485" t="s">
        <v>194</v>
      </c>
      <c r="C485" t="s">
        <v>195</v>
      </c>
      <c r="D485" s="34">
        <v>248498.47</v>
      </c>
      <c r="E485">
        <v>1246058556</v>
      </c>
      <c r="F485" s="30">
        <v>45229</v>
      </c>
      <c r="G485" s="30"/>
      <c r="H485" t="s">
        <v>172</v>
      </c>
      <c r="I485" t="s">
        <v>173</v>
      </c>
      <c r="J485">
        <v>20197</v>
      </c>
      <c r="K485" s="30">
        <v>44909</v>
      </c>
      <c r="L485">
        <v>1010100</v>
      </c>
      <c r="M485" t="s">
        <v>35</v>
      </c>
      <c r="N485">
        <v>161</v>
      </c>
      <c r="O485" t="s">
        <v>160</v>
      </c>
      <c r="P485" t="s">
        <v>194</v>
      </c>
      <c r="Q485">
        <f t="shared" si="9"/>
        <v>912</v>
      </c>
      <c r="R485">
        <f>_xlfn.XLOOKUP(E485,'Data Additive'!E:E,'Data Additive'!E:E,0)</f>
        <v>0</v>
      </c>
    </row>
    <row r="486" spans="1:18" x14ac:dyDescent="0.25">
      <c r="A486">
        <v>10454</v>
      </c>
      <c r="B486" t="s">
        <v>194</v>
      </c>
      <c r="C486" t="s">
        <v>195</v>
      </c>
      <c r="D486" s="34">
        <v>122816.13</v>
      </c>
      <c r="E486">
        <v>1246065495</v>
      </c>
      <c r="F486" s="30">
        <v>45229</v>
      </c>
      <c r="G486" s="30"/>
      <c r="H486" t="s">
        <v>172</v>
      </c>
      <c r="I486" t="s">
        <v>173</v>
      </c>
      <c r="J486">
        <v>20599</v>
      </c>
      <c r="K486" s="30">
        <v>44958</v>
      </c>
      <c r="L486">
        <v>1010100</v>
      </c>
      <c r="M486" t="s">
        <v>35</v>
      </c>
      <c r="N486">
        <v>161</v>
      </c>
      <c r="O486" t="s">
        <v>160</v>
      </c>
      <c r="P486" t="s">
        <v>194</v>
      </c>
      <c r="Q486">
        <f t="shared" si="9"/>
        <v>912</v>
      </c>
      <c r="R486">
        <f>_xlfn.XLOOKUP(E486,'Data Additive'!E:E,'Data Additive'!E:E,0)</f>
        <v>0</v>
      </c>
    </row>
    <row r="487" spans="1:18" x14ac:dyDescent="0.25">
      <c r="A487">
        <v>10454</v>
      </c>
      <c r="B487" t="s">
        <v>194</v>
      </c>
      <c r="C487" t="s">
        <v>195</v>
      </c>
      <c r="D487" s="34">
        <v>97567.15</v>
      </c>
      <c r="E487">
        <v>1246059110</v>
      </c>
      <c r="F487" s="30">
        <v>45229</v>
      </c>
      <c r="G487" s="30"/>
      <c r="H487" t="s">
        <v>172</v>
      </c>
      <c r="I487" t="s">
        <v>173</v>
      </c>
      <c r="J487">
        <v>20229</v>
      </c>
      <c r="K487" s="30">
        <v>44911</v>
      </c>
      <c r="L487">
        <v>1010100</v>
      </c>
      <c r="M487" t="s">
        <v>35</v>
      </c>
      <c r="N487">
        <v>161</v>
      </c>
      <c r="O487" t="s">
        <v>160</v>
      </c>
      <c r="P487" t="s">
        <v>194</v>
      </c>
      <c r="Q487">
        <f t="shared" si="9"/>
        <v>912</v>
      </c>
      <c r="R487">
        <f>_xlfn.XLOOKUP(E487,'Data Additive'!E:E,'Data Additive'!E:E,0)</f>
        <v>0</v>
      </c>
    </row>
    <row r="488" spans="1:18" x14ac:dyDescent="0.25">
      <c r="A488">
        <v>10454</v>
      </c>
      <c r="B488" t="s">
        <v>194</v>
      </c>
      <c r="C488" t="s">
        <v>195</v>
      </c>
      <c r="D488" s="34">
        <v>145199.79999999999</v>
      </c>
      <c r="E488">
        <v>1246057926</v>
      </c>
      <c r="F488" s="30">
        <v>45229</v>
      </c>
      <c r="G488" s="30"/>
      <c r="H488" t="s">
        <v>172</v>
      </c>
      <c r="I488" t="s">
        <v>173</v>
      </c>
      <c r="J488">
        <v>20177</v>
      </c>
      <c r="K488" s="30">
        <v>44907</v>
      </c>
      <c r="L488">
        <v>1010100</v>
      </c>
      <c r="M488" t="s">
        <v>35</v>
      </c>
      <c r="N488">
        <v>161</v>
      </c>
      <c r="O488" t="s">
        <v>160</v>
      </c>
      <c r="P488" t="s">
        <v>194</v>
      </c>
      <c r="Q488">
        <f t="shared" si="9"/>
        <v>912</v>
      </c>
      <c r="R488">
        <f>_xlfn.XLOOKUP(E488,'Data Additive'!E:E,'Data Additive'!E:E,0)</f>
        <v>0</v>
      </c>
    </row>
    <row r="489" spans="1:18" x14ac:dyDescent="0.25">
      <c r="A489">
        <v>10454</v>
      </c>
      <c r="B489" t="s">
        <v>194</v>
      </c>
      <c r="C489" t="s">
        <v>195</v>
      </c>
      <c r="D489" s="34">
        <v>85824.21</v>
      </c>
      <c r="E489">
        <v>1246058924</v>
      </c>
      <c r="F489" s="30">
        <v>45229</v>
      </c>
      <c r="G489" s="30"/>
      <c r="H489" t="s">
        <v>172</v>
      </c>
      <c r="I489" t="s">
        <v>173</v>
      </c>
      <c r="J489">
        <v>20209</v>
      </c>
      <c r="K489" s="30">
        <v>44910</v>
      </c>
      <c r="L489">
        <v>1010100</v>
      </c>
      <c r="M489" t="s">
        <v>35</v>
      </c>
      <c r="N489">
        <v>161</v>
      </c>
      <c r="O489" t="s">
        <v>160</v>
      </c>
      <c r="P489" t="s">
        <v>194</v>
      </c>
      <c r="Q489">
        <f t="shared" si="9"/>
        <v>912</v>
      </c>
      <c r="R489">
        <f>_xlfn.XLOOKUP(E489,'Data Additive'!E:E,'Data Additive'!E:E,0)</f>
        <v>0</v>
      </c>
    </row>
    <row r="490" spans="1:18" x14ac:dyDescent="0.25">
      <c r="A490">
        <v>10454</v>
      </c>
      <c r="B490" t="s">
        <v>194</v>
      </c>
      <c r="C490" t="s">
        <v>195</v>
      </c>
      <c r="D490" s="34">
        <v>154779.14000000001</v>
      </c>
      <c r="E490">
        <v>1246058289</v>
      </c>
      <c r="F490" s="30">
        <v>45229</v>
      </c>
      <c r="G490" s="30"/>
      <c r="H490" t="s">
        <v>172</v>
      </c>
      <c r="I490" t="s">
        <v>173</v>
      </c>
      <c r="J490">
        <v>20187</v>
      </c>
      <c r="K490" s="30">
        <v>44908</v>
      </c>
      <c r="L490">
        <v>1010100</v>
      </c>
      <c r="M490" t="s">
        <v>35</v>
      </c>
      <c r="N490">
        <v>161</v>
      </c>
      <c r="O490" t="s">
        <v>160</v>
      </c>
      <c r="P490" t="s">
        <v>194</v>
      </c>
      <c r="Q490">
        <f t="shared" si="9"/>
        <v>912</v>
      </c>
      <c r="R490">
        <f>_xlfn.XLOOKUP(E490,'Data Additive'!E:E,'Data Additive'!E:E,0)</f>
        <v>0</v>
      </c>
    </row>
    <row r="491" spans="1:18" x14ac:dyDescent="0.25">
      <c r="A491">
        <v>10454</v>
      </c>
      <c r="B491" t="s">
        <v>194</v>
      </c>
      <c r="C491" t="s">
        <v>195</v>
      </c>
      <c r="D491" s="34">
        <v>166124.28999999998</v>
      </c>
      <c r="E491">
        <v>1246066059</v>
      </c>
      <c r="F491" s="30">
        <v>45229</v>
      </c>
      <c r="G491" s="30"/>
      <c r="H491" t="s">
        <v>172</v>
      </c>
      <c r="I491" t="s">
        <v>173</v>
      </c>
      <c r="J491">
        <v>20622</v>
      </c>
      <c r="K491" s="30">
        <v>44963</v>
      </c>
      <c r="L491">
        <v>1010100</v>
      </c>
      <c r="M491" t="s">
        <v>35</v>
      </c>
      <c r="N491">
        <v>161</v>
      </c>
      <c r="O491" t="s">
        <v>160</v>
      </c>
      <c r="P491" t="s">
        <v>194</v>
      </c>
      <c r="Q491">
        <f t="shared" si="9"/>
        <v>912</v>
      </c>
      <c r="R491">
        <f>_xlfn.XLOOKUP(E491,'Data Additive'!E:E,'Data Additive'!E:E,0)</f>
        <v>0</v>
      </c>
    </row>
    <row r="492" spans="1:18" x14ac:dyDescent="0.25">
      <c r="A492">
        <v>10454</v>
      </c>
      <c r="B492" t="s">
        <v>194</v>
      </c>
      <c r="C492" t="s">
        <v>195</v>
      </c>
      <c r="D492" s="34">
        <v>151240.47</v>
      </c>
      <c r="E492">
        <v>1246059634</v>
      </c>
      <c r="F492" s="30">
        <v>45229</v>
      </c>
      <c r="G492" s="30"/>
      <c r="H492" t="s">
        <v>172</v>
      </c>
      <c r="I492" t="s">
        <v>173</v>
      </c>
      <c r="J492">
        <v>20268</v>
      </c>
      <c r="K492" s="30">
        <v>44916</v>
      </c>
      <c r="L492">
        <v>1010100</v>
      </c>
      <c r="M492" t="s">
        <v>35</v>
      </c>
      <c r="N492">
        <v>161</v>
      </c>
      <c r="O492" t="s">
        <v>160</v>
      </c>
      <c r="P492" t="s">
        <v>194</v>
      </c>
      <c r="Q492">
        <f t="shared" si="9"/>
        <v>912</v>
      </c>
      <c r="R492">
        <f>_xlfn.XLOOKUP(E492,'Data Additive'!E:E,'Data Additive'!E:E,0)</f>
        <v>0</v>
      </c>
    </row>
    <row r="493" spans="1:18" x14ac:dyDescent="0.25">
      <c r="A493">
        <v>10454</v>
      </c>
      <c r="B493" t="s">
        <v>194</v>
      </c>
      <c r="C493" t="s">
        <v>195</v>
      </c>
      <c r="D493" s="34">
        <v>102193.68</v>
      </c>
      <c r="E493">
        <v>1246216830</v>
      </c>
      <c r="F493" s="30">
        <v>45168</v>
      </c>
      <c r="G493" s="30"/>
      <c r="H493" t="s">
        <v>172</v>
      </c>
      <c r="I493" t="s">
        <v>173</v>
      </c>
      <c r="J493">
        <v>19263</v>
      </c>
      <c r="K493" s="30">
        <v>44824</v>
      </c>
      <c r="L493">
        <v>1010100</v>
      </c>
      <c r="M493" t="s">
        <v>35</v>
      </c>
      <c r="N493">
        <v>161</v>
      </c>
      <c r="O493" t="s">
        <v>160</v>
      </c>
      <c r="P493" t="s">
        <v>194</v>
      </c>
      <c r="Q493">
        <f t="shared" si="9"/>
        <v>973</v>
      </c>
      <c r="R493">
        <f>_xlfn.XLOOKUP(E493,'Data Additive'!E:E,'Data Additive'!E:E,0)</f>
        <v>0</v>
      </c>
    </row>
    <row r="494" spans="1:18" x14ac:dyDescent="0.25">
      <c r="A494">
        <v>11326</v>
      </c>
      <c r="B494" t="s">
        <v>196</v>
      </c>
      <c r="C494" t="s">
        <v>197</v>
      </c>
      <c r="D494" s="34">
        <v>131680</v>
      </c>
      <c r="E494">
        <v>1246234342</v>
      </c>
      <c r="F494" s="30">
        <v>46264</v>
      </c>
      <c r="G494" s="30"/>
      <c r="H494" t="s">
        <v>172</v>
      </c>
      <c r="I494" t="s">
        <v>173</v>
      </c>
      <c r="J494">
        <v>9141</v>
      </c>
      <c r="K494" s="30">
        <v>45901</v>
      </c>
      <c r="L494">
        <v>1010100</v>
      </c>
      <c r="M494" t="s">
        <v>35</v>
      </c>
      <c r="N494">
        <v>161</v>
      </c>
      <c r="O494" t="s">
        <v>160</v>
      </c>
      <c r="P494" t="s">
        <v>196</v>
      </c>
      <c r="Q494">
        <f t="shared" si="9"/>
        <v>-123</v>
      </c>
      <c r="R494">
        <f>_xlfn.XLOOKUP(E494,'Data Additive'!E:E,'Data Additive'!E:E,0)</f>
        <v>0</v>
      </c>
    </row>
    <row r="495" spans="1:18" x14ac:dyDescent="0.25">
      <c r="A495">
        <v>11580</v>
      </c>
      <c r="B495" t="s">
        <v>489</v>
      </c>
      <c r="C495" t="s">
        <v>31</v>
      </c>
      <c r="D495" s="34">
        <v>76480.23</v>
      </c>
      <c r="E495">
        <v>1246268734</v>
      </c>
      <c r="F495" s="30">
        <v>46440</v>
      </c>
      <c r="G495" s="30"/>
      <c r="H495" t="s">
        <v>28</v>
      </c>
      <c r="I495" t="s">
        <v>29</v>
      </c>
      <c r="J495">
        <v>2837</v>
      </c>
      <c r="K495" s="30">
        <v>46105</v>
      </c>
      <c r="L495">
        <v>1010200</v>
      </c>
      <c r="M495" t="s">
        <v>124</v>
      </c>
      <c r="N495">
        <v>40</v>
      </c>
      <c r="O495" t="s">
        <v>170</v>
      </c>
      <c r="P495" t="s">
        <v>489</v>
      </c>
      <c r="Q495">
        <f t="shared" si="9"/>
        <v>-299</v>
      </c>
      <c r="R495">
        <f>_xlfn.XLOOKUP(E495,'Data Additive'!E:E,'Data Additive'!E:E,0)</f>
        <v>0</v>
      </c>
    </row>
    <row r="496" spans="1:18" x14ac:dyDescent="0.25">
      <c r="A496">
        <v>10456</v>
      </c>
      <c r="B496" t="s">
        <v>198</v>
      </c>
      <c r="C496" t="s">
        <v>199</v>
      </c>
      <c r="D496" s="34">
        <v>111322.27</v>
      </c>
      <c r="E496">
        <v>1246093334</v>
      </c>
      <c r="F496" s="30">
        <v>45537</v>
      </c>
      <c r="G496" s="30"/>
      <c r="H496" t="s">
        <v>172</v>
      </c>
      <c r="I496" t="s">
        <v>173</v>
      </c>
      <c r="J496">
        <v>251</v>
      </c>
      <c r="K496" s="30">
        <v>45127</v>
      </c>
      <c r="L496">
        <v>1010100</v>
      </c>
      <c r="M496" t="s">
        <v>35</v>
      </c>
      <c r="N496">
        <v>161</v>
      </c>
      <c r="O496" t="s">
        <v>160</v>
      </c>
      <c r="P496" t="s">
        <v>198</v>
      </c>
      <c r="Q496">
        <f t="shared" si="9"/>
        <v>604</v>
      </c>
      <c r="R496">
        <f>_xlfn.XLOOKUP(E496,'Data Additive'!E:E,'Data Additive'!E:E,0)</f>
        <v>0</v>
      </c>
    </row>
    <row r="497" spans="1:18" x14ac:dyDescent="0.25">
      <c r="A497">
        <v>10456</v>
      </c>
      <c r="B497" t="s">
        <v>198</v>
      </c>
      <c r="C497" t="s">
        <v>199</v>
      </c>
      <c r="D497" s="34">
        <v>118491.86</v>
      </c>
      <c r="E497">
        <v>1246097861</v>
      </c>
      <c r="F497" s="30">
        <v>45565</v>
      </c>
      <c r="G497" s="30"/>
      <c r="H497" t="s">
        <v>172</v>
      </c>
      <c r="I497" t="s">
        <v>173</v>
      </c>
      <c r="J497">
        <v>683</v>
      </c>
      <c r="K497" s="30">
        <v>45152</v>
      </c>
      <c r="L497">
        <v>1010100</v>
      </c>
      <c r="M497" t="s">
        <v>35</v>
      </c>
      <c r="N497">
        <v>161</v>
      </c>
      <c r="O497" t="s">
        <v>160</v>
      </c>
      <c r="P497" t="s">
        <v>198</v>
      </c>
      <c r="Q497">
        <f t="shared" si="9"/>
        <v>576</v>
      </c>
      <c r="R497">
        <f>_xlfn.XLOOKUP(E497,'Data Additive'!E:E,'Data Additive'!E:E,0)</f>
        <v>0</v>
      </c>
    </row>
    <row r="498" spans="1:18" x14ac:dyDescent="0.25">
      <c r="A498">
        <v>10456</v>
      </c>
      <c r="B498" t="s">
        <v>198</v>
      </c>
      <c r="C498" t="s">
        <v>199</v>
      </c>
      <c r="D498" s="34">
        <v>117498.04</v>
      </c>
      <c r="E498">
        <v>1246099432</v>
      </c>
      <c r="F498" s="30">
        <v>45545</v>
      </c>
      <c r="G498" s="30"/>
      <c r="H498" t="s">
        <v>172</v>
      </c>
      <c r="I498" t="s">
        <v>173</v>
      </c>
      <c r="J498">
        <v>787</v>
      </c>
      <c r="K498" s="30">
        <v>45160</v>
      </c>
      <c r="L498">
        <v>1010100</v>
      </c>
      <c r="M498" t="s">
        <v>35</v>
      </c>
      <c r="N498">
        <v>161</v>
      </c>
      <c r="O498" t="s">
        <v>160</v>
      </c>
      <c r="P498" t="s">
        <v>198</v>
      </c>
      <c r="Q498">
        <f t="shared" si="9"/>
        <v>596</v>
      </c>
      <c r="R498">
        <f>_xlfn.XLOOKUP(E498,'Data Additive'!E:E,'Data Additive'!E:E,0)</f>
        <v>0</v>
      </c>
    </row>
    <row r="499" spans="1:18" x14ac:dyDescent="0.25">
      <c r="A499">
        <v>10456</v>
      </c>
      <c r="B499" t="s">
        <v>198</v>
      </c>
      <c r="C499" t="s">
        <v>199</v>
      </c>
      <c r="D499" s="34">
        <v>100560.82</v>
      </c>
      <c r="E499">
        <v>1246100417</v>
      </c>
      <c r="F499" s="30">
        <v>45548</v>
      </c>
      <c r="G499" s="30"/>
      <c r="H499" t="s">
        <v>172</v>
      </c>
      <c r="I499" t="s">
        <v>173</v>
      </c>
      <c r="J499">
        <v>183</v>
      </c>
      <c r="K499" s="30">
        <v>45163</v>
      </c>
      <c r="L499">
        <v>1010100</v>
      </c>
      <c r="M499" t="s">
        <v>35</v>
      </c>
      <c r="N499">
        <v>161</v>
      </c>
      <c r="O499" t="s">
        <v>160</v>
      </c>
      <c r="P499" t="s">
        <v>198</v>
      </c>
      <c r="Q499">
        <f t="shared" si="9"/>
        <v>593</v>
      </c>
      <c r="R499">
        <f>_xlfn.XLOOKUP(E499,'Data Additive'!E:E,'Data Additive'!E:E,0)</f>
        <v>0</v>
      </c>
    </row>
    <row r="500" spans="1:18" x14ac:dyDescent="0.25">
      <c r="A500">
        <v>10456</v>
      </c>
      <c r="B500" t="s">
        <v>198</v>
      </c>
      <c r="C500" t="s">
        <v>199</v>
      </c>
      <c r="D500" s="34">
        <v>61416.78</v>
      </c>
      <c r="E500">
        <v>1246065449</v>
      </c>
      <c r="F500" s="30">
        <v>45199</v>
      </c>
      <c r="G500" s="30"/>
      <c r="H500" t="s">
        <v>172</v>
      </c>
      <c r="I500" t="s">
        <v>173</v>
      </c>
      <c r="J500">
        <v>20596</v>
      </c>
      <c r="K500" s="30">
        <v>44958</v>
      </c>
      <c r="L500">
        <v>1010100</v>
      </c>
      <c r="M500" t="s">
        <v>35</v>
      </c>
      <c r="N500">
        <v>161</v>
      </c>
      <c r="O500" t="s">
        <v>160</v>
      </c>
      <c r="P500" t="s">
        <v>198</v>
      </c>
      <c r="Q500">
        <f t="shared" si="9"/>
        <v>942</v>
      </c>
      <c r="R500">
        <f>_xlfn.XLOOKUP(E500,'Data Additive'!E:E,'Data Additive'!E:E,0)</f>
        <v>0</v>
      </c>
    </row>
    <row r="501" spans="1:18" x14ac:dyDescent="0.25">
      <c r="A501">
        <v>10456</v>
      </c>
      <c r="B501" t="s">
        <v>198</v>
      </c>
      <c r="C501" t="s">
        <v>199</v>
      </c>
      <c r="D501" s="34">
        <v>106537.82</v>
      </c>
      <c r="E501">
        <v>1246110763</v>
      </c>
      <c r="F501" s="30">
        <v>45534</v>
      </c>
      <c r="G501" s="30"/>
      <c r="H501" t="s">
        <v>172</v>
      </c>
      <c r="I501" t="s">
        <v>173</v>
      </c>
      <c r="J501">
        <v>1702</v>
      </c>
      <c r="K501" s="30">
        <v>45222</v>
      </c>
      <c r="L501">
        <v>1010100</v>
      </c>
      <c r="M501" t="s">
        <v>35</v>
      </c>
      <c r="N501">
        <v>161</v>
      </c>
      <c r="O501" t="s">
        <v>160</v>
      </c>
      <c r="P501" t="s">
        <v>198</v>
      </c>
      <c r="Q501">
        <f t="shared" si="9"/>
        <v>607</v>
      </c>
      <c r="R501">
        <f>_xlfn.XLOOKUP(E501,'Data Additive'!E:E,'Data Additive'!E:E,0)</f>
        <v>0</v>
      </c>
    </row>
    <row r="502" spans="1:18" x14ac:dyDescent="0.25">
      <c r="A502">
        <v>10456</v>
      </c>
      <c r="B502" t="s">
        <v>198</v>
      </c>
      <c r="C502" t="s">
        <v>199</v>
      </c>
      <c r="D502" s="34">
        <v>110173.77</v>
      </c>
      <c r="E502">
        <v>1246067444</v>
      </c>
      <c r="F502" s="30">
        <v>45199</v>
      </c>
      <c r="G502" s="30"/>
      <c r="H502" t="s">
        <v>172</v>
      </c>
      <c r="I502" t="s">
        <v>173</v>
      </c>
      <c r="J502">
        <v>20680</v>
      </c>
      <c r="K502" s="30">
        <v>44971</v>
      </c>
      <c r="L502">
        <v>1010100</v>
      </c>
      <c r="M502" t="s">
        <v>35</v>
      </c>
      <c r="N502">
        <v>161</v>
      </c>
      <c r="O502" t="s">
        <v>160</v>
      </c>
      <c r="P502" t="s">
        <v>198</v>
      </c>
      <c r="Q502">
        <f t="shared" si="9"/>
        <v>942</v>
      </c>
      <c r="R502">
        <f>_xlfn.XLOOKUP(E502,'Data Additive'!E:E,'Data Additive'!E:E,0)</f>
        <v>0</v>
      </c>
    </row>
    <row r="503" spans="1:18" x14ac:dyDescent="0.25">
      <c r="A503">
        <v>10456</v>
      </c>
      <c r="B503" t="s">
        <v>198</v>
      </c>
      <c r="C503" t="s">
        <v>199</v>
      </c>
      <c r="D503" s="34">
        <v>153644.62</v>
      </c>
      <c r="E503">
        <v>1246066037</v>
      </c>
      <c r="F503" s="30">
        <v>45199</v>
      </c>
      <c r="G503" s="30"/>
      <c r="H503" t="s">
        <v>172</v>
      </c>
      <c r="I503" t="s">
        <v>173</v>
      </c>
      <c r="J503">
        <v>20619</v>
      </c>
      <c r="K503" s="30">
        <v>44963</v>
      </c>
      <c r="L503">
        <v>1010100</v>
      </c>
      <c r="M503" t="s">
        <v>35</v>
      </c>
      <c r="N503">
        <v>161</v>
      </c>
      <c r="O503" t="s">
        <v>160</v>
      </c>
      <c r="P503" t="s">
        <v>198</v>
      </c>
      <c r="Q503">
        <f t="shared" si="9"/>
        <v>942</v>
      </c>
      <c r="R503">
        <f>_xlfn.XLOOKUP(E503,'Data Additive'!E:E,'Data Additive'!E:E,0)</f>
        <v>0</v>
      </c>
    </row>
    <row r="504" spans="1:18" x14ac:dyDescent="0.25">
      <c r="A504">
        <v>10456</v>
      </c>
      <c r="B504" t="s">
        <v>198</v>
      </c>
      <c r="C504" t="s">
        <v>199</v>
      </c>
      <c r="D504" s="34">
        <v>121627.64</v>
      </c>
      <c r="E504">
        <v>1246061337</v>
      </c>
      <c r="F504" s="30">
        <v>45199</v>
      </c>
      <c r="G504" s="30"/>
      <c r="H504" t="s">
        <v>172</v>
      </c>
      <c r="I504" t="s">
        <v>173</v>
      </c>
      <c r="J504">
        <v>20371</v>
      </c>
      <c r="K504" s="30">
        <v>44930</v>
      </c>
      <c r="L504">
        <v>1010100</v>
      </c>
      <c r="M504" t="s">
        <v>35</v>
      </c>
      <c r="N504">
        <v>161</v>
      </c>
      <c r="O504" t="s">
        <v>160</v>
      </c>
      <c r="P504" t="s">
        <v>198</v>
      </c>
      <c r="Q504">
        <f t="shared" si="9"/>
        <v>942</v>
      </c>
      <c r="R504">
        <f>_xlfn.XLOOKUP(E504,'Data Additive'!E:E,'Data Additive'!E:E,0)</f>
        <v>0</v>
      </c>
    </row>
    <row r="505" spans="1:18" x14ac:dyDescent="0.25">
      <c r="A505">
        <v>10456</v>
      </c>
      <c r="B505" t="s">
        <v>198</v>
      </c>
      <c r="C505" t="s">
        <v>199</v>
      </c>
      <c r="D505" s="34">
        <v>119763.56</v>
      </c>
      <c r="E505">
        <v>1246107272</v>
      </c>
      <c r="F505" s="30">
        <v>45536</v>
      </c>
      <c r="G505" s="30"/>
      <c r="H505" t="s">
        <v>172</v>
      </c>
      <c r="I505" t="s">
        <v>173</v>
      </c>
      <c r="J505">
        <v>1444</v>
      </c>
      <c r="K505" s="30">
        <v>45201</v>
      </c>
      <c r="L505">
        <v>1010100</v>
      </c>
      <c r="M505" t="s">
        <v>35</v>
      </c>
      <c r="N505">
        <v>161</v>
      </c>
      <c r="O505" t="s">
        <v>160</v>
      </c>
      <c r="P505" t="s">
        <v>198</v>
      </c>
      <c r="Q505">
        <f t="shared" si="9"/>
        <v>605</v>
      </c>
      <c r="R505">
        <f>_xlfn.XLOOKUP(E505,'Data Additive'!E:E,'Data Additive'!E:E,0)</f>
        <v>0</v>
      </c>
    </row>
    <row r="506" spans="1:18" x14ac:dyDescent="0.25">
      <c r="A506">
        <v>10456</v>
      </c>
      <c r="B506" t="s">
        <v>198</v>
      </c>
      <c r="C506" t="s">
        <v>199</v>
      </c>
      <c r="D506" s="34">
        <v>129996.55</v>
      </c>
      <c r="E506">
        <v>1246063009</v>
      </c>
      <c r="F506" s="30">
        <v>45199</v>
      </c>
      <c r="G506" s="30"/>
      <c r="H506" t="s">
        <v>172</v>
      </c>
      <c r="I506" t="s">
        <v>173</v>
      </c>
      <c r="J506">
        <v>20458</v>
      </c>
      <c r="K506" s="30">
        <v>44943</v>
      </c>
      <c r="L506">
        <v>1010100</v>
      </c>
      <c r="M506" t="s">
        <v>35</v>
      </c>
      <c r="N506">
        <v>161</v>
      </c>
      <c r="O506" t="s">
        <v>160</v>
      </c>
      <c r="P506" t="s">
        <v>198</v>
      </c>
      <c r="Q506">
        <f t="shared" si="9"/>
        <v>942</v>
      </c>
      <c r="R506">
        <f>_xlfn.XLOOKUP(E506,'Data Additive'!E:E,'Data Additive'!E:E,0)</f>
        <v>0</v>
      </c>
    </row>
    <row r="507" spans="1:18" x14ac:dyDescent="0.25">
      <c r="A507">
        <v>10456</v>
      </c>
      <c r="B507" t="s">
        <v>198</v>
      </c>
      <c r="C507" t="s">
        <v>199</v>
      </c>
      <c r="D507" s="34">
        <v>61021.61</v>
      </c>
      <c r="E507">
        <v>1246063058</v>
      </c>
      <c r="F507" s="30">
        <v>45199</v>
      </c>
      <c r="G507" s="30"/>
      <c r="H507" t="s">
        <v>172</v>
      </c>
      <c r="I507" t="s">
        <v>173</v>
      </c>
      <c r="J507">
        <v>20480</v>
      </c>
      <c r="K507" s="30">
        <v>44943</v>
      </c>
      <c r="L507">
        <v>1010100</v>
      </c>
      <c r="M507" t="s">
        <v>35</v>
      </c>
      <c r="N507">
        <v>161</v>
      </c>
      <c r="O507" t="s">
        <v>160</v>
      </c>
      <c r="P507" t="s">
        <v>198</v>
      </c>
      <c r="Q507">
        <f t="shared" ref="Q507:Q563" si="10">$R$1-F507</f>
        <v>942</v>
      </c>
      <c r="R507">
        <f>_xlfn.XLOOKUP(E507,'Data Additive'!E:E,'Data Additive'!E:E,0)</f>
        <v>0</v>
      </c>
    </row>
    <row r="508" spans="1:18" x14ac:dyDescent="0.25">
      <c r="A508">
        <v>10456</v>
      </c>
      <c r="B508" t="s">
        <v>198</v>
      </c>
      <c r="C508" t="s">
        <v>199</v>
      </c>
      <c r="D508" s="34">
        <v>111090.76</v>
      </c>
      <c r="E508">
        <v>1246063995</v>
      </c>
      <c r="F508" s="30">
        <v>45199</v>
      </c>
      <c r="G508" s="30"/>
      <c r="H508" t="s">
        <v>172</v>
      </c>
      <c r="I508" t="s">
        <v>173</v>
      </c>
      <c r="J508">
        <v>20513</v>
      </c>
      <c r="K508" s="30">
        <v>44949</v>
      </c>
      <c r="L508">
        <v>1010100</v>
      </c>
      <c r="M508" t="s">
        <v>35</v>
      </c>
      <c r="N508">
        <v>161</v>
      </c>
      <c r="O508" t="s">
        <v>160</v>
      </c>
      <c r="P508" t="s">
        <v>198</v>
      </c>
      <c r="Q508">
        <f t="shared" si="10"/>
        <v>942</v>
      </c>
      <c r="R508">
        <f>_xlfn.XLOOKUP(E508,'Data Additive'!E:E,'Data Additive'!E:E,0)</f>
        <v>0</v>
      </c>
    </row>
    <row r="509" spans="1:18" x14ac:dyDescent="0.25">
      <c r="A509">
        <v>10456</v>
      </c>
      <c r="B509" t="s">
        <v>198</v>
      </c>
      <c r="C509" t="s">
        <v>199</v>
      </c>
      <c r="D509" s="34">
        <v>110522.5</v>
      </c>
      <c r="E509">
        <v>1246106689</v>
      </c>
      <c r="F509" s="30">
        <v>45557</v>
      </c>
      <c r="G509" s="30"/>
      <c r="H509" t="s">
        <v>172</v>
      </c>
      <c r="I509" t="s">
        <v>173</v>
      </c>
      <c r="J509">
        <v>1400</v>
      </c>
      <c r="K509" s="30">
        <v>45197</v>
      </c>
      <c r="L509">
        <v>1010100</v>
      </c>
      <c r="M509" t="s">
        <v>35</v>
      </c>
      <c r="N509">
        <v>161</v>
      </c>
      <c r="O509" t="s">
        <v>160</v>
      </c>
      <c r="P509" t="s">
        <v>198</v>
      </c>
      <c r="Q509">
        <f t="shared" si="10"/>
        <v>584</v>
      </c>
      <c r="R509">
        <f>_xlfn.XLOOKUP(E509,'Data Additive'!E:E,'Data Additive'!E:E,0)</f>
        <v>0</v>
      </c>
    </row>
    <row r="510" spans="1:18" x14ac:dyDescent="0.25">
      <c r="A510">
        <v>10456</v>
      </c>
      <c r="B510" t="s">
        <v>198</v>
      </c>
      <c r="C510" t="s">
        <v>199</v>
      </c>
      <c r="D510" s="34">
        <v>94275.76</v>
      </c>
      <c r="E510">
        <v>1246103838</v>
      </c>
      <c r="F510" s="30">
        <v>45543</v>
      </c>
      <c r="G510" s="30"/>
      <c r="H510" t="s">
        <v>172</v>
      </c>
      <c r="I510" t="s">
        <v>173</v>
      </c>
      <c r="J510">
        <v>1159</v>
      </c>
      <c r="K510" s="30">
        <v>45183</v>
      </c>
      <c r="L510">
        <v>1010100</v>
      </c>
      <c r="M510" t="s">
        <v>35</v>
      </c>
      <c r="N510">
        <v>161</v>
      </c>
      <c r="O510" t="s">
        <v>160</v>
      </c>
      <c r="P510" t="s">
        <v>198</v>
      </c>
      <c r="Q510">
        <f t="shared" si="10"/>
        <v>598</v>
      </c>
      <c r="R510">
        <f>_xlfn.XLOOKUP(E510,'Data Additive'!E:E,'Data Additive'!E:E,0)</f>
        <v>0</v>
      </c>
    </row>
    <row r="511" spans="1:18" x14ac:dyDescent="0.25">
      <c r="A511">
        <v>10456</v>
      </c>
      <c r="B511" t="s">
        <v>198</v>
      </c>
      <c r="C511" t="s">
        <v>199</v>
      </c>
      <c r="D511" s="34">
        <v>74904.38</v>
      </c>
      <c r="E511">
        <v>1246269261</v>
      </c>
      <c r="F511" s="30">
        <v>45199</v>
      </c>
      <c r="G511" s="30"/>
      <c r="H511" t="s">
        <v>172</v>
      </c>
      <c r="I511" t="s">
        <v>173</v>
      </c>
      <c r="J511">
        <v>20898</v>
      </c>
      <c r="K511" s="30">
        <v>45000</v>
      </c>
      <c r="L511">
        <v>1010100</v>
      </c>
      <c r="M511" t="s">
        <v>35</v>
      </c>
      <c r="N511">
        <v>161</v>
      </c>
      <c r="O511" t="s">
        <v>160</v>
      </c>
      <c r="P511" t="s">
        <v>198</v>
      </c>
      <c r="Q511">
        <f t="shared" si="10"/>
        <v>942</v>
      </c>
      <c r="R511">
        <f>_xlfn.XLOOKUP(E511,'Data Additive'!E:E,'Data Additive'!E:E,0)</f>
        <v>0</v>
      </c>
    </row>
    <row r="512" spans="1:18" x14ac:dyDescent="0.25">
      <c r="A512">
        <v>11637</v>
      </c>
      <c r="B512" t="s">
        <v>721</v>
      </c>
      <c r="C512" t="s">
        <v>864</v>
      </c>
      <c r="D512" s="34">
        <v>290220</v>
      </c>
      <c r="E512">
        <v>1246272018</v>
      </c>
      <c r="F512" s="30">
        <v>46162</v>
      </c>
      <c r="G512" s="30"/>
      <c r="H512" t="s">
        <v>28</v>
      </c>
      <c r="I512" t="s">
        <v>29</v>
      </c>
      <c r="J512">
        <v>2884</v>
      </c>
      <c r="K512" s="30">
        <v>46134</v>
      </c>
      <c r="L512">
        <v>1010100</v>
      </c>
      <c r="M512" t="s">
        <v>35</v>
      </c>
      <c r="N512">
        <v>161</v>
      </c>
      <c r="O512" t="s">
        <v>160</v>
      </c>
      <c r="P512" t="s">
        <v>721</v>
      </c>
      <c r="Q512">
        <f t="shared" si="10"/>
        <v>-21</v>
      </c>
      <c r="R512">
        <f>_xlfn.XLOOKUP(E512,'Data Additive'!E:E,'Data Additive'!E:E,0)</f>
        <v>1246272018</v>
      </c>
    </row>
    <row r="513" spans="1:18" x14ac:dyDescent="0.25">
      <c r="A513">
        <v>12943</v>
      </c>
      <c r="B513" t="s">
        <v>293</v>
      </c>
      <c r="C513" t="s">
        <v>400</v>
      </c>
      <c r="D513" s="34">
        <v>82290</v>
      </c>
      <c r="E513">
        <v>1246187828</v>
      </c>
      <c r="F513" s="30">
        <v>45667</v>
      </c>
      <c r="G513" s="30"/>
      <c r="H513" t="s">
        <v>28</v>
      </c>
      <c r="I513" t="s">
        <v>29</v>
      </c>
      <c r="J513">
        <v>1585</v>
      </c>
      <c r="K513" s="30">
        <v>45639</v>
      </c>
      <c r="L513">
        <v>1010100</v>
      </c>
      <c r="M513" t="s">
        <v>35</v>
      </c>
      <c r="N513">
        <v>161</v>
      </c>
      <c r="O513" t="s">
        <v>160</v>
      </c>
      <c r="P513" t="s">
        <v>293</v>
      </c>
      <c r="Q513">
        <f t="shared" si="10"/>
        <v>474</v>
      </c>
      <c r="R513">
        <f>_xlfn.XLOOKUP(E513,'Data Additive'!E:E,'Data Additive'!E:E,0)</f>
        <v>1246187828</v>
      </c>
    </row>
    <row r="514" spans="1:18" x14ac:dyDescent="0.25">
      <c r="A514">
        <v>12943</v>
      </c>
      <c r="B514" t="s">
        <v>293</v>
      </c>
      <c r="C514" t="s">
        <v>400</v>
      </c>
      <c r="D514" s="34">
        <v>82290</v>
      </c>
      <c r="E514">
        <v>1246187829</v>
      </c>
      <c r="F514" s="30">
        <v>45695</v>
      </c>
      <c r="G514" s="30"/>
      <c r="H514" t="s">
        <v>28</v>
      </c>
      <c r="I514" t="s">
        <v>29</v>
      </c>
      <c r="J514">
        <v>1585</v>
      </c>
      <c r="K514" s="30">
        <v>45639</v>
      </c>
      <c r="L514">
        <v>1010100</v>
      </c>
      <c r="M514" t="s">
        <v>35</v>
      </c>
      <c r="N514">
        <v>161</v>
      </c>
      <c r="O514" t="s">
        <v>160</v>
      </c>
      <c r="P514" t="s">
        <v>293</v>
      </c>
      <c r="Q514">
        <f t="shared" si="10"/>
        <v>446</v>
      </c>
      <c r="R514">
        <f>_xlfn.XLOOKUP(E514,'Data Additive'!E:E,'Data Additive'!E:E,0)</f>
        <v>1246187829</v>
      </c>
    </row>
    <row r="515" spans="1:18" x14ac:dyDescent="0.25">
      <c r="A515">
        <v>12943</v>
      </c>
      <c r="B515" t="s">
        <v>293</v>
      </c>
      <c r="C515" t="s">
        <v>400</v>
      </c>
      <c r="D515" s="34">
        <v>49170</v>
      </c>
      <c r="E515">
        <v>1246183176</v>
      </c>
      <c r="F515" s="30">
        <v>45642</v>
      </c>
      <c r="G515" s="30"/>
      <c r="H515" t="s">
        <v>28</v>
      </c>
      <c r="I515" t="s">
        <v>29</v>
      </c>
      <c r="J515">
        <v>6129</v>
      </c>
      <c r="K515" s="30">
        <v>45614</v>
      </c>
      <c r="L515">
        <v>1010100</v>
      </c>
      <c r="M515" t="s">
        <v>35</v>
      </c>
      <c r="N515">
        <v>161</v>
      </c>
      <c r="O515" t="s">
        <v>160</v>
      </c>
      <c r="P515" t="s">
        <v>293</v>
      </c>
      <c r="Q515">
        <f t="shared" si="10"/>
        <v>499</v>
      </c>
      <c r="R515">
        <f>_xlfn.XLOOKUP(E515,'Data Additive'!E:E,'Data Additive'!E:E,0)</f>
        <v>1246183176</v>
      </c>
    </row>
    <row r="516" spans="1:18" x14ac:dyDescent="0.25">
      <c r="A516">
        <v>12629</v>
      </c>
      <c r="B516" t="s">
        <v>119</v>
      </c>
      <c r="C516" t="s">
        <v>471</v>
      </c>
      <c r="D516" s="34">
        <v>153506.1</v>
      </c>
      <c r="E516">
        <v>1246268563</v>
      </c>
      <c r="F516" s="30">
        <v>46131</v>
      </c>
      <c r="G516" s="30">
        <v>46146</v>
      </c>
      <c r="H516" t="s">
        <v>28</v>
      </c>
      <c r="I516" t="s">
        <v>29</v>
      </c>
      <c r="J516">
        <v>10948</v>
      </c>
      <c r="K516" s="30">
        <v>46101</v>
      </c>
      <c r="L516">
        <v>1010100</v>
      </c>
      <c r="M516" t="s">
        <v>35</v>
      </c>
      <c r="N516">
        <v>161</v>
      </c>
      <c r="O516" t="s">
        <v>160</v>
      </c>
      <c r="P516" t="s">
        <v>119</v>
      </c>
      <c r="Q516">
        <f t="shared" si="10"/>
        <v>10</v>
      </c>
      <c r="R516">
        <f>_xlfn.XLOOKUP(E516,'Data Additive'!E:E,'Data Additive'!E:E,0)</f>
        <v>1246268563</v>
      </c>
    </row>
    <row r="517" spans="1:18" x14ac:dyDescent="0.25">
      <c r="A517">
        <v>12629</v>
      </c>
      <c r="B517" t="s">
        <v>119</v>
      </c>
      <c r="C517" t="s">
        <v>471</v>
      </c>
      <c r="D517" s="34">
        <v>162357</v>
      </c>
      <c r="E517">
        <v>1246269970</v>
      </c>
      <c r="F517" s="30">
        <v>46143</v>
      </c>
      <c r="G517" s="30"/>
      <c r="H517" t="s">
        <v>28</v>
      </c>
      <c r="I517" t="s">
        <v>29</v>
      </c>
      <c r="J517">
        <v>11028</v>
      </c>
      <c r="K517" s="30">
        <v>46113</v>
      </c>
      <c r="L517">
        <v>1010100</v>
      </c>
      <c r="M517" t="s">
        <v>35</v>
      </c>
      <c r="N517">
        <v>161</v>
      </c>
      <c r="O517" t="s">
        <v>160</v>
      </c>
      <c r="P517" t="s">
        <v>119</v>
      </c>
      <c r="Q517">
        <f t="shared" si="10"/>
        <v>-2</v>
      </c>
      <c r="R517">
        <f>_xlfn.XLOOKUP(E517,'Data Additive'!E:E,'Data Additive'!E:E,0)</f>
        <v>1246269970</v>
      </c>
    </row>
    <row r="518" spans="1:18" x14ac:dyDescent="0.25">
      <c r="A518">
        <v>12629</v>
      </c>
      <c r="B518" t="s">
        <v>119</v>
      </c>
      <c r="C518" t="s">
        <v>471</v>
      </c>
      <c r="D518" s="34">
        <v>162465.60000000001</v>
      </c>
      <c r="E518">
        <v>1246269412</v>
      </c>
      <c r="F518" s="30">
        <v>46138</v>
      </c>
      <c r="G518" s="30"/>
      <c r="H518" t="s">
        <v>28</v>
      </c>
      <c r="I518" t="s">
        <v>29</v>
      </c>
      <c r="J518">
        <v>10987</v>
      </c>
      <c r="K518" s="30">
        <v>46108</v>
      </c>
      <c r="L518">
        <v>1010100</v>
      </c>
      <c r="M518" t="s">
        <v>35</v>
      </c>
      <c r="N518">
        <v>161</v>
      </c>
      <c r="O518" t="s">
        <v>160</v>
      </c>
      <c r="P518" t="s">
        <v>119</v>
      </c>
      <c r="Q518">
        <f t="shared" si="10"/>
        <v>3</v>
      </c>
      <c r="R518">
        <f>_xlfn.XLOOKUP(E518,'Data Additive'!E:E,'Data Additive'!E:E,0)</f>
        <v>1246269412</v>
      </c>
    </row>
    <row r="519" spans="1:18" x14ac:dyDescent="0.25">
      <c r="A519">
        <v>12629</v>
      </c>
      <c r="B519" t="s">
        <v>119</v>
      </c>
      <c r="C519" t="s">
        <v>471</v>
      </c>
      <c r="D519" s="34">
        <v>153451.79999999999</v>
      </c>
      <c r="E519">
        <v>1246270416</v>
      </c>
      <c r="F519" s="30">
        <v>46148</v>
      </c>
      <c r="G519" s="30"/>
      <c r="H519" t="s">
        <v>28</v>
      </c>
      <c r="I519" t="s">
        <v>29</v>
      </c>
      <c r="J519">
        <v>11059</v>
      </c>
      <c r="K519" s="30">
        <v>46118</v>
      </c>
      <c r="L519">
        <v>1010100</v>
      </c>
      <c r="M519" t="s">
        <v>35</v>
      </c>
      <c r="N519">
        <v>161</v>
      </c>
      <c r="O519" t="s">
        <v>160</v>
      </c>
      <c r="P519" t="s">
        <v>119</v>
      </c>
      <c r="Q519">
        <f t="shared" si="10"/>
        <v>-7</v>
      </c>
      <c r="R519">
        <f>_xlfn.XLOOKUP(E519,'Data Additive'!E:E,'Data Additive'!E:E,0)</f>
        <v>1246270416</v>
      </c>
    </row>
    <row r="520" spans="1:18" x14ac:dyDescent="0.25">
      <c r="A520">
        <v>12629</v>
      </c>
      <c r="B520" t="s">
        <v>119</v>
      </c>
      <c r="C520" t="s">
        <v>471</v>
      </c>
      <c r="D520" s="34">
        <v>162031.20000000001</v>
      </c>
      <c r="E520">
        <v>1246271940</v>
      </c>
      <c r="F520" s="30">
        <v>46162</v>
      </c>
      <c r="G520" s="30"/>
      <c r="H520" t="s">
        <v>28</v>
      </c>
      <c r="I520" t="s">
        <v>29</v>
      </c>
      <c r="J520">
        <v>11184</v>
      </c>
      <c r="K520" s="30">
        <v>46132</v>
      </c>
      <c r="L520">
        <v>1010100</v>
      </c>
      <c r="M520" t="s">
        <v>35</v>
      </c>
      <c r="N520">
        <v>161</v>
      </c>
      <c r="O520" t="s">
        <v>160</v>
      </c>
      <c r="P520" t="s">
        <v>119</v>
      </c>
      <c r="Q520">
        <f t="shared" si="10"/>
        <v>-21</v>
      </c>
      <c r="R520">
        <f>_xlfn.XLOOKUP(E520,'Data Additive'!E:E,'Data Additive'!E:E,0)</f>
        <v>1246271940</v>
      </c>
    </row>
    <row r="521" spans="1:18" x14ac:dyDescent="0.25">
      <c r="A521">
        <v>13330</v>
      </c>
      <c r="B521" t="s">
        <v>670</v>
      </c>
      <c r="C521" t="s">
        <v>671</v>
      </c>
      <c r="D521" s="34">
        <v>853.24</v>
      </c>
      <c r="E521">
        <v>1246272264</v>
      </c>
      <c r="F521" s="30">
        <v>46148</v>
      </c>
      <c r="G521" s="30"/>
      <c r="I521" t="s">
        <v>372</v>
      </c>
      <c r="J521">
        <v>11057</v>
      </c>
      <c r="K521" s="30">
        <v>46118</v>
      </c>
      <c r="L521">
        <v>1010200</v>
      </c>
      <c r="M521" t="s">
        <v>124</v>
      </c>
      <c r="N521">
        <v>40</v>
      </c>
      <c r="O521" t="s">
        <v>170</v>
      </c>
      <c r="P521" t="s">
        <v>670</v>
      </c>
      <c r="Q521">
        <f t="shared" si="10"/>
        <v>-7</v>
      </c>
      <c r="R521">
        <f>_xlfn.XLOOKUP(E521,'Data Additive'!E:E,'Data Additive'!E:E,0)</f>
        <v>0</v>
      </c>
    </row>
    <row r="522" spans="1:18" x14ac:dyDescent="0.25">
      <c r="A522">
        <v>13330</v>
      </c>
      <c r="B522" t="s">
        <v>670</v>
      </c>
      <c r="C522" t="s">
        <v>671</v>
      </c>
      <c r="D522" s="34">
        <v>527.28</v>
      </c>
      <c r="E522">
        <v>1246238356</v>
      </c>
      <c r="F522" s="30">
        <v>45927</v>
      </c>
      <c r="G522" s="30"/>
      <c r="I522" t="s">
        <v>372</v>
      </c>
      <c r="J522">
        <v>9092</v>
      </c>
      <c r="K522" s="30">
        <v>45897</v>
      </c>
      <c r="L522">
        <v>1010200</v>
      </c>
      <c r="M522" t="s">
        <v>124</v>
      </c>
      <c r="N522">
        <v>40</v>
      </c>
      <c r="O522" t="s">
        <v>170</v>
      </c>
      <c r="P522" t="s">
        <v>670</v>
      </c>
      <c r="Q522">
        <f t="shared" si="10"/>
        <v>214</v>
      </c>
      <c r="R522">
        <f>_xlfn.XLOOKUP(E522,'Data Additive'!E:E,'Data Additive'!E:E,0)</f>
        <v>0</v>
      </c>
    </row>
    <row r="523" spans="1:18" x14ac:dyDescent="0.25">
      <c r="A523">
        <v>12295</v>
      </c>
      <c r="B523" t="s">
        <v>206</v>
      </c>
      <c r="C523" t="s">
        <v>207</v>
      </c>
      <c r="D523" s="34">
        <v>129728</v>
      </c>
      <c r="E523">
        <v>1246100036</v>
      </c>
      <c r="F523" s="30">
        <v>45547</v>
      </c>
      <c r="G523" s="30"/>
      <c r="H523" t="s">
        <v>172</v>
      </c>
      <c r="I523" t="s">
        <v>173</v>
      </c>
      <c r="J523">
        <v>843</v>
      </c>
      <c r="K523" s="30">
        <v>45162</v>
      </c>
      <c r="L523">
        <v>1010100</v>
      </c>
      <c r="M523" t="s">
        <v>35</v>
      </c>
      <c r="N523">
        <v>161</v>
      </c>
      <c r="O523" t="s">
        <v>160</v>
      </c>
      <c r="P523" t="s">
        <v>206</v>
      </c>
      <c r="Q523">
        <f t="shared" si="10"/>
        <v>594</v>
      </c>
      <c r="R523">
        <f>_xlfn.XLOOKUP(E523,'Data Additive'!E:E,'Data Additive'!E:E,0)</f>
        <v>0</v>
      </c>
    </row>
    <row r="524" spans="1:18" x14ac:dyDescent="0.25">
      <c r="A524">
        <v>12295</v>
      </c>
      <c r="B524" t="s">
        <v>206</v>
      </c>
      <c r="C524" t="s">
        <v>207</v>
      </c>
      <c r="D524" s="34">
        <v>126208</v>
      </c>
      <c r="E524">
        <v>1246106003</v>
      </c>
      <c r="F524" s="30">
        <v>45559</v>
      </c>
      <c r="G524" s="30"/>
      <c r="H524" t="s">
        <v>172</v>
      </c>
      <c r="I524" t="s">
        <v>173</v>
      </c>
      <c r="J524">
        <v>1328</v>
      </c>
      <c r="K524" s="30">
        <v>45194</v>
      </c>
      <c r="L524">
        <v>1010100</v>
      </c>
      <c r="M524" t="s">
        <v>35</v>
      </c>
      <c r="N524">
        <v>161</v>
      </c>
      <c r="O524" t="s">
        <v>160</v>
      </c>
      <c r="P524" t="s">
        <v>206</v>
      </c>
      <c r="Q524">
        <f t="shared" si="10"/>
        <v>582</v>
      </c>
      <c r="R524">
        <f>_xlfn.XLOOKUP(E524,'Data Additive'!E:E,'Data Additive'!E:E,0)</f>
        <v>0</v>
      </c>
    </row>
    <row r="525" spans="1:18" x14ac:dyDescent="0.25">
      <c r="A525">
        <v>12295</v>
      </c>
      <c r="B525" t="s">
        <v>206</v>
      </c>
      <c r="C525" t="s">
        <v>207</v>
      </c>
      <c r="D525" s="34">
        <v>19965</v>
      </c>
      <c r="E525">
        <v>1246100409</v>
      </c>
      <c r="F525" s="30">
        <v>45548</v>
      </c>
      <c r="G525" s="30"/>
      <c r="H525" t="s">
        <v>172</v>
      </c>
      <c r="I525" t="s">
        <v>173</v>
      </c>
      <c r="J525">
        <v>864</v>
      </c>
      <c r="K525" s="30">
        <v>45163</v>
      </c>
      <c r="L525">
        <v>1010100</v>
      </c>
      <c r="M525" t="s">
        <v>35</v>
      </c>
      <c r="N525">
        <v>161</v>
      </c>
      <c r="O525" t="s">
        <v>160</v>
      </c>
      <c r="P525" t="s">
        <v>206</v>
      </c>
      <c r="Q525">
        <f t="shared" si="10"/>
        <v>593</v>
      </c>
      <c r="R525">
        <f>_xlfn.XLOOKUP(E525,'Data Additive'!E:E,'Data Additive'!E:E,0)</f>
        <v>0</v>
      </c>
    </row>
    <row r="526" spans="1:18" x14ac:dyDescent="0.25">
      <c r="A526">
        <v>12295</v>
      </c>
      <c r="B526" t="s">
        <v>206</v>
      </c>
      <c r="C526" t="s">
        <v>207</v>
      </c>
      <c r="D526" s="34">
        <v>102625</v>
      </c>
      <c r="E526">
        <v>1246100411</v>
      </c>
      <c r="F526" s="30">
        <v>45548</v>
      </c>
      <c r="G526" s="30"/>
      <c r="H526" t="s">
        <v>172</v>
      </c>
      <c r="I526" t="s">
        <v>173</v>
      </c>
      <c r="J526">
        <v>865</v>
      </c>
      <c r="K526" s="30">
        <v>45163</v>
      </c>
      <c r="L526">
        <v>1010100</v>
      </c>
      <c r="M526" t="s">
        <v>35</v>
      </c>
      <c r="N526">
        <v>161</v>
      </c>
      <c r="O526" t="s">
        <v>160</v>
      </c>
      <c r="P526" t="s">
        <v>206</v>
      </c>
      <c r="Q526">
        <f t="shared" si="10"/>
        <v>593</v>
      </c>
      <c r="R526">
        <f>_xlfn.XLOOKUP(E526,'Data Additive'!E:E,'Data Additive'!E:E,0)</f>
        <v>0</v>
      </c>
    </row>
    <row r="527" spans="1:18" x14ac:dyDescent="0.25">
      <c r="A527">
        <v>12295</v>
      </c>
      <c r="B527" t="s">
        <v>206</v>
      </c>
      <c r="C527" t="s">
        <v>207</v>
      </c>
      <c r="D527" s="34">
        <v>23664</v>
      </c>
      <c r="E527">
        <v>1246100034</v>
      </c>
      <c r="F527" s="30">
        <v>45547</v>
      </c>
      <c r="G527" s="30"/>
      <c r="H527" t="s">
        <v>172</v>
      </c>
      <c r="I527" t="s">
        <v>173</v>
      </c>
      <c r="J527">
        <v>842</v>
      </c>
      <c r="K527" s="30">
        <v>45162</v>
      </c>
      <c r="L527">
        <v>1010100</v>
      </c>
      <c r="M527" t="s">
        <v>35</v>
      </c>
      <c r="N527">
        <v>161</v>
      </c>
      <c r="O527" t="s">
        <v>160</v>
      </c>
      <c r="P527" t="s">
        <v>206</v>
      </c>
      <c r="Q527">
        <f t="shared" si="10"/>
        <v>594</v>
      </c>
      <c r="R527">
        <f>_xlfn.XLOOKUP(E527,'Data Additive'!E:E,'Data Additive'!E:E,0)</f>
        <v>0</v>
      </c>
    </row>
    <row r="528" spans="1:18" x14ac:dyDescent="0.25">
      <c r="A528">
        <v>12295</v>
      </c>
      <c r="B528" t="s">
        <v>206</v>
      </c>
      <c r="C528" t="s">
        <v>207</v>
      </c>
      <c r="D528" s="34">
        <v>126845</v>
      </c>
      <c r="E528">
        <v>1246102685</v>
      </c>
      <c r="F528" s="30">
        <v>45560</v>
      </c>
      <c r="G528" s="30"/>
      <c r="H528" t="s">
        <v>172</v>
      </c>
      <c r="I528" t="s">
        <v>173</v>
      </c>
      <c r="J528">
        <v>1060</v>
      </c>
      <c r="K528" s="30">
        <v>45175</v>
      </c>
      <c r="L528">
        <v>1010100</v>
      </c>
      <c r="M528" t="s">
        <v>35</v>
      </c>
      <c r="N528">
        <v>161</v>
      </c>
      <c r="O528" t="s">
        <v>160</v>
      </c>
      <c r="P528" t="s">
        <v>206</v>
      </c>
      <c r="Q528">
        <f t="shared" si="10"/>
        <v>581</v>
      </c>
      <c r="R528">
        <f>_xlfn.XLOOKUP(E528,'Data Additive'!E:E,'Data Additive'!E:E,0)</f>
        <v>0</v>
      </c>
    </row>
    <row r="529" spans="1:18" x14ac:dyDescent="0.25">
      <c r="A529">
        <v>12295</v>
      </c>
      <c r="B529" t="s">
        <v>206</v>
      </c>
      <c r="C529" t="s">
        <v>207</v>
      </c>
      <c r="D529" s="34">
        <v>119790</v>
      </c>
      <c r="E529">
        <v>1246100311</v>
      </c>
      <c r="F529" s="30">
        <v>45548</v>
      </c>
      <c r="G529" s="30"/>
      <c r="H529" t="s">
        <v>172</v>
      </c>
      <c r="I529" t="s">
        <v>173</v>
      </c>
      <c r="J529">
        <v>851</v>
      </c>
      <c r="K529" s="30">
        <v>45163</v>
      </c>
      <c r="L529">
        <v>1010100</v>
      </c>
      <c r="M529" t="s">
        <v>35</v>
      </c>
      <c r="N529">
        <v>161</v>
      </c>
      <c r="O529" t="s">
        <v>160</v>
      </c>
      <c r="P529" t="s">
        <v>206</v>
      </c>
      <c r="Q529">
        <f t="shared" si="10"/>
        <v>593</v>
      </c>
      <c r="R529">
        <f>_xlfn.XLOOKUP(E529,'Data Additive'!E:E,'Data Additive'!E:E,0)</f>
        <v>0</v>
      </c>
    </row>
    <row r="530" spans="1:18" x14ac:dyDescent="0.25">
      <c r="A530">
        <v>12295</v>
      </c>
      <c r="B530" t="s">
        <v>206</v>
      </c>
      <c r="C530" t="s">
        <v>207</v>
      </c>
      <c r="D530" s="34">
        <v>127776</v>
      </c>
      <c r="E530">
        <v>1246102654</v>
      </c>
      <c r="F530" s="30">
        <v>45560</v>
      </c>
      <c r="G530" s="30"/>
      <c r="H530" t="s">
        <v>172</v>
      </c>
      <c r="I530" t="s">
        <v>173</v>
      </c>
      <c r="J530">
        <v>1053</v>
      </c>
      <c r="K530" s="30">
        <v>45175</v>
      </c>
      <c r="L530">
        <v>1010100</v>
      </c>
      <c r="M530" t="s">
        <v>35</v>
      </c>
      <c r="N530">
        <v>161</v>
      </c>
      <c r="O530" t="s">
        <v>160</v>
      </c>
      <c r="P530" t="s">
        <v>206</v>
      </c>
      <c r="Q530">
        <f t="shared" si="10"/>
        <v>581</v>
      </c>
      <c r="R530">
        <f>_xlfn.XLOOKUP(E530,'Data Additive'!E:E,'Data Additive'!E:E,0)</f>
        <v>0</v>
      </c>
    </row>
    <row r="531" spans="1:18" x14ac:dyDescent="0.25">
      <c r="A531">
        <v>12295</v>
      </c>
      <c r="B531" t="s">
        <v>206</v>
      </c>
      <c r="C531" t="s">
        <v>207</v>
      </c>
      <c r="D531" s="34">
        <v>99410.750000000015</v>
      </c>
      <c r="E531">
        <v>1246240412</v>
      </c>
      <c r="F531" s="30">
        <v>45546</v>
      </c>
      <c r="G531" s="30"/>
      <c r="H531" t="s">
        <v>172</v>
      </c>
      <c r="I531" t="s">
        <v>173</v>
      </c>
      <c r="J531">
        <v>176</v>
      </c>
      <c r="K531" s="30">
        <v>45161</v>
      </c>
      <c r="L531">
        <v>1010100</v>
      </c>
      <c r="M531" t="s">
        <v>35</v>
      </c>
      <c r="N531">
        <v>161</v>
      </c>
      <c r="O531" t="s">
        <v>160</v>
      </c>
      <c r="P531" t="s">
        <v>206</v>
      </c>
      <c r="Q531">
        <f t="shared" si="10"/>
        <v>595</v>
      </c>
      <c r="R531">
        <f>_xlfn.XLOOKUP(E531,'Data Additive'!E:E,'Data Additive'!E:E,0)</f>
        <v>0</v>
      </c>
    </row>
    <row r="532" spans="1:18" x14ac:dyDescent="0.25">
      <c r="A532">
        <v>13069</v>
      </c>
      <c r="B532" t="s">
        <v>533</v>
      </c>
      <c r="C532" t="s">
        <v>793</v>
      </c>
      <c r="D532" s="34">
        <v>100</v>
      </c>
      <c r="E532">
        <v>1246258365</v>
      </c>
      <c r="F532" s="30">
        <v>46118</v>
      </c>
      <c r="G532" s="30"/>
      <c r="I532" t="s">
        <v>372</v>
      </c>
      <c r="J532">
        <v>10425</v>
      </c>
      <c r="K532" s="30">
        <v>46028</v>
      </c>
      <c r="L532">
        <v>4010300</v>
      </c>
      <c r="M532" t="s">
        <v>141</v>
      </c>
      <c r="N532">
        <v>244</v>
      </c>
      <c r="O532" t="s">
        <v>190</v>
      </c>
      <c r="P532" t="s">
        <v>533</v>
      </c>
      <c r="Q532">
        <f t="shared" si="10"/>
        <v>23</v>
      </c>
      <c r="R532">
        <f>_xlfn.XLOOKUP(E532,'Data Additive'!E:E,'Data Additive'!E:E,0)</f>
        <v>1246258365</v>
      </c>
    </row>
    <row r="533" spans="1:18" x14ac:dyDescent="0.25">
      <c r="A533">
        <v>13193</v>
      </c>
      <c r="B533" t="s">
        <v>209</v>
      </c>
      <c r="C533" t="s">
        <v>210</v>
      </c>
      <c r="D533" s="34">
        <v>39218.19</v>
      </c>
      <c r="E533">
        <v>1246129675</v>
      </c>
      <c r="F533" s="30">
        <v>45598</v>
      </c>
      <c r="G533" s="30"/>
      <c r="H533" t="s">
        <v>172</v>
      </c>
      <c r="I533" t="s">
        <v>173</v>
      </c>
      <c r="J533">
        <v>2817</v>
      </c>
      <c r="K533" s="30">
        <v>45338</v>
      </c>
      <c r="L533">
        <v>1010100</v>
      </c>
      <c r="M533" t="s">
        <v>35</v>
      </c>
      <c r="N533">
        <v>161</v>
      </c>
      <c r="O533" t="s">
        <v>160</v>
      </c>
      <c r="P533" t="s">
        <v>209</v>
      </c>
      <c r="Q533">
        <f t="shared" si="10"/>
        <v>543</v>
      </c>
      <c r="R533">
        <f>_xlfn.XLOOKUP(E533,'Data Additive'!E:E,'Data Additive'!E:E,0)</f>
        <v>0</v>
      </c>
    </row>
    <row r="534" spans="1:18" x14ac:dyDescent="0.25">
      <c r="A534">
        <v>13193</v>
      </c>
      <c r="B534" t="s">
        <v>209</v>
      </c>
      <c r="C534" t="s">
        <v>210</v>
      </c>
      <c r="D534" s="34">
        <v>96537.1</v>
      </c>
      <c r="E534">
        <v>1246128994</v>
      </c>
      <c r="F534" s="30">
        <v>45599</v>
      </c>
      <c r="G534" s="30"/>
      <c r="H534" t="s">
        <v>172</v>
      </c>
      <c r="I534" t="s">
        <v>173</v>
      </c>
      <c r="J534">
        <v>2765</v>
      </c>
      <c r="K534" s="30">
        <v>45331</v>
      </c>
      <c r="L534">
        <v>1010100</v>
      </c>
      <c r="M534" t="s">
        <v>35</v>
      </c>
      <c r="N534">
        <v>161</v>
      </c>
      <c r="O534" t="s">
        <v>160</v>
      </c>
      <c r="P534" t="s">
        <v>209</v>
      </c>
      <c r="Q534">
        <f t="shared" si="10"/>
        <v>542</v>
      </c>
      <c r="R534">
        <f>_xlfn.XLOOKUP(E534,'Data Additive'!E:E,'Data Additive'!E:E,0)</f>
        <v>0</v>
      </c>
    </row>
    <row r="535" spans="1:18" x14ac:dyDescent="0.25">
      <c r="A535">
        <v>13193</v>
      </c>
      <c r="B535" t="s">
        <v>209</v>
      </c>
      <c r="C535" t="s">
        <v>210</v>
      </c>
      <c r="D535" s="34">
        <v>14369.79</v>
      </c>
      <c r="E535">
        <v>1246129687</v>
      </c>
      <c r="F535" s="30">
        <v>45594</v>
      </c>
      <c r="G535" s="30"/>
      <c r="H535" t="s">
        <v>172</v>
      </c>
      <c r="I535" t="s">
        <v>173</v>
      </c>
      <c r="J535">
        <v>2824</v>
      </c>
      <c r="K535" s="30">
        <v>45338</v>
      </c>
      <c r="L535">
        <v>1010100</v>
      </c>
      <c r="M535" t="s">
        <v>35</v>
      </c>
      <c r="N535">
        <v>161</v>
      </c>
      <c r="O535" t="s">
        <v>160</v>
      </c>
      <c r="P535" t="s">
        <v>209</v>
      </c>
      <c r="Q535">
        <f t="shared" si="10"/>
        <v>547</v>
      </c>
      <c r="R535">
        <f>_xlfn.XLOOKUP(E535,'Data Additive'!E:E,'Data Additive'!E:E,0)</f>
        <v>0</v>
      </c>
    </row>
    <row r="536" spans="1:18" x14ac:dyDescent="0.25">
      <c r="A536">
        <v>13193</v>
      </c>
      <c r="B536" t="s">
        <v>209</v>
      </c>
      <c r="C536" t="s">
        <v>210</v>
      </c>
      <c r="D536" s="34">
        <v>102482.69</v>
      </c>
      <c r="E536">
        <v>1246129689</v>
      </c>
      <c r="F536" s="30">
        <v>45594</v>
      </c>
      <c r="G536" s="30"/>
      <c r="H536" t="s">
        <v>172</v>
      </c>
      <c r="I536" t="s">
        <v>173</v>
      </c>
      <c r="J536">
        <v>2825</v>
      </c>
      <c r="K536" s="30">
        <v>45338</v>
      </c>
      <c r="L536">
        <v>1010100</v>
      </c>
      <c r="M536" t="s">
        <v>35</v>
      </c>
      <c r="N536">
        <v>161</v>
      </c>
      <c r="O536" t="s">
        <v>160</v>
      </c>
      <c r="P536" t="s">
        <v>209</v>
      </c>
      <c r="Q536">
        <f t="shared" si="10"/>
        <v>547</v>
      </c>
      <c r="R536">
        <f>_xlfn.XLOOKUP(E536,'Data Additive'!E:E,'Data Additive'!E:E,0)</f>
        <v>0</v>
      </c>
    </row>
    <row r="537" spans="1:18" x14ac:dyDescent="0.25">
      <c r="A537">
        <v>13193</v>
      </c>
      <c r="B537" t="s">
        <v>209</v>
      </c>
      <c r="C537" t="s">
        <v>210</v>
      </c>
      <c r="D537" s="34">
        <v>96537.1</v>
      </c>
      <c r="E537">
        <v>1246128030</v>
      </c>
      <c r="F537" s="30">
        <v>45604</v>
      </c>
      <c r="G537" s="30"/>
      <c r="H537" t="s">
        <v>172</v>
      </c>
      <c r="I537" t="s">
        <v>173</v>
      </c>
      <c r="J537">
        <v>2691</v>
      </c>
      <c r="K537" s="30">
        <v>45324</v>
      </c>
      <c r="L537">
        <v>1010100</v>
      </c>
      <c r="M537" t="s">
        <v>35</v>
      </c>
      <c r="N537">
        <v>161</v>
      </c>
      <c r="O537" t="s">
        <v>160</v>
      </c>
      <c r="P537" t="s">
        <v>209</v>
      </c>
      <c r="Q537">
        <f t="shared" si="10"/>
        <v>537</v>
      </c>
      <c r="R537">
        <f>_xlfn.XLOOKUP(E537,'Data Additive'!E:E,'Data Additive'!E:E,0)</f>
        <v>0</v>
      </c>
    </row>
    <row r="538" spans="1:18" x14ac:dyDescent="0.25">
      <c r="A538">
        <v>13193</v>
      </c>
      <c r="B538" t="s">
        <v>209</v>
      </c>
      <c r="C538" t="s">
        <v>210</v>
      </c>
      <c r="D538" s="34">
        <v>96537.1</v>
      </c>
      <c r="E538">
        <v>1246129535</v>
      </c>
      <c r="F538" s="30">
        <v>45597</v>
      </c>
      <c r="G538" s="30"/>
      <c r="H538" t="s">
        <v>172</v>
      </c>
      <c r="I538" t="s">
        <v>173</v>
      </c>
      <c r="J538">
        <v>2797</v>
      </c>
      <c r="K538" s="30">
        <v>45337</v>
      </c>
      <c r="L538">
        <v>1010100</v>
      </c>
      <c r="M538" t="s">
        <v>35</v>
      </c>
      <c r="N538">
        <v>161</v>
      </c>
      <c r="O538" t="s">
        <v>160</v>
      </c>
      <c r="P538" t="s">
        <v>209</v>
      </c>
      <c r="Q538">
        <f t="shared" si="10"/>
        <v>544</v>
      </c>
      <c r="R538">
        <f>_xlfn.XLOOKUP(E538,'Data Additive'!E:E,'Data Additive'!E:E,0)</f>
        <v>0</v>
      </c>
    </row>
    <row r="539" spans="1:18" x14ac:dyDescent="0.25">
      <c r="A539">
        <v>13193</v>
      </c>
      <c r="B539" t="s">
        <v>209</v>
      </c>
      <c r="C539" t="s">
        <v>210</v>
      </c>
      <c r="D539" s="34">
        <v>12586.97</v>
      </c>
      <c r="E539">
        <v>1246129615</v>
      </c>
      <c r="F539" s="30">
        <v>45594</v>
      </c>
      <c r="G539" s="30"/>
      <c r="H539" t="s">
        <v>172</v>
      </c>
      <c r="I539" t="s">
        <v>173</v>
      </c>
      <c r="J539">
        <v>2804</v>
      </c>
      <c r="K539" s="30">
        <v>45338</v>
      </c>
      <c r="L539">
        <v>1010100</v>
      </c>
      <c r="M539" t="s">
        <v>35</v>
      </c>
      <c r="N539">
        <v>161</v>
      </c>
      <c r="O539" t="s">
        <v>160</v>
      </c>
      <c r="P539" t="s">
        <v>209</v>
      </c>
      <c r="Q539">
        <f t="shared" si="10"/>
        <v>547</v>
      </c>
      <c r="R539">
        <f>_xlfn.XLOOKUP(E539,'Data Additive'!E:E,'Data Additive'!E:E,0)</f>
        <v>0</v>
      </c>
    </row>
    <row r="540" spans="1:18" x14ac:dyDescent="0.25">
      <c r="A540">
        <v>13193</v>
      </c>
      <c r="B540" t="s">
        <v>209</v>
      </c>
      <c r="C540" t="s">
        <v>210</v>
      </c>
      <c r="D540" s="34">
        <v>96537.1</v>
      </c>
      <c r="E540">
        <v>1246129423</v>
      </c>
      <c r="F540" s="30">
        <v>45597</v>
      </c>
      <c r="G540" s="30"/>
      <c r="H540" t="s">
        <v>172</v>
      </c>
      <c r="I540" t="s">
        <v>173</v>
      </c>
      <c r="J540">
        <v>2793</v>
      </c>
      <c r="K540" s="30">
        <v>45337</v>
      </c>
      <c r="L540">
        <v>1010100</v>
      </c>
      <c r="M540" t="s">
        <v>35</v>
      </c>
      <c r="N540">
        <v>161</v>
      </c>
      <c r="O540" t="s">
        <v>160</v>
      </c>
      <c r="P540" t="s">
        <v>209</v>
      </c>
      <c r="Q540">
        <f t="shared" si="10"/>
        <v>544</v>
      </c>
      <c r="R540">
        <f>_xlfn.XLOOKUP(E540,'Data Additive'!E:E,'Data Additive'!E:E,0)</f>
        <v>0</v>
      </c>
    </row>
    <row r="541" spans="1:18" x14ac:dyDescent="0.25">
      <c r="A541">
        <v>13193</v>
      </c>
      <c r="B541" t="s">
        <v>209</v>
      </c>
      <c r="C541" t="s">
        <v>210</v>
      </c>
      <c r="D541" s="34">
        <v>96537.1</v>
      </c>
      <c r="E541">
        <v>1246129513</v>
      </c>
      <c r="F541" s="30">
        <v>45605</v>
      </c>
      <c r="G541" s="30"/>
      <c r="H541" t="s">
        <v>172</v>
      </c>
      <c r="I541" t="s">
        <v>173</v>
      </c>
      <c r="J541">
        <v>2795</v>
      </c>
      <c r="K541" s="30">
        <v>45337</v>
      </c>
      <c r="L541">
        <v>1010100</v>
      </c>
      <c r="M541" t="s">
        <v>35</v>
      </c>
      <c r="N541">
        <v>161</v>
      </c>
      <c r="O541" t="s">
        <v>160</v>
      </c>
      <c r="P541" t="s">
        <v>209</v>
      </c>
      <c r="Q541">
        <f t="shared" si="10"/>
        <v>536</v>
      </c>
      <c r="R541">
        <f>_xlfn.XLOOKUP(E541,'Data Additive'!E:E,'Data Additive'!E:E,0)</f>
        <v>0</v>
      </c>
    </row>
    <row r="542" spans="1:18" x14ac:dyDescent="0.25">
      <c r="A542">
        <v>13193</v>
      </c>
      <c r="B542" t="s">
        <v>209</v>
      </c>
      <c r="C542" t="s">
        <v>210</v>
      </c>
      <c r="D542" s="34">
        <v>100695.77</v>
      </c>
      <c r="E542">
        <v>1246129348</v>
      </c>
      <c r="F542" s="30">
        <v>45592</v>
      </c>
      <c r="G542" s="30"/>
      <c r="H542" t="s">
        <v>172</v>
      </c>
      <c r="I542" t="s">
        <v>173</v>
      </c>
      <c r="J542">
        <v>2788</v>
      </c>
      <c r="K542" s="30">
        <v>45336</v>
      </c>
      <c r="L542">
        <v>1010100</v>
      </c>
      <c r="M542" t="s">
        <v>35</v>
      </c>
      <c r="N542">
        <v>161</v>
      </c>
      <c r="O542" t="s">
        <v>160</v>
      </c>
      <c r="P542" t="s">
        <v>209</v>
      </c>
      <c r="Q542">
        <f t="shared" si="10"/>
        <v>549</v>
      </c>
      <c r="R542">
        <f>_xlfn.XLOOKUP(E542,'Data Additive'!E:E,'Data Additive'!E:E,0)</f>
        <v>0</v>
      </c>
    </row>
    <row r="543" spans="1:18" x14ac:dyDescent="0.25">
      <c r="A543">
        <v>13193</v>
      </c>
      <c r="B543" t="s">
        <v>209</v>
      </c>
      <c r="C543" t="s">
        <v>210</v>
      </c>
      <c r="D543" s="34">
        <v>96537.12</v>
      </c>
      <c r="E543">
        <v>1246129613</v>
      </c>
      <c r="F543" s="30">
        <v>45598</v>
      </c>
      <c r="G543" s="30"/>
      <c r="H543" t="s">
        <v>172</v>
      </c>
      <c r="I543" t="s">
        <v>173</v>
      </c>
      <c r="J543">
        <v>2803</v>
      </c>
      <c r="K543" s="30">
        <v>45338</v>
      </c>
      <c r="L543">
        <v>1010100</v>
      </c>
      <c r="M543" t="s">
        <v>35</v>
      </c>
      <c r="N543">
        <v>161</v>
      </c>
      <c r="O543" t="s">
        <v>160</v>
      </c>
      <c r="P543" t="s">
        <v>209</v>
      </c>
      <c r="Q543">
        <f t="shared" si="10"/>
        <v>543</v>
      </c>
      <c r="R543">
        <f>_xlfn.XLOOKUP(E543,'Data Additive'!E:E,'Data Additive'!E:E,0)</f>
        <v>0</v>
      </c>
    </row>
    <row r="544" spans="1:18" x14ac:dyDescent="0.25">
      <c r="A544">
        <v>13193</v>
      </c>
      <c r="B544" t="s">
        <v>209</v>
      </c>
      <c r="C544" t="s">
        <v>210</v>
      </c>
      <c r="D544" s="34">
        <v>114958.38999999998</v>
      </c>
      <c r="E544">
        <v>1246126152</v>
      </c>
      <c r="F544" s="30">
        <v>45594</v>
      </c>
      <c r="G544" s="30"/>
      <c r="H544" t="s">
        <v>172</v>
      </c>
      <c r="I544" t="s">
        <v>173</v>
      </c>
      <c r="J544">
        <v>2568</v>
      </c>
      <c r="K544" s="30">
        <v>45314</v>
      </c>
      <c r="L544">
        <v>1010100</v>
      </c>
      <c r="M544" t="s">
        <v>35</v>
      </c>
      <c r="N544">
        <v>161</v>
      </c>
      <c r="O544" t="s">
        <v>160</v>
      </c>
      <c r="P544" t="s">
        <v>209</v>
      </c>
      <c r="Q544">
        <f t="shared" si="10"/>
        <v>547</v>
      </c>
      <c r="R544">
        <f>_xlfn.XLOOKUP(E544,'Data Additive'!E:E,'Data Additive'!E:E,0)</f>
        <v>0</v>
      </c>
    </row>
    <row r="545" spans="1:18" x14ac:dyDescent="0.25">
      <c r="A545">
        <v>13193</v>
      </c>
      <c r="B545" t="s">
        <v>209</v>
      </c>
      <c r="C545" t="s">
        <v>210</v>
      </c>
      <c r="D545" s="34">
        <v>111898.75000000001</v>
      </c>
      <c r="E545">
        <v>1246126325</v>
      </c>
      <c r="F545" s="30">
        <v>45595</v>
      </c>
      <c r="G545" s="30"/>
      <c r="H545" t="s">
        <v>172</v>
      </c>
      <c r="I545" t="s">
        <v>173</v>
      </c>
      <c r="J545">
        <v>2581</v>
      </c>
      <c r="K545" s="30">
        <v>45315</v>
      </c>
      <c r="L545">
        <v>1010100</v>
      </c>
      <c r="M545" t="s">
        <v>35</v>
      </c>
      <c r="N545">
        <v>161</v>
      </c>
      <c r="O545" t="s">
        <v>160</v>
      </c>
      <c r="P545" t="s">
        <v>209</v>
      </c>
      <c r="Q545">
        <f t="shared" si="10"/>
        <v>546</v>
      </c>
      <c r="R545">
        <f>_xlfn.XLOOKUP(E545,'Data Additive'!E:E,'Data Additive'!E:E,0)</f>
        <v>0</v>
      </c>
    </row>
    <row r="546" spans="1:18" x14ac:dyDescent="0.25">
      <c r="A546">
        <v>13193</v>
      </c>
      <c r="B546" t="s">
        <v>209</v>
      </c>
      <c r="C546" t="s">
        <v>210</v>
      </c>
      <c r="D546" s="34">
        <v>108604.24</v>
      </c>
      <c r="E546">
        <v>1246126878</v>
      </c>
      <c r="F546" s="30">
        <v>45597</v>
      </c>
      <c r="G546" s="30"/>
      <c r="H546" t="s">
        <v>172</v>
      </c>
      <c r="I546" t="s">
        <v>173</v>
      </c>
      <c r="J546">
        <v>2614</v>
      </c>
      <c r="K546" s="30">
        <v>45317</v>
      </c>
      <c r="L546">
        <v>1010100</v>
      </c>
      <c r="M546" t="s">
        <v>35</v>
      </c>
      <c r="N546">
        <v>161</v>
      </c>
      <c r="O546" t="s">
        <v>160</v>
      </c>
      <c r="P546" t="s">
        <v>209</v>
      </c>
      <c r="Q546">
        <f t="shared" si="10"/>
        <v>544</v>
      </c>
      <c r="R546">
        <f>_xlfn.XLOOKUP(E546,'Data Additive'!E:E,'Data Additive'!E:E,0)</f>
        <v>0</v>
      </c>
    </row>
    <row r="547" spans="1:18" x14ac:dyDescent="0.25">
      <c r="A547">
        <v>13193</v>
      </c>
      <c r="B547" t="s">
        <v>209</v>
      </c>
      <c r="C547" t="s">
        <v>210</v>
      </c>
      <c r="D547" s="34">
        <v>110524.44</v>
      </c>
      <c r="E547">
        <v>1246126771</v>
      </c>
      <c r="F547" s="30">
        <v>45597</v>
      </c>
      <c r="G547" s="30"/>
      <c r="H547" t="s">
        <v>172</v>
      </c>
      <c r="I547" t="s">
        <v>173</v>
      </c>
      <c r="J547">
        <v>2605</v>
      </c>
      <c r="K547" s="30">
        <v>45317</v>
      </c>
      <c r="L547">
        <v>1010100</v>
      </c>
      <c r="M547" t="s">
        <v>35</v>
      </c>
      <c r="N547">
        <v>161</v>
      </c>
      <c r="O547" t="s">
        <v>160</v>
      </c>
      <c r="P547" t="s">
        <v>209</v>
      </c>
      <c r="Q547">
        <f t="shared" si="10"/>
        <v>544</v>
      </c>
      <c r="R547">
        <f>_xlfn.XLOOKUP(E547,'Data Additive'!E:E,'Data Additive'!E:E,0)</f>
        <v>0</v>
      </c>
    </row>
    <row r="548" spans="1:18" x14ac:dyDescent="0.25">
      <c r="A548">
        <v>13193</v>
      </c>
      <c r="B548" t="s">
        <v>209</v>
      </c>
      <c r="C548" t="s">
        <v>210</v>
      </c>
      <c r="D548" s="34">
        <v>81453.179999999993</v>
      </c>
      <c r="E548">
        <v>1246126682</v>
      </c>
      <c r="F548" s="30">
        <v>45596</v>
      </c>
      <c r="G548" s="30"/>
      <c r="H548" t="s">
        <v>172</v>
      </c>
      <c r="I548" t="s">
        <v>173</v>
      </c>
      <c r="J548">
        <v>2598</v>
      </c>
      <c r="K548" s="30">
        <v>45316</v>
      </c>
      <c r="L548">
        <v>1010100</v>
      </c>
      <c r="M548" t="s">
        <v>35</v>
      </c>
      <c r="N548">
        <v>161</v>
      </c>
      <c r="O548" t="s">
        <v>160</v>
      </c>
      <c r="P548" t="s">
        <v>209</v>
      </c>
      <c r="Q548">
        <f t="shared" si="10"/>
        <v>545</v>
      </c>
      <c r="R548">
        <f>_xlfn.XLOOKUP(E548,'Data Additive'!E:E,'Data Additive'!E:E,0)</f>
        <v>0</v>
      </c>
    </row>
    <row r="549" spans="1:18" x14ac:dyDescent="0.25">
      <c r="A549">
        <v>13193</v>
      </c>
      <c r="B549" t="s">
        <v>209</v>
      </c>
      <c r="C549" t="s">
        <v>210</v>
      </c>
      <c r="D549" s="34">
        <v>97994.5</v>
      </c>
      <c r="E549">
        <v>1246124699</v>
      </c>
      <c r="F549" s="30">
        <v>45593</v>
      </c>
      <c r="G549" s="30"/>
      <c r="H549" t="s">
        <v>172</v>
      </c>
      <c r="I549" t="s">
        <v>173</v>
      </c>
      <c r="J549">
        <v>2485</v>
      </c>
      <c r="K549" s="30">
        <v>45303</v>
      </c>
      <c r="L549">
        <v>1010100</v>
      </c>
      <c r="M549" t="s">
        <v>35</v>
      </c>
      <c r="N549">
        <v>161</v>
      </c>
      <c r="O549" t="s">
        <v>160</v>
      </c>
      <c r="P549" t="s">
        <v>209</v>
      </c>
      <c r="Q549">
        <f t="shared" si="10"/>
        <v>548</v>
      </c>
      <c r="R549">
        <f>_xlfn.XLOOKUP(E549,'Data Additive'!E:E,'Data Additive'!E:E,0)</f>
        <v>0</v>
      </c>
    </row>
    <row r="550" spans="1:18" x14ac:dyDescent="0.25">
      <c r="A550">
        <v>13193</v>
      </c>
      <c r="B550" t="s">
        <v>209</v>
      </c>
      <c r="C550" t="s">
        <v>210</v>
      </c>
      <c r="D550" s="34">
        <v>102482.69</v>
      </c>
      <c r="E550">
        <v>1246129677</v>
      </c>
      <c r="F550" s="30">
        <v>45594</v>
      </c>
      <c r="G550" s="30"/>
      <c r="H550" t="s">
        <v>172</v>
      </c>
      <c r="I550" t="s">
        <v>173</v>
      </c>
      <c r="J550">
        <v>2818</v>
      </c>
      <c r="K550" s="30">
        <v>45338</v>
      </c>
      <c r="L550">
        <v>1010100</v>
      </c>
      <c r="M550" t="s">
        <v>35</v>
      </c>
      <c r="N550">
        <v>161</v>
      </c>
      <c r="O550" t="s">
        <v>160</v>
      </c>
      <c r="P550" t="s">
        <v>209</v>
      </c>
      <c r="Q550">
        <f t="shared" si="10"/>
        <v>547</v>
      </c>
      <c r="R550">
        <f>_xlfn.XLOOKUP(E550,'Data Additive'!E:E,'Data Additive'!E:E,0)</f>
        <v>0</v>
      </c>
    </row>
    <row r="551" spans="1:18" x14ac:dyDescent="0.25">
      <c r="A551">
        <v>13193</v>
      </c>
      <c r="B551" t="s">
        <v>209</v>
      </c>
      <c r="C551" t="s">
        <v>210</v>
      </c>
      <c r="D551" s="34">
        <v>140175.09</v>
      </c>
      <c r="E551">
        <v>1246130332</v>
      </c>
      <c r="F551" s="30">
        <v>45599</v>
      </c>
      <c r="G551" s="30"/>
      <c r="H551" t="s">
        <v>172</v>
      </c>
      <c r="I551" t="s">
        <v>173</v>
      </c>
      <c r="J551">
        <v>2873</v>
      </c>
      <c r="K551" s="30">
        <v>45343</v>
      </c>
      <c r="L551">
        <v>1010100</v>
      </c>
      <c r="M551" t="s">
        <v>35</v>
      </c>
      <c r="N551">
        <v>161</v>
      </c>
      <c r="O551" t="s">
        <v>160</v>
      </c>
      <c r="P551" t="s">
        <v>209</v>
      </c>
      <c r="Q551">
        <f t="shared" si="10"/>
        <v>542</v>
      </c>
      <c r="R551">
        <f>_xlfn.XLOOKUP(E551,'Data Additive'!E:E,'Data Additive'!E:E,0)</f>
        <v>0</v>
      </c>
    </row>
    <row r="552" spans="1:18" x14ac:dyDescent="0.25">
      <c r="A552">
        <v>13193</v>
      </c>
      <c r="B552" t="s">
        <v>209</v>
      </c>
      <c r="C552" t="s">
        <v>210</v>
      </c>
      <c r="D552" s="34">
        <v>112140.07</v>
      </c>
      <c r="E552">
        <v>1246130309</v>
      </c>
      <c r="F552" s="30">
        <v>45599</v>
      </c>
      <c r="G552" s="30"/>
      <c r="H552" t="s">
        <v>172</v>
      </c>
      <c r="I552" t="s">
        <v>173</v>
      </c>
      <c r="J552">
        <v>2867</v>
      </c>
      <c r="K552" s="30">
        <v>45343</v>
      </c>
      <c r="L552">
        <v>1010100</v>
      </c>
      <c r="M552" t="s">
        <v>35</v>
      </c>
      <c r="N552">
        <v>161</v>
      </c>
      <c r="O552" t="s">
        <v>160</v>
      </c>
      <c r="P552" t="s">
        <v>209</v>
      </c>
      <c r="Q552">
        <f t="shared" si="10"/>
        <v>542</v>
      </c>
      <c r="R552">
        <f>_xlfn.XLOOKUP(E552,'Data Additive'!E:E,'Data Additive'!E:E,0)</f>
        <v>0</v>
      </c>
    </row>
    <row r="553" spans="1:18" x14ac:dyDescent="0.25">
      <c r="A553">
        <v>13193</v>
      </c>
      <c r="B553" t="s">
        <v>209</v>
      </c>
      <c r="C553" t="s">
        <v>210</v>
      </c>
      <c r="D553" s="34">
        <v>105131.31</v>
      </c>
      <c r="E553">
        <v>1246132575</v>
      </c>
      <c r="F553" s="30">
        <v>45597</v>
      </c>
      <c r="G553" s="30"/>
      <c r="H553" t="s">
        <v>172</v>
      </c>
      <c r="I553" t="s">
        <v>173</v>
      </c>
      <c r="J553">
        <v>2994</v>
      </c>
      <c r="K553" s="30">
        <v>45357</v>
      </c>
      <c r="L553">
        <v>1010100</v>
      </c>
      <c r="M553" t="s">
        <v>35</v>
      </c>
      <c r="N553">
        <v>161</v>
      </c>
      <c r="O553" t="s">
        <v>160</v>
      </c>
      <c r="P553" t="s">
        <v>209</v>
      </c>
      <c r="Q553">
        <f t="shared" si="10"/>
        <v>544</v>
      </c>
      <c r="R553">
        <f>_xlfn.XLOOKUP(E553,'Data Additive'!E:E,'Data Additive'!E:E,0)</f>
        <v>0</v>
      </c>
    </row>
    <row r="554" spans="1:18" x14ac:dyDescent="0.25">
      <c r="A554">
        <v>13193</v>
      </c>
      <c r="B554" t="s">
        <v>209</v>
      </c>
      <c r="C554" t="s">
        <v>210</v>
      </c>
      <c r="D554" s="34">
        <v>97257.29</v>
      </c>
      <c r="E554">
        <v>1246139180</v>
      </c>
      <c r="F554" s="30">
        <v>45573</v>
      </c>
      <c r="G554" s="30"/>
      <c r="H554" t="s">
        <v>172</v>
      </c>
      <c r="I554" t="s">
        <v>173</v>
      </c>
      <c r="J554">
        <v>3265</v>
      </c>
      <c r="K554" s="30">
        <v>45393</v>
      </c>
      <c r="L554">
        <v>1010100</v>
      </c>
      <c r="M554" t="s">
        <v>35</v>
      </c>
      <c r="N554">
        <v>161</v>
      </c>
      <c r="O554" t="s">
        <v>160</v>
      </c>
      <c r="P554" t="s">
        <v>209</v>
      </c>
      <c r="Q554">
        <f t="shared" si="10"/>
        <v>568</v>
      </c>
      <c r="R554">
        <f>_xlfn.XLOOKUP(E554,'Data Additive'!E:E,'Data Additive'!E:E,0)</f>
        <v>0</v>
      </c>
    </row>
    <row r="555" spans="1:18" x14ac:dyDescent="0.25">
      <c r="A555">
        <v>13193</v>
      </c>
      <c r="B555" t="s">
        <v>209</v>
      </c>
      <c r="C555" t="s">
        <v>210</v>
      </c>
      <c r="D555" s="34">
        <v>104293.46</v>
      </c>
      <c r="E555">
        <v>1246135519</v>
      </c>
      <c r="F555" s="30">
        <v>45600</v>
      </c>
      <c r="G555" s="30"/>
      <c r="H555" t="s">
        <v>172</v>
      </c>
      <c r="I555" t="s">
        <v>173</v>
      </c>
      <c r="J555">
        <v>3146</v>
      </c>
      <c r="K555" s="30">
        <v>45373</v>
      </c>
      <c r="L555">
        <v>1010100</v>
      </c>
      <c r="M555" t="s">
        <v>35</v>
      </c>
      <c r="N555">
        <v>161</v>
      </c>
      <c r="O555" t="s">
        <v>160</v>
      </c>
      <c r="P555" t="s">
        <v>209</v>
      </c>
      <c r="Q555">
        <f t="shared" si="10"/>
        <v>541</v>
      </c>
      <c r="R555">
        <f>_xlfn.XLOOKUP(E555,'Data Additive'!E:E,'Data Additive'!E:E,0)</f>
        <v>0</v>
      </c>
    </row>
    <row r="556" spans="1:18" x14ac:dyDescent="0.25">
      <c r="A556">
        <v>13193</v>
      </c>
      <c r="B556" t="s">
        <v>209</v>
      </c>
      <c r="C556" t="s">
        <v>210</v>
      </c>
      <c r="D556" s="34">
        <v>120980.73</v>
      </c>
      <c r="E556">
        <v>1246138904</v>
      </c>
      <c r="F556" s="30">
        <v>45572</v>
      </c>
      <c r="G556" s="30"/>
      <c r="H556" t="s">
        <v>172</v>
      </c>
      <c r="I556" t="s">
        <v>173</v>
      </c>
      <c r="J556">
        <v>3260</v>
      </c>
      <c r="K556" s="30">
        <v>45392</v>
      </c>
      <c r="L556">
        <v>1010100</v>
      </c>
      <c r="M556" t="s">
        <v>35</v>
      </c>
      <c r="N556">
        <v>161</v>
      </c>
      <c r="O556" t="s">
        <v>160</v>
      </c>
      <c r="P556" t="s">
        <v>209</v>
      </c>
      <c r="Q556">
        <f t="shared" si="10"/>
        <v>569</v>
      </c>
      <c r="R556">
        <f>_xlfn.XLOOKUP(E556,'Data Additive'!E:E,'Data Additive'!E:E,0)</f>
        <v>0</v>
      </c>
    </row>
    <row r="557" spans="1:18" x14ac:dyDescent="0.25">
      <c r="A557">
        <v>13193</v>
      </c>
      <c r="B557" t="s">
        <v>209</v>
      </c>
      <c r="C557" t="s">
        <v>210</v>
      </c>
      <c r="D557" s="34">
        <v>142145.26999999999</v>
      </c>
      <c r="E557">
        <v>1246138695</v>
      </c>
      <c r="F557" s="30">
        <v>45571</v>
      </c>
      <c r="G557" s="30"/>
      <c r="H557" t="s">
        <v>172</v>
      </c>
      <c r="I557" t="s">
        <v>173</v>
      </c>
      <c r="J557">
        <v>3255</v>
      </c>
      <c r="K557" s="30">
        <v>45391</v>
      </c>
      <c r="L557">
        <v>1010100</v>
      </c>
      <c r="M557" t="s">
        <v>35</v>
      </c>
      <c r="N557">
        <v>161</v>
      </c>
      <c r="O557" t="s">
        <v>160</v>
      </c>
      <c r="P557" t="s">
        <v>209</v>
      </c>
      <c r="Q557">
        <f t="shared" si="10"/>
        <v>570</v>
      </c>
      <c r="R557">
        <f>_xlfn.XLOOKUP(E557,'Data Additive'!E:E,'Data Additive'!E:E,0)</f>
        <v>0</v>
      </c>
    </row>
    <row r="558" spans="1:18" x14ac:dyDescent="0.25">
      <c r="A558">
        <v>13193</v>
      </c>
      <c r="B558" t="s">
        <v>209</v>
      </c>
      <c r="C558" t="s">
        <v>210</v>
      </c>
      <c r="D558" s="34">
        <v>30167.84</v>
      </c>
      <c r="E558">
        <v>1246134824</v>
      </c>
      <c r="F558" s="30">
        <v>45597</v>
      </c>
      <c r="G558" s="30"/>
      <c r="H558" t="s">
        <v>172</v>
      </c>
      <c r="I558" t="s">
        <v>173</v>
      </c>
      <c r="J558">
        <v>3122</v>
      </c>
      <c r="K558" s="30">
        <v>45370</v>
      </c>
      <c r="L558">
        <v>1010100</v>
      </c>
      <c r="M558" t="s">
        <v>35</v>
      </c>
      <c r="N558">
        <v>161</v>
      </c>
      <c r="O558" t="s">
        <v>160</v>
      </c>
      <c r="P558" t="s">
        <v>209</v>
      </c>
      <c r="Q558">
        <f t="shared" si="10"/>
        <v>544</v>
      </c>
      <c r="R558">
        <f>_xlfn.XLOOKUP(E558,'Data Additive'!E:E,'Data Additive'!E:E,0)</f>
        <v>0</v>
      </c>
    </row>
    <row r="559" spans="1:18" x14ac:dyDescent="0.25">
      <c r="A559">
        <v>13193</v>
      </c>
      <c r="B559" t="s">
        <v>209</v>
      </c>
      <c r="C559" t="s">
        <v>210</v>
      </c>
      <c r="D559" s="34">
        <v>96077.53</v>
      </c>
      <c r="E559">
        <v>1246134935</v>
      </c>
      <c r="F559" s="30">
        <v>45598</v>
      </c>
      <c r="G559" s="30"/>
      <c r="H559" t="s">
        <v>172</v>
      </c>
      <c r="I559" t="s">
        <v>173</v>
      </c>
      <c r="J559">
        <v>3128</v>
      </c>
      <c r="K559" s="30">
        <v>45371</v>
      </c>
      <c r="L559">
        <v>1010100</v>
      </c>
      <c r="M559" t="s">
        <v>35</v>
      </c>
      <c r="N559">
        <v>161</v>
      </c>
      <c r="O559" t="s">
        <v>160</v>
      </c>
      <c r="P559" t="s">
        <v>209</v>
      </c>
      <c r="Q559">
        <f t="shared" si="10"/>
        <v>543</v>
      </c>
      <c r="R559">
        <f>_xlfn.XLOOKUP(E559,'Data Additive'!E:E,'Data Additive'!E:E,0)</f>
        <v>0</v>
      </c>
    </row>
    <row r="560" spans="1:18" x14ac:dyDescent="0.25">
      <c r="A560">
        <v>13193</v>
      </c>
      <c r="B560" t="s">
        <v>209</v>
      </c>
      <c r="C560" t="s">
        <v>210</v>
      </c>
      <c r="D560" s="34">
        <v>90503.54</v>
      </c>
      <c r="E560">
        <v>1246134807</v>
      </c>
      <c r="F560" s="30">
        <v>45597</v>
      </c>
      <c r="G560" s="30"/>
      <c r="H560" t="s">
        <v>172</v>
      </c>
      <c r="I560" t="s">
        <v>173</v>
      </c>
      <c r="J560">
        <v>3119</v>
      </c>
      <c r="K560" s="30">
        <v>45370</v>
      </c>
      <c r="L560">
        <v>1010100</v>
      </c>
      <c r="M560" t="s">
        <v>35</v>
      </c>
      <c r="N560">
        <v>161</v>
      </c>
      <c r="O560" t="s">
        <v>160</v>
      </c>
      <c r="P560" t="s">
        <v>209</v>
      </c>
      <c r="Q560">
        <f t="shared" si="10"/>
        <v>544</v>
      </c>
      <c r="R560">
        <f>_xlfn.XLOOKUP(E560,'Data Additive'!E:E,'Data Additive'!E:E,0)</f>
        <v>0</v>
      </c>
    </row>
    <row r="561" spans="1:18" x14ac:dyDescent="0.25">
      <c r="A561">
        <v>13193</v>
      </c>
      <c r="B561" t="s">
        <v>209</v>
      </c>
      <c r="C561" t="s">
        <v>210</v>
      </c>
      <c r="D561" s="34">
        <v>90503.54</v>
      </c>
      <c r="E561">
        <v>1246134540</v>
      </c>
      <c r="F561" s="30">
        <v>45596</v>
      </c>
      <c r="G561" s="30"/>
      <c r="H561" t="s">
        <v>172</v>
      </c>
      <c r="I561" t="s">
        <v>173</v>
      </c>
      <c r="J561">
        <v>3110</v>
      </c>
      <c r="K561" s="30">
        <v>45369</v>
      </c>
      <c r="L561">
        <v>1010100</v>
      </c>
      <c r="M561" t="s">
        <v>35</v>
      </c>
      <c r="N561">
        <v>161</v>
      </c>
      <c r="O561" t="s">
        <v>160</v>
      </c>
      <c r="P561" t="s">
        <v>209</v>
      </c>
      <c r="Q561">
        <f t="shared" si="10"/>
        <v>545</v>
      </c>
      <c r="R561">
        <f>_xlfn.XLOOKUP(E561,'Data Additive'!E:E,'Data Additive'!E:E,0)</f>
        <v>0</v>
      </c>
    </row>
    <row r="562" spans="1:18" x14ac:dyDescent="0.25">
      <c r="A562">
        <v>13193</v>
      </c>
      <c r="B562" t="s">
        <v>209</v>
      </c>
      <c r="C562" t="s">
        <v>210</v>
      </c>
      <c r="D562" s="34">
        <v>82776.289999999994</v>
      </c>
      <c r="E562">
        <v>1246139327</v>
      </c>
      <c r="F562" s="30">
        <v>45573</v>
      </c>
      <c r="G562" s="30"/>
      <c r="H562" t="s">
        <v>172</v>
      </c>
      <c r="I562" t="s">
        <v>173</v>
      </c>
      <c r="J562">
        <v>3272</v>
      </c>
      <c r="K562" s="30">
        <v>45393</v>
      </c>
      <c r="L562">
        <v>1010100</v>
      </c>
      <c r="M562" t="s">
        <v>35</v>
      </c>
      <c r="N562">
        <v>161</v>
      </c>
      <c r="O562" t="s">
        <v>160</v>
      </c>
      <c r="P562" t="s">
        <v>209</v>
      </c>
      <c r="Q562">
        <f t="shared" si="10"/>
        <v>568</v>
      </c>
      <c r="R562">
        <f>_xlfn.XLOOKUP(E562,'Data Additive'!E:E,'Data Additive'!E:E,0)</f>
        <v>0</v>
      </c>
    </row>
    <row r="563" spans="1:18" x14ac:dyDescent="0.25">
      <c r="A563">
        <v>13193</v>
      </c>
      <c r="B563" t="s">
        <v>209</v>
      </c>
      <c r="C563" t="s">
        <v>210</v>
      </c>
      <c r="D563" s="34">
        <v>64051.68</v>
      </c>
      <c r="E563">
        <v>1246134828</v>
      </c>
      <c r="F563" s="30">
        <v>45597</v>
      </c>
      <c r="G563" s="30"/>
      <c r="H563" t="s">
        <v>172</v>
      </c>
      <c r="I563" t="s">
        <v>173</v>
      </c>
      <c r="J563">
        <v>3123</v>
      </c>
      <c r="K563" s="30">
        <v>45370</v>
      </c>
      <c r="L563">
        <v>1010100</v>
      </c>
      <c r="M563" t="s">
        <v>35</v>
      </c>
      <c r="N563">
        <v>161</v>
      </c>
      <c r="O563" t="s">
        <v>160</v>
      </c>
      <c r="P563" t="s">
        <v>209</v>
      </c>
      <c r="Q563">
        <f t="shared" si="10"/>
        <v>544</v>
      </c>
      <c r="R563">
        <f>_xlfn.XLOOKUP(E563,'Data Additive'!E:E,'Data Additive'!E:E,0)</f>
        <v>0</v>
      </c>
    </row>
    <row r="564" spans="1:18" x14ac:dyDescent="0.25">
      <c r="A564">
        <v>13193</v>
      </c>
      <c r="B564" t="s">
        <v>209</v>
      </c>
      <c r="C564" t="s">
        <v>210</v>
      </c>
      <c r="D564" s="34">
        <v>96077.53</v>
      </c>
      <c r="E564">
        <v>1246134926</v>
      </c>
      <c r="F564" s="30">
        <v>45598</v>
      </c>
      <c r="G564" s="30"/>
      <c r="H564" t="s">
        <v>172</v>
      </c>
      <c r="I564" t="s">
        <v>173</v>
      </c>
      <c r="J564">
        <v>3126</v>
      </c>
      <c r="K564" s="30">
        <v>45371</v>
      </c>
      <c r="L564">
        <v>1010100</v>
      </c>
      <c r="M564" t="s">
        <v>35</v>
      </c>
      <c r="N564">
        <v>161</v>
      </c>
      <c r="O564" t="s">
        <v>160</v>
      </c>
      <c r="P564" t="s">
        <v>209</v>
      </c>
      <c r="Q564">
        <f t="shared" ref="Q564:Q615" si="11">$R$1-F564</f>
        <v>543</v>
      </c>
      <c r="R564">
        <f>_xlfn.XLOOKUP(E564,'Data Additive'!E:E,'Data Additive'!E:E,0)</f>
        <v>0</v>
      </c>
    </row>
    <row r="565" spans="1:18" x14ac:dyDescent="0.25">
      <c r="A565">
        <v>13193</v>
      </c>
      <c r="B565" t="s">
        <v>209</v>
      </c>
      <c r="C565" t="s">
        <v>210</v>
      </c>
      <c r="D565" s="34">
        <v>96077.53</v>
      </c>
      <c r="E565">
        <v>1246135475</v>
      </c>
      <c r="F565" s="30">
        <v>45600</v>
      </c>
      <c r="G565" s="30"/>
      <c r="H565" t="s">
        <v>172</v>
      </c>
      <c r="I565" t="s">
        <v>173</v>
      </c>
      <c r="J565">
        <v>3143</v>
      </c>
      <c r="K565" s="30">
        <v>45373</v>
      </c>
      <c r="L565">
        <v>1010100</v>
      </c>
      <c r="M565" t="s">
        <v>35</v>
      </c>
      <c r="N565">
        <v>161</v>
      </c>
      <c r="O565" t="s">
        <v>160</v>
      </c>
      <c r="P565" t="s">
        <v>209</v>
      </c>
      <c r="Q565">
        <f t="shared" si="11"/>
        <v>541</v>
      </c>
      <c r="R565">
        <f>_xlfn.XLOOKUP(E565,'Data Additive'!E:E,'Data Additive'!E:E,0)</f>
        <v>0</v>
      </c>
    </row>
    <row r="566" spans="1:18" x14ac:dyDescent="0.25">
      <c r="A566">
        <v>14094</v>
      </c>
      <c r="B566" t="s">
        <v>264</v>
      </c>
      <c r="C566" t="s">
        <v>265</v>
      </c>
      <c r="D566" s="34">
        <v>100</v>
      </c>
      <c r="E566">
        <v>1246154530</v>
      </c>
      <c r="F566" s="30">
        <v>45474</v>
      </c>
      <c r="G566" s="30"/>
      <c r="I566" t="s">
        <v>372</v>
      </c>
      <c r="J566">
        <v>4088</v>
      </c>
      <c r="K566" s="30">
        <v>45474</v>
      </c>
      <c r="L566">
        <v>4010300</v>
      </c>
      <c r="M566" t="s">
        <v>141</v>
      </c>
      <c r="N566">
        <v>244</v>
      </c>
      <c r="O566" t="s">
        <v>190</v>
      </c>
      <c r="P566" t="s">
        <v>264</v>
      </c>
      <c r="Q566">
        <f t="shared" si="11"/>
        <v>667</v>
      </c>
      <c r="R566">
        <f>_xlfn.XLOOKUP(E566,'Data Additive'!E:E,'Data Additive'!E:E,0)</f>
        <v>1246154530</v>
      </c>
    </row>
    <row r="567" spans="1:18" x14ac:dyDescent="0.25">
      <c r="A567">
        <v>13873</v>
      </c>
      <c r="B567" t="s">
        <v>308</v>
      </c>
      <c r="C567" t="s">
        <v>309</v>
      </c>
      <c r="D567" s="34">
        <v>50</v>
      </c>
      <c r="E567">
        <v>1246166396</v>
      </c>
      <c r="F567" s="30">
        <v>45525</v>
      </c>
      <c r="G567" s="30"/>
      <c r="I567" t="s">
        <v>372</v>
      </c>
      <c r="J567">
        <v>4854</v>
      </c>
      <c r="K567" s="30">
        <v>45525</v>
      </c>
      <c r="L567">
        <v>4010300</v>
      </c>
      <c r="M567" t="s">
        <v>141</v>
      </c>
      <c r="N567">
        <v>244</v>
      </c>
      <c r="O567" t="s">
        <v>190</v>
      </c>
      <c r="P567" t="s">
        <v>308</v>
      </c>
      <c r="Q567">
        <f t="shared" si="11"/>
        <v>616</v>
      </c>
      <c r="R567">
        <f>_xlfn.XLOOKUP(E567,'Data Additive'!E:E,'Data Additive'!E:E,0)</f>
        <v>1246166396</v>
      </c>
    </row>
    <row r="568" spans="1:18" x14ac:dyDescent="0.25">
      <c r="A568">
        <v>14106</v>
      </c>
      <c r="B568" t="s">
        <v>382</v>
      </c>
      <c r="C568" t="s">
        <v>383</v>
      </c>
      <c r="D568" s="34">
        <v>300</v>
      </c>
      <c r="E568">
        <v>1246182736</v>
      </c>
      <c r="F568" s="30">
        <v>45625</v>
      </c>
      <c r="G568" s="30"/>
      <c r="I568" t="s">
        <v>372</v>
      </c>
      <c r="J568">
        <v>6092</v>
      </c>
      <c r="K568" s="30">
        <v>45610</v>
      </c>
      <c r="L568">
        <v>1020400</v>
      </c>
      <c r="M568" t="s">
        <v>143</v>
      </c>
      <c r="N568">
        <v>136</v>
      </c>
      <c r="O568" t="s">
        <v>143</v>
      </c>
      <c r="P568" t="s">
        <v>382</v>
      </c>
      <c r="Q568">
        <f t="shared" si="11"/>
        <v>516</v>
      </c>
      <c r="R568">
        <f>_xlfn.XLOOKUP(E568,'Data Additive'!E:E,'Data Additive'!E:E,0)</f>
        <v>1246182736</v>
      </c>
    </row>
    <row r="569" spans="1:18" x14ac:dyDescent="0.25">
      <c r="A569">
        <v>13567</v>
      </c>
      <c r="B569" t="s">
        <v>377</v>
      </c>
      <c r="C569" t="s">
        <v>378</v>
      </c>
      <c r="D569" s="34">
        <v>108547.57</v>
      </c>
      <c r="E569">
        <v>1246235061</v>
      </c>
      <c r="F569" s="30">
        <v>46143</v>
      </c>
      <c r="G569" s="30">
        <v>46146</v>
      </c>
      <c r="H569" t="s">
        <v>172</v>
      </c>
      <c r="I569" t="s">
        <v>173</v>
      </c>
      <c r="J569">
        <v>9184</v>
      </c>
      <c r="K569" s="30">
        <v>45904</v>
      </c>
      <c r="L569">
        <v>1010100</v>
      </c>
      <c r="M569" t="s">
        <v>35</v>
      </c>
      <c r="N569">
        <v>56</v>
      </c>
      <c r="O569" t="s">
        <v>161</v>
      </c>
      <c r="P569" t="s">
        <v>377</v>
      </c>
      <c r="Q569">
        <f t="shared" si="11"/>
        <v>-2</v>
      </c>
      <c r="R569">
        <f>_xlfn.XLOOKUP(E569,'Data Additive'!E:E,'Data Additive'!E:E,0)</f>
        <v>0</v>
      </c>
    </row>
    <row r="570" spans="1:18" x14ac:dyDescent="0.25">
      <c r="A570">
        <v>13567</v>
      </c>
      <c r="B570" t="s">
        <v>377</v>
      </c>
      <c r="C570" t="s">
        <v>378</v>
      </c>
      <c r="D570" s="34">
        <v>114260.6</v>
      </c>
      <c r="E570">
        <v>1246235060</v>
      </c>
      <c r="F570" s="30">
        <v>46143</v>
      </c>
      <c r="G570" s="30">
        <v>46146</v>
      </c>
      <c r="H570" t="s">
        <v>172</v>
      </c>
      <c r="I570" t="s">
        <v>173</v>
      </c>
      <c r="J570">
        <v>9183</v>
      </c>
      <c r="K570" s="30">
        <v>45904</v>
      </c>
      <c r="L570">
        <v>1010100</v>
      </c>
      <c r="M570" t="s">
        <v>35</v>
      </c>
      <c r="N570">
        <v>56</v>
      </c>
      <c r="O570" t="s">
        <v>161</v>
      </c>
      <c r="P570" t="s">
        <v>377</v>
      </c>
      <c r="Q570">
        <f t="shared" si="11"/>
        <v>-2</v>
      </c>
      <c r="R570">
        <f>_xlfn.XLOOKUP(E570,'Data Additive'!E:E,'Data Additive'!E:E,0)</f>
        <v>0</v>
      </c>
    </row>
    <row r="571" spans="1:18" x14ac:dyDescent="0.25">
      <c r="A571">
        <v>14948</v>
      </c>
      <c r="B571" t="s">
        <v>379</v>
      </c>
      <c r="C571" t="s">
        <v>380</v>
      </c>
      <c r="D571" s="34">
        <v>184217.94</v>
      </c>
      <c r="E571">
        <v>1246221983</v>
      </c>
      <c r="F571" s="30">
        <v>46138</v>
      </c>
      <c r="G571" s="30">
        <v>46147</v>
      </c>
      <c r="H571" t="s">
        <v>172</v>
      </c>
      <c r="I571" t="s">
        <v>173</v>
      </c>
      <c r="J571">
        <v>8306</v>
      </c>
      <c r="K571" s="30">
        <v>45838</v>
      </c>
      <c r="L571">
        <v>1010100</v>
      </c>
      <c r="M571" t="s">
        <v>35</v>
      </c>
      <c r="N571">
        <v>56</v>
      </c>
      <c r="O571" t="s">
        <v>161</v>
      </c>
      <c r="P571" t="s">
        <v>379</v>
      </c>
      <c r="Q571">
        <f t="shared" si="11"/>
        <v>3</v>
      </c>
      <c r="R571">
        <f>_xlfn.XLOOKUP(E571,'Data Additive'!E:E,'Data Additive'!E:E,0)</f>
        <v>0</v>
      </c>
    </row>
    <row r="572" spans="1:18" x14ac:dyDescent="0.25">
      <c r="A572">
        <v>15508</v>
      </c>
      <c r="B572" t="s">
        <v>567</v>
      </c>
      <c r="C572" t="s">
        <v>884</v>
      </c>
      <c r="D572" s="34">
        <v>137716.91</v>
      </c>
      <c r="E572">
        <v>1246270312</v>
      </c>
      <c r="F572" s="30">
        <v>46148</v>
      </c>
      <c r="G572" s="30"/>
      <c r="H572" t="s">
        <v>28</v>
      </c>
      <c r="I572" t="s">
        <v>29</v>
      </c>
      <c r="J572">
        <v>11050</v>
      </c>
      <c r="K572" s="30">
        <v>46118</v>
      </c>
      <c r="L572">
        <v>1010200</v>
      </c>
      <c r="M572" t="s">
        <v>124</v>
      </c>
      <c r="N572">
        <v>40</v>
      </c>
      <c r="O572" t="s">
        <v>170</v>
      </c>
      <c r="P572" t="s">
        <v>567</v>
      </c>
      <c r="Q572">
        <f t="shared" si="11"/>
        <v>-7</v>
      </c>
      <c r="R572">
        <f>_xlfn.XLOOKUP(E572,'Data Additive'!E:E,'Data Additive'!E:E,0)</f>
        <v>0</v>
      </c>
    </row>
    <row r="573" spans="1:18" x14ac:dyDescent="0.25">
      <c r="A573">
        <v>14552</v>
      </c>
      <c r="B573" t="s">
        <v>334</v>
      </c>
      <c r="C573" t="s">
        <v>335</v>
      </c>
      <c r="D573" s="34">
        <v>194626</v>
      </c>
      <c r="E573">
        <v>1246240017</v>
      </c>
      <c r="F573" s="30">
        <v>46143</v>
      </c>
      <c r="G573" s="30">
        <v>46146</v>
      </c>
      <c r="H573" t="s">
        <v>172</v>
      </c>
      <c r="I573" t="s">
        <v>173</v>
      </c>
      <c r="J573">
        <v>9500</v>
      </c>
      <c r="K573" s="30">
        <v>45929</v>
      </c>
      <c r="L573">
        <v>1010100</v>
      </c>
      <c r="M573" t="s">
        <v>35</v>
      </c>
      <c r="N573">
        <v>161</v>
      </c>
      <c r="O573" t="s">
        <v>160</v>
      </c>
      <c r="P573" t="s">
        <v>334</v>
      </c>
      <c r="Q573">
        <f t="shared" si="11"/>
        <v>-2</v>
      </c>
      <c r="R573">
        <f>_xlfn.XLOOKUP(E573,'Data Additive'!E:E,'Data Additive'!E:E,0)</f>
        <v>0</v>
      </c>
    </row>
    <row r="574" spans="1:18" x14ac:dyDescent="0.25">
      <c r="A574">
        <v>14552</v>
      </c>
      <c r="B574" t="s">
        <v>334</v>
      </c>
      <c r="C574" t="s">
        <v>335</v>
      </c>
      <c r="D574" s="34">
        <v>176320</v>
      </c>
      <c r="E574">
        <v>1246225706</v>
      </c>
      <c r="F574" s="30">
        <v>46145</v>
      </c>
      <c r="G574" s="30">
        <v>46146</v>
      </c>
      <c r="H574" t="s">
        <v>172</v>
      </c>
      <c r="I574" t="s">
        <v>173</v>
      </c>
      <c r="J574">
        <v>8525</v>
      </c>
      <c r="K574" s="30">
        <v>45855</v>
      </c>
      <c r="L574">
        <v>1010100</v>
      </c>
      <c r="M574" t="s">
        <v>35</v>
      </c>
      <c r="N574">
        <v>161</v>
      </c>
      <c r="O574" t="s">
        <v>160</v>
      </c>
      <c r="P574" t="s">
        <v>334</v>
      </c>
      <c r="Q574">
        <f t="shared" si="11"/>
        <v>-4</v>
      </c>
      <c r="R574">
        <f>_xlfn.XLOOKUP(E574,'Data Additive'!E:E,'Data Additive'!E:E,0)</f>
        <v>0</v>
      </c>
    </row>
    <row r="575" spans="1:18" x14ac:dyDescent="0.25">
      <c r="A575">
        <v>14552</v>
      </c>
      <c r="B575" t="s">
        <v>334</v>
      </c>
      <c r="C575" t="s">
        <v>335</v>
      </c>
      <c r="D575" s="34">
        <v>112043</v>
      </c>
      <c r="E575">
        <v>1246240517</v>
      </c>
      <c r="F575" s="30">
        <v>46144</v>
      </c>
      <c r="G575" s="30">
        <v>46146</v>
      </c>
      <c r="H575" t="s">
        <v>172</v>
      </c>
      <c r="I575" t="s">
        <v>173</v>
      </c>
      <c r="J575">
        <v>9522</v>
      </c>
      <c r="K575" s="30">
        <v>45930</v>
      </c>
      <c r="L575">
        <v>1010100</v>
      </c>
      <c r="M575" t="s">
        <v>35</v>
      </c>
      <c r="N575">
        <v>161</v>
      </c>
      <c r="O575" t="s">
        <v>160</v>
      </c>
      <c r="P575" t="s">
        <v>334</v>
      </c>
      <c r="Q575">
        <f t="shared" si="11"/>
        <v>-3</v>
      </c>
      <c r="R575">
        <f>_xlfn.XLOOKUP(E575,'Data Additive'!E:E,'Data Additive'!E:E,0)</f>
        <v>0</v>
      </c>
    </row>
    <row r="576" spans="1:18" x14ac:dyDescent="0.25">
      <c r="A576">
        <v>14848</v>
      </c>
      <c r="B576" t="s">
        <v>376</v>
      </c>
      <c r="C576" t="s">
        <v>651</v>
      </c>
      <c r="D576" s="34">
        <v>207773.56999999998</v>
      </c>
      <c r="E576">
        <v>1246230064</v>
      </c>
      <c r="F576" s="30">
        <v>46162</v>
      </c>
      <c r="G576" s="30"/>
      <c r="H576" t="s">
        <v>172</v>
      </c>
      <c r="I576" t="s">
        <v>173</v>
      </c>
      <c r="J576">
        <v>8811</v>
      </c>
      <c r="K576" s="30">
        <v>45877</v>
      </c>
      <c r="L576">
        <v>1010100</v>
      </c>
      <c r="M576" t="s">
        <v>35</v>
      </c>
      <c r="N576">
        <v>161</v>
      </c>
      <c r="O576" t="s">
        <v>160</v>
      </c>
      <c r="P576" t="s">
        <v>376</v>
      </c>
      <c r="Q576">
        <f t="shared" si="11"/>
        <v>-21</v>
      </c>
      <c r="R576">
        <f>_xlfn.XLOOKUP(E576,'Data Additive'!E:E,'Data Additive'!E:E,0)</f>
        <v>0</v>
      </c>
    </row>
    <row r="577" spans="1:18" x14ac:dyDescent="0.25">
      <c r="A577">
        <v>14848</v>
      </c>
      <c r="B577" t="s">
        <v>376</v>
      </c>
      <c r="C577" t="s">
        <v>651</v>
      </c>
      <c r="D577" s="34">
        <v>121554.34</v>
      </c>
      <c r="E577">
        <v>1246230701</v>
      </c>
      <c r="F577" s="30">
        <v>46164</v>
      </c>
      <c r="G577" s="30"/>
      <c r="H577" t="s">
        <v>172</v>
      </c>
      <c r="I577" t="s">
        <v>173</v>
      </c>
      <c r="J577">
        <v>8856</v>
      </c>
      <c r="K577" s="30">
        <v>45881</v>
      </c>
      <c r="L577">
        <v>1010100</v>
      </c>
      <c r="M577" t="s">
        <v>35</v>
      </c>
      <c r="N577">
        <v>161</v>
      </c>
      <c r="O577" t="s">
        <v>160</v>
      </c>
      <c r="P577" t="s">
        <v>376</v>
      </c>
      <c r="Q577">
        <f t="shared" si="11"/>
        <v>-23</v>
      </c>
      <c r="R577">
        <f>_xlfn.XLOOKUP(E577,'Data Additive'!E:E,'Data Additive'!E:E,0)</f>
        <v>0</v>
      </c>
    </row>
    <row r="578" spans="1:18" x14ac:dyDescent="0.25">
      <c r="A578">
        <v>14396</v>
      </c>
      <c r="B578" t="s">
        <v>269</v>
      </c>
      <c r="C578" t="s">
        <v>270</v>
      </c>
      <c r="D578" s="34">
        <v>137598</v>
      </c>
      <c r="E578">
        <v>1246163527</v>
      </c>
      <c r="F578" s="30">
        <v>45779</v>
      </c>
      <c r="G578" s="30"/>
      <c r="H578" t="s">
        <v>172</v>
      </c>
      <c r="I578" t="s">
        <v>173</v>
      </c>
      <c r="J578">
        <v>4649</v>
      </c>
      <c r="K578" s="30">
        <v>45511</v>
      </c>
      <c r="L578">
        <v>1010100</v>
      </c>
      <c r="M578" t="s">
        <v>35</v>
      </c>
      <c r="N578">
        <v>161</v>
      </c>
      <c r="O578" t="s">
        <v>160</v>
      </c>
      <c r="P578" t="s">
        <v>269</v>
      </c>
      <c r="Q578">
        <f t="shared" si="11"/>
        <v>362</v>
      </c>
      <c r="R578">
        <f>_xlfn.XLOOKUP(E578,'Data Additive'!E:E,'Data Additive'!E:E,0)</f>
        <v>0</v>
      </c>
    </row>
    <row r="579" spans="1:18" x14ac:dyDescent="0.25">
      <c r="A579">
        <v>14396</v>
      </c>
      <c r="B579" t="s">
        <v>269</v>
      </c>
      <c r="C579" t="s">
        <v>270</v>
      </c>
      <c r="D579" s="34">
        <v>121086.24</v>
      </c>
      <c r="E579">
        <v>1246160799</v>
      </c>
      <c r="F579" s="30">
        <v>45779</v>
      </c>
      <c r="G579" s="30"/>
      <c r="H579" t="s">
        <v>172</v>
      </c>
      <c r="I579" t="s">
        <v>173</v>
      </c>
      <c r="J579">
        <v>4489</v>
      </c>
      <c r="K579" s="30">
        <v>45499</v>
      </c>
      <c r="L579">
        <v>1010100</v>
      </c>
      <c r="M579" t="s">
        <v>35</v>
      </c>
      <c r="N579">
        <v>161</v>
      </c>
      <c r="O579" t="s">
        <v>160</v>
      </c>
      <c r="P579" t="s">
        <v>269</v>
      </c>
      <c r="Q579">
        <f t="shared" si="11"/>
        <v>362</v>
      </c>
      <c r="R579">
        <f>_xlfn.XLOOKUP(E579,'Data Additive'!E:E,'Data Additive'!E:E,0)</f>
        <v>0</v>
      </c>
    </row>
    <row r="580" spans="1:18" x14ac:dyDescent="0.25">
      <c r="A580">
        <v>14396</v>
      </c>
      <c r="B580" t="s">
        <v>269</v>
      </c>
      <c r="C580" t="s">
        <v>270</v>
      </c>
      <c r="D580" s="34">
        <v>145692</v>
      </c>
      <c r="E580">
        <v>1246160793</v>
      </c>
      <c r="F580" s="30">
        <v>45779</v>
      </c>
      <c r="G580" s="30"/>
      <c r="H580" t="s">
        <v>172</v>
      </c>
      <c r="I580" t="s">
        <v>173</v>
      </c>
      <c r="J580">
        <v>4485</v>
      </c>
      <c r="K580" s="30">
        <v>45499</v>
      </c>
      <c r="L580">
        <v>1010100</v>
      </c>
      <c r="M580" t="s">
        <v>35</v>
      </c>
      <c r="N580">
        <v>161</v>
      </c>
      <c r="O580" t="s">
        <v>160</v>
      </c>
      <c r="P580" t="s">
        <v>269</v>
      </c>
      <c r="Q580">
        <f t="shared" si="11"/>
        <v>362</v>
      </c>
      <c r="R580">
        <f>_xlfn.XLOOKUP(E580,'Data Additive'!E:E,'Data Additive'!E:E,0)</f>
        <v>0</v>
      </c>
    </row>
    <row r="581" spans="1:18" x14ac:dyDescent="0.25">
      <c r="A581">
        <v>14396</v>
      </c>
      <c r="B581" t="s">
        <v>269</v>
      </c>
      <c r="C581" t="s">
        <v>270</v>
      </c>
      <c r="D581" s="34">
        <v>121410</v>
      </c>
      <c r="E581">
        <v>1246180565</v>
      </c>
      <c r="F581" s="30">
        <v>45776</v>
      </c>
      <c r="G581" s="30"/>
      <c r="H581" t="s">
        <v>172</v>
      </c>
      <c r="I581" t="s">
        <v>173</v>
      </c>
      <c r="J581">
        <v>5953</v>
      </c>
      <c r="K581" s="30">
        <v>45600</v>
      </c>
      <c r="L581">
        <v>1010100</v>
      </c>
      <c r="M581" t="s">
        <v>35</v>
      </c>
      <c r="N581">
        <v>161</v>
      </c>
      <c r="O581" t="s">
        <v>160</v>
      </c>
      <c r="P581" t="s">
        <v>269</v>
      </c>
      <c r="Q581">
        <f t="shared" si="11"/>
        <v>365</v>
      </c>
      <c r="R581">
        <f>_xlfn.XLOOKUP(E581,'Data Additive'!E:E,'Data Additive'!E:E,0)</f>
        <v>0</v>
      </c>
    </row>
    <row r="582" spans="1:18" x14ac:dyDescent="0.25">
      <c r="A582">
        <v>14396</v>
      </c>
      <c r="B582" t="s">
        <v>269</v>
      </c>
      <c r="C582" t="s">
        <v>270</v>
      </c>
      <c r="D582" s="34">
        <v>171360</v>
      </c>
      <c r="E582">
        <v>1246202562</v>
      </c>
      <c r="F582" s="30">
        <v>45930</v>
      </c>
      <c r="G582" s="30"/>
      <c r="H582" t="s">
        <v>172</v>
      </c>
      <c r="I582" t="s">
        <v>173</v>
      </c>
      <c r="J582">
        <v>7204</v>
      </c>
      <c r="K582" s="30">
        <v>45728</v>
      </c>
      <c r="L582">
        <v>1010100</v>
      </c>
      <c r="M582" t="s">
        <v>35</v>
      </c>
      <c r="N582">
        <v>161</v>
      </c>
      <c r="O582" t="s">
        <v>160</v>
      </c>
      <c r="P582" t="s">
        <v>269</v>
      </c>
      <c r="Q582">
        <f t="shared" si="11"/>
        <v>211</v>
      </c>
      <c r="R582">
        <f>_xlfn.XLOOKUP(E582,'Data Additive'!E:E,'Data Additive'!E:E,0)</f>
        <v>0</v>
      </c>
    </row>
    <row r="583" spans="1:18" x14ac:dyDescent="0.25">
      <c r="A583">
        <v>14396</v>
      </c>
      <c r="B583" t="s">
        <v>269</v>
      </c>
      <c r="C583" t="s">
        <v>270</v>
      </c>
      <c r="D583" s="34">
        <v>4000</v>
      </c>
      <c r="E583">
        <v>1246203613</v>
      </c>
      <c r="F583" s="30">
        <v>45920</v>
      </c>
      <c r="G583" s="30"/>
      <c r="H583" t="s">
        <v>172</v>
      </c>
      <c r="I583" t="s">
        <v>173</v>
      </c>
      <c r="J583">
        <v>7286</v>
      </c>
      <c r="K583" s="30">
        <v>45735</v>
      </c>
      <c r="L583">
        <v>1010100</v>
      </c>
      <c r="M583" t="s">
        <v>35</v>
      </c>
      <c r="N583">
        <v>161</v>
      </c>
      <c r="O583" t="s">
        <v>160</v>
      </c>
      <c r="P583" t="s">
        <v>269</v>
      </c>
      <c r="Q583">
        <f t="shared" si="11"/>
        <v>221</v>
      </c>
      <c r="R583">
        <f>_xlfn.XLOOKUP(E583,'Data Additive'!E:E,'Data Additive'!E:E,0)</f>
        <v>0</v>
      </c>
    </row>
    <row r="584" spans="1:18" x14ac:dyDescent="0.25">
      <c r="A584">
        <v>14396</v>
      </c>
      <c r="B584" t="s">
        <v>269</v>
      </c>
      <c r="C584" t="s">
        <v>270</v>
      </c>
      <c r="D584" s="34">
        <v>139680</v>
      </c>
      <c r="E584">
        <v>1246199147</v>
      </c>
      <c r="F584" s="30">
        <v>45889</v>
      </c>
      <c r="G584" s="30"/>
      <c r="H584" t="s">
        <v>172</v>
      </c>
      <c r="I584" t="s">
        <v>173</v>
      </c>
      <c r="J584">
        <v>6996</v>
      </c>
      <c r="K584" s="30">
        <v>45706</v>
      </c>
      <c r="L584">
        <v>1010100</v>
      </c>
      <c r="M584" t="s">
        <v>35</v>
      </c>
      <c r="N584">
        <v>161</v>
      </c>
      <c r="O584" t="s">
        <v>160</v>
      </c>
      <c r="P584" t="s">
        <v>269</v>
      </c>
      <c r="Q584">
        <f t="shared" si="11"/>
        <v>252</v>
      </c>
      <c r="R584">
        <f>_xlfn.XLOOKUP(E584,'Data Additive'!E:E,'Data Additive'!E:E,0)</f>
        <v>0</v>
      </c>
    </row>
    <row r="585" spans="1:18" x14ac:dyDescent="0.25">
      <c r="A585">
        <v>14396</v>
      </c>
      <c r="B585" t="s">
        <v>269</v>
      </c>
      <c r="C585" t="s">
        <v>270</v>
      </c>
      <c r="D585" s="34">
        <v>139680</v>
      </c>
      <c r="E585">
        <v>1246199209</v>
      </c>
      <c r="F585" s="30">
        <v>45889</v>
      </c>
      <c r="G585" s="30"/>
      <c r="H585" t="s">
        <v>172</v>
      </c>
      <c r="I585" t="s">
        <v>173</v>
      </c>
      <c r="J585">
        <v>7005</v>
      </c>
      <c r="K585" s="30">
        <v>45706</v>
      </c>
      <c r="L585">
        <v>1010100</v>
      </c>
      <c r="M585" t="s">
        <v>35</v>
      </c>
      <c r="N585">
        <v>161</v>
      </c>
      <c r="O585" t="s">
        <v>160</v>
      </c>
      <c r="P585" t="s">
        <v>269</v>
      </c>
      <c r="Q585">
        <f t="shared" si="11"/>
        <v>252</v>
      </c>
      <c r="R585">
        <f>_xlfn.XLOOKUP(E585,'Data Additive'!E:E,'Data Additive'!E:E,0)</f>
        <v>0</v>
      </c>
    </row>
    <row r="586" spans="1:18" x14ac:dyDescent="0.25">
      <c r="A586">
        <v>14396</v>
      </c>
      <c r="B586" t="s">
        <v>269</v>
      </c>
      <c r="C586" t="s">
        <v>270</v>
      </c>
      <c r="D586" s="34">
        <v>8000</v>
      </c>
      <c r="E586">
        <v>1246205781</v>
      </c>
      <c r="F586" s="30">
        <v>45920</v>
      </c>
      <c r="G586" s="30"/>
      <c r="H586" t="s">
        <v>172</v>
      </c>
      <c r="I586" t="s">
        <v>173</v>
      </c>
      <c r="J586">
        <v>7423</v>
      </c>
      <c r="K586" s="30">
        <v>45744</v>
      </c>
      <c r="L586">
        <v>1010100</v>
      </c>
      <c r="M586" t="s">
        <v>35</v>
      </c>
      <c r="N586">
        <v>161</v>
      </c>
      <c r="O586" t="s">
        <v>160</v>
      </c>
      <c r="P586" t="s">
        <v>269</v>
      </c>
      <c r="Q586">
        <f t="shared" si="11"/>
        <v>221</v>
      </c>
      <c r="R586">
        <f>_xlfn.XLOOKUP(E586,'Data Additive'!E:E,'Data Additive'!E:E,0)</f>
        <v>0</v>
      </c>
    </row>
    <row r="587" spans="1:18" x14ac:dyDescent="0.25">
      <c r="A587">
        <v>15543</v>
      </c>
      <c r="B587" t="s">
        <v>826</v>
      </c>
      <c r="C587" t="s">
        <v>827</v>
      </c>
      <c r="D587" s="34">
        <v>45718.46</v>
      </c>
      <c r="E587">
        <v>1246264533</v>
      </c>
      <c r="F587" s="30">
        <v>46181</v>
      </c>
      <c r="G587" s="30"/>
      <c r="I587" t="s">
        <v>372</v>
      </c>
      <c r="J587">
        <v>10745</v>
      </c>
      <c r="K587" s="30">
        <v>46076</v>
      </c>
      <c r="L587">
        <v>1010200</v>
      </c>
      <c r="M587" t="s">
        <v>124</v>
      </c>
      <c r="N587">
        <v>40</v>
      </c>
      <c r="O587" t="s">
        <v>170</v>
      </c>
      <c r="P587" t="s">
        <v>826</v>
      </c>
      <c r="Q587">
        <f t="shared" si="11"/>
        <v>-40</v>
      </c>
      <c r="R587">
        <f>_xlfn.XLOOKUP(E587,'Data Additive'!E:E,'Data Additive'!E:E,0)</f>
        <v>0</v>
      </c>
    </row>
    <row r="588" spans="1:18" x14ac:dyDescent="0.25">
      <c r="A588">
        <v>16032</v>
      </c>
      <c r="B588" t="s">
        <v>828</v>
      </c>
      <c r="C588" t="s">
        <v>829</v>
      </c>
      <c r="D588" s="34">
        <v>583.34</v>
      </c>
      <c r="E588">
        <v>1246264383</v>
      </c>
      <c r="F588" s="30">
        <v>46163</v>
      </c>
      <c r="G588" s="30"/>
      <c r="I588" t="s">
        <v>372</v>
      </c>
      <c r="J588">
        <v>10732</v>
      </c>
      <c r="K588" s="30">
        <v>46073</v>
      </c>
      <c r="L588">
        <v>4011600</v>
      </c>
      <c r="M588" t="s">
        <v>692</v>
      </c>
      <c r="N588">
        <v>244</v>
      </c>
      <c r="O588" t="s">
        <v>190</v>
      </c>
      <c r="P588" t="s">
        <v>828</v>
      </c>
      <c r="Q588">
        <f t="shared" si="11"/>
        <v>-22</v>
      </c>
      <c r="R588">
        <f>_xlfn.XLOOKUP(E588,'Data Additive'!E:E,'Data Additive'!E:E,0)</f>
        <v>1246264383</v>
      </c>
    </row>
    <row r="589" spans="1:18" x14ac:dyDescent="0.25">
      <c r="A589">
        <v>16107</v>
      </c>
      <c r="B589" t="s">
        <v>577</v>
      </c>
      <c r="C589" t="s">
        <v>578</v>
      </c>
      <c r="D589" s="34">
        <v>58579.74</v>
      </c>
      <c r="E589">
        <v>1246235692</v>
      </c>
      <c r="F589" s="30">
        <v>46265</v>
      </c>
      <c r="G589" s="30"/>
      <c r="H589" t="s">
        <v>172</v>
      </c>
      <c r="I589" t="s">
        <v>173</v>
      </c>
      <c r="J589">
        <v>9246</v>
      </c>
      <c r="K589" s="30">
        <v>45908</v>
      </c>
      <c r="L589">
        <v>1010100</v>
      </c>
      <c r="M589" t="s">
        <v>35</v>
      </c>
      <c r="N589">
        <v>161</v>
      </c>
      <c r="O589" t="s">
        <v>160</v>
      </c>
      <c r="P589" t="s">
        <v>577</v>
      </c>
      <c r="Q589">
        <f t="shared" si="11"/>
        <v>-124</v>
      </c>
      <c r="R589">
        <f>_xlfn.XLOOKUP(E589,'Data Additive'!E:E,'Data Additive'!E:E,0)</f>
        <v>0</v>
      </c>
    </row>
    <row r="590" spans="1:18" x14ac:dyDescent="0.25">
      <c r="A590">
        <v>16107</v>
      </c>
      <c r="B590" t="s">
        <v>577</v>
      </c>
      <c r="C590" t="s">
        <v>578</v>
      </c>
      <c r="D590" s="34">
        <v>120293.94</v>
      </c>
      <c r="E590">
        <v>1246234013</v>
      </c>
      <c r="F590" s="30">
        <v>46265</v>
      </c>
      <c r="G590" s="30"/>
      <c r="H590" t="s">
        <v>172</v>
      </c>
      <c r="I590" t="s">
        <v>173</v>
      </c>
      <c r="J590">
        <v>9130</v>
      </c>
      <c r="K590" s="30">
        <v>45898</v>
      </c>
      <c r="L590">
        <v>1010100</v>
      </c>
      <c r="M590" t="s">
        <v>35</v>
      </c>
      <c r="N590">
        <v>161</v>
      </c>
      <c r="O590" t="s">
        <v>160</v>
      </c>
      <c r="P590" t="s">
        <v>577</v>
      </c>
      <c r="Q590">
        <f t="shared" si="11"/>
        <v>-124</v>
      </c>
      <c r="R590">
        <f>_xlfn.XLOOKUP(E590,'Data Additive'!E:E,'Data Additive'!E:E,0)</f>
        <v>0</v>
      </c>
    </row>
    <row r="591" spans="1:18" x14ac:dyDescent="0.25">
      <c r="A591">
        <v>16107</v>
      </c>
      <c r="B591" t="s">
        <v>577</v>
      </c>
      <c r="C591" t="s">
        <v>578</v>
      </c>
      <c r="D591" s="34">
        <v>52795.360000000001</v>
      </c>
      <c r="E591">
        <v>1246231811</v>
      </c>
      <c r="F591" s="30">
        <v>46265</v>
      </c>
      <c r="G591" s="30"/>
      <c r="H591" t="s">
        <v>172</v>
      </c>
      <c r="I591" t="s">
        <v>173</v>
      </c>
      <c r="J591">
        <v>8929</v>
      </c>
      <c r="K591" s="30">
        <v>45888</v>
      </c>
      <c r="L591">
        <v>1010100</v>
      </c>
      <c r="M591" t="s">
        <v>35</v>
      </c>
      <c r="N591">
        <v>161</v>
      </c>
      <c r="O591" t="s">
        <v>160</v>
      </c>
      <c r="P591" t="s">
        <v>577</v>
      </c>
      <c r="Q591">
        <f t="shared" si="11"/>
        <v>-124</v>
      </c>
      <c r="R591">
        <f>_xlfn.XLOOKUP(E591,'Data Additive'!E:E,'Data Additive'!E:E,0)</f>
        <v>0</v>
      </c>
    </row>
    <row r="592" spans="1:18" x14ac:dyDescent="0.25">
      <c r="A592">
        <v>16107</v>
      </c>
      <c r="B592" t="s">
        <v>577</v>
      </c>
      <c r="C592" t="s">
        <v>578</v>
      </c>
      <c r="D592" s="34">
        <v>92391.88</v>
      </c>
      <c r="E592">
        <v>1246232362</v>
      </c>
      <c r="F592" s="30">
        <v>46265</v>
      </c>
      <c r="G592" s="30"/>
      <c r="H592" t="s">
        <v>172</v>
      </c>
      <c r="I592" t="s">
        <v>173</v>
      </c>
      <c r="J592">
        <v>8978</v>
      </c>
      <c r="K592" s="30">
        <v>45890</v>
      </c>
      <c r="L592">
        <v>1010100</v>
      </c>
      <c r="M592" t="s">
        <v>35</v>
      </c>
      <c r="N592">
        <v>161</v>
      </c>
      <c r="O592" t="s">
        <v>160</v>
      </c>
      <c r="P592" t="s">
        <v>577</v>
      </c>
      <c r="Q592">
        <f t="shared" si="11"/>
        <v>-124</v>
      </c>
      <c r="R592">
        <f>_xlfn.XLOOKUP(E592,'Data Additive'!E:E,'Data Additive'!E:E,0)</f>
        <v>0</v>
      </c>
    </row>
    <row r="593" spans="1:18" x14ac:dyDescent="0.25">
      <c r="A593">
        <v>16107</v>
      </c>
      <c r="B593" t="s">
        <v>577</v>
      </c>
      <c r="C593" t="s">
        <v>578</v>
      </c>
      <c r="D593" s="34">
        <v>94968.9</v>
      </c>
      <c r="E593">
        <v>1246234271</v>
      </c>
      <c r="F593" s="30">
        <v>46265</v>
      </c>
      <c r="G593" s="30"/>
      <c r="H593" t="s">
        <v>172</v>
      </c>
      <c r="I593" t="s">
        <v>173</v>
      </c>
      <c r="J593">
        <v>9136</v>
      </c>
      <c r="K593" s="30">
        <v>45901</v>
      </c>
      <c r="L593">
        <v>1010100</v>
      </c>
      <c r="M593" t="s">
        <v>35</v>
      </c>
      <c r="N593">
        <v>161</v>
      </c>
      <c r="O593" t="s">
        <v>160</v>
      </c>
      <c r="P593" t="s">
        <v>577</v>
      </c>
      <c r="Q593">
        <f t="shared" si="11"/>
        <v>-124</v>
      </c>
      <c r="R593">
        <f>_xlfn.XLOOKUP(E593,'Data Additive'!E:E,'Data Additive'!E:E,0)</f>
        <v>0</v>
      </c>
    </row>
    <row r="594" spans="1:18" x14ac:dyDescent="0.25">
      <c r="A594">
        <v>16107</v>
      </c>
      <c r="B594" t="s">
        <v>577</v>
      </c>
      <c r="C594" t="s">
        <v>578</v>
      </c>
      <c r="D594" s="34">
        <v>101300.16</v>
      </c>
      <c r="E594">
        <v>1246233237</v>
      </c>
      <c r="F594" s="30">
        <v>46265</v>
      </c>
      <c r="G594" s="30"/>
      <c r="H594" t="s">
        <v>172</v>
      </c>
      <c r="I594" t="s">
        <v>173</v>
      </c>
      <c r="J594">
        <v>9072</v>
      </c>
      <c r="K594" s="30">
        <v>45896</v>
      </c>
      <c r="L594">
        <v>1010100</v>
      </c>
      <c r="M594" t="s">
        <v>35</v>
      </c>
      <c r="N594">
        <v>161</v>
      </c>
      <c r="O594" t="s">
        <v>160</v>
      </c>
      <c r="P594" t="s">
        <v>577</v>
      </c>
      <c r="Q594">
        <f t="shared" si="11"/>
        <v>-124</v>
      </c>
      <c r="R594">
        <f>_xlfn.XLOOKUP(E594,'Data Additive'!E:E,'Data Additive'!E:E,0)</f>
        <v>0</v>
      </c>
    </row>
    <row r="595" spans="1:18" x14ac:dyDescent="0.25">
      <c r="A595">
        <v>16107</v>
      </c>
      <c r="B595" t="s">
        <v>577</v>
      </c>
      <c r="C595" t="s">
        <v>578</v>
      </c>
      <c r="D595" s="34">
        <v>27054.5</v>
      </c>
      <c r="E595">
        <v>1246235694</v>
      </c>
      <c r="F595" s="30">
        <v>46265</v>
      </c>
      <c r="G595" s="30"/>
      <c r="H595" t="s">
        <v>172</v>
      </c>
      <c r="I595" t="s">
        <v>173</v>
      </c>
      <c r="J595">
        <v>9247</v>
      </c>
      <c r="K595" s="30">
        <v>45908</v>
      </c>
      <c r="L595">
        <v>1010100</v>
      </c>
      <c r="M595" t="s">
        <v>35</v>
      </c>
      <c r="N595">
        <v>161</v>
      </c>
      <c r="O595" t="s">
        <v>160</v>
      </c>
      <c r="P595" t="s">
        <v>577</v>
      </c>
      <c r="Q595">
        <f t="shared" si="11"/>
        <v>-124</v>
      </c>
      <c r="R595">
        <f>_xlfn.XLOOKUP(E595,'Data Additive'!E:E,'Data Additive'!E:E,0)</f>
        <v>0</v>
      </c>
    </row>
    <row r="596" spans="1:18" x14ac:dyDescent="0.25">
      <c r="A596">
        <v>16107</v>
      </c>
      <c r="B596" t="s">
        <v>577</v>
      </c>
      <c r="C596" t="s">
        <v>578</v>
      </c>
      <c r="D596" s="34">
        <v>94968.9</v>
      </c>
      <c r="E596">
        <v>1246233894</v>
      </c>
      <c r="F596" s="30">
        <v>46265</v>
      </c>
      <c r="G596" s="30"/>
      <c r="H596" t="s">
        <v>172</v>
      </c>
      <c r="I596" t="s">
        <v>173</v>
      </c>
      <c r="J596">
        <v>9120</v>
      </c>
      <c r="K596" s="30">
        <v>45898</v>
      </c>
      <c r="L596">
        <v>1010100</v>
      </c>
      <c r="M596" t="s">
        <v>35</v>
      </c>
      <c r="N596">
        <v>161</v>
      </c>
      <c r="O596" t="s">
        <v>160</v>
      </c>
      <c r="P596" t="s">
        <v>577</v>
      </c>
      <c r="Q596">
        <f t="shared" si="11"/>
        <v>-124</v>
      </c>
      <c r="R596">
        <f>_xlfn.XLOOKUP(E596,'Data Additive'!E:E,'Data Additive'!E:E,0)</f>
        <v>0</v>
      </c>
    </row>
    <row r="597" spans="1:18" x14ac:dyDescent="0.25">
      <c r="A597">
        <v>16107</v>
      </c>
      <c r="B597" t="s">
        <v>577</v>
      </c>
      <c r="C597" t="s">
        <v>578</v>
      </c>
      <c r="D597" s="34">
        <v>94968.9</v>
      </c>
      <c r="E597">
        <v>1246238555</v>
      </c>
      <c r="F597" s="30">
        <v>46265</v>
      </c>
      <c r="G597" s="30"/>
      <c r="H597" t="s">
        <v>172</v>
      </c>
      <c r="I597" t="s">
        <v>173</v>
      </c>
      <c r="J597">
        <v>9444</v>
      </c>
      <c r="K597" s="30">
        <v>45924</v>
      </c>
      <c r="L597">
        <v>1010100</v>
      </c>
      <c r="M597" t="s">
        <v>35</v>
      </c>
      <c r="N597">
        <v>161</v>
      </c>
      <c r="O597" t="s">
        <v>160</v>
      </c>
      <c r="P597" t="s">
        <v>577</v>
      </c>
      <c r="Q597">
        <f t="shared" si="11"/>
        <v>-124</v>
      </c>
      <c r="R597">
        <f>_xlfn.XLOOKUP(E597,'Data Additive'!E:E,'Data Additive'!E:E,0)</f>
        <v>0</v>
      </c>
    </row>
    <row r="598" spans="1:18" x14ac:dyDescent="0.25">
      <c r="A598">
        <v>16107</v>
      </c>
      <c r="B598" t="s">
        <v>577</v>
      </c>
      <c r="C598" t="s">
        <v>578</v>
      </c>
      <c r="D598" s="34">
        <v>2217.7800000000002</v>
      </c>
      <c r="E598">
        <v>1246235696</v>
      </c>
      <c r="F598" s="30">
        <v>46265</v>
      </c>
      <c r="G598" s="30"/>
      <c r="H598" t="s">
        <v>172</v>
      </c>
      <c r="I598" t="s">
        <v>173</v>
      </c>
      <c r="J598">
        <v>9248</v>
      </c>
      <c r="K598" s="30">
        <v>45908</v>
      </c>
      <c r="L598">
        <v>1010100</v>
      </c>
      <c r="M598" t="s">
        <v>35</v>
      </c>
      <c r="N598">
        <v>161</v>
      </c>
      <c r="O598" t="s">
        <v>160</v>
      </c>
      <c r="P598" t="s">
        <v>577</v>
      </c>
      <c r="Q598">
        <f t="shared" si="11"/>
        <v>-124</v>
      </c>
      <c r="R598">
        <f>_xlfn.XLOOKUP(E598,'Data Additive'!E:E,'Data Additive'!E:E,0)</f>
        <v>0</v>
      </c>
    </row>
    <row r="599" spans="1:18" x14ac:dyDescent="0.25">
      <c r="A599">
        <v>16189</v>
      </c>
      <c r="B599" t="s">
        <v>819</v>
      </c>
      <c r="C599" t="s">
        <v>820</v>
      </c>
      <c r="D599" s="34">
        <v>49440</v>
      </c>
      <c r="E599">
        <v>1246261824</v>
      </c>
      <c r="F599" s="30">
        <v>46087</v>
      </c>
      <c r="G599" s="30"/>
      <c r="I599" t="s">
        <v>372</v>
      </c>
      <c r="J599">
        <v>1246261824</v>
      </c>
      <c r="K599" s="30">
        <v>46055</v>
      </c>
      <c r="L599">
        <v>7240000</v>
      </c>
      <c r="M599" t="s">
        <v>821</v>
      </c>
      <c r="N599">
        <v>46</v>
      </c>
      <c r="O599" t="s">
        <v>162</v>
      </c>
      <c r="P599" t="s">
        <v>819</v>
      </c>
      <c r="Q599">
        <f t="shared" si="11"/>
        <v>54</v>
      </c>
      <c r="R599">
        <f>_xlfn.XLOOKUP(E599,'Data Additive'!E:E,'Data Additive'!E:E,0)</f>
        <v>1246261824</v>
      </c>
    </row>
    <row r="600" spans="1:18" x14ac:dyDescent="0.25">
      <c r="D600" s="34"/>
      <c r="F600" s="30"/>
      <c r="K600" s="30"/>
      <c r="Q600">
        <f t="shared" si="11"/>
        <v>46141</v>
      </c>
      <c r="R600">
        <f>_xlfn.XLOOKUP(E600,'Data Additive'!E:E,'Data Additive'!E:E,0)</f>
        <v>0</v>
      </c>
    </row>
    <row r="601" spans="1:18" x14ac:dyDescent="0.25">
      <c r="D601" s="34"/>
      <c r="F601" s="30"/>
      <c r="K601" s="30"/>
      <c r="Q601">
        <f t="shared" si="11"/>
        <v>46141</v>
      </c>
      <c r="R601">
        <f>_xlfn.XLOOKUP(E601,'Data Additive'!E:E,'Data Additive'!E:E,0)</f>
        <v>0</v>
      </c>
    </row>
    <row r="602" spans="1:18" x14ac:dyDescent="0.25">
      <c r="D602" s="34"/>
      <c r="F602" s="30"/>
      <c r="K602" s="30"/>
      <c r="Q602">
        <f t="shared" si="11"/>
        <v>46141</v>
      </c>
      <c r="R602">
        <f>_xlfn.XLOOKUP(E602,'Data Additive'!E:E,'Data Additive'!E:E,0)</f>
        <v>0</v>
      </c>
    </row>
    <row r="603" spans="1:18" x14ac:dyDescent="0.25">
      <c r="D603" s="34"/>
      <c r="F603" s="30"/>
      <c r="K603" s="30"/>
      <c r="Q603">
        <f t="shared" si="11"/>
        <v>46141</v>
      </c>
      <c r="R603">
        <f>_xlfn.XLOOKUP(E603,'Data Additive'!E:E,'Data Additive'!E:E,0)</f>
        <v>0</v>
      </c>
    </row>
    <row r="604" spans="1:18" x14ac:dyDescent="0.25">
      <c r="D604" s="34"/>
      <c r="F604" s="30"/>
      <c r="K604" s="30"/>
      <c r="Q604">
        <f t="shared" si="11"/>
        <v>46141</v>
      </c>
      <c r="R604">
        <f>_xlfn.XLOOKUP(E604,'Data Additive'!E:E,'Data Additive'!E:E,0)</f>
        <v>0</v>
      </c>
    </row>
    <row r="605" spans="1:18" x14ac:dyDescent="0.25">
      <c r="D605" s="34"/>
      <c r="F605" s="30"/>
      <c r="K605" s="30"/>
      <c r="Q605">
        <f t="shared" si="11"/>
        <v>46141</v>
      </c>
      <c r="R605">
        <f>_xlfn.XLOOKUP(E605,'Data Additive'!E:E,'Data Additive'!E:E,0)</f>
        <v>0</v>
      </c>
    </row>
    <row r="606" spans="1:18" x14ac:dyDescent="0.25">
      <c r="D606" s="34"/>
      <c r="F606" s="30"/>
      <c r="K606" s="30"/>
      <c r="Q606">
        <f t="shared" si="11"/>
        <v>46141</v>
      </c>
      <c r="R606">
        <f>_xlfn.XLOOKUP(E606,'Data Additive'!E:E,'Data Additive'!E:E,0)</f>
        <v>0</v>
      </c>
    </row>
    <row r="607" spans="1:18" x14ac:dyDescent="0.25">
      <c r="A607" s="394"/>
      <c r="B607" s="394"/>
      <c r="C607" s="394"/>
      <c r="D607" s="395"/>
      <c r="E607" s="394"/>
      <c r="F607" s="396"/>
      <c r="G607" s="394"/>
      <c r="H607" s="394"/>
      <c r="I607" s="394"/>
      <c r="J607" s="394"/>
      <c r="K607" s="396"/>
      <c r="L607" s="394"/>
      <c r="M607" s="394"/>
      <c r="N607" s="394"/>
      <c r="O607" s="394"/>
      <c r="P607" s="394"/>
      <c r="Q607">
        <f t="shared" si="11"/>
        <v>46141</v>
      </c>
      <c r="R607">
        <f>_xlfn.XLOOKUP(E607,'Data Additive'!E:E,'Data Additive'!E:E,0)</f>
        <v>0</v>
      </c>
    </row>
    <row r="608" spans="1:18" x14ac:dyDescent="0.25">
      <c r="A608" s="394"/>
      <c r="B608" s="394"/>
      <c r="C608" s="394"/>
      <c r="D608" s="395"/>
      <c r="E608" s="394"/>
      <c r="F608" s="396"/>
      <c r="G608" s="394"/>
      <c r="H608" s="394"/>
      <c r="I608" s="394"/>
      <c r="J608" s="394"/>
      <c r="K608" s="396"/>
      <c r="L608" s="394"/>
      <c r="M608" s="394"/>
      <c r="N608" s="394"/>
      <c r="O608" s="394"/>
      <c r="P608" s="394"/>
      <c r="Q608">
        <f t="shared" si="11"/>
        <v>46141</v>
      </c>
      <c r="R608">
        <f>_xlfn.XLOOKUP(E608,'Data Additive'!E:E,'Data Additive'!E:E,0)</f>
        <v>0</v>
      </c>
    </row>
    <row r="609" spans="1:18" x14ac:dyDescent="0.25">
      <c r="A609" s="394"/>
      <c r="B609" s="394"/>
      <c r="C609" s="394"/>
      <c r="D609" s="395"/>
      <c r="E609" s="394"/>
      <c r="F609" s="396"/>
      <c r="G609" s="394"/>
      <c r="H609" s="394"/>
      <c r="I609" s="394"/>
      <c r="J609" s="394"/>
      <c r="K609" s="396"/>
      <c r="L609" s="394"/>
      <c r="M609" s="394"/>
      <c r="N609" s="394"/>
      <c r="O609" s="394"/>
      <c r="P609" s="394"/>
      <c r="Q609">
        <f t="shared" si="11"/>
        <v>46141</v>
      </c>
      <c r="R609">
        <f>_xlfn.XLOOKUP(E609,'Data Additive'!E:E,'Data Additive'!E:E,0)</f>
        <v>0</v>
      </c>
    </row>
    <row r="610" spans="1:18" x14ac:dyDescent="0.25">
      <c r="A610" s="394"/>
      <c r="B610" s="394"/>
      <c r="C610" s="394"/>
      <c r="D610" s="395"/>
      <c r="E610" s="394"/>
      <c r="F610" s="396"/>
      <c r="G610" s="394"/>
      <c r="H610" s="394"/>
      <c r="I610" s="394"/>
      <c r="J610" s="394"/>
      <c r="K610" s="396"/>
      <c r="L610" s="394"/>
      <c r="M610" s="394"/>
      <c r="N610" s="394"/>
      <c r="O610" s="394"/>
      <c r="P610" s="394"/>
      <c r="Q610">
        <f t="shared" si="11"/>
        <v>46141</v>
      </c>
      <c r="R610">
        <f>_xlfn.XLOOKUP(E610,'Data Additive'!E:E,'Data Additive'!E:E,0)</f>
        <v>0</v>
      </c>
    </row>
    <row r="611" spans="1:18" x14ac:dyDescent="0.25">
      <c r="D611" s="34"/>
      <c r="F611" s="30"/>
      <c r="K611" s="30"/>
      <c r="Q611">
        <f t="shared" si="11"/>
        <v>46141</v>
      </c>
      <c r="R611">
        <f>_xlfn.XLOOKUP(E611,'Data Additive'!E:E,'Data Additive'!E:E,0)</f>
        <v>0</v>
      </c>
    </row>
    <row r="612" spans="1:18" x14ac:dyDescent="0.25">
      <c r="D612" s="34"/>
      <c r="F612" s="30"/>
      <c r="K612" s="30"/>
      <c r="Q612">
        <f t="shared" si="11"/>
        <v>46141</v>
      </c>
      <c r="R612">
        <f>_xlfn.XLOOKUP(E612,'Data Additive'!E:E,'Data Additive'!E:E,0)</f>
        <v>0</v>
      </c>
    </row>
    <row r="613" spans="1:18" x14ac:dyDescent="0.25">
      <c r="D613" s="34"/>
      <c r="F613" s="30"/>
      <c r="K613" s="30"/>
      <c r="Q613">
        <f t="shared" si="11"/>
        <v>46141</v>
      </c>
      <c r="R613">
        <f>_xlfn.XLOOKUP(E613,'Data Additive'!E:E,'Data Additive'!E:E,0)</f>
        <v>0</v>
      </c>
    </row>
    <row r="614" spans="1:18" x14ac:dyDescent="0.25">
      <c r="D614" s="34"/>
      <c r="F614" s="30"/>
      <c r="K614" s="30"/>
      <c r="Q614">
        <f t="shared" si="11"/>
        <v>46141</v>
      </c>
      <c r="R614">
        <f>_xlfn.XLOOKUP(E614,'Data Additive'!E:E,'Data Additive'!E:E,0)</f>
        <v>0</v>
      </c>
    </row>
    <row r="615" spans="1:18" x14ac:dyDescent="0.25">
      <c r="D615" s="34"/>
      <c r="F615" s="30"/>
      <c r="K615" s="30"/>
      <c r="Q615">
        <f t="shared" si="11"/>
        <v>46141</v>
      </c>
      <c r="R615">
        <f>_xlfn.XLOOKUP(E615,'Data Additive'!E:E,'Data Additive'!E:E,0)</f>
        <v>0</v>
      </c>
    </row>
    <row r="616" spans="1:18" x14ac:dyDescent="0.25">
      <c r="D616" s="34"/>
      <c r="F616" s="30"/>
      <c r="K616" s="30"/>
      <c r="Q616">
        <f t="shared" ref="Q616:Q669" si="12">$R$1-F616</f>
        <v>46141</v>
      </c>
      <c r="R616">
        <f>_xlfn.XLOOKUP(E616,'Data Additive'!E:E,'Data Additive'!E:E,0)</f>
        <v>0</v>
      </c>
    </row>
    <row r="617" spans="1:18" x14ac:dyDescent="0.25">
      <c r="D617" s="34"/>
      <c r="F617" s="30"/>
      <c r="K617" s="30"/>
      <c r="Q617">
        <f t="shared" si="12"/>
        <v>46141</v>
      </c>
      <c r="R617">
        <f>_xlfn.XLOOKUP(E617,'Data Additive'!E:E,'Data Additive'!E:E,0)</f>
        <v>0</v>
      </c>
    </row>
    <row r="618" spans="1:18" x14ac:dyDescent="0.25">
      <c r="D618" s="34"/>
      <c r="F618" s="30"/>
      <c r="K618" s="30"/>
      <c r="Q618">
        <f t="shared" si="12"/>
        <v>46141</v>
      </c>
      <c r="R618">
        <f>_xlfn.XLOOKUP(E618,'Data Additive'!E:E,'Data Additive'!E:E,0)</f>
        <v>0</v>
      </c>
    </row>
    <row r="619" spans="1:18" x14ac:dyDescent="0.25">
      <c r="D619" s="34"/>
      <c r="F619" s="30"/>
      <c r="K619" s="30"/>
      <c r="Q619">
        <f t="shared" si="12"/>
        <v>46141</v>
      </c>
      <c r="R619">
        <f>_xlfn.XLOOKUP(E619,'Data Additive'!E:E,'Data Additive'!E:E,0)</f>
        <v>0</v>
      </c>
    </row>
    <row r="620" spans="1:18" x14ac:dyDescent="0.25">
      <c r="D620" s="34"/>
      <c r="F620" s="30"/>
      <c r="K620" s="30"/>
      <c r="Q620">
        <f t="shared" si="12"/>
        <v>46141</v>
      </c>
      <c r="R620">
        <f>_xlfn.XLOOKUP(E620,'Data Additive'!E:E,'Data Additive'!E:E,0)</f>
        <v>0</v>
      </c>
    </row>
    <row r="621" spans="1:18" x14ac:dyDescent="0.25">
      <c r="D621" s="34"/>
      <c r="F621" s="30"/>
      <c r="K621" s="30"/>
      <c r="Q621">
        <f t="shared" si="12"/>
        <v>46141</v>
      </c>
      <c r="R621">
        <f>_xlfn.XLOOKUP(E621,'Data Additive'!E:E,'Data Additive'!E:E,0)</f>
        <v>0</v>
      </c>
    </row>
    <row r="622" spans="1:18" x14ac:dyDescent="0.25">
      <c r="D622" s="34"/>
      <c r="F622" s="30"/>
      <c r="K622" s="30"/>
      <c r="Q622">
        <f t="shared" si="12"/>
        <v>46141</v>
      </c>
      <c r="R622">
        <f>_xlfn.XLOOKUP(E622,'Data Additive'!E:E,'Data Additive'!E:E,0)</f>
        <v>0</v>
      </c>
    </row>
    <row r="623" spans="1:18" x14ac:dyDescent="0.25">
      <c r="D623" s="34"/>
      <c r="F623" s="30"/>
      <c r="K623" s="30"/>
      <c r="Q623">
        <f t="shared" si="12"/>
        <v>46141</v>
      </c>
      <c r="R623">
        <f>_xlfn.XLOOKUP(E623,'Data Additive'!E:E,'Data Additive'!E:E,0)</f>
        <v>0</v>
      </c>
    </row>
    <row r="624" spans="1:18" x14ac:dyDescent="0.25">
      <c r="D624" s="34"/>
      <c r="F624" s="30"/>
      <c r="K624" s="30"/>
      <c r="Q624">
        <f t="shared" si="12"/>
        <v>46141</v>
      </c>
      <c r="R624">
        <f>_xlfn.XLOOKUP(E624,'Data Additive'!E:E,'Data Additive'!E:E,0)</f>
        <v>0</v>
      </c>
    </row>
    <row r="625" spans="4:18" x14ac:dyDescent="0.25">
      <c r="D625" s="34"/>
      <c r="F625" s="30"/>
      <c r="K625" s="30"/>
      <c r="Q625">
        <f t="shared" si="12"/>
        <v>46141</v>
      </c>
      <c r="R625">
        <f>_xlfn.XLOOKUP(E625,'Data Additive'!E:E,'Data Additive'!E:E,0)</f>
        <v>0</v>
      </c>
    </row>
    <row r="626" spans="4:18" x14ac:dyDescent="0.25">
      <c r="D626" s="34"/>
      <c r="F626" s="30"/>
      <c r="K626" s="30"/>
      <c r="Q626">
        <f t="shared" si="12"/>
        <v>46141</v>
      </c>
      <c r="R626">
        <f>_xlfn.XLOOKUP(E626,'Data Additive'!E:E,'Data Additive'!E:E,0)</f>
        <v>0</v>
      </c>
    </row>
    <row r="627" spans="4:18" x14ac:dyDescent="0.25">
      <c r="D627" s="34"/>
      <c r="F627" s="30"/>
      <c r="K627" s="30"/>
      <c r="Q627">
        <f t="shared" si="12"/>
        <v>46141</v>
      </c>
      <c r="R627">
        <f>_xlfn.XLOOKUP(E627,'Data Additive'!E:E,'Data Additive'!E:E,0)</f>
        <v>0</v>
      </c>
    </row>
    <row r="628" spans="4:18" x14ac:dyDescent="0.25">
      <c r="D628" s="34"/>
      <c r="F628" s="30"/>
      <c r="K628" s="30"/>
      <c r="Q628">
        <f t="shared" si="12"/>
        <v>46141</v>
      </c>
      <c r="R628">
        <f>_xlfn.XLOOKUP(E628,'Data Additive'!E:E,'Data Additive'!E:E,0)</f>
        <v>0</v>
      </c>
    </row>
    <row r="629" spans="4:18" x14ac:dyDescent="0.25">
      <c r="D629" s="34"/>
      <c r="F629" s="30"/>
      <c r="K629" s="30"/>
      <c r="Q629">
        <f t="shared" si="12"/>
        <v>46141</v>
      </c>
      <c r="R629">
        <f>_xlfn.XLOOKUP(E629,'Data Additive'!E:E,'Data Additive'!E:E,0)</f>
        <v>0</v>
      </c>
    </row>
    <row r="630" spans="4:18" x14ac:dyDescent="0.25">
      <c r="D630" s="34"/>
      <c r="F630" s="30"/>
      <c r="K630" s="30"/>
      <c r="Q630">
        <f t="shared" si="12"/>
        <v>46141</v>
      </c>
      <c r="R630">
        <f>_xlfn.XLOOKUP(E630,'Data Additive'!E:E,'Data Additive'!E:E,0)</f>
        <v>0</v>
      </c>
    </row>
    <row r="631" spans="4:18" x14ac:dyDescent="0.25">
      <c r="D631" s="34"/>
      <c r="F631" s="30"/>
      <c r="K631" s="30"/>
      <c r="Q631">
        <f t="shared" si="12"/>
        <v>46141</v>
      </c>
      <c r="R631">
        <f>_xlfn.XLOOKUP(E631,'Data Additive'!E:E,'Data Additive'!E:E,0)</f>
        <v>0</v>
      </c>
    </row>
    <row r="632" spans="4:18" x14ac:dyDescent="0.25">
      <c r="D632" s="34"/>
      <c r="F632" s="30"/>
      <c r="K632" s="30"/>
      <c r="Q632">
        <f t="shared" si="12"/>
        <v>46141</v>
      </c>
      <c r="R632">
        <f>_xlfn.XLOOKUP(E632,'Data Additive'!E:E,'Data Additive'!E:E,0)</f>
        <v>0</v>
      </c>
    </row>
    <row r="633" spans="4:18" x14ac:dyDescent="0.25">
      <c r="D633" s="34"/>
      <c r="F633" s="30"/>
      <c r="K633" s="30"/>
      <c r="Q633">
        <f t="shared" si="12"/>
        <v>46141</v>
      </c>
      <c r="R633">
        <f>_xlfn.XLOOKUP(E633,'Data Additive'!E:E,'Data Additive'!E:E,0)</f>
        <v>0</v>
      </c>
    </row>
    <row r="634" spans="4:18" x14ac:dyDescent="0.25">
      <c r="D634" s="34"/>
      <c r="F634" s="30"/>
      <c r="K634" s="30"/>
      <c r="Q634">
        <f t="shared" si="12"/>
        <v>46141</v>
      </c>
      <c r="R634">
        <f>_xlfn.XLOOKUP(E634,'Data Additive'!E:E,'Data Additive'!E:E,0)</f>
        <v>0</v>
      </c>
    </row>
    <row r="635" spans="4:18" x14ac:dyDescent="0.25">
      <c r="D635" s="34"/>
      <c r="F635" s="30"/>
      <c r="K635" s="30"/>
      <c r="Q635">
        <f t="shared" si="12"/>
        <v>46141</v>
      </c>
      <c r="R635">
        <f>_xlfn.XLOOKUP(E635,'Data Additive'!E:E,'Data Additive'!E:E,0)</f>
        <v>0</v>
      </c>
    </row>
    <row r="636" spans="4:18" x14ac:dyDescent="0.25">
      <c r="D636" s="34"/>
      <c r="F636" s="30"/>
      <c r="K636" s="30"/>
      <c r="Q636">
        <f t="shared" si="12"/>
        <v>46141</v>
      </c>
      <c r="R636">
        <f>_xlfn.XLOOKUP(E636,'Data Additive'!E:E,'Data Additive'!E:E,0)</f>
        <v>0</v>
      </c>
    </row>
    <row r="637" spans="4:18" x14ac:dyDescent="0.25">
      <c r="D637" s="34"/>
      <c r="F637" s="30"/>
      <c r="K637" s="30"/>
      <c r="Q637">
        <f>$R$1-F637</f>
        <v>46141</v>
      </c>
      <c r="R637">
        <f>_xlfn.XLOOKUP(E637,'Data Additive'!E:E,'Data Additive'!E:E,0)</f>
        <v>0</v>
      </c>
    </row>
    <row r="638" spans="4:18" x14ac:dyDescent="0.25">
      <c r="D638" s="34"/>
      <c r="F638" s="30"/>
      <c r="K638" s="30"/>
      <c r="Q638">
        <f t="shared" si="12"/>
        <v>46141</v>
      </c>
      <c r="R638">
        <f>_xlfn.XLOOKUP(E638,'Data Additive'!E:E,'Data Additive'!E:E,0)</f>
        <v>0</v>
      </c>
    </row>
    <row r="639" spans="4:18" x14ac:dyDescent="0.25">
      <c r="D639" s="34"/>
      <c r="F639" s="30"/>
      <c r="K639" s="30"/>
      <c r="Q639">
        <f t="shared" si="12"/>
        <v>46141</v>
      </c>
      <c r="R639">
        <f>_xlfn.XLOOKUP(E639,'Data Additive'!E:E,'Data Additive'!E:E,0)</f>
        <v>0</v>
      </c>
    </row>
    <row r="640" spans="4:18" x14ac:dyDescent="0.25">
      <c r="D640" s="34"/>
      <c r="F640" s="30"/>
      <c r="K640" s="30"/>
      <c r="Q640">
        <f t="shared" si="12"/>
        <v>46141</v>
      </c>
      <c r="R640">
        <f>_xlfn.XLOOKUP(E640,'Data Additive'!E:E,'Data Additive'!E:E,0)</f>
        <v>0</v>
      </c>
    </row>
    <row r="641" spans="4:18" x14ac:dyDescent="0.25">
      <c r="D641" s="34"/>
      <c r="F641" s="30"/>
      <c r="K641" s="30"/>
      <c r="Q641">
        <f t="shared" si="12"/>
        <v>46141</v>
      </c>
      <c r="R641">
        <f>_xlfn.XLOOKUP(E641,'Data Additive'!E:E,'Data Additive'!E:E,0)</f>
        <v>0</v>
      </c>
    </row>
    <row r="642" spans="4:18" x14ac:dyDescent="0.25">
      <c r="D642" s="34"/>
      <c r="F642" s="30"/>
      <c r="K642" s="30"/>
      <c r="Q642">
        <f t="shared" si="12"/>
        <v>46141</v>
      </c>
      <c r="R642">
        <f>_xlfn.XLOOKUP(E642,'Data Additive'!E:E,'Data Additive'!E:E,0)</f>
        <v>0</v>
      </c>
    </row>
    <row r="643" spans="4:18" x14ac:dyDescent="0.25">
      <c r="D643" s="34"/>
      <c r="F643" s="30"/>
      <c r="K643" s="30"/>
      <c r="Q643">
        <f t="shared" si="12"/>
        <v>46141</v>
      </c>
      <c r="R643">
        <f>_xlfn.XLOOKUP(E643,'Data Additive'!E:E,'Data Additive'!E:E,0)</f>
        <v>0</v>
      </c>
    </row>
    <row r="644" spans="4:18" x14ac:dyDescent="0.25">
      <c r="D644" s="34"/>
      <c r="F644" s="30"/>
      <c r="K644" s="30"/>
      <c r="Q644">
        <f t="shared" si="12"/>
        <v>46141</v>
      </c>
      <c r="R644">
        <f>_xlfn.XLOOKUP(E644,'Data Additive'!E:E,'Data Additive'!E:E,0)</f>
        <v>0</v>
      </c>
    </row>
    <row r="645" spans="4:18" x14ac:dyDescent="0.25">
      <c r="D645" s="34"/>
      <c r="F645" s="30"/>
      <c r="K645" s="30"/>
      <c r="Q645">
        <f t="shared" si="12"/>
        <v>46141</v>
      </c>
      <c r="R645">
        <f>_xlfn.XLOOKUP(E645,'Data Additive'!E:E,'Data Additive'!E:E,0)</f>
        <v>0</v>
      </c>
    </row>
    <row r="646" spans="4:18" x14ac:dyDescent="0.25">
      <c r="D646" s="34"/>
      <c r="F646" s="30"/>
      <c r="K646" s="30"/>
      <c r="Q646">
        <f t="shared" si="12"/>
        <v>46141</v>
      </c>
      <c r="R646">
        <f>_xlfn.XLOOKUP(E646,'Data Additive'!E:E,'Data Additive'!E:E,0)</f>
        <v>0</v>
      </c>
    </row>
    <row r="647" spans="4:18" x14ac:dyDescent="0.25">
      <c r="D647" s="34"/>
      <c r="F647" s="30"/>
      <c r="K647" s="30"/>
      <c r="Q647">
        <f t="shared" si="12"/>
        <v>46141</v>
      </c>
      <c r="R647">
        <f>_xlfn.XLOOKUP(E647,'Data Additive'!E:E,'Data Additive'!E:E,0)</f>
        <v>0</v>
      </c>
    </row>
    <row r="648" spans="4:18" x14ac:dyDescent="0.25">
      <c r="D648" s="34"/>
      <c r="F648" s="30"/>
      <c r="K648" s="30"/>
      <c r="Q648">
        <f t="shared" si="12"/>
        <v>46141</v>
      </c>
      <c r="R648">
        <f>_xlfn.XLOOKUP(E648,'Data Additive'!E:E,'Data Additive'!E:E,0)</f>
        <v>0</v>
      </c>
    </row>
    <row r="649" spans="4:18" x14ac:dyDescent="0.25">
      <c r="D649" s="34"/>
      <c r="F649" s="30"/>
      <c r="K649" s="30"/>
      <c r="Q649">
        <f t="shared" si="12"/>
        <v>46141</v>
      </c>
      <c r="R649">
        <f>_xlfn.XLOOKUP(E649,'Data Additive'!E:E,'Data Additive'!E:E,0)</f>
        <v>0</v>
      </c>
    </row>
    <row r="650" spans="4:18" x14ac:dyDescent="0.25">
      <c r="D650" s="34"/>
      <c r="F650" s="30"/>
      <c r="K650" s="30"/>
      <c r="Q650">
        <f t="shared" si="12"/>
        <v>46141</v>
      </c>
      <c r="R650">
        <f>_xlfn.XLOOKUP(E650,'Data Additive'!E:E,'Data Additive'!E:E,0)</f>
        <v>0</v>
      </c>
    </row>
    <row r="651" spans="4:18" x14ac:dyDescent="0.25">
      <c r="D651" s="34"/>
      <c r="F651" s="30"/>
      <c r="K651" s="30"/>
      <c r="Q651">
        <f t="shared" si="12"/>
        <v>46141</v>
      </c>
      <c r="R651">
        <f>_xlfn.XLOOKUP(E651,'Data Additive'!E:E,'Data Additive'!E:E,0)</f>
        <v>0</v>
      </c>
    </row>
    <row r="652" spans="4:18" x14ac:dyDescent="0.25">
      <c r="D652" s="34"/>
      <c r="F652" s="30"/>
      <c r="K652" s="30"/>
      <c r="Q652">
        <f t="shared" si="12"/>
        <v>46141</v>
      </c>
      <c r="R652">
        <f>_xlfn.XLOOKUP(E652,'Data Additive'!E:E,'Data Additive'!E:E,0)</f>
        <v>0</v>
      </c>
    </row>
    <row r="653" spans="4:18" x14ac:dyDescent="0.25">
      <c r="D653" s="34"/>
      <c r="F653" s="30"/>
      <c r="K653" s="30"/>
      <c r="Q653">
        <f t="shared" si="12"/>
        <v>46141</v>
      </c>
      <c r="R653">
        <f>_xlfn.XLOOKUP(E653,'Data Additive'!E:E,'Data Additive'!E:E,0)</f>
        <v>0</v>
      </c>
    </row>
    <row r="654" spans="4:18" x14ac:dyDescent="0.25">
      <c r="D654" s="34"/>
      <c r="F654" s="30"/>
      <c r="K654" s="30"/>
      <c r="Q654">
        <f t="shared" si="12"/>
        <v>46141</v>
      </c>
      <c r="R654">
        <f>_xlfn.XLOOKUP(E654,'Data Additive'!E:E,'Data Additive'!E:E,0)</f>
        <v>0</v>
      </c>
    </row>
    <row r="655" spans="4:18" x14ac:dyDescent="0.25">
      <c r="D655" s="34"/>
      <c r="F655" s="30"/>
      <c r="K655" s="30"/>
      <c r="Q655">
        <f t="shared" si="12"/>
        <v>46141</v>
      </c>
      <c r="R655">
        <f>_xlfn.XLOOKUP(E655,'Data Additive'!E:E,'Data Additive'!E:E,0)</f>
        <v>0</v>
      </c>
    </row>
    <row r="656" spans="4:18" x14ac:dyDescent="0.25">
      <c r="D656" s="34"/>
      <c r="F656" s="30"/>
      <c r="K656" s="30"/>
      <c r="Q656">
        <f t="shared" si="12"/>
        <v>46141</v>
      </c>
      <c r="R656">
        <f>_xlfn.XLOOKUP(E656,'Data Additive'!E:E,'Data Additive'!E:E,0)</f>
        <v>0</v>
      </c>
    </row>
    <row r="657" spans="4:18" x14ac:dyDescent="0.25">
      <c r="D657" s="34"/>
      <c r="F657" s="30"/>
      <c r="K657" s="30"/>
      <c r="Q657">
        <f t="shared" si="12"/>
        <v>46141</v>
      </c>
      <c r="R657">
        <f>_xlfn.XLOOKUP(E657,'Data Additive'!E:E,'Data Additive'!E:E,0)</f>
        <v>0</v>
      </c>
    </row>
    <row r="658" spans="4:18" x14ac:dyDescent="0.25">
      <c r="D658" s="34"/>
      <c r="F658" s="30"/>
      <c r="K658" s="30"/>
      <c r="Q658">
        <f t="shared" si="12"/>
        <v>46141</v>
      </c>
      <c r="R658">
        <f>_xlfn.XLOOKUP(E658,'Data Additive'!E:E,'Data Additive'!E:E,0)</f>
        <v>0</v>
      </c>
    </row>
    <row r="659" spans="4:18" x14ac:dyDescent="0.25">
      <c r="D659" s="34"/>
      <c r="F659" s="30"/>
      <c r="K659" s="30"/>
      <c r="Q659">
        <f t="shared" si="12"/>
        <v>46141</v>
      </c>
      <c r="R659">
        <f>_xlfn.XLOOKUP(E659,'Data Additive'!E:E,'Data Additive'!E:E,0)</f>
        <v>0</v>
      </c>
    </row>
    <row r="660" spans="4:18" x14ac:dyDescent="0.25">
      <c r="D660" s="34"/>
      <c r="F660" s="30"/>
      <c r="K660" s="30"/>
      <c r="Q660">
        <f t="shared" si="12"/>
        <v>46141</v>
      </c>
      <c r="R660">
        <f>_xlfn.XLOOKUP(E660,'Data Additive'!E:E,'Data Additive'!E:E,0)</f>
        <v>0</v>
      </c>
    </row>
    <row r="661" spans="4:18" x14ac:dyDescent="0.25">
      <c r="D661" s="34"/>
      <c r="F661" s="30"/>
      <c r="K661" s="30"/>
      <c r="Q661">
        <f t="shared" si="12"/>
        <v>46141</v>
      </c>
      <c r="R661">
        <f>_xlfn.XLOOKUP(E661,'Data Additive'!E:E,'Data Additive'!E:E,0)</f>
        <v>0</v>
      </c>
    </row>
    <row r="662" spans="4:18" x14ac:dyDescent="0.25">
      <c r="D662" s="34"/>
      <c r="F662" s="30"/>
      <c r="K662" s="30"/>
      <c r="Q662">
        <f t="shared" si="12"/>
        <v>46141</v>
      </c>
      <c r="R662">
        <f>_xlfn.XLOOKUP(E662,'Data Additive'!E:E,'Data Additive'!E:E,0)</f>
        <v>0</v>
      </c>
    </row>
    <row r="663" spans="4:18" x14ac:dyDescent="0.25">
      <c r="D663" s="34"/>
      <c r="F663" s="30"/>
      <c r="K663" s="30"/>
      <c r="Q663">
        <f t="shared" si="12"/>
        <v>46141</v>
      </c>
      <c r="R663">
        <f>_xlfn.XLOOKUP(E663,'Data Additive'!E:E,'Data Additive'!E:E,0)</f>
        <v>0</v>
      </c>
    </row>
    <row r="664" spans="4:18" x14ac:dyDescent="0.25">
      <c r="D664" s="34"/>
      <c r="F664" s="30"/>
      <c r="K664" s="30"/>
      <c r="Q664">
        <f t="shared" si="12"/>
        <v>46141</v>
      </c>
      <c r="R664">
        <f>_xlfn.XLOOKUP(E664,'Data Additive'!E:E,'Data Additive'!E:E,0)</f>
        <v>0</v>
      </c>
    </row>
    <row r="665" spans="4:18" x14ac:dyDescent="0.25">
      <c r="D665" s="34"/>
      <c r="F665" s="30"/>
      <c r="K665" s="30"/>
      <c r="Q665">
        <f t="shared" si="12"/>
        <v>46141</v>
      </c>
      <c r="R665">
        <f>_xlfn.XLOOKUP(E665,'Data Additive'!E:E,'Data Additive'!E:E,0)</f>
        <v>0</v>
      </c>
    </row>
    <row r="666" spans="4:18" x14ac:dyDescent="0.25">
      <c r="D666" s="34"/>
      <c r="F666" s="30"/>
      <c r="K666" s="30"/>
      <c r="Q666">
        <f t="shared" si="12"/>
        <v>46141</v>
      </c>
      <c r="R666">
        <f>_xlfn.XLOOKUP(E666,'Data Additive'!E:E,'Data Additive'!E:E,0)</f>
        <v>0</v>
      </c>
    </row>
    <row r="667" spans="4:18" x14ac:dyDescent="0.25">
      <c r="D667" s="34"/>
      <c r="F667" s="30"/>
      <c r="K667" s="30"/>
      <c r="Q667">
        <f t="shared" si="12"/>
        <v>46141</v>
      </c>
      <c r="R667">
        <f>_xlfn.XLOOKUP(E667,'Data Additive'!E:E,'Data Additive'!E:E,0)</f>
        <v>0</v>
      </c>
    </row>
    <row r="668" spans="4:18" x14ac:dyDescent="0.25">
      <c r="D668" s="34"/>
      <c r="F668" s="30"/>
      <c r="K668" s="30"/>
      <c r="Q668">
        <f t="shared" si="12"/>
        <v>46141</v>
      </c>
      <c r="R668">
        <f>_xlfn.XLOOKUP(E668,'Data Additive'!E:E,'Data Additive'!E:E,0)</f>
        <v>0</v>
      </c>
    </row>
    <row r="669" spans="4:18" x14ac:dyDescent="0.25">
      <c r="D669" s="34"/>
      <c r="F669" s="30"/>
      <c r="K669" s="30"/>
      <c r="Q669">
        <f t="shared" si="12"/>
        <v>46141</v>
      </c>
      <c r="R669">
        <f>_xlfn.XLOOKUP(E669,'Data Additive'!E:E,'Data Additive'!E:E,0)</f>
        <v>0</v>
      </c>
    </row>
    <row r="670" spans="4:18" x14ac:dyDescent="0.25">
      <c r="D670" s="34"/>
      <c r="F670" s="30"/>
      <c r="K670" s="30"/>
      <c r="Q670">
        <f t="shared" ref="Q670:Q729" si="13">$R$1-F670</f>
        <v>46141</v>
      </c>
      <c r="R670">
        <f>_xlfn.XLOOKUP(E670,'Data Additive'!E:E,'Data Additive'!E:E,0)</f>
        <v>0</v>
      </c>
    </row>
    <row r="671" spans="4:18" x14ac:dyDescent="0.25">
      <c r="D671" s="34"/>
      <c r="F671" s="30"/>
      <c r="K671" s="30"/>
      <c r="Q671">
        <f t="shared" si="13"/>
        <v>46141</v>
      </c>
      <c r="R671">
        <f>_xlfn.XLOOKUP(E671,'Data Additive'!E:E,'Data Additive'!E:E,0)</f>
        <v>0</v>
      </c>
    </row>
    <row r="672" spans="4:18" x14ac:dyDescent="0.25">
      <c r="D672" s="34"/>
      <c r="F672" s="30"/>
      <c r="K672" s="30"/>
      <c r="Q672">
        <f t="shared" si="13"/>
        <v>46141</v>
      </c>
      <c r="R672">
        <f>_xlfn.XLOOKUP(E672,'Data Additive'!E:E,'Data Additive'!E:E,0)</f>
        <v>0</v>
      </c>
    </row>
    <row r="673" spans="4:18" x14ac:dyDescent="0.25">
      <c r="D673" s="34"/>
      <c r="F673" s="30"/>
      <c r="K673" s="30"/>
      <c r="Q673">
        <f t="shared" si="13"/>
        <v>46141</v>
      </c>
      <c r="R673">
        <f>_xlfn.XLOOKUP(E673,'Data Additive'!E:E,'Data Additive'!E:E,0)</f>
        <v>0</v>
      </c>
    </row>
    <row r="674" spans="4:18" x14ac:dyDescent="0.25">
      <c r="D674" s="34"/>
      <c r="F674" s="30"/>
      <c r="K674" s="30"/>
      <c r="Q674">
        <f t="shared" si="13"/>
        <v>46141</v>
      </c>
      <c r="R674">
        <f>_xlfn.XLOOKUP(E674,'Data Additive'!E:E,'Data Additive'!E:E,0)</f>
        <v>0</v>
      </c>
    </row>
    <row r="675" spans="4:18" x14ac:dyDescent="0.25">
      <c r="D675" s="34"/>
      <c r="F675" s="30"/>
      <c r="K675" s="30"/>
      <c r="Q675">
        <f t="shared" si="13"/>
        <v>46141</v>
      </c>
      <c r="R675">
        <f>_xlfn.XLOOKUP(E675,'Data Additive'!E:E,'Data Additive'!E:E,0)</f>
        <v>0</v>
      </c>
    </row>
    <row r="676" spans="4:18" x14ac:dyDescent="0.25">
      <c r="D676" s="34"/>
      <c r="F676" s="30"/>
      <c r="K676" s="30"/>
      <c r="Q676">
        <f t="shared" si="13"/>
        <v>46141</v>
      </c>
      <c r="R676">
        <f>_xlfn.XLOOKUP(E676,'Data Additive'!E:E,'Data Additive'!E:E,0)</f>
        <v>0</v>
      </c>
    </row>
    <row r="677" spans="4:18" x14ac:dyDescent="0.25">
      <c r="D677" s="34"/>
      <c r="F677" s="30"/>
      <c r="K677" s="30"/>
      <c r="Q677">
        <f t="shared" si="13"/>
        <v>46141</v>
      </c>
      <c r="R677">
        <f>_xlfn.XLOOKUP(E677,'Data Additive'!E:E,'Data Additive'!E:E,0)</f>
        <v>0</v>
      </c>
    </row>
    <row r="678" spans="4:18" x14ac:dyDescent="0.25">
      <c r="D678" s="34"/>
      <c r="F678" s="30"/>
      <c r="K678" s="30"/>
      <c r="Q678">
        <f t="shared" si="13"/>
        <v>46141</v>
      </c>
      <c r="R678">
        <f>_xlfn.XLOOKUP(E678,'Data Additive'!E:E,'Data Additive'!E:E,0)</f>
        <v>0</v>
      </c>
    </row>
    <row r="679" spans="4:18" x14ac:dyDescent="0.25">
      <c r="D679" s="34"/>
      <c r="F679" s="30"/>
      <c r="K679" s="30"/>
      <c r="Q679">
        <f t="shared" si="13"/>
        <v>46141</v>
      </c>
      <c r="R679">
        <f>_xlfn.XLOOKUP(E679,'Data Additive'!E:E,'Data Additive'!E:E,0)</f>
        <v>0</v>
      </c>
    </row>
    <row r="680" spans="4:18" x14ac:dyDescent="0.25">
      <c r="D680" s="34"/>
      <c r="F680" s="30"/>
      <c r="K680" s="30"/>
      <c r="Q680">
        <f t="shared" si="13"/>
        <v>46141</v>
      </c>
      <c r="R680">
        <f>_xlfn.XLOOKUP(E680,'Data Additive'!E:E,'Data Additive'!E:E,0)</f>
        <v>0</v>
      </c>
    </row>
    <row r="681" spans="4:18" x14ac:dyDescent="0.25">
      <c r="D681" s="34"/>
      <c r="F681" s="30"/>
      <c r="K681" s="30"/>
      <c r="Q681">
        <f t="shared" si="13"/>
        <v>46141</v>
      </c>
      <c r="R681">
        <f>_xlfn.XLOOKUP(E681,'Data Additive'!E:E,'Data Additive'!E:E,0)</f>
        <v>0</v>
      </c>
    </row>
    <row r="682" spans="4:18" x14ac:dyDescent="0.25">
      <c r="D682" s="34"/>
      <c r="F682" s="30"/>
      <c r="K682" s="30"/>
      <c r="Q682">
        <f t="shared" si="13"/>
        <v>46141</v>
      </c>
      <c r="R682">
        <f>_xlfn.XLOOKUP(E682,'Data Additive'!E:E,'Data Additive'!E:E,0)</f>
        <v>0</v>
      </c>
    </row>
    <row r="683" spans="4:18" x14ac:dyDescent="0.25">
      <c r="D683" s="34"/>
      <c r="F683" s="30"/>
      <c r="K683" s="30"/>
      <c r="Q683">
        <f t="shared" si="13"/>
        <v>46141</v>
      </c>
      <c r="R683">
        <f>_xlfn.XLOOKUP(E683,'Data Additive'!E:E,'Data Additive'!E:E,0)</f>
        <v>0</v>
      </c>
    </row>
    <row r="684" spans="4:18" x14ac:dyDescent="0.25">
      <c r="D684" s="34"/>
      <c r="F684" s="30"/>
      <c r="K684" s="30"/>
      <c r="Q684">
        <f t="shared" si="13"/>
        <v>46141</v>
      </c>
      <c r="R684">
        <f>_xlfn.XLOOKUP(E684,'Data Additive'!E:E,'Data Additive'!E:E,0)</f>
        <v>0</v>
      </c>
    </row>
    <row r="685" spans="4:18" x14ac:dyDescent="0.25">
      <c r="D685" s="34"/>
      <c r="F685" s="30"/>
      <c r="K685" s="30"/>
      <c r="Q685">
        <f t="shared" si="13"/>
        <v>46141</v>
      </c>
      <c r="R685">
        <f>_xlfn.XLOOKUP(E685,'Data Additive'!E:E,'Data Additive'!E:E,0)</f>
        <v>0</v>
      </c>
    </row>
    <row r="686" spans="4:18" x14ac:dyDescent="0.25">
      <c r="D686" s="34"/>
      <c r="F686" s="30"/>
      <c r="K686" s="30"/>
      <c r="Q686">
        <f t="shared" si="13"/>
        <v>46141</v>
      </c>
      <c r="R686">
        <f>_xlfn.XLOOKUP(E686,'Data Additive'!E:E,'Data Additive'!E:E,0)</f>
        <v>0</v>
      </c>
    </row>
    <row r="687" spans="4:18" x14ac:dyDescent="0.25">
      <c r="D687" s="34"/>
      <c r="F687" s="30"/>
      <c r="K687" s="30"/>
      <c r="Q687">
        <f t="shared" si="13"/>
        <v>46141</v>
      </c>
      <c r="R687">
        <f>_xlfn.XLOOKUP(E687,'Data Additive'!E:E,'Data Additive'!E:E,0)</f>
        <v>0</v>
      </c>
    </row>
    <row r="688" spans="4:18" x14ac:dyDescent="0.25">
      <c r="D688" s="34"/>
      <c r="F688" s="30"/>
      <c r="K688" s="30"/>
      <c r="Q688">
        <f t="shared" si="13"/>
        <v>46141</v>
      </c>
      <c r="R688">
        <f>_xlfn.XLOOKUP(E688,'Data Additive'!E:E,'Data Additive'!E:E,0)</f>
        <v>0</v>
      </c>
    </row>
    <row r="689" spans="4:18" x14ac:dyDescent="0.25">
      <c r="D689" s="34"/>
      <c r="F689" s="30"/>
      <c r="K689" s="30"/>
      <c r="Q689">
        <f t="shared" si="13"/>
        <v>46141</v>
      </c>
      <c r="R689">
        <f>_xlfn.XLOOKUP(E689,'Data Additive'!E:E,'Data Additive'!E:E,0)</f>
        <v>0</v>
      </c>
    </row>
    <row r="690" spans="4:18" x14ac:dyDescent="0.25">
      <c r="D690" s="34"/>
      <c r="F690" s="30"/>
      <c r="K690" s="30"/>
      <c r="Q690">
        <f t="shared" si="13"/>
        <v>46141</v>
      </c>
      <c r="R690">
        <f>_xlfn.XLOOKUP(E690,'Data Additive'!E:E,'Data Additive'!E:E,0)</f>
        <v>0</v>
      </c>
    </row>
    <row r="691" spans="4:18" x14ac:dyDescent="0.25">
      <c r="D691" s="34"/>
      <c r="F691" s="30"/>
      <c r="K691" s="30"/>
      <c r="Q691">
        <f t="shared" si="13"/>
        <v>46141</v>
      </c>
      <c r="R691">
        <f>_xlfn.XLOOKUP(E691,'Data Additive'!E:E,'Data Additive'!E:E,0)</f>
        <v>0</v>
      </c>
    </row>
    <row r="692" spans="4:18" x14ac:dyDescent="0.25">
      <c r="D692" s="34"/>
      <c r="F692" s="30"/>
      <c r="K692" s="30"/>
      <c r="Q692">
        <f t="shared" si="13"/>
        <v>46141</v>
      </c>
      <c r="R692">
        <f>_xlfn.XLOOKUP(E692,'Data Additive'!E:E,'Data Additive'!E:E,0)</f>
        <v>0</v>
      </c>
    </row>
    <row r="693" spans="4:18" x14ac:dyDescent="0.25">
      <c r="D693" s="34"/>
      <c r="F693" s="30"/>
      <c r="K693" s="30"/>
      <c r="Q693">
        <f t="shared" si="13"/>
        <v>46141</v>
      </c>
      <c r="R693">
        <f>_xlfn.XLOOKUP(E693,'Data Additive'!E:E,'Data Additive'!E:E,0)</f>
        <v>0</v>
      </c>
    </row>
    <row r="694" spans="4:18" x14ac:dyDescent="0.25">
      <c r="D694" s="34"/>
      <c r="F694" s="30"/>
      <c r="K694" s="30"/>
      <c r="Q694">
        <f t="shared" si="13"/>
        <v>46141</v>
      </c>
      <c r="R694">
        <f>_xlfn.XLOOKUP(E694,'Data Additive'!E:E,'Data Additive'!E:E,0)</f>
        <v>0</v>
      </c>
    </row>
    <row r="695" spans="4:18" x14ac:dyDescent="0.25">
      <c r="D695" s="34"/>
      <c r="F695" s="30"/>
      <c r="K695" s="30"/>
      <c r="Q695">
        <f t="shared" si="13"/>
        <v>46141</v>
      </c>
      <c r="R695">
        <f>_xlfn.XLOOKUP(E695,'Data Additive'!E:E,'Data Additive'!E:E,0)</f>
        <v>0</v>
      </c>
    </row>
    <row r="696" spans="4:18" x14ac:dyDescent="0.25">
      <c r="D696" s="34"/>
      <c r="F696" s="30"/>
      <c r="K696" s="30"/>
      <c r="Q696">
        <f t="shared" si="13"/>
        <v>46141</v>
      </c>
      <c r="R696">
        <f>_xlfn.XLOOKUP(E696,'Data Additive'!E:E,'Data Additive'!E:E,0)</f>
        <v>0</v>
      </c>
    </row>
    <row r="697" spans="4:18" x14ac:dyDescent="0.25">
      <c r="D697" s="34"/>
      <c r="F697" s="30"/>
      <c r="K697" s="30"/>
      <c r="Q697">
        <f t="shared" si="13"/>
        <v>46141</v>
      </c>
      <c r="R697">
        <f>_xlfn.XLOOKUP(E697,'Data Additive'!E:E,'Data Additive'!E:E,0)</f>
        <v>0</v>
      </c>
    </row>
    <row r="698" spans="4:18" x14ac:dyDescent="0.25">
      <c r="D698" s="34"/>
      <c r="F698" s="30"/>
      <c r="K698" s="30"/>
      <c r="Q698">
        <f t="shared" si="13"/>
        <v>46141</v>
      </c>
      <c r="R698">
        <f>_xlfn.XLOOKUP(E698,'Data Additive'!E:E,'Data Additive'!E:E,0)</f>
        <v>0</v>
      </c>
    </row>
    <row r="699" spans="4:18" x14ac:dyDescent="0.25">
      <c r="D699" s="34"/>
      <c r="F699" s="30"/>
      <c r="K699" s="30"/>
      <c r="Q699">
        <f t="shared" si="13"/>
        <v>46141</v>
      </c>
      <c r="R699">
        <f>_xlfn.XLOOKUP(E699,'Data Additive'!E:E,'Data Additive'!E:E,0)</f>
        <v>0</v>
      </c>
    </row>
    <row r="700" spans="4:18" x14ac:dyDescent="0.25">
      <c r="D700" s="34"/>
      <c r="F700" s="30"/>
      <c r="K700" s="30"/>
      <c r="Q700">
        <f t="shared" si="13"/>
        <v>46141</v>
      </c>
      <c r="R700">
        <f>_xlfn.XLOOKUP(E700,'Data Additive'!E:E,'Data Additive'!E:E,0)</f>
        <v>0</v>
      </c>
    </row>
    <row r="701" spans="4:18" x14ac:dyDescent="0.25">
      <c r="D701" s="34"/>
      <c r="F701" s="30"/>
      <c r="K701" s="30"/>
      <c r="Q701">
        <f t="shared" si="13"/>
        <v>46141</v>
      </c>
      <c r="R701">
        <f>_xlfn.XLOOKUP(E701,'Data Additive'!E:E,'Data Additive'!E:E,0)</f>
        <v>0</v>
      </c>
    </row>
    <row r="702" spans="4:18" x14ac:dyDescent="0.25">
      <c r="D702" s="34"/>
      <c r="F702" s="30"/>
      <c r="K702" s="30"/>
      <c r="Q702">
        <f t="shared" si="13"/>
        <v>46141</v>
      </c>
      <c r="R702">
        <f>_xlfn.XLOOKUP(E702,'Data Additive'!E:E,'Data Additive'!E:E,0)</f>
        <v>0</v>
      </c>
    </row>
    <row r="703" spans="4:18" x14ac:dyDescent="0.25">
      <c r="D703" s="34"/>
      <c r="F703" s="30"/>
      <c r="K703" s="30"/>
      <c r="Q703">
        <f t="shared" si="13"/>
        <v>46141</v>
      </c>
      <c r="R703">
        <f>_xlfn.XLOOKUP(E703,'Data Additive'!E:E,'Data Additive'!E:E,0)</f>
        <v>0</v>
      </c>
    </row>
    <row r="704" spans="4:18" x14ac:dyDescent="0.25">
      <c r="D704" s="34"/>
      <c r="F704" s="30"/>
      <c r="K704" s="30"/>
      <c r="Q704">
        <f t="shared" si="13"/>
        <v>46141</v>
      </c>
      <c r="R704">
        <f>_xlfn.XLOOKUP(E704,'Data Additive'!E:E,'Data Additive'!E:E,0)</f>
        <v>0</v>
      </c>
    </row>
    <row r="705" spans="4:18" x14ac:dyDescent="0.25">
      <c r="D705" s="34"/>
      <c r="F705" s="30"/>
      <c r="K705" s="30"/>
      <c r="Q705">
        <f t="shared" si="13"/>
        <v>46141</v>
      </c>
      <c r="R705">
        <f>_xlfn.XLOOKUP(E705,'Data Additive'!E:E,'Data Additive'!E:E,0)</f>
        <v>0</v>
      </c>
    </row>
    <row r="706" spans="4:18" x14ac:dyDescent="0.25">
      <c r="D706" s="34"/>
      <c r="F706" s="30"/>
      <c r="K706" s="30"/>
      <c r="Q706">
        <f t="shared" si="13"/>
        <v>46141</v>
      </c>
      <c r="R706">
        <f>_xlfn.XLOOKUP(E706,'Data Additive'!E:E,'Data Additive'!E:E,0)</f>
        <v>0</v>
      </c>
    </row>
    <row r="707" spans="4:18" x14ac:dyDescent="0.25">
      <c r="D707" s="34"/>
      <c r="F707" s="30"/>
      <c r="K707" s="30"/>
      <c r="Q707">
        <f t="shared" si="13"/>
        <v>46141</v>
      </c>
      <c r="R707">
        <f>_xlfn.XLOOKUP(E707,'Data Additive'!E:E,'Data Additive'!E:E,0)</f>
        <v>0</v>
      </c>
    </row>
    <row r="708" spans="4:18" x14ac:dyDescent="0.25">
      <c r="D708" s="34"/>
      <c r="F708" s="30"/>
      <c r="K708" s="30"/>
      <c r="Q708">
        <f t="shared" si="13"/>
        <v>46141</v>
      </c>
      <c r="R708">
        <f>_xlfn.XLOOKUP(E708,'Data Additive'!E:E,'Data Additive'!E:E,0)</f>
        <v>0</v>
      </c>
    </row>
    <row r="709" spans="4:18" x14ac:dyDescent="0.25">
      <c r="D709" s="34"/>
      <c r="F709" s="30"/>
      <c r="K709" s="30"/>
      <c r="Q709">
        <f t="shared" si="13"/>
        <v>46141</v>
      </c>
      <c r="R709">
        <f>_xlfn.XLOOKUP(E709,'Data Additive'!E:E,'Data Additive'!E:E,0)</f>
        <v>0</v>
      </c>
    </row>
    <row r="710" spans="4:18" x14ac:dyDescent="0.25">
      <c r="D710" s="34"/>
      <c r="F710" s="30"/>
      <c r="K710" s="30"/>
      <c r="Q710">
        <f t="shared" si="13"/>
        <v>46141</v>
      </c>
      <c r="R710">
        <f>_xlfn.XLOOKUP(E710,'Data Additive'!E:E,'Data Additive'!E:E,0)</f>
        <v>0</v>
      </c>
    </row>
    <row r="711" spans="4:18" x14ac:dyDescent="0.25">
      <c r="D711" s="34"/>
      <c r="F711" s="30"/>
      <c r="K711" s="30"/>
      <c r="Q711">
        <f t="shared" si="13"/>
        <v>46141</v>
      </c>
      <c r="R711">
        <f>_xlfn.XLOOKUP(E711,'Data Additive'!E:E,'Data Additive'!E:E,0)</f>
        <v>0</v>
      </c>
    </row>
    <row r="712" spans="4:18" x14ac:dyDescent="0.25">
      <c r="D712" s="34"/>
      <c r="F712" s="30"/>
      <c r="K712" s="30"/>
      <c r="Q712">
        <f t="shared" si="13"/>
        <v>46141</v>
      </c>
      <c r="R712">
        <f>_xlfn.XLOOKUP(E712,'Data Additive'!E:E,'Data Additive'!E:E,0)</f>
        <v>0</v>
      </c>
    </row>
    <row r="713" spans="4:18" x14ac:dyDescent="0.25">
      <c r="D713" s="34"/>
      <c r="F713" s="30"/>
      <c r="K713" s="30"/>
      <c r="Q713">
        <f t="shared" si="13"/>
        <v>46141</v>
      </c>
      <c r="R713">
        <f>_xlfn.XLOOKUP(E713,'Data Additive'!E:E,'Data Additive'!E:E,0)</f>
        <v>0</v>
      </c>
    </row>
    <row r="714" spans="4:18" x14ac:dyDescent="0.25">
      <c r="D714" s="34"/>
      <c r="F714" s="30"/>
      <c r="K714" s="30"/>
      <c r="Q714">
        <f t="shared" si="13"/>
        <v>46141</v>
      </c>
      <c r="R714">
        <f>_xlfn.XLOOKUP(E714,'Data Additive'!E:E,'Data Additive'!E:E,0)</f>
        <v>0</v>
      </c>
    </row>
    <row r="715" spans="4:18" x14ac:dyDescent="0.25">
      <c r="D715" s="34"/>
      <c r="F715" s="30"/>
      <c r="K715" s="30"/>
      <c r="Q715">
        <f t="shared" si="13"/>
        <v>46141</v>
      </c>
      <c r="R715">
        <f>_xlfn.XLOOKUP(E715,'Data Additive'!E:E,'Data Additive'!E:E,0)</f>
        <v>0</v>
      </c>
    </row>
    <row r="716" spans="4:18" x14ac:dyDescent="0.25">
      <c r="D716" s="34"/>
      <c r="F716" s="30"/>
      <c r="K716" s="30"/>
      <c r="Q716">
        <f t="shared" si="13"/>
        <v>46141</v>
      </c>
      <c r="R716">
        <f>_xlfn.XLOOKUP(E716,'Data Additive'!E:E,'Data Additive'!E:E,0)</f>
        <v>0</v>
      </c>
    </row>
    <row r="717" spans="4:18" x14ac:dyDescent="0.25">
      <c r="D717" s="34"/>
      <c r="F717" s="30"/>
      <c r="K717" s="30"/>
      <c r="Q717">
        <f t="shared" si="13"/>
        <v>46141</v>
      </c>
      <c r="R717">
        <f>_xlfn.XLOOKUP(E717,'Data Additive'!E:E,'Data Additive'!E:E,0)</f>
        <v>0</v>
      </c>
    </row>
    <row r="718" spans="4:18" x14ac:dyDescent="0.25">
      <c r="D718" s="34"/>
      <c r="F718" s="30"/>
      <c r="K718" s="30"/>
      <c r="Q718">
        <f t="shared" si="13"/>
        <v>46141</v>
      </c>
      <c r="R718">
        <f>_xlfn.XLOOKUP(E718,'Data Additive'!E:E,'Data Additive'!E:E,0)</f>
        <v>0</v>
      </c>
    </row>
    <row r="719" spans="4:18" x14ac:dyDescent="0.25">
      <c r="D719" s="34"/>
      <c r="F719" s="30"/>
      <c r="K719" s="30"/>
      <c r="Q719">
        <f t="shared" si="13"/>
        <v>46141</v>
      </c>
      <c r="R719">
        <f>_xlfn.XLOOKUP(E719,'Data Additive'!E:E,'Data Additive'!E:E,0)</f>
        <v>0</v>
      </c>
    </row>
    <row r="720" spans="4:18" x14ac:dyDescent="0.25">
      <c r="D720" s="34"/>
      <c r="F720" s="30"/>
      <c r="K720" s="30"/>
      <c r="Q720">
        <f t="shared" si="13"/>
        <v>46141</v>
      </c>
      <c r="R720">
        <f>_xlfn.XLOOKUP(E720,'Data Additive'!E:E,'Data Additive'!E:E,0)</f>
        <v>0</v>
      </c>
    </row>
    <row r="721" spans="4:18" x14ac:dyDescent="0.25">
      <c r="D721" s="34"/>
      <c r="F721" s="30"/>
      <c r="K721" s="30"/>
      <c r="Q721">
        <f t="shared" si="13"/>
        <v>46141</v>
      </c>
      <c r="R721">
        <f>_xlfn.XLOOKUP(E721,'Data Additive'!E:E,'Data Additive'!E:E,0)</f>
        <v>0</v>
      </c>
    </row>
    <row r="722" spans="4:18" x14ac:dyDescent="0.25">
      <c r="D722" s="34"/>
      <c r="F722" s="30"/>
      <c r="K722" s="30"/>
      <c r="Q722">
        <f t="shared" si="13"/>
        <v>46141</v>
      </c>
      <c r="R722">
        <f>_xlfn.XLOOKUP(E722,'Data Additive'!E:E,'Data Additive'!E:E,0)</f>
        <v>0</v>
      </c>
    </row>
    <row r="723" spans="4:18" x14ac:dyDescent="0.25">
      <c r="D723" s="34"/>
      <c r="F723" s="30"/>
      <c r="K723" s="30"/>
      <c r="Q723">
        <f t="shared" si="13"/>
        <v>46141</v>
      </c>
      <c r="R723">
        <f>_xlfn.XLOOKUP(E723,'Data Additive'!E:E,'Data Additive'!E:E,0)</f>
        <v>0</v>
      </c>
    </row>
    <row r="724" spans="4:18" x14ac:dyDescent="0.25">
      <c r="D724" s="34"/>
      <c r="F724" s="30"/>
      <c r="K724" s="30"/>
      <c r="Q724">
        <f t="shared" si="13"/>
        <v>46141</v>
      </c>
      <c r="R724">
        <f>_xlfn.XLOOKUP(E724,'Data Additive'!E:E,'Data Additive'!E:E,0)</f>
        <v>0</v>
      </c>
    </row>
    <row r="725" spans="4:18" x14ac:dyDescent="0.25">
      <c r="D725" s="34"/>
      <c r="F725" s="30"/>
      <c r="K725" s="30"/>
      <c r="Q725">
        <f t="shared" si="13"/>
        <v>46141</v>
      </c>
      <c r="R725">
        <f>_xlfn.XLOOKUP(E725,'Data Additive'!E:E,'Data Additive'!E:E,0)</f>
        <v>0</v>
      </c>
    </row>
    <row r="726" spans="4:18" x14ac:dyDescent="0.25">
      <c r="D726" s="34"/>
      <c r="F726" s="30"/>
      <c r="K726" s="30"/>
      <c r="Q726">
        <f t="shared" si="13"/>
        <v>46141</v>
      </c>
      <c r="R726">
        <f>_xlfn.XLOOKUP(E726,'Data Additive'!E:E,'Data Additive'!E:E,0)</f>
        <v>0</v>
      </c>
    </row>
    <row r="727" spans="4:18" x14ac:dyDescent="0.25">
      <c r="D727" s="34"/>
      <c r="F727" s="30"/>
      <c r="K727" s="30"/>
      <c r="Q727">
        <f t="shared" si="13"/>
        <v>46141</v>
      </c>
      <c r="R727">
        <f>_xlfn.XLOOKUP(E727,'Data Additive'!E:E,'Data Additive'!E:E,0)</f>
        <v>0</v>
      </c>
    </row>
    <row r="728" spans="4:18" x14ac:dyDescent="0.25">
      <c r="D728" s="34"/>
      <c r="F728" s="30"/>
      <c r="K728" s="30"/>
      <c r="Q728">
        <f t="shared" si="13"/>
        <v>46141</v>
      </c>
      <c r="R728">
        <f>_xlfn.XLOOKUP(E728,'Data Additive'!E:E,'Data Additive'!E:E,0)</f>
        <v>0</v>
      </c>
    </row>
    <row r="729" spans="4:18" x14ac:dyDescent="0.25">
      <c r="D729" s="34"/>
      <c r="F729" s="30"/>
      <c r="K729" s="30"/>
      <c r="Q729">
        <f t="shared" si="13"/>
        <v>46141</v>
      </c>
      <c r="R729">
        <f>_xlfn.XLOOKUP(E729,'Data Additive'!E:E,'Data Additive'!E:E,0)</f>
        <v>0</v>
      </c>
    </row>
    <row r="730" spans="4:18" x14ac:dyDescent="0.25">
      <c r="D730" s="34"/>
      <c r="F730" s="30"/>
      <c r="K730" s="30"/>
      <c r="Q730">
        <f t="shared" ref="Q730:Q778" si="14">$R$1-F730</f>
        <v>46141</v>
      </c>
      <c r="R730">
        <f>_xlfn.XLOOKUP(E730,'Data Additive'!E:E,'Data Additive'!E:E,0)</f>
        <v>0</v>
      </c>
    </row>
    <row r="731" spans="4:18" x14ac:dyDescent="0.25">
      <c r="D731" s="34"/>
      <c r="F731" s="30"/>
      <c r="K731" s="30"/>
      <c r="Q731">
        <f t="shared" si="14"/>
        <v>46141</v>
      </c>
      <c r="R731">
        <f>_xlfn.XLOOKUP(E731,'Data Additive'!E:E,'Data Additive'!E:E,0)</f>
        <v>0</v>
      </c>
    </row>
    <row r="732" spans="4:18" x14ac:dyDescent="0.25">
      <c r="D732" s="34"/>
      <c r="F732" s="30"/>
      <c r="K732" s="30"/>
      <c r="Q732">
        <f t="shared" si="14"/>
        <v>46141</v>
      </c>
      <c r="R732">
        <f>_xlfn.XLOOKUP(E732,'Data Additive'!E:E,'Data Additive'!E:E,0)</f>
        <v>0</v>
      </c>
    </row>
    <row r="733" spans="4:18" x14ac:dyDescent="0.25">
      <c r="D733" s="34"/>
      <c r="F733" s="30"/>
      <c r="K733" s="30"/>
      <c r="Q733">
        <f t="shared" si="14"/>
        <v>46141</v>
      </c>
      <c r="R733">
        <f>_xlfn.XLOOKUP(E733,'Data Additive'!E:E,'Data Additive'!E:E,0)</f>
        <v>0</v>
      </c>
    </row>
    <row r="734" spans="4:18" x14ac:dyDescent="0.25">
      <c r="D734" s="34"/>
      <c r="F734" s="30"/>
      <c r="K734" s="30"/>
      <c r="Q734">
        <f t="shared" si="14"/>
        <v>46141</v>
      </c>
      <c r="R734">
        <f>_xlfn.XLOOKUP(E734,'Data Additive'!E:E,'Data Additive'!E:E,0)</f>
        <v>0</v>
      </c>
    </row>
    <row r="735" spans="4:18" x14ac:dyDescent="0.25">
      <c r="D735" s="34"/>
      <c r="F735" s="30"/>
      <c r="K735" s="30"/>
      <c r="Q735">
        <f t="shared" si="14"/>
        <v>46141</v>
      </c>
      <c r="R735">
        <f>_xlfn.XLOOKUP(E735,'Data Additive'!E:E,'Data Additive'!E:E,0)</f>
        <v>0</v>
      </c>
    </row>
    <row r="736" spans="4:18" x14ac:dyDescent="0.25">
      <c r="D736" s="34"/>
      <c r="F736" s="30"/>
      <c r="K736" s="30"/>
      <c r="Q736">
        <f t="shared" si="14"/>
        <v>46141</v>
      </c>
      <c r="R736">
        <f>_xlfn.XLOOKUP(E736,'Data Additive'!E:E,'Data Additive'!E:E,0)</f>
        <v>0</v>
      </c>
    </row>
    <row r="737" spans="4:18" x14ac:dyDescent="0.25">
      <c r="D737" s="34"/>
      <c r="F737" s="30"/>
      <c r="K737" s="30"/>
      <c r="Q737">
        <f t="shared" si="14"/>
        <v>46141</v>
      </c>
      <c r="R737">
        <f>_xlfn.XLOOKUP(E737,'Data Additive'!E:E,'Data Additive'!E:E,0)</f>
        <v>0</v>
      </c>
    </row>
    <row r="738" spans="4:18" x14ac:dyDescent="0.25">
      <c r="D738" s="34"/>
      <c r="F738" s="30"/>
      <c r="K738" s="30"/>
      <c r="Q738">
        <f t="shared" si="14"/>
        <v>46141</v>
      </c>
      <c r="R738">
        <f>_xlfn.XLOOKUP(E738,'Data Additive'!E:E,'Data Additive'!E:E,0)</f>
        <v>0</v>
      </c>
    </row>
    <row r="739" spans="4:18" x14ac:dyDescent="0.25">
      <c r="D739" s="34"/>
      <c r="F739" s="30"/>
      <c r="K739" s="30"/>
      <c r="Q739">
        <f t="shared" si="14"/>
        <v>46141</v>
      </c>
      <c r="R739">
        <f>_xlfn.XLOOKUP(E739,'Data Additive'!E:E,'Data Additive'!E:E,0)</f>
        <v>0</v>
      </c>
    </row>
    <row r="740" spans="4:18" x14ac:dyDescent="0.25">
      <c r="D740" s="34"/>
      <c r="F740" s="30"/>
      <c r="K740" s="30"/>
      <c r="Q740">
        <f t="shared" si="14"/>
        <v>46141</v>
      </c>
      <c r="R740">
        <f>_xlfn.XLOOKUP(E740,'Data Additive'!E:E,'Data Additive'!E:E,0)</f>
        <v>0</v>
      </c>
    </row>
    <row r="741" spans="4:18" x14ac:dyDescent="0.25">
      <c r="D741" s="34"/>
      <c r="F741" s="30"/>
      <c r="K741" s="30"/>
      <c r="Q741">
        <f t="shared" si="14"/>
        <v>46141</v>
      </c>
      <c r="R741">
        <f>_xlfn.XLOOKUP(E741,'Data Additive'!E:E,'Data Additive'!E:E,0)</f>
        <v>0</v>
      </c>
    </row>
    <row r="742" spans="4:18" x14ac:dyDescent="0.25">
      <c r="D742" s="34"/>
      <c r="F742" s="30"/>
      <c r="K742" s="30"/>
      <c r="Q742">
        <f t="shared" si="14"/>
        <v>46141</v>
      </c>
      <c r="R742">
        <f>_xlfn.XLOOKUP(E742,'Data Additive'!E:E,'Data Additive'!E:E,0)</f>
        <v>0</v>
      </c>
    </row>
    <row r="743" spans="4:18" x14ac:dyDescent="0.25">
      <c r="D743" s="34"/>
      <c r="F743" s="30"/>
      <c r="K743" s="30"/>
      <c r="Q743">
        <f t="shared" si="14"/>
        <v>46141</v>
      </c>
      <c r="R743">
        <f>_xlfn.XLOOKUP(E743,'Data Additive'!E:E,'Data Additive'!E:E,0)</f>
        <v>0</v>
      </c>
    </row>
    <row r="744" spans="4:18" x14ac:dyDescent="0.25">
      <c r="D744" s="34"/>
      <c r="F744" s="30"/>
      <c r="K744" s="30"/>
      <c r="Q744">
        <f t="shared" si="14"/>
        <v>46141</v>
      </c>
      <c r="R744">
        <f>_xlfn.XLOOKUP(E744,'Data Additive'!E:E,'Data Additive'!E:E,0)</f>
        <v>0</v>
      </c>
    </row>
    <row r="745" spans="4:18" x14ac:dyDescent="0.25">
      <c r="D745" s="34"/>
      <c r="F745" s="30"/>
      <c r="K745" s="30"/>
      <c r="Q745">
        <f t="shared" si="14"/>
        <v>46141</v>
      </c>
      <c r="R745">
        <f>_xlfn.XLOOKUP(E745,'Data Additive'!E:E,'Data Additive'!E:E,0)</f>
        <v>0</v>
      </c>
    </row>
    <row r="746" spans="4:18" x14ac:dyDescent="0.25">
      <c r="D746" s="34"/>
      <c r="F746" s="30"/>
      <c r="K746" s="30"/>
      <c r="Q746">
        <f t="shared" si="14"/>
        <v>46141</v>
      </c>
      <c r="R746">
        <f>_xlfn.XLOOKUP(E746,'Data Additive'!E:E,'Data Additive'!E:E,0)</f>
        <v>0</v>
      </c>
    </row>
    <row r="747" spans="4:18" x14ac:dyDescent="0.25">
      <c r="D747" s="34"/>
      <c r="F747" s="30"/>
      <c r="K747" s="30"/>
      <c r="Q747">
        <f t="shared" si="14"/>
        <v>46141</v>
      </c>
      <c r="R747">
        <f>_xlfn.XLOOKUP(E747,'Data Additive'!E:E,'Data Additive'!E:E,0)</f>
        <v>0</v>
      </c>
    </row>
    <row r="748" spans="4:18" x14ac:dyDescent="0.25">
      <c r="D748" s="34"/>
      <c r="F748" s="30"/>
      <c r="K748" s="30"/>
      <c r="Q748">
        <f t="shared" si="14"/>
        <v>46141</v>
      </c>
      <c r="R748">
        <f>_xlfn.XLOOKUP(E748,'Data Additive'!E:E,'Data Additive'!E:E,0)</f>
        <v>0</v>
      </c>
    </row>
    <row r="749" spans="4:18" x14ac:dyDescent="0.25">
      <c r="D749" s="34"/>
      <c r="F749" s="30"/>
      <c r="K749" s="30"/>
      <c r="Q749">
        <f t="shared" si="14"/>
        <v>46141</v>
      </c>
      <c r="R749">
        <f>_xlfn.XLOOKUP(E749,'Data Additive'!E:E,'Data Additive'!E:E,0)</f>
        <v>0</v>
      </c>
    </row>
    <row r="750" spans="4:18" x14ac:dyDescent="0.25">
      <c r="D750" s="34"/>
      <c r="F750" s="30"/>
      <c r="K750" s="30"/>
      <c r="Q750">
        <f t="shared" si="14"/>
        <v>46141</v>
      </c>
      <c r="R750">
        <f>_xlfn.XLOOKUP(E750,'Data Additive'!E:E,'Data Additive'!E:E,0)</f>
        <v>0</v>
      </c>
    </row>
    <row r="751" spans="4:18" x14ac:dyDescent="0.25">
      <c r="D751" s="34"/>
      <c r="F751" s="30"/>
      <c r="K751" s="30"/>
      <c r="Q751">
        <f t="shared" si="14"/>
        <v>46141</v>
      </c>
      <c r="R751">
        <f>_xlfn.XLOOKUP(E751,'Data Additive'!E:E,'Data Additive'!E:E,0)</f>
        <v>0</v>
      </c>
    </row>
    <row r="752" spans="4:18" x14ac:dyDescent="0.25">
      <c r="D752" s="34"/>
      <c r="F752" s="30"/>
      <c r="K752" s="30"/>
      <c r="Q752">
        <f t="shared" si="14"/>
        <v>46141</v>
      </c>
      <c r="R752">
        <f>_xlfn.XLOOKUP(E752,'Data Additive'!E:E,'Data Additive'!E:E,0)</f>
        <v>0</v>
      </c>
    </row>
    <row r="753" spans="4:18" x14ac:dyDescent="0.25">
      <c r="D753" s="34"/>
      <c r="F753" s="30"/>
      <c r="K753" s="30"/>
      <c r="Q753">
        <f t="shared" si="14"/>
        <v>46141</v>
      </c>
      <c r="R753">
        <f>_xlfn.XLOOKUP(E753,'Data Additive'!E:E,'Data Additive'!E:E,0)</f>
        <v>0</v>
      </c>
    </row>
    <row r="754" spans="4:18" x14ac:dyDescent="0.25">
      <c r="D754" s="34"/>
      <c r="F754" s="30"/>
      <c r="K754" s="30"/>
      <c r="Q754">
        <f t="shared" si="14"/>
        <v>46141</v>
      </c>
      <c r="R754">
        <f>_xlfn.XLOOKUP(E754,'Data Additive'!E:E,'Data Additive'!E:E,0)</f>
        <v>0</v>
      </c>
    </row>
    <row r="755" spans="4:18" x14ac:dyDescent="0.25">
      <c r="D755" s="34"/>
      <c r="F755" s="30"/>
      <c r="K755" s="30"/>
      <c r="Q755">
        <f t="shared" si="14"/>
        <v>46141</v>
      </c>
      <c r="R755">
        <f>_xlfn.XLOOKUP(E755,'Data Additive'!E:E,'Data Additive'!E:E,0)</f>
        <v>0</v>
      </c>
    </row>
    <row r="756" spans="4:18" x14ac:dyDescent="0.25">
      <c r="D756" s="34"/>
      <c r="F756" s="30"/>
      <c r="K756" s="30"/>
      <c r="Q756">
        <f t="shared" si="14"/>
        <v>46141</v>
      </c>
      <c r="R756">
        <f>_xlfn.XLOOKUP(E756,'Data Additive'!E:E,'Data Additive'!E:E,0)</f>
        <v>0</v>
      </c>
    </row>
    <row r="757" spans="4:18" x14ac:dyDescent="0.25">
      <c r="D757" s="34"/>
      <c r="F757" s="30"/>
      <c r="K757" s="30"/>
      <c r="Q757">
        <f t="shared" si="14"/>
        <v>46141</v>
      </c>
      <c r="R757">
        <f>_xlfn.XLOOKUP(E757,'Data Additive'!E:E,'Data Additive'!E:E,0)</f>
        <v>0</v>
      </c>
    </row>
    <row r="758" spans="4:18" x14ac:dyDescent="0.25">
      <c r="D758" s="34"/>
      <c r="F758" s="30"/>
      <c r="K758" s="30"/>
      <c r="Q758">
        <f t="shared" si="14"/>
        <v>46141</v>
      </c>
      <c r="R758">
        <f>_xlfn.XLOOKUP(E758,'Data Additive'!E:E,'Data Additive'!E:E,0)</f>
        <v>0</v>
      </c>
    </row>
    <row r="759" spans="4:18" x14ac:dyDescent="0.25">
      <c r="D759" s="34"/>
      <c r="F759" s="30"/>
      <c r="K759" s="30"/>
      <c r="Q759">
        <f t="shared" si="14"/>
        <v>46141</v>
      </c>
      <c r="R759">
        <f>_xlfn.XLOOKUP(E759,'Data Additive'!E:E,'Data Additive'!E:E,0)</f>
        <v>0</v>
      </c>
    </row>
    <row r="760" spans="4:18" x14ac:dyDescent="0.25">
      <c r="D760" s="34"/>
      <c r="F760" s="30"/>
      <c r="K760" s="30"/>
      <c r="Q760">
        <f t="shared" si="14"/>
        <v>46141</v>
      </c>
      <c r="R760">
        <f>_xlfn.XLOOKUP(E760,'Data Additive'!E:E,'Data Additive'!E:E,0)</f>
        <v>0</v>
      </c>
    </row>
    <row r="761" spans="4:18" x14ac:dyDescent="0.25">
      <c r="D761" s="34"/>
      <c r="F761" s="30"/>
      <c r="K761" s="30"/>
      <c r="Q761">
        <f t="shared" si="14"/>
        <v>46141</v>
      </c>
      <c r="R761">
        <f>_xlfn.XLOOKUP(E761,'Data Additive'!E:E,'Data Additive'!E:E,0)</f>
        <v>0</v>
      </c>
    </row>
    <row r="762" spans="4:18" x14ac:dyDescent="0.25">
      <c r="D762" s="34"/>
      <c r="F762" s="30"/>
      <c r="K762" s="30"/>
      <c r="Q762">
        <f t="shared" si="14"/>
        <v>46141</v>
      </c>
      <c r="R762">
        <f>_xlfn.XLOOKUP(E762,'Data Additive'!E:E,'Data Additive'!E:E,0)</f>
        <v>0</v>
      </c>
    </row>
    <row r="763" spans="4:18" x14ac:dyDescent="0.25">
      <c r="D763" s="34"/>
      <c r="F763" s="30"/>
      <c r="K763" s="30"/>
      <c r="Q763">
        <f t="shared" si="14"/>
        <v>46141</v>
      </c>
      <c r="R763">
        <f>_xlfn.XLOOKUP(E763,'Data Additive'!E:E,'Data Additive'!E:E,0)</f>
        <v>0</v>
      </c>
    </row>
    <row r="764" spans="4:18" x14ac:dyDescent="0.25">
      <c r="D764" s="34"/>
      <c r="F764" s="30"/>
      <c r="K764" s="30"/>
      <c r="Q764">
        <f t="shared" si="14"/>
        <v>46141</v>
      </c>
      <c r="R764">
        <f>_xlfn.XLOOKUP(E764,'Data Additive'!E:E,'Data Additive'!E:E,0)</f>
        <v>0</v>
      </c>
    </row>
    <row r="765" spans="4:18" x14ac:dyDescent="0.25">
      <c r="D765" s="34"/>
      <c r="F765" s="30"/>
      <c r="K765" s="30"/>
      <c r="Q765">
        <f t="shared" si="14"/>
        <v>46141</v>
      </c>
      <c r="R765">
        <f>_xlfn.XLOOKUP(E765,'Data Additive'!E:E,'Data Additive'!E:E,0)</f>
        <v>0</v>
      </c>
    </row>
    <row r="766" spans="4:18" x14ac:dyDescent="0.25">
      <c r="D766" s="34"/>
      <c r="F766" s="30"/>
      <c r="K766" s="30"/>
      <c r="Q766">
        <f t="shared" si="14"/>
        <v>46141</v>
      </c>
      <c r="R766">
        <f>_xlfn.XLOOKUP(E766,'Data Additive'!E:E,'Data Additive'!E:E,0)</f>
        <v>0</v>
      </c>
    </row>
    <row r="767" spans="4:18" x14ac:dyDescent="0.25">
      <c r="D767" s="34"/>
      <c r="F767" s="30"/>
      <c r="K767" s="30"/>
      <c r="Q767">
        <f t="shared" si="14"/>
        <v>46141</v>
      </c>
      <c r="R767">
        <f>_xlfn.XLOOKUP(E767,'Data Additive'!E:E,'Data Additive'!E:E,0)</f>
        <v>0</v>
      </c>
    </row>
    <row r="768" spans="4:18" x14ac:dyDescent="0.25">
      <c r="D768" s="34"/>
      <c r="F768" s="30"/>
      <c r="K768" s="30"/>
      <c r="Q768">
        <f t="shared" si="14"/>
        <v>46141</v>
      </c>
      <c r="R768">
        <f>_xlfn.XLOOKUP(E768,'Data Additive'!E:E,'Data Additive'!E:E,0)</f>
        <v>0</v>
      </c>
    </row>
    <row r="769" spans="4:18" x14ac:dyDescent="0.25">
      <c r="D769" s="34"/>
      <c r="F769" s="30"/>
      <c r="K769" s="30"/>
      <c r="Q769">
        <f t="shared" si="14"/>
        <v>46141</v>
      </c>
      <c r="R769">
        <f>_xlfn.XLOOKUP(E769,'Data Additive'!E:E,'Data Additive'!E:E,0)</f>
        <v>0</v>
      </c>
    </row>
    <row r="770" spans="4:18" x14ac:dyDescent="0.25">
      <c r="D770" s="34"/>
      <c r="F770" s="30"/>
      <c r="K770" s="30"/>
      <c r="Q770">
        <f t="shared" si="14"/>
        <v>46141</v>
      </c>
      <c r="R770">
        <f>_xlfn.XLOOKUP(E770,'Data Additive'!E:E,'Data Additive'!E:E,0)</f>
        <v>0</v>
      </c>
    </row>
    <row r="771" spans="4:18" x14ac:dyDescent="0.25">
      <c r="D771" s="34"/>
      <c r="F771" s="30"/>
      <c r="K771" s="30"/>
      <c r="Q771">
        <f t="shared" si="14"/>
        <v>46141</v>
      </c>
      <c r="R771">
        <f>_xlfn.XLOOKUP(E771,'Data Additive'!E:E,'Data Additive'!E:E,0)</f>
        <v>0</v>
      </c>
    </row>
    <row r="772" spans="4:18" x14ac:dyDescent="0.25">
      <c r="D772" s="34"/>
      <c r="F772" s="30"/>
      <c r="K772" s="30"/>
      <c r="Q772">
        <f t="shared" si="14"/>
        <v>46141</v>
      </c>
      <c r="R772">
        <f>_xlfn.XLOOKUP(E772,'Data Additive'!E:E,'Data Additive'!E:E,0)</f>
        <v>0</v>
      </c>
    </row>
    <row r="773" spans="4:18" x14ac:dyDescent="0.25">
      <c r="D773" s="34"/>
      <c r="F773" s="30"/>
      <c r="K773" s="30"/>
      <c r="Q773">
        <f t="shared" si="14"/>
        <v>46141</v>
      </c>
      <c r="R773">
        <f>_xlfn.XLOOKUP(E773,'Data Additive'!E:E,'Data Additive'!E:E,0)</f>
        <v>0</v>
      </c>
    </row>
    <row r="774" spans="4:18" x14ac:dyDescent="0.25">
      <c r="D774" s="34"/>
      <c r="F774" s="30"/>
      <c r="K774" s="30"/>
      <c r="Q774">
        <f t="shared" si="14"/>
        <v>46141</v>
      </c>
      <c r="R774">
        <f>_xlfn.XLOOKUP(E774,'Data Additive'!E:E,'Data Additive'!E:E,0)</f>
        <v>0</v>
      </c>
    </row>
    <row r="775" spans="4:18" x14ac:dyDescent="0.25">
      <c r="D775" s="34"/>
      <c r="F775" s="30"/>
      <c r="K775" s="30"/>
      <c r="Q775">
        <f t="shared" si="14"/>
        <v>46141</v>
      </c>
      <c r="R775">
        <f>_xlfn.XLOOKUP(E775,'Data Additive'!E:E,'Data Additive'!E:E,0)</f>
        <v>0</v>
      </c>
    </row>
    <row r="776" spans="4:18" x14ac:dyDescent="0.25">
      <c r="D776" s="34"/>
      <c r="F776" s="30"/>
      <c r="K776" s="30"/>
      <c r="Q776">
        <f t="shared" si="14"/>
        <v>46141</v>
      </c>
      <c r="R776">
        <f>_xlfn.XLOOKUP(E776,'Data Additive'!E:E,'Data Additive'!E:E,0)</f>
        <v>0</v>
      </c>
    </row>
    <row r="777" spans="4:18" x14ac:dyDescent="0.25">
      <c r="D777" s="34"/>
      <c r="F777" s="30"/>
      <c r="K777" s="30"/>
      <c r="Q777">
        <f t="shared" si="14"/>
        <v>46141</v>
      </c>
      <c r="R777">
        <f>_xlfn.XLOOKUP(E777,'Data Additive'!E:E,'Data Additive'!E:E,0)</f>
        <v>0</v>
      </c>
    </row>
    <row r="778" spans="4:18" x14ac:dyDescent="0.25">
      <c r="D778" s="34"/>
      <c r="F778" s="30"/>
      <c r="K778" s="30"/>
      <c r="Q778">
        <f t="shared" si="14"/>
        <v>46141</v>
      </c>
      <c r="R778">
        <f>_xlfn.XLOOKUP(E778,'Data Additive'!E:E,'Data Additive'!E:E,0)</f>
        <v>0</v>
      </c>
    </row>
    <row r="779" spans="4:18" x14ac:dyDescent="0.25">
      <c r="D779" s="34"/>
      <c r="F779" s="30"/>
      <c r="K779" s="30"/>
      <c r="Q779">
        <f t="shared" ref="Q779:Q780" si="15">$R$1-F779</f>
        <v>46141</v>
      </c>
      <c r="R779">
        <f>_xlfn.XLOOKUP(E779,'Data Additive'!E:E,'Data Additive'!E:E,0)</f>
        <v>0</v>
      </c>
    </row>
    <row r="780" spans="4:18" x14ac:dyDescent="0.25">
      <c r="D780" s="34"/>
      <c r="F780" s="30"/>
      <c r="K780" s="30"/>
      <c r="Q780">
        <f t="shared" si="15"/>
        <v>46141</v>
      </c>
      <c r="R780">
        <f>_xlfn.XLOOKUP(E780,'Data Additive'!E:E,'Data Additive'!E:E,0)</f>
        <v>0</v>
      </c>
    </row>
    <row r="781" spans="4:18" x14ac:dyDescent="0.25">
      <c r="D781" s="34"/>
      <c r="F781" s="30"/>
      <c r="K781" s="30"/>
      <c r="Q781">
        <f t="shared" ref="Q781:Q798" si="16">$R$1-F781</f>
        <v>46141</v>
      </c>
      <c r="R781">
        <f>_xlfn.XLOOKUP(E781,'Data Additive'!E:E,'Data Additive'!E:E,0)</f>
        <v>0</v>
      </c>
    </row>
    <row r="782" spans="4:18" x14ac:dyDescent="0.25">
      <c r="D782" s="34"/>
      <c r="F782" s="30"/>
      <c r="K782" s="30"/>
      <c r="Q782">
        <f t="shared" si="16"/>
        <v>46141</v>
      </c>
      <c r="R782">
        <f>_xlfn.XLOOKUP(E782,'Data Additive'!E:E,'Data Additive'!E:E,0)</f>
        <v>0</v>
      </c>
    </row>
    <row r="783" spans="4:18" x14ac:dyDescent="0.25">
      <c r="D783" s="34"/>
      <c r="F783" s="30"/>
      <c r="K783" s="30"/>
      <c r="Q783">
        <f t="shared" si="16"/>
        <v>46141</v>
      </c>
      <c r="R783">
        <f>_xlfn.XLOOKUP(E783,'Data Additive'!E:E,'Data Additive'!E:E,0)</f>
        <v>0</v>
      </c>
    </row>
    <row r="784" spans="4:18" x14ac:dyDescent="0.25">
      <c r="D784" s="34"/>
      <c r="F784" s="30"/>
      <c r="K784" s="30"/>
      <c r="Q784">
        <f t="shared" si="16"/>
        <v>46141</v>
      </c>
      <c r="R784">
        <f>_xlfn.XLOOKUP(E784,'Data Additive'!E:E,'Data Additive'!E:E,0)</f>
        <v>0</v>
      </c>
    </row>
    <row r="785" spans="4:18" x14ac:dyDescent="0.25">
      <c r="D785" s="34"/>
      <c r="F785" s="30"/>
      <c r="K785" s="30"/>
      <c r="Q785">
        <f t="shared" si="16"/>
        <v>46141</v>
      </c>
      <c r="R785">
        <f>_xlfn.XLOOKUP(E785,'Data Additive'!E:E,'Data Additive'!E:E,0)</f>
        <v>0</v>
      </c>
    </row>
    <row r="786" spans="4:18" x14ac:dyDescent="0.25">
      <c r="D786" s="34"/>
      <c r="F786" s="30"/>
      <c r="K786" s="30"/>
      <c r="Q786">
        <f t="shared" si="16"/>
        <v>46141</v>
      </c>
      <c r="R786">
        <f>_xlfn.XLOOKUP(E786,'Data Additive'!E:E,'Data Additive'!E:E,0)</f>
        <v>0</v>
      </c>
    </row>
    <row r="787" spans="4:18" x14ac:dyDescent="0.25">
      <c r="D787" s="34"/>
      <c r="F787" s="30"/>
      <c r="K787" s="30"/>
      <c r="Q787">
        <f t="shared" si="16"/>
        <v>46141</v>
      </c>
      <c r="R787">
        <f>_xlfn.XLOOKUP(E787,'Data Additive'!E:E,'Data Additive'!E:E,0)</f>
        <v>0</v>
      </c>
    </row>
    <row r="788" spans="4:18" x14ac:dyDescent="0.25">
      <c r="D788" s="34"/>
      <c r="F788" s="30"/>
      <c r="K788" s="30"/>
      <c r="Q788">
        <f t="shared" si="16"/>
        <v>46141</v>
      </c>
      <c r="R788">
        <f>_xlfn.XLOOKUP(E788,'Data Additive'!E:E,'Data Additive'!E:E,0)</f>
        <v>0</v>
      </c>
    </row>
    <row r="789" spans="4:18" x14ac:dyDescent="0.25">
      <c r="D789" s="34"/>
      <c r="F789" s="30"/>
      <c r="K789" s="30"/>
      <c r="Q789">
        <f t="shared" si="16"/>
        <v>46141</v>
      </c>
      <c r="R789">
        <f>_xlfn.XLOOKUP(E789,'Data Additive'!E:E,'Data Additive'!E:E,0)</f>
        <v>0</v>
      </c>
    </row>
    <row r="790" spans="4:18" x14ac:dyDescent="0.25">
      <c r="D790" s="34"/>
      <c r="F790" s="30"/>
      <c r="K790" s="30"/>
      <c r="Q790">
        <f t="shared" si="16"/>
        <v>46141</v>
      </c>
      <c r="R790">
        <f>_xlfn.XLOOKUP(E790,'Data Additive'!E:E,'Data Additive'!E:E,0)</f>
        <v>0</v>
      </c>
    </row>
    <row r="791" spans="4:18" x14ac:dyDescent="0.25">
      <c r="D791" s="34"/>
      <c r="F791" s="30"/>
      <c r="K791" s="30"/>
      <c r="Q791">
        <f t="shared" si="16"/>
        <v>46141</v>
      </c>
      <c r="R791">
        <f>_xlfn.XLOOKUP(E791,'Data Additive'!E:E,'Data Additive'!E:E,0)</f>
        <v>0</v>
      </c>
    </row>
    <row r="792" spans="4:18" x14ac:dyDescent="0.25">
      <c r="D792" s="34"/>
      <c r="F792" s="30"/>
      <c r="K792" s="30"/>
      <c r="Q792">
        <f t="shared" si="16"/>
        <v>46141</v>
      </c>
      <c r="R792">
        <f>_xlfn.XLOOKUP(E792,'Data Additive'!E:E,'Data Additive'!E:E,0)</f>
        <v>0</v>
      </c>
    </row>
    <row r="793" spans="4:18" x14ac:dyDescent="0.25">
      <c r="D793" s="34"/>
      <c r="F793" s="30"/>
      <c r="K793" s="30"/>
      <c r="Q793">
        <f t="shared" si="16"/>
        <v>46141</v>
      </c>
      <c r="R793">
        <f>_xlfn.XLOOKUP(E793,'Data Additive'!E:E,'Data Additive'!E:E,0)</f>
        <v>0</v>
      </c>
    </row>
    <row r="794" spans="4:18" x14ac:dyDescent="0.25">
      <c r="D794" s="34"/>
      <c r="F794" s="30"/>
      <c r="K794" s="30"/>
      <c r="Q794">
        <f t="shared" si="16"/>
        <v>46141</v>
      </c>
      <c r="R794">
        <f>_xlfn.XLOOKUP(E794,'Data Additive'!E:E,'Data Additive'!E:E,0)</f>
        <v>0</v>
      </c>
    </row>
    <row r="795" spans="4:18" x14ac:dyDescent="0.25">
      <c r="D795" s="34"/>
      <c r="F795" s="30"/>
      <c r="K795" s="30"/>
      <c r="Q795">
        <f t="shared" si="16"/>
        <v>46141</v>
      </c>
      <c r="R795">
        <f>_xlfn.XLOOKUP(E795,'Data Additive'!E:E,'Data Additive'!E:E,0)</f>
        <v>0</v>
      </c>
    </row>
    <row r="796" spans="4:18" x14ac:dyDescent="0.25">
      <c r="D796" s="34"/>
      <c r="F796" s="30"/>
      <c r="K796" s="30"/>
      <c r="Q796">
        <f t="shared" si="16"/>
        <v>46141</v>
      </c>
      <c r="R796">
        <f>_xlfn.XLOOKUP(E796,'Data Additive'!E:E,'Data Additive'!E:E,0)</f>
        <v>0</v>
      </c>
    </row>
    <row r="797" spans="4:18" x14ac:dyDescent="0.25">
      <c r="D797" s="34"/>
      <c r="F797" s="30"/>
      <c r="K797" s="30"/>
      <c r="Q797">
        <f t="shared" si="16"/>
        <v>46141</v>
      </c>
      <c r="R797">
        <f>_xlfn.XLOOKUP(E797,'Data Additive'!E:E,'Data Additive'!E:E,0)</f>
        <v>0</v>
      </c>
    </row>
    <row r="798" spans="4:18" x14ac:dyDescent="0.25">
      <c r="D798" s="34"/>
      <c r="F798" s="30"/>
      <c r="K798" s="30"/>
      <c r="Q798">
        <f t="shared" si="16"/>
        <v>46141</v>
      </c>
      <c r="R798">
        <f>_xlfn.XLOOKUP(E798,'Data Additive'!E:E,'Data Additive'!E:E,0)</f>
        <v>0</v>
      </c>
    </row>
    <row r="799" spans="4:18" x14ac:dyDescent="0.25">
      <c r="D799" s="34"/>
      <c r="F799" s="30"/>
      <c r="K799" s="30"/>
    </row>
    <row r="800" spans="4:18" x14ac:dyDescent="0.25">
      <c r="D800" s="34"/>
      <c r="F800" s="30"/>
      <c r="K800" s="30"/>
    </row>
    <row r="801" spans="4:11" x14ac:dyDescent="0.25">
      <c r="D801" s="34"/>
      <c r="F801" s="30"/>
      <c r="K801" s="30"/>
    </row>
    <row r="802" spans="4:11" x14ac:dyDescent="0.25">
      <c r="D802" s="34"/>
      <c r="F802" s="30"/>
      <c r="K802" s="30"/>
    </row>
    <row r="803" spans="4:11" x14ac:dyDescent="0.25">
      <c r="D803" s="34"/>
      <c r="F803" s="30"/>
      <c r="K803" s="30"/>
    </row>
    <row r="804" spans="4:11" x14ac:dyDescent="0.25">
      <c r="D804" s="34"/>
      <c r="F804" s="30"/>
      <c r="K804" s="30"/>
    </row>
    <row r="805" spans="4:11" x14ac:dyDescent="0.25">
      <c r="D805" s="34"/>
      <c r="F805" s="30"/>
      <c r="K805" s="30"/>
    </row>
    <row r="806" spans="4:11" x14ac:dyDescent="0.25">
      <c r="D806" s="34"/>
      <c r="F806" s="30"/>
      <c r="K806" s="30"/>
    </row>
    <row r="807" spans="4:11" x14ac:dyDescent="0.25">
      <c r="D807" s="34"/>
      <c r="F807" s="30"/>
      <c r="K807" s="30"/>
    </row>
    <row r="808" spans="4:11" x14ac:dyDescent="0.25">
      <c r="D808" s="34"/>
      <c r="F808" s="30"/>
      <c r="K808" s="30"/>
    </row>
    <row r="809" spans="4:11" x14ac:dyDescent="0.25">
      <c r="D809" s="34"/>
      <c r="F809" s="30"/>
      <c r="K809" s="30"/>
    </row>
    <row r="810" spans="4:11" x14ac:dyDescent="0.25">
      <c r="D810" s="34"/>
      <c r="F810" s="30"/>
      <c r="K810" s="30"/>
    </row>
    <row r="811" spans="4:11" x14ac:dyDescent="0.25">
      <c r="D811" s="34"/>
      <c r="F811" s="30"/>
      <c r="K811" s="30"/>
    </row>
    <row r="812" spans="4:11" x14ac:dyDescent="0.25">
      <c r="D812" s="34"/>
      <c r="F812" s="30"/>
      <c r="K812" s="30"/>
    </row>
    <row r="813" spans="4:11" x14ac:dyDescent="0.25">
      <c r="D813" s="34"/>
      <c r="F813" s="30"/>
      <c r="K813" s="30"/>
    </row>
    <row r="814" spans="4:11" x14ac:dyDescent="0.25">
      <c r="D814" s="34"/>
      <c r="F814" s="30"/>
      <c r="K814" s="30"/>
    </row>
    <row r="815" spans="4:11" x14ac:dyDescent="0.25">
      <c r="D815" s="34"/>
      <c r="F815" s="30"/>
      <c r="K815" s="30"/>
    </row>
    <row r="816" spans="4:11" x14ac:dyDescent="0.25">
      <c r="D816" s="34"/>
      <c r="F816" s="30"/>
      <c r="K816" s="30"/>
    </row>
    <row r="817" spans="4:11" x14ac:dyDescent="0.25">
      <c r="D817" s="34"/>
      <c r="F817" s="30"/>
      <c r="K817" s="30"/>
    </row>
    <row r="818" spans="4:11" x14ac:dyDescent="0.25">
      <c r="D818" s="34"/>
      <c r="F818" s="30"/>
      <c r="K818" s="30"/>
    </row>
    <row r="819" spans="4:11" x14ac:dyDescent="0.25">
      <c r="D819" s="34"/>
      <c r="F819" s="30"/>
      <c r="K819" s="30"/>
    </row>
    <row r="820" spans="4:11" x14ac:dyDescent="0.25">
      <c r="D820" s="34"/>
      <c r="F820" s="30"/>
      <c r="K820" s="30"/>
    </row>
    <row r="821" spans="4:11" x14ac:dyDescent="0.25">
      <c r="D821" s="34"/>
      <c r="F821" s="30"/>
      <c r="K821" s="30"/>
    </row>
    <row r="822" spans="4:11" x14ac:dyDescent="0.25">
      <c r="D822" s="34"/>
      <c r="F822" s="30"/>
      <c r="K822" s="30"/>
    </row>
    <row r="823" spans="4:11" x14ac:dyDescent="0.25">
      <c r="D823" s="34"/>
      <c r="F823" s="30"/>
      <c r="K823" s="30"/>
    </row>
    <row r="824" spans="4:11" x14ac:dyDescent="0.25">
      <c r="D824" s="34"/>
      <c r="F824" s="30"/>
      <c r="K824" s="30"/>
    </row>
    <row r="825" spans="4:11" x14ac:dyDescent="0.25">
      <c r="D825" s="34"/>
      <c r="F825" s="30"/>
      <c r="K825" s="30"/>
    </row>
    <row r="826" spans="4:11" x14ac:dyDescent="0.25">
      <c r="D826" s="34"/>
      <c r="F826" s="30"/>
      <c r="K826" s="30"/>
    </row>
    <row r="827" spans="4:11" x14ac:dyDescent="0.25">
      <c r="D827" s="34"/>
      <c r="F827" s="30"/>
      <c r="K827" s="30"/>
    </row>
    <row r="828" spans="4:11" x14ac:dyDescent="0.25">
      <c r="D828" s="34"/>
      <c r="F828" s="30"/>
      <c r="K828" s="30"/>
    </row>
    <row r="829" spans="4:11" x14ac:dyDescent="0.25">
      <c r="D829" s="34"/>
      <c r="F829" s="30"/>
      <c r="K829" s="30"/>
    </row>
    <row r="830" spans="4:11" x14ac:dyDescent="0.25">
      <c r="D830" s="34"/>
      <c r="F830" s="30"/>
      <c r="K830" s="30"/>
    </row>
    <row r="831" spans="4:11" x14ac:dyDescent="0.25">
      <c r="D831" s="34"/>
      <c r="F831" s="30"/>
      <c r="K831" s="30"/>
    </row>
    <row r="832" spans="4:11" x14ac:dyDescent="0.25">
      <c r="D832" s="34"/>
      <c r="F832" s="30"/>
      <c r="K832" s="30"/>
    </row>
    <row r="833" spans="4:11" x14ac:dyDescent="0.25">
      <c r="D833" s="34"/>
      <c r="F833" s="30"/>
      <c r="K833" s="30"/>
    </row>
    <row r="834" spans="4:11" x14ac:dyDescent="0.25">
      <c r="D834" s="34"/>
      <c r="F834" s="30"/>
      <c r="K834" s="30"/>
    </row>
    <row r="835" spans="4:11" x14ac:dyDescent="0.25">
      <c r="D835" s="34"/>
      <c r="F835" s="30"/>
      <c r="K835" s="30"/>
    </row>
    <row r="836" spans="4:11" x14ac:dyDescent="0.25">
      <c r="D836" s="34"/>
      <c r="F836" s="30"/>
      <c r="K836" s="30"/>
    </row>
    <row r="837" spans="4:11" x14ac:dyDescent="0.25">
      <c r="D837" s="34"/>
      <c r="F837" s="30"/>
      <c r="K837" s="30"/>
    </row>
    <row r="838" spans="4:11" x14ac:dyDescent="0.25">
      <c r="D838" s="34"/>
      <c r="F838" s="30"/>
      <c r="K838" s="30"/>
    </row>
    <row r="839" spans="4:11" x14ac:dyDescent="0.25">
      <c r="D839" s="34"/>
      <c r="F839" s="30"/>
      <c r="K839" s="30"/>
    </row>
    <row r="840" spans="4:11" x14ac:dyDescent="0.25">
      <c r="D840" s="34"/>
      <c r="F840" s="30"/>
      <c r="K840" s="30"/>
    </row>
    <row r="841" spans="4:11" x14ac:dyDescent="0.25">
      <c r="D841" s="34"/>
      <c r="F841" s="30"/>
      <c r="K841" s="30"/>
    </row>
    <row r="842" spans="4:11" x14ac:dyDescent="0.25">
      <c r="D842" s="34"/>
      <c r="F842" s="30"/>
      <c r="K842" s="30"/>
    </row>
    <row r="843" spans="4:11" x14ac:dyDescent="0.25">
      <c r="D843" s="34"/>
      <c r="F843" s="30"/>
      <c r="K843" s="30"/>
    </row>
    <row r="844" spans="4:11" x14ac:dyDescent="0.25">
      <c r="D844" s="34"/>
      <c r="F844" s="30"/>
      <c r="K844" s="30"/>
    </row>
    <row r="845" spans="4:11" x14ac:dyDescent="0.25">
      <c r="D845" s="34"/>
      <c r="F845" s="30"/>
      <c r="K845" s="30"/>
    </row>
    <row r="846" spans="4:11" x14ac:dyDescent="0.25">
      <c r="D846" s="34"/>
      <c r="F846" s="30"/>
      <c r="K846" s="30"/>
    </row>
    <row r="847" spans="4:11" x14ac:dyDescent="0.25">
      <c r="D847" s="34"/>
      <c r="F847" s="30"/>
      <c r="K847" s="30"/>
    </row>
    <row r="848" spans="4:11" x14ac:dyDescent="0.25">
      <c r="D848" s="34"/>
      <c r="F848" s="30"/>
      <c r="K848" s="30"/>
    </row>
    <row r="849" spans="4:11" x14ac:dyDescent="0.25">
      <c r="D849" s="34"/>
      <c r="F849" s="30"/>
      <c r="K849" s="30"/>
    </row>
    <row r="850" spans="4:11" x14ac:dyDescent="0.25">
      <c r="D850" s="34"/>
      <c r="F850" s="30"/>
      <c r="K850" s="30"/>
    </row>
    <row r="851" spans="4:11" x14ac:dyDescent="0.25">
      <c r="D851" s="34"/>
      <c r="F851" s="30"/>
      <c r="K851" s="30"/>
    </row>
    <row r="852" spans="4:11" x14ac:dyDescent="0.25">
      <c r="D852" s="34"/>
      <c r="F852" s="30"/>
      <c r="K852" s="30"/>
    </row>
    <row r="853" spans="4:11" x14ac:dyDescent="0.25">
      <c r="D853" s="34"/>
      <c r="F853" s="30"/>
      <c r="K853" s="30"/>
    </row>
    <row r="854" spans="4:11" x14ac:dyDescent="0.25">
      <c r="D854" s="34"/>
      <c r="F854" s="30"/>
      <c r="K854" s="30"/>
    </row>
    <row r="855" spans="4:11" x14ac:dyDescent="0.25">
      <c r="D855" s="34"/>
      <c r="F855" s="30"/>
      <c r="K855" s="30"/>
    </row>
    <row r="856" spans="4:11" x14ac:dyDescent="0.25">
      <c r="D856" s="34"/>
      <c r="F856" s="30"/>
      <c r="K856" s="30"/>
    </row>
    <row r="857" spans="4:11" x14ac:dyDescent="0.25">
      <c r="D857" s="34"/>
      <c r="F857" s="30"/>
      <c r="K857" s="30"/>
    </row>
    <row r="858" spans="4:11" x14ac:dyDescent="0.25">
      <c r="D858" s="34"/>
      <c r="F858" s="30"/>
      <c r="K858" s="30"/>
    </row>
    <row r="859" spans="4:11" x14ac:dyDescent="0.25">
      <c r="D859" s="34"/>
      <c r="F859" s="30"/>
      <c r="K859" s="30"/>
    </row>
    <row r="860" spans="4:11" x14ac:dyDescent="0.25">
      <c r="D860" s="34"/>
      <c r="F860" s="30"/>
      <c r="K860" s="30"/>
    </row>
    <row r="861" spans="4:11" x14ac:dyDescent="0.25">
      <c r="D861" s="34"/>
      <c r="F861" s="30"/>
      <c r="K861" s="30"/>
    </row>
    <row r="862" spans="4:11" x14ac:dyDescent="0.25">
      <c r="D862" s="34"/>
      <c r="F862" s="30"/>
      <c r="K862" s="30"/>
    </row>
    <row r="863" spans="4:11" x14ac:dyDescent="0.25">
      <c r="D863" s="34"/>
      <c r="F863" s="30"/>
      <c r="K863" s="30"/>
    </row>
    <row r="864" spans="4:11" x14ac:dyDescent="0.25">
      <c r="D864" s="34"/>
      <c r="F864" s="30"/>
      <c r="K864" s="30"/>
    </row>
    <row r="865" spans="4:11" x14ac:dyDescent="0.25">
      <c r="D865" s="34"/>
      <c r="F865" s="30"/>
      <c r="K865" s="30"/>
    </row>
    <row r="866" spans="4:11" x14ac:dyDescent="0.25">
      <c r="D866" s="34"/>
      <c r="F866" s="30"/>
      <c r="K866" s="30"/>
    </row>
    <row r="867" spans="4:11" x14ac:dyDescent="0.25">
      <c r="D867" s="34"/>
      <c r="F867" s="30"/>
      <c r="K867" s="30"/>
    </row>
    <row r="868" spans="4:11" x14ac:dyDescent="0.25">
      <c r="D868" s="34"/>
      <c r="F868" s="30"/>
      <c r="K868" s="30"/>
    </row>
    <row r="869" spans="4:11" x14ac:dyDescent="0.25">
      <c r="D869" s="34"/>
      <c r="F869" s="30"/>
      <c r="K869" s="30"/>
    </row>
    <row r="870" spans="4:11" x14ac:dyDescent="0.25">
      <c r="D870" s="34"/>
      <c r="F870" s="30"/>
      <c r="K870" s="30"/>
    </row>
    <row r="871" spans="4:11" x14ac:dyDescent="0.25">
      <c r="D871" s="34"/>
      <c r="F871" s="30"/>
      <c r="K871" s="30"/>
    </row>
    <row r="872" spans="4:11" x14ac:dyDescent="0.25">
      <c r="D872" s="34"/>
      <c r="F872" s="30"/>
      <c r="K872" s="30"/>
    </row>
    <row r="873" spans="4:11" x14ac:dyDescent="0.25">
      <c r="D873" s="34"/>
      <c r="F873" s="30"/>
      <c r="K873" s="30"/>
    </row>
    <row r="874" spans="4:11" x14ac:dyDescent="0.25">
      <c r="D874" s="34"/>
      <c r="F874" s="30"/>
      <c r="K874" s="30"/>
    </row>
    <row r="875" spans="4:11" x14ac:dyDescent="0.25">
      <c r="D875" s="34"/>
      <c r="F875" s="30"/>
      <c r="K875" s="30"/>
    </row>
    <row r="876" spans="4:11" x14ac:dyDescent="0.25">
      <c r="D876" s="34"/>
      <c r="F876" s="30"/>
      <c r="K876" s="30"/>
    </row>
    <row r="877" spans="4:11" x14ac:dyDescent="0.25">
      <c r="D877" s="34"/>
      <c r="F877" s="30"/>
      <c r="K877" s="30"/>
    </row>
    <row r="878" spans="4:11" x14ac:dyDescent="0.25">
      <c r="D878" s="34"/>
      <c r="F878" s="30"/>
      <c r="K878" s="30"/>
    </row>
    <row r="879" spans="4:11" x14ac:dyDescent="0.25">
      <c r="D879" s="34"/>
      <c r="F879" s="30"/>
      <c r="K879" s="30"/>
    </row>
    <row r="880" spans="4:11" x14ac:dyDescent="0.25">
      <c r="D880" s="34"/>
      <c r="F880" s="30"/>
      <c r="K880" s="30"/>
    </row>
    <row r="881" spans="4:11" x14ac:dyDescent="0.25">
      <c r="D881" s="34"/>
      <c r="F881" s="30"/>
      <c r="K881" s="30"/>
    </row>
    <row r="882" spans="4:11" x14ac:dyDescent="0.25">
      <c r="D882" s="34"/>
      <c r="F882" s="30"/>
      <c r="K882" s="30"/>
    </row>
    <row r="883" spans="4:11" x14ac:dyDescent="0.25">
      <c r="D883" s="34"/>
      <c r="F883" s="30"/>
      <c r="K883" s="30"/>
    </row>
    <row r="884" spans="4:11" x14ac:dyDescent="0.25">
      <c r="D884" s="34"/>
      <c r="F884" s="30"/>
      <c r="K884" s="30"/>
    </row>
    <row r="885" spans="4:11" x14ac:dyDescent="0.25">
      <c r="D885" s="34"/>
      <c r="F885" s="30"/>
      <c r="K885" s="30"/>
    </row>
    <row r="886" spans="4:11" x14ac:dyDescent="0.25">
      <c r="D886" s="34"/>
      <c r="F886" s="30"/>
      <c r="K886" s="30"/>
    </row>
    <row r="887" spans="4:11" x14ac:dyDescent="0.25">
      <c r="D887" s="34"/>
      <c r="F887" s="30"/>
      <c r="K887" s="30"/>
    </row>
    <row r="888" spans="4:11" x14ac:dyDescent="0.25">
      <c r="D888" s="34"/>
      <c r="F888" s="30"/>
      <c r="K888" s="30"/>
    </row>
    <row r="889" spans="4:11" x14ac:dyDescent="0.25">
      <c r="D889" s="34"/>
      <c r="F889" s="30"/>
      <c r="K889" s="30"/>
    </row>
    <row r="890" spans="4:11" x14ac:dyDescent="0.25">
      <c r="D890" s="34"/>
      <c r="F890" s="30"/>
      <c r="K890" s="30"/>
    </row>
    <row r="891" spans="4:11" x14ac:dyDescent="0.25">
      <c r="D891" s="34"/>
      <c r="F891" s="30"/>
      <c r="K891" s="30"/>
    </row>
    <row r="892" spans="4:11" x14ac:dyDescent="0.25">
      <c r="D892" s="34"/>
      <c r="F892" s="30"/>
      <c r="K892" s="30"/>
    </row>
    <row r="893" spans="4:11" x14ac:dyDescent="0.25">
      <c r="D893" s="34"/>
      <c r="F893" s="30"/>
      <c r="K893" s="30"/>
    </row>
    <row r="894" spans="4:11" x14ac:dyDescent="0.25">
      <c r="D894" s="34"/>
      <c r="F894" s="30"/>
      <c r="K894" s="30"/>
    </row>
    <row r="895" spans="4:11" x14ac:dyDescent="0.25">
      <c r="D895" s="34"/>
      <c r="F895" s="30"/>
      <c r="K895" s="30"/>
    </row>
    <row r="896" spans="4:11" x14ac:dyDescent="0.25">
      <c r="D896" s="34"/>
      <c r="F896" s="30"/>
      <c r="K896" s="30"/>
    </row>
    <row r="897" spans="4:11" x14ac:dyDescent="0.25">
      <c r="D897" s="34"/>
      <c r="F897" s="30"/>
      <c r="K897" s="30"/>
    </row>
    <row r="898" spans="4:11" x14ac:dyDescent="0.25">
      <c r="D898" s="34"/>
      <c r="F898" s="30"/>
      <c r="K898" s="30"/>
    </row>
    <row r="899" spans="4:11" x14ac:dyDescent="0.25">
      <c r="D899" s="34"/>
      <c r="F899" s="30"/>
      <c r="K899" s="30"/>
    </row>
    <row r="900" spans="4:11" x14ac:dyDescent="0.25">
      <c r="D900" s="34"/>
      <c r="F900" s="30"/>
      <c r="K900" s="30"/>
    </row>
    <row r="901" spans="4:11" x14ac:dyDescent="0.25">
      <c r="D901" s="34"/>
      <c r="F901" s="30"/>
      <c r="K901" s="30"/>
    </row>
    <row r="902" spans="4:11" x14ac:dyDescent="0.25">
      <c r="D902" s="34"/>
      <c r="F902" s="30"/>
      <c r="K902" s="30"/>
    </row>
    <row r="903" spans="4:11" x14ac:dyDescent="0.25">
      <c r="D903" s="34"/>
      <c r="F903" s="30"/>
      <c r="K903" s="30"/>
    </row>
    <row r="904" spans="4:11" x14ac:dyDescent="0.25">
      <c r="D904" s="34"/>
      <c r="F904" s="30"/>
      <c r="K904" s="30"/>
    </row>
    <row r="905" spans="4:11" x14ac:dyDescent="0.25">
      <c r="D905" s="34"/>
      <c r="F905" s="30"/>
      <c r="K905" s="30"/>
    </row>
    <row r="906" spans="4:11" x14ac:dyDescent="0.25">
      <c r="D906" s="34"/>
      <c r="F906" s="30"/>
      <c r="K906" s="30"/>
    </row>
    <row r="907" spans="4:11" x14ac:dyDescent="0.25">
      <c r="D907" s="34"/>
      <c r="F907" s="30"/>
      <c r="K907" s="30"/>
    </row>
    <row r="908" spans="4:11" x14ac:dyDescent="0.25">
      <c r="D908" s="34"/>
      <c r="F908" s="30"/>
      <c r="K908" s="30"/>
    </row>
    <row r="909" spans="4:11" x14ac:dyDescent="0.25">
      <c r="D909" s="34"/>
      <c r="F909" s="30"/>
      <c r="K909" s="30"/>
    </row>
    <row r="910" spans="4:11" x14ac:dyDescent="0.25">
      <c r="D910" s="34"/>
      <c r="F910" s="30"/>
      <c r="K910" s="30"/>
    </row>
    <row r="911" spans="4:11" x14ac:dyDescent="0.25">
      <c r="D911" s="34"/>
      <c r="F911" s="30"/>
      <c r="K911" s="30"/>
    </row>
    <row r="912" spans="4:11" x14ac:dyDescent="0.25">
      <c r="D912" s="34"/>
      <c r="F912" s="30"/>
      <c r="K912" s="30"/>
    </row>
    <row r="913" spans="4:11" x14ac:dyDescent="0.25">
      <c r="D913" s="34"/>
      <c r="F913" s="30"/>
      <c r="K913" s="30"/>
    </row>
    <row r="914" spans="4:11" x14ac:dyDescent="0.25">
      <c r="D914" s="34"/>
      <c r="F914" s="30"/>
      <c r="K914" s="30"/>
    </row>
    <row r="915" spans="4:11" x14ac:dyDescent="0.25">
      <c r="D915" s="34"/>
      <c r="F915" s="30"/>
      <c r="K915" s="30"/>
    </row>
    <row r="916" spans="4:11" x14ac:dyDescent="0.25">
      <c r="D916" s="34"/>
      <c r="F916" s="30"/>
      <c r="K916" s="30"/>
    </row>
    <row r="917" spans="4:11" x14ac:dyDescent="0.25">
      <c r="D917" s="34"/>
      <c r="F917" s="30"/>
      <c r="K917" s="30"/>
    </row>
    <row r="918" spans="4:11" x14ac:dyDescent="0.25">
      <c r="D918" s="34"/>
      <c r="F918" s="30"/>
      <c r="K918" s="30"/>
    </row>
    <row r="919" spans="4:11" x14ac:dyDescent="0.25">
      <c r="D919" s="34"/>
      <c r="F919" s="30"/>
      <c r="K919" s="30"/>
    </row>
    <row r="920" spans="4:11" x14ac:dyDescent="0.25">
      <c r="D920" s="34"/>
      <c r="F920" s="30"/>
      <c r="K920" s="30"/>
    </row>
    <row r="921" spans="4:11" x14ac:dyDescent="0.25">
      <c r="D921" s="34"/>
      <c r="F921" s="30"/>
      <c r="K921" s="30"/>
    </row>
    <row r="922" spans="4:11" x14ac:dyDescent="0.25">
      <c r="D922" s="34"/>
      <c r="F922" s="30"/>
      <c r="K922" s="30"/>
    </row>
    <row r="923" spans="4:11" x14ac:dyDescent="0.25">
      <c r="D923" s="34"/>
      <c r="F923" s="30"/>
      <c r="K923" s="30"/>
    </row>
    <row r="924" spans="4:11" x14ac:dyDescent="0.25">
      <c r="D924" s="34"/>
      <c r="F924" s="30"/>
      <c r="K924" s="30"/>
    </row>
    <row r="925" spans="4:11" x14ac:dyDescent="0.25">
      <c r="D925" s="34"/>
      <c r="F925" s="30"/>
      <c r="K925" s="30"/>
    </row>
    <row r="926" spans="4:11" x14ac:dyDescent="0.25">
      <c r="D926" s="34"/>
      <c r="F926" s="30"/>
      <c r="K926" s="30"/>
    </row>
    <row r="927" spans="4:11" x14ac:dyDescent="0.25">
      <c r="D927" s="34"/>
      <c r="F927" s="30"/>
      <c r="K927" s="30"/>
    </row>
    <row r="928" spans="4:11" x14ac:dyDescent="0.25">
      <c r="D928" s="34"/>
      <c r="F928" s="30"/>
      <c r="K928" s="30"/>
    </row>
    <row r="929" spans="4:11" x14ac:dyDescent="0.25">
      <c r="D929" s="34"/>
      <c r="F929" s="30"/>
      <c r="K929" s="30"/>
    </row>
    <row r="930" spans="4:11" x14ac:dyDescent="0.25">
      <c r="D930" s="34"/>
      <c r="F930" s="30"/>
      <c r="K930" s="30"/>
    </row>
    <row r="931" spans="4:11" x14ac:dyDescent="0.25">
      <c r="D931" s="34"/>
      <c r="F931" s="30"/>
      <c r="K931" s="30"/>
    </row>
    <row r="932" spans="4:11" x14ac:dyDescent="0.25">
      <c r="D932" s="34"/>
      <c r="F932" s="30"/>
      <c r="K932" s="30"/>
    </row>
    <row r="933" spans="4:11" x14ac:dyDescent="0.25">
      <c r="D933" s="34"/>
      <c r="F933" s="30"/>
      <c r="K933" s="30"/>
    </row>
    <row r="934" spans="4:11" x14ac:dyDescent="0.25">
      <c r="D934" s="34"/>
      <c r="F934" s="30"/>
      <c r="K934" s="30"/>
    </row>
    <row r="935" spans="4:11" x14ac:dyDescent="0.25">
      <c r="D935" s="34"/>
      <c r="F935" s="30"/>
      <c r="K935" s="30"/>
    </row>
    <row r="936" spans="4:11" x14ac:dyDescent="0.25">
      <c r="D936" s="34"/>
      <c r="F936" s="30"/>
      <c r="K936" s="30"/>
    </row>
    <row r="937" spans="4:11" x14ac:dyDescent="0.25">
      <c r="D937" s="34"/>
      <c r="F937" s="30"/>
      <c r="K937" s="30"/>
    </row>
    <row r="938" spans="4:11" x14ac:dyDescent="0.25">
      <c r="D938" s="34"/>
      <c r="F938" s="30"/>
      <c r="K938" s="30"/>
    </row>
    <row r="939" spans="4:11" x14ac:dyDescent="0.25">
      <c r="D939" s="34"/>
      <c r="F939" s="30"/>
      <c r="K939" s="30"/>
    </row>
    <row r="940" spans="4:11" x14ac:dyDescent="0.25">
      <c r="D940" s="34"/>
      <c r="F940" s="30"/>
      <c r="K940" s="30"/>
    </row>
    <row r="941" spans="4:11" x14ac:dyDescent="0.25">
      <c r="D941" s="34"/>
      <c r="F941" s="30"/>
      <c r="K941" s="30"/>
    </row>
    <row r="942" spans="4:11" x14ac:dyDescent="0.25">
      <c r="D942" s="34"/>
      <c r="F942" s="30"/>
      <c r="K942" s="30"/>
    </row>
    <row r="943" spans="4:11" x14ac:dyDescent="0.25">
      <c r="D943" s="34"/>
      <c r="F943" s="30"/>
      <c r="K943" s="30"/>
    </row>
    <row r="944" spans="4:11" x14ac:dyDescent="0.25">
      <c r="D944" s="34"/>
      <c r="F944" s="30"/>
      <c r="K944" s="30"/>
    </row>
    <row r="945" spans="4:11" x14ac:dyDescent="0.25">
      <c r="D945" s="34"/>
      <c r="F945" s="30"/>
      <c r="K945" s="30"/>
    </row>
    <row r="946" spans="4:11" x14ac:dyDescent="0.25">
      <c r="D946" s="34"/>
      <c r="F946" s="30"/>
      <c r="K946" s="30"/>
    </row>
    <row r="947" spans="4:11" x14ac:dyDescent="0.25">
      <c r="D947" s="34"/>
      <c r="F947" s="30"/>
      <c r="K947" s="30"/>
    </row>
    <row r="948" spans="4:11" x14ac:dyDescent="0.25">
      <c r="D948" s="34"/>
      <c r="F948" s="30"/>
      <c r="K948" s="30"/>
    </row>
    <row r="949" spans="4:11" x14ac:dyDescent="0.25">
      <c r="D949" s="34"/>
      <c r="F949" s="30"/>
      <c r="K949" s="30"/>
    </row>
    <row r="950" spans="4:11" x14ac:dyDescent="0.25">
      <c r="D950" s="34"/>
      <c r="F950" s="30"/>
      <c r="K950" s="30"/>
    </row>
    <row r="951" spans="4:11" x14ac:dyDescent="0.25">
      <c r="D951" s="34"/>
      <c r="F951" s="30"/>
      <c r="K951" s="30"/>
    </row>
    <row r="952" spans="4:11" x14ac:dyDescent="0.25">
      <c r="D952" s="34"/>
      <c r="F952" s="30"/>
      <c r="K952" s="30"/>
    </row>
    <row r="953" spans="4:11" x14ac:dyDescent="0.25">
      <c r="D953" s="34"/>
      <c r="F953" s="30"/>
      <c r="K953" s="30"/>
    </row>
    <row r="954" spans="4:11" x14ac:dyDescent="0.25">
      <c r="D954" s="34"/>
      <c r="F954" s="30"/>
      <c r="K954" s="30"/>
    </row>
    <row r="955" spans="4:11" x14ac:dyDescent="0.25">
      <c r="D955" s="34"/>
      <c r="F955" s="30"/>
      <c r="K955" s="30"/>
    </row>
    <row r="956" spans="4:11" x14ac:dyDescent="0.25">
      <c r="D956" s="34"/>
      <c r="F956" s="30"/>
      <c r="K956" s="30"/>
    </row>
    <row r="957" spans="4:11" x14ac:dyDescent="0.25">
      <c r="D957" s="34"/>
      <c r="F957" s="30"/>
      <c r="K957" s="30"/>
    </row>
    <row r="958" spans="4:11" x14ac:dyDescent="0.25">
      <c r="D958" s="34"/>
      <c r="F958" s="30"/>
      <c r="K958" s="30"/>
    </row>
    <row r="959" spans="4:11" x14ac:dyDescent="0.25">
      <c r="D959" s="34"/>
      <c r="F959" s="30"/>
      <c r="K959" s="30"/>
    </row>
    <row r="960" spans="4:11" x14ac:dyDescent="0.25">
      <c r="D960" s="34"/>
      <c r="F960" s="30"/>
      <c r="K960" s="30"/>
    </row>
    <row r="961" spans="4:11" x14ac:dyDescent="0.25">
      <c r="D961" s="34"/>
      <c r="F961" s="30"/>
      <c r="K961" s="30"/>
    </row>
    <row r="962" spans="4:11" x14ac:dyDescent="0.25">
      <c r="D962" s="34"/>
      <c r="F962" s="30"/>
      <c r="K962" s="30"/>
    </row>
    <row r="963" spans="4:11" x14ac:dyDescent="0.25">
      <c r="D963" s="34"/>
      <c r="F963" s="30"/>
      <c r="K963" s="30"/>
    </row>
    <row r="964" spans="4:11" x14ac:dyDescent="0.25">
      <c r="D964" s="34"/>
      <c r="F964" s="30"/>
      <c r="K964" s="30"/>
    </row>
    <row r="965" spans="4:11" x14ac:dyDescent="0.25">
      <c r="D965" s="34"/>
      <c r="F965" s="30"/>
      <c r="K965" s="30"/>
    </row>
    <row r="966" spans="4:11" x14ac:dyDescent="0.25">
      <c r="D966" s="34"/>
      <c r="F966" s="30"/>
      <c r="K966" s="30"/>
    </row>
    <row r="967" spans="4:11" x14ac:dyDescent="0.25">
      <c r="D967" s="34"/>
      <c r="F967" s="30"/>
      <c r="K967" s="30"/>
    </row>
    <row r="968" spans="4:11" x14ac:dyDescent="0.25">
      <c r="D968" s="34"/>
      <c r="F968" s="30"/>
      <c r="K968" s="30"/>
    </row>
    <row r="969" spans="4:11" x14ac:dyDescent="0.25">
      <c r="D969" s="34"/>
      <c r="F969" s="30"/>
      <c r="K969" s="30"/>
    </row>
    <row r="970" spans="4:11" x14ac:dyDescent="0.25">
      <c r="D970" s="34"/>
      <c r="F970" s="30"/>
      <c r="K970" s="30"/>
    </row>
    <row r="971" spans="4:11" x14ac:dyDescent="0.25">
      <c r="D971" s="34"/>
      <c r="F971" s="30"/>
      <c r="K971" s="30"/>
    </row>
    <row r="972" spans="4:11" x14ac:dyDescent="0.25">
      <c r="D972" s="34"/>
      <c r="F972" s="30"/>
      <c r="K972" s="30"/>
    </row>
    <row r="973" spans="4:11" x14ac:dyDescent="0.25">
      <c r="D973" s="34"/>
      <c r="F973" s="30"/>
      <c r="K973" s="30"/>
    </row>
    <row r="974" spans="4:11" x14ac:dyDescent="0.25">
      <c r="D974" s="34"/>
      <c r="F974" s="30"/>
      <c r="K974" s="30"/>
    </row>
    <row r="975" spans="4:11" x14ac:dyDescent="0.25">
      <c r="D975" s="34"/>
      <c r="F975" s="30"/>
      <c r="K975" s="30"/>
    </row>
    <row r="976" spans="4:11" x14ac:dyDescent="0.25">
      <c r="D976" s="34"/>
      <c r="F976" s="30"/>
      <c r="K976" s="30"/>
    </row>
    <row r="977" spans="4:11" x14ac:dyDescent="0.25">
      <c r="D977" s="34"/>
      <c r="F977" s="30"/>
      <c r="K977" s="30"/>
    </row>
    <row r="978" spans="4:11" x14ac:dyDescent="0.25">
      <c r="D978" s="34"/>
      <c r="F978" s="30"/>
      <c r="K978" s="30"/>
    </row>
    <row r="979" spans="4:11" x14ac:dyDescent="0.25">
      <c r="D979" s="34"/>
      <c r="F979" s="30"/>
      <c r="K979" s="30"/>
    </row>
    <row r="980" spans="4:11" x14ac:dyDescent="0.25">
      <c r="D980" s="34"/>
      <c r="F980" s="30"/>
      <c r="K980" s="30"/>
    </row>
    <row r="981" spans="4:11" x14ac:dyDescent="0.25">
      <c r="D981" s="34"/>
      <c r="F981" s="30"/>
      <c r="K981" s="30"/>
    </row>
    <row r="982" spans="4:11" x14ac:dyDescent="0.25">
      <c r="D982" s="34"/>
      <c r="F982" s="30"/>
      <c r="K982" s="30"/>
    </row>
    <row r="983" spans="4:11" x14ac:dyDescent="0.25">
      <c r="D983" s="34"/>
      <c r="F983" s="30"/>
      <c r="K983" s="30"/>
    </row>
    <row r="984" spans="4:11" x14ac:dyDescent="0.25">
      <c r="D984" s="34"/>
      <c r="F984" s="30"/>
      <c r="K984" s="30"/>
    </row>
    <row r="985" spans="4:11" x14ac:dyDescent="0.25">
      <c r="D985" s="34"/>
      <c r="F985" s="30"/>
      <c r="K985" s="30"/>
    </row>
    <row r="986" spans="4:11" x14ac:dyDescent="0.25">
      <c r="D986" s="34"/>
      <c r="F986" s="30"/>
      <c r="K986" s="30"/>
    </row>
    <row r="987" spans="4:11" x14ac:dyDescent="0.25">
      <c r="D987" s="34"/>
      <c r="F987" s="30"/>
      <c r="K987" s="30"/>
    </row>
    <row r="988" spans="4:11" x14ac:dyDescent="0.25">
      <c r="D988" s="34"/>
      <c r="F988" s="30"/>
      <c r="K988" s="30"/>
    </row>
    <row r="989" spans="4:11" x14ac:dyDescent="0.25">
      <c r="D989" s="34"/>
      <c r="F989" s="30"/>
      <c r="K989" s="30"/>
    </row>
    <row r="990" spans="4:11" x14ac:dyDescent="0.25">
      <c r="D990" s="34"/>
      <c r="F990" s="30"/>
      <c r="K990" s="30"/>
    </row>
    <row r="991" spans="4:11" x14ac:dyDescent="0.25">
      <c r="D991" s="34"/>
      <c r="F991" s="30"/>
      <c r="K991" s="30"/>
    </row>
    <row r="992" spans="4:11" x14ac:dyDescent="0.25">
      <c r="D992" s="34"/>
      <c r="F992" s="30"/>
      <c r="K992" s="30"/>
    </row>
    <row r="993" spans="4:11" x14ac:dyDescent="0.25">
      <c r="D993" s="34"/>
      <c r="F993" s="30"/>
      <c r="K993" s="30"/>
    </row>
    <row r="994" spans="4:11" x14ac:dyDescent="0.25">
      <c r="D994" s="34"/>
      <c r="F994" s="30"/>
      <c r="K994" s="30"/>
    </row>
    <row r="995" spans="4:11" x14ac:dyDescent="0.25">
      <c r="D995" s="34"/>
      <c r="F995" s="30"/>
      <c r="K995" s="30"/>
    </row>
    <row r="996" spans="4:11" x14ac:dyDescent="0.25">
      <c r="D996" s="34"/>
      <c r="F996" s="30"/>
      <c r="K996" s="30"/>
    </row>
    <row r="997" spans="4:11" x14ac:dyDescent="0.25">
      <c r="D997" s="34"/>
      <c r="F997" s="30"/>
      <c r="K997" s="30"/>
    </row>
    <row r="998" spans="4:11" x14ac:dyDescent="0.25">
      <c r="D998" s="34"/>
      <c r="F998" s="30"/>
      <c r="K998" s="30"/>
    </row>
    <row r="999" spans="4:11" x14ac:dyDescent="0.25">
      <c r="D999" s="34"/>
      <c r="F999" s="30"/>
      <c r="K999" s="30"/>
    </row>
    <row r="1000" spans="4:11" x14ac:dyDescent="0.25">
      <c r="D1000" s="34"/>
      <c r="F1000" s="30"/>
      <c r="K1000" s="30"/>
    </row>
    <row r="1001" spans="4:11" x14ac:dyDescent="0.25">
      <c r="D1001" s="34"/>
      <c r="F1001" s="30"/>
      <c r="K1001" s="30"/>
    </row>
    <row r="1002" spans="4:11" x14ac:dyDescent="0.25">
      <c r="D1002" s="34"/>
      <c r="F1002" s="30"/>
      <c r="K1002" s="30"/>
    </row>
    <row r="1003" spans="4:11" x14ac:dyDescent="0.25">
      <c r="D1003" s="34"/>
      <c r="F1003" s="30"/>
      <c r="K1003" s="30"/>
    </row>
    <row r="1004" spans="4:11" x14ac:dyDescent="0.25">
      <c r="D1004" s="34"/>
      <c r="F1004" s="30"/>
      <c r="K1004" s="30"/>
    </row>
    <row r="1005" spans="4:11" x14ac:dyDescent="0.25">
      <c r="D1005" s="34"/>
      <c r="F1005" s="30"/>
      <c r="K1005" s="30"/>
    </row>
    <row r="1006" spans="4:11" x14ac:dyDescent="0.25">
      <c r="D1006" s="34"/>
      <c r="F1006" s="30"/>
      <c r="K1006" s="30"/>
    </row>
    <row r="1007" spans="4:11" x14ac:dyDescent="0.25">
      <c r="D1007" s="34"/>
      <c r="F1007" s="30"/>
      <c r="K1007" s="30"/>
    </row>
    <row r="1008" spans="4:11" x14ac:dyDescent="0.25">
      <c r="D1008" s="34"/>
      <c r="F1008" s="30"/>
      <c r="K1008" s="30"/>
    </row>
    <row r="1009" spans="4:11" x14ac:dyDescent="0.25">
      <c r="D1009" s="34"/>
      <c r="F1009" s="30"/>
      <c r="K1009" s="30"/>
    </row>
    <row r="1010" spans="4:11" x14ac:dyDescent="0.25">
      <c r="D1010" s="34"/>
      <c r="F1010" s="30"/>
      <c r="K1010" s="30"/>
    </row>
    <row r="1011" spans="4:11" x14ac:dyDescent="0.25">
      <c r="D1011" s="34"/>
      <c r="F1011" s="30"/>
      <c r="K1011" s="30"/>
    </row>
    <row r="1012" spans="4:11" x14ac:dyDescent="0.25">
      <c r="D1012" s="34"/>
      <c r="F1012" s="30"/>
      <c r="K1012" s="30"/>
    </row>
    <row r="1013" spans="4:11" x14ac:dyDescent="0.25">
      <c r="D1013" s="34"/>
      <c r="F1013" s="30"/>
      <c r="K1013" s="30"/>
    </row>
    <row r="1014" spans="4:11" x14ac:dyDescent="0.25">
      <c r="D1014" s="34"/>
      <c r="F1014" s="30"/>
      <c r="K1014" s="30"/>
    </row>
    <row r="1015" spans="4:11" x14ac:dyDescent="0.25">
      <c r="D1015" s="34"/>
      <c r="F1015" s="30"/>
      <c r="K1015" s="30"/>
    </row>
    <row r="1016" spans="4:11" x14ac:dyDescent="0.25">
      <c r="D1016" s="34"/>
      <c r="F1016" s="30"/>
      <c r="K1016" s="30"/>
    </row>
    <row r="1017" spans="4:11" x14ac:dyDescent="0.25">
      <c r="D1017" s="34"/>
      <c r="F1017" s="30"/>
      <c r="K1017" s="30"/>
    </row>
    <row r="1018" spans="4:11" x14ac:dyDescent="0.25">
      <c r="D1018" s="34"/>
      <c r="F1018" s="30"/>
      <c r="K1018" s="30"/>
    </row>
    <row r="1019" spans="4:11" x14ac:dyDescent="0.25">
      <c r="D1019" s="34"/>
      <c r="F1019" s="30"/>
      <c r="K1019" s="30"/>
    </row>
    <row r="1020" spans="4:11" x14ac:dyDescent="0.25">
      <c r="D1020" s="34"/>
      <c r="F1020" s="30"/>
      <c r="K1020" s="30"/>
    </row>
    <row r="1021" spans="4:11" x14ac:dyDescent="0.25">
      <c r="D1021" s="34"/>
      <c r="F1021" s="30"/>
      <c r="K1021" s="30"/>
    </row>
    <row r="1022" spans="4:11" x14ac:dyDescent="0.25">
      <c r="D1022" s="34"/>
      <c r="F1022" s="30"/>
      <c r="K1022" s="30"/>
    </row>
    <row r="1023" spans="4:11" x14ac:dyDescent="0.25">
      <c r="D1023" s="34"/>
      <c r="F1023" s="30"/>
      <c r="K1023" s="30"/>
    </row>
    <row r="1024" spans="4:11" x14ac:dyDescent="0.25">
      <c r="D1024" s="34"/>
      <c r="F1024" s="30"/>
      <c r="K1024" s="30"/>
    </row>
    <row r="1025" spans="4:11" x14ac:dyDescent="0.25">
      <c r="D1025" s="34"/>
      <c r="F1025" s="30"/>
      <c r="K1025" s="30"/>
    </row>
    <row r="1026" spans="4:11" x14ac:dyDescent="0.25">
      <c r="D1026" s="34"/>
      <c r="F1026" s="30"/>
      <c r="K1026" s="30"/>
    </row>
    <row r="1027" spans="4:11" x14ac:dyDescent="0.25">
      <c r="D1027" s="34"/>
      <c r="F1027" s="30"/>
      <c r="K1027" s="30"/>
    </row>
    <row r="1028" spans="4:11" x14ac:dyDescent="0.25">
      <c r="D1028" s="34"/>
      <c r="F1028" s="30"/>
      <c r="K1028" s="30"/>
    </row>
    <row r="1029" spans="4:11" x14ac:dyDescent="0.25">
      <c r="D1029" s="34"/>
      <c r="F1029" s="30"/>
      <c r="K1029" s="30"/>
    </row>
    <row r="1030" spans="4:11" x14ac:dyDescent="0.25">
      <c r="D1030" s="34"/>
      <c r="F1030" s="30"/>
      <c r="K1030" s="30"/>
    </row>
    <row r="1031" spans="4:11" x14ac:dyDescent="0.25">
      <c r="D1031" s="34"/>
      <c r="F1031" s="30"/>
      <c r="K1031" s="30"/>
    </row>
    <row r="1032" spans="4:11" x14ac:dyDescent="0.25">
      <c r="D1032" s="34"/>
      <c r="F1032" s="30"/>
      <c r="K1032" s="30"/>
    </row>
    <row r="1033" spans="4:11" x14ac:dyDescent="0.25">
      <c r="D1033" s="34"/>
      <c r="F1033" s="30"/>
      <c r="K1033" s="30"/>
    </row>
    <row r="1034" spans="4:11" x14ac:dyDescent="0.25">
      <c r="D1034" s="34"/>
      <c r="F1034" s="30"/>
      <c r="K1034" s="30"/>
    </row>
    <row r="1035" spans="4:11" x14ac:dyDescent="0.25">
      <c r="D1035" s="34"/>
      <c r="F1035" s="30"/>
      <c r="K1035" s="30"/>
    </row>
    <row r="1036" spans="4:11" x14ac:dyDescent="0.25">
      <c r="D1036" s="34"/>
      <c r="F1036" s="30"/>
      <c r="K1036" s="30"/>
    </row>
    <row r="1037" spans="4:11" x14ac:dyDescent="0.25">
      <c r="D1037" s="34"/>
      <c r="F1037" s="30"/>
      <c r="K1037" s="30"/>
    </row>
    <row r="1038" spans="4:11" x14ac:dyDescent="0.25">
      <c r="D1038" s="34"/>
      <c r="F1038" s="30"/>
      <c r="K1038" s="30"/>
    </row>
    <row r="1039" spans="4:11" x14ac:dyDescent="0.25">
      <c r="D1039" s="34"/>
      <c r="F1039" s="30"/>
      <c r="K1039" s="30"/>
    </row>
    <row r="1040" spans="4:11" x14ac:dyDescent="0.25">
      <c r="D1040" s="34"/>
      <c r="F1040" s="30"/>
      <c r="K1040" s="30"/>
    </row>
    <row r="1041" spans="4:11" x14ac:dyDescent="0.25">
      <c r="D1041" s="34"/>
      <c r="F1041" s="30"/>
      <c r="K1041" s="30"/>
    </row>
    <row r="1042" spans="4:11" x14ac:dyDescent="0.25">
      <c r="D1042" s="34"/>
      <c r="F1042" s="30"/>
      <c r="K1042" s="30"/>
    </row>
    <row r="1043" spans="4:11" x14ac:dyDescent="0.25">
      <c r="D1043" s="34"/>
      <c r="F1043" s="30"/>
      <c r="K1043" s="30"/>
    </row>
    <row r="1044" spans="4:11" x14ac:dyDescent="0.25">
      <c r="D1044" s="34"/>
      <c r="F1044" s="30"/>
      <c r="K1044" s="30"/>
    </row>
    <row r="1045" spans="4:11" x14ac:dyDescent="0.25">
      <c r="D1045" s="34"/>
      <c r="F1045" s="30"/>
      <c r="K1045" s="30"/>
    </row>
    <row r="1046" spans="4:11" x14ac:dyDescent="0.25">
      <c r="D1046" s="34"/>
      <c r="F1046" s="30"/>
      <c r="K1046" s="30"/>
    </row>
    <row r="1047" spans="4:11" x14ac:dyDescent="0.25">
      <c r="D1047" s="34"/>
      <c r="F1047" s="30"/>
      <c r="K1047" s="30"/>
    </row>
    <row r="1048" spans="4:11" x14ac:dyDescent="0.25">
      <c r="D1048" s="34"/>
      <c r="F1048" s="30"/>
      <c r="K1048" s="30"/>
    </row>
    <row r="1049" spans="4:11" x14ac:dyDescent="0.25">
      <c r="D1049" s="34"/>
      <c r="F1049" s="30"/>
      <c r="K1049" s="30"/>
    </row>
    <row r="1050" spans="4:11" x14ac:dyDescent="0.25">
      <c r="D1050" s="34"/>
      <c r="F1050" s="30"/>
      <c r="K1050" s="30"/>
    </row>
    <row r="1051" spans="4:11" x14ac:dyDescent="0.25">
      <c r="D1051" s="34"/>
      <c r="F1051" s="30"/>
      <c r="K1051" s="30"/>
    </row>
    <row r="1052" spans="4:11" x14ac:dyDescent="0.25">
      <c r="D1052" s="34"/>
      <c r="F1052" s="30"/>
      <c r="K1052" s="30"/>
    </row>
    <row r="1053" spans="4:11" x14ac:dyDescent="0.25">
      <c r="D1053" s="34"/>
      <c r="F1053" s="30"/>
      <c r="K1053" s="30"/>
    </row>
    <row r="1054" spans="4:11" x14ac:dyDescent="0.25">
      <c r="D1054" s="34"/>
      <c r="F1054" s="30"/>
      <c r="K1054" s="30"/>
    </row>
    <row r="1055" spans="4:11" x14ac:dyDescent="0.25">
      <c r="D1055" s="34"/>
      <c r="F1055" s="30"/>
      <c r="K1055" s="30"/>
    </row>
    <row r="1056" spans="4:11" x14ac:dyDescent="0.25">
      <c r="D1056" s="34"/>
      <c r="F1056" s="30"/>
      <c r="K1056" s="30"/>
    </row>
    <row r="1057" spans="4:11" x14ac:dyDescent="0.25">
      <c r="D1057" s="34"/>
      <c r="F1057" s="30"/>
      <c r="K1057" s="30"/>
    </row>
    <row r="1058" spans="4:11" x14ac:dyDescent="0.25">
      <c r="D1058" s="34"/>
      <c r="F1058" s="30"/>
      <c r="K1058" s="30"/>
    </row>
    <row r="1059" spans="4:11" x14ac:dyDescent="0.25">
      <c r="D1059" s="34"/>
      <c r="F1059" s="30"/>
      <c r="K1059" s="30"/>
    </row>
    <row r="1060" spans="4:11" x14ac:dyDescent="0.25">
      <c r="D1060" s="34"/>
      <c r="F1060" s="30"/>
      <c r="K1060" s="30"/>
    </row>
    <row r="1061" spans="4:11" x14ac:dyDescent="0.25">
      <c r="D1061" s="34"/>
      <c r="F1061" s="30"/>
      <c r="K1061" s="30"/>
    </row>
    <row r="1062" spans="4:11" x14ac:dyDescent="0.25">
      <c r="D1062" s="34"/>
      <c r="F1062" s="30"/>
      <c r="K1062" s="30"/>
    </row>
    <row r="1063" spans="4:11" x14ac:dyDescent="0.25">
      <c r="D1063" s="34"/>
      <c r="F1063" s="30"/>
      <c r="K1063" s="30"/>
    </row>
    <row r="1064" spans="4:11" x14ac:dyDescent="0.25">
      <c r="D1064" s="34"/>
      <c r="F1064" s="30"/>
      <c r="K1064" s="30"/>
    </row>
    <row r="1065" spans="4:11" x14ac:dyDescent="0.25">
      <c r="D1065" s="34"/>
      <c r="F1065" s="30"/>
      <c r="K1065" s="30"/>
    </row>
    <row r="1066" spans="4:11" x14ac:dyDescent="0.25">
      <c r="D1066" s="34"/>
      <c r="F1066" s="30"/>
      <c r="K1066" s="30"/>
    </row>
    <row r="1067" spans="4:11" x14ac:dyDescent="0.25">
      <c r="D1067" s="34"/>
      <c r="F1067" s="30"/>
      <c r="K1067" s="30"/>
    </row>
    <row r="1068" spans="4:11" x14ac:dyDescent="0.25">
      <c r="D1068" s="34"/>
      <c r="F1068" s="30"/>
      <c r="K1068" s="30"/>
    </row>
    <row r="1069" spans="4:11" x14ac:dyDescent="0.25">
      <c r="D1069" s="34"/>
      <c r="F1069" s="30"/>
      <c r="K1069" s="30"/>
    </row>
    <row r="1070" spans="4:11" x14ac:dyDescent="0.25">
      <c r="D1070" s="34"/>
      <c r="F1070" s="30"/>
      <c r="K1070" s="30"/>
    </row>
    <row r="1071" spans="4:11" x14ac:dyDescent="0.25">
      <c r="D1071" s="34"/>
      <c r="F1071" s="30"/>
      <c r="K1071" s="30"/>
    </row>
    <row r="1072" spans="4:11" x14ac:dyDescent="0.25">
      <c r="D1072" s="34"/>
      <c r="F1072" s="30"/>
      <c r="K1072" s="30"/>
    </row>
    <row r="1073" spans="4:11" x14ac:dyDescent="0.25">
      <c r="D1073" s="34"/>
      <c r="F1073" s="30"/>
      <c r="K1073" s="30"/>
    </row>
    <row r="1074" spans="4:11" x14ac:dyDescent="0.25">
      <c r="D1074" s="34"/>
      <c r="F1074" s="30"/>
      <c r="K1074" s="30"/>
    </row>
    <row r="1075" spans="4:11" x14ac:dyDescent="0.25">
      <c r="D1075" s="34"/>
      <c r="F1075" s="30"/>
      <c r="K1075" s="30"/>
    </row>
    <row r="1076" spans="4:11" x14ac:dyDescent="0.25">
      <c r="D1076" s="34"/>
      <c r="F1076" s="30"/>
      <c r="K1076" s="30"/>
    </row>
    <row r="1077" spans="4:11" x14ac:dyDescent="0.25">
      <c r="D1077" s="34"/>
      <c r="F1077" s="30"/>
      <c r="K1077" s="30"/>
    </row>
    <row r="1078" spans="4:11" x14ac:dyDescent="0.25">
      <c r="D1078" s="34"/>
      <c r="F1078" s="30"/>
      <c r="K1078" s="30"/>
    </row>
    <row r="1079" spans="4:11" x14ac:dyDescent="0.25">
      <c r="D1079" s="34"/>
      <c r="F1079" s="30"/>
      <c r="K1079" s="30"/>
    </row>
    <row r="1080" spans="4:11" x14ac:dyDescent="0.25">
      <c r="D1080" s="34"/>
      <c r="F1080" s="30"/>
      <c r="K1080" s="30"/>
    </row>
    <row r="1081" spans="4:11" x14ac:dyDescent="0.25">
      <c r="D1081" s="34"/>
      <c r="F1081" s="30"/>
      <c r="K1081" s="30"/>
    </row>
    <row r="1082" spans="4:11" x14ac:dyDescent="0.25">
      <c r="D1082" s="34"/>
      <c r="F1082" s="30"/>
      <c r="K1082" s="30"/>
    </row>
    <row r="1083" spans="4:11" x14ac:dyDescent="0.25">
      <c r="D1083" s="34"/>
      <c r="F1083" s="30"/>
      <c r="K1083" s="30"/>
    </row>
    <row r="1084" spans="4:11" x14ac:dyDescent="0.25">
      <c r="D1084" s="34"/>
      <c r="F1084" s="30"/>
      <c r="K1084" s="30"/>
    </row>
    <row r="1085" spans="4:11" x14ac:dyDescent="0.25">
      <c r="D1085" s="34"/>
      <c r="F1085" s="30"/>
      <c r="K1085" s="30"/>
    </row>
    <row r="1086" spans="4:11" x14ac:dyDescent="0.25">
      <c r="D1086" s="34"/>
      <c r="F1086" s="30"/>
      <c r="K1086" s="30"/>
    </row>
    <row r="1087" spans="4:11" x14ac:dyDescent="0.25">
      <c r="D1087" s="34"/>
      <c r="F1087" s="30"/>
      <c r="K1087" s="30"/>
    </row>
    <row r="1088" spans="4:11" x14ac:dyDescent="0.25">
      <c r="D1088" s="34"/>
      <c r="F1088" s="30"/>
      <c r="K1088" s="30"/>
    </row>
    <row r="1089" spans="4:11" x14ac:dyDescent="0.25">
      <c r="D1089" s="34"/>
      <c r="F1089" s="30"/>
      <c r="K1089" s="30"/>
    </row>
    <row r="1090" spans="4:11" x14ac:dyDescent="0.25">
      <c r="D1090" s="34"/>
      <c r="F1090" s="30"/>
      <c r="K1090" s="30"/>
    </row>
    <row r="1091" spans="4:11" x14ac:dyDescent="0.25">
      <c r="D1091" s="34"/>
      <c r="F1091" s="30"/>
      <c r="K1091" s="30"/>
    </row>
    <row r="1092" spans="4:11" x14ac:dyDescent="0.25">
      <c r="D1092" s="34"/>
      <c r="F1092" s="30"/>
      <c r="K1092" s="30"/>
    </row>
    <row r="1093" spans="4:11" x14ac:dyDescent="0.25">
      <c r="D1093" s="34"/>
      <c r="F1093" s="30"/>
      <c r="K1093" s="30"/>
    </row>
    <row r="1094" spans="4:11" x14ac:dyDescent="0.25">
      <c r="D1094" s="34"/>
      <c r="F1094" s="30"/>
      <c r="K1094" s="30"/>
    </row>
    <row r="1095" spans="4:11" x14ac:dyDescent="0.25">
      <c r="D1095" s="34"/>
      <c r="F1095" s="30"/>
      <c r="K1095" s="30"/>
    </row>
    <row r="1096" spans="4:11" x14ac:dyDescent="0.25">
      <c r="D1096" s="34"/>
      <c r="F1096" s="30"/>
      <c r="K1096" s="30"/>
    </row>
    <row r="1097" spans="4:11" x14ac:dyDescent="0.25">
      <c r="D1097" s="34"/>
      <c r="F1097" s="30"/>
      <c r="K1097" s="30"/>
    </row>
    <row r="1098" spans="4:11" x14ac:dyDescent="0.25">
      <c r="D1098" s="34"/>
      <c r="F1098" s="30"/>
      <c r="K1098" s="30"/>
    </row>
    <row r="1099" spans="4:11" x14ac:dyDescent="0.25">
      <c r="D1099" s="34"/>
      <c r="F1099" s="30"/>
      <c r="K1099" s="30"/>
    </row>
    <row r="1100" spans="4:11" x14ac:dyDescent="0.25">
      <c r="D1100" s="34"/>
      <c r="F1100" s="30"/>
      <c r="K1100" s="30"/>
    </row>
    <row r="1101" spans="4:11" x14ac:dyDescent="0.25">
      <c r="D1101" s="34"/>
      <c r="F1101" s="30"/>
      <c r="K1101" s="30"/>
    </row>
    <row r="1102" spans="4:11" x14ac:dyDescent="0.25">
      <c r="D1102" s="34"/>
      <c r="F1102" s="30"/>
      <c r="K1102" s="30"/>
    </row>
    <row r="1103" spans="4:11" x14ac:dyDescent="0.25">
      <c r="D1103" s="34"/>
      <c r="F1103" s="30"/>
      <c r="K1103" s="30"/>
    </row>
    <row r="1104" spans="4:11" x14ac:dyDescent="0.25">
      <c r="D1104" s="34"/>
      <c r="F1104" s="30"/>
      <c r="K1104" s="30"/>
    </row>
    <row r="1105" spans="4:11" x14ac:dyDescent="0.25">
      <c r="D1105" s="34"/>
      <c r="F1105" s="30"/>
      <c r="K1105" s="30"/>
    </row>
    <row r="1106" spans="4:11" x14ac:dyDescent="0.25">
      <c r="D1106" s="34"/>
      <c r="F1106" s="30"/>
      <c r="K1106" s="30"/>
    </row>
    <row r="1107" spans="4:11" x14ac:dyDescent="0.25">
      <c r="D1107" s="34"/>
      <c r="F1107" s="30"/>
      <c r="K1107" s="30"/>
    </row>
    <row r="1108" spans="4:11" x14ac:dyDescent="0.25">
      <c r="D1108" s="34"/>
      <c r="F1108" s="30"/>
      <c r="K1108" s="30"/>
    </row>
    <row r="1109" spans="4:11" x14ac:dyDescent="0.25">
      <c r="D1109" s="34"/>
      <c r="F1109" s="30"/>
      <c r="K1109" s="30"/>
    </row>
    <row r="1110" spans="4:11" x14ac:dyDescent="0.25">
      <c r="D1110" s="34"/>
      <c r="F1110" s="30"/>
      <c r="K1110" s="30"/>
    </row>
    <row r="1111" spans="4:11" x14ac:dyDescent="0.25">
      <c r="D1111" s="34"/>
      <c r="F1111" s="30"/>
      <c r="K1111" s="30"/>
    </row>
    <row r="1112" spans="4:11" x14ac:dyDescent="0.25">
      <c r="D1112" s="34"/>
      <c r="F1112" s="30"/>
      <c r="K1112" s="30"/>
    </row>
    <row r="1113" spans="4:11" x14ac:dyDescent="0.25">
      <c r="D1113" s="34"/>
      <c r="F1113" s="30"/>
      <c r="K1113" s="30"/>
    </row>
    <row r="1114" spans="4:11" x14ac:dyDescent="0.25">
      <c r="D1114" s="34"/>
      <c r="F1114" s="30"/>
      <c r="K1114" s="30"/>
    </row>
    <row r="1115" spans="4:11" x14ac:dyDescent="0.25">
      <c r="D1115" s="34"/>
      <c r="F1115" s="30"/>
      <c r="K1115" s="30"/>
    </row>
    <row r="1116" spans="4:11" x14ac:dyDescent="0.25">
      <c r="D1116" s="34"/>
      <c r="F1116" s="30"/>
      <c r="K1116" s="30"/>
    </row>
    <row r="1117" spans="4:11" x14ac:dyDescent="0.25">
      <c r="D1117" s="34"/>
      <c r="F1117" s="30"/>
      <c r="K1117" s="30"/>
    </row>
    <row r="1118" spans="4:11" x14ac:dyDescent="0.25">
      <c r="D1118" s="34"/>
      <c r="F1118" s="30"/>
      <c r="K1118" s="30"/>
    </row>
    <row r="1119" spans="4:11" x14ac:dyDescent="0.25">
      <c r="D1119" s="34"/>
      <c r="F1119" s="30"/>
      <c r="K1119" s="30"/>
    </row>
    <row r="1120" spans="4:11" x14ac:dyDescent="0.25">
      <c r="D1120" s="34"/>
      <c r="F1120" s="30"/>
      <c r="K1120" s="30"/>
    </row>
    <row r="1121" spans="4:11" x14ac:dyDescent="0.25">
      <c r="D1121" s="34"/>
      <c r="F1121" s="30"/>
      <c r="K1121" s="30"/>
    </row>
    <row r="1122" spans="4:11" x14ac:dyDescent="0.25">
      <c r="D1122" s="34"/>
      <c r="F1122" s="30"/>
      <c r="K1122" s="30"/>
    </row>
    <row r="1123" spans="4:11" x14ac:dyDescent="0.25">
      <c r="D1123" s="34"/>
      <c r="F1123" s="30"/>
      <c r="K1123" s="30"/>
    </row>
    <row r="1124" spans="4:11" x14ac:dyDescent="0.25">
      <c r="D1124" s="34"/>
      <c r="F1124" s="30"/>
      <c r="K1124" s="30"/>
    </row>
    <row r="1125" spans="4:11" x14ac:dyDescent="0.25">
      <c r="D1125" s="34"/>
      <c r="F1125" s="30"/>
      <c r="K1125" s="30"/>
    </row>
    <row r="1126" spans="4:11" x14ac:dyDescent="0.25">
      <c r="D1126" s="34"/>
      <c r="F1126" s="30"/>
      <c r="K1126" s="30"/>
    </row>
    <row r="1127" spans="4:11" x14ac:dyDescent="0.25">
      <c r="D1127" s="34"/>
      <c r="F1127" s="30"/>
      <c r="K1127" s="30"/>
    </row>
    <row r="1128" spans="4:11" x14ac:dyDescent="0.25">
      <c r="D1128" s="34"/>
      <c r="F1128" s="30"/>
      <c r="K1128" s="30"/>
    </row>
    <row r="1129" spans="4:11" x14ac:dyDescent="0.25">
      <c r="D1129" s="34"/>
      <c r="F1129" s="30"/>
      <c r="K1129" s="30"/>
    </row>
    <row r="1130" spans="4:11" x14ac:dyDescent="0.25">
      <c r="D1130" s="34"/>
      <c r="F1130" s="30"/>
      <c r="K1130" s="30"/>
    </row>
    <row r="1131" spans="4:11" x14ac:dyDescent="0.25">
      <c r="D1131" s="34"/>
      <c r="F1131" s="30"/>
      <c r="K1131" s="30"/>
    </row>
    <row r="1132" spans="4:11" x14ac:dyDescent="0.25">
      <c r="D1132" s="34"/>
      <c r="F1132" s="30"/>
      <c r="K1132" s="30"/>
    </row>
    <row r="1133" spans="4:11" x14ac:dyDescent="0.25">
      <c r="D1133" s="34"/>
      <c r="F1133" s="30"/>
      <c r="K1133" s="30"/>
    </row>
    <row r="1134" spans="4:11" x14ac:dyDescent="0.25">
      <c r="D1134" s="34"/>
      <c r="F1134" s="30"/>
      <c r="K1134" s="30"/>
    </row>
    <row r="1135" spans="4:11" x14ac:dyDescent="0.25">
      <c r="D1135" s="34"/>
      <c r="F1135" s="30"/>
      <c r="K1135" s="30"/>
    </row>
    <row r="1136" spans="4:11" x14ac:dyDescent="0.25">
      <c r="D1136" s="34"/>
      <c r="F1136" s="30"/>
      <c r="K1136" s="30"/>
    </row>
    <row r="1137" spans="4:11" x14ac:dyDescent="0.25">
      <c r="D1137" s="34"/>
      <c r="F1137" s="30"/>
      <c r="K1137" s="30"/>
    </row>
    <row r="1138" spans="4:11" x14ac:dyDescent="0.25">
      <c r="D1138" s="34"/>
      <c r="F1138" s="30"/>
      <c r="K1138" s="30"/>
    </row>
    <row r="1139" spans="4:11" x14ac:dyDescent="0.25">
      <c r="D1139" s="34"/>
      <c r="F1139" s="30"/>
      <c r="K1139" s="30"/>
    </row>
    <row r="1140" spans="4:11" x14ac:dyDescent="0.25">
      <c r="D1140" s="34"/>
      <c r="F1140" s="30"/>
      <c r="K1140" s="30"/>
    </row>
    <row r="1141" spans="4:11" x14ac:dyDescent="0.25">
      <c r="D1141" s="34"/>
      <c r="F1141" s="30"/>
      <c r="K1141" s="30"/>
    </row>
    <row r="1142" spans="4:11" x14ac:dyDescent="0.25">
      <c r="D1142" s="34"/>
      <c r="F1142" s="30"/>
      <c r="K1142" s="30"/>
    </row>
    <row r="1143" spans="4:11" x14ac:dyDescent="0.25">
      <c r="D1143" s="34"/>
      <c r="F1143" s="30"/>
      <c r="K1143" s="30"/>
    </row>
    <row r="1144" spans="4:11" x14ac:dyDescent="0.25">
      <c r="D1144" s="34"/>
      <c r="F1144" s="30"/>
      <c r="K1144" s="30"/>
    </row>
    <row r="1145" spans="4:11" x14ac:dyDescent="0.25">
      <c r="D1145" s="34"/>
      <c r="F1145" s="30"/>
      <c r="K1145" s="30"/>
    </row>
    <row r="1146" spans="4:11" x14ac:dyDescent="0.25">
      <c r="D1146" s="34"/>
      <c r="F1146" s="30"/>
      <c r="K1146" s="30"/>
    </row>
    <row r="1147" spans="4:11" x14ac:dyDescent="0.25">
      <c r="D1147" s="34"/>
      <c r="F1147" s="30"/>
      <c r="K1147" s="30"/>
    </row>
    <row r="1148" spans="4:11" x14ac:dyDescent="0.25">
      <c r="D1148" s="34"/>
      <c r="F1148" s="30"/>
      <c r="K1148" s="30"/>
    </row>
    <row r="1149" spans="4:11" x14ac:dyDescent="0.25">
      <c r="D1149" s="34"/>
      <c r="F1149" s="30"/>
      <c r="K1149" s="30"/>
    </row>
    <row r="1150" spans="4:11" x14ac:dyDescent="0.25">
      <c r="D1150" s="34"/>
      <c r="F1150" s="30"/>
      <c r="K1150" s="30"/>
    </row>
    <row r="1151" spans="4:11" x14ac:dyDescent="0.25">
      <c r="D1151" s="34"/>
      <c r="F1151" s="30"/>
      <c r="K1151" s="30"/>
    </row>
    <row r="1152" spans="4:11" x14ac:dyDescent="0.25">
      <c r="D1152" s="34"/>
      <c r="F1152" s="30"/>
      <c r="K1152" s="30"/>
    </row>
    <row r="1153" spans="4:11" x14ac:dyDescent="0.25">
      <c r="D1153" s="34"/>
      <c r="F1153" s="30"/>
      <c r="K1153" s="30"/>
    </row>
    <row r="1154" spans="4:11" x14ac:dyDescent="0.25">
      <c r="D1154" s="34"/>
      <c r="F1154" s="30"/>
      <c r="K1154" s="30"/>
    </row>
    <row r="1155" spans="4:11" x14ac:dyDescent="0.25">
      <c r="D1155" s="34"/>
      <c r="F1155" s="30"/>
      <c r="K1155" s="30"/>
    </row>
    <row r="1156" spans="4:11" x14ac:dyDescent="0.25">
      <c r="D1156" s="34"/>
      <c r="F1156" s="30"/>
      <c r="K1156" s="30"/>
    </row>
    <row r="1157" spans="4:11" x14ac:dyDescent="0.25">
      <c r="D1157" s="34"/>
      <c r="F1157" s="30"/>
      <c r="K1157" s="30"/>
    </row>
    <row r="1158" spans="4:11" x14ac:dyDescent="0.25">
      <c r="D1158" s="34"/>
      <c r="F1158" s="30"/>
      <c r="K1158" s="30"/>
    </row>
    <row r="1159" spans="4:11" x14ac:dyDescent="0.25">
      <c r="D1159" s="34"/>
      <c r="F1159" s="30"/>
      <c r="K1159" s="30"/>
    </row>
    <row r="1160" spans="4:11" x14ac:dyDescent="0.25">
      <c r="D1160" s="34"/>
      <c r="F1160" s="30"/>
      <c r="K1160" s="30"/>
    </row>
    <row r="1161" spans="4:11" x14ac:dyDescent="0.25">
      <c r="D1161" s="34"/>
      <c r="F1161" s="30"/>
      <c r="K1161" s="30"/>
    </row>
    <row r="1162" spans="4:11" x14ac:dyDescent="0.25">
      <c r="D1162" s="34"/>
      <c r="F1162" s="30"/>
      <c r="K1162" s="30"/>
    </row>
    <row r="1163" spans="4:11" x14ac:dyDescent="0.25">
      <c r="D1163" s="34"/>
      <c r="F1163" s="30"/>
      <c r="K1163" s="30"/>
    </row>
    <row r="1164" spans="4:11" x14ac:dyDescent="0.25">
      <c r="D1164" s="34"/>
      <c r="F1164" s="30"/>
      <c r="K1164" s="30"/>
    </row>
    <row r="1165" spans="4:11" x14ac:dyDescent="0.25">
      <c r="D1165" s="34"/>
      <c r="F1165" s="30"/>
      <c r="K1165" s="30"/>
    </row>
    <row r="1166" spans="4:11" x14ac:dyDescent="0.25">
      <c r="D1166" s="34"/>
      <c r="F1166" s="30"/>
      <c r="K1166" s="30"/>
    </row>
    <row r="1167" spans="4:11" x14ac:dyDescent="0.25">
      <c r="D1167" s="34"/>
      <c r="F1167" s="30"/>
      <c r="K1167" s="30"/>
    </row>
    <row r="1168" spans="4:11" x14ac:dyDescent="0.25">
      <c r="D1168" s="34"/>
      <c r="F1168" s="30"/>
      <c r="K1168" s="30"/>
    </row>
    <row r="1169" spans="4:11" x14ac:dyDescent="0.25">
      <c r="D1169" s="34"/>
      <c r="F1169" s="30"/>
      <c r="K1169" s="30"/>
    </row>
    <row r="1170" spans="4:11" x14ac:dyDescent="0.25">
      <c r="D1170" s="34"/>
      <c r="F1170" s="30"/>
      <c r="K1170" s="30"/>
    </row>
    <row r="1171" spans="4:11" x14ac:dyDescent="0.25">
      <c r="D1171" s="34"/>
      <c r="F1171" s="30"/>
      <c r="K1171" s="30"/>
    </row>
    <row r="1172" spans="4:11" x14ac:dyDescent="0.25">
      <c r="D1172" s="34"/>
      <c r="F1172" s="30"/>
      <c r="K1172" s="30"/>
    </row>
    <row r="1173" spans="4:11" x14ac:dyDescent="0.25">
      <c r="D1173" s="34"/>
      <c r="F1173" s="30"/>
      <c r="K1173" s="30"/>
    </row>
    <row r="1174" spans="4:11" x14ac:dyDescent="0.25">
      <c r="D1174" s="34"/>
      <c r="F1174" s="30"/>
      <c r="K1174" s="30"/>
    </row>
    <row r="1175" spans="4:11" x14ac:dyDescent="0.25">
      <c r="D1175" s="34"/>
      <c r="F1175" s="30"/>
      <c r="K1175" s="30"/>
    </row>
    <row r="1176" spans="4:11" x14ac:dyDescent="0.25">
      <c r="D1176" s="34"/>
      <c r="F1176" s="30"/>
      <c r="K1176" s="30"/>
    </row>
    <row r="1177" spans="4:11" x14ac:dyDescent="0.25">
      <c r="D1177" s="34"/>
      <c r="F1177" s="30"/>
      <c r="K1177" s="30"/>
    </row>
    <row r="1178" spans="4:11" x14ac:dyDescent="0.25">
      <c r="D1178" s="34"/>
      <c r="F1178" s="30"/>
      <c r="K1178" s="30"/>
    </row>
    <row r="1179" spans="4:11" x14ac:dyDescent="0.25">
      <c r="D1179" s="34"/>
      <c r="F1179" s="30"/>
      <c r="K1179" s="30"/>
    </row>
    <row r="1180" spans="4:11" x14ac:dyDescent="0.25">
      <c r="D1180" s="34"/>
      <c r="F1180" s="30"/>
      <c r="K1180" s="30"/>
    </row>
    <row r="1181" spans="4:11" x14ac:dyDescent="0.25">
      <c r="D1181" s="34"/>
      <c r="F1181" s="30"/>
      <c r="K1181" s="30"/>
    </row>
    <row r="1182" spans="4:11" x14ac:dyDescent="0.25">
      <c r="D1182" s="34"/>
      <c r="F1182" s="30"/>
      <c r="K1182" s="30"/>
    </row>
    <row r="1183" spans="4:11" x14ac:dyDescent="0.25">
      <c r="D1183" s="34"/>
      <c r="F1183" s="30"/>
      <c r="K1183" s="30"/>
    </row>
    <row r="1184" spans="4:11" x14ac:dyDescent="0.25">
      <c r="D1184" s="34"/>
      <c r="F1184" s="30"/>
      <c r="K1184" s="30"/>
    </row>
    <row r="1185" spans="4:11" x14ac:dyDescent="0.25">
      <c r="D1185" s="34"/>
      <c r="F1185" s="30"/>
      <c r="K1185" s="30"/>
    </row>
    <row r="1186" spans="4:11" x14ac:dyDescent="0.25">
      <c r="D1186" s="34"/>
      <c r="F1186" s="30"/>
      <c r="K1186" s="30"/>
    </row>
    <row r="1187" spans="4:11" x14ac:dyDescent="0.25">
      <c r="D1187" s="34"/>
      <c r="F1187" s="30"/>
      <c r="K1187" s="30"/>
    </row>
    <row r="1188" spans="4:11" x14ac:dyDescent="0.25">
      <c r="D1188" s="34"/>
      <c r="F1188" s="30"/>
      <c r="K1188" s="30"/>
    </row>
    <row r="1189" spans="4:11" x14ac:dyDescent="0.25">
      <c r="D1189" s="34"/>
      <c r="F1189" s="30"/>
      <c r="K1189" s="30"/>
    </row>
    <row r="1190" spans="4:11" x14ac:dyDescent="0.25">
      <c r="D1190" s="34"/>
      <c r="F1190" s="30"/>
      <c r="K1190" s="30"/>
    </row>
    <row r="1191" spans="4:11" x14ac:dyDescent="0.25">
      <c r="D1191" s="34"/>
      <c r="F1191" s="30"/>
      <c r="K1191" s="30"/>
    </row>
    <row r="1192" spans="4:11" x14ac:dyDescent="0.25">
      <c r="D1192" s="34"/>
      <c r="F1192" s="30"/>
      <c r="K1192" s="30"/>
    </row>
    <row r="1193" spans="4:11" x14ac:dyDescent="0.25">
      <c r="D1193" s="34"/>
      <c r="F1193" s="30"/>
      <c r="K1193" s="30"/>
    </row>
    <row r="1194" spans="4:11" x14ac:dyDescent="0.25">
      <c r="D1194" s="34"/>
      <c r="F1194" s="30"/>
      <c r="K1194" s="30"/>
    </row>
    <row r="1195" spans="4:11" x14ac:dyDescent="0.25">
      <c r="D1195" s="34"/>
      <c r="F1195" s="30"/>
      <c r="K1195" s="30"/>
    </row>
    <row r="1196" spans="4:11" x14ac:dyDescent="0.25">
      <c r="D1196" s="34"/>
      <c r="F1196" s="30"/>
      <c r="K1196" s="30"/>
    </row>
    <row r="1197" spans="4:11" x14ac:dyDescent="0.25">
      <c r="D1197" s="34"/>
      <c r="F1197" s="30"/>
      <c r="K1197" s="30"/>
    </row>
    <row r="1198" spans="4:11" x14ac:dyDescent="0.25">
      <c r="D1198" s="34"/>
      <c r="F1198" s="30"/>
      <c r="K1198" s="30"/>
    </row>
    <row r="1199" spans="4:11" x14ac:dyDescent="0.25">
      <c r="D1199" s="34"/>
      <c r="F1199" s="30"/>
      <c r="K1199" s="30"/>
    </row>
    <row r="1200" spans="4:11" x14ac:dyDescent="0.25">
      <c r="D1200" s="34"/>
      <c r="F1200" s="30"/>
      <c r="K1200" s="30"/>
    </row>
    <row r="1201" spans="4:11" x14ac:dyDescent="0.25">
      <c r="D1201" s="34"/>
      <c r="F1201" s="30"/>
      <c r="K1201" s="30"/>
    </row>
    <row r="1202" spans="4:11" x14ac:dyDescent="0.25">
      <c r="D1202" s="34"/>
      <c r="F1202" s="30"/>
      <c r="K1202" s="30"/>
    </row>
    <row r="1203" spans="4:11" x14ac:dyDescent="0.25">
      <c r="D1203" s="34"/>
      <c r="F1203" s="30"/>
      <c r="K1203" s="30"/>
    </row>
    <row r="1204" spans="4:11" x14ac:dyDescent="0.25">
      <c r="D1204" s="34"/>
      <c r="F1204" s="30"/>
      <c r="K1204" s="30"/>
    </row>
    <row r="1205" spans="4:11" x14ac:dyDescent="0.25">
      <c r="D1205" s="34"/>
      <c r="F1205" s="30"/>
      <c r="K1205" s="30"/>
    </row>
    <row r="1206" spans="4:11" x14ac:dyDescent="0.25">
      <c r="D1206" s="34"/>
      <c r="F1206" s="30"/>
      <c r="K1206" s="30"/>
    </row>
    <row r="1207" spans="4:11" x14ac:dyDescent="0.25">
      <c r="D1207" s="34"/>
      <c r="F1207" s="30"/>
      <c r="K1207" s="30"/>
    </row>
    <row r="1208" spans="4:11" x14ac:dyDescent="0.25">
      <c r="D1208" s="34"/>
      <c r="F1208" s="30"/>
      <c r="K1208" s="30"/>
    </row>
    <row r="1209" spans="4:11" x14ac:dyDescent="0.25">
      <c r="D1209" s="34"/>
      <c r="F1209" s="30"/>
      <c r="K1209" s="30"/>
    </row>
    <row r="1210" spans="4:11" x14ac:dyDescent="0.25">
      <c r="D1210" s="34"/>
      <c r="F1210" s="30"/>
      <c r="K1210" s="30"/>
    </row>
    <row r="1211" spans="4:11" x14ac:dyDescent="0.25">
      <c r="D1211" s="34"/>
      <c r="F1211" s="30"/>
      <c r="K1211" s="30"/>
    </row>
    <row r="1212" spans="4:11" x14ac:dyDescent="0.25">
      <c r="D1212" s="34"/>
      <c r="F1212" s="30"/>
      <c r="K1212" s="30"/>
    </row>
    <row r="1213" spans="4:11" x14ac:dyDescent="0.25">
      <c r="D1213" s="34"/>
      <c r="F1213" s="30"/>
      <c r="K1213" s="30"/>
    </row>
    <row r="1214" spans="4:11" x14ac:dyDescent="0.25">
      <c r="D1214" s="34"/>
      <c r="F1214" s="30"/>
      <c r="K1214" s="30"/>
    </row>
    <row r="1215" spans="4:11" x14ac:dyDescent="0.25">
      <c r="D1215" s="34"/>
      <c r="F1215" s="30"/>
      <c r="K1215" s="30"/>
    </row>
    <row r="1216" spans="4:11" x14ac:dyDescent="0.25">
      <c r="D1216" s="34"/>
      <c r="F1216" s="30"/>
      <c r="K1216" s="30"/>
    </row>
    <row r="1217" spans="4:11" x14ac:dyDescent="0.25">
      <c r="D1217" s="34"/>
      <c r="F1217" s="30"/>
      <c r="K1217" s="30"/>
    </row>
    <row r="1218" spans="4:11" x14ac:dyDescent="0.25">
      <c r="D1218" s="34"/>
      <c r="F1218" s="30"/>
      <c r="K1218" s="30"/>
    </row>
    <row r="1219" spans="4:11" x14ac:dyDescent="0.25">
      <c r="D1219" s="34"/>
      <c r="F1219" s="30"/>
      <c r="K1219" s="30"/>
    </row>
    <row r="1220" spans="4:11" x14ac:dyDescent="0.25">
      <c r="D1220" s="34"/>
      <c r="F1220" s="30"/>
      <c r="K1220" s="30"/>
    </row>
    <row r="1221" spans="4:11" x14ac:dyDescent="0.25">
      <c r="D1221" s="34"/>
      <c r="F1221" s="30"/>
      <c r="K1221" s="30"/>
    </row>
    <row r="1222" spans="4:11" x14ac:dyDescent="0.25">
      <c r="D1222" s="34"/>
      <c r="F1222" s="30"/>
      <c r="K1222" s="30"/>
    </row>
    <row r="1223" spans="4:11" x14ac:dyDescent="0.25">
      <c r="D1223" s="34"/>
      <c r="F1223" s="30"/>
      <c r="K1223" s="30"/>
    </row>
    <row r="1224" spans="4:11" x14ac:dyDescent="0.25">
      <c r="D1224" s="34"/>
      <c r="F1224" s="30"/>
      <c r="K1224" s="30"/>
    </row>
    <row r="1225" spans="4:11" x14ac:dyDescent="0.25">
      <c r="D1225" s="34"/>
      <c r="F1225" s="30"/>
      <c r="G1225" s="30"/>
      <c r="K1225" s="30"/>
    </row>
    <row r="1226" spans="4:11" x14ac:dyDescent="0.25">
      <c r="D1226" s="34"/>
      <c r="F1226" s="30"/>
      <c r="G1226" s="30"/>
      <c r="K1226" s="30"/>
    </row>
    <row r="1227" spans="4:11" x14ac:dyDescent="0.25">
      <c r="D1227" s="34"/>
      <c r="F1227" s="30"/>
      <c r="G1227" s="30"/>
      <c r="K1227" s="30"/>
    </row>
    <row r="1228" spans="4:11" x14ac:dyDescent="0.25">
      <c r="D1228" s="34"/>
      <c r="F1228" s="30"/>
      <c r="G1228" s="30"/>
      <c r="K1228" s="30"/>
    </row>
    <row r="1229" spans="4:11" x14ac:dyDescent="0.25">
      <c r="D1229" s="34"/>
      <c r="F1229" s="30"/>
      <c r="G1229" s="30"/>
      <c r="K1229" s="30"/>
    </row>
    <row r="1230" spans="4:11" x14ac:dyDescent="0.25">
      <c r="D1230" s="34"/>
      <c r="F1230" s="30"/>
      <c r="G1230" s="30"/>
      <c r="K1230" s="30"/>
    </row>
    <row r="1231" spans="4:11" x14ac:dyDescent="0.25">
      <c r="D1231" s="34"/>
      <c r="F1231" s="30"/>
      <c r="G1231" s="30"/>
      <c r="K1231" s="30"/>
    </row>
    <row r="1232" spans="4:11" x14ac:dyDescent="0.25">
      <c r="D1232" s="34"/>
      <c r="F1232" s="30"/>
      <c r="G1232" s="30"/>
      <c r="K1232" s="30"/>
    </row>
    <row r="1233" spans="4:11" x14ac:dyDescent="0.25">
      <c r="D1233" s="34"/>
      <c r="F1233" s="30"/>
      <c r="G1233" s="30"/>
      <c r="K1233" s="30"/>
    </row>
    <row r="1234" spans="4:11" x14ac:dyDescent="0.25">
      <c r="D1234" s="34"/>
      <c r="F1234" s="30"/>
      <c r="G1234" s="30"/>
      <c r="K1234" s="30"/>
    </row>
    <row r="1235" spans="4:11" x14ac:dyDescent="0.25">
      <c r="D1235" s="34"/>
      <c r="F1235" s="30"/>
      <c r="G1235" s="30"/>
      <c r="K1235" s="30"/>
    </row>
    <row r="1236" spans="4:11" x14ac:dyDescent="0.25">
      <c r="D1236" s="34"/>
      <c r="F1236" s="30"/>
      <c r="G1236" s="30"/>
      <c r="K1236" s="30"/>
    </row>
    <row r="1237" spans="4:11" x14ac:dyDescent="0.25">
      <c r="D1237" s="34"/>
      <c r="F1237" s="30"/>
      <c r="G1237" s="30"/>
      <c r="K1237" s="30"/>
    </row>
    <row r="1238" spans="4:11" x14ac:dyDescent="0.25">
      <c r="D1238" s="34"/>
      <c r="F1238" s="30"/>
      <c r="G1238" s="30"/>
      <c r="K1238" s="30"/>
    </row>
    <row r="1239" spans="4:11" x14ac:dyDescent="0.25">
      <c r="D1239" s="34"/>
      <c r="F1239" s="30"/>
      <c r="G1239" s="30"/>
      <c r="K1239" s="30"/>
    </row>
    <row r="1240" spans="4:11" x14ac:dyDescent="0.25">
      <c r="D1240" s="34"/>
      <c r="F1240" s="30"/>
      <c r="G1240" s="30"/>
      <c r="K1240" s="30"/>
    </row>
    <row r="1241" spans="4:11" x14ac:dyDescent="0.25">
      <c r="D1241" s="34"/>
      <c r="F1241" s="30"/>
      <c r="G1241" s="30"/>
      <c r="K1241" s="30"/>
    </row>
    <row r="1242" spans="4:11" x14ac:dyDescent="0.25">
      <c r="D1242" s="34"/>
      <c r="F1242" s="30"/>
      <c r="G1242" s="30"/>
      <c r="K1242" s="30"/>
    </row>
    <row r="1243" spans="4:11" x14ac:dyDescent="0.25">
      <c r="D1243" s="34"/>
      <c r="F1243" s="30"/>
      <c r="G1243" s="30"/>
      <c r="K1243" s="30"/>
    </row>
    <row r="1244" spans="4:11" x14ac:dyDescent="0.25">
      <c r="D1244" s="34"/>
      <c r="F1244" s="30"/>
      <c r="G1244" s="30"/>
      <c r="K1244" s="30"/>
    </row>
    <row r="1245" spans="4:11" x14ac:dyDescent="0.25">
      <c r="D1245" s="34"/>
      <c r="F1245" s="30"/>
      <c r="G1245" s="30"/>
      <c r="K1245" s="30"/>
    </row>
    <row r="1246" spans="4:11" x14ac:dyDescent="0.25">
      <c r="D1246" s="34"/>
      <c r="F1246" s="30"/>
      <c r="G1246" s="30"/>
      <c r="K1246" s="30"/>
    </row>
    <row r="1247" spans="4:11" x14ac:dyDescent="0.25">
      <c r="D1247" s="34"/>
      <c r="F1247" s="30"/>
      <c r="G1247" s="30"/>
      <c r="K1247" s="30"/>
    </row>
    <row r="1248" spans="4:11" x14ac:dyDescent="0.25">
      <c r="D1248" s="34"/>
      <c r="F1248" s="30"/>
      <c r="G1248" s="30"/>
      <c r="K1248" s="30"/>
    </row>
    <row r="1249" spans="4:11" x14ac:dyDescent="0.25">
      <c r="D1249" s="34"/>
      <c r="F1249" s="30"/>
      <c r="G1249" s="30"/>
      <c r="K1249" s="30"/>
    </row>
    <row r="1250" spans="4:11" x14ac:dyDescent="0.25">
      <c r="D1250" s="34"/>
      <c r="F1250" s="30"/>
      <c r="G1250" s="30"/>
      <c r="K1250" s="30"/>
    </row>
    <row r="1251" spans="4:11" x14ac:dyDescent="0.25">
      <c r="D1251" s="34"/>
      <c r="F1251" s="30"/>
      <c r="G1251" s="30"/>
      <c r="K1251" s="30"/>
    </row>
    <row r="1252" spans="4:11" x14ac:dyDescent="0.25">
      <c r="D1252" s="34"/>
      <c r="F1252" s="30"/>
      <c r="G1252" s="30"/>
      <c r="K1252" s="30"/>
    </row>
    <row r="1253" spans="4:11" x14ac:dyDescent="0.25">
      <c r="D1253" s="34"/>
      <c r="F1253" s="30"/>
      <c r="G1253" s="30"/>
      <c r="K1253" s="30"/>
    </row>
    <row r="1254" spans="4:11" x14ac:dyDescent="0.25">
      <c r="D1254" s="34"/>
      <c r="F1254" s="30"/>
      <c r="G1254" s="30"/>
      <c r="K1254" s="30"/>
    </row>
    <row r="1255" spans="4:11" x14ac:dyDescent="0.25">
      <c r="D1255" s="34"/>
      <c r="F1255" s="30"/>
      <c r="G1255" s="30"/>
      <c r="K1255" s="30"/>
    </row>
    <row r="1256" spans="4:11" x14ac:dyDescent="0.25">
      <c r="D1256" s="34"/>
      <c r="F1256" s="30"/>
      <c r="G1256" s="30"/>
      <c r="K1256" s="30"/>
    </row>
    <row r="1257" spans="4:11" x14ac:dyDescent="0.25">
      <c r="D1257" s="34"/>
      <c r="F1257" s="30"/>
      <c r="G1257" s="30"/>
      <c r="K1257" s="30"/>
    </row>
    <row r="1258" spans="4:11" x14ac:dyDescent="0.25">
      <c r="D1258" s="34"/>
      <c r="F1258" s="30"/>
      <c r="G1258" s="30"/>
      <c r="K1258" s="30"/>
    </row>
    <row r="1259" spans="4:11" x14ac:dyDescent="0.25">
      <c r="D1259" s="34"/>
      <c r="F1259" s="30"/>
      <c r="G1259" s="30"/>
      <c r="K1259" s="30"/>
    </row>
    <row r="1260" spans="4:11" x14ac:dyDescent="0.25">
      <c r="D1260" s="34"/>
      <c r="F1260" s="30"/>
      <c r="G1260" s="30"/>
      <c r="K1260" s="30"/>
    </row>
    <row r="1261" spans="4:11" x14ac:dyDescent="0.25">
      <c r="D1261" s="34"/>
      <c r="F1261" s="30"/>
      <c r="G1261" s="30"/>
      <c r="K1261" s="30"/>
    </row>
    <row r="1262" spans="4:11" x14ac:dyDescent="0.25">
      <c r="D1262" s="34"/>
      <c r="F1262" s="30"/>
      <c r="G1262" s="30"/>
      <c r="K1262" s="30"/>
    </row>
    <row r="1263" spans="4:11" x14ac:dyDescent="0.25">
      <c r="D1263" s="34"/>
      <c r="F1263" s="30"/>
      <c r="G1263" s="30"/>
      <c r="K1263" s="30"/>
    </row>
    <row r="1264" spans="4:11" x14ac:dyDescent="0.25">
      <c r="D1264" s="34"/>
      <c r="F1264" s="30"/>
      <c r="G1264" s="30"/>
      <c r="K1264" s="30"/>
    </row>
    <row r="1265" spans="4:11" x14ac:dyDescent="0.25">
      <c r="D1265" s="34"/>
      <c r="F1265" s="30"/>
      <c r="G1265" s="30"/>
      <c r="K1265" s="30"/>
    </row>
    <row r="1266" spans="4:11" x14ac:dyDescent="0.25">
      <c r="D1266" s="34"/>
      <c r="F1266" s="30"/>
      <c r="G1266" s="30"/>
      <c r="K1266" s="30"/>
    </row>
    <row r="1267" spans="4:11" x14ac:dyDescent="0.25">
      <c r="D1267" s="34"/>
      <c r="F1267" s="30"/>
      <c r="G1267" s="30"/>
      <c r="K1267" s="30"/>
    </row>
    <row r="1268" spans="4:11" x14ac:dyDescent="0.25">
      <c r="D1268" s="34"/>
      <c r="F1268" s="30"/>
      <c r="G1268" s="30"/>
      <c r="K1268" s="30"/>
    </row>
    <row r="1269" spans="4:11" x14ac:dyDescent="0.25">
      <c r="D1269" s="34"/>
      <c r="F1269" s="30"/>
      <c r="G1269" s="30"/>
      <c r="K1269" s="30"/>
    </row>
    <row r="1270" spans="4:11" x14ac:dyDescent="0.25">
      <c r="D1270" s="34"/>
      <c r="F1270" s="30"/>
      <c r="G1270" s="30"/>
      <c r="K1270" s="30"/>
    </row>
    <row r="1271" spans="4:11" x14ac:dyDescent="0.25">
      <c r="D1271" s="34"/>
      <c r="F1271" s="30"/>
      <c r="G1271" s="30"/>
      <c r="K1271" s="30"/>
    </row>
    <row r="1272" spans="4:11" x14ac:dyDescent="0.25">
      <c r="D1272" s="34"/>
      <c r="F1272" s="30"/>
      <c r="G1272" s="30"/>
      <c r="K1272" s="30"/>
    </row>
    <row r="1273" spans="4:11" x14ac:dyDescent="0.25">
      <c r="D1273" s="34"/>
      <c r="F1273" s="30"/>
      <c r="G1273" s="30"/>
      <c r="K1273" s="30"/>
    </row>
    <row r="1274" spans="4:11" x14ac:dyDescent="0.25">
      <c r="D1274" s="34"/>
      <c r="F1274" s="30"/>
      <c r="G1274" s="30"/>
      <c r="K1274" s="30"/>
    </row>
    <row r="1275" spans="4:11" x14ac:dyDescent="0.25">
      <c r="D1275" s="34"/>
      <c r="F1275" s="30"/>
      <c r="G1275" s="30"/>
      <c r="K1275" s="30"/>
    </row>
    <row r="1276" spans="4:11" x14ac:dyDescent="0.25">
      <c r="D1276" s="34"/>
      <c r="F1276" s="30"/>
      <c r="G1276" s="30"/>
      <c r="K1276" s="30"/>
    </row>
    <row r="1277" spans="4:11" x14ac:dyDescent="0.25">
      <c r="D1277" s="34"/>
      <c r="F1277" s="30"/>
      <c r="G1277" s="30"/>
      <c r="K1277" s="30"/>
    </row>
    <row r="1278" spans="4:11" x14ac:dyDescent="0.25">
      <c r="D1278" s="34"/>
      <c r="F1278" s="30"/>
      <c r="G1278" s="30"/>
      <c r="K1278" s="30"/>
    </row>
    <row r="1279" spans="4:11" x14ac:dyDescent="0.25">
      <c r="D1279" s="34"/>
      <c r="F1279" s="30"/>
      <c r="G1279" s="30"/>
      <c r="K1279" s="30"/>
    </row>
    <row r="1280" spans="4:11" x14ac:dyDescent="0.25">
      <c r="D1280" s="34"/>
      <c r="F1280" s="30"/>
      <c r="G1280" s="30"/>
      <c r="K1280" s="30"/>
    </row>
    <row r="1281" spans="4:11" x14ac:dyDescent="0.25">
      <c r="D1281" s="34"/>
      <c r="F1281" s="30"/>
      <c r="G1281" s="30"/>
      <c r="K1281" s="30"/>
    </row>
    <row r="1282" spans="4:11" x14ac:dyDescent="0.25">
      <c r="D1282" s="34"/>
      <c r="F1282" s="30"/>
      <c r="G1282" s="30"/>
      <c r="K1282" s="30"/>
    </row>
    <row r="1283" spans="4:11" x14ac:dyDescent="0.25">
      <c r="D1283" s="34"/>
      <c r="F1283" s="30"/>
      <c r="G1283" s="30"/>
      <c r="K1283" s="30"/>
    </row>
    <row r="1284" spans="4:11" x14ac:dyDescent="0.25">
      <c r="D1284" s="34"/>
      <c r="F1284" s="30"/>
      <c r="G1284" s="30"/>
      <c r="K1284" s="30"/>
    </row>
    <row r="1285" spans="4:11" x14ac:dyDescent="0.25">
      <c r="D1285" s="34"/>
      <c r="F1285" s="30"/>
      <c r="G1285" s="30"/>
      <c r="K1285" s="30"/>
    </row>
    <row r="1286" spans="4:11" x14ac:dyDescent="0.25">
      <c r="D1286" s="34"/>
      <c r="F1286" s="30"/>
      <c r="G1286" s="30"/>
      <c r="K1286" s="30"/>
    </row>
    <row r="1287" spans="4:11" x14ac:dyDescent="0.25">
      <c r="D1287" s="34"/>
      <c r="F1287" s="30"/>
      <c r="G1287" s="30"/>
      <c r="K1287" s="30"/>
    </row>
    <row r="1288" spans="4:11" x14ac:dyDescent="0.25">
      <c r="D1288" s="34"/>
      <c r="F1288" s="30"/>
      <c r="G1288" s="30"/>
      <c r="K1288" s="30"/>
    </row>
    <row r="1289" spans="4:11" x14ac:dyDescent="0.25">
      <c r="D1289" s="34"/>
      <c r="F1289" s="30"/>
      <c r="G1289" s="30"/>
      <c r="K1289" s="30"/>
    </row>
    <row r="1290" spans="4:11" x14ac:dyDescent="0.25">
      <c r="D1290" s="34"/>
      <c r="F1290" s="30"/>
      <c r="G1290" s="30"/>
      <c r="K1290" s="30"/>
    </row>
    <row r="1291" spans="4:11" x14ac:dyDescent="0.25">
      <c r="D1291" s="34"/>
      <c r="F1291" s="30"/>
      <c r="G1291" s="30"/>
      <c r="K1291" s="30"/>
    </row>
    <row r="1292" spans="4:11" x14ac:dyDescent="0.25">
      <c r="D1292" s="34"/>
      <c r="F1292" s="30"/>
      <c r="G1292" s="30"/>
      <c r="K1292" s="30"/>
    </row>
    <row r="1293" spans="4:11" x14ac:dyDescent="0.25">
      <c r="D1293" s="34"/>
      <c r="F1293" s="30"/>
      <c r="G1293" s="30"/>
      <c r="K1293" s="30"/>
    </row>
    <row r="1294" spans="4:11" x14ac:dyDescent="0.25">
      <c r="D1294" s="34"/>
      <c r="F1294" s="30"/>
      <c r="G1294" s="30"/>
      <c r="K1294" s="30"/>
    </row>
    <row r="1295" spans="4:11" x14ac:dyDescent="0.25">
      <c r="D1295" s="34"/>
      <c r="F1295" s="30"/>
      <c r="G1295" s="30"/>
      <c r="K1295" s="30"/>
    </row>
    <row r="1296" spans="4:11" x14ac:dyDescent="0.25">
      <c r="D1296" s="34"/>
      <c r="F1296" s="30"/>
      <c r="G1296" s="30"/>
      <c r="K1296" s="30"/>
    </row>
    <row r="1297" spans="4:11" x14ac:dyDescent="0.25">
      <c r="D1297" s="34"/>
      <c r="F1297" s="30"/>
      <c r="G1297" s="30"/>
      <c r="K1297" s="30"/>
    </row>
    <row r="1298" spans="4:11" x14ac:dyDescent="0.25">
      <c r="D1298" s="34"/>
      <c r="F1298" s="30"/>
      <c r="G1298" s="30"/>
      <c r="K1298" s="30"/>
    </row>
    <row r="1299" spans="4:11" x14ac:dyDescent="0.25">
      <c r="D1299" s="34"/>
      <c r="F1299" s="30"/>
      <c r="G1299" s="30"/>
      <c r="K1299" s="30"/>
    </row>
    <row r="1300" spans="4:11" x14ac:dyDescent="0.25">
      <c r="D1300" s="34"/>
      <c r="F1300" s="30"/>
      <c r="G1300" s="30"/>
      <c r="K1300" s="30"/>
    </row>
    <row r="1301" spans="4:11" x14ac:dyDescent="0.25">
      <c r="D1301" s="34"/>
      <c r="F1301" s="30"/>
      <c r="G1301" s="30"/>
      <c r="K1301" s="30"/>
    </row>
    <row r="1302" spans="4:11" x14ac:dyDescent="0.25">
      <c r="D1302" s="34"/>
      <c r="F1302" s="30"/>
      <c r="G1302" s="30"/>
      <c r="K1302" s="30"/>
    </row>
    <row r="1303" spans="4:11" x14ac:dyDescent="0.25">
      <c r="D1303" s="34"/>
      <c r="F1303" s="30"/>
      <c r="G1303" s="30"/>
      <c r="K1303" s="30"/>
    </row>
    <row r="1304" spans="4:11" x14ac:dyDescent="0.25">
      <c r="D1304" s="34"/>
      <c r="F1304" s="30"/>
      <c r="G1304" s="30"/>
      <c r="K1304" s="30"/>
    </row>
    <row r="1305" spans="4:11" x14ac:dyDescent="0.25">
      <c r="D1305" s="34"/>
      <c r="F1305" s="30"/>
      <c r="G1305" s="30"/>
      <c r="K1305" s="30"/>
    </row>
    <row r="1306" spans="4:11" x14ac:dyDescent="0.25">
      <c r="D1306" s="34"/>
      <c r="F1306" s="30"/>
      <c r="G1306" s="30"/>
      <c r="K1306" s="30"/>
    </row>
    <row r="1307" spans="4:11" x14ac:dyDescent="0.25">
      <c r="D1307" s="34"/>
      <c r="F1307" s="30"/>
      <c r="G1307" s="30"/>
      <c r="K1307" s="30"/>
    </row>
    <row r="1308" spans="4:11" x14ac:dyDescent="0.25">
      <c r="D1308" s="34"/>
      <c r="F1308" s="30"/>
      <c r="G1308" s="30"/>
      <c r="K1308" s="30"/>
    </row>
    <row r="1309" spans="4:11" x14ac:dyDescent="0.25">
      <c r="D1309" s="34"/>
      <c r="F1309" s="30"/>
      <c r="G1309" s="30"/>
      <c r="K1309" s="30"/>
    </row>
    <row r="1310" spans="4:11" x14ac:dyDescent="0.25">
      <c r="D1310" s="34"/>
      <c r="F1310" s="30"/>
      <c r="G1310" s="30"/>
      <c r="K1310" s="30"/>
    </row>
    <row r="1311" spans="4:11" x14ac:dyDescent="0.25">
      <c r="D1311" s="34"/>
      <c r="F1311" s="30"/>
      <c r="G1311" s="30"/>
      <c r="K1311" s="30"/>
    </row>
    <row r="1312" spans="4:11" x14ac:dyDescent="0.25">
      <c r="D1312" s="34"/>
      <c r="F1312" s="30"/>
      <c r="G1312" s="30"/>
      <c r="K1312" s="30"/>
    </row>
    <row r="1313" spans="4:11" x14ac:dyDescent="0.25">
      <c r="D1313" s="34"/>
      <c r="F1313" s="30"/>
      <c r="G1313" s="30"/>
      <c r="K1313" s="30"/>
    </row>
    <row r="1314" spans="4:11" x14ac:dyDescent="0.25">
      <c r="D1314" s="34"/>
      <c r="F1314" s="30"/>
      <c r="G1314" s="30"/>
      <c r="K1314" s="30"/>
    </row>
    <row r="1315" spans="4:11" x14ac:dyDescent="0.25">
      <c r="D1315" s="34"/>
      <c r="F1315" s="30"/>
      <c r="G1315" s="30"/>
      <c r="K1315" s="30"/>
    </row>
    <row r="1316" spans="4:11" x14ac:dyDescent="0.25">
      <c r="D1316" s="34"/>
      <c r="F1316" s="30"/>
      <c r="G1316" s="30"/>
      <c r="K1316" s="30"/>
    </row>
    <row r="1317" spans="4:11" x14ac:dyDescent="0.25">
      <c r="D1317" s="34"/>
      <c r="F1317" s="30"/>
      <c r="G1317" s="30"/>
      <c r="K1317" s="30"/>
    </row>
    <row r="1318" spans="4:11" x14ac:dyDescent="0.25">
      <c r="D1318" s="34"/>
      <c r="F1318" s="30"/>
      <c r="G1318" s="30"/>
      <c r="K1318" s="30"/>
    </row>
    <row r="1319" spans="4:11" x14ac:dyDescent="0.25">
      <c r="D1319" s="34"/>
      <c r="F1319" s="30"/>
      <c r="G1319" s="30"/>
      <c r="K1319" s="30"/>
    </row>
    <row r="1320" spans="4:11" x14ac:dyDescent="0.25">
      <c r="D1320" s="34"/>
      <c r="F1320" s="30"/>
      <c r="G1320" s="30"/>
      <c r="K1320" s="30"/>
    </row>
    <row r="1321" spans="4:11" x14ac:dyDescent="0.25">
      <c r="D1321" s="34"/>
      <c r="F1321" s="30"/>
      <c r="G1321" s="30"/>
      <c r="K1321" s="30"/>
    </row>
    <row r="1322" spans="4:11" x14ac:dyDescent="0.25">
      <c r="D1322" s="34"/>
      <c r="F1322" s="30"/>
      <c r="G1322" s="30"/>
      <c r="K1322" s="30"/>
    </row>
    <row r="1323" spans="4:11" x14ac:dyDescent="0.25">
      <c r="D1323" s="34"/>
      <c r="F1323" s="30"/>
      <c r="G1323" s="30"/>
      <c r="K1323" s="30"/>
    </row>
    <row r="1324" spans="4:11" x14ac:dyDescent="0.25">
      <c r="D1324" s="34"/>
      <c r="F1324" s="30"/>
      <c r="G1324" s="30"/>
      <c r="K1324" s="30"/>
    </row>
    <row r="1325" spans="4:11" x14ac:dyDescent="0.25">
      <c r="D1325" s="34"/>
      <c r="F1325" s="30"/>
      <c r="G1325" s="30"/>
      <c r="K1325" s="30"/>
    </row>
    <row r="1326" spans="4:11" x14ac:dyDescent="0.25">
      <c r="D1326" s="34"/>
      <c r="F1326" s="30"/>
      <c r="G1326" s="30"/>
      <c r="K1326" s="30"/>
    </row>
    <row r="1327" spans="4:11" x14ac:dyDescent="0.25">
      <c r="D1327" s="34"/>
      <c r="F1327" s="30"/>
      <c r="G1327" s="30"/>
      <c r="K1327" s="30"/>
    </row>
    <row r="1328" spans="4:11" x14ac:dyDescent="0.25">
      <c r="D1328" s="34"/>
      <c r="F1328" s="30"/>
      <c r="G1328" s="30"/>
      <c r="K1328" s="30"/>
    </row>
    <row r="1329" spans="4:11" x14ac:dyDescent="0.25">
      <c r="D1329" s="34"/>
      <c r="F1329" s="30"/>
      <c r="G1329" s="30"/>
      <c r="K1329" s="30"/>
    </row>
    <row r="1330" spans="4:11" x14ac:dyDescent="0.25">
      <c r="D1330" s="34"/>
      <c r="F1330" s="30"/>
      <c r="G1330" s="30"/>
      <c r="K1330" s="30"/>
    </row>
    <row r="1331" spans="4:11" x14ac:dyDescent="0.25">
      <c r="D1331" s="34"/>
      <c r="F1331" s="30"/>
      <c r="G1331" s="30"/>
      <c r="K1331" s="30"/>
    </row>
    <row r="1332" spans="4:11" x14ac:dyDescent="0.25">
      <c r="D1332" s="34"/>
      <c r="F1332" s="30"/>
      <c r="G1332" s="30"/>
      <c r="K1332" s="30"/>
    </row>
    <row r="1333" spans="4:11" x14ac:dyDescent="0.25">
      <c r="D1333" s="34"/>
      <c r="F1333" s="30"/>
      <c r="G1333" s="30"/>
      <c r="K1333" s="30"/>
    </row>
    <row r="1334" spans="4:11" x14ac:dyDescent="0.25">
      <c r="D1334" s="34"/>
      <c r="F1334" s="30"/>
      <c r="G1334" s="30"/>
      <c r="K1334" s="30"/>
    </row>
    <row r="1335" spans="4:11" x14ac:dyDescent="0.25">
      <c r="D1335" s="34"/>
      <c r="F1335" s="30"/>
      <c r="G1335" s="30"/>
      <c r="K1335" s="30"/>
    </row>
    <row r="1336" spans="4:11" x14ac:dyDescent="0.25">
      <c r="D1336" s="34"/>
      <c r="F1336" s="30"/>
      <c r="G1336" s="30"/>
      <c r="K1336" s="30"/>
    </row>
    <row r="1337" spans="4:11" x14ac:dyDescent="0.25">
      <c r="D1337" s="34"/>
      <c r="F1337" s="30"/>
      <c r="G1337" s="30"/>
      <c r="K1337" s="30"/>
    </row>
    <row r="1338" spans="4:11" x14ac:dyDescent="0.25">
      <c r="D1338" s="34"/>
      <c r="F1338" s="30"/>
      <c r="G1338" s="30"/>
      <c r="K1338" s="30"/>
    </row>
    <row r="1339" spans="4:11" x14ac:dyDescent="0.25">
      <c r="D1339" s="34"/>
      <c r="F1339" s="30"/>
      <c r="G1339" s="30"/>
      <c r="K1339" s="30"/>
    </row>
    <row r="1340" spans="4:11" x14ac:dyDescent="0.25">
      <c r="D1340" s="34"/>
      <c r="F1340" s="30"/>
      <c r="G1340" s="30"/>
      <c r="K1340" s="30"/>
    </row>
    <row r="1341" spans="4:11" x14ac:dyDescent="0.25">
      <c r="D1341" s="34"/>
      <c r="F1341" s="30"/>
      <c r="G1341" s="30"/>
      <c r="K1341" s="30"/>
    </row>
    <row r="1342" spans="4:11" x14ac:dyDescent="0.25">
      <c r="D1342" s="34"/>
      <c r="F1342" s="30"/>
      <c r="G1342" s="30"/>
      <c r="K1342" s="30"/>
    </row>
    <row r="1343" spans="4:11" x14ac:dyDescent="0.25">
      <c r="D1343" s="34"/>
      <c r="F1343" s="30"/>
      <c r="G1343" s="30"/>
      <c r="K1343" s="30"/>
    </row>
    <row r="1344" spans="4:11" x14ac:dyDescent="0.25">
      <c r="D1344" s="34"/>
      <c r="F1344" s="30"/>
      <c r="G1344" s="30"/>
      <c r="K1344" s="30"/>
    </row>
    <row r="1345" spans="4:11" x14ac:dyDescent="0.25">
      <c r="D1345" s="34"/>
      <c r="F1345" s="30"/>
      <c r="G1345" s="30"/>
      <c r="K1345" s="30"/>
    </row>
    <row r="1346" spans="4:11" x14ac:dyDescent="0.25">
      <c r="D1346" s="34"/>
      <c r="F1346" s="30"/>
      <c r="G1346" s="30"/>
      <c r="K1346" s="30"/>
    </row>
    <row r="1347" spans="4:11" x14ac:dyDescent="0.25">
      <c r="D1347" s="34"/>
      <c r="F1347" s="30"/>
      <c r="G1347" s="30"/>
      <c r="K1347" s="30"/>
    </row>
    <row r="1348" spans="4:11" x14ac:dyDescent="0.25">
      <c r="D1348" s="34"/>
      <c r="F1348" s="30"/>
      <c r="G1348" s="30"/>
      <c r="K1348" s="30"/>
    </row>
    <row r="1349" spans="4:11" x14ac:dyDescent="0.25">
      <c r="D1349" s="34"/>
      <c r="F1349" s="30"/>
      <c r="G1349" s="30"/>
      <c r="K1349" s="30"/>
    </row>
    <row r="1350" spans="4:11" x14ac:dyDescent="0.25">
      <c r="D1350" s="34"/>
      <c r="F1350" s="30"/>
      <c r="G1350" s="30"/>
      <c r="K1350" s="30"/>
    </row>
    <row r="1351" spans="4:11" x14ac:dyDescent="0.25">
      <c r="D1351" s="34"/>
      <c r="F1351" s="30"/>
      <c r="G1351" s="30"/>
      <c r="K1351" s="30"/>
    </row>
    <row r="1352" spans="4:11" x14ac:dyDescent="0.25">
      <c r="D1352" s="34"/>
      <c r="F1352" s="30"/>
      <c r="G1352" s="30"/>
      <c r="K1352" s="30"/>
    </row>
    <row r="1353" spans="4:11" x14ac:dyDescent="0.25">
      <c r="D1353" s="34"/>
      <c r="F1353" s="30"/>
      <c r="G1353" s="30"/>
      <c r="K1353" s="30"/>
    </row>
    <row r="1354" spans="4:11" x14ac:dyDescent="0.25">
      <c r="D1354" s="34"/>
      <c r="F1354" s="30"/>
      <c r="G1354" s="30"/>
      <c r="K1354" s="30"/>
    </row>
    <row r="1355" spans="4:11" x14ac:dyDescent="0.25">
      <c r="D1355" s="34"/>
      <c r="F1355" s="30"/>
      <c r="G1355" s="30"/>
      <c r="K1355" s="30"/>
    </row>
    <row r="1356" spans="4:11" x14ac:dyDescent="0.25">
      <c r="D1356" s="34"/>
      <c r="F1356" s="30"/>
      <c r="G1356" s="30"/>
      <c r="K1356" s="30"/>
    </row>
    <row r="1357" spans="4:11" x14ac:dyDescent="0.25">
      <c r="D1357" s="34"/>
      <c r="F1357" s="30"/>
      <c r="G1357" s="30"/>
      <c r="K1357" s="30"/>
    </row>
    <row r="1358" spans="4:11" x14ac:dyDescent="0.25">
      <c r="D1358" s="34"/>
      <c r="F1358" s="30"/>
      <c r="G1358" s="30"/>
      <c r="K1358" s="30"/>
    </row>
    <row r="1359" spans="4:11" x14ac:dyDescent="0.25">
      <c r="D1359" s="34"/>
      <c r="F1359" s="30"/>
      <c r="G1359" s="30"/>
      <c r="K1359" s="30"/>
    </row>
    <row r="1360" spans="4:11" x14ac:dyDescent="0.25">
      <c r="D1360" s="34"/>
      <c r="F1360" s="30"/>
      <c r="G1360" s="30"/>
      <c r="K1360" s="30"/>
    </row>
    <row r="1361" spans="4:11" x14ac:dyDescent="0.25">
      <c r="D1361" s="34"/>
      <c r="F1361" s="30"/>
      <c r="G1361" s="30"/>
      <c r="K1361" s="30"/>
    </row>
    <row r="1362" spans="4:11" x14ac:dyDescent="0.25">
      <c r="D1362" s="34"/>
      <c r="F1362" s="30"/>
      <c r="G1362" s="30"/>
      <c r="K1362" s="30"/>
    </row>
    <row r="1363" spans="4:11" x14ac:dyDescent="0.25">
      <c r="D1363" s="34"/>
      <c r="F1363" s="30"/>
      <c r="G1363" s="30"/>
      <c r="K1363" s="30"/>
    </row>
    <row r="1364" spans="4:11" x14ac:dyDescent="0.25">
      <c r="D1364" s="34"/>
      <c r="F1364" s="30"/>
      <c r="G1364" s="30"/>
      <c r="K1364" s="30"/>
    </row>
    <row r="1365" spans="4:11" x14ac:dyDescent="0.25">
      <c r="D1365" s="34"/>
      <c r="F1365" s="30"/>
      <c r="G1365" s="30"/>
      <c r="K1365" s="30"/>
    </row>
    <row r="1366" spans="4:11" x14ac:dyDescent="0.25">
      <c r="D1366" s="34"/>
      <c r="F1366" s="30"/>
      <c r="G1366" s="30"/>
      <c r="K1366" s="30"/>
    </row>
    <row r="1367" spans="4:11" x14ac:dyDescent="0.25">
      <c r="D1367" s="34"/>
      <c r="F1367" s="30"/>
      <c r="G1367" s="30"/>
      <c r="K1367" s="30"/>
    </row>
    <row r="1368" spans="4:11" x14ac:dyDescent="0.25">
      <c r="D1368" s="34"/>
      <c r="F1368" s="30"/>
      <c r="G1368" s="30"/>
      <c r="K1368" s="30"/>
    </row>
    <row r="1369" spans="4:11" x14ac:dyDescent="0.25">
      <c r="D1369" s="34"/>
      <c r="F1369" s="30"/>
      <c r="G1369" s="30"/>
      <c r="K1369" s="30"/>
    </row>
    <row r="1370" spans="4:11" x14ac:dyDescent="0.25">
      <c r="D1370" s="34"/>
      <c r="F1370" s="30"/>
      <c r="G1370" s="30"/>
      <c r="K1370" s="30"/>
    </row>
    <row r="1371" spans="4:11" x14ac:dyDescent="0.25">
      <c r="D1371" s="34"/>
      <c r="F1371" s="30"/>
      <c r="G1371" s="30"/>
      <c r="K1371" s="30"/>
    </row>
    <row r="1372" spans="4:11" x14ac:dyDescent="0.25">
      <c r="D1372" s="34"/>
      <c r="F1372" s="30"/>
      <c r="G1372" s="30"/>
      <c r="K1372" s="30"/>
    </row>
    <row r="1373" spans="4:11" x14ac:dyDescent="0.25">
      <c r="D1373" s="34"/>
      <c r="F1373" s="30"/>
      <c r="G1373" s="30"/>
      <c r="K1373" s="30"/>
    </row>
    <row r="1374" spans="4:11" x14ac:dyDescent="0.25">
      <c r="D1374" s="34"/>
      <c r="F1374" s="30"/>
      <c r="G1374" s="30"/>
      <c r="K1374" s="30"/>
    </row>
    <row r="1375" spans="4:11" x14ac:dyDescent="0.25">
      <c r="D1375" s="34"/>
      <c r="F1375" s="30"/>
      <c r="G1375" s="30"/>
      <c r="K1375" s="30"/>
    </row>
    <row r="1376" spans="4:11" x14ac:dyDescent="0.25">
      <c r="D1376" s="34"/>
      <c r="F1376" s="30"/>
      <c r="G1376" s="30"/>
      <c r="K1376" s="30"/>
    </row>
    <row r="1377" spans="4:11" x14ac:dyDescent="0.25">
      <c r="D1377" s="34"/>
      <c r="F1377" s="30"/>
      <c r="G1377" s="30"/>
      <c r="K1377" s="30"/>
    </row>
    <row r="1378" spans="4:11" x14ac:dyDescent="0.25">
      <c r="D1378" s="34"/>
      <c r="F1378" s="30"/>
      <c r="G1378" s="30"/>
      <c r="K1378" s="30"/>
    </row>
    <row r="1379" spans="4:11" x14ac:dyDescent="0.25">
      <c r="D1379" s="34"/>
      <c r="F1379" s="30"/>
      <c r="G1379" s="30"/>
      <c r="K1379" s="30"/>
    </row>
    <row r="1380" spans="4:11" x14ac:dyDescent="0.25">
      <c r="D1380" s="34"/>
      <c r="F1380" s="30"/>
      <c r="G1380" s="30"/>
      <c r="K1380" s="30"/>
    </row>
    <row r="1381" spans="4:11" x14ac:dyDescent="0.25">
      <c r="D1381" s="34"/>
      <c r="F1381" s="30"/>
      <c r="G1381" s="30"/>
      <c r="K1381" s="30"/>
    </row>
    <row r="1382" spans="4:11" x14ac:dyDescent="0.25">
      <c r="D1382" s="34"/>
      <c r="F1382" s="30"/>
      <c r="G1382" s="30"/>
      <c r="K1382" s="30"/>
    </row>
    <row r="1383" spans="4:11" x14ac:dyDescent="0.25">
      <c r="D1383" s="34"/>
      <c r="F1383" s="30"/>
      <c r="G1383" s="30"/>
      <c r="K1383" s="30"/>
    </row>
    <row r="1384" spans="4:11" x14ac:dyDescent="0.25">
      <c r="D1384" s="34"/>
      <c r="F1384" s="30"/>
      <c r="G1384" s="30"/>
      <c r="K1384" s="30"/>
    </row>
    <row r="1385" spans="4:11" x14ac:dyDescent="0.25">
      <c r="D1385" s="34"/>
      <c r="F1385" s="30"/>
      <c r="G1385" s="30"/>
      <c r="K1385" s="30"/>
    </row>
    <row r="1386" spans="4:11" x14ac:dyDescent="0.25">
      <c r="D1386" s="34"/>
      <c r="F1386" s="30"/>
      <c r="G1386" s="30"/>
      <c r="K1386" s="30"/>
    </row>
    <row r="1387" spans="4:11" x14ac:dyDescent="0.25">
      <c r="D1387" s="34"/>
      <c r="F1387" s="30"/>
      <c r="G1387" s="30"/>
      <c r="K1387" s="30"/>
    </row>
    <row r="1388" spans="4:11" x14ac:dyDescent="0.25">
      <c r="D1388" s="34"/>
      <c r="F1388" s="30"/>
      <c r="G1388" s="30"/>
      <c r="K1388" s="30"/>
    </row>
    <row r="1389" spans="4:11" x14ac:dyDescent="0.25">
      <c r="D1389" s="34"/>
      <c r="F1389" s="30"/>
      <c r="G1389" s="30"/>
      <c r="K1389" s="30"/>
    </row>
    <row r="1390" spans="4:11" x14ac:dyDescent="0.25">
      <c r="D1390" s="34"/>
      <c r="F1390" s="30"/>
      <c r="G1390" s="30"/>
      <c r="K1390" s="30"/>
    </row>
    <row r="1391" spans="4:11" x14ac:dyDescent="0.25">
      <c r="D1391" s="34"/>
      <c r="F1391" s="30"/>
      <c r="G1391" s="30"/>
      <c r="K1391" s="30"/>
    </row>
    <row r="1392" spans="4:11" x14ac:dyDescent="0.25">
      <c r="D1392" s="34"/>
      <c r="F1392" s="30"/>
      <c r="G1392" s="30"/>
      <c r="K1392" s="30"/>
    </row>
    <row r="1393" spans="4:11" x14ac:dyDescent="0.25">
      <c r="D1393" s="34"/>
      <c r="F1393" s="30"/>
      <c r="G1393" s="30"/>
      <c r="K1393" s="30"/>
    </row>
    <row r="1394" spans="4:11" x14ac:dyDescent="0.25">
      <c r="D1394" s="34"/>
      <c r="F1394" s="30"/>
      <c r="G1394" s="30"/>
      <c r="K1394" s="30"/>
    </row>
    <row r="1395" spans="4:11" x14ac:dyDescent="0.25">
      <c r="D1395" s="34"/>
      <c r="F1395" s="30"/>
      <c r="G1395" s="30"/>
      <c r="K1395" s="30"/>
    </row>
    <row r="1396" spans="4:11" x14ac:dyDescent="0.25">
      <c r="D1396" s="34"/>
      <c r="F1396" s="30"/>
      <c r="G1396" s="30"/>
      <c r="K1396" s="30"/>
    </row>
    <row r="1397" spans="4:11" x14ac:dyDescent="0.25">
      <c r="D1397" s="34"/>
      <c r="F1397" s="30"/>
      <c r="G1397" s="30"/>
      <c r="K1397" s="30"/>
    </row>
    <row r="1398" spans="4:11" x14ac:dyDescent="0.25">
      <c r="D1398" s="34"/>
      <c r="F1398" s="30"/>
      <c r="G1398" s="30"/>
      <c r="K1398" s="30"/>
    </row>
    <row r="1399" spans="4:11" x14ac:dyDescent="0.25">
      <c r="D1399" s="34"/>
      <c r="F1399" s="30"/>
      <c r="G1399" s="30"/>
      <c r="K1399" s="30"/>
    </row>
    <row r="1400" spans="4:11" x14ac:dyDescent="0.25">
      <c r="D1400" s="34"/>
      <c r="F1400" s="30"/>
      <c r="G1400" s="30"/>
      <c r="K1400" s="30"/>
    </row>
    <row r="1401" spans="4:11" x14ac:dyDescent="0.25">
      <c r="D1401" s="34"/>
      <c r="F1401" s="30"/>
      <c r="G1401" s="30"/>
      <c r="K1401" s="30"/>
    </row>
    <row r="1402" spans="4:11" x14ac:dyDescent="0.25">
      <c r="D1402" s="34"/>
      <c r="F1402" s="30"/>
      <c r="G1402" s="30"/>
      <c r="K1402" s="30"/>
    </row>
    <row r="1403" spans="4:11" x14ac:dyDescent="0.25">
      <c r="D1403" s="34"/>
      <c r="F1403" s="30"/>
      <c r="G1403" s="30"/>
      <c r="K1403" s="30"/>
    </row>
    <row r="1404" spans="4:11" x14ac:dyDescent="0.25">
      <c r="D1404" s="34"/>
      <c r="F1404" s="30"/>
      <c r="G1404" s="30"/>
      <c r="K1404" s="30"/>
    </row>
    <row r="1405" spans="4:11" x14ac:dyDescent="0.25">
      <c r="D1405" s="34"/>
      <c r="F1405" s="30"/>
      <c r="G1405" s="30"/>
      <c r="K1405" s="30"/>
    </row>
    <row r="1406" spans="4:11" x14ac:dyDescent="0.25">
      <c r="D1406" s="34"/>
      <c r="F1406" s="30"/>
      <c r="G1406" s="30"/>
      <c r="K1406" s="30"/>
    </row>
    <row r="1407" spans="4:11" x14ac:dyDescent="0.25">
      <c r="D1407" s="34"/>
      <c r="F1407" s="30"/>
      <c r="G1407" s="30"/>
      <c r="K1407" s="30"/>
    </row>
    <row r="1408" spans="4:11" x14ac:dyDescent="0.25">
      <c r="D1408" s="34"/>
      <c r="F1408" s="30"/>
      <c r="G1408" s="30"/>
      <c r="K1408" s="30"/>
    </row>
    <row r="1409" spans="4:11" x14ac:dyDescent="0.25">
      <c r="D1409" s="34"/>
      <c r="F1409" s="30"/>
      <c r="G1409" s="30"/>
      <c r="K1409" s="30"/>
    </row>
    <row r="1410" spans="4:11" x14ac:dyDescent="0.25">
      <c r="D1410" s="34"/>
      <c r="F1410" s="30"/>
      <c r="G1410" s="30"/>
      <c r="K1410" s="30"/>
    </row>
    <row r="1411" spans="4:11" x14ac:dyDescent="0.25">
      <c r="D1411" s="34"/>
      <c r="F1411" s="30"/>
      <c r="G1411" s="30"/>
      <c r="K1411" s="30"/>
    </row>
    <row r="1412" spans="4:11" x14ac:dyDescent="0.25">
      <c r="D1412" s="34"/>
      <c r="F1412" s="30"/>
      <c r="G1412" s="30"/>
      <c r="K1412" s="30"/>
    </row>
    <row r="1413" spans="4:11" x14ac:dyDescent="0.25">
      <c r="D1413" s="34"/>
      <c r="F1413" s="30"/>
      <c r="G1413" s="30"/>
      <c r="K1413" s="30"/>
    </row>
    <row r="1414" spans="4:11" x14ac:dyDescent="0.25">
      <c r="D1414" s="34"/>
      <c r="F1414" s="30"/>
      <c r="G1414" s="30"/>
      <c r="K1414" s="30"/>
    </row>
    <row r="1415" spans="4:11" x14ac:dyDescent="0.25">
      <c r="D1415" s="34"/>
      <c r="F1415" s="30"/>
      <c r="G1415" s="30"/>
      <c r="K1415" s="30"/>
    </row>
    <row r="1416" spans="4:11" x14ac:dyDescent="0.25">
      <c r="D1416" s="34"/>
      <c r="F1416" s="30"/>
      <c r="G1416" s="30"/>
      <c r="K1416" s="30"/>
    </row>
    <row r="1417" spans="4:11" x14ac:dyDescent="0.25">
      <c r="D1417" s="34"/>
      <c r="F1417" s="30"/>
      <c r="G1417" s="30"/>
      <c r="K1417" s="30"/>
    </row>
    <row r="1418" spans="4:11" x14ac:dyDescent="0.25">
      <c r="D1418" s="34"/>
      <c r="F1418" s="30"/>
      <c r="G1418" s="30"/>
      <c r="K1418" s="30"/>
    </row>
    <row r="1419" spans="4:11" x14ac:dyDescent="0.25">
      <c r="D1419" s="34"/>
      <c r="F1419" s="30"/>
      <c r="G1419" s="30"/>
      <c r="K1419" s="30"/>
    </row>
    <row r="1420" spans="4:11" x14ac:dyDescent="0.25">
      <c r="D1420" s="34"/>
      <c r="F1420" s="30"/>
      <c r="G1420" s="30"/>
      <c r="K1420" s="30"/>
    </row>
    <row r="1421" spans="4:11" x14ac:dyDescent="0.25">
      <c r="D1421" s="34"/>
      <c r="F1421" s="30"/>
      <c r="G1421" s="30"/>
      <c r="K1421" s="30"/>
    </row>
    <row r="1422" spans="4:11" x14ac:dyDescent="0.25">
      <c r="D1422" s="34"/>
      <c r="F1422" s="30"/>
      <c r="G1422" s="30"/>
      <c r="K1422" s="30"/>
    </row>
    <row r="1423" spans="4:11" x14ac:dyDescent="0.25">
      <c r="D1423" s="34"/>
      <c r="F1423" s="30"/>
      <c r="G1423" s="30"/>
      <c r="K1423" s="30"/>
    </row>
    <row r="1424" spans="4:11" x14ac:dyDescent="0.25">
      <c r="D1424" s="34"/>
      <c r="F1424" s="30"/>
      <c r="G1424" s="30"/>
      <c r="K1424" s="30"/>
    </row>
    <row r="1425" spans="4:11" x14ac:dyDescent="0.25">
      <c r="D1425" s="34"/>
      <c r="F1425" s="30"/>
      <c r="G1425" s="30"/>
      <c r="K1425" s="30"/>
    </row>
    <row r="1426" spans="4:11" x14ac:dyDescent="0.25">
      <c r="D1426" s="34"/>
      <c r="F1426" s="30"/>
      <c r="G1426" s="30"/>
      <c r="K1426" s="30"/>
    </row>
    <row r="1427" spans="4:11" x14ac:dyDescent="0.25">
      <c r="D1427" s="34"/>
      <c r="F1427" s="30"/>
      <c r="G1427" s="30"/>
      <c r="K1427" s="30"/>
    </row>
    <row r="1428" spans="4:11" x14ac:dyDescent="0.25">
      <c r="D1428" s="34"/>
      <c r="F1428" s="30"/>
      <c r="G1428" s="30"/>
      <c r="K1428" s="30"/>
    </row>
    <row r="1429" spans="4:11" x14ac:dyDescent="0.25">
      <c r="D1429" s="34"/>
      <c r="F1429" s="30"/>
      <c r="G1429" s="30"/>
      <c r="K1429" s="30"/>
    </row>
    <row r="1430" spans="4:11" x14ac:dyDescent="0.25">
      <c r="D1430" s="34"/>
      <c r="F1430" s="30"/>
      <c r="G1430" s="30"/>
      <c r="K1430" s="30"/>
    </row>
    <row r="1431" spans="4:11" x14ac:dyDescent="0.25">
      <c r="D1431" s="34"/>
      <c r="F1431" s="30"/>
      <c r="G1431" s="30"/>
      <c r="K1431" s="30"/>
    </row>
    <row r="1432" spans="4:11" x14ac:dyDescent="0.25">
      <c r="D1432" s="34"/>
      <c r="F1432" s="30"/>
      <c r="G1432" s="30"/>
      <c r="K1432" s="30"/>
    </row>
    <row r="1433" spans="4:11" x14ac:dyDescent="0.25">
      <c r="D1433" s="34"/>
      <c r="F1433" s="30"/>
      <c r="G1433" s="30"/>
      <c r="K1433" s="30"/>
    </row>
    <row r="1434" spans="4:11" x14ac:dyDescent="0.25">
      <c r="D1434" s="34"/>
      <c r="F1434" s="30"/>
      <c r="G1434" s="30"/>
      <c r="K1434" s="30"/>
    </row>
    <row r="1435" spans="4:11" x14ac:dyDescent="0.25">
      <c r="D1435" s="34"/>
      <c r="F1435" s="30"/>
      <c r="G1435" s="30"/>
      <c r="K1435" s="30"/>
    </row>
    <row r="1436" spans="4:11" x14ac:dyDescent="0.25">
      <c r="D1436" s="34"/>
      <c r="F1436" s="30"/>
      <c r="G1436" s="30"/>
      <c r="K1436" s="30"/>
    </row>
    <row r="1437" spans="4:11" x14ac:dyDescent="0.25">
      <c r="D1437" s="34"/>
      <c r="F1437" s="30"/>
      <c r="G1437" s="30"/>
      <c r="K1437" s="30"/>
    </row>
    <row r="1438" spans="4:11" x14ac:dyDescent="0.25">
      <c r="D1438" s="34"/>
      <c r="F1438" s="30"/>
      <c r="G1438" s="30"/>
      <c r="K1438" s="30"/>
    </row>
    <row r="1439" spans="4:11" x14ac:dyDescent="0.25">
      <c r="D1439" s="34"/>
      <c r="F1439" s="30"/>
      <c r="G1439" s="30"/>
      <c r="K1439" s="30"/>
    </row>
    <row r="1440" spans="4:11" x14ac:dyDescent="0.25">
      <c r="D1440" s="34"/>
      <c r="F1440" s="30"/>
      <c r="G1440" s="30"/>
      <c r="K1440" s="30"/>
    </row>
    <row r="1441" spans="4:11" x14ac:dyDescent="0.25">
      <c r="D1441" s="34"/>
      <c r="F1441" s="30"/>
      <c r="G1441" s="30"/>
      <c r="K1441" s="30"/>
    </row>
    <row r="1442" spans="4:11" x14ac:dyDescent="0.25">
      <c r="D1442" s="34"/>
      <c r="F1442" s="30"/>
      <c r="G1442" s="30"/>
      <c r="K1442" s="30"/>
    </row>
    <row r="1443" spans="4:11" x14ac:dyDescent="0.25">
      <c r="D1443" s="34"/>
      <c r="F1443" s="30"/>
      <c r="G1443" s="30"/>
      <c r="K1443" s="30"/>
    </row>
    <row r="1444" spans="4:11" x14ac:dyDescent="0.25">
      <c r="D1444" s="34"/>
      <c r="F1444" s="30"/>
      <c r="G1444" s="30"/>
      <c r="K1444" s="30"/>
    </row>
    <row r="1445" spans="4:11" x14ac:dyDescent="0.25">
      <c r="D1445" s="34"/>
      <c r="F1445" s="30"/>
      <c r="G1445" s="30"/>
      <c r="K1445" s="30"/>
    </row>
    <row r="1446" spans="4:11" x14ac:dyDescent="0.25">
      <c r="D1446" s="34"/>
      <c r="F1446" s="30"/>
      <c r="G1446" s="30"/>
      <c r="K1446" s="30"/>
    </row>
    <row r="1447" spans="4:11" x14ac:dyDescent="0.25">
      <c r="D1447" s="34"/>
      <c r="F1447" s="30"/>
      <c r="G1447" s="30"/>
      <c r="K1447" s="30"/>
    </row>
    <row r="1448" spans="4:11" x14ac:dyDescent="0.25">
      <c r="D1448" s="34"/>
      <c r="F1448" s="30"/>
      <c r="G1448" s="30"/>
      <c r="K1448" s="30"/>
    </row>
    <row r="1449" spans="4:11" x14ac:dyDescent="0.25">
      <c r="D1449" s="34"/>
      <c r="F1449" s="30"/>
      <c r="G1449" s="30"/>
      <c r="K1449" s="30"/>
    </row>
    <row r="1450" spans="4:11" x14ac:dyDescent="0.25">
      <c r="D1450" s="34"/>
      <c r="F1450" s="30"/>
      <c r="G1450" s="30"/>
      <c r="K1450" s="30"/>
    </row>
    <row r="1451" spans="4:11" x14ac:dyDescent="0.25">
      <c r="D1451" s="34"/>
      <c r="F1451" s="30"/>
      <c r="G1451" s="30"/>
      <c r="K1451" s="30"/>
    </row>
    <row r="1452" spans="4:11" x14ac:dyDescent="0.25">
      <c r="D1452" s="34"/>
      <c r="F1452" s="30"/>
      <c r="G1452" s="30"/>
      <c r="K1452" s="30"/>
    </row>
    <row r="1453" spans="4:11" x14ac:dyDescent="0.25">
      <c r="D1453" s="34"/>
      <c r="F1453" s="30"/>
      <c r="G1453" s="30"/>
      <c r="K1453" s="30"/>
    </row>
    <row r="1454" spans="4:11" x14ac:dyDescent="0.25">
      <c r="D1454" s="34"/>
      <c r="F1454" s="30"/>
      <c r="G1454" s="30"/>
      <c r="K1454" s="30"/>
    </row>
    <row r="1455" spans="4:11" x14ac:dyDescent="0.25">
      <c r="D1455" s="34"/>
      <c r="F1455" s="30"/>
      <c r="G1455" s="30"/>
      <c r="K1455" s="30"/>
    </row>
    <row r="1456" spans="4:11" x14ac:dyDescent="0.25">
      <c r="D1456" s="34"/>
      <c r="F1456" s="30"/>
      <c r="G1456" s="30"/>
      <c r="K1456" s="30"/>
    </row>
    <row r="1457" spans="4:11" x14ac:dyDescent="0.25">
      <c r="D1457" s="34"/>
      <c r="F1457" s="30"/>
      <c r="G1457" s="30"/>
      <c r="K1457" s="30"/>
    </row>
    <row r="1458" spans="4:11" x14ac:dyDescent="0.25">
      <c r="D1458" s="34"/>
      <c r="F1458" s="30"/>
      <c r="G1458" s="30"/>
      <c r="K1458" s="30"/>
    </row>
    <row r="1459" spans="4:11" x14ac:dyDescent="0.25">
      <c r="D1459" s="34"/>
      <c r="F1459" s="30"/>
      <c r="G1459" s="30"/>
      <c r="K1459" s="30"/>
    </row>
    <row r="1460" spans="4:11" x14ac:dyDescent="0.25">
      <c r="D1460" s="34"/>
      <c r="F1460" s="30"/>
      <c r="G1460" s="30"/>
      <c r="K1460" s="30"/>
    </row>
    <row r="1461" spans="4:11" x14ac:dyDescent="0.25">
      <c r="D1461" s="34"/>
      <c r="F1461" s="30"/>
      <c r="G1461" s="30"/>
      <c r="K1461" s="30"/>
    </row>
    <row r="1462" spans="4:11" x14ac:dyDescent="0.25">
      <c r="D1462" s="34"/>
      <c r="F1462" s="30"/>
      <c r="G1462" s="30"/>
      <c r="K1462" s="30"/>
    </row>
    <row r="1463" spans="4:11" x14ac:dyDescent="0.25">
      <c r="D1463" s="34"/>
      <c r="F1463" s="30"/>
      <c r="G1463" s="30"/>
      <c r="K1463" s="30"/>
    </row>
    <row r="1464" spans="4:11" x14ac:dyDescent="0.25">
      <c r="D1464" s="34"/>
      <c r="F1464" s="30"/>
      <c r="G1464" s="30"/>
      <c r="K1464" s="30"/>
    </row>
    <row r="1465" spans="4:11" x14ac:dyDescent="0.25">
      <c r="D1465" s="34"/>
      <c r="F1465" s="30"/>
      <c r="G1465" s="30"/>
      <c r="K1465" s="30"/>
    </row>
    <row r="1466" spans="4:11" x14ac:dyDescent="0.25">
      <c r="D1466" s="34"/>
      <c r="F1466" s="30"/>
      <c r="G1466" s="30"/>
      <c r="K1466" s="30"/>
    </row>
    <row r="1467" spans="4:11" x14ac:dyDescent="0.25">
      <c r="D1467" s="34"/>
      <c r="F1467" s="30"/>
      <c r="G1467" s="30"/>
      <c r="K1467" s="30"/>
    </row>
    <row r="1468" spans="4:11" x14ac:dyDescent="0.25">
      <c r="D1468" s="34"/>
      <c r="F1468" s="30"/>
      <c r="G1468" s="30"/>
      <c r="K1468" s="30"/>
    </row>
    <row r="1469" spans="4:11" x14ac:dyDescent="0.25">
      <c r="D1469" s="34"/>
      <c r="F1469" s="30"/>
      <c r="G1469" s="30"/>
      <c r="K1469" s="30"/>
    </row>
    <row r="1470" spans="4:11" x14ac:dyDescent="0.25">
      <c r="D1470" s="34"/>
      <c r="F1470" s="30"/>
      <c r="G1470" s="30"/>
      <c r="K1470" s="30"/>
    </row>
    <row r="1471" spans="4:11" x14ac:dyDescent="0.25">
      <c r="D1471" s="34"/>
      <c r="F1471" s="30"/>
      <c r="G1471" s="30"/>
      <c r="K1471" s="30"/>
    </row>
    <row r="1472" spans="4:11" x14ac:dyDescent="0.25">
      <c r="D1472" s="34"/>
      <c r="F1472" s="30"/>
      <c r="G1472" s="30"/>
      <c r="K1472" s="30"/>
    </row>
    <row r="1473" spans="4:11" x14ac:dyDescent="0.25">
      <c r="D1473" s="34"/>
      <c r="F1473" s="30"/>
      <c r="G1473" s="30"/>
      <c r="K1473" s="30"/>
    </row>
    <row r="1474" spans="4:11" x14ac:dyDescent="0.25">
      <c r="D1474" s="34"/>
      <c r="F1474" s="30"/>
      <c r="G1474" s="30"/>
      <c r="K1474" s="30"/>
    </row>
    <row r="1475" spans="4:11" x14ac:dyDescent="0.25">
      <c r="D1475" s="34"/>
      <c r="F1475" s="30"/>
      <c r="G1475" s="30"/>
      <c r="K1475" s="30"/>
    </row>
    <row r="1476" spans="4:11" x14ac:dyDescent="0.25">
      <c r="D1476" s="34"/>
      <c r="F1476" s="30"/>
      <c r="G1476" s="30"/>
      <c r="K1476" s="30"/>
    </row>
    <row r="1477" spans="4:11" x14ac:dyDescent="0.25">
      <c r="D1477" s="34"/>
      <c r="F1477" s="30"/>
      <c r="G1477" s="30"/>
      <c r="K1477" s="30"/>
    </row>
    <row r="1478" spans="4:11" x14ac:dyDescent="0.25">
      <c r="D1478" s="34"/>
      <c r="F1478" s="30"/>
      <c r="G1478" s="30"/>
      <c r="K1478" s="30"/>
    </row>
    <row r="1479" spans="4:11" x14ac:dyDescent="0.25">
      <c r="D1479" s="34"/>
      <c r="F1479" s="30"/>
      <c r="G1479" s="30"/>
      <c r="K1479" s="30"/>
    </row>
    <row r="1480" spans="4:11" x14ac:dyDescent="0.25">
      <c r="D1480" s="34"/>
      <c r="F1480" s="30"/>
      <c r="G1480" s="30"/>
      <c r="K1480" s="30"/>
    </row>
    <row r="1481" spans="4:11" x14ac:dyDescent="0.25">
      <c r="D1481" s="34"/>
      <c r="F1481" s="30"/>
      <c r="G1481" s="30"/>
      <c r="K1481" s="30"/>
    </row>
    <row r="1482" spans="4:11" x14ac:dyDescent="0.25">
      <c r="D1482" s="34"/>
      <c r="F1482" s="30"/>
      <c r="G1482" s="30"/>
      <c r="K1482" s="30"/>
    </row>
    <row r="1483" spans="4:11" x14ac:dyDescent="0.25">
      <c r="D1483" s="34"/>
      <c r="F1483" s="30"/>
      <c r="G1483" s="30"/>
      <c r="K1483" s="30"/>
    </row>
    <row r="1484" spans="4:11" x14ac:dyDescent="0.25">
      <c r="D1484" s="34"/>
      <c r="F1484" s="30"/>
      <c r="G1484" s="30"/>
      <c r="K1484" s="30"/>
    </row>
    <row r="1485" spans="4:11" x14ac:dyDescent="0.25">
      <c r="D1485" s="34"/>
      <c r="F1485" s="30"/>
      <c r="G1485" s="30"/>
      <c r="K1485" s="30"/>
    </row>
    <row r="1486" spans="4:11" x14ac:dyDescent="0.25">
      <c r="D1486" s="34"/>
      <c r="F1486" s="30"/>
      <c r="G1486" s="30"/>
      <c r="K1486" s="30"/>
    </row>
    <row r="1487" spans="4:11" x14ac:dyDescent="0.25">
      <c r="D1487" s="34"/>
      <c r="F1487" s="30"/>
      <c r="G1487" s="30"/>
      <c r="K1487" s="30"/>
    </row>
    <row r="1488" spans="4:11" x14ac:dyDescent="0.25">
      <c r="D1488" s="34"/>
      <c r="F1488" s="30"/>
      <c r="G1488" s="30"/>
      <c r="K1488" s="30"/>
    </row>
    <row r="1489" spans="4:11" x14ac:dyDescent="0.25">
      <c r="D1489" s="34"/>
      <c r="F1489" s="30"/>
      <c r="G1489" s="30"/>
      <c r="K1489" s="30"/>
    </row>
    <row r="1490" spans="4:11" x14ac:dyDescent="0.25">
      <c r="D1490" s="34"/>
      <c r="F1490" s="30"/>
      <c r="G1490" s="30"/>
      <c r="K1490" s="30"/>
    </row>
    <row r="1491" spans="4:11" x14ac:dyDescent="0.25">
      <c r="D1491" s="34"/>
      <c r="F1491" s="30"/>
      <c r="G1491" s="30"/>
      <c r="K1491" s="30"/>
    </row>
    <row r="1492" spans="4:11" x14ac:dyDescent="0.25">
      <c r="D1492" s="34"/>
      <c r="F1492" s="30"/>
      <c r="G1492" s="30"/>
      <c r="K1492" s="30"/>
    </row>
    <row r="1493" spans="4:11" x14ac:dyDescent="0.25">
      <c r="D1493" s="34"/>
      <c r="F1493" s="30"/>
      <c r="G1493" s="30"/>
      <c r="K1493" s="30"/>
    </row>
    <row r="1494" spans="4:11" x14ac:dyDescent="0.25">
      <c r="D1494" s="34"/>
      <c r="F1494" s="30"/>
      <c r="G1494" s="30"/>
      <c r="K1494" s="30"/>
    </row>
    <row r="1495" spans="4:11" x14ac:dyDescent="0.25">
      <c r="D1495" s="34"/>
      <c r="F1495" s="30"/>
      <c r="G1495" s="30"/>
      <c r="K1495" s="30"/>
    </row>
    <row r="1496" spans="4:11" x14ac:dyDescent="0.25">
      <c r="D1496" s="34"/>
      <c r="F1496" s="30"/>
      <c r="G1496" s="30"/>
      <c r="K1496" s="30"/>
    </row>
    <row r="1497" spans="4:11" x14ac:dyDescent="0.25">
      <c r="D1497" s="34"/>
      <c r="F1497" s="30"/>
      <c r="G1497" s="30"/>
      <c r="K1497" s="30"/>
    </row>
    <row r="1498" spans="4:11" x14ac:dyDescent="0.25">
      <c r="D1498" s="34"/>
      <c r="F1498" s="30"/>
      <c r="G1498" s="30"/>
      <c r="K1498" s="30"/>
    </row>
    <row r="1499" spans="4:11" x14ac:dyDescent="0.25">
      <c r="D1499" s="34"/>
      <c r="F1499" s="30"/>
      <c r="G1499" s="30"/>
      <c r="K1499" s="30"/>
    </row>
    <row r="1500" spans="4:11" x14ac:dyDescent="0.25">
      <c r="D1500" s="34"/>
      <c r="F1500" s="30"/>
      <c r="G1500" s="30"/>
      <c r="K1500" s="30"/>
    </row>
    <row r="1501" spans="4:11" x14ac:dyDescent="0.25">
      <c r="D1501" s="34"/>
      <c r="F1501" s="30"/>
      <c r="G1501" s="30"/>
      <c r="K1501" s="30"/>
    </row>
    <row r="1502" spans="4:11" x14ac:dyDescent="0.25">
      <c r="D1502" s="34"/>
      <c r="F1502" s="30"/>
      <c r="G1502" s="30"/>
      <c r="K1502" s="30"/>
    </row>
    <row r="1503" spans="4:11" x14ac:dyDescent="0.25">
      <c r="D1503" s="34"/>
      <c r="F1503" s="30"/>
      <c r="G1503" s="30"/>
      <c r="K1503" s="30"/>
    </row>
    <row r="1504" spans="4:11" x14ac:dyDescent="0.25">
      <c r="D1504" s="34"/>
      <c r="F1504" s="30"/>
      <c r="G1504" s="30"/>
      <c r="K1504" s="30"/>
    </row>
    <row r="1505" spans="4:11" x14ac:dyDescent="0.25">
      <c r="D1505" s="34"/>
      <c r="F1505" s="30"/>
      <c r="G1505" s="30"/>
      <c r="K1505" s="30"/>
    </row>
    <row r="1506" spans="4:11" x14ac:dyDescent="0.25">
      <c r="D1506" s="34"/>
      <c r="F1506" s="30"/>
      <c r="G1506" s="30"/>
      <c r="K1506" s="30"/>
    </row>
    <row r="1507" spans="4:11" x14ac:dyDescent="0.25">
      <c r="D1507" s="34"/>
      <c r="F1507" s="30"/>
      <c r="G1507" s="30"/>
      <c r="K1507" s="30"/>
    </row>
    <row r="1508" spans="4:11" x14ac:dyDescent="0.25">
      <c r="D1508" s="34"/>
      <c r="F1508" s="30"/>
      <c r="G1508" s="30"/>
      <c r="K1508" s="30"/>
    </row>
    <row r="1509" spans="4:11" x14ac:dyDescent="0.25">
      <c r="D1509" s="34"/>
      <c r="F1509" s="30"/>
      <c r="G1509" s="30"/>
      <c r="K1509" s="30"/>
    </row>
    <row r="1510" spans="4:11" x14ac:dyDescent="0.25">
      <c r="D1510" s="34"/>
      <c r="F1510" s="30"/>
      <c r="G1510" s="30"/>
      <c r="K1510" s="30"/>
    </row>
    <row r="1511" spans="4:11" x14ac:dyDescent="0.25">
      <c r="D1511" s="34"/>
      <c r="F1511" s="30"/>
      <c r="G1511" s="30"/>
      <c r="K1511" s="30"/>
    </row>
    <row r="1512" spans="4:11" x14ac:dyDescent="0.25">
      <c r="D1512" s="34"/>
      <c r="F1512" s="30"/>
      <c r="G1512" s="30"/>
      <c r="K1512" s="30"/>
    </row>
    <row r="1513" spans="4:11" x14ac:dyDescent="0.25">
      <c r="D1513" s="34"/>
      <c r="F1513" s="30"/>
      <c r="G1513" s="30"/>
      <c r="K1513" s="30"/>
    </row>
    <row r="1514" spans="4:11" x14ac:dyDescent="0.25">
      <c r="D1514" s="34"/>
      <c r="F1514" s="30"/>
      <c r="G1514" s="30"/>
      <c r="K1514" s="30"/>
    </row>
    <row r="1515" spans="4:11" x14ac:dyDescent="0.25">
      <c r="D1515" s="34"/>
      <c r="F1515" s="30"/>
      <c r="G1515" s="30"/>
      <c r="K1515" s="30"/>
    </row>
    <row r="1516" spans="4:11" x14ac:dyDescent="0.25">
      <c r="D1516" s="34"/>
      <c r="F1516" s="30"/>
      <c r="G1516" s="30"/>
      <c r="K1516" s="30"/>
    </row>
    <row r="1517" spans="4:11" x14ac:dyDescent="0.25">
      <c r="D1517" s="34"/>
      <c r="F1517" s="30"/>
      <c r="G1517" s="30"/>
      <c r="K1517" s="30"/>
    </row>
    <row r="1518" spans="4:11" x14ac:dyDescent="0.25">
      <c r="D1518" s="34"/>
      <c r="F1518" s="30"/>
      <c r="G1518" s="30"/>
      <c r="K1518" s="30"/>
    </row>
    <row r="1519" spans="4:11" x14ac:dyDescent="0.25">
      <c r="D1519" s="34"/>
      <c r="F1519" s="30"/>
      <c r="G1519" s="30"/>
      <c r="K1519" s="30"/>
    </row>
    <row r="1520" spans="4:11" x14ac:dyDescent="0.25">
      <c r="D1520" s="34"/>
      <c r="F1520" s="30"/>
      <c r="G1520" s="30"/>
      <c r="K1520" s="30"/>
    </row>
    <row r="1521" spans="4:11" x14ac:dyDescent="0.25">
      <c r="D1521" s="34"/>
      <c r="F1521" s="30"/>
      <c r="G1521" s="30"/>
      <c r="K1521" s="30"/>
    </row>
    <row r="1522" spans="4:11" x14ac:dyDescent="0.25">
      <c r="D1522" s="34"/>
      <c r="F1522" s="30"/>
      <c r="G1522" s="30"/>
      <c r="K1522" s="30"/>
    </row>
    <row r="1523" spans="4:11" x14ac:dyDescent="0.25">
      <c r="D1523" s="34"/>
      <c r="F1523" s="30"/>
      <c r="G1523" s="30"/>
      <c r="K1523" s="30"/>
    </row>
    <row r="1524" spans="4:11" x14ac:dyDescent="0.25">
      <c r="D1524" s="34"/>
      <c r="F1524" s="30"/>
      <c r="G1524" s="30"/>
      <c r="K1524" s="30"/>
    </row>
    <row r="1525" spans="4:11" x14ac:dyDescent="0.25">
      <c r="D1525" s="34"/>
      <c r="F1525" s="30"/>
      <c r="G1525" s="30"/>
      <c r="K1525" s="30"/>
    </row>
    <row r="1526" spans="4:11" x14ac:dyDescent="0.25">
      <c r="D1526" s="34"/>
      <c r="F1526" s="30"/>
      <c r="G1526" s="30"/>
      <c r="K1526" s="30"/>
    </row>
    <row r="1527" spans="4:11" x14ac:dyDescent="0.25">
      <c r="D1527" s="34"/>
      <c r="F1527" s="30"/>
      <c r="G1527" s="30"/>
      <c r="K1527" s="30"/>
    </row>
    <row r="1528" spans="4:11" x14ac:dyDescent="0.25">
      <c r="D1528" s="34"/>
      <c r="F1528" s="30"/>
      <c r="G1528" s="30"/>
      <c r="K1528" s="30"/>
    </row>
    <row r="1529" spans="4:11" x14ac:dyDescent="0.25">
      <c r="D1529" s="34"/>
      <c r="F1529" s="30"/>
      <c r="G1529" s="30"/>
      <c r="K1529" s="30"/>
    </row>
    <row r="1530" spans="4:11" x14ac:dyDescent="0.25">
      <c r="D1530" s="34"/>
      <c r="F1530" s="30"/>
      <c r="G1530" s="30"/>
      <c r="K1530" s="30"/>
    </row>
  </sheetData>
  <autoFilter ref="A2:R778" xr:uid="{75FD4D84-AD5B-4C84-B52D-A79E2A24F32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C235F-CE9F-483F-87A4-731E61A01D1B}">
  <dimension ref="A1:Q54"/>
  <sheetViews>
    <sheetView zoomScale="80" zoomScaleNormal="80" workbookViewId="0">
      <selection activeCell="A3" sqref="A3:P54"/>
    </sheetView>
  </sheetViews>
  <sheetFormatPr defaultRowHeight="13.2" x14ac:dyDescent="0.25"/>
  <cols>
    <col min="1" max="1" width="12.6640625" bestFit="1" customWidth="1"/>
    <col min="2" max="2" width="37.109375" bestFit="1" customWidth="1"/>
    <col min="3" max="3" width="18.33203125" bestFit="1" customWidth="1"/>
    <col min="4" max="4" width="12.6640625" style="32" bestFit="1" customWidth="1"/>
    <col min="5" max="5" width="11.6640625" bestFit="1" customWidth="1"/>
    <col min="6" max="6" width="16" style="3" bestFit="1" customWidth="1"/>
    <col min="7" max="7" width="11.88671875" bestFit="1" customWidth="1"/>
    <col min="8" max="8" width="10" bestFit="1" customWidth="1"/>
    <col min="9" max="9" width="12.44140625" bestFit="1" customWidth="1"/>
    <col min="10" max="10" width="12.6640625" bestFit="1" customWidth="1"/>
    <col min="11" max="11" width="16" style="3" bestFit="1" customWidth="1"/>
    <col min="12" max="12" width="11.33203125" bestFit="1" customWidth="1"/>
    <col min="13" max="13" width="18.109375" bestFit="1" customWidth="1"/>
    <col min="14" max="14" width="15" bestFit="1" customWidth="1"/>
    <col min="15" max="15" width="18.6640625" bestFit="1" customWidth="1"/>
    <col min="16" max="16" width="42.33203125" bestFit="1" customWidth="1"/>
    <col min="17" max="17" width="15.6640625" bestFit="1" customWidth="1"/>
  </cols>
  <sheetData>
    <row r="1" spans="1:17" x14ac:dyDescent="0.25">
      <c r="D1" s="32">
        <f>SUBTOTAL(9,D3:D999)</f>
        <v>176583.12</v>
      </c>
      <c r="Q1" s="3">
        <v>46141</v>
      </c>
    </row>
    <row r="2" spans="1:17" x14ac:dyDescent="0.25">
      <c r="A2" s="2" t="s">
        <v>4</v>
      </c>
      <c r="B2" s="2" t="s">
        <v>3</v>
      </c>
      <c r="C2" s="2" t="s">
        <v>0</v>
      </c>
      <c r="D2" s="213" t="s">
        <v>6</v>
      </c>
      <c r="E2" s="2" t="s">
        <v>216</v>
      </c>
      <c r="F2" s="212" t="s">
        <v>2</v>
      </c>
      <c r="G2" s="2" t="s">
        <v>215</v>
      </c>
      <c r="H2" s="2" t="s">
        <v>217</v>
      </c>
      <c r="I2" s="2" t="s">
        <v>218</v>
      </c>
      <c r="J2" s="2" t="s">
        <v>1</v>
      </c>
      <c r="K2" s="212" t="s">
        <v>219</v>
      </c>
      <c r="L2" s="2" t="s">
        <v>220</v>
      </c>
      <c r="M2" s="2" t="s">
        <v>221</v>
      </c>
      <c r="N2" s="2" t="s">
        <v>222</v>
      </c>
      <c r="O2" s="2" t="s">
        <v>223</v>
      </c>
      <c r="P2" s="2" t="s">
        <v>409</v>
      </c>
      <c r="Q2" s="4" t="s">
        <v>5</v>
      </c>
    </row>
    <row r="3" spans="1:17" x14ac:dyDescent="0.25">
      <c r="A3">
        <v>1787</v>
      </c>
      <c r="B3" t="s">
        <v>67</v>
      </c>
      <c r="C3" t="s">
        <v>68</v>
      </c>
      <c r="D3" s="34">
        <v>3600</v>
      </c>
      <c r="E3">
        <v>1246031589</v>
      </c>
      <c r="F3" s="30">
        <v>44784</v>
      </c>
      <c r="G3" s="30"/>
      <c r="H3" t="s">
        <v>28</v>
      </c>
      <c r="I3" t="s">
        <v>29</v>
      </c>
      <c r="J3">
        <v>1246031589</v>
      </c>
      <c r="K3" s="30">
        <v>44769</v>
      </c>
      <c r="L3">
        <v>3041000</v>
      </c>
      <c r="M3" t="s">
        <v>137</v>
      </c>
      <c r="N3">
        <v>46</v>
      </c>
      <c r="O3" t="s">
        <v>162</v>
      </c>
      <c r="P3" t="s">
        <v>527</v>
      </c>
      <c r="Q3">
        <f>$Q$1-F3</f>
        <v>1357</v>
      </c>
    </row>
    <row r="4" spans="1:17" x14ac:dyDescent="0.25">
      <c r="A4">
        <v>1787</v>
      </c>
      <c r="B4" t="s">
        <v>67</v>
      </c>
      <c r="C4" t="s">
        <v>68</v>
      </c>
      <c r="D4" s="34">
        <v>2700</v>
      </c>
      <c r="E4">
        <v>1246055596</v>
      </c>
      <c r="F4" s="30">
        <v>44889</v>
      </c>
      <c r="G4" s="30"/>
      <c r="H4" t="s">
        <v>28</v>
      </c>
      <c r="I4" t="s">
        <v>29</v>
      </c>
      <c r="J4">
        <v>1246055596</v>
      </c>
      <c r="K4" s="30">
        <v>44889</v>
      </c>
      <c r="L4">
        <v>3041000</v>
      </c>
      <c r="M4" t="s">
        <v>137</v>
      </c>
      <c r="N4">
        <v>46</v>
      </c>
      <c r="O4" t="s">
        <v>162</v>
      </c>
      <c r="P4" t="s">
        <v>527</v>
      </c>
      <c r="Q4">
        <f t="shared" ref="Q4:Q54" si="0">$Q$1-F4</f>
        <v>1252</v>
      </c>
    </row>
    <row r="5" spans="1:17" x14ac:dyDescent="0.25">
      <c r="A5">
        <v>1788</v>
      </c>
      <c r="B5" t="s">
        <v>69</v>
      </c>
      <c r="C5" t="s">
        <v>70</v>
      </c>
      <c r="D5" s="34">
        <v>5400</v>
      </c>
      <c r="E5">
        <v>1246055599</v>
      </c>
      <c r="F5" s="30">
        <v>44889</v>
      </c>
      <c r="G5" s="30"/>
      <c r="H5" t="s">
        <v>28</v>
      </c>
      <c r="I5" t="s">
        <v>29</v>
      </c>
      <c r="J5">
        <v>1246055599</v>
      </c>
      <c r="K5" s="30">
        <v>44889</v>
      </c>
      <c r="L5">
        <v>3041000</v>
      </c>
      <c r="M5" t="s">
        <v>137</v>
      </c>
      <c r="N5">
        <v>46</v>
      </c>
      <c r="O5" t="s">
        <v>162</v>
      </c>
      <c r="P5" t="s">
        <v>527</v>
      </c>
      <c r="Q5">
        <f t="shared" si="0"/>
        <v>1252</v>
      </c>
    </row>
    <row r="6" spans="1:17" x14ac:dyDescent="0.25">
      <c r="A6">
        <v>1788</v>
      </c>
      <c r="B6" t="s">
        <v>69</v>
      </c>
      <c r="C6" t="s">
        <v>70</v>
      </c>
      <c r="D6" s="34">
        <v>1200</v>
      </c>
      <c r="E6">
        <v>1246190701</v>
      </c>
      <c r="F6" s="30">
        <v>45674</v>
      </c>
      <c r="G6" s="30"/>
      <c r="H6" t="s">
        <v>28</v>
      </c>
      <c r="I6" t="s">
        <v>29</v>
      </c>
      <c r="J6">
        <v>1246190701</v>
      </c>
      <c r="K6" s="30">
        <v>45659</v>
      </c>
      <c r="L6">
        <v>3041000</v>
      </c>
      <c r="M6" t="s">
        <v>137</v>
      </c>
      <c r="N6">
        <v>46</v>
      </c>
      <c r="O6" t="s">
        <v>162</v>
      </c>
      <c r="P6" t="s">
        <v>527</v>
      </c>
      <c r="Q6">
        <f t="shared" si="0"/>
        <v>467</v>
      </c>
    </row>
    <row r="7" spans="1:17" x14ac:dyDescent="0.25">
      <c r="A7">
        <v>1789</v>
      </c>
      <c r="B7" t="s">
        <v>71</v>
      </c>
      <c r="C7" t="s">
        <v>72</v>
      </c>
      <c r="D7" s="34">
        <v>2700</v>
      </c>
      <c r="E7">
        <v>1246120461</v>
      </c>
      <c r="F7" s="30">
        <v>45294</v>
      </c>
      <c r="G7" s="30"/>
      <c r="H7" t="s">
        <v>28</v>
      </c>
      <c r="I7" t="s">
        <v>29</v>
      </c>
      <c r="J7">
        <v>191223</v>
      </c>
      <c r="K7" s="30">
        <v>45279</v>
      </c>
      <c r="L7">
        <v>3041000</v>
      </c>
      <c r="M7" t="s">
        <v>137</v>
      </c>
      <c r="N7">
        <v>46</v>
      </c>
      <c r="O7" t="s">
        <v>162</v>
      </c>
      <c r="P7" t="s">
        <v>527</v>
      </c>
      <c r="Q7">
        <f t="shared" si="0"/>
        <v>847</v>
      </c>
    </row>
    <row r="8" spans="1:17" x14ac:dyDescent="0.25">
      <c r="A8">
        <v>1789</v>
      </c>
      <c r="B8" t="s">
        <v>71</v>
      </c>
      <c r="C8" t="s">
        <v>72</v>
      </c>
      <c r="D8" s="34">
        <v>900</v>
      </c>
      <c r="E8">
        <v>1246146095</v>
      </c>
      <c r="F8" s="30">
        <v>45428</v>
      </c>
      <c r="G8" s="30"/>
      <c r="H8" t="s">
        <v>28</v>
      </c>
      <c r="I8" t="s">
        <v>29</v>
      </c>
      <c r="J8">
        <v>1246120461</v>
      </c>
      <c r="K8" s="30">
        <v>45428</v>
      </c>
      <c r="L8">
        <v>3041000</v>
      </c>
      <c r="M8" t="s">
        <v>137</v>
      </c>
      <c r="N8">
        <v>46</v>
      </c>
      <c r="O8" t="s">
        <v>162</v>
      </c>
      <c r="P8" t="s">
        <v>527</v>
      </c>
      <c r="Q8">
        <f t="shared" si="0"/>
        <v>713</v>
      </c>
    </row>
    <row r="9" spans="1:17" x14ac:dyDescent="0.25">
      <c r="A9">
        <v>43</v>
      </c>
      <c r="B9" t="s">
        <v>775</v>
      </c>
      <c r="C9" t="s">
        <v>37</v>
      </c>
      <c r="D9" s="34">
        <v>3600</v>
      </c>
      <c r="E9">
        <v>1246271938</v>
      </c>
      <c r="F9" s="30">
        <v>46147</v>
      </c>
      <c r="G9" s="30"/>
      <c r="H9" t="s">
        <v>28</v>
      </c>
      <c r="I9" t="s">
        <v>29</v>
      </c>
      <c r="J9">
        <v>1246271938</v>
      </c>
      <c r="K9" s="30">
        <v>46132</v>
      </c>
      <c r="L9">
        <v>3042200</v>
      </c>
      <c r="M9" t="s">
        <v>830</v>
      </c>
      <c r="N9">
        <v>46</v>
      </c>
      <c r="O9" t="s">
        <v>162</v>
      </c>
      <c r="P9" t="s">
        <v>415</v>
      </c>
      <c r="Q9">
        <f>$Q$1-F9</f>
        <v>-6</v>
      </c>
    </row>
    <row r="10" spans="1:17" x14ac:dyDescent="0.25">
      <c r="A10">
        <v>43</v>
      </c>
      <c r="B10" t="s">
        <v>775</v>
      </c>
      <c r="C10" t="s">
        <v>37</v>
      </c>
      <c r="D10" s="34">
        <v>3600</v>
      </c>
      <c r="E10">
        <v>1246271937</v>
      </c>
      <c r="F10" s="30">
        <v>46147</v>
      </c>
      <c r="G10" s="30"/>
      <c r="H10" t="s">
        <v>28</v>
      </c>
      <c r="I10" t="s">
        <v>29</v>
      </c>
      <c r="J10">
        <v>1246271937</v>
      </c>
      <c r="K10" s="30">
        <v>46132</v>
      </c>
      <c r="L10">
        <v>3042200</v>
      </c>
      <c r="M10" t="s">
        <v>830</v>
      </c>
      <c r="N10">
        <v>46</v>
      </c>
      <c r="O10" t="s">
        <v>162</v>
      </c>
      <c r="P10" t="s">
        <v>415</v>
      </c>
      <c r="Q10">
        <f t="shared" si="0"/>
        <v>-6</v>
      </c>
    </row>
    <row r="11" spans="1:17" x14ac:dyDescent="0.25">
      <c r="A11">
        <v>43</v>
      </c>
      <c r="B11" t="s">
        <v>775</v>
      </c>
      <c r="C11" t="s">
        <v>37</v>
      </c>
      <c r="D11" s="34">
        <v>3600</v>
      </c>
      <c r="E11">
        <v>1246271931</v>
      </c>
      <c r="F11" s="30">
        <v>46147</v>
      </c>
      <c r="G11" s="30"/>
      <c r="H11" t="s">
        <v>28</v>
      </c>
      <c r="I11" t="s">
        <v>29</v>
      </c>
      <c r="J11">
        <v>1246271931</v>
      </c>
      <c r="K11" s="30">
        <v>46132</v>
      </c>
      <c r="L11">
        <v>3042200</v>
      </c>
      <c r="M11" t="s">
        <v>830</v>
      </c>
      <c r="N11">
        <v>46</v>
      </c>
      <c r="O11" t="s">
        <v>162</v>
      </c>
      <c r="P11" t="s">
        <v>415</v>
      </c>
      <c r="Q11">
        <f t="shared" si="0"/>
        <v>-6</v>
      </c>
    </row>
    <row r="12" spans="1:17" x14ac:dyDescent="0.25">
      <c r="A12">
        <v>43</v>
      </c>
      <c r="B12" t="s">
        <v>775</v>
      </c>
      <c r="C12" t="s">
        <v>37</v>
      </c>
      <c r="D12" s="34">
        <v>6000</v>
      </c>
      <c r="E12">
        <v>1246271936</v>
      </c>
      <c r="F12" s="30">
        <v>46147</v>
      </c>
      <c r="G12" s="30"/>
      <c r="H12" t="s">
        <v>28</v>
      </c>
      <c r="I12" t="s">
        <v>29</v>
      </c>
      <c r="J12">
        <v>1246271936</v>
      </c>
      <c r="K12" s="30">
        <v>46132</v>
      </c>
      <c r="L12">
        <v>3042200</v>
      </c>
      <c r="M12" t="s">
        <v>830</v>
      </c>
      <c r="N12">
        <v>46</v>
      </c>
      <c r="O12" t="s">
        <v>162</v>
      </c>
      <c r="P12" t="s">
        <v>415</v>
      </c>
      <c r="Q12">
        <f t="shared" si="0"/>
        <v>-6</v>
      </c>
    </row>
    <row r="13" spans="1:17" x14ac:dyDescent="0.25">
      <c r="A13">
        <v>43</v>
      </c>
      <c r="B13" t="s">
        <v>775</v>
      </c>
      <c r="C13" t="s">
        <v>37</v>
      </c>
      <c r="D13" s="34">
        <v>2400</v>
      </c>
      <c r="E13">
        <v>1246271921</v>
      </c>
      <c r="F13" s="30">
        <v>46147</v>
      </c>
      <c r="G13" s="30"/>
      <c r="H13" t="s">
        <v>28</v>
      </c>
      <c r="I13" t="s">
        <v>29</v>
      </c>
      <c r="J13">
        <v>1246271921</v>
      </c>
      <c r="K13" s="30">
        <v>46132</v>
      </c>
      <c r="L13">
        <v>3042200</v>
      </c>
      <c r="M13" t="s">
        <v>830</v>
      </c>
      <c r="N13">
        <v>46</v>
      </c>
      <c r="O13" t="s">
        <v>162</v>
      </c>
      <c r="P13" t="s">
        <v>415</v>
      </c>
      <c r="Q13">
        <f t="shared" si="0"/>
        <v>-6</v>
      </c>
    </row>
    <row r="14" spans="1:17" x14ac:dyDescent="0.25">
      <c r="A14">
        <v>1159</v>
      </c>
      <c r="B14" t="s">
        <v>60</v>
      </c>
      <c r="C14" t="s">
        <v>61</v>
      </c>
      <c r="D14" s="34">
        <v>1800</v>
      </c>
      <c r="E14">
        <v>1246087936</v>
      </c>
      <c r="F14" s="30">
        <v>45112</v>
      </c>
      <c r="G14" s="30"/>
      <c r="H14" t="s">
        <v>28</v>
      </c>
      <c r="I14" t="s">
        <v>29</v>
      </c>
      <c r="J14">
        <v>1246087936</v>
      </c>
      <c r="K14" s="30">
        <v>45097</v>
      </c>
      <c r="L14">
        <v>3041000</v>
      </c>
      <c r="M14" t="s">
        <v>137</v>
      </c>
      <c r="N14">
        <v>46</v>
      </c>
      <c r="O14" t="s">
        <v>162</v>
      </c>
      <c r="P14" t="s">
        <v>419</v>
      </c>
      <c r="Q14">
        <f t="shared" si="0"/>
        <v>1029</v>
      </c>
    </row>
    <row r="15" spans="1:17" x14ac:dyDescent="0.25">
      <c r="A15">
        <v>1159</v>
      </c>
      <c r="B15" t="s">
        <v>60</v>
      </c>
      <c r="C15" t="s">
        <v>61</v>
      </c>
      <c r="D15" s="34">
        <v>2700</v>
      </c>
      <c r="E15">
        <v>1246087941</v>
      </c>
      <c r="F15" s="30">
        <v>45112</v>
      </c>
      <c r="G15" s="30"/>
      <c r="H15" t="s">
        <v>28</v>
      </c>
      <c r="I15" t="s">
        <v>29</v>
      </c>
      <c r="J15">
        <v>1246087941</v>
      </c>
      <c r="K15" s="30">
        <v>45097</v>
      </c>
      <c r="L15">
        <v>3041000</v>
      </c>
      <c r="M15" t="s">
        <v>137</v>
      </c>
      <c r="N15">
        <v>46</v>
      </c>
      <c r="O15" t="s">
        <v>162</v>
      </c>
      <c r="P15" t="s">
        <v>419</v>
      </c>
      <c r="Q15">
        <f t="shared" si="0"/>
        <v>1029</v>
      </c>
    </row>
    <row r="16" spans="1:17" x14ac:dyDescent="0.25">
      <c r="A16">
        <v>1159</v>
      </c>
      <c r="B16" t="s">
        <v>60</v>
      </c>
      <c r="C16" t="s">
        <v>61</v>
      </c>
      <c r="D16" s="34">
        <v>1800</v>
      </c>
      <c r="E16">
        <v>1246087939</v>
      </c>
      <c r="F16" s="30">
        <v>45112</v>
      </c>
      <c r="G16" s="30"/>
      <c r="H16" t="s">
        <v>28</v>
      </c>
      <c r="I16" t="s">
        <v>29</v>
      </c>
      <c r="J16">
        <v>1246087939</v>
      </c>
      <c r="K16" s="30">
        <v>45097</v>
      </c>
      <c r="L16">
        <v>3041000</v>
      </c>
      <c r="M16" t="s">
        <v>137</v>
      </c>
      <c r="N16">
        <v>46</v>
      </c>
      <c r="O16" t="s">
        <v>162</v>
      </c>
      <c r="P16" t="s">
        <v>419</v>
      </c>
      <c r="Q16">
        <f t="shared" si="0"/>
        <v>1029</v>
      </c>
    </row>
    <row r="17" spans="1:17" x14ac:dyDescent="0.25">
      <c r="A17">
        <v>1159</v>
      </c>
      <c r="B17" t="s">
        <v>60</v>
      </c>
      <c r="C17" t="s">
        <v>61</v>
      </c>
      <c r="D17" s="34">
        <v>1800</v>
      </c>
      <c r="E17">
        <v>1246087937</v>
      </c>
      <c r="F17" s="30">
        <v>45112</v>
      </c>
      <c r="G17" s="30"/>
      <c r="H17" t="s">
        <v>28</v>
      </c>
      <c r="I17" t="s">
        <v>29</v>
      </c>
      <c r="J17">
        <v>1246087937</v>
      </c>
      <c r="K17" s="30">
        <v>45097</v>
      </c>
      <c r="L17">
        <v>3041000</v>
      </c>
      <c r="M17" t="s">
        <v>137</v>
      </c>
      <c r="N17">
        <v>46</v>
      </c>
      <c r="O17" t="s">
        <v>162</v>
      </c>
      <c r="P17" t="s">
        <v>419</v>
      </c>
      <c r="Q17">
        <f t="shared" si="0"/>
        <v>1029</v>
      </c>
    </row>
    <row r="18" spans="1:17" x14ac:dyDescent="0.25">
      <c r="A18">
        <v>1159</v>
      </c>
      <c r="B18" t="s">
        <v>60</v>
      </c>
      <c r="C18" t="s">
        <v>61</v>
      </c>
      <c r="D18" s="34">
        <v>1800</v>
      </c>
      <c r="E18">
        <v>1246087943</v>
      </c>
      <c r="F18" s="30">
        <v>45112</v>
      </c>
      <c r="G18" s="30"/>
      <c r="H18" t="s">
        <v>28</v>
      </c>
      <c r="I18" t="s">
        <v>29</v>
      </c>
      <c r="J18">
        <v>1246087943</v>
      </c>
      <c r="K18" s="30">
        <v>45097</v>
      </c>
      <c r="L18">
        <v>3041000</v>
      </c>
      <c r="M18" t="s">
        <v>137</v>
      </c>
      <c r="N18">
        <v>46</v>
      </c>
      <c r="O18" t="s">
        <v>162</v>
      </c>
      <c r="P18" t="s">
        <v>419</v>
      </c>
      <c r="Q18">
        <f t="shared" si="0"/>
        <v>1029</v>
      </c>
    </row>
    <row r="19" spans="1:17" x14ac:dyDescent="0.25">
      <c r="A19">
        <v>1159</v>
      </c>
      <c r="B19" t="s">
        <v>60</v>
      </c>
      <c r="C19" t="s">
        <v>61</v>
      </c>
      <c r="D19" s="34">
        <v>2700</v>
      </c>
      <c r="E19">
        <v>1246121301</v>
      </c>
      <c r="F19" s="30">
        <v>45297</v>
      </c>
      <c r="G19" s="30"/>
      <c r="H19" t="s">
        <v>28</v>
      </c>
      <c r="I19" t="s">
        <v>29</v>
      </c>
      <c r="J19">
        <v>1246121301</v>
      </c>
      <c r="K19" s="30">
        <v>45282</v>
      </c>
      <c r="L19">
        <v>3041000</v>
      </c>
      <c r="M19" t="s">
        <v>137</v>
      </c>
      <c r="N19">
        <v>46</v>
      </c>
      <c r="O19" t="s">
        <v>162</v>
      </c>
      <c r="P19" t="s">
        <v>419</v>
      </c>
      <c r="Q19">
        <f t="shared" si="0"/>
        <v>844</v>
      </c>
    </row>
    <row r="20" spans="1:17" x14ac:dyDescent="0.25">
      <c r="A20">
        <v>1159</v>
      </c>
      <c r="B20" t="s">
        <v>60</v>
      </c>
      <c r="C20" t="s">
        <v>61</v>
      </c>
      <c r="D20" s="34">
        <v>4800</v>
      </c>
      <c r="E20">
        <v>1246121285</v>
      </c>
      <c r="F20" s="30">
        <v>45297</v>
      </c>
      <c r="G20" s="30"/>
      <c r="H20" t="s">
        <v>28</v>
      </c>
      <c r="I20" t="s">
        <v>29</v>
      </c>
      <c r="J20">
        <v>1246121285</v>
      </c>
      <c r="K20" s="30">
        <v>45282</v>
      </c>
      <c r="L20">
        <v>3041000</v>
      </c>
      <c r="M20" t="s">
        <v>137</v>
      </c>
      <c r="N20">
        <v>46</v>
      </c>
      <c r="O20" t="s">
        <v>162</v>
      </c>
      <c r="P20" t="s">
        <v>419</v>
      </c>
      <c r="Q20">
        <f t="shared" si="0"/>
        <v>844</v>
      </c>
    </row>
    <row r="21" spans="1:17" x14ac:dyDescent="0.25">
      <c r="A21">
        <v>1159</v>
      </c>
      <c r="B21" t="s">
        <v>60</v>
      </c>
      <c r="C21" t="s">
        <v>61</v>
      </c>
      <c r="D21" s="34">
        <v>2700</v>
      </c>
      <c r="E21">
        <v>1246121300</v>
      </c>
      <c r="F21" s="30">
        <v>45297</v>
      </c>
      <c r="G21" s="30"/>
      <c r="H21" t="s">
        <v>28</v>
      </c>
      <c r="I21" t="s">
        <v>29</v>
      </c>
      <c r="J21">
        <v>1246121300</v>
      </c>
      <c r="K21" s="30">
        <v>45282</v>
      </c>
      <c r="L21">
        <v>3041000</v>
      </c>
      <c r="M21" t="s">
        <v>137</v>
      </c>
      <c r="N21">
        <v>46</v>
      </c>
      <c r="O21" t="s">
        <v>162</v>
      </c>
      <c r="P21" t="s">
        <v>419</v>
      </c>
      <c r="Q21">
        <f t="shared" si="0"/>
        <v>844</v>
      </c>
    </row>
    <row r="22" spans="1:17" x14ac:dyDescent="0.25">
      <c r="A22">
        <v>1159</v>
      </c>
      <c r="B22" t="s">
        <v>60</v>
      </c>
      <c r="C22" t="s">
        <v>61</v>
      </c>
      <c r="D22" s="34">
        <v>1800</v>
      </c>
      <c r="E22">
        <v>1246121298</v>
      </c>
      <c r="F22" s="30">
        <v>45297</v>
      </c>
      <c r="G22" s="30"/>
      <c r="H22" t="s">
        <v>28</v>
      </c>
      <c r="I22" t="s">
        <v>29</v>
      </c>
      <c r="J22">
        <v>1246121298</v>
      </c>
      <c r="K22" s="30">
        <v>45282</v>
      </c>
      <c r="L22">
        <v>3041000</v>
      </c>
      <c r="M22" t="s">
        <v>137</v>
      </c>
      <c r="N22">
        <v>46</v>
      </c>
      <c r="O22" t="s">
        <v>162</v>
      </c>
      <c r="P22" t="s">
        <v>419</v>
      </c>
      <c r="Q22">
        <f t="shared" si="0"/>
        <v>844</v>
      </c>
    </row>
    <row r="23" spans="1:17" x14ac:dyDescent="0.25">
      <c r="A23">
        <v>1159</v>
      </c>
      <c r="B23" t="s">
        <v>60</v>
      </c>
      <c r="C23" t="s">
        <v>61</v>
      </c>
      <c r="D23" s="34">
        <v>2700</v>
      </c>
      <c r="E23">
        <v>1246121302</v>
      </c>
      <c r="F23" s="30">
        <v>45297</v>
      </c>
      <c r="G23" s="30"/>
      <c r="H23" t="s">
        <v>28</v>
      </c>
      <c r="I23" t="s">
        <v>29</v>
      </c>
      <c r="J23">
        <v>1246121302</v>
      </c>
      <c r="K23" s="30">
        <v>45282</v>
      </c>
      <c r="L23">
        <v>3041000</v>
      </c>
      <c r="M23" t="s">
        <v>137</v>
      </c>
      <c r="N23">
        <v>46</v>
      </c>
      <c r="O23" t="s">
        <v>162</v>
      </c>
      <c r="P23" t="s">
        <v>419</v>
      </c>
      <c r="Q23">
        <f t="shared" si="0"/>
        <v>844</v>
      </c>
    </row>
    <row r="24" spans="1:17" x14ac:dyDescent="0.25">
      <c r="A24">
        <v>1159</v>
      </c>
      <c r="B24" t="s">
        <v>60</v>
      </c>
      <c r="C24" t="s">
        <v>61</v>
      </c>
      <c r="D24" s="34">
        <v>1200</v>
      </c>
      <c r="E24">
        <v>1246121295</v>
      </c>
      <c r="F24" s="30">
        <v>45297</v>
      </c>
      <c r="G24" s="30"/>
      <c r="H24" t="s">
        <v>28</v>
      </c>
      <c r="I24" t="s">
        <v>29</v>
      </c>
      <c r="J24">
        <v>1246121295</v>
      </c>
      <c r="K24" s="30">
        <v>45282</v>
      </c>
      <c r="L24">
        <v>3041000</v>
      </c>
      <c r="M24" t="s">
        <v>137</v>
      </c>
      <c r="N24">
        <v>46</v>
      </c>
      <c r="O24" t="s">
        <v>162</v>
      </c>
      <c r="P24" t="s">
        <v>419</v>
      </c>
      <c r="Q24">
        <f t="shared" si="0"/>
        <v>844</v>
      </c>
    </row>
    <row r="25" spans="1:17" x14ac:dyDescent="0.25">
      <c r="A25">
        <v>1159</v>
      </c>
      <c r="B25" t="s">
        <v>60</v>
      </c>
      <c r="C25" t="s">
        <v>61</v>
      </c>
      <c r="D25" s="34">
        <v>2700</v>
      </c>
      <c r="E25">
        <v>1246121297</v>
      </c>
      <c r="F25" s="30">
        <v>45297</v>
      </c>
      <c r="G25" s="30"/>
      <c r="H25" t="s">
        <v>28</v>
      </c>
      <c r="I25" t="s">
        <v>29</v>
      </c>
      <c r="J25">
        <v>1246121297</v>
      </c>
      <c r="K25" s="30">
        <v>45282</v>
      </c>
      <c r="L25">
        <v>3041000</v>
      </c>
      <c r="M25" t="s">
        <v>137</v>
      </c>
      <c r="N25">
        <v>46</v>
      </c>
      <c r="O25" t="s">
        <v>162</v>
      </c>
      <c r="P25" t="s">
        <v>419</v>
      </c>
      <c r="Q25">
        <f t="shared" si="0"/>
        <v>844</v>
      </c>
    </row>
    <row r="26" spans="1:17" x14ac:dyDescent="0.25">
      <c r="A26">
        <v>1159</v>
      </c>
      <c r="B26" t="s">
        <v>60</v>
      </c>
      <c r="C26" t="s">
        <v>61</v>
      </c>
      <c r="D26" s="34">
        <v>6300</v>
      </c>
      <c r="E26">
        <v>1246121299</v>
      </c>
      <c r="F26" s="30">
        <v>45297</v>
      </c>
      <c r="G26" s="30"/>
      <c r="H26" t="s">
        <v>28</v>
      </c>
      <c r="I26" t="s">
        <v>29</v>
      </c>
      <c r="J26">
        <v>1246121299</v>
      </c>
      <c r="K26" s="30">
        <v>45282</v>
      </c>
      <c r="L26">
        <v>3041000</v>
      </c>
      <c r="M26" t="s">
        <v>137</v>
      </c>
      <c r="N26">
        <v>46</v>
      </c>
      <c r="O26" t="s">
        <v>162</v>
      </c>
      <c r="P26" t="s">
        <v>419</v>
      </c>
      <c r="Q26">
        <f t="shared" si="0"/>
        <v>844</v>
      </c>
    </row>
    <row r="27" spans="1:17" x14ac:dyDescent="0.25">
      <c r="A27">
        <v>1159</v>
      </c>
      <c r="B27" t="s">
        <v>60</v>
      </c>
      <c r="C27" t="s">
        <v>61</v>
      </c>
      <c r="D27" s="34">
        <v>3600</v>
      </c>
      <c r="E27">
        <v>1246121296</v>
      </c>
      <c r="F27" s="30">
        <v>45297</v>
      </c>
      <c r="G27" s="30"/>
      <c r="H27" t="s">
        <v>28</v>
      </c>
      <c r="I27" t="s">
        <v>29</v>
      </c>
      <c r="J27">
        <v>1246121296</v>
      </c>
      <c r="K27" s="30">
        <v>45282</v>
      </c>
      <c r="L27">
        <v>3041000</v>
      </c>
      <c r="M27" t="s">
        <v>137</v>
      </c>
      <c r="N27">
        <v>46</v>
      </c>
      <c r="O27" t="s">
        <v>162</v>
      </c>
      <c r="P27" t="s">
        <v>419</v>
      </c>
      <c r="Q27">
        <f t="shared" si="0"/>
        <v>844</v>
      </c>
    </row>
    <row r="28" spans="1:17" x14ac:dyDescent="0.25">
      <c r="A28">
        <v>1159</v>
      </c>
      <c r="B28" t="s">
        <v>60</v>
      </c>
      <c r="C28" t="s">
        <v>61</v>
      </c>
      <c r="D28" s="34">
        <v>1200</v>
      </c>
      <c r="E28">
        <v>1246135390</v>
      </c>
      <c r="F28" s="30">
        <v>45388</v>
      </c>
      <c r="G28" s="30"/>
      <c r="H28" t="s">
        <v>28</v>
      </c>
      <c r="I28" t="s">
        <v>29</v>
      </c>
      <c r="J28">
        <v>1246135390</v>
      </c>
      <c r="K28" s="30">
        <v>45373</v>
      </c>
      <c r="L28">
        <v>3041000</v>
      </c>
      <c r="M28" t="s">
        <v>137</v>
      </c>
      <c r="N28">
        <v>46</v>
      </c>
      <c r="O28" t="s">
        <v>162</v>
      </c>
      <c r="P28" t="s">
        <v>419</v>
      </c>
      <c r="Q28">
        <f t="shared" si="0"/>
        <v>753</v>
      </c>
    </row>
    <row r="29" spans="1:17" x14ac:dyDescent="0.25">
      <c r="A29">
        <v>1159</v>
      </c>
      <c r="B29" t="s">
        <v>60</v>
      </c>
      <c r="C29" t="s">
        <v>61</v>
      </c>
      <c r="D29" s="34">
        <v>2400</v>
      </c>
      <c r="E29">
        <v>1246135388</v>
      </c>
      <c r="F29" s="30">
        <v>45388</v>
      </c>
      <c r="G29" s="30"/>
      <c r="H29" t="s">
        <v>28</v>
      </c>
      <c r="I29" t="s">
        <v>29</v>
      </c>
      <c r="J29">
        <v>1246135388</v>
      </c>
      <c r="K29" s="30">
        <v>45373</v>
      </c>
      <c r="L29">
        <v>3041000</v>
      </c>
      <c r="M29" t="s">
        <v>137</v>
      </c>
      <c r="N29">
        <v>46</v>
      </c>
      <c r="O29" t="s">
        <v>162</v>
      </c>
      <c r="P29" t="s">
        <v>419</v>
      </c>
      <c r="Q29">
        <f t="shared" si="0"/>
        <v>753</v>
      </c>
    </row>
    <row r="30" spans="1:17" x14ac:dyDescent="0.25">
      <c r="A30">
        <v>1159</v>
      </c>
      <c r="B30" t="s">
        <v>60</v>
      </c>
      <c r="C30" t="s">
        <v>61</v>
      </c>
      <c r="D30" s="34">
        <v>1200</v>
      </c>
      <c r="E30">
        <v>1246135385</v>
      </c>
      <c r="F30" s="30">
        <v>45388</v>
      </c>
      <c r="G30" s="30"/>
      <c r="H30" t="s">
        <v>28</v>
      </c>
      <c r="I30" t="s">
        <v>29</v>
      </c>
      <c r="J30">
        <v>1246135385</v>
      </c>
      <c r="K30" s="30">
        <v>45373</v>
      </c>
      <c r="L30">
        <v>3041000</v>
      </c>
      <c r="M30" t="s">
        <v>137</v>
      </c>
      <c r="N30">
        <v>46</v>
      </c>
      <c r="O30" t="s">
        <v>162</v>
      </c>
      <c r="P30" t="s">
        <v>419</v>
      </c>
      <c r="Q30">
        <f t="shared" si="0"/>
        <v>753</v>
      </c>
    </row>
    <row r="31" spans="1:17" x14ac:dyDescent="0.25">
      <c r="A31">
        <v>1159</v>
      </c>
      <c r="B31" t="s">
        <v>60</v>
      </c>
      <c r="C31" t="s">
        <v>61</v>
      </c>
      <c r="D31" s="34">
        <v>3600</v>
      </c>
      <c r="E31">
        <v>1246135391</v>
      </c>
      <c r="F31" s="30">
        <v>45388</v>
      </c>
      <c r="G31" s="30"/>
      <c r="H31" t="s">
        <v>28</v>
      </c>
      <c r="I31" t="s">
        <v>29</v>
      </c>
      <c r="J31">
        <v>1246135391</v>
      </c>
      <c r="K31" s="30">
        <v>45373</v>
      </c>
      <c r="L31">
        <v>3041000</v>
      </c>
      <c r="M31" t="s">
        <v>137</v>
      </c>
      <c r="N31">
        <v>46</v>
      </c>
      <c r="O31" t="s">
        <v>162</v>
      </c>
      <c r="P31" t="s">
        <v>419</v>
      </c>
      <c r="Q31">
        <f t="shared" si="0"/>
        <v>753</v>
      </c>
    </row>
    <row r="32" spans="1:17" x14ac:dyDescent="0.25">
      <c r="A32">
        <v>1159</v>
      </c>
      <c r="B32" t="s">
        <v>60</v>
      </c>
      <c r="C32" t="s">
        <v>61</v>
      </c>
      <c r="D32" s="34">
        <v>2400</v>
      </c>
      <c r="E32">
        <v>1246135382</v>
      </c>
      <c r="F32" s="30">
        <v>45388</v>
      </c>
      <c r="G32" s="30"/>
      <c r="H32" t="s">
        <v>28</v>
      </c>
      <c r="I32" t="s">
        <v>29</v>
      </c>
      <c r="J32">
        <v>1246135382</v>
      </c>
      <c r="K32" s="30">
        <v>45373</v>
      </c>
      <c r="L32">
        <v>3041000</v>
      </c>
      <c r="M32" t="s">
        <v>137</v>
      </c>
      <c r="N32">
        <v>46</v>
      </c>
      <c r="O32" t="s">
        <v>162</v>
      </c>
      <c r="P32" t="s">
        <v>419</v>
      </c>
      <c r="Q32">
        <f t="shared" si="0"/>
        <v>753</v>
      </c>
    </row>
    <row r="33" spans="1:17" x14ac:dyDescent="0.25">
      <c r="A33">
        <v>1159</v>
      </c>
      <c r="B33" t="s">
        <v>60</v>
      </c>
      <c r="C33" t="s">
        <v>61</v>
      </c>
      <c r="D33" s="34">
        <v>3600</v>
      </c>
      <c r="E33">
        <v>1246173258</v>
      </c>
      <c r="F33" s="30">
        <v>45575</v>
      </c>
      <c r="G33" s="30"/>
      <c r="H33" t="s">
        <v>28</v>
      </c>
      <c r="I33" t="s">
        <v>29</v>
      </c>
      <c r="J33">
        <v>1246173258</v>
      </c>
      <c r="K33" s="30">
        <v>45560</v>
      </c>
      <c r="L33">
        <v>3041000</v>
      </c>
      <c r="M33" t="s">
        <v>137</v>
      </c>
      <c r="N33">
        <v>46</v>
      </c>
      <c r="O33" t="s">
        <v>162</v>
      </c>
      <c r="P33" t="s">
        <v>419</v>
      </c>
      <c r="Q33">
        <f t="shared" si="0"/>
        <v>566</v>
      </c>
    </row>
    <row r="34" spans="1:17" x14ac:dyDescent="0.25">
      <c r="A34">
        <v>1159</v>
      </c>
      <c r="B34" t="s">
        <v>60</v>
      </c>
      <c r="C34" t="s">
        <v>61</v>
      </c>
      <c r="D34" s="34">
        <v>1200</v>
      </c>
      <c r="E34">
        <v>1246173256</v>
      </c>
      <c r="F34" s="30">
        <v>45575</v>
      </c>
      <c r="G34" s="30"/>
      <c r="H34" t="s">
        <v>28</v>
      </c>
      <c r="I34" t="s">
        <v>29</v>
      </c>
      <c r="J34">
        <v>1246173256</v>
      </c>
      <c r="K34" s="30">
        <v>45560</v>
      </c>
      <c r="L34">
        <v>3041000</v>
      </c>
      <c r="M34" t="s">
        <v>137</v>
      </c>
      <c r="N34">
        <v>46</v>
      </c>
      <c r="O34" t="s">
        <v>162</v>
      </c>
      <c r="P34" t="s">
        <v>419</v>
      </c>
      <c r="Q34">
        <f t="shared" si="0"/>
        <v>566</v>
      </c>
    </row>
    <row r="35" spans="1:17" x14ac:dyDescent="0.25">
      <c r="A35">
        <v>1159</v>
      </c>
      <c r="B35" t="s">
        <v>60</v>
      </c>
      <c r="C35" t="s">
        <v>61</v>
      </c>
      <c r="D35" s="34">
        <v>2400</v>
      </c>
      <c r="E35">
        <v>1246173253</v>
      </c>
      <c r="F35" s="30">
        <v>45575</v>
      </c>
      <c r="G35" s="30"/>
      <c r="H35" t="s">
        <v>28</v>
      </c>
      <c r="I35" t="s">
        <v>29</v>
      </c>
      <c r="J35">
        <v>1246173253</v>
      </c>
      <c r="K35" s="30">
        <v>45560</v>
      </c>
      <c r="L35">
        <v>3041000</v>
      </c>
      <c r="M35" t="s">
        <v>137</v>
      </c>
      <c r="N35">
        <v>46</v>
      </c>
      <c r="O35" t="s">
        <v>162</v>
      </c>
      <c r="P35" t="s">
        <v>419</v>
      </c>
      <c r="Q35">
        <f t="shared" si="0"/>
        <v>566</v>
      </c>
    </row>
    <row r="36" spans="1:17" x14ac:dyDescent="0.25">
      <c r="A36">
        <v>1159</v>
      </c>
      <c r="B36" t="s">
        <v>60</v>
      </c>
      <c r="C36" t="s">
        <v>61</v>
      </c>
      <c r="D36" s="34">
        <v>1200</v>
      </c>
      <c r="E36">
        <v>1246173257</v>
      </c>
      <c r="F36" s="30">
        <v>45575</v>
      </c>
      <c r="G36" s="30"/>
      <c r="H36" t="s">
        <v>28</v>
      </c>
      <c r="I36" t="s">
        <v>29</v>
      </c>
      <c r="J36">
        <v>1246173257</v>
      </c>
      <c r="K36" s="30">
        <v>45560</v>
      </c>
      <c r="L36">
        <v>3041000</v>
      </c>
      <c r="M36" t="s">
        <v>137</v>
      </c>
      <c r="N36">
        <v>46</v>
      </c>
      <c r="O36" t="s">
        <v>162</v>
      </c>
      <c r="P36" t="s">
        <v>419</v>
      </c>
      <c r="Q36">
        <f t="shared" si="0"/>
        <v>566</v>
      </c>
    </row>
    <row r="37" spans="1:17" x14ac:dyDescent="0.25">
      <c r="A37">
        <v>452</v>
      </c>
      <c r="B37" t="s">
        <v>47</v>
      </c>
      <c r="C37" t="s">
        <v>48</v>
      </c>
      <c r="D37" s="34">
        <v>1800</v>
      </c>
      <c r="E37">
        <v>1246055195</v>
      </c>
      <c r="F37" s="30">
        <v>44902</v>
      </c>
      <c r="G37" s="30"/>
      <c r="H37" t="s">
        <v>28</v>
      </c>
      <c r="I37" t="s">
        <v>29</v>
      </c>
      <c r="J37">
        <v>1246055195</v>
      </c>
      <c r="K37" s="30">
        <v>44887</v>
      </c>
      <c r="L37">
        <v>3041000</v>
      </c>
      <c r="M37" t="s">
        <v>137</v>
      </c>
      <c r="N37">
        <v>46</v>
      </c>
      <c r="O37" t="s">
        <v>162</v>
      </c>
      <c r="P37" t="s">
        <v>574</v>
      </c>
      <c r="Q37">
        <f>$Q$1-F37</f>
        <v>1239</v>
      </c>
    </row>
    <row r="38" spans="1:17" x14ac:dyDescent="0.25">
      <c r="A38">
        <v>2559</v>
      </c>
      <c r="B38" t="s">
        <v>529</v>
      </c>
      <c r="C38" t="s">
        <v>79</v>
      </c>
      <c r="D38" s="34">
        <v>1200</v>
      </c>
      <c r="E38">
        <v>1246203587</v>
      </c>
      <c r="F38" s="30">
        <v>45750</v>
      </c>
      <c r="G38" s="30"/>
      <c r="H38" t="s">
        <v>28</v>
      </c>
      <c r="I38" t="s">
        <v>29</v>
      </c>
      <c r="J38">
        <v>1246203587</v>
      </c>
      <c r="K38" s="30">
        <v>45735</v>
      </c>
      <c r="L38">
        <v>3041000</v>
      </c>
      <c r="M38" t="s">
        <v>137</v>
      </c>
      <c r="N38">
        <v>46</v>
      </c>
      <c r="O38" t="s">
        <v>162</v>
      </c>
      <c r="P38" t="s">
        <v>496</v>
      </c>
      <c r="Q38">
        <f t="shared" si="0"/>
        <v>391</v>
      </c>
    </row>
    <row r="39" spans="1:17" x14ac:dyDescent="0.25">
      <c r="A39">
        <v>2559</v>
      </c>
      <c r="B39" t="s">
        <v>529</v>
      </c>
      <c r="C39" t="s">
        <v>79</v>
      </c>
      <c r="D39" s="34">
        <v>7200</v>
      </c>
      <c r="E39">
        <v>1246203586</v>
      </c>
      <c r="F39" s="30">
        <v>45750</v>
      </c>
      <c r="G39" s="30"/>
      <c r="H39" t="s">
        <v>28</v>
      </c>
      <c r="I39" t="s">
        <v>29</v>
      </c>
      <c r="J39">
        <v>1246203586</v>
      </c>
      <c r="K39" s="30">
        <v>45735</v>
      </c>
      <c r="L39">
        <v>3041000</v>
      </c>
      <c r="M39" t="s">
        <v>137</v>
      </c>
      <c r="N39">
        <v>46</v>
      </c>
      <c r="O39" t="s">
        <v>162</v>
      </c>
      <c r="P39" t="s">
        <v>496</v>
      </c>
      <c r="Q39">
        <f t="shared" si="0"/>
        <v>391</v>
      </c>
    </row>
    <row r="40" spans="1:17" x14ac:dyDescent="0.25">
      <c r="A40">
        <v>2559</v>
      </c>
      <c r="B40" t="s">
        <v>529</v>
      </c>
      <c r="C40" t="s">
        <v>79</v>
      </c>
      <c r="D40" s="34">
        <v>1200</v>
      </c>
      <c r="E40">
        <v>1246203585</v>
      </c>
      <c r="F40" s="30">
        <v>45750</v>
      </c>
      <c r="G40" s="30"/>
      <c r="H40" t="s">
        <v>28</v>
      </c>
      <c r="I40" t="s">
        <v>29</v>
      </c>
      <c r="J40">
        <v>1246203585</v>
      </c>
      <c r="K40" s="30">
        <v>45735</v>
      </c>
      <c r="L40">
        <v>3041000</v>
      </c>
      <c r="M40" t="s">
        <v>137</v>
      </c>
      <c r="N40">
        <v>46</v>
      </c>
      <c r="O40" t="s">
        <v>162</v>
      </c>
      <c r="P40" t="s">
        <v>496</v>
      </c>
      <c r="Q40">
        <f t="shared" si="0"/>
        <v>391</v>
      </c>
    </row>
    <row r="41" spans="1:17" x14ac:dyDescent="0.25">
      <c r="A41">
        <v>2559</v>
      </c>
      <c r="B41" t="s">
        <v>529</v>
      </c>
      <c r="C41" t="s">
        <v>79</v>
      </c>
      <c r="D41" s="34">
        <v>6000</v>
      </c>
      <c r="E41">
        <v>1246244748</v>
      </c>
      <c r="F41" s="30">
        <v>45968</v>
      </c>
      <c r="G41" s="30"/>
      <c r="H41" t="s">
        <v>28</v>
      </c>
      <c r="I41" t="s">
        <v>29</v>
      </c>
      <c r="J41">
        <v>1246244748</v>
      </c>
      <c r="K41" s="30">
        <v>45953</v>
      </c>
      <c r="L41">
        <v>3041000</v>
      </c>
      <c r="M41" t="s">
        <v>137</v>
      </c>
      <c r="N41">
        <v>46</v>
      </c>
      <c r="O41" t="s">
        <v>162</v>
      </c>
      <c r="P41" t="s">
        <v>496</v>
      </c>
      <c r="Q41">
        <f t="shared" si="0"/>
        <v>173</v>
      </c>
    </row>
    <row r="42" spans="1:17" x14ac:dyDescent="0.25">
      <c r="A42">
        <v>7102</v>
      </c>
      <c r="B42" t="s">
        <v>781</v>
      </c>
      <c r="C42" t="s">
        <v>563</v>
      </c>
      <c r="D42" s="34">
        <v>4800</v>
      </c>
      <c r="E42">
        <v>1246247639</v>
      </c>
      <c r="F42" s="30">
        <v>45982</v>
      </c>
      <c r="G42" s="30"/>
      <c r="H42" t="s">
        <v>28</v>
      </c>
      <c r="I42" t="s">
        <v>29</v>
      </c>
      <c r="J42">
        <v>1246247639</v>
      </c>
      <c r="K42" s="30">
        <v>45967</v>
      </c>
      <c r="L42">
        <v>3041000</v>
      </c>
      <c r="M42" t="s">
        <v>137</v>
      </c>
      <c r="N42">
        <v>46</v>
      </c>
      <c r="O42" t="s">
        <v>162</v>
      </c>
      <c r="P42" t="s">
        <v>496</v>
      </c>
      <c r="Q42">
        <f t="shared" si="0"/>
        <v>159</v>
      </c>
    </row>
    <row r="43" spans="1:17" x14ac:dyDescent="0.25">
      <c r="A43">
        <v>6477</v>
      </c>
      <c r="B43" t="s">
        <v>97</v>
      </c>
      <c r="C43" t="s">
        <v>98</v>
      </c>
      <c r="D43" s="34">
        <v>5400</v>
      </c>
      <c r="E43">
        <v>1246054441</v>
      </c>
      <c r="F43" s="30">
        <v>44897</v>
      </c>
      <c r="G43" s="30"/>
      <c r="H43" t="s">
        <v>28</v>
      </c>
      <c r="I43" t="s">
        <v>29</v>
      </c>
      <c r="J43">
        <v>1246054441</v>
      </c>
      <c r="K43" s="30">
        <v>44882</v>
      </c>
      <c r="L43">
        <v>3041000</v>
      </c>
      <c r="M43" t="s">
        <v>137</v>
      </c>
      <c r="N43">
        <v>46</v>
      </c>
      <c r="O43" t="s">
        <v>162</v>
      </c>
      <c r="P43" t="s">
        <v>496</v>
      </c>
      <c r="Q43">
        <f t="shared" si="0"/>
        <v>1244</v>
      </c>
    </row>
    <row r="44" spans="1:17" x14ac:dyDescent="0.25">
      <c r="A44">
        <v>7097</v>
      </c>
      <c r="B44" t="s">
        <v>101</v>
      </c>
      <c r="C44" t="s">
        <v>102</v>
      </c>
      <c r="D44" s="34">
        <v>11300</v>
      </c>
      <c r="E44">
        <v>1246058687</v>
      </c>
      <c r="F44" s="30">
        <v>44925</v>
      </c>
      <c r="G44" s="30"/>
      <c r="H44" t="s">
        <v>28</v>
      </c>
      <c r="I44" t="s">
        <v>29</v>
      </c>
      <c r="J44">
        <v>1246058687</v>
      </c>
      <c r="K44" s="30">
        <v>44910</v>
      </c>
      <c r="L44">
        <v>3041000</v>
      </c>
      <c r="M44" t="s">
        <v>137</v>
      </c>
      <c r="N44">
        <v>46</v>
      </c>
      <c r="O44" t="s">
        <v>162</v>
      </c>
      <c r="P44" t="s">
        <v>496</v>
      </c>
      <c r="Q44">
        <f t="shared" si="0"/>
        <v>1216</v>
      </c>
    </row>
    <row r="45" spans="1:17" x14ac:dyDescent="0.25">
      <c r="A45">
        <v>7097</v>
      </c>
      <c r="B45" t="s">
        <v>101</v>
      </c>
      <c r="C45" t="s">
        <v>102</v>
      </c>
      <c r="D45" s="34">
        <v>10183.120000000001</v>
      </c>
      <c r="E45">
        <v>1246057240</v>
      </c>
      <c r="F45" s="30">
        <v>44922</v>
      </c>
      <c r="G45" s="30"/>
      <c r="H45" t="s">
        <v>28</v>
      </c>
      <c r="I45" t="s">
        <v>29</v>
      </c>
      <c r="J45">
        <v>71222</v>
      </c>
      <c r="K45" s="30">
        <v>44902</v>
      </c>
      <c r="L45">
        <v>3041000</v>
      </c>
      <c r="M45" t="s">
        <v>137</v>
      </c>
      <c r="N45">
        <v>46</v>
      </c>
      <c r="O45" t="s">
        <v>162</v>
      </c>
      <c r="P45" t="s">
        <v>496</v>
      </c>
      <c r="Q45">
        <f t="shared" si="0"/>
        <v>1219</v>
      </c>
    </row>
    <row r="46" spans="1:17" x14ac:dyDescent="0.25">
      <c r="A46">
        <v>7443</v>
      </c>
      <c r="B46" t="s">
        <v>805</v>
      </c>
      <c r="C46" t="s">
        <v>252</v>
      </c>
      <c r="D46" s="34">
        <v>1200</v>
      </c>
      <c r="E46">
        <v>1246156403</v>
      </c>
      <c r="F46" s="30">
        <v>45496</v>
      </c>
      <c r="G46" s="30"/>
      <c r="H46" t="s">
        <v>28</v>
      </c>
      <c r="I46" t="s">
        <v>29</v>
      </c>
      <c r="J46">
        <v>1246156403</v>
      </c>
      <c r="K46" s="30">
        <v>45481</v>
      </c>
      <c r="L46">
        <v>3041000</v>
      </c>
      <c r="M46" t="s">
        <v>137</v>
      </c>
      <c r="N46">
        <v>46</v>
      </c>
      <c r="O46" t="s">
        <v>162</v>
      </c>
      <c r="P46" t="s">
        <v>496</v>
      </c>
      <c r="Q46">
        <f t="shared" si="0"/>
        <v>645</v>
      </c>
    </row>
    <row r="47" spans="1:17" x14ac:dyDescent="0.25">
      <c r="A47">
        <v>7443</v>
      </c>
      <c r="B47" t="s">
        <v>805</v>
      </c>
      <c r="C47" t="s">
        <v>252</v>
      </c>
      <c r="D47" s="34">
        <v>1200</v>
      </c>
      <c r="E47">
        <v>1246156396</v>
      </c>
      <c r="F47" s="30">
        <v>45496</v>
      </c>
      <c r="G47" s="30"/>
      <c r="H47" t="s">
        <v>28</v>
      </c>
      <c r="I47" t="s">
        <v>29</v>
      </c>
      <c r="J47">
        <v>1246156396</v>
      </c>
      <c r="K47" s="30">
        <v>45481</v>
      </c>
      <c r="L47">
        <v>3041000</v>
      </c>
      <c r="M47" t="s">
        <v>137</v>
      </c>
      <c r="N47">
        <v>46</v>
      </c>
      <c r="O47" t="s">
        <v>162</v>
      </c>
      <c r="P47" t="s">
        <v>496</v>
      </c>
      <c r="Q47">
        <f t="shared" si="0"/>
        <v>645</v>
      </c>
    </row>
    <row r="48" spans="1:17" x14ac:dyDescent="0.25">
      <c r="A48">
        <v>7302</v>
      </c>
      <c r="B48" t="s">
        <v>103</v>
      </c>
      <c r="C48" t="s">
        <v>104</v>
      </c>
      <c r="D48" s="34">
        <v>1800</v>
      </c>
      <c r="E48">
        <v>1246045752</v>
      </c>
      <c r="F48" s="30">
        <v>44848</v>
      </c>
      <c r="G48" s="30"/>
      <c r="H48" t="s">
        <v>28</v>
      </c>
      <c r="I48" t="s">
        <v>29</v>
      </c>
      <c r="J48">
        <v>290922</v>
      </c>
      <c r="K48" s="30">
        <v>44833</v>
      </c>
      <c r="L48">
        <v>3041000</v>
      </c>
      <c r="M48" t="s">
        <v>137</v>
      </c>
      <c r="N48">
        <v>46</v>
      </c>
      <c r="O48" t="s">
        <v>162</v>
      </c>
      <c r="P48" t="s">
        <v>496</v>
      </c>
      <c r="Q48">
        <f t="shared" si="0"/>
        <v>1293</v>
      </c>
    </row>
    <row r="49" spans="1:17" x14ac:dyDescent="0.25">
      <c r="A49">
        <v>7302</v>
      </c>
      <c r="B49" t="s">
        <v>103</v>
      </c>
      <c r="C49" t="s">
        <v>104</v>
      </c>
      <c r="D49" s="34">
        <v>7200</v>
      </c>
      <c r="E49">
        <v>1246033417</v>
      </c>
      <c r="F49" s="30">
        <v>44792</v>
      </c>
      <c r="G49" s="30"/>
      <c r="H49" t="s">
        <v>28</v>
      </c>
      <c r="I49" t="s">
        <v>29</v>
      </c>
      <c r="J49">
        <v>1246033417</v>
      </c>
      <c r="K49" s="30">
        <v>44777</v>
      </c>
      <c r="L49">
        <v>3041000</v>
      </c>
      <c r="M49" t="s">
        <v>137</v>
      </c>
      <c r="N49">
        <v>46</v>
      </c>
      <c r="O49" t="s">
        <v>162</v>
      </c>
      <c r="P49" t="s">
        <v>496</v>
      </c>
      <c r="Q49">
        <f t="shared" si="0"/>
        <v>1349</v>
      </c>
    </row>
    <row r="50" spans="1:17" x14ac:dyDescent="0.25">
      <c r="A50">
        <v>7302</v>
      </c>
      <c r="B50" t="s">
        <v>103</v>
      </c>
      <c r="C50" t="s">
        <v>104</v>
      </c>
      <c r="D50" s="34">
        <v>9000</v>
      </c>
      <c r="E50">
        <v>1246054438</v>
      </c>
      <c r="F50" s="30">
        <v>44897</v>
      </c>
      <c r="G50" s="30"/>
      <c r="H50" t="s">
        <v>28</v>
      </c>
      <c r="I50" t="s">
        <v>29</v>
      </c>
      <c r="J50">
        <v>1246054438</v>
      </c>
      <c r="K50" s="30">
        <v>44882</v>
      </c>
      <c r="L50">
        <v>3041000</v>
      </c>
      <c r="M50" t="s">
        <v>137</v>
      </c>
      <c r="N50">
        <v>46</v>
      </c>
      <c r="O50" t="s">
        <v>162</v>
      </c>
      <c r="P50" t="s">
        <v>496</v>
      </c>
      <c r="Q50">
        <f t="shared" si="0"/>
        <v>1244</v>
      </c>
    </row>
    <row r="51" spans="1:17" x14ac:dyDescent="0.25">
      <c r="A51">
        <v>7302</v>
      </c>
      <c r="B51" t="s">
        <v>103</v>
      </c>
      <c r="C51" t="s">
        <v>104</v>
      </c>
      <c r="D51" s="34">
        <v>7200</v>
      </c>
      <c r="E51">
        <v>1246057914</v>
      </c>
      <c r="F51" s="30">
        <v>44922</v>
      </c>
      <c r="G51" s="30"/>
      <c r="H51" t="s">
        <v>28</v>
      </c>
      <c r="I51" t="s">
        <v>29</v>
      </c>
      <c r="J51">
        <v>1246057914</v>
      </c>
      <c r="K51" s="30">
        <v>44907</v>
      </c>
      <c r="L51">
        <v>3041000</v>
      </c>
      <c r="M51" t="s">
        <v>137</v>
      </c>
      <c r="N51">
        <v>46</v>
      </c>
      <c r="O51" t="s">
        <v>162</v>
      </c>
      <c r="P51" t="s">
        <v>496</v>
      </c>
      <c r="Q51">
        <f t="shared" si="0"/>
        <v>1219</v>
      </c>
    </row>
    <row r="52" spans="1:17" x14ac:dyDescent="0.25">
      <c r="A52">
        <v>6415</v>
      </c>
      <c r="B52" t="s">
        <v>138</v>
      </c>
      <c r="C52" t="s">
        <v>139</v>
      </c>
      <c r="D52" s="34">
        <v>3600</v>
      </c>
      <c r="E52">
        <v>1245985693</v>
      </c>
      <c r="F52" s="30">
        <v>44692</v>
      </c>
      <c r="G52" s="30"/>
      <c r="H52" t="s">
        <v>28</v>
      </c>
      <c r="I52" t="s">
        <v>29</v>
      </c>
      <c r="J52">
        <v>1245985693</v>
      </c>
      <c r="K52" s="30">
        <v>44531</v>
      </c>
      <c r="L52">
        <v>3041000</v>
      </c>
      <c r="M52" t="s">
        <v>137</v>
      </c>
      <c r="N52">
        <v>46</v>
      </c>
      <c r="O52" t="s">
        <v>162</v>
      </c>
      <c r="P52" t="s">
        <v>496</v>
      </c>
      <c r="Q52">
        <f t="shared" si="0"/>
        <v>1449</v>
      </c>
    </row>
    <row r="53" spans="1:17" x14ac:dyDescent="0.25">
      <c r="A53">
        <v>10434</v>
      </c>
      <c r="B53" t="s">
        <v>109</v>
      </c>
      <c r="C53" t="s">
        <v>110</v>
      </c>
      <c r="D53" s="34">
        <v>1200</v>
      </c>
      <c r="E53">
        <v>1246180341</v>
      </c>
      <c r="F53" s="30">
        <v>45615</v>
      </c>
      <c r="G53" s="30"/>
      <c r="H53" t="s">
        <v>28</v>
      </c>
      <c r="I53" t="s">
        <v>29</v>
      </c>
      <c r="J53">
        <v>1246180341</v>
      </c>
      <c r="K53" s="30">
        <v>45600</v>
      </c>
      <c r="L53">
        <v>3041000</v>
      </c>
      <c r="M53" t="s">
        <v>137</v>
      </c>
      <c r="N53">
        <v>46</v>
      </c>
      <c r="O53" t="s">
        <v>162</v>
      </c>
      <c r="P53" t="s">
        <v>415</v>
      </c>
      <c r="Q53">
        <f t="shared" si="0"/>
        <v>526</v>
      </c>
    </row>
    <row r="54" spans="1:17" x14ac:dyDescent="0.25">
      <c r="A54">
        <v>7022</v>
      </c>
      <c r="B54" t="s">
        <v>774</v>
      </c>
      <c r="C54" t="s">
        <v>100</v>
      </c>
      <c r="D54" s="34">
        <v>1800</v>
      </c>
      <c r="E54">
        <v>1246054442</v>
      </c>
      <c r="F54" s="30">
        <v>44897</v>
      </c>
      <c r="G54" s="30"/>
      <c r="H54" t="s">
        <v>28</v>
      </c>
      <c r="I54" t="s">
        <v>29</v>
      </c>
      <c r="J54">
        <v>1246054442</v>
      </c>
      <c r="K54" s="30">
        <v>44882</v>
      </c>
      <c r="L54">
        <v>3041000</v>
      </c>
      <c r="M54" t="s">
        <v>137</v>
      </c>
      <c r="N54">
        <v>46</v>
      </c>
      <c r="O54" t="s">
        <v>162</v>
      </c>
      <c r="P54" t="s">
        <v>774</v>
      </c>
      <c r="Q54">
        <f t="shared" si="0"/>
        <v>1244</v>
      </c>
    </row>
  </sheetData>
  <autoFilter ref="A2:Q2" xr:uid="{94AC235F-CE9F-483F-87A4-731E61A01D1B}"/>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91"/>
  <sheetViews>
    <sheetView zoomScale="80" zoomScaleNormal="80" workbookViewId="0">
      <pane xSplit="2" ySplit="2" topLeftCell="C3" activePane="bottomRight" state="frozen"/>
      <selection activeCell="A3" sqref="A3:P690"/>
      <selection pane="topRight" activeCell="A3" sqref="A3:P690"/>
      <selection pane="bottomLeft" activeCell="A3" sqref="A3:P690"/>
      <selection pane="bottomRight" activeCell="A3" sqref="A3:P250"/>
    </sheetView>
  </sheetViews>
  <sheetFormatPr defaultRowHeight="13.2" x14ac:dyDescent="0.25"/>
  <cols>
    <col min="1" max="1" width="12.6640625" bestFit="1" customWidth="1"/>
    <col min="2" max="2" width="43" bestFit="1" customWidth="1"/>
    <col min="3" max="3" width="17.5546875" bestFit="1" customWidth="1"/>
    <col min="4" max="4" width="15.44140625" style="25" bestFit="1" customWidth="1"/>
    <col min="5" max="5" width="11.66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8.33203125" bestFit="1" customWidth="1"/>
    <col min="14" max="14" width="15" bestFit="1" customWidth="1"/>
    <col min="15" max="15" width="43.6640625" bestFit="1" customWidth="1"/>
    <col min="16" max="16" width="45.44140625" bestFit="1" customWidth="1"/>
    <col min="17" max="17" width="15.6640625" bestFit="1" customWidth="1"/>
    <col min="18" max="18" width="45.44140625" bestFit="1" customWidth="1"/>
    <col min="19" max="19" width="5.44140625" bestFit="1" customWidth="1"/>
    <col min="20" max="20" width="3.33203125" bestFit="1" customWidth="1"/>
    <col min="21" max="22" width="10.5546875" bestFit="1" customWidth="1"/>
  </cols>
  <sheetData>
    <row r="1" spans="1:19" x14ac:dyDescent="0.25">
      <c r="C1" s="32"/>
      <c r="D1" s="1">
        <f>SUBTOTAL(9,$D$3:$D$866)</f>
        <v>25978602.549999997</v>
      </c>
      <c r="E1" s="1"/>
      <c r="R1" s="3">
        <v>46141</v>
      </c>
    </row>
    <row r="2" spans="1:19" x14ac:dyDescent="0.25">
      <c r="A2" s="2" t="s">
        <v>4</v>
      </c>
      <c r="B2" s="2" t="s">
        <v>3</v>
      </c>
      <c r="C2" s="2" t="s">
        <v>0</v>
      </c>
      <c r="D2" s="31" t="s">
        <v>6</v>
      </c>
      <c r="E2" s="2" t="s">
        <v>216</v>
      </c>
      <c r="F2" s="2" t="s">
        <v>2</v>
      </c>
      <c r="G2" s="2" t="s">
        <v>215</v>
      </c>
      <c r="H2" s="2" t="s">
        <v>217</v>
      </c>
      <c r="I2" s="2" t="s">
        <v>218</v>
      </c>
      <c r="J2" s="2" t="s">
        <v>1</v>
      </c>
      <c r="K2" s="2" t="s">
        <v>219</v>
      </c>
      <c r="L2" s="2" t="s">
        <v>220</v>
      </c>
      <c r="M2" s="2" t="s">
        <v>221</v>
      </c>
      <c r="N2" s="2" t="s">
        <v>222</v>
      </c>
      <c r="O2" s="2" t="s">
        <v>223</v>
      </c>
      <c r="P2" s="2" t="s">
        <v>409</v>
      </c>
      <c r="Q2" s="4" t="s">
        <v>5</v>
      </c>
    </row>
    <row r="3" spans="1:19" x14ac:dyDescent="0.25">
      <c r="A3">
        <v>205</v>
      </c>
      <c r="B3" t="s">
        <v>43</v>
      </c>
      <c r="C3" t="s">
        <v>544</v>
      </c>
      <c r="D3" s="34">
        <v>80589.600000000006</v>
      </c>
      <c r="E3">
        <v>1246271690</v>
      </c>
      <c r="F3" s="30">
        <v>46157</v>
      </c>
      <c r="G3" s="30"/>
      <c r="H3" t="s">
        <v>28</v>
      </c>
      <c r="I3" t="s">
        <v>29</v>
      </c>
      <c r="J3">
        <v>11158</v>
      </c>
      <c r="K3" s="30">
        <v>46129</v>
      </c>
      <c r="L3">
        <v>1010100</v>
      </c>
      <c r="M3" t="s">
        <v>35</v>
      </c>
      <c r="N3">
        <v>161</v>
      </c>
      <c r="O3" t="s">
        <v>160</v>
      </c>
      <c r="P3" t="s">
        <v>572</v>
      </c>
      <c r="Q3">
        <f t="shared" ref="Q3:Q66" si="0">$R$1-F3</f>
        <v>-16</v>
      </c>
      <c r="R3" t="str">
        <f>_xlfn.XLOOKUP(P3,'Painel Additive'!$B:$B,'Painel Additive'!$B:$B,0)</f>
        <v>GRUPO FERTIPAR FERTILIZANTES MATO GROSSO</v>
      </c>
      <c r="S3">
        <f t="shared" ref="S3:S66" si="1">F3-K3</f>
        <v>28</v>
      </c>
    </row>
    <row r="4" spans="1:19" x14ac:dyDescent="0.25">
      <c r="A4">
        <v>205</v>
      </c>
      <c r="B4" t="s">
        <v>43</v>
      </c>
      <c r="C4" t="s">
        <v>544</v>
      </c>
      <c r="D4" s="34">
        <v>81051.399999999994</v>
      </c>
      <c r="E4">
        <v>1246273002</v>
      </c>
      <c r="F4" s="30">
        <v>46168</v>
      </c>
      <c r="G4" s="30"/>
      <c r="H4" t="s">
        <v>28</v>
      </c>
      <c r="I4" t="s">
        <v>29</v>
      </c>
      <c r="J4">
        <v>11248</v>
      </c>
      <c r="K4" s="30">
        <v>46140</v>
      </c>
      <c r="L4">
        <v>1010100</v>
      </c>
      <c r="M4" t="s">
        <v>35</v>
      </c>
      <c r="N4">
        <v>161</v>
      </c>
      <c r="O4" t="s">
        <v>160</v>
      </c>
      <c r="P4" t="s">
        <v>572</v>
      </c>
      <c r="Q4">
        <f t="shared" si="0"/>
        <v>-27</v>
      </c>
      <c r="R4" t="str">
        <f>_xlfn.XLOOKUP(P4,'Painel Additive'!$B:$B,'Painel Additive'!$B:$B,0)</f>
        <v>GRUPO FERTIPAR FERTILIZANTES MATO GROSSO</v>
      </c>
      <c r="S4">
        <f t="shared" si="1"/>
        <v>28</v>
      </c>
    </row>
    <row r="5" spans="1:19" x14ac:dyDescent="0.25">
      <c r="A5">
        <v>1257</v>
      </c>
      <c r="B5" t="s">
        <v>62</v>
      </c>
      <c r="C5" t="s">
        <v>63</v>
      </c>
      <c r="D5" s="34">
        <v>1980.8</v>
      </c>
      <c r="E5">
        <v>1246032946</v>
      </c>
      <c r="F5" s="30">
        <v>44774</v>
      </c>
      <c r="G5" s="30"/>
      <c r="H5" t="s">
        <v>28</v>
      </c>
      <c r="I5" t="s">
        <v>29</v>
      </c>
      <c r="J5">
        <v>17935</v>
      </c>
      <c r="K5" s="30">
        <v>44714</v>
      </c>
      <c r="L5">
        <v>1010100</v>
      </c>
      <c r="M5" t="s">
        <v>35</v>
      </c>
      <c r="N5">
        <v>56</v>
      </c>
      <c r="O5" t="s">
        <v>161</v>
      </c>
      <c r="P5" t="s">
        <v>496</v>
      </c>
      <c r="Q5">
        <f t="shared" si="0"/>
        <v>1367</v>
      </c>
      <c r="R5" t="str">
        <f>_xlfn.XLOOKUP(P5,'Painel Additive'!$B:$B,'Painel Additive'!$B:$B,0)</f>
        <v>GRUPO MOSAIC FERTILIZANTES DO BRASIL</v>
      </c>
      <c r="S5">
        <f t="shared" si="1"/>
        <v>60</v>
      </c>
    </row>
    <row r="6" spans="1:19" x14ac:dyDescent="0.25">
      <c r="A6">
        <v>1953</v>
      </c>
      <c r="B6" t="s">
        <v>76</v>
      </c>
      <c r="C6" t="s">
        <v>850</v>
      </c>
      <c r="D6" s="34">
        <v>58917.8</v>
      </c>
      <c r="E6">
        <v>1246267986</v>
      </c>
      <c r="F6" s="30">
        <v>46158</v>
      </c>
      <c r="G6" s="30"/>
      <c r="H6" t="s">
        <v>28</v>
      </c>
      <c r="I6" t="s">
        <v>29</v>
      </c>
      <c r="J6">
        <v>10907</v>
      </c>
      <c r="K6" s="30">
        <v>46098</v>
      </c>
      <c r="L6">
        <v>1010100</v>
      </c>
      <c r="M6" t="s">
        <v>35</v>
      </c>
      <c r="N6">
        <v>161</v>
      </c>
      <c r="O6" t="s">
        <v>160</v>
      </c>
      <c r="P6" t="s">
        <v>413</v>
      </c>
      <c r="Q6">
        <f t="shared" si="0"/>
        <v>-17</v>
      </c>
      <c r="R6" t="str">
        <f>_xlfn.XLOOKUP(P6,'Painel Additive'!$B:$B,'Painel Additive'!$B:$B,0)</f>
        <v>GRUPO AMAGGI</v>
      </c>
      <c r="S6">
        <f t="shared" si="1"/>
        <v>60</v>
      </c>
    </row>
    <row r="7" spans="1:19" x14ac:dyDescent="0.25">
      <c r="A7">
        <v>1787</v>
      </c>
      <c r="B7" t="s">
        <v>67</v>
      </c>
      <c r="C7" t="s">
        <v>68</v>
      </c>
      <c r="D7" s="34">
        <v>107059.2</v>
      </c>
      <c r="E7">
        <v>1246262114</v>
      </c>
      <c r="F7" s="30">
        <v>46146</v>
      </c>
      <c r="G7" s="30">
        <v>46146</v>
      </c>
      <c r="H7" t="s">
        <v>28</v>
      </c>
      <c r="I7" t="s">
        <v>29</v>
      </c>
      <c r="J7">
        <v>10629</v>
      </c>
      <c r="K7" s="30">
        <v>46056</v>
      </c>
      <c r="L7">
        <v>1010100</v>
      </c>
      <c r="M7" t="s">
        <v>35</v>
      </c>
      <c r="N7">
        <v>161</v>
      </c>
      <c r="O7" t="s">
        <v>160</v>
      </c>
      <c r="P7" t="s">
        <v>527</v>
      </c>
      <c r="Q7">
        <f t="shared" si="0"/>
        <v>-5</v>
      </c>
      <c r="R7" t="str">
        <f>_xlfn.XLOOKUP(P7,'Painel Additive'!$B:$B,'Painel Additive'!$B:$B,0)</f>
        <v>GRUPO MOSAIC FERTILIZANTES P K LTDA</v>
      </c>
      <c r="S7">
        <f t="shared" si="1"/>
        <v>90</v>
      </c>
    </row>
    <row r="8" spans="1:19" x14ac:dyDescent="0.25">
      <c r="A8">
        <v>1787</v>
      </c>
      <c r="B8" t="s">
        <v>67</v>
      </c>
      <c r="C8" t="s">
        <v>68</v>
      </c>
      <c r="D8" s="34">
        <v>109862.39999999999</v>
      </c>
      <c r="E8">
        <v>1246271310</v>
      </c>
      <c r="F8" s="30">
        <v>46216</v>
      </c>
      <c r="G8" s="30"/>
      <c r="H8" t="s">
        <v>28</v>
      </c>
      <c r="I8" t="s">
        <v>29</v>
      </c>
      <c r="J8">
        <v>11116</v>
      </c>
      <c r="K8" s="30">
        <v>46126</v>
      </c>
      <c r="L8">
        <v>1010100</v>
      </c>
      <c r="M8" t="s">
        <v>35</v>
      </c>
      <c r="N8">
        <v>161</v>
      </c>
      <c r="O8" t="s">
        <v>160</v>
      </c>
      <c r="P8" t="s">
        <v>527</v>
      </c>
      <c r="Q8">
        <f t="shared" si="0"/>
        <v>-75</v>
      </c>
      <c r="R8" t="str">
        <f>_xlfn.XLOOKUP(P8,'Painel Additive'!$B:$B,'Painel Additive'!$B:$B,0)</f>
        <v>GRUPO MOSAIC FERTILIZANTES P K LTDA</v>
      </c>
      <c r="S8">
        <f t="shared" si="1"/>
        <v>90</v>
      </c>
    </row>
    <row r="9" spans="1:19" x14ac:dyDescent="0.25">
      <c r="A9">
        <v>1787</v>
      </c>
      <c r="B9" t="s">
        <v>67</v>
      </c>
      <c r="C9" t="s">
        <v>68</v>
      </c>
      <c r="D9" s="34">
        <v>116928</v>
      </c>
      <c r="E9">
        <v>1246267948</v>
      </c>
      <c r="F9" s="30">
        <v>46187</v>
      </c>
      <c r="G9" s="30"/>
      <c r="H9" t="s">
        <v>28</v>
      </c>
      <c r="I9" t="s">
        <v>29</v>
      </c>
      <c r="J9">
        <v>10899</v>
      </c>
      <c r="K9" s="30">
        <v>46097</v>
      </c>
      <c r="L9">
        <v>1010100</v>
      </c>
      <c r="M9" t="s">
        <v>35</v>
      </c>
      <c r="N9">
        <v>161</v>
      </c>
      <c r="O9" t="s">
        <v>160</v>
      </c>
      <c r="P9" t="s">
        <v>527</v>
      </c>
      <c r="Q9">
        <f t="shared" si="0"/>
        <v>-46</v>
      </c>
      <c r="R9" t="str">
        <f>_xlfn.XLOOKUP(P9,'Painel Additive'!$B:$B,'Painel Additive'!$B:$B,0)</f>
        <v>GRUPO MOSAIC FERTILIZANTES P K LTDA</v>
      </c>
      <c r="S9">
        <f t="shared" si="1"/>
        <v>90</v>
      </c>
    </row>
    <row r="10" spans="1:19" x14ac:dyDescent="0.25">
      <c r="A10">
        <v>1787</v>
      </c>
      <c r="B10" t="s">
        <v>67</v>
      </c>
      <c r="C10" t="s">
        <v>68</v>
      </c>
      <c r="D10" s="34">
        <v>115891.2</v>
      </c>
      <c r="E10">
        <v>1246262540</v>
      </c>
      <c r="F10" s="30">
        <v>46149</v>
      </c>
      <c r="G10" s="30"/>
      <c r="H10" t="s">
        <v>28</v>
      </c>
      <c r="I10" t="s">
        <v>29</v>
      </c>
      <c r="J10">
        <v>10652</v>
      </c>
      <c r="K10" s="30">
        <v>46059</v>
      </c>
      <c r="L10">
        <v>1010100</v>
      </c>
      <c r="M10" t="s">
        <v>35</v>
      </c>
      <c r="N10">
        <v>161</v>
      </c>
      <c r="O10" t="s">
        <v>160</v>
      </c>
      <c r="P10" t="s">
        <v>527</v>
      </c>
      <c r="Q10">
        <f t="shared" si="0"/>
        <v>-8</v>
      </c>
      <c r="R10" t="str">
        <f>_xlfn.XLOOKUP(P10,'Painel Additive'!$B:$B,'Painel Additive'!$B:$B,0)</f>
        <v>GRUPO MOSAIC FERTILIZANTES P K LTDA</v>
      </c>
      <c r="S10">
        <f t="shared" si="1"/>
        <v>90</v>
      </c>
    </row>
    <row r="11" spans="1:19" x14ac:dyDescent="0.25">
      <c r="A11">
        <v>1787</v>
      </c>
      <c r="B11" t="s">
        <v>67</v>
      </c>
      <c r="C11" t="s">
        <v>68</v>
      </c>
      <c r="D11" s="34">
        <v>103795.2</v>
      </c>
      <c r="E11">
        <v>1246268633</v>
      </c>
      <c r="F11" s="30">
        <v>46194</v>
      </c>
      <c r="G11" s="30"/>
      <c r="H11" t="s">
        <v>28</v>
      </c>
      <c r="I11" t="s">
        <v>29</v>
      </c>
      <c r="J11">
        <v>10957</v>
      </c>
      <c r="K11" s="30">
        <v>46104</v>
      </c>
      <c r="L11">
        <v>1010100</v>
      </c>
      <c r="M11" t="s">
        <v>35</v>
      </c>
      <c r="N11">
        <v>161</v>
      </c>
      <c r="O11" t="s">
        <v>160</v>
      </c>
      <c r="P11" t="s">
        <v>527</v>
      </c>
      <c r="Q11">
        <f t="shared" si="0"/>
        <v>-53</v>
      </c>
      <c r="R11" t="str">
        <f>_xlfn.XLOOKUP(P11,'Painel Additive'!$B:$B,'Painel Additive'!$B:$B,0)</f>
        <v>GRUPO MOSAIC FERTILIZANTES P K LTDA</v>
      </c>
      <c r="S11">
        <f t="shared" si="1"/>
        <v>90</v>
      </c>
    </row>
    <row r="12" spans="1:19" x14ac:dyDescent="0.25">
      <c r="A12">
        <v>1787</v>
      </c>
      <c r="B12" t="s">
        <v>67</v>
      </c>
      <c r="C12" t="s">
        <v>68</v>
      </c>
      <c r="D12" s="34">
        <v>111360</v>
      </c>
      <c r="E12">
        <v>1246268748</v>
      </c>
      <c r="F12" s="30">
        <v>46195</v>
      </c>
      <c r="G12" s="30"/>
      <c r="H12" t="s">
        <v>28</v>
      </c>
      <c r="I12" t="s">
        <v>29</v>
      </c>
      <c r="J12">
        <v>10965</v>
      </c>
      <c r="K12" s="30">
        <v>46105</v>
      </c>
      <c r="L12">
        <v>1010100</v>
      </c>
      <c r="M12" t="s">
        <v>35</v>
      </c>
      <c r="N12">
        <v>161</v>
      </c>
      <c r="O12" t="s">
        <v>160</v>
      </c>
      <c r="P12" t="s">
        <v>527</v>
      </c>
      <c r="Q12">
        <f t="shared" si="0"/>
        <v>-54</v>
      </c>
      <c r="R12" t="str">
        <f>_xlfn.XLOOKUP(P12,'Painel Additive'!$B:$B,'Painel Additive'!$B:$B,0)</f>
        <v>GRUPO MOSAIC FERTILIZANTES P K LTDA</v>
      </c>
      <c r="S12">
        <f t="shared" si="1"/>
        <v>90</v>
      </c>
    </row>
    <row r="13" spans="1:19" x14ac:dyDescent="0.25">
      <c r="A13">
        <v>1787</v>
      </c>
      <c r="B13" t="s">
        <v>67</v>
      </c>
      <c r="C13" t="s">
        <v>68</v>
      </c>
      <c r="D13" s="34">
        <v>114662.39999999999</v>
      </c>
      <c r="E13">
        <v>1246268585</v>
      </c>
      <c r="F13" s="30">
        <v>46161</v>
      </c>
      <c r="G13" s="30"/>
      <c r="H13" t="s">
        <v>28</v>
      </c>
      <c r="I13" t="s">
        <v>29</v>
      </c>
      <c r="J13">
        <v>10953</v>
      </c>
      <c r="K13" s="30">
        <v>46101</v>
      </c>
      <c r="L13">
        <v>1010100</v>
      </c>
      <c r="M13" t="s">
        <v>35</v>
      </c>
      <c r="N13">
        <v>161</v>
      </c>
      <c r="O13" t="s">
        <v>160</v>
      </c>
      <c r="P13" t="s">
        <v>527</v>
      </c>
      <c r="Q13">
        <f t="shared" si="0"/>
        <v>-20</v>
      </c>
      <c r="R13" t="str">
        <f>_xlfn.XLOOKUP(P13,'Painel Additive'!$B:$B,'Painel Additive'!$B:$B,0)</f>
        <v>GRUPO MOSAIC FERTILIZANTES P K LTDA</v>
      </c>
      <c r="S13">
        <f t="shared" si="1"/>
        <v>60</v>
      </c>
    </row>
    <row r="14" spans="1:19" x14ac:dyDescent="0.25">
      <c r="A14">
        <v>1787</v>
      </c>
      <c r="B14" t="s">
        <v>67</v>
      </c>
      <c r="C14" t="s">
        <v>68</v>
      </c>
      <c r="D14" s="34">
        <v>115852.8</v>
      </c>
      <c r="E14">
        <v>1246270635</v>
      </c>
      <c r="F14" s="30">
        <v>46210</v>
      </c>
      <c r="G14" s="30"/>
      <c r="H14" t="s">
        <v>28</v>
      </c>
      <c r="I14" t="s">
        <v>29</v>
      </c>
      <c r="J14">
        <v>11072</v>
      </c>
      <c r="K14" s="30">
        <v>46120</v>
      </c>
      <c r="L14">
        <v>1010100</v>
      </c>
      <c r="M14" t="s">
        <v>35</v>
      </c>
      <c r="N14">
        <v>161</v>
      </c>
      <c r="O14" t="s">
        <v>160</v>
      </c>
      <c r="P14" t="s">
        <v>527</v>
      </c>
      <c r="Q14">
        <f t="shared" si="0"/>
        <v>-69</v>
      </c>
      <c r="R14" t="str">
        <f>_xlfn.XLOOKUP(P14,'Painel Additive'!$B:$B,'Painel Additive'!$B:$B,0)</f>
        <v>GRUPO MOSAIC FERTILIZANTES P K LTDA</v>
      </c>
      <c r="S14">
        <f t="shared" si="1"/>
        <v>90</v>
      </c>
    </row>
    <row r="15" spans="1:19" x14ac:dyDescent="0.25">
      <c r="A15">
        <v>1787</v>
      </c>
      <c r="B15" t="s">
        <v>67</v>
      </c>
      <c r="C15" t="s">
        <v>68</v>
      </c>
      <c r="D15" s="34">
        <v>114739.2</v>
      </c>
      <c r="E15">
        <v>1246271165</v>
      </c>
      <c r="F15" s="30">
        <v>46215</v>
      </c>
      <c r="G15" s="30"/>
      <c r="H15" t="s">
        <v>28</v>
      </c>
      <c r="I15" t="s">
        <v>29</v>
      </c>
      <c r="J15">
        <v>11105</v>
      </c>
      <c r="K15" s="30">
        <v>46125</v>
      </c>
      <c r="L15">
        <v>1010100</v>
      </c>
      <c r="M15" t="s">
        <v>35</v>
      </c>
      <c r="N15">
        <v>161</v>
      </c>
      <c r="O15" t="s">
        <v>160</v>
      </c>
      <c r="P15" t="s">
        <v>527</v>
      </c>
      <c r="Q15">
        <f t="shared" si="0"/>
        <v>-74</v>
      </c>
      <c r="R15" t="str">
        <f>_xlfn.XLOOKUP(P15,'Painel Additive'!$B:$B,'Painel Additive'!$B:$B,0)</f>
        <v>GRUPO MOSAIC FERTILIZANTES P K LTDA</v>
      </c>
      <c r="S15">
        <f t="shared" si="1"/>
        <v>90</v>
      </c>
    </row>
    <row r="16" spans="1:19" x14ac:dyDescent="0.25">
      <c r="A16">
        <v>1787</v>
      </c>
      <c r="B16" t="s">
        <v>67</v>
      </c>
      <c r="C16" t="s">
        <v>68</v>
      </c>
      <c r="D16" s="34">
        <v>114969.60000000001</v>
      </c>
      <c r="E16">
        <v>1246264543</v>
      </c>
      <c r="F16" s="30">
        <v>46166</v>
      </c>
      <c r="G16" s="30"/>
      <c r="H16" t="s">
        <v>28</v>
      </c>
      <c r="I16" t="s">
        <v>29</v>
      </c>
      <c r="J16">
        <v>10746</v>
      </c>
      <c r="K16" s="30">
        <v>46076</v>
      </c>
      <c r="L16">
        <v>1010100</v>
      </c>
      <c r="M16" t="s">
        <v>35</v>
      </c>
      <c r="N16">
        <v>161</v>
      </c>
      <c r="O16" t="s">
        <v>160</v>
      </c>
      <c r="P16" t="s">
        <v>527</v>
      </c>
      <c r="Q16">
        <f t="shared" si="0"/>
        <v>-25</v>
      </c>
      <c r="R16" t="str">
        <f>_xlfn.XLOOKUP(P16,'Painel Additive'!$B:$B,'Painel Additive'!$B:$B,0)</f>
        <v>GRUPO MOSAIC FERTILIZANTES P K LTDA</v>
      </c>
      <c r="S16">
        <f t="shared" si="1"/>
        <v>90</v>
      </c>
    </row>
    <row r="17" spans="1:19" x14ac:dyDescent="0.25">
      <c r="A17">
        <v>1787</v>
      </c>
      <c r="B17" t="s">
        <v>67</v>
      </c>
      <c r="C17" t="s">
        <v>68</v>
      </c>
      <c r="D17" s="34">
        <v>113356.8</v>
      </c>
      <c r="E17">
        <v>1246269731</v>
      </c>
      <c r="F17" s="30">
        <v>46202</v>
      </c>
      <c r="G17" s="30"/>
      <c r="H17" t="s">
        <v>28</v>
      </c>
      <c r="I17" t="s">
        <v>29</v>
      </c>
      <c r="J17">
        <v>11014</v>
      </c>
      <c r="K17" s="30">
        <v>46112</v>
      </c>
      <c r="L17">
        <v>1010100</v>
      </c>
      <c r="M17" t="s">
        <v>35</v>
      </c>
      <c r="N17">
        <v>161</v>
      </c>
      <c r="O17" t="s">
        <v>160</v>
      </c>
      <c r="P17" t="s">
        <v>527</v>
      </c>
      <c r="Q17">
        <f t="shared" si="0"/>
        <v>-61</v>
      </c>
      <c r="R17" t="str">
        <f>_xlfn.XLOOKUP(P17,'Painel Additive'!$B:$B,'Painel Additive'!$B:$B,0)</f>
        <v>GRUPO MOSAIC FERTILIZANTES P K LTDA</v>
      </c>
      <c r="S17">
        <f t="shared" si="1"/>
        <v>90</v>
      </c>
    </row>
    <row r="18" spans="1:19" x14ac:dyDescent="0.25">
      <c r="A18">
        <v>1787</v>
      </c>
      <c r="B18" t="s">
        <v>67</v>
      </c>
      <c r="C18" t="s">
        <v>68</v>
      </c>
      <c r="D18" s="34">
        <v>110246.39999999999</v>
      </c>
      <c r="E18">
        <v>1246272757</v>
      </c>
      <c r="F18" s="30">
        <v>46229</v>
      </c>
      <c r="G18" s="30"/>
      <c r="H18" t="s">
        <v>28</v>
      </c>
      <c r="I18" t="s">
        <v>29</v>
      </c>
      <c r="J18">
        <v>11229</v>
      </c>
      <c r="K18" s="30">
        <v>46139</v>
      </c>
      <c r="L18">
        <v>1010100</v>
      </c>
      <c r="M18" t="s">
        <v>35</v>
      </c>
      <c r="N18">
        <v>161</v>
      </c>
      <c r="O18" t="s">
        <v>160</v>
      </c>
      <c r="P18" t="s">
        <v>527</v>
      </c>
      <c r="Q18">
        <f t="shared" si="0"/>
        <v>-88</v>
      </c>
      <c r="R18" t="str">
        <f>_xlfn.XLOOKUP(P18,'Painel Additive'!$B:$B,'Painel Additive'!$B:$B,0)</f>
        <v>GRUPO MOSAIC FERTILIZANTES P K LTDA</v>
      </c>
      <c r="S18">
        <f t="shared" si="1"/>
        <v>90</v>
      </c>
    </row>
    <row r="19" spans="1:19" x14ac:dyDescent="0.25">
      <c r="A19">
        <v>1787</v>
      </c>
      <c r="B19" t="s">
        <v>67</v>
      </c>
      <c r="C19" t="s">
        <v>68</v>
      </c>
      <c r="D19" s="34">
        <v>115392</v>
      </c>
      <c r="E19">
        <v>1246265885</v>
      </c>
      <c r="F19" s="30">
        <v>46173</v>
      </c>
      <c r="G19" s="30"/>
      <c r="H19" t="s">
        <v>28</v>
      </c>
      <c r="I19" t="s">
        <v>29</v>
      </c>
      <c r="J19">
        <v>10791</v>
      </c>
      <c r="K19" s="30">
        <v>46083</v>
      </c>
      <c r="L19">
        <v>1010100</v>
      </c>
      <c r="M19" t="s">
        <v>35</v>
      </c>
      <c r="N19">
        <v>161</v>
      </c>
      <c r="O19" t="s">
        <v>160</v>
      </c>
      <c r="P19" t="s">
        <v>527</v>
      </c>
      <c r="Q19">
        <f t="shared" si="0"/>
        <v>-32</v>
      </c>
      <c r="R19" t="str">
        <f>_xlfn.XLOOKUP(P19,'Painel Additive'!$B:$B,'Painel Additive'!$B:$B,0)</f>
        <v>GRUPO MOSAIC FERTILIZANTES P K LTDA</v>
      </c>
      <c r="S19">
        <f t="shared" si="1"/>
        <v>90</v>
      </c>
    </row>
    <row r="20" spans="1:19" x14ac:dyDescent="0.25">
      <c r="A20">
        <v>1787</v>
      </c>
      <c r="B20" t="s">
        <v>67</v>
      </c>
      <c r="C20" t="s">
        <v>68</v>
      </c>
      <c r="D20" s="34">
        <v>115046.39999999999</v>
      </c>
      <c r="E20">
        <v>1246267207</v>
      </c>
      <c r="F20" s="30">
        <v>46181</v>
      </c>
      <c r="G20" s="30"/>
      <c r="H20" t="s">
        <v>28</v>
      </c>
      <c r="I20" t="s">
        <v>29</v>
      </c>
      <c r="J20">
        <v>10856</v>
      </c>
      <c r="K20" s="30">
        <v>46091</v>
      </c>
      <c r="L20">
        <v>1010100</v>
      </c>
      <c r="M20" t="s">
        <v>35</v>
      </c>
      <c r="N20">
        <v>161</v>
      </c>
      <c r="O20" t="s">
        <v>160</v>
      </c>
      <c r="P20" t="s">
        <v>527</v>
      </c>
      <c r="Q20">
        <f t="shared" si="0"/>
        <v>-40</v>
      </c>
      <c r="R20" t="str">
        <f>_xlfn.XLOOKUP(P20,'Painel Additive'!$B:$B,'Painel Additive'!$B:$B,0)</f>
        <v>GRUPO MOSAIC FERTILIZANTES P K LTDA</v>
      </c>
      <c r="S20">
        <f t="shared" si="1"/>
        <v>90</v>
      </c>
    </row>
    <row r="21" spans="1:19" x14ac:dyDescent="0.25">
      <c r="A21">
        <v>1787</v>
      </c>
      <c r="B21" t="s">
        <v>67</v>
      </c>
      <c r="C21" t="s">
        <v>68</v>
      </c>
      <c r="D21" s="34">
        <v>115968</v>
      </c>
      <c r="E21">
        <v>1246270152</v>
      </c>
      <c r="F21" s="30">
        <v>46204</v>
      </c>
      <c r="G21" s="30"/>
      <c r="H21" t="s">
        <v>28</v>
      </c>
      <c r="I21" t="s">
        <v>29</v>
      </c>
      <c r="J21">
        <v>11043</v>
      </c>
      <c r="K21" s="30">
        <v>46114</v>
      </c>
      <c r="L21">
        <v>1010100</v>
      </c>
      <c r="M21" t="s">
        <v>35</v>
      </c>
      <c r="N21">
        <v>161</v>
      </c>
      <c r="O21" t="s">
        <v>160</v>
      </c>
      <c r="P21" t="s">
        <v>527</v>
      </c>
      <c r="Q21">
        <f t="shared" si="0"/>
        <v>-63</v>
      </c>
      <c r="R21" t="str">
        <f>_xlfn.XLOOKUP(P21,'Painel Additive'!$B:$B,'Painel Additive'!$B:$B,0)</f>
        <v>GRUPO MOSAIC FERTILIZANTES P K LTDA</v>
      </c>
      <c r="S21">
        <f t="shared" si="1"/>
        <v>90</v>
      </c>
    </row>
    <row r="22" spans="1:19" x14ac:dyDescent="0.25">
      <c r="A22">
        <v>1787</v>
      </c>
      <c r="B22" t="s">
        <v>67</v>
      </c>
      <c r="C22" t="s">
        <v>68</v>
      </c>
      <c r="D22" s="34">
        <v>116889.60000000001</v>
      </c>
      <c r="E22">
        <v>1246271830</v>
      </c>
      <c r="F22" s="30">
        <v>46222</v>
      </c>
      <c r="G22" s="30"/>
      <c r="H22" t="s">
        <v>28</v>
      </c>
      <c r="I22" t="s">
        <v>29</v>
      </c>
      <c r="J22">
        <v>11172</v>
      </c>
      <c r="K22" s="30">
        <v>46132</v>
      </c>
      <c r="L22">
        <v>1010100</v>
      </c>
      <c r="M22" t="s">
        <v>35</v>
      </c>
      <c r="N22">
        <v>161</v>
      </c>
      <c r="O22" t="s">
        <v>160</v>
      </c>
      <c r="P22" t="s">
        <v>527</v>
      </c>
      <c r="Q22">
        <f t="shared" si="0"/>
        <v>-81</v>
      </c>
      <c r="R22" t="str">
        <f>_xlfn.XLOOKUP(P22,'Painel Additive'!$B:$B,'Painel Additive'!$B:$B,0)</f>
        <v>GRUPO MOSAIC FERTILIZANTES P K LTDA</v>
      </c>
      <c r="S22">
        <f t="shared" si="1"/>
        <v>90</v>
      </c>
    </row>
    <row r="23" spans="1:19" x14ac:dyDescent="0.25">
      <c r="A23">
        <v>1787</v>
      </c>
      <c r="B23" t="s">
        <v>67</v>
      </c>
      <c r="C23" t="s">
        <v>68</v>
      </c>
      <c r="D23" s="34">
        <v>114201.60000000001</v>
      </c>
      <c r="E23">
        <v>1246262790</v>
      </c>
      <c r="F23" s="30">
        <v>46152</v>
      </c>
      <c r="G23" s="30"/>
      <c r="H23" t="s">
        <v>28</v>
      </c>
      <c r="I23" t="s">
        <v>29</v>
      </c>
      <c r="J23">
        <v>10666</v>
      </c>
      <c r="K23" s="30">
        <v>46062</v>
      </c>
      <c r="L23">
        <v>1010100</v>
      </c>
      <c r="M23" t="s">
        <v>35</v>
      </c>
      <c r="N23">
        <v>161</v>
      </c>
      <c r="O23" t="s">
        <v>160</v>
      </c>
      <c r="P23" t="s">
        <v>527</v>
      </c>
      <c r="Q23">
        <f t="shared" si="0"/>
        <v>-11</v>
      </c>
      <c r="R23" t="str">
        <f>_xlfn.XLOOKUP(P23,'Painel Additive'!$B:$B,'Painel Additive'!$B:$B,0)</f>
        <v>GRUPO MOSAIC FERTILIZANTES P K LTDA</v>
      </c>
      <c r="S23">
        <f t="shared" si="1"/>
        <v>90</v>
      </c>
    </row>
    <row r="24" spans="1:19" x14ac:dyDescent="0.25">
      <c r="A24">
        <v>1787</v>
      </c>
      <c r="B24" t="s">
        <v>67</v>
      </c>
      <c r="C24" t="s">
        <v>68</v>
      </c>
      <c r="D24" s="34">
        <v>108864</v>
      </c>
      <c r="E24">
        <v>1246263600</v>
      </c>
      <c r="F24" s="30">
        <v>46156</v>
      </c>
      <c r="G24" s="30"/>
      <c r="H24" t="s">
        <v>28</v>
      </c>
      <c r="I24" t="s">
        <v>29</v>
      </c>
      <c r="J24">
        <v>10688</v>
      </c>
      <c r="K24" s="30">
        <v>46066</v>
      </c>
      <c r="L24">
        <v>1010100</v>
      </c>
      <c r="M24" t="s">
        <v>35</v>
      </c>
      <c r="N24">
        <v>161</v>
      </c>
      <c r="O24" t="s">
        <v>160</v>
      </c>
      <c r="P24" t="s">
        <v>527</v>
      </c>
      <c r="Q24">
        <f t="shared" si="0"/>
        <v>-15</v>
      </c>
      <c r="R24" t="str">
        <f>_xlfn.XLOOKUP(P24,'Painel Additive'!$B:$B,'Painel Additive'!$B:$B,0)</f>
        <v>GRUPO MOSAIC FERTILIZANTES P K LTDA</v>
      </c>
      <c r="S24">
        <f t="shared" si="1"/>
        <v>90</v>
      </c>
    </row>
    <row r="25" spans="1:19" x14ac:dyDescent="0.25">
      <c r="A25">
        <v>1787</v>
      </c>
      <c r="B25" t="s">
        <v>67</v>
      </c>
      <c r="C25" t="s">
        <v>68</v>
      </c>
      <c r="D25" s="34">
        <v>110937.60000000001</v>
      </c>
      <c r="E25">
        <v>1246268467</v>
      </c>
      <c r="F25" s="30">
        <v>46190</v>
      </c>
      <c r="G25" s="30"/>
      <c r="H25" t="s">
        <v>28</v>
      </c>
      <c r="I25" t="s">
        <v>29</v>
      </c>
      <c r="J25">
        <v>10936</v>
      </c>
      <c r="K25" s="30">
        <v>46100</v>
      </c>
      <c r="L25">
        <v>1010100</v>
      </c>
      <c r="M25" t="s">
        <v>35</v>
      </c>
      <c r="N25">
        <v>161</v>
      </c>
      <c r="O25" t="s">
        <v>160</v>
      </c>
      <c r="P25" t="s">
        <v>527</v>
      </c>
      <c r="Q25">
        <f t="shared" si="0"/>
        <v>-49</v>
      </c>
      <c r="R25" t="str">
        <f>_xlfn.XLOOKUP(P25,'Painel Additive'!$B:$B,'Painel Additive'!$B:$B,0)</f>
        <v>GRUPO MOSAIC FERTILIZANTES P K LTDA</v>
      </c>
      <c r="S25">
        <f t="shared" si="1"/>
        <v>90</v>
      </c>
    </row>
    <row r="26" spans="1:19" x14ac:dyDescent="0.25">
      <c r="A26">
        <v>1787</v>
      </c>
      <c r="B26" t="s">
        <v>67</v>
      </c>
      <c r="C26" t="s">
        <v>68</v>
      </c>
      <c r="D26" s="34">
        <v>116889.60000000001</v>
      </c>
      <c r="E26">
        <v>1246271678</v>
      </c>
      <c r="F26" s="30">
        <v>46219</v>
      </c>
      <c r="G26" s="30"/>
      <c r="H26" t="s">
        <v>28</v>
      </c>
      <c r="I26" t="s">
        <v>29</v>
      </c>
      <c r="J26">
        <v>11157</v>
      </c>
      <c r="K26" s="30">
        <v>46129</v>
      </c>
      <c r="L26">
        <v>1010100</v>
      </c>
      <c r="M26" t="s">
        <v>35</v>
      </c>
      <c r="N26">
        <v>161</v>
      </c>
      <c r="O26" t="s">
        <v>160</v>
      </c>
      <c r="P26" t="s">
        <v>527</v>
      </c>
      <c r="Q26">
        <f t="shared" si="0"/>
        <v>-78</v>
      </c>
      <c r="R26" t="str">
        <f>_xlfn.XLOOKUP(P26,'Painel Additive'!$B:$B,'Painel Additive'!$B:$B,0)</f>
        <v>GRUPO MOSAIC FERTILIZANTES P K LTDA</v>
      </c>
      <c r="S26">
        <f t="shared" si="1"/>
        <v>90</v>
      </c>
    </row>
    <row r="27" spans="1:19" x14ac:dyDescent="0.25">
      <c r="A27">
        <v>1787</v>
      </c>
      <c r="B27" t="s">
        <v>67</v>
      </c>
      <c r="C27" t="s">
        <v>68</v>
      </c>
      <c r="D27" s="34">
        <v>110131.2</v>
      </c>
      <c r="E27">
        <v>1246272134</v>
      </c>
      <c r="F27" s="30">
        <v>46224</v>
      </c>
      <c r="G27" s="30"/>
      <c r="H27" t="s">
        <v>28</v>
      </c>
      <c r="I27" t="s">
        <v>29</v>
      </c>
      <c r="J27">
        <v>11192</v>
      </c>
      <c r="K27" s="30">
        <v>46134</v>
      </c>
      <c r="L27">
        <v>1010100</v>
      </c>
      <c r="M27" t="s">
        <v>35</v>
      </c>
      <c r="N27">
        <v>161</v>
      </c>
      <c r="O27" t="s">
        <v>160</v>
      </c>
      <c r="P27" t="s">
        <v>527</v>
      </c>
      <c r="Q27">
        <f t="shared" si="0"/>
        <v>-83</v>
      </c>
      <c r="R27" t="str">
        <f>_xlfn.XLOOKUP(P27,'Painel Additive'!$B:$B,'Painel Additive'!$B:$B,0)</f>
        <v>GRUPO MOSAIC FERTILIZANTES P K LTDA</v>
      </c>
      <c r="S27">
        <f t="shared" si="1"/>
        <v>90</v>
      </c>
    </row>
    <row r="28" spans="1:19" x14ac:dyDescent="0.25">
      <c r="A28">
        <v>1787</v>
      </c>
      <c r="B28" t="s">
        <v>67</v>
      </c>
      <c r="C28" t="s">
        <v>68</v>
      </c>
      <c r="D28" s="34">
        <v>112358.39999999999</v>
      </c>
      <c r="E28">
        <v>1246272202</v>
      </c>
      <c r="F28" s="30">
        <v>46225</v>
      </c>
      <c r="G28" s="30"/>
      <c r="H28" t="s">
        <v>28</v>
      </c>
      <c r="I28" t="s">
        <v>29</v>
      </c>
      <c r="J28">
        <v>11197</v>
      </c>
      <c r="K28" s="30">
        <v>46135</v>
      </c>
      <c r="L28">
        <v>1010100</v>
      </c>
      <c r="M28" t="s">
        <v>35</v>
      </c>
      <c r="N28">
        <v>161</v>
      </c>
      <c r="O28" t="s">
        <v>160</v>
      </c>
      <c r="P28" t="s">
        <v>527</v>
      </c>
      <c r="Q28">
        <f t="shared" si="0"/>
        <v>-84</v>
      </c>
      <c r="R28" t="str">
        <f>_xlfn.XLOOKUP(P28,'Painel Additive'!$B:$B,'Painel Additive'!$B:$B,0)</f>
        <v>GRUPO MOSAIC FERTILIZANTES P K LTDA</v>
      </c>
      <c r="S28">
        <f t="shared" si="1"/>
        <v>90</v>
      </c>
    </row>
    <row r="29" spans="1:19" x14ac:dyDescent="0.25">
      <c r="A29">
        <v>1787</v>
      </c>
      <c r="B29" t="s">
        <v>67</v>
      </c>
      <c r="C29" t="s">
        <v>68</v>
      </c>
      <c r="D29" s="34">
        <v>110592</v>
      </c>
      <c r="E29">
        <v>1246269420</v>
      </c>
      <c r="F29" s="30">
        <v>46198</v>
      </c>
      <c r="G29" s="30"/>
      <c r="H29" t="s">
        <v>28</v>
      </c>
      <c r="I29" t="s">
        <v>29</v>
      </c>
      <c r="J29">
        <v>10989</v>
      </c>
      <c r="K29" s="30">
        <v>46108</v>
      </c>
      <c r="L29">
        <v>1010100</v>
      </c>
      <c r="M29" t="s">
        <v>35</v>
      </c>
      <c r="N29">
        <v>161</v>
      </c>
      <c r="O29" t="s">
        <v>160</v>
      </c>
      <c r="P29" t="s">
        <v>527</v>
      </c>
      <c r="Q29">
        <f t="shared" si="0"/>
        <v>-57</v>
      </c>
      <c r="R29" t="str">
        <f>_xlfn.XLOOKUP(P29,'Painel Additive'!$B:$B,'Painel Additive'!$B:$B,0)</f>
        <v>GRUPO MOSAIC FERTILIZANTES P K LTDA</v>
      </c>
      <c r="S29">
        <f t="shared" si="1"/>
        <v>90</v>
      </c>
    </row>
    <row r="30" spans="1:19" x14ac:dyDescent="0.25">
      <c r="A30">
        <v>1787</v>
      </c>
      <c r="B30" t="s">
        <v>67</v>
      </c>
      <c r="C30" t="s">
        <v>68</v>
      </c>
      <c r="D30" s="34">
        <v>114393.60000000001</v>
      </c>
      <c r="E30">
        <v>1246263371</v>
      </c>
      <c r="F30" s="30">
        <v>46154</v>
      </c>
      <c r="G30" s="30"/>
      <c r="H30" t="s">
        <v>28</v>
      </c>
      <c r="I30" t="s">
        <v>29</v>
      </c>
      <c r="J30">
        <v>10678</v>
      </c>
      <c r="K30" s="30">
        <v>46064</v>
      </c>
      <c r="L30">
        <v>1010100</v>
      </c>
      <c r="M30" t="s">
        <v>35</v>
      </c>
      <c r="N30">
        <v>161</v>
      </c>
      <c r="O30" t="s">
        <v>160</v>
      </c>
      <c r="P30" t="s">
        <v>527</v>
      </c>
      <c r="Q30">
        <f t="shared" si="0"/>
        <v>-13</v>
      </c>
      <c r="R30" t="str">
        <f>_xlfn.XLOOKUP(P30,'Painel Additive'!$B:$B,'Painel Additive'!$B:$B,0)</f>
        <v>GRUPO MOSAIC FERTILIZANTES P K LTDA</v>
      </c>
      <c r="S30">
        <f t="shared" si="1"/>
        <v>90</v>
      </c>
    </row>
    <row r="31" spans="1:19" x14ac:dyDescent="0.25">
      <c r="A31">
        <v>1787</v>
      </c>
      <c r="B31" t="s">
        <v>67</v>
      </c>
      <c r="C31" t="s">
        <v>68</v>
      </c>
      <c r="D31" s="34">
        <v>116006.39999999999</v>
      </c>
      <c r="E31">
        <v>1246267015</v>
      </c>
      <c r="F31" s="30">
        <v>46180</v>
      </c>
      <c r="G31" s="30"/>
      <c r="H31" t="s">
        <v>28</v>
      </c>
      <c r="I31" t="s">
        <v>29</v>
      </c>
      <c r="J31">
        <v>10844</v>
      </c>
      <c r="K31" s="30">
        <v>46090</v>
      </c>
      <c r="L31">
        <v>1010100</v>
      </c>
      <c r="M31" t="s">
        <v>35</v>
      </c>
      <c r="N31">
        <v>161</v>
      </c>
      <c r="O31" t="s">
        <v>160</v>
      </c>
      <c r="P31" t="s">
        <v>527</v>
      </c>
      <c r="Q31">
        <f t="shared" si="0"/>
        <v>-39</v>
      </c>
      <c r="R31" t="str">
        <f>_xlfn.XLOOKUP(P31,'Painel Additive'!$B:$B,'Painel Additive'!$B:$B,0)</f>
        <v>GRUPO MOSAIC FERTILIZANTES P K LTDA</v>
      </c>
      <c r="S31">
        <f t="shared" si="1"/>
        <v>90</v>
      </c>
    </row>
    <row r="32" spans="1:19" x14ac:dyDescent="0.25">
      <c r="A32">
        <v>1787</v>
      </c>
      <c r="B32" t="s">
        <v>67</v>
      </c>
      <c r="C32" t="s">
        <v>68</v>
      </c>
      <c r="D32" s="34">
        <v>111552</v>
      </c>
      <c r="E32">
        <v>1246269890</v>
      </c>
      <c r="F32" s="30">
        <v>46203</v>
      </c>
      <c r="G32" s="30"/>
      <c r="H32" t="s">
        <v>28</v>
      </c>
      <c r="I32" t="s">
        <v>29</v>
      </c>
      <c r="J32">
        <v>11025</v>
      </c>
      <c r="K32" s="30">
        <v>46113</v>
      </c>
      <c r="L32">
        <v>1010100</v>
      </c>
      <c r="M32" t="s">
        <v>35</v>
      </c>
      <c r="N32">
        <v>161</v>
      </c>
      <c r="O32" t="s">
        <v>160</v>
      </c>
      <c r="P32" t="s">
        <v>527</v>
      </c>
      <c r="Q32">
        <f t="shared" si="0"/>
        <v>-62</v>
      </c>
      <c r="R32" t="str">
        <f>_xlfn.XLOOKUP(P32,'Painel Additive'!$B:$B,'Painel Additive'!$B:$B,0)</f>
        <v>GRUPO MOSAIC FERTILIZANTES P K LTDA</v>
      </c>
      <c r="S32">
        <f t="shared" si="1"/>
        <v>90</v>
      </c>
    </row>
    <row r="33" spans="1:19" x14ac:dyDescent="0.25">
      <c r="A33">
        <v>1787</v>
      </c>
      <c r="B33" t="s">
        <v>67</v>
      </c>
      <c r="C33" t="s">
        <v>68</v>
      </c>
      <c r="D33" s="34">
        <v>112204.8</v>
      </c>
      <c r="E33">
        <v>1246269591</v>
      </c>
      <c r="F33" s="30">
        <v>46201</v>
      </c>
      <c r="G33" s="30"/>
      <c r="H33" t="s">
        <v>28</v>
      </c>
      <c r="I33" t="s">
        <v>29</v>
      </c>
      <c r="J33">
        <v>11002</v>
      </c>
      <c r="K33" s="30">
        <v>46111</v>
      </c>
      <c r="L33">
        <v>1010100</v>
      </c>
      <c r="M33" t="s">
        <v>35</v>
      </c>
      <c r="N33">
        <v>161</v>
      </c>
      <c r="O33" t="s">
        <v>160</v>
      </c>
      <c r="P33" t="s">
        <v>527</v>
      </c>
      <c r="Q33">
        <f t="shared" si="0"/>
        <v>-60</v>
      </c>
      <c r="R33" t="str">
        <f>_xlfn.XLOOKUP(P33,'Painel Additive'!$B:$B,'Painel Additive'!$B:$B,0)</f>
        <v>GRUPO MOSAIC FERTILIZANTES P K LTDA</v>
      </c>
      <c r="S33">
        <f t="shared" si="1"/>
        <v>90</v>
      </c>
    </row>
    <row r="34" spans="1:19" x14ac:dyDescent="0.25">
      <c r="A34">
        <v>1787</v>
      </c>
      <c r="B34" t="s">
        <v>67</v>
      </c>
      <c r="C34" t="s">
        <v>68</v>
      </c>
      <c r="D34" s="34">
        <v>112588.8</v>
      </c>
      <c r="E34">
        <v>1246263994</v>
      </c>
      <c r="F34" s="30">
        <v>46161</v>
      </c>
      <c r="G34" s="30"/>
      <c r="H34" t="s">
        <v>28</v>
      </c>
      <c r="I34" t="s">
        <v>29</v>
      </c>
      <c r="J34">
        <v>10714</v>
      </c>
      <c r="K34" s="30">
        <v>46071</v>
      </c>
      <c r="L34">
        <v>1010100</v>
      </c>
      <c r="M34" t="s">
        <v>35</v>
      </c>
      <c r="N34">
        <v>161</v>
      </c>
      <c r="O34" t="s">
        <v>160</v>
      </c>
      <c r="P34" t="s">
        <v>527</v>
      </c>
      <c r="Q34">
        <f t="shared" si="0"/>
        <v>-20</v>
      </c>
      <c r="R34" t="str">
        <f>_xlfn.XLOOKUP(P34,'Painel Additive'!$B:$B,'Painel Additive'!$B:$B,0)</f>
        <v>GRUPO MOSAIC FERTILIZANTES P K LTDA</v>
      </c>
      <c r="S34">
        <f t="shared" si="1"/>
        <v>90</v>
      </c>
    </row>
    <row r="35" spans="1:19" x14ac:dyDescent="0.25">
      <c r="A35">
        <v>1787</v>
      </c>
      <c r="B35" t="s">
        <v>67</v>
      </c>
      <c r="C35" t="s">
        <v>68</v>
      </c>
      <c r="D35" s="34">
        <v>116121.60000000001</v>
      </c>
      <c r="E35">
        <v>1246270879</v>
      </c>
      <c r="F35" s="30">
        <v>46211</v>
      </c>
      <c r="G35" s="30"/>
      <c r="H35" t="s">
        <v>28</v>
      </c>
      <c r="I35" t="s">
        <v>29</v>
      </c>
      <c r="J35">
        <v>11080</v>
      </c>
      <c r="K35" s="30">
        <v>46121</v>
      </c>
      <c r="L35">
        <v>1010100</v>
      </c>
      <c r="M35" t="s">
        <v>35</v>
      </c>
      <c r="N35">
        <v>161</v>
      </c>
      <c r="O35" t="s">
        <v>160</v>
      </c>
      <c r="P35" t="s">
        <v>527</v>
      </c>
      <c r="Q35">
        <f t="shared" si="0"/>
        <v>-70</v>
      </c>
      <c r="R35" t="str">
        <f>_xlfn.XLOOKUP(P35,'Painel Additive'!$B:$B,'Painel Additive'!$B:$B,0)</f>
        <v>GRUPO MOSAIC FERTILIZANTES P K LTDA</v>
      </c>
      <c r="S35">
        <f t="shared" si="1"/>
        <v>90</v>
      </c>
    </row>
    <row r="36" spans="1:19" x14ac:dyDescent="0.25">
      <c r="A36">
        <v>1787</v>
      </c>
      <c r="B36" t="s">
        <v>67</v>
      </c>
      <c r="C36" t="s">
        <v>68</v>
      </c>
      <c r="D36" s="34">
        <v>115315.2</v>
      </c>
      <c r="E36">
        <v>1246265189</v>
      </c>
      <c r="F36" s="30">
        <v>46168</v>
      </c>
      <c r="G36" s="30"/>
      <c r="H36" t="s">
        <v>28</v>
      </c>
      <c r="I36" t="s">
        <v>29</v>
      </c>
      <c r="J36">
        <v>10768</v>
      </c>
      <c r="K36" s="30">
        <v>46078</v>
      </c>
      <c r="L36">
        <v>1010100</v>
      </c>
      <c r="M36" t="s">
        <v>35</v>
      </c>
      <c r="N36">
        <v>161</v>
      </c>
      <c r="O36" t="s">
        <v>160</v>
      </c>
      <c r="P36" t="s">
        <v>527</v>
      </c>
      <c r="Q36">
        <f t="shared" si="0"/>
        <v>-27</v>
      </c>
      <c r="R36" t="str">
        <f>_xlfn.XLOOKUP(P36,'Painel Additive'!$B:$B,'Painel Additive'!$B:$B,0)</f>
        <v>GRUPO MOSAIC FERTILIZANTES P K LTDA</v>
      </c>
      <c r="S36">
        <f t="shared" si="1"/>
        <v>90</v>
      </c>
    </row>
    <row r="37" spans="1:19" x14ac:dyDescent="0.25">
      <c r="A37">
        <v>1787</v>
      </c>
      <c r="B37" t="s">
        <v>67</v>
      </c>
      <c r="C37" t="s">
        <v>68</v>
      </c>
      <c r="D37" s="34">
        <v>115468.8</v>
      </c>
      <c r="E37">
        <v>1246266348</v>
      </c>
      <c r="F37" s="30">
        <v>46175</v>
      </c>
      <c r="G37" s="30"/>
      <c r="H37" t="s">
        <v>28</v>
      </c>
      <c r="I37" t="s">
        <v>29</v>
      </c>
      <c r="J37">
        <v>10811</v>
      </c>
      <c r="K37" s="30">
        <v>46085</v>
      </c>
      <c r="L37">
        <v>1010100</v>
      </c>
      <c r="M37" t="s">
        <v>35</v>
      </c>
      <c r="N37">
        <v>161</v>
      </c>
      <c r="O37" t="s">
        <v>160</v>
      </c>
      <c r="P37" t="s">
        <v>527</v>
      </c>
      <c r="Q37">
        <f t="shared" si="0"/>
        <v>-34</v>
      </c>
      <c r="R37" t="str">
        <f>_xlfn.XLOOKUP(P37,'Painel Additive'!$B:$B,'Painel Additive'!$B:$B,0)</f>
        <v>GRUPO MOSAIC FERTILIZANTES P K LTDA</v>
      </c>
      <c r="S37">
        <f t="shared" si="1"/>
        <v>90</v>
      </c>
    </row>
    <row r="38" spans="1:19" x14ac:dyDescent="0.25">
      <c r="A38">
        <v>1787</v>
      </c>
      <c r="B38" t="s">
        <v>67</v>
      </c>
      <c r="C38" t="s">
        <v>68</v>
      </c>
      <c r="D38" s="34">
        <v>114086.39999999999</v>
      </c>
      <c r="E38">
        <v>1246267743</v>
      </c>
      <c r="F38" s="30">
        <v>46184</v>
      </c>
      <c r="G38" s="30"/>
      <c r="H38" t="s">
        <v>28</v>
      </c>
      <c r="I38" t="s">
        <v>29</v>
      </c>
      <c r="J38">
        <v>10882</v>
      </c>
      <c r="K38" s="30">
        <v>46094</v>
      </c>
      <c r="L38">
        <v>1010100</v>
      </c>
      <c r="M38" t="s">
        <v>35</v>
      </c>
      <c r="N38">
        <v>161</v>
      </c>
      <c r="O38" t="s">
        <v>160</v>
      </c>
      <c r="P38" t="s">
        <v>527</v>
      </c>
      <c r="Q38">
        <f t="shared" si="0"/>
        <v>-43</v>
      </c>
      <c r="R38" t="str">
        <f>_xlfn.XLOOKUP(P38,'Painel Additive'!$B:$B,'Painel Additive'!$B:$B,0)</f>
        <v>GRUPO MOSAIC FERTILIZANTES P K LTDA</v>
      </c>
      <c r="S38">
        <f t="shared" si="1"/>
        <v>90</v>
      </c>
    </row>
    <row r="39" spans="1:19" x14ac:dyDescent="0.25">
      <c r="A39">
        <v>1788</v>
      </c>
      <c r="B39" t="s">
        <v>69</v>
      </c>
      <c r="C39" t="s">
        <v>70</v>
      </c>
      <c r="D39" s="34">
        <v>116928</v>
      </c>
      <c r="E39">
        <v>1246267567</v>
      </c>
      <c r="F39" s="30">
        <v>46183</v>
      </c>
      <c r="G39" s="30"/>
      <c r="H39" t="s">
        <v>28</v>
      </c>
      <c r="I39" t="s">
        <v>29</v>
      </c>
      <c r="J39">
        <v>10870</v>
      </c>
      <c r="K39" s="30">
        <v>46093</v>
      </c>
      <c r="L39">
        <v>1010100</v>
      </c>
      <c r="M39" t="s">
        <v>35</v>
      </c>
      <c r="N39">
        <v>161</v>
      </c>
      <c r="O39" t="s">
        <v>160</v>
      </c>
      <c r="P39" t="s">
        <v>527</v>
      </c>
      <c r="Q39">
        <f t="shared" si="0"/>
        <v>-42</v>
      </c>
      <c r="R39" t="str">
        <f>_xlfn.XLOOKUP(P39,'Painel Additive'!$B:$B,'Painel Additive'!$B:$B,0)</f>
        <v>GRUPO MOSAIC FERTILIZANTES P K LTDA</v>
      </c>
      <c r="S39">
        <f t="shared" si="1"/>
        <v>90</v>
      </c>
    </row>
    <row r="40" spans="1:19" x14ac:dyDescent="0.25">
      <c r="A40">
        <v>1788</v>
      </c>
      <c r="B40" t="s">
        <v>69</v>
      </c>
      <c r="C40" t="s">
        <v>70</v>
      </c>
      <c r="D40" s="34">
        <v>117120</v>
      </c>
      <c r="E40">
        <v>1246270425</v>
      </c>
      <c r="F40" s="30">
        <v>46208</v>
      </c>
      <c r="G40" s="30"/>
      <c r="H40" t="s">
        <v>28</v>
      </c>
      <c r="I40" t="s">
        <v>29</v>
      </c>
      <c r="J40">
        <v>11060</v>
      </c>
      <c r="K40" s="30">
        <v>46118</v>
      </c>
      <c r="L40">
        <v>1010100</v>
      </c>
      <c r="M40" t="s">
        <v>35</v>
      </c>
      <c r="N40">
        <v>161</v>
      </c>
      <c r="O40" t="s">
        <v>160</v>
      </c>
      <c r="P40" t="s">
        <v>527</v>
      </c>
      <c r="Q40">
        <f t="shared" si="0"/>
        <v>-67</v>
      </c>
      <c r="R40" t="str">
        <f>_xlfn.XLOOKUP(P40,'Painel Additive'!$B:$B,'Painel Additive'!$B:$B,0)</f>
        <v>GRUPO MOSAIC FERTILIZANTES P K LTDA</v>
      </c>
      <c r="S40">
        <f t="shared" si="1"/>
        <v>90</v>
      </c>
    </row>
    <row r="41" spans="1:19" x14ac:dyDescent="0.25">
      <c r="A41">
        <v>1789</v>
      </c>
      <c r="B41" t="s">
        <v>71</v>
      </c>
      <c r="C41" t="s">
        <v>72</v>
      </c>
      <c r="D41" s="34">
        <v>116044.8</v>
      </c>
      <c r="E41">
        <v>1246267816</v>
      </c>
      <c r="F41" s="30">
        <v>46187</v>
      </c>
      <c r="G41" s="30"/>
      <c r="H41" t="s">
        <v>28</v>
      </c>
      <c r="I41" t="s">
        <v>29</v>
      </c>
      <c r="J41">
        <v>10889</v>
      </c>
      <c r="K41" s="30">
        <v>46097</v>
      </c>
      <c r="L41">
        <v>1010100</v>
      </c>
      <c r="M41" t="s">
        <v>35</v>
      </c>
      <c r="N41">
        <v>161</v>
      </c>
      <c r="O41" t="s">
        <v>160</v>
      </c>
      <c r="P41" t="s">
        <v>527</v>
      </c>
      <c r="Q41">
        <f t="shared" si="0"/>
        <v>-46</v>
      </c>
      <c r="R41" t="str">
        <f>_xlfn.XLOOKUP(P41,'Painel Additive'!$B:$B,'Painel Additive'!$B:$B,0)</f>
        <v>GRUPO MOSAIC FERTILIZANTES P K LTDA</v>
      </c>
      <c r="S41">
        <f t="shared" si="1"/>
        <v>90</v>
      </c>
    </row>
    <row r="42" spans="1:19" x14ac:dyDescent="0.25">
      <c r="A42">
        <v>1789</v>
      </c>
      <c r="B42" t="s">
        <v>71</v>
      </c>
      <c r="C42" t="s">
        <v>72</v>
      </c>
      <c r="D42" s="34">
        <v>115507.2</v>
      </c>
      <c r="E42">
        <v>1246269759</v>
      </c>
      <c r="F42" s="30">
        <v>46202</v>
      </c>
      <c r="G42" s="30"/>
      <c r="H42" t="s">
        <v>28</v>
      </c>
      <c r="I42" t="s">
        <v>29</v>
      </c>
      <c r="J42">
        <v>11017</v>
      </c>
      <c r="K42" s="30">
        <v>46112</v>
      </c>
      <c r="L42">
        <v>1010100</v>
      </c>
      <c r="M42" t="s">
        <v>35</v>
      </c>
      <c r="N42">
        <v>161</v>
      </c>
      <c r="O42" t="s">
        <v>160</v>
      </c>
      <c r="P42" t="s">
        <v>527</v>
      </c>
      <c r="Q42">
        <f t="shared" si="0"/>
        <v>-61</v>
      </c>
      <c r="R42" t="str">
        <f>_xlfn.XLOOKUP(P42,'Painel Additive'!$B:$B,'Painel Additive'!$B:$B,0)</f>
        <v>GRUPO MOSAIC FERTILIZANTES P K LTDA</v>
      </c>
      <c r="S42">
        <f t="shared" si="1"/>
        <v>90</v>
      </c>
    </row>
    <row r="43" spans="1:19" x14ac:dyDescent="0.25">
      <c r="A43">
        <v>1789</v>
      </c>
      <c r="B43" t="s">
        <v>71</v>
      </c>
      <c r="C43" t="s">
        <v>72</v>
      </c>
      <c r="D43" s="34">
        <v>114432</v>
      </c>
      <c r="E43">
        <v>1246270845</v>
      </c>
      <c r="F43" s="30">
        <v>46181</v>
      </c>
      <c r="G43" s="30"/>
      <c r="H43" t="s">
        <v>28</v>
      </c>
      <c r="I43" t="s">
        <v>29</v>
      </c>
      <c r="J43">
        <v>11079</v>
      </c>
      <c r="K43" s="30">
        <v>46121</v>
      </c>
      <c r="L43">
        <v>1010100</v>
      </c>
      <c r="M43" t="s">
        <v>35</v>
      </c>
      <c r="N43">
        <v>161</v>
      </c>
      <c r="O43" t="s">
        <v>160</v>
      </c>
      <c r="P43" t="s">
        <v>527</v>
      </c>
      <c r="Q43">
        <f t="shared" si="0"/>
        <v>-40</v>
      </c>
      <c r="R43" t="str">
        <f>_xlfn.XLOOKUP(P43,'Painel Additive'!$B:$B,'Painel Additive'!$B:$B,0)</f>
        <v>GRUPO MOSAIC FERTILIZANTES P K LTDA</v>
      </c>
      <c r="S43">
        <f t="shared" si="1"/>
        <v>60</v>
      </c>
    </row>
    <row r="44" spans="1:19" x14ac:dyDescent="0.25">
      <c r="A44">
        <v>1789</v>
      </c>
      <c r="B44" t="s">
        <v>71</v>
      </c>
      <c r="C44" t="s">
        <v>72</v>
      </c>
      <c r="D44" s="34">
        <v>114470.39999999999</v>
      </c>
      <c r="E44">
        <v>1246268819</v>
      </c>
      <c r="F44" s="30">
        <v>46195</v>
      </c>
      <c r="G44" s="30"/>
      <c r="H44" t="s">
        <v>28</v>
      </c>
      <c r="I44" t="s">
        <v>29</v>
      </c>
      <c r="J44">
        <v>10967</v>
      </c>
      <c r="K44" s="30">
        <v>46105</v>
      </c>
      <c r="L44">
        <v>1010100</v>
      </c>
      <c r="M44" t="s">
        <v>35</v>
      </c>
      <c r="N44">
        <v>161</v>
      </c>
      <c r="O44" t="s">
        <v>160</v>
      </c>
      <c r="P44" t="s">
        <v>527</v>
      </c>
      <c r="Q44">
        <f t="shared" si="0"/>
        <v>-54</v>
      </c>
      <c r="R44" t="str">
        <f>_xlfn.XLOOKUP(P44,'Painel Additive'!$B:$B,'Painel Additive'!$B:$B,0)</f>
        <v>GRUPO MOSAIC FERTILIZANTES P K LTDA</v>
      </c>
      <c r="S44">
        <f t="shared" si="1"/>
        <v>90</v>
      </c>
    </row>
    <row r="45" spans="1:19" x14ac:dyDescent="0.25">
      <c r="A45">
        <v>1789</v>
      </c>
      <c r="B45" t="s">
        <v>71</v>
      </c>
      <c r="C45" t="s">
        <v>72</v>
      </c>
      <c r="D45" s="34">
        <v>114662.39999999999</v>
      </c>
      <c r="E45">
        <v>1246271452</v>
      </c>
      <c r="F45" s="30">
        <v>46187</v>
      </c>
      <c r="G45" s="30"/>
      <c r="H45" t="s">
        <v>28</v>
      </c>
      <c r="I45" t="s">
        <v>29</v>
      </c>
      <c r="J45">
        <v>11126</v>
      </c>
      <c r="K45" s="30">
        <v>46127</v>
      </c>
      <c r="L45">
        <v>1010100</v>
      </c>
      <c r="M45" t="s">
        <v>35</v>
      </c>
      <c r="N45">
        <v>161</v>
      </c>
      <c r="O45" t="s">
        <v>160</v>
      </c>
      <c r="P45" t="s">
        <v>527</v>
      </c>
      <c r="Q45">
        <f t="shared" si="0"/>
        <v>-46</v>
      </c>
      <c r="R45" t="str">
        <f>_xlfn.XLOOKUP(P45,'Painel Additive'!$B:$B,'Painel Additive'!$B:$B,0)</f>
        <v>GRUPO MOSAIC FERTILIZANTES P K LTDA</v>
      </c>
      <c r="S45">
        <f t="shared" si="1"/>
        <v>60</v>
      </c>
    </row>
    <row r="46" spans="1:19" x14ac:dyDescent="0.25">
      <c r="A46">
        <v>1789</v>
      </c>
      <c r="B46" t="s">
        <v>71</v>
      </c>
      <c r="C46" t="s">
        <v>72</v>
      </c>
      <c r="D46" s="34">
        <v>115123.2</v>
      </c>
      <c r="E46">
        <v>1246269430</v>
      </c>
      <c r="F46" s="30">
        <v>46198</v>
      </c>
      <c r="G46" s="30"/>
      <c r="H46" t="s">
        <v>28</v>
      </c>
      <c r="I46" t="s">
        <v>29</v>
      </c>
      <c r="J46">
        <v>10992</v>
      </c>
      <c r="K46" s="30">
        <v>46108</v>
      </c>
      <c r="L46">
        <v>1010100</v>
      </c>
      <c r="M46" t="s">
        <v>35</v>
      </c>
      <c r="N46">
        <v>161</v>
      </c>
      <c r="O46" t="s">
        <v>160</v>
      </c>
      <c r="P46" t="s">
        <v>527</v>
      </c>
      <c r="Q46">
        <f t="shared" si="0"/>
        <v>-57</v>
      </c>
      <c r="R46" t="str">
        <f>_xlfn.XLOOKUP(P46,'Painel Additive'!$B:$B,'Painel Additive'!$B:$B,0)</f>
        <v>GRUPO MOSAIC FERTILIZANTES P K LTDA</v>
      </c>
      <c r="S46">
        <f t="shared" si="1"/>
        <v>90</v>
      </c>
    </row>
    <row r="47" spans="1:19" x14ac:dyDescent="0.25">
      <c r="A47">
        <v>1789</v>
      </c>
      <c r="B47" t="s">
        <v>71</v>
      </c>
      <c r="C47" t="s">
        <v>72</v>
      </c>
      <c r="D47" s="34">
        <v>115584</v>
      </c>
      <c r="E47">
        <v>1246272745</v>
      </c>
      <c r="F47" s="30">
        <v>46229</v>
      </c>
      <c r="G47" s="30"/>
      <c r="H47" t="s">
        <v>28</v>
      </c>
      <c r="I47" t="s">
        <v>29</v>
      </c>
      <c r="J47">
        <v>11224</v>
      </c>
      <c r="K47" s="30">
        <v>46139</v>
      </c>
      <c r="L47">
        <v>1010100</v>
      </c>
      <c r="M47" t="s">
        <v>35</v>
      </c>
      <c r="N47">
        <v>161</v>
      </c>
      <c r="O47" t="s">
        <v>160</v>
      </c>
      <c r="P47" t="s">
        <v>527</v>
      </c>
      <c r="Q47">
        <f t="shared" si="0"/>
        <v>-88</v>
      </c>
      <c r="R47" t="str">
        <f>_xlfn.XLOOKUP(P47,'Painel Additive'!$B:$B,'Painel Additive'!$B:$B,0)</f>
        <v>GRUPO MOSAIC FERTILIZANTES P K LTDA</v>
      </c>
      <c r="S47">
        <f t="shared" si="1"/>
        <v>90</v>
      </c>
    </row>
    <row r="48" spans="1:19" x14ac:dyDescent="0.25">
      <c r="A48">
        <v>1789</v>
      </c>
      <c r="B48" t="s">
        <v>71</v>
      </c>
      <c r="C48" t="s">
        <v>72</v>
      </c>
      <c r="D48" s="34">
        <v>116044.8</v>
      </c>
      <c r="E48">
        <v>1246268551</v>
      </c>
      <c r="F48" s="30">
        <v>46191</v>
      </c>
      <c r="G48" s="30"/>
      <c r="H48" t="s">
        <v>28</v>
      </c>
      <c r="I48" t="s">
        <v>29</v>
      </c>
      <c r="J48">
        <v>10945</v>
      </c>
      <c r="K48" s="30">
        <v>46101</v>
      </c>
      <c r="L48">
        <v>1010100</v>
      </c>
      <c r="M48" t="s">
        <v>35</v>
      </c>
      <c r="N48">
        <v>161</v>
      </c>
      <c r="O48" t="s">
        <v>160</v>
      </c>
      <c r="P48" t="s">
        <v>527</v>
      </c>
      <c r="Q48">
        <f t="shared" si="0"/>
        <v>-50</v>
      </c>
      <c r="R48" t="str">
        <f>_xlfn.XLOOKUP(P48,'Painel Additive'!$B:$B,'Painel Additive'!$B:$B,0)</f>
        <v>GRUPO MOSAIC FERTILIZANTES P K LTDA</v>
      </c>
      <c r="S48">
        <f t="shared" si="1"/>
        <v>90</v>
      </c>
    </row>
    <row r="49" spans="1:19" x14ac:dyDescent="0.25">
      <c r="A49">
        <v>1789</v>
      </c>
      <c r="B49" t="s">
        <v>71</v>
      </c>
      <c r="C49" t="s">
        <v>72</v>
      </c>
      <c r="D49" s="34">
        <v>115814.39999999999</v>
      </c>
      <c r="E49">
        <v>1246270360</v>
      </c>
      <c r="F49" s="30">
        <v>46178</v>
      </c>
      <c r="G49" s="30"/>
      <c r="H49" t="s">
        <v>28</v>
      </c>
      <c r="I49" t="s">
        <v>29</v>
      </c>
      <c r="J49">
        <v>11053</v>
      </c>
      <c r="K49" s="30">
        <v>46118</v>
      </c>
      <c r="L49">
        <v>1010100</v>
      </c>
      <c r="M49" t="s">
        <v>35</v>
      </c>
      <c r="N49">
        <v>161</v>
      </c>
      <c r="O49" t="s">
        <v>160</v>
      </c>
      <c r="P49" t="s">
        <v>527</v>
      </c>
      <c r="Q49">
        <f t="shared" si="0"/>
        <v>-37</v>
      </c>
      <c r="R49" t="str">
        <f>_xlfn.XLOOKUP(P49,'Painel Additive'!$B:$B,'Painel Additive'!$B:$B,0)</f>
        <v>GRUPO MOSAIC FERTILIZANTES P K LTDA</v>
      </c>
      <c r="S49">
        <f t="shared" si="1"/>
        <v>60</v>
      </c>
    </row>
    <row r="50" spans="1:19" x14ac:dyDescent="0.25">
      <c r="A50">
        <v>1789</v>
      </c>
      <c r="B50" t="s">
        <v>71</v>
      </c>
      <c r="C50" t="s">
        <v>72</v>
      </c>
      <c r="D50" s="34">
        <v>115353.60000000001</v>
      </c>
      <c r="E50">
        <v>1246266246</v>
      </c>
      <c r="F50" s="30">
        <v>46174</v>
      </c>
      <c r="G50" s="30"/>
      <c r="H50" t="s">
        <v>28</v>
      </c>
      <c r="I50" t="s">
        <v>29</v>
      </c>
      <c r="J50">
        <v>10804</v>
      </c>
      <c r="K50" s="30">
        <v>46084</v>
      </c>
      <c r="L50">
        <v>1010100</v>
      </c>
      <c r="M50" t="s">
        <v>35</v>
      </c>
      <c r="N50">
        <v>161</v>
      </c>
      <c r="O50" t="s">
        <v>160</v>
      </c>
      <c r="P50" t="s">
        <v>527</v>
      </c>
      <c r="Q50">
        <f t="shared" si="0"/>
        <v>-33</v>
      </c>
      <c r="R50" t="str">
        <f>_xlfn.XLOOKUP(P50,'Painel Additive'!$B:$B,'Painel Additive'!$B:$B,0)</f>
        <v>GRUPO MOSAIC FERTILIZANTES P K LTDA</v>
      </c>
      <c r="S50">
        <f t="shared" si="1"/>
        <v>90</v>
      </c>
    </row>
    <row r="51" spans="1:19" x14ac:dyDescent="0.25">
      <c r="A51">
        <v>1789</v>
      </c>
      <c r="B51" t="s">
        <v>71</v>
      </c>
      <c r="C51" t="s">
        <v>72</v>
      </c>
      <c r="D51" s="34">
        <v>114048</v>
      </c>
      <c r="E51">
        <v>1246268138</v>
      </c>
      <c r="F51" s="30">
        <v>46188</v>
      </c>
      <c r="G51" s="30"/>
      <c r="H51" t="s">
        <v>28</v>
      </c>
      <c r="I51" t="s">
        <v>29</v>
      </c>
      <c r="J51">
        <v>10914</v>
      </c>
      <c r="K51" s="30">
        <v>46098</v>
      </c>
      <c r="L51">
        <v>1010100</v>
      </c>
      <c r="M51" t="s">
        <v>35</v>
      </c>
      <c r="N51">
        <v>161</v>
      </c>
      <c r="O51" t="s">
        <v>160</v>
      </c>
      <c r="P51" t="s">
        <v>527</v>
      </c>
      <c r="Q51">
        <f t="shared" si="0"/>
        <v>-47</v>
      </c>
      <c r="R51" t="str">
        <f>_xlfn.XLOOKUP(P51,'Painel Additive'!$B:$B,'Painel Additive'!$B:$B,0)</f>
        <v>GRUPO MOSAIC FERTILIZANTES P K LTDA</v>
      </c>
      <c r="S51">
        <f t="shared" si="1"/>
        <v>90</v>
      </c>
    </row>
    <row r="52" spans="1:19" x14ac:dyDescent="0.25">
      <c r="A52">
        <v>1789</v>
      </c>
      <c r="B52" t="s">
        <v>71</v>
      </c>
      <c r="C52" t="s">
        <v>72</v>
      </c>
      <c r="D52" s="34">
        <v>115468.8</v>
      </c>
      <c r="E52">
        <v>1246267594</v>
      </c>
      <c r="F52" s="30">
        <v>46183</v>
      </c>
      <c r="G52" s="30"/>
      <c r="H52" t="s">
        <v>28</v>
      </c>
      <c r="I52" t="s">
        <v>29</v>
      </c>
      <c r="J52">
        <v>10873</v>
      </c>
      <c r="K52" s="30">
        <v>46093</v>
      </c>
      <c r="L52">
        <v>1010100</v>
      </c>
      <c r="M52" t="s">
        <v>35</v>
      </c>
      <c r="N52">
        <v>161</v>
      </c>
      <c r="O52" t="s">
        <v>160</v>
      </c>
      <c r="P52" t="s">
        <v>527</v>
      </c>
      <c r="Q52">
        <f t="shared" si="0"/>
        <v>-42</v>
      </c>
      <c r="R52" t="str">
        <f>_xlfn.XLOOKUP(P52,'Painel Additive'!$B:$B,'Painel Additive'!$B:$B,0)</f>
        <v>GRUPO MOSAIC FERTILIZANTES P K LTDA</v>
      </c>
      <c r="S52">
        <f t="shared" si="1"/>
        <v>90</v>
      </c>
    </row>
    <row r="53" spans="1:19" x14ac:dyDescent="0.25">
      <c r="A53">
        <v>97</v>
      </c>
      <c r="B53" t="s">
        <v>333</v>
      </c>
      <c r="C53" t="s">
        <v>843</v>
      </c>
      <c r="D53" s="34">
        <v>95687.8</v>
      </c>
      <c r="E53">
        <v>1246273059</v>
      </c>
      <c r="F53" s="30">
        <v>46169</v>
      </c>
      <c r="G53" s="30"/>
      <c r="H53" t="s">
        <v>28</v>
      </c>
      <c r="I53" t="s">
        <v>29</v>
      </c>
      <c r="J53">
        <v>11255</v>
      </c>
      <c r="K53" s="30">
        <v>46141</v>
      </c>
      <c r="L53">
        <v>1010100</v>
      </c>
      <c r="M53" t="s">
        <v>35</v>
      </c>
      <c r="N53">
        <v>161</v>
      </c>
      <c r="O53" t="s">
        <v>160</v>
      </c>
      <c r="P53" t="s">
        <v>573</v>
      </c>
      <c r="Q53">
        <f t="shared" si="0"/>
        <v>-28</v>
      </c>
      <c r="R53" t="str">
        <f>_xlfn.XLOOKUP(P53,'Painel Additive'!$B:$B,'Painel Additive'!$B:$B,0)</f>
        <v>FECOAGRO FEDERACAO DAS COOPERATIVAS</v>
      </c>
      <c r="S53">
        <f t="shared" si="1"/>
        <v>28</v>
      </c>
    </row>
    <row r="54" spans="1:19" x14ac:dyDescent="0.25">
      <c r="A54">
        <v>97</v>
      </c>
      <c r="B54" t="s">
        <v>333</v>
      </c>
      <c r="C54" t="s">
        <v>843</v>
      </c>
      <c r="D54" s="34">
        <v>47888.6</v>
      </c>
      <c r="E54">
        <v>1246272517</v>
      </c>
      <c r="F54" s="30">
        <v>46164</v>
      </c>
      <c r="G54" s="30"/>
      <c r="H54" t="s">
        <v>28</v>
      </c>
      <c r="I54" t="s">
        <v>29</v>
      </c>
      <c r="J54">
        <v>11216</v>
      </c>
      <c r="K54" s="30">
        <v>46136</v>
      </c>
      <c r="L54">
        <v>1010100</v>
      </c>
      <c r="M54" t="s">
        <v>35</v>
      </c>
      <c r="N54">
        <v>161</v>
      </c>
      <c r="O54" t="s">
        <v>160</v>
      </c>
      <c r="P54" t="s">
        <v>573</v>
      </c>
      <c r="Q54">
        <f t="shared" si="0"/>
        <v>-23</v>
      </c>
      <c r="R54" t="str">
        <f>_xlfn.XLOOKUP(P54,'Painel Additive'!$B:$B,'Painel Additive'!$B:$B,0)</f>
        <v>FECOAGRO FEDERACAO DAS COOPERATIVAS</v>
      </c>
      <c r="S54">
        <f t="shared" si="1"/>
        <v>28</v>
      </c>
    </row>
    <row r="55" spans="1:19" x14ac:dyDescent="0.25">
      <c r="A55">
        <v>97</v>
      </c>
      <c r="B55" t="s">
        <v>333</v>
      </c>
      <c r="C55" t="s">
        <v>843</v>
      </c>
      <c r="D55" s="34">
        <v>414764.93</v>
      </c>
      <c r="E55">
        <v>1246271365</v>
      </c>
      <c r="F55" s="30">
        <v>46154</v>
      </c>
      <c r="G55" s="30"/>
      <c r="H55" t="s">
        <v>28</v>
      </c>
      <c r="I55" t="s">
        <v>29</v>
      </c>
      <c r="J55">
        <v>2874</v>
      </c>
      <c r="K55" s="30">
        <v>46126</v>
      </c>
      <c r="L55">
        <v>1010100</v>
      </c>
      <c r="M55" t="s">
        <v>35</v>
      </c>
      <c r="N55">
        <v>161</v>
      </c>
      <c r="O55" t="s">
        <v>160</v>
      </c>
      <c r="P55" t="s">
        <v>573</v>
      </c>
      <c r="Q55">
        <f t="shared" si="0"/>
        <v>-13</v>
      </c>
      <c r="R55" t="str">
        <f>_xlfn.XLOOKUP(P55,'Painel Additive'!$B:$B,'Painel Additive'!$B:$B,0)</f>
        <v>FECOAGRO FEDERACAO DAS COOPERATIVAS</v>
      </c>
      <c r="S55">
        <f t="shared" si="1"/>
        <v>28</v>
      </c>
    </row>
    <row r="56" spans="1:19" x14ac:dyDescent="0.25">
      <c r="A56">
        <v>97</v>
      </c>
      <c r="B56" t="s">
        <v>333</v>
      </c>
      <c r="C56" t="s">
        <v>843</v>
      </c>
      <c r="D56" s="34">
        <v>96194.4</v>
      </c>
      <c r="E56">
        <v>1246271092</v>
      </c>
      <c r="F56" s="30">
        <v>46150</v>
      </c>
      <c r="G56" s="30"/>
      <c r="H56" t="s">
        <v>28</v>
      </c>
      <c r="I56" t="s">
        <v>29</v>
      </c>
      <c r="J56">
        <v>11101</v>
      </c>
      <c r="K56" s="30">
        <v>46122</v>
      </c>
      <c r="L56">
        <v>1010100</v>
      </c>
      <c r="M56" t="s">
        <v>35</v>
      </c>
      <c r="N56">
        <v>161</v>
      </c>
      <c r="O56" t="s">
        <v>160</v>
      </c>
      <c r="P56" t="s">
        <v>573</v>
      </c>
      <c r="Q56">
        <f t="shared" si="0"/>
        <v>-9</v>
      </c>
      <c r="R56" t="str">
        <f>_xlfn.XLOOKUP(P56,'Painel Additive'!$B:$B,'Painel Additive'!$B:$B,0)</f>
        <v>FECOAGRO FEDERACAO DAS COOPERATIVAS</v>
      </c>
      <c r="S56">
        <f t="shared" si="1"/>
        <v>28</v>
      </c>
    </row>
    <row r="57" spans="1:19" x14ac:dyDescent="0.25">
      <c r="A57">
        <v>43</v>
      </c>
      <c r="B57" t="s">
        <v>775</v>
      </c>
      <c r="C57" t="s">
        <v>37</v>
      </c>
      <c r="D57" s="34">
        <v>71341.5</v>
      </c>
      <c r="E57">
        <v>1246273286</v>
      </c>
      <c r="F57" s="30">
        <v>46170</v>
      </c>
      <c r="G57" s="30"/>
      <c r="H57" t="s">
        <v>28</v>
      </c>
      <c r="I57" t="s">
        <v>29</v>
      </c>
      <c r="J57">
        <v>11275</v>
      </c>
      <c r="K57" s="30">
        <v>46142</v>
      </c>
      <c r="L57">
        <v>1010100</v>
      </c>
      <c r="M57" t="s">
        <v>35</v>
      </c>
      <c r="N57">
        <v>161</v>
      </c>
      <c r="O57" t="s">
        <v>160</v>
      </c>
      <c r="P57" t="s">
        <v>415</v>
      </c>
      <c r="Q57">
        <f t="shared" si="0"/>
        <v>-29</v>
      </c>
      <c r="R57" t="str">
        <f>_xlfn.XLOOKUP(P57,'Painel Additive'!$B:$B,'Painel Additive'!$B:$B,0)</f>
        <v>GRUPO CIBRA</v>
      </c>
      <c r="S57">
        <f t="shared" si="1"/>
        <v>28</v>
      </c>
    </row>
    <row r="58" spans="1:19" x14ac:dyDescent="0.25">
      <c r="A58">
        <v>43</v>
      </c>
      <c r="B58" t="s">
        <v>775</v>
      </c>
      <c r="C58" t="s">
        <v>37</v>
      </c>
      <c r="D58" s="34">
        <v>71431.8</v>
      </c>
      <c r="E58">
        <v>1246271493</v>
      </c>
      <c r="F58" s="30">
        <v>46155</v>
      </c>
      <c r="G58" s="30"/>
      <c r="H58" t="s">
        <v>28</v>
      </c>
      <c r="I58" t="s">
        <v>29</v>
      </c>
      <c r="J58">
        <v>11132</v>
      </c>
      <c r="K58" s="30">
        <v>46127</v>
      </c>
      <c r="L58">
        <v>1010100</v>
      </c>
      <c r="M58" t="s">
        <v>35</v>
      </c>
      <c r="N58">
        <v>161</v>
      </c>
      <c r="O58" t="s">
        <v>160</v>
      </c>
      <c r="P58" t="s">
        <v>415</v>
      </c>
      <c r="Q58">
        <f t="shared" si="0"/>
        <v>-14</v>
      </c>
      <c r="R58" t="str">
        <f>_xlfn.XLOOKUP(P58,'Painel Additive'!$B:$B,'Painel Additive'!$B:$B,0)</f>
        <v>GRUPO CIBRA</v>
      </c>
      <c r="S58">
        <f t="shared" si="1"/>
        <v>28</v>
      </c>
    </row>
    <row r="59" spans="1:19" x14ac:dyDescent="0.25">
      <c r="A59">
        <v>43</v>
      </c>
      <c r="B59" t="s">
        <v>775</v>
      </c>
      <c r="C59" t="s">
        <v>37</v>
      </c>
      <c r="D59" s="34">
        <v>71289.600000000006</v>
      </c>
      <c r="E59">
        <v>1246270729</v>
      </c>
      <c r="F59" s="30">
        <v>46148</v>
      </c>
      <c r="G59" s="30"/>
      <c r="H59" t="s">
        <v>28</v>
      </c>
      <c r="I59" t="s">
        <v>29</v>
      </c>
      <c r="J59">
        <v>11076</v>
      </c>
      <c r="K59" s="30">
        <v>46120</v>
      </c>
      <c r="L59">
        <v>1010100</v>
      </c>
      <c r="M59" t="s">
        <v>35</v>
      </c>
      <c r="N59">
        <v>161</v>
      </c>
      <c r="O59" t="s">
        <v>160</v>
      </c>
      <c r="P59" t="s">
        <v>415</v>
      </c>
      <c r="Q59">
        <f t="shared" si="0"/>
        <v>-7</v>
      </c>
      <c r="R59" t="str">
        <f>_xlfn.XLOOKUP(P59,'Painel Additive'!$B:$B,'Painel Additive'!$B:$B,0)</f>
        <v>GRUPO CIBRA</v>
      </c>
      <c r="S59">
        <f t="shared" si="1"/>
        <v>28</v>
      </c>
    </row>
    <row r="60" spans="1:19" x14ac:dyDescent="0.25">
      <c r="A60">
        <v>43</v>
      </c>
      <c r="B60" t="s">
        <v>775</v>
      </c>
      <c r="C60" t="s">
        <v>37</v>
      </c>
      <c r="D60" s="34">
        <v>71652.2</v>
      </c>
      <c r="E60">
        <v>1246272199</v>
      </c>
      <c r="F60" s="30">
        <v>46163</v>
      </c>
      <c r="G60" s="30"/>
      <c r="H60" t="s">
        <v>28</v>
      </c>
      <c r="I60" t="s">
        <v>29</v>
      </c>
      <c r="J60">
        <v>11195</v>
      </c>
      <c r="K60" s="30">
        <v>46135</v>
      </c>
      <c r="L60">
        <v>1010100</v>
      </c>
      <c r="M60" t="s">
        <v>35</v>
      </c>
      <c r="N60">
        <v>161</v>
      </c>
      <c r="O60" t="s">
        <v>160</v>
      </c>
      <c r="P60" t="s">
        <v>415</v>
      </c>
      <c r="Q60">
        <f t="shared" si="0"/>
        <v>-22</v>
      </c>
      <c r="R60" t="str">
        <f>_xlfn.XLOOKUP(P60,'Painel Additive'!$B:$B,'Painel Additive'!$B:$B,0)</f>
        <v>GRUPO CIBRA</v>
      </c>
      <c r="S60">
        <f t="shared" si="1"/>
        <v>28</v>
      </c>
    </row>
    <row r="61" spans="1:19" x14ac:dyDescent="0.25">
      <c r="A61">
        <v>43</v>
      </c>
      <c r="B61" t="s">
        <v>775</v>
      </c>
      <c r="C61" t="s">
        <v>37</v>
      </c>
      <c r="D61" s="34">
        <v>71652.2</v>
      </c>
      <c r="E61">
        <v>1246272852</v>
      </c>
      <c r="F61" s="30">
        <v>46167</v>
      </c>
      <c r="G61" s="30"/>
      <c r="H61" t="s">
        <v>28</v>
      </c>
      <c r="I61" t="s">
        <v>29</v>
      </c>
      <c r="J61">
        <v>11238</v>
      </c>
      <c r="K61" s="30">
        <v>46139</v>
      </c>
      <c r="L61">
        <v>1010100</v>
      </c>
      <c r="M61" t="s">
        <v>35</v>
      </c>
      <c r="N61">
        <v>161</v>
      </c>
      <c r="O61" t="s">
        <v>160</v>
      </c>
      <c r="P61" t="s">
        <v>415</v>
      </c>
      <c r="Q61">
        <f t="shared" si="0"/>
        <v>-26</v>
      </c>
      <c r="R61" t="str">
        <f>_xlfn.XLOOKUP(P61,'Painel Additive'!$B:$B,'Painel Additive'!$B:$B,0)</f>
        <v>GRUPO CIBRA</v>
      </c>
      <c r="S61">
        <f t="shared" si="1"/>
        <v>28</v>
      </c>
    </row>
    <row r="62" spans="1:19" x14ac:dyDescent="0.25">
      <c r="A62">
        <v>1936</v>
      </c>
      <c r="B62" t="s">
        <v>74</v>
      </c>
      <c r="C62" t="s">
        <v>75</v>
      </c>
      <c r="D62" s="34">
        <v>54000</v>
      </c>
      <c r="E62">
        <v>1246271887</v>
      </c>
      <c r="F62" s="30">
        <v>46160</v>
      </c>
      <c r="G62" s="30"/>
      <c r="H62" t="s">
        <v>28</v>
      </c>
      <c r="I62" t="s">
        <v>29</v>
      </c>
      <c r="J62">
        <v>11175</v>
      </c>
      <c r="K62" s="30">
        <v>46132</v>
      </c>
      <c r="L62">
        <v>1010100</v>
      </c>
      <c r="M62" t="s">
        <v>35</v>
      </c>
      <c r="N62">
        <v>56</v>
      </c>
      <c r="O62" t="s">
        <v>161</v>
      </c>
      <c r="P62" t="s">
        <v>415</v>
      </c>
      <c r="Q62">
        <f t="shared" si="0"/>
        <v>-19</v>
      </c>
      <c r="R62" t="str">
        <f>_xlfn.XLOOKUP(P62,'Painel Additive'!$B:$B,'Painel Additive'!$B:$B,0)</f>
        <v>GRUPO CIBRA</v>
      </c>
      <c r="S62">
        <f t="shared" si="1"/>
        <v>28</v>
      </c>
    </row>
    <row r="63" spans="1:19" x14ac:dyDescent="0.25">
      <c r="A63">
        <v>1936</v>
      </c>
      <c r="B63" t="s">
        <v>74</v>
      </c>
      <c r="C63" t="s">
        <v>75</v>
      </c>
      <c r="D63" s="34">
        <v>39900</v>
      </c>
      <c r="E63">
        <v>1246271562</v>
      </c>
      <c r="F63" s="30">
        <v>46156</v>
      </c>
      <c r="G63" s="30"/>
      <c r="H63" t="s">
        <v>28</v>
      </c>
      <c r="I63" t="s">
        <v>29</v>
      </c>
      <c r="J63">
        <v>11139</v>
      </c>
      <c r="K63" s="30">
        <v>46128</v>
      </c>
      <c r="L63">
        <v>1010100</v>
      </c>
      <c r="M63" t="s">
        <v>35</v>
      </c>
      <c r="N63">
        <v>56</v>
      </c>
      <c r="O63" t="s">
        <v>161</v>
      </c>
      <c r="P63" t="s">
        <v>415</v>
      </c>
      <c r="Q63">
        <f t="shared" si="0"/>
        <v>-15</v>
      </c>
      <c r="R63" t="str">
        <f>_xlfn.XLOOKUP(P63,'Painel Additive'!$B:$B,'Painel Additive'!$B:$B,0)</f>
        <v>GRUPO CIBRA</v>
      </c>
      <c r="S63">
        <f t="shared" si="1"/>
        <v>28</v>
      </c>
    </row>
    <row r="64" spans="1:19" x14ac:dyDescent="0.25">
      <c r="A64">
        <v>33</v>
      </c>
      <c r="B64" t="s">
        <v>874</v>
      </c>
      <c r="C64" t="s">
        <v>666</v>
      </c>
      <c r="D64" s="34">
        <v>52960</v>
      </c>
      <c r="E64">
        <v>1246272783</v>
      </c>
      <c r="F64" s="30">
        <v>46169</v>
      </c>
      <c r="G64" s="30"/>
      <c r="H64" t="s">
        <v>28</v>
      </c>
      <c r="I64" t="s">
        <v>29</v>
      </c>
      <c r="J64">
        <v>11230</v>
      </c>
      <c r="K64" s="30">
        <v>46139</v>
      </c>
      <c r="L64">
        <v>1010100</v>
      </c>
      <c r="M64" t="s">
        <v>35</v>
      </c>
      <c r="N64">
        <v>161</v>
      </c>
      <c r="O64" t="s">
        <v>160</v>
      </c>
      <c r="P64" t="s">
        <v>526</v>
      </c>
      <c r="Q64">
        <f t="shared" si="0"/>
        <v>-28</v>
      </c>
      <c r="R64" t="str">
        <f>_xlfn.XLOOKUP(P64,'Painel Additive'!$B:$B,'Painel Additive'!$B:$B,0)</f>
        <v>GRUPO HERINGER</v>
      </c>
      <c r="S64">
        <f t="shared" si="1"/>
        <v>30</v>
      </c>
    </row>
    <row r="65" spans="1:19" x14ac:dyDescent="0.25">
      <c r="A65">
        <v>33</v>
      </c>
      <c r="B65" t="s">
        <v>874</v>
      </c>
      <c r="C65" t="s">
        <v>666</v>
      </c>
      <c r="D65" s="34">
        <v>99167.6</v>
      </c>
      <c r="E65">
        <v>1246271248</v>
      </c>
      <c r="F65" s="30">
        <v>46155</v>
      </c>
      <c r="G65" s="30"/>
      <c r="H65" t="s">
        <v>28</v>
      </c>
      <c r="I65" t="s">
        <v>29</v>
      </c>
      <c r="J65">
        <v>11114</v>
      </c>
      <c r="K65" s="30">
        <v>46125</v>
      </c>
      <c r="L65">
        <v>1010100</v>
      </c>
      <c r="M65" t="s">
        <v>35</v>
      </c>
      <c r="N65">
        <v>161</v>
      </c>
      <c r="O65" t="s">
        <v>160</v>
      </c>
      <c r="P65" t="s">
        <v>526</v>
      </c>
      <c r="Q65">
        <f t="shared" si="0"/>
        <v>-14</v>
      </c>
      <c r="R65" t="str">
        <f>_xlfn.XLOOKUP(P65,'Painel Additive'!$B:$B,'Painel Additive'!$B:$B,0)</f>
        <v>GRUPO HERINGER</v>
      </c>
      <c r="S65">
        <f t="shared" si="1"/>
        <v>30</v>
      </c>
    </row>
    <row r="66" spans="1:19" x14ac:dyDescent="0.25">
      <c r="A66">
        <v>214</v>
      </c>
      <c r="B66" t="s">
        <v>164</v>
      </c>
      <c r="C66" t="s">
        <v>818</v>
      </c>
      <c r="D66" s="34">
        <v>82931.8</v>
      </c>
      <c r="E66">
        <v>1246270505</v>
      </c>
      <c r="F66" s="30">
        <v>46147</v>
      </c>
      <c r="G66" s="30">
        <v>46147</v>
      </c>
      <c r="H66" t="s">
        <v>28</v>
      </c>
      <c r="I66" t="s">
        <v>29</v>
      </c>
      <c r="J66">
        <v>11065</v>
      </c>
      <c r="K66" s="30">
        <v>46119</v>
      </c>
      <c r="L66">
        <v>1010100</v>
      </c>
      <c r="M66" t="s">
        <v>35</v>
      </c>
      <c r="N66">
        <v>161</v>
      </c>
      <c r="O66" t="s">
        <v>160</v>
      </c>
      <c r="P66" t="s">
        <v>416</v>
      </c>
      <c r="Q66">
        <f t="shared" si="0"/>
        <v>-6</v>
      </c>
      <c r="R66" t="str">
        <f>_xlfn.XLOOKUP(P66,'Painel Additive'!$B:$B,'Painel Additive'!$B:$B,0)</f>
        <v>GRUPO UNIFERTIL</v>
      </c>
      <c r="S66">
        <f t="shared" si="1"/>
        <v>28</v>
      </c>
    </row>
    <row r="67" spans="1:19" x14ac:dyDescent="0.25">
      <c r="A67">
        <v>214</v>
      </c>
      <c r="B67" t="s">
        <v>164</v>
      </c>
      <c r="C67" t="s">
        <v>818</v>
      </c>
      <c r="D67" s="34">
        <v>82854.100000000006</v>
      </c>
      <c r="E67">
        <v>1246272851</v>
      </c>
      <c r="F67" s="30">
        <v>46167</v>
      </c>
      <c r="G67" s="30"/>
      <c r="H67" t="s">
        <v>28</v>
      </c>
      <c r="I67" t="s">
        <v>29</v>
      </c>
      <c r="J67">
        <v>11237</v>
      </c>
      <c r="K67" s="30">
        <v>46139</v>
      </c>
      <c r="L67">
        <v>1010100</v>
      </c>
      <c r="M67" t="s">
        <v>35</v>
      </c>
      <c r="N67">
        <v>161</v>
      </c>
      <c r="O67" t="s">
        <v>160</v>
      </c>
      <c r="P67" t="s">
        <v>416</v>
      </c>
      <c r="Q67">
        <f t="shared" ref="Q67:Q130" si="2">$R$1-F67</f>
        <v>-26</v>
      </c>
      <c r="R67" t="str">
        <f>_xlfn.XLOOKUP(P67,'Painel Additive'!$B:$B,'Painel Additive'!$B:$B,0)</f>
        <v>GRUPO UNIFERTIL</v>
      </c>
      <c r="S67">
        <f t="shared" ref="S67:S130" si="3">F67-K67</f>
        <v>28</v>
      </c>
    </row>
    <row r="68" spans="1:19" x14ac:dyDescent="0.25">
      <c r="A68">
        <v>214</v>
      </c>
      <c r="B68" t="s">
        <v>164</v>
      </c>
      <c r="C68" t="s">
        <v>818</v>
      </c>
      <c r="D68" s="34">
        <v>99281.7</v>
      </c>
      <c r="E68">
        <v>1246271672</v>
      </c>
      <c r="F68" s="30">
        <v>46157</v>
      </c>
      <c r="G68" s="30"/>
      <c r="H68" t="s">
        <v>28</v>
      </c>
      <c r="I68" t="s">
        <v>29</v>
      </c>
      <c r="J68">
        <v>11156</v>
      </c>
      <c r="K68" s="30">
        <v>46129</v>
      </c>
      <c r="L68">
        <v>1010100</v>
      </c>
      <c r="M68" t="s">
        <v>35</v>
      </c>
      <c r="N68">
        <v>161</v>
      </c>
      <c r="O68" t="s">
        <v>160</v>
      </c>
      <c r="P68" t="s">
        <v>416</v>
      </c>
      <c r="Q68">
        <f t="shared" si="2"/>
        <v>-16</v>
      </c>
      <c r="R68" t="str">
        <f>_xlfn.XLOOKUP(P68,'Painel Additive'!$B:$B,'Painel Additive'!$B:$B,0)</f>
        <v>GRUPO UNIFERTIL</v>
      </c>
      <c r="S68">
        <f t="shared" si="3"/>
        <v>28</v>
      </c>
    </row>
    <row r="69" spans="1:19" x14ac:dyDescent="0.25">
      <c r="A69">
        <v>2</v>
      </c>
      <c r="B69" t="s">
        <v>34</v>
      </c>
      <c r="C69" t="s">
        <v>815</v>
      </c>
      <c r="D69" s="34">
        <v>13431</v>
      </c>
      <c r="E69">
        <v>1246272905</v>
      </c>
      <c r="F69" s="30">
        <v>46168</v>
      </c>
      <c r="G69" s="30">
        <v>46146</v>
      </c>
      <c r="H69" t="s">
        <v>816</v>
      </c>
      <c r="I69" t="s">
        <v>817</v>
      </c>
      <c r="J69">
        <v>2898</v>
      </c>
      <c r="K69" s="30">
        <v>46140</v>
      </c>
      <c r="L69">
        <v>1010100</v>
      </c>
      <c r="M69" t="s">
        <v>35</v>
      </c>
      <c r="N69">
        <v>199</v>
      </c>
      <c r="O69" t="s">
        <v>853</v>
      </c>
      <c r="P69" t="s">
        <v>417</v>
      </c>
      <c r="Q69">
        <f t="shared" si="2"/>
        <v>-27</v>
      </c>
      <c r="R69" t="str">
        <f>_xlfn.XLOOKUP(P69,'Painel Additive'!$B:$B,'Painel Additive'!$B:$B,0)</f>
        <v>GRUPO CARGILL</v>
      </c>
      <c r="S69">
        <f t="shared" si="3"/>
        <v>28</v>
      </c>
    </row>
    <row r="70" spans="1:19" x14ac:dyDescent="0.25">
      <c r="A70">
        <v>183</v>
      </c>
      <c r="B70" t="s">
        <v>41</v>
      </c>
      <c r="C70" t="s">
        <v>42</v>
      </c>
      <c r="D70" s="34">
        <v>4231.96</v>
      </c>
      <c r="E70">
        <v>1246014155</v>
      </c>
      <c r="F70" s="30">
        <v>47847</v>
      </c>
      <c r="G70" s="30"/>
      <c r="H70" t="s">
        <v>28</v>
      </c>
      <c r="I70" t="s">
        <v>29</v>
      </c>
      <c r="J70">
        <v>8361</v>
      </c>
      <c r="K70" s="30">
        <v>43384</v>
      </c>
      <c r="L70">
        <v>1010100</v>
      </c>
      <c r="M70" t="s">
        <v>35</v>
      </c>
      <c r="N70">
        <v>161</v>
      </c>
      <c r="O70" t="s">
        <v>160</v>
      </c>
      <c r="P70" t="s">
        <v>526</v>
      </c>
      <c r="Q70">
        <f t="shared" si="2"/>
        <v>-1706</v>
      </c>
      <c r="R70" t="str">
        <f>_xlfn.XLOOKUP(P70,'Painel Additive'!$B:$B,'Painel Additive'!$B:$B,0)</f>
        <v>GRUPO HERINGER</v>
      </c>
      <c r="S70">
        <f t="shared" si="3"/>
        <v>4463</v>
      </c>
    </row>
    <row r="71" spans="1:19" x14ac:dyDescent="0.25">
      <c r="A71">
        <v>183</v>
      </c>
      <c r="B71" t="s">
        <v>41</v>
      </c>
      <c r="C71" t="s">
        <v>42</v>
      </c>
      <c r="D71" s="34">
        <v>4045.01</v>
      </c>
      <c r="E71">
        <v>1246014156</v>
      </c>
      <c r="F71" s="30">
        <v>48212</v>
      </c>
      <c r="G71" s="30"/>
      <c r="H71" t="s">
        <v>28</v>
      </c>
      <c r="I71" t="s">
        <v>29</v>
      </c>
      <c r="J71">
        <v>8361</v>
      </c>
      <c r="K71" s="30">
        <v>43384</v>
      </c>
      <c r="L71">
        <v>1010100</v>
      </c>
      <c r="M71" t="s">
        <v>35</v>
      </c>
      <c r="N71">
        <v>161</v>
      </c>
      <c r="O71" t="s">
        <v>160</v>
      </c>
      <c r="P71" t="s">
        <v>526</v>
      </c>
      <c r="Q71">
        <f t="shared" si="2"/>
        <v>-2071</v>
      </c>
      <c r="R71" t="str">
        <f>_xlfn.XLOOKUP(P71,'Painel Additive'!$B:$B,'Painel Additive'!$B:$B,0)</f>
        <v>GRUPO HERINGER</v>
      </c>
      <c r="S71">
        <f t="shared" si="3"/>
        <v>4828</v>
      </c>
    </row>
    <row r="72" spans="1:19" x14ac:dyDescent="0.25">
      <c r="A72">
        <v>183</v>
      </c>
      <c r="B72" t="s">
        <v>41</v>
      </c>
      <c r="C72" t="s">
        <v>42</v>
      </c>
      <c r="D72" s="34">
        <v>4339.6000000000004</v>
      </c>
      <c r="E72">
        <v>1246014157</v>
      </c>
      <c r="F72" s="30">
        <v>48578</v>
      </c>
      <c r="G72" s="30"/>
      <c r="H72" t="s">
        <v>28</v>
      </c>
      <c r="I72" t="s">
        <v>29</v>
      </c>
      <c r="J72">
        <v>8361</v>
      </c>
      <c r="K72" s="30">
        <v>43384</v>
      </c>
      <c r="L72">
        <v>1010100</v>
      </c>
      <c r="M72" t="s">
        <v>35</v>
      </c>
      <c r="N72">
        <v>161</v>
      </c>
      <c r="O72" t="s">
        <v>160</v>
      </c>
      <c r="P72" t="s">
        <v>526</v>
      </c>
      <c r="Q72">
        <f t="shared" si="2"/>
        <v>-2437</v>
      </c>
      <c r="R72" t="str">
        <f>_xlfn.XLOOKUP(P72,'Painel Additive'!$B:$B,'Painel Additive'!$B:$B,0)</f>
        <v>GRUPO HERINGER</v>
      </c>
      <c r="S72">
        <f t="shared" si="3"/>
        <v>5194</v>
      </c>
    </row>
    <row r="73" spans="1:19" x14ac:dyDescent="0.25">
      <c r="A73">
        <v>183</v>
      </c>
      <c r="B73" t="s">
        <v>41</v>
      </c>
      <c r="C73" t="s">
        <v>42</v>
      </c>
      <c r="D73" s="34">
        <v>7512.16</v>
      </c>
      <c r="E73">
        <v>1246014158</v>
      </c>
      <c r="F73" s="30">
        <v>48943</v>
      </c>
      <c r="G73" s="30"/>
      <c r="H73" t="s">
        <v>28</v>
      </c>
      <c r="I73" t="s">
        <v>29</v>
      </c>
      <c r="J73">
        <v>8361</v>
      </c>
      <c r="K73" s="30">
        <v>43384</v>
      </c>
      <c r="L73">
        <v>1010100</v>
      </c>
      <c r="M73" t="s">
        <v>35</v>
      </c>
      <c r="N73">
        <v>161</v>
      </c>
      <c r="O73" t="s">
        <v>160</v>
      </c>
      <c r="P73" t="s">
        <v>526</v>
      </c>
      <c r="Q73">
        <f t="shared" si="2"/>
        <v>-2802</v>
      </c>
      <c r="R73" t="str">
        <f>_xlfn.XLOOKUP(P73,'Painel Additive'!$B:$B,'Painel Additive'!$B:$B,0)</f>
        <v>GRUPO HERINGER</v>
      </c>
      <c r="S73">
        <f t="shared" si="3"/>
        <v>5559</v>
      </c>
    </row>
    <row r="74" spans="1:19" x14ac:dyDescent="0.25">
      <c r="A74">
        <v>183</v>
      </c>
      <c r="B74" t="s">
        <v>41</v>
      </c>
      <c r="C74" t="s">
        <v>42</v>
      </c>
      <c r="D74" s="34">
        <v>30552.86</v>
      </c>
      <c r="E74">
        <v>1246014159</v>
      </c>
      <c r="F74" s="30">
        <v>49308</v>
      </c>
      <c r="G74" s="30"/>
      <c r="H74" t="s">
        <v>28</v>
      </c>
      <c r="I74" t="s">
        <v>29</v>
      </c>
      <c r="J74">
        <v>8361</v>
      </c>
      <c r="K74" s="30">
        <v>43384</v>
      </c>
      <c r="L74">
        <v>1010100</v>
      </c>
      <c r="M74" t="s">
        <v>35</v>
      </c>
      <c r="N74">
        <v>161</v>
      </c>
      <c r="O74" t="s">
        <v>160</v>
      </c>
      <c r="P74" t="s">
        <v>526</v>
      </c>
      <c r="Q74">
        <f t="shared" si="2"/>
        <v>-3167</v>
      </c>
      <c r="R74" t="str">
        <f>_xlfn.XLOOKUP(P74,'Painel Additive'!$B:$B,'Painel Additive'!$B:$B,0)</f>
        <v>GRUPO HERINGER</v>
      </c>
      <c r="S74">
        <f t="shared" si="3"/>
        <v>5924</v>
      </c>
    </row>
    <row r="75" spans="1:19" x14ac:dyDescent="0.25">
      <c r="A75">
        <v>183</v>
      </c>
      <c r="B75" t="s">
        <v>41</v>
      </c>
      <c r="C75" t="s">
        <v>42</v>
      </c>
      <c r="D75" s="34">
        <v>1512.63</v>
      </c>
      <c r="E75">
        <v>1246014161</v>
      </c>
      <c r="F75" s="30">
        <v>50039</v>
      </c>
      <c r="G75" s="30"/>
      <c r="H75" t="s">
        <v>28</v>
      </c>
      <c r="I75" t="s">
        <v>29</v>
      </c>
      <c r="J75">
        <v>8361</v>
      </c>
      <c r="K75" s="30">
        <v>43384</v>
      </c>
      <c r="L75">
        <v>1010100</v>
      </c>
      <c r="M75" t="s">
        <v>35</v>
      </c>
      <c r="N75">
        <v>161</v>
      </c>
      <c r="O75" t="s">
        <v>160</v>
      </c>
      <c r="P75" t="s">
        <v>526</v>
      </c>
      <c r="Q75">
        <f t="shared" si="2"/>
        <v>-3898</v>
      </c>
      <c r="R75" t="str">
        <f>_xlfn.XLOOKUP(P75,'Painel Additive'!$B:$B,'Painel Additive'!$B:$B,0)</f>
        <v>GRUPO HERINGER</v>
      </c>
      <c r="S75">
        <f t="shared" si="3"/>
        <v>6655</v>
      </c>
    </row>
    <row r="76" spans="1:19" x14ac:dyDescent="0.25">
      <c r="A76">
        <v>183</v>
      </c>
      <c r="B76" t="s">
        <v>41</v>
      </c>
      <c r="C76" t="s">
        <v>42</v>
      </c>
      <c r="D76" s="34">
        <v>1982.85</v>
      </c>
      <c r="E76">
        <v>1246014162</v>
      </c>
      <c r="F76" s="30">
        <v>50404</v>
      </c>
      <c r="G76" s="30"/>
      <c r="H76" t="s">
        <v>28</v>
      </c>
      <c r="I76" t="s">
        <v>29</v>
      </c>
      <c r="J76">
        <v>8361</v>
      </c>
      <c r="K76" s="30">
        <v>43384</v>
      </c>
      <c r="L76">
        <v>1010100</v>
      </c>
      <c r="M76" t="s">
        <v>35</v>
      </c>
      <c r="N76">
        <v>161</v>
      </c>
      <c r="O76" t="s">
        <v>160</v>
      </c>
      <c r="P76" t="s">
        <v>526</v>
      </c>
      <c r="Q76">
        <f t="shared" si="2"/>
        <v>-4263</v>
      </c>
      <c r="R76" t="str">
        <f>_xlfn.XLOOKUP(P76,'Painel Additive'!$B:$B,'Painel Additive'!$B:$B,0)</f>
        <v>GRUPO HERINGER</v>
      </c>
      <c r="S76">
        <f t="shared" si="3"/>
        <v>7020</v>
      </c>
    </row>
    <row r="77" spans="1:19" x14ac:dyDescent="0.25">
      <c r="A77">
        <v>183</v>
      </c>
      <c r="B77" t="s">
        <v>41</v>
      </c>
      <c r="C77" t="s">
        <v>42</v>
      </c>
      <c r="D77" s="34">
        <v>2549.38</v>
      </c>
      <c r="E77">
        <v>1246014163</v>
      </c>
      <c r="F77" s="30">
        <v>50769</v>
      </c>
      <c r="G77" s="30"/>
      <c r="H77" t="s">
        <v>28</v>
      </c>
      <c r="I77" t="s">
        <v>29</v>
      </c>
      <c r="J77">
        <v>8361</v>
      </c>
      <c r="K77" s="30">
        <v>43384</v>
      </c>
      <c r="L77">
        <v>1010100</v>
      </c>
      <c r="M77" t="s">
        <v>35</v>
      </c>
      <c r="N77">
        <v>161</v>
      </c>
      <c r="O77" t="s">
        <v>160</v>
      </c>
      <c r="P77" t="s">
        <v>526</v>
      </c>
      <c r="Q77">
        <f t="shared" si="2"/>
        <v>-4628</v>
      </c>
      <c r="R77" t="str">
        <f>_xlfn.XLOOKUP(P77,'Painel Additive'!$B:$B,'Painel Additive'!$B:$B,0)</f>
        <v>GRUPO HERINGER</v>
      </c>
      <c r="S77">
        <f t="shared" si="3"/>
        <v>7385</v>
      </c>
    </row>
    <row r="78" spans="1:19" x14ac:dyDescent="0.25">
      <c r="A78">
        <v>183</v>
      </c>
      <c r="B78" t="s">
        <v>41</v>
      </c>
      <c r="C78" t="s">
        <v>42</v>
      </c>
      <c r="D78" s="34">
        <v>5546.31</v>
      </c>
      <c r="E78">
        <v>1246014165</v>
      </c>
      <c r="F78" s="30">
        <v>51500</v>
      </c>
      <c r="G78" s="30"/>
      <c r="H78" t="s">
        <v>28</v>
      </c>
      <c r="I78" t="s">
        <v>29</v>
      </c>
      <c r="J78">
        <v>8361</v>
      </c>
      <c r="K78" s="30">
        <v>43384</v>
      </c>
      <c r="L78">
        <v>1010100</v>
      </c>
      <c r="M78" t="s">
        <v>35</v>
      </c>
      <c r="N78">
        <v>161</v>
      </c>
      <c r="O78" t="s">
        <v>160</v>
      </c>
      <c r="P78" t="s">
        <v>526</v>
      </c>
      <c r="Q78">
        <f t="shared" si="2"/>
        <v>-5359</v>
      </c>
      <c r="R78" t="str">
        <f>_xlfn.XLOOKUP(P78,'Painel Additive'!$B:$B,'Painel Additive'!$B:$B,0)</f>
        <v>GRUPO HERINGER</v>
      </c>
      <c r="S78">
        <f t="shared" si="3"/>
        <v>8116</v>
      </c>
    </row>
    <row r="79" spans="1:19" x14ac:dyDescent="0.25">
      <c r="A79">
        <v>183</v>
      </c>
      <c r="B79" t="s">
        <v>41</v>
      </c>
      <c r="C79" t="s">
        <v>42</v>
      </c>
      <c r="D79" s="34">
        <v>5546.31</v>
      </c>
      <c r="E79">
        <v>1246014166</v>
      </c>
      <c r="F79" s="30">
        <v>51865</v>
      </c>
      <c r="G79" s="30"/>
      <c r="H79" t="s">
        <v>28</v>
      </c>
      <c r="I79" t="s">
        <v>29</v>
      </c>
      <c r="J79">
        <v>8361</v>
      </c>
      <c r="K79" s="30">
        <v>43384</v>
      </c>
      <c r="L79">
        <v>1010100</v>
      </c>
      <c r="M79" t="s">
        <v>35</v>
      </c>
      <c r="N79">
        <v>161</v>
      </c>
      <c r="O79" t="s">
        <v>160</v>
      </c>
      <c r="P79" t="s">
        <v>526</v>
      </c>
      <c r="Q79">
        <f t="shared" si="2"/>
        <v>-5724</v>
      </c>
      <c r="R79" t="str">
        <f>_xlfn.XLOOKUP(P79,'Painel Additive'!$B:$B,'Painel Additive'!$B:$B,0)</f>
        <v>GRUPO HERINGER</v>
      </c>
      <c r="S79">
        <f t="shared" si="3"/>
        <v>8481</v>
      </c>
    </row>
    <row r="80" spans="1:19" x14ac:dyDescent="0.25">
      <c r="A80">
        <v>183</v>
      </c>
      <c r="B80" t="s">
        <v>41</v>
      </c>
      <c r="C80" t="s">
        <v>42</v>
      </c>
      <c r="D80" s="34">
        <v>5546.31</v>
      </c>
      <c r="E80">
        <v>1246014167</v>
      </c>
      <c r="F80" s="30">
        <v>52230</v>
      </c>
      <c r="G80" s="30"/>
      <c r="H80" t="s">
        <v>28</v>
      </c>
      <c r="I80" t="s">
        <v>29</v>
      </c>
      <c r="J80">
        <v>8361</v>
      </c>
      <c r="K80" s="30">
        <v>43384</v>
      </c>
      <c r="L80">
        <v>1010100</v>
      </c>
      <c r="M80" t="s">
        <v>35</v>
      </c>
      <c r="N80">
        <v>161</v>
      </c>
      <c r="O80" t="s">
        <v>160</v>
      </c>
      <c r="P80" t="s">
        <v>526</v>
      </c>
      <c r="Q80">
        <f t="shared" si="2"/>
        <v>-6089</v>
      </c>
      <c r="R80" t="str">
        <f>_xlfn.XLOOKUP(P80,'Painel Additive'!$B:$B,'Painel Additive'!$B:$B,0)</f>
        <v>GRUPO HERINGER</v>
      </c>
      <c r="S80">
        <f t="shared" si="3"/>
        <v>8846</v>
      </c>
    </row>
    <row r="81" spans="1:19" x14ac:dyDescent="0.25">
      <c r="A81">
        <v>183</v>
      </c>
      <c r="B81" t="s">
        <v>41</v>
      </c>
      <c r="C81" t="s">
        <v>42</v>
      </c>
      <c r="D81" s="34">
        <v>5546.31</v>
      </c>
      <c r="E81">
        <v>1246014168</v>
      </c>
      <c r="F81" s="30">
        <v>52595</v>
      </c>
      <c r="G81" s="30"/>
      <c r="H81" t="s">
        <v>28</v>
      </c>
      <c r="I81" t="s">
        <v>29</v>
      </c>
      <c r="J81">
        <v>8361</v>
      </c>
      <c r="K81" s="30">
        <v>43384</v>
      </c>
      <c r="L81">
        <v>1010100</v>
      </c>
      <c r="M81" t="s">
        <v>35</v>
      </c>
      <c r="N81">
        <v>161</v>
      </c>
      <c r="O81" t="s">
        <v>160</v>
      </c>
      <c r="P81" t="s">
        <v>526</v>
      </c>
      <c r="Q81">
        <f t="shared" si="2"/>
        <v>-6454</v>
      </c>
      <c r="R81" t="str">
        <f>_xlfn.XLOOKUP(P81,'Painel Additive'!$B:$B,'Painel Additive'!$B:$B,0)</f>
        <v>GRUPO HERINGER</v>
      </c>
      <c r="S81">
        <f t="shared" si="3"/>
        <v>9211</v>
      </c>
    </row>
    <row r="82" spans="1:19" x14ac:dyDescent="0.25">
      <c r="A82">
        <v>183</v>
      </c>
      <c r="B82" t="s">
        <v>41</v>
      </c>
      <c r="C82" t="s">
        <v>42</v>
      </c>
      <c r="D82" s="34">
        <v>5546.31</v>
      </c>
      <c r="E82">
        <v>1246014169</v>
      </c>
      <c r="F82" s="30">
        <v>52961</v>
      </c>
      <c r="G82" s="30"/>
      <c r="H82" t="s">
        <v>28</v>
      </c>
      <c r="I82" t="s">
        <v>29</v>
      </c>
      <c r="J82">
        <v>8361</v>
      </c>
      <c r="K82" s="30">
        <v>43384</v>
      </c>
      <c r="L82">
        <v>1010100</v>
      </c>
      <c r="M82" t="s">
        <v>35</v>
      </c>
      <c r="N82">
        <v>161</v>
      </c>
      <c r="O82" t="s">
        <v>160</v>
      </c>
      <c r="P82" t="s">
        <v>526</v>
      </c>
      <c r="Q82">
        <f t="shared" si="2"/>
        <v>-6820</v>
      </c>
      <c r="R82" t="str">
        <f>_xlfn.XLOOKUP(P82,'Painel Additive'!$B:$B,'Painel Additive'!$B:$B,0)</f>
        <v>GRUPO HERINGER</v>
      </c>
      <c r="S82">
        <f t="shared" si="3"/>
        <v>9577</v>
      </c>
    </row>
    <row r="83" spans="1:19" x14ac:dyDescent="0.25">
      <c r="A83">
        <v>183</v>
      </c>
      <c r="B83" t="s">
        <v>41</v>
      </c>
      <c r="C83" t="s">
        <v>42</v>
      </c>
      <c r="D83" s="34">
        <v>5568.96</v>
      </c>
      <c r="E83">
        <v>1246014170</v>
      </c>
      <c r="F83" s="30">
        <v>53326</v>
      </c>
      <c r="G83" s="30"/>
      <c r="H83" t="s">
        <v>28</v>
      </c>
      <c r="I83" t="s">
        <v>29</v>
      </c>
      <c r="J83">
        <v>8361</v>
      </c>
      <c r="K83" s="30">
        <v>43384</v>
      </c>
      <c r="L83">
        <v>1010100</v>
      </c>
      <c r="M83" t="s">
        <v>35</v>
      </c>
      <c r="N83">
        <v>161</v>
      </c>
      <c r="O83" t="s">
        <v>160</v>
      </c>
      <c r="P83" t="s">
        <v>526</v>
      </c>
      <c r="Q83">
        <f t="shared" si="2"/>
        <v>-7185</v>
      </c>
      <c r="R83" t="str">
        <f>_xlfn.XLOOKUP(P83,'Painel Additive'!$B:$B,'Painel Additive'!$B:$B,0)</f>
        <v>GRUPO HERINGER</v>
      </c>
      <c r="S83">
        <f t="shared" si="3"/>
        <v>9942</v>
      </c>
    </row>
    <row r="84" spans="1:19" x14ac:dyDescent="0.25">
      <c r="A84">
        <v>183</v>
      </c>
      <c r="B84" t="s">
        <v>41</v>
      </c>
      <c r="C84" t="s">
        <v>42</v>
      </c>
      <c r="D84" s="34">
        <v>2487.06</v>
      </c>
      <c r="E84">
        <v>1246137877</v>
      </c>
      <c r="F84" s="30">
        <v>49673</v>
      </c>
      <c r="G84" s="30"/>
      <c r="H84" t="s">
        <v>28</v>
      </c>
      <c r="I84" t="s">
        <v>29</v>
      </c>
      <c r="J84">
        <v>8361</v>
      </c>
      <c r="K84" s="30">
        <v>43384</v>
      </c>
      <c r="L84">
        <v>1010100</v>
      </c>
      <c r="M84" t="s">
        <v>35</v>
      </c>
      <c r="N84">
        <v>161</v>
      </c>
      <c r="O84" t="s">
        <v>160</v>
      </c>
      <c r="P84" t="s">
        <v>526</v>
      </c>
      <c r="Q84">
        <f t="shared" si="2"/>
        <v>-3532</v>
      </c>
      <c r="R84" t="str">
        <f>_xlfn.XLOOKUP(P84,'Painel Additive'!$B:$B,'Painel Additive'!$B:$B,0)</f>
        <v>GRUPO HERINGER</v>
      </c>
      <c r="S84">
        <f t="shared" si="3"/>
        <v>6289</v>
      </c>
    </row>
    <row r="85" spans="1:19" x14ac:dyDescent="0.25">
      <c r="A85">
        <v>183</v>
      </c>
      <c r="B85" t="s">
        <v>41</v>
      </c>
      <c r="C85" t="s">
        <v>42</v>
      </c>
      <c r="D85" s="34">
        <v>2151.75</v>
      </c>
      <c r="E85">
        <v>1246265345</v>
      </c>
      <c r="F85" s="30">
        <v>47482</v>
      </c>
      <c r="G85" s="30"/>
      <c r="H85" t="s">
        <v>28</v>
      </c>
      <c r="I85" t="s">
        <v>29</v>
      </c>
      <c r="J85">
        <v>8361</v>
      </c>
      <c r="K85" s="30">
        <v>43384</v>
      </c>
      <c r="L85">
        <v>1010100</v>
      </c>
      <c r="M85" t="s">
        <v>35</v>
      </c>
      <c r="N85">
        <v>161</v>
      </c>
      <c r="O85" t="s">
        <v>160</v>
      </c>
      <c r="P85" t="s">
        <v>526</v>
      </c>
      <c r="Q85">
        <f t="shared" si="2"/>
        <v>-1341</v>
      </c>
      <c r="R85" t="str">
        <f>_xlfn.XLOOKUP(P85,'Painel Additive'!$B:$B,'Painel Additive'!$B:$B,0)</f>
        <v>GRUPO HERINGER</v>
      </c>
      <c r="S85">
        <f t="shared" si="3"/>
        <v>4098</v>
      </c>
    </row>
    <row r="86" spans="1:19" x14ac:dyDescent="0.25">
      <c r="A86">
        <v>183</v>
      </c>
      <c r="B86" t="s">
        <v>41</v>
      </c>
      <c r="C86" t="s">
        <v>42</v>
      </c>
      <c r="D86" s="34">
        <v>2104.2399999999998</v>
      </c>
      <c r="E86">
        <v>1246233818</v>
      </c>
      <c r="F86" s="30">
        <v>51134</v>
      </c>
      <c r="G86" s="30"/>
      <c r="H86" t="s">
        <v>28</v>
      </c>
      <c r="I86" t="s">
        <v>29</v>
      </c>
      <c r="J86">
        <v>8361</v>
      </c>
      <c r="K86" s="30">
        <v>43384</v>
      </c>
      <c r="L86">
        <v>1010100</v>
      </c>
      <c r="M86" t="s">
        <v>35</v>
      </c>
      <c r="N86">
        <v>161</v>
      </c>
      <c r="O86" t="s">
        <v>160</v>
      </c>
      <c r="P86" t="s">
        <v>526</v>
      </c>
      <c r="Q86">
        <f t="shared" si="2"/>
        <v>-4993</v>
      </c>
      <c r="R86" t="str">
        <f>_xlfn.XLOOKUP(P86,'Painel Additive'!$B:$B,'Painel Additive'!$B:$B,0)</f>
        <v>GRUPO HERINGER</v>
      </c>
      <c r="S86">
        <f t="shared" si="3"/>
        <v>7750</v>
      </c>
    </row>
    <row r="87" spans="1:19" x14ac:dyDescent="0.25">
      <c r="A87">
        <v>1023</v>
      </c>
      <c r="B87" t="s">
        <v>59</v>
      </c>
      <c r="C87" t="s">
        <v>893</v>
      </c>
      <c r="D87" s="34">
        <v>29520</v>
      </c>
      <c r="E87">
        <v>1246273185</v>
      </c>
      <c r="F87" s="30">
        <v>46202</v>
      </c>
      <c r="G87" s="30"/>
      <c r="H87" t="s">
        <v>28</v>
      </c>
      <c r="I87" t="s">
        <v>29</v>
      </c>
      <c r="J87">
        <v>11269</v>
      </c>
      <c r="K87" s="30">
        <v>46142</v>
      </c>
      <c r="L87">
        <v>1010100</v>
      </c>
      <c r="M87" t="s">
        <v>35</v>
      </c>
      <c r="N87">
        <v>161</v>
      </c>
      <c r="O87" t="s">
        <v>160</v>
      </c>
      <c r="P87" t="s">
        <v>418</v>
      </c>
      <c r="Q87">
        <f t="shared" si="2"/>
        <v>-61</v>
      </c>
      <c r="R87" t="str">
        <f>_xlfn.XLOOKUP(P87,'Painel Additive'!$B:$B,'Painel Additive'!$B:$B,0)</f>
        <v>GRUPO ADUBOS ARAGUAIA</v>
      </c>
      <c r="S87">
        <f t="shared" si="3"/>
        <v>60</v>
      </c>
    </row>
    <row r="88" spans="1:19" x14ac:dyDescent="0.25">
      <c r="A88">
        <v>1792</v>
      </c>
      <c r="B88" t="s">
        <v>806</v>
      </c>
      <c r="C88" t="s">
        <v>73</v>
      </c>
      <c r="D88" s="34">
        <v>116676.6</v>
      </c>
      <c r="E88">
        <v>1246272414</v>
      </c>
      <c r="F88" s="30">
        <v>46226</v>
      </c>
      <c r="G88" s="30"/>
      <c r="H88" t="s">
        <v>28</v>
      </c>
      <c r="I88" t="s">
        <v>29</v>
      </c>
      <c r="J88">
        <v>11211</v>
      </c>
      <c r="K88" s="30">
        <v>46136</v>
      </c>
      <c r="L88">
        <v>1010100</v>
      </c>
      <c r="M88" t="s">
        <v>35</v>
      </c>
      <c r="N88">
        <v>161</v>
      </c>
      <c r="O88" t="s">
        <v>160</v>
      </c>
      <c r="P88" t="s">
        <v>527</v>
      </c>
      <c r="Q88">
        <f t="shared" si="2"/>
        <v>-85</v>
      </c>
      <c r="R88" t="str">
        <f>_xlfn.XLOOKUP(P88,'Painel Additive'!$B:$B,'Painel Additive'!$B:$B,0)</f>
        <v>GRUPO MOSAIC FERTILIZANTES P K LTDA</v>
      </c>
      <c r="S88">
        <f t="shared" si="3"/>
        <v>90</v>
      </c>
    </row>
    <row r="89" spans="1:19" x14ac:dyDescent="0.25">
      <c r="A89">
        <v>1792</v>
      </c>
      <c r="B89" t="s">
        <v>806</v>
      </c>
      <c r="C89" t="s">
        <v>73</v>
      </c>
      <c r="D89" s="34">
        <v>118553.1</v>
      </c>
      <c r="E89">
        <v>1246265418</v>
      </c>
      <c r="F89" s="30">
        <v>46169</v>
      </c>
      <c r="G89" s="30"/>
      <c r="H89" t="s">
        <v>28</v>
      </c>
      <c r="I89" t="s">
        <v>29</v>
      </c>
      <c r="J89">
        <v>10776</v>
      </c>
      <c r="K89" s="30">
        <v>46079</v>
      </c>
      <c r="L89">
        <v>1010100</v>
      </c>
      <c r="M89" t="s">
        <v>35</v>
      </c>
      <c r="N89">
        <v>161</v>
      </c>
      <c r="O89" t="s">
        <v>160</v>
      </c>
      <c r="P89" t="s">
        <v>527</v>
      </c>
      <c r="Q89">
        <f t="shared" si="2"/>
        <v>-28</v>
      </c>
      <c r="R89" t="str">
        <f>_xlfn.XLOOKUP(P89,'Painel Additive'!$B:$B,'Painel Additive'!$B:$B,0)</f>
        <v>GRUPO MOSAIC FERTILIZANTES P K LTDA</v>
      </c>
      <c r="S89">
        <f t="shared" si="3"/>
        <v>90</v>
      </c>
    </row>
    <row r="90" spans="1:19" x14ac:dyDescent="0.25">
      <c r="A90">
        <v>1792</v>
      </c>
      <c r="B90" t="s">
        <v>806</v>
      </c>
      <c r="C90" t="s">
        <v>73</v>
      </c>
      <c r="D90" s="34">
        <v>116343</v>
      </c>
      <c r="E90">
        <v>1246267070</v>
      </c>
      <c r="F90" s="30">
        <v>46180</v>
      </c>
      <c r="G90" s="30"/>
      <c r="H90" t="s">
        <v>28</v>
      </c>
      <c r="I90" t="s">
        <v>29</v>
      </c>
      <c r="J90">
        <v>10846</v>
      </c>
      <c r="K90" s="30">
        <v>46090</v>
      </c>
      <c r="L90">
        <v>1010100</v>
      </c>
      <c r="M90" t="s">
        <v>35</v>
      </c>
      <c r="N90">
        <v>161</v>
      </c>
      <c r="O90" t="s">
        <v>160</v>
      </c>
      <c r="P90" t="s">
        <v>527</v>
      </c>
      <c r="Q90">
        <f t="shared" si="2"/>
        <v>-39</v>
      </c>
      <c r="R90" t="str">
        <f>_xlfn.XLOOKUP(P90,'Painel Additive'!$B:$B,'Painel Additive'!$B:$B,0)</f>
        <v>GRUPO MOSAIC FERTILIZANTES P K LTDA</v>
      </c>
      <c r="S90">
        <f t="shared" si="3"/>
        <v>90</v>
      </c>
    </row>
    <row r="91" spans="1:19" x14ac:dyDescent="0.25">
      <c r="A91">
        <v>1792</v>
      </c>
      <c r="B91" t="s">
        <v>806</v>
      </c>
      <c r="C91" t="s">
        <v>73</v>
      </c>
      <c r="D91" s="34">
        <v>118845</v>
      </c>
      <c r="E91">
        <v>1246269004</v>
      </c>
      <c r="F91" s="30">
        <v>46196</v>
      </c>
      <c r="G91" s="30"/>
      <c r="H91" t="s">
        <v>28</v>
      </c>
      <c r="I91" t="s">
        <v>29</v>
      </c>
      <c r="J91">
        <v>10975</v>
      </c>
      <c r="K91" s="30">
        <v>46106</v>
      </c>
      <c r="L91">
        <v>1010100</v>
      </c>
      <c r="M91" t="s">
        <v>35</v>
      </c>
      <c r="N91">
        <v>161</v>
      </c>
      <c r="O91" t="s">
        <v>160</v>
      </c>
      <c r="P91" t="s">
        <v>527</v>
      </c>
      <c r="Q91">
        <f t="shared" si="2"/>
        <v>-55</v>
      </c>
      <c r="R91" t="str">
        <f>_xlfn.XLOOKUP(P91,'Painel Additive'!$B:$B,'Painel Additive'!$B:$B,0)</f>
        <v>GRUPO MOSAIC FERTILIZANTES P K LTDA</v>
      </c>
      <c r="S91">
        <f t="shared" si="3"/>
        <v>90</v>
      </c>
    </row>
    <row r="92" spans="1:19" x14ac:dyDescent="0.25">
      <c r="A92">
        <v>1792</v>
      </c>
      <c r="B92" t="s">
        <v>806</v>
      </c>
      <c r="C92" t="s">
        <v>73</v>
      </c>
      <c r="D92" s="34">
        <v>117260.4</v>
      </c>
      <c r="E92">
        <v>1246270521</v>
      </c>
      <c r="F92" s="30">
        <v>46209</v>
      </c>
      <c r="G92" s="30"/>
      <c r="H92" t="s">
        <v>28</v>
      </c>
      <c r="I92" t="s">
        <v>29</v>
      </c>
      <c r="J92">
        <v>11066</v>
      </c>
      <c r="K92" s="30">
        <v>46119</v>
      </c>
      <c r="L92">
        <v>1010100</v>
      </c>
      <c r="M92" t="s">
        <v>35</v>
      </c>
      <c r="N92">
        <v>161</v>
      </c>
      <c r="O92" t="s">
        <v>160</v>
      </c>
      <c r="P92" t="s">
        <v>527</v>
      </c>
      <c r="Q92">
        <f t="shared" si="2"/>
        <v>-68</v>
      </c>
      <c r="R92" t="str">
        <f>_xlfn.XLOOKUP(P92,'Painel Additive'!$B:$B,'Painel Additive'!$B:$B,0)</f>
        <v>GRUPO MOSAIC FERTILIZANTES P K LTDA</v>
      </c>
      <c r="S92">
        <f t="shared" si="3"/>
        <v>90</v>
      </c>
    </row>
    <row r="93" spans="1:19" x14ac:dyDescent="0.25">
      <c r="A93">
        <v>1792</v>
      </c>
      <c r="B93" t="s">
        <v>806</v>
      </c>
      <c r="C93" t="s">
        <v>73</v>
      </c>
      <c r="D93" s="34">
        <v>118302.9</v>
      </c>
      <c r="E93">
        <v>1246266107</v>
      </c>
      <c r="F93" s="30">
        <v>46174</v>
      </c>
      <c r="G93" s="30"/>
      <c r="H93" t="s">
        <v>28</v>
      </c>
      <c r="I93" t="s">
        <v>29</v>
      </c>
      <c r="J93">
        <v>10803</v>
      </c>
      <c r="K93" s="30">
        <v>46084</v>
      </c>
      <c r="L93">
        <v>1010100</v>
      </c>
      <c r="M93" t="s">
        <v>35</v>
      </c>
      <c r="N93">
        <v>161</v>
      </c>
      <c r="O93" t="s">
        <v>160</v>
      </c>
      <c r="P93" t="s">
        <v>527</v>
      </c>
      <c r="Q93">
        <f t="shared" si="2"/>
        <v>-33</v>
      </c>
      <c r="R93" t="str">
        <f>_xlfn.XLOOKUP(P93,'Painel Additive'!$B:$B,'Painel Additive'!$B:$B,0)</f>
        <v>GRUPO MOSAIC FERTILIZANTES P K LTDA</v>
      </c>
      <c r="S93">
        <f t="shared" si="3"/>
        <v>90</v>
      </c>
    </row>
    <row r="94" spans="1:19" x14ac:dyDescent="0.25">
      <c r="A94">
        <v>1792</v>
      </c>
      <c r="B94" t="s">
        <v>806</v>
      </c>
      <c r="C94" t="s">
        <v>73</v>
      </c>
      <c r="D94" s="34">
        <v>116343</v>
      </c>
      <c r="E94">
        <v>1246268258</v>
      </c>
      <c r="F94" s="30">
        <v>46189</v>
      </c>
      <c r="G94" s="30"/>
      <c r="H94" t="s">
        <v>28</v>
      </c>
      <c r="I94" t="s">
        <v>29</v>
      </c>
      <c r="J94">
        <v>10918</v>
      </c>
      <c r="K94" s="30">
        <v>46099</v>
      </c>
      <c r="L94">
        <v>1010100</v>
      </c>
      <c r="M94" t="s">
        <v>35</v>
      </c>
      <c r="N94">
        <v>161</v>
      </c>
      <c r="O94" t="s">
        <v>160</v>
      </c>
      <c r="P94" t="s">
        <v>527</v>
      </c>
      <c r="Q94">
        <f t="shared" si="2"/>
        <v>-48</v>
      </c>
      <c r="R94" t="str">
        <f>_xlfn.XLOOKUP(P94,'Painel Additive'!$B:$B,'Painel Additive'!$B:$B,0)</f>
        <v>GRUPO MOSAIC FERTILIZANTES P K LTDA</v>
      </c>
      <c r="S94">
        <f t="shared" si="3"/>
        <v>90</v>
      </c>
    </row>
    <row r="95" spans="1:19" x14ac:dyDescent="0.25">
      <c r="A95">
        <v>1792</v>
      </c>
      <c r="B95" t="s">
        <v>806</v>
      </c>
      <c r="C95" t="s">
        <v>73</v>
      </c>
      <c r="D95" s="34">
        <v>116760</v>
      </c>
      <c r="E95">
        <v>1246270240</v>
      </c>
      <c r="F95" s="30">
        <v>46204</v>
      </c>
      <c r="G95" s="30"/>
      <c r="H95" t="s">
        <v>28</v>
      </c>
      <c r="I95" t="s">
        <v>29</v>
      </c>
      <c r="J95">
        <v>11049</v>
      </c>
      <c r="K95" s="30">
        <v>46114</v>
      </c>
      <c r="L95">
        <v>1010100</v>
      </c>
      <c r="M95" t="s">
        <v>35</v>
      </c>
      <c r="N95">
        <v>161</v>
      </c>
      <c r="O95" t="s">
        <v>160</v>
      </c>
      <c r="P95" t="s">
        <v>527</v>
      </c>
      <c r="Q95">
        <f t="shared" si="2"/>
        <v>-63</v>
      </c>
      <c r="R95" t="str">
        <f>_xlfn.XLOOKUP(P95,'Painel Additive'!$B:$B,'Painel Additive'!$B:$B,0)</f>
        <v>GRUPO MOSAIC FERTILIZANTES P K LTDA</v>
      </c>
      <c r="S95">
        <f t="shared" si="3"/>
        <v>90</v>
      </c>
    </row>
    <row r="96" spans="1:19" x14ac:dyDescent="0.25">
      <c r="A96">
        <v>1792</v>
      </c>
      <c r="B96" t="s">
        <v>806</v>
      </c>
      <c r="C96" t="s">
        <v>73</v>
      </c>
      <c r="D96" s="34">
        <v>117051.9</v>
      </c>
      <c r="E96">
        <v>1246269741</v>
      </c>
      <c r="F96" s="30">
        <v>46202</v>
      </c>
      <c r="G96" s="30"/>
      <c r="H96" t="s">
        <v>28</v>
      </c>
      <c r="I96" t="s">
        <v>29</v>
      </c>
      <c r="J96">
        <v>11015</v>
      </c>
      <c r="K96" s="30">
        <v>46112</v>
      </c>
      <c r="L96">
        <v>1010100</v>
      </c>
      <c r="M96" t="s">
        <v>35</v>
      </c>
      <c r="N96">
        <v>161</v>
      </c>
      <c r="O96" t="s">
        <v>160</v>
      </c>
      <c r="P96" t="s">
        <v>527</v>
      </c>
      <c r="Q96">
        <f t="shared" si="2"/>
        <v>-61</v>
      </c>
      <c r="R96" t="str">
        <f>_xlfn.XLOOKUP(P96,'Painel Additive'!$B:$B,'Painel Additive'!$B:$B,0)</f>
        <v>GRUPO MOSAIC FERTILIZANTES P K LTDA</v>
      </c>
      <c r="S96">
        <f t="shared" si="3"/>
        <v>90</v>
      </c>
    </row>
    <row r="97" spans="1:19" x14ac:dyDescent="0.25">
      <c r="A97">
        <v>1792</v>
      </c>
      <c r="B97" t="s">
        <v>806</v>
      </c>
      <c r="C97" t="s">
        <v>73</v>
      </c>
      <c r="D97" s="34">
        <v>115842.6</v>
      </c>
      <c r="E97">
        <v>1246271433</v>
      </c>
      <c r="F97" s="30">
        <v>46217</v>
      </c>
      <c r="G97" s="30"/>
      <c r="H97" t="s">
        <v>28</v>
      </c>
      <c r="I97" t="s">
        <v>29</v>
      </c>
      <c r="J97">
        <v>11125</v>
      </c>
      <c r="K97" s="30">
        <v>46127</v>
      </c>
      <c r="L97">
        <v>1010100</v>
      </c>
      <c r="M97" t="s">
        <v>35</v>
      </c>
      <c r="N97">
        <v>161</v>
      </c>
      <c r="O97" t="s">
        <v>160</v>
      </c>
      <c r="P97" t="s">
        <v>527</v>
      </c>
      <c r="Q97">
        <f t="shared" si="2"/>
        <v>-76</v>
      </c>
      <c r="R97" t="str">
        <f>_xlfn.XLOOKUP(P97,'Painel Additive'!$B:$B,'Painel Additive'!$B:$B,0)</f>
        <v>GRUPO MOSAIC FERTILIZANTES P K LTDA</v>
      </c>
      <c r="S97">
        <f t="shared" si="3"/>
        <v>90</v>
      </c>
    </row>
    <row r="98" spans="1:19" x14ac:dyDescent="0.25">
      <c r="A98">
        <v>1792</v>
      </c>
      <c r="B98" t="s">
        <v>806</v>
      </c>
      <c r="C98" t="s">
        <v>73</v>
      </c>
      <c r="D98" s="34">
        <v>116134.5</v>
      </c>
      <c r="E98">
        <v>1246271003</v>
      </c>
      <c r="F98" s="30">
        <v>46212</v>
      </c>
      <c r="G98" s="30"/>
      <c r="H98" t="s">
        <v>28</v>
      </c>
      <c r="I98" t="s">
        <v>29</v>
      </c>
      <c r="J98">
        <v>11092</v>
      </c>
      <c r="K98" s="30">
        <v>46122</v>
      </c>
      <c r="L98">
        <v>1010100</v>
      </c>
      <c r="M98" t="s">
        <v>35</v>
      </c>
      <c r="N98">
        <v>161</v>
      </c>
      <c r="O98" t="s">
        <v>160</v>
      </c>
      <c r="P98" t="s">
        <v>527</v>
      </c>
      <c r="Q98">
        <f t="shared" si="2"/>
        <v>-71</v>
      </c>
      <c r="R98" t="str">
        <f>_xlfn.XLOOKUP(P98,'Painel Additive'!$B:$B,'Painel Additive'!$B:$B,0)</f>
        <v>GRUPO MOSAIC FERTILIZANTES P K LTDA</v>
      </c>
      <c r="S98">
        <f t="shared" si="3"/>
        <v>90</v>
      </c>
    </row>
    <row r="99" spans="1:19" x14ac:dyDescent="0.25">
      <c r="A99">
        <v>1792</v>
      </c>
      <c r="B99" t="s">
        <v>806</v>
      </c>
      <c r="C99" t="s">
        <v>73</v>
      </c>
      <c r="D99" s="34">
        <v>120471.3</v>
      </c>
      <c r="E99">
        <v>1246272043</v>
      </c>
      <c r="F99" s="30">
        <v>46224</v>
      </c>
      <c r="G99" s="30"/>
      <c r="H99" t="s">
        <v>28</v>
      </c>
      <c r="I99" t="s">
        <v>29</v>
      </c>
      <c r="J99">
        <v>11190</v>
      </c>
      <c r="K99" s="30">
        <v>46134</v>
      </c>
      <c r="L99">
        <v>1010100</v>
      </c>
      <c r="M99" t="s">
        <v>35</v>
      </c>
      <c r="N99">
        <v>161</v>
      </c>
      <c r="O99" t="s">
        <v>160</v>
      </c>
      <c r="P99" t="s">
        <v>527</v>
      </c>
      <c r="Q99">
        <f t="shared" si="2"/>
        <v>-83</v>
      </c>
      <c r="R99" t="str">
        <f>_xlfn.XLOOKUP(P99,'Painel Additive'!$B:$B,'Painel Additive'!$B:$B,0)</f>
        <v>GRUPO MOSAIC FERTILIZANTES P K LTDA</v>
      </c>
      <c r="S99">
        <f t="shared" si="3"/>
        <v>90</v>
      </c>
    </row>
    <row r="100" spans="1:19" x14ac:dyDescent="0.25">
      <c r="A100">
        <v>1792</v>
      </c>
      <c r="B100" t="s">
        <v>806</v>
      </c>
      <c r="C100" t="s">
        <v>73</v>
      </c>
      <c r="D100" s="34">
        <v>116092.8</v>
      </c>
      <c r="E100">
        <v>1246267659</v>
      </c>
      <c r="F100" s="30">
        <v>46184</v>
      </c>
      <c r="G100" s="30"/>
      <c r="H100" t="s">
        <v>28</v>
      </c>
      <c r="I100" t="s">
        <v>29</v>
      </c>
      <c r="J100">
        <v>10876</v>
      </c>
      <c r="K100" s="30">
        <v>46094</v>
      </c>
      <c r="L100">
        <v>1010100</v>
      </c>
      <c r="M100" t="s">
        <v>35</v>
      </c>
      <c r="N100">
        <v>161</v>
      </c>
      <c r="O100" t="s">
        <v>160</v>
      </c>
      <c r="P100" t="s">
        <v>527</v>
      </c>
      <c r="Q100">
        <f t="shared" si="2"/>
        <v>-43</v>
      </c>
      <c r="R100" t="str">
        <f>_xlfn.XLOOKUP(P100,'Painel Additive'!$B:$B,'Painel Additive'!$B:$B,0)</f>
        <v>GRUPO MOSAIC FERTILIZANTES P K LTDA</v>
      </c>
      <c r="S100">
        <f t="shared" si="3"/>
        <v>90</v>
      </c>
    </row>
    <row r="101" spans="1:19" x14ac:dyDescent="0.25">
      <c r="A101">
        <v>201</v>
      </c>
      <c r="B101" t="s">
        <v>321</v>
      </c>
      <c r="C101" t="s">
        <v>875</v>
      </c>
      <c r="D101" s="34">
        <v>185040</v>
      </c>
      <c r="E101">
        <v>1246269671</v>
      </c>
      <c r="F101" s="30">
        <v>46231</v>
      </c>
      <c r="G101" s="30"/>
      <c r="H101" t="s">
        <v>28</v>
      </c>
      <c r="I101" t="s">
        <v>29</v>
      </c>
      <c r="J101">
        <v>2855</v>
      </c>
      <c r="K101" s="30">
        <v>46111</v>
      </c>
      <c r="L101">
        <v>1010100</v>
      </c>
      <c r="M101" t="s">
        <v>35</v>
      </c>
      <c r="N101">
        <v>161</v>
      </c>
      <c r="O101" t="s">
        <v>160</v>
      </c>
      <c r="P101" t="s">
        <v>429</v>
      </c>
      <c r="Q101">
        <f t="shared" si="2"/>
        <v>-90</v>
      </c>
      <c r="R101" t="str">
        <f>_xlfn.XLOOKUP(P101,'Painel Additive'!$B:$B,'Painel Additive'!$B:$B,0)</f>
        <v>GRUPO JOSAPAR</v>
      </c>
      <c r="S101">
        <f t="shared" si="3"/>
        <v>120</v>
      </c>
    </row>
    <row r="102" spans="1:19" x14ac:dyDescent="0.25">
      <c r="A102">
        <v>903</v>
      </c>
      <c r="B102" t="s">
        <v>57</v>
      </c>
      <c r="C102" t="s">
        <v>58</v>
      </c>
      <c r="D102" s="34">
        <v>133334.43</v>
      </c>
      <c r="E102">
        <v>1246268951</v>
      </c>
      <c r="F102" s="30">
        <v>46146</v>
      </c>
      <c r="G102" s="30">
        <v>46146</v>
      </c>
      <c r="H102" t="s">
        <v>28</v>
      </c>
      <c r="I102" t="s">
        <v>29</v>
      </c>
      <c r="J102">
        <v>10971</v>
      </c>
      <c r="K102" s="30">
        <v>46106</v>
      </c>
      <c r="L102">
        <v>1010100</v>
      </c>
      <c r="M102" t="s">
        <v>35</v>
      </c>
      <c r="N102">
        <v>161</v>
      </c>
      <c r="O102" t="s">
        <v>160</v>
      </c>
      <c r="P102" t="s">
        <v>419</v>
      </c>
      <c r="Q102">
        <f t="shared" si="2"/>
        <v>-5</v>
      </c>
      <c r="R102" t="str">
        <f>_xlfn.XLOOKUP(P102,'Painel Additive'!$B:$B,'Painel Additive'!$B:$B,0)</f>
        <v>GRUPO YARA</v>
      </c>
      <c r="S102">
        <f t="shared" si="3"/>
        <v>40</v>
      </c>
    </row>
    <row r="103" spans="1:19" x14ac:dyDescent="0.25">
      <c r="A103">
        <v>903</v>
      </c>
      <c r="B103" t="s">
        <v>57</v>
      </c>
      <c r="C103" t="s">
        <v>58</v>
      </c>
      <c r="D103" s="34">
        <v>135135.03</v>
      </c>
      <c r="E103">
        <v>1246272230</v>
      </c>
      <c r="F103" s="30">
        <v>46175</v>
      </c>
      <c r="G103" s="30"/>
      <c r="H103" t="s">
        <v>28</v>
      </c>
      <c r="I103" t="s">
        <v>29</v>
      </c>
      <c r="J103">
        <v>11199</v>
      </c>
      <c r="K103" s="30">
        <v>46135</v>
      </c>
      <c r="L103">
        <v>1010100</v>
      </c>
      <c r="M103" t="s">
        <v>35</v>
      </c>
      <c r="N103">
        <v>161</v>
      </c>
      <c r="O103" t="s">
        <v>160</v>
      </c>
      <c r="P103" t="s">
        <v>419</v>
      </c>
      <c r="Q103">
        <f t="shared" si="2"/>
        <v>-34</v>
      </c>
      <c r="R103" t="str">
        <f>_xlfn.XLOOKUP(P103,'Painel Additive'!$B:$B,'Painel Additive'!$B:$B,0)</f>
        <v>GRUPO YARA</v>
      </c>
      <c r="S103">
        <f t="shared" si="3"/>
        <v>40</v>
      </c>
    </row>
    <row r="104" spans="1:19" x14ac:dyDescent="0.25">
      <c r="A104">
        <v>903</v>
      </c>
      <c r="B104" t="s">
        <v>57</v>
      </c>
      <c r="C104" t="s">
        <v>58</v>
      </c>
      <c r="D104" s="34">
        <v>134594.85</v>
      </c>
      <c r="E104">
        <v>1246270087</v>
      </c>
      <c r="F104" s="30">
        <v>46154</v>
      </c>
      <c r="G104" s="30"/>
      <c r="H104" t="s">
        <v>28</v>
      </c>
      <c r="I104" t="s">
        <v>29</v>
      </c>
      <c r="J104">
        <v>11034</v>
      </c>
      <c r="K104" s="30">
        <v>46114</v>
      </c>
      <c r="L104">
        <v>1010100</v>
      </c>
      <c r="M104" t="s">
        <v>35</v>
      </c>
      <c r="N104">
        <v>161</v>
      </c>
      <c r="O104" t="s">
        <v>160</v>
      </c>
      <c r="P104" t="s">
        <v>419</v>
      </c>
      <c r="Q104">
        <f t="shared" si="2"/>
        <v>-13</v>
      </c>
      <c r="R104" t="str">
        <f>_xlfn.XLOOKUP(P104,'Painel Additive'!$B:$B,'Painel Additive'!$B:$B,0)</f>
        <v>GRUPO YARA</v>
      </c>
      <c r="S104">
        <f t="shared" si="3"/>
        <v>40</v>
      </c>
    </row>
    <row r="105" spans="1:19" x14ac:dyDescent="0.25">
      <c r="A105">
        <v>903</v>
      </c>
      <c r="B105" t="s">
        <v>57</v>
      </c>
      <c r="C105" t="s">
        <v>58</v>
      </c>
      <c r="D105" s="34">
        <v>134504.82</v>
      </c>
      <c r="E105">
        <v>1246271047</v>
      </c>
      <c r="F105" s="30">
        <v>46162</v>
      </c>
      <c r="G105" s="30"/>
      <c r="H105" t="s">
        <v>28</v>
      </c>
      <c r="I105" t="s">
        <v>29</v>
      </c>
      <c r="J105">
        <v>11098</v>
      </c>
      <c r="K105" s="30">
        <v>46122</v>
      </c>
      <c r="L105">
        <v>1010100</v>
      </c>
      <c r="M105" t="s">
        <v>35</v>
      </c>
      <c r="N105">
        <v>161</v>
      </c>
      <c r="O105" t="s">
        <v>160</v>
      </c>
      <c r="P105" t="s">
        <v>419</v>
      </c>
      <c r="Q105">
        <f t="shared" si="2"/>
        <v>-21</v>
      </c>
      <c r="R105" t="str">
        <f>_xlfn.XLOOKUP(P105,'Painel Additive'!$B:$B,'Painel Additive'!$B:$B,0)</f>
        <v>GRUPO YARA</v>
      </c>
      <c r="S105">
        <f t="shared" si="3"/>
        <v>40</v>
      </c>
    </row>
    <row r="106" spans="1:19" x14ac:dyDescent="0.25">
      <c r="A106">
        <v>903</v>
      </c>
      <c r="B106" t="s">
        <v>57</v>
      </c>
      <c r="C106" t="s">
        <v>58</v>
      </c>
      <c r="D106" s="34">
        <v>134864.94</v>
      </c>
      <c r="E106">
        <v>1246269425</v>
      </c>
      <c r="F106" s="30">
        <v>46148</v>
      </c>
      <c r="G106" s="30"/>
      <c r="H106" t="s">
        <v>28</v>
      </c>
      <c r="I106" t="s">
        <v>29</v>
      </c>
      <c r="J106">
        <v>10990</v>
      </c>
      <c r="K106" s="30">
        <v>46108</v>
      </c>
      <c r="L106">
        <v>1010100</v>
      </c>
      <c r="M106" t="s">
        <v>35</v>
      </c>
      <c r="N106">
        <v>161</v>
      </c>
      <c r="O106" t="s">
        <v>160</v>
      </c>
      <c r="P106" t="s">
        <v>419</v>
      </c>
      <c r="Q106">
        <f t="shared" si="2"/>
        <v>-7</v>
      </c>
      <c r="R106" t="str">
        <f>_xlfn.XLOOKUP(P106,'Painel Additive'!$B:$B,'Painel Additive'!$B:$B,0)</f>
        <v>GRUPO YARA</v>
      </c>
      <c r="S106">
        <f t="shared" si="3"/>
        <v>40</v>
      </c>
    </row>
    <row r="107" spans="1:19" x14ac:dyDescent="0.25">
      <c r="A107">
        <v>903</v>
      </c>
      <c r="B107" t="s">
        <v>57</v>
      </c>
      <c r="C107" t="s">
        <v>58</v>
      </c>
      <c r="D107" s="34">
        <v>134774.91</v>
      </c>
      <c r="E107">
        <v>1246273177</v>
      </c>
      <c r="F107" s="30">
        <v>46182</v>
      </c>
      <c r="G107" s="30"/>
      <c r="H107" t="s">
        <v>28</v>
      </c>
      <c r="I107" t="s">
        <v>29</v>
      </c>
      <c r="J107">
        <v>11266</v>
      </c>
      <c r="K107" s="30">
        <v>46142</v>
      </c>
      <c r="L107">
        <v>1010100</v>
      </c>
      <c r="M107" t="s">
        <v>35</v>
      </c>
      <c r="N107">
        <v>161</v>
      </c>
      <c r="O107" t="s">
        <v>160</v>
      </c>
      <c r="P107" t="s">
        <v>419</v>
      </c>
      <c r="Q107">
        <f t="shared" si="2"/>
        <v>-41</v>
      </c>
      <c r="R107" t="str">
        <f>_xlfn.XLOOKUP(P107,'Painel Additive'!$B:$B,'Painel Additive'!$B:$B,0)</f>
        <v>GRUPO YARA</v>
      </c>
      <c r="S107">
        <f t="shared" si="3"/>
        <v>40</v>
      </c>
    </row>
    <row r="108" spans="1:19" x14ac:dyDescent="0.25">
      <c r="A108">
        <v>86</v>
      </c>
      <c r="B108" t="s">
        <v>38</v>
      </c>
      <c r="C108" t="s">
        <v>894</v>
      </c>
      <c r="D108" s="34">
        <v>35810</v>
      </c>
      <c r="E108">
        <v>1246273225</v>
      </c>
      <c r="F108" s="30">
        <v>46202</v>
      </c>
      <c r="G108" s="30"/>
      <c r="H108" t="s">
        <v>28</v>
      </c>
      <c r="I108" t="s">
        <v>29</v>
      </c>
      <c r="J108">
        <v>11271</v>
      </c>
      <c r="K108" s="30">
        <v>46142</v>
      </c>
      <c r="L108">
        <v>1010100</v>
      </c>
      <c r="M108" t="s">
        <v>35</v>
      </c>
      <c r="N108">
        <v>161</v>
      </c>
      <c r="O108" t="s">
        <v>160</v>
      </c>
      <c r="P108" t="s">
        <v>418</v>
      </c>
      <c r="Q108">
        <f t="shared" si="2"/>
        <v>-61</v>
      </c>
      <c r="R108" t="str">
        <f>_xlfn.XLOOKUP(P108,'Painel Additive'!$B:$B,'Painel Additive'!$B:$B,0)</f>
        <v>GRUPO ADUBOS ARAGUAIA</v>
      </c>
      <c r="S108">
        <f t="shared" si="3"/>
        <v>60</v>
      </c>
    </row>
    <row r="109" spans="1:19" x14ac:dyDescent="0.25">
      <c r="A109">
        <v>729</v>
      </c>
      <c r="B109" t="s">
        <v>56</v>
      </c>
      <c r="C109" t="s">
        <v>844</v>
      </c>
      <c r="D109" s="34">
        <v>69762.399999999994</v>
      </c>
      <c r="E109">
        <v>1246273030</v>
      </c>
      <c r="F109" s="30">
        <v>46201</v>
      </c>
      <c r="G109" s="30"/>
      <c r="H109" t="s">
        <v>28</v>
      </c>
      <c r="I109" t="s">
        <v>29</v>
      </c>
      <c r="J109">
        <v>11251</v>
      </c>
      <c r="K109" s="30">
        <v>46141</v>
      </c>
      <c r="L109">
        <v>1010100</v>
      </c>
      <c r="M109" t="s">
        <v>35</v>
      </c>
      <c r="N109">
        <v>161</v>
      </c>
      <c r="O109" t="s">
        <v>160</v>
      </c>
      <c r="P109" t="s">
        <v>528</v>
      </c>
      <c r="Q109">
        <f t="shared" si="2"/>
        <v>-60</v>
      </c>
      <c r="R109" t="str">
        <f>_xlfn.XLOOKUP(P109,'Painel Additive'!$B:$B,'Painel Additive'!$B:$B,0)</f>
        <v>GRUPO FERTILIZ TOCANTINS</v>
      </c>
      <c r="S109">
        <f t="shared" si="3"/>
        <v>60</v>
      </c>
    </row>
    <row r="110" spans="1:19" x14ac:dyDescent="0.25">
      <c r="A110">
        <v>1159</v>
      </c>
      <c r="B110" t="s">
        <v>60</v>
      </c>
      <c r="C110" t="s">
        <v>61</v>
      </c>
      <c r="D110" s="34">
        <v>272555.71999999997</v>
      </c>
      <c r="E110">
        <v>1246268636</v>
      </c>
      <c r="F110" s="30">
        <v>46144</v>
      </c>
      <c r="G110" s="30">
        <v>46146</v>
      </c>
      <c r="H110" t="s">
        <v>28</v>
      </c>
      <c r="I110" t="s">
        <v>29</v>
      </c>
      <c r="J110">
        <v>10958</v>
      </c>
      <c r="K110" s="30">
        <v>46104</v>
      </c>
      <c r="L110">
        <v>1010100</v>
      </c>
      <c r="M110" t="s">
        <v>35</v>
      </c>
      <c r="N110">
        <v>161</v>
      </c>
      <c r="O110" t="s">
        <v>160</v>
      </c>
      <c r="P110" t="s">
        <v>419</v>
      </c>
      <c r="Q110">
        <f t="shared" si="2"/>
        <v>-3</v>
      </c>
      <c r="R110" t="str">
        <f>_xlfn.XLOOKUP(P110,'Painel Additive'!$B:$B,'Painel Additive'!$B:$B,0)</f>
        <v>GRUPO YARA</v>
      </c>
      <c r="S110">
        <f t="shared" si="3"/>
        <v>40</v>
      </c>
    </row>
    <row r="111" spans="1:19" ht="11.4" customHeight="1" x14ac:dyDescent="0.25">
      <c r="A111">
        <v>1159</v>
      </c>
      <c r="B111" t="s">
        <v>60</v>
      </c>
      <c r="C111" t="s">
        <v>61</v>
      </c>
      <c r="D111" s="34">
        <v>8928.75</v>
      </c>
      <c r="E111">
        <v>1246273695</v>
      </c>
      <c r="F111" s="30">
        <v>46180</v>
      </c>
      <c r="G111" s="30">
        <v>46148</v>
      </c>
      <c r="H111" t="s">
        <v>28</v>
      </c>
      <c r="I111" t="s">
        <v>29</v>
      </c>
      <c r="J111">
        <v>11240</v>
      </c>
      <c r="K111" s="30">
        <v>46140</v>
      </c>
      <c r="L111">
        <v>1010100</v>
      </c>
      <c r="M111" t="s">
        <v>35</v>
      </c>
      <c r="N111">
        <v>161</v>
      </c>
      <c r="O111" t="s">
        <v>160</v>
      </c>
      <c r="P111" t="s">
        <v>419</v>
      </c>
      <c r="Q111">
        <f t="shared" si="2"/>
        <v>-39</v>
      </c>
      <c r="R111" t="str">
        <f>_xlfn.XLOOKUP(P111,'Painel Additive'!$B:$B,'Painel Additive'!$B:$B,0)</f>
        <v>GRUPO YARA</v>
      </c>
      <c r="S111">
        <f t="shared" si="3"/>
        <v>40</v>
      </c>
    </row>
    <row r="112" spans="1:19" x14ac:dyDescent="0.25">
      <c r="A112">
        <v>1159</v>
      </c>
      <c r="B112" t="s">
        <v>60</v>
      </c>
      <c r="C112" t="s">
        <v>61</v>
      </c>
      <c r="D112" s="34">
        <v>1458</v>
      </c>
      <c r="E112">
        <v>1246148463</v>
      </c>
      <c r="F112" s="30">
        <v>45443</v>
      </c>
      <c r="G112" s="30"/>
      <c r="H112" t="s">
        <v>28</v>
      </c>
      <c r="I112" t="s">
        <v>29</v>
      </c>
      <c r="J112">
        <v>3446</v>
      </c>
      <c r="K112" s="30">
        <v>45415</v>
      </c>
      <c r="L112">
        <v>1010100</v>
      </c>
      <c r="M112" t="s">
        <v>35</v>
      </c>
      <c r="N112">
        <v>161</v>
      </c>
      <c r="O112" t="s">
        <v>160</v>
      </c>
      <c r="P112" t="s">
        <v>419</v>
      </c>
      <c r="Q112">
        <f t="shared" si="2"/>
        <v>698</v>
      </c>
      <c r="R112" t="str">
        <f>_xlfn.XLOOKUP(P112,'Painel Additive'!$B:$B,'Painel Additive'!$B:$B,0)</f>
        <v>GRUPO YARA</v>
      </c>
      <c r="S112">
        <f t="shared" si="3"/>
        <v>28</v>
      </c>
    </row>
    <row r="113" spans="1:19" x14ac:dyDescent="0.25">
      <c r="A113">
        <v>1159</v>
      </c>
      <c r="B113" t="s">
        <v>60</v>
      </c>
      <c r="C113" t="s">
        <v>61</v>
      </c>
      <c r="D113" s="34">
        <v>274909.24</v>
      </c>
      <c r="E113">
        <v>1246271894</v>
      </c>
      <c r="F113" s="30">
        <v>46172</v>
      </c>
      <c r="G113" s="30"/>
      <c r="H113" t="s">
        <v>28</v>
      </c>
      <c r="I113" t="s">
        <v>29</v>
      </c>
      <c r="J113">
        <v>11179</v>
      </c>
      <c r="K113" s="30">
        <v>46132</v>
      </c>
      <c r="L113">
        <v>1010100</v>
      </c>
      <c r="M113" t="s">
        <v>35</v>
      </c>
      <c r="N113">
        <v>161</v>
      </c>
      <c r="O113" t="s">
        <v>160</v>
      </c>
      <c r="P113" t="s">
        <v>419</v>
      </c>
      <c r="Q113">
        <f t="shared" si="2"/>
        <v>-31</v>
      </c>
      <c r="R113" t="str">
        <f>_xlfn.XLOOKUP(P113,'Painel Additive'!$B:$B,'Painel Additive'!$B:$B,0)</f>
        <v>GRUPO YARA</v>
      </c>
      <c r="S113">
        <f t="shared" si="3"/>
        <v>40</v>
      </c>
    </row>
    <row r="114" spans="1:19" x14ac:dyDescent="0.25">
      <c r="A114">
        <v>1159</v>
      </c>
      <c r="B114" t="s">
        <v>60</v>
      </c>
      <c r="C114" t="s">
        <v>61</v>
      </c>
      <c r="D114" s="34">
        <v>271741.03999999998</v>
      </c>
      <c r="E114">
        <v>1246269608</v>
      </c>
      <c r="F114" s="30">
        <v>46151</v>
      </c>
      <c r="G114" s="30"/>
      <c r="H114" t="s">
        <v>28</v>
      </c>
      <c r="I114" t="s">
        <v>29</v>
      </c>
      <c r="J114">
        <v>11006</v>
      </c>
      <c r="K114" s="30">
        <v>46111</v>
      </c>
      <c r="L114">
        <v>1010100</v>
      </c>
      <c r="M114" t="s">
        <v>35</v>
      </c>
      <c r="N114">
        <v>161</v>
      </c>
      <c r="O114" t="s">
        <v>160</v>
      </c>
      <c r="P114" t="s">
        <v>419</v>
      </c>
      <c r="Q114">
        <f t="shared" si="2"/>
        <v>-10</v>
      </c>
      <c r="R114" t="str">
        <f>_xlfn.XLOOKUP(P114,'Painel Additive'!$B:$B,'Painel Additive'!$B:$B,0)</f>
        <v>GRUPO YARA</v>
      </c>
      <c r="S114">
        <f t="shared" si="3"/>
        <v>40</v>
      </c>
    </row>
    <row r="115" spans="1:19" x14ac:dyDescent="0.25">
      <c r="A115">
        <v>1159</v>
      </c>
      <c r="B115" t="s">
        <v>60</v>
      </c>
      <c r="C115" t="s">
        <v>61</v>
      </c>
      <c r="D115" s="34">
        <v>272193.64</v>
      </c>
      <c r="E115">
        <v>1246269418</v>
      </c>
      <c r="F115" s="30">
        <v>46148</v>
      </c>
      <c r="G115" s="30"/>
      <c r="H115" t="s">
        <v>28</v>
      </c>
      <c r="I115" t="s">
        <v>29</v>
      </c>
      <c r="J115">
        <v>10988</v>
      </c>
      <c r="K115" s="30">
        <v>46108</v>
      </c>
      <c r="L115">
        <v>1010100</v>
      </c>
      <c r="M115" t="s">
        <v>35</v>
      </c>
      <c r="N115">
        <v>161</v>
      </c>
      <c r="O115" t="s">
        <v>160</v>
      </c>
      <c r="P115" t="s">
        <v>419</v>
      </c>
      <c r="Q115">
        <f t="shared" si="2"/>
        <v>-7</v>
      </c>
      <c r="R115" t="str">
        <f>_xlfn.XLOOKUP(P115,'Painel Additive'!$B:$B,'Painel Additive'!$B:$B,0)</f>
        <v>GRUPO YARA</v>
      </c>
      <c r="S115">
        <f t="shared" si="3"/>
        <v>40</v>
      </c>
    </row>
    <row r="116" spans="1:19" x14ac:dyDescent="0.25">
      <c r="A116">
        <v>1159</v>
      </c>
      <c r="B116" t="s">
        <v>60</v>
      </c>
      <c r="C116" t="s">
        <v>61</v>
      </c>
      <c r="D116" s="34">
        <v>271469.48</v>
      </c>
      <c r="E116">
        <v>1246270981</v>
      </c>
      <c r="F116" s="30">
        <v>46162</v>
      </c>
      <c r="G116" s="30"/>
      <c r="H116" t="s">
        <v>28</v>
      </c>
      <c r="I116" t="s">
        <v>29</v>
      </c>
      <c r="J116">
        <v>11089</v>
      </c>
      <c r="K116" s="30">
        <v>46122</v>
      </c>
      <c r="L116">
        <v>1010100</v>
      </c>
      <c r="M116" t="s">
        <v>35</v>
      </c>
      <c r="N116">
        <v>161</v>
      </c>
      <c r="O116" t="s">
        <v>160</v>
      </c>
      <c r="P116" t="s">
        <v>419</v>
      </c>
      <c r="Q116">
        <f t="shared" si="2"/>
        <v>-21</v>
      </c>
      <c r="R116" t="str">
        <f>_xlfn.XLOOKUP(P116,'Painel Additive'!$B:$B,'Painel Additive'!$B:$B,0)</f>
        <v>GRUPO YARA</v>
      </c>
      <c r="S116">
        <f t="shared" si="3"/>
        <v>40</v>
      </c>
    </row>
    <row r="117" spans="1:19" x14ac:dyDescent="0.25">
      <c r="A117">
        <v>1159</v>
      </c>
      <c r="B117" t="s">
        <v>60</v>
      </c>
      <c r="C117" t="s">
        <v>61</v>
      </c>
      <c r="D117" s="34">
        <v>271650.52</v>
      </c>
      <c r="E117">
        <v>1246270614</v>
      </c>
      <c r="F117" s="30">
        <v>46160</v>
      </c>
      <c r="G117" s="30"/>
      <c r="H117" t="s">
        <v>28</v>
      </c>
      <c r="I117" t="s">
        <v>29</v>
      </c>
      <c r="J117">
        <v>11070</v>
      </c>
      <c r="K117" s="30">
        <v>46120</v>
      </c>
      <c r="L117">
        <v>1010100</v>
      </c>
      <c r="M117" t="s">
        <v>35</v>
      </c>
      <c r="N117">
        <v>161</v>
      </c>
      <c r="O117" t="s">
        <v>160</v>
      </c>
      <c r="P117" t="s">
        <v>419</v>
      </c>
      <c r="Q117">
        <f t="shared" si="2"/>
        <v>-19</v>
      </c>
      <c r="R117" t="str">
        <f>_xlfn.XLOOKUP(P117,'Painel Additive'!$B:$B,'Painel Additive'!$B:$B,0)</f>
        <v>GRUPO YARA</v>
      </c>
      <c r="S117">
        <f t="shared" si="3"/>
        <v>40</v>
      </c>
    </row>
    <row r="118" spans="1:19" x14ac:dyDescent="0.25">
      <c r="A118">
        <v>1159</v>
      </c>
      <c r="B118" t="s">
        <v>60</v>
      </c>
      <c r="C118" t="s">
        <v>61</v>
      </c>
      <c r="D118" s="34">
        <v>271831.56</v>
      </c>
      <c r="E118">
        <v>1246269882</v>
      </c>
      <c r="F118" s="30">
        <v>46153</v>
      </c>
      <c r="G118" s="30"/>
      <c r="H118" t="s">
        <v>28</v>
      </c>
      <c r="I118" t="s">
        <v>29</v>
      </c>
      <c r="J118">
        <v>11024</v>
      </c>
      <c r="K118" s="30">
        <v>46113</v>
      </c>
      <c r="L118">
        <v>1010100</v>
      </c>
      <c r="M118" t="s">
        <v>35</v>
      </c>
      <c r="N118">
        <v>161</v>
      </c>
      <c r="O118" t="s">
        <v>160</v>
      </c>
      <c r="P118" t="s">
        <v>419</v>
      </c>
      <c r="Q118">
        <f t="shared" si="2"/>
        <v>-12</v>
      </c>
      <c r="R118" t="str">
        <f>_xlfn.XLOOKUP(P118,'Painel Additive'!$B:$B,'Painel Additive'!$B:$B,0)</f>
        <v>GRUPO YARA</v>
      </c>
      <c r="S118">
        <f t="shared" si="3"/>
        <v>40</v>
      </c>
    </row>
    <row r="119" spans="1:19" x14ac:dyDescent="0.25">
      <c r="A119">
        <v>1159</v>
      </c>
      <c r="B119" t="s">
        <v>60</v>
      </c>
      <c r="C119" t="s">
        <v>61</v>
      </c>
      <c r="D119" s="34">
        <v>271469.48</v>
      </c>
      <c r="E119">
        <v>1246273041</v>
      </c>
      <c r="F119" s="30">
        <v>46181</v>
      </c>
      <c r="G119" s="30"/>
      <c r="H119" t="s">
        <v>28</v>
      </c>
      <c r="I119" t="s">
        <v>29</v>
      </c>
      <c r="J119">
        <v>11254</v>
      </c>
      <c r="K119" s="30">
        <v>46141</v>
      </c>
      <c r="L119">
        <v>1010100</v>
      </c>
      <c r="M119" t="s">
        <v>35</v>
      </c>
      <c r="N119">
        <v>161</v>
      </c>
      <c r="O119" t="s">
        <v>160</v>
      </c>
      <c r="P119" t="s">
        <v>419</v>
      </c>
      <c r="Q119">
        <f t="shared" si="2"/>
        <v>-40</v>
      </c>
      <c r="R119" t="str">
        <f>_xlfn.XLOOKUP(P119,'Painel Additive'!$B:$B,'Painel Additive'!$B:$B,0)</f>
        <v>GRUPO YARA</v>
      </c>
      <c r="S119">
        <f t="shared" si="3"/>
        <v>40</v>
      </c>
    </row>
    <row r="120" spans="1:19" x14ac:dyDescent="0.25">
      <c r="A120">
        <v>1159</v>
      </c>
      <c r="B120" t="s">
        <v>60</v>
      </c>
      <c r="C120" t="s">
        <v>61</v>
      </c>
      <c r="D120" s="34">
        <v>272193.64</v>
      </c>
      <c r="E120">
        <v>1246273282</v>
      </c>
      <c r="F120" s="30">
        <v>46182</v>
      </c>
      <c r="G120" s="30"/>
      <c r="H120" t="s">
        <v>28</v>
      </c>
      <c r="I120" t="s">
        <v>29</v>
      </c>
      <c r="J120">
        <v>11274</v>
      </c>
      <c r="K120" s="30">
        <v>46142</v>
      </c>
      <c r="L120">
        <v>1010100</v>
      </c>
      <c r="M120" t="s">
        <v>35</v>
      </c>
      <c r="N120">
        <v>161</v>
      </c>
      <c r="O120" t="s">
        <v>160</v>
      </c>
      <c r="P120" t="s">
        <v>419</v>
      </c>
      <c r="Q120">
        <f t="shared" si="2"/>
        <v>-41</v>
      </c>
      <c r="R120" t="str">
        <f>_xlfn.XLOOKUP(P120,'Painel Additive'!$B:$B,'Painel Additive'!$B:$B,0)</f>
        <v>GRUPO YARA</v>
      </c>
      <c r="S120">
        <f t="shared" si="3"/>
        <v>40</v>
      </c>
    </row>
    <row r="121" spans="1:19" x14ac:dyDescent="0.25">
      <c r="A121">
        <v>1159</v>
      </c>
      <c r="B121" t="s">
        <v>60</v>
      </c>
      <c r="C121" t="s">
        <v>61</v>
      </c>
      <c r="D121" s="34">
        <v>272012.59999999998</v>
      </c>
      <c r="E121">
        <v>1246272754</v>
      </c>
      <c r="F121" s="30">
        <v>46179</v>
      </c>
      <c r="G121" s="30"/>
      <c r="H121" t="s">
        <v>28</v>
      </c>
      <c r="I121" t="s">
        <v>29</v>
      </c>
      <c r="J121">
        <v>11228</v>
      </c>
      <c r="K121" s="30">
        <v>46139</v>
      </c>
      <c r="L121">
        <v>1010100</v>
      </c>
      <c r="M121" t="s">
        <v>35</v>
      </c>
      <c r="N121">
        <v>161</v>
      </c>
      <c r="O121" t="s">
        <v>160</v>
      </c>
      <c r="P121" t="s">
        <v>419</v>
      </c>
      <c r="Q121">
        <f t="shared" si="2"/>
        <v>-38</v>
      </c>
      <c r="R121" t="str">
        <f>_xlfn.XLOOKUP(P121,'Painel Additive'!$B:$B,'Painel Additive'!$B:$B,0)</f>
        <v>GRUPO YARA</v>
      </c>
      <c r="S121">
        <f t="shared" si="3"/>
        <v>40</v>
      </c>
    </row>
    <row r="122" spans="1:19" x14ac:dyDescent="0.25">
      <c r="A122">
        <v>1159</v>
      </c>
      <c r="B122" t="s">
        <v>60</v>
      </c>
      <c r="C122" t="s">
        <v>61</v>
      </c>
      <c r="D122" s="34">
        <v>271107.40000000002</v>
      </c>
      <c r="E122">
        <v>1246271171</v>
      </c>
      <c r="F122" s="30">
        <v>46165</v>
      </c>
      <c r="G122" s="30"/>
      <c r="H122" t="s">
        <v>28</v>
      </c>
      <c r="I122" t="s">
        <v>29</v>
      </c>
      <c r="J122">
        <v>11108</v>
      </c>
      <c r="K122" s="30">
        <v>46125</v>
      </c>
      <c r="L122">
        <v>1010100</v>
      </c>
      <c r="M122" t="s">
        <v>35</v>
      </c>
      <c r="N122">
        <v>161</v>
      </c>
      <c r="O122" t="s">
        <v>160</v>
      </c>
      <c r="P122" t="s">
        <v>419</v>
      </c>
      <c r="Q122">
        <f t="shared" si="2"/>
        <v>-24</v>
      </c>
      <c r="R122" t="str">
        <f>_xlfn.XLOOKUP(P122,'Painel Additive'!$B:$B,'Painel Additive'!$B:$B,0)</f>
        <v>GRUPO YARA</v>
      </c>
      <c r="S122">
        <f t="shared" si="3"/>
        <v>40</v>
      </c>
    </row>
    <row r="123" spans="1:19" x14ac:dyDescent="0.25">
      <c r="A123">
        <v>1159</v>
      </c>
      <c r="B123" t="s">
        <v>60</v>
      </c>
      <c r="C123" t="s">
        <v>61</v>
      </c>
      <c r="D123" s="34">
        <v>2445.4499999999998</v>
      </c>
      <c r="E123">
        <v>1246272869</v>
      </c>
      <c r="F123" s="30">
        <v>46180</v>
      </c>
      <c r="G123" s="30"/>
      <c r="H123" t="s">
        <v>28</v>
      </c>
      <c r="I123" t="s">
        <v>29</v>
      </c>
      <c r="J123">
        <v>11240</v>
      </c>
      <c r="K123" s="30">
        <v>46140</v>
      </c>
      <c r="L123">
        <v>1010100</v>
      </c>
      <c r="M123" t="s">
        <v>35</v>
      </c>
      <c r="N123">
        <v>161</v>
      </c>
      <c r="O123" t="s">
        <v>160</v>
      </c>
      <c r="P123" t="s">
        <v>419</v>
      </c>
      <c r="Q123">
        <f t="shared" si="2"/>
        <v>-39</v>
      </c>
      <c r="R123" t="str">
        <f>_xlfn.XLOOKUP(P123,'Painel Additive'!$B:$B,'Painel Additive'!$B:$B,0)</f>
        <v>GRUPO YARA</v>
      </c>
      <c r="S123">
        <f t="shared" si="3"/>
        <v>40</v>
      </c>
    </row>
    <row r="124" spans="1:19" x14ac:dyDescent="0.25">
      <c r="A124">
        <v>1159</v>
      </c>
      <c r="B124" t="s">
        <v>60</v>
      </c>
      <c r="C124" t="s">
        <v>61</v>
      </c>
      <c r="D124" s="34">
        <v>272374.68</v>
      </c>
      <c r="E124">
        <v>1246272204</v>
      </c>
      <c r="F124" s="30">
        <v>46175</v>
      </c>
      <c r="G124" s="30"/>
      <c r="H124" t="s">
        <v>28</v>
      </c>
      <c r="I124" t="s">
        <v>29</v>
      </c>
      <c r="J124">
        <v>11198</v>
      </c>
      <c r="K124" s="30">
        <v>46135</v>
      </c>
      <c r="L124">
        <v>1010100</v>
      </c>
      <c r="M124" t="s">
        <v>35</v>
      </c>
      <c r="N124">
        <v>161</v>
      </c>
      <c r="O124" t="s">
        <v>160</v>
      </c>
      <c r="P124" t="s">
        <v>419</v>
      </c>
      <c r="Q124">
        <f t="shared" si="2"/>
        <v>-34</v>
      </c>
      <c r="R124" t="str">
        <f>_xlfn.XLOOKUP(P124,'Painel Additive'!$B:$B,'Painel Additive'!$B:$B,0)</f>
        <v>GRUPO YARA</v>
      </c>
      <c r="S124">
        <f t="shared" si="3"/>
        <v>40</v>
      </c>
    </row>
    <row r="125" spans="1:19" x14ac:dyDescent="0.25">
      <c r="A125">
        <v>3232</v>
      </c>
      <c r="B125" t="s">
        <v>168</v>
      </c>
      <c r="C125" t="s">
        <v>474</v>
      </c>
      <c r="D125" s="34">
        <v>169206.9</v>
      </c>
      <c r="E125">
        <v>1246270989</v>
      </c>
      <c r="F125" s="30">
        <v>46182</v>
      </c>
      <c r="G125" s="30"/>
      <c r="H125" t="s">
        <v>28</v>
      </c>
      <c r="I125" t="s">
        <v>29</v>
      </c>
      <c r="J125">
        <v>11091</v>
      </c>
      <c r="K125" s="30">
        <v>46122</v>
      </c>
      <c r="L125">
        <v>1010100</v>
      </c>
      <c r="M125" t="s">
        <v>35</v>
      </c>
      <c r="N125">
        <v>161</v>
      </c>
      <c r="O125" t="s">
        <v>160</v>
      </c>
      <c r="P125" t="s">
        <v>528</v>
      </c>
      <c r="Q125">
        <f t="shared" si="2"/>
        <v>-41</v>
      </c>
      <c r="R125" t="str">
        <f>_xlfn.XLOOKUP(P125,'Painel Additive'!$B:$B,'Painel Additive'!$B:$B,0)</f>
        <v>GRUPO FERTILIZ TOCANTINS</v>
      </c>
      <c r="S125">
        <f t="shared" si="3"/>
        <v>60</v>
      </c>
    </row>
    <row r="126" spans="1:19" x14ac:dyDescent="0.25">
      <c r="A126">
        <v>3232</v>
      </c>
      <c r="B126" t="s">
        <v>168</v>
      </c>
      <c r="C126" t="s">
        <v>474</v>
      </c>
      <c r="D126" s="34">
        <v>170582.1</v>
      </c>
      <c r="E126">
        <v>1246270155</v>
      </c>
      <c r="F126" s="30">
        <v>46174</v>
      </c>
      <c r="G126" s="30"/>
      <c r="H126" t="s">
        <v>28</v>
      </c>
      <c r="I126" t="s">
        <v>29</v>
      </c>
      <c r="J126">
        <v>11044</v>
      </c>
      <c r="K126" s="30">
        <v>46114</v>
      </c>
      <c r="L126">
        <v>1010100</v>
      </c>
      <c r="M126" t="s">
        <v>35</v>
      </c>
      <c r="N126">
        <v>161</v>
      </c>
      <c r="O126" t="s">
        <v>160</v>
      </c>
      <c r="P126" t="s">
        <v>528</v>
      </c>
      <c r="Q126">
        <f t="shared" si="2"/>
        <v>-33</v>
      </c>
      <c r="R126" t="str">
        <f>_xlfn.XLOOKUP(P126,'Painel Additive'!$B:$B,'Painel Additive'!$B:$B,0)</f>
        <v>GRUPO FERTILIZ TOCANTINS</v>
      </c>
      <c r="S126">
        <f t="shared" si="3"/>
        <v>60</v>
      </c>
    </row>
    <row r="127" spans="1:19" x14ac:dyDescent="0.25">
      <c r="A127">
        <v>2603</v>
      </c>
      <c r="B127" t="s">
        <v>81</v>
      </c>
      <c r="C127" t="s">
        <v>82</v>
      </c>
      <c r="D127" s="34">
        <v>4522.16</v>
      </c>
      <c r="E127">
        <v>1246097965</v>
      </c>
      <c r="F127" s="30">
        <v>45152</v>
      </c>
      <c r="G127" s="30"/>
      <c r="H127" t="s">
        <v>28</v>
      </c>
      <c r="I127" t="s">
        <v>29</v>
      </c>
      <c r="J127">
        <v>21713</v>
      </c>
      <c r="K127" s="30">
        <v>45092</v>
      </c>
      <c r="L127">
        <v>1010100</v>
      </c>
      <c r="M127" t="s">
        <v>35</v>
      </c>
      <c r="N127">
        <v>56</v>
      </c>
      <c r="O127" t="s">
        <v>161</v>
      </c>
      <c r="P127" t="s">
        <v>496</v>
      </c>
      <c r="Q127">
        <f t="shared" si="2"/>
        <v>989</v>
      </c>
      <c r="R127" t="str">
        <f>_xlfn.XLOOKUP(P127,'Painel Additive'!$B:$B,'Painel Additive'!$B:$B,0)</f>
        <v>GRUPO MOSAIC FERTILIZANTES DO BRASIL</v>
      </c>
      <c r="S127">
        <f t="shared" si="3"/>
        <v>60</v>
      </c>
    </row>
    <row r="128" spans="1:19" x14ac:dyDescent="0.25">
      <c r="A128">
        <v>2559</v>
      </c>
      <c r="B128" t="s">
        <v>529</v>
      </c>
      <c r="C128" t="s">
        <v>79</v>
      </c>
      <c r="D128" s="34">
        <v>78390</v>
      </c>
      <c r="E128">
        <v>1246270082</v>
      </c>
      <c r="F128" s="30">
        <v>46204</v>
      </c>
      <c r="G128" s="30"/>
      <c r="H128" t="s">
        <v>28</v>
      </c>
      <c r="I128" t="s">
        <v>29</v>
      </c>
      <c r="J128">
        <v>11033</v>
      </c>
      <c r="K128" s="30">
        <v>46114</v>
      </c>
      <c r="L128">
        <v>1010100</v>
      </c>
      <c r="M128" t="s">
        <v>35</v>
      </c>
      <c r="N128">
        <v>161</v>
      </c>
      <c r="O128" t="s">
        <v>160</v>
      </c>
      <c r="P128" t="s">
        <v>496</v>
      </c>
      <c r="Q128">
        <f t="shared" si="2"/>
        <v>-63</v>
      </c>
      <c r="R128" t="str">
        <f>_xlfn.XLOOKUP(P128,'Painel Additive'!$B:$B,'Painel Additive'!$B:$B,0)</f>
        <v>GRUPO MOSAIC FERTILIZANTES DO BRASIL</v>
      </c>
      <c r="S128">
        <f t="shared" si="3"/>
        <v>90</v>
      </c>
    </row>
    <row r="129" spans="1:19" x14ac:dyDescent="0.25">
      <c r="A129">
        <v>2559</v>
      </c>
      <c r="B129" t="s">
        <v>529</v>
      </c>
      <c r="C129" t="s">
        <v>79</v>
      </c>
      <c r="D129" s="34">
        <v>195730.4</v>
      </c>
      <c r="E129">
        <v>1246271698</v>
      </c>
      <c r="F129" s="30">
        <v>46219</v>
      </c>
      <c r="G129" s="30"/>
      <c r="H129" t="s">
        <v>28</v>
      </c>
      <c r="I129" t="s">
        <v>29</v>
      </c>
      <c r="J129">
        <v>11159</v>
      </c>
      <c r="K129" s="30">
        <v>46129</v>
      </c>
      <c r="L129">
        <v>1010100</v>
      </c>
      <c r="M129" t="s">
        <v>35</v>
      </c>
      <c r="N129">
        <v>161</v>
      </c>
      <c r="O129" t="s">
        <v>160</v>
      </c>
      <c r="P129" t="s">
        <v>496</v>
      </c>
      <c r="Q129">
        <f t="shared" si="2"/>
        <v>-78</v>
      </c>
      <c r="R129" t="str">
        <f>_xlfn.XLOOKUP(P129,'Painel Additive'!$B:$B,'Painel Additive'!$B:$B,0)</f>
        <v>GRUPO MOSAIC FERTILIZANTES DO BRASIL</v>
      </c>
      <c r="S129">
        <f t="shared" si="3"/>
        <v>90</v>
      </c>
    </row>
    <row r="130" spans="1:19" x14ac:dyDescent="0.25">
      <c r="A130">
        <v>2559</v>
      </c>
      <c r="B130" t="s">
        <v>529</v>
      </c>
      <c r="C130" t="s">
        <v>79</v>
      </c>
      <c r="D130" s="34">
        <v>196447.6</v>
      </c>
      <c r="E130">
        <v>1246272595</v>
      </c>
      <c r="F130" s="30">
        <v>46226</v>
      </c>
      <c r="G130" s="30"/>
      <c r="H130" t="s">
        <v>28</v>
      </c>
      <c r="I130" t="s">
        <v>29</v>
      </c>
      <c r="J130">
        <v>11219</v>
      </c>
      <c r="K130" s="30">
        <v>46136</v>
      </c>
      <c r="L130">
        <v>1010100</v>
      </c>
      <c r="M130" t="s">
        <v>35</v>
      </c>
      <c r="N130">
        <v>161</v>
      </c>
      <c r="O130" t="s">
        <v>160</v>
      </c>
      <c r="P130" t="s">
        <v>496</v>
      </c>
      <c r="Q130">
        <f t="shared" si="2"/>
        <v>-85</v>
      </c>
      <c r="R130" t="str">
        <f>_xlfn.XLOOKUP(P130,'Painel Additive'!$B:$B,'Painel Additive'!$B:$B,0)</f>
        <v>GRUPO MOSAIC FERTILIZANTES DO BRASIL</v>
      </c>
      <c r="S130">
        <f t="shared" si="3"/>
        <v>90</v>
      </c>
    </row>
    <row r="131" spans="1:19" x14ac:dyDescent="0.25">
      <c r="A131">
        <v>215</v>
      </c>
      <c r="B131" t="s">
        <v>248</v>
      </c>
      <c r="C131" t="s">
        <v>851</v>
      </c>
      <c r="D131" s="34">
        <v>339600</v>
      </c>
      <c r="E131">
        <v>1246271897</v>
      </c>
      <c r="F131" s="30">
        <v>46160</v>
      </c>
      <c r="G131" s="30"/>
      <c r="H131" t="s">
        <v>28</v>
      </c>
      <c r="I131" t="s">
        <v>29</v>
      </c>
      <c r="J131">
        <v>2881</v>
      </c>
      <c r="K131" s="30">
        <v>46132</v>
      </c>
      <c r="L131">
        <v>1010100</v>
      </c>
      <c r="M131" t="s">
        <v>35</v>
      </c>
      <c r="N131">
        <v>7</v>
      </c>
      <c r="O131" t="s">
        <v>646</v>
      </c>
      <c r="P131" t="s">
        <v>416</v>
      </c>
      <c r="Q131">
        <f t="shared" ref="Q131:Q169" si="4">$R$1-F131</f>
        <v>-19</v>
      </c>
      <c r="R131" t="str">
        <f>_xlfn.XLOOKUP(P131,'Painel Additive'!$B:$B,'Painel Additive'!$B:$B,0)</f>
        <v>GRUPO UNIFERTIL</v>
      </c>
      <c r="S131">
        <f t="shared" ref="S131:S169" si="5">F131-K131</f>
        <v>28</v>
      </c>
    </row>
    <row r="132" spans="1:19" x14ac:dyDescent="0.25">
      <c r="A132">
        <v>215</v>
      </c>
      <c r="B132" t="s">
        <v>248</v>
      </c>
      <c r="C132" t="s">
        <v>851</v>
      </c>
      <c r="D132" s="34">
        <v>1018800</v>
      </c>
      <c r="E132">
        <v>1246272741</v>
      </c>
      <c r="F132" s="30">
        <v>46167</v>
      </c>
      <c r="G132" s="30"/>
      <c r="H132" t="s">
        <v>28</v>
      </c>
      <c r="I132" t="s">
        <v>29</v>
      </c>
      <c r="J132">
        <v>2895</v>
      </c>
      <c r="K132" s="30">
        <v>46139</v>
      </c>
      <c r="L132">
        <v>1010100</v>
      </c>
      <c r="M132" t="s">
        <v>35</v>
      </c>
      <c r="N132">
        <v>7</v>
      </c>
      <c r="O132" t="s">
        <v>646</v>
      </c>
      <c r="P132" t="s">
        <v>416</v>
      </c>
      <c r="Q132">
        <f t="shared" si="4"/>
        <v>-26</v>
      </c>
      <c r="R132" t="str">
        <f>_xlfn.XLOOKUP(P132,'Painel Additive'!$B:$B,'Painel Additive'!$B:$B,0)</f>
        <v>GRUPO UNIFERTIL</v>
      </c>
      <c r="S132">
        <f t="shared" si="5"/>
        <v>28</v>
      </c>
    </row>
    <row r="133" spans="1:19" x14ac:dyDescent="0.25">
      <c r="A133">
        <v>2949</v>
      </c>
      <c r="B133" t="s">
        <v>831</v>
      </c>
      <c r="C133" t="s">
        <v>832</v>
      </c>
      <c r="D133" s="34">
        <v>67841.5</v>
      </c>
      <c r="E133">
        <v>1246265741</v>
      </c>
      <c r="F133" s="30">
        <v>46170</v>
      </c>
      <c r="G133" s="30"/>
      <c r="H133" t="s">
        <v>28</v>
      </c>
      <c r="I133" t="s">
        <v>29</v>
      </c>
      <c r="J133">
        <v>10785</v>
      </c>
      <c r="K133" s="30">
        <v>46080</v>
      </c>
      <c r="L133">
        <v>1010100</v>
      </c>
      <c r="M133" t="s">
        <v>35</v>
      </c>
      <c r="N133">
        <v>161</v>
      </c>
      <c r="O133" t="s">
        <v>160</v>
      </c>
      <c r="P133" t="s">
        <v>496</v>
      </c>
      <c r="Q133">
        <f t="shared" si="4"/>
        <v>-29</v>
      </c>
      <c r="R133" t="str">
        <f>_xlfn.XLOOKUP(P133,'Painel Additive'!$B:$B,'Painel Additive'!$B:$B,0)</f>
        <v>GRUPO MOSAIC FERTILIZANTES DO BRASIL</v>
      </c>
      <c r="S133">
        <f t="shared" si="5"/>
        <v>90</v>
      </c>
    </row>
    <row r="134" spans="1:19" x14ac:dyDescent="0.25">
      <c r="A134">
        <v>5182</v>
      </c>
      <c r="B134" t="s">
        <v>92</v>
      </c>
      <c r="C134" t="s">
        <v>892</v>
      </c>
      <c r="D134" s="34">
        <v>81872</v>
      </c>
      <c r="E134">
        <v>1246273036</v>
      </c>
      <c r="F134" s="30">
        <v>46169</v>
      </c>
      <c r="G134" s="30"/>
      <c r="H134" t="s">
        <v>28</v>
      </c>
      <c r="I134" t="s">
        <v>29</v>
      </c>
      <c r="J134">
        <v>11252</v>
      </c>
      <c r="K134" s="30">
        <v>46141</v>
      </c>
      <c r="L134">
        <v>1010100</v>
      </c>
      <c r="M134" t="s">
        <v>35</v>
      </c>
      <c r="N134">
        <v>161</v>
      </c>
      <c r="O134" t="s">
        <v>160</v>
      </c>
      <c r="P134" t="s">
        <v>572</v>
      </c>
      <c r="Q134">
        <f t="shared" si="4"/>
        <v>-28</v>
      </c>
      <c r="R134" t="str">
        <f>_xlfn.XLOOKUP(P134,'Painel Additive'!$B:$B,'Painel Additive'!$B:$B,0)</f>
        <v>GRUPO FERTIPAR FERTILIZANTES MATO GROSSO</v>
      </c>
      <c r="S134">
        <f t="shared" si="5"/>
        <v>28</v>
      </c>
    </row>
    <row r="135" spans="1:19" x14ac:dyDescent="0.25">
      <c r="A135">
        <v>6124</v>
      </c>
      <c r="B135" t="s">
        <v>804</v>
      </c>
      <c r="C135" t="s">
        <v>95</v>
      </c>
      <c r="D135" s="34">
        <v>417259.92</v>
      </c>
      <c r="E135">
        <v>1246267573</v>
      </c>
      <c r="F135" s="30">
        <v>46153</v>
      </c>
      <c r="G135" s="30"/>
      <c r="H135" t="s">
        <v>28</v>
      </c>
      <c r="I135" t="s">
        <v>29</v>
      </c>
      <c r="J135">
        <v>2808</v>
      </c>
      <c r="K135" s="30">
        <v>46093</v>
      </c>
      <c r="L135">
        <v>1010100</v>
      </c>
      <c r="M135" t="s">
        <v>35</v>
      </c>
      <c r="N135">
        <v>161</v>
      </c>
      <c r="O135" t="s">
        <v>160</v>
      </c>
      <c r="P135" t="s">
        <v>496</v>
      </c>
      <c r="Q135">
        <f t="shared" si="4"/>
        <v>-12</v>
      </c>
      <c r="R135" t="str">
        <f>_xlfn.XLOOKUP(P135,'Painel Additive'!$B:$B,'Painel Additive'!$B:$B,0)</f>
        <v>GRUPO MOSAIC FERTILIZANTES DO BRASIL</v>
      </c>
      <c r="S135">
        <f t="shared" si="5"/>
        <v>60</v>
      </c>
    </row>
    <row r="136" spans="1:19" x14ac:dyDescent="0.25">
      <c r="A136">
        <v>6124</v>
      </c>
      <c r="B136" t="s">
        <v>804</v>
      </c>
      <c r="C136" t="s">
        <v>95</v>
      </c>
      <c r="D136" s="34">
        <v>51634.400000000001</v>
      </c>
      <c r="E136">
        <v>1246271329</v>
      </c>
      <c r="F136" s="30">
        <v>46216</v>
      </c>
      <c r="G136" s="30"/>
      <c r="H136" t="s">
        <v>28</v>
      </c>
      <c r="I136" t="s">
        <v>29</v>
      </c>
      <c r="J136">
        <v>11119</v>
      </c>
      <c r="K136" s="30">
        <v>46126</v>
      </c>
      <c r="L136">
        <v>1010100</v>
      </c>
      <c r="M136" t="s">
        <v>35</v>
      </c>
      <c r="N136">
        <v>161</v>
      </c>
      <c r="O136" t="s">
        <v>160</v>
      </c>
      <c r="P136" t="s">
        <v>496</v>
      </c>
      <c r="Q136">
        <f t="shared" si="4"/>
        <v>-75</v>
      </c>
      <c r="R136" t="str">
        <f>_xlfn.XLOOKUP(P136,'Painel Additive'!$B:$B,'Painel Additive'!$B:$B,0)</f>
        <v>GRUPO MOSAIC FERTILIZANTES DO BRASIL</v>
      </c>
      <c r="S136">
        <f t="shared" si="5"/>
        <v>90</v>
      </c>
    </row>
    <row r="137" spans="1:19" x14ac:dyDescent="0.25">
      <c r="A137">
        <v>6124</v>
      </c>
      <c r="B137" t="s">
        <v>804</v>
      </c>
      <c r="C137" t="s">
        <v>95</v>
      </c>
      <c r="D137" s="34">
        <v>55246.400000000001</v>
      </c>
      <c r="E137">
        <v>1246264147</v>
      </c>
      <c r="F137" s="30">
        <v>46162</v>
      </c>
      <c r="G137" s="30"/>
      <c r="H137" t="s">
        <v>28</v>
      </c>
      <c r="I137" t="s">
        <v>29</v>
      </c>
      <c r="J137">
        <v>10720</v>
      </c>
      <c r="K137" s="30">
        <v>46072</v>
      </c>
      <c r="L137">
        <v>1010100</v>
      </c>
      <c r="M137" t="s">
        <v>35</v>
      </c>
      <c r="N137">
        <v>161</v>
      </c>
      <c r="O137" t="s">
        <v>160</v>
      </c>
      <c r="P137" t="s">
        <v>496</v>
      </c>
      <c r="Q137">
        <f t="shared" si="4"/>
        <v>-21</v>
      </c>
      <c r="R137" t="str">
        <f>_xlfn.XLOOKUP(P137,'Painel Additive'!$B:$B,'Painel Additive'!$B:$B,0)</f>
        <v>GRUPO MOSAIC FERTILIZANTES DO BRASIL</v>
      </c>
      <c r="S137">
        <f t="shared" si="5"/>
        <v>90</v>
      </c>
    </row>
    <row r="138" spans="1:19" x14ac:dyDescent="0.25">
      <c r="A138">
        <v>6124</v>
      </c>
      <c r="B138" t="s">
        <v>804</v>
      </c>
      <c r="C138" t="s">
        <v>95</v>
      </c>
      <c r="D138" s="34">
        <v>52374</v>
      </c>
      <c r="E138">
        <v>1246267926</v>
      </c>
      <c r="F138" s="30">
        <v>46187</v>
      </c>
      <c r="G138" s="30"/>
      <c r="H138" t="s">
        <v>28</v>
      </c>
      <c r="I138" t="s">
        <v>29</v>
      </c>
      <c r="J138">
        <v>10897</v>
      </c>
      <c r="K138" s="30">
        <v>46097</v>
      </c>
      <c r="L138">
        <v>1010100</v>
      </c>
      <c r="M138" t="s">
        <v>35</v>
      </c>
      <c r="N138">
        <v>161</v>
      </c>
      <c r="O138" t="s">
        <v>160</v>
      </c>
      <c r="P138" t="s">
        <v>496</v>
      </c>
      <c r="Q138">
        <f t="shared" si="4"/>
        <v>-46</v>
      </c>
      <c r="R138" t="str">
        <f>_xlfn.XLOOKUP(P138,'Painel Additive'!$B:$B,'Painel Additive'!$B:$B,0)</f>
        <v>GRUPO MOSAIC FERTILIZANTES DO BRASIL</v>
      </c>
      <c r="S138">
        <f t="shared" si="5"/>
        <v>90</v>
      </c>
    </row>
    <row r="139" spans="1:19" x14ac:dyDescent="0.25">
      <c r="A139">
        <v>7102</v>
      </c>
      <c r="B139" t="s">
        <v>781</v>
      </c>
      <c r="C139" t="s">
        <v>563</v>
      </c>
      <c r="D139" s="34">
        <v>62553.7</v>
      </c>
      <c r="E139">
        <v>1246262017</v>
      </c>
      <c r="F139" s="30">
        <v>46145</v>
      </c>
      <c r="G139" s="30">
        <v>46146</v>
      </c>
      <c r="H139" t="s">
        <v>28</v>
      </c>
      <c r="I139" t="s">
        <v>29</v>
      </c>
      <c r="J139">
        <v>10626</v>
      </c>
      <c r="K139" s="30">
        <v>46055</v>
      </c>
      <c r="L139">
        <v>1010100</v>
      </c>
      <c r="M139" t="s">
        <v>35</v>
      </c>
      <c r="N139">
        <v>161</v>
      </c>
      <c r="O139" t="s">
        <v>160</v>
      </c>
      <c r="P139" t="s">
        <v>496</v>
      </c>
      <c r="Q139">
        <f t="shared" si="4"/>
        <v>-4</v>
      </c>
      <c r="R139" t="str">
        <f>_xlfn.XLOOKUP(P139,'Painel Additive'!$B:$B,'Painel Additive'!$B:$B,0)</f>
        <v>GRUPO MOSAIC FERTILIZANTES DO BRASIL</v>
      </c>
      <c r="S139">
        <f t="shared" si="5"/>
        <v>90</v>
      </c>
    </row>
    <row r="140" spans="1:19" x14ac:dyDescent="0.25">
      <c r="A140">
        <v>7102</v>
      </c>
      <c r="B140" t="s">
        <v>781</v>
      </c>
      <c r="C140" t="s">
        <v>563</v>
      </c>
      <c r="D140" s="34">
        <v>63327</v>
      </c>
      <c r="E140">
        <v>1246270569</v>
      </c>
      <c r="F140" s="30">
        <v>46210</v>
      </c>
      <c r="G140" s="30"/>
      <c r="H140" t="s">
        <v>28</v>
      </c>
      <c r="I140" t="s">
        <v>29</v>
      </c>
      <c r="J140">
        <v>11069</v>
      </c>
      <c r="K140" s="30">
        <v>46120</v>
      </c>
      <c r="L140">
        <v>1010100</v>
      </c>
      <c r="M140" t="s">
        <v>35</v>
      </c>
      <c r="N140">
        <v>161</v>
      </c>
      <c r="O140" t="s">
        <v>160</v>
      </c>
      <c r="P140" t="s">
        <v>496</v>
      </c>
      <c r="Q140">
        <f t="shared" si="4"/>
        <v>-69</v>
      </c>
      <c r="R140" t="str">
        <f>_xlfn.XLOOKUP(P140,'Painel Additive'!$B:$B,'Painel Additive'!$B:$B,0)</f>
        <v>GRUPO MOSAIC FERTILIZANTES DO BRASIL</v>
      </c>
      <c r="S140">
        <f t="shared" si="5"/>
        <v>90</v>
      </c>
    </row>
    <row r="141" spans="1:19" x14ac:dyDescent="0.25">
      <c r="A141">
        <v>7102</v>
      </c>
      <c r="B141" t="s">
        <v>781</v>
      </c>
      <c r="C141" t="s">
        <v>563</v>
      </c>
      <c r="D141" s="34">
        <v>62637.3</v>
      </c>
      <c r="E141">
        <v>1246268784</v>
      </c>
      <c r="F141" s="30">
        <v>46195</v>
      </c>
      <c r="G141" s="30"/>
      <c r="H141" t="s">
        <v>28</v>
      </c>
      <c r="I141" t="s">
        <v>29</v>
      </c>
      <c r="J141">
        <v>10966</v>
      </c>
      <c r="K141" s="30">
        <v>46105</v>
      </c>
      <c r="L141">
        <v>1010100</v>
      </c>
      <c r="M141" t="s">
        <v>35</v>
      </c>
      <c r="N141">
        <v>161</v>
      </c>
      <c r="O141" t="s">
        <v>160</v>
      </c>
      <c r="P141" t="s">
        <v>496</v>
      </c>
      <c r="Q141">
        <f t="shared" si="4"/>
        <v>-54</v>
      </c>
      <c r="R141" t="str">
        <f>_xlfn.XLOOKUP(P141,'Painel Additive'!$B:$B,'Painel Additive'!$B:$B,0)</f>
        <v>GRUPO MOSAIC FERTILIZANTES DO BRASIL</v>
      </c>
      <c r="S141">
        <f t="shared" si="5"/>
        <v>90</v>
      </c>
    </row>
    <row r="142" spans="1:19" x14ac:dyDescent="0.25">
      <c r="A142">
        <v>7102</v>
      </c>
      <c r="B142" t="s">
        <v>781</v>
      </c>
      <c r="C142" t="s">
        <v>563</v>
      </c>
      <c r="D142" s="34">
        <v>62700</v>
      </c>
      <c r="E142">
        <v>1246262728</v>
      </c>
      <c r="F142" s="30">
        <v>46152</v>
      </c>
      <c r="G142" s="30"/>
      <c r="H142" t="s">
        <v>28</v>
      </c>
      <c r="I142" t="s">
        <v>29</v>
      </c>
      <c r="J142">
        <v>10663</v>
      </c>
      <c r="K142" s="30">
        <v>46062</v>
      </c>
      <c r="L142">
        <v>1010100</v>
      </c>
      <c r="M142" t="s">
        <v>35</v>
      </c>
      <c r="N142">
        <v>161</v>
      </c>
      <c r="O142" t="s">
        <v>160</v>
      </c>
      <c r="P142" t="s">
        <v>496</v>
      </c>
      <c r="Q142">
        <f t="shared" si="4"/>
        <v>-11</v>
      </c>
      <c r="R142" t="str">
        <f>_xlfn.XLOOKUP(P142,'Painel Additive'!$B:$B,'Painel Additive'!$B:$B,0)</f>
        <v>GRUPO MOSAIC FERTILIZANTES DO BRASIL</v>
      </c>
      <c r="S142">
        <f t="shared" si="5"/>
        <v>90</v>
      </c>
    </row>
    <row r="143" spans="1:19" x14ac:dyDescent="0.25">
      <c r="A143">
        <v>7662</v>
      </c>
      <c r="B143" t="s">
        <v>105</v>
      </c>
      <c r="C143" t="s">
        <v>548</v>
      </c>
      <c r="D143" s="34">
        <v>57795</v>
      </c>
      <c r="E143">
        <v>1246266876</v>
      </c>
      <c r="F143" s="30">
        <v>46147</v>
      </c>
      <c r="G143" s="30">
        <v>46147</v>
      </c>
      <c r="H143" t="s">
        <v>28</v>
      </c>
      <c r="I143" t="s">
        <v>29</v>
      </c>
      <c r="J143">
        <v>2799</v>
      </c>
      <c r="K143" s="30">
        <v>46087</v>
      </c>
      <c r="L143">
        <v>1010100</v>
      </c>
      <c r="M143" t="s">
        <v>35</v>
      </c>
      <c r="N143">
        <v>161</v>
      </c>
      <c r="O143" t="s">
        <v>160</v>
      </c>
      <c r="P143" t="s">
        <v>611</v>
      </c>
      <c r="Q143">
        <f t="shared" si="4"/>
        <v>-6</v>
      </c>
      <c r="R143" t="str">
        <f>_xlfn.XLOOKUP(P143,'Painel Additive'!$B:$B,'Painel Additive'!$B:$B,0)</f>
        <v>BENTONIT UNIAO - CAMPINA GRANDE</v>
      </c>
      <c r="S143">
        <f t="shared" si="5"/>
        <v>60</v>
      </c>
    </row>
    <row r="144" spans="1:19" x14ac:dyDescent="0.25">
      <c r="A144">
        <v>7662</v>
      </c>
      <c r="B144" t="s">
        <v>105</v>
      </c>
      <c r="C144" t="s">
        <v>548</v>
      </c>
      <c r="D144" s="34">
        <v>91675</v>
      </c>
      <c r="E144">
        <v>1246273180</v>
      </c>
      <c r="F144" s="30">
        <v>46202</v>
      </c>
      <c r="G144" s="30"/>
      <c r="H144" t="s">
        <v>28</v>
      </c>
      <c r="I144" t="s">
        <v>29</v>
      </c>
      <c r="J144">
        <v>2902</v>
      </c>
      <c r="K144" s="30">
        <v>46142</v>
      </c>
      <c r="L144">
        <v>1010100</v>
      </c>
      <c r="M144" t="s">
        <v>35</v>
      </c>
      <c r="N144">
        <v>161</v>
      </c>
      <c r="O144" t="s">
        <v>160</v>
      </c>
      <c r="P144" t="s">
        <v>611</v>
      </c>
      <c r="Q144">
        <f t="shared" si="4"/>
        <v>-61</v>
      </c>
      <c r="R144" t="str">
        <f>_xlfn.XLOOKUP(P144,'Painel Additive'!$B:$B,'Painel Additive'!$B:$B,0)</f>
        <v>BENTONIT UNIAO - CAMPINA GRANDE</v>
      </c>
      <c r="S144">
        <f t="shared" si="5"/>
        <v>60</v>
      </c>
    </row>
    <row r="145" spans="1:19" x14ac:dyDescent="0.25">
      <c r="A145">
        <v>7662</v>
      </c>
      <c r="B145" t="s">
        <v>105</v>
      </c>
      <c r="C145" t="s">
        <v>548</v>
      </c>
      <c r="D145" s="34">
        <v>91675</v>
      </c>
      <c r="E145">
        <v>1246273179</v>
      </c>
      <c r="F145" s="30">
        <v>46187</v>
      </c>
      <c r="G145" s="30"/>
      <c r="H145" t="s">
        <v>28</v>
      </c>
      <c r="I145" t="s">
        <v>29</v>
      </c>
      <c r="J145">
        <v>2902</v>
      </c>
      <c r="K145" s="30">
        <v>46142</v>
      </c>
      <c r="L145">
        <v>1010100</v>
      </c>
      <c r="M145" t="s">
        <v>35</v>
      </c>
      <c r="N145">
        <v>161</v>
      </c>
      <c r="O145" t="s">
        <v>160</v>
      </c>
      <c r="P145" t="s">
        <v>611</v>
      </c>
      <c r="Q145">
        <f t="shared" si="4"/>
        <v>-46</v>
      </c>
      <c r="R145" t="str">
        <f>_xlfn.XLOOKUP(P145,'Painel Additive'!$B:$B,'Painel Additive'!$B:$B,0)</f>
        <v>BENTONIT UNIAO - CAMPINA GRANDE</v>
      </c>
      <c r="S145">
        <f t="shared" si="5"/>
        <v>45</v>
      </c>
    </row>
    <row r="146" spans="1:19" x14ac:dyDescent="0.25">
      <c r="A146">
        <v>7662</v>
      </c>
      <c r="B146" t="s">
        <v>105</v>
      </c>
      <c r="C146" t="s">
        <v>548</v>
      </c>
      <c r="D146" s="34">
        <v>77060</v>
      </c>
      <c r="E146">
        <v>1246269689</v>
      </c>
      <c r="F146" s="30">
        <v>46157</v>
      </c>
      <c r="G146" s="30"/>
      <c r="H146" t="s">
        <v>28</v>
      </c>
      <c r="I146" t="s">
        <v>29</v>
      </c>
      <c r="J146">
        <v>2856</v>
      </c>
      <c r="K146" s="30">
        <v>46112</v>
      </c>
      <c r="L146">
        <v>1010100</v>
      </c>
      <c r="M146" t="s">
        <v>35</v>
      </c>
      <c r="N146">
        <v>161</v>
      </c>
      <c r="O146" t="s">
        <v>160</v>
      </c>
      <c r="P146" t="s">
        <v>611</v>
      </c>
      <c r="Q146">
        <f t="shared" si="4"/>
        <v>-16</v>
      </c>
      <c r="R146" t="str">
        <f>_xlfn.XLOOKUP(P146,'Painel Additive'!$B:$B,'Painel Additive'!$B:$B,0)</f>
        <v>BENTONIT UNIAO - CAMPINA GRANDE</v>
      </c>
      <c r="S146">
        <f t="shared" si="5"/>
        <v>45</v>
      </c>
    </row>
    <row r="147" spans="1:19" x14ac:dyDescent="0.25">
      <c r="A147">
        <v>7662</v>
      </c>
      <c r="B147" t="s">
        <v>105</v>
      </c>
      <c r="C147" t="s">
        <v>548</v>
      </c>
      <c r="D147" s="34">
        <v>77060</v>
      </c>
      <c r="E147">
        <v>1246269690</v>
      </c>
      <c r="F147" s="30">
        <v>46172</v>
      </c>
      <c r="G147" s="30"/>
      <c r="H147" t="s">
        <v>28</v>
      </c>
      <c r="I147" t="s">
        <v>29</v>
      </c>
      <c r="J147">
        <v>2856</v>
      </c>
      <c r="K147" s="30">
        <v>46112</v>
      </c>
      <c r="L147">
        <v>1010100</v>
      </c>
      <c r="M147" t="s">
        <v>35</v>
      </c>
      <c r="N147">
        <v>161</v>
      </c>
      <c r="O147" t="s">
        <v>160</v>
      </c>
      <c r="P147" t="s">
        <v>611</v>
      </c>
      <c r="Q147">
        <f t="shared" si="4"/>
        <v>-31</v>
      </c>
      <c r="R147" t="str">
        <f>_xlfn.XLOOKUP(P147,'Painel Additive'!$B:$B,'Painel Additive'!$B:$B,0)</f>
        <v>BENTONIT UNIAO - CAMPINA GRANDE</v>
      </c>
      <c r="S147">
        <f t="shared" si="5"/>
        <v>60</v>
      </c>
    </row>
    <row r="148" spans="1:19" x14ac:dyDescent="0.25">
      <c r="A148">
        <v>7479</v>
      </c>
      <c r="B148" t="s">
        <v>824</v>
      </c>
      <c r="C148" t="s">
        <v>825</v>
      </c>
      <c r="D148" s="34">
        <v>64104.800000000003</v>
      </c>
      <c r="E148">
        <v>1246264518</v>
      </c>
      <c r="F148" s="30">
        <v>46166</v>
      </c>
      <c r="G148" s="30"/>
      <c r="H148" t="s">
        <v>28</v>
      </c>
      <c r="I148" t="s">
        <v>29</v>
      </c>
      <c r="J148">
        <v>10739</v>
      </c>
      <c r="K148" s="30">
        <v>46076</v>
      </c>
      <c r="L148">
        <v>1010100</v>
      </c>
      <c r="M148" t="s">
        <v>35</v>
      </c>
      <c r="N148">
        <v>56</v>
      </c>
      <c r="O148" t="s">
        <v>161</v>
      </c>
      <c r="P148" t="s">
        <v>496</v>
      </c>
      <c r="Q148">
        <f t="shared" si="4"/>
        <v>-25</v>
      </c>
      <c r="R148" t="str">
        <f>_xlfn.XLOOKUP(P148,'Painel Additive'!$B:$B,'Painel Additive'!$B:$B,0)</f>
        <v>GRUPO MOSAIC FERTILIZANTES DO BRASIL</v>
      </c>
      <c r="S148">
        <f t="shared" si="5"/>
        <v>90</v>
      </c>
    </row>
    <row r="149" spans="1:19" x14ac:dyDescent="0.25">
      <c r="A149">
        <v>6477</v>
      </c>
      <c r="B149" t="s">
        <v>97</v>
      </c>
      <c r="C149" t="s">
        <v>98</v>
      </c>
      <c r="D149" s="34">
        <v>167720</v>
      </c>
      <c r="E149">
        <v>1246262010</v>
      </c>
      <c r="F149" s="30">
        <v>46145</v>
      </c>
      <c r="G149" s="30">
        <v>46146</v>
      </c>
      <c r="H149" t="s">
        <v>28</v>
      </c>
      <c r="I149" t="s">
        <v>29</v>
      </c>
      <c r="J149">
        <v>10625</v>
      </c>
      <c r="K149" s="30">
        <v>46055</v>
      </c>
      <c r="L149">
        <v>1010100</v>
      </c>
      <c r="M149" t="s">
        <v>35</v>
      </c>
      <c r="N149">
        <v>161</v>
      </c>
      <c r="O149" t="s">
        <v>160</v>
      </c>
      <c r="P149" t="s">
        <v>496</v>
      </c>
      <c r="Q149">
        <f t="shared" si="4"/>
        <v>-4</v>
      </c>
      <c r="R149" t="str">
        <f>_xlfn.XLOOKUP(P149,'Painel Additive'!$B:$B,'Painel Additive'!$B:$B,0)</f>
        <v>GRUPO MOSAIC FERTILIZANTES DO BRASIL</v>
      </c>
      <c r="S149">
        <f t="shared" si="5"/>
        <v>90</v>
      </c>
    </row>
    <row r="150" spans="1:19" x14ac:dyDescent="0.25">
      <c r="A150">
        <v>6477</v>
      </c>
      <c r="B150" t="s">
        <v>97</v>
      </c>
      <c r="C150" t="s">
        <v>98</v>
      </c>
      <c r="D150" s="34">
        <v>166320</v>
      </c>
      <c r="E150">
        <v>1246263184</v>
      </c>
      <c r="F150" s="30">
        <v>46153</v>
      </c>
      <c r="G150" s="30"/>
      <c r="H150" t="s">
        <v>28</v>
      </c>
      <c r="I150" t="s">
        <v>29</v>
      </c>
      <c r="J150">
        <v>10673</v>
      </c>
      <c r="K150" s="30">
        <v>46063</v>
      </c>
      <c r="L150">
        <v>1010100</v>
      </c>
      <c r="M150" t="s">
        <v>35</v>
      </c>
      <c r="N150">
        <v>161</v>
      </c>
      <c r="O150" t="s">
        <v>160</v>
      </c>
      <c r="P150" t="s">
        <v>496</v>
      </c>
      <c r="Q150">
        <f t="shared" si="4"/>
        <v>-12</v>
      </c>
      <c r="R150" t="str">
        <f>_xlfn.XLOOKUP(P150,'Painel Additive'!$B:$B,'Painel Additive'!$B:$B,0)</f>
        <v>GRUPO MOSAIC FERTILIZANTES DO BRASIL</v>
      </c>
      <c r="S150">
        <f t="shared" si="5"/>
        <v>90</v>
      </c>
    </row>
    <row r="151" spans="1:19" x14ac:dyDescent="0.25">
      <c r="A151">
        <v>6477</v>
      </c>
      <c r="B151" t="s">
        <v>97</v>
      </c>
      <c r="C151" t="s">
        <v>98</v>
      </c>
      <c r="D151" s="34">
        <v>6302.6</v>
      </c>
      <c r="E151">
        <v>1246212732</v>
      </c>
      <c r="F151" s="30">
        <v>45682</v>
      </c>
      <c r="G151" s="30"/>
      <c r="H151" t="s">
        <v>28</v>
      </c>
      <c r="I151" t="s">
        <v>29</v>
      </c>
      <c r="J151">
        <v>6197</v>
      </c>
      <c r="K151" s="30">
        <v>45622</v>
      </c>
      <c r="L151">
        <v>1010100</v>
      </c>
      <c r="M151" t="s">
        <v>35</v>
      </c>
      <c r="N151">
        <v>161</v>
      </c>
      <c r="O151" t="s">
        <v>160</v>
      </c>
      <c r="P151" t="s">
        <v>496</v>
      </c>
      <c r="Q151">
        <f t="shared" si="4"/>
        <v>459</v>
      </c>
      <c r="R151" t="str">
        <f>_xlfn.XLOOKUP(P151,'Painel Additive'!$B:$B,'Painel Additive'!$B:$B,0)</f>
        <v>GRUPO MOSAIC FERTILIZANTES DO BRASIL</v>
      </c>
      <c r="S151">
        <f t="shared" si="5"/>
        <v>60</v>
      </c>
    </row>
    <row r="152" spans="1:19" x14ac:dyDescent="0.25">
      <c r="A152">
        <v>7097</v>
      </c>
      <c r="B152" t="s">
        <v>101</v>
      </c>
      <c r="C152" t="s">
        <v>102</v>
      </c>
      <c r="D152" s="34">
        <v>177977.8</v>
      </c>
      <c r="E152">
        <v>1246265921</v>
      </c>
      <c r="F152" s="30">
        <v>46173</v>
      </c>
      <c r="G152" s="30">
        <v>46146</v>
      </c>
      <c r="H152" t="s">
        <v>28</v>
      </c>
      <c r="I152" t="s">
        <v>29</v>
      </c>
      <c r="J152">
        <v>10795</v>
      </c>
      <c r="K152" s="30">
        <v>46083</v>
      </c>
      <c r="L152">
        <v>1010100</v>
      </c>
      <c r="M152" t="s">
        <v>35</v>
      </c>
      <c r="N152">
        <v>161</v>
      </c>
      <c r="O152" t="s">
        <v>160</v>
      </c>
      <c r="P152" t="s">
        <v>496</v>
      </c>
      <c r="Q152">
        <f t="shared" si="4"/>
        <v>-32</v>
      </c>
      <c r="R152" t="str">
        <f>_xlfn.XLOOKUP(P152,'Painel Additive'!$B:$B,'Painel Additive'!$B:$B,0)</f>
        <v>GRUPO MOSAIC FERTILIZANTES DO BRASIL</v>
      </c>
      <c r="S152">
        <f t="shared" si="5"/>
        <v>90</v>
      </c>
    </row>
    <row r="153" spans="1:19" x14ac:dyDescent="0.25">
      <c r="A153">
        <v>7024</v>
      </c>
      <c r="B153" t="s">
        <v>833</v>
      </c>
      <c r="C153" t="s">
        <v>834</v>
      </c>
      <c r="D153" s="34">
        <v>70855.199999999997</v>
      </c>
      <c r="E153">
        <v>1246269662</v>
      </c>
      <c r="F153" s="30">
        <v>46201</v>
      </c>
      <c r="G153" s="30"/>
      <c r="H153" t="s">
        <v>28</v>
      </c>
      <c r="I153" t="s">
        <v>29</v>
      </c>
      <c r="J153">
        <v>11011</v>
      </c>
      <c r="K153" s="30">
        <v>46111</v>
      </c>
      <c r="L153">
        <v>1010100</v>
      </c>
      <c r="M153" t="s">
        <v>35</v>
      </c>
      <c r="N153">
        <v>161</v>
      </c>
      <c r="O153" t="s">
        <v>160</v>
      </c>
      <c r="P153" t="s">
        <v>496</v>
      </c>
      <c r="Q153">
        <f t="shared" si="4"/>
        <v>-60</v>
      </c>
      <c r="R153" t="str">
        <f>_xlfn.XLOOKUP(P153,'Painel Additive'!$B:$B,'Painel Additive'!$B:$B,0)</f>
        <v>GRUPO MOSAIC FERTILIZANTES DO BRASIL</v>
      </c>
      <c r="S153">
        <f t="shared" si="5"/>
        <v>90</v>
      </c>
    </row>
    <row r="154" spans="1:19" x14ac:dyDescent="0.25">
      <c r="A154">
        <v>7024</v>
      </c>
      <c r="B154" t="s">
        <v>833</v>
      </c>
      <c r="C154" t="s">
        <v>834</v>
      </c>
      <c r="D154" s="34">
        <v>71323.199999999997</v>
      </c>
      <c r="E154">
        <v>1246270943</v>
      </c>
      <c r="F154" s="30">
        <v>46212</v>
      </c>
      <c r="G154" s="30"/>
      <c r="H154" t="s">
        <v>28</v>
      </c>
      <c r="I154" t="s">
        <v>29</v>
      </c>
      <c r="J154">
        <v>11084</v>
      </c>
      <c r="K154" s="30">
        <v>46122</v>
      </c>
      <c r="L154">
        <v>1010100</v>
      </c>
      <c r="M154" t="s">
        <v>35</v>
      </c>
      <c r="N154">
        <v>161</v>
      </c>
      <c r="O154" t="s">
        <v>160</v>
      </c>
      <c r="P154" t="s">
        <v>496</v>
      </c>
      <c r="Q154">
        <f t="shared" si="4"/>
        <v>-71</v>
      </c>
      <c r="R154" t="str">
        <f>_xlfn.XLOOKUP(P154,'Painel Additive'!$B:$B,'Painel Additive'!$B:$B,0)</f>
        <v>GRUPO MOSAIC FERTILIZANTES DO BRASIL</v>
      </c>
      <c r="S154">
        <f t="shared" si="5"/>
        <v>90</v>
      </c>
    </row>
    <row r="155" spans="1:19" x14ac:dyDescent="0.25">
      <c r="A155">
        <v>7024</v>
      </c>
      <c r="B155" t="s">
        <v>833</v>
      </c>
      <c r="C155" t="s">
        <v>834</v>
      </c>
      <c r="D155" s="34">
        <v>70410.600000000006</v>
      </c>
      <c r="E155">
        <v>1246265856</v>
      </c>
      <c r="F155" s="30">
        <v>46170</v>
      </c>
      <c r="G155" s="30"/>
      <c r="H155" t="s">
        <v>28</v>
      </c>
      <c r="I155" t="s">
        <v>29</v>
      </c>
      <c r="J155">
        <v>10790</v>
      </c>
      <c r="K155" s="30">
        <v>46080</v>
      </c>
      <c r="L155">
        <v>1010100</v>
      </c>
      <c r="M155" t="s">
        <v>35</v>
      </c>
      <c r="N155">
        <v>161</v>
      </c>
      <c r="O155" t="s">
        <v>160</v>
      </c>
      <c r="P155" t="s">
        <v>496</v>
      </c>
      <c r="Q155">
        <f t="shared" si="4"/>
        <v>-29</v>
      </c>
      <c r="R155" t="str">
        <f>_xlfn.XLOOKUP(P155,'Painel Additive'!$B:$B,'Painel Additive'!$B:$B,0)</f>
        <v>GRUPO MOSAIC FERTILIZANTES DO BRASIL</v>
      </c>
      <c r="S155">
        <f t="shared" si="5"/>
        <v>90</v>
      </c>
    </row>
    <row r="156" spans="1:19" x14ac:dyDescent="0.25">
      <c r="A156">
        <v>7302</v>
      </c>
      <c r="B156" t="s">
        <v>103</v>
      </c>
      <c r="C156" t="s">
        <v>104</v>
      </c>
      <c r="D156" s="34">
        <v>167720</v>
      </c>
      <c r="E156">
        <v>1246262004</v>
      </c>
      <c r="F156" s="30">
        <v>46145</v>
      </c>
      <c r="G156" s="30">
        <v>46146</v>
      </c>
      <c r="H156" t="s">
        <v>28</v>
      </c>
      <c r="I156" t="s">
        <v>29</v>
      </c>
      <c r="J156">
        <v>10622</v>
      </c>
      <c r="K156" s="30">
        <v>46055</v>
      </c>
      <c r="L156">
        <v>1010100</v>
      </c>
      <c r="M156" t="s">
        <v>35</v>
      </c>
      <c r="N156">
        <v>161</v>
      </c>
      <c r="O156" t="s">
        <v>160</v>
      </c>
      <c r="P156" t="s">
        <v>496</v>
      </c>
      <c r="Q156">
        <f t="shared" si="4"/>
        <v>-4</v>
      </c>
      <c r="R156" t="str">
        <f>_xlfn.XLOOKUP(P156,'Painel Additive'!$B:$B,'Painel Additive'!$B:$B,0)</f>
        <v>GRUPO MOSAIC FERTILIZANTES DO BRASIL</v>
      </c>
      <c r="S156">
        <f t="shared" si="5"/>
        <v>90</v>
      </c>
    </row>
    <row r="157" spans="1:19" x14ac:dyDescent="0.25">
      <c r="A157">
        <v>7302</v>
      </c>
      <c r="B157" t="s">
        <v>103</v>
      </c>
      <c r="C157" t="s">
        <v>104</v>
      </c>
      <c r="D157" s="34">
        <v>1431.76</v>
      </c>
      <c r="E157">
        <v>1246062794</v>
      </c>
      <c r="F157" s="30">
        <v>44939</v>
      </c>
      <c r="G157" s="30"/>
      <c r="H157" t="s">
        <v>28</v>
      </c>
      <c r="I157" t="s">
        <v>29</v>
      </c>
      <c r="J157">
        <v>19884</v>
      </c>
      <c r="K157" s="30">
        <v>44879</v>
      </c>
      <c r="L157">
        <v>1010100</v>
      </c>
      <c r="M157" t="s">
        <v>35</v>
      </c>
      <c r="N157">
        <v>80</v>
      </c>
      <c r="O157" t="s">
        <v>180</v>
      </c>
      <c r="P157" t="s">
        <v>496</v>
      </c>
      <c r="Q157">
        <f t="shared" si="4"/>
        <v>1202</v>
      </c>
      <c r="R157" t="str">
        <f>_xlfn.XLOOKUP(P157,'Painel Additive'!$B:$B,'Painel Additive'!$B:$B,0)</f>
        <v>GRUPO MOSAIC FERTILIZANTES DO BRASIL</v>
      </c>
      <c r="S157">
        <f t="shared" si="5"/>
        <v>60</v>
      </c>
    </row>
    <row r="158" spans="1:19" x14ac:dyDescent="0.25">
      <c r="A158">
        <v>7302</v>
      </c>
      <c r="B158" t="s">
        <v>103</v>
      </c>
      <c r="C158" t="s">
        <v>104</v>
      </c>
      <c r="D158" s="34">
        <v>2517.4</v>
      </c>
      <c r="E158">
        <v>1246055324</v>
      </c>
      <c r="F158" s="30">
        <v>44887</v>
      </c>
      <c r="G158" s="30"/>
      <c r="H158" t="s">
        <v>28</v>
      </c>
      <c r="I158" t="s">
        <v>29</v>
      </c>
      <c r="J158">
        <v>19314</v>
      </c>
      <c r="K158" s="30">
        <v>44827</v>
      </c>
      <c r="L158">
        <v>1010100</v>
      </c>
      <c r="M158" t="s">
        <v>35</v>
      </c>
      <c r="N158">
        <v>161</v>
      </c>
      <c r="O158" t="s">
        <v>160</v>
      </c>
      <c r="P158" t="s">
        <v>496</v>
      </c>
      <c r="Q158">
        <f t="shared" si="4"/>
        <v>1254</v>
      </c>
      <c r="R158" t="str">
        <f>_xlfn.XLOOKUP(P158,'Painel Additive'!$B:$B,'Painel Additive'!$B:$B,0)</f>
        <v>GRUPO MOSAIC FERTILIZANTES DO BRASIL</v>
      </c>
      <c r="S158">
        <f t="shared" si="5"/>
        <v>60</v>
      </c>
    </row>
    <row r="159" spans="1:19" x14ac:dyDescent="0.25">
      <c r="A159">
        <v>7302</v>
      </c>
      <c r="B159" t="s">
        <v>103</v>
      </c>
      <c r="C159" t="s">
        <v>104</v>
      </c>
      <c r="D159" s="34">
        <v>36679.800000000003</v>
      </c>
      <c r="E159">
        <v>1246272740</v>
      </c>
      <c r="F159" s="30">
        <v>46229</v>
      </c>
      <c r="G159" s="30"/>
      <c r="H159" t="s">
        <v>28</v>
      </c>
      <c r="I159" t="s">
        <v>29</v>
      </c>
      <c r="J159">
        <v>11223</v>
      </c>
      <c r="K159" s="30">
        <v>46139</v>
      </c>
      <c r="L159">
        <v>1010100</v>
      </c>
      <c r="M159" t="s">
        <v>35</v>
      </c>
      <c r="N159">
        <v>161</v>
      </c>
      <c r="O159" t="s">
        <v>160</v>
      </c>
      <c r="P159" t="s">
        <v>496</v>
      </c>
      <c r="Q159">
        <f t="shared" si="4"/>
        <v>-88</v>
      </c>
      <c r="R159" t="str">
        <f>_xlfn.XLOOKUP(P159,'Painel Additive'!$B:$B,'Painel Additive'!$B:$B,0)</f>
        <v>GRUPO MOSAIC FERTILIZANTES DO BRASIL</v>
      </c>
      <c r="S159">
        <f t="shared" si="5"/>
        <v>90</v>
      </c>
    </row>
    <row r="160" spans="1:19" x14ac:dyDescent="0.25">
      <c r="A160">
        <v>7302</v>
      </c>
      <c r="B160" t="s">
        <v>103</v>
      </c>
      <c r="C160" t="s">
        <v>104</v>
      </c>
      <c r="D160" s="34">
        <v>166320</v>
      </c>
      <c r="E160">
        <v>1246263181</v>
      </c>
      <c r="F160" s="30">
        <v>46153</v>
      </c>
      <c r="G160" s="30"/>
      <c r="H160" t="s">
        <v>28</v>
      </c>
      <c r="I160" t="s">
        <v>29</v>
      </c>
      <c r="J160">
        <v>10672</v>
      </c>
      <c r="K160" s="30">
        <v>46063</v>
      </c>
      <c r="L160">
        <v>1010100</v>
      </c>
      <c r="M160" t="s">
        <v>35</v>
      </c>
      <c r="N160">
        <v>161</v>
      </c>
      <c r="O160" t="s">
        <v>160</v>
      </c>
      <c r="P160" t="s">
        <v>496</v>
      </c>
      <c r="Q160">
        <f t="shared" si="4"/>
        <v>-12</v>
      </c>
      <c r="R160" t="str">
        <f>_xlfn.XLOOKUP(P160,'Painel Additive'!$B:$B,'Painel Additive'!$B:$B,0)</f>
        <v>GRUPO MOSAIC FERTILIZANTES DO BRASIL</v>
      </c>
      <c r="S160">
        <f t="shared" si="5"/>
        <v>90</v>
      </c>
    </row>
    <row r="161" spans="1:19" x14ac:dyDescent="0.25">
      <c r="A161">
        <v>7302</v>
      </c>
      <c r="B161" t="s">
        <v>103</v>
      </c>
      <c r="C161" t="s">
        <v>104</v>
      </c>
      <c r="D161" s="34">
        <v>67867.8</v>
      </c>
      <c r="E161">
        <v>1246270495</v>
      </c>
      <c r="F161" s="30">
        <v>46209</v>
      </c>
      <c r="G161" s="30"/>
      <c r="H161" t="s">
        <v>28</v>
      </c>
      <c r="I161" t="s">
        <v>29</v>
      </c>
      <c r="J161">
        <v>11064</v>
      </c>
      <c r="K161" s="30">
        <v>46119</v>
      </c>
      <c r="L161">
        <v>1010100</v>
      </c>
      <c r="M161" t="s">
        <v>35</v>
      </c>
      <c r="N161">
        <v>161</v>
      </c>
      <c r="O161" t="s">
        <v>160</v>
      </c>
      <c r="P161" t="s">
        <v>496</v>
      </c>
      <c r="Q161">
        <f t="shared" si="4"/>
        <v>-68</v>
      </c>
      <c r="R161" t="str">
        <f>_xlfn.XLOOKUP(P161,'Painel Additive'!$B:$B,'Painel Additive'!$B:$B,0)</f>
        <v>GRUPO MOSAIC FERTILIZANTES DO BRASIL</v>
      </c>
      <c r="S161">
        <f t="shared" si="5"/>
        <v>90</v>
      </c>
    </row>
    <row r="162" spans="1:19" x14ac:dyDescent="0.25">
      <c r="A162">
        <v>7302</v>
      </c>
      <c r="B162" t="s">
        <v>103</v>
      </c>
      <c r="C162" t="s">
        <v>104</v>
      </c>
      <c r="D162" s="34">
        <v>181231</v>
      </c>
      <c r="E162">
        <v>1246273299</v>
      </c>
      <c r="F162" s="30">
        <v>46232</v>
      </c>
      <c r="G162" s="30"/>
      <c r="H162" t="s">
        <v>28</v>
      </c>
      <c r="I162" t="s">
        <v>29</v>
      </c>
      <c r="J162">
        <v>11276</v>
      </c>
      <c r="K162" s="30">
        <v>46142</v>
      </c>
      <c r="L162">
        <v>1010100</v>
      </c>
      <c r="M162" t="s">
        <v>35</v>
      </c>
      <c r="N162">
        <v>161</v>
      </c>
      <c r="O162" t="s">
        <v>160</v>
      </c>
      <c r="P162" t="s">
        <v>496</v>
      </c>
      <c r="Q162">
        <f t="shared" si="4"/>
        <v>-91</v>
      </c>
      <c r="R162" t="str">
        <f>_xlfn.XLOOKUP(P162,'Painel Additive'!$B:$B,'Painel Additive'!$B:$B,0)</f>
        <v>GRUPO MOSAIC FERTILIZANTES DO BRASIL</v>
      </c>
      <c r="S162">
        <f t="shared" si="5"/>
        <v>90</v>
      </c>
    </row>
    <row r="163" spans="1:19" x14ac:dyDescent="0.25">
      <c r="A163">
        <v>7302</v>
      </c>
      <c r="B163" t="s">
        <v>103</v>
      </c>
      <c r="C163" t="s">
        <v>104</v>
      </c>
      <c r="D163" s="34">
        <v>129924</v>
      </c>
      <c r="E163">
        <v>1246268530</v>
      </c>
      <c r="F163" s="30">
        <v>46191</v>
      </c>
      <c r="G163" s="30"/>
      <c r="H163" t="s">
        <v>28</v>
      </c>
      <c r="I163" t="s">
        <v>29</v>
      </c>
      <c r="J163">
        <v>10941</v>
      </c>
      <c r="K163" s="30">
        <v>46101</v>
      </c>
      <c r="L163">
        <v>1010100</v>
      </c>
      <c r="M163" t="s">
        <v>35</v>
      </c>
      <c r="N163">
        <v>56</v>
      </c>
      <c r="O163" t="s">
        <v>161</v>
      </c>
      <c r="P163" t="s">
        <v>496</v>
      </c>
      <c r="Q163">
        <f t="shared" si="4"/>
        <v>-50</v>
      </c>
      <c r="R163" t="str">
        <f>_xlfn.XLOOKUP(P163,'Painel Additive'!$B:$B,'Painel Additive'!$B:$B,0)</f>
        <v>GRUPO MOSAIC FERTILIZANTES DO BRASIL</v>
      </c>
      <c r="S163">
        <f t="shared" si="5"/>
        <v>90</v>
      </c>
    </row>
    <row r="164" spans="1:19" x14ac:dyDescent="0.25">
      <c r="A164">
        <v>7302</v>
      </c>
      <c r="B164" t="s">
        <v>103</v>
      </c>
      <c r="C164" t="s">
        <v>104</v>
      </c>
      <c r="D164" s="34">
        <v>64.2</v>
      </c>
      <c r="E164">
        <v>1246226087</v>
      </c>
      <c r="F164" s="30">
        <v>45919</v>
      </c>
      <c r="G164" s="30"/>
      <c r="H164" t="s">
        <v>28</v>
      </c>
      <c r="I164" t="s">
        <v>29</v>
      </c>
      <c r="J164">
        <v>8559</v>
      </c>
      <c r="K164" s="30">
        <v>45859</v>
      </c>
      <c r="L164">
        <v>1010100</v>
      </c>
      <c r="M164" t="s">
        <v>35</v>
      </c>
      <c r="N164">
        <v>161</v>
      </c>
      <c r="O164" t="s">
        <v>160</v>
      </c>
      <c r="P164" t="s">
        <v>496</v>
      </c>
      <c r="Q164">
        <f t="shared" si="4"/>
        <v>222</v>
      </c>
      <c r="R164" t="str">
        <f>_xlfn.XLOOKUP(P164,'Painel Additive'!$B:$B,'Painel Additive'!$B:$B,0)</f>
        <v>GRUPO MOSAIC FERTILIZANTES DO BRASIL</v>
      </c>
      <c r="S164">
        <f t="shared" si="5"/>
        <v>60</v>
      </c>
    </row>
    <row r="165" spans="1:19" x14ac:dyDescent="0.25">
      <c r="A165">
        <v>7103</v>
      </c>
      <c r="B165" t="s">
        <v>565</v>
      </c>
      <c r="C165" t="s">
        <v>566</v>
      </c>
      <c r="D165" s="34">
        <v>57019</v>
      </c>
      <c r="E165">
        <v>1246269403</v>
      </c>
      <c r="F165" s="30">
        <v>46198</v>
      </c>
      <c r="G165" s="30"/>
      <c r="H165" t="s">
        <v>28</v>
      </c>
      <c r="I165" t="s">
        <v>29</v>
      </c>
      <c r="J165">
        <v>10985</v>
      </c>
      <c r="K165" s="30">
        <v>46108</v>
      </c>
      <c r="L165">
        <v>1010100</v>
      </c>
      <c r="M165" t="s">
        <v>35</v>
      </c>
      <c r="N165">
        <v>161</v>
      </c>
      <c r="O165" t="s">
        <v>160</v>
      </c>
      <c r="P165" t="s">
        <v>496</v>
      </c>
      <c r="Q165">
        <f t="shared" si="4"/>
        <v>-57</v>
      </c>
      <c r="R165" t="str">
        <f>_xlfn.XLOOKUP(P165,'Painel Additive'!$B:$B,'Painel Additive'!$B:$B,0)</f>
        <v>GRUPO MOSAIC FERTILIZANTES DO BRASIL</v>
      </c>
      <c r="S165">
        <f t="shared" si="5"/>
        <v>90</v>
      </c>
    </row>
    <row r="166" spans="1:19" x14ac:dyDescent="0.25">
      <c r="A166">
        <v>8413</v>
      </c>
      <c r="B166" t="s">
        <v>107</v>
      </c>
      <c r="C166" t="s">
        <v>895</v>
      </c>
      <c r="D166" s="34">
        <v>94346</v>
      </c>
      <c r="E166">
        <v>1246273107</v>
      </c>
      <c r="F166" s="30">
        <v>46201</v>
      </c>
      <c r="G166" s="30"/>
      <c r="H166" t="s">
        <v>28</v>
      </c>
      <c r="I166" t="s">
        <v>29</v>
      </c>
      <c r="J166">
        <v>11262</v>
      </c>
      <c r="K166" s="30">
        <v>46141</v>
      </c>
      <c r="L166">
        <v>1010100</v>
      </c>
      <c r="M166" t="s">
        <v>35</v>
      </c>
      <c r="N166">
        <v>161</v>
      </c>
      <c r="O166" t="s">
        <v>160</v>
      </c>
      <c r="P166" t="s">
        <v>413</v>
      </c>
      <c r="Q166">
        <f t="shared" si="4"/>
        <v>-60</v>
      </c>
      <c r="R166" t="str">
        <f>_xlfn.XLOOKUP(P166,'Painel Additive'!$B:$B,'Painel Additive'!$B:$B,0)</f>
        <v>GRUPO AMAGGI</v>
      </c>
      <c r="S166">
        <f t="shared" si="5"/>
        <v>60</v>
      </c>
    </row>
    <row r="167" spans="1:19" x14ac:dyDescent="0.25">
      <c r="A167">
        <v>10473</v>
      </c>
      <c r="B167" t="s">
        <v>888</v>
      </c>
      <c r="C167" t="s">
        <v>889</v>
      </c>
      <c r="D167" s="34">
        <v>62566.400000000001</v>
      </c>
      <c r="E167">
        <v>1246272889</v>
      </c>
      <c r="F167" s="30">
        <v>46175</v>
      </c>
      <c r="G167" s="30"/>
      <c r="H167" t="s">
        <v>28</v>
      </c>
      <c r="I167" t="s">
        <v>29</v>
      </c>
      <c r="J167">
        <v>11243</v>
      </c>
      <c r="K167" s="30">
        <v>46140</v>
      </c>
      <c r="L167">
        <v>1010100</v>
      </c>
      <c r="M167" t="s">
        <v>35</v>
      </c>
      <c r="N167">
        <v>161</v>
      </c>
      <c r="O167" t="s">
        <v>160</v>
      </c>
      <c r="P167" t="s">
        <v>424</v>
      </c>
      <c r="Q167">
        <f t="shared" si="4"/>
        <v>-34</v>
      </c>
      <c r="R167" t="str">
        <f>_xlfn.XLOOKUP(P167,'Painel Additive'!$B:$B,'Painel Additive'!$B:$B,0)</f>
        <v>GRUPO LOUIS DREYFUS</v>
      </c>
      <c r="S167">
        <f t="shared" si="5"/>
        <v>35</v>
      </c>
    </row>
    <row r="168" spans="1:19" x14ac:dyDescent="0.25">
      <c r="A168">
        <v>11724</v>
      </c>
      <c r="B168" t="s">
        <v>117</v>
      </c>
      <c r="C168" t="s">
        <v>118</v>
      </c>
      <c r="D168" s="34">
        <v>143868</v>
      </c>
      <c r="E168">
        <v>1246267487</v>
      </c>
      <c r="F168" s="30">
        <v>46167</v>
      </c>
      <c r="G168" s="30"/>
      <c r="H168" t="s">
        <v>28</v>
      </c>
      <c r="I168" t="s">
        <v>29</v>
      </c>
      <c r="J168">
        <v>10867</v>
      </c>
      <c r="K168" s="30">
        <v>46092</v>
      </c>
      <c r="L168">
        <v>1010100</v>
      </c>
      <c r="M168" t="s">
        <v>35</v>
      </c>
      <c r="N168">
        <v>161</v>
      </c>
      <c r="O168" t="s">
        <v>160</v>
      </c>
      <c r="P168" t="s">
        <v>427</v>
      </c>
      <c r="Q168">
        <f t="shared" si="4"/>
        <v>-26</v>
      </c>
      <c r="R168" t="str">
        <f>_xlfn.XLOOKUP(P168,'Painel Additive'!$B:$B,'Painel Additive'!$B:$B,0)</f>
        <v>GRUPO HINOVE</v>
      </c>
      <c r="S168">
        <f t="shared" si="5"/>
        <v>75</v>
      </c>
    </row>
    <row r="169" spans="1:19" x14ac:dyDescent="0.25">
      <c r="A169">
        <v>11724</v>
      </c>
      <c r="B169" t="s">
        <v>117</v>
      </c>
      <c r="C169" t="s">
        <v>118</v>
      </c>
      <c r="D169" s="34">
        <v>72162</v>
      </c>
      <c r="E169">
        <v>1246271964</v>
      </c>
      <c r="F169" s="30">
        <v>46198</v>
      </c>
      <c r="G169" s="30"/>
      <c r="H169" t="s">
        <v>28</v>
      </c>
      <c r="I169" t="s">
        <v>29</v>
      </c>
      <c r="J169">
        <v>11187</v>
      </c>
      <c r="K169" s="30">
        <v>46132</v>
      </c>
      <c r="L169">
        <v>1010100</v>
      </c>
      <c r="M169" t="s">
        <v>35</v>
      </c>
      <c r="N169">
        <v>161</v>
      </c>
      <c r="O169" t="s">
        <v>160</v>
      </c>
      <c r="P169" t="s">
        <v>427</v>
      </c>
      <c r="Q169">
        <f t="shared" si="4"/>
        <v>-57</v>
      </c>
      <c r="R169" t="str">
        <f>_xlfn.XLOOKUP(P169,'Painel Additive'!$B:$B,'Painel Additive'!$B:$B,0)</f>
        <v>GRUPO HINOVE</v>
      </c>
      <c r="S169">
        <f t="shared" si="5"/>
        <v>66</v>
      </c>
    </row>
    <row r="170" spans="1:19" x14ac:dyDescent="0.25">
      <c r="A170">
        <v>11724</v>
      </c>
      <c r="B170" t="s">
        <v>117</v>
      </c>
      <c r="C170" t="s">
        <v>118</v>
      </c>
      <c r="D170" s="34">
        <v>72162</v>
      </c>
      <c r="E170">
        <v>1246271962</v>
      </c>
      <c r="F170" s="30">
        <v>46198</v>
      </c>
      <c r="G170" s="30"/>
      <c r="H170" t="s">
        <v>28</v>
      </c>
      <c r="I170" t="s">
        <v>29</v>
      </c>
      <c r="J170">
        <v>11186</v>
      </c>
      <c r="K170" s="30">
        <v>46132</v>
      </c>
      <c r="L170">
        <v>1010100</v>
      </c>
      <c r="M170" t="s">
        <v>35</v>
      </c>
      <c r="N170">
        <v>161</v>
      </c>
      <c r="O170" t="s">
        <v>160</v>
      </c>
      <c r="P170" t="s">
        <v>427</v>
      </c>
      <c r="Q170">
        <f t="shared" ref="Q170:Q200" si="6">$R$1-F170</f>
        <v>-57</v>
      </c>
      <c r="R170" t="str">
        <f>_xlfn.XLOOKUP(P170,'Painel Additive'!$B:$B,'Painel Additive'!$B:$B,0)</f>
        <v>GRUPO HINOVE</v>
      </c>
      <c r="S170">
        <f t="shared" ref="S170:S200" si="7">F170-K170</f>
        <v>66</v>
      </c>
    </row>
    <row r="171" spans="1:19" x14ac:dyDescent="0.25">
      <c r="A171">
        <v>11724</v>
      </c>
      <c r="B171" t="s">
        <v>117</v>
      </c>
      <c r="C171" t="s">
        <v>118</v>
      </c>
      <c r="D171" s="34">
        <v>178561.9</v>
      </c>
      <c r="E171">
        <v>1246270926</v>
      </c>
      <c r="F171" s="30">
        <v>46183</v>
      </c>
      <c r="G171" s="30"/>
      <c r="H171" t="s">
        <v>28</v>
      </c>
      <c r="I171" t="s">
        <v>29</v>
      </c>
      <c r="J171">
        <v>11082</v>
      </c>
      <c r="K171" s="30">
        <v>46121</v>
      </c>
      <c r="L171">
        <v>1010100</v>
      </c>
      <c r="M171" t="s">
        <v>35</v>
      </c>
      <c r="N171">
        <v>161</v>
      </c>
      <c r="O171" t="s">
        <v>160</v>
      </c>
      <c r="P171" t="s">
        <v>427</v>
      </c>
      <c r="Q171">
        <f t="shared" si="6"/>
        <v>-42</v>
      </c>
      <c r="R171" t="str">
        <f>_xlfn.XLOOKUP(P171,'Painel Additive'!$B:$B,'Painel Additive'!$B:$B,0)</f>
        <v>GRUPO HINOVE</v>
      </c>
      <c r="S171">
        <f t="shared" si="7"/>
        <v>62</v>
      </c>
    </row>
    <row r="172" spans="1:19" x14ac:dyDescent="0.25">
      <c r="A172">
        <v>10660</v>
      </c>
      <c r="B172" t="s">
        <v>112</v>
      </c>
      <c r="C172" t="s">
        <v>113</v>
      </c>
      <c r="D172" s="34">
        <v>1282.56</v>
      </c>
      <c r="E172">
        <v>1246157883</v>
      </c>
      <c r="F172" s="30">
        <v>45472</v>
      </c>
      <c r="G172" s="30"/>
      <c r="H172" t="s">
        <v>28</v>
      </c>
      <c r="I172" t="s">
        <v>29</v>
      </c>
      <c r="J172">
        <v>3740</v>
      </c>
      <c r="K172" s="30">
        <v>45444</v>
      </c>
      <c r="L172">
        <v>1010100</v>
      </c>
      <c r="M172" t="s">
        <v>35</v>
      </c>
      <c r="N172">
        <v>161</v>
      </c>
      <c r="O172" t="s">
        <v>160</v>
      </c>
      <c r="P172" t="s">
        <v>419</v>
      </c>
      <c r="Q172">
        <f t="shared" si="6"/>
        <v>669</v>
      </c>
      <c r="R172" t="str">
        <f>_xlfn.XLOOKUP(P172,'Painel Additive'!$B:$B,'Painel Additive'!$B:$B,0)</f>
        <v>GRUPO YARA</v>
      </c>
      <c r="S172">
        <f t="shared" si="7"/>
        <v>28</v>
      </c>
    </row>
    <row r="173" spans="1:19" x14ac:dyDescent="0.25">
      <c r="A173">
        <v>10660</v>
      </c>
      <c r="B173" t="s">
        <v>112</v>
      </c>
      <c r="C173" t="s">
        <v>113</v>
      </c>
      <c r="D173" s="34">
        <v>1603.2</v>
      </c>
      <c r="E173">
        <v>1246176576</v>
      </c>
      <c r="F173" s="30">
        <v>45577</v>
      </c>
      <c r="G173" s="30"/>
      <c r="H173" t="s">
        <v>28</v>
      </c>
      <c r="I173" t="s">
        <v>29</v>
      </c>
      <c r="J173">
        <v>5264</v>
      </c>
      <c r="K173" s="30">
        <v>45549</v>
      </c>
      <c r="L173">
        <v>1010100</v>
      </c>
      <c r="M173" t="s">
        <v>35</v>
      </c>
      <c r="N173">
        <v>161</v>
      </c>
      <c r="O173" t="s">
        <v>160</v>
      </c>
      <c r="P173" t="s">
        <v>419</v>
      </c>
      <c r="Q173">
        <f t="shared" si="6"/>
        <v>564</v>
      </c>
      <c r="R173" t="str">
        <f>_xlfn.XLOOKUP(P173,'Painel Additive'!$B:$B,'Painel Additive'!$B:$B,0)</f>
        <v>GRUPO YARA</v>
      </c>
      <c r="S173">
        <f t="shared" si="7"/>
        <v>28</v>
      </c>
    </row>
    <row r="174" spans="1:19" x14ac:dyDescent="0.25">
      <c r="A174">
        <v>10660</v>
      </c>
      <c r="B174" t="s">
        <v>112</v>
      </c>
      <c r="C174" t="s">
        <v>113</v>
      </c>
      <c r="D174" s="34">
        <v>1282.56</v>
      </c>
      <c r="E174">
        <v>1246184893</v>
      </c>
      <c r="F174" s="30">
        <v>45623</v>
      </c>
      <c r="G174" s="30"/>
      <c r="H174" t="s">
        <v>28</v>
      </c>
      <c r="I174" t="s">
        <v>29</v>
      </c>
      <c r="J174">
        <v>5907</v>
      </c>
      <c r="K174" s="30">
        <v>45595</v>
      </c>
      <c r="L174">
        <v>1010100</v>
      </c>
      <c r="M174" t="s">
        <v>35</v>
      </c>
      <c r="N174">
        <v>161</v>
      </c>
      <c r="O174" t="s">
        <v>160</v>
      </c>
      <c r="P174" t="s">
        <v>419</v>
      </c>
      <c r="Q174">
        <f t="shared" si="6"/>
        <v>518</v>
      </c>
      <c r="R174" t="str">
        <f>_xlfn.XLOOKUP(P174,'Painel Additive'!$B:$B,'Painel Additive'!$B:$B,0)</f>
        <v>GRUPO YARA</v>
      </c>
      <c r="S174">
        <f t="shared" si="7"/>
        <v>28</v>
      </c>
    </row>
    <row r="175" spans="1:19" x14ac:dyDescent="0.25">
      <c r="A175">
        <v>10434</v>
      </c>
      <c r="B175" t="s">
        <v>109</v>
      </c>
      <c r="C175" t="s">
        <v>110</v>
      </c>
      <c r="D175" s="34">
        <v>101696.4</v>
      </c>
      <c r="E175">
        <v>1246272407</v>
      </c>
      <c r="F175" s="30">
        <v>46164</v>
      </c>
      <c r="G175" s="30"/>
      <c r="H175" t="s">
        <v>28</v>
      </c>
      <c r="I175" t="s">
        <v>29</v>
      </c>
      <c r="J175">
        <v>11209</v>
      </c>
      <c r="K175" s="30">
        <v>46136</v>
      </c>
      <c r="L175">
        <v>1010100</v>
      </c>
      <c r="M175" t="s">
        <v>35</v>
      </c>
      <c r="N175">
        <v>161</v>
      </c>
      <c r="O175" t="s">
        <v>160</v>
      </c>
      <c r="P175" t="s">
        <v>415</v>
      </c>
      <c r="Q175">
        <f t="shared" si="6"/>
        <v>-23</v>
      </c>
      <c r="R175" t="str">
        <f>_xlfn.XLOOKUP(P175,'Painel Additive'!$B:$B,'Painel Additive'!$B:$B,0)</f>
        <v>GRUPO CIBRA</v>
      </c>
      <c r="S175">
        <f t="shared" si="7"/>
        <v>28</v>
      </c>
    </row>
    <row r="176" spans="1:19" x14ac:dyDescent="0.25">
      <c r="A176">
        <v>10434</v>
      </c>
      <c r="B176" t="s">
        <v>109</v>
      </c>
      <c r="C176" t="s">
        <v>110</v>
      </c>
      <c r="D176" s="34">
        <v>101052</v>
      </c>
      <c r="E176">
        <v>1246271891</v>
      </c>
      <c r="F176" s="30">
        <v>46160</v>
      </c>
      <c r="G176" s="30"/>
      <c r="H176" t="s">
        <v>28</v>
      </c>
      <c r="I176" t="s">
        <v>29</v>
      </c>
      <c r="J176">
        <v>11178</v>
      </c>
      <c r="K176" s="30">
        <v>46132</v>
      </c>
      <c r="L176">
        <v>1010100</v>
      </c>
      <c r="M176" t="s">
        <v>35</v>
      </c>
      <c r="N176">
        <v>161</v>
      </c>
      <c r="O176" t="s">
        <v>160</v>
      </c>
      <c r="P176" t="s">
        <v>415</v>
      </c>
      <c r="Q176">
        <f t="shared" si="6"/>
        <v>-19</v>
      </c>
      <c r="R176" t="str">
        <f>_xlfn.XLOOKUP(P176,'Painel Additive'!$B:$B,'Painel Additive'!$B:$B,0)</f>
        <v>GRUPO CIBRA</v>
      </c>
      <c r="S176">
        <f t="shared" si="7"/>
        <v>28</v>
      </c>
    </row>
    <row r="177" spans="1:20" x14ac:dyDescent="0.25">
      <c r="A177">
        <v>10492</v>
      </c>
      <c r="B177" t="s">
        <v>111</v>
      </c>
      <c r="C177" t="s">
        <v>845</v>
      </c>
      <c r="D177" s="34">
        <v>83061.3</v>
      </c>
      <c r="E177">
        <v>1246271169</v>
      </c>
      <c r="F177" s="30">
        <v>46153</v>
      </c>
      <c r="G177" s="30"/>
      <c r="H177" t="s">
        <v>28</v>
      </c>
      <c r="I177" t="s">
        <v>29</v>
      </c>
      <c r="J177">
        <v>11106</v>
      </c>
      <c r="K177" s="30">
        <v>46125</v>
      </c>
      <c r="L177">
        <v>1010100</v>
      </c>
      <c r="M177" t="s">
        <v>35</v>
      </c>
      <c r="N177">
        <v>161</v>
      </c>
      <c r="O177" t="s">
        <v>160</v>
      </c>
      <c r="P177" t="s">
        <v>416</v>
      </c>
      <c r="Q177">
        <f t="shared" si="6"/>
        <v>-12</v>
      </c>
      <c r="R177" t="str">
        <f>_xlfn.XLOOKUP(P177,'Painel Additive'!$B:$B,'Painel Additive'!$B:$B,0)</f>
        <v>GRUPO UNIFERTIL</v>
      </c>
      <c r="S177">
        <f t="shared" si="7"/>
        <v>28</v>
      </c>
    </row>
    <row r="178" spans="1:20" x14ac:dyDescent="0.25">
      <c r="A178">
        <v>10492</v>
      </c>
      <c r="B178" t="s">
        <v>111</v>
      </c>
      <c r="C178" t="s">
        <v>845</v>
      </c>
      <c r="D178" s="34">
        <v>1698000</v>
      </c>
      <c r="E178">
        <v>1246272739</v>
      </c>
      <c r="F178" s="30">
        <v>46167</v>
      </c>
      <c r="G178" s="30"/>
      <c r="H178" t="s">
        <v>28</v>
      </c>
      <c r="I178" t="s">
        <v>29</v>
      </c>
      <c r="J178">
        <v>2894</v>
      </c>
      <c r="K178" s="30">
        <v>46139</v>
      </c>
      <c r="L178">
        <v>1010100</v>
      </c>
      <c r="M178" t="s">
        <v>35</v>
      </c>
      <c r="N178">
        <v>7</v>
      </c>
      <c r="O178" t="s">
        <v>646</v>
      </c>
      <c r="P178" t="s">
        <v>416</v>
      </c>
      <c r="Q178">
        <f t="shared" si="6"/>
        <v>-26</v>
      </c>
      <c r="R178" t="str">
        <f>_xlfn.XLOOKUP(P178,'Painel Additive'!$B:$B,'Painel Additive'!$B:$B,0)</f>
        <v>GRUPO UNIFERTIL</v>
      </c>
      <c r="S178">
        <f t="shared" si="7"/>
        <v>28</v>
      </c>
    </row>
    <row r="179" spans="1:20" x14ac:dyDescent="0.25">
      <c r="A179">
        <v>10492</v>
      </c>
      <c r="B179" t="s">
        <v>111</v>
      </c>
      <c r="C179" t="s">
        <v>845</v>
      </c>
      <c r="D179" s="34">
        <v>352080</v>
      </c>
      <c r="E179">
        <v>1246271663</v>
      </c>
      <c r="F179" s="30">
        <v>46157</v>
      </c>
      <c r="G179" s="30"/>
      <c r="H179" t="s">
        <v>28</v>
      </c>
      <c r="I179" t="s">
        <v>29</v>
      </c>
      <c r="J179">
        <v>2875</v>
      </c>
      <c r="K179" s="30">
        <v>46129</v>
      </c>
      <c r="L179">
        <v>1010100</v>
      </c>
      <c r="M179" t="s">
        <v>35</v>
      </c>
      <c r="N179">
        <v>161</v>
      </c>
      <c r="O179" t="s">
        <v>160</v>
      </c>
      <c r="P179" t="s">
        <v>416</v>
      </c>
      <c r="Q179">
        <f t="shared" si="6"/>
        <v>-16</v>
      </c>
      <c r="R179" t="str">
        <f>_xlfn.XLOOKUP(P179,'Painel Additive'!$B:$B,'Painel Additive'!$B:$B,0)</f>
        <v>GRUPO UNIFERTIL</v>
      </c>
      <c r="S179">
        <f t="shared" si="7"/>
        <v>28</v>
      </c>
    </row>
    <row r="180" spans="1:20" x14ac:dyDescent="0.25">
      <c r="A180">
        <v>13018</v>
      </c>
      <c r="B180" t="s">
        <v>676</v>
      </c>
      <c r="C180" t="s">
        <v>677</v>
      </c>
      <c r="D180" s="34">
        <v>63625.599999999999</v>
      </c>
      <c r="E180">
        <v>1246271772</v>
      </c>
      <c r="F180" s="30">
        <v>46157</v>
      </c>
      <c r="G180" s="30"/>
      <c r="H180" t="s">
        <v>28</v>
      </c>
      <c r="I180" t="s">
        <v>29</v>
      </c>
      <c r="J180">
        <v>11167</v>
      </c>
      <c r="K180" s="30">
        <v>46129</v>
      </c>
      <c r="L180">
        <v>1010100</v>
      </c>
      <c r="M180" t="s">
        <v>35</v>
      </c>
      <c r="N180">
        <v>161</v>
      </c>
      <c r="O180" t="s">
        <v>160</v>
      </c>
      <c r="P180" t="s">
        <v>674</v>
      </c>
      <c r="Q180">
        <f t="shared" si="6"/>
        <v>-16</v>
      </c>
      <c r="R180" t="str">
        <f>_xlfn.XLOOKUP(P180,'Painel Additive'!$B:$B,'Painel Additive'!$B:$B,0)</f>
        <v>ULTRAFERTIL</v>
      </c>
      <c r="S180">
        <f t="shared" si="7"/>
        <v>28</v>
      </c>
    </row>
    <row r="181" spans="1:20" x14ac:dyDescent="0.25">
      <c r="A181">
        <v>13018</v>
      </c>
      <c r="B181" t="s">
        <v>676</v>
      </c>
      <c r="C181" t="s">
        <v>677</v>
      </c>
      <c r="D181" s="34">
        <v>61407.199999999997</v>
      </c>
      <c r="E181">
        <v>1246271899</v>
      </c>
      <c r="F181" s="30">
        <v>46160</v>
      </c>
      <c r="G181" s="30"/>
      <c r="H181" t="s">
        <v>28</v>
      </c>
      <c r="I181" t="s">
        <v>29</v>
      </c>
      <c r="J181">
        <v>11180</v>
      </c>
      <c r="K181" s="30">
        <v>46132</v>
      </c>
      <c r="L181">
        <v>1010100</v>
      </c>
      <c r="M181" t="s">
        <v>35</v>
      </c>
      <c r="N181">
        <v>161</v>
      </c>
      <c r="O181" t="s">
        <v>160</v>
      </c>
      <c r="P181" t="s">
        <v>674</v>
      </c>
      <c r="Q181">
        <f t="shared" si="6"/>
        <v>-19</v>
      </c>
      <c r="R181" t="str">
        <f>_xlfn.XLOOKUP(P181,'Painel Additive'!$B:$B,'Painel Additive'!$B:$B,0)</f>
        <v>ULTRAFERTIL</v>
      </c>
      <c r="S181">
        <f t="shared" si="7"/>
        <v>28</v>
      </c>
    </row>
    <row r="182" spans="1:20" x14ac:dyDescent="0.25">
      <c r="A182">
        <v>13018</v>
      </c>
      <c r="B182" t="s">
        <v>676</v>
      </c>
      <c r="C182" t="s">
        <v>677</v>
      </c>
      <c r="D182" s="34">
        <v>63838</v>
      </c>
      <c r="E182">
        <v>1246271508</v>
      </c>
      <c r="F182" s="30">
        <v>46155</v>
      </c>
      <c r="G182" s="30"/>
      <c r="H182" t="s">
        <v>28</v>
      </c>
      <c r="I182" t="s">
        <v>29</v>
      </c>
      <c r="J182">
        <v>11134</v>
      </c>
      <c r="K182" s="30">
        <v>46127</v>
      </c>
      <c r="L182">
        <v>1010100</v>
      </c>
      <c r="M182" t="s">
        <v>35</v>
      </c>
      <c r="N182">
        <v>161</v>
      </c>
      <c r="O182" t="s">
        <v>160</v>
      </c>
      <c r="P182" t="s">
        <v>674</v>
      </c>
      <c r="Q182">
        <f t="shared" si="6"/>
        <v>-14</v>
      </c>
      <c r="R182" t="str">
        <f>_xlfn.XLOOKUP(P182,'Painel Additive'!$B:$B,'Painel Additive'!$B:$B,0)</f>
        <v>ULTRAFERTIL</v>
      </c>
      <c r="S182">
        <f t="shared" si="7"/>
        <v>28</v>
      </c>
    </row>
    <row r="183" spans="1:20" x14ac:dyDescent="0.25">
      <c r="A183">
        <v>13018</v>
      </c>
      <c r="B183" t="s">
        <v>676</v>
      </c>
      <c r="C183" t="s">
        <v>677</v>
      </c>
      <c r="D183" s="34">
        <v>327740.59999999998</v>
      </c>
      <c r="E183">
        <v>1246272485</v>
      </c>
      <c r="F183" s="30">
        <v>46164</v>
      </c>
      <c r="G183" s="30"/>
      <c r="H183" t="s">
        <v>28</v>
      </c>
      <c r="I183" t="s">
        <v>29</v>
      </c>
      <c r="J183">
        <v>11214</v>
      </c>
      <c r="K183" s="30">
        <v>46136</v>
      </c>
      <c r="L183">
        <v>1010100</v>
      </c>
      <c r="M183" t="s">
        <v>35</v>
      </c>
      <c r="N183">
        <v>161</v>
      </c>
      <c r="O183" t="s">
        <v>160</v>
      </c>
      <c r="P183" t="s">
        <v>674</v>
      </c>
      <c r="Q183">
        <f t="shared" si="6"/>
        <v>-23</v>
      </c>
      <c r="R183" t="str">
        <f>_xlfn.XLOOKUP(P183,'Painel Additive'!$B:$B,'Painel Additive'!$B:$B,0)</f>
        <v>ULTRAFERTIL</v>
      </c>
      <c r="S183">
        <f t="shared" si="7"/>
        <v>28</v>
      </c>
    </row>
    <row r="184" spans="1:20" x14ac:dyDescent="0.25">
      <c r="A184">
        <v>12741</v>
      </c>
      <c r="B184" t="s">
        <v>306</v>
      </c>
      <c r="C184" t="s">
        <v>854</v>
      </c>
      <c r="D184" s="34">
        <v>137256</v>
      </c>
      <c r="E184">
        <v>1246268240</v>
      </c>
      <c r="F184" s="30">
        <v>46167</v>
      </c>
      <c r="G184" s="30"/>
      <c r="H184" t="s">
        <v>28</v>
      </c>
      <c r="I184" t="s">
        <v>29</v>
      </c>
      <c r="J184">
        <v>10917</v>
      </c>
      <c r="K184" s="30">
        <v>46099</v>
      </c>
      <c r="L184">
        <v>1010100</v>
      </c>
      <c r="M184" t="s">
        <v>35</v>
      </c>
      <c r="N184">
        <v>161</v>
      </c>
      <c r="O184" t="s">
        <v>160</v>
      </c>
      <c r="P184" t="s">
        <v>427</v>
      </c>
      <c r="Q184">
        <f t="shared" si="6"/>
        <v>-26</v>
      </c>
      <c r="R184" t="str">
        <f>_xlfn.XLOOKUP(P184,'Painel Additive'!$B:$B,'Painel Additive'!$B:$B,0)</f>
        <v>GRUPO HINOVE</v>
      </c>
      <c r="S184">
        <f t="shared" si="7"/>
        <v>68</v>
      </c>
    </row>
    <row r="185" spans="1:20" x14ac:dyDescent="0.25">
      <c r="A185">
        <v>707</v>
      </c>
      <c r="B185" t="s">
        <v>53</v>
      </c>
      <c r="C185" t="s">
        <v>54</v>
      </c>
      <c r="D185" s="34">
        <v>40320</v>
      </c>
      <c r="E185">
        <v>1246146706</v>
      </c>
      <c r="F185" s="30">
        <v>45461</v>
      </c>
      <c r="G185" s="30"/>
      <c r="H185" t="s">
        <v>28</v>
      </c>
      <c r="I185" t="s">
        <v>29</v>
      </c>
      <c r="J185">
        <v>3619</v>
      </c>
      <c r="K185" s="30">
        <v>45433</v>
      </c>
      <c r="L185">
        <v>1010100</v>
      </c>
      <c r="M185" t="s">
        <v>35</v>
      </c>
      <c r="N185">
        <v>161</v>
      </c>
      <c r="O185" t="s">
        <v>160</v>
      </c>
      <c r="P185" t="s">
        <v>53</v>
      </c>
      <c r="Q185">
        <f t="shared" si="6"/>
        <v>680</v>
      </c>
      <c r="R185" t="str">
        <f>_xlfn.XLOOKUP(P185,'Painel Additive'!$B:$B,'Painel Additive'!$B:$B,0)</f>
        <v>TERRA FERTILIZANTES LTDA - ARAXÁ</v>
      </c>
      <c r="S185">
        <f t="shared" si="7"/>
        <v>28</v>
      </c>
    </row>
    <row r="186" spans="1:20" x14ac:dyDescent="0.25">
      <c r="A186">
        <v>707</v>
      </c>
      <c r="B186" t="s">
        <v>53</v>
      </c>
      <c r="C186" t="s">
        <v>54</v>
      </c>
      <c r="D186" s="34">
        <v>14640</v>
      </c>
      <c r="E186">
        <v>1246145696</v>
      </c>
      <c r="F186" s="30">
        <v>45454</v>
      </c>
      <c r="G186" s="30"/>
      <c r="H186" t="s">
        <v>28</v>
      </c>
      <c r="I186" t="s">
        <v>29</v>
      </c>
      <c r="J186">
        <v>3538</v>
      </c>
      <c r="K186" s="30">
        <v>45426</v>
      </c>
      <c r="L186">
        <v>1010100</v>
      </c>
      <c r="M186" t="s">
        <v>35</v>
      </c>
      <c r="N186">
        <v>161</v>
      </c>
      <c r="O186" t="s">
        <v>160</v>
      </c>
      <c r="P186" t="s">
        <v>53</v>
      </c>
      <c r="Q186">
        <f t="shared" si="6"/>
        <v>687</v>
      </c>
      <c r="R186" t="str">
        <f>_xlfn.XLOOKUP(P186,'Painel Additive'!$B:$B,'Painel Additive'!$B:$B,0)</f>
        <v>TERRA FERTILIZANTES LTDA - ARAXÁ</v>
      </c>
      <c r="S186">
        <f t="shared" si="7"/>
        <v>28</v>
      </c>
    </row>
    <row r="187" spans="1:20" x14ac:dyDescent="0.25">
      <c r="A187">
        <v>707</v>
      </c>
      <c r="B187" t="s">
        <v>53</v>
      </c>
      <c r="C187" t="s">
        <v>54</v>
      </c>
      <c r="D187" s="34">
        <v>43920</v>
      </c>
      <c r="E187">
        <v>1246148035</v>
      </c>
      <c r="F187" s="30">
        <v>45469</v>
      </c>
      <c r="G187" s="30"/>
      <c r="H187" t="s">
        <v>28</v>
      </c>
      <c r="I187" t="s">
        <v>29</v>
      </c>
      <c r="J187">
        <v>3722</v>
      </c>
      <c r="K187" s="30">
        <v>45441</v>
      </c>
      <c r="L187">
        <v>1010100</v>
      </c>
      <c r="M187" t="s">
        <v>35</v>
      </c>
      <c r="N187">
        <v>161</v>
      </c>
      <c r="O187" t="s">
        <v>160</v>
      </c>
      <c r="P187" t="s">
        <v>53</v>
      </c>
      <c r="Q187">
        <f t="shared" si="6"/>
        <v>672</v>
      </c>
      <c r="R187" t="str">
        <f>_xlfn.XLOOKUP(P187,'Painel Additive'!$B:$B,'Painel Additive'!$B:$B,0)</f>
        <v>TERRA FERTILIZANTES LTDA - ARAXÁ</v>
      </c>
      <c r="S187">
        <f t="shared" si="7"/>
        <v>28</v>
      </c>
    </row>
    <row r="188" spans="1:20" x14ac:dyDescent="0.25">
      <c r="A188">
        <v>707</v>
      </c>
      <c r="B188" t="s">
        <v>53</v>
      </c>
      <c r="C188" t="s">
        <v>54</v>
      </c>
      <c r="D188" s="34">
        <v>36600</v>
      </c>
      <c r="E188">
        <v>1246146938</v>
      </c>
      <c r="F188" s="30">
        <v>45462</v>
      </c>
      <c r="G188" s="30"/>
      <c r="H188" t="s">
        <v>28</v>
      </c>
      <c r="I188" t="s">
        <v>29</v>
      </c>
      <c r="J188">
        <v>3637</v>
      </c>
      <c r="K188" s="30">
        <v>45434</v>
      </c>
      <c r="L188">
        <v>1010100</v>
      </c>
      <c r="M188" t="s">
        <v>35</v>
      </c>
      <c r="N188">
        <v>161</v>
      </c>
      <c r="O188" t="s">
        <v>160</v>
      </c>
      <c r="P188" t="s">
        <v>53</v>
      </c>
      <c r="Q188">
        <f t="shared" si="6"/>
        <v>679</v>
      </c>
      <c r="R188" t="str">
        <f>_xlfn.XLOOKUP(P188,'Painel Additive'!$B:$B,'Painel Additive'!$B:$B,0)</f>
        <v>TERRA FERTILIZANTES LTDA - ARAXÁ</v>
      </c>
      <c r="S188">
        <f t="shared" si="7"/>
        <v>28</v>
      </c>
    </row>
    <row r="189" spans="1:20" x14ac:dyDescent="0.25">
      <c r="A189">
        <v>707</v>
      </c>
      <c r="B189" t="s">
        <v>53</v>
      </c>
      <c r="C189" t="s">
        <v>54</v>
      </c>
      <c r="D189" s="34">
        <v>33600</v>
      </c>
      <c r="E189">
        <v>1246148036</v>
      </c>
      <c r="F189" s="30">
        <v>45469</v>
      </c>
      <c r="G189" s="30"/>
      <c r="H189" t="s">
        <v>28</v>
      </c>
      <c r="I189" t="s">
        <v>29</v>
      </c>
      <c r="J189">
        <v>3723</v>
      </c>
      <c r="K189" s="30">
        <v>45441</v>
      </c>
      <c r="L189">
        <v>1010100</v>
      </c>
      <c r="M189" t="s">
        <v>35</v>
      </c>
      <c r="N189">
        <v>161</v>
      </c>
      <c r="O189" t="s">
        <v>160</v>
      </c>
      <c r="P189" t="s">
        <v>53</v>
      </c>
      <c r="Q189">
        <f t="shared" si="6"/>
        <v>672</v>
      </c>
      <c r="R189" t="str">
        <f>_xlfn.XLOOKUP(P189,'Painel Additive'!$B:$B,'Painel Additive'!$B:$B,0)</f>
        <v>TERRA FERTILIZANTES LTDA - ARAXÁ</v>
      </c>
      <c r="S189">
        <f t="shared" si="7"/>
        <v>28</v>
      </c>
    </row>
    <row r="190" spans="1:20" x14ac:dyDescent="0.25">
      <c r="A190">
        <v>707</v>
      </c>
      <c r="B190" t="s">
        <v>53</v>
      </c>
      <c r="C190" t="s">
        <v>54</v>
      </c>
      <c r="D190" s="34">
        <v>16800</v>
      </c>
      <c r="E190">
        <v>1246141445</v>
      </c>
      <c r="F190" s="30">
        <v>45433</v>
      </c>
      <c r="G190" s="30"/>
      <c r="H190" t="s">
        <v>28</v>
      </c>
      <c r="I190" t="s">
        <v>29</v>
      </c>
      <c r="J190">
        <v>3345</v>
      </c>
      <c r="K190" s="30">
        <v>45405</v>
      </c>
      <c r="L190">
        <v>1010100</v>
      </c>
      <c r="M190" t="s">
        <v>35</v>
      </c>
      <c r="N190">
        <v>161</v>
      </c>
      <c r="O190" t="s">
        <v>160</v>
      </c>
      <c r="P190" t="s">
        <v>53</v>
      </c>
      <c r="Q190">
        <f t="shared" si="6"/>
        <v>708</v>
      </c>
      <c r="R190" t="str">
        <f>_xlfn.XLOOKUP(P190,'Painel Additive'!$B:$B,'Painel Additive'!$B:$B,0)</f>
        <v>TERRA FERTILIZANTES LTDA - ARAXÁ</v>
      </c>
      <c r="S190">
        <f t="shared" si="7"/>
        <v>28</v>
      </c>
    </row>
    <row r="191" spans="1:20" x14ac:dyDescent="0.25">
      <c r="A191">
        <v>707</v>
      </c>
      <c r="B191" t="s">
        <v>53</v>
      </c>
      <c r="C191" t="s">
        <v>54</v>
      </c>
      <c r="D191" s="34">
        <v>40353.599999999999</v>
      </c>
      <c r="E191">
        <v>1246143397</v>
      </c>
      <c r="F191" s="30">
        <v>45443</v>
      </c>
      <c r="G191" s="30"/>
      <c r="H191" t="s">
        <v>28</v>
      </c>
      <c r="I191" t="s">
        <v>29</v>
      </c>
      <c r="J191">
        <v>3448</v>
      </c>
      <c r="K191" s="30">
        <v>45415</v>
      </c>
      <c r="L191">
        <v>1010100</v>
      </c>
      <c r="M191" t="s">
        <v>35</v>
      </c>
      <c r="N191">
        <v>161</v>
      </c>
      <c r="O191" t="s">
        <v>160</v>
      </c>
      <c r="P191" t="s">
        <v>53</v>
      </c>
      <c r="Q191">
        <f t="shared" si="6"/>
        <v>698</v>
      </c>
      <c r="R191" t="str">
        <f>_xlfn.XLOOKUP(P191,'Painel Additive'!$B:$B,'Painel Additive'!$B:$B,0)</f>
        <v>TERRA FERTILIZANTES LTDA - ARAXÁ</v>
      </c>
      <c r="S191">
        <f t="shared" si="7"/>
        <v>28</v>
      </c>
      <c r="T191">
        <f>F191-$R$1</f>
        <v>-698</v>
      </c>
    </row>
    <row r="192" spans="1:20" x14ac:dyDescent="0.25">
      <c r="A192">
        <v>1462</v>
      </c>
      <c r="B192" t="s">
        <v>65</v>
      </c>
      <c r="C192" t="s">
        <v>66</v>
      </c>
      <c r="D192" s="34">
        <v>37608.400000000001</v>
      </c>
      <c r="E192">
        <v>1246266894</v>
      </c>
      <c r="F192" s="30">
        <v>46147</v>
      </c>
      <c r="G192" s="30">
        <v>46147</v>
      </c>
      <c r="H192" t="s">
        <v>28</v>
      </c>
      <c r="I192" t="s">
        <v>29</v>
      </c>
      <c r="J192">
        <v>10834</v>
      </c>
      <c r="K192" s="30">
        <v>46087</v>
      </c>
      <c r="L192">
        <v>1010100</v>
      </c>
      <c r="M192" t="s">
        <v>35</v>
      </c>
      <c r="N192">
        <v>161</v>
      </c>
      <c r="O192" t="s">
        <v>160</v>
      </c>
      <c r="P192" t="s">
        <v>65</v>
      </c>
      <c r="Q192">
        <f t="shared" si="6"/>
        <v>-6</v>
      </c>
      <c r="R192" t="str">
        <f>_xlfn.XLOOKUP(P192,'Painel Additive'!$B:$B,'Painel Additive'!$B:$B,0)</f>
        <v>AURORA MINERAÇÃO LTDA</v>
      </c>
      <c r="S192">
        <f t="shared" si="7"/>
        <v>60</v>
      </c>
      <c r="T192">
        <f>F192-$R$1</f>
        <v>6</v>
      </c>
    </row>
    <row r="193" spans="1:20" x14ac:dyDescent="0.25">
      <c r="A193">
        <v>1462</v>
      </c>
      <c r="B193" t="s">
        <v>65</v>
      </c>
      <c r="C193" t="s">
        <v>66</v>
      </c>
      <c r="D193" s="34">
        <v>37608.400000000001</v>
      </c>
      <c r="E193">
        <v>1246266895</v>
      </c>
      <c r="F193" s="30">
        <v>46157</v>
      </c>
      <c r="G193" s="30"/>
      <c r="H193" t="s">
        <v>28</v>
      </c>
      <c r="I193" t="s">
        <v>29</v>
      </c>
      <c r="J193">
        <v>10834</v>
      </c>
      <c r="K193" s="30">
        <v>46087</v>
      </c>
      <c r="L193">
        <v>1010100</v>
      </c>
      <c r="M193" t="s">
        <v>35</v>
      </c>
      <c r="N193">
        <v>161</v>
      </c>
      <c r="O193" t="s">
        <v>160</v>
      </c>
      <c r="P193" t="s">
        <v>65</v>
      </c>
      <c r="Q193">
        <f t="shared" si="6"/>
        <v>-16</v>
      </c>
      <c r="R193" t="str">
        <f>_xlfn.XLOOKUP(P193,'Painel Additive'!$B:$B,'Painel Additive'!$B:$B,0)</f>
        <v>AURORA MINERAÇÃO LTDA</v>
      </c>
      <c r="S193">
        <f t="shared" si="7"/>
        <v>70</v>
      </c>
      <c r="T193">
        <f>F193-$R$1</f>
        <v>16</v>
      </c>
    </row>
    <row r="194" spans="1:20" x14ac:dyDescent="0.25">
      <c r="A194">
        <v>1462</v>
      </c>
      <c r="B194" t="s">
        <v>65</v>
      </c>
      <c r="C194" t="s">
        <v>66</v>
      </c>
      <c r="D194" s="34">
        <v>38160.199999999997</v>
      </c>
      <c r="E194">
        <v>1246270126</v>
      </c>
      <c r="F194" s="30">
        <v>46174</v>
      </c>
      <c r="G194" s="30"/>
      <c r="H194" t="s">
        <v>28</v>
      </c>
      <c r="I194" t="s">
        <v>29</v>
      </c>
      <c r="J194">
        <v>11041</v>
      </c>
      <c r="K194" s="30">
        <v>46114</v>
      </c>
      <c r="L194">
        <v>1010100</v>
      </c>
      <c r="M194" t="s">
        <v>35</v>
      </c>
      <c r="N194">
        <v>161</v>
      </c>
      <c r="O194" t="s">
        <v>160</v>
      </c>
      <c r="P194" t="s">
        <v>65</v>
      </c>
      <c r="Q194">
        <f t="shared" si="6"/>
        <v>-33</v>
      </c>
      <c r="R194" t="str">
        <f>_xlfn.XLOOKUP(P194,'Painel Additive'!$B:$B,'Painel Additive'!$B:$B,0)</f>
        <v>AURORA MINERAÇÃO LTDA</v>
      </c>
      <c r="S194">
        <f t="shared" si="7"/>
        <v>60</v>
      </c>
    </row>
    <row r="195" spans="1:20" x14ac:dyDescent="0.25">
      <c r="A195">
        <v>1462</v>
      </c>
      <c r="B195" t="s">
        <v>65</v>
      </c>
      <c r="C195" t="s">
        <v>66</v>
      </c>
      <c r="D195" s="34">
        <v>38160.199999999997</v>
      </c>
      <c r="E195">
        <v>1246270127</v>
      </c>
      <c r="F195" s="30">
        <v>46184</v>
      </c>
      <c r="G195" s="30"/>
      <c r="H195" t="s">
        <v>28</v>
      </c>
      <c r="I195" t="s">
        <v>29</v>
      </c>
      <c r="J195">
        <v>11041</v>
      </c>
      <c r="K195" s="30">
        <v>46114</v>
      </c>
      <c r="L195">
        <v>1010100</v>
      </c>
      <c r="M195" t="s">
        <v>35</v>
      </c>
      <c r="N195">
        <v>161</v>
      </c>
      <c r="O195" t="s">
        <v>160</v>
      </c>
      <c r="P195" t="s">
        <v>65</v>
      </c>
      <c r="Q195">
        <f t="shared" si="6"/>
        <v>-43</v>
      </c>
      <c r="R195" t="str">
        <f>_xlfn.XLOOKUP(P195,'Painel Additive'!$B:$B,'Painel Additive'!$B:$B,0)</f>
        <v>AURORA MINERAÇÃO LTDA</v>
      </c>
      <c r="S195">
        <f t="shared" si="7"/>
        <v>70</v>
      </c>
    </row>
    <row r="196" spans="1:20" x14ac:dyDescent="0.25">
      <c r="A196">
        <v>1462</v>
      </c>
      <c r="B196" t="s">
        <v>65</v>
      </c>
      <c r="C196" t="s">
        <v>66</v>
      </c>
      <c r="D196" s="34">
        <v>37491.5</v>
      </c>
      <c r="E196">
        <v>1246262009</v>
      </c>
      <c r="F196" s="30">
        <v>46125</v>
      </c>
      <c r="G196" s="30"/>
      <c r="H196" t="s">
        <v>28</v>
      </c>
      <c r="I196" t="s">
        <v>29</v>
      </c>
      <c r="J196">
        <v>10624</v>
      </c>
      <c r="K196" s="30">
        <v>46055</v>
      </c>
      <c r="L196">
        <v>1010100</v>
      </c>
      <c r="M196" t="s">
        <v>35</v>
      </c>
      <c r="N196">
        <v>161</v>
      </c>
      <c r="O196" t="s">
        <v>160</v>
      </c>
      <c r="P196" t="s">
        <v>65</v>
      </c>
      <c r="Q196">
        <f t="shared" si="6"/>
        <v>16</v>
      </c>
      <c r="R196" t="str">
        <f>_xlfn.XLOOKUP(P196,'Painel Additive'!$B:$B,'Painel Additive'!$B:$B,0)</f>
        <v>AURORA MINERAÇÃO LTDA</v>
      </c>
      <c r="S196">
        <f t="shared" si="7"/>
        <v>70</v>
      </c>
    </row>
    <row r="197" spans="1:20" x14ac:dyDescent="0.25">
      <c r="A197">
        <v>2011</v>
      </c>
      <c r="B197" t="s">
        <v>712</v>
      </c>
      <c r="C197" t="s">
        <v>545</v>
      </c>
      <c r="D197" s="34">
        <v>105829.4</v>
      </c>
      <c r="E197">
        <v>1246271331</v>
      </c>
      <c r="F197" s="30">
        <v>46154</v>
      </c>
      <c r="G197" s="30"/>
      <c r="H197" t="s">
        <v>28</v>
      </c>
      <c r="I197" t="s">
        <v>29</v>
      </c>
      <c r="J197">
        <v>11121</v>
      </c>
      <c r="K197" s="30">
        <v>46126</v>
      </c>
      <c r="L197">
        <v>1010100</v>
      </c>
      <c r="M197" t="s">
        <v>35</v>
      </c>
      <c r="N197">
        <v>161</v>
      </c>
      <c r="O197" t="s">
        <v>160</v>
      </c>
      <c r="P197" t="s">
        <v>712</v>
      </c>
      <c r="Q197">
        <f t="shared" si="6"/>
        <v>-13</v>
      </c>
      <c r="R197" t="str">
        <f>_xlfn.XLOOKUP(P197,'Painel Additive'!$B:$B,'Painel Additive'!$B:$B,0)</f>
        <v>FERTGROW S.A</v>
      </c>
      <c r="S197">
        <f t="shared" si="7"/>
        <v>28</v>
      </c>
    </row>
    <row r="198" spans="1:20" x14ac:dyDescent="0.25">
      <c r="A198">
        <v>2247</v>
      </c>
      <c r="B198" t="s">
        <v>490</v>
      </c>
      <c r="C198" t="s">
        <v>887</v>
      </c>
      <c r="D198" s="34">
        <v>12189</v>
      </c>
      <c r="E198">
        <v>1246272759</v>
      </c>
      <c r="F198" s="30">
        <v>46167</v>
      </c>
      <c r="G198" s="30"/>
      <c r="H198" t="s">
        <v>28</v>
      </c>
      <c r="I198" t="s">
        <v>29</v>
      </c>
      <c r="J198">
        <v>2896</v>
      </c>
      <c r="K198" s="30">
        <v>46139</v>
      </c>
      <c r="L198">
        <v>1010100</v>
      </c>
      <c r="M198" t="s">
        <v>35</v>
      </c>
      <c r="N198">
        <v>161</v>
      </c>
      <c r="O198" t="s">
        <v>160</v>
      </c>
      <c r="P198" t="s">
        <v>490</v>
      </c>
      <c r="Q198">
        <f t="shared" si="6"/>
        <v>-26</v>
      </c>
      <c r="R198" t="str">
        <f>_xlfn.XLOOKUP(P198,'Painel Additive'!$B:$B,'Painel Additive'!$B:$B,0)</f>
        <v>ADUBOS LEAO - LARANJEIRAS</v>
      </c>
      <c r="S198">
        <f t="shared" si="7"/>
        <v>28</v>
      </c>
    </row>
    <row r="199" spans="1:20" x14ac:dyDescent="0.25">
      <c r="A199">
        <v>2247</v>
      </c>
      <c r="B199" t="s">
        <v>490</v>
      </c>
      <c r="C199" t="s">
        <v>887</v>
      </c>
      <c r="D199" s="34">
        <v>12189</v>
      </c>
      <c r="E199">
        <v>1246272760</v>
      </c>
      <c r="F199" s="30">
        <v>46195</v>
      </c>
      <c r="G199" s="30"/>
      <c r="H199" t="s">
        <v>28</v>
      </c>
      <c r="I199" t="s">
        <v>29</v>
      </c>
      <c r="J199">
        <v>2896</v>
      </c>
      <c r="K199" s="30">
        <v>46139</v>
      </c>
      <c r="L199">
        <v>1010100</v>
      </c>
      <c r="M199" t="s">
        <v>35</v>
      </c>
      <c r="N199">
        <v>161</v>
      </c>
      <c r="O199" t="s">
        <v>160</v>
      </c>
      <c r="P199" t="s">
        <v>490</v>
      </c>
      <c r="Q199">
        <f t="shared" si="6"/>
        <v>-54</v>
      </c>
      <c r="R199" t="str">
        <f>_xlfn.XLOOKUP(P199,'Painel Additive'!$B:$B,'Painel Additive'!$B:$B,0)</f>
        <v>ADUBOS LEAO - LARANJEIRAS</v>
      </c>
      <c r="S199">
        <f t="shared" si="7"/>
        <v>56</v>
      </c>
    </row>
    <row r="200" spans="1:20" x14ac:dyDescent="0.25">
      <c r="A200">
        <v>2247</v>
      </c>
      <c r="B200" t="s">
        <v>490</v>
      </c>
      <c r="C200" t="s">
        <v>887</v>
      </c>
      <c r="D200" s="34">
        <v>956</v>
      </c>
      <c r="E200">
        <v>1246272577</v>
      </c>
      <c r="F200" s="30">
        <v>46164</v>
      </c>
      <c r="G200" s="30"/>
      <c r="H200" t="s">
        <v>28</v>
      </c>
      <c r="I200" t="s">
        <v>29</v>
      </c>
      <c r="J200">
        <v>2892</v>
      </c>
      <c r="K200" s="30">
        <v>46136</v>
      </c>
      <c r="L200">
        <v>1010100</v>
      </c>
      <c r="M200" t="s">
        <v>35</v>
      </c>
      <c r="N200">
        <v>161</v>
      </c>
      <c r="O200" t="s">
        <v>160</v>
      </c>
      <c r="P200" t="s">
        <v>490</v>
      </c>
      <c r="Q200">
        <f t="shared" si="6"/>
        <v>-23</v>
      </c>
      <c r="R200" t="str">
        <f>_xlfn.XLOOKUP(P200,'Painel Additive'!$B:$B,'Painel Additive'!$B:$B,0)</f>
        <v>ADUBOS LEAO - LARANJEIRAS</v>
      </c>
      <c r="S200">
        <f t="shared" si="7"/>
        <v>28</v>
      </c>
    </row>
    <row r="201" spans="1:20" x14ac:dyDescent="0.25">
      <c r="A201">
        <v>2247</v>
      </c>
      <c r="B201" t="s">
        <v>490</v>
      </c>
      <c r="C201" t="s">
        <v>887</v>
      </c>
      <c r="D201" s="34">
        <v>956</v>
      </c>
      <c r="E201">
        <v>1246272578</v>
      </c>
      <c r="F201" s="30">
        <v>46192</v>
      </c>
      <c r="G201" s="30"/>
      <c r="H201" t="s">
        <v>28</v>
      </c>
      <c r="I201" t="s">
        <v>29</v>
      </c>
      <c r="J201">
        <v>2892</v>
      </c>
      <c r="K201" s="30">
        <v>46136</v>
      </c>
      <c r="L201">
        <v>1010100</v>
      </c>
      <c r="M201" t="s">
        <v>35</v>
      </c>
      <c r="N201">
        <v>161</v>
      </c>
      <c r="O201" t="s">
        <v>160</v>
      </c>
      <c r="P201" t="s">
        <v>490</v>
      </c>
      <c r="Q201">
        <f t="shared" ref="Q201:Q202" si="8">$R$1-F201</f>
        <v>-51</v>
      </c>
      <c r="R201" t="str">
        <f>_xlfn.XLOOKUP(P201,'Painel Additive'!$B:$B,'Painel Additive'!$B:$B,0)</f>
        <v>ADUBOS LEAO - LARANJEIRAS</v>
      </c>
      <c r="S201">
        <f t="shared" ref="S201:S202" si="9">F201-K201</f>
        <v>56</v>
      </c>
    </row>
    <row r="202" spans="1:20" x14ac:dyDescent="0.25">
      <c r="A202">
        <v>3142</v>
      </c>
      <c r="B202" t="s">
        <v>88</v>
      </c>
      <c r="C202" t="s">
        <v>849</v>
      </c>
      <c r="D202" s="34">
        <v>44919</v>
      </c>
      <c r="E202">
        <v>1246272504</v>
      </c>
      <c r="F202" s="30">
        <v>46164</v>
      </c>
      <c r="G202" s="30"/>
      <c r="H202" t="s">
        <v>28</v>
      </c>
      <c r="I202" t="s">
        <v>29</v>
      </c>
      <c r="J202">
        <v>11215</v>
      </c>
      <c r="K202" s="30">
        <v>46136</v>
      </c>
      <c r="L202">
        <v>1010100</v>
      </c>
      <c r="M202" t="s">
        <v>35</v>
      </c>
      <c r="N202">
        <v>161</v>
      </c>
      <c r="O202" t="s">
        <v>160</v>
      </c>
      <c r="P202" t="s">
        <v>88</v>
      </c>
      <c r="Q202">
        <f t="shared" si="8"/>
        <v>-23</v>
      </c>
      <c r="R202" t="str">
        <f>_xlfn.XLOOKUP(P202,'Painel Additive'!$B:$B,'Painel Additive'!$B:$B,0)</f>
        <v>INTERFERTIL - SAO FRANCISCO DO SUL</v>
      </c>
      <c r="S202">
        <f t="shared" si="9"/>
        <v>28</v>
      </c>
    </row>
    <row r="203" spans="1:20" x14ac:dyDescent="0.25">
      <c r="A203">
        <v>2900</v>
      </c>
      <c r="B203" t="s">
        <v>546</v>
      </c>
      <c r="C203" t="s">
        <v>852</v>
      </c>
      <c r="D203" s="34">
        <v>46001.19</v>
      </c>
      <c r="E203">
        <v>1246272842</v>
      </c>
      <c r="F203" s="30">
        <v>46167</v>
      </c>
      <c r="G203" s="30"/>
      <c r="H203" t="s">
        <v>28</v>
      </c>
      <c r="I203" t="s">
        <v>29</v>
      </c>
      <c r="J203">
        <v>11234</v>
      </c>
      <c r="K203" s="30">
        <v>46139</v>
      </c>
      <c r="L203">
        <v>1010100</v>
      </c>
      <c r="M203" t="s">
        <v>35</v>
      </c>
      <c r="N203">
        <v>161</v>
      </c>
      <c r="O203" t="s">
        <v>160</v>
      </c>
      <c r="P203" t="s">
        <v>546</v>
      </c>
      <c r="Q203">
        <f t="shared" ref="Q203:Q216" si="10">$R$1-F203</f>
        <v>-26</v>
      </c>
      <c r="R203" t="str">
        <f>_xlfn.XLOOKUP(P203,'Painel Additive'!$B:$B,'Painel Additive'!$B:$B,0)</f>
        <v>BIOSAFRA - MARUIM</v>
      </c>
      <c r="S203">
        <f t="shared" ref="S203:S216" si="11">F203-K203</f>
        <v>28</v>
      </c>
    </row>
    <row r="204" spans="1:20" x14ac:dyDescent="0.25">
      <c r="A204">
        <v>2900</v>
      </c>
      <c r="B204" t="s">
        <v>546</v>
      </c>
      <c r="C204" t="s">
        <v>852</v>
      </c>
      <c r="D204" s="34">
        <v>46001.18</v>
      </c>
      <c r="E204">
        <v>1246272843</v>
      </c>
      <c r="F204" s="30">
        <v>46195</v>
      </c>
      <c r="G204" s="30"/>
      <c r="H204" t="s">
        <v>28</v>
      </c>
      <c r="I204" t="s">
        <v>29</v>
      </c>
      <c r="J204">
        <v>11234</v>
      </c>
      <c r="K204" s="30">
        <v>46139</v>
      </c>
      <c r="L204">
        <v>1010100</v>
      </c>
      <c r="M204" t="s">
        <v>35</v>
      </c>
      <c r="N204">
        <v>161</v>
      </c>
      <c r="O204" t="s">
        <v>160</v>
      </c>
      <c r="P204" t="s">
        <v>546</v>
      </c>
      <c r="Q204">
        <f t="shared" si="10"/>
        <v>-54</v>
      </c>
      <c r="R204" t="str">
        <f>_xlfn.XLOOKUP(P204,'Painel Additive'!$B:$B,'Painel Additive'!$B:$B,0)</f>
        <v>BIOSAFRA - MARUIM</v>
      </c>
      <c r="S204">
        <f t="shared" si="11"/>
        <v>56</v>
      </c>
    </row>
    <row r="205" spans="1:20" x14ac:dyDescent="0.25">
      <c r="A205">
        <v>2900</v>
      </c>
      <c r="B205" t="s">
        <v>546</v>
      </c>
      <c r="C205" t="s">
        <v>852</v>
      </c>
      <c r="D205" s="34">
        <v>17017.16</v>
      </c>
      <c r="E205">
        <v>1246267967</v>
      </c>
      <c r="F205" s="30">
        <v>46157</v>
      </c>
      <c r="G205" s="30"/>
      <c r="H205" t="s">
        <v>28</v>
      </c>
      <c r="I205" t="s">
        <v>29</v>
      </c>
      <c r="J205">
        <v>10901</v>
      </c>
      <c r="K205" s="30">
        <v>46097</v>
      </c>
      <c r="L205">
        <v>1010100</v>
      </c>
      <c r="M205" t="s">
        <v>35</v>
      </c>
      <c r="N205">
        <v>161</v>
      </c>
      <c r="O205" t="s">
        <v>160</v>
      </c>
      <c r="P205" t="s">
        <v>546</v>
      </c>
      <c r="Q205">
        <f t="shared" si="10"/>
        <v>-16</v>
      </c>
      <c r="R205" t="str">
        <f>_xlfn.XLOOKUP(P205,'Painel Additive'!$B:$B,'Painel Additive'!$B:$B,0)</f>
        <v>BIOSAFRA - MARUIM</v>
      </c>
      <c r="S205">
        <f t="shared" si="11"/>
        <v>60</v>
      </c>
    </row>
    <row r="206" spans="1:20" x14ac:dyDescent="0.25">
      <c r="A206">
        <v>2900</v>
      </c>
      <c r="B206" t="s">
        <v>546</v>
      </c>
      <c r="C206" t="s">
        <v>852</v>
      </c>
      <c r="D206" s="34">
        <v>17017.16</v>
      </c>
      <c r="E206">
        <v>1246267968</v>
      </c>
      <c r="F206" s="30">
        <v>46187</v>
      </c>
      <c r="G206" s="30"/>
      <c r="H206" t="s">
        <v>28</v>
      </c>
      <c r="I206" t="s">
        <v>29</v>
      </c>
      <c r="J206">
        <v>10901</v>
      </c>
      <c r="K206" s="30">
        <v>46097</v>
      </c>
      <c r="L206">
        <v>1010100</v>
      </c>
      <c r="M206" t="s">
        <v>35</v>
      </c>
      <c r="N206">
        <v>161</v>
      </c>
      <c r="O206" t="s">
        <v>160</v>
      </c>
      <c r="P206" t="s">
        <v>546</v>
      </c>
      <c r="Q206">
        <f t="shared" si="10"/>
        <v>-46</v>
      </c>
      <c r="R206" t="str">
        <f>_xlfn.XLOOKUP(P206,'Painel Additive'!$B:$B,'Painel Additive'!$B:$B,0)</f>
        <v>BIOSAFRA - MARUIM</v>
      </c>
      <c r="S206">
        <f t="shared" si="11"/>
        <v>90</v>
      </c>
    </row>
    <row r="207" spans="1:20" x14ac:dyDescent="0.25">
      <c r="A207">
        <v>2900</v>
      </c>
      <c r="B207" t="s">
        <v>546</v>
      </c>
      <c r="C207" t="s">
        <v>852</v>
      </c>
      <c r="D207" s="34">
        <v>10112.23</v>
      </c>
      <c r="E207">
        <v>1246272847</v>
      </c>
      <c r="F207" s="30">
        <v>46167</v>
      </c>
      <c r="G207" s="30"/>
      <c r="H207" t="s">
        <v>28</v>
      </c>
      <c r="I207" t="s">
        <v>29</v>
      </c>
      <c r="J207">
        <v>11236</v>
      </c>
      <c r="K207" s="30">
        <v>46139</v>
      </c>
      <c r="L207">
        <v>1010100</v>
      </c>
      <c r="M207" t="s">
        <v>35</v>
      </c>
      <c r="N207">
        <v>161</v>
      </c>
      <c r="O207" t="s">
        <v>160</v>
      </c>
      <c r="P207" t="s">
        <v>546</v>
      </c>
      <c r="Q207">
        <f t="shared" si="10"/>
        <v>-26</v>
      </c>
      <c r="R207" t="str">
        <f>_xlfn.XLOOKUP(P207,'Painel Additive'!$B:$B,'Painel Additive'!$B:$B,0)</f>
        <v>BIOSAFRA - MARUIM</v>
      </c>
      <c r="S207">
        <f t="shared" si="11"/>
        <v>28</v>
      </c>
    </row>
    <row r="208" spans="1:20" x14ac:dyDescent="0.25">
      <c r="A208">
        <v>2900</v>
      </c>
      <c r="B208" t="s">
        <v>546</v>
      </c>
      <c r="C208" t="s">
        <v>852</v>
      </c>
      <c r="D208" s="34">
        <v>10112.23</v>
      </c>
      <c r="E208">
        <v>1246272848</v>
      </c>
      <c r="F208" s="30">
        <v>46195</v>
      </c>
      <c r="G208" s="30"/>
      <c r="H208" t="s">
        <v>28</v>
      </c>
      <c r="I208" t="s">
        <v>29</v>
      </c>
      <c r="J208">
        <v>11236</v>
      </c>
      <c r="K208" s="30">
        <v>46139</v>
      </c>
      <c r="L208">
        <v>1010100</v>
      </c>
      <c r="M208" t="s">
        <v>35</v>
      </c>
      <c r="N208">
        <v>161</v>
      </c>
      <c r="O208" t="s">
        <v>160</v>
      </c>
      <c r="P208" t="s">
        <v>546</v>
      </c>
      <c r="Q208">
        <f t="shared" si="10"/>
        <v>-54</v>
      </c>
      <c r="R208" t="str">
        <f>_xlfn.XLOOKUP(P208,'Painel Additive'!$B:$B,'Painel Additive'!$B:$B,0)</f>
        <v>BIOSAFRA - MARUIM</v>
      </c>
      <c r="S208">
        <f t="shared" si="11"/>
        <v>56</v>
      </c>
    </row>
    <row r="209" spans="1:19" x14ac:dyDescent="0.25">
      <c r="A209">
        <v>2900</v>
      </c>
      <c r="B209" t="s">
        <v>546</v>
      </c>
      <c r="C209" t="s">
        <v>852</v>
      </c>
      <c r="D209" s="34">
        <v>2225.04</v>
      </c>
      <c r="E209">
        <v>1246272845</v>
      </c>
      <c r="F209" s="30">
        <v>46167</v>
      </c>
      <c r="G209" s="30"/>
      <c r="H209" t="s">
        <v>28</v>
      </c>
      <c r="I209" t="s">
        <v>29</v>
      </c>
      <c r="J209">
        <v>11235</v>
      </c>
      <c r="K209" s="30">
        <v>46139</v>
      </c>
      <c r="L209">
        <v>1010100</v>
      </c>
      <c r="M209" t="s">
        <v>35</v>
      </c>
      <c r="N209">
        <v>161</v>
      </c>
      <c r="O209" t="s">
        <v>160</v>
      </c>
      <c r="P209" t="s">
        <v>546</v>
      </c>
      <c r="Q209">
        <f t="shared" si="10"/>
        <v>-26</v>
      </c>
      <c r="R209" t="str">
        <f>_xlfn.XLOOKUP(P209,'Painel Additive'!$B:$B,'Painel Additive'!$B:$B,0)</f>
        <v>BIOSAFRA - MARUIM</v>
      </c>
      <c r="S209">
        <f t="shared" si="11"/>
        <v>28</v>
      </c>
    </row>
    <row r="210" spans="1:19" x14ac:dyDescent="0.25">
      <c r="A210">
        <v>2900</v>
      </c>
      <c r="B210" t="s">
        <v>546</v>
      </c>
      <c r="C210" t="s">
        <v>852</v>
      </c>
      <c r="D210" s="34">
        <v>2225.04</v>
      </c>
      <c r="E210">
        <v>1246272846</v>
      </c>
      <c r="F210" s="30">
        <v>46195</v>
      </c>
      <c r="G210" s="30"/>
      <c r="H210" t="s">
        <v>28</v>
      </c>
      <c r="I210" t="s">
        <v>29</v>
      </c>
      <c r="J210">
        <v>11235</v>
      </c>
      <c r="K210" s="30">
        <v>46139</v>
      </c>
      <c r="L210">
        <v>1010100</v>
      </c>
      <c r="M210" t="s">
        <v>35</v>
      </c>
      <c r="N210">
        <v>161</v>
      </c>
      <c r="O210" t="s">
        <v>160</v>
      </c>
      <c r="P210" t="s">
        <v>546</v>
      </c>
      <c r="Q210">
        <f t="shared" si="10"/>
        <v>-54</v>
      </c>
      <c r="R210" t="str">
        <f>_xlfn.XLOOKUP(P210,'Painel Additive'!$B:$B,'Painel Additive'!$B:$B,0)</f>
        <v>BIOSAFRA - MARUIM</v>
      </c>
      <c r="S210">
        <f t="shared" si="11"/>
        <v>56</v>
      </c>
    </row>
    <row r="211" spans="1:19" x14ac:dyDescent="0.25">
      <c r="A211">
        <v>2900</v>
      </c>
      <c r="B211" t="s">
        <v>546</v>
      </c>
      <c r="C211" t="s">
        <v>852</v>
      </c>
      <c r="D211" s="34">
        <v>32495.81</v>
      </c>
      <c r="E211">
        <v>1246267972</v>
      </c>
      <c r="F211" s="30">
        <v>46157</v>
      </c>
      <c r="G211" s="30"/>
      <c r="H211" t="s">
        <v>28</v>
      </c>
      <c r="I211" t="s">
        <v>29</v>
      </c>
      <c r="J211">
        <v>10902</v>
      </c>
      <c r="K211" s="30">
        <v>46097</v>
      </c>
      <c r="L211">
        <v>1010100</v>
      </c>
      <c r="M211" t="s">
        <v>35</v>
      </c>
      <c r="N211">
        <v>161</v>
      </c>
      <c r="O211" t="s">
        <v>160</v>
      </c>
      <c r="P211" t="s">
        <v>546</v>
      </c>
      <c r="Q211">
        <f t="shared" si="10"/>
        <v>-16</v>
      </c>
      <c r="R211" t="str">
        <f>_xlfn.XLOOKUP(P211,'Painel Additive'!$B:$B,'Painel Additive'!$B:$B,0)</f>
        <v>BIOSAFRA - MARUIM</v>
      </c>
      <c r="S211">
        <f t="shared" si="11"/>
        <v>60</v>
      </c>
    </row>
    <row r="212" spans="1:19" x14ac:dyDescent="0.25">
      <c r="A212">
        <v>2900</v>
      </c>
      <c r="B212" t="s">
        <v>546</v>
      </c>
      <c r="C212" t="s">
        <v>852</v>
      </c>
      <c r="D212" s="34">
        <v>32495.82</v>
      </c>
      <c r="E212">
        <v>1246267973</v>
      </c>
      <c r="F212" s="30">
        <v>46187</v>
      </c>
      <c r="G212" s="30"/>
      <c r="H212" t="s">
        <v>28</v>
      </c>
      <c r="I212" t="s">
        <v>29</v>
      </c>
      <c r="J212">
        <v>10902</v>
      </c>
      <c r="K212" s="30">
        <v>46097</v>
      </c>
      <c r="L212">
        <v>1010100</v>
      </c>
      <c r="M212" t="s">
        <v>35</v>
      </c>
      <c r="N212">
        <v>161</v>
      </c>
      <c r="O212" t="s">
        <v>160</v>
      </c>
      <c r="P212" t="s">
        <v>546</v>
      </c>
      <c r="Q212">
        <f t="shared" si="10"/>
        <v>-46</v>
      </c>
      <c r="R212" t="str">
        <f>_xlfn.XLOOKUP(P212,'Painel Additive'!$B:$B,'Painel Additive'!$B:$B,0)</f>
        <v>BIOSAFRA - MARUIM</v>
      </c>
      <c r="S212">
        <f t="shared" si="11"/>
        <v>90</v>
      </c>
    </row>
    <row r="213" spans="1:19" x14ac:dyDescent="0.25">
      <c r="A213">
        <v>2622</v>
      </c>
      <c r="B213" t="s">
        <v>83</v>
      </c>
      <c r="C213" t="s">
        <v>561</v>
      </c>
      <c r="D213" s="34">
        <v>410856.52</v>
      </c>
      <c r="E213">
        <v>1246268936</v>
      </c>
      <c r="F213" s="30">
        <v>46196</v>
      </c>
      <c r="G213" s="30"/>
      <c r="H213" t="s">
        <v>28</v>
      </c>
      <c r="I213" t="s">
        <v>29</v>
      </c>
      <c r="J213">
        <v>2842</v>
      </c>
      <c r="K213" s="30">
        <v>46106</v>
      </c>
      <c r="L213">
        <v>1010100</v>
      </c>
      <c r="M213" t="s">
        <v>35</v>
      </c>
      <c r="N213">
        <v>161</v>
      </c>
      <c r="O213" t="s">
        <v>160</v>
      </c>
      <c r="P213" t="s">
        <v>83</v>
      </c>
      <c r="Q213">
        <f t="shared" si="10"/>
        <v>-55</v>
      </c>
      <c r="R213" t="str">
        <f>_xlfn.XLOOKUP(P213,'Painel Additive'!$B:$B,'Painel Additive'!$B:$B,0)</f>
        <v>ADUFERTIL JUNDIAI</v>
      </c>
      <c r="S213">
        <f t="shared" si="11"/>
        <v>90</v>
      </c>
    </row>
    <row r="214" spans="1:19" x14ac:dyDescent="0.25">
      <c r="A214">
        <v>2975</v>
      </c>
      <c r="B214" t="s">
        <v>485</v>
      </c>
      <c r="C214" t="s">
        <v>86</v>
      </c>
      <c r="D214" s="34">
        <v>80079.3</v>
      </c>
      <c r="E214">
        <v>1246271560</v>
      </c>
      <c r="F214" s="30">
        <v>46156</v>
      </c>
      <c r="G214" s="30"/>
      <c r="H214" t="s">
        <v>28</v>
      </c>
      <c r="I214" t="s">
        <v>29</v>
      </c>
      <c r="J214">
        <v>11138</v>
      </c>
      <c r="K214" s="30">
        <v>46128</v>
      </c>
      <c r="L214">
        <v>1010100</v>
      </c>
      <c r="M214" t="s">
        <v>35</v>
      </c>
      <c r="N214">
        <v>161</v>
      </c>
      <c r="O214" t="s">
        <v>160</v>
      </c>
      <c r="P214" t="s">
        <v>485</v>
      </c>
      <c r="Q214">
        <f t="shared" si="10"/>
        <v>-15</v>
      </c>
      <c r="R214" t="str">
        <f>_xlfn.XLOOKUP(P214,'Painel Additive'!$B:$B,'Painel Additive'!$B:$B,0)</f>
        <v>COONAGRO COOPERATIVA - PARANAGUA</v>
      </c>
      <c r="S214">
        <f t="shared" si="11"/>
        <v>28</v>
      </c>
    </row>
    <row r="215" spans="1:19" x14ac:dyDescent="0.25">
      <c r="A215">
        <v>5519</v>
      </c>
      <c r="B215" t="s">
        <v>302</v>
      </c>
      <c r="C215" t="s">
        <v>876</v>
      </c>
      <c r="D215" s="34">
        <v>43569.75</v>
      </c>
      <c r="E215">
        <v>1246269683</v>
      </c>
      <c r="F215" s="30">
        <v>46172</v>
      </c>
      <c r="G215" s="30"/>
      <c r="H215" t="s">
        <v>28</v>
      </c>
      <c r="I215" t="s">
        <v>29</v>
      </c>
      <c r="J215">
        <v>11012</v>
      </c>
      <c r="K215" s="30">
        <v>46112</v>
      </c>
      <c r="L215">
        <v>1010100</v>
      </c>
      <c r="M215" t="s">
        <v>35</v>
      </c>
      <c r="N215">
        <v>161</v>
      </c>
      <c r="O215" t="s">
        <v>160</v>
      </c>
      <c r="P215" t="s">
        <v>302</v>
      </c>
      <c r="Q215">
        <f t="shared" si="10"/>
        <v>-31</v>
      </c>
      <c r="R215" t="str">
        <f>_xlfn.XLOOKUP(P215,'Painel Additive'!$B:$B,'Painel Additive'!$B:$B,0)</f>
        <v>GRANUPAR - RIO BRANCO DO SUL</v>
      </c>
      <c r="S215">
        <f t="shared" si="11"/>
        <v>60</v>
      </c>
    </row>
    <row r="216" spans="1:19" x14ac:dyDescent="0.25">
      <c r="A216">
        <v>6177</v>
      </c>
      <c r="B216" t="s">
        <v>729</v>
      </c>
      <c r="C216" t="s">
        <v>799</v>
      </c>
      <c r="D216" s="34">
        <v>122180</v>
      </c>
      <c r="E216">
        <v>1246273001</v>
      </c>
      <c r="F216" s="30">
        <v>46200</v>
      </c>
      <c r="G216" s="30"/>
      <c r="H216" t="s">
        <v>28</v>
      </c>
      <c r="I216" t="s">
        <v>29</v>
      </c>
      <c r="J216">
        <v>11247</v>
      </c>
      <c r="K216" s="30">
        <v>46140</v>
      </c>
      <c r="L216">
        <v>1010100</v>
      </c>
      <c r="M216" t="s">
        <v>35</v>
      </c>
      <c r="N216">
        <v>161</v>
      </c>
      <c r="O216" t="s">
        <v>160</v>
      </c>
      <c r="P216" t="s">
        <v>729</v>
      </c>
      <c r="Q216">
        <f t="shared" si="10"/>
        <v>-59</v>
      </c>
      <c r="R216" t="str">
        <f>_xlfn.XLOOKUP(P216,'Painel Additive'!$B:$B,'Painel Additive'!$B:$B,0)</f>
        <v>NUTRIENTES IND DE FERTILIZANTES LTDA</v>
      </c>
      <c r="S216">
        <f t="shared" si="11"/>
        <v>60</v>
      </c>
    </row>
    <row r="217" spans="1:19" x14ac:dyDescent="0.25">
      <c r="A217">
        <v>6177</v>
      </c>
      <c r="B217" t="s">
        <v>729</v>
      </c>
      <c r="C217" t="s">
        <v>799</v>
      </c>
      <c r="D217" s="34">
        <v>121852</v>
      </c>
      <c r="E217">
        <v>1246269467</v>
      </c>
      <c r="F217" s="30">
        <v>46168</v>
      </c>
      <c r="G217" s="30"/>
      <c r="H217" t="s">
        <v>28</v>
      </c>
      <c r="I217" t="s">
        <v>29</v>
      </c>
      <c r="J217">
        <v>10994</v>
      </c>
      <c r="K217" s="30">
        <v>46108</v>
      </c>
      <c r="L217">
        <v>1010100</v>
      </c>
      <c r="M217" t="s">
        <v>35</v>
      </c>
      <c r="N217">
        <v>161</v>
      </c>
      <c r="O217" t="s">
        <v>160</v>
      </c>
      <c r="P217" t="s">
        <v>729</v>
      </c>
      <c r="Q217">
        <f t="shared" ref="Q217:Q226" si="12">$R$1-F217</f>
        <v>-27</v>
      </c>
      <c r="R217" t="str">
        <f>_xlfn.XLOOKUP(P217,'Painel Additive'!$B:$B,'Painel Additive'!$B:$B,0)</f>
        <v>NUTRIENTES IND DE FERTILIZANTES LTDA</v>
      </c>
      <c r="S217">
        <f t="shared" ref="S217:S226" si="13">F217-K217</f>
        <v>60</v>
      </c>
    </row>
    <row r="218" spans="1:19" x14ac:dyDescent="0.25">
      <c r="A218">
        <v>5300</v>
      </c>
      <c r="B218" t="s">
        <v>30</v>
      </c>
      <c r="C218" t="s">
        <v>547</v>
      </c>
      <c r="D218" s="34">
        <v>175004.1</v>
      </c>
      <c r="E218">
        <v>1246270198</v>
      </c>
      <c r="F218" s="30">
        <v>46142</v>
      </c>
      <c r="G218" s="30">
        <v>46146</v>
      </c>
      <c r="H218" t="s">
        <v>28</v>
      </c>
      <c r="I218" t="s">
        <v>29</v>
      </c>
      <c r="J218">
        <v>11048</v>
      </c>
      <c r="K218" s="30">
        <v>46114</v>
      </c>
      <c r="L218">
        <v>1010100</v>
      </c>
      <c r="M218" t="s">
        <v>35</v>
      </c>
      <c r="N218">
        <v>161</v>
      </c>
      <c r="O218" t="s">
        <v>160</v>
      </c>
      <c r="P218" t="s">
        <v>30</v>
      </c>
      <c r="Q218">
        <f t="shared" si="12"/>
        <v>-1</v>
      </c>
      <c r="R218" t="str">
        <f>_xlfn.XLOOKUP(P218,'Painel Additive'!$B:$B,'Painel Additive'!$B:$B,0)</f>
        <v>FOSNOR - LUIS EDUARDO MAGALHAES</v>
      </c>
      <c r="S218">
        <f t="shared" si="13"/>
        <v>28</v>
      </c>
    </row>
    <row r="219" spans="1:19" x14ac:dyDescent="0.25">
      <c r="A219">
        <v>5300</v>
      </c>
      <c r="B219" t="s">
        <v>30</v>
      </c>
      <c r="C219" t="s">
        <v>547</v>
      </c>
      <c r="D219" s="34">
        <v>169176.4</v>
      </c>
      <c r="E219">
        <v>1246273181</v>
      </c>
      <c r="F219" s="30">
        <v>46170</v>
      </c>
      <c r="G219" s="30"/>
      <c r="H219" t="s">
        <v>28</v>
      </c>
      <c r="I219" t="s">
        <v>29</v>
      </c>
      <c r="J219">
        <v>11268</v>
      </c>
      <c r="K219" s="30">
        <v>46142</v>
      </c>
      <c r="L219">
        <v>1010100</v>
      </c>
      <c r="M219" t="s">
        <v>35</v>
      </c>
      <c r="N219">
        <v>161</v>
      </c>
      <c r="O219" t="s">
        <v>160</v>
      </c>
      <c r="P219" t="s">
        <v>30</v>
      </c>
      <c r="Q219">
        <f t="shared" si="12"/>
        <v>-29</v>
      </c>
      <c r="R219" t="str">
        <f>_xlfn.XLOOKUP(P219,'Painel Additive'!$B:$B,'Painel Additive'!$B:$B,0)</f>
        <v>FOSNOR - LUIS EDUARDO MAGALHAES</v>
      </c>
      <c r="S219">
        <f t="shared" si="13"/>
        <v>28</v>
      </c>
    </row>
    <row r="220" spans="1:19" x14ac:dyDescent="0.25">
      <c r="A220">
        <v>5300</v>
      </c>
      <c r="B220" t="s">
        <v>30</v>
      </c>
      <c r="C220" t="s">
        <v>547</v>
      </c>
      <c r="D220" s="34">
        <v>173157.7</v>
      </c>
      <c r="E220">
        <v>1246271143</v>
      </c>
      <c r="F220" s="30">
        <v>46153</v>
      </c>
      <c r="G220" s="30"/>
      <c r="H220" t="s">
        <v>28</v>
      </c>
      <c r="I220" t="s">
        <v>29</v>
      </c>
      <c r="J220">
        <v>11104</v>
      </c>
      <c r="K220" s="30">
        <v>46125</v>
      </c>
      <c r="L220">
        <v>1010100</v>
      </c>
      <c r="M220" t="s">
        <v>35</v>
      </c>
      <c r="N220">
        <v>161</v>
      </c>
      <c r="O220" t="s">
        <v>160</v>
      </c>
      <c r="P220" t="s">
        <v>30</v>
      </c>
      <c r="Q220">
        <f t="shared" si="12"/>
        <v>-12</v>
      </c>
      <c r="R220" t="str">
        <f>_xlfn.XLOOKUP(P220,'Painel Additive'!$B:$B,'Painel Additive'!$B:$B,0)</f>
        <v>FOSNOR - LUIS EDUARDO MAGALHAES</v>
      </c>
      <c r="S220">
        <f t="shared" si="13"/>
        <v>28</v>
      </c>
    </row>
    <row r="221" spans="1:19" x14ac:dyDescent="0.25">
      <c r="A221">
        <v>4575</v>
      </c>
      <c r="B221" t="s">
        <v>90</v>
      </c>
      <c r="C221" t="s">
        <v>91</v>
      </c>
      <c r="D221" s="34">
        <v>20940</v>
      </c>
      <c r="E221">
        <v>1246113043</v>
      </c>
      <c r="F221" s="30">
        <v>45311</v>
      </c>
      <c r="G221" s="30"/>
      <c r="H221" t="s">
        <v>28</v>
      </c>
      <c r="I221" t="s">
        <v>29</v>
      </c>
      <c r="J221">
        <v>1821</v>
      </c>
      <c r="K221" s="30">
        <v>45233</v>
      </c>
      <c r="L221">
        <v>1010100</v>
      </c>
      <c r="M221" t="s">
        <v>35</v>
      </c>
      <c r="N221">
        <v>161</v>
      </c>
      <c r="O221" t="s">
        <v>160</v>
      </c>
      <c r="P221" t="s">
        <v>90</v>
      </c>
      <c r="Q221">
        <f t="shared" si="12"/>
        <v>830</v>
      </c>
      <c r="R221" t="str">
        <f>_xlfn.XLOOKUP(P221,'Painel Additive'!$B:$B,'Painel Additive'!$B:$B,0)</f>
        <v>GLINFERTIL - SAO FRANCISCO DO SUL</v>
      </c>
      <c r="S221">
        <f t="shared" si="13"/>
        <v>78</v>
      </c>
    </row>
    <row r="222" spans="1:19" x14ac:dyDescent="0.25">
      <c r="A222">
        <v>7022</v>
      </c>
      <c r="B222" t="s">
        <v>774</v>
      </c>
      <c r="C222" t="s">
        <v>100</v>
      </c>
      <c r="D222" s="34">
        <v>70658.399999999994</v>
      </c>
      <c r="E222">
        <v>1246270917</v>
      </c>
      <c r="F222" s="30">
        <v>46211</v>
      </c>
      <c r="G222" s="30"/>
      <c r="H222" t="s">
        <v>28</v>
      </c>
      <c r="I222" t="s">
        <v>29</v>
      </c>
      <c r="J222">
        <v>11081</v>
      </c>
      <c r="K222" s="30">
        <v>46121</v>
      </c>
      <c r="L222">
        <v>1010100</v>
      </c>
      <c r="M222" t="s">
        <v>35</v>
      </c>
      <c r="N222">
        <v>161</v>
      </c>
      <c r="O222" t="s">
        <v>160</v>
      </c>
      <c r="P222" t="s">
        <v>774</v>
      </c>
      <c r="Q222">
        <f t="shared" si="12"/>
        <v>-70</v>
      </c>
      <c r="R222" t="str">
        <f>_xlfn.XLOOKUP(P222,'Painel Additive'!$B:$B,'Painel Additive'!$B:$B,0)</f>
        <v>STRATOS/MOSAIC - ROSARIO DO CATETE</v>
      </c>
      <c r="S222">
        <f t="shared" si="13"/>
        <v>90</v>
      </c>
    </row>
    <row r="223" spans="1:19" x14ac:dyDescent="0.25">
      <c r="A223">
        <v>7022</v>
      </c>
      <c r="B223" t="s">
        <v>774</v>
      </c>
      <c r="C223" t="s">
        <v>100</v>
      </c>
      <c r="D223" s="34">
        <v>70894.399999999994</v>
      </c>
      <c r="E223">
        <v>1246270966</v>
      </c>
      <c r="F223" s="30">
        <v>46212</v>
      </c>
      <c r="G223" s="30"/>
      <c r="H223" t="s">
        <v>28</v>
      </c>
      <c r="I223" t="s">
        <v>29</v>
      </c>
      <c r="J223">
        <v>11087</v>
      </c>
      <c r="K223" s="30">
        <v>46122</v>
      </c>
      <c r="L223">
        <v>1010100</v>
      </c>
      <c r="M223" t="s">
        <v>35</v>
      </c>
      <c r="N223">
        <v>161</v>
      </c>
      <c r="O223" t="s">
        <v>160</v>
      </c>
      <c r="P223" t="s">
        <v>774</v>
      </c>
      <c r="Q223">
        <f t="shared" si="12"/>
        <v>-71</v>
      </c>
      <c r="R223" t="str">
        <f>_xlfn.XLOOKUP(P223,'Painel Additive'!$B:$B,'Painel Additive'!$B:$B,0)</f>
        <v>STRATOS/MOSAIC - ROSARIO DO CATETE</v>
      </c>
      <c r="S223">
        <f t="shared" si="13"/>
        <v>90</v>
      </c>
    </row>
    <row r="224" spans="1:19" x14ac:dyDescent="0.25">
      <c r="A224">
        <v>7022</v>
      </c>
      <c r="B224" t="s">
        <v>774</v>
      </c>
      <c r="C224" t="s">
        <v>100</v>
      </c>
      <c r="D224" s="34">
        <v>70894.399999999994</v>
      </c>
      <c r="E224">
        <v>1246269324</v>
      </c>
      <c r="F224" s="30">
        <v>46197</v>
      </c>
      <c r="G224" s="30"/>
      <c r="H224" t="s">
        <v>28</v>
      </c>
      <c r="I224" t="s">
        <v>29</v>
      </c>
      <c r="J224">
        <v>10982</v>
      </c>
      <c r="K224" s="30">
        <v>46107</v>
      </c>
      <c r="L224">
        <v>1010100</v>
      </c>
      <c r="M224" t="s">
        <v>35</v>
      </c>
      <c r="N224">
        <v>161</v>
      </c>
      <c r="O224" t="s">
        <v>160</v>
      </c>
      <c r="P224" t="s">
        <v>774</v>
      </c>
      <c r="Q224">
        <f t="shared" si="12"/>
        <v>-56</v>
      </c>
      <c r="R224" t="str">
        <f>_xlfn.XLOOKUP(P224,'Painel Additive'!$B:$B,'Painel Additive'!$B:$B,0)</f>
        <v>STRATOS/MOSAIC - ROSARIO DO CATETE</v>
      </c>
      <c r="S224">
        <f t="shared" si="13"/>
        <v>90</v>
      </c>
    </row>
    <row r="225" spans="1:19" x14ac:dyDescent="0.25">
      <c r="A225">
        <v>7022</v>
      </c>
      <c r="B225" t="s">
        <v>774</v>
      </c>
      <c r="C225" t="s">
        <v>100</v>
      </c>
      <c r="D225" s="34">
        <v>70705.600000000006</v>
      </c>
      <c r="E225">
        <v>1246268533</v>
      </c>
      <c r="F225" s="30">
        <v>46191</v>
      </c>
      <c r="G225" s="30"/>
      <c r="H225" t="s">
        <v>28</v>
      </c>
      <c r="I225" t="s">
        <v>29</v>
      </c>
      <c r="J225">
        <v>10943</v>
      </c>
      <c r="K225" s="30">
        <v>46101</v>
      </c>
      <c r="L225">
        <v>1010100</v>
      </c>
      <c r="M225" t="s">
        <v>35</v>
      </c>
      <c r="N225">
        <v>161</v>
      </c>
      <c r="O225" t="s">
        <v>160</v>
      </c>
      <c r="P225" t="s">
        <v>774</v>
      </c>
      <c r="Q225">
        <f t="shared" si="12"/>
        <v>-50</v>
      </c>
      <c r="R225" t="str">
        <f>_xlfn.XLOOKUP(P225,'Painel Additive'!$B:$B,'Painel Additive'!$B:$B,0)</f>
        <v>STRATOS/MOSAIC - ROSARIO DO CATETE</v>
      </c>
      <c r="S225">
        <f t="shared" si="13"/>
        <v>90</v>
      </c>
    </row>
    <row r="226" spans="1:19" x14ac:dyDescent="0.25">
      <c r="A226">
        <v>7022</v>
      </c>
      <c r="B226" t="s">
        <v>774</v>
      </c>
      <c r="C226" t="s">
        <v>100</v>
      </c>
      <c r="D226" s="34">
        <v>70516.800000000003</v>
      </c>
      <c r="E226">
        <v>1246270817</v>
      </c>
      <c r="F226" s="30">
        <v>46211</v>
      </c>
      <c r="G226" s="30"/>
      <c r="H226" t="s">
        <v>28</v>
      </c>
      <c r="I226" t="s">
        <v>29</v>
      </c>
      <c r="J226">
        <v>11077</v>
      </c>
      <c r="K226" s="30">
        <v>46121</v>
      </c>
      <c r="L226">
        <v>1010100</v>
      </c>
      <c r="M226" t="s">
        <v>35</v>
      </c>
      <c r="N226">
        <v>161</v>
      </c>
      <c r="O226" t="s">
        <v>160</v>
      </c>
      <c r="P226" t="s">
        <v>774</v>
      </c>
      <c r="Q226">
        <f t="shared" si="12"/>
        <v>-70</v>
      </c>
      <c r="R226" t="str">
        <f>_xlfn.XLOOKUP(P226,'Painel Additive'!$B:$B,'Painel Additive'!$B:$B,0)</f>
        <v>STRATOS/MOSAIC - ROSARIO DO CATETE</v>
      </c>
      <c r="S226">
        <f t="shared" si="13"/>
        <v>90</v>
      </c>
    </row>
    <row r="227" spans="1:19" x14ac:dyDescent="0.25">
      <c r="A227">
        <v>7022</v>
      </c>
      <c r="B227" t="s">
        <v>774</v>
      </c>
      <c r="C227" t="s">
        <v>100</v>
      </c>
      <c r="D227" s="34">
        <v>71012.399999999994</v>
      </c>
      <c r="E227">
        <v>1246272359</v>
      </c>
      <c r="F227" s="30">
        <v>46226</v>
      </c>
      <c r="G227" s="30"/>
      <c r="H227" t="s">
        <v>28</v>
      </c>
      <c r="I227" t="s">
        <v>29</v>
      </c>
      <c r="J227">
        <v>11207</v>
      </c>
      <c r="K227" s="30">
        <v>46136</v>
      </c>
      <c r="L227">
        <v>1010100</v>
      </c>
      <c r="M227" t="s">
        <v>35</v>
      </c>
      <c r="N227">
        <v>161</v>
      </c>
      <c r="O227" t="s">
        <v>160</v>
      </c>
      <c r="P227" t="s">
        <v>774</v>
      </c>
      <c r="Q227">
        <f t="shared" ref="Q227:Q228" si="14">$R$1-F227</f>
        <v>-85</v>
      </c>
      <c r="R227" t="str">
        <f>_xlfn.XLOOKUP(P227,'Painel Additive'!$B:$B,'Painel Additive'!$B:$B,0)</f>
        <v>STRATOS/MOSAIC - ROSARIO DO CATETE</v>
      </c>
      <c r="S227">
        <f t="shared" ref="S227:S228" si="15">F227-K227</f>
        <v>90</v>
      </c>
    </row>
    <row r="228" spans="1:19" x14ac:dyDescent="0.25">
      <c r="A228">
        <v>7022</v>
      </c>
      <c r="B228" t="s">
        <v>774</v>
      </c>
      <c r="C228" t="s">
        <v>100</v>
      </c>
      <c r="D228" s="34">
        <v>70705.600000000006</v>
      </c>
      <c r="E228">
        <v>1246267824</v>
      </c>
      <c r="F228" s="30">
        <v>46157</v>
      </c>
      <c r="G228" s="30"/>
      <c r="H228" t="s">
        <v>28</v>
      </c>
      <c r="I228" t="s">
        <v>29</v>
      </c>
      <c r="J228">
        <v>10891</v>
      </c>
      <c r="K228" s="30">
        <v>46097</v>
      </c>
      <c r="L228">
        <v>1010100</v>
      </c>
      <c r="M228" t="s">
        <v>35</v>
      </c>
      <c r="N228">
        <v>161</v>
      </c>
      <c r="O228" t="s">
        <v>160</v>
      </c>
      <c r="P228" t="s">
        <v>774</v>
      </c>
      <c r="Q228">
        <f t="shared" si="14"/>
        <v>-16</v>
      </c>
      <c r="R228" t="str">
        <f>_xlfn.XLOOKUP(P228,'Painel Additive'!$B:$B,'Painel Additive'!$B:$B,0)</f>
        <v>STRATOS/MOSAIC - ROSARIO DO CATETE</v>
      </c>
      <c r="S228">
        <f t="shared" si="15"/>
        <v>60</v>
      </c>
    </row>
    <row r="229" spans="1:19" x14ac:dyDescent="0.25">
      <c r="A229">
        <v>7022</v>
      </c>
      <c r="B229" t="s">
        <v>774</v>
      </c>
      <c r="C229" t="s">
        <v>100</v>
      </c>
      <c r="D229" s="34">
        <v>70516.800000000003</v>
      </c>
      <c r="E229">
        <v>1246270344</v>
      </c>
      <c r="F229" s="30">
        <v>46208</v>
      </c>
      <c r="G229" s="30"/>
      <c r="H229" t="s">
        <v>28</v>
      </c>
      <c r="I229" t="s">
        <v>29</v>
      </c>
      <c r="J229">
        <v>11052</v>
      </c>
      <c r="K229" s="30">
        <v>46118</v>
      </c>
      <c r="L229">
        <v>1010100</v>
      </c>
      <c r="M229" t="s">
        <v>35</v>
      </c>
      <c r="N229">
        <v>161</v>
      </c>
      <c r="O229" t="s">
        <v>160</v>
      </c>
      <c r="P229" t="s">
        <v>774</v>
      </c>
      <c r="Q229">
        <f t="shared" ref="Q229:Q250" si="16">$R$1-F229</f>
        <v>-67</v>
      </c>
      <c r="R229" t="str">
        <f>_xlfn.XLOOKUP(P229,'Painel Additive'!$B:$B,'Painel Additive'!$B:$B,0)</f>
        <v>STRATOS/MOSAIC - ROSARIO DO CATETE</v>
      </c>
      <c r="S229">
        <f t="shared" ref="S229:S250" si="17">F229-K229</f>
        <v>90</v>
      </c>
    </row>
    <row r="230" spans="1:19" x14ac:dyDescent="0.25">
      <c r="A230">
        <v>7022</v>
      </c>
      <c r="B230" t="s">
        <v>774</v>
      </c>
      <c r="C230" t="s">
        <v>100</v>
      </c>
      <c r="D230" s="34">
        <v>70705.600000000006</v>
      </c>
      <c r="E230">
        <v>1246271135</v>
      </c>
      <c r="F230" s="30">
        <v>46215</v>
      </c>
      <c r="G230" s="30"/>
      <c r="H230" t="s">
        <v>28</v>
      </c>
      <c r="I230" t="s">
        <v>29</v>
      </c>
      <c r="J230">
        <v>11102</v>
      </c>
      <c r="K230" s="30">
        <v>46125</v>
      </c>
      <c r="L230">
        <v>1010100</v>
      </c>
      <c r="M230" t="s">
        <v>35</v>
      </c>
      <c r="N230">
        <v>161</v>
      </c>
      <c r="O230" t="s">
        <v>160</v>
      </c>
      <c r="P230" t="s">
        <v>774</v>
      </c>
      <c r="Q230">
        <f t="shared" si="16"/>
        <v>-74</v>
      </c>
      <c r="R230" t="str">
        <f>_xlfn.XLOOKUP(P230,'Painel Additive'!$B:$B,'Painel Additive'!$B:$B,0)</f>
        <v>STRATOS/MOSAIC - ROSARIO DO CATETE</v>
      </c>
      <c r="S230">
        <f t="shared" si="17"/>
        <v>90</v>
      </c>
    </row>
    <row r="231" spans="1:19" x14ac:dyDescent="0.25">
      <c r="A231">
        <v>7022</v>
      </c>
      <c r="B231" t="s">
        <v>774</v>
      </c>
      <c r="C231" t="s">
        <v>100</v>
      </c>
      <c r="D231" s="34">
        <v>70941.600000000006</v>
      </c>
      <c r="E231">
        <v>1246271888</v>
      </c>
      <c r="F231" s="30">
        <v>46222</v>
      </c>
      <c r="G231" s="30"/>
      <c r="H231" t="s">
        <v>28</v>
      </c>
      <c r="I231" t="s">
        <v>29</v>
      </c>
      <c r="J231">
        <v>11176</v>
      </c>
      <c r="K231" s="30">
        <v>46132</v>
      </c>
      <c r="L231">
        <v>1010100</v>
      </c>
      <c r="M231" t="s">
        <v>35</v>
      </c>
      <c r="N231">
        <v>161</v>
      </c>
      <c r="O231" t="s">
        <v>160</v>
      </c>
      <c r="P231" t="s">
        <v>774</v>
      </c>
      <c r="Q231">
        <f t="shared" si="16"/>
        <v>-81</v>
      </c>
      <c r="R231" t="str">
        <f>_xlfn.XLOOKUP(P231,'Painel Additive'!$B:$B,'Painel Additive'!$B:$B,0)</f>
        <v>STRATOS/MOSAIC - ROSARIO DO CATETE</v>
      </c>
      <c r="S231">
        <f t="shared" si="17"/>
        <v>90</v>
      </c>
    </row>
    <row r="232" spans="1:19" x14ac:dyDescent="0.25">
      <c r="A232">
        <v>9830</v>
      </c>
      <c r="B232" t="s">
        <v>846</v>
      </c>
      <c r="C232" t="s">
        <v>847</v>
      </c>
      <c r="D232" s="34">
        <v>331</v>
      </c>
      <c r="E232">
        <v>1246266368</v>
      </c>
      <c r="F232" s="30">
        <v>46175</v>
      </c>
      <c r="G232" s="30"/>
      <c r="I232" t="s">
        <v>372</v>
      </c>
      <c r="J232">
        <v>10813</v>
      </c>
      <c r="K232" s="30">
        <v>46085</v>
      </c>
      <c r="L232">
        <v>4011600</v>
      </c>
      <c r="M232" t="s">
        <v>692</v>
      </c>
      <c r="N232">
        <v>244</v>
      </c>
      <c r="O232" t="s">
        <v>190</v>
      </c>
      <c r="P232" t="s">
        <v>846</v>
      </c>
      <c r="Q232">
        <f t="shared" si="16"/>
        <v>-34</v>
      </c>
      <c r="R232" t="str">
        <f>_xlfn.XLOOKUP(P232,'Painel Additive'!$B:$B,'Painel Additive'!$B:$B,0)</f>
        <v>ELYMAR JOSE DA SILVA FERREIRA</v>
      </c>
      <c r="S232">
        <f t="shared" si="17"/>
        <v>90</v>
      </c>
    </row>
    <row r="233" spans="1:19" x14ac:dyDescent="0.25">
      <c r="A233">
        <v>10677</v>
      </c>
      <c r="B233" t="s">
        <v>890</v>
      </c>
      <c r="C233" t="s">
        <v>891</v>
      </c>
      <c r="D233" s="34">
        <v>581</v>
      </c>
      <c r="E233">
        <v>1246272911</v>
      </c>
      <c r="F233" s="30">
        <v>46170</v>
      </c>
      <c r="G233" s="30"/>
      <c r="I233" t="s">
        <v>372</v>
      </c>
      <c r="J233">
        <v>11244</v>
      </c>
      <c r="K233" s="30">
        <v>46140</v>
      </c>
      <c r="L233">
        <v>4011600</v>
      </c>
      <c r="M233" t="s">
        <v>692</v>
      </c>
      <c r="N233">
        <v>244</v>
      </c>
      <c r="O233" t="s">
        <v>190</v>
      </c>
      <c r="P233" t="s">
        <v>890</v>
      </c>
      <c r="Q233">
        <f t="shared" si="16"/>
        <v>-29</v>
      </c>
      <c r="R233" t="str">
        <f>_xlfn.XLOOKUP(P233,'Painel Additive'!$B:$B,'Painel Additive'!$B:$B,0)</f>
        <v>MARCELO HONORIO DE CARVALHO RAMOS</v>
      </c>
      <c r="S233">
        <f t="shared" si="17"/>
        <v>30</v>
      </c>
    </row>
    <row r="234" spans="1:19" x14ac:dyDescent="0.25">
      <c r="A234">
        <v>10677</v>
      </c>
      <c r="B234" t="s">
        <v>890</v>
      </c>
      <c r="C234" t="s">
        <v>891</v>
      </c>
      <c r="D234" s="34">
        <v>581</v>
      </c>
      <c r="E234">
        <v>1246272912</v>
      </c>
      <c r="F234" s="30">
        <v>46200</v>
      </c>
      <c r="G234" s="30"/>
      <c r="I234" t="s">
        <v>372</v>
      </c>
      <c r="J234">
        <v>11244</v>
      </c>
      <c r="K234" s="30">
        <v>46140</v>
      </c>
      <c r="L234">
        <v>4011600</v>
      </c>
      <c r="M234" t="s">
        <v>692</v>
      </c>
      <c r="N234">
        <v>244</v>
      </c>
      <c r="O234" t="s">
        <v>190</v>
      </c>
      <c r="P234" t="s">
        <v>890</v>
      </c>
      <c r="Q234">
        <f t="shared" si="16"/>
        <v>-59</v>
      </c>
      <c r="R234" t="str">
        <f>_xlfn.XLOOKUP(P234,'Painel Additive'!$B:$B,'Painel Additive'!$B:$B,0)</f>
        <v>MARCELO HONORIO DE CARVALHO RAMOS</v>
      </c>
      <c r="S234">
        <f t="shared" si="17"/>
        <v>60</v>
      </c>
    </row>
    <row r="235" spans="1:19" x14ac:dyDescent="0.25">
      <c r="A235">
        <v>10677</v>
      </c>
      <c r="B235" t="s">
        <v>890</v>
      </c>
      <c r="C235" t="s">
        <v>891</v>
      </c>
      <c r="D235" s="34">
        <v>581</v>
      </c>
      <c r="E235">
        <v>1246272913</v>
      </c>
      <c r="F235" s="30">
        <v>46230</v>
      </c>
      <c r="G235" s="30"/>
      <c r="I235" t="s">
        <v>372</v>
      </c>
      <c r="J235">
        <v>11244</v>
      </c>
      <c r="K235" s="30">
        <v>46140</v>
      </c>
      <c r="L235">
        <v>4011600</v>
      </c>
      <c r="M235" t="s">
        <v>692</v>
      </c>
      <c r="N235">
        <v>244</v>
      </c>
      <c r="O235" t="s">
        <v>190</v>
      </c>
      <c r="P235" t="s">
        <v>890</v>
      </c>
      <c r="Q235">
        <f t="shared" si="16"/>
        <v>-89</v>
      </c>
      <c r="R235" t="str">
        <f>_xlfn.XLOOKUP(P235,'Painel Additive'!$B:$B,'Painel Additive'!$B:$B,0)</f>
        <v>MARCELO HONORIO DE CARVALHO RAMOS</v>
      </c>
      <c r="S235">
        <f t="shared" si="17"/>
        <v>90</v>
      </c>
    </row>
    <row r="236" spans="1:19" x14ac:dyDescent="0.25">
      <c r="A236">
        <v>11637</v>
      </c>
      <c r="B236" t="s">
        <v>721</v>
      </c>
      <c r="C236" t="s">
        <v>864</v>
      </c>
      <c r="D236" s="34">
        <v>290220</v>
      </c>
      <c r="E236">
        <v>1246272018</v>
      </c>
      <c r="F236" s="30">
        <v>46162</v>
      </c>
      <c r="G236" s="30"/>
      <c r="H236" t="s">
        <v>28</v>
      </c>
      <c r="I236" t="s">
        <v>29</v>
      </c>
      <c r="J236">
        <v>2884</v>
      </c>
      <c r="K236" s="30">
        <v>46134</v>
      </c>
      <c r="L236">
        <v>1010100</v>
      </c>
      <c r="M236" t="s">
        <v>35</v>
      </c>
      <c r="N236">
        <v>161</v>
      </c>
      <c r="O236" t="s">
        <v>160</v>
      </c>
      <c r="P236" t="s">
        <v>721</v>
      </c>
      <c r="Q236">
        <f t="shared" si="16"/>
        <v>-21</v>
      </c>
      <c r="R236" t="str">
        <f>_xlfn.XLOOKUP(P236,'Painel Additive'!$B:$B,'Painel Additive'!$B:$B,0)</f>
        <v>AGROPECUARIA MARATA LTDA - MARUIM</v>
      </c>
      <c r="S236">
        <f t="shared" si="17"/>
        <v>28</v>
      </c>
    </row>
    <row r="237" spans="1:19" x14ac:dyDescent="0.25">
      <c r="A237">
        <v>12943</v>
      </c>
      <c r="B237" t="s">
        <v>293</v>
      </c>
      <c r="C237" t="s">
        <v>400</v>
      </c>
      <c r="D237" s="34">
        <v>82290</v>
      </c>
      <c r="E237">
        <v>1246187828</v>
      </c>
      <c r="F237" s="30">
        <v>45667</v>
      </c>
      <c r="G237" s="30"/>
      <c r="H237" t="s">
        <v>28</v>
      </c>
      <c r="I237" t="s">
        <v>29</v>
      </c>
      <c r="J237">
        <v>1585</v>
      </c>
      <c r="K237" s="30">
        <v>45639</v>
      </c>
      <c r="L237">
        <v>1010100</v>
      </c>
      <c r="M237" t="s">
        <v>35</v>
      </c>
      <c r="N237">
        <v>161</v>
      </c>
      <c r="O237" t="s">
        <v>160</v>
      </c>
      <c r="P237" t="s">
        <v>293</v>
      </c>
      <c r="Q237">
        <f t="shared" si="16"/>
        <v>474</v>
      </c>
      <c r="R237" t="str">
        <f>_xlfn.XLOOKUP(P237,'Painel Additive'!$B:$B,'Painel Additive'!$B:$B,0)</f>
        <v>ITERUM - RONDONOPOLIS</v>
      </c>
      <c r="S237">
        <f t="shared" si="17"/>
        <v>28</v>
      </c>
    </row>
    <row r="238" spans="1:19" x14ac:dyDescent="0.25">
      <c r="A238">
        <v>12943</v>
      </c>
      <c r="B238" t="s">
        <v>293</v>
      </c>
      <c r="C238" t="s">
        <v>400</v>
      </c>
      <c r="D238" s="34">
        <v>82290</v>
      </c>
      <c r="E238">
        <v>1246187829</v>
      </c>
      <c r="F238" s="30">
        <v>45695</v>
      </c>
      <c r="G238" s="30"/>
      <c r="H238" t="s">
        <v>28</v>
      </c>
      <c r="I238" t="s">
        <v>29</v>
      </c>
      <c r="J238">
        <v>1585</v>
      </c>
      <c r="K238" s="30">
        <v>45639</v>
      </c>
      <c r="L238">
        <v>1010100</v>
      </c>
      <c r="M238" t="s">
        <v>35</v>
      </c>
      <c r="N238">
        <v>161</v>
      </c>
      <c r="O238" t="s">
        <v>160</v>
      </c>
      <c r="P238" t="s">
        <v>293</v>
      </c>
      <c r="Q238">
        <f t="shared" si="16"/>
        <v>446</v>
      </c>
      <c r="R238" t="str">
        <f>_xlfn.XLOOKUP(P238,'Painel Additive'!$B:$B,'Painel Additive'!$B:$B,0)</f>
        <v>ITERUM - RONDONOPOLIS</v>
      </c>
      <c r="S238">
        <f t="shared" si="17"/>
        <v>56</v>
      </c>
    </row>
    <row r="239" spans="1:19" x14ac:dyDescent="0.25">
      <c r="A239">
        <v>12943</v>
      </c>
      <c r="B239" t="s">
        <v>293</v>
      </c>
      <c r="C239" t="s">
        <v>400</v>
      </c>
      <c r="D239" s="34">
        <v>49170</v>
      </c>
      <c r="E239">
        <v>1246183176</v>
      </c>
      <c r="F239" s="30">
        <v>45642</v>
      </c>
      <c r="G239" s="30"/>
      <c r="H239" t="s">
        <v>28</v>
      </c>
      <c r="I239" t="s">
        <v>29</v>
      </c>
      <c r="J239">
        <v>6129</v>
      </c>
      <c r="K239" s="30">
        <v>45614</v>
      </c>
      <c r="L239">
        <v>1010100</v>
      </c>
      <c r="M239" t="s">
        <v>35</v>
      </c>
      <c r="N239">
        <v>161</v>
      </c>
      <c r="O239" t="s">
        <v>160</v>
      </c>
      <c r="P239" t="s">
        <v>293</v>
      </c>
      <c r="Q239">
        <f t="shared" si="16"/>
        <v>499</v>
      </c>
      <c r="R239" t="str">
        <f>_xlfn.XLOOKUP(P239,'Painel Additive'!$B:$B,'Painel Additive'!$B:$B,0)</f>
        <v>ITERUM - RONDONOPOLIS</v>
      </c>
      <c r="S239">
        <f t="shared" si="17"/>
        <v>28</v>
      </c>
    </row>
    <row r="240" spans="1:19" x14ac:dyDescent="0.25">
      <c r="A240">
        <v>12629</v>
      </c>
      <c r="B240" t="s">
        <v>119</v>
      </c>
      <c r="C240" t="s">
        <v>471</v>
      </c>
      <c r="D240" s="34">
        <v>153506.1</v>
      </c>
      <c r="E240">
        <v>1246268563</v>
      </c>
      <c r="F240" s="30">
        <v>46131</v>
      </c>
      <c r="G240" s="30">
        <v>46146</v>
      </c>
      <c r="H240" t="s">
        <v>28</v>
      </c>
      <c r="I240" t="s">
        <v>29</v>
      </c>
      <c r="J240">
        <v>10948</v>
      </c>
      <c r="K240" s="30">
        <v>46101</v>
      </c>
      <c r="L240">
        <v>1010100</v>
      </c>
      <c r="M240" t="s">
        <v>35</v>
      </c>
      <c r="N240">
        <v>161</v>
      </c>
      <c r="O240" t="s">
        <v>160</v>
      </c>
      <c r="P240" t="s">
        <v>119</v>
      </c>
      <c r="Q240">
        <f t="shared" si="16"/>
        <v>10</v>
      </c>
      <c r="R240" t="str">
        <f>_xlfn.XLOOKUP(P240,'Painel Additive'!$B:$B,'Painel Additive'!$B:$B,0)</f>
        <v>EUROCHEM SERRA DO SALITRE</v>
      </c>
      <c r="S240">
        <f t="shared" si="17"/>
        <v>30</v>
      </c>
    </row>
    <row r="241" spans="1:19" x14ac:dyDescent="0.25">
      <c r="A241">
        <v>12629</v>
      </c>
      <c r="B241" t="s">
        <v>119</v>
      </c>
      <c r="C241" t="s">
        <v>471</v>
      </c>
      <c r="D241" s="34">
        <v>162357</v>
      </c>
      <c r="E241">
        <v>1246269970</v>
      </c>
      <c r="F241" s="30">
        <v>46143</v>
      </c>
      <c r="G241" s="30"/>
      <c r="H241" t="s">
        <v>28</v>
      </c>
      <c r="I241" t="s">
        <v>29</v>
      </c>
      <c r="J241">
        <v>11028</v>
      </c>
      <c r="K241" s="30">
        <v>46113</v>
      </c>
      <c r="L241">
        <v>1010100</v>
      </c>
      <c r="M241" t="s">
        <v>35</v>
      </c>
      <c r="N241">
        <v>161</v>
      </c>
      <c r="O241" t="s">
        <v>160</v>
      </c>
      <c r="P241" t="s">
        <v>119</v>
      </c>
      <c r="Q241">
        <f t="shared" si="16"/>
        <v>-2</v>
      </c>
      <c r="R241" t="str">
        <f>_xlfn.XLOOKUP(P241,'Painel Additive'!$B:$B,'Painel Additive'!$B:$B,0)</f>
        <v>EUROCHEM SERRA DO SALITRE</v>
      </c>
      <c r="S241">
        <f t="shared" si="17"/>
        <v>30</v>
      </c>
    </row>
    <row r="242" spans="1:19" x14ac:dyDescent="0.25">
      <c r="A242">
        <v>12629</v>
      </c>
      <c r="B242" t="s">
        <v>119</v>
      </c>
      <c r="C242" t="s">
        <v>471</v>
      </c>
      <c r="D242" s="34">
        <v>162465.60000000001</v>
      </c>
      <c r="E242">
        <v>1246269412</v>
      </c>
      <c r="F242" s="30">
        <v>46138</v>
      </c>
      <c r="G242" s="30"/>
      <c r="H242" t="s">
        <v>28</v>
      </c>
      <c r="I242" t="s">
        <v>29</v>
      </c>
      <c r="J242">
        <v>10987</v>
      </c>
      <c r="K242" s="30">
        <v>46108</v>
      </c>
      <c r="L242">
        <v>1010100</v>
      </c>
      <c r="M242" t="s">
        <v>35</v>
      </c>
      <c r="N242">
        <v>161</v>
      </c>
      <c r="O242" t="s">
        <v>160</v>
      </c>
      <c r="P242" t="s">
        <v>119</v>
      </c>
      <c r="Q242">
        <f t="shared" si="16"/>
        <v>3</v>
      </c>
      <c r="R242" t="str">
        <f>_xlfn.XLOOKUP(P242,'Painel Additive'!$B:$B,'Painel Additive'!$B:$B,0)</f>
        <v>EUROCHEM SERRA DO SALITRE</v>
      </c>
      <c r="S242">
        <f t="shared" si="17"/>
        <v>30</v>
      </c>
    </row>
    <row r="243" spans="1:19" x14ac:dyDescent="0.25">
      <c r="A243">
        <v>12629</v>
      </c>
      <c r="B243" t="s">
        <v>119</v>
      </c>
      <c r="C243" t="s">
        <v>471</v>
      </c>
      <c r="D243" s="34">
        <v>153451.79999999999</v>
      </c>
      <c r="E243">
        <v>1246270416</v>
      </c>
      <c r="F243" s="30">
        <v>46148</v>
      </c>
      <c r="G243" s="30"/>
      <c r="H243" t="s">
        <v>28</v>
      </c>
      <c r="I243" t="s">
        <v>29</v>
      </c>
      <c r="J243">
        <v>11059</v>
      </c>
      <c r="K243" s="30">
        <v>46118</v>
      </c>
      <c r="L243">
        <v>1010100</v>
      </c>
      <c r="M243" t="s">
        <v>35</v>
      </c>
      <c r="N243">
        <v>161</v>
      </c>
      <c r="O243" t="s">
        <v>160</v>
      </c>
      <c r="P243" t="s">
        <v>119</v>
      </c>
      <c r="Q243">
        <f t="shared" si="16"/>
        <v>-7</v>
      </c>
      <c r="R243" t="str">
        <f>_xlfn.XLOOKUP(P243,'Painel Additive'!$B:$B,'Painel Additive'!$B:$B,0)</f>
        <v>EUROCHEM SERRA DO SALITRE</v>
      </c>
      <c r="S243">
        <f t="shared" si="17"/>
        <v>30</v>
      </c>
    </row>
    <row r="244" spans="1:19" x14ac:dyDescent="0.25">
      <c r="A244">
        <v>12629</v>
      </c>
      <c r="B244" t="s">
        <v>119</v>
      </c>
      <c r="C244" t="s">
        <v>471</v>
      </c>
      <c r="D244" s="34">
        <v>162031.20000000001</v>
      </c>
      <c r="E244">
        <v>1246271940</v>
      </c>
      <c r="F244" s="30">
        <v>46162</v>
      </c>
      <c r="G244" s="30"/>
      <c r="H244" t="s">
        <v>28</v>
      </c>
      <c r="I244" t="s">
        <v>29</v>
      </c>
      <c r="J244">
        <v>11184</v>
      </c>
      <c r="K244" s="30">
        <v>46132</v>
      </c>
      <c r="L244">
        <v>1010100</v>
      </c>
      <c r="M244" t="s">
        <v>35</v>
      </c>
      <c r="N244">
        <v>161</v>
      </c>
      <c r="O244" t="s">
        <v>160</v>
      </c>
      <c r="P244" t="s">
        <v>119</v>
      </c>
      <c r="Q244">
        <f t="shared" si="16"/>
        <v>-21</v>
      </c>
      <c r="R244" t="str">
        <f>_xlfn.XLOOKUP(P244,'Painel Additive'!$B:$B,'Painel Additive'!$B:$B,0)</f>
        <v>EUROCHEM SERRA DO SALITRE</v>
      </c>
      <c r="S244">
        <f t="shared" si="17"/>
        <v>30</v>
      </c>
    </row>
    <row r="245" spans="1:19" x14ac:dyDescent="0.25">
      <c r="A245">
        <v>13069</v>
      </c>
      <c r="B245" t="s">
        <v>533</v>
      </c>
      <c r="C245" t="s">
        <v>793</v>
      </c>
      <c r="D245" s="34">
        <v>100</v>
      </c>
      <c r="E245">
        <v>1246258365</v>
      </c>
      <c r="F245" s="30">
        <v>46118</v>
      </c>
      <c r="G245" s="30"/>
      <c r="I245" t="s">
        <v>372</v>
      </c>
      <c r="J245">
        <v>10425</v>
      </c>
      <c r="K245" s="30">
        <v>46028</v>
      </c>
      <c r="L245">
        <v>4010300</v>
      </c>
      <c r="M245" t="s">
        <v>141</v>
      </c>
      <c r="N245">
        <v>244</v>
      </c>
      <c r="O245" t="s">
        <v>190</v>
      </c>
      <c r="P245" t="s">
        <v>533</v>
      </c>
      <c r="Q245">
        <f t="shared" si="16"/>
        <v>23</v>
      </c>
      <c r="R245" t="str">
        <f>_xlfn.XLOOKUP(P245,'Painel Additive'!$B:$B,'Painel Additive'!$B:$B,0)</f>
        <v>JOSÉ  FRANCISCO PIRES DE SOUZA</v>
      </c>
      <c r="S245">
        <f t="shared" si="17"/>
        <v>90</v>
      </c>
    </row>
    <row r="246" spans="1:19" x14ac:dyDescent="0.25">
      <c r="A246">
        <v>14094</v>
      </c>
      <c r="B246" t="s">
        <v>264</v>
      </c>
      <c r="C246" t="s">
        <v>265</v>
      </c>
      <c r="D246" s="34">
        <v>100</v>
      </c>
      <c r="E246">
        <v>1246154530</v>
      </c>
      <c r="F246" s="30">
        <v>45474</v>
      </c>
      <c r="G246" s="30"/>
      <c r="I246" t="s">
        <v>372</v>
      </c>
      <c r="J246">
        <v>4088</v>
      </c>
      <c r="K246" s="30">
        <v>45474</v>
      </c>
      <c r="L246">
        <v>4010300</v>
      </c>
      <c r="M246" t="s">
        <v>141</v>
      </c>
      <c r="N246">
        <v>244</v>
      </c>
      <c r="O246" t="s">
        <v>190</v>
      </c>
      <c r="P246" t="s">
        <v>264</v>
      </c>
      <c r="Q246">
        <f t="shared" si="16"/>
        <v>667</v>
      </c>
      <c r="R246" t="str">
        <f>_xlfn.XLOOKUP(P246,'Painel Additive'!$B:$B,'Painel Additive'!$B:$B,0)</f>
        <v>KLEYTON DUARTE SOARES</v>
      </c>
      <c r="S246">
        <f t="shared" si="17"/>
        <v>0</v>
      </c>
    </row>
    <row r="247" spans="1:19" x14ac:dyDescent="0.25">
      <c r="A247">
        <v>13873</v>
      </c>
      <c r="B247" t="s">
        <v>308</v>
      </c>
      <c r="C247" t="s">
        <v>309</v>
      </c>
      <c r="D247" s="34">
        <v>50</v>
      </c>
      <c r="E247">
        <v>1246166396</v>
      </c>
      <c r="F247" s="30">
        <v>45525</v>
      </c>
      <c r="G247" s="30"/>
      <c r="I247" t="s">
        <v>372</v>
      </c>
      <c r="J247">
        <v>4854</v>
      </c>
      <c r="K247" s="30">
        <v>45525</v>
      </c>
      <c r="L247">
        <v>4010300</v>
      </c>
      <c r="M247" t="s">
        <v>141</v>
      </c>
      <c r="N247">
        <v>244</v>
      </c>
      <c r="O247" t="s">
        <v>190</v>
      </c>
      <c r="P247" t="s">
        <v>308</v>
      </c>
      <c r="Q247">
        <f t="shared" si="16"/>
        <v>616</v>
      </c>
      <c r="R247" t="str">
        <f>_xlfn.XLOOKUP(P247,'Painel Additive'!$B:$B,'Painel Additive'!$B:$B,0)</f>
        <v>MARIA JOSE DA SILVA</v>
      </c>
      <c r="S247">
        <f t="shared" si="17"/>
        <v>0</v>
      </c>
    </row>
    <row r="248" spans="1:19" x14ac:dyDescent="0.25">
      <c r="A248">
        <v>14106</v>
      </c>
      <c r="B248" t="s">
        <v>382</v>
      </c>
      <c r="C248" t="s">
        <v>383</v>
      </c>
      <c r="D248" s="34">
        <v>300</v>
      </c>
      <c r="E248">
        <v>1246182736</v>
      </c>
      <c r="F248" s="30">
        <v>45625</v>
      </c>
      <c r="G248" s="30"/>
      <c r="I248" t="s">
        <v>372</v>
      </c>
      <c r="J248">
        <v>6092</v>
      </c>
      <c r="K248" s="30">
        <v>45610</v>
      </c>
      <c r="L248">
        <v>1020400</v>
      </c>
      <c r="M248" t="s">
        <v>143</v>
      </c>
      <c r="N248">
        <v>136</v>
      </c>
      <c r="O248" t="s">
        <v>143</v>
      </c>
      <c r="P248" t="s">
        <v>382</v>
      </c>
      <c r="Q248">
        <f t="shared" si="16"/>
        <v>516</v>
      </c>
      <c r="R248" t="str">
        <f>_xlfn.XLOOKUP(P248,'Painel Additive'!$B:$B,'Painel Additive'!$B:$B,0)</f>
        <v>SEU LIXO</v>
      </c>
      <c r="S248">
        <f t="shared" si="17"/>
        <v>15</v>
      </c>
    </row>
    <row r="249" spans="1:19" x14ac:dyDescent="0.25">
      <c r="A249">
        <v>16032</v>
      </c>
      <c r="B249" t="s">
        <v>828</v>
      </c>
      <c r="C249" t="s">
        <v>829</v>
      </c>
      <c r="D249" s="34">
        <v>583.34</v>
      </c>
      <c r="E249">
        <v>1246264383</v>
      </c>
      <c r="F249" s="30">
        <v>46163</v>
      </c>
      <c r="G249" s="30"/>
      <c r="I249" t="s">
        <v>372</v>
      </c>
      <c r="J249">
        <v>10732</v>
      </c>
      <c r="K249" s="30">
        <v>46073</v>
      </c>
      <c r="L249">
        <v>4011600</v>
      </c>
      <c r="M249" t="s">
        <v>692</v>
      </c>
      <c r="N249">
        <v>244</v>
      </c>
      <c r="O249" t="s">
        <v>190</v>
      </c>
      <c r="P249" t="s">
        <v>828</v>
      </c>
      <c r="Q249">
        <f t="shared" si="16"/>
        <v>-22</v>
      </c>
      <c r="R249" t="str">
        <f>_xlfn.XLOOKUP(P249,'Painel Additive'!$B:$B,'Painel Additive'!$B:$B,0)</f>
        <v>ANDRESSA CAROLINA SILVA RODRIGUES</v>
      </c>
      <c r="S249">
        <f t="shared" si="17"/>
        <v>90</v>
      </c>
    </row>
    <row r="250" spans="1:19" x14ac:dyDescent="0.25">
      <c r="A250">
        <v>16189</v>
      </c>
      <c r="B250" t="s">
        <v>819</v>
      </c>
      <c r="C250" t="s">
        <v>820</v>
      </c>
      <c r="D250" s="34">
        <v>49440</v>
      </c>
      <c r="E250">
        <v>1246261824</v>
      </c>
      <c r="F250" s="30">
        <v>46087</v>
      </c>
      <c r="G250" s="30"/>
      <c r="I250" t="s">
        <v>372</v>
      </c>
      <c r="J250">
        <v>1246261824</v>
      </c>
      <c r="K250" s="30">
        <v>46055</v>
      </c>
      <c r="L250">
        <v>7240000</v>
      </c>
      <c r="M250" t="s">
        <v>821</v>
      </c>
      <c r="N250">
        <v>46</v>
      </c>
      <c r="O250" t="s">
        <v>162</v>
      </c>
      <c r="P250" t="s">
        <v>819</v>
      </c>
      <c r="Q250">
        <f t="shared" si="16"/>
        <v>54</v>
      </c>
      <c r="R250" t="str">
        <f>_xlfn.XLOOKUP(P250,'Painel Additive'!$B:$B,'Painel Additive'!$B:$B,0)</f>
        <v>ARSLOG SOLUCOES EM TRANSPORTE</v>
      </c>
      <c r="S250">
        <f t="shared" si="17"/>
        <v>32</v>
      </c>
    </row>
    <row r="251" spans="1:19" x14ac:dyDescent="0.25">
      <c r="D251" s="34"/>
      <c r="F251" s="30"/>
      <c r="K251" s="30"/>
      <c r="Q251">
        <f t="shared" ref="Q251:Q286" si="18">$R$1-F251</f>
        <v>46141</v>
      </c>
      <c r="R251">
        <f>_xlfn.XLOOKUP(P251,'Painel Additive'!$B:$B,'Painel Additive'!$B:$B,0)</f>
        <v>0</v>
      </c>
      <c r="S251">
        <f t="shared" ref="S251:S286" si="19">F251-K251</f>
        <v>0</v>
      </c>
    </row>
    <row r="252" spans="1:19" x14ac:dyDescent="0.25">
      <c r="D252" s="34"/>
      <c r="F252" s="30"/>
      <c r="K252" s="30"/>
      <c r="Q252">
        <f t="shared" si="18"/>
        <v>46141</v>
      </c>
      <c r="R252">
        <f>_xlfn.XLOOKUP(P252,'Painel Additive'!$B:$B,'Painel Additive'!$B:$B,0)</f>
        <v>0</v>
      </c>
      <c r="S252">
        <f t="shared" si="19"/>
        <v>0</v>
      </c>
    </row>
    <row r="253" spans="1:19" x14ac:dyDescent="0.25">
      <c r="D253" s="34"/>
      <c r="F253" s="30"/>
      <c r="K253" s="30"/>
      <c r="Q253">
        <f t="shared" si="18"/>
        <v>46141</v>
      </c>
      <c r="R253">
        <f>_xlfn.XLOOKUP(P253,'Painel Additive'!$B:$B,'Painel Additive'!$B:$B,0)</f>
        <v>0</v>
      </c>
      <c r="S253">
        <f t="shared" si="19"/>
        <v>0</v>
      </c>
    </row>
    <row r="254" spans="1:19" x14ac:dyDescent="0.25">
      <c r="D254" s="34"/>
      <c r="F254" s="30"/>
      <c r="K254" s="30"/>
      <c r="Q254">
        <f t="shared" si="18"/>
        <v>46141</v>
      </c>
      <c r="R254">
        <f>_xlfn.XLOOKUP(P254,'Painel Additive'!$B:$B,'Painel Additive'!$B:$B,0)</f>
        <v>0</v>
      </c>
      <c r="S254">
        <f t="shared" si="19"/>
        <v>0</v>
      </c>
    </row>
    <row r="255" spans="1:19" x14ac:dyDescent="0.25">
      <c r="D255" s="34"/>
      <c r="F255" s="30"/>
      <c r="K255" s="30"/>
      <c r="Q255">
        <f t="shared" si="18"/>
        <v>46141</v>
      </c>
      <c r="R255">
        <f>_xlfn.XLOOKUP(P255,'Painel Additive'!$B:$B,'Painel Additive'!$B:$B,0)</f>
        <v>0</v>
      </c>
      <c r="S255">
        <f t="shared" si="19"/>
        <v>0</v>
      </c>
    </row>
    <row r="256" spans="1:19" x14ac:dyDescent="0.25">
      <c r="D256" s="34"/>
      <c r="F256" s="30"/>
      <c r="K256" s="30"/>
      <c r="Q256">
        <f t="shared" si="18"/>
        <v>46141</v>
      </c>
      <c r="R256">
        <f>_xlfn.XLOOKUP(P256,'Painel Additive'!$B:$B,'Painel Additive'!$B:$B,0)</f>
        <v>0</v>
      </c>
      <c r="S256">
        <f t="shared" si="19"/>
        <v>0</v>
      </c>
    </row>
    <row r="257" spans="4:19" x14ac:dyDescent="0.25">
      <c r="D257" s="34"/>
      <c r="F257" s="30"/>
      <c r="K257" s="30"/>
      <c r="Q257">
        <f t="shared" si="18"/>
        <v>46141</v>
      </c>
      <c r="R257">
        <f>_xlfn.XLOOKUP(P257,'Painel Additive'!$B:$B,'Painel Additive'!$B:$B,0)</f>
        <v>0</v>
      </c>
      <c r="S257">
        <f t="shared" si="19"/>
        <v>0</v>
      </c>
    </row>
    <row r="258" spans="4:19" x14ac:dyDescent="0.25">
      <c r="D258" s="34"/>
      <c r="F258" s="30"/>
      <c r="K258" s="30"/>
      <c r="Q258">
        <f t="shared" si="18"/>
        <v>46141</v>
      </c>
      <c r="R258">
        <f>_xlfn.XLOOKUP(P258,'Painel Additive'!$B:$B,'Painel Additive'!$B:$B,0)</f>
        <v>0</v>
      </c>
      <c r="S258">
        <f t="shared" si="19"/>
        <v>0</v>
      </c>
    </row>
    <row r="259" spans="4:19" x14ac:dyDescent="0.25">
      <c r="D259" s="34"/>
      <c r="F259" s="30"/>
      <c r="K259" s="30"/>
      <c r="Q259">
        <f t="shared" si="18"/>
        <v>46141</v>
      </c>
      <c r="R259">
        <f>_xlfn.XLOOKUP(P259,'Painel Additive'!$B:$B,'Painel Additive'!$B:$B,0)</f>
        <v>0</v>
      </c>
      <c r="S259">
        <f t="shared" si="19"/>
        <v>0</v>
      </c>
    </row>
    <row r="260" spans="4:19" x14ac:dyDescent="0.25">
      <c r="D260" s="34"/>
      <c r="F260" s="30"/>
      <c r="K260" s="30"/>
      <c r="Q260">
        <f t="shared" si="18"/>
        <v>46141</v>
      </c>
      <c r="R260">
        <f>_xlfn.XLOOKUP(P260,'Painel Additive'!$B:$B,'Painel Additive'!$B:$B,0)</f>
        <v>0</v>
      </c>
      <c r="S260">
        <f t="shared" si="19"/>
        <v>0</v>
      </c>
    </row>
    <row r="261" spans="4:19" x14ac:dyDescent="0.25">
      <c r="D261" s="34"/>
      <c r="F261" s="30"/>
      <c r="K261" s="30"/>
      <c r="Q261">
        <f t="shared" si="18"/>
        <v>46141</v>
      </c>
      <c r="R261">
        <f>_xlfn.XLOOKUP(P261,'Painel Additive'!$B:$B,'Painel Additive'!$B:$B,0)</f>
        <v>0</v>
      </c>
      <c r="S261">
        <f t="shared" si="19"/>
        <v>0</v>
      </c>
    </row>
    <row r="262" spans="4:19" x14ac:dyDescent="0.25">
      <c r="D262" s="34"/>
      <c r="F262" s="30"/>
      <c r="K262" s="30"/>
      <c r="Q262">
        <f t="shared" si="18"/>
        <v>46141</v>
      </c>
      <c r="R262">
        <f>_xlfn.XLOOKUP(P262,'Painel Additive'!$B:$B,'Painel Additive'!$B:$B,0)</f>
        <v>0</v>
      </c>
      <c r="S262">
        <f t="shared" si="19"/>
        <v>0</v>
      </c>
    </row>
    <row r="263" spans="4:19" x14ac:dyDescent="0.25">
      <c r="D263" s="34"/>
      <c r="F263" s="30"/>
      <c r="K263" s="30"/>
      <c r="Q263">
        <f t="shared" si="18"/>
        <v>46141</v>
      </c>
      <c r="R263">
        <f>_xlfn.XLOOKUP(P263,'Painel Additive'!$B:$B,'Painel Additive'!$B:$B,0)</f>
        <v>0</v>
      </c>
      <c r="S263">
        <f t="shared" si="19"/>
        <v>0</v>
      </c>
    </row>
    <row r="264" spans="4:19" x14ac:dyDescent="0.25">
      <c r="D264" s="34"/>
      <c r="F264" s="30"/>
      <c r="K264" s="30"/>
      <c r="Q264">
        <f t="shared" si="18"/>
        <v>46141</v>
      </c>
      <c r="R264">
        <f>_xlfn.XLOOKUP(P264,'Painel Additive'!$B:$B,'Painel Additive'!$B:$B,0)</f>
        <v>0</v>
      </c>
      <c r="S264">
        <f t="shared" si="19"/>
        <v>0</v>
      </c>
    </row>
    <row r="265" spans="4:19" x14ac:dyDescent="0.25">
      <c r="D265" s="34"/>
      <c r="F265" s="30"/>
      <c r="K265" s="30"/>
      <c r="Q265">
        <f t="shared" si="18"/>
        <v>46141</v>
      </c>
      <c r="R265">
        <f>_xlfn.XLOOKUP(P265,'Painel Additive'!$B:$B,'Painel Additive'!$B:$B,0)</f>
        <v>0</v>
      </c>
      <c r="S265">
        <f t="shared" si="19"/>
        <v>0</v>
      </c>
    </row>
    <row r="266" spans="4:19" x14ac:dyDescent="0.25">
      <c r="D266" s="34"/>
      <c r="F266" s="30"/>
      <c r="K266" s="30"/>
      <c r="Q266">
        <f t="shared" si="18"/>
        <v>46141</v>
      </c>
      <c r="R266">
        <f>_xlfn.XLOOKUP(P266,'Painel Additive'!$B:$B,'Painel Additive'!$B:$B,0)</f>
        <v>0</v>
      </c>
      <c r="S266">
        <f t="shared" si="19"/>
        <v>0</v>
      </c>
    </row>
    <row r="267" spans="4:19" x14ac:dyDescent="0.25">
      <c r="D267" s="34"/>
      <c r="F267" s="30"/>
      <c r="K267" s="30"/>
      <c r="Q267">
        <f t="shared" si="18"/>
        <v>46141</v>
      </c>
      <c r="R267">
        <f>_xlfn.XLOOKUP(P267,'Painel Additive'!$B:$B,'Painel Additive'!$B:$B,0)</f>
        <v>0</v>
      </c>
      <c r="S267">
        <f t="shared" si="19"/>
        <v>0</v>
      </c>
    </row>
    <row r="268" spans="4:19" x14ac:dyDescent="0.25">
      <c r="D268" s="34"/>
      <c r="F268" s="30"/>
      <c r="K268" s="30"/>
      <c r="Q268">
        <f t="shared" si="18"/>
        <v>46141</v>
      </c>
      <c r="R268">
        <f>_xlfn.XLOOKUP(P268,'Painel Additive'!$B:$B,'Painel Additive'!$B:$B,0)</f>
        <v>0</v>
      </c>
      <c r="S268">
        <f t="shared" si="19"/>
        <v>0</v>
      </c>
    </row>
    <row r="269" spans="4:19" x14ac:dyDescent="0.25">
      <c r="D269" s="34"/>
      <c r="F269" s="30"/>
      <c r="K269" s="30"/>
      <c r="Q269">
        <f t="shared" si="18"/>
        <v>46141</v>
      </c>
      <c r="R269">
        <f>_xlfn.XLOOKUP(P269,'Painel Additive'!$B:$B,'Painel Additive'!$B:$B,0)</f>
        <v>0</v>
      </c>
      <c r="S269">
        <f t="shared" si="19"/>
        <v>0</v>
      </c>
    </row>
    <row r="270" spans="4:19" x14ac:dyDescent="0.25">
      <c r="D270" s="34"/>
      <c r="F270" s="30"/>
      <c r="K270" s="30"/>
      <c r="Q270">
        <f t="shared" si="18"/>
        <v>46141</v>
      </c>
      <c r="R270">
        <f>_xlfn.XLOOKUP(P270,'Painel Additive'!$B:$B,'Painel Additive'!$B:$B,0)</f>
        <v>0</v>
      </c>
      <c r="S270">
        <f t="shared" si="19"/>
        <v>0</v>
      </c>
    </row>
    <row r="271" spans="4:19" x14ac:dyDescent="0.25">
      <c r="D271" s="34"/>
      <c r="F271" s="30"/>
      <c r="K271" s="30"/>
      <c r="Q271">
        <f t="shared" si="18"/>
        <v>46141</v>
      </c>
      <c r="R271">
        <f>_xlfn.XLOOKUP(P271,'Painel Additive'!$B:$B,'Painel Additive'!$B:$B,0)</f>
        <v>0</v>
      </c>
      <c r="S271">
        <f t="shared" si="19"/>
        <v>0</v>
      </c>
    </row>
    <row r="272" spans="4:19" x14ac:dyDescent="0.25">
      <c r="D272" s="34"/>
      <c r="F272" s="30"/>
      <c r="K272" s="30"/>
      <c r="Q272">
        <f t="shared" si="18"/>
        <v>46141</v>
      </c>
      <c r="R272">
        <f>_xlfn.XLOOKUP(P272,'Painel Additive'!$B:$B,'Painel Additive'!$B:$B,0)</f>
        <v>0</v>
      </c>
      <c r="S272">
        <f t="shared" si="19"/>
        <v>0</v>
      </c>
    </row>
    <row r="273" spans="4:19" x14ac:dyDescent="0.25">
      <c r="D273" s="34"/>
      <c r="F273" s="30"/>
      <c r="K273" s="30"/>
      <c r="Q273">
        <f t="shared" si="18"/>
        <v>46141</v>
      </c>
      <c r="R273">
        <f>_xlfn.XLOOKUP(P273,'Painel Additive'!$B:$B,'Painel Additive'!$B:$B,0)</f>
        <v>0</v>
      </c>
      <c r="S273">
        <f t="shared" si="19"/>
        <v>0</v>
      </c>
    </row>
    <row r="274" spans="4:19" x14ac:dyDescent="0.25">
      <c r="D274" s="34"/>
      <c r="F274" s="30"/>
      <c r="K274" s="30"/>
      <c r="Q274">
        <f t="shared" si="18"/>
        <v>46141</v>
      </c>
      <c r="R274">
        <f>_xlfn.XLOOKUP(P274,'Painel Additive'!$B:$B,'Painel Additive'!$B:$B,0)</f>
        <v>0</v>
      </c>
      <c r="S274">
        <f t="shared" si="19"/>
        <v>0</v>
      </c>
    </row>
    <row r="275" spans="4:19" x14ac:dyDescent="0.25">
      <c r="D275" s="34"/>
      <c r="F275" s="30"/>
      <c r="K275" s="30"/>
      <c r="Q275">
        <f t="shared" si="18"/>
        <v>46141</v>
      </c>
      <c r="R275">
        <f>_xlfn.XLOOKUP(P275,'Painel Additive'!$B:$B,'Painel Additive'!$B:$B,0)</f>
        <v>0</v>
      </c>
      <c r="S275">
        <f t="shared" si="19"/>
        <v>0</v>
      </c>
    </row>
    <row r="276" spans="4:19" x14ac:dyDescent="0.25">
      <c r="D276" s="34"/>
      <c r="F276" s="30"/>
      <c r="K276" s="30"/>
      <c r="Q276">
        <f t="shared" si="18"/>
        <v>46141</v>
      </c>
      <c r="R276">
        <f>_xlfn.XLOOKUP(P276,'Painel Additive'!$B:$B,'Painel Additive'!$B:$B,0)</f>
        <v>0</v>
      </c>
      <c r="S276">
        <f t="shared" si="19"/>
        <v>0</v>
      </c>
    </row>
    <row r="277" spans="4:19" x14ac:dyDescent="0.25">
      <c r="D277" s="34"/>
      <c r="F277" s="30"/>
      <c r="K277" s="30"/>
      <c r="Q277">
        <f t="shared" si="18"/>
        <v>46141</v>
      </c>
      <c r="R277">
        <f>_xlfn.XLOOKUP(P277,'Painel Additive'!$B:$B,'Painel Additive'!$B:$B,0)</f>
        <v>0</v>
      </c>
      <c r="S277">
        <f t="shared" si="19"/>
        <v>0</v>
      </c>
    </row>
    <row r="278" spans="4:19" x14ac:dyDescent="0.25">
      <c r="D278" s="34"/>
      <c r="F278" s="30"/>
      <c r="K278" s="30"/>
      <c r="Q278">
        <f t="shared" si="18"/>
        <v>46141</v>
      </c>
      <c r="R278">
        <f>_xlfn.XLOOKUP(P278,'Painel Additive'!$B:$B,'Painel Additive'!$B:$B,0)</f>
        <v>0</v>
      </c>
      <c r="S278">
        <f t="shared" si="19"/>
        <v>0</v>
      </c>
    </row>
    <row r="279" spans="4:19" x14ac:dyDescent="0.25">
      <c r="D279" s="34"/>
      <c r="F279" s="30"/>
      <c r="K279" s="30"/>
      <c r="Q279">
        <f t="shared" si="18"/>
        <v>46141</v>
      </c>
      <c r="R279">
        <f>_xlfn.XLOOKUP(P279,'Painel Additive'!$B:$B,'Painel Additive'!$B:$B,0)</f>
        <v>0</v>
      </c>
      <c r="S279">
        <f t="shared" si="19"/>
        <v>0</v>
      </c>
    </row>
    <row r="280" spans="4:19" x14ac:dyDescent="0.25">
      <c r="D280" s="34"/>
      <c r="F280" s="30"/>
      <c r="K280" s="30"/>
      <c r="Q280">
        <f t="shared" si="18"/>
        <v>46141</v>
      </c>
      <c r="R280">
        <f>_xlfn.XLOOKUP(P280,'Painel Additive'!$B:$B,'Painel Additive'!$B:$B,0)</f>
        <v>0</v>
      </c>
      <c r="S280">
        <f t="shared" si="19"/>
        <v>0</v>
      </c>
    </row>
    <row r="281" spans="4:19" x14ac:dyDescent="0.25">
      <c r="D281" s="34"/>
      <c r="F281" s="30"/>
      <c r="K281" s="30"/>
      <c r="Q281">
        <f t="shared" si="18"/>
        <v>46141</v>
      </c>
      <c r="R281">
        <f>_xlfn.XLOOKUP(P281,'Painel Additive'!$B:$B,'Painel Additive'!$B:$B,0)</f>
        <v>0</v>
      </c>
      <c r="S281">
        <f t="shared" si="19"/>
        <v>0</v>
      </c>
    </row>
    <row r="282" spans="4:19" x14ac:dyDescent="0.25">
      <c r="D282" s="34"/>
      <c r="F282" s="30"/>
      <c r="K282" s="30"/>
      <c r="Q282">
        <f t="shared" si="18"/>
        <v>46141</v>
      </c>
      <c r="R282">
        <f>_xlfn.XLOOKUP(P282,'Painel Additive'!$B:$B,'Painel Additive'!$B:$B,0)</f>
        <v>0</v>
      </c>
      <c r="S282">
        <f t="shared" si="19"/>
        <v>0</v>
      </c>
    </row>
    <row r="283" spans="4:19" x14ac:dyDescent="0.25">
      <c r="D283" s="34"/>
      <c r="F283" s="30"/>
      <c r="K283" s="30"/>
      <c r="Q283">
        <f t="shared" si="18"/>
        <v>46141</v>
      </c>
      <c r="R283">
        <f>_xlfn.XLOOKUP(P283,'Painel Additive'!$B:$B,'Painel Additive'!$B:$B,0)</f>
        <v>0</v>
      </c>
      <c r="S283">
        <f t="shared" si="19"/>
        <v>0</v>
      </c>
    </row>
    <row r="284" spans="4:19" x14ac:dyDescent="0.25">
      <c r="D284" s="34"/>
      <c r="F284" s="30"/>
      <c r="K284" s="30"/>
      <c r="Q284">
        <f t="shared" si="18"/>
        <v>46141</v>
      </c>
      <c r="R284">
        <f>_xlfn.XLOOKUP(P284,'Painel Additive'!$B:$B,'Painel Additive'!$B:$B,0)</f>
        <v>0</v>
      </c>
      <c r="S284">
        <f t="shared" si="19"/>
        <v>0</v>
      </c>
    </row>
    <row r="285" spans="4:19" x14ac:dyDescent="0.25">
      <c r="D285" s="34"/>
      <c r="F285" s="30"/>
      <c r="K285" s="30"/>
      <c r="Q285">
        <f t="shared" si="18"/>
        <v>46141</v>
      </c>
      <c r="R285">
        <f>_xlfn.XLOOKUP(P285,'Painel Additive'!$B:$B,'Painel Additive'!$B:$B,0)</f>
        <v>0</v>
      </c>
      <c r="S285">
        <f t="shared" si="19"/>
        <v>0</v>
      </c>
    </row>
    <row r="286" spans="4:19" x14ac:dyDescent="0.25">
      <c r="D286" s="34"/>
      <c r="F286" s="30"/>
      <c r="K286" s="30"/>
      <c r="Q286">
        <f t="shared" si="18"/>
        <v>46141</v>
      </c>
      <c r="R286">
        <f>_xlfn.XLOOKUP(P286,'Painel Additive'!$B:$B,'Painel Additive'!$B:$B,0)</f>
        <v>0</v>
      </c>
      <c r="S286">
        <f t="shared" si="19"/>
        <v>0</v>
      </c>
    </row>
    <row r="287" spans="4:19" x14ac:dyDescent="0.25">
      <c r="D287" s="34"/>
      <c r="F287" s="30"/>
      <c r="K287" s="30"/>
    </row>
    <row r="288" spans="4:19" x14ac:dyDescent="0.25">
      <c r="D288" s="34"/>
      <c r="F288" s="30"/>
      <c r="K288" s="30"/>
    </row>
    <row r="289" spans="4:11" x14ac:dyDescent="0.25">
      <c r="D289" s="34"/>
      <c r="F289" s="30"/>
      <c r="K289" s="30"/>
    </row>
    <row r="290" spans="4:11" x14ac:dyDescent="0.25">
      <c r="D290" s="34"/>
      <c r="F290" s="30"/>
      <c r="K290" s="30"/>
    </row>
    <row r="291" spans="4:11" x14ac:dyDescent="0.25">
      <c r="D291" s="34"/>
      <c r="F291" s="30"/>
      <c r="K291" s="30"/>
    </row>
    <row r="292" spans="4:11" x14ac:dyDescent="0.25">
      <c r="D292" s="34"/>
      <c r="F292" s="30"/>
      <c r="K292" s="30"/>
    </row>
    <row r="293" spans="4:11" x14ac:dyDescent="0.25">
      <c r="D293" s="34"/>
      <c r="F293" s="30"/>
      <c r="K293" s="30"/>
    </row>
    <row r="294" spans="4:11" x14ac:dyDescent="0.25">
      <c r="D294" s="34"/>
      <c r="F294" s="30"/>
      <c r="K294" s="30"/>
    </row>
    <row r="295" spans="4:11" x14ac:dyDescent="0.25">
      <c r="D295" s="34"/>
      <c r="F295" s="30"/>
      <c r="K295" s="30"/>
    </row>
    <row r="296" spans="4:11" x14ac:dyDescent="0.25">
      <c r="D296" s="34"/>
      <c r="F296" s="30"/>
      <c r="K296" s="30"/>
    </row>
    <row r="297" spans="4:11" x14ac:dyDescent="0.25">
      <c r="D297" s="34"/>
      <c r="F297" s="30"/>
      <c r="K297" s="30"/>
    </row>
    <row r="298" spans="4:11" x14ac:dyDescent="0.25">
      <c r="D298" s="34"/>
      <c r="F298" s="30"/>
      <c r="K298" s="30"/>
    </row>
    <row r="299" spans="4:11" x14ac:dyDescent="0.25">
      <c r="D299" s="34"/>
      <c r="F299" s="30"/>
      <c r="K299" s="30"/>
    </row>
    <row r="300" spans="4:11" x14ac:dyDescent="0.25">
      <c r="D300" s="34"/>
      <c r="F300" s="30"/>
      <c r="K300" s="30"/>
    </row>
    <row r="301" spans="4:11" x14ac:dyDescent="0.25">
      <c r="D301" s="34"/>
      <c r="F301" s="30"/>
      <c r="K301" s="30"/>
    </row>
    <row r="302" spans="4:11" x14ac:dyDescent="0.25">
      <c r="D302" s="34"/>
      <c r="F302" s="30"/>
      <c r="K302" s="30"/>
    </row>
    <row r="303" spans="4:11" x14ac:dyDescent="0.25">
      <c r="D303" s="34"/>
      <c r="F303" s="30"/>
      <c r="K303" s="30"/>
    </row>
    <row r="304" spans="4:11" x14ac:dyDescent="0.25">
      <c r="D304" s="34"/>
      <c r="F304" s="30"/>
      <c r="K304" s="30"/>
    </row>
    <row r="305" spans="4:11" x14ac:dyDescent="0.25">
      <c r="D305" s="34"/>
      <c r="F305" s="30"/>
      <c r="K305" s="30"/>
    </row>
    <row r="306" spans="4:11" x14ac:dyDescent="0.25">
      <c r="D306" s="34"/>
      <c r="F306" s="30"/>
      <c r="K306" s="30"/>
    </row>
    <row r="307" spans="4:11" x14ac:dyDescent="0.25">
      <c r="D307" s="34"/>
      <c r="F307" s="30"/>
      <c r="K307" s="30"/>
    </row>
    <row r="308" spans="4:11" x14ac:dyDescent="0.25">
      <c r="D308" s="34"/>
      <c r="F308" s="30"/>
      <c r="K308" s="30"/>
    </row>
    <row r="309" spans="4:11" x14ac:dyDescent="0.25">
      <c r="D309" s="34"/>
      <c r="F309" s="30"/>
      <c r="K309" s="30"/>
    </row>
    <row r="310" spans="4:11" x14ac:dyDescent="0.25">
      <c r="D310" s="34"/>
      <c r="F310" s="30"/>
      <c r="K310" s="30"/>
    </row>
    <row r="311" spans="4:11" x14ac:dyDescent="0.25">
      <c r="D311" s="34"/>
      <c r="F311" s="30"/>
      <c r="K311" s="30"/>
    </row>
    <row r="312" spans="4:11" x14ac:dyDescent="0.25">
      <c r="D312" s="34"/>
      <c r="F312" s="30"/>
      <c r="K312" s="30"/>
    </row>
    <row r="313" spans="4:11" x14ac:dyDescent="0.25">
      <c r="D313" s="34"/>
      <c r="F313" s="30"/>
      <c r="K313" s="30"/>
    </row>
    <row r="314" spans="4:11" x14ac:dyDescent="0.25">
      <c r="D314" s="34"/>
      <c r="F314" s="30"/>
      <c r="K314" s="30"/>
    </row>
    <row r="315" spans="4:11" x14ac:dyDescent="0.25">
      <c r="D315" s="34"/>
      <c r="F315" s="30"/>
      <c r="K315" s="30"/>
    </row>
    <row r="316" spans="4:11" x14ac:dyDescent="0.25">
      <c r="D316" s="34"/>
      <c r="F316" s="30"/>
      <c r="K316" s="30"/>
    </row>
    <row r="317" spans="4:11" x14ac:dyDescent="0.25">
      <c r="D317" s="34"/>
      <c r="F317" s="30"/>
      <c r="K317" s="30"/>
    </row>
    <row r="318" spans="4:11" x14ac:dyDescent="0.25">
      <c r="D318" s="34"/>
      <c r="F318" s="30"/>
      <c r="K318" s="30"/>
    </row>
    <row r="319" spans="4:11" x14ac:dyDescent="0.25">
      <c r="D319" s="34"/>
      <c r="F319" s="30"/>
      <c r="K319" s="30"/>
    </row>
    <row r="320" spans="4:11" x14ac:dyDescent="0.25">
      <c r="D320" s="34"/>
      <c r="F320" s="30"/>
      <c r="K320" s="30"/>
    </row>
    <row r="321" spans="4:11" x14ac:dyDescent="0.25">
      <c r="D321" s="34"/>
      <c r="F321" s="30"/>
      <c r="K321" s="30"/>
    </row>
    <row r="322" spans="4:11" x14ac:dyDescent="0.25">
      <c r="D322" s="34"/>
      <c r="F322" s="30"/>
      <c r="K322" s="30"/>
    </row>
    <row r="323" spans="4:11" x14ac:dyDescent="0.25">
      <c r="D323" s="34"/>
      <c r="F323" s="30"/>
      <c r="K323" s="30"/>
    </row>
    <row r="324" spans="4:11" x14ac:dyDescent="0.25">
      <c r="D324" s="34"/>
      <c r="F324" s="30"/>
      <c r="K324" s="30"/>
    </row>
    <row r="325" spans="4:11" x14ac:dyDescent="0.25">
      <c r="D325" s="34"/>
      <c r="F325" s="30"/>
      <c r="K325" s="30"/>
    </row>
    <row r="326" spans="4:11" x14ac:dyDescent="0.25">
      <c r="D326" s="34"/>
      <c r="F326" s="30"/>
      <c r="K326" s="30"/>
    </row>
    <row r="327" spans="4:11" x14ac:dyDescent="0.25">
      <c r="D327" s="34"/>
      <c r="F327" s="30"/>
      <c r="K327" s="30"/>
    </row>
    <row r="328" spans="4:11" x14ac:dyDescent="0.25">
      <c r="D328" s="34"/>
      <c r="F328" s="30"/>
      <c r="K328" s="30"/>
    </row>
    <row r="329" spans="4:11" x14ac:dyDescent="0.25">
      <c r="D329" s="34"/>
      <c r="F329" s="30"/>
      <c r="K329" s="30"/>
    </row>
    <row r="330" spans="4:11" x14ac:dyDescent="0.25">
      <c r="D330" s="34"/>
      <c r="F330" s="30"/>
      <c r="K330" s="30"/>
    </row>
    <row r="331" spans="4:11" x14ac:dyDescent="0.25">
      <c r="D331" s="34"/>
      <c r="F331" s="30"/>
      <c r="K331" s="30"/>
    </row>
    <row r="332" spans="4:11" x14ac:dyDescent="0.25">
      <c r="D332" s="34"/>
      <c r="F332" s="30"/>
      <c r="K332" s="30"/>
    </row>
    <row r="333" spans="4:11" x14ac:dyDescent="0.25">
      <c r="D333" s="34"/>
      <c r="F333" s="30"/>
      <c r="K333" s="30"/>
    </row>
    <row r="334" spans="4:11" x14ac:dyDescent="0.25">
      <c r="D334" s="34"/>
      <c r="F334" s="30"/>
      <c r="K334" s="30"/>
    </row>
    <row r="335" spans="4:11" x14ac:dyDescent="0.25">
      <c r="D335" s="34"/>
      <c r="F335" s="30"/>
      <c r="K335" s="30"/>
    </row>
    <row r="336" spans="4:11" x14ac:dyDescent="0.25">
      <c r="D336" s="34"/>
      <c r="F336" s="30"/>
      <c r="K336" s="30"/>
    </row>
    <row r="337" spans="4:11" x14ac:dyDescent="0.25">
      <c r="D337" s="34"/>
      <c r="F337" s="30"/>
      <c r="K337" s="30"/>
    </row>
    <row r="338" spans="4:11" x14ac:dyDescent="0.25">
      <c r="D338" s="34"/>
      <c r="F338" s="30"/>
      <c r="K338" s="30"/>
    </row>
    <row r="339" spans="4:11" x14ac:dyDescent="0.25">
      <c r="D339" s="34"/>
      <c r="F339" s="30"/>
      <c r="K339" s="30"/>
    </row>
    <row r="340" spans="4:11" x14ac:dyDescent="0.25">
      <c r="D340" s="34"/>
      <c r="F340" s="30"/>
      <c r="K340" s="30"/>
    </row>
    <row r="341" spans="4:11" x14ac:dyDescent="0.25">
      <c r="D341" s="34"/>
      <c r="F341" s="30"/>
      <c r="K341" s="30"/>
    </row>
    <row r="342" spans="4:11" x14ac:dyDescent="0.25">
      <c r="D342" s="34"/>
      <c r="F342" s="30"/>
      <c r="K342" s="30"/>
    </row>
    <row r="343" spans="4:11" x14ac:dyDescent="0.25">
      <c r="D343" s="34"/>
      <c r="F343" s="30"/>
      <c r="K343" s="30"/>
    </row>
    <row r="344" spans="4:11" x14ac:dyDescent="0.25">
      <c r="D344" s="34"/>
      <c r="F344" s="30"/>
      <c r="K344" s="30"/>
    </row>
    <row r="345" spans="4:11" x14ac:dyDescent="0.25">
      <c r="D345" s="34"/>
      <c r="F345" s="30"/>
      <c r="K345" s="30"/>
    </row>
    <row r="346" spans="4:11" x14ac:dyDescent="0.25">
      <c r="D346" s="34"/>
      <c r="F346" s="30"/>
      <c r="K346" s="30"/>
    </row>
    <row r="347" spans="4:11" x14ac:dyDescent="0.25">
      <c r="D347" s="34"/>
      <c r="F347" s="30"/>
      <c r="K347" s="30"/>
    </row>
    <row r="348" spans="4:11" x14ac:dyDescent="0.25">
      <c r="D348" s="34"/>
      <c r="F348" s="30"/>
      <c r="K348" s="30"/>
    </row>
    <row r="349" spans="4:11" x14ac:dyDescent="0.25">
      <c r="D349" s="34"/>
      <c r="F349" s="30"/>
      <c r="K349" s="30"/>
    </row>
    <row r="350" spans="4:11" x14ac:dyDescent="0.25">
      <c r="D350" s="34"/>
      <c r="F350" s="30"/>
      <c r="K350" s="30"/>
    </row>
    <row r="351" spans="4:11" x14ac:dyDescent="0.25">
      <c r="D351" s="34"/>
      <c r="F351" s="30"/>
      <c r="K351" s="30"/>
    </row>
    <row r="352" spans="4:11" x14ac:dyDescent="0.25">
      <c r="D352" s="34"/>
      <c r="F352" s="30"/>
      <c r="K352" s="30"/>
    </row>
    <row r="353" spans="4:11" x14ac:dyDescent="0.25">
      <c r="D353" s="34"/>
      <c r="F353" s="30"/>
      <c r="K353" s="30"/>
    </row>
    <row r="354" spans="4:11" x14ac:dyDescent="0.25">
      <c r="D354" s="34"/>
      <c r="F354" s="30"/>
      <c r="K354" s="30"/>
    </row>
    <row r="355" spans="4:11" x14ac:dyDescent="0.25">
      <c r="D355" s="34"/>
      <c r="F355" s="30"/>
      <c r="K355" s="30"/>
    </row>
    <row r="356" spans="4:11" x14ac:dyDescent="0.25">
      <c r="D356" s="34"/>
      <c r="F356" s="30"/>
      <c r="K356" s="30"/>
    </row>
    <row r="357" spans="4:11" x14ac:dyDescent="0.25">
      <c r="D357" s="34"/>
      <c r="F357" s="30"/>
      <c r="K357" s="30"/>
    </row>
    <row r="358" spans="4:11" x14ac:dyDescent="0.25">
      <c r="D358" s="34"/>
      <c r="F358" s="30"/>
      <c r="K358" s="30"/>
    </row>
    <row r="359" spans="4:11" x14ac:dyDescent="0.25">
      <c r="D359" s="34"/>
      <c r="F359" s="30"/>
      <c r="K359" s="30"/>
    </row>
    <row r="360" spans="4:11" x14ac:dyDescent="0.25">
      <c r="D360" s="34"/>
      <c r="F360" s="30"/>
      <c r="K360" s="30"/>
    </row>
    <row r="361" spans="4:11" x14ac:dyDescent="0.25">
      <c r="D361" s="34"/>
      <c r="F361" s="30"/>
      <c r="K361" s="30"/>
    </row>
    <row r="362" spans="4:11" x14ac:dyDescent="0.25">
      <c r="D362" s="34"/>
      <c r="F362" s="30"/>
      <c r="K362" s="30"/>
    </row>
    <row r="363" spans="4:11" x14ac:dyDescent="0.25">
      <c r="D363" s="34"/>
      <c r="F363" s="30"/>
      <c r="K363" s="30"/>
    </row>
    <row r="364" spans="4:11" x14ac:dyDescent="0.25">
      <c r="D364" s="34"/>
      <c r="F364" s="30"/>
      <c r="K364" s="30"/>
    </row>
    <row r="365" spans="4:11" x14ac:dyDescent="0.25">
      <c r="D365" s="34"/>
      <c r="F365" s="30"/>
      <c r="K365" s="30"/>
    </row>
    <row r="366" spans="4:11" x14ac:dyDescent="0.25">
      <c r="D366" s="34"/>
      <c r="F366" s="30"/>
      <c r="K366" s="30"/>
    </row>
    <row r="367" spans="4:11" x14ac:dyDescent="0.25">
      <c r="D367" s="34"/>
      <c r="F367" s="30"/>
      <c r="K367" s="30"/>
    </row>
    <row r="368" spans="4:11" x14ac:dyDescent="0.25">
      <c r="D368" s="34"/>
      <c r="F368" s="30"/>
      <c r="K368" s="30"/>
    </row>
    <row r="369" spans="4:11" x14ac:dyDescent="0.25">
      <c r="D369" s="34"/>
      <c r="F369" s="30"/>
      <c r="K369" s="30"/>
    </row>
    <row r="370" spans="4:11" x14ac:dyDescent="0.25">
      <c r="D370" s="34"/>
      <c r="F370" s="30"/>
      <c r="K370" s="30"/>
    </row>
    <row r="371" spans="4:11" x14ac:dyDescent="0.25">
      <c r="D371" s="34"/>
      <c r="F371" s="30"/>
      <c r="K371" s="30"/>
    </row>
    <row r="372" spans="4:11" x14ac:dyDescent="0.25">
      <c r="D372" s="34"/>
      <c r="F372" s="30"/>
      <c r="K372" s="30"/>
    </row>
    <row r="373" spans="4:11" x14ac:dyDescent="0.25">
      <c r="D373" s="34"/>
      <c r="F373" s="30"/>
      <c r="K373" s="30"/>
    </row>
    <row r="374" spans="4:11" x14ac:dyDescent="0.25">
      <c r="D374" s="34"/>
      <c r="F374" s="30"/>
      <c r="K374" s="30"/>
    </row>
    <row r="375" spans="4:11" x14ac:dyDescent="0.25">
      <c r="D375" s="34"/>
      <c r="F375" s="30"/>
      <c r="K375" s="30"/>
    </row>
    <row r="376" spans="4:11" x14ac:dyDescent="0.25">
      <c r="D376" s="34"/>
      <c r="F376" s="30"/>
      <c r="K376" s="30"/>
    </row>
    <row r="377" spans="4:11" x14ac:dyDescent="0.25">
      <c r="D377" s="34"/>
      <c r="F377" s="30"/>
      <c r="K377" s="30"/>
    </row>
    <row r="378" spans="4:11" x14ac:dyDescent="0.25">
      <c r="D378" s="34"/>
      <c r="F378" s="30"/>
      <c r="K378" s="30"/>
    </row>
    <row r="379" spans="4:11" x14ac:dyDescent="0.25">
      <c r="D379" s="34"/>
      <c r="F379" s="30"/>
      <c r="K379" s="30"/>
    </row>
    <row r="380" spans="4:11" x14ac:dyDescent="0.25">
      <c r="D380" s="34"/>
      <c r="F380" s="30"/>
      <c r="K380" s="30"/>
    </row>
    <row r="381" spans="4:11" x14ac:dyDescent="0.25">
      <c r="D381" s="34"/>
      <c r="F381" s="30"/>
      <c r="K381" s="30"/>
    </row>
    <row r="382" spans="4:11" x14ac:dyDescent="0.25">
      <c r="D382" s="34"/>
      <c r="F382" s="30"/>
      <c r="K382" s="30"/>
    </row>
    <row r="383" spans="4:11" x14ac:dyDescent="0.25">
      <c r="D383" s="34"/>
      <c r="F383" s="30"/>
      <c r="K383" s="30"/>
    </row>
    <row r="384" spans="4:11" x14ac:dyDescent="0.25">
      <c r="D384" s="34"/>
      <c r="F384" s="30"/>
      <c r="K384" s="30"/>
    </row>
    <row r="385" spans="4:11" x14ac:dyDescent="0.25">
      <c r="D385" s="34"/>
      <c r="F385" s="30"/>
      <c r="K385" s="30"/>
    </row>
    <row r="386" spans="4:11" x14ac:dyDescent="0.25">
      <c r="D386" s="34"/>
      <c r="F386" s="30"/>
      <c r="K386" s="30"/>
    </row>
    <row r="387" spans="4:11" x14ac:dyDescent="0.25">
      <c r="D387" s="34"/>
      <c r="F387" s="30"/>
      <c r="K387" s="30"/>
    </row>
    <row r="388" spans="4:11" x14ac:dyDescent="0.25">
      <c r="D388" s="34"/>
      <c r="F388" s="30"/>
      <c r="K388" s="30"/>
    </row>
    <row r="389" spans="4:11" x14ac:dyDescent="0.25">
      <c r="D389" s="34"/>
      <c r="F389" s="30"/>
      <c r="K389" s="30"/>
    </row>
    <row r="390" spans="4:11" x14ac:dyDescent="0.25">
      <c r="D390" s="34"/>
      <c r="F390" s="30"/>
      <c r="K390" s="30"/>
    </row>
    <row r="391" spans="4:11" x14ac:dyDescent="0.25">
      <c r="D391" s="34"/>
      <c r="F391" s="30"/>
      <c r="K391" s="30"/>
    </row>
    <row r="392" spans="4:11" x14ac:dyDescent="0.25">
      <c r="D392" s="34"/>
      <c r="F392" s="30"/>
      <c r="K392" s="30"/>
    </row>
    <row r="393" spans="4:11" x14ac:dyDescent="0.25">
      <c r="D393" s="34"/>
      <c r="F393" s="30"/>
      <c r="K393" s="30"/>
    </row>
    <row r="394" spans="4:11" x14ac:dyDescent="0.25">
      <c r="D394" s="34"/>
      <c r="F394" s="30"/>
      <c r="K394" s="30"/>
    </row>
    <row r="395" spans="4:11" x14ac:dyDescent="0.25">
      <c r="D395" s="34"/>
      <c r="F395" s="30"/>
      <c r="K395" s="30"/>
    </row>
    <row r="396" spans="4:11" x14ac:dyDescent="0.25">
      <c r="D396" s="34"/>
      <c r="F396" s="30"/>
      <c r="K396" s="30"/>
    </row>
    <row r="397" spans="4:11" x14ac:dyDescent="0.25">
      <c r="D397" s="34"/>
      <c r="F397" s="30"/>
      <c r="K397" s="30"/>
    </row>
    <row r="398" spans="4:11" x14ac:dyDescent="0.25">
      <c r="D398" s="34"/>
      <c r="F398" s="30"/>
      <c r="K398" s="30"/>
    </row>
    <row r="399" spans="4:11" x14ac:dyDescent="0.25">
      <c r="D399" s="34"/>
      <c r="F399" s="30"/>
      <c r="K399" s="30"/>
    </row>
    <row r="400" spans="4:11" x14ac:dyDescent="0.25">
      <c r="D400" s="34"/>
      <c r="F400" s="30"/>
      <c r="K400" s="30"/>
    </row>
    <row r="401" spans="4:11" x14ac:dyDescent="0.25">
      <c r="D401" s="34"/>
      <c r="F401" s="30"/>
      <c r="K401" s="30"/>
    </row>
    <row r="402" spans="4:11" x14ac:dyDescent="0.25">
      <c r="D402" s="34"/>
      <c r="F402" s="30"/>
      <c r="K402" s="30"/>
    </row>
    <row r="403" spans="4:11" x14ac:dyDescent="0.25">
      <c r="D403" s="34"/>
      <c r="F403" s="30"/>
      <c r="K403" s="30"/>
    </row>
    <row r="404" spans="4:11" x14ac:dyDescent="0.25">
      <c r="D404" s="34"/>
      <c r="F404" s="30"/>
      <c r="K404" s="30"/>
    </row>
    <row r="405" spans="4:11" x14ac:dyDescent="0.25">
      <c r="D405" s="34"/>
      <c r="F405" s="30"/>
      <c r="K405" s="30"/>
    </row>
    <row r="406" spans="4:11" x14ac:dyDescent="0.25">
      <c r="D406" s="34"/>
      <c r="F406" s="30"/>
      <c r="K406" s="30"/>
    </row>
    <row r="407" spans="4:11" x14ac:dyDescent="0.25">
      <c r="D407" s="34"/>
      <c r="F407" s="30"/>
      <c r="K407" s="30"/>
    </row>
    <row r="408" spans="4:11" x14ac:dyDescent="0.25">
      <c r="D408" s="34"/>
      <c r="F408" s="30"/>
      <c r="K408" s="30"/>
    </row>
    <row r="409" spans="4:11" x14ac:dyDescent="0.25">
      <c r="D409" s="34"/>
      <c r="F409" s="30"/>
      <c r="K409" s="30"/>
    </row>
    <row r="410" spans="4:11" x14ac:dyDescent="0.25">
      <c r="D410" s="34"/>
      <c r="F410" s="30"/>
      <c r="K410" s="30"/>
    </row>
    <row r="411" spans="4:11" x14ac:dyDescent="0.25">
      <c r="D411" s="34"/>
      <c r="F411" s="30"/>
      <c r="K411" s="30"/>
    </row>
    <row r="412" spans="4:11" x14ac:dyDescent="0.25">
      <c r="D412" s="34"/>
      <c r="F412" s="30"/>
      <c r="K412" s="30"/>
    </row>
    <row r="413" spans="4:11" x14ac:dyDescent="0.25">
      <c r="D413" s="34"/>
      <c r="F413" s="30"/>
      <c r="K413" s="30"/>
    </row>
    <row r="414" spans="4:11" x14ac:dyDescent="0.25">
      <c r="D414" s="34"/>
      <c r="F414" s="30"/>
      <c r="K414" s="30"/>
    </row>
    <row r="415" spans="4:11" x14ac:dyDescent="0.25">
      <c r="D415" s="34"/>
      <c r="F415" s="30"/>
      <c r="K415" s="30"/>
    </row>
    <row r="416" spans="4:11" x14ac:dyDescent="0.25">
      <c r="D416" s="34"/>
      <c r="F416" s="30"/>
      <c r="K416" s="30"/>
    </row>
    <row r="417" spans="4:11" x14ac:dyDescent="0.25">
      <c r="D417" s="34"/>
      <c r="F417" s="30"/>
      <c r="K417" s="30"/>
    </row>
    <row r="418" spans="4:11" x14ac:dyDescent="0.25">
      <c r="D418" s="34"/>
      <c r="F418" s="30"/>
      <c r="K418" s="30"/>
    </row>
    <row r="419" spans="4:11" x14ac:dyDescent="0.25">
      <c r="D419" s="34"/>
      <c r="F419" s="30"/>
      <c r="K419" s="30"/>
    </row>
    <row r="420" spans="4:11" x14ac:dyDescent="0.25">
      <c r="D420" s="34"/>
      <c r="F420" s="30"/>
      <c r="K420" s="30"/>
    </row>
    <row r="421" spans="4:11" x14ac:dyDescent="0.25">
      <c r="D421" s="34"/>
      <c r="F421" s="30"/>
      <c r="K421" s="30"/>
    </row>
    <row r="422" spans="4:11" x14ac:dyDescent="0.25">
      <c r="D422" s="34"/>
      <c r="F422" s="30"/>
      <c r="K422" s="30"/>
    </row>
    <row r="423" spans="4:11" x14ac:dyDescent="0.25">
      <c r="D423" s="34"/>
      <c r="F423" s="30"/>
      <c r="K423" s="30"/>
    </row>
    <row r="424" spans="4:11" x14ac:dyDescent="0.25">
      <c r="D424" s="34"/>
      <c r="F424" s="30"/>
      <c r="K424" s="30"/>
    </row>
    <row r="425" spans="4:11" x14ac:dyDescent="0.25">
      <c r="D425" s="34"/>
      <c r="F425" s="30"/>
      <c r="K425" s="30"/>
    </row>
    <row r="426" spans="4:11" x14ac:dyDescent="0.25">
      <c r="D426" s="34"/>
      <c r="F426" s="30"/>
      <c r="K426" s="30"/>
    </row>
    <row r="427" spans="4:11" x14ac:dyDescent="0.25">
      <c r="D427" s="34"/>
      <c r="F427" s="30"/>
      <c r="K427" s="30"/>
    </row>
    <row r="428" spans="4:11" x14ac:dyDescent="0.25">
      <c r="D428" s="34"/>
      <c r="F428" s="30"/>
      <c r="K428" s="30"/>
    </row>
    <row r="429" spans="4:11" x14ac:dyDescent="0.25">
      <c r="D429" s="34"/>
      <c r="F429" s="30"/>
      <c r="K429" s="30"/>
    </row>
    <row r="430" spans="4:11" x14ac:dyDescent="0.25">
      <c r="D430" s="34"/>
      <c r="F430" s="30"/>
      <c r="K430" s="30"/>
    </row>
    <row r="431" spans="4:11" x14ac:dyDescent="0.25">
      <c r="D431" s="34"/>
      <c r="F431" s="30"/>
      <c r="K431" s="30"/>
    </row>
    <row r="432" spans="4:11" x14ac:dyDescent="0.25">
      <c r="D432" s="34"/>
      <c r="F432" s="30"/>
      <c r="K432" s="30"/>
    </row>
    <row r="433" spans="4:11" x14ac:dyDescent="0.25">
      <c r="D433" s="34"/>
      <c r="F433" s="30"/>
      <c r="K433" s="30"/>
    </row>
    <row r="434" spans="4:11" x14ac:dyDescent="0.25">
      <c r="D434" s="34"/>
      <c r="F434" s="30"/>
      <c r="K434" s="30"/>
    </row>
    <row r="435" spans="4:11" x14ac:dyDescent="0.25">
      <c r="D435" s="34"/>
      <c r="F435" s="30"/>
      <c r="K435" s="30"/>
    </row>
    <row r="436" spans="4:11" x14ac:dyDescent="0.25">
      <c r="D436" s="34"/>
      <c r="F436" s="30"/>
      <c r="K436" s="30"/>
    </row>
    <row r="437" spans="4:11" x14ac:dyDescent="0.25">
      <c r="D437" s="34"/>
      <c r="F437" s="30"/>
      <c r="K437" s="30"/>
    </row>
    <row r="438" spans="4:11" x14ac:dyDescent="0.25">
      <c r="D438" s="34"/>
      <c r="F438" s="30"/>
      <c r="K438" s="30"/>
    </row>
    <row r="439" spans="4:11" x14ac:dyDescent="0.25">
      <c r="D439" s="34"/>
      <c r="F439" s="30"/>
      <c r="K439" s="30"/>
    </row>
    <row r="440" spans="4:11" x14ac:dyDescent="0.25">
      <c r="D440" s="34"/>
      <c r="F440" s="30"/>
      <c r="K440" s="30"/>
    </row>
    <row r="441" spans="4:11" x14ac:dyDescent="0.25">
      <c r="D441" s="34"/>
      <c r="F441" s="30"/>
      <c r="K441" s="30"/>
    </row>
    <row r="442" spans="4:11" x14ac:dyDescent="0.25">
      <c r="D442" s="34"/>
      <c r="F442" s="30"/>
      <c r="K442" s="30"/>
    </row>
    <row r="443" spans="4:11" x14ac:dyDescent="0.25">
      <c r="D443" s="34"/>
      <c r="F443" s="30"/>
      <c r="K443" s="30"/>
    </row>
    <row r="444" spans="4:11" x14ac:dyDescent="0.25">
      <c r="D444" s="34"/>
      <c r="F444" s="30"/>
      <c r="K444" s="30"/>
    </row>
    <row r="445" spans="4:11" x14ac:dyDescent="0.25">
      <c r="D445" s="34"/>
      <c r="F445" s="30"/>
      <c r="K445" s="30"/>
    </row>
    <row r="446" spans="4:11" x14ac:dyDescent="0.25">
      <c r="D446" s="34"/>
      <c r="F446" s="30"/>
      <c r="K446" s="30"/>
    </row>
    <row r="447" spans="4:11" x14ac:dyDescent="0.25">
      <c r="D447" s="34"/>
      <c r="F447" s="30"/>
      <c r="K447" s="30"/>
    </row>
    <row r="448" spans="4:11" x14ac:dyDescent="0.25">
      <c r="D448" s="34"/>
      <c r="F448" s="30"/>
      <c r="K448" s="30"/>
    </row>
    <row r="449" spans="4:11" x14ac:dyDescent="0.25">
      <c r="D449" s="34"/>
      <c r="F449" s="30"/>
      <c r="K449" s="30"/>
    </row>
    <row r="450" spans="4:11" x14ac:dyDescent="0.25">
      <c r="D450" s="34"/>
      <c r="F450" s="30"/>
      <c r="K450" s="30"/>
    </row>
    <row r="451" spans="4:11" x14ac:dyDescent="0.25">
      <c r="D451" s="34"/>
      <c r="F451" s="30"/>
      <c r="K451" s="30"/>
    </row>
    <row r="452" spans="4:11" x14ac:dyDescent="0.25">
      <c r="D452" s="34"/>
      <c r="F452" s="30"/>
      <c r="K452" s="30"/>
    </row>
    <row r="453" spans="4:11" x14ac:dyDescent="0.25">
      <c r="D453" s="34"/>
      <c r="F453" s="30"/>
      <c r="K453" s="30"/>
    </row>
    <row r="454" spans="4:11" x14ac:dyDescent="0.25">
      <c r="D454" s="34"/>
      <c r="F454" s="30"/>
      <c r="K454" s="30"/>
    </row>
    <row r="455" spans="4:11" x14ac:dyDescent="0.25">
      <c r="D455" s="34"/>
      <c r="F455" s="30"/>
      <c r="K455" s="30"/>
    </row>
    <row r="456" spans="4:11" x14ac:dyDescent="0.25">
      <c r="D456" s="34"/>
      <c r="F456" s="30"/>
      <c r="K456" s="30"/>
    </row>
    <row r="457" spans="4:11" x14ac:dyDescent="0.25">
      <c r="D457" s="34"/>
      <c r="F457" s="30"/>
      <c r="K457" s="30"/>
    </row>
    <row r="458" spans="4:11" x14ac:dyDescent="0.25">
      <c r="D458" s="34"/>
      <c r="F458" s="30"/>
      <c r="K458" s="30"/>
    </row>
    <row r="459" spans="4:11" x14ac:dyDescent="0.25">
      <c r="D459" s="34"/>
      <c r="F459" s="30"/>
      <c r="K459" s="30"/>
    </row>
    <row r="460" spans="4:11" x14ac:dyDescent="0.25">
      <c r="D460" s="34"/>
      <c r="F460" s="30"/>
      <c r="K460" s="30"/>
    </row>
    <row r="461" spans="4:11" x14ac:dyDescent="0.25">
      <c r="D461" s="34"/>
      <c r="F461" s="30"/>
      <c r="K461" s="30"/>
    </row>
    <row r="462" spans="4:11" x14ac:dyDescent="0.25">
      <c r="D462" s="34"/>
      <c r="F462" s="30"/>
      <c r="K462" s="30"/>
    </row>
    <row r="463" spans="4:11" x14ac:dyDescent="0.25">
      <c r="D463" s="34"/>
      <c r="F463" s="30"/>
      <c r="K463" s="30"/>
    </row>
    <row r="464" spans="4:11" x14ac:dyDescent="0.25">
      <c r="D464" s="34"/>
      <c r="F464" s="30"/>
      <c r="K464" s="30"/>
    </row>
    <row r="465" spans="4:11" x14ac:dyDescent="0.25">
      <c r="D465" s="34"/>
      <c r="F465" s="30"/>
      <c r="K465" s="30"/>
    </row>
    <row r="466" spans="4:11" x14ac:dyDescent="0.25">
      <c r="D466" s="34"/>
      <c r="F466" s="30"/>
      <c r="K466" s="30"/>
    </row>
    <row r="467" spans="4:11" x14ac:dyDescent="0.25">
      <c r="D467" s="34"/>
      <c r="F467" s="30"/>
      <c r="K467" s="30"/>
    </row>
    <row r="468" spans="4:11" x14ac:dyDescent="0.25">
      <c r="D468" s="34"/>
      <c r="F468" s="30"/>
      <c r="K468" s="30"/>
    </row>
    <row r="469" spans="4:11" x14ac:dyDescent="0.25">
      <c r="D469" s="34"/>
      <c r="F469" s="30"/>
      <c r="K469" s="30"/>
    </row>
    <row r="470" spans="4:11" x14ac:dyDescent="0.25">
      <c r="D470" s="34"/>
      <c r="F470" s="30"/>
      <c r="K470" s="30"/>
    </row>
    <row r="471" spans="4:11" x14ac:dyDescent="0.25">
      <c r="D471" s="34"/>
      <c r="F471" s="30"/>
      <c r="K471" s="30"/>
    </row>
    <row r="472" spans="4:11" x14ac:dyDescent="0.25">
      <c r="D472" s="34"/>
      <c r="F472" s="30"/>
      <c r="K472" s="30"/>
    </row>
    <row r="473" spans="4:11" x14ac:dyDescent="0.25">
      <c r="D473" s="34"/>
      <c r="F473" s="30"/>
      <c r="K473" s="30"/>
    </row>
    <row r="474" spans="4:11" x14ac:dyDescent="0.25">
      <c r="D474" s="34"/>
      <c r="F474" s="30"/>
      <c r="K474" s="30"/>
    </row>
    <row r="475" spans="4:11" x14ac:dyDescent="0.25">
      <c r="D475" s="34"/>
      <c r="F475" s="30"/>
      <c r="K475" s="30"/>
    </row>
    <row r="476" spans="4:11" x14ac:dyDescent="0.25">
      <c r="D476" s="34"/>
      <c r="F476" s="30"/>
      <c r="K476" s="30"/>
    </row>
    <row r="477" spans="4:11" x14ac:dyDescent="0.25">
      <c r="D477" s="34"/>
      <c r="F477" s="30"/>
      <c r="K477" s="30"/>
    </row>
    <row r="478" spans="4:11" x14ac:dyDescent="0.25">
      <c r="D478" s="34"/>
      <c r="F478" s="30"/>
      <c r="K478" s="30"/>
    </row>
    <row r="479" spans="4:11" x14ac:dyDescent="0.25">
      <c r="D479" s="34"/>
      <c r="F479" s="30"/>
      <c r="K479" s="30"/>
    </row>
    <row r="480" spans="4:11" x14ac:dyDescent="0.25">
      <c r="D480" s="34"/>
      <c r="F480" s="30"/>
      <c r="K480" s="30"/>
    </row>
    <row r="481" spans="4:11" x14ac:dyDescent="0.25">
      <c r="D481" s="34"/>
      <c r="F481" s="30"/>
      <c r="K481" s="30"/>
    </row>
    <row r="482" spans="4:11" x14ac:dyDescent="0.25">
      <c r="D482" s="34"/>
      <c r="F482" s="30"/>
      <c r="K482" s="30"/>
    </row>
    <row r="483" spans="4:11" x14ac:dyDescent="0.25">
      <c r="D483" s="34"/>
      <c r="F483" s="30"/>
      <c r="K483" s="30"/>
    </row>
    <row r="484" spans="4:11" x14ac:dyDescent="0.25">
      <c r="D484" s="34"/>
      <c r="F484" s="30"/>
      <c r="K484" s="30"/>
    </row>
    <row r="485" spans="4:11" x14ac:dyDescent="0.25">
      <c r="D485" s="34"/>
      <c r="F485" s="30"/>
      <c r="K485" s="30"/>
    </row>
    <row r="486" spans="4:11" x14ac:dyDescent="0.25">
      <c r="D486" s="34"/>
      <c r="F486" s="30"/>
      <c r="K486" s="30"/>
    </row>
    <row r="487" spans="4:11" x14ac:dyDescent="0.25">
      <c r="D487" s="34"/>
      <c r="F487" s="30"/>
      <c r="K487" s="30"/>
    </row>
    <row r="488" spans="4:11" x14ac:dyDescent="0.25">
      <c r="D488" s="34"/>
      <c r="F488" s="30"/>
      <c r="K488" s="30"/>
    </row>
    <row r="489" spans="4:11" x14ac:dyDescent="0.25">
      <c r="D489" s="34"/>
      <c r="F489" s="30"/>
      <c r="K489" s="30"/>
    </row>
    <row r="490" spans="4:11" x14ac:dyDescent="0.25">
      <c r="D490" s="34"/>
      <c r="F490" s="30"/>
      <c r="K490" s="30"/>
    </row>
    <row r="491" spans="4:11" x14ac:dyDescent="0.25">
      <c r="D491" s="34"/>
      <c r="F491" s="30"/>
      <c r="K491" s="30"/>
    </row>
    <row r="492" spans="4:11" x14ac:dyDescent="0.25">
      <c r="D492" s="34"/>
      <c r="F492" s="30"/>
      <c r="K492" s="30"/>
    </row>
    <row r="493" spans="4:11" x14ac:dyDescent="0.25">
      <c r="D493" s="34"/>
      <c r="F493" s="30"/>
      <c r="K493" s="30"/>
    </row>
    <row r="494" spans="4:11" x14ac:dyDescent="0.25">
      <c r="D494" s="34"/>
      <c r="F494" s="30"/>
      <c r="K494" s="30"/>
    </row>
    <row r="495" spans="4:11" x14ac:dyDescent="0.25">
      <c r="D495" s="34"/>
      <c r="F495" s="30"/>
      <c r="K495" s="30"/>
    </row>
    <row r="496" spans="4:11" x14ac:dyDescent="0.25">
      <c r="D496" s="34"/>
      <c r="F496" s="30"/>
      <c r="K496" s="30"/>
    </row>
    <row r="497" spans="4:11" x14ac:dyDescent="0.25">
      <c r="D497" s="34"/>
      <c r="F497" s="30"/>
      <c r="K497" s="30"/>
    </row>
    <row r="498" spans="4:11" x14ac:dyDescent="0.25">
      <c r="D498" s="34"/>
      <c r="F498" s="30"/>
      <c r="K498" s="30"/>
    </row>
    <row r="499" spans="4:11" x14ac:dyDescent="0.25">
      <c r="D499" s="34"/>
      <c r="F499" s="30"/>
      <c r="K499" s="30"/>
    </row>
    <row r="500" spans="4:11" x14ac:dyDescent="0.25">
      <c r="D500" s="34"/>
      <c r="F500" s="30"/>
      <c r="K500" s="30"/>
    </row>
    <row r="501" spans="4:11" x14ac:dyDescent="0.25">
      <c r="D501" s="34"/>
      <c r="F501" s="30"/>
      <c r="K501" s="30"/>
    </row>
    <row r="502" spans="4:11" x14ac:dyDescent="0.25">
      <c r="D502" s="34"/>
      <c r="F502" s="30"/>
      <c r="K502" s="30"/>
    </row>
    <row r="503" spans="4:11" x14ac:dyDescent="0.25">
      <c r="D503" s="34"/>
      <c r="F503" s="30"/>
      <c r="K503" s="30"/>
    </row>
    <row r="504" spans="4:11" x14ac:dyDescent="0.25">
      <c r="D504" s="34"/>
      <c r="F504" s="30"/>
      <c r="K504" s="30"/>
    </row>
    <row r="505" spans="4:11" x14ac:dyDescent="0.25">
      <c r="D505" s="34"/>
      <c r="F505" s="30"/>
      <c r="K505" s="30"/>
    </row>
    <row r="506" spans="4:11" x14ac:dyDescent="0.25">
      <c r="D506" s="34"/>
      <c r="F506" s="30"/>
      <c r="K506" s="30"/>
    </row>
    <row r="507" spans="4:11" x14ac:dyDescent="0.25">
      <c r="D507" s="34"/>
      <c r="F507" s="30"/>
      <c r="K507" s="30"/>
    </row>
    <row r="508" spans="4:11" x14ac:dyDescent="0.25">
      <c r="D508" s="34"/>
      <c r="F508" s="30"/>
      <c r="K508" s="30"/>
    </row>
    <row r="509" spans="4:11" x14ac:dyDescent="0.25">
      <c r="D509" s="34"/>
      <c r="F509" s="30"/>
      <c r="K509" s="30"/>
    </row>
    <row r="510" spans="4:11" x14ac:dyDescent="0.25">
      <c r="D510" s="34"/>
      <c r="F510" s="30"/>
      <c r="K510" s="30"/>
    </row>
    <row r="511" spans="4:11" x14ac:dyDescent="0.25">
      <c r="D511" s="34"/>
      <c r="F511" s="30"/>
      <c r="K511" s="30"/>
    </row>
    <row r="512" spans="4:11" x14ac:dyDescent="0.25">
      <c r="D512" s="34"/>
      <c r="F512" s="30"/>
      <c r="K512" s="30"/>
    </row>
    <row r="513" spans="4:11" x14ac:dyDescent="0.25">
      <c r="D513" s="34"/>
      <c r="F513" s="30"/>
      <c r="K513" s="30"/>
    </row>
    <row r="514" spans="4:11" x14ac:dyDescent="0.25">
      <c r="D514" s="34"/>
      <c r="F514" s="30"/>
      <c r="K514" s="30"/>
    </row>
    <row r="515" spans="4:11" x14ac:dyDescent="0.25">
      <c r="D515" s="34"/>
      <c r="F515" s="30"/>
      <c r="K515" s="30"/>
    </row>
    <row r="516" spans="4:11" x14ac:dyDescent="0.25">
      <c r="D516" s="34"/>
      <c r="F516" s="30"/>
      <c r="K516" s="30"/>
    </row>
    <row r="517" spans="4:11" x14ac:dyDescent="0.25">
      <c r="D517" s="34"/>
      <c r="F517" s="30"/>
      <c r="K517" s="30"/>
    </row>
    <row r="518" spans="4:11" x14ac:dyDescent="0.25">
      <c r="D518" s="34"/>
      <c r="F518" s="30"/>
      <c r="K518" s="30"/>
    </row>
    <row r="519" spans="4:11" x14ac:dyDescent="0.25">
      <c r="D519" s="34"/>
      <c r="F519" s="30"/>
      <c r="K519" s="30"/>
    </row>
    <row r="520" spans="4:11" x14ac:dyDescent="0.25">
      <c r="D520" s="34"/>
      <c r="F520" s="30"/>
      <c r="K520" s="30"/>
    </row>
    <row r="521" spans="4:11" x14ac:dyDescent="0.25">
      <c r="D521" s="34"/>
      <c r="F521" s="30"/>
      <c r="K521" s="30"/>
    </row>
    <row r="522" spans="4:11" x14ac:dyDescent="0.25">
      <c r="D522" s="34"/>
      <c r="F522" s="30"/>
      <c r="K522" s="30"/>
    </row>
    <row r="523" spans="4:11" x14ac:dyDescent="0.25">
      <c r="D523" s="34"/>
      <c r="F523" s="30"/>
      <c r="K523" s="30"/>
    </row>
    <row r="524" spans="4:11" x14ac:dyDescent="0.25">
      <c r="D524" s="34"/>
      <c r="F524" s="30"/>
      <c r="K524" s="30"/>
    </row>
    <row r="525" spans="4:11" x14ac:dyDescent="0.25">
      <c r="D525" s="34"/>
      <c r="F525" s="30"/>
      <c r="K525" s="30"/>
    </row>
    <row r="526" spans="4:11" x14ac:dyDescent="0.25">
      <c r="D526" s="34"/>
      <c r="F526" s="30"/>
      <c r="K526" s="30"/>
    </row>
    <row r="527" spans="4:11" x14ac:dyDescent="0.25">
      <c r="D527" s="34"/>
      <c r="F527" s="30"/>
      <c r="K527" s="30"/>
    </row>
    <row r="528" spans="4:11" x14ac:dyDescent="0.25">
      <c r="D528" s="34"/>
      <c r="F528" s="30"/>
      <c r="K528" s="30"/>
    </row>
    <row r="529" spans="4:11" x14ac:dyDescent="0.25">
      <c r="D529" s="34"/>
      <c r="F529" s="30"/>
      <c r="K529" s="30"/>
    </row>
    <row r="530" spans="4:11" x14ac:dyDescent="0.25">
      <c r="D530" s="34"/>
      <c r="F530" s="30"/>
      <c r="K530" s="30"/>
    </row>
    <row r="531" spans="4:11" x14ac:dyDescent="0.25">
      <c r="D531" s="34"/>
      <c r="F531" s="30"/>
      <c r="K531" s="30"/>
    </row>
    <row r="532" spans="4:11" x14ac:dyDescent="0.25">
      <c r="D532" s="34"/>
      <c r="F532" s="30"/>
      <c r="K532" s="30"/>
    </row>
    <row r="533" spans="4:11" x14ac:dyDescent="0.25">
      <c r="D533" s="34"/>
      <c r="F533" s="30"/>
      <c r="K533" s="30"/>
    </row>
    <row r="534" spans="4:11" x14ac:dyDescent="0.25">
      <c r="D534" s="34"/>
      <c r="F534" s="30"/>
      <c r="K534" s="30"/>
    </row>
    <row r="535" spans="4:11" x14ac:dyDescent="0.25">
      <c r="D535" s="34"/>
      <c r="F535" s="30"/>
      <c r="K535" s="30"/>
    </row>
    <row r="536" spans="4:11" x14ac:dyDescent="0.25">
      <c r="D536" s="34"/>
      <c r="F536" s="30"/>
      <c r="K536" s="30"/>
    </row>
    <row r="537" spans="4:11" x14ac:dyDescent="0.25">
      <c r="D537" s="34"/>
      <c r="F537" s="30"/>
      <c r="K537" s="30"/>
    </row>
    <row r="538" spans="4:11" x14ac:dyDescent="0.25">
      <c r="D538" s="34"/>
      <c r="F538" s="30"/>
      <c r="K538" s="30"/>
    </row>
    <row r="539" spans="4:11" x14ac:dyDescent="0.25">
      <c r="D539" s="34"/>
      <c r="F539" s="30"/>
      <c r="K539" s="30"/>
    </row>
    <row r="540" spans="4:11" x14ac:dyDescent="0.25">
      <c r="D540" s="34"/>
      <c r="F540" s="30"/>
      <c r="K540" s="30"/>
    </row>
    <row r="541" spans="4:11" x14ac:dyDescent="0.25">
      <c r="D541" s="34"/>
      <c r="F541" s="30"/>
      <c r="K541" s="30"/>
    </row>
    <row r="542" spans="4:11" x14ac:dyDescent="0.25">
      <c r="D542" s="34"/>
      <c r="F542" s="30"/>
      <c r="K542" s="30"/>
    </row>
    <row r="543" spans="4:11" x14ac:dyDescent="0.25">
      <c r="D543" s="34"/>
      <c r="F543" s="30"/>
      <c r="K543" s="30"/>
    </row>
    <row r="544" spans="4:11" x14ac:dyDescent="0.25">
      <c r="D544" s="34"/>
      <c r="F544" s="30"/>
      <c r="K544" s="30"/>
    </row>
    <row r="545" spans="4:11" x14ac:dyDescent="0.25">
      <c r="D545" s="34"/>
      <c r="F545" s="30"/>
      <c r="K545" s="30"/>
    </row>
    <row r="546" spans="4:11" x14ac:dyDescent="0.25">
      <c r="D546" s="34"/>
      <c r="F546" s="30"/>
      <c r="K546" s="30"/>
    </row>
    <row r="547" spans="4:11" x14ac:dyDescent="0.25">
      <c r="D547" s="34"/>
      <c r="F547" s="30"/>
      <c r="K547" s="30"/>
    </row>
    <row r="548" spans="4:11" x14ac:dyDescent="0.25">
      <c r="D548" s="34"/>
      <c r="F548" s="30"/>
      <c r="K548" s="30"/>
    </row>
    <row r="549" spans="4:11" x14ac:dyDescent="0.25">
      <c r="D549" s="34"/>
      <c r="F549" s="30"/>
      <c r="K549" s="30"/>
    </row>
    <row r="550" spans="4:11" x14ac:dyDescent="0.25">
      <c r="D550" s="34"/>
      <c r="F550" s="30"/>
      <c r="K550" s="30"/>
    </row>
    <row r="551" spans="4:11" x14ac:dyDescent="0.25">
      <c r="D551" s="34"/>
      <c r="F551" s="30"/>
      <c r="K551" s="30"/>
    </row>
    <row r="552" spans="4:11" x14ac:dyDescent="0.25">
      <c r="D552" s="34"/>
      <c r="F552" s="30"/>
      <c r="K552" s="30"/>
    </row>
    <row r="553" spans="4:11" x14ac:dyDescent="0.25">
      <c r="D553" s="34"/>
      <c r="F553" s="30"/>
      <c r="K553" s="30"/>
    </row>
    <row r="554" spans="4:11" x14ac:dyDescent="0.25">
      <c r="D554" s="34"/>
      <c r="F554" s="30"/>
      <c r="K554" s="30"/>
    </row>
    <row r="555" spans="4:11" x14ac:dyDescent="0.25">
      <c r="D555" s="34"/>
      <c r="F555" s="30"/>
      <c r="K555" s="30"/>
    </row>
    <row r="556" spans="4:11" x14ac:dyDescent="0.25">
      <c r="D556" s="34"/>
      <c r="F556" s="30"/>
      <c r="K556" s="30"/>
    </row>
    <row r="557" spans="4:11" x14ac:dyDescent="0.25">
      <c r="D557" s="34"/>
      <c r="F557" s="30"/>
      <c r="K557" s="30"/>
    </row>
    <row r="558" spans="4:11" x14ac:dyDescent="0.25">
      <c r="D558" s="34"/>
      <c r="F558" s="30"/>
      <c r="K558" s="30"/>
    </row>
    <row r="559" spans="4:11" x14ac:dyDescent="0.25">
      <c r="D559" s="34"/>
      <c r="F559" s="30"/>
      <c r="K559" s="30"/>
    </row>
    <row r="560" spans="4:11" x14ac:dyDescent="0.25">
      <c r="D560" s="34"/>
      <c r="F560" s="30"/>
      <c r="K560" s="30"/>
    </row>
    <row r="561" spans="4:11" x14ac:dyDescent="0.25">
      <c r="D561" s="34"/>
      <c r="F561" s="30"/>
      <c r="K561" s="30"/>
    </row>
    <row r="562" spans="4:11" x14ac:dyDescent="0.25">
      <c r="D562" s="34"/>
      <c r="F562" s="30"/>
      <c r="K562" s="30"/>
    </row>
    <row r="563" spans="4:11" x14ac:dyDescent="0.25">
      <c r="D563" s="34"/>
      <c r="F563" s="30"/>
      <c r="K563" s="30"/>
    </row>
    <row r="564" spans="4:11" x14ac:dyDescent="0.25">
      <c r="D564" s="34"/>
      <c r="F564" s="30"/>
      <c r="K564" s="30"/>
    </row>
    <row r="565" spans="4:11" x14ac:dyDescent="0.25">
      <c r="D565" s="34"/>
      <c r="F565" s="30"/>
      <c r="K565" s="30"/>
    </row>
    <row r="566" spans="4:11" x14ac:dyDescent="0.25">
      <c r="D566" s="34"/>
      <c r="F566" s="30"/>
      <c r="K566" s="30"/>
    </row>
    <row r="567" spans="4:11" x14ac:dyDescent="0.25">
      <c r="D567" s="34"/>
      <c r="F567" s="30"/>
      <c r="K567" s="30"/>
    </row>
    <row r="568" spans="4:11" x14ac:dyDescent="0.25">
      <c r="D568" s="34"/>
      <c r="F568" s="30"/>
      <c r="K568" s="30"/>
    </row>
    <row r="569" spans="4:11" x14ac:dyDescent="0.25">
      <c r="D569" s="34"/>
      <c r="F569" s="30"/>
      <c r="K569" s="30"/>
    </row>
    <row r="570" spans="4:11" x14ac:dyDescent="0.25">
      <c r="D570" s="34"/>
      <c r="F570" s="30"/>
      <c r="K570" s="30"/>
    </row>
    <row r="571" spans="4:11" x14ac:dyDescent="0.25">
      <c r="D571" s="34"/>
      <c r="F571" s="30"/>
      <c r="K571" s="30"/>
    </row>
    <row r="572" spans="4:11" x14ac:dyDescent="0.25">
      <c r="D572" s="34"/>
      <c r="F572" s="30"/>
      <c r="K572" s="30"/>
    </row>
    <row r="573" spans="4:11" x14ac:dyDescent="0.25">
      <c r="D573" s="34"/>
      <c r="F573" s="30"/>
      <c r="K573" s="30"/>
    </row>
    <row r="574" spans="4:11" x14ac:dyDescent="0.25">
      <c r="D574" s="34"/>
      <c r="F574" s="30"/>
      <c r="K574" s="30"/>
    </row>
    <row r="575" spans="4:11" x14ac:dyDescent="0.25">
      <c r="D575" s="34"/>
      <c r="F575" s="30"/>
      <c r="K575" s="30"/>
    </row>
    <row r="576" spans="4:11" x14ac:dyDescent="0.25">
      <c r="D576" s="34"/>
      <c r="F576" s="30"/>
      <c r="K576" s="30"/>
    </row>
    <row r="577" spans="4:11" x14ac:dyDescent="0.25">
      <c r="D577" s="34"/>
      <c r="F577" s="30"/>
      <c r="K577" s="30"/>
    </row>
    <row r="578" spans="4:11" x14ac:dyDescent="0.25">
      <c r="D578" s="34"/>
      <c r="F578" s="30"/>
      <c r="K578" s="30"/>
    </row>
    <row r="579" spans="4:11" x14ac:dyDescent="0.25">
      <c r="D579" s="34"/>
      <c r="F579" s="30"/>
      <c r="K579" s="30"/>
    </row>
    <row r="580" spans="4:11" x14ac:dyDescent="0.25">
      <c r="D580" s="34"/>
      <c r="F580" s="30"/>
      <c r="K580" s="30"/>
    </row>
    <row r="581" spans="4:11" x14ac:dyDescent="0.25">
      <c r="D581" s="34"/>
      <c r="F581" s="30"/>
      <c r="K581" s="30"/>
    </row>
    <row r="582" spans="4:11" x14ac:dyDescent="0.25">
      <c r="D582" s="34"/>
      <c r="F582" s="30"/>
      <c r="K582" s="30"/>
    </row>
    <row r="583" spans="4:11" x14ac:dyDescent="0.25">
      <c r="D583" s="34"/>
      <c r="F583" s="30"/>
      <c r="K583" s="30"/>
    </row>
    <row r="584" spans="4:11" x14ac:dyDescent="0.25">
      <c r="D584" s="34"/>
      <c r="F584" s="30"/>
      <c r="K584" s="30"/>
    </row>
    <row r="585" spans="4:11" x14ac:dyDescent="0.25">
      <c r="D585" s="34"/>
      <c r="F585" s="30"/>
      <c r="K585" s="30"/>
    </row>
    <row r="586" spans="4:11" x14ac:dyDescent="0.25">
      <c r="D586" s="34"/>
      <c r="F586" s="30"/>
      <c r="K586" s="30"/>
    </row>
    <row r="587" spans="4:11" x14ac:dyDescent="0.25">
      <c r="D587" s="34"/>
      <c r="F587" s="30"/>
      <c r="K587" s="30"/>
    </row>
    <row r="588" spans="4:11" x14ac:dyDescent="0.25">
      <c r="D588" s="34"/>
      <c r="F588" s="30"/>
      <c r="K588" s="30"/>
    </row>
    <row r="589" spans="4:11" x14ac:dyDescent="0.25">
      <c r="D589" s="34"/>
      <c r="F589" s="30"/>
      <c r="K589" s="30"/>
    </row>
    <row r="590" spans="4:11" x14ac:dyDescent="0.25">
      <c r="D590" s="34"/>
      <c r="F590" s="30"/>
      <c r="K590" s="30"/>
    </row>
    <row r="591" spans="4:11" x14ac:dyDescent="0.25">
      <c r="D591" s="34"/>
      <c r="F591" s="30"/>
      <c r="K591" s="30"/>
    </row>
  </sheetData>
  <autoFilter ref="A2:R286" xr:uid="{00000000-0001-0000-0000-000000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997FA-10A2-4C0A-9CCA-48F9A22A414F}">
  <dimension ref="A1:R41"/>
  <sheetViews>
    <sheetView zoomScale="80" zoomScaleNormal="80" workbookViewId="0">
      <pane xSplit="2" ySplit="2" topLeftCell="C3" activePane="bottomRight" state="frozen"/>
      <selection activeCell="A3" sqref="A3"/>
      <selection pane="topRight" activeCell="A3" sqref="A3"/>
      <selection pane="bottomLeft" activeCell="A3" sqref="A3"/>
      <selection pane="bottomRight" activeCell="G50" sqref="G50"/>
    </sheetView>
  </sheetViews>
  <sheetFormatPr defaultRowHeight="13.2" x14ac:dyDescent="0.25"/>
  <cols>
    <col min="1" max="1" width="12.6640625" bestFit="1" customWidth="1"/>
    <col min="2" max="2" width="39.44140625" bestFit="1" customWidth="1"/>
    <col min="3" max="3" width="18.33203125" bestFit="1" customWidth="1"/>
    <col min="4" max="4" width="15.44140625" style="25" bestFit="1" customWidth="1"/>
    <col min="5" max="5" width="11.66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7.5546875" bestFit="1" customWidth="1"/>
    <col min="14" max="14" width="15" bestFit="1" customWidth="1"/>
    <col min="15" max="15" width="27.33203125" bestFit="1" customWidth="1"/>
    <col min="16" max="16" width="39.44140625" bestFit="1" customWidth="1"/>
    <col min="17" max="17" width="15.6640625" bestFit="1" customWidth="1"/>
    <col min="18" max="18" width="39.44140625" bestFit="1" customWidth="1"/>
  </cols>
  <sheetData>
    <row r="1" spans="1:18" x14ac:dyDescent="0.25">
      <c r="C1" s="32"/>
      <c r="D1" s="1">
        <f>SUBTOTAL(9,D3:D995)</f>
        <v>6767486.9399999995</v>
      </c>
      <c r="E1" s="1"/>
      <c r="R1" s="3">
        <v>46141</v>
      </c>
    </row>
    <row r="2" spans="1:18" x14ac:dyDescent="0.25">
      <c r="A2" s="2" t="s">
        <v>4</v>
      </c>
      <c r="B2" s="2" t="s">
        <v>3</v>
      </c>
      <c r="C2" s="2" t="s">
        <v>0</v>
      </c>
      <c r="D2" s="31" t="s">
        <v>6</v>
      </c>
      <c r="E2" s="2" t="s">
        <v>216</v>
      </c>
      <c r="F2" s="2" t="s">
        <v>2</v>
      </c>
      <c r="G2" s="2" t="s">
        <v>215</v>
      </c>
      <c r="H2" s="2" t="s">
        <v>217</v>
      </c>
      <c r="I2" s="2" t="s">
        <v>218</v>
      </c>
      <c r="J2" s="2" t="s">
        <v>1</v>
      </c>
      <c r="K2" s="2" t="s">
        <v>219</v>
      </c>
      <c r="L2" s="2" t="s">
        <v>220</v>
      </c>
      <c r="M2" s="2" t="s">
        <v>221</v>
      </c>
      <c r="N2" s="2" t="s">
        <v>222</v>
      </c>
      <c r="O2" s="2" t="s">
        <v>223</v>
      </c>
      <c r="P2" s="2" t="s">
        <v>409</v>
      </c>
      <c r="Q2" s="4" t="s">
        <v>5</v>
      </c>
    </row>
    <row r="3" spans="1:18" x14ac:dyDescent="0.25">
      <c r="A3">
        <v>3297</v>
      </c>
      <c r="B3" t="s">
        <v>640</v>
      </c>
      <c r="C3" t="s">
        <v>31</v>
      </c>
      <c r="D3" s="34">
        <v>49956.68</v>
      </c>
      <c r="E3">
        <v>1246271355</v>
      </c>
      <c r="F3" s="30">
        <v>46186</v>
      </c>
      <c r="H3" t="s">
        <v>28</v>
      </c>
      <c r="I3" t="s">
        <v>29</v>
      </c>
      <c r="J3">
        <v>11123</v>
      </c>
      <c r="K3" s="30">
        <v>46126</v>
      </c>
      <c r="L3">
        <v>1010200</v>
      </c>
      <c r="M3" t="s">
        <v>124</v>
      </c>
      <c r="N3">
        <v>40</v>
      </c>
      <c r="O3" t="s">
        <v>170</v>
      </c>
      <c r="P3" t="s">
        <v>640</v>
      </c>
      <c r="Q3">
        <f t="shared" ref="Q3:Q36" si="0">$R$1-F3</f>
        <v>-45</v>
      </c>
      <c r="R3" t="str">
        <f>_xlfn.XLOOKUP(P3,'Painel International'!$B:$B,'Painel International'!$B:$B,0)</f>
        <v>MACROSOURCE PERU S.R.L.</v>
      </c>
    </row>
    <row r="4" spans="1:18" x14ac:dyDescent="0.25">
      <c r="A4">
        <v>3426</v>
      </c>
      <c r="B4" t="s">
        <v>402</v>
      </c>
      <c r="C4" t="s">
        <v>32</v>
      </c>
      <c r="D4" s="34">
        <v>250261.53</v>
      </c>
      <c r="E4">
        <v>1246272081</v>
      </c>
      <c r="F4" s="30">
        <v>46194</v>
      </c>
      <c r="H4" t="s">
        <v>28</v>
      </c>
      <c r="I4" t="s">
        <v>29</v>
      </c>
      <c r="J4">
        <v>2886</v>
      </c>
      <c r="K4" s="30">
        <v>46134</v>
      </c>
      <c r="L4">
        <v>1010200</v>
      </c>
      <c r="M4" t="s">
        <v>124</v>
      </c>
      <c r="N4">
        <v>40</v>
      </c>
      <c r="O4" t="s">
        <v>170</v>
      </c>
      <c r="P4" t="s">
        <v>402</v>
      </c>
      <c r="Q4">
        <f t="shared" si="0"/>
        <v>-53</v>
      </c>
      <c r="R4" t="str">
        <f>_xlfn.XLOOKUP(P4,'Painel International'!$B:$B,'Painel International'!$B:$B,0)</f>
        <v>C I ACEPALMA SA - COLOMBIA</v>
      </c>
    </row>
    <row r="5" spans="1:18" x14ac:dyDescent="0.25">
      <c r="A5">
        <v>2680</v>
      </c>
      <c r="B5" t="s">
        <v>354</v>
      </c>
      <c r="C5" t="s">
        <v>31</v>
      </c>
      <c r="D5" s="34">
        <v>224812.61</v>
      </c>
      <c r="E5">
        <v>1246263810</v>
      </c>
      <c r="F5" s="30">
        <v>46144</v>
      </c>
      <c r="H5" t="s">
        <v>28</v>
      </c>
      <c r="I5" t="s">
        <v>29</v>
      </c>
      <c r="J5">
        <v>2743</v>
      </c>
      <c r="K5" s="30">
        <v>46069</v>
      </c>
      <c r="L5">
        <v>1010200</v>
      </c>
      <c r="M5" t="s">
        <v>124</v>
      </c>
      <c r="N5">
        <v>40</v>
      </c>
      <c r="O5" t="s">
        <v>170</v>
      </c>
      <c r="P5" t="s">
        <v>354</v>
      </c>
      <c r="Q5">
        <f t="shared" si="0"/>
        <v>-3</v>
      </c>
      <c r="R5" t="str">
        <f>_xlfn.XLOOKUP(P5,'Painel International'!$B:$B,'Painel International'!$B:$B,0)</f>
        <v>FERMAGRI S.A - EQUADOR</v>
      </c>
    </row>
    <row r="6" spans="1:18" x14ac:dyDescent="0.25">
      <c r="A6">
        <v>2680</v>
      </c>
      <c r="B6" t="s">
        <v>354</v>
      </c>
      <c r="C6" t="s">
        <v>31</v>
      </c>
      <c r="D6" s="34">
        <v>175275.24</v>
      </c>
      <c r="E6">
        <v>1246272069</v>
      </c>
      <c r="F6" s="30">
        <v>46194</v>
      </c>
      <c r="H6" t="s">
        <v>28</v>
      </c>
      <c r="I6" t="s">
        <v>29</v>
      </c>
      <c r="J6">
        <v>11191</v>
      </c>
      <c r="K6" s="30">
        <v>46134</v>
      </c>
      <c r="L6">
        <v>1010200</v>
      </c>
      <c r="M6" t="s">
        <v>124</v>
      </c>
      <c r="N6">
        <v>40</v>
      </c>
      <c r="O6" t="s">
        <v>170</v>
      </c>
      <c r="P6" t="s">
        <v>354</v>
      </c>
      <c r="Q6">
        <f t="shared" si="0"/>
        <v>-53</v>
      </c>
      <c r="R6" t="str">
        <f>_xlfn.XLOOKUP(P6,'Painel International'!$B:$B,'Painel International'!$B:$B,0)</f>
        <v>FERMAGRI S.A - EQUADOR</v>
      </c>
    </row>
    <row r="7" spans="1:18" x14ac:dyDescent="0.25">
      <c r="A7">
        <v>2925</v>
      </c>
      <c r="B7" t="s">
        <v>392</v>
      </c>
      <c r="C7" t="s">
        <v>31</v>
      </c>
      <c r="D7" s="34">
        <v>92361.18</v>
      </c>
      <c r="E7">
        <v>1246273169</v>
      </c>
      <c r="F7" s="30">
        <v>46172</v>
      </c>
      <c r="H7" t="s">
        <v>28</v>
      </c>
      <c r="I7" t="s">
        <v>29</v>
      </c>
      <c r="J7">
        <v>11264</v>
      </c>
      <c r="K7" s="30">
        <v>46142</v>
      </c>
      <c r="L7">
        <v>1010200</v>
      </c>
      <c r="M7" t="s">
        <v>124</v>
      </c>
      <c r="N7">
        <v>40</v>
      </c>
      <c r="O7" t="s">
        <v>170</v>
      </c>
      <c r="P7" t="s">
        <v>392</v>
      </c>
      <c r="Q7">
        <f t="shared" si="0"/>
        <v>-31</v>
      </c>
      <c r="R7" t="str">
        <f>_xlfn.XLOOKUP(P7,'Painel International'!$B:$B,'Painel International'!$B:$B,0)</f>
        <v>COPEVAL - CHILE</v>
      </c>
    </row>
    <row r="8" spans="1:18" x14ac:dyDescent="0.25">
      <c r="A8">
        <v>2346</v>
      </c>
      <c r="B8" t="s">
        <v>531</v>
      </c>
      <c r="C8" t="s">
        <v>792</v>
      </c>
      <c r="D8" s="34">
        <v>103419.88999999998</v>
      </c>
      <c r="E8">
        <v>1246265843</v>
      </c>
      <c r="F8" s="30">
        <v>46170</v>
      </c>
      <c r="H8" t="s">
        <v>28</v>
      </c>
      <c r="I8" t="s">
        <v>29</v>
      </c>
      <c r="J8">
        <v>2789</v>
      </c>
      <c r="K8" s="30">
        <v>46080</v>
      </c>
      <c r="L8">
        <v>1010200</v>
      </c>
      <c r="M8" t="s">
        <v>124</v>
      </c>
      <c r="N8">
        <v>40</v>
      </c>
      <c r="O8" t="s">
        <v>170</v>
      </c>
      <c r="P8" t="s">
        <v>531</v>
      </c>
      <c r="Q8">
        <f t="shared" si="0"/>
        <v>-29</v>
      </c>
      <c r="R8" t="str">
        <f>_xlfn.XLOOKUP(P8,'Painel International'!$B:$B,'Painel International'!$B:$B,0)</f>
        <v>TEPEYAC - MÉXICO</v>
      </c>
    </row>
    <row r="9" spans="1:18" x14ac:dyDescent="0.25">
      <c r="A9">
        <v>2651</v>
      </c>
      <c r="B9" t="s">
        <v>127</v>
      </c>
      <c r="C9" t="s">
        <v>31</v>
      </c>
      <c r="D9" s="34">
        <v>252226.12</v>
      </c>
      <c r="E9">
        <v>1246223341</v>
      </c>
      <c r="F9" s="30">
        <v>45935</v>
      </c>
      <c r="H9" t="s">
        <v>28</v>
      </c>
      <c r="I9" t="s">
        <v>29</v>
      </c>
      <c r="J9">
        <v>8388</v>
      </c>
      <c r="K9" s="30">
        <v>45845</v>
      </c>
      <c r="L9">
        <v>1010200</v>
      </c>
      <c r="M9" t="s">
        <v>124</v>
      </c>
      <c r="N9">
        <v>40</v>
      </c>
      <c r="O9" t="s">
        <v>170</v>
      </c>
      <c r="P9" t="s">
        <v>127</v>
      </c>
      <c r="Q9">
        <f t="shared" si="0"/>
        <v>206</v>
      </c>
      <c r="R9" t="str">
        <f>_xlfn.XLOOKUP(P9,'Painel International'!$B:$B,'Painel International'!$B:$B,0)</f>
        <v>AGROBROKERS - COLÔMBIA</v>
      </c>
    </row>
    <row r="10" spans="1:18" x14ac:dyDescent="0.25">
      <c r="A10">
        <v>2651</v>
      </c>
      <c r="B10" t="s">
        <v>127</v>
      </c>
      <c r="C10" t="s">
        <v>31</v>
      </c>
      <c r="D10" s="34">
        <v>197281.56999999998</v>
      </c>
      <c r="E10">
        <v>1246213269</v>
      </c>
      <c r="F10" s="30">
        <v>45849</v>
      </c>
      <c r="H10" t="s">
        <v>28</v>
      </c>
      <c r="I10" t="s">
        <v>29</v>
      </c>
      <c r="J10">
        <v>1965</v>
      </c>
      <c r="K10" s="30">
        <v>45789</v>
      </c>
      <c r="L10">
        <v>1010200</v>
      </c>
      <c r="M10" t="s">
        <v>124</v>
      </c>
      <c r="N10">
        <v>40</v>
      </c>
      <c r="O10" t="s">
        <v>170</v>
      </c>
      <c r="P10" t="s">
        <v>127</v>
      </c>
      <c r="Q10">
        <f t="shared" si="0"/>
        <v>292</v>
      </c>
      <c r="R10" t="str">
        <f>_xlfn.XLOOKUP(P10,'Painel International'!$B:$B,'Painel International'!$B:$B,0)</f>
        <v>AGROBROKERS - COLÔMBIA</v>
      </c>
    </row>
    <row r="11" spans="1:18" x14ac:dyDescent="0.25">
      <c r="A11">
        <v>2652</v>
      </c>
      <c r="B11" t="s">
        <v>128</v>
      </c>
      <c r="C11" t="s">
        <v>31</v>
      </c>
      <c r="D11" s="34">
        <v>157149.47</v>
      </c>
      <c r="E11">
        <v>1246271559</v>
      </c>
      <c r="F11" s="30">
        <v>46158</v>
      </c>
      <c r="H11" t="s">
        <v>28</v>
      </c>
      <c r="I11" t="s">
        <v>29</v>
      </c>
      <c r="J11">
        <v>11137</v>
      </c>
      <c r="K11" s="30">
        <v>46128</v>
      </c>
      <c r="L11">
        <v>1010200</v>
      </c>
      <c r="M11" t="s">
        <v>124</v>
      </c>
      <c r="N11">
        <v>40</v>
      </c>
      <c r="O11" t="s">
        <v>170</v>
      </c>
      <c r="P11" t="s">
        <v>128</v>
      </c>
      <c r="Q11">
        <f t="shared" si="0"/>
        <v>-17</v>
      </c>
      <c r="R11" t="str">
        <f>_xlfn.XLOOKUP(P11,'Painel International'!$B:$B,'Painel International'!$B:$B,0)</f>
        <v>FERTIMAX PARAGUAY</v>
      </c>
    </row>
    <row r="12" spans="1:18" x14ac:dyDescent="0.25">
      <c r="A12">
        <v>2287</v>
      </c>
      <c r="B12" t="s">
        <v>125</v>
      </c>
      <c r="C12" t="s">
        <v>126</v>
      </c>
      <c r="D12" s="34">
        <v>150064.82999999999</v>
      </c>
      <c r="E12">
        <v>1246273103</v>
      </c>
      <c r="F12" s="30">
        <v>46171</v>
      </c>
      <c r="H12" t="s">
        <v>28</v>
      </c>
      <c r="I12" t="s">
        <v>29</v>
      </c>
      <c r="J12">
        <v>11261</v>
      </c>
      <c r="K12" s="30">
        <v>46141</v>
      </c>
      <c r="L12">
        <v>1010200</v>
      </c>
      <c r="M12" t="s">
        <v>124</v>
      </c>
      <c r="N12">
        <v>40</v>
      </c>
      <c r="O12" t="s">
        <v>170</v>
      </c>
      <c r="P12" t="s">
        <v>125</v>
      </c>
      <c r="Q12">
        <f t="shared" si="0"/>
        <v>-30</v>
      </c>
      <c r="R12" t="str">
        <f>_xlfn.XLOOKUP(P12,'Painel International'!$B:$B,'Painel International'!$B:$B,0)</f>
        <v>BUNGE PARAGUAY S.A</v>
      </c>
    </row>
    <row r="13" spans="1:18" x14ac:dyDescent="0.25">
      <c r="A13">
        <v>2655</v>
      </c>
      <c r="B13" t="s">
        <v>359</v>
      </c>
      <c r="C13" t="s">
        <v>31</v>
      </c>
      <c r="D13" s="34">
        <v>40017.64</v>
      </c>
      <c r="E13">
        <v>1246268741</v>
      </c>
      <c r="F13" s="30">
        <v>46165</v>
      </c>
      <c r="H13" t="s">
        <v>28</v>
      </c>
      <c r="I13" t="s">
        <v>29</v>
      </c>
      <c r="J13">
        <v>10964</v>
      </c>
      <c r="K13" s="30">
        <v>46105</v>
      </c>
      <c r="L13">
        <v>1010200</v>
      </c>
      <c r="M13" t="s">
        <v>124</v>
      </c>
      <c r="N13">
        <v>40</v>
      </c>
      <c r="O13" t="s">
        <v>170</v>
      </c>
      <c r="P13" t="s">
        <v>359</v>
      </c>
      <c r="Q13">
        <f t="shared" si="0"/>
        <v>-24</v>
      </c>
      <c r="R13" t="str">
        <f>_xlfn.XLOOKUP(P13,'Painel International'!$B:$B,'Painel International'!$B:$B,0)</f>
        <v>EQUILIBRA PERU S.A</v>
      </c>
    </row>
    <row r="14" spans="1:18" x14ac:dyDescent="0.25">
      <c r="A14">
        <v>2656</v>
      </c>
      <c r="B14" t="s">
        <v>129</v>
      </c>
      <c r="C14" t="s">
        <v>31</v>
      </c>
      <c r="D14" s="34">
        <v>131960.06</v>
      </c>
      <c r="E14">
        <v>1246271948</v>
      </c>
      <c r="F14" s="30">
        <v>46162</v>
      </c>
      <c r="H14" t="s">
        <v>28</v>
      </c>
      <c r="I14" t="s">
        <v>29</v>
      </c>
      <c r="J14">
        <v>11185</v>
      </c>
      <c r="K14" s="30">
        <v>46132</v>
      </c>
      <c r="L14">
        <v>1010200</v>
      </c>
      <c r="M14" t="s">
        <v>124</v>
      </c>
      <c r="N14">
        <v>40</v>
      </c>
      <c r="O14" t="s">
        <v>170</v>
      </c>
      <c r="P14" t="s">
        <v>129</v>
      </c>
      <c r="Q14">
        <f t="shared" si="0"/>
        <v>-21</v>
      </c>
      <c r="R14" t="str">
        <f>_xlfn.XLOOKUP(P14,'Painel International'!$B:$B,'Painel International'!$B:$B,0)</f>
        <v>ISUSA - URUGUAI</v>
      </c>
    </row>
    <row r="15" spans="1:18" x14ac:dyDescent="0.25">
      <c r="A15">
        <v>6370</v>
      </c>
      <c r="B15" t="s">
        <v>294</v>
      </c>
      <c r="C15" t="s">
        <v>32</v>
      </c>
      <c r="D15" s="34">
        <v>177202.68</v>
      </c>
      <c r="E15">
        <v>1246270149</v>
      </c>
      <c r="F15" s="30">
        <v>46144</v>
      </c>
      <c r="H15" t="s">
        <v>28</v>
      </c>
      <c r="I15" t="s">
        <v>29</v>
      </c>
      <c r="J15">
        <v>11042</v>
      </c>
      <c r="K15" s="30">
        <v>46114</v>
      </c>
      <c r="L15">
        <v>1010200</v>
      </c>
      <c r="M15" t="s">
        <v>124</v>
      </c>
      <c r="N15">
        <v>40</v>
      </c>
      <c r="O15" t="s">
        <v>170</v>
      </c>
      <c r="P15" t="s">
        <v>294</v>
      </c>
      <c r="Q15">
        <f t="shared" si="0"/>
        <v>-3</v>
      </c>
      <c r="R15" t="str">
        <f>_xlfn.XLOOKUP(P15,'Painel International'!$B:$B,'Painel International'!$B:$B,0)</f>
        <v>YTL S.A. - PARAGUAI</v>
      </c>
    </row>
    <row r="16" spans="1:18" x14ac:dyDescent="0.25">
      <c r="A16">
        <v>6370</v>
      </c>
      <c r="B16" t="s">
        <v>294</v>
      </c>
      <c r="C16" t="s">
        <v>32</v>
      </c>
      <c r="D16" s="34">
        <v>172806.77</v>
      </c>
      <c r="E16">
        <v>1246272162</v>
      </c>
      <c r="F16" s="30">
        <v>46164</v>
      </c>
      <c r="H16" t="s">
        <v>28</v>
      </c>
      <c r="I16" t="s">
        <v>29</v>
      </c>
      <c r="J16">
        <v>11193</v>
      </c>
      <c r="K16" s="30">
        <v>46134</v>
      </c>
      <c r="L16">
        <v>1010200</v>
      </c>
      <c r="M16" t="s">
        <v>124</v>
      </c>
      <c r="N16">
        <v>40</v>
      </c>
      <c r="O16" t="s">
        <v>170</v>
      </c>
      <c r="P16" t="s">
        <v>294</v>
      </c>
      <c r="Q16">
        <f t="shared" si="0"/>
        <v>-23</v>
      </c>
      <c r="R16" t="str">
        <f>_xlfn.XLOOKUP(P16,'Painel International'!$B:$B,'Painel International'!$B:$B,0)</f>
        <v>YTL S.A. - PARAGUAI</v>
      </c>
    </row>
    <row r="17" spans="1:18" x14ac:dyDescent="0.25">
      <c r="A17">
        <v>9708</v>
      </c>
      <c r="B17" t="s">
        <v>627</v>
      </c>
      <c r="C17" t="s">
        <v>31</v>
      </c>
      <c r="D17" s="34">
        <v>687688.91</v>
      </c>
      <c r="E17">
        <v>1246271322</v>
      </c>
      <c r="F17" s="30">
        <v>46186</v>
      </c>
      <c r="I17" t="s">
        <v>372</v>
      </c>
      <c r="J17">
        <v>11122</v>
      </c>
      <c r="K17" s="30">
        <v>46126</v>
      </c>
      <c r="L17">
        <v>1010200</v>
      </c>
      <c r="M17" t="s">
        <v>124</v>
      </c>
      <c r="N17">
        <v>40</v>
      </c>
      <c r="O17" t="s">
        <v>170</v>
      </c>
      <c r="P17" t="s">
        <v>627</v>
      </c>
      <c r="Q17">
        <f t="shared" si="0"/>
        <v>-45</v>
      </c>
      <c r="R17" t="str">
        <f>_xlfn.XLOOKUP(P17,'Painel International'!$B:$B,'Painel International'!$B:$B,0)</f>
        <v>CARGILL ARGENTINA</v>
      </c>
    </row>
    <row r="18" spans="1:18" x14ac:dyDescent="0.25">
      <c r="A18">
        <v>9295</v>
      </c>
      <c r="B18" t="s">
        <v>381</v>
      </c>
      <c r="C18" t="s">
        <v>126</v>
      </c>
      <c r="D18" s="34">
        <v>130127.06</v>
      </c>
      <c r="E18">
        <v>1246270982</v>
      </c>
      <c r="F18" s="30">
        <v>46152</v>
      </c>
      <c r="H18" t="s">
        <v>28</v>
      </c>
      <c r="I18" t="s">
        <v>29</v>
      </c>
      <c r="J18">
        <v>11090</v>
      </c>
      <c r="K18" s="30">
        <v>46122</v>
      </c>
      <c r="L18">
        <v>1010200</v>
      </c>
      <c r="M18" t="s">
        <v>124</v>
      </c>
      <c r="N18">
        <v>40</v>
      </c>
      <c r="O18" t="s">
        <v>170</v>
      </c>
      <c r="P18" t="s">
        <v>381</v>
      </c>
      <c r="Q18">
        <f t="shared" si="0"/>
        <v>-11</v>
      </c>
      <c r="R18" t="str">
        <f>_xlfn.XLOOKUP(P18,'Painel International'!$B:$B,'Painel International'!$B:$B,0)</f>
        <v>TECNOMYL S.A. - PARAGUAY</v>
      </c>
    </row>
    <row r="19" spans="1:18" x14ac:dyDescent="0.25">
      <c r="A19">
        <v>9295</v>
      </c>
      <c r="B19" t="s">
        <v>381</v>
      </c>
      <c r="C19" t="s">
        <v>126</v>
      </c>
      <c r="D19" s="34">
        <v>132185.95000000001</v>
      </c>
      <c r="E19">
        <v>1246270621</v>
      </c>
      <c r="F19" s="30">
        <v>46150</v>
      </c>
      <c r="H19" t="s">
        <v>28</v>
      </c>
      <c r="I19" t="s">
        <v>29</v>
      </c>
      <c r="J19">
        <v>11071</v>
      </c>
      <c r="K19" s="30">
        <v>46120</v>
      </c>
      <c r="L19">
        <v>1010200</v>
      </c>
      <c r="M19" t="s">
        <v>124</v>
      </c>
      <c r="N19">
        <v>40</v>
      </c>
      <c r="O19" t="s">
        <v>170</v>
      </c>
      <c r="P19" t="s">
        <v>381</v>
      </c>
      <c r="Q19">
        <f t="shared" si="0"/>
        <v>-9</v>
      </c>
      <c r="R19" t="str">
        <f>_xlfn.XLOOKUP(P19,'Painel International'!$B:$B,'Painel International'!$B:$B,0)</f>
        <v>TECNOMYL S.A. - PARAGUAY</v>
      </c>
    </row>
    <row r="20" spans="1:18" x14ac:dyDescent="0.25">
      <c r="A20">
        <v>9355</v>
      </c>
      <c r="B20" t="s">
        <v>336</v>
      </c>
      <c r="C20" t="s">
        <v>31</v>
      </c>
      <c r="D20" s="34">
        <v>604265.81999999983</v>
      </c>
      <c r="E20">
        <v>1246264749</v>
      </c>
      <c r="F20" s="30">
        <v>46177</v>
      </c>
      <c r="H20" t="s">
        <v>28</v>
      </c>
      <c r="I20" t="s">
        <v>29</v>
      </c>
      <c r="J20">
        <v>2768</v>
      </c>
      <c r="K20" s="30">
        <v>46077</v>
      </c>
      <c r="L20">
        <v>1010200</v>
      </c>
      <c r="M20" t="s">
        <v>124</v>
      </c>
      <c r="N20">
        <v>40</v>
      </c>
      <c r="O20" t="s">
        <v>170</v>
      </c>
      <c r="P20" t="s">
        <v>336</v>
      </c>
      <c r="Q20">
        <f t="shared" si="0"/>
        <v>-36</v>
      </c>
      <c r="R20" t="str">
        <f>_xlfn.XLOOKUP(P20,'Painel International'!$B:$B,'Painel International'!$B:$B,0)</f>
        <v>NITROFERT SAS - COLOMBIA</v>
      </c>
    </row>
    <row r="21" spans="1:18" x14ac:dyDescent="0.25">
      <c r="A21">
        <v>9355</v>
      </c>
      <c r="B21" t="s">
        <v>336</v>
      </c>
      <c r="C21" t="s">
        <v>31</v>
      </c>
      <c r="D21" s="34">
        <v>1191855.2599999998</v>
      </c>
      <c r="E21">
        <v>1246265046</v>
      </c>
      <c r="F21" s="30">
        <v>46180</v>
      </c>
      <c r="H21" t="s">
        <v>28</v>
      </c>
      <c r="I21" t="s">
        <v>29</v>
      </c>
      <c r="J21">
        <v>10762</v>
      </c>
      <c r="K21" s="30">
        <v>46078</v>
      </c>
      <c r="L21">
        <v>1010200</v>
      </c>
      <c r="M21" t="s">
        <v>124</v>
      </c>
      <c r="N21">
        <v>40</v>
      </c>
      <c r="O21" t="s">
        <v>170</v>
      </c>
      <c r="P21" t="s">
        <v>336</v>
      </c>
      <c r="Q21">
        <f t="shared" si="0"/>
        <v>-39</v>
      </c>
      <c r="R21" t="str">
        <f>_xlfn.XLOOKUP(P21,'Painel International'!$B:$B,'Painel International'!$B:$B,0)</f>
        <v>NITROFERT SAS - COLOMBIA</v>
      </c>
    </row>
    <row r="22" spans="1:18" x14ac:dyDescent="0.25">
      <c r="A22">
        <v>9355</v>
      </c>
      <c r="B22" t="s">
        <v>336</v>
      </c>
      <c r="C22" t="s">
        <v>31</v>
      </c>
      <c r="D22" s="34">
        <v>292178.84000000003</v>
      </c>
      <c r="E22">
        <v>1246264769</v>
      </c>
      <c r="F22" s="30">
        <v>46180</v>
      </c>
      <c r="H22" t="s">
        <v>28</v>
      </c>
      <c r="I22" t="s">
        <v>29</v>
      </c>
      <c r="J22">
        <v>10753</v>
      </c>
      <c r="K22" s="30">
        <v>46077</v>
      </c>
      <c r="L22">
        <v>1010200</v>
      </c>
      <c r="M22" t="s">
        <v>124</v>
      </c>
      <c r="N22">
        <v>40</v>
      </c>
      <c r="O22" t="s">
        <v>170</v>
      </c>
      <c r="P22" t="s">
        <v>336</v>
      </c>
      <c r="Q22">
        <f t="shared" si="0"/>
        <v>-39</v>
      </c>
      <c r="R22" t="str">
        <f>_xlfn.XLOOKUP(P22,'Painel International'!$B:$B,'Painel International'!$B:$B,0)</f>
        <v>NITROFERT SAS - COLOMBIA</v>
      </c>
    </row>
    <row r="23" spans="1:18" x14ac:dyDescent="0.25">
      <c r="A23">
        <v>9355</v>
      </c>
      <c r="B23" t="s">
        <v>336</v>
      </c>
      <c r="C23" t="s">
        <v>31</v>
      </c>
      <c r="D23" s="34">
        <v>1191855.2599999998</v>
      </c>
      <c r="E23">
        <v>1246265200</v>
      </c>
      <c r="F23" s="30">
        <v>46177</v>
      </c>
      <c r="H23" t="s">
        <v>28</v>
      </c>
      <c r="I23" t="s">
        <v>29</v>
      </c>
      <c r="J23">
        <v>2778</v>
      </c>
      <c r="K23" s="30">
        <v>46078</v>
      </c>
      <c r="L23">
        <v>1010200</v>
      </c>
      <c r="M23" t="s">
        <v>124</v>
      </c>
      <c r="N23">
        <v>40</v>
      </c>
      <c r="O23" t="s">
        <v>170</v>
      </c>
      <c r="P23" t="s">
        <v>336</v>
      </c>
      <c r="Q23">
        <f t="shared" si="0"/>
        <v>-36</v>
      </c>
      <c r="R23" t="str">
        <f>_xlfn.XLOOKUP(P23,'Painel International'!$B:$B,'Painel International'!$B:$B,0)</f>
        <v>NITROFERT SAS - COLOMBIA</v>
      </c>
    </row>
    <row r="24" spans="1:18" x14ac:dyDescent="0.25">
      <c r="A24">
        <v>11768</v>
      </c>
      <c r="B24" t="s">
        <v>304</v>
      </c>
      <c r="C24" t="s">
        <v>31</v>
      </c>
      <c r="D24" s="34">
        <v>86689.1</v>
      </c>
      <c r="E24">
        <v>1246264534</v>
      </c>
      <c r="F24" s="30">
        <v>46158</v>
      </c>
      <c r="H24" t="s">
        <v>28</v>
      </c>
      <c r="I24" t="s">
        <v>29</v>
      </c>
      <c r="J24">
        <v>10744</v>
      </c>
      <c r="K24" s="30">
        <v>46076</v>
      </c>
      <c r="L24">
        <v>1010200</v>
      </c>
      <c r="M24" t="s">
        <v>124</v>
      </c>
      <c r="N24">
        <v>40</v>
      </c>
      <c r="O24" t="s">
        <v>170</v>
      </c>
      <c r="P24" t="s">
        <v>304</v>
      </c>
      <c r="Q24">
        <f t="shared" si="0"/>
        <v>-17</v>
      </c>
      <c r="R24" t="str">
        <f>_xlfn.XLOOKUP(P24,'Painel International'!$B:$B,'Painel International'!$B:$B,0)</f>
        <v>CERES PERU S.A</v>
      </c>
    </row>
    <row r="25" spans="1:18" x14ac:dyDescent="0.25">
      <c r="A25">
        <v>11770</v>
      </c>
      <c r="B25" t="s">
        <v>437</v>
      </c>
      <c r="C25" t="s">
        <v>31</v>
      </c>
      <c r="D25" s="34">
        <v>14548.35</v>
      </c>
      <c r="E25">
        <v>1246263524</v>
      </c>
      <c r="F25" s="30">
        <v>46039</v>
      </c>
      <c r="H25" t="s">
        <v>28</v>
      </c>
      <c r="I25" t="s">
        <v>29</v>
      </c>
      <c r="J25">
        <v>9853</v>
      </c>
      <c r="K25" s="30">
        <v>45959</v>
      </c>
      <c r="L25">
        <v>1010200</v>
      </c>
      <c r="M25" t="s">
        <v>124</v>
      </c>
      <c r="N25">
        <v>40</v>
      </c>
      <c r="O25" t="s">
        <v>170</v>
      </c>
      <c r="P25" t="s">
        <v>437</v>
      </c>
      <c r="Q25">
        <f t="shared" si="0"/>
        <v>102</v>
      </c>
      <c r="R25" t="str">
        <f>_xlfn.XLOOKUP(P25,'Painel International'!$B:$B,'Painel International'!$B:$B,0)</f>
        <v>FERTIBAL - EQUADOR</v>
      </c>
    </row>
    <row r="26" spans="1:18" x14ac:dyDescent="0.25">
      <c r="A26">
        <v>11580</v>
      </c>
      <c r="B26" t="s">
        <v>489</v>
      </c>
      <c r="C26" t="s">
        <v>31</v>
      </c>
      <c r="D26" s="34">
        <v>76480.23</v>
      </c>
      <c r="E26">
        <v>1246268734</v>
      </c>
      <c r="F26" s="30">
        <v>46440</v>
      </c>
      <c r="H26" t="s">
        <v>28</v>
      </c>
      <c r="I26" t="s">
        <v>29</v>
      </c>
      <c r="J26">
        <v>2837</v>
      </c>
      <c r="K26" s="30">
        <v>46105</v>
      </c>
      <c r="L26">
        <v>1010200</v>
      </c>
      <c r="M26" t="s">
        <v>124</v>
      </c>
      <c r="N26">
        <v>40</v>
      </c>
      <c r="O26" t="s">
        <v>170</v>
      </c>
      <c r="P26" t="s">
        <v>489</v>
      </c>
      <c r="Q26">
        <f t="shared" si="0"/>
        <v>-299</v>
      </c>
      <c r="R26" t="str">
        <f>_xlfn.XLOOKUP(P26,'Painel International'!$B:$B,'Painel International'!$B:$B,0)</f>
        <v>AGRO MIL AGROS SAS - COLOMBIA</v>
      </c>
    </row>
    <row r="27" spans="1:18" x14ac:dyDescent="0.25">
      <c r="A27">
        <v>13330</v>
      </c>
      <c r="B27" t="s">
        <v>670</v>
      </c>
      <c r="C27" t="s">
        <v>671</v>
      </c>
      <c r="D27" s="34">
        <v>853.24</v>
      </c>
      <c r="E27">
        <v>1246272264</v>
      </c>
      <c r="F27" s="30">
        <v>46148</v>
      </c>
      <c r="I27" t="s">
        <v>372</v>
      </c>
      <c r="J27">
        <v>11057</v>
      </c>
      <c r="K27" s="30">
        <v>46118</v>
      </c>
      <c r="L27">
        <v>1010200</v>
      </c>
      <c r="M27" t="s">
        <v>124</v>
      </c>
      <c r="N27">
        <v>40</v>
      </c>
      <c r="O27" t="s">
        <v>170</v>
      </c>
      <c r="P27" t="s">
        <v>670</v>
      </c>
      <c r="Q27">
        <f t="shared" si="0"/>
        <v>-7</v>
      </c>
      <c r="R27" t="str">
        <f>_xlfn.XLOOKUP(P27,'Painel International'!$B:$B,'Painel International'!$B:$B,0)</f>
        <v>ORGANITEC - PARAGUAY</v>
      </c>
    </row>
    <row r="28" spans="1:18" x14ac:dyDescent="0.25">
      <c r="A28">
        <v>13330</v>
      </c>
      <c r="B28" t="s">
        <v>670</v>
      </c>
      <c r="C28" t="s">
        <v>671</v>
      </c>
      <c r="D28" s="34">
        <v>527.28</v>
      </c>
      <c r="E28">
        <v>1246238356</v>
      </c>
      <c r="F28" s="30">
        <v>45927</v>
      </c>
      <c r="I28" t="s">
        <v>372</v>
      </c>
      <c r="J28">
        <v>9092</v>
      </c>
      <c r="K28" s="30">
        <v>45897</v>
      </c>
      <c r="L28">
        <v>1010200</v>
      </c>
      <c r="M28" t="s">
        <v>124</v>
      </c>
      <c r="N28">
        <v>40</v>
      </c>
      <c r="O28" t="s">
        <v>170</v>
      </c>
      <c r="P28" t="s">
        <v>670</v>
      </c>
      <c r="Q28">
        <f t="shared" si="0"/>
        <v>214</v>
      </c>
      <c r="R28" t="str">
        <f>_xlfn.XLOOKUP(P28,'Painel International'!$B:$B,'Painel International'!$B:$B,0)</f>
        <v>ORGANITEC - PARAGUAY</v>
      </c>
    </row>
    <row r="29" spans="1:18" x14ac:dyDescent="0.25">
      <c r="A29">
        <v>15508</v>
      </c>
      <c r="B29" t="s">
        <v>567</v>
      </c>
      <c r="C29" t="s">
        <v>884</v>
      </c>
      <c r="D29" s="34">
        <v>137716.91</v>
      </c>
      <c r="E29">
        <v>1246270312</v>
      </c>
      <c r="F29" s="30">
        <v>46148</v>
      </c>
      <c r="H29" t="s">
        <v>28</v>
      </c>
      <c r="I29" t="s">
        <v>29</v>
      </c>
      <c r="J29">
        <v>11050</v>
      </c>
      <c r="K29" s="30">
        <v>46118</v>
      </c>
      <c r="L29">
        <v>1010200</v>
      </c>
      <c r="M29" t="s">
        <v>124</v>
      </c>
      <c r="N29">
        <v>40</v>
      </c>
      <c r="O29" t="s">
        <v>170</v>
      </c>
      <c r="P29" t="s">
        <v>567</v>
      </c>
      <c r="Q29">
        <f t="shared" si="0"/>
        <v>-7</v>
      </c>
      <c r="R29" t="str">
        <f>_xlfn.XLOOKUP(P29,'Painel International'!$B:$B,'Painel International'!$B:$B,0)</f>
        <v>SOMAX - PARAGUAI</v>
      </c>
    </row>
    <row r="30" spans="1:18" x14ac:dyDescent="0.25">
      <c r="A30">
        <v>15543</v>
      </c>
      <c r="B30" t="s">
        <v>826</v>
      </c>
      <c r="C30" t="s">
        <v>827</v>
      </c>
      <c r="D30" s="34">
        <v>45718.46</v>
      </c>
      <c r="E30">
        <v>1246264533</v>
      </c>
      <c r="F30" s="30">
        <v>46181</v>
      </c>
      <c r="I30" t="s">
        <v>372</v>
      </c>
      <c r="J30">
        <v>10745</v>
      </c>
      <c r="K30" s="30">
        <v>46076</v>
      </c>
      <c r="L30">
        <v>1010200</v>
      </c>
      <c r="M30" t="s">
        <v>124</v>
      </c>
      <c r="N30">
        <v>40</v>
      </c>
      <c r="O30" t="s">
        <v>170</v>
      </c>
      <c r="P30" t="s">
        <v>826</v>
      </c>
      <c r="Q30">
        <f t="shared" si="0"/>
        <v>-40</v>
      </c>
      <c r="R30" t="str">
        <f>_xlfn.XLOOKUP(P30,'Painel International'!$B:$B,'Painel International'!$B:$B,0)</f>
        <v>GOTLAND EQUADOR (SOLINAG)</v>
      </c>
    </row>
    <row r="31" spans="1:18" x14ac:dyDescent="0.25">
      <c r="D31" s="34"/>
      <c r="F31" s="30"/>
      <c r="K31" s="30"/>
      <c r="Q31">
        <f t="shared" si="0"/>
        <v>46141</v>
      </c>
      <c r="R31">
        <f>_xlfn.XLOOKUP(P31,'Painel International'!$B:$B,'Painel International'!$B:$B,0)</f>
        <v>0</v>
      </c>
    </row>
    <row r="32" spans="1:18" x14ac:dyDescent="0.25">
      <c r="D32" s="34"/>
      <c r="F32" s="30"/>
      <c r="K32" s="30"/>
      <c r="Q32">
        <f t="shared" si="0"/>
        <v>46141</v>
      </c>
      <c r="R32">
        <f>_xlfn.XLOOKUP(P32,'Painel International'!$B:$B,'Painel International'!$B:$B,0)</f>
        <v>0</v>
      </c>
    </row>
    <row r="33" spans="4:18" x14ac:dyDescent="0.25">
      <c r="D33" s="34"/>
      <c r="F33" s="30"/>
      <c r="K33" s="30"/>
      <c r="Q33">
        <f t="shared" si="0"/>
        <v>46141</v>
      </c>
      <c r="R33">
        <f>_xlfn.XLOOKUP(P33,'Painel International'!$B:$B,'Painel International'!$B:$B,0)</f>
        <v>0</v>
      </c>
    </row>
    <row r="34" spans="4:18" x14ac:dyDescent="0.25">
      <c r="D34" s="34"/>
      <c r="F34" s="30"/>
      <c r="K34" s="30"/>
      <c r="Q34">
        <f t="shared" si="0"/>
        <v>46141</v>
      </c>
      <c r="R34">
        <f>_xlfn.XLOOKUP(P34,'Painel International'!$B:$B,'Painel International'!$B:$B,0)</f>
        <v>0</v>
      </c>
    </row>
    <row r="35" spans="4:18" x14ac:dyDescent="0.25">
      <c r="D35" s="34"/>
      <c r="F35" s="30"/>
      <c r="K35" s="30"/>
      <c r="Q35">
        <f t="shared" si="0"/>
        <v>46141</v>
      </c>
      <c r="R35">
        <f>_xlfn.XLOOKUP(P35,'Painel International'!$B:$B,'Painel International'!$B:$B,0)</f>
        <v>0</v>
      </c>
    </row>
    <row r="36" spans="4:18" x14ac:dyDescent="0.25">
      <c r="D36" s="34"/>
      <c r="F36" s="30"/>
      <c r="K36" s="30"/>
      <c r="Q36">
        <f t="shared" si="0"/>
        <v>46141</v>
      </c>
      <c r="R36">
        <f>_xlfn.XLOOKUP(P36,'Painel International'!$B:$B,'Painel International'!$B:$B,0)</f>
        <v>0</v>
      </c>
    </row>
    <row r="37" spans="4:18" x14ac:dyDescent="0.25">
      <c r="D37" s="34"/>
      <c r="F37" s="30"/>
      <c r="K37" s="30"/>
      <c r="Q37">
        <f t="shared" ref="Q37" si="1">$R$1-F37</f>
        <v>46141</v>
      </c>
      <c r="R37">
        <f>_xlfn.XLOOKUP(P37,'Painel International'!$B:$B,'Painel International'!$B:$B,0)</f>
        <v>0</v>
      </c>
    </row>
    <row r="38" spans="4:18" x14ac:dyDescent="0.25">
      <c r="D38" s="34"/>
      <c r="F38" s="30"/>
      <c r="K38" s="30"/>
      <c r="Q38">
        <f t="shared" ref="Q38" si="2">$R$1-F38</f>
        <v>46141</v>
      </c>
      <c r="R38">
        <f>_xlfn.XLOOKUP(P38,'Painel International'!$B:$B,'Painel International'!$B:$B,0)</f>
        <v>0</v>
      </c>
    </row>
    <row r="39" spans="4:18" x14ac:dyDescent="0.25">
      <c r="D39" s="34"/>
      <c r="F39" s="30"/>
      <c r="K39" s="30"/>
      <c r="Q39">
        <f>$R$1-F39</f>
        <v>46141</v>
      </c>
      <c r="R39">
        <f>_xlfn.XLOOKUP(P39,'Painel International'!$B:$B,'Painel International'!$B:$B,0)</f>
        <v>0</v>
      </c>
    </row>
    <row r="40" spans="4:18" x14ac:dyDescent="0.25">
      <c r="D40" s="34"/>
      <c r="F40" s="30"/>
      <c r="K40" s="30"/>
      <c r="Q40">
        <f t="shared" ref="Q40:Q41" si="3">$R$1-F40</f>
        <v>46141</v>
      </c>
      <c r="R40">
        <f>_xlfn.XLOOKUP(P40,'Painel International'!$B:$B,'Painel International'!$B:$B,0)</f>
        <v>0</v>
      </c>
    </row>
    <row r="41" spans="4:18" x14ac:dyDescent="0.25">
      <c r="D41" s="34"/>
      <c r="F41" s="30"/>
      <c r="K41" s="30"/>
      <c r="Q41">
        <f t="shared" si="3"/>
        <v>46141</v>
      </c>
      <c r="R41">
        <f>_xlfn.XLOOKUP(P41,'Painel International'!$B:$B,'Painel International'!$B:$B,0)</f>
        <v>0</v>
      </c>
    </row>
  </sheetData>
  <autoFilter ref="A2:S41" xr:uid="{D22997FA-10A2-4C0A-9CCA-48F9A22A414F}"/>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AA583-B199-4777-8608-3512A75541B2}">
  <dimension ref="A1:R392"/>
  <sheetViews>
    <sheetView zoomScale="80" zoomScaleNormal="80" workbookViewId="0">
      <pane xSplit="2" ySplit="2" topLeftCell="D3" activePane="bottomRight" state="frozen"/>
      <selection activeCell="A3" sqref="A3"/>
      <selection pane="topRight" activeCell="A3" sqref="A3"/>
      <selection pane="bottomLeft" activeCell="A3" sqref="A3"/>
      <selection pane="bottomRight" activeCell="B1" sqref="B1:B1048576"/>
    </sheetView>
  </sheetViews>
  <sheetFormatPr defaultRowHeight="13.2" x14ac:dyDescent="0.25"/>
  <cols>
    <col min="1" max="1" width="12.6640625" bestFit="1" customWidth="1"/>
    <col min="2" max="2" width="43.6640625" customWidth="1"/>
    <col min="3" max="3" width="18.33203125" bestFit="1" customWidth="1"/>
    <col min="4" max="4" width="14.6640625" bestFit="1" customWidth="1"/>
    <col min="5" max="5" width="11.6640625" bestFit="1" customWidth="1"/>
    <col min="6" max="6" width="16" bestFit="1" customWidth="1"/>
    <col min="7" max="7" width="11.88671875" customWidth="1"/>
    <col min="8" max="8" width="10" bestFit="1" customWidth="1"/>
    <col min="9" max="9" width="12.44140625" customWidth="1"/>
    <col min="10" max="10" width="12.6640625" customWidth="1"/>
    <col min="11" max="11" width="16" bestFit="1" customWidth="1"/>
    <col min="12" max="12" width="11.33203125" bestFit="1" customWidth="1"/>
    <col min="13" max="13" width="26.88671875" bestFit="1" customWidth="1"/>
    <col min="14" max="14" width="15" bestFit="1" customWidth="1"/>
    <col min="15" max="15" width="36" bestFit="1" customWidth="1"/>
    <col min="16" max="16" width="25.5546875" customWidth="1"/>
    <col min="17" max="17" width="15.6640625" bestFit="1" customWidth="1"/>
    <col min="18" max="18" width="26.109375" customWidth="1"/>
  </cols>
  <sheetData>
    <row r="1" spans="1:18" x14ac:dyDescent="0.25">
      <c r="D1" s="32">
        <f>SUBTOTAL(9,D3:D995)</f>
        <v>26625653.260000002</v>
      </c>
      <c r="E1" s="35"/>
      <c r="F1" s="35"/>
      <c r="G1" s="35"/>
      <c r="R1" s="3">
        <v>46141</v>
      </c>
    </row>
    <row r="2" spans="1:18" x14ac:dyDescent="0.25">
      <c r="A2" s="2" t="s">
        <v>4</v>
      </c>
      <c r="B2" s="2" t="s">
        <v>3</v>
      </c>
      <c r="C2" s="2" t="s">
        <v>0</v>
      </c>
      <c r="D2" s="31" t="s">
        <v>6</v>
      </c>
      <c r="E2" s="2" t="s">
        <v>216</v>
      </c>
      <c r="F2" s="2" t="s">
        <v>2</v>
      </c>
      <c r="G2" s="2" t="s">
        <v>215</v>
      </c>
      <c r="H2" s="2" t="s">
        <v>217</v>
      </c>
      <c r="I2" s="2" t="s">
        <v>218</v>
      </c>
      <c r="J2" s="2" t="s">
        <v>1</v>
      </c>
      <c r="K2" s="2" t="s">
        <v>219</v>
      </c>
      <c r="L2" s="2" t="s">
        <v>220</v>
      </c>
      <c r="M2" s="2" t="s">
        <v>221</v>
      </c>
      <c r="N2" s="2" t="s">
        <v>222</v>
      </c>
      <c r="O2" s="2" t="s">
        <v>223</v>
      </c>
      <c r="P2" s="2" t="s">
        <v>408</v>
      </c>
      <c r="Q2" s="4" t="s">
        <v>5</v>
      </c>
    </row>
    <row r="3" spans="1:18" x14ac:dyDescent="0.25">
      <c r="A3">
        <v>9824</v>
      </c>
      <c r="B3" t="s">
        <v>714</v>
      </c>
      <c r="C3" t="s">
        <v>189</v>
      </c>
      <c r="D3" s="34">
        <v>69971.199999999997</v>
      </c>
      <c r="E3">
        <v>1246154720</v>
      </c>
      <c r="F3" s="30">
        <v>45738</v>
      </c>
      <c r="H3" t="s">
        <v>172</v>
      </c>
      <c r="I3" t="s">
        <v>173</v>
      </c>
      <c r="J3">
        <v>4113</v>
      </c>
      <c r="K3" s="30">
        <v>45475</v>
      </c>
      <c r="L3">
        <v>1010100</v>
      </c>
      <c r="M3" t="s">
        <v>35</v>
      </c>
      <c r="N3">
        <v>161</v>
      </c>
      <c r="O3" t="s">
        <v>160</v>
      </c>
      <c r="P3" t="s">
        <v>426</v>
      </c>
      <c r="Q3">
        <f t="shared" ref="Q3:Q65" si="0">$R$1-F3</f>
        <v>403</v>
      </c>
      <c r="R3" t="str">
        <f>_xlfn.XLOOKUP(P3,'Painel Fertilizers'!$B:$B,'Painel Fertilizers'!$B:$B,0)</f>
        <v>GRUPO TRIANGULO AGRO</v>
      </c>
    </row>
    <row r="4" spans="1:18" x14ac:dyDescent="0.25">
      <c r="A4">
        <v>9824</v>
      </c>
      <c r="B4" t="s">
        <v>714</v>
      </c>
      <c r="C4" t="s">
        <v>189</v>
      </c>
      <c r="D4" s="34">
        <v>60656</v>
      </c>
      <c r="E4">
        <v>1246154724</v>
      </c>
      <c r="F4" s="30">
        <v>45738</v>
      </c>
      <c r="H4" t="s">
        <v>172</v>
      </c>
      <c r="I4" t="s">
        <v>173</v>
      </c>
      <c r="J4">
        <v>4114</v>
      </c>
      <c r="K4" s="30">
        <v>45475</v>
      </c>
      <c r="L4">
        <v>1010100</v>
      </c>
      <c r="M4" t="s">
        <v>35</v>
      </c>
      <c r="N4">
        <v>161</v>
      </c>
      <c r="O4" t="s">
        <v>160</v>
      </c>
      <c r="P4" t="s">
        <v>426</v>
      </c>
      <c r="Q4">
        <f t="shared" si="0"/>
        <v>403</v>
      </c>
      <c r="R4" t="str">
        <f>_xlfn.XLOOKUP(P4,'Painel Fertilizers'!$B:$B,'Painel Fertilizers'!$B:$B,0)</f>
        <v>GRUPO TRIANGULO AGRO</v>
      </c>
    </row>
    <row r="5" spans="1:18" x14ac:dyDescent="0.25">
      <c r="A5">
        <v>10371</v>
      </c>
      <c r="B5" t="s">
        <v>254</v>
      </c>
      <c r="C5" t="s">
        <v>255</v>
      </c>
      <c r="D5" s="34">
        <v>56674.77</v>
      </c>
      <c r="E5">
        <v>1246161059</v>
      </c>
      <c r="F5" s="30">
        <v>45736</v>
      </c>
      <c r="H5" t="s">
        <v>172</v>
      </c>
      <c r="I5" t="s">
        <v>173</v>
      </c>
      <c r="J5">
        <v>4516</v>
      </c>
      <c r="K5" s="30">
        <v>45502</v>
      </c>
      <c r="L5">
        <v>1010100</v>
      </c>
      <c r="M5" t="s">
        <v>35</v>
      </c>
      <c r="N5">
        <v>161</v>
      </c>
      <c r="O5" t="s">
        <v>160</v>
      </c>
      <c r="P5" t="s">
        <v>426</v>
      </c>
      <c r="Q5">
        <f t="shared" si="0"/>
        <v>405</v>
      </c>
      <c r="R5" t="str">
        <f>_xlfn.XLOOKUP(P5,'Painel Fertilizers'!$B:$B,'Painel Fertilizers'!$B:$B,0)</f>
        <v>GRUPO TRIANGULO AGRO</v>
      </c>
    </row>
    <row r="6" spans="1:18" x14ac:dyDescent="0.25">
      <c r="A6">
        <v>10371</v>
      </c>
      <c r="B6" t="s">
        <v>254</v>
      </c>
      <c r="C6" t="s">
        <v>255</v>
      </c>
      <c r="D6" s="34">
        <v>50007.15</v>
      </c>
      <c r="E6">
        <v>1246161057</v>
      </c>
      <c r="F6" s="30">
        <v>45736</v>
      </c>
      <c r="H6" t="s">
        <v>172</v>
      </c>
      <c r="I6" t="s">
        <v>173</v>
      </c>
      <c r="J6">
        <v>4515</v>
      </c>
      <c r="K6" s="30">
        <v>45502</v>
      </c>
      <c r="L6">
        <v>1010100</v>
      </c>
      <c r="M6" t="s">
        <v>35</v>
      </c>
      <c r="N6">
        <v>161</v>
      </c>
      <c r="O6" t="s">
        <v>160</v>
      </c>
      <c r="P6" t="s">
        <v>426</v>
      </c>
      <c r="Q6">
        <f t="shared" si="0"/>
        <v>405</v>
      </c>
      <c r="R6" t="str">
        <f>_xlfn.XLOOKUP(P6,'Painel Fertilizers'!$B:$B,'Painel Fertilizers'!$B:$B,0)</f>
        <v>GRUPO TRIANGULO AGRO</v>
      </c>
    </row>
    <row r="7" spans="1:18" x14ac:dyDescent="0.25">
      <c r="A7">
        <v>11207</v>
      </c>
      <c r="B7" t="s">
        <v>715</v>
      </c>
      <c r="C7" t="s">
        <v>193</v>
      </c>
      <c r="D7" s="34">
        <v>153825.49</v>
      </c>
      <c r="E7">
        <v>1246067872</v>
      </c>
      <c r="F7" s="30">
        <v>45412</v>
      </c>
      <c r="H7" t="s">
        <v>172</v>
      </c>
      <c r="I7" t="s">
        <v>173</v>
      </c>
      <c r="J7">
        <v>20696</v>
      </c>
      <c r="K7" s="30">
        <v>44973</v>
      </c>
      <c r="L7">
        <v>1010100</v>
      </c>
      <c r="M7" t="s">
        <v>35</v>
      </c>
      <c r="N7">
        <v>161</v>
      </c>
      <c r="O7" t="s">
        <v>160</v>
      </c>
      <c r="P7" t="s">
        <v>428</v>
      </c>
      <c r="Q7">
        <f t="shared" si="0"/>
        <v>729</v>
      </c>
      <c r="R7" t="str">
        <f>_xlfn.XLOOKUP(P7,'Painel Fertilizers'!$B:$B,'Painel Fertilizers'!$B:$B,0)</f>
        <v>GRUPO LEANDRO SARTI</v>
      </c>
    </row>
    <row r="8" spans="1:18" x14ac:dyDescent="0.25">
      <c r="A8">
        <v>11207</v>
      </c>
      <c r="B8" t="s">
        <v>715</v>
      </c>
      <c r="C8" t="s">
        <v>193</v>
      </c>
      <c r="D8" s="34">
        <v>91167.15</v>
      </c>
      <c r="E8">
        <v>1246075550</v>
      </c>
      <c r="F8" s="30">
        <v>45412</v>
      </c>
      <c r="H8" t="s">
        <v>172</v>
      </c>
      <c r="I8" t="s">
        <v>173</v>
      </c>
      <c r="J8">
        <v>21053</v>
      </c>
      <c r="K8" s="30">
        <v>45022</v>
      </c>
      <c r="L8">
        <v>1010100</v>
      </c>
      <c r="M8" t="s">
        <v>35</v>
      </c>
      <c r="N8">
        <v>161</v>
      </c>
      <c r="O8" t="s">
        <v>160</v>
      </c>
      <c r="P8" t="s">
        <v>428</v>
      </c>
      <c r="Q8">
        <f t="shared" si="0"/>
        <v>729</v>
      </c>
      <c r="R8" t="str">
        <f>_xlfn.XLOOKUP(P8,'Painel Fertilizers'!$B:$B,'Painel Fertilizers'!$B:$B,0)</f>
        <v>GRUPO LEANDRO SARTI</v>
      </c>
    </row>
    <row r="9" spans="1:18" x14ac:dyDescent="0.25">
      <c r="A9">
        <v>11207</v>
      </c>
      <c r="B9" t="s">
        <v>715</v>
      </c>
      <c r="C9" t="s">
        <v>193</v>
      </c>
      <c r="D9" s="34">
        <v>43771.16</v>
      </c>
      <c r="E9">
        <v>1246094423</v>
      </c>
      <c r="F9" s="30">
        <v>45423</v>
      </c>
      <c r="H9" t="s">
        <v>172</v>
      </c>
      <c r="I9" t="s">
        <v>173</v>
      </c>
      <c r="J9">
        <v>356</v>
      </c>
      <c r="K9" s="30">
        <v>45133</v>
      </c>
      <c r="L9">
        <v>1010100</v>
      </c>
      <c r="M9" t="s">
        <v>35</v>
      </c>
      <c r="N9">
        <v>161</v>
      </c>
      <c r="O9" t="s">
        <v>160</v>
      </c>
      <c r="P9" t="s">
        <v>428</v>
      </c>
      <c r="Q9">
        <f t="shared" si="0"/>
        <v>718</v>
      </c>
      <c r="R9" t="str">
        <f>_xlfn.XLOOKUP(P9,'Painel Fertilizers'!$B:$B,'Painel Fertilizers'!$B:$B,0)</f>
        <v>GRUPO LEANDRO SARTI</v>
      </c>
    </row>
    <row r="10" spans="1:18" x14ac:dyDescent="0.25">
      <c r="A10">
        <v>11207</v>
      </c>
      <c r="B10" t="s">
        <v>715</v>
      </c>
      <c r="C10" t="s">
        <v>193</v>
      </c>
      <c r="D10" s="34">
        <v>44760.26</v>
      </c>
      <c r="E10">
        <v>1246092027</v>
      </c>
      <c r="F10" s="30">
        <v>45504</v>
      </c>
      <c r="H10" t="s">
        <v>172</v>
      </c>
      <c r="I10" t="s">
        <v>173</v>
      </c>
      <c r="J10">
        <v>138</v>
      </c>
      <c r="K10" s="30">
        <v>45119</v>
      </c>
      <c r="L10">
        <v>1010100</v>
      </c>
      <c r="M10" t="s">
        <v>35</v>
      </c>
      <c r="N10">
        <v>161</v>
      </c>
      <c r="O10" t="s">
        <v>160</v>
      </c>
      <c r="P10" t="s">
        <v>428</v>
      </c>
      <c r="Q10">
        <f t="shared" si="0"/>
        <v>637</v>
      </c>
      <c r="R10" t="str">
        <f>_xlfn.XLOOKUP(P10,'Painel Fertilizers'!$B:$B,'Painel Fertilizers'!$B:$B,0)</f>
        <v>GRUPO LEANDRO SARTI</v>
      </c>
    </row>
    <row r="11" spans="1:18" x14ac:dyDescent="0.25">
      <c r="A11">
        <v>11207</v>
      </c>
      <c r="B11" t="s">
        <v>715</v>
      </c>
      <c r="C11" t="s">
        <v>193</v>
      </c>
      <c r="D11" s="34">
        <v>43771.16</v>
      </c>
      <c r="E11">
        <v>1246093362</v>
      </c>
      <c r="F11" s="30">
        <v>45417</v>
      </c>
      <c r="H11" t="s">
        <v>172</v>
      </c>
      <c r="I11" t="s">
        <v>173</v>
      </c>
      <c r="J11">
        <v>253</v>
      </c>
      <c r="K11" s="30">
        <v>45127</v>
      </c>
      <c r="L11">
        <v>1010100</v>
      </c>
      <c r="M11" t="s">
        <v>35</v>
      </c>
      <c r="N11">
        <v>161</v>
      </c>
      <c r="O11" t="s">
        <v>160</v>
      </c>
      <c r="P11" t="s">
        <v>428</v>
      </c>
      <c r="Q11">
        <f t="shared" si="0"/>
        <v>724</v>
      </c>
      <c r="R11" t="str">
        <f>_xlfn.XLOOKUP(P11,'Painel Fertilizers'!$B:$B,'Painel Fertilizers'!$B:$B,0)</f>
        <v>GRUPO LEANDRO SARTI</v>
      </c>
    </row>
    <row r="12" spans="1:18" x14ac:dyDescent="0.25">
      <c r="A12">
        <v>11207</v>
      </c>
      <c r="B12" t="s">
        <v>715</v>
      </c>
      <c r="C12" t="s">
        <v>193</v>
      </c>
      <c r="D12" s="34">
        <v>47925.4</v>
      </c>
      <c r="E12">
        <v>1246094864</v>
      </c>
      <c r="F12" s="30">
        <v>45544</v>
      </c>
      <c r="H12" t="s">
        <v>172</v>
      </c>
      <c r="I12" t="s">
        <v>173</v>
      </c>
      <c r="J12">
        <v>407</v>
      </c>
      <c r="K12" s="30">
        <v>45135</v>
      </c>
      <c r="L12">
        <v>1010100</v>
      </c>
      <c r="M12" t="s">
        <v>35</v>
      </c>
      <c r="N12">
        <v>161</v>
      </c>
      <c r="O12" t="s">
        <v>160</v>
      </c>
      <c r="P12" t="s">
        <v>428</v>
      </c>
      <c r="Q12">
        <f t="shared" si="0"/>
        <v>597</v>
      </c>
      <c r="R12" t="str">
        <f>_xlfn.XLOOKUP(P12,'Painel Fertilizers'!$B:$B,'Painel Fertilizers'!$B:$B,0)</f>
        <v>GRUPO LEANDRO SARTI</v>
      </c>
    </row>
    <row r="13" spans="1:18" x14ac:dyDescent="0.25">
      <c r="A13">
        <v>11207</v>
      </c>
      <c r="B13" t="s">
        <v>715</v>
      </c>
      <c r="C13" t="s">
        <v>193</v>
      </c>
      <c r="D13" s="34">
        <v>106301.38</v>
      </c>
      <c r="E13">
        <v>1246094863</v>
      </c>
      <c r="F13" s="30">
        <v>45425</v>
      </c>
      <c r="H13" t="s">
        <v>172</v>
      </c>
      <c r="I13" t="s">
        <v>173</v>
      </c>
      <c r="J13">
        <v>406</v>
      </c>
      <c r="K13" s="30">
        <v>45135</v>
      </c>
      <c r="L13">
        <v>1010100</v>
      </c>
      <c r="M13" t="s">
        <v>35</v>
      </c>
      <c r="N13">
        <v>161</v>
      </c>
      <c r="O13" t="s">
        <v>160</v>
      </c>
      <c r="P13" t="s">
        <v>428</v>
      </c>
      <c r="Q13">
        <f t="shared" si="0"/>
        <v>716</v>
      </c>
      <c r="R13" t="str">
        <f>_xlfn.XLOOKUP(P13,'Painel Fertilizers'!$B:$B,'Painel Fertilizers'!$B:$B,0)</f>
        <v>GRUPO LEANDRO SARTI</v>
      </c>
    </row>
    <row r="14" spans="1:18" x14ac:dyDescent="0.25">
      <c r="A14">
        <v>11207</v>
      </c>
      <c r="B14" t="s">
        <v>715</v>
      </c>
      <c r="C14" t="s">
        <v>193</v>
      </c>
      <c r="D14" s="34">
        <v>150072.54</v>
      </c>
      <c r="E14">
        <v>1246095554</v>
      </c>
      <c r="F14" s="30">
        <v>45415</v>
      </c>
      <c r="H14" t="s">
        <v>172</v>
      </c>
      <c r="I14" t="s">
        <v>173</v>
      </c>
      <c r="J14">
        <v>485</v>
      </c>
      <c r="K14" s="30">
        <v>45140</v>
      </c>
      <c r="L14">
        <v>1010100</v>
      </c>
      <c r="M14" t="s">
        <v>35</v>
      </c>
      <c r="N14">
        <v>161</v>
      </c>
      <c r="O14" t="s">
        <v>160</v>
      </c>
      <c r="P14" t="s">
        <v>428</v>
      </c>
      <c r="Q14">
        <f t="shared" si="0"/>
        <v>726</v>
      </c>
      <c r="R14" t="str">
        <f>_xlfn.XLOOKUP(P14,'Painel Fertilizers'!$B:$B,'Painel Fertilizers'!$B:$B,0)</f>
        <v>GRUPO LEANDRO SARTI</v>
      </c>
    </row>
    <row r="15" spans="1:18" x14ac:dyDescent="0.25">
      <c r="A15">
        <v>11207</v>
      </c>
      <c r="B15" t="s">
        <v>715</v>
      </c>
      <c r="C15" t="s">
        <v>193</v>
      </c>
      <c r="D15" s="34">
        <v>150072.54999999999</v>
      </c>
      <c r="E15">
        <v>1246098101</v>
      </c>
      <c r="F15" s="30">
        <v>45414</v>
      </c>
      <c r="H15" t="s">
        <v>172</v>
      </c>
      <c r="I15" t="s">
        <v>173</v>
      </c>
      <c r="J15">
        <v>151</v>
      </c>
      <c r="K15" s="30">
        <v>45154</v>
      </c>
      <c r="L15">
        <v>1010100</v>
      </c>
      <c r="M15" t="s">
        <v>35</v>
      </c>
      <c r="N15">
        <v>161</v>
      </c>
      <c r="O15" t="s">
        <v>160</v>
      </c>
      <c r="P15" t="s">
        <v>428</v>
      </c>
      <c r="Q15">
        <f t="shared" si="0"/>
        <v>727</v>
      </c>
      <c r="R15" t="str">
        <f>_xlfn.XLOOKUP(P15,'Painel Fertilizers'!$B:$B,'Painel Fertilizers'!$B:$B,0)</f>
        <v>GRUPO LEANDRO SARTI</v>
      </c>
    </row>
    <row r="16" spans="1:18" x14ac:dyDescent="0.25">
      <c r="A16">
        <v>11207</v>
      </c>
      <c r="B16" t="s">
        <v>715</v>
      </c>
      <c r="C16" t="s">
        <v>193</v>
      </c>
      <c r="D16" s="34">
        <v>43771.16</v>
      </c>
      <c r="E16">
        <v>1246098102</v>
      </c>
      <c r="F16" s="30">
        <v>45414</v>
      </c>
      <c r="H16" t="s">
        <v>172</v>
      </c>
      <c r="I16" t="s">
        <v>173</v>
      </c>
      <c r="J16">
        <v>152</v>
      </c>
      <c r="K16" s="30">
        <v>45154</v>
      </c>
      <c r="L16">
        <v>1010100</v>
      </c>
      <c r="M16" t="s">
        <v>35</v>
      </c>
      <c r="N16">
        <v>161</v>
      </c>
      <c r="O16" t="s">
        <v>160</v>
      </c>
      <c r="P16" t="s">
        <v>428</v>
      </c>
      <c r="Q16">
        <f t="shared" si="0"/>
        <v>727</v>
      </c>
      <c r="R16" t="str">
        <f>_xlfn.XLOOKUP(P16,'Painel Fertilizers'!$B:$B,'Painel Fertilizers'!$B:$B,0)</f>
        <v>GRUPO LEANDRO SARTI</v>
      </c>
    </row>
    <row r="17" spans="1:18" x14ac:dyDescent="0.25">
      <c r="A17">
        <v>11207</v>
      </c>
      <c r="B17" t="s">
        <v>715</v>
      </c>
      <c r="C17" t="s">
        <v>193</v>
      </c>
      <c r="D17" s="34">
        <v>150072.54</v>
      </c>
      <c r="E17">
        <v>1246096042</v>
      </c>
      <c r="F17" s="30">
        <v>45417</v>
      </c>
      <c r="H17" t="s">
        <v>172</v>
      </c>
      <c r="I17" t="s">
        <v>173</v>
      </c>
      <c r="J17">
        <v>520</v>
      </c>
      <c r="K17" s="30">
        <v>45142</v>
      </c>
      <c r="L17">
        <v>1010100</v>
      </c>
      <c r="M17" t="s">
        <v>35</v>
      </c>
      <c r="N17">
        <v>161</v>
      </c>
      <c r="O17" t="s">
        <v>160</v>
      </c>
      <c r="P17" t="s">
        <v>428</v>
      </c>
      <c r="Q17">
        <f t="shared" si="0"/>
        <v>724</v>
      </c>
      <c r="R17" t="str">
        <f>_xlfn.XLOOKUP(P17,'Painel Fertilizers'!$B:$B,'Painel Fertilizers'!$B:$B,0)</f>
        <v>GRUPO LEANDRO SARTI</v>
      </c>
    </row>
    <row r="18" spans="1:18" x14ac:dyDescent="0.25">
      <c r="A18">
        <v>11207</v>
      </c>
      <c r="B18" t="s">
        <v>715</v>
      </c>
      <c r="C18" t="s">
        <v>193</v>
      </c>
      <c r="D18" s="34">
        <v>150072.54999999999</v>
      </c>
      <c r="E18">
        <v>1246098739</v>
      </c>
      <c r="F18" s="30">
        <v>45446</v>
      </c>
      <c r="H18" t="s">
        <v>172</v>
      </c>
      <c r="I18" t="s">
        <v>173</v>
      </c>
      <c r="J18">
        <v>161</v>
      </c>
      <c r="K18" s="30">
        <v>45156</v>
      </c>
      <c r="L18">
        <v>1010100</v>
      </c>
      <c r="M18" t="s">
        <v>35</v>
      </c>
      <c r="N18">
        <v>161</v>
      </c>
      <c r="O18" t="s">
        <v>160</v>
      </c>
      <c r="P18" t="s">
        <v>428</v>
      </c>
      <c r="Q18">
        <f t="shared" si="0"/>
        <v>695</v>
      </c>
      <c r="R18" t="str">
        <f>_xlfn.XLOOKUP(P18,'Painel Fertilizers'!$B:$B,'Painel Fertilizers'!$B:$B,0)</f>
        <v>GRUPO LEANDRO SARTI</v>
      </c>
    </row>
    <row r="19" spans="1:18" x14ac:dyDescent="0.25">
      <c r="A19">
        <v>11207</v>
      </c>
      <c r="B19" t="s">
        <v>715</v>
      </c>
      <c r="C19" t="s">
        <v>193</v>
      </c>
      <c r="D19" s="34">
        <v>150072.54</v>
      </c>
      <c r="E19">
        <v>1246103409</v>
      </c>
      <c r="F19" s="30">
        <v>45421</v>
      </c>
      <c r="H19" t="s">
        <v>172</v>
      </c>
      <c r="I19" t="s">
        <v>173</v>
      </c>
      <c r="J19">
        <v>231</v>
      </c>
      <c r="K19" s="30">
        <v>45181</v>
      </c>
      <c r="L19">
        <v>1010100</v>
      </c>
      <c r="M19" t="s">
        <v>35</v>
      </c>
      <c r="N19">
        <v>161</v>
      </c>
      <c r="O19" t="s">
        <v>160</v>
      </c>
      <c r="P19" t="s">
        <v>428</v>
      </c>
      <c r="Q19">
        <f t="shared" si="0"/>
        <v>720</v>
      </c>
      <c r="R19" t="str">
        <f>_xlfn.XLOOKUP(P19,'Painel Fertilizers'!$B:$B,'Painel Fertilizers'!$B:$B,0)</f>
        <v>GRUPO LEANDRO SARTI</v>
      </c>
    </row>
    <row r="20" spans="1:18" x14ac:dyDescent="0.25">
      <c r="A20">
        <v>11207</v>
      </c>
      <c r="B20" t="s">
        <v>715</v>
      </c>
      <c r="C20" t="s">
        <v>193</v>
      </c>
      <c r="D20" s="34">
        <v>150072.54999999999</v>
      </c>
      <c r="E20">
        <v>1246104480</v>
      </c>
      <c r="F20" s="30">
        <v>45427</v>
      </c>
      <c r="H20" t="s">
        <v>172</v>
      </c>
      <c r="I20" t="s">
        <v>173</v>
      </c>
      <c r="J20">
        <v>1209</v>
      </c>
      <c r="K20" s="30">
        <v>45187</v>
      </c>
      <c r="L20">
        <v>1010100</v>
      </c>
      <c r="M20" t="s">
        <v>35</v>
      </c>
      <c r="N20">
        <v>161</v>
      </c>
      <c r="O20" t="s">
        <v>160</v>
      </c>
      <c r="P20" t="s">
        <v>428</v>
      </c>
      <c r="Q20">
        <f t="shared" si="0"/>
        <v>714</v>
      </c>
      <c r="R20" t="str">
        <f>_xlfn.XLOOKUP(P20,'Painel Fertilizers'!$B:$B,'Painel Fertilizers'!$B:$B,0)</f>
        <v>GRUPO LEANDRO SARTI</v>
      </c>
    </row>
    <row r="21" spans="1:18" x14ac:dyDescent="0.25">
      <c r="A21">
        <v>11207</v>
      </c>
      <c r="B21" t="s">
        <v>715</v>
      </c>
      <c r="C21" t="s">
        <v>193</v>
      </c>
      <c r="D21" s="34">
        <v>98152.42</v>
      </c>
      <c r="E21">
        <v>1246128194</v>
      </c>
      <c r="F21" s="30">
        <v>45595</v>
      </c>
      <c r="H21" t="s">
        <v>172</v>
      </c>
      <c r="I21" t="s">
        <v>173</v>
      </c>
      <c r="J21">
        <v>2705</v>
      </c>
      <c r="K21" s="30">
        <v>45327</v>
      </c>
      <c r="L21">
        <v>1010100</v>
      </c>
      <c r="M21" t="s">
        <v>35</v>
      </c>
      <c r="N21">
        <v>161</v>
      </c>
      <c r="O21" t="s">
        <v>160</v>
      </c>
      <c r="P21" t="s">
        <v>428</v>
      </c>
      <c r="Q21">
        <f t="shared" si="0"/>
        <v>546</v>
      </c>
      <c r="R21" t="str">
        <f>_xlfn.XLOOKUP(P21,'Painel Fertilizers'!$B:$B,'Painel Fertilizers'!$B:$B,0)</f>
        <v>GRUPO LEANDRO SARTI</v>
      </c>
    </row>
    <row r="22" spans="1:18" x14ac:dyDescent="0.25">
      <c r="A22">
        <v>11207</v>
      </c>
      <c r="B22" t="s">
        <v>715</v>
      </c>
      <c r="C22" t="s">
        <v>193</v>
      </c>
      <c r="D22" s="34">
        <v>98152.43</v>
      </c>
      <c r="E22">
        <v>1246128212</v>
      </c>
      <c r="F22" s="30">
        <v>45595</v>
      </c>
      <c r="H22" t="s">
        <v>172</v>
      </c>
      <c r="I22" t="s">
        <v>173</v>
      </c>
      <c r="J22">
        <v>2708</v>
      </c>
      <c r="K22" s="30">
        <v>45327</v>
      </c>
      <c r="L22">
        <v>1010100</v>
      </c>
      <c r="M22" t="s">
        <v>35</v>
      </c>
      <c r="N22">
        <v>161</v>
      </c>
      <c r="O22" t="s">
        <v>160</v>
      </c>
      <c r="P22" t="s">
        <v>428</v>
      </c>
      <c r="Q22">
        <f t="shared" si="0"/>
        <v>546</v>
      </c>
      <c r="R22" t="str">
        <f>_xlfn.XLOOKUP(P22,'Painel Fertilizers'!$B:$B,'Painel Fertilizers'!$B:$B,0)</f>
        <v>GRUPO LEANDRO SARTI</v>
      </c>
    </row>
    <row r="23" spans="1:18" x14ac:dyDescent="0.25">
      <c r="A23">
        <v>11207</v>
      </c>
      <c r="B23" t="s">
        <v>715</v>
      </c>
      <c r="C23" t="s">
        <v>193</v>
      </c>
      <c r="D23" s="34">
        <v>43771.16</v>
      </c>
      <c r="E23">
        <v>1246102312</v>
      </c>
      <c r="F23" s="30">
        <v>45414</v>
      </c>
      <c r="H23" t="s">
        <v>172</v>
      </c>
      <c r="I23" t="s">
        <v>173</v>
      </c>
      <c r="J23">
        <v>1038</v>
      </c>
      <c r="K23" s="30">
        <v>45174</v>
      </c>
      <c r="L23">
        <v>1010100</v>
      </c>
      <c r="M23" t="s">
        <v>35</v>
      </c>
      <c r="N23">
        <v>161</v>
      </c>
      <c r="O23" t="s">
        <v>160</v>
      </c>
      <c r="P23" t="s">
        <v>428</v>
      </c>
      <c r="Q23">
        <f t="shared" si="0"/>
        <v>727</v>
      </c>
      <c r="R23" t="str">
        <f>_xlfn.XLOOKUP(P23,'Painel Fertilizers'!$B:$B,'Painel Fertilizers'!$B:$B,0)</f>
        <v>GRUPO LEANDRO SARTI</v>
      </c>
    </row>
    <row r="24" spans="1:18" x14ac:dyDescent="0.25">
      <c r="A24">
        <v>11207</v>
      </c>
      <c r="B24" t="s">
        <v>715</v>
      </c>
      <c r="C24" t="s">
        <v>193</v>
      </c>
      <c r="D24" s="34">
        <v>43771.16</v>
      </c>
      <c r="E24">
        <v>1246103425</v>
      </c>
      <c r="F24" s="30">
        <v>45421</v>
      </c>
      <c r="H24" t="s">
        <v>172</v>
      </c>
      <c r="I24" t="s">
        <v>173</v>
      </c>
      <c r="J24">
        <v>232</v>
      </c>
      <c r="K24" s="30">
        <v>45181</v>
      </c>
      <c r="L24">
        <v>1010100</v>
      </c>
      <c r="M24" t="s">
        <v>35</v>
      </c>
      <c r="N24">
        <v>161</v>
      </c>
      <c r="O24" t="s">
        <v>160</v>
      </c>
      <c r="P24" t="s">
        <v>428</v>
      </c>
      <c r="Q24">
        <f t="shared" si="0"/>
        <v>720</v>
      </c>
      <c r="R24" t="str">
        <f>_xlfn.XLOOKUP(P24,'Painel Fertilizers'!$B:$B,'Painel Fertilizers'!$B:$B,0)</f>
        <v>GRUPO LEANDRO SARTI</v>
      </c>
    </row>
    <row r="25" spans="1:18" x14ac:dyDescent="0.25">
      <c r="A25">
        <v>11207</v>
      </c>
      <c r="B25" t="s">
        <v>715</v>
      </c>
      <c r="C25" t="s">
        <v>193</v>
      </c>
      <c r="D25" s="34">
        <v>85883.37</v>
      </c>
      <c r="E25">
        <v>1246128634</v>
      </c>
      <c r="F25" s="30">
        <v>45597</v>
      </c>
      <c r="H25" t="s">
        <v>172</v>
      </c>
      <c r="I25" t="s">
        <v>173</v>
      </c>
      <c r="J25">
        <v>2731</v>
      </c>
      <c r="K25" s="30">
        <v>45329</v>
      </c>
      <c r="L25">
        <v>1010100</v>
      </c>
      <c r="M25" t="s">
        <v>35</v>
      </c>
      <c r="N25">
        <v>161</v>
      </c>
      <c r="O25" t="s">
        <v>160</v>
      </c>
      <c r="P25" t="s">
        <v>428</v>
      </c>
      <c r="Q25">
        <f t="shared" si="0"/>
        <v>544</v>
      </c>
      <c r="R25" t="str">
        <f>_xlfn.XLOOKUP(P25,'Painel Fertilizers'!$B:$B,'Painel Fertilizers'!$B:$B,0)</f>
        <v>GRUPO LEANDRO SARTI</v>
      </c>
    </row>
    <row r="26" spans="1:18" x14ac:dyDescent="0.25">
      <c r="A26">
        <v>11207</v>
      </c>
      <c r="B26" t="s">
        <v>715</v>
      </c>
      <c r="C26" t="s">
        <v>193</v>
      </c>
      <c r="D26" s="34">
        <v>150072.54</v>
      </c>
      <c r="E26">
        <v>1246106013</v>
      </c>
      <c r="F26" s="30">
        <v>45416</v>
      </c>
      <c r="H26" t="s">
        <v>172</v>
      </c>
      <c r="I26" t="s">
        <v>173</v>
      </c>
      <c r="J26">
        <v>1329</v>
      </c>
      <c r="K26" s="30">
        <v>45194</v>
      </c>
      <c r="L26">
        <v>1010100</v>
      </c>
      <c r="M26" t="s">
        <v>35</v>
      </c>
      <c r="N26">
        <v>161</v>
      </c>
      <c r="O26" t="s">
        <v>160</v>
      </c>
      <c r="P26" t="s">
        <v>428</v>
      </c>
      <c r="Q26">
        <f t="shared" si="0"/>
        <v>725</v>
      </c>
      <c r="R26" t="str">
        <f>_xlfn.XLOOKUP(P26,'Painel Fertilizers'!$B:$B,'Painel Fertilizers'!$B:$B,0)</f>
        <v>GRUPO LEANDRO SARTI</v>
      </c>
    </row>
    <row r="27" spans="1:18" x14ac:dyDescent="0.25">
      <c r="A27">
        <v>11207</v>
      </c>
      <c r="B27" t="s">
        <v>715</v>
      </c>
      <c r="C27" t="s">
        <v>193</v>
      </c>
      <c r="D27" s="34">
        <v>150072.54</v>
      </c>
      <c r="E27">
        <v>1246102752</v>
      </c>
      <c r="F27" s="30">
        <v>45415</v>
      </c>
      <c r="H27" t="s">
        <v>172</v>
      </c>
      <c r="I27" t="s">
        <v>173</v>
      </c>
      <c r="J27">
        <v>1071</v>
      </c>
      <c r="K27" s="30">
        <v>45175</v>
      </c>
      <c r="L27">
        <v>1010100</v>
      </c>
      <c r="M27" t="s">
        <v>35</v>
      </c>
      <c r="N27">
        <v>161</v>
      </c>
      <c r="O27" t="s">
        <v>160</v>
      </c>
      <c r="P27" t="s">
        <v>428</v>
      </c>
      <c r="Q27">
        <f t="shared" si="0"/>
        <v>726</v>
      </c>
      <c r="R27" t="str">
        <f>_xlfn.XLOOKUP(P27,'Painel Fertilizers'!$B:$B,'Painel Fertilizers'!$B:$B,0)</f>
        <v>GRUPO LEANDRO SARTI</v>
      </c>
    </row>
    <row r="28" spans="1:18" x14ac:dyDescent="0.25">
      <c r="A28">
        <v>11207</v>
      </c>
      <c r="B28" t="s">
        <v>715</v>
      </c>
      <c r="C28" t="s">
        <v>193</v>
      </c>
      <c r="D28" s="34">
        <v>43771.16</v>
      </c>
      <c r="E28">
        <v>1246103933</v>
      </c>
      <c r="F28" s="30">
        <v>45423</v>
      </c>
      <c r="H28" t="s">
        <v>172</v>
      </c>
      <c r="I28" t="s">
        <v>173</v>
      </c>
      <c r="J28">
        <v>1167</v>
      </c>
      <c r="K28" s="30">
        <v>45183</v>
      </c>
      <c r="L28">
        <v>1010100</v>
      </c>
      <c r="M28" t="s">
        <v>35</v>
      </c>
      <c r="N28">
        <v>161</v>
      </c>
      <c r="O28" t="s">
        <v>160</v>
      </c>
      <c r="P28" t="s">
        <v>428</v>
      </c>
      <c r="Q28">
        <f t="shared" si="0"/>
        <v>718</v>
      </c>
      <c r="R28" t="str">
        <f>_xlfn.XLOOKUP(P28,'Painel Fertilizers'!$B:$B,'Painel Fertilizers'!$B:$B,0)</f>
        <v>GRUPO LEANDRO SARTI</v>
      </c>
    </row>
    <row r="29" spans="1:18" x14ac:dyDescent="0.25">
      <c r="A29">
        <v>11207</v>
      </c>
      <c r="B29" t="s">
        <v>715</v>
      </c>
      <c r="C29" t="s">
        <v>193</v>
      </c>
      <c r="D29" s="34">
        <v>150072.54</v>
      </c>
      <c r="E29">
        <v>1246105096</v>
      </c>
      <c r="F29" s="30">
        <v>45429</v>
      </c>
      <c r="H29" t="s">
        <v>172</v>
      </c>
      <c r="I29" t="s">
        <v>173</v>
      </c>
      <c r="J29">
        <v>1263</v>
      </c>
      <c r="K29" s="30">
        <v>45189</v>
      </c>
      <c r="L29">
        <v>1010100</v>
      </c>
      <c r="M29" t="s">
        <v>35</v>
      </c>
      <c r="N29">
        <v>161</v>
      </c>
      <c r="O29" t="s">
        <v>160</v>
      </c>
      <c r="P29" t="s">
        <v>428</v>
      </c>
      <c r="Q29">
        <f t="shared" si="0"/>
        <v>712</v>
      </c>
      <c r="R29" t="str">
        <f>_xlfn.XLOOKUP(P29,'Painel Fertilizers'!$B:$B,'Painel Fertilizers'!$B:$B,0)</f>
        <v>GRUPO LEANDRO SARTI</v>
      </c>
    </row>
    <row r="30" spans="1:18" x14ac:dyDescent="0.25">
      <c r="A30">
        <v>11207</v>
      </c>
      <c r="B30" t="s">
        <v>715</v>
      </c>
      <c r="C30" t="s">
        <v>193</v>
      </c>
      <c r="D30" s="34">
        <v>85883.37</v>
      </c>
      <c r="E30">
        <v>1246131973</v>
      </c>
      <c r="F30" s="30">
        <v>45595</v>
      </c>
      <c r="H30" t="s">
        <v>172</v>
      </c>
      <c r="I30" t="s">
        <v>173</v>
      </c>
      <c r="J30">
        <v>2972</v>
      </c>
      <c r="K30" s="30">
        <v>45352</v>
      </c>
      <c r="L30">
        <v>1010100</v>
      </c>
      <c r="M30" t="s">
        <v>35</v>
      </c>
      <c r="N30">
        <v>161</v>
      </c>
      <c r="O30" t="s">
        <v>160</v>
      </c>
      <c r="P30" t="s">
        <v>428</v>
      </c>
      <c r="Q30">
        <f t="shared" si="0"/>
        <v>546</v>
      </c>
      <c r="R30" t="str">
        <f>_xlfn.XLOOKUP(P30,'Painel Fertilizers'!$B:$B,'Painel Fertilizers'!$B:$B,0)</f>
        <v>GRUPO LEANDRO SARTI</v>
      </c>
    </row>
    <row r="31" spans="1:18" x14ac:dyDescent="0.25">
      <c r="A31">
        <v>11207</v>
      </c>
      <c r="B31" t="s">
        <v>715</v>
      </c>
      <c r="C31" t="s">
        <v>193</v>
      </c>
      <c r="D31" s="34">
        <v>118231.86</v>
      </c>
      <c r="E31">
        <v>1246074301</v>
      </c>
      <c r="F31" s="30">
        <v>45412</v>
      </c>
      <c r="H31" t="s">
        <v>172</v>
      </c>
      <c r="I31" t="s">
        <v>173</v>
      </c>
      <c r="J31">
        <v>21005</v>
      </c>
      <c r="K31" s="30">
        <v>45015</v>
      </c>
      <c r="L31">
        <v>1010100</v>
      </c>
      <c r="M31" t="s">
        <v>35</v>
      </c>
      <c r="N31">
        <v>161</v>
      </c>
      <c r="O31" t="s">
        <v>160</v>
      </c>
      <c r="P31" t="s">
        <v>428</v>
      </c>
      <c r="Q31">
        <f t="shared" si="0"/>
        <v>729</v>
      </c>
      <c r="R31" t="str">
        <f>_xlfn.XLOOKUP(P31,'Painel Fertilizers'!$B:$B,'Painel Fertilizers'!$B:$B,0)</f>
        <v>GRUPO LEANDRO SARTI</v>
      </c>
    </row>
    <row r="32" spans="1:18" x14ac:dyDescent="0.25">
      <c r="A32">
        <v>11456</v>
      </c>
      <c r="B32" t="s">
        <v>200</v>
      </c>
      <c r="C32" t="s">
        <v>201</v>
      </c>
      <c r="D32" s="34">
        <v>108608.88999999998</v>
      </c>
      <c r="E32">
        <v>1246074872</v>
      </c>
      <c r="F32" s="30">
        <v>45412</v>
      </c>
      <c r="H32" t="s">
        <v>172</v>
      </c>
      <c r="I32" t="s">
        <v>173</v>
      </c>
      <c r="J32">
        <v>21029</v>
      </c>
      <c r="K32" s="30">
        <v>45019</v>
      </c>
      <c r="L32">
        <v>1010100</v>
      </c>
      <c r="M32" t="s">
        <v>35</v>
      </c>
      <c r="N32">
        <v>161</v>
      </c>
      <c r="O32" t="s">
        <v>160</v>
      </c>
      <c r="P32" t="s">
        <v>428</v>
      </c>
      <c r="Q32">
        <f t="shared" si="0"/>
        <v>729</v>
      </c>
      <c r="R32" t="str">
        <f>_xlfn.XLOOKUP(P32,'Painel Fertilizers'!$B:$B,'Painel Fertilizers'!$B:$B,0)</f>
        <v>GRUPO LEANDRO SARTI</v>
      </c>
    </row>
    <row r="33" spans="1:18" x14ac:dyDescent="0.25">
      <c r="A33">
        <v>11456</v>
      </c>
      <c r="B33" t="s">
        <v>200</v>
      </c>
      <c r="C33" t="s">
        <v>201</v>
      </c>
      <c r="D33" s="34">
        <v>136139</v>
      </c>
      <c r="E33">
        <v>1246074571</v>
      </c>
      <c r="F33" s="30">
        <v>45412</v>
      </c>
      <c r="H33" t="s">
        <v>172</v>
      </c>
      <c r="I33" t="s">
        <v>173</v>
      </c>
      <c r="J33">
        <v>21023</v>
      </c>
      <c r="K33" s="30">
        <v>45017</v>
      </c>
      <c r="L33">
        <v>1010100</v>
      </c>
      <c r="M33" t="s">
        <v>35</v>
      </c>
      <c r="N33">
        <v>161</v>
      </c>
      <c r="O33" t="s">
        <v>160</v>
      </c>
      <c r="P33" t="s">
        <v>428</v>
      </c>
      <c r="Q33">
        <f t="shared" si="0"/>
        <v>729</v>
      </c>
      <c r="R33" t="str">
        <f>_xlfn.XLOOKUP(P33,'Painel Fertilizers'!$B:$B,'Painel Fertilizers'!$B:$B,0)</f>
        <v>GRUPO LEANDRO SARTI</v>
      </c>
    </row>
    <row r="34" spans="1:18" x14ac:dyDescent="0.25">
      <c r="A34">
        <v>11456</v>
      </c>
      <c r="B34" t="s">
        <v>200</v>
      </c>
      <c r="C34" t="s">
        <v>201</v>
      </c>
      <c r="D34" s="34">
        <v>150110.1</v>
      </c>
      <c r="E34">
        <v>1246127149</v>
      </c>
      <c r="F34" s="30">
        <v>45615</v>
      </c>
      <c r="H34" t="s">
        <v>172</v>
      </c>
      <c r="I34" t="s">
        <v>173</v>
      </c>
      <c r="J34">
        <v>2634</v>
      </c>
      <c r="K34" s="30">
        <v>45320</v>
      </c>
      <c r="L34">
        <v>1010100</v>
      </c>
      <c r="M34" t="s">
        <v>35</v>
      </c>
      <c r="N34">
        <v>161</v>
      </c>
      <c r="O34" t="s">
        <v>160</v>
      </c>
      <c r="P34" t="s">
        <v>428</v>
      </c>
      <c r="Q34">
        <f t="shared" si="0"/>
        <v>526</v>
      </c>
      <c r="R34" t="str">
        <f>_xlfn.XLOOKUP(P34,'Painel Fertilizers'!$B:$B,'Painel Fertilizers'!$B:$B,0)</f>
        <v>GRUPO LEANDRO SARTI</v>
      </c>
    </row>
    <row r="35" spans="1:18" x14ac:dyDescent="0.25">
      <c r="A35">
        <v>11456</v>
      </c>
      <c r="B35" t="s">
        <v>200</v>
      </c>
      <c r="C35" t="s">
        <v>201</v>
      </c>
      <c r="D35" s="34">
        <v>150110.1</v>
      </c>
      <c r="E35">
        <v>1246128463</v>
      </c>
      <c r="F35" s="30">
        <v>45623</v>
      </c>
      <c r="H35" t="s">
        <v>172</v>
      </c>
      <c r="I35" t="s">
        <v>173</v>
      </c>
      <c r="J35">
        <v>2720</v>
      </c>
      <c r="K35" s="30">
        <v>45328</v>
      </c>
      <c r="L35">
        <v>1010100</v>
      </c>
      <c r="M35" t="s">
        <v>35</v>
      </c>
      <c r="N35">
        <v>161</v>
      </c>
      <c r="O35" t="s">
        <v>160</v>
      </c>
      <c r="P35" t="s">
        <v>428</v>
      </c>
      <c r="Q35">
        <f t="shared" si="0"/>
        <v>518</v>
      </c>
      <c r="R35" t="str">
        <f>_xlfn.XLOOKUP(P35,'Painel Fertilizers'!$B:$B,'Painel Fertilizers'!$B:$B,0)</f>
        <v>GRUPO LEANDRO SARTI</v>
      </c>
    </row>
    <row r="36" spans="1:18" x14ac:dyDescent="0.25">
      <c r="A36">
        <v>14166</v>
      </c>
      <c r="B36" t="s">
        <v>122</v>
      </c>
      <c r="C36" t="s">
        <v>123</v>
      </c>
      <c r="D36" s="34">
        <v>82152</v>
      </c>
      <c r="E36">
        <v>1246231876</v>
      </c>
      <c r="F36" s="30">
        <v>46144</v>
      </c>
      <c r="H36" t="s">
        <v>172</v>
      </c>
      <c r="I36" t="s">
        <v>173</v>
      </c>
      <c r="J36">
        <v>8933</v>
      </c>
      <c r="K36" s="30">
        <v>45888</v>
      </c>
      <c r="L36">
        <v>1010100</v>
      </c>
      <c r="M36" t="s">
        <v>35</v>
      </c>
      <c r="N36">
        <v>161</v>
      </c>
      <c r="O36" t="s">
        <v>160</v>
      </c>
      <c r="P36" t="s">
        <v>431</v>
      </c>
      <c r="Q36">
        <f t="shared" si="0"/>
        <v>-3</v>
      </c>
      <c r="R36" t="str">
        <f>_xlfn.XLOOKUP(P36,'Painel Fertilizers'!$B:$B,'Painel Fertilizers'!$B:$B,0)</f>
        <v>GRUPO TAKI AGRO</v>
      </c>
    </row>
    <row r="37" spans="1:18" x14ac:dyDescent="0.25">
      <c r="A37">
        <v>14166</v>
      </c>
      <c r="B37" t="s">
        <v>122</v>
      </c>
      <c r="C37" t="s">
        <v>123</v>
      </c>
      <c r="D37" s="34">
        <v>93462.6</v>
      </c>
      <c r="E37">
        <v>1246231878</v>
      </c>
      <c r="F37" s="30">
        <v>46144</v>
      </c>
      <c r="H37" t="s">
        <v>172</v>
      </c>
      <c r="I37" t="s">
        <v>173</v>
      </c>
      <c r="J37">
        <v>8934</v>
      </c>
      <c r="K37" s="30">
        <v>45888</v>
      </c>
      <c r="L37">
        <v>1010100</v>
      </c>
      <c r="M37" t="s">
        <v>35</v>
      </c>
      <c r="N37">
        <v>161</v>
      </c>
      <c r="O37" t="s">
        <v>160</v>
      </c>
      <c r="P37" t="s">
        <v>431</v>
      </c>
      <c r="Q37">
        <f t="shared" si="0"/>
        <v>-3</v>
      </c>
      <c r="R37" t="str">
        <f>_xlfn.XLOOKUP(P37,'Painel Fertilizers'!$B:$B,'Painel Fertilizers'!$B:$B,0)</f>
        <v>GRUPO TAKI AGRO</v>
      </c>
    </row>
    <row r="38" spans="1:18" x14ac:dyDescent="0.25">
      <c r="A38">
        <v>14166</v>
      </c>
      <c r="B38" t="s">
        <v>122</v>
      </c>
      <c r="C38" t="s">
        <v>123</v>
      </c>
      <c r="D38" s="34">
        <v>131112.51999999999</v>
      </c>
      <c r="E38">
        <v>1246231981</v>
      </c>
      <c r="F38" s="30">
        <v>46143</v>
      </c>
      <c r="H38" t="s">
        <v>172</v>
      </c>
      <c r="I38" t="s">
        <v>173</v>
      </c>
      <c r="J38">
        <v>8941</v>
      </c>
      <c r="K38" s="30">
        <v>45889</v>
      </c>
      <c r="L38">
        <v>1010100</v>
      </c>
      <c r="M38" t="s">
        <v>35</v>
      </c>
      <c r="N38">
        <v>56</v>
      </c>
      <c r="O38" t="s">
        <v>161</v>
      </c>
      <c r="P38" t="s">
        <v>431</v>
      </c>
      <c r="Q38">
        <f t="shared" si="0"/>
        <v>-2</v>
      </c>
      <c r="R38" t="str">
        <f>_xlfn.XLOOKUP(P38,'Painel Fertilizers'!$B:$B,'Painel Fertilizers'!$B:$B,0)</f>
        <v>GRUPO TAKI AGRO</v>
      </c>
    </row>
    <row r="39" spans="1:18" x14ac:dyDescent="0.25">
      <c r="A39">
        <v>14849</v>
      </c>
      <c r="B39" t="s">
        <v>352</v>
      </c>
      <c r="C39" t="s">
        <v>612</v>
      </c>
      <c r="D39" s="34">
        <v>133718</v>
      </c>
      <c r="E39">
        <v>1246222953</v>
      </c>
      <c r="F39" s="30">
        <v>46143</v>
      </c>
      <c r="H39" t="s">
        <v>172</v>
      </c>
      <c r="I39" t="s">
        <v>173</v>
      </c>
      <c r="J39">
        <v>8360</v>
      </c>
      <c r="K39" s="30">
        <v>45841</v>
      </c>
      <c r="L39">
        <v>1010100</v>
      </c>
      <c r="M39" t="s">
        <v>35</v>
      </c>
      <c r="N39">
        <v>161</v>
      </c>
      <c r="O39" t="s">
        <v>160</v>
      </c>
      <c r="P39" t="s">
        <v>432</v>
      </c>
      <c r="Q39">
        <f t="shared" si="0"/>
        <v>-2</v>
      </c>
      <c r="R39" t="str">
        <f>_xlfn.XLOOKUP(P39,'Painel Fertilizers'!$B:$B,'Painel Fertilizers'!$B:$B,0)</f>
        <v>GRUPO BOLSA AGRONEGOCIO</v>
      </c>
    </row>
    <row r="40" spans="1:18" x14ac:dyDescent="0.25">
      <c r="A40">
        <v>15908</v>
      </c>
      <c r="B40" t="s">
        <v>865</v>
      </c>
      <c r="C40" t="s">
        <v>866</v>
      </c>
      <c r="D40" s="34">
        <v>152185.74</v>
      </c>
      <c r="E40">
        <v>1246268845</v>
      </c>
      <c r="F40" s="30">
        <v>46195</v>
      </c>
      <c r="H40" t="s">
        <v>172</v>
      </c>
      <c r="I40" t="s">
        <v>173</v>
      </c>
      <c r="J40">
        <v>10968</v>
      </c>
      <c r="K40" s="30">
        <v>46105</v>
      </c>
      <c r="L40">
        <v>1010100</v>
      </c>
      <c r="M40" t="s">
        <v>35</v>
      </c>
      <c r="N40">
        <v>161</v>
      </c>
      <c r="O40" t="s">
        <v>160</v>
      </c>
      <c r="P40" t="s">
        <v>905</v>
      </c>
      <c r="Q40">
        <f t="shared" si="0"/>
        <v>-54</v>
      </c>
      <c r="R40" t="str">
        <f>_xlfn.XLOOKUP(P40,'Painel Fertilizers'!$B:$B,'Painel Fertilizers'!$B:$B,0)</f>
        <v>ADUFÉRTIL - CAMPEVO</v>
      </c>
    </row>
    <row r="41" spans="1:18" x14ac:dyDescent="0.25">
      <c r="A41">
        <v>15908</v>
      </c>
      <c r="B41" t="s">
        <v>865</v>
      </c>
      <c r="C41" t="s">
        <v>866</v>
      </c>
      <c r="D41" s="34">
        <v>38698.71</v>
      </c>
      <c r="E41">
        <v>1246268455</v>
      </c>
      <c r="F41" s="30">
        <v>46190</v>
      </c>
      <c r="H41" t="s">
        <v>172</v>
      </c>
      <c r="I41" t="s">
        <v>173</v>
      </c>
      <c r="J41">
        <v>10935</v>
      </c>
      <c r="K41" s="30">
        <v>46100</v>
      </c>
      <c r="L41">
        <v>1010100</v>
      </c>
      <c r="M41" t="s">
        <v>35</v>
      </c>
      <c r="N41">
        <v>161</v>
      </c>
      <c r="O41" t="s">
        <v>160</v>
      </c>
      <c r="P41" t="s">
        <v>905</v>
      </c>
      <c r="Q41">
        <f t="shared" si="0"/>
        <v>-49</v>
      </c>
      <c r="R41" t="str">
        <f>_xlfn.XLOOKUP(P41,'Painel Fertilizers'!$B:$B,'Painel Fertilizers'!$B:$B,0)</f>
        <v>ADUFÉRTIL - CAMPEVO</v>
      </c>
    </row>
    <row r="42" spans="1:18" x14ac:dyDescent="0.25">
      <c r="A42">
        <v>15905</v>
      </c>
      <c r="B42" t="s">
        <v>867</v>
      </c>
      <c r="C42" t="s">
        <v>868</v>
      </c>
      <c r="D42" s="34">
        <v>51551.06</v>
      </c>
      <c r="E42">
        <v>1246268473</v>
      </c>
      <c r="F42" s="30">
        <v>46190</v>
      </c>
      <c r="H42" t="s">
        <v>172</v>
      </c>
      <c r="I42" t="s">
        <v>173</v>
      </c>
      <c r="J42">
        <v>10938</v>
      </c>
      <c r="K42" s="30">
        <v>46100</v>
      </c>
      <c r="L42">
        <v>1010100</v>
      </c>
      <c r="M42" t="s">
        <v>35</v>
      </c>
      <c r="N42">
        <v>161</v>
      </c>
      <c r="O42" t="s">
        <v>160</v>
      </c>
      <c r="P42" t="s">
        <v>905</v>
      </c>
      <c r="Q42">
        <f t="shared" si="0"/>
        <v>-49</v>
      </c>
      <c r="R42" t="str">
        <f>_xlfn.XLOOKUP(P42,'Painel Fertilizers'!$B:$B,'Painel Fertilizers'!$B:$B,0)</f>
        <v>ADUFÉRTIL - CAMPEVO</v>
      </c>
    </row>
    <row r="43" spans="1:18" x14ac:dyDescent="0.25">
      <c r="A43">
        <v>15905</v>
      </c>
      <c r="B43" t="s">
        <v>867</v>
      </c>
      <c r="C43" t="s">
        <v>868</v>
      </c>
      <c r="D43" s="34">
        <v>177522.26</v>
      </c>
      <c r="E43">
        <v>1246268967</v>
      </c>
      <c r="F43" s="30">
        <v>46196</v>
      </c>
      <c r="H43" t="s">
        <v>172</v>
      </c>
      <c r="I43" t="s">
        <v>173</v>
      </c>
      <c r="J43">
        <v>10973</v>
      </c>
      <c r="K43" s="30">
        <v>46106</v>
      </c>
      <c r="L43">
        <v>1010100</v>
      </c>
      <c r="M43" t="s">
        <v>35</v>
      </c>
      <c r="N43">
        <v>161</v>
      </c>
      <c r="O43" t="s">
        <v>160</v>
      </c>
      <c r="P43" t="s">
        <v>905</v>
      </c>
      <c r="Q43">
        <f t="shared" si="0"/>
        <v>-55</v>
      </c>
      <c r="R43" t="str">
        <f>_xlfn.XLOOKUP(P43,'Painel Fertilizers'!$B:$B,'Painel Fertilizers'!$B:$B,0)</f>
        <v>ADUFÉRTIL - CAMPEVO</v>
      </c>
    </row>
    <row r="44" spans="1:18" x14ac:dyDescent="0.25">
      <c r="A44">
        <v>15905</v>
      </c>
      <c r="B44" t="s">
        <v>867</v>
      </c>
      <c r="C44" t="s">
        <v>868</v>
      </c>
      <c r="D44" s="34">
        <v>72587.789999999994</v>
      </c>
      <c r="E44">
        <v>1246271194</v>
      </c>
      <c r="F44" s="30">
        <v>46215</v>
      </c>
      <c r="H44" t="s">
        <v>172</v>
      </c>
      <c r="I44" t="s">
        <v>173</v>
      </c>
      <c r="J44">
        <v>11111</v>
      </c>
      <c r="K44" s="30">
        <v>46125</v>
      </c>
      <c r="L44">
        <v>1010100</v>
      </c>
      <c r="M44" t="s">
        <v>35</v>
      </c>
      <c r="N44">
        <v>161</v>
      </c>
      <c r="O44" t="s">
        <v>160</v>
      </c>
      <c r="P44" t="s">
        <v>905</v>
      </c>
      <c r="Q44">
        <f t="shared" si="0"/>
        <v>-74</v>
      </c>
      <c r="R44" t="str">
        <f>_xlfn.XLOOKUP(P44,'Painel Fertilizers'!$B:$B,'Painel Fertilizers'!$B:$B,0)</f>
        <v>ADUFÉRTIL - CAMPEVO</v>
      </c>
    </row>
    <row r="45" spans="1:18" x14ac:dyDescent="0.25">
      <c r="A45">
        <v>16387</v>
      </c>
      <c r="B45" t="s">
        <v>730</v>
      </c>
      <c r="C45" t="s">
        <v>731</v>
      </c>
      <c r="D45" s="34">
        <v>5030.5</v>
      </c>
      <c r="E45">
        <v>1246250305</v>
      </c>
      <c r="F45" s="30">
        <v>46254</v>
      </c>
      <c r="H45" t="s">
        <v>172</v>
      </c>
      <c r="I45" t="s">
        <v>173</v>
      </c>
      <c r="J45">
        <v>10088</v>
      </c>
      <c r="K45" s="30">
        <v>45982</v>
      </c>
      <c r="L45">
        <v>1010100</v>
      </c>
      <c r="M45" t="s">
        <v>35</v>
      </c>
      <c r="N45">
        <v>161</v>
      </c>
      <c r="O45" t="s">
        <v>160</v>
      </c>
      <c r="P45" t="s">
        <v>425</v>
      </c>
      <c r="Q45">
        <f t="shared" si="0"/>
        <v>-113</v>
      </c>
      <c r="R45" t="str">
        <f>_xlfn.XLOOKUP(P45,'Painel Fertilizers'!$B:$B,'Painel Fertilizers'!$B:$B,0)</f>
        <v>GRUPO SAGRA</v>
      </c>
    </row>
    <row r="46" spans="1:18" x14ac:dyDescent="0.25">
      <c r="A46">
        <v>15906</v>
      </c>
      <c r="B46" t="s">
        <v>869</v>
      </c>
      <c r="C46" t="s">
        <v>870</v>
      </c>
      <c r="D46" s="34">
        <v>51551.06</v>
      </c>
      <c r="E46">
        <v>1246268468</v>
      </c>
      <c r="F46" s="30">
        <v>46190</v>
      </c>
      <c r="H46" t="s">
        <v>172</v>
      </c>
      <c r="I46" t="s">
        <v>173</v>
      </c>
      <c r="J46">
        <v>10937</v>
      </c>
      <c r="K46" s="30">
        <v>46100</v>
      </c>
      <c r="L46">
        <v>1010100</v>
      </c>
      <c r="M46" t="s">
        <v>35</v>
      </c>
      <c r="N46">
        <v>161</v>
      </c>
      <c r="O46" t="s">
        <v>160</v>
      </c>
      <c r="P46" t="s">
        <v>905</v>
      </c>
      <c r="Q46">
        <f t="shared" si="0"/>
        <v>-49</v>
      </c>
      <c r="R46" t="str">
        <f>_xlfn.XLOOKUP(P46,'Painel Fertilizers'!$B:$B,'Painel Fertilizers'!$B:$B,0)</f>
        <v>ADUFÉRTIL - CAMPEVO</v>
      </c>
    </row>
    <row r="47" spans="1:18" x14ac:dyDescent="0.25">
      <c r="A47">
        <v>15904</v>
      </c>
      <c r="B47" t="s">
        <v>871</v>
      </c>
      <c r="C47" t="s">
        <v>872</v>
      </c>
      <c r="D47" s="34">
        <v>38698.71</v>
      </c>
      <c r="E47">
        <v>1246268475</v>
      </c>
      <c r="F47" s="30">
        <v>46190</v>
      </c>
      <c r="H47" t="s">
        <v>172</v>
      </c>
      <c r="I47" t="s">
        <v>173</v>
      </c>
      <c r="J47">
        <v>10939</v>
      </c>
      <c r="K47" s="30">
        <v>46100</v>
      </c>
      <c r="L47">
        <v>1010100</v>
      </c>
      <c r="M47" t="s">
        <v>35</v>
      </c>
      <c r="N47">
        <v>161</v>
      </c>
      <c r="O47" t="s">
        <v>160</v>
      </c>
      <c r="P47" t="s">
        <v>905</v>
      </c>
      <c r="Q47">
        <f t="shared" si="0"/>
        <v>-49</v>
      </c>
      <c r="R47" t="str">
        <f>_xlfn.XLOOKUP(P47,'Painel Fertilizers'!$B:$B,'Painel Fertilizers'!$B:$B,0)</f>
        <v>ADUFÉRTIL - CAMPEVO</v>
      </c>
    </row>
    <row r="48" spans="1:18" x14ac:dyDescent="0.25">
      <c r="A48">
        <v>15904</v>
      </c>
      <c r="B48" t="s">
        <v>871</v>
      </c>
      <c r="C48" t="s">
        <v>872</v>
      </c>
      <c r="D48" s="34">
        <v>152158.14000000001</v>
      </c>
      <c r="E48">
        <v>1246269114</v>
      </c>
      <c r="F48" s="30">
        <v>46196</v>
      </c>
      <c r="H48" t="s">
        <v>172</v>
      </c>
      <c r="I48" t="s">
        <v>173</v>
      </c>
      <c r="J48">
        <v>10978</v>
      </c>
      <c r="K48" s="30">
        <v>46106</v>
      </c>
      <c r="L48">
        <v>1010100</v>
      </c>
      <c r="M48" t="s">
        <v>35</v>
      </c>
      <c r="N48">
        <v>161</v>
      </c>
      <c r="O48" t="s">
        <v>160</v>
      </c>
      <c r="P48" t="s">
        <v>905</v>
      </c>
      <c r="Q48">
        <f t="shared" si="0"/>
        <v>-55</v>
      </c>
      <c r="R48" t="str">
        <f>_xlfn.XLOOKUP(P48,'Painel Fertilizers'!$B:$B,'Painel Fertilizers'!$B:$B,0)</f>
        <v>ADUFÉRTIL - CAMPEVO</v>
      </c>
    </row>
    <row r="49" spans="1:18" x14ac:dyDescent="0.25">
      <c r="A49">
        <v>6132</v>
      </c>
      <c r="B49" t="s">
        <v>176</v>
      </c>
      <c r="C49" t="s">
        <v>177</v>
      </c>
      <c r="D49" s="34">
        <v>131993.79999999999</v>
      </c>
      <c r="E49">
        <v>1246090615</v>
      </c>
      <c r="F49" s="30">
        <v>45471</v>
      </c>
      <c r="H49" t="s">
        <v>172</v>
      </c>
      <c r="I49" t="s">
        <v>173</v>
      </c>
      <c r="J49">
        <v>33</v>
      </c>
      <c r="K49" s="30">
        <v>45111</v>
      </c>
      <c r="L49">
        <v>1010100</v>
      </c>
      <c r="M49" t="s">
        <v>35</v>
      </c>
      <c r="N49">
        <v>161</v>
      </c>
      <c r="O49" t="s">
        <v>160</v>
      </c>
      <c r="P49" t="s">
        <v>176</v>
      </c>
      <c r="Q49">
        <f t="shared" si="0"/>
        <v>670</v>
      </c>
      <c r="R49" t="str">
        <f>_xlfn.XLOOKUP(P49,'Painel Fertilizers'!$B:$B,'Painel Fertilizers'!$B:$B,0)</f>
        <v>CENTRAL DO ADUBO COM E REPRESENTACAO LTD</v>
      </c>
    </row>
    <row r="50" spans="1:18" x14ac:dyDescent="0.25">
      <c r="A50">
        <v>6132</v>
      </c>
      <c r="B50" t="s">
        <v>176</v>
      </c>
      <c r="C50" t="s">
        <v>177</v>
      </c>
      <c r="D50" s="34">
        <v>178370</v>
      </c>
      <c r="E50">
        <v>1246091907</v>
      </c>
      <c r="F50" s="30">
        <v>45437</v>
      </c>
      <c r="H50" t="s">
        <v>172</v>
      </c>
      <c r="I50" t="s">
        <v>173</v>
      </c>
      <c r="J50">
        <v>129</v>
      </c>
      <c r="K50" s="30">
        <v>45119</v>
      </c>
      <c r="L50">
        <v>1010100</v>
      </c>
      <c r="M50" t="s">
        <v>35</v>
      </c>
      <c r="N50">
        <v>161</v>
      </c>
      <c r="O50" t="s">
        <v>160</v>
      </c>
      <c r="P50" t="s">
        <v>176</v>
      </c>
      <c r="Q50">
        <f t="shared" si="0"/>
        <v>704</v>
      </c>
      <c r="R50" t="str">
        <f>_xlfn.XLOOKUP(P50,'Painel Fertilizers'!$B:$B,'Painel Fertilizers'!$B:$B,0)</f>
        <v>CENTRAL DO ADUBO COM E REPRESENTACAO LTD</v>
      </c>
    </row>
    <row r="51" spans="1:18" x14ac:dyDescent="0.25">
      <c r="A51">
        <v>6132</v>
      </c>
      <c r="B51" t="s">
        <v>176</v>
      </c>
      <c r="C51" t="s">
        <v>177</v>
      </c>
      <c r="D51" s="34">
        <v>178370</v>
      </c>
      <c r="E51">
        <v>1246090579</v>
      </c>
      <c r="F51" s="30">
        <v>45470</v>
      </c>
      <c r="H51" t="s">
        <v>172</v>
      </c>
      <c r="I51" t="s">
        <v>173</v>
      </c>
      <c r="J51">
        <v>28</v>
      </c>
      <c r="K51" s="30">
        <v>45110</v>
      </c>
      <c r="L51">
        <v>1010100</v>
      </c>
      <c r="M51" t="s">
        <v>35</v>
      </c>
      <c r="N51">
        <v>161</v>
      </c>
      <c r="O51" t="s">
        <v>160</v>
      </c>
      <c r="P51" t="s">
        <v>176</v>
      </c>
      <c r="Q51">
        <f t="shared" si="0"/>
        <v>671</v>
      </c>
      <c r="R51" t="str">
        <f>_xlfn.XLOOKUP(P51,'Painel Fertilizers'!$B:$B,'Painel Fertilizers'!$B:$B,0)</f>
        <v>CENTRAL DO ADUBO COM E REPRESENTACAO LTD</v>
      </c>
    </row>
    <row r="52" spans="1:18" x14ac:dyDescent="0.25">
      <c r="A52">
        <v>6132</v>
      </c>
      <c r="B52" t="s">
        <v>176</v>
      </c>
      <c r="C52" t="s">
        <v>177</v>
      </c>
      <c r="D52" s="34">
        <v>142696</v>
      </c>
      <c r="E52">
        <v>1246091833</v>
      </c>
      <c r="F52" s="30">
        <v>45436</v>
      </c>
      <c r="H52" t="s">
        <v>172</v>
      </c>
      <c r="I52" t="s">
        <v>173</v>
      </c>
      <c r="J52">
        <v>116</v>
      </c>
      <c r="K52" s="30">
        <v>45118</v>
      </c>
      <c r="L52">
        <v>1010100</v>
      </c>
      <c r="M52" t="s">
        <v>35</v>
      </c>
      <c r="N52">
        <v>161</v>
      </c>
      <c r="O52" t="s">
        <v>160</v>
      </c>
      <c r="P52" t="s">
        <v>176</v>
      </c>
      <c r="Q52">
        <f t="shared" si="0"/>
        <v>705</v>
      </c>
      <c r="R52" t="str">
        <f>_xlfn.XLOOKUP(P52,'Painel Fertilizers'!$B:$B,'Painel Fertilizers'!$B:$B,0)</f>
        <v>CENTRAL DO ADUBO COM E REPRESENTACAO LTD</v>
      </c>
    </row>
    <row r="53" spans="1:18" x14ac:dyDescent="0.25">
      <c r="A53">
        <v>6132</v>
      </c>
      <c r="B53" t="s">
        <v>176</v>
      </c>
      <c r="C53" t="s">
        <v>177</v>
      </c>
      <c r="D53" s="34">
        <v>60766.2</v>
      </c>
      <c r="E53">
        <v>1246095119</v>
      </c>
      <c r="F53" s="30">
        <v>45447</v>
      </c>
      <c r="H53" t="s">
        <v>172</v>
      </c>
      <c r="I53" t="s">
        <v>173</v>
      </c>
      <c r="J53">
        <v>93</v>
      </c>
      <c r="K53" s="30">
        <v>45138</v>
      </c>
      <c r="L53">
        <v>1010100</v>
      </c>
      <c r="M53" t="s">
        <v>35</v>
      </c>
      <c r="N53">
        <v>161</v>
      </c>
      <c r="O53" t="s">
        <v>160</v>
      </c>
      <c r="P53" t="s">
        <v>176</v>
      </c>
      <c r="Q53">
        <f t="shared" si="0"/>
        <v>694</v>
      </c>
      <c r="R53" t="str">
        <f>_xlfn.XLOOKUP(P53,'Painel Fertilizers'!$B:$B,'Painel Fertilizers'!$B:$B,0)</f>
        <v>CENTRAL DO ADUBO COM E REPRESENTACAO LTD</v>
      </c>
    </row>
    <row r="54" spans="1:18" x14ac:dyDescent="0.25">
      <c r="A54">
        <v>6132</v>
      </c>
      <c r="B54" t="s">
        <v>176</v>
      </c>
      <c r="C54" t="s">
        <v>177</v>
      </c>
      <c r="D54" s="34">
        <v>178260</v>
      </c>
      <c r="E54">
        <v>1246091832</v>
      </c>
      <c r="F54" s="30">
        <v>45436</v>
      </c>
      <c r="H54" t="s">
        <v>172</v>
      </c>
      <c r="I54" t="s">
        <v>173</v>
      </c>
      <c r="J54">
        <v>115</v>
      </c>
      <c r="K54" s="30">
        <v>45118</v>
      </c>
      <c r="L54">
        <v>1010100</v>
      </c>
      <c r="M54" t="s">
        <v>35</v>
      </c>
      <c r="N54">
        <v>161</v>
      </c>
      <c r="O54" t="s">
        <v>160</v>
      </c>
      <c r="P54" t="s">
        <v>176</v>
      </c>
      <c r="Q54">
        <f t="shared" si="0"/>
        <v>705</v>
      </c>
      <c r="R54" t="str">
        <f>_xlfn.XLOOKUP(P54,'Painel Fertilizers'!$B:$B,'Painel Fertilizers'!$B:$B,0)</f>
        <v>CENTRAL DO ADUBO COM E REPRESENTACAO LTD</v>
      </c>
    </row>
    <row r="55" spans="1:18" x14ac:dyDescent="0.25">
      <c r="A55">
        <v>6132</v>
      </c>
      <c r="B55" t="s">
        <v>176</v>
      </c>
      <c r="C55" t="s">
        <v>177</v>
      </c>
      <c r="D55" s="34">
        <v>85223.34</v>
      </c>
      <c r="E55">
        <v>1246097799</v>
      </c>
      <c r="F55" s="30">
        <v>45442</v>
      </c>
      <c r="H55" t="s">
        <v>172</v>
      </c>
      <c r="I55" t="s">
        <v>173</v>
      </c>
      <c r="J55">
        <v>678</v>
      </c>
      <c r="K55" s="30">
        <v>45152</v>
      </c>
      <c r="L55">
        <v>1010100</v>
      </c>
      <c r="M55" t="s">
        <v>35</v>
      </c>
      <c r="N55">
        <v>161</v>
      </c>
      <c r="O55" t="s">
        <v>160</v>
      </c>
      <c r="P55" t="s">
        <v>176</v>
      </c>
      <c r="Q55">
        <f t="shared" si="0"/>
        <v>699</v>
      </c>
      <c r="R55" t="str">
        <f>_xlfn.XLOOKUP(P55,'Painel Fertilizers'!$B:$B,'Painel Fertilizers'!$B:$B,0)</f>
        <v>CENTRAL DO ADUBO COM E REPRESENTACAO LTD</v>
      </c>
    </row>
    <row r="56" spans="1:18" x14ac:dyDescent="0.25">
      <c r="A56">
        <v>6132</v>
      </c>
      <c r="B56" t="s">
        <v>176</v>
      </c>
      <c r="C56" t="s">
        <v>177</v>
      </c>
      <c r="D56" s="34">
        <v>84323.41</v>
      </c>
      <c r="E56">
        <v>1246121990</v>
      </c>
      <c r="F56" s="30">
        <v>45557</v>
      </c>
      <c r="H56" t="s">
        <v>172</v>
      </c>
      <c r="I56" t="s">
        <v>173</v>
      </c>
      <c r="J56">
        <v>2361</v>
      </c>
      <c r="K56" s="30">
        <v>45289</v>
      </c>
      <c r="L56">
        <v>1010100</v>
      </c>
      <c r="M56" t="s">
        <v>35</v>
      </c>
      <c r="N56">
        <v>161</v>
      </c>
      <c r="O56" t="s">
        <v>160</v>
      </c>
      <c r="P56" t="s">
        <v>176</v>
      </c>
      <c r="Q56">
        <f t="shared" si="0"/>
        <v>584</v>
      </c>
      <c r="R56" t="str">
        <f>_xlfn.XLOOKUP(P56,'Painel Fertilizers'!$B:$B,'Painel Fertilizers'!$B:$B,0)</f>
        <v>CENTRAL DO ADUBO COM E REPRESENTACAO LTD</v>
      </c>
    </row>
    <row r="57" spans="1:18" x14ac:dyDescent="0.25">
      <c r="A57">
        <v>6132</v>
      </c>
      <c r="B57" t="s">
        <v>176</v>
      </c>
      <c r="C57" t="s">
        <v>177</v>
      </c>
      <c r="D57" s="34">
        <v>63251.12</v>
      </c>
      <c r="E57">
        <v>1246128996</v>
      </c>
      <c r="F57" s="30">
        <v>45571</v>
      </c>
      <c r="H57" t="s">
        <v>172</v>
      </c>
      <c r="I57" t="s">
        <v>173</v>
      </c>
      <c r="J57">
        <v>2766</v>
      </c>
      <c r="K57" s="30">
        <v>45331</v>
      </c>
      <c r="L57">
        <v>1010100</v>
      </c>
      <c r="M57" t="s">
        <v>35</v>
      </c>
      <c r="N57">
        <v>161</v>
      </c>
      <c r="O57" t="s">
        <v>160</v>
      </c>
      <c r="P57" t="s">
        <v>176</v>
      </c>
      <c r="Q57">
        <f t="shared" si="0"/>
        <v>570</v>
      </c>
      <c r="R57" t="str">
        <f>_xlfn.XLOOKUP(P57,'Painel Fertilizers'!$B:$B,'Painel Fertilizers'!$B:$B,0)</f>
        <v>CENTRAL DO ADUBO COM E REPRESENTACAO LTD</v>
      </c>
    </row>
    <row r="58" spans="1:18" x14ac:dyDescent="0.25">
      <c r="A58">
        <v>6132</v>
      </c>
      <c r="B58" t="s">
        <v>176</v>
      </c>
      <c r="C58" t="s">
        <v>177</v>
      </c>
      <c r="D58" s="34">
        <v>52062</v>
      </c>
      <c r="E58">
        <v>1246115169</v>
      </c>
      <c r="F58" s="30">
        <v>45466</v>
      </c>
      <c r="H58" t="s">
        <v>172</v>
      </c>
      <c r="I58" t="s">
        <v>173</v>
      </c>
      <c r="J58">
        <v>1974</v>
      </c>
      <c r="K58" s="30">
        <v>45244</v>
      </c>
      <c r="L58">
        <v>1010100</v>
      </c>
      <c r="M58" t="s">
        <v>35</v>
      </c>
      <c r="N58">
        <v>161</v>
      </c>
      <c r="O58" t="s">
        <v>160</v>
      </c>
      <c r="P58" t="s">
        <v>176</v>
      </c>
      <c r="Q58">
        <f t="shared" si="0"/>
        <v>675</v>
      </c>
      <c r="R58" t="str">
        <f>_xlfn.XLOOKUP(P58,'Painel Fertilizers'!$B:$B,'Painel Fertilizers'!$B:$B,0)</f>
        <v>CENTRAL DO ADUBO COM E REPRESENTACAO LTD</v>
      </c>
    </row>
    <row r="59" spans="1:18" x14ac:dyDescent="0.25">
      <c r="A59">
        <v>6132</v>
      </c>
      <c r="B59" t="s">
        <v>176</v>
      </c>
      <c r="C59" t="s">
        <v>177</v>
      </c>
      <c r="D59" s="34">
        <v>32002.66</v>
      </c>
      <c r="E59">
        <v>1246120211</v>
      </c>
      <c r="F59" s="30">
        <v>45518</v>
      </c>
      <c r="H59" t="s">
        <v>172</v>
      </c>
      <c r="I59" t="s">
        <v>173</v>
      </c>
      <c r="J59">
        <v>2284</v>
      </c>
      <c r="K59" s="30">
        <v>45278</v>
      </c>
      <c r="L59">
        <v>1010100</v>
      </c>
      <c r="M59" t="s">
        <v>35</v>
      </c>
      <c r="N59">
        <v>161</v>
      </c>
      <c r="O59" t="s">
        <v>160</v>
      </c>
      <c r="P59" t="s">
        <v>176</v>
      </c>
      <c r="Q59">
        <f t="shared" si="0"/>
        <v>623</v>
      </c>
      <c r="R59" t="str">
        <f>_xlfn.XLOOKUP(P59,'Painel Fertilizers'!$B:$B,'Painel Fertilizers'!$B:$B,0)</f>
        <v>CENTRAL DO ADUBO COM E REPRESENTACAO LTD</v>
      </c>
    </row>
    <row r="60" spans="1:18" x14ac:dyDescent="0.25">
      <c r="A60">
        <v>6132</v>
      </c>
      <c r="B60" t="s">
        <v>176</v>
      </c>
      <c r="C60" t="s">
        <v>177</v>
      </c>
      <c r="D60" s="34">
        <v>112435.2</v>
      </c>
      <c r="E60">
        <v>1246116054</v>
      </c>
      <c r="F60" s="30">
        <v>45491</v>
      </c>
      <c r="H60" t="s">
        <v>172</v>
      </c>
      <c r="I60" t="s">
        <v>173</v>
      </c>
      <c r="J60">
        <v>2046</v>
      </c>
      <c r="K60" s="30">
        <v>45251</v>
      </c>
      <c r="L60">
        <v>1010100</v>
      </c>
      <c r="M60" t="s">
        <v>35</v>
      </c>
      <c r="N60">
        <v>161</v>
      </c>
      <c r="O60" t="s">
        <v>160</v>
      </c>
      <c r="P60" t="s">
        <v>176</v>
      </c>
      <c r="Q60">
        <f t="shared" si="0"/>
        <v>650</v>
      </c>
      <c r="R60" t="str">
        <f>_xlfn.XLOOKUP(P60,'Painel Fertilizers'!$B:$B,'Painel Fertilizers'!$B:$B,0)</f>
        <v>CENTRAL DO ADUBO COM E REPRESENTACAO LTD</v>
      </c>
    </row>
    <row r="61" spans="1:18" x14ac:dyDescent="0.25">
      <c r="A61">
        <v>6132</v>
      </c>
      <c r="B61" t="s">
        <v>176</v>
      </c>
      <c r="C61" t="s">
        <v>177</v>
      </c>
      <c r="D61" s="34">
        <v>29450.6</v>
      </c>
      <c r="E61">
        <v>1246128801</v>
      </c>
      <c r="F61" s="30">
        <v>45605</v>
      </c>
      <c r="H61" t="s">
        <v>172</v>
      </c>
      <c r="I61" t="s">
        <v>173</v>
      </c>
      <c r="J61">
        <v>2746</v>
      </c>
      <c r="K61" s="30">
        <v>45330</v>
      </c>
      <c r="L61">
        <v>1010100</v>
      </c>
      <c r="M61" t="s">
        <v>35</v>
      </c>
      <c r="N61">
        <v>161</v>
      </c>
      <c r="O61" t="s">
        <v>160</v>
      </c>
      <c r="P61" t="s">
        <v>176</v>
      </c>
      <c r="Q61">
        <f t="shared" si="0"/>
        <v>536</v>
      </c>
      <c r="R61" t="str">
        <f>_xlfn.XLOOKUP(P61,'Painel Fertilizers'!$B:$B,'Painel Fertilizers'!$B:$B,0)</f>
        <v>CENTRAL DO ADUBO COM E REPRESENTACAO LTD</v>
      </c>
    </row>
    <row r="62" spans="1:18" x14ac:dyDescent="0.25">
      <c r="A62">
        <v>6132</v>
      </c>
      <c r="B62" t="s">
        <v>176</v>
      </c>
      <c r="C62" t="s">
        <v>177</v>
      </c>
      <c r="D62" s="34">
        <v>87840</v>
      </c>
      <c r="E62">
        <v>1246113431</v>
      </c>
      <c r="F62" s="30">
        <v>45476</v>
      </c>
      <c r="H62" t="s">
        <v>172</v>
      </c>
      <c r="I62" t="s">
        <v>173</v>
      </c>
      <c r="J62">
        <v>1852</v>
      </c>
      <c r="K62" s="30">
        <v>45236</v>
      </c>
      <c r="L62">
        <v>1010100</v>
      </c>
      <c r="M62" t="s">
        <v>35</v>
      </c>
      <c r="N62">
        <v>161</v>
      </c>
      <c r="O62" t="s">
        <v>160</v>
      </c>
      <c r="P62" t="s">
        <v>176</v>
      </c>
      <c r="Q62">
        <f t="shared" si="0"/>
        <v>665</v>
      </c>
      <c r="R62" t="str">
        <f>_xlfn.XLOOKUP(P62,'Painel Fertilizers'!$B:$B,'Painel Fertilizers'!$B:$B,0)</f>
        <v>CENTRAL DO ADUBO COM E REPRESENTACAO LTD</v>
      </c>
    </row>
    <row r="63" spans="1:18" x14ac:dyDescent="0.25">
      <c r="A63">
        <v>6132</v>
      </c>
      <c r="B63" t="s">
        <v>176</v>
      </c>
      <c r="C63" t="s">
        <v>177</v>
      </c>
      <c r="D63" s="34">
        <v>27201.1</v>
      </c>
      <c r="E63">
        <v>1246124199</v>
      </c>
      <c r="F63" s="30">
        <v>45557</v>
      </c>
      <c r="H63" t="s">
        <v>172</v>
      </c>
      <c r="I63" t="s">
        <v>173</v>
      </c>
      <c r="J63">
        <v>2454</v>
      </c>
      <c r="K63" s="30">
        <v>45301</v>
      </c>
      <c r="L63">
        <v>1010100</v>
      </c>
      <c r="M63" t="s">
        <v>35</v>
      </c>
      <c r="N63">
        <v>161</v>
      </c>
      <c r="O63" t="s">
        <v>160</v>
      </c>
      <c r="P63" t="s">
        <v>176</v>
      </c>
      <c r="Q63">
        <f t="shared" si="0"/>
        <v>584</v>
      </c>
      <c r="R63" t="str">
        <f>_xlfn.XLOOKUP(P63,'Painel Fertilizers'!$B:$B,'Painel Fertilizers'!$B:$B,0)</f>
        <v>CENTRAL DO ADUBO COM E REPRESENTACAO LTD</v>
      </c>
    </row>
    <row r="64" spans="1:18" x14ac:dyDescent="0.25">
      <c r="A64">
        <v>6132</v>
      </c>
      <c r="B64" t="s">
        <v>176</v>
      </c>
      <c r="C64" t="s">
        <v>177</v>
      </c>
      <c r="D64" s="34">
        <v>86529.600000000006</v>
      </c>
      <c r="E64">
        <v>1246116354</v>
      </c>
      <c r="F64" s="30">
        <v>45475</v>
      </c>
      <c r="H64" t="s">
        <v>172</v>
      </c>
      <c r="I64" t="s">
        <v>173</v>
      </c>
      <c r="J64">
        <v>2068</v>
      </c>
      <c r="K64" s="30">
        <v>45253</v>
      </c>
      <c r="L64">
        <v>1010100</v>
      </c>
      <c r="M64" t="s">
        <v>35</v>
      </c>
      <c r="N64">
        <v>161</v>
      </c>
      <c r="O64" t="s">
        <v>160</v>
      </c>
      <c r="P64" t="s">
        <v>176</v>
      </c>
      <c r="Q64">
        <f t="shared" si="0"/>
        <v>666</v>
      </c>
      <c r="R64" t="str">
        <f>_xlfn.XLOOKUP(P64,'Painel Fertilizers'!$B:$B,'Painel Fertilizers'!$B:$B,0)</f>
        <v>CENTRAL DO ADUBO COM E REPRESENTACAO LTD</v>
      </c>
    </row>
    <row r="65" spans="1:18" x14ac:dyDescent="0.25">
      <c r="A65">
        <v>6132</v>
      </c>
      <c r="B65" t="s">
        <v>176</v>
      </c>
      <c r="C65" t="s">
        <v>177</v>
      </c>
      <c r="D65" s="34">
        <v>171010</v>
      </c>
      <c r="E65">
        <v>1246117256</v>
      </c>
      <c r="F65" s="30">
        <v>45474</v>
      </c>
      <c r="H65" t="s">
        <v>172</v>
      </c>
      <c r="I65" t="s">
        <v>173</v>
      </c>
      <c r="J65">
        <v>2130</v>
      </c>
      <c r="K65" s="30">
        <v>45260</v>
      </c>
      <c r="L65">
        <v>1010100</v>
      </c>
      <c r="M65" t="s">
        <v>35</v>
      </c>
      <c r="N65">
        <v>161</v>
      </c>
      <c r="O65" t="s">
        <v>160</v>
      </c>
      <c r="P65" t="s">
        <v>176</v>
      </c>
      <c r="Q65">
        <f t="shared" si="0"/>
        <v>667</v>
      </c>
      <c r="R65" t="str">
        <f>_xlfn.XLOOKUP(P65,'Painel Fertilizers'!$B:$B,'Painel Fertilizers'!$B:$B,0)</f>
        <v>CENTRAL DO ADUBO COM E REPRESENTACAO LTD</v>
      </c>
    </row>
    <row r="66" spans="1:18" x14ac:dyDescent="0.25">
      <c r="A66">
        <v>6132</v>
      </c>
      <c r="B66" t="s">
        <v>176</v>
      </c>
      <c r="C66" t="s">
        <v>177</v>
      </c>
      <c r="D66" s="34">
        <v>94461</v>
      </c>
      <c r="E66">
        <v>1246125716</v>
      </c>
      <c r="F66" s="30">
        <v>45578</v>
      </c>
      <c r="H66" t="s">
        <v>172</v>
      </c>
      <c r="I66" t="s">
        <v>173</v>
      </c>
      <c r="J66">
        <v>2541</v>
      </c>
      <c r="K66" s="30">
        <v>45310</v>
      </c>
      <c r="L66">
        <v>1010100</v>
      </c>
      <c r="M66" t="s">
        <v>35</v>
      </c>
      <c r="N66">
        <v>161</v>
      </c>
      <c r="O66" t="s">
        <v>160</v>
      </c>
      <c r="P66" t="s">
        <v>176</v>
      </c>
      <c r="Q66">
        <f t="shared" ref="Q66:Q126" si="1">$R$1-F66</f>
        <v>563</v>
      </c>
      <c r="R66" t="str">
        <f>_xlfn.XLOOKUP(P66,'Painel Fertilizers'!$B:$B,'Painel Fertilizers'!$B:$B,0)</f>
        <v>CENTRAL DO ADUBO COM E REPRESENTACAO LTD</v>
      </c>
    </row>
    <row r="67" spans="1:18" x14ac:dyDescent="0.25">
      <c r="A67">
        <v>6132</v>
      </c>
      <c r="B67" t="s">
        <v>176</v>
      </c>
      <c r="C67" t="s">
        <v>177</v>
      </c>
      <c r="D67" s="34">
        <v>67967</v>
      </c>
      <c r="E67">
        <v>1246128327</v>
      </c>
      <c r="F67" s="30">
        <v>45567</v>
      </c>
      <c r="H67" t="s">
        <v>172</v>
      </c>
      <c r="I67" t="s">
        <v>173</v>
      </c>
      <c r="J67">
        <v>2712</v>
      </c>
      <c r="K67" s="30">
        <v>45327</v>
      </c>
      <c r="L67">
        <v>1010100</v>
      </c>
      <c r="M67" t="s">
        <v>35</v>
      </c>
      <c r="N67">
        <v>161</v>
      </c>
      <c r="O67" t="s">
        <v>160</v>
      </c>
      <c r="P67" t="s">
        <v>176</v>
      </c>
      <c r="Q67">
        <f t="shared" si="1"/>
        <v>574</v>
      </c>
      <c r="R67" t="str">
        <f>_xlfn.XLOOKUP(P67,'Painel Fertilizers'!$B:$B,'Painel Fertilizers'!$B:$B,0)</f>
        <v>CENTRAL DO ADUBO COM E REPRESENTACAO LTD</v>
      </c>
    </row>
    <row r="68" spans="1:18" x14ac:dyDescent="0.25">
      <c r="A68">
        <v>6132</v>
      </c>
      <c r="B68" t="s">
        <v>176</v>
      </c>
      <c r="C68" t="s">
        <v>177</v>
      </c>
      <c r="D68" s="34">
        <v>77852.5</v>
      </c>
      <c r="E68">
        <v>1246128328</v>
      </c>
      <c r="F68" s="30">
        <v>45567</v>
      </c>
      <c r="H68" t="s">
        <v>172</v>
      </c>
      <c r="I68" t="s">
        <v>173</v>
      </c>
      <c r="J68">
        <v>2713</v>
      </c>
      <c r="K68" s="30">
        <v>45327</v>
      </c>
      <c r="L68">
        <v>1010100</v>
      </c>
      <c r="M68" t="s">
        <v>35</v>
      </c>
      <c r="N68">
        <v>161</v>
      </c>
      <c r="O68" t="s">
        <v>160</v>
      </c>
      <c r="P68" t="s">
        <v>176</v>
      </c>
      <c r="Q68">
        <f t="shared" si="1"/>
        <v>574</v>
      </c>
      <c r="R68" t="str">
        <f>_xlfn.XLOOKUP(P68,'Painel Fertilizers'!$B:$B,'Painel Fertilizers'!$B:$B,0)</f>
        <v>CENTRAL DO ADUBO COM E REPRESENTACAO LTD</v>
      </c>
    </row>
    <row r="69" spans="1:18" x14ac:dyDescent="0.25">
      <c r="A69">
        <v>6132</v>
      </c>
      <c r="B69" t="s">
        <v>176</v>
      </c>
      <c r="C69" t="s">
        <v>177</v>
      </c>
      <c r="D69" s="34">
        <v>41610.269999999997</v>
      </c>
      <c r="E69">
        <v>1246128682</v>
      </c>
      <c r="F69" s="30">
        <v>45604</v>
      </c>
      <c r="H69" t="s">
        <v>172</v>
      </c>
      <c r="I69" t="s">
        <v>173</v>
      </c>
      <c r="J69">
        <v>2737</v>
      </c>
      <c r="K69" s="30">
        <v>45329</v>
      </c>
      <c r="L69">
        <v>1010100</v>
      </c>
      <c r="M69" t="s">
        <v>35</v>
      </c>
      <c r="N69">
        <v>161</v>
      </c>
      <c r="O69" t="s">
        <v>160</v>
      </c>
      <c r="P69" t="s">
        <v>176</v>
      </c>
      <c r="Q69">
        <f t="shared" si="1"/>
        <v>537</v>
      </c>
      <c r="R69" t="str">
        <f>_xlfn.XLOOKUP(P69,'Painel Fertilizers'!$B:$B,'Painel Fertilizers'!$B:$B,0)</f>
        <v>CENTRAL DO ADUBO COM E REPRESENTACAO LTD</v>
      </c>
    </row>
    <row r="70" spans="1:18" x14ac:dyDescent="0.25">
      <c r="A70">
        <v>6132</v>
      </c>
      <c r="B70" t="s">
        <v>176</v>
      </c>
      <c r="C70" t="s">
        <v>177</v>
      </c>
      <c r="D70" s="34">
        <v>107254.39999999999</v>
      </c>
      <c r="E70">
        <v>1246126442</v>
      </c>
      <c r="F70" s="30">
        <v>45565</v>
      </c>
      <c r="H70" t="s">
        <v>172</v>
      </c>
      <c r="I70" t="s">
        <v>173</v>
      </c>
      <c r="J70">
        <v>2587</v>
      </c>
      <c r="K70" s="30">
        <v>45315</v>
      </c>
      <c r="L70">
        <v>1010100</v>
      </c>
      <c r="M70" t="s">
        <v>35</v>
      </c>
      <c r="N70">
        <v>161</v>
      </c>
      <c r="O70" t="s">
        <v>160</v>
      </c>
      <c r="P70" t="s">
        <v>176</v>
      </c>
      <c r="Q70">
        <f t="shared" si="1"/>
        <v>576</v>
      </c>
      <c r="R70" t="str">
        <f>_xlfn.XLOOKUP(P70,'Painel Fertilizers'!$B:$B,'Painel Fertilizers'!$B:$B,0)</f>
        <v>CENTRAL DO ADUBO COM E REPRESENTACAO LTD</v>
      </c>
    </row>
    <row r="71" spans="1:18" x14ac:dyDescent="0.25">
      <c r="A71">
        <v>6132</v>
      </c>
      <c r="B71" t="s">
        <v>176</v>
      </c>
      <c r="C71" t="s">
        <v>177</v>
      </c>
      <c r="D71" s="34">
        <v>56218.2</v>
      </c>
      <c r="E71">
        <v>1246128800</v>
      </c>
      <c r="F71" s="30">
        <v>45605</v>
      </c>
      <c r="H71" t="s">
        <v>172</v>
      </c>
      <c r="I71" t="s">
        <v>173</v>
      </c>
      <c r="J71">
        <v>2745</v>
      </c>
      <c r="K71" s="30">
        <v>45330</v>
      </c>
      <c r="L71">
        <v>1010100</v>
      </c>
      <c r="M71" t="s">
        <v>35</v>
      </c>
      <c r="N71">
        <v>161</v>
      </c>
      <c r="O71" t="s">
        <v>160</v>
      </c>
      <c r="P71" t="s">
        <v>176</v>
      </c>
      <c r="Q71">
        <f t="shared" si="1"/>
        <v>536</v>
      </c>
      <c r="R71" t="str">
        <f>_xlfn.XLOOKUP(P71,'Painel Fertilizers'!$B:$B,'Painel Fertilizers'!$B:$B,0)</f>
        <v>CENTRAL DO ADUBO COM E REPRESENTACAO LTD</v>
      </c>
    </row>
    <row r="72" spans="1:18" x14ac:dyDescent="0.25">
      <c r="A72">
        <v>6132</v>
      </c>
      <c r="B72" t="s">
        <v>176</v>
      </c>
      <c r="C72" t="s">
        <v>177</v>
      </c>
      <c r="D72" s="34">
        <v>24480.99</v>
      </c>
      <c r="E72">
        <v>1246127802</v>
      </c>
      <c r="F72" s="30">
        <v>45603</v>
      </c>
      <c r="H72" t="s">
        <v>172</v>
      </c>
      <c r="I72" t="s">
        <v>173</v>
      </c>
      <c r="J72">
        <v>2674</v>
      </c>
      <c r="K72" s="30">
        <v>45323</v>
      </c>
      <c r="L72">
        <v>1010100</v>
      </c>
      <c r="M72" t="s">
        <v>35</v>
      </c>
      <c r="N72">
        <v>161</v>
      </c>
      <c r="O72" t="s">
        <v>160</v>
      </c>
      <c r="P72" t="s">
        <v>176</v>
      </c>
      <c r="Q72">
        <f t="shared" si="1"/>
        <v>538</v>
      </c>
      <c r="R72" t="str">
        <f>_xlfn.XLOOKUP(P72,'Painel Fertilizers'!$B:$B,'Painel Fertilizers'!$B:$B,0)</f>
        <v>CENTRAL DO ADUBO COM E REPRESENTACAO LTD</v>
      </c>
    </row>
    <row r="73" spans="1:18" x14ac:dyDescent="0.25">
      <c r="A73">
        <v>6132</v>
      </c>
      <c r="B73" t="s">
        <v>176</v>
      </c>
      <c r="C73" t="s">
        <v>177</v>
      </c>
      <c r="D73" s="34">
        <v>87043.520000000004</v>
      </c>
      <c r="E73">
        <v>1246120531</v>
      </c>
      <c r="F73" s="30">
        <v>45559</v>
      </c>
      <c r="H73" t="s">
        <v>172</v>
      </c>
      <c r="I73" t="s">
        <v>173</v>
      </c>
      <c r="J73">
        <v>2295</v>
      </c>
      <c r="K73" s="30">
        <v>45279</v>
      </c>
      <c r="L73">
        <v>1010100</v>
      </c>
      <c r="M73" t="s">
        <v>35</v>
      </c>
      <c r="N73">
        <v>161</v>
      </c>
      <c r="O73" t="s">
        <v>160</v>
      </c>
      <c r="P73" t="s">
        <v>176</v>
      </c>
      <c r="Q73">
        <f t="shared" si="1"/>
        <v>582</v>
      </c>
      <c r="R73" t="str">
        <f>_xlfn.XLOOKUP(P73,'Painel Fertilizers'!$B:$B,'Painel Fertilizers'!$B:$B,0)</f>
        <v>CENTRAL DO ADUBO COM E REPRESENTACAO LTD</v>
      </c>
    </row>
    <row r="74" spans="1:18" x14ac:dyDescent="0.25">
      <c r="A74">
        <v>6132</v>
      </c>
      <c r="B74" t="s">
        <v>176</v>
      </c>
      <c r="C74" t="s">
        <v>177</v>
      </c>
      <c r="D74" s="34">
        <v>87504.97</v>
      </c>
      <c r="E74">
        <v>1246119910</v>
      </c>
      <c r="F74" s="30">
        <v>45555</v>
      </c>
      <c r="H74" t="s">
        <v>172</v>
      </c>
      <c r="I74" t="s">
        <v>173</v>
      </c>
      <c r="J74">
        <v>2248</v>
      </c>
      <c r="K74" s="30">
        <v>45275</v>
      </c>
      <c r="L74">
        <v>1010100</v>
      </c>
      <c r="M74" t="s">
        <v>35</v>
      </c>
      <c r="N74">
        <v>161</v>
      </c>
      <c r="O74" t="s">
        <v>160</v>
      </c>
      <c r="P74" t="s">
        <v>176</v>
      </c>
      <c r="Q74">
        <f t="shared" si="1"/>
        <v>586</v>
      </c>
      <c r="R74" t="str">
        <f>_xlfn.XLOOKUP(P74,'Painel Fertilizers'!$B:$B,'Painel Fertilizers'!$B:$B,0)</f>
        <v>CENTRAL DO ADUBO COM E REPRESENTACAO LTD</v>
      </c>
    </row>
    <row r="75" spans="1:18" x14ac:dyDescent="0.25">
      <c r="A75">
        <v>6132</v>
      </c>
      <c r="B75" t="s">
        <v>176</v>
      </c>
      <c r="C75" t="s">
        <v>177</v>
      </c>
      <c r="D75" s="34">
        <v>22997.32</v>
      </c>
      <c r="E75">
        <v>1246119982</v>
      </c>
      <c r="F75" s="30">
        <v>45515</v>
      </c>
      <c r="H75" t="s">
        <v>172</v>
      </c>
      <c r="I75" t="s">
        <v>173</v>
      </c>
      <c r="J75">
        <v>2263</v>
      </c>
      <c r="K75" s="30">
        <v>45275</v>
      </c>
      <c r="L75">
        <v>1010100</v>
      </c>
      <c r="M75" t="s">
        <v>35</v>
      </c>
      <c r="N75">
        <v>161</v>
      </c>
      <c r="O75" t="s">
        <v>160</v>
      </c>
      <c r="P75" t="s">
        <v>176</v>
      </c>
      <c r="Q75">
        <f t="shared" si="1"/>
        <v>626</v>
      </c>
      <c r="R75" t="str">
        <f>_xlfn.XLOOKUP(P75,'Painel Fertilizers'!$B:$B,'Painel Fertilizers'!$B:$B,0)</f>
        <v>CENTRAL DO ADUBO COM E REPRESENTACAO LTD</v>
      </c>
    </row>
    <row r="76" spans="1:18" x14ac:dyDescent="0.25">
      <c r="A76">
        <v>6132</v>
      </c>
      <c r="B76" t="s">
        <v>176</v>
      </c>
      <c r="C76" t="s">
        <v>177</v>
      </c>
      <c r="D76" s="34">
        <v>10860</v>
      </c>
      <c r="E76">
        <v>1246122169</v>
      </c>
      <c r="F76" s="30">
        <v>45469</v>
      </c>
      <c r="H76" t="s">
        <v>172</v>
      </c>
      <c r="I76" t="s">
        <v>173</v>
      </c>
      <c r="J76">
        <v>2373</v>
      </c>
      <c r="K76" s="30">
        <v>45289</v>
      </c>
      <c r="L76">
        <v>1010100</v>
      </c>
      <c r="M76" t="s">
        <v>35</v>
      </c>
      <c r="N76">
        <v>161</v>
      </c>
      <c r="O76" t="s">
        <v>160</v>
      </c>
      <c r="P76" t="s">
        <v>176</v>
      </c>
      <c r="Q76">
        <f t="shared" si="1"/>
        <v>672</v>
      </c>
      <c r="R76" t="str">
        <f>_xlfn.XLOOKUP(P76,'Painel Fertilizers'!$B:$B,'Painel Fertilizers'!$B:$B,0)</f>
        <v>CENTRAL DO ADUBO COM E REPRESENTACAO LTD</v>
      </c>
    </row>
    <row r="77" spans="1:18" x14ac:dyDescent="0.25">
      <c r="A77">
        <v>6132</v>
      </c>
      <c r="B77" t="s">
        <v>176</v>
      </c>
      <c r="C77" t="s">
        <v>177</v>
      </c>
      <c r="D77" s="34">
        <v>57205.5</v>
      </c>
      <c r="E77">
        <v>1246122168</v>
      </c>
      <c r="F77" s="30">
        <v>45557</v>
      </c>
      <c r="H77" t="s">
        <v>172</v>
      </c>
      <c r="I77" t="s">
        <v>173</v>
      </c>
      <c r="J77">
        <v>2372</v>
      </c>
      <c r="K77" s="30">
        <v>45289</v>
      </c>
      <c r="L77">
        <v>1010100</v>
      </c>
      <c r="M77" t="s">
        <v>35</v>
      </c>
      <c r="N77">
        <v>161</v>
      </c>
      <c r="O77" t="s">
        <v>160</v>
      </c>
      <c r="P77" t="s">
        <v>176</v>
      </c>
      <c r="Q77">
        <f t="shared" si="1"/>
        <v>584</v>
      </c>
      <c r="R77" t="str">
        <f>_xlfn.XLOOKUP(P77,'Painel Fertilizers'!$B:$B,'Painel Fertilizers'!$B:$B,0)</f>
        <v>CENTRAL DO ADUBO COM E REPRESENTACAO LTD</v>
      </c>
    </row>
    <row r="78" spans="1:18" x14ac:dyDescent="0.25">
      <c r="A78">
        <v>6132</v>
      </c>
      <c r="B78" t="s">
        <v>176</v>
      </c>
      <c r="C78" t="s">
        <v>177</v>
      </c>
      <c r="D78" s="34">
        <v>109750.39999999999</v>
      </c>
      <c r="E78">
        <v>1246117165</v>
      </c>
      <c r="F78" s="30">
        <v>45473</v>
      </c>
      <c r="H78" t="s">
        <v>172</v>
      </c>
      <c r="I78" t="s">
        <v>173</v>
      </c>
      <c r="J78">
        <v>2128</v>
      </c>
      <c r="K78" s="30">
        <v>45259</v>
      </c>
      <c r="L78">
        <v>1010100</v>
      </c>
      <c r="M78" t="s">
        <v>35</v>
      </c>
      <c r="N78">
        <v>161</v>
      </c>
      <c r="O78" t="s">
        <v>160</v>
      </c>
      <c r="P78" t="s">
        <v>176</v>
      </c>
      <c r="Q78">
        <f t="shared" si="1"/>
        <v>668</v>
      </c>
      <c r="R78" t="str">
        <f>_xlfn.XLOOKUP(P78,'Painel Fertilizers'!$B:$B,'Painel Fertilizers'!$B:$B,0)</f>
        <v>CENTRAL DO ADUBO COM E REPRESENTACAO LTD</v>
      </c>
    </row>
    <row r="79" spans="1:18" x14ac:dyDescent="0.25">
      <c r="A79">
        <v>6132</v>
      </c>
      <c r="B79" t="s">
        <v>176</v>
      </c>
      <c r="C79" t="s">
        <v>177</v>
      </c>
      <c r="D79" s="34">
        <v>111644.8</v>
      </c>
      <c r="E79">
        <v>1246117516</v>
      </c>
      <c r="F79" s="30">
        <v>45536</v>
      </c>
      <c r="H79" t="s">
        <v>172</v>
      </c>
      <c r="I79" t="s">
        <v>173</v>
      </c>
      <c r="J79">
        <v>2140</v>
      </c>
      <c r="K79" s="30">
        <v>45261</v>
      </c>
      <c r="L79">
        <v>1010100</v>
      </c>
      <c r="M79" t="s">
        <v>35</v>
      </c>
      <c r="N79">
        <v>161</v>
      </c>
      <c r="O79" t="s">
        <v>160</v>
      </c>
      <c r="P79" t="s">
        <v>176</v>
      </c>
      <c r="Q79">
        <f t="shared" si="1"/>
        <v>605</v>
      </c>
      <c r="R79" t="str">
        <f>_xlfn.XLOOKUP(P79,'Painel Fertilizers'!$B:$B,'Painel Fertilizers'!$B:$B,0)</f>
        <v>CENTRAL DO ADUBO COM E REPRESENTACAO LTD</v>
      </c>
    </row>
    <row r="80" spans="1:18" x14ac:dyDescent="0.25">
      <c r="A80">
        <v>6132</v>
      </c>
      <c r="B80" t="s">
        <v>176</v>
      </c>
      <c r="C80" t="s">
        <v>177</v>
      </c>
      <c r="D80" s="34">
        <v>136005.5</v>
      </c>
      <c r="E80">
        <v>1246120768</v>
      </c>
      <c r="F80" s="30">
        <v>45560</v>
      </c>
      <c r="H80" t="s">
        <v>172</v>
      </c>
      <c r="I80" t="s">
        <v>173</v>
      </c>
      <c r="J80">
        <v>2299</v>
      </c>
      <c r="K80" s="30">
        <v>45280</v>
      </c>
      <c r="L80">
        <v>1010100</v>
      </c>
      <c r="M80" t="s">
        <v>35</v>
      </c>
      <c r="N80">
        <v>161</v>
      </c>
      <c r="O80" t="s">
        <v>160</v>
      </c>
      <c r="P80" t="s">
        <v>176</v>
      </c>
      <c r="Q80">
        <f t="shared" si="1"/>
        <v>581</v>
      </c>
      <c r="R80" t="str">
        <f>_xlfn.XLOOKUP(P80,'Painel Fertilizers'!$B:$B,'Painel Fertilizers'!$B:$B,0)</f>
        <v>CENTRAL DO ADUBO COM E REPRESENTACAO LTD</v>
      </c>
    </row>
    <row r="81" spans="1:18" x14ac:dyDescent="0.25">
      <c r="A81">
        <v>6132</v>
      </c>
      <c r="B81" t="s">
        <v>176</v>
      </c>
      <c r="C81" t="s">
        <v>177</v>
      </c>
      <c r="D81" s="34">
        <v>136005.5</v>
      </c>
      <c r="E81">
        <v>1246124946</v>
      </c>
      <c r="F81" s="30">
        <v>45566</v>
      </c>
      <c r="H81" t="s">
        <v>172</v>
      </c>
      <c r="I81" t="s">
        <v>173</v>
      </c>
      <c r="J81">
        <v>2498</v>
      </c>
      <c r="K81" s="30">
        <v>45306</v>
      </c>
      <c r="L81">
        <v>1010100</v>
      </c>
      <c r="M81" t="s">
        <v>35</v>
      </c>
      <c r="N81">
        <v>161</v>
      </c>
      <c r="O81" t="s">
        <v>160</v>
      </c>
      <c r="P81" t="s">
        <v>176</v>
      </c>
      <c r="Q81">
        <f t="shared" si="1"/>
        <v>575</v>
      </c>
      <c r="R81" t="str">
        <f>_xlfn.XLOOKUP(P81,'Painel Fertilizers'!$B:$B,'Painel Fertilizers'!$B:$B,0)</f>
        <v>CENTRAL DO ADUBO COM E REPRESENTACAO LTD</v>
      </c>
    </row>
    <row r="82" spans="1:18" x14ac:dyDescent="0.25">
      <c r="A82">
        <v>6132</v>
      </c>
      <c r="B82" t="s">
        <v>176</v>
      </c>
      <c r="C82" t="s">
        <v>177</v>
      </c>
      <c r="D82" s="34">
        <v>87043.520000000004</v>
      </c>
      <c r="E82">
        <v>1246120099</v>
      </c>
      <c r="F82" s="30">
        <v>45558</v>
      </c>
      <c r="H82" t="s">
        <v>172</v>
      </c>
      <c r="I82" t="s">
        <v>173</v>
      </c>
      <c r="J82">
        <v>2279</v>
      </c>
      <c r="K82" s="30">
        <v>45278</v>
      </c>
      <c r="L82">
        <v>1010100</v>
      </c>
      <c r="M82" t="s">
        <v>35</v>
      </c>
      <c r="N82">
        <v>161</v>
      </c>
      <c r="O82" t="s">
        <v>160</v>
      </c>
      <c r="P82" t="s">
        <v>176</v>
      </c>
      <c r="Q82">
        <f t="shared" si="1"/>
        <v>583</v>
      </c>
      <c r="R82" t="str">
        <f>_xlfn.XLOOKUP(P82,'Painel Fertilizers'!$B:$B,'Painel Fertilizers'!$B:$B,0)</f>
        <v>CENTRAL DO ADUBO COM E REPRESENTACAO LTD</v>
      </c>
    </row>
    <row r="83" spans="1:18" x14ac:dyDescent="0.25">
      <c r="A83">
        <v>6132</v>
      </c>
      <c r="B83" t="s">
        <v>176</v>
      </c>
      <c r="C83" t="s">
        <v>177</v>
      </c>
      <c r="D83" s="34">
        <v>111465.88</v>
      </c>
      <c r="E83">
        <v>1246127801</v>
      </c>
      <c r="F83" s="30">
        <v>45603</v>
      </c>
      <c r="H83" t="s">
        <v>172</v>
      </c>
      <c r="I83" t="s">
        <v>173</v>
      </c>
      <c r="J83">
        <v>2673</v>
      </c>
      <c r="K83" s="30">
        <v>45323</v>
      </c>
      <c r="L83">
        <v>1010100</v>
      </c>
      <c r="M83" t="s">
        <v>35</v>
      </c>
      <c r="N83">
        <v>161</v>
      </c>
      <c r="O83" t="s">
        <v>160</v>
      </c>
      <c r="P83" t="s">
        <v>176</v>
      </c>
      <c r="Q83">
        <f t="shared" si="1"/>
        <v>538</v>
      </c>
      <c r="R83" t="str">
        <f>_xlfn.XLOOKUP(P83,'Painel Fertilizers'!$B:$B,'Painel Fertilizers'!$B:$B,0)</f>
        <v>CENTRAL DO ADUBO COM E REPRESENTACAO LTD</v>
      </c>
    </row>
    <row r="84" spans="1:18" x14ac:dyDescent="0.25">
      <c r="A84">
        <v>6132</v>
      </c>
      <c r="B84" t="s">
        <v>176</v>
      </c>
      <c r="C84" t="s">
        <v>177</v>
      </c>
      <c r="D84" s="34">
        <v>47937.4</v>
      </c>
      <c r="E84">
        <v>1246118354</v>
      </c>
      <c r="F84" s="30">
        <v>45541</v>
      </c>
      <c r="H84" t="s">
        <v>172</v>
      </c>
      <c r="I84" t="s">
        <v>173</v>
      </c>
      <c r="J84">
        <v>2184</v>
      </c>
      <c r="K84" s="30">
        <v>45266</v>
      </c>
      <c r="L84">
        <v>1010100</v>
      </c>
      <c r="M84" t="s">
        <v>35</v>
      </c>
      <c r="N84">
        <v>161</v>
      </c>
      <c r="O84" t="s">
        <v>160</v>
      </c>
      <c r="P84" t="s">
        <v>176</v>
      </c>
      <c r="Q84">
        <f t="shared" si="1"/>
        <v>600</v>
      </c>
      <c r="R84" t="str">
        <f>_xlfn.XLOOKUP(P84,'Painel Fertilizers'!$B:$B,'Painel Fertilizers'!$B:$B,0)</f>
        <v>CENTRAL DO ADUBO COM E REPRESENTACAO LTD</v>
      </c>
    </row>
    <row r="85" spans="1:18" x14ac:dyDescent="0.25">
      <c r="A85">
        <v>6132</v>
      </c>
      <c r="B85" t="s">
        <v>176</v>
      </c>
      <c r="C85" t="s">
        <v>177</v>
      </c>
      <c r="D85" s="34">
        <v>155705</v>
      </c>
      <c r="E85">
        <v>1246129974</v>
      </c>
      <c r="F85" s="30">
        <v>45568</v>
      </c>
      <c r="H85" t="s">
        <v>172</v>
      </c>
      <c r="I85" t="s">
        <v>173</v>
      </c>
      <c r="J85">
        <v>2839</v>
      </c>
      <c r="K85" s="30">
        <v>45341</v>
      </c>
      <c r="L85">
        <v>1010100</v>
      </c>
      <c r="M85" t="s">
        <v>35</v>
      </c>
      <c r="N85">
        <v>161</v>
      </c>
      <c r="O85" t="s">
        <v>160</v>
      </c>
      <c r="P85" t="s">
        <v>176</v>
      </c>
      <c r="Q85">
        <f t="shared" si="1"/>
        <v>573</v>
      </c>
      <c r="R85" t="str">
        <f>_xlfn.XLOOKUP(P85,'Painel Fertilizers'!$B:$B,'Painel Fertilizers'!$B:$B,0)</f>
        <v>CENTRAL DO ADUBO COM E REPRESENTACAO LTD</v>
      </c>
    </row>
    <row r="86" spans="1:18" x14ac:dyDescent="0.25">
      <c r="A86">
        <v>6132</v>
      </c>
      <c r="B86" t="s">
        <v>176</v>
      </c>
      <c r="C86" t="s">
        <v>177</v>
      </c>
      <c r="D86" s="34">
        <v>42163.65</v>
      </c>
      <c r="E86">
        <v>1246124200</v>
      </c>
      <c r="F86" s="30">
        <v>45569</v>
      </c>
      <c r="H86" t="s">
        <v>172</v>
      </c>
      <c r="I86" t="s">
        <v>173</v>
      </c>
      <c r="J86">
        <v>2455</v>
      </c>
      <c r="K86" s="30">
        <v>45301</v>
      </c>
      <c r="L86">
        <v>1010100</v>
      </c>
      <c r="M86" t="s">
        <v>35</v>
      </c>
      <c r="N86">
        <v>161</v>
      </c>
      <c r="O86" t="s">
        <v>160</v>
      </c>
      <c r="P86" t="s">
        <v>176</v>
      </c>
      <c r="Q86">
        <f t="shared" si="1"/>
        <v>572</v>
      </c>
      <c r="R86" t="str">
        <f>_xlfn.XLOOKUP(P86,'Painel Fertilizers'!$B:$B,'Painel Fertilizers'!$B:$B,0)</f>
        <v>CENTRAL DO ADUBO COM E REPRESENTACAO LTD</v>
      </c>
    </row>
    <row r="87" spans="1:18" x14ac:dyDescent="0.25">
      <c r="A87">
        <v>6132</v>
      </c>
      <c r="B87" t="s">
        <v>176</v>
      </c>
      <c r="C87" t="s">
        <v>177</v>
      </c>
      <c r="D87" s="34">
        <v>111065.60000000001</v>
      </c>
      <c r="E87">
        <v>1246114703</v>
      </c>
      <c r="F87" s="30">
        <v>45463</v>
      </c>
      <c r="H87" t="s">
        <v>172</v>
      </c>
      <c r="I87" t="s">
        <v>173</v>
      </c>
      <c r="J87">
        <v>1937</v>
      </c>
      <c r="K87" s="30">
        <v>45241</v>
      </c>
      <c r="L87">
        <v>1010100</v>
      </c>
      <c r="M87" t="s">
        <v>35</v>
      </c>
      <c r="N87">
        <v>161</v>
      </c>
      <c r="O87" t="s">
        <v>160</v>
      </c>
      <c r="P87" t="s">
        <v>176</v>
      </c>
      <c r="Q87">
        <f t="shared" si="1"/>
        <v>678</v>
      </c>
      <c r="R87" t="str">
        <f>_xlfn.XLOOKUP(P87,'Painel Fertilizers'!$B:$B,'Painel Fertilizers'!$B:$B,0)</f>
        <v>CENTRAL DO ADUBO COM E REPRESENTACAO LTD</v>
      </c>
    </row>
    <row r="88" spans="1:18" x14ac:dyDescent="0.25">
      <c r="A88">
        <v>6132</v>
      </c>
      <c r="B88" t="s">
        <v>176</v>
      </c>
      <c r="C88" t="s">
        <v>177</v>
      </c>
      <c r="D88" s="34">
        <v>27201.1</v>
      </c>
      <c r="E88">
        <v>1246125717</v>
      </c>
      <c r="F88" s="30">
        <v>45566</v>
      </c>
      <c r="H88" t="s">
        <v>172</v>
      </c>
      <c r="I88" t="s">
        <v>173</v>
      </c>
      <c r="J88">
        <v>2542</v>
      </c>
      <c r="K88" s="30">
        <v>45310</v>
      </c>
      <c r="L88">
        <v>1010100</v>
      </c>
      <c r="M88" t="s">
        <v>35</v>
      </c>
      <c r="N88">
        <v>161</v>
      </c>
      <c r="O88" t="s">
        <v>160</v>
      </c>
      <c r="P88" t="s">
        <v>176</v>
      </c>
      <c r="Q88">
        <f t="shared" si="1"/>
        <v>575</v>
      </c>
      <c r="R88" t="str">
        <f>_xlfn.XLOOKUP(P88,'Painel Fertilizers'!$B:$B,'Painel Fertilizers'!$B:$B,0)</f>
        <v>CENTRAL DO ADUBO COM E REPRESENTACAO LTD</v>
      </c>
    </row>
    <row r="89" spans="1:18" x14ac:dyDescent="0.25">
      <c r="A89">
        <v>6132</v>
      </c>
      <c r="B89" t="s">
        <v>176</v>
      </c>
      <c r="C89" t="s">
        <v>177</v>
      </c>
      <c r="D89" s="34">
        <v>136005.5</v>
      </c>
      <c r="E89">
        <v>1246124718</v>
      </c>
      <c r="F89" s="30">
        <v>45563</v>
      </c>
      <c r="H89" t="s">
        <v>172</v>
      </c>
      <c r="I89" t="s">
        <v>173</v>
      </c>
      <c r="J89">
        <v>2489</v>
      </c>
      <c r="K89" s="30">
        <v>45303</v>
      </c>
      <c r="L89">
        <v>1010100</v>
      </c>
      <c r="M89" t="s">
        <v>35</v>
      </c>
      <c r="N89">
        <v>161</v>
      </c>
      <c r="O89" t="s">
        <v>160</v>
      </c>
      <c r="P89" t="s">
        <v>176</v>
      </c>
      <c r="Q89">
        <f t="shared" si="1"/>
        <v>578</v>
      </c>
      <c r="R89" t="str">
        <f>_xlfn.XLOOKUP(P89,'Painel Fertilizers'!$B:$B,'Painel Fertilizers'!$B:$B,0)</f>
        <v>CENTRAL DO ADUBO COM E REPRESENTACAO LTD</v>
      </c>
    </row>
    <row r="90" spans="1:18" x14ac:dyDescent="0.25">
      <c r="A90">
        <v>6132</v>
      </c>
      <c r="B90" t="s">
        <v>176</v>
      </c>
      <c r="C90" t="s">
        <v>177</v>
      </c>
      <c r="D90" s="34">
        <v>45093</v>
      </c>
      <c r="E90">
        <v>1246128683</v>
      </c>
      <c r="F90" s="30">
        <v>45604</v>
      </c>
      <c r="H90" t="s">
        <v>172</v>
      </c>
      <c r="I90" t="s">
        <v>173</v>
      </c>
      <c r="J90">
        <v>2738</v>
      </c>
      <c r="K90" s="30">
        <v>45329</v>
      </c>
      <c r="L90">
        <v>1010100</v>
      </c>
      <c r="M90" t="s">
        <v>35</v>
      </c>
      <c r="N90">
        <v>161</v>
      </c>
      <c r="O90" t="s">
        <v>160</v>
      </c>
      <c r="P90" t="s">
        <v>176</v>
      </c>
      <c r="Q90">
        <f t="shared" si="1"/>
        <v>537</v>
      </c>
      <c r="R90" t="str">
        <f>_xlfn.XLOOKUP(P90,'Painel Fertilizers'!$B:$B,'Painel Fertilizers'!$B:$B,0)</f>
        <v>CENTRAL DO ADUBO COM E REPRESENTACAO LTD</v>
      </c>
    </row>
    <row r="91" spans="1:18" x14ac:dyDescent="0.25">
      <c r="A91">
        <v>6132</v>
      </c>
      <c r="B91" t="s">
        <v>176</v>
      </c>
      <c r="C91" t="s">
        <v>177</v>
      </c>
      <c r="D91" s="34">
        <v>82986.649999999994</v>
      </c>
      <c r="E91">
        <v>1246113430</v>
      </c>
      <c r="F91" s="30">
        <v>45476</v>
      </c>
      <c r="H91" t="s">
        <v>172</v>
      </c>
      <c r="I91" t="s">
        <v>173</v>
      </c>
      <c r="J91">
        <v>1851</v>
      </c>
      <c r="K91" s="30">
        <v>45236</v>
      </c>
      <c r="L91">
        <v>1010100</v>
      </c>
      <c r="M91" t="s">
        <v>35</v>
      </c>
      <c r="N91">
        <v>161</v>
      </c>
      <c r="O91" t="s">
        <v>160</v>
      </c>
      <c r="P91" t="s">
        <v>176</v>
      </c>
      <c r="Q91">
        <f t="shared" si="1"/>
        <v>665</v>
      </c>
      <c r="R91" t="str">
        <f>_xlfn.XLOOKUP(P91,'Painel Fertilizers'!$B:$B,'Painel Fertilizers'!$B:$B,0)</f>
        <v>CENTRAL DO ADUBO COM E REPRESENTACAO LTD</v>
      </c>
    </row>
    <row r="92" spans="1:18" x14ac:dyDescent="0.25">
      <c r="A92">
        <v>6132</v>
      </c>
      <c r="B92" t="s">
        <v>176</v>
      </c>
      <c r="C92" t="s">
        <v>177</v>
      </c>
      <c r="D92" s="34">
        <v>174445</v>
      </c>
      <c r="E92">
        <v>1246116577</v>
      </c>
      <c r="F92" s="30">
        <v>45468</v>
      </c>
      <c r="H92" t="s">
        <v>172</v>
      </c>
      <c r="I92" t="s">
        <v>173</v>
      </c>
      <c r="J92">
        <v>2091</v>
      </c>
      <c r="K92" s="30">
        <v>45254</v>
      </c>
      <c r="L92">
        <v>1010100</v>
      </c>
      <c r="M92" t="s">
        <v>35</v>
      </c>
      <c r="N92">
        <v>161</v>
      </c>
      <c r="O92" t="s">
        <v>160</v>
      </c>
      <c r="P92" t="s">
        <v>176</v>
      </c>
      <c r="Q92">
        <f t="shared" si="1"/>
        <v>673</v>
      </c>
      <c r="R92" t="str">
        <f>_xlfn.XLOOKUP(P92,'Painel Fertilizers'!$B:$B,'Painel Fertilizers'!$B:$B,0)</f>
        <v>CENTRAL DO ADUBO COM E REPRESENTACAO LTD</v>
      </c>
    </row>
    <row r="93" spans="1:18" x14ac:dyDescent="0.25">
      <c r="A93">
        <v>6132</v>
      </c>
      <c r="B93" t="s">
        <v>176</v>
      </c>
      <c r="C93" t="s">
        <v>177</v>
      </c>
      <c r="D93" s="34">
        <v>158956.25</v>
      </c>
      <c r="E93">
        <v>1246104181</v>
      </c>
      <c r="F93" s="30">
        <v>45444</v>
      </c>
      <c r="H93" t="s">
        <v>172</v>
      </c>
      <c r="I93" t="s">
        <v>173</v>
      </c>
      <c r="J93">
        <v>1180</v>
      </c>
      <c r="K93" s="30">
        <v>45184</v>
      </c>
      <c r="L93">
        <v>1010100</v>
      </c>
      <c r="M93" t="s">
        <v>35</v>
      </c>
      <c r="N93">
        <v>161</v>
      </c>
      <c r="O93" t="s">
        <v>160</v>
      </c>
      <c r="P93" t="s">
        <v>176</v>
      </c>
      <c r="Q93">
        <f t="shared" si="1"/>
        <v>697</v>
      </c>
      <c r="R93" t="str">
        <f>_xlfn.XLOOKUP(P93,'Painel Fertilizers'!$B:$B,'Painel Fertilizers'!$B:$B,0)</f>
        <v>CENTRAL DO ADUBO COM E REPRESENTACAO LTD</v>
      </c>
    </row>
    <row r="94" spans="1:18" x14ac:dyDescent="0.25">
      <c r="A94">
        <v>6132</v>
      </c>
      <c r="B94" t="s">
        <v>176</v>
      </c>
      <c r="C94" t="s">
        <v>177</v>
      </c>
      <c r="D94" s="34">
        <v>171662.49999999997</v>
      </c>
      <c r="E94">
        <v>1246112815</v>
      </c>
      <c r="F94" s="30">
        <v>45471</v>
      </c>
      <c r="H94" t="s">
        <v>172</v>
      </c>
      <c r="I94" t="s">
        <v>173</v>
      </c>
      <c r="J94">
        <v>1799</v>
      </c>
      <c r="K94" s="30">
        <v>45231</v>
      </c>
      <c r="L94">
        <v>1010100</v>
      </c>
      <c r="M94" t="s">
        <v>35</v>
      </c>
      <c r="N94">
        <v>161</v>
      </c>
      <c r="O94" t="s">
        <v>160</v>
      </c>
      <c r="P94" t="s">
        <v>176</v>
      </c>
      <c r="Q94">
        <f t="shared" si="1"/>
        <v>670</v>
      </c>
      <c r="R94" t="str">
        <f>_xlfn.XLOOKUP(P94,'Painel Fertilizers'!$B:$B,'Painel Fertilizers'!$B:$B,0)</f>
        <v>CENTRAL DO ADUBO COM E REPRESENTACAO LTD</v>
      </c>
    </row>
    <row r="95" spans="1:18" x14ac:dyDescent="0.25">
      <c r="A95">
        <v>6132</v>
      </c>
      <c r="B95" t="s">
        <v>176</v>
      </c>
      <c r="C95" t="s">
        <v>177</v>
      </c>
      <c r="D95" s="34">
        <v>174610</v>
      </c>
      <c r="E95">
        <v>1246113736</v>
      </c>
      <c r="F95" s="30">
        <v>45478</v>
      </c>
      <c r="H95" t="s">
        <v>172</v>
      </c>
      <c r="I95" t="s">
        <v>173</v>
      </c>
      <c r="J95">
        <v>1878</v>
      </c>
      <c r="K95" s="30">
        <v>45238</v>
      </c>
      <c r="L95">
        <v>1010100</v>
      </c>
      <c r="M95" t="s">
        <v>35</v>
      </c>
      <c r="N95">
        <v>161</v>
      </c>
      <c r="O95" t="s">
        <v>160</v>
      </c>
      <c r="P95" t="s">
        <v>176</v>
      </c>
      <c r="Q95">
        <f t="shared" si="1"/>
        <v>663</v>
      </c>
      <c r="R95" t="str">
        <f>_xlfn.XLOOKUP(P95,'Painel Fertilizers'!$B:$B,'Painel Fertilizers'!$B:$B,0)</f>
        <v>CENTRAL DO ADUBO COM E REPRESENTACAO LTD</v>
      </c>
    </row>
    <row r="96" spans="1:18" x14ac:dyDescent="0.25">
      <c r="A96">
        <v>6132</v>
      </c>
      <c r="B96" t="s">
        <v>176</v>
      </c>
      <c r="C96" t="s">
        <v>177</v>
      </c>
      <c r="D96" s="34">
        <v>87840</v>
      </c>
      <c r="E96">
        <v>1246111212</v>
      </c>
      <c r="F96" s="30">
        <v>45464</v>
      </c>
      <c r="H96" t="s">
        <v>172</v>
      </c>
      <c r="I96" t="s">
        <v>173</v>
      </c>
      <c r="J96">
        <v>1720</v>
      </c>
      <c r="K96" s="30">
        <v>45224</v>
      </c>
      <c r="L96">
        <v>1010100</v>
      </c>
      <c r="M96" t="s">
        <v>35</v>
      </c>
      <c r="N96">
        <v>161</v>
      </c>
      <c r="O96" t="s">
        <v>160</v>
      </c>
      <c r="P96" t="s">
        <v>176</v>
      </c>
      <c r="Q96">
        <f t="shared" si="1"/>
        <v>677</v>
      </c>
      <c r="R96" t="str">
        <f>_xlfn.XLOOKUP(P96,'Painel Fertilizers'!$B:$B,'Painel Fertilizers'!$B:$B,0)</f>
        <v>CENTRAL DO ADUBO COM E REPRESENTACAO LTD</v>
      </c>
    </row>
    <row r="97" spans="1:18" x14ac:dyDescent="0.25">
      <c r="A97">
        <v>6132</v>
      </c>
      <c r="B97" t="s">
        <v>176</v>
      </c>
      <c r="C97" t="s">
        <v>177</v>
      </c>
      <c r="D97" s="34">
        <v>23787.68</v>
      </c>
      <c r="E97">
        <v>1246115170</v>
      </c>
      <c r="F97" s="30">
        <v>45466</v>
      </c>
      <c r="H97" t="s">
        <v>172</v>
      </c>
      <c r="I97" t="s">
        <v>173</v>
      </c>
      <c r="J97">
        <v>1975</v>
      </c>
      <c r="K97" s="30">
        <v>45244</v>
      </c>
      <c r="L97">
        <v>1010100</v>
      </c>
      <c r="M97" t="s">
        <v>35</v>
      </c>
      <c r="N97">
        <v>161</v>
      </c>
      <c r="O97" t="s">
        <v>160</v>
      </c>
      <c r="P97" t="s">
        <v>176</v>
      </c>
      <c r="Q97">
        <f t="shared" si="1"/>
        <v>675</v>
      </c>
      <c r="R97" t="str">
        <f>_xlfn.XLOOKUP(P97,'Painel Fertilizers'!$B:$B,'Painel Fertilizers'!$B:$B,0)</f>
        <v>CENTRAL DO ADUBO COM E REPRESENTACAO LTD</v>
      </c>
    </row>
    <row r="98" spans="1:18" x14ac:dyDescent="0.25">
      <c r="A98">
        <v>6132</v>
      </c>
      <c r="B98" t="s">
        <v>176</v>
      </c>
      <c r="C98" t="s">
        <v>177</v>
      </c>
      <c r="D98" s="34">
        <v>30381.599999999999</v>
      </c>
      <c r="E98">
        <v>1246115171</v>
      </c>
      <c r="F98" s="30">
        <v>45466</v>
      </c>
      <c r="H98" t="s">
        <v>172</v>
      </c>
      <c r="I98" t="s">
        <v>173</v>
      </c>
      <c r="J98">
        <v>1976</v>
      </c>
      <c r="K98" s="30">
        <v>45244</v>
      </c>
      <c r="L98">
        <v>1010100</v>
      </c>
      <c r="M98" t="s">
        <v>35</v>
      </c>
      <c r="N98">
        <v>161</v>
      </c>
      <c r="O98" t="s">
        <v>160</v>
      </c>
      <c r="P98" t="s">
        <v>176</v>
      </c>
      <c r="Q98">
        <f t="shared" si="1"/>
        <v>675</v>
      </c>
      <c r="R98" t="str">
        <f>_xlfn.XLOOKUP(P98,'Painel Fertilizers'!$B:$B,'Painel Fertilizers'!$B:$B,0)</f>
        <v>CENTRAL DO ADUBO COM E REPRESENTACAO LTD</v>
      </c>
    </row>
    <row r="99" spans="1:18" x14ac:dyDescent="0.25">
      <c r="A99">
        <v>6132</v>
      </c>
      <c r="B99" t="s">
        <v>176</v>
      </c>
      <c r="C99" t="s">
        <v>177</v>
      </c>
      <c r="D99" s="34">
        <v>107022</v>
      </c>
      <c r="E99">
        <v>1246110109</v>
      </c>
      <c r="F99" s="30">
        <v>45439</v>
      </c>
      <c r="H99" t="s">
        <v>172</v>
      </c>
      <c r="I99" t="s">
        <v>173</v>
      </c>
      <c r="J99">
        <v>347</v>
      </c>
      <c r="K99" s="30">
        <v>45217</v>
      </c>
      <c r="L99">
        <v>1010100</v>
      </c>
      <c r="M99" t="s">
        <v>35</v>
      </c>
      <c r="N99">
        <v>161</v>
      </c>
      <c r="O99" t="s">
        <v>160</v>
      </c>
      <c r="P99" t="s">
        <v>176</v>
      </c>
      <c r="Q99">
        <f t="shared" si="1"/>
        <v>702</v>
      </c>
      <c r="R99" t="str">
        <f>_xlfn.XLOOKUP(P99,'Painel Fertilizers'!$B:$B,'Painel Fertilizers'!$B:$B,0)</f>
        <v>CENTRAL DO ADUBO COM E REPRESENTACAO LTD</v>
      </c>
    </row>
    <row r="100" spans="1:18" x14ac:dyDescent="0.25">
      <c r="A100">
        <v>6132</v>
      </c>
      <c r="B100" t="s">
        <v>176</v>
      </c>
      <c r="C100" t="s">
        <v>177</v>
      </c>
      <c r="D100" s="34">
        <v>83822.5</v>
      </c>
      <c r="E100">
        <v>1246111211</v>
      </c>
      <c r="F100" s="30">
        <v>45464</v>
      </c>
      <c r="H100" t="s">
        <v>172</v>
      </c>
      <c r="I100" t="s">
        <v>173</v>
      </c>
      <c r="J100">
        <v>1719</v>
      </c>
      <c r="K100" s="30">
        <v>45224</v>
      </c>
      <c r="L100">
        <v>1010100</v>
      </c>
      <c r="M100" t="s">
        <v>35</v>
      </c>
      <c r="N100">
        <v>161</v>
      </c>
      <c r="O100" t="s">
        <v>160</v>
      </c>
      <c r="P100" t="s">
        <v>176</v>
      </c>
      <c r="Q100">
        <f t="shared" si="1"/>
        <v>677</v>
      </c>
      <c r="R100" t="str">
        <f>_xlfn.XLOOKUP(P100,'Painel Fertilizers'!$B:$B,'Painel Fertilizers'!$B:$B,0)</f>
        <v>CENTRAL DO ADUBO COM E REPRESENTACAO LTD</v>
      </c>
    </row>
    <row r="101" spans="1:18" x14ac:dyDescent="0.25">
      <c r="A101">
        <v>6132</v>
      </c>
      <c r="B101" t="s">
        <v>176</v>
      </c>
      <c r="C101" t="s">
        <v>177</v>
      </c>
      <c r="D101" s="34">
        <v>169458.49999999997</v>
      </c>
      <c r="E101">
        <v>1246110264</v>
      </c>
      <c r="F101" s="30">
        <v>45440</v>
      </c>
      <c r="H101" t="s">
        <v>172</v>
      </c>
      <c r="I101" t="s">
        <v>173</v>
      </c>
      <c r="J101">
        <v>1662</v>
      </c>
      <c r="K101" s="30">
        <v>45218</v>
      </c>
      <c r="L101">
        <v>1010100</v>
      </c>
      <c r="M101" t="s">
        <v>35</v>
      </c>
      <c r="N101">
        <v>161</v>
      </c>
      <c r="O101" t="s">
        <v>160</v>
      </c>
      <c r="P101" t="s">
        <v>176</v>
      </c>
      <c r="Q101">
        <f t="shared" si="1"/>
        <v>701</v>
      </c>
      <c r="R101" t="str">
        <f>_xlfn.XLOOKUP(P101,'Painel Fertilizers'!$B:$B,'Painel Fertilizers'!$B:$B,0)</f>
        <v>CENTRAL DO ADUBO COM E REPRESENTACAO LTD</v>
      </c>
    </row>
    <row r="102" spans="1:18" x14ac:dyDescent="0.25">
      <c r="A102">
        <v>6132</v>
      </c>
      <c r="B102" t="s">
        <v>176</v>
      </c>
      <c r="C102" t="s">
        <v>177</v>
      </c>
      <c r="D102" s="34">
        <v>135934</v>
      </c>
      <c r="E102">
        <v>1246131961</v>
      </c>
      <c r="F102" s="30">
        <v>45566</v>
      </c>
      <c r="H102" t="s">
        <v>172</v>
      </c>
      <c r="I102" t="s">
        <v>173</v>
      </c>
      <c r="J102">
        <v>2969</v>
      </c>
      <c r="K102" s="30">
        <v>45352</v>
      </c>
      <c r="L102">
        <v>1010100</v>
      </c>
      <c r="M102" t="s">
        <v>35</v>
      </c>
      <c r="N102">
        <v>161</v>
      </c>
      <c r="O102" t="s">
        <v>160</v>
      </c>
      <c r="P102" t="s">
        <v>176</v>
      </c>
      <c r="Q102">
        <f t="shared" si="1"/>
        <v>575</v>
      </c>
      <c r="R102" t="str">
        <f>_xlfn.XLOOKUP(P102,'Painel Fertilizers'!$B:$B,'Painel Fertilizers'!$B:$B,0)</f>
        <v>CENTRAL DO ADUBO COM E REPRESENTACAO LTD</v>
      </c>
    </row>
    <row r="103" spans="1:18" x14ac:dyDescent="0.25">
      <c r="A103">
        <v>6132</v>
      </c>
      <c r="B103" t="s">
        <v>176</v>
      </c>
      <c r="C103" t="s">
        <v>177</v>
      </c>
      <c r="D103" s="34">
        <v>108747.2</v>
      </c>
      <c r="E103">
        <v>1246132951</v>
      </c>
      <c r="F103" s="30">
        <v>45572</v>
      </c>
      <c r="H103" t="s">
        <v>172</v>
      </c>
      <c r="I103" t="s">
        <v>173</v>
      </c>
      <c r="J103">
        <v>3007</v>
      </c>
      <c r="K103" s="30">
        <v>45358</v>
      </c>
      <c r="L103">
        <v>1010100</v>
      </c>
      <c r="M103" t="s">
        <v>35</v>
      </c>
      <c r="N103">
        <v>161</v>
      </c>
      <c r="O103" t="s">
        <v>160</v>
      </c>
      <c r="P103" t="s">
        <v>176</v>
      </c>
      <c r="Q103">
        <f t="shared" si="1"/>
        <v>569</v>
      </c>
      <c r="R103" t="str">
        <f>_xlfn.XLOOKUP(P103,'Painel Fertilizers'!$B:$B,'Painel Fertilizers'!$B:$B,0)</f>
        <v>CENTRAL DO ADUBO COM E REPRESENTACAO LTD</v>
      </c>
    </row>
    <row r="104" spans="1:18" x14ac:dyDescent="0.25">
      <c r="A104">
        <v>6132</v>
      </c>
      <c r="B104" t="s">
        <v>176</v>
      </c>
      <c r="C104" t="s">
        <v>177</v>
      </c>
      <c r="D104" s="34">
        <v>86997.759999999995</v>
      </c>
      <c r="E104">
        <v>1246131102</v>
      </c>
      <c r="F104" s="30">
        <v>45570</v>
      </c>
      <c r="H104" t="s">
        <v>172</v>
      </c>
      <c r="I104" t="s">
        <v>173</v>
      </c>
      <c r="J104">
        <v>2917</v>
      </c>
      <c r="K104" s="30">
        <v>45348</v>
      </c>
      <c r="L104">
        <v>1010100</v>
      </c>
      <c r="M104" t="s">
        <v>35</v>
      </c>
      <c r="N104">
        <v>161</v>
      </c>
      <c r="O104" t="s">
        <v>160</v>
      </c>
      <c r="P104" t="s">
        <v>176</v>
      </c>
      <c r="Q104">
        <f t="shared" si="1"/>
        <v>571</v>
      </c>
      <c r="R104" t="str">
        <f>_xlfn.XLOOKUP(P104,'Painel Fertilizers'!$B:$B,'Painel Fertilizers'!$B:$B,0)</f>
        <v>CENTRAL DO ADUBO COM E REPRESENTACAO LTD</v>
      </c>
    </row>
    <row r="105" spans="1:18" x14ac:dyDescent="0.25">
      <c r="A105">
        <v>6132</v>
      </c>
      <c r="B105" t="s">
        <v>176</v>
      </c>
      <c r="C105" t="s">
        <v>177</v>
      </c>
      <c r="D105" s="34">
        <v>29450.6</v>
      </c>
      <c r="E105">
        <v>1246146931</v>
      </c>
      <c r="F105" s="30">
        <v>45584</v>
      </c>
      <c r="H105" t="s">
        <v>172</v>
      </c>
      <c r="I105" t="s">
        <v>173</v>
      </c>
      <c r="J105">
        <v>3632</v>
      </c>
      <c r="K105" s="30">
        <v>45434</v>
      </c>
      <c r="L105">
        <v>1010100</v>
      </c>
      <c r="M105" t="s">
        <v>35</v>
      </c>
      <c r="N105">
        <v>161</v>
      </c>
      <c r="O105" t="s">
        <v>160</v>
      </c>
      <c r="P105" t="s">
        <v>176</v>
      </c>
      <c r="Q105">
        <f t="shared" si="1"/>
        <v>557</v>
      </c>
      <c r="R105" t="str">
        <f>_xlfn.XLOOKUP(P105,'Painel Fertilizers'!$B:$B,'Painel Fertilizers'!$B:$B,0)</f>
        <v>CENTRAL DO ADUBO COM E REPRESENTACAO LTD</v>
      </c>
    </row>
    <row r="106" spans="1:18" x14ac:dyDescent="0.25">
      <c r="A106">
        <v>6132</v>
      </c>
      <c r="B106" t="s">
        <v>176</v>
      </c>
      <c r="C106" t="s">
        <v>177</v>
      </c>
      <c r="D106" s="34">
        <v>38061.519999999997</v>
      </c>
      <c r="E106">
        <v>1246146932</v>
      </c>
      <c r="F106" s="30">
        <v>45569</v>
      </c>
      <c r="H106" t="s">
        <v>172</v>
      </c>
      <c r="I106" t="s">
        <v>173</v>
      </c>
      <c r="J106">
        <v>3633</v>
      </c>
      <c r="K106" s="30">
        <v>45434</v>
      </c>
      <c r="L106">
        <v>1010100</v>
      </c>
      <c r="M106" t="s">
        <v>35</v>
      </c>
      <c r="N106">
        <v>161</v>
      </c>
      <c r="O106" t="s">
        <v>160</v>
      </c>
      <c r="P106" t="s">
        <v>176</v>
      </c>
      <c r="Q106">
        <f t="shared" si="1"/>
        <v>572</v>
      </c>
      <c r="R106" t="str">
        <f>_xlfn.XLOOKUP(P106,'Painel Fertilizers'!$B:$B,'Painel Fertilizers'!$B:$B,0)</f>
        <v>CENTRAL DO ADUBO COM E REPRESENTACAO LTD</v>
      </c>
    </row>
    <row r="107" spans="1:18" x14ac:dyDescent="0.25">
      <c r="A107">
        <v>6132</v>
      </c>
      <c r="B107" t="s">
        <v>176</v>
      </c>
      <c r="C107" t="s">
        <v>177</v>
      </c>
      <c r="D107" s="34">
        <v>8760</v>
      </c>
      <c r="E107">
        <v>1246146933</v>
      </c>
      <c r="F107" s="30">
        <v>45462</v>
      </c>
      <c r="H107" t="s">
        <v>172</v>
      </c>
      <c r="I107" t="s">
        <v>173</v>
      </c>
      <c r="J107">
        <v>3634</v>
      </c>
      <c r="K107" s="30">
        <v>45434</v>
      </c>
      <c r="L107">
        <v>1010100</v>
      </c>
      <c r="M107" t="s">
        <v>35</v>
      </c>
      <c r="N107">
        <v>161</v>
      </c>
      <c r="O107" t="s">
        <v>160</v>
      </c>
      <c r="P107" t="s">
        <v>176</v>
      </c>
      <c r="Q107">
        <f t="shared" si="1"/>
        <v>679</v>
      </c>
      <c r="R107" t="str">
        <f>_xlfn.XLOOKUP(P107,'Painel Fertilizers'!$B:$B,'Painel Fertilizers'!$B:$B,0)</f>
        <v>CENTRAL DO ADUBO COM E REPRESENTACAO LTD</v>
      </c>
    </row>
    <row r="108" spans="1:18" x14ac:dyDescent="0.25">
      <c r="A108">
        <v>6132</v>
      </c>
      <c r="B108" t="s">
        <v>176</v>
      </c>
      <c r="C108" t="s">
        <v>177</v>
      </c>
      <c r="D108" s="34">
        <v>14851.85</v>
      </c>
      <c r="E108">
        <v>1246132474</v>
      </c>
      <c r="F108" s="30">
        <v>45570</v>
      </c>
      <c r="H108" t="s">
        <v>172</v>
      </c>
      <c r="I108" t="s">
        <v>173</v>
      </c>
      <c r="J108">
        <v>2989</v>
      </c>
      <c r="K108" s="30">
        <v>45356</v>
      </c>
      <c r="L108">
        <v>1010100</v>
      </c>
      <c r="M108" t="s">
        <v>35</v>
      </c>
      <c r="N108">
        <v>161</v>
      </c>
      <c r="O108" t="s">
        <v>160</v>
      </c>
      <c r="P108" t="s">
        <v>176</v>
      </c>
      <c r="Q108">
        <f t="shared" si="1"/>
        <v>571</v>
      </c>
      <c r="R108" t="str">
        <f>_xlfn.XLOOKUP(P108,'Painel Fertilizers'!$B:$B,'Painel Fertilizers'!$B:$B,0)</f>
        <v>CENTRAL DO ADUBO COM E REPRESENTACAO LTD</v>
      </c>
    </row>
    <row r="109" spans="1:18" x14ac:dyDescent="0.25">
      <c r="A109">
        <v>6132</v>
      </c>
      <c r="B109" t="s">
        <v>176</v>
      </c>
      <c r="C109" t="s">
        <v>177</v>
      </c>
      <c r="D109" s="34">
        <v>99200.52</v>
      </c>
      <c r="E109">
        <v>1246147269</v>
      </c>
      <c r="F109" s="30">
        <v>45571</v>
      </c>
      <c r="H109" t="s">
        <v>172</v>
      </c>
      <c r="I109" t="s">
        <v>173</v>
      </c>
      <c r="J109">
        <v>3665</v>
      </c>
      <c r="K109" s="30">
        <v>45436</v>
      </c>
      <c r="L109">
        <v>1010100</v>
      </c>
      <c r="M109" t="s">
        <v>35</v>
      </c>
      <c r="N109">
        <v>161</v>
      </c>
      <c r="O109" t="s">
        <v>160</v>
      </c>
      <c r="P109" t="s">
        <v>176</v>
      </c>
      <c r="Q109">
        <f t="shared" si="1"/>
        <v>570</v>
      </c>
      <c r="R109" t="str">
        <f>_xlfn.XLOOKUP(P109,'Painel Fertilizers'!$B:$B,'Painel Fertilizers'!$B:$B,0)</f>
        <v>CENTRAL DO ADUBO COM E REPRESENTACAO LTD</v>
      </c>
    </row>
    <row r="110" spans="1:18" x14ac:dyDescent="0.25">
      <c r="A110">
        <v>6132</v>
      </c>
      <c r="B110" t="s">
        <v>176</v>
      </c>
      <c r="C110" t="s">
        <v>177</v>
      </c>
      <c r="D110" s="34">
        <v>33509.519999999997</v>
      </c>
      <c r="E110">
        <v>1246148020</v>
      </c>
      <c r="F110" s="30">
        <v>45576</v>
      </c>
      <c r="H110" t="s">
        <v>172</v>
      </c>
      <c r="I110" t="s">
        <v>173</v>
      </c>
      <c r="J110">
        <v>3714</v>
      </c>
      <c r="K110" s="30">
        <v>45441</v>
      </c>
      <c r="L110">
        <v>1010100</v>
      </c>
      <c r="M110" t="s">
        <v>35</v>
      </c>
      <c r="N110">
        <v>161</v>
      </c>
      <c r="O110" t="s">
        <v>160</v>
      </c>
      <c r="P110" t="s">
        <v>176</v>
      </c>
      <c r="Q110">
        <f t="shared" si="1"/>
        <v>565</v>
      </c>
      <c r="R110" t="str">
        <f>_xlfn.XLOOKUP(P110,'Painel Fertilizers'!$B:$B,'Painel Fertilizers'!$B:$B,0)</f>
        <v>CENTRAL DO ADUBO COM E REPRESENTACAO LTD</v>
      </c>
    </row>
    <row r="111" spans="1:18" x14ac:dyDescent="0.25">
      <c r="A111">
        <v>6132</v>
      </c>
      <c r="B111" t="s">
        <v>176</v>
      </c>
      <c r="C111" t="s">
        <v>177</v>
      </c>
      <c r="D111" s="34">
        <v>56218.2</v>
      </c>
      <c r="E111">
        <v>1246148019</v>
      </c>
      <c r="F111" s="30">
        <v>45576</v>
      </c>
      <c r="H111" t="s">
        <v>172</v>
      </c>
      <c r="I111" t="s">
        <v>173</v>
      </c>
      <c r="J111">
        <v>3713</v>
      </c>
      <c r="K111" s="30">
        <v>45441</v>
      </c>
      <c r="L111">
        <v>1010100</v>
      </c>
      <c r="M111" t="s">
        <v>35</v>
      </c>
      <c r="N111">
        <v>161</v>
      </c>
      <c r="O111" t="s">
        <v>160</v>
      </c>
      <c r="P111" t="s">
        <v>176</v>
      </c>
      <c r="Q111">
        <f t="shared" si="1"/>
        <v>565</v>
      </c>
      <c r="R111" t="str">
        <f>_xlfn.XLOOKUP(P111,'Painel Fertilizers'!$B:$B,'Painel Fertilizers'!$B:$B,0)</f>
        <v>CENTRAL DO ADUBO COM E REPRESENTACAO LTD</v>
      </c>
    </row>
    <row r="112" spans="1:18" x14ac:dyDescent="0.25">
      <c r="A112">
        <v>6132</v>
      </c>
      <c r="B112" t="s">
        <v>176</v>
      </c>
      <c r="C112" t="s">
        <v>177</v>
      </c>
      <c r="D112" s="34">
        <v>95220.3</v>
      </c>
      <c r="E112">
        <v>1246135170</v>
      </c>
      <c r="F112" s="30">
        <v>45566</v>
      </c>
      <c r="H112" t="s">
        <v>172</v>
      </c>
      <c r="I112" t="s">
        <v>173</v>
      </c>
      <c r="J112">
        <v>3136</v>
      </c>
      <c r="K112" s="30">
        <v>45372</v>
      </c>
      <c r="L112">
        <v>1010100</v>
      </c>
      <c r="M112" t="s">
        <v>35</v>
      </c>
      <c r="N112">
        <v>161</v>
      </c>
      <c r="O112" t="s">
        <v>160</v>
      </c>
      <c r="P112" t="s">
        <v>176</v>
      </c>
      <c r="Q112">
        <f t="shared" si="1"/>
        <v>575</v>
      </c>
      <c r="R112" t="str">
        <f>_xlfn.XLOOKUP(P112,'Painel Fertilizers'!$B:$B,'Painel Fertilizers'!$B:$B,0)</f>
        <v>CENTRAL DO ADUBO COM E REPRESENTACAO LTD</v>
      </c>
    </row>
    <row r="113" spans="1:18" x14ac:dyDescent="0.25">
      <c r="A113">
        <v>6132</v>
      </c>
      <c r="B113" t="s">
        <v>176</v>
      </c>
      <c r="C113" t="s">
        <v>177</v>
      </c>
      <c r="D113" s="34">
        <v>29542.9</v>
      </c>
      <c r="E113">
        <v>1246135172</v>
      </c>
      <c r="F113" s="30">
        <v>45566</v>
      </c>
      <c r="H113" t="s">
        <v>172</v>
      </c>
      <c r="I113" t="s">
        <v>173</v>
      </c>
      <c r="J113">
        <v>3137</v>
      </c>
      <c r="K113" s="30">
        <v>45372</v>
      </c>
      <c r="L113">
        <v>1010100</v>
      </c>
      <c r="M113" t="s">
        <v>35</v>
      </c>
      <c r="N113">
        <v>161</v>
      </c>
      <c r="O113" t="s">
        <v>160</v>
      </c>
      <c r="P113" t="s">
        <v>176</v>
      </c>
      <c r="Q113">
        <f t="shared" si="1"/>
        <v>575</v>
      </c>
      <c r="R113" t="str">
        <f>_xlfn.XLOOKUP(P113,'Painel Fertilizers'!$B:$B,'Painel Fertilizers'!$B:$B,0)</f>
        <v>CENTRAL DO ADUBO COM E REPRESENTACAO LTD</v>
      </c>
    </row>
    <row r="114" spans="1:18" x14ac:dyDescent="0.25">
      <c r="A114">
        <v>6132</v>
      </c>
      <c r="B114" t="s">
        <v>176</v>
      </c>
      <c r="C114" t="s">
        <v>177</v>
      </c>
      <c r="D114" s="34">
        <v>92588.02</v>
      </c>
      <c r="E114">
        <v>1246138275</v>
      </c>
      <c r="F114" s="30">
        <v>45570</v>
      </c>
      <c r="H114" t="s">
        <v>172</v>
      </c>
      <c r="I114" t="s">
        <v>173</v>
      </c>
      <c r="J114">
        <v>3249</v>
      </c>
      <c r="K114" s="30">
        <v>45390</v>
      </c>
      <c r="L114">
        <v>1010100</v>
      </c>
      <c r="M114" t="s">
        <v>35</v>
      </c>
      <c r="N114">
        <v>161</v>
      </c>
      <c r="O114" t="s">
        <v>160</v>
      </c>
      <c r="P114" t="s">
        <v>176</v>
      </c>
      <c r="Q114">
        <f t="shared" si="1"/>
        <v>571</v>
      </c>
      <c r="R114" t="str">
        <f>_xlfn.XLOOKUP(P114,'Painel Fertilizers'!$B:$B,'Painel Fertilizers'!$B:$B,0)</f>
        <v>CENTRAL DO ADUBO COM E REPRESENTACAO LTD</v>
      </c>
    </row>
    <row r="115" spans="1:18" x14ac:dyDescent="0.25">
      <c r="A115">
        <v>6132</v>
      </c>
      <c r="B115" t="s">
        <v>176</v>
      </c>
      <c r="C115" t="s">
        <v>177</v>
      </c>
      <c r="D115" s="34">
        <v>97872.48</v>
      </c>
      <c r="E115">
        <v>1246135813</v>
      </c>
      <c r="F115" s="30">
        <v>45570</v>
      </c>
      <c r="H115" t="s">
        <v>172</v>
      </c>
      <c r="I115" t="s">
        <v>173</v>
      </c>
      <c r="J115">
        <v>3160</v>
      </c>
      <c r="K115" s="30">
        <v>45376</v>
      </c>
      <c r="L115">
        <v>1010100</v>
      </c>
      <c r="M115" t="s">
        <v>35</v>
      </c>
      <c r="N115">
        <v>161</v>
      </c>
      <c r="O115" t="s">
        <v>160</v>
      </c>
      <c r="P115" t="s">
        <v>176</v>
      </c>
      <c r="Q115">
        <f t="shared" si="1"/>
        <v>571</v>
      </c>
      <c r="R115" t="str">
        <f>_xlfn.XLOOKUP(P115,'Painel Fertilizers'!$B:$B,'Painel Fertilizers'!$B:$B,0)</f>
        <v>CENTRAL DO ADUBO COM E REPRESENTACAO LTD</v>
      </c>
    </row>
    <row r="116" spans="1:18" x14ac:dyDescent="0.25">
      <c r="A116">
        <v>6132</v>
      </c>
      <c r="B116" t="s">
        <v>176</v>
      </c>
      <c r="C116" t="s">
        <v>177</v>
      </c>
      <c r="D116" s="34">
        <v>155705</v>
      </c>
      <c r="E116">
        <v>1246130904</v>
      </c>
      <c r="F116" s="30">
        <v>45567</v>
      </c>
      <c r="H116" t="s">
        <v>172</v>
      </c>
      <c r="I116" t="s">
        <v>173</v>
      </c>
      <c r="J116">
        <v>2906</v>
      </c>
      <c r="K116" s="30">
        <v>45345</v>
      </c>
      <c r="L116">
        <v>1010100</v>
      </c>
      <c r="M116" t="s">
        <v>35</v>
      </c>
      <c r="N116">
        <v>161</v>
      </c>
      <c r="O116" t="s">
        <v>160</v>
      </c>
      <c r="P116" t="s">
        <v>176</v>
      </c>
      <c r="Q116">
        <f t="shared" si="1"/>
        <v>574</v>
      </c>
      <c r="R116" t="str">
        <f>_xlfn.XLOOKUP(P116,'Painel Fertilizers'!$B:$B,'Painel Fertilizers'!$B:$B,0)</f>
        <v>CENTRAL DO ADUBO COM E REPRESENTACAO LTD</v>
      </c>
    </row>
    <row r="117" spans="1:18" x14ac:dyDescent="0.25">
      <c r="A117">
        <v>6132</v>
      </c>
      <c r="B117" t="s">
        <v>176</v>
      </c>
      <c r="C117" t="s">
        <v>177</v>
      </c>
      <c r="D117" s="34">
        <v>86997.759999999995</v>
      </c>
      <c r="E117">
        <v>1246137598</v>
      </c>
      <c r="F117" s="30">
        <v>45566</v>
      </c>
      <c r="H117" t="s">
        <v>172</v>
      </c>
      <c r="I117" t="s">
        <v>173</v>
      </c>
      <c r="J117">
        <v>3223</v>
      </c>
      <c r="K117" s="30">
        <v>45386</v>
      </c>
      <c r="L117">
        <v>1010100</v>
      </c>
      <c r="M117" t="s">
        <v>35</v>
      </c>
      <c r="N117">
        <v>161</v>
      </c>
      <c r="O117" t="s">
        <v>160</v>
      </c>
      <c r="P117" t="s">
        <v>176</v>
      </c>
      <c r="Q117">
        <f t="shared" si="1"/>
        <v>575</v>
      </c>
      <c r="R117" t="str">
        <f>_xlfn.XLOOKUP(P117,'Painel Fertilizers'!$B:$B,'Painel Fertilizers'!$B:$B,0)</f>
        <v>CENTRAL DO ADUBO COM E REPRESENTACAO LTD</v>
      </c>
    </row>
    <row r="118" spans="1:18" x14ac:dyDescent="0.25">
      <c r="A118">
        <v>6132</v>
      </c>
      <c r="B118" t="s">
        <v>176</v>
      </c>
      <c r="C118" t="s">
        <v>177</v>
      </c>
      <c r="D118" s="34">
        <v>55849.2</v>
      </c>
      <c r="E118">
        <v>1246147270</v>
      </c>
      <c r="F118" s="30">
        <v>45571</v>
      </c>
      <c r="H118" t="s">
        <v>172</v>
      </c>
      <c r="I118" t="s">
        <v>173</v>
      </c>
      <c r="J118">
        <v>3666</v>
      </c>
      <c r="K118" s="30">
        <v>45436</v>
      </c>
      <c r="L118">
        <v>1010100</v>
      </c>
      <c r="M118" t="s">
        <v>35</v>
      </c>
      <c r="N118">
        <v>161</v>
      </c>
      <c r="O118" t="s">
        <v>160</v>
      </c>
      <c r="P118" t="s">
        <v>176</v>
      </c>
      <c r="Q118">
        <f t="shared" si="1"/>
        <v>570</v>
      </c>
      <c r="R118" t="str">
        <f>_xlfn.XLOOKUP(P118,'Painel Fertilizers'!$B:$B,'Painel Fertilizers'!$B:$B,0)</f>
        <v>CENTRAL DO ADUBO COM E REPRESENTACAO LTD</v>
      </c>
    </row>
    <row r="119" spans="1:18" x14ac:dyDescent="0.25">
      <c r="A119">
        <v>6132</v>
      </c>
      <c r="B119" t="s">
        <v>176</v>
      </c>
      <c r="C119" t="s">
        <v>177</v>
      </c>
      <c r="D119" s="34">
        <v>97872.48</v>
      </c>
      <c r="E119">
        <v>1246131241</v>
      </c>
      <c r="F119" s="30">
        <v>45571</v>
      </c>
      <c r="H119" t="s">
        <v>172</v>
      </c>
      <c r="I119" t="s">
        <v>173</v>
      </c>
      <c r="J119">
        <v>2928</v>
      </c>
      <c r="K119" s="30">
        <v>45349</v>
      </c>
      <c r="L119">
        <v>1010100</v>
      </c>
      <c r="M119" t="s">
        <v>35</v>
      </c>
      <c r="N119">
        <v>161</v>
      </c>
      <c r="O119" t="s">
        <v>160</v>
      </c>
      <c r="P119" t="s">
        <v>176</v>
      </c>
      <c r="Q119">
        <f t="shared" si="1"/>
        <v>570</v>
      </c>
      <c r="R119" t="str">
        <f>_xlfn.XLOOKUP(P119,'Painel Fertilizers'!$B:$B,'Painel Fertilizers'!$B:$B,0)</f>
        <v>CENTRAL DO ADUBO COM E REPRESENTACAO LTD</v>
      </c>
    </row>
    <row r="120" spans="1:18" x14ac:dyDescent="0.25">
      <c r="A120">
        <v>6132</v>
      </c>
      <c r="B120" t="s">
        <v>176</v>
      </c>
      <c r="C120" t="s">
        <v>177</v>
      </c>
      <c r="D120" s="34">
        <v>57092.28</v>
      </c>
      <c r="E120">
        <v>1246133070</v>
      </c>
      <c r="F120" s="30">
        <v>45573</v>
      </c>
      <c r="H120" t="s">
        <v>172</v>
      </c>
      <c r="I120" t="s">
        <v>173</v>
      </c>
      <c r="J120">
        <v>3012</v>
      </c>
      <c r="K120" s="30">
        <v>45359</v>
      </c>
      <c r="L120">
        <v>1010100</v>
      </c>
      <c r="M120" t="s">
        <v>35</v>
      </c>
      <c r="N120">
        <v>161</v>
      </c>
      <c r="O120" t="s">
        <v>160</v>
      </c>
      <c r="P120" t="s">
        <v>176</v>
      </c>
      <c r="Q120">
        <f t="shared" si="1"/>
        <v>568</v>
      </c>
      <c r="R120" t="str">
        <f>_xlfn.XLOOKUP(P120,'Painel Fertilizers'!$B:$B,'Painel Fertilizers'!$B:$B,0)</f>
        <v>CENTRAL DO ADUBO COM E REPRESENTACAO LTD</v>
      </c>
    </row>
    <row r="121" spans="1:18" x14ac:dyDescent="0.25">
      <c r="A121">
        <v>6132</v>
      </c>
      <c r="B121" t="s">
        <v>176</v>
      </c>
      <c r="C121" t="s">
        <v>177</v>
      </c>
      <c r="D121" s="34">
        <v>86997.759999999995</v>
      </c>
      <c r="E121">
        <v>1246131594</v>
      </c>
      <c r="F121" s="30">
        <v>45573</v>
      </c>
      <c r="H121" t="s">
        <v>172</v>
      </c>
      <c r="I121" t="s">
        <v>173</v>
      </c>
      <c r="J121">
        <v>2956</v>
      </c>
      <c r="K121" s="30">
        <v>45351</v>
      </c>
      <c r="L121">
        <v>1010100</v>
      </c>
      <c r="M121" t="s">
        <v>35</v>
      </c>
      <c r="N121">
        <v>161</v>
      </c>
      <c r="O121" t="s">
        <v>160</v>
      </c>
      <c r="P121" t="s">
        <v>176</v>
      </c>
      <c r="Q121">
        <f t="shared" si="1"/>
        <v>568</v>
      </c>
      <c r="R121" t="str">
        <f>_xlfn.XLOOKUP(P121,'Painel Fertilizers'!$B:$B,'Painel Fertilizers'!$B:$B,0)</f>
        <v>CENTRAL DO ADUBO COM E REPRESENTACAO LTD</v>
      </c>
    </row>
    <row r="122" spans="1:18" x14ac:dyDescent="0.25">
      <c r="A122">
        <v>6132</v>
      </c>
      <c r="B122" t="s">
        <v>176</v>
      </c>
      <c r="C122" t="s">
        <v>177</v>
      </c>
      <c r="D122" s="34">
        <v>86997.759999999995</v>
      </c>
      <c r="E122">
        <v>1246133332</v>
      </c>
      <c r="F122" s="30">
        <v>45576</v>
      </c>
      <c r="H122" t="s">
        <v>172</v>
      </c>
      <c r="I122" t="s">
        <v>173</v>
      </c>
      <c r="J122">
        <v>3028</v>
      </c>
      <c r="K122" s="30">
        <v>45362</v>
      </c>
      <c r="L122">
        <v>1010100</v>
      </c>
      <c r="M122" t="s">
        <v>35</v>
      </c>
      <c r="N122">
        <v>161</v>
      </c>
      <c r="O122" t="s">
        <v>160</v>
      </c>
      <c r="P122" t="s">
        <v>176</v>
      </c>
      <c r="Q122">
        <f t="shared" si="1"/>
        <v>565</v>
      </c>
      <c r="R122" t="str">
        <f>_xlfn.XLOOKUP(P122,'Painel Fertilizers'!$B:$B,'Painel Fertilizers'!$B:$B,0)</f>
        <v>CENTRAL DO ADUBO COM E REPRESENTACAO LTD</v>
      </c>
    </row>
    <row r="123" spans="1:18" x14ac:dyDescent="0.25">
      <c r="A123">
        <v>6132</v>
      </c>
      <c r="B123" t="s">
        <v>176</v>
      </c>
      <c r="C123" t="s">
        <v>177</v>
      </c>
      <c r="D123" s="34">
        <v>95153.8</v>
      </c>
      <c r="E123">
        <v>1246133718</v>
      </c>
      <c r="F123" s="30">
        <v>45578</v>
      </c>
      <c r="H123" t="s">
        <v>172</v>
      </c>
      <c r="I123" t="s">
        <v>173</v>
      </c>
      <c r="J123">
        <v>3051</v>
      </c>
      <c r="K123" s="30">
        <v>45364</v>
      </c>
      <c r="L123">
        <v>1010100</v>
      </c>
      <c r="M123" t="s">
        <v>35</v>
      </c>
      <c r="N123">
        <v>161</v>
      </c>
      <c r="O123" t="s">
        <v>160</v>
      </c>
      <c r="P123" t="s">
        <v>176</v>
      </c>
      <c r="Q123">
        <f t="shared" si="1"/>
        <v>563</v>
      </c>
      <c r="R123" t="str">
        <f>_xlfn.XLOOKUP(P123,'Painel Fertilizers'!$B:$B,'Painel Fertilizers'!$B:$B,0)</f>
        <v>CENTRAL DO ADUBO COM E REPRESENTACAO LTD</v>
      </c>
    </row>
    <row r="124" spans="1:18" x14ac:dyDescent="0.25">
      <c r="A124">
        <v>6132</v>
      </c>
      <c r="B124" t="s">
        <v>176</v>
      </c>
      <c r="C124" t="s">
        <v>177</v>
      </c>
      <c r="D124" s="34">
        <v>116501.9</v>
      </c>
      <c r="E124">
        <v>1246138114</v>
      </c>
      <c r="F124" s="30">
        <v>45570</v>
      </c>
      <c r="H124" t="s">
        <v>172</v>
      </c>
      <c r="I124" t="s">
        <v>173</v>
      </c>
      <c r="J124">
        <v>3243</v>
      </c>
      <c r="K124" s="30">
        <v>45390</v>
      </c>
      <c r="L124">
        <v>1010100</v>
      </c>
      <c r="M124" t="s">
        <v>35</v>
      </c>
      <c r="N124">
        <v>161</v>
      </c>
      <c r="O124" t="s">
        <v>160</v>
      </c>
      <c r="P124" t="s">
        <v>176</v>
      </c>
      <c r="Q124">
        <f t="shared" si="1"/>
        <v>571</v>
      </c>
      <c r="R124" t="str">
        <f>_xlfn.XLOOKUP(P124,'Painel Fertilizers'!$B:$B,'Painel Fertilizers'!$B:$B,0)</f>
        <v>CENTRAL DO ADUBO COM E REPRESENTACAO LTD</v>
      </c>
    </row>
    <row r="125" spans="1:18" x14ac:dyDescent="0.25">
      <c r="A125">
        <v>6132</v>
      </c>
      <c r="B125" t="s">
        <v>176</v>
      </c>
      <c r="C125" t="s">
        <v>177</v>
      </c>
      <c r="D125" s="34">
        <v>134954</v>
      </c>
      <c r="E125">
        <v>1246130651</v>
      </c>
      <c r="F125" s="30">
        <v>45566</v>
      </c>
      <c r="H125" t="s">
        <v>172</v>
      </c>
      <c r="I125" t="s">
        <v>173</v>
      </c>
      <c r="J125">
        <v>2889</v>
      </c>
      <c r="K125" s="30">
        <v>45344</v>
      </c>
      <c r="L125">
        <v>1010100</v>
      </c>
      <c r="M125" t="s">
        <v>35</v>
      </c>
      <c r="N125">
        <v>161</v>
      </c>
      <c r="O125" t="s">
        <v>160</v>
      </c>
      <c r="P125" t="s">
        <v>176</v>
      </c>
      <c r="Q125">
        <f t="shared" si="1"/>
        <v>575</v>
      </c>
      <c r="R125" t="str">
        <f>_xlfn.XLOOKUP(P125,'Painel Fertilizers'!$B:$B,'Painel Fertilizers'!$B:$B,0)</f>
        <v>CENTRAL DO ADUBO COM E REPRESENTACAO LTD</v>
      </c>
    </row>
    <row r="126" spans="1:18" x14ac:dyDescent="0.25">
      <c r="A126">
        <v>6132</v>
      </c>
      <c r="B126" t="s">
        <v>176</v>
      </c>
      <c r="C126" t="s">
        <v>177</v>
      </c>
      <c r="D126" s="34">
        <v>86997.759999999995</v>
      </c>
      <c r="E126">
        <v>1246131630</v>
      </c>
      <c r="F126" s="30">
        <v>45573</v>
      </c>
      <c r="H126" t="s">
        <v>172</v>
      </c>
      <c r="I126" t="s">
        <v>173</v>
      </c>
      <c r="J126">
        <v>2958</v>
      </c>
      <c r="K126" s="30">
        <v>45351</v>
      </c>
      <c r="L126">
        <v>1010100</v>
      </c>
      <c r="M126" t="s">
        <v>35</v>
      </c>
      <c r="N126">
        <v>161</v>
      </c>
      <c r="O126" t="s">
        <v>160</v>
      </c>
      <c r="P126" t="s">
        <v>176</v>
      </c>
      <c r="Q126">
        <f t="shared" si="1"/>
        <v>568</v>
      </c>
      <c r="R126" t="str">
        <f>_xlfn.XLOOKUP(P126,'Painel Fertilizers'!$B:$B,'Painel Fertilizers'!$B:$B,0)</f>
        <v>CENTRAL DO ADUBO COM E REPRESENTACAO LTD</v>
      </c>
    </row>
    <row r="127" spans="1:18" x14ac:dyDescent="0.25">
      <c r="A127">
        <v>6132</v>
      </c>
      <c r="B127" t="s">
        <v>176</v>
      </c>
      <c r="C127" t="s">
        <v>177</v>
      </c>
      <c r="D127" s="34">
        <v>29949.599999999999</v>
      </c>
      <c r="E127">
        <v>1246133071</v>
      </c>
      <c r="F127" s="30">
        <v>45573</v>
      </c>
      <c r="H127" t="s">
        <v>172</v>
      </c>
      <c r="I127" t="s">
        <v>173</v>
      </c>
      <c r="J127">
        <v>3013</v>
      </c>
      <c r="K127" s="30">
        <v>45359</v>
      </c>
      <c r="L127">
        <v>1010100</v>
      </c>
      <c r="M127" t="s">
        <v>35</v>
      </c>
      <c r="N127">
        <v>161</v>
      </c>
      <c r="O127" t="s">
        <v>160</v>
      </c>
      <c r="P127" t="s">
        <v>176</v>
      </c>
      <c r="Q127">
        <f t="shared" ref="Q127:Q187" si="2">$R$1-F127</f>
        <v>568</v>
      </c>
      <c r="R127" t="str">
        <f>_xlfn.XLOOKUP(P127,'Painel Fertilizers'!$B:$B,'Painel Fertilizers'!$B:$B,0)</f>
        <v>CENTRAL DO ADUBO COM E REPRESENTACAO LTD</v>
      </c>
    </row>
    <row r="128" spans="1:18" x14ac:dyDescent="0.25">
      <c r="A128">
        <v>6132</v>
      </c>
      <c r="B128" t="s">
        <v>176</v>
      </c>
      <c r="C128" t="s">
        <v>177</v>
      </c>
      <c r="D128" s="34">
        <v>54275.6</v>
      </c>
      <c r="E128">
        <v>1246132475</v>
      </c>
      <c r="F128" s="30">
        <v>45570</v>
      </c>
      <c r="H128" t="s">
        <v>172</v>
      </c>
      <c r="I128" t="s">
        <v>173</v>
      </c>
      <c r="J128">
        <v>2990</v>
      </c>
      <c r="K128" s="30">
        <v>45356</v>
      </c>
      <c r="L128">
        <v>1010100</v>
      </c>
      <c r="M128" t="s">
        <v>35</v>
      </c>
      <c r="N128">
        <v>161</v>
      </c>
      <c r="O128" t="s">
        <v>160</v>
      </c>
      <c r="P128" t="s">
        <v>176</v>
      </c>
      <c r="Q128">
        <f t="shared" si="2"/>
        <v>571</v>
      </c>
      <c r="R128" t="str">
        <f>_xlfn.XLOOKUP(P128,'Painel Fertilizers'!$B:$B,'Painel Fertilizers'!$B:$B,0)</f>
        <v>CENTRAL DO ADUBO COM E REPRESENTACAO LTD</v>
      </c>
    </row>
    <row r="129" spans="1:18" x14ac:dyDescent="0.25">
      <c r="A129">
        <v>6132</v>
      </c>
      <c r="B129" t="s">
        <v>176</v>
      </c>
      <c r="C129" t="s">
        <v>177</v>
      </c>
      <c r="D129" s="34">
        <v>97872.48</v>
      </c>
      <c r="E129">
        <v>1246132869</v>
      </c>
      <c r="F129" s="30">
        <v>45572</v>
      </c>
      <c r="H129" t="s">
        <v>172</v>
      </c>
      <c r="I129" t="s">
        <v>173</v>
      </c>
      <c r="J129">
        <v>3001</v>
      </c>
      <c r="K129" s="30">
        <v>45358</v>
      </c>
      <c r="L129">
        <v>1010100</v>
      </c>
      <c r="M129" t="s">
        <v>35</v>
      </c>
      <c r="N129">
        <v>161</v>
      </c>
      <c r="O129" t="s">
        <v>160</v>
      </c>
      <c r="P129" t="s">
        <v>176</v>
      </c>
      <c r="Q129">
        <f t="shared" si="2"/>
        <v>569</v>
      </c>
      <c r="R129" t="str">
        <f>_xlfn.XLOOKUP(P129,'Painel Fertilizers'!$B:$B,'Painel Fertilizers'!$B:$B,0)</f>
        <v>CENTRAL DO ADUBO COM E REPRESENTACAO LTD</v>
      </c>
    </row>
    <row r="130" spans="1:18" x14ac:dyDescent="0.25">
      <c r="A130">
        <v>6132</v>
      </c>
      <c r="B130" t="s">
        <v>176</v>
      </c>
      <c r="C130" t="s">
        <v>177</v>
      </c>
      <c r="D130" s="34">
        <v>86997.759999999995</v>
      </c>
      <c r="E130">
        <v>1246147192</v>
      </c>
      <c r="F130" s="30">
        <v>45571</v>
      </c>
      <c r="H130" t="s">
        <v>172</v>
      </c>
      <c r="I130" t="s">
        <v>173</v>
      </c>
      <c r="J130">
        <v>3654</v>
      </c>
      <c r="K130" s="30">
        <v>45436</v>
      </c>
      <c r="L130">
        <v>1010100</v>
      </c>
      <c r="M130" t="s">
        <v>35</v>
      </c>
      <c r="N130">
        <v>161</v>
      </c>
      <c r="O130" t="s">
        <v>160</v>
      </c>
      <c r="P130" t="s">
        <v>176</v>
      </c>
      <c r="Q130">
        <f t="shared" si="2"/>
        <v>570</v>
      </c>
      <c r="R130" t="str">
        <f>_xlfn.XLOOKUP(P130,'Painel Fertilizers'!$B:$B,'Painel Fertilizers'!$B:$B,0)</f>
        <v>CENTRAL DO ADUBO COM E REPRESENTACAO LTD</v>
      </c>
    </row>
    <row r="131" spans="1:18" x14ac:dyDescent="0.25">
      <c r="A131">
        <v>6132</v>
      </c>
      <c r="B131" t="s">
        <v>176</v>
      </c>
      <c r="C131" t="s">
        <v>177</v>
      </c>
      <c r="D131" s="34">
        <v>101192.76</v>
      </c>
      <c r="E131">
        <v>1246148270</v>
      </c>
      <c r="F131" s="30">
        <v>45578</v>
      </c>
      <c r="H131" t="s">
        <v>172</v>
      </c>
      <c r="I131" t="s">
        <v>173</v>
      </c>
      <c r="J131">
        <v>3731</v>
      </c>
      <c r="K131" s="30">
        <v>45443</v>
      </c>
      <c r="L131">
        <v>1010100</v>
      </c>
      <c r="M131" t="s">
        <v>35</v>
      </c>
      <c r="N131">
        <v>161</v>
      </c>
      <c r="O131" t="s">
        <v>160</v>
      </c>
      <c r="P131" t="s">
        <v>176</v>
      </c>
      <c r="Q131">
        <f t="shared" si="2"/>
        <v>563</v>
      </c>
      <c r="R131" t="str">
        <f>_xlfn.XLOOKUP(P131,'Painel Fertilizers'!$B:$B,'Painel Fertilizers'!$B:$B,0)</f>
        <v>CENTRAL DO ADUBO COM E REPRESENTACAO LTD</v>
      </c>
    </row>
    <row r="132" spans="1:18" x14ac:dyDescent="0.25">
      <c r="A132">
        <v>6132</v>
      </c>
      <c r="B132" t="s">
        <v>176</v>
      </c>
      <c r="C132" t="s">
        <v>177</v>
      </c>
      <c r="D132" s="34">
        <v>151915.50000000003</v>
      </c>
      <c r="E132">
        <v>1246095049</v>
      </c>
      <c r="F132" s="30">
        <v>45447</v>
      </c>
      <c r="H132" t="s">
        <v>172</v>
      </c>
      <c r="I132" t="s">
        <v>173</v>
      </c>
      <c r="J132">
        <v>92</v>
      </c>
      <c r="K132" s="30">
        <v>45138</v>
      </c>
      <c r="L132">
        <v>1010100</v>
      </c>
      <c r="M132" t="s">
        <v>35</v>
      </c>
      <c r="N132">
        <v>161</v>
      </c>
      <c r="O132" t="s">
        <v>160</v>
      </c>
      <c r="P132" t="s">
        <v>176</v>
      </c>
      <c r="Q132">
        <f t="shared" si="2"/>
        <v>694</v>
      </c>
      <c r="R132" t="str">
        <f>_xlfn.XLOOKUP(P132,'Painel Fertilizers'!$B:$B,'Painel Fertilizers'!$B:$B,0)</f>
        <v>CENTRAL DO ADUBO COM E REPRESENTACAO LTD</v>
      </c>
    </row>
    <row r="133" spans="1:18" x14ac:dyDescent="0.25">
      <c r="A133">
        <v>6132</v>
      </c>
      <c r="B133" t="s">
        <v>176</v>
      </c>
      <c r="C133" t="s">
        <v>177</v>
      </c>
      <c r="D133" s="34">
        <v>91149.3</v>
      </c>
      <c r="E133">
        <v>1246095124</v>
      </c>
      <c r="F133" s="30">
        <v>45447</v>
      </c>
      <c r="H133" t="s">
        <v>172</v>
      </c>
      <c r="I133" t="s">
        <v>173</v>
      </c>
      <c r="J133">
        <v>94</v>
      </c>
      <c r="K133" s="30">
        <v>45138</v>
      </c>
      <c r="L133">
        <v>1010100</v>
      </c>
      <c r="M133" t="s">
        <v>35</v>
      </c>
      <c r="N133">
        <v>161</v>
      </c>
      <c r="O133" t="s">
        <v>160</v>
      </c>
      <c r="P133" t="s">
        <v>176</v>
      </c>
      <c r="Q133">
        <f t="shared" si="2"/>
        <v>694</v>
      </c>
      <c r="R133" t="str">
        <f>_xlfn.XLOOKUP(P133,'Painel Fertilizers'!$B:$B,'Painel Fertilizers'!$B:$B,0)</f>
        <v>CENTRAL DO ADUBO COM E REPRESENTACAO LTD</v>
      </c>
    </row>
    <row r="134" spans="1:18" x14ac:dyDescent="0.25">
      <c r="A134">
        <v>7060</v>
      </c>
      <c r="B134" t="s">
        <v>181</v>
      </c>
      <c r="C134" t="s">
        <v>182</v>
      </c>
      <c r="D134" s="34">
        <v>5180.3999999999996</v>
      </c>
      <c r="E134">
        <v>1246254161</v>
      </c>
      <c r="F134" s="30">
        <v>46281</v>
      </c>
      <c r="H134" t="s">
        <v>172</v>
      </c>
      <c r="I134" t="s">
        <v>173</v>
      </c>
      <c r="J134">
        <v>10278</v>
      </c>
      <c r="K134" s="30">
        <v>46006</v>
      </c>
      <c r="L134">
        <v>1010100</v>
      </c>
      <c r="M134" t="s">
        <v>35</v>
      </c>
      <c r="N134">
        <v>161</v>
      </c>
      <c r="O134" t="s">
        <v>160</v>
      </c>
      <c r="P134" t="s">
        <v>181</v>
      </c>
      <c r="Q134">
        <f t="shared" si="2"/>
        <v>-140</v>
      </c>
      <c r="R134" t="str">
        <f>_xlfn.XLOOKUP(P134,'Painel Fertilizers'!$B:$B,'Painel Fertilizers'!$B:$B,0)</f>
        <v>AGROVIVA</v>
      </c>
    </row>
    <row r="135" spans="1:18" x14ac:dyDescent="0.25">
      <c r="A135">
        <v>7060</v>
      </c>
      <c r="B135" t="s">
        <v>181</v>
      </c>
      <c r="C135" t="s">
        <v>182</v>
      </c>
      <c r="D135" s="34">
        <v>8288.64</v>
      </c>
      <c r="E135">
        <v>1246252321</v>
      </c>
      <c r="F135" s="30">
        <v>46269</v>
      </c>
      <c r="H135" t="s">
        <v>172</v>
      </c>
      <c r="I135" t="s">
        <v>173</v>
      </c>
      <c r="J135">
        <v>10183</v>
      </c>
      <c r="K135" s="30">
        <v>45994</v>
      </c>
      <c r="L135">
        <v>1010100</v>
      </c>
      <c r="M135" t="s">
        <v>35</v>
      </c>
      <c r="N135">
        <v>161</v>
      </c>
      <c r="O135" t="s">
        <v>160</v>
      </c>
      <c r="P135" t="s">
        <v>181</v>
      </c>
      <c r="Q135">
        <f t="shared" si="2"/>
        <v>-128</v>
      </c>
      <c r="R135" t="str">
        <f>_xlfn.XLOOKUP(P135,'Painel Fertilizers'!$B:$B,'Painel Fertilizers'!$B:$B,0)</f>
        <v>AGROVIVA</v>
      </c>
    </row>
    <row r="136" spans="1:18" x14ac:dyDescent="0.25">
      <c r="A136">
        <v>7060</v>
      </c>
      <c r="B136" t="s">
        <v>181</v>
      </c>
      <c r="C136" t="s">
        <v>182</v>
      </c>
      <c r="D136" s="34">
        <v>67383.5</v>
      </c>
      <c r="E136">
        <v>1246254471</v>
      </c>
      <c r="F136" s="30">
        <v>46279</v>
      </c>
      <c r="H136" t="s">
        <v>172</v>
      </c>
      <c r="I136" t="s">
        <v>173</v>
      </c>
      <c r="J136">
        <v>10301</v>
      </c>
      <c r="K136" s="30">
        <v>46007</v>
      </c>
      <c r="L136">
        <v>1010100</v>
      </c>
      <c r="M136" t="s">
        <v>35</v>
      </c>
      <c r="N136">
        <v>161</v>
      </c>
      <c r="O136" t="s">
        <v>160</v>
      </c>
      <c r="P136" t="s">
        <v>181</v>
      </c>
      <c r="Q136">
        <f t="shared" si="2"/>
        <v>-138</v>
      </c>
      <c r="R136" t="str">
        <f>_xlfn.XLOOKUP(P136,'Painel Fertilizers'!$B:$B,'Painel Fertilizers'!$B:$B,0)</f>
        <v>AGROVIVA</v>
      </c>
    </row>
    <row r="137" spans="1:18" x14ac:dyDescent="0.25">
      <c r="A137">
        <v>7060</v>
      </c>
      <c r="B137" t="s">
        <v>181</v>
      </c>
      <c r="C137" t="s">
        <v>182</v>
      </c>
      <c r="D137" s="34">
        <v>202489.44</v>
      </c>
      <c r="E137">
        <v>1246233024</v>
      </c>
      <c r="F137" s="30">
        <v>46264</v>
      </c>
      <c r="H137" t="s">
        <v>172</v>
      </c>
      <c r="I137" t="s">
        <v>173</v>
      </c>
      <c r="J137">
        <v>9046</v>
      </c>
      <c r="K137" s="30">
        <v>45895</v>
      </c>
      <c r="L137">
        <v>1010100</v>
      </c>
      <c r="M137" t="s">
        <v>35</v>
      </c>
      <c r="N137">
        <v>56</v>
      </c>
      <c r="O137" t="s">
        <v>161</v>
      </c>
      <c r="P137" t="s">
        <v>181</v>
      </c>
      <c r="Q137">
        <f t="shared" si="2"/>
        <v>-123</v>
      </c>
      <c r="R137" t="str">
        <f>_xlfn.XLOOKUP(P137,'Painel Fertilizers'!$B:$B,'Painel Fertilizers'!$B:$B,0)</f>
        <v>AGROVIVA</v>
      </c>
    </row>
    <row r="138" spans="1:18" x14ac:dyDescent="0.25">
      <c r="A138">
        <v>7060</v>
      </c>
      <c r="B138" t="s">
        <v>181</v>
      </c>
      <c r="C138" t="s">
        <v>182</v>
      </c>
      <c r="D138" s="34">
        <v>210926.49999999997</v>
      </c>
      <c r="E138">
        <v>1246232491</v>
      </c>
      <c r="F138" s="30">
        <v>46264</v>
      </c>
      <c r="H138" t="s">
        <v>172</v>
      </c>
      <c r="I138" t="s">
        <v>173</v>
      </c>
      <c r="J138">
        <v>9006</v>
      </c>
      <c r="K138" s="30">
        <v>45891</v>
      </c>
      <c r="L138">
        <v>1010100</v>
      </c>
      <c r="M138" t="s">
        <v>35</v>
      </c>
      <c r="N138">
        <v>56</v>
      </c>
      <c r="O138" t="s">
        <v>161</v>
      </c>
      <c r="P138" t="s">
        <v>181</v>
      </c>
      <c r="Q138">
        <f t="shared" si="2"/>
        <v>-123</v>
      </c>
      <c r="R138" t="str">
        <f>_xlfn.XLOOKUP(P138,'Painel Fertilizers'!$B:$B,'Painel Fertilizers'!$B:$B,0)</f>
        <v>AGROVIVA</v>
      </c>
    </row>
    <row r="139" spans="1:18" x14ac:dyDescent="0.25">
      <c r="A139">
        <v>7060</v>
      </c>
      <c r="B139" t="s">
        <v>181</v>
      </c>
      <c r="C139" t="s">
        <v>182</v>
      </c>
      <c r="D139" s="34">
        <v>130331.92</v>
      </c>
      <c r="E139">
        <v>1246232349</v>
      </c>
      <c r="F139" s="30">
        <v>46144</v>
      </c>
      <c r="H139" t="s">
        <v>172</v>
      </c>
      <c r="I139" t="s">
        <v>173</v>
      </c>
      <c r="J139">
        <v>8975</v>
      </c>
      <c r="K139" s="30">
        <v>45890</v>
      </c>
      <c r="L139">
        <v>1010100</v>
      </c>
      <c r="M139" t="s">
        <v>35</v>
      </c>
      <c r="N139">
        <v>56</v>
      </c>
      <c r="O139" t="s">
        <v>161</v>
      </c>
      <c r="P139" t="s">
        <v>181</v>
      </c>
      <c r="Q139">
        <f t="shared" si="2"/>
        <v>-3</v>
      </c>
      <c r="R139" t="str">
        <f>_xlfn.XLOOKUP(P139,'Painel Fertilizers'!$B:$B,'Painel Fertilizers'!$B:$B,0)</f>
        <v>AGROVIVA</v>
      </c>
    </row>
    <row r="140" spans="1:18" x14ac:dyDescent="0.25">
      <c r="A140">
        <v>7060</v>
      </c>
      <c r="B140" t="s">
        <v>181</v>
      </c>
      <c r="C140" t="s">
        <v>182</v>
      </c>
      <c r="D140" s="34">
        <v>6817.24</v>
      </c>
      <c r="E140">
        <v>1246232336</v>
      </c>
      <c r="F140" s="30">
        <v>46144</v>
      </c>
      <c r="H140" t="s">
        <v>172</v>
      </c>
      <c r="I140" t="s">
        <v>173</v>
      </c>
      <c r="J140">
        <v>8973</v>
      </c>
      <c r="K140" s="30">
        <v>45890</v>
      </c>
      <c r="L140">
        <v>1010100</v>
      </c>
      <c r="M140" t="s">
        <v>35</v>
      </c>
      <c r="N140">
        <v>56</v>
      </c>
      <c r="O140" t="s">
        <v>161</v>
      </c>
      <c r="P140" t="s">
        <v>181</v>
      </c>
      <c r="Q140">
        <f t="shared" si="2"/>
        <v>-3</v>
      </c>
      <c r="R140" t="str">
        <f>_xlfn.XLOOKUP(P140,'Painel Fertilizers'!$B:$B,'Painel Fertilizers'!$B:$B,0)</f>
        <v>AGROVIVA</v>
      </c>
    </row>
    <row r="141" spans="1:18" x14ac:dyDescent="0.25">
      <c r="A141">
        <v>7060</v>
      </c>
      <c r="B141" t="s">
        <v>181</v>
      </c>
      <c r="C141" t="s">
        <v>182</v>
      </c>
      <c r="D141" s="34">
        <v>135891.48000000001</v>
      </c>
      <c r="E141">
        <v>1246233319</v>
      </c>
      <c r="F141" s="30">
        <v>46266</v>
      </c>
      <c r="H141" t="s">
        <v>172</v>
      </c>
      <c r="I141" t="s">
        <v>173</v>
      </c>
      <c r="J141">
        <v>9076</v>
      </c>
      <c r="K141" s="30">
        <v>45896</v>
      </c>
      <c r="L141">
        <v>1010100</v>
      </c>
      <c r="M141" t="s">
        <v>35</v>
      </c>
      <c r="N141">
        <v>56</v>
      </c>
      <c r="O141" t="s">
        <v>161</v>
      </c>
      <c r="P141" t="s">
        <v>181</v>
      </c>
      <c r="Q141">
        <f t="shared" si="2"/>
        <v>-125</v>
      </c>
      <c r="R141" t="str">
        <f>_xlfn.XLOOKUP(P141,'Painel Fertilizers'!$B:$B,'Painel Fertilizers'!$B:$B,0)</f>
        <v>AGROVIVA</v>
      </c>
    </row>
    <row r="142" spans="1:18" x14ac:dyDescent="0.25">
      <c r="A142">
        <v>7060</v>
      </c>
      <c r="B142" t="s">
        <v>181</v>
      </c>
      <c r="C142" t="s">
        <v>182</v>
      </c>
      <c r="D142" s="34">
        <v>137584.20000000001</v>
      </c>
      <c r="E142">
        <v>1246232316</v>
      </c>
      <c r="F142" s="30">
        <v>46144</v>
      </c>
      <c r="H142" t="s">
        <v>172</v>
      </c>
      <c r="I142" t="s">
        <v>173</v>
      </c>
      <c r="J142">
        <v>8971</v>
      </c>
      <c r="K142" s="30">
        <v>45890</v>
      </c>
      <c r="L142">
        <v>1010100</v>
      </c>
      <c r="M142" t="s">
        <v>35</v>
      </c>
      <c r="N142">
        <v>56</v>
      </c>
      <c r="O142" t="s">
        <v>161</v>
      </c>
      <c r="P142" t="s">
        <v>181</v>
      </c>
      <c r="Q142">
        <f t="shared" si="2"/>
        <v>-3</v>
      </c>
      <c r="R142" t="str">
        <f>_xlfn.XLOOKUP(P142,'Painel Fertilizers'!$B:$B,'Painel Fertilizers'!$B:$B,0)</f>
        <v>AGROVIVA</v>
      </c>
    </row>
    <row r="143" spans="1:18" x14ac:dyDescent="0.25">
      <c r="A143">
        <v>7060</v>
      </c>
      <c r="B143" t="s">
        <v>181</v>
      </c>
      <c r="C143" t="s">
        <v>182</v>
      </c>
      <c r="D143" s="34">
        <v>160304.14000000001</v>
      </c>
      <c r="E143">
        <v>1246232724</v>
      </c>
      <c r="F143" s="30">
        <v>46264</v>
      </c>
      <c r="H143" t="s">
        <v>172</v>
      </c>
      <c r="I143" t="s">
        <v>173</v>
      </c>
      <c r="J143">
        <v>9023</v>
      </c>
      <c r="K143" s="30">
        <v>45894</v>
      </c>
      <c r="L143">
        <v>1010100</v>
      </c>
      <c r="M143" t="s">
        <v>35</v>
      </c>
      <c r="N143">
        <v>56</v>
      </c>
      <c r="O143" t="s">
        <v>161</v>
      </c>
      <c r="P143" t="s">
        <v>181</v>
      </c>
      <c r="Q143">
        <f t="shared" si="2"/>
        <v>-123</v>
      </c>
      <c r="R143" t="str">
        <f>_xlfn.XLOOKUP(P143,'Painel Fertilizers'!$B:$B,'Painel Fertilizers'!$B:$B,0)</f>
        <v>AGROVIVA</v>
      </c>
    </row>
    <row r="144" spans="1:18" x14ac:dyDescent="0.25">
      <c r="A144">
        <v>7060</v>
      </c>
      <c r="B144" t="s">
        <v>181</v>
      </c>
      <c r="C144" t="s">
        <v>182</v>
      </c>
      <c r="D144" s="34">
        <v>134992.95999999999</v>
      </c>
      <c r="E144">
        <v>1246233318</v>
      </c>
      <c r="F144" s="30">
        <v>46265</v>
      </c>
      <c r="H144" t="s">
        <v>172</v>
      </c>
      <c r="I144" t="s">
        <v>173</v>
      </c>
      <c r="J144">
        <v>9075</v>
      </c>
      <c r="K144" s="30">
        <v>45896</v>
      </c>
      <c r="L144">
        <v>1010100</v>
      </c>
      <c r="M144" t="s">
        <v>35</v>
      </c>
      <c r="N144">
        <v>56</v>
      </c>
      <c r="O144" t="s">
        <v>161</v>
      </c>
      <c r="P144" t="s">
        <v>181</v>
      </c>
      <c r="Q144">
        <f t="shared" si="2"/>
        <v>-124</v>
      </c>
      <c r="R144" t="str">
        <f>_xlfn.XLOOKUP(P144,'Painel Fertilizers'!$B:$B,'Painel Fertilizers'!$B:$B,0)</f>
        <v>AGROVIVA</v>
      </c>
    </row>
    <row r="145" spans="1:18" x14ac:dyDescent="0.25">
      <c r="A145">
        <v>8187</v>
      </c>
      <c r="B145" t="s">
        <v>549</v>
      </c>
      <c r="C145" t="s">
        <v>314</v>
      </c>
      <c r="D145" s="34">
        <v>299642.08</v>
      </c>
      <c r="E145">
        <v>1246270723</v>
      </c>
      <c r="F145" s="30">
        <v>46357</v>
      </c>
      <c r="H145" t="s">
        <v>172</v>
      </c>
      <c r="I145" t="s">
        <v>173</v>
      </c>
      <c r="J145">
        <v>11075</v>
      </c>
      <c r="K145" s="30">
        <v>46120</v>
      </c>
      <c r="L145">
        <v>1010100</v>
      </c>
      <c r="M145" t="s">
        <v>35</v>
      </c>
      <c r="N145">
        <v>161</v>
      </c>
      <c r="O145" t="s">
        <v>160</v>
      </c>
      <c r="P145" t="s">
        <v>549</v>
      </c>
      <c r="Q145">
        <f t="shared" si="2"/>
        <v>-216</v>
      </c>
      <c r="R145" t="str">
        <f>_xlfn.XLOOKUP(P145,'Painel Fertilizers'!$B:$B,'Painel Fertilizers'!$B:$B,0)</f>
        <v>AGROREP. REPRESENTACOES AGRICOLAS</v>
      </c>
    </row>
    <row r="146" spans="1:18" x14ac:dyDescent="0.25">
      <c r="A146">
        <v>9298</v>
      </c>
      <c r="B146" t="s">
        <v>186</v>
      </c>
      <c r="C146" t="s">
        <v>187</v>
      </c>
      <c r="D146" s="34">
        <v>112475</v>
      </c>
      <c r="E146">
        <v>1246068948</v>
      </c>
      <c r="F146" s="30">
        <v>45555</v>
      </c>
      <c r="H146" t="s">
        <v>172</v>
      </c>
      <c r="I146" t="s">
        <v>173</v>
      </c>
      <c r="J146">
        <v>20763</v>
      </c>
      <c r="K146" s="30">
        <v>44984</v>
      </c>
      <c r="L146">
        <v>1010100</v>
      </c>
      <c r="M146" t="s">
        <v>35</v>
      </c>
      <c r="N146">
        <v>161</v>
      </c>
      <c r="O146" t="s">
        <v>160</v>
      </c>
      <c r="P146" t="s">
        <v>186</v>
      </c>
      <c r="Q146">
        <f t="shared" si="2"/>
        <v>586</v>
      </c>
      <c r="R146" t="str">
        <f>_xlfn.XLOOKUP(P146,'Painel Fertilizers'!$B:$B,'Painel Fertilizers'!$B:$B,0)</f>
        <v>TERRA FERTIL - MACHADO</v>
      </c>
    </row>
    <row r="147" spans="1:18" x14ac:dyDescent="0.25">
      <c r="A147">
        <v>9298</v>
      </c>
      <c r="B147" t="s">
        <v>186</v>
      </c>
      <c r="C147" t="s">
        <v>187</v>
      </c>
      <c r="D147" s="34">
        <v>149824</v>
      </c>
      <c r="E147">
        <v>1246068778</v>
      </c>
      <c r="F147" s="30">
        <v>45555</v>
      </c>
      <c r="H147" t="s">
        <v>172</v>
      </c>
      <c r="I147" t="s">
        <v>173</v>
      </c>
      <c r="J147">
        <v>20750</v>
      </c>
      <c r="K147" s="30">
        <v>44981</v>
      </c>
      <c r="L147">
        <v>1010100</v>
      </c>
      <c r="M147" t="s">
        <v>35</v>
      </c>
      <c r="N147">
        <v>161</v>
      </c>
      <c r="O147" t="s">
        <v>160</v>
      </c>
      <c r="P147" t="s">
        <v>186</v>
      </c>
      <c r="Q147">
        <f t="shared" ref="Q147:Q157" si="3">$R$1-F147</f>
        <v>586</v>
      </c>
      <c r="R147" t="str">
        <f>_xlfn.XLOOKUP(P147,'Painel Fertilizers'!$B:$B,'Painel Fertilizers'!$B:$B,0)</f>
        <v>TERRA FERTIL - MACHADO</v>
      </c>
    </row>
    <row r="148" spans="1:18" x14ac:dyDescent="0.25">
      <c r="A148">
        <v>9298</v>
      </c>
      <c r="B148" t="s">
        <v>186</v>
      </c>
      <c r="C148" t="s">
        <v>187</v>
      </c>
      <c r="D148" s="34">
        <v>119356.2</v>
      </c>
      <c r="E148">
        <v>1246068614</v>
      </c>
      <c r="F148" s="30">
        <v>45555</v>
      </c>
      <c r="H148" t="s">
        <v>172</v>
      </c>
      <c r="I148" t="s">
        <v>173</v>
      </c>
      <c r="J148">
        <v>20734</v>
      </c>
      <c r="K148" s="30">
        <v>44980</v>
      </c>
      <c r="L148">
        <v>1010100</v>
      </c>
      <c r="M148" t="s">
        <v>35</v>
      </c>
      <c r="N148">
        <v>161</v>
      </c>
      <c r="O148" t="s">
        <v>160</v>
      </c>
      <c r="P148" t="s">
        <v>186</v>
      </c>
      <c r="Q148">
        <f t="shared" si="3"/>
        <v>586</v>
      </c>
      <c r="R148" t="str">
        <f>_xlfn.XLOOKUP(P148,'Painel Fertilizers'!$B:$B,'Painel Fertilizers'!$B:$B,0)</f>
        <v>TERRA FERTIL - MACHADO</v>
      </c>
    </row>
    <row r="149" spans="1:18" x14ac:dyDescent="0.25">
      <c r="A149">
        <v>9298</v>
      </c>
      <c r="B149" t="s">
        <v>186</v>
      </c>
      <c r="C149" t="s">
        <v>187</v>
      </c>
      <c r="D149" s="34">
        <v>122521</v>
      </c>
      <c r="E149">
        <v>1246068997</v>
      </c>
      <c r="F149" s="30">
        <v>45555</v>
      </c>
      <c r="H149" t="s">
        <v>172</v>
      </c>
      <c r="I149" t="s">
        <v>173</v>
      </c>
      <c r="J149">
        <v>20767</v>
      </c>
      <c r="K149" s="30">
        <v>44984</v>
      </c>
      <c r="L149">
        <v>1010100</v>
      </c>
      <c r="M149" t="s">
        <v>35</v>
      </c>
      <c r="N149">
        <v>161</v>
      </c>
      <c r="O149" t="s">
        <v>160</v>
      </c>
      <c r="P149" t="s">
        <v>186</v>
      </c>
      <c r="Q149">
        <f t="shared" si="3"/>
        <v>586</v>
      </c>
      <c r="R149" t="str">
        <f>_xlfn.XLOOKUP(P149,'Painel Fertilizers'!$B:$B,'Painel Fertilizers'!$B:$B,0)</f>
        <v>TERRA FERTIL - MACHADO</v>
      </c>
    </row>
    <row r="150" spans="1:18" x14ac:dyDescent="0.25">
      <c r="A150">
        <v>9298</v>
      </c>
      <c r="B150" t="s">
        <v>186</v>
      </c>
      <c r="C150" t="s">
        <v>187</v>
      </c>
      <c r="D150" s="34">
        <v>118731.49</v>
      </c>
      <c r="E150">
        <v>1246083500</v>
      </c>
      <c r="F150" s="30">
        <v>45555</v>
      </c>
      <c r="H150" t="s">
        <v>172</v>
      </c>
      <c r="I150" t="s">
        <v>173</v>
      </c>
      <c r="J150">
        <v>21456</v>
      </c>
      <c r="K150" s="30">
        <v>45070</v>
      </c>
      <c r="L150">
        <v>1010100</v>
      </c>
      <c r="M150" t="s">
        <v>35</v>
      </c>
      <c r="N150">
        <v>161</v>
      </c>
      <c r="O150" t="s">
        <v>160</v>
      </c>
      <c r="P150" t="s">
        <v>186</v>
      </c>
      <c r="Q150">
        <f t="shared" si="3"/>
        <v>586</v>
      </c>
      <c r="R150" t="str">
        <f>_xlfn.XLOOKUP(P150,'Painel Fertilizers'!$B:$B,'Painel Fertilizers'!$B:$B,0)</f>
        <v>TERRA FERTIL - MACHADO</v>
      </c>
    </row>
    <row r="151" spans="1:18" x14ac:dyDescent="0.25">
      <c r="A151">
        <v>9298</v>
      </c>
      <c r="B151" t="s">
        <v>186</v>
      </c>
      <c r="C151" t="s">
        <v>187</v>
      </c>
      <c r="D151" s="34">
        <v>52557.4</v>
      </c>
      <c r="E151">
        <v>1246083373</v>
      </c>
      <c r="F151" s="30">
        <v>45555</v>
      </c>
      <c r="H151" t="s">
        <v>172</v>
      </c>
      <c r="I151" t="s">
        <v>173</v>
      </c>
      <c r="J151">
        <v>21444</v>
      </c>
      <c r="K151" s="30">
        <v>45069</v>
      </c>
      <c r="L151">
        <v>1010100</v>
      </c>
      <c r="M151" t="s">
        <v>35</v>
      </c>
      <c r="N151">
        <v>161</v>
      </c>
      <c r="O151" t="s">
        <v>160</v>
      </c>
      <c r="P151" t="s">
        <v>186</v>
      </c>
      <c r="Q151">
        <f t="shared" si="3"/>
        <v>586</v>
      </c>
      <c r="R151" t="str">
        <f>_xlfn.XLOOKUP(P151,'Painel Fertilizers'!$B:$B,'Painel Fertilizers'!$B:$B,0)</f>
        <v>TERRA FERTIL - MACHADO</v>
      </c>
    </row>
    <row r="152" spans="1:18" x14ac:dyDescent="0.25">
      <c r="A152">
        <v>9298</v>
      </c>
      <c r="B152" t="s">
        <v>186</v>
      </c>
      <c r="C152" t="s">
        <v>187</v>
      </c>
      <c r="D152" s="34">
        <v>13957.5</v>
      </c>
      <c r="E152">
        <v>1246084673</v>
      </c>
      <c r="F152" s="30">
        <v>45555</v>
      </c>
      <c r="H152" t="s">
        <v>172</v>
      </c>
      <c r="I152" t="s">
        <v>173</v>
      </c>
      <c r="J152">
        <v>21538</v>
      </c>
      <c r="K152" s="30">
        <v>45077</v>
      </c>
      <c r="L152">
        <v>1010100</v>
      </c>
      <c r="M152" t="s">
        <v>35</v>
      </c>
      <c r="N152">
        <v>161</v>
      </c>
      <c r="O152" t="s">
        <v>160</v>
      </c>
      <c r="P152" t="s">
        <v>186</v>
      </c>
      <c r="Q152">
        <f t="shared" si="3"/>
        <v>586</v>
      </c>
      <c r="R152" t="str">
        <f>_xlfn.XLOOKUP(P152,'Painel Fertilizers'!$B:$B,'Painel Fertilizers'!$B:$B,0)</f>
        <v>TERRA FERTIL - MACHADO</v>
      </c>
    </row>
    <row r="153" spans="1:18" x14ac:dyDescent="0.25">
      <c r="A153">
        <v>9298</v>
      </c>
      <c r="B153" t="s">
        <v>186</v>
      </c>
      <c r="C153" t="s">
        <v>187</v>
      </c>
      <c r="D153" s="34">
        <v>40756.75</v>
      </c>
      <c r="E153">
        <v>1246084671</v>
      </c>
      <c r="F153" s="30">
        <v>45555</v>
      </c>
      <c r="H153" t="s">
        <v>172</v>
      </c>
      <c r="I153" t="s">
        <v>173</v>
      </c>
      <c r="J153">
        <v>21537</v>
      </c>
      <c r="K153" s="30">
        <v>45077</v>
      </c>
      <c r="L153">
        <v>1010100</v>
      </c>
      <c r="M153" t="s">
        <v>35</v>
      </c>
      <c r="N153">
        <v>161</v>
      </c>
      <c r="O153" t="s">
        <v>160</v>
      </c>
      <c r="P153" t="s">
        <v>186</v>
      </c>
      <c r="Q153">
        <f t="shared" si="3"/>
        <v>586</v>
      </c>
      <c r="R153" t="str">
        <f>_xlfn.XLOOKUP(P153,'Painel Fertilizers'!$B:$B,'Painel Fertilizers'!$B:$B,0)</f>
        <v>TERRA FERTIL - MACHADO</v>
      </c>
    </row>
    <row r="154" spans="1:18" x14ac:dyDescent="0.25">
      <c r="A154">
        <v>9298</v>
      </c>
      <c r="B154" t="s">
        <v>186</v>
      </c>
      <c r="C154" t="s">
        <v>187</v>
      </c>
      <c r="D154" s="34">
        <v>13238.05</v>
      </c>
      <c r="E154">
        <v>1246088994</v>
      </c>
      <c r="F154" s="30">
        <v>45555</v>
      </c>
      <c r="H154" t="s">
        <v>172</v>
      </c>
      <c r="I154" t="s">
        <v>173</v>
      </c>
      <c r="J154">
        <v>20723</v>
      </c>
      <c r="K154" s="30">
        <v>44979</v>
      </c>
      <c r="L154">
        <v>1010100</v>
      </c>
      <c r="M154" t="s">
        <v>35</v>
      </c>
      <c r="N154">
        <v>161</v>
      </c>
      <c r="O154" t="s">
        <v>160</v>
      </c>
      <c r="P154" t="s">
        <v>186</v>
      </c>
      <c r="Q154">
        <f t="shared" si="3"/>
        <v>586</v>
      </c>
      <c r="R154" t="str">
        <f>_xlfn.XLOOKUP(P154,'Painel Fertilizers'!$B:$B,'Painel Fertilizers'!$B:$B,0)</f>
        <v>TERRA FERTIL - MACHADO</v>
      </c>
    </row>
    <row r="155" spans="1:18" x14ac:dyDescent="0.25">
      <c r="A155">
        <v>9298</v>
      </c>
      <c r="B155" t="s">
        <v>186</v>
      </c>
      <c r="C155" t="s">
        <v>187</v>
      </c>
      <c r="D155" s="34">
        <v>118788.8</v>
      </c>
      <c r="E155">
        <v>1246099199</v>
      </c>
      <c r="F155" s="30">
        <v>45562</v>
      </c>
      <c r="H155" t="s">
        <v>172</v>
      </c>
      <c r="I155" t="s">
        <v>173</v>
      </c>
      <c r="J155">
        <v>768</v>
      </c>
      <c r="K155" s="30">
        <v>45159</v>
      </c>
      <c r="L155">
        <v>1010100</v>
      </c>
      <c r="M155" t="s">
        <v>35</v>
      </c>
      <c r="N155">
        <v>161</v>
      </c>
      <c r="O155" t="s">
        <v>160</v>
      </c>
      <c r="P155" t="s">
        <v>186</v>
      </c>
      <c r="Q155">
        <f t="shared" si="3"/>
        <v>579</v>
      </c>
      <c r="R155" t="str">
        <f>_xlfn.XLOOKUP(P155,'Painel Fertilizers'!$B:$B,'Painel Fertilizers'!$B:$B,0)</f>
        <v>TERRA FERTIL - MACHADO</v>
      </c>
    </row>
    <row r="156" spans="1:18" x14ac:dyDescent="0.25">
      <c r="A156">
        <v>9298</v>
      </c>
      <c r="B156" t="s">
        <v>186</v>
      </c>
      <c r="C156" t="s">
        <v>187</v>
      </c>
      <c r="D156" s="34">
        <v>118788.8</v>
      </c>
      <c r="E156">
        <v>1246099294</v>
      </c>
      <c r="F156" s="30">
        <v>45562</v>
      </c>
      <c r="H156" t="s">
        <v>172</v>
      </c>
      <c r="I156" t="s">
        <v>173</v>
      </c>
      <c r="J156">
        <v>777</v>
      </c>
      <c r="K156" s="30">
        <v>45159</v>
      </c>
      <c r="L156">
        <v>1010100</v>
      </c>
      <c r="M156" t="s">
        <v>35</v>
      </c>
      <c r="N156">
        <v>161</v>
      </c>
      <c r="O156" t="s">
        <v>160</v>
      </c>
      <c r="P156" t="s">
        <v>186</v>
      </c>
      <c r="Q156">
        <f t="shared" si="3"/>
        <v>579</v>
      </c>
      <c r="R156" t="str">
        <f>_xlfn.XLOOKUP(P156,'Painel Fertilizers'!$B:$B,'Painel Fertilizers'!$B:$B,0)</f>
        <v>TERRA FERTIL - MACHADO</v>
      </c>
    </row>
    <row r="157" spans="1:18" x14ac:dyDescent="0.25">
      <c r="A157">
        <v>9298</v>
      </c>
      <c r="B157" t="s">
        <v>186</v>
      </c>
      <c r="C157" t="s">
        <v>187</v>
      </c>
      <c r="D157" s="34">
        <v>148492.1</v>
      </c>
      <c r="E157">
        <v>1246105304</v>
      </c>
      <c r="F157" s="30">
        <v>45555</v>
      </c>
      <c r="H157" t="s">
        <v>172</v>
      </c>
      <c r="I157" t="s">
        <v>173</v>
      </c>
      <c r="J157">
        <v>1270</v>
      </c>
      <c r="K157" s="30">
        <v>45190</v>
      </c>
      <c r="L157">
        <v>1010100</v>
      </c>
      <c r="M157" t="s">
        <v>35</v>
      </c>
      <c r="N157">
        <v>161</v>
      </c>
      <c r="O157" t="s">
        <v>160</v>
      </c>
      <c r="P157" t="s">
        <v>186</v>
      </c>
      <c r="Q157">
        <f t="shared" si="3"/>
        <v>586</v>
      </c>
      <c r="R157" t="str">
        <f>_xlfn.XLOOKUP(P157,'Painel Fertilizers'!$B:$B,'Painel Fertilizers'!$B:$B,0)</f>
        <v>TERRA FERTIL - MACHADO</v>
      </c>
    </row>
    <row r="158" spans="1:18" x14ac:dyDescent="0.25">
      <c r="A158">
        <v>9298</v>
      </c>
      <c r="B158" t="s">
        <v>186</v>
      </c>
      <c r="C158" t="s">
        <v>187</v>
      </c>
      <c r="D158" s="34">
        <v>79894</v>
      </c>
      <c r="E158">
        <v>1246114860</v>
      </c>
      <c r="F158" s="30">
        <v>45555</v>
      </c>
      <c r="H158" t="s">
        <v>172</v>
      </c>
      <c r="I158" t="s">
        <v>173</v>
      </c>
      <c r="J158">
        <v>1951</v>
      </c>
      <c r="K158" s="30">
        <v>45243</v>
      </c>
      <c r="L158">
        <v>1010100</v>
      </c>
      <c r="M158" t="s">
        <v>35</v>
      </c>
      <c r="N158">
        <v>161</v>
      </c>
      <c r="O158" t="s">
        <v>160</v>
      </c>
      <c r="P158" t="s">
        <v>186</v>
      </c>
      <c r="Q158">
        <f t="shared" si="2"/>
        <v>586</v>
      </c>
      <c r="R158" t="str">
        <f>_xlfn.XLOOKUP(P158,'Painel Fertilizers'!$B:$B,'Painel Fertilizers'!$B:$B,0)</f>
        <v>TERRA FERTIL - MACHADO</v>
      </c>
    </row>
    <row r="159" spans="1:18" x14ac:dyDescent="0.25">
      <c r="A159">
        <v>9298</v>
      </c>
      <c r="B159" t="s">
        <v>186</v>
      </c>
      <c r="C159" t="s">
        <v>187</v>
      </c>
      <c r="D159" s="34">
        <v>123567.8</v>
      </c>
      <c r="E159">
        <v>1246103672</v>
      </c>
      <c r="F159" s="30">
        <v>45567</v>
      </c>
      <c r="H159" t="s">
        <v>172</v>
      </c>
      <c r="I159" t="s">
        <v>173</v>
      </c>
      <c r="J159">
        <v>1150</v>
      </c>
      <c r="K159" s="30">
        <v>45182</v>
      </c>
      <c r="L159">
        <v>1010100</v>
      </c>
      <c r="M159" t="s">
        <v>35</v>
      </c>
      <c r="N159">
        <v>161</v>
      </c>
      <c r="O159" t="s">
        <v>160</v>
      </c>
      <c r="P159" t="s">
        <v>186</v>
      </c>
      <c r="Q159">
        <f t="shared" si="2"/>
        <v>574</v>
      </c>
      <c r="R159" t="str">
        <f>_xlfn.XLOOKUP(P159,'Painel Fertilizers'!$B:$B,'Painel Fertilizers'!$B:$B,0)</f>
        <v>TERRA FERTIL - MACHADO</v>
      </c>
    </row>
    <row r="160" spans="1:18" x14ac:dyDescent="0.25">
      <c r="A160">
        <v>9298</v>
      </c>
      <c r="B160" t="s">
        <v>186</v>
      </c>
      <c r="C160" t="s">
        <v>187</v>
      </c>
      <c r="D160" s="34">
        <v>113355.6</v>
      </c>
      <c r="E160">
        <v>1246116199</v>
      </c>
      <c r="F160" s="30">
        <v>45561</v>
      </c>
      <c r="H160" t="s">
        <v>172</v>
      </c>
      <c r="I160" t="s">
        <v>173</v>
      </c>
      <c r="J160">
        <v>2054</v>
      </c>
      <c r="K160" s="30">
        <v>45252</v>
      </c>
      <c r="L160">
        <v>1010100</v>
      </c>
      <c r="M160" t="s">
        <v>35</v>
      </c>
      <c r="N160">
        <v>161</v>
      </c>
      <c r="O160" t="s">
        <v>160</v>
      </c>
      <c r="P160" t="s">
        <v>186</v>
      </c>
      <c r="Q160">
        <f t="shared" si="2"/>
        <v>580</v>
      </c>
      <c r="R160" t="str">
        <f>_xlfn.XLOOKUP(P160,'Painel Fertilizers'!$B:$B,'Painel Fertilizers'!$B:$B,0)</f>
        <v>TERRA FERTIL - MACHADO</v>
      </c>
    </row>
    <row r="161" spans="1:18" x14ac:dyDescent="0.25">
      <c r="A161">
        <v>9298</v>
      </c>
      <c r="B161" t="s">
        <v>186</v>
      </c>
      <c r="C161" t="s">
        <v>187</v>
      </c>
      <c r="D161" s="34">
        <v>143583.76</v>
      </c>
      <c r="E161">
        <v>1246106222</v>
      </c>
      <c r="F161" s="30">
        <v>45560</v>
      </c>
      <c r="H161" t="s">
        <v>172</v>
      </c>
      <c r="I161" t="s">
        <v>173</v>
      </c>
      <c r="J161">
        <v>1341</v>
      </c>
      <c r="K161" s="30">
        <v>45195</v>
      </c>
      <c r="L161">
        <v>1010100</v>
      </c>
      <c r="M161" t="s">
        <v>35</v>
      </c>
      <c r="N161">
        <v>161</v>
      </c>
      <c r="O161" t="s">
        <v>160</v>
      </c>
      <c r="P161" t="s">
        <v>186</v>
      </c>
      <c r="Q161">
        <f t="shared" si="2"/>
        <v>581</v>
      </c>
      <c r="R161" t="str">
        <f>_xlfn.XLOOKUP(P161,'Painel Fertilizers'!$B:$B,'Painel Fertilizers'!$B:$B,0)</f>
        <v>TERRA FERTIL - MACHADO</v>
      </c>
    </row>
    <row r="162" spans="1:18" x14ac:dyDescent="0.25">
      <c r="A162">
        <v>9298</v>
      </c>
      <c r="B162" t="s">
        <v>186</v>
      </c>
      <c r="C162" t="s">
        <v>187</v>
      </c>
      <c r="D162" s="34">
        <v>55612.2</v>
      </c>
      <c r="E162">
        <v>1246104999</v>
      </c>
      <c r="F162" s="30">
        <v>45555</v>
      </c>
      <c r="H162" t="s">
        <v>172</v>
      </c>
      <c r="I162" t="s">
        <v>173</v>
      </c>
      <c r="J162">
        <v>1249</v>
      </c>
      <c r="K162" s="30">
        <v>45189</v>
      </c>
      <c r="L162">
        <v>1010100</v>
      </c>
      <c r="M162" t="s">
        <v>35</v>
      </c>
      <c r="N162">
        <v>161</v>
      </c>
      <c r="O162" t="s">
        <v>160</v>
      </c>
      <c r="P162" t="s">
        <v>186</v>
      </c>
      <c r="Q162">
        <f t="shared" si="2"/>
        <v>586</v>
      </c>
      <c r="R162" t="str">
        <f>_xlfn.XLOOKUP(P162,'Painel Fertilizers'!$B:$B,'Painel Fertilizers'!$B:$B,0)</f>
        <v>TERRA FERTIL - MACHADO</v>
      </c>
    </row>
    <row r="163" spans="1:18" x14ac:dyDescent="0.25">
      <c r="A163">
        <v>9298</v>
      </c>
      <c r="B163" t="s">
        <v>186</v>
      </c>
      <c r="C163" t="s">
        <v>187</v>
      </c>
      <c r="D163" s="34">
        <v>64234.84</v>
      </c>
      <c r="E163">
        <v>1246115394</v>
      </c>
      <c r="F163" s="30">
        <v>45555</v>
      </c>
      <c r="H163" t="s">
        <v>172</v>
      </c>
      <c r="I163" t="s">
        <v>173</v>
      </c>
      <c r="J163">
        <v>1991</v>
      </c>
      <c r="K163" s="30">
        <v>45246</v>
      </c>
      <c r="L163">
        <v>1010100</v>
      </c>
      <c r="M163" t="s">
        <v>35</v>
      </c>
      <c r="N163">
        <v>161</v>
      </c>
      <c r="O163" t="s">
        <v>160</v>
      </c>
      <c r="P163" t="s">
        <v>186</v>
      </c>
      <c r="Q163">
        <f t="shared" si="2"/>
        <v>586</v>
      </c>
      <c r="R163" t="str">
        <f>_xlfn.XLOOKUP(P163,'Painel Fertilizers'!$B:$B,'Painel Fertilizers'!$B:$B,0)</f>
        <v>TERRA FERTIL - MACHADO</v>
      </c>
    </row>
    <row r="164" spans="1:18" x14ac:dyDescent="0.25">
      <c r="A164">
        <v>9298</v>
      </c>
      <c r="B164" t="s">
        <v>186</v>
      </c>
      <c r="C164" t="s">
        <v>187</v>
      </c>
      <c r="D164" s="34">
        <v>54534.2</v>
      </c>
      <c r="E164">
        <v>1246115392</v>
      </c>
      <c r="F164" s="30">
        <v>45555</v>
      </c>
      <c r="H164" t="s">
        <v>172</v>
      </c>
      <c r="I164" t="s">
        <v>173</v>
      </c>
      <c r="J164">
        <v>1990</v>
      </c>
      <c r="K164" s="30">
        <v>45246</v>
      </c>
      <c r="L164">
        <v>1010100</v>
      </c>
      <c r="M164" t="s">
        <v>35</v>
      </c>
      <c r="N164">
        <v>161</v>
      </c>
      <c r="O164" t="s">
        <v>160</v>
      </c>
      <c r="P164" t="s">
        <v>186</v>
      </c>
      <c r="Q164">
        <f t="shared" si="2"/>
        <v>586</v>
      </c>
      <c r="R164" t="str">
        <f>_xlfn.XLOOKUP(P164,'Painel Fertilizers'!$B:$B,'Painel Fertilizers'!$B:$B,0)</f>
        <v>TERRA FERTIL - MACHADO</v>
      </c>
    </row>
    <row r="165" spans="1:18" x14ac:dyDescent="0.25">
      <c r="A165">
        <v>9298</v>
      </c>
      <c r="B165" t="s">
        <v>186</v>
      </c>
      <c r="C165" t="s">
        <v>187</v>
      </c>
      <c r="D165" s="34">
        <v>139293.64000000001</v>
      </c>
      <c r="E165">
        <v>1246105902</v>
      </c>
      <c r="F165" s="30">
        <v>45559</v>
      </c>
      <c r="H165" t="s">
        <v>172</v>
      </c>
      <c r="I165" t="s">
        <v>173</v>
      </c>
      <c r="J165">
        <v>1319</v>
      </c>
      <c r="K165" s="30">
        <v>45194</v>
      </c>
      <c r="L165">
        <v>1010100</v>
      </c>
      <c r="M165" t="s">
        <v>35</v>
      </c>
      <c r="N165">
        <v>161</v>
      </c>
      <c r="O165" t="s">
        <v>160</v>
      </c>
      <c r="P165" t="s">
        <v>186</v>
      </c>
      <c r="Q165">
        <f t="shared" si="2"/>
        <v>582</v>
      </c>
      <c r="R165" t="str">
        <f>_xlfn.XLOOKUP(P165,'Painel Fertilizers'!$B:$B,'Painel Fertilizers'!$B:$B,0)</f>
        <v>TERRA FERTIL - MACHADO</v>
      </c>
    </row>
    <row r="166" spans="1:18" x14ac:dyDescent="0.25">
      <c r="A166">
        <v>9298</v>
      </c>
      <c r="B166" t="s">
        <v>186</v>
      </c>
      <c r="C166" t="s">
        <v>187</v>
      </c>
      <c r="D166" s="34">
        <v>68013.36</v>
      </c>
      <c r="E166">
        <v>1246114866</v>
      </c>
      <c r="F166" s="30">
        <v>45555</v>
      </c>
      <c r="H166" t="s">
        <v>172</v>
      </c>
      <c r="I166" t="s">
        <v>173</v>
      </c>
      <c r="J166">
        <v>1952</v>
      </c>
      <c r="K166" s="30">
        <v>45243</v>
      </c>
      <c r="L166">
        <v>1010100</v>
      </c>
      <c r="M166" t="s">
        <v>35</v>
      </c>
      <c r="N166">
        <v>161</v>
      </c>
      <c r="O166" t="s">
        <v>160</v>
      </c>
      <c r="P166" t="s">
        <v>186</v>
      </c>
      <c r="Q166">
        <f t="shared" si="2"/>
        <v>586</v>
      </c>
      <c r="R166" t="str">
        <f>_xlfn.XLOOKUP(P166,'Painel Fertilizers'!$B:$B,'Painel Fertilizers'!$B:$B,0)</f>
        <v>TERRA FERTIL - MACHADO</v>
      </c>
    </row>
    <row r="167" spans="1:18" x14ac:dyDescent="0.25">
      <c r="A167">
        <v>9298</v>
      </c>
      <c r="B167" t="s">
        <v>186</v>
      </c>
      <c r="C167" t="s">
        <v>187</v>
      </c>
      <c r="D167" s="34">
        <v>55611.199999999997</v>
      </c>
      <c r="E167">
        <v>1246167304</v>
      </c>
      <c r="F167" s="30">
        <v>45555</v>
      </c>
      <c r="H167" t="s">
        <v>172</v>
      </c>
      <c r="I167" t="s">
        <v>173</v>
      </c>
      <c r="J167">
        <v>1244</v>
      </c>
      <c r="K167" s="30">
        <v>45189</v>
      </c>
      <c r="L167">
        <v>1010100</v>
      </c>
      <c r="M167" t="s">
        <v>35</v>
      </c>
      <c r="N167">
        <v>161</v>
      </c>
      <c r="O167" t="s">
        <v>160</v>
      </c>
      <c r="P167" t="s">
        <v>186</v>
      </c>
      <c r="Q167">
        <f t="shared" si="2"/>
        <v>586</v>
      </c>
      <c r="R167" t="str">
        <f>_xlfn.XLOOKUP(P167,'Painel Fertilizers'!$B:$B,'Painel Fertilizers'!$B:$B,0)</f>
        <v>TERRA FERTIL - MACHADO</v>
      </c>
    </row>
    <row r="168" spans="1:18" x14ac:dyDescent="0.25">
      <c r="A168">
        <v>9298</v>
      </c>
      <c r="B168" t="s">
        <v>186</v>
      </c>
      <c r="C168" t="s">
        <v>187</v>
      </c>
      <c r="D168" s="34">
        <v>104546.96</v>
      </c>
      <c r="E168">
        <v>1246244742</v>
      </c>
      <c r="F168" s="30">
        <v>45555</v>
      </c>
      <c r="H168" t="s">
        <v>172</v>
      </c>
      <c r="I168" t="s">
        <v>173</v>
      </c>
      <c r="J168">
        <v>20726</v>
      </c>
      <c r="K168" s="30">
        <v>44979</v>
      </c>
      <c r="L168">
        <v>1010100</v>
      </c>
      <c r="M168" t="s">
        <v>35</v>
      </c>
      <c r="N168">
        <v>161</v>
      </c>
      <c r="O168" t="s">
        <v>160</v>
      </c>
      <c r="P168" t="s">
        <v>186</v>
      </c>
      <c r="Q168">
        <f t="shared" si="2"/>
        <v>586</v>
      </c>
      <c r="R168" t="str">
        <f>_xlfn.XLOOKUP(P168,'Painel Fertilizers'!$B:$B,'Painel Fertilizers'!$B:$B,0)</f>
        <v>TERRA FERTIL - MACHADO</v>
      </c>
    </row>
    <row r="169" spans="1:18" x14ac:dyDescent="0.25">
      <c r="A169">
        <v>9298</v>
      </c>
      <c r="B169" t="s">
        <v>186</v>
      </c>
      <c r="C169" t="s">
        <v>187</v>
      </c>
      <c r="D169" s="34">
        <v>111799</v>
      </c>
      <c r="E169">
        <v>1246070436</v>
      </c>
      <c r="F169" s="30">
        <v>45555</v>
      </c>
      <c r="H169" t="s">
        <v>172</v>
      </c>
      <c r="I169" t="s">
        <v>173</v>
      </c>
      <c r="J169">
        <v>20815</v>
      </c>
      <c r="K169" s="30">
        <v>44991</v>
      </c>
      <c r="L169">
        <v>1010100</v>
      </c>
      <c r="M169" t="s">
        <v>35</v>
      </c>
      <c r="N169">
        <v>161</v>
      </c>
      <c r="O169" t="s">
        <v>160</v>
      </c>
      <c r="P169" t="s">
        <v>186</v>
      </c>
      <c r="Q169">
        <f t="shared" si="2"/>
        <v>586</v>
      </c>
      <c r="R169" t="str">
        <f>_xlfn.XLOOKUP(P169,'Painel Fertilizers'!$B:$B,'Painel Fertilizers'!$B:$B,0)</f>
        <v>TERRA FERTIL - MACHADO</v>
      </c>
    </row>
    <row r="170" spans="1:18" x14ac:dyDescent="0.25">
      <c r="A170">
        <v>9298</v>
      </c>
      <c r="B170" t="s">
        <v>186</v>
      </c>
      <c r="C170" t="s">
        <v>187</v>
      </c>
      <c r="D170" s="34">
        <v>65548</v>
      </c>
      <c r="E170">
        <v>1246070905</v>
      </c>
      <c r="F170" s="30">
        <v>45555</v>
      </c>
      <c r="H170" t="s">
        <v>172</v>
      </c>
      <c r="I170" t="s">
        <v>173</v>
      </c>
      <c r="J170">
        <v>20839</v>
      </c>
      <c r="K170" s="30">
        <v>44994</v>
      </c>
      <c r="L170">
        <v>1010100</v>
      </c>
      <c r="M170" t="s">
        <v>35</v>
      </c>
      <c r="N170">
        <v>161</v>
      </c>
      <c r="O170" t="s">
        <v>160</v>
      </c>
      <c r="P170" t="s">
        <v>186</v>
      </c>
      <c r="Q170">
        <f t="shared" si="2"/>
        <v>586</v>
      </c>
      <c r="R170" t="str">
        <f>_xlfn.XLOOKUP(P170,'Painel Fertilizers'!$B:$B,'Painel Fertilizers'!$B:$B,0)</f>
        <v>TERRA FERTIL - MACHADO</v>
      </c>
    </row>
    <row r="171" spans="1:18" x14ac:dyDescent="0.25">
      <c r="A171">
        <v>9298</v>
      </c>
      <c r="B171" t="s">
        <v>186</v>
      </c>
      <c r="C171" t="s">
        <v>187</v>
      </c>
      <c r="D171" s="34">
        <v>131203</v>
      </c>
      <c r="E171">
        <v>1246070820</v>
      </c>
      <c r="F171" s="30">
        <v>45555</v>
      </c>
      <c r="H171" t="s">
        <v>172</v>
      </c>
      <c r="I171" t="s">
        <v>173</v>
      </c>
      <c r="J171">
        <v>20836</v>
      </c>
      <c r="K171" s="30">
        <v>44993</v>
      </c>
      <c r="L171">
        <v>1010100</v>
      </c>
      <c r="M171" t="s">
        <v>35</v>
      </c>
      <c r="N171">
        <v>161</v>
      </c>
      <c r="O171" t="s">
        <v>160</v>
      </c>
      <c r="P171" t="s">
        <v>186</v>
      </c>
      <c r="Q171">
        <f t="shared" si="2"/>
        <v>586</v>
      </c>
      <c r="R171" t="str">
        <f>_xlfn.XLOOKUP(P171,'Painel Fertilizers'!$B:$B,'Painel Fertilizers'!$B:$B,0)</f>
        <v>TERRA FERTIL - MACHADO</v>
      </c>
    </row>
    <row r="172" spans="1:18" x14ac:dyDescent="0.25">
      <c r="A172">
        <v>9298</v>
      </c>
      <c r="B172" t="s">
        <v>186</v>
      </c>
      <c r="C172" t="s">
        <v>187</v>
      </c>
      <c r="D172" s="34">
        <v>52557.4</v>
      </c>
      <c r="E172">
        <v>1246083593</v>
      </c>
      <c r="F172" s="30">
        <v>45555</v>
      </c>
      <c r="H172" t="s">
        <v>172</v>
      </c>
      <c r="I172" t="s">
        <v>173</v>
      </c>
      <c r="J172">
        <v>21460</v>
      </c>
      <c r="K172" s="30">
        <v>45070</v>
      </c>
      <c r="L172">
        <v>1010100</v>
      </c>
      <c r="M172" t="s">
        <v>35</v>
      </c>
      <c r="N172">
        <v>161</v>
      </c>
      <c r="O172" t="s">
        <v>160</v>
      </c>
      <c r="P172" t="s">
        <v>186</v>
      </c>
      <c r="Q172">
        <f t="shared" si="2"/>
        <v>586</v>
      </c>
      <c r="R172" t="str">
        <f>_xlfn.XLOOKUP(P172,'Painel Fertilizers'!$B:$B,'Painel Fertilizers'!$B:$B,0)</f>
        <v>TERRA FERTIL - MACHADO</v>
      </c>
    </row>
    <row r="173" spans="1:18" x14ac:dyDescent="0.25">
      <c r="A173">
        <v>10454</v>
      </c>
      <c r="B173" t="s">
        <v>194</v>
      </c>
      <c r="C173" t="s">
        <v>195</v>
      </c>
      <c r="D173" s="34">
        <v>144418.20000000001</v>
      </c>
      <c r="E173">
        <v>1246051128</v>
      </c>
      <c r="F173" s="30">
        <v>45229</v>
      </c>
      <c r="H173" t="s">
        <v>172</v>
      </c>
      <c r="I173" t="s">
        <v>173</v>
      </c>
      <c r="J173">
        <v>19700</v>
      </c>
      <c r="K173" s="30">
        <v>44860</v>
      </c>
      <c r="L173">
        <v>1010100</v>
      </c>
      <c r="M173" t="s">
        <v>35</v>
      </c>
      <c r="N173">
        <v>161</v>
      </c>
      <c r="O173" t="s">
        <v>160</v>
      </c>
      <c r="P173" t="s">
        <v>194</v>
      </c>
      <c r="Q173">
        <f t="shared" si="2"/>
        <v>912</v>
      </c>
      <c r="R173" t="str">
        <f>_xlfn.XLOOKUP(P173,'Painel Fertilizers'!$B:$B,'Painel Fertilizers'!$B:$B,0)</f>
        <v>MOGIANA TECNO AGRO</v>
      </c>
    </row>
    <row r="174" spans="1:18" x14ac:dyDescent="0.25">
      <c r="A174">
        <v>10454</v>
      </c>
      <c r="B174" t="s">
        <v>194</v>
      </c>
      <c r="C174" t="s">
        <v>195</v>
      </c>
      <c r="D174" s="34">
        <v>144418.20000000001</v>
      </c>
      <c r="E174">
        <v>1246049220</v>
      </c>
      <c r="F174" s="30">
        <v>45229</v>
      </c>
      <c r="H174" t="s">
        <v>172</v>
      </c>
      <c r="I174" t="s">
        <v>173</v>
      </c>
      <c r="J174">
        <v>19589</v>
      </c>
      <c r="K174" s="30">
        <v>44852</v>
      </c>
      <c r="L174">
        <v>1010100</v>
      </c>
      <c r="M174" t="s">
        <v>35</v>
      </c>
      <c r="N174">
        <v>161</v>
      </c>
      <c r="O174" t="s">
        <v>160</v>
      </c>
      <c r="P174" t="s">
        <v>194</v>
      </c>
      <c r="Q174">
        <f t="shared" si="2"/>
        <v>912</v>
      </c>
      <c r="R174" t="str">
        <f>_xlfn.XLOOKUP(P174,'Painel Fertilizers'!$B:$B,'Painel Fertilizers'!$B:$B,0)</f>
        <v>MOGIANA TECNO AGRO</v>
      </c>
    </row>
    <row r="175" spans="1:18" x14ac:dyDescent="0.25">
      <c r="A175">
        <v>10454</v>
      </c>
      <c r="B175" t="s">
        <v>194</v>
      </c>
      <c r="C175" t="s">
        <v>195</v>
      </c>
      <c r="D175" s="34">
        <v>149099.07999999999</v>
      </c>
      <c r="E175">
        <v>1246058414</v>
      </c>
      <c r="F175" s="30">
        <v>45229</v>
      </c>
      <c r="H175" t="s">
        <v>172</v>
      </c>
      <c r="I175" t="s">
        <v>173</v>
      </c>
      <c r="J175">
        <v>20191</v>
      </c>
      <c r="K175" s="30">
        <v>44909</v>
      </c>
      <c r="L175">
        <v>1010100</v>
      </c>
      <c r="M175" t="s">
        <v>35</v>
      </c>
      <c r="N175">
        <v>161</v>
      </c>
      <c r="O175" t="s">
        <v>160</v>
      </c>
      <c r="P175" t="s">
        <v>194</v>
      </c>
      <c r="Q175">
        <f t="shared" si="2"/>
        <v>912</v>
      </c>
      <c r="R175" t="str">
        <f>_xlfn.XLOOKUP(P175,'Painel Fertilizers'!$B:$B,'Painel Fertilizers'!$B:$B,0)</f>
        <v>MOGIANA TECNO AGRO</v>
      </c>
    </row>
    <row r="176" spans="1:18" x14ac:dyDescent="0.25">
      <c r="A176">
        <v>10454</v>
      </c>
      <c r="B176" t="s">
        <v>194</v>
      </c>
      <c r="C176" t="s">
        <v>195</v>
      </c>
      <c r="D176" s="34">
        <v>151022.07999999999</v>
      </c>
      <c r="E176">
        <v>1246066481</v>
      </c>
      <c r="F176" s="30">
        <v>45229</v>
      </c>
      <c r="H176" t="s">
        <v>172</v>
      </c>
      <c r="I176" t="s">
        <v>173</v>
      </c>
      <c r="J176">
        <v>20644</v>
      </c>
      <c r="K176" s="30">
        <v>44965</v>
      </c>
      <c r="L176">
        <v>1010100</v>
      </c>
      <c r="M176" t="s">
        <v>35</v>
      </c>
      <c r="N176">
        <v>161</v>
      </c>
      <c r="O176" t="s">
        <v>160</v>
      </c>
      <c r="P176" t="s">
        <v>194</v>
      </c>
      <c r="Q176">
        <f t="shared" si="2"/>
        <v>912</v>
      </c>
      <c r="R176" t="str">
        <f>_xlfn.XLOOKUP(P176,'Painel Fertilizers'!$B:$B,'Painel Fertilizers'!$B:$B,0)</f>
        <v>MOGIANA TECNO AGRO</v>
      </c>
    </row>
    <row r="177" spans="1:18" x14ac:dyDescent="0.25">
      <c r="A177">
        <v>10454</v>
      </c>
      <c r="B177" t="s">
        <v>194</v>
      </c>
      <c r="C177" t="s">
        <v>195</v>
      </c>
      <c r="D177" s="34">
        <v>248498.47</v>
      </c>
      <c r="E177">
        <v>1246058556</v>
      </c>
      <c r="F177" s="30">
        <v>45229</v>
      </c>
      <c r="H177" t="s">
        <v>172</v>
      </c>
      <c r="I177" t="s">
        <v>173</v>
      </c>
      <c r="J177">
        <v>20197</v>
      </c>
      <c r="K177" s="30">
        <v>44909</v>
      </c>
      <c r="L177">
        <v>1010100</v>
      </c>
      <c r="M177" t="s">
        <v>35</v>
      </c>
      <c r="N177">
        <v>161</v>
      </c>
      <c r="O177" t="s">
        <v>160</v>
      </c>
      <c r="P177" t="s">
        <v>194</v>
      </c>
      <c r="Q177">
        <f t="shared" si="2"/>
        <v>912</v>
      </c>
      <c r="R177" t="str">
        <f>_xlfn.XLOOKUP(P177,'Painel Fertilizers'!$B:$B,'Painel Fertilizers'!$B:$B,0)</f>
        <v>MOGIANA TECNO AGRO</v>
      </c>
    </row>
    <row r="178" spans="1:18" x14ac:dyDescent="0.25">
      <c r="A178">
        <v>10454</v>
      </c>
      <c r="B178" t="s">
        <v>194</v>
      </c>
      <c r="C178" t="s">
        <v>195</v>
      </c>
      <c r="D178" s="34">
        <v>122816.13</v>
      </c>
      <c r="E178">
        <v>1246065495</v>
      </c>
      <c r="F178" s="30">
        <v>45229</v>
      </c>
      <c r="H178" t="s">
        <v>172</v>
      </c>
      <c r="I178" t="s">
        <v>173</v>
      </c>
      <c r="J178">
        <v>20599</v>
      </c>
      <c r="K178" s="30">
        <v>44958</v>
      </c>
      <c r="L178">
        <v>1010100</v>
      </c>
      <c r="M178" t="s">
        <v>35</v>
      </c>
      <c r="N178">
        <v>161</v>
      </c>
      <c r="O178" t="s">
        <v>160</v>
      </c>
      <c r="P178" t="s">
        <v>194</v>
      </c>
      <c r="Q178">
        <f t="shared" si="2"/>
        <v>912</v>
      </c>
      <c r="R178" t="str">
        <f>_xlfn.XLOOKUP(P178,'Painel Fertilizers'!$B:$B,'Painel Fertilizers'!$B:$B,0)</f>
        <v>MOGIANA TECNO AGRO</v>
      </c>
    </row>
    <row r="179" spans="1:18" x14ac:dyDescent="0.25">
      <c r="A179">
        <v>10454</v>
      </c>
      <c r="B179" t="s">
        <v>194</v>
      </c>
      <c r="C179" t="s">
        <v>195</v>
      </c>
      <c r="D179" s="34">
        <v>97567.15</v>
      </c>
      <c r="E179">
        <v>1246059110</v>
      </c>
      <c r="F179" s="30">
        <v>45229</v>
      </c>
      <c r="H179" t="s">
        <v>172</v>
      </c>
      <c r="I179" t="s">
        <v>173</v>
      </c>
      <c r="J179">
        <v>20229</v>
      </c>
      <c r="K179" s="30">
        <v>44911</v>
      </c>
      <c r="L179">
        <v>1010100</v>
      </c>
      <c r="M179" t="s">
        <v>35</v>
      </c>
      <c r="N179">
        <v>161</v>
      </c>
      <c r="O179" t="s">
        <v>160</v>
      </c>
      <c r="P179" t="s">
        <v>194</v>
      </c>
      <c r="Q179">
        <f t="shared" si="2"/>
        <v>912</v>
      </c>
      <c r="R179" t="str">
        <f>_xlfn.XLOOKUP(P179,'Painel Fertilizers'!$B:$B,'Painel Fertilizers'!$B:$B,0)</f>
        <v>MOGIANA TECNO AGRO</v>
      </c>
    </row>
    <row r="180" spans="1:18" x14ac:dyDescent="0.25">
      <c r="A180">
        <v>10454</v>
      </c>
      <c r="B180" t="s">
        <v>194</v>
      </c>
      <c r="C180" t="s">
        <v>195</v>
      </c>
      <c r="D180" s="34">
        <v>145199.79999999999</v>
      </c>
      <c r="E180">
        <v>1246057926</v>
      </c>
      <c r="F180" s="30">
        <v>45229</v>
      </c>
      <c r="H180" t="s">
        <v>172</v>
      </c>
      <c r="I180" t="s">
        <v>173</v>
      </c>
      <c r="J180">
        <v>20177</v>
      </c>
      <c r="K180" s="30">
        <v>44907</v>
      </c>
      <c r="L180">
        <v>1010100</v>
      </c>
      <c r="M180" t="s">
        <v>35</v>
      </c>
      <c r="N180">
        <v>161</v>
      </c>
      <c r="O180" t="s">
        <v>160</v>
      </c>
      <c r="P180" t="s">
        <v>194</v>
      </c>
      <c r="Q180">
        <f t="shared" si="2"/>
        <v>912</v>
      </c>
      <c r="R180" t="str">
        <f>_xlfn.XLOOKUP(P180,'Painel Fertilizers'!$B:$B,'Painel Fertilizers'!$B:$B,0)</f>
        <v>MOGIANA TECNO AGRO</v>
      </c>
    </row>
    <row r="181" spans="1:18" x14ac:dyDescent="0.25">
      <c r="A181">
        <v>10454</v>
      </c>
      <c r="B181" t="s">
        <v>194</v>
      </c>
      <c r="C181" t="s">
        <v>195</v>
      </c>
      <c r="D181" s="34">
        <v>85824.21</v>
      </c>
      <c r="E181">
        <v>1246058924</v>
      </c>
      <c r="F181" s="30">
        <v>45229</v>
      </c>
      <c r="H181" t="s">
        <v>172</v>
      </c>
      <c r="I181" t="s">
        <v>173</v>
      </c>
      <c r="J181">
        <v>20209</v>
      </c>
      <c r="K181" s="30">
        <v>44910</v>
      </c>
      <c r="L181">
        <v>1010100</v>
      </c>
      <c r="M181" t="s">
        <v>35</v>
      </c>
      <c r="N181">
        <v>161</v>
      </c>
      <c r="O181" t="s">
        <v>160</v>
      </c>
      <c r="P181" t="s">
        <v>194</v>
      </c>
      <c r="Q181">
        <f t="shared" si="2"/>
        <v>912</v>
      </c>
      <c r="R181" t="str">
        <f>_xlfn.XLOOKUP(P181,'Painel Fertilizers'!$B:$B,'Painel Fertilizers'!$B:$B,0)</f>
        <v>MOGIANA TECNO AGRO</v>
      </c>
    </row>
    <row r="182" spans="1:18" x14ac:dyDescent="0.25">
      <c r="A182">
        <v>10454</v>
      </c>
      <c r="B182" t="s">
        <v>194</v>
      </c>
      <c r="C182" t="s">
        <v>195</v>
      </c>
      <c r="D182" s="34">
        <v>154779.14000000001</v>
      </c>
      <c r="E182">
        <v>1246058289</v>
      </c>
      <c r="F182" s="30">
        <v>45229</v>
      </c>
      <c r="H182" t="s">
        <v>172</v>
      </c>
      <c r="I182" t="s">
        <v>173</v>
      </c>
      <c r="J182">
        <v>20187</v>
      </c>
      <c r="K182" s="30">
        <v>44908</v>
      </c>
      <c r="L182">
        <v>1010100</v>
      </c>
      <c r="M182" t="s">
        <v>35</v>
      </c>
      <c r="N182">
        <v>161</v>
      </c>
      <c r="O182" t="s">
        <v>160</v>
      </c>
      <c r="P182" t="s">
        <v>194</v>
      </c>
      <c r="Q182">
        <f t="shared" si="2"/>
        <v>912</v>
      </c>
      <c r="R182" t="str">
        <f>_xlfn.XLOOKUP(P182,'Painel Fertilizers'!$B:$B,'Painel Fertilizers'!$B:$B,0)</f>
        <v>MOGIANA TECNO AGRO</v>
      </c>
    </row>
    <row r="183" spans="1:18" x14ac:dyDescent="0.25">
      <c r="A183">
        <v>10454</v>
      </c>
      <c r="B183" t="s">
        <v>194</v>
      </c>
      <c r="C183" t="s">
        <v>195</v>
      </c>
      <c r="D183" s="34">
        <v>166124.28999999998</v>
      </c>
      <c r="E183">
        <v>1246066059</v>
      </c>
      <c r="F183" s="30">
        <v>45229</v>
      </c>
      <c r="H183" t="s">
        <v>172</v>
      </c>
      <c r="I183" t="s">
        <v>173</v>
      </c>
      <c r="J183">
        <v>20622</v>
      </c>
      <c r="K183" s="30">
        <v>44963</v>
      </c>
      <c r="L183">
        <v>1010100</v>
      </c>
      <c r="M183" t="s">
        <v>35</v>
      </c>
      <c r="N183">
        <v>161</v>
      </c>
      <c r="O183" t="s">
        <v>160</v>
      </c>
      <c r="P183" t="s">
        <v>194</v>
      </c>
      <c r="Q183">
        <f t="shared" si="2"/>
        <v>912</v>
      </c>
      <c r="R183" t="str">
        <f>_xlfn.XLOOKUP(P183,'Painel Fertilizers'!$B:$B,'Painel Fertilizers'!$B:$B,0)</f>
        <v>MOGIANA TECNO AGRO</v>
      </c>
    </row>
    <row r="184" spans="1:18" x14ac:dyDescent="0.25">
      <c r="A184">
        <v>10454</v>
      </c>
      <c r="B184" t="s">
        <v>194</v>
      </c>
      <c r="C184" t="s">
        <v>195</v>
      </c>
      <c r="D184" s="34">
        <v>151240.47</v>
      </c>
      <c r="E184">
        <v>1246059634</v>
      </c>
      <c r="F184" s="30">
        <v>45229</v>
      </c>
      <c r="H184" t="s">
        <v>172</v>
      </c>
      <c r="I184" t="s">
        <v>173</v>
      </c>
      <c r="J184">
        <v>20268</v>
      </c>
      <c r="K184" s="30">
        <v>44916</v>
      </c>
      <c r="L184">
        <v>1010100</v>
      </c>
      <c r="M184" t="s">
        <v>35</v>
      </c>
      <c r="N184">
        <v>161</v>
      </c>
      <c r="O184" t="s">
        <v>160</v>
      </c>
      <c r="P184" t="s">
        <v>194</v>
      </c>
      <c r="Q184">
        <f t="shared" si="2"/>
        <v>912</v>
      </c>
      <c r="R184" t="str">
        <f>_xlfn.XLOOKUP(P184,'Painel Fertilizers'!$B:$B,'Painel Fertilizers'!$B:$B,0)</f>
        <v>MOGIANA TECNO AGRO</v>
      </c>
    </row>
    <row r="185" spans="1:18" x14ac:dyDescent="0.25">
      <c r="A185">
        <v>10454</v>
      </c>
      <c r="B185" t="s">
        <v>194</v>
      </c>
      <c r="C185" t="s">
        <v>195</v>
      </c>
      <c r="D185" s="34">
        <v>102193.68</v>
      </c>
      <c r="E185">
        <v>1246216830</v>
      </c>
      <c r="F185" s="30">
        <v>45168</v>
      </c>
      <c r="H185" t="s">
        <v>172</v>
      </c>
      <c r="I185" t="s">
        <v>173</v>
      </c>
      <c r="J185">
        <v>19263</v>
      </c>
      <c r="K185" s="30">
        <v>44824</v>
      </c>
      <c r="L185">
        <v>1010100</v>
      </c>
      <c r="M185" t="s">
        <v>35</v>
      </c>
      <c r="N185">
        <v>161</v>
      </c>
      <c r="O185" t="s">
        <v>160</v>
      </c>
      <c r="P185" t="s">
        <v>194</v>
      </c>
      <c r="Q185">
        <f t="shared" si="2"/>
        <v>973</v>
      </c>
      <c r="R185" t="str">
        <f>_xlfn.XLOOKUP(P185,'Painel Fertilizers'!$B:$B,'Painel Fertilizers'!$B:$B,0)</f>
        <v>MOGIANA TECNO AGRO</v>
      </c>
    </row>
    <row r="186" spans="1:18" x14ac:dyDescent="0.25">
      <c r="A186">
        <v>11326</v>
      </c>
      <c r="B186" t="s">
        <v>196</v>
      </c>
      <c r="C186" t="s">
        <v>197</v>
      </c>
      <c r="D186" s="34">
        <v>131680</v>
      </c>
      <c r="E186">
        <v>1246234342</v>
      </c>
      <c r="F186" s="30">
        <v>46264</v>
      </c>
      <c r="H186" t="s">
        <v>172</v>
      </c>
      <c r="I186" t="s">
        <v>173</v>
      </c>
      <c r="J186">
        <v>9141</v>
      </c>
      <c r="K186" s="30">
        <v>45901</v>
      </c>
      <c r="L186">
        <v>1010100</v>
      </c>
      <c r="M186" t="s">
        <v>35</v>
      </c>
      <c r="N186">
        <v>161</v>
      </c>
      <c r="O186" t="s">
        <v>160</v>
      </c>
      <c r="P186" t="s">
        <v>196</v>
      </c>
      <c r="Q186">
        <f t="shared" si="2"/>
        <v>-123</v>
      </c>
      <c r="R186" t="str">
        <f>_xlfn.XLOOKUP(P186,'Painel Fertilizers'!$B:$B,'Painel Fertilizers'!$B:$B,0)</f>
        <v>VEGA AGRO</v>
      </c>
    </row>
    <row r="187" spans="1:18" x14ac:dyDescent="0.25">
      <c r="A187">
        <v>10456</v>
      </c>
      <c r="B187" t="s">
        <v>198</v>
      </c>
      <c r="C187" t="s">
        <v>199</v>
      </c>
      <c r="D187" s="34">
        <v>111322.27</v>
      </c>
      <c r="E187">
        <v>1246093334</v>
      </c>
      <c r="F187" s="30">
        <v>45537</v>
      </c>
      <c r="H187" t="s">
        <v>172</v>
      </c>
      <c r="I187" t="s">
        <v>173</v>
      </c>
      <c r="J187">
        <v>251</v>
      </c>
      <c r="K187" s="30">
        <v>45127</v>
      </c>
      <c r="L187">
        <v>1010100</v>
      </c>
      <c r="M187" t="s">
        <v>35</v>
      </c>
      <c r="N187">
        <v>161</v>
      </c>
      <c r="O187" t="s">
        <v>160</v>
      </c>
      <c r="P187" t="s">
        <v>198</v>
      </c>
      <c r="Q187">
        <f t="shared" si="2"/>
        <v>604</v>
      </c>
      <c r="R187" t="str">
        <f>_xlfn.XLOOKUP(P187,'Painel Fertilizers'!$B:$B,'Painel Fertilizers'!$B:$B,0)</f>
        <v>CASA DAS SEMENTES</v>
      </c>
    </row>
    <row r="188" spans="1:18" x14ac:dyDescent="0.25">
      <c r="A188">
        <v>10456</v>
      </c>
      <c r="B188" t="s">
        <v>198</v>
      </c>
      <c r="C188" t="s">
        <v>199</v>
      </c>
      <c r="D188" s="34">
        <v>118491.86</v>
      </c>
      <c r="E188">
        <v>1246097861</v>
      </c>
      <c r="F188" s="30">
        <v>45565</v>
      </c>
      <c r="H188" t="s">
        <v>172</v>
      </c>
      <c r="I188" t="s">
        <v>173</v>
      </c>
      <c r="J188">
        <v>683</v>
      </c>
      <c r="K188" s="30">
        <v>45152</v>
      </c>
      <c r="L188">
        <v>1010100</v>
      </c>
      <c r="M188" t="s">
        <v>35</v>
      </c>
      <c r="N188">
        <v>161</v>
      </c>
      <c r="O188" t="s">
        <v>160</v>
      </c>
      <c r="P188" t="s">
        <v>198</v>
      </c>
      <c r="Q188">
        <f t="shared" ref="Q188:Q248" si="4">$R$1-F188</f>
        <v>576</v>
      </c>
      <c r="R188" t="str">
        <f>_xlfn.XLOOKUP(P188,'Painel Fertilizers'!$B:$B,'Painel Fertilizers'!$B:$B,0)</f>
        <v>CASA DAS SEMENTES</v>
      </c>
    </row>
    <row r="189" spans="1:18" x14ac:dyDescent="0.25">
      <c r="A189">
        <v>10456</v>
      </c>
      <c r="B189" t="s">
        <v>198</v>
      </c>
      <c r="C189" t="s">
        <v>199</v>
      </c>
      <c r="D189" s="34">
        <v>117498.04</v>
      </c>
      <c r="E189">
        <v>1246099432</v>
      </c>
      <c r="F189" s="30">
        <v>45545</v>
      </c>
      <c r="H189" t="s">
        <v>172</v>
      </c>
      <c r="I189" t="s">
        <v>173</v>
      </c>
      <c r="J189">
        <v>787</v>
      </c>
      <c r="K189" s="30">
        <v>45160</v>
      </c>
      <c r="L189">
        <v>1010100</v>
      </c>
      <c r="M189" t="s">
        <v>35</v>
      </c>
      <c r="N189">
        <v>161</v>
      </c>
      <c r="O189" t="s">
        <v>160</v>
      </c>
      <c r="P189" t="s">
        <v>198</v>
      </c>
      <c r="Q189">
        <f t="shared" si="4"/>
        <v>596</v>
      </c>
      <c r="R189" t="str">
        <f>_xlfn.XLOOKUP(P189,'Painel Fertilizers'!$B:$B,'Painel Fertilizers'!$B:$B,0)</f>
        <v>CASA DAS SEMENTES</v>
      </c>
    </row>
    <row r="190" spans="1:18" x14ac:dyDescent="0.25">
      <c r="A190">
        <v>10456</v>
      </c>
      <c r="B190" t="s">
        <v>198</v>
      </c>
      <c r="C190" t="s">
        <v>199</v>
      </c>
      <c r="D190" s="34">
        <v>100560.82</v>
      </c>
      <c r="E190">
        <v>1246100417</v>
      </c>
      <c r="F190" s="30">
        <v>45548</v>
      </c>
      <c r="H190" t="s">
        <v>172</v>
      </c>
      <c r="I190" t="s">
        <v>173</v>
      </c>
      <c r="J190">
        <v>183</v>
      </c>
      <c r="K190" s="30">
        <v>45163</v>
      </c>
      <c r="L190">
        <v>1010100</v>
      </c>
      <c r="M190" t="s">
        <v>35</v>
      </c>
      <c r="N190">
        <v>161</v>
      </c>
      <c r="O190" t="s">
        <v>160</v>
      </c>
      <c r="P190" t="s">
        <v>198</v>
      </c>
      <c r="Q190">
        <f t="shared" si="4"/>
        <v>593</v>
      </c>
      <c r="R190" t="str">
        <f>_xlfn.XLOOKUP(P190,'Painel Fertilizers'!$B:$B,'Painel Fertilizers'!$B:$B,0)</f>
        <v>CASA DAS SEMENTES</v>
      </c>
    </row>
    <row r="191" spans="1:18" x14ac:dyDescent="0.25">
      <c r="A191">
        <v>10456</v>
      </c>
      <c r="B191" t="s">
        <v>198</v>
      </c>
      <c r="C191" t="s">
        <v>199</v>
      </c>
      <c r="D191" s="34">
        <v>61416.78</v>
      </c>
      <c r="E191">
        <v>1246065449</v>
      </c>
      <c r="F191" s="30">
        <v>45199</v>
      </c>
      <c r="H191" t="s">
        <v>172</v>
      </c>
      <c r="I191" t="s">
        <v>173</v>
      </c>
      <c r="J191">
        <v>20596</v>
      </c>
      <c r="K191" s="30">
        <v>44958</v>
      </c>
      <c r="L191">
        <v>1010100</v>
      </c>
      <c r="M191" t="s">
        <v>35</v>
      </c>
      <c r="N191">
        <v>161</v>
      </c>
      <c r="O191" t="s">
        <v>160</v>
      </c>
      <c r="P191" t="s">
        <v>198</v>
      </c>
      <c r="Q191">
        <f t="shared" si="4"/>
        <v>942</v>
      </c>
      <c r="R191" t="str">
        <f>_xlfn.XLOOKUP(P191,'Painel Fertilizers'!$B:$B,'Painel Fertilizers'!$B:$B,0)</f>
        <v>CASA DAS SEMENTES</v>
      </c>
    </row>
    <row r="192" spans="1:18" x14ac:dyDescent="0.25">
      <c r="A192">
        <v>10456</v>
      </c>
      <c r="B192" t="s">
        <v>198</v>
      </c>
      <c r="C192" t="s">
        <v>199</v>
      </c>
      <c r="D192" s="34">
        <v>106537.82</v>
      </c>
      <c r="E192">
        <v>1246110763</v>
      </c>
      <c r="F192" s="30">
        <v>45534</v>
      </c>
      <c r="H192" t="s">
        <v>172</v>
      </c>
      <c r="I192" t="s">
        <v>173</v>
      </c>
      <c r="J192">
        <v>1702</v>
      </c>
      <c r="K192" s="30">
        <v>45222</v>
      </c>
      <c r="L192">
        <v>1010100</v>
      </c>
      <c r="M192" t="s">
        <v>35</v>
      </c>
      <c r="N192">
        <v>161</v>
      </c>
      <c r="O192" t="s">
        <v>160</v>
      </c>
      <c r="P192" t="s">
        <v>198</v>
      </c>
      <c r="Q192">
        <f t="shared" si="4"/>
        <v>607</v>
      </c>
      <c r="R192" t="str">
        <f>_xlfn.XLOOKUP(P192,'Painel Fertilizers'!$B:$B,'Painel Fertilizers'!$B:$B,0)</f>
        <v>CASA DAS SEMENTES</v>
      </c>
    </row>
    <row r="193" spans="1:18" x14ac:dyDescent="0.25">
      <c r="A193">
        <v>10456</v>
      </c>
      <c r="B193" t="s">
        <v>198</v>
      </c>
      <c r="C193" t="s">
        <v>199</v>
      </c>
      <c r="D193" s="34">
        <v>110173.77</v>
      </c>
      <c r="E193">
        <v>1246067444</v>
      </c>
      <c r="F193" s="30">
        <v>45199</v>
      </c>
      <c r="H193" t="s">
        <v>172</v>
      </c>
      <c r="I193" t="s">
        <v>173</v>
      </c>
      <c r="J193">
        <v>20680</v>
      </c>
      <c r="K193" s="30">
        <v>44971</v>
      </c>
      <c r="L193">
        <v>1010100</v>
      </c>
      <c r="M193" t="s">
        <v>35</v>
      </c>
      <c r="N193">
        <v>161</v>
      </c>
      <c r="O193" t="s">
        <v>160</v>
      </c>
      <c r="P193" t="s">
        <v>198</v>
      </c>
      <c r="Q193">
        <f t="shared" si="4"/>
        <v>942</v>
      </c>
      <c r="R193" t="str">
        <f>_xlfn.XLOOKUP(P193,'Painel Fertilizers'!$B:$B,'Painel Fertilizers'!$B:$B,0)</f>
        <v>CASA DAS SEMENTES</v>
      </c>
    </row>
    <row r="194" spans="1:18" x14ac:dyDescent="0.25">
      <c r="A194">
        <v>10456</v>
      </c>
      <c r="B194" t="s">
        <v>198</v>
      </c>
      <c r="C194" t="s">
        <v>199</v>
      </c>
      <c r="D194" s="34">
        <v>153644.62</v>
      </c>
      <c r="E194">
        <v>1246066037</v>
      </c>
      <c r="F194" s="30">
        <v>45199</v>
      </c>
      <c r="H194" t="s">
        <v>172</v>
      </c>
      <c r="I194" t="s">
        <v>173</v>
      </c>
      <c r="J194">
        <v>20619</v>
      </c>
      <c r="K194" s="30">
        <v>44963</v>
      </c>
      <c r="L194">
        <v>1010100</v>
      </c>
      <c r="M194" t="s">
        <v>35</v>
      </c>
      <c r="N194">
        <v>161</v>
      </c>
      <c r="O194" t="s">
        <v>160</v>
      </c>
      <c r="P194" t="s">
        <v>198</v>
      </c>
      <c r="Q194">
        <f t="shared" si="4"/>
        <v>942</v>
      </c>
      <c r="R194" t="str">
        <f>_xlfn.XLOOKUP(P194,'Painel Fertilizers'!$B:$B,'Painel Fertilizers'!$B:$B,0)</f>
        <v>CASA DAS SEMENTES</v>
      </c>
    </row>
    <row r="195" spans="1:18" x14ac:dyDescent="0.25">
      <c r="A195">
        <v>10456</v>
      </c>
      <c r="B195" t="s">
        <v>198</v>
      </c>
      <c r="C195" t="s">
        <v>199</v>
      </c>
      <c r="D195" s="34">
        <v>121627.64</v>
      </c>
      <c r="E195">
        <v>1246061337</v>
      </c>
      <c r="F195" s="30">
        <v>45199</v>
      </c>
      <c r="H195" t="s">
        <v>172</v>
      </c>
      <c r="I195" t="s">
        <v>173</v>
      </c>
      <c r="J195">
        <v>20371</v>
      </c>
      <c r="K195" s="30">
        <v>44930</v>
      </c>
      <c r="L195">
        <v>1010100</v>
      </c>
      <c r="M195" t="s">
        <v>35</v>
      </c>
      <c r="N195">
        <v>161</v>
      </c>
      <c r="O195" t="s">
        <v>160</v>
      </c>
      <c r="P195" t="s">
        <v>198</v>
      </c>
      <c r="Q195">
        <f t="shared" si="4"/>
        <v>942</v>
      </c>
      <c r="R195" t="str">
        <f>_xlfn.XLOOKUP(P195,'Painel Fertilizers'!$B:$B,'Painel Fertilizers'!$B:$B,0)</f>
        <v>CASA DAS SEMENTES</v>
      </c>
    </row>
    <row r="196" spans="1:18" x14ac:dyDescent="0.25">
      <c r="A196">
        <v>10456</v>
      </c>
      <c r="B196" t="s">
        <v>198</v>
      </c>
      <c r="C196" t="s">
        <v>199</v>
      </c>
      <c r="D196" s="34">
        <v>119763.56</v>
      </c>
      <c r="E196">
        <v>1246107272</v>
      </c>
      <c r="F196" s="30">
        <v>45536</v>
      </c>
      <c r="H196" t="s">
        <v>172</v>
      </c>
      <c r="I196" t="s">
        <v>173</v>
      </c>
      <c r="J196">
        <v>1444</v>
      </c>
      <c r="K196" s="30">
        <v>45201</v>
      </c>
      <c r="L196">
        <v>1010100</v>
      </c>
      <c r="M196" t="s">
        <v>35</v>
      </c>
      <c r="N196">
        <v>161</v>
      </c>
      <c r="O196" t="s">
        <v>160</v>
      </c>
      <c r="P196" t="s">
        <v>198</v>
      </c>
      <c r="Q196">
        <f t="shared" si="4"/>
        <v>605</v>
      </c>
      <c r="R196" t="str">
        <f>_xlfn.XLOOKUP(P196,'Painel Fertilizers'!$B:$B,'Painel Fertilizers'!$B:$B,0)</f>
        <v>CASA DAS SEMENTES</v>
      </c>
    </row>
    <row r="197" spans="1:18" x14ac:dyDescent="0.25">
      <c r="A197">
        <v>10456</v>
      </c>
      <c r="B197" t="s">
        <v>198</v>
      </c>
      <c r="C197" t="s">
        <v>199</v>
      </c>
      <c r="D197" s="34">
        <v>129996.55</v>
      </c>
      <c r="E197">
        <v>1246063009</v>
      </c>
      <c r="F197" s="30">
        <v>45199</v>
      </c>
      <c r="H197" t="s">
        <v>172</v>
      </c>
      <c r="I197" t="s">
        <v>173</v>
      </c>
      <c r="J197">
        <v>20458</v>
      </c>
      <c r="K197" s="30">
        <v>44943</v>
      </c>
      <c r="L197">
        <v>1010100</v>
      </c>
      <c r="M197" t="s">
        <v>35</v>
      </c>
      <c r="N197">
        <v>161</v>
      </c>
      <c r="O197" t="s">
        <v>160</v>
      </c>
      <c r="P197" t="s">
        <v>198</v>
      </c>
      <c r="Q197">
        <f t="shared" si="4"/>
        <v>942</v>
      </c>
      <c r="R197" t="str">
        <f>_xlfn.XLOOKUP(P197,'Painel Fertilizers'!$B:$B,'Painel Fertilizers'!$B:$B,0)</f>
        <v>CASA DAS SEMENTES</v>
      </c>
    </row>
    <row r="198" spans="1:18" x14ac:dyDescent="0.25">
      <c r="A198">
        <v>10456</v>
      </c>
      <c r="B198" t="s">
        <v>198</v>
      </c>
      <c r="C198" t="s">
        <v>199</v>
      </c>
      <c r="D198" s="34">
        <v>61021.61</v>
      </c>
      <c r="E198">
        <v>1246063058</v>
      </c>
      <c r="F198" s="30">
        <v>45199</v>
      </c>
      <c r="H198" t="s">
        <v>172</v>
      </c>
      <c r="I198" t="s">
        <v>173</v>
      </c>
      <c r="J198">
        <v>20480</v>
      </c>
      <c r="K198" s="30">
        <v>44943</v>
      </c>
      <c r="L198">
        <v>1010100</v>
      </c>
      <c r="M198" t="s">
        <v>35</v>
      </c>
      <c r="N198">
        <v>161</v>
      </c>
      <c r="O198" t="s">
        <v>160</v>
      </c>
      <c r="P198" t="s">
        <v>198</v>
      </c>
      <c r="Q198">
        <f t="shared" si="4"/>
        <v>942</v>
      </c>
      <c r="R198" t="str">
        <f>_xlfn.XLOOKUP(P198,'Painel Fertilizers'!$B:$B,'Painel Fertilizers'!$B:$B,0)</f>
        <v>CASA DAS SEMENTES</v>
      </c>
    </row>
    <row r="199" spans="1:18" x14ac:dyDescent="0.25">
      <c r="A199">
        <v>10456</v>
      </c>
      <c r="B199" t="s">
        <v>198</v>
      </c>
      <c r="C199" t="s">
        <v>199</v>
      </c>
      <c r="D199" s="34">
        <v>111090.76</v>
      </c>
      <c r="E199">
        <v>1246063995</v>
      </c>
      <c r="F199" s="30">
        <v>45199</v>
      </c>
      <c r="H199" t="s">
        <v>172</v>
      </c>
      <c r="I199" t="s">
        <v>173</v>
      </c>
      <c r="J199">
        <v>20513</v>
      </c>
      <c r="K199" s="30">
        <v>44949</v>
      </c>
      <c r="L199">
        <v>1010100</v>
      </c>
      <c r="M199" t="s">
        <v>35</v>
      </c>
      <c r="N199">
        <v>161</v>
      </c>
      <c r="O199" t="s">
        <v>160</v>
      </c>
      <c r="P199" t="s">
        <v>198</v>
      </c>
      <c r="Q199">
        <f t="shared" si="4"/>
        <v>942</v>
      </c>
      <c r="R199" t="str">
        <f>_xlfn.XLOOKUP(P199,'Painel Fertilizers'!$B:$B,'Painel Fertilizers'!$B:$B,0)</f>
        <v>CASA DAS SEMENTES</v>
      </c>
    </row>
    <row r="200" spans="1:18" x14ac:dyDescent="0.25">
      <c r="A200">
        <v>10456</v>
      </c>
      <c r="B200" t="s">
        <v>198</v>
      </c>
      <c r="C200" t="s">
        <v>199</v>
      </c>
      <c r="D200" s="34">
        <v>110522.5</v>
      </c>
      <c r="E200">
        <v>1246106689</v>
      </c>
      <c r="F200" s="30">
        <v>45557</v>
      </c>
      <c r="H200" t="s">
        <v>172</v>
      </c>
      <c r="I200" t="s">
        <v>173</v>
      </c>
      <c r="J200">
        <v>1400</v>
      </c>
      <c r="K200" s="30">
        <v>45197</v>
      </c>
      <c r="L200">
        <v>1010100</v>
      </c>
      <c r="M200" t="s">
        <v>35</v>
      </c>
      <c r="N200">
        <v>161</v>
      </c>
      <c r="O200" t="s">
        <v>160</v>
      </c>
      <c r="P200" t="s">
        <v>198</v>
      </c>
      <c r="Q200">
        <f t="shared" si="4"/>
        <v>584</v>
      </c>
      <c r="R200" t="str">
        <f>_xlfn.XLOOKUP(P200,'Painel Fertilizers'!$B:$B,'Painel Fertilizers'!$B:$B,0)</f>
        <v>CASA DAS SEMENTES</v>
      </c>
    </row>
    <row r="201" spans="1:18" x14ac:dyDescent="0.25">
      <c r="A201">
        <v>10456</v>
      </c>
      <c r="B201" t="s">
        <v>198</v>
      </c>
      <c r="C201" t="s">
        <v>199</v>
      </c>
      <c r="D201" s="34">
        <v>94275.76</v>
      </c>
      <c r="E201">
        <v>1246103838</v>
      </c>
      <c r="F201" s="30">
        <v>45543</v>
      </c>
      <c r="H201" t="s">
        <v>172</v>
      </c>
      <c r="I201" t="s">
        <v>173</v>
      </c>
      <c r="J201">
        <v>1159</v>
      </c>
      <c r="K201" s="30">
        <v>45183</v>
      </c>
      <c r="L201">
        <v>1010100</v>
      </c>
      <c r="M201" t="s">
        <v>35</v>
      </c>
      <c r="N201">
        <v>161</v>
      </c>
      <c r="O201" t="s">
        <v>160</v>
      </c>
      <c r="P201" t="s">
        <v>198</v>
      </c>
      <c r="Q201">
        <f t="shared" si="4"/>
        <v>598</v>
      </c>
      <c r="R201" t="str">
        <f>_xlfn.XLOOKUP(P201,'Painel Fertilizers'!$B:$B,'Painel Fertilizers'!$B:$B,0)</f>
        <v>CASA DAS SEMENTES</v>
      </c>
    </row>
    <row r="202" spans="1:18" x14ac:dyDescent="0.25">
      <c r="A202">
        <v>10456</v>
      </c>
      <c r="B202" t="s">
        <v>198</v>
      </c>
      <c r="C202" t="s">
        <v>199</v>
      </c>
      <c r="D202" s="34">
        <v>74904.38</v>
      </c>
      <c r="E202">
        <v>1246269261</v>
      </c>
      <c r="F202" s="30">
        <v>45199</v>
      </c>
      <c r="H202" t="s">
        <v>172</v>
      </c>
      <c r="I202" t="s">
        <v>173</v>
      </c>
      <c r="J202">
        <v>20898</v>
      </c>
      <c r="K202" s="30">
        <v>45000</v>
      </c>
      <c r="L202">
        <v>1010100</v>
      </c>
      <c r="M202" t="s">
        <v>35</v>
      </c>
      <c r="N202">
        <v>161</v>
      </c>
      <c r="O202" t="s">
        <v>160</v>
      </c>
      <c r="P202" t="s">
        <v>198</v>
      </c>
      <c r="Q202">
        <f t="shared" si="4"/>
        <v>942</v>
      </c>
      <c r="R202" t="str">
        <f>_xlfn.XLOOKUP(P202,'Painel Fertilizers'!$B:$B,'Painel Fertilizers'!$B:$B,0)</f>
        <v>CASA DAS SEMENTES</v>
      </c>
    </row>
    <row r="203" spans="1:18" x14ac:dyDescent="0.25">
      <c r="A203">
        <v>12295</v>
      </c>
      <c r="B203" t="s">
        <v>206</v>
      </c>
      <c r="C203" t="s">
        <v>207</v>
      </c>
      <c r="D203" s="34">
        <v>129728</v>
      </c>
      <c r="E203">
        <v>1246100036</v>
      </c>
      <c r="F203" s="30">
        <v>45547</v>
      </c>
      <c r="H203" t="s">
        <v>172</v>
      </c>
      <c r="I203" t="s">
        <v>173</v>
      </c>
      <c r="J203">
        <v>843</v>
      </c>
      <c r="K203" s="30">
        <v>45162</v>
      </c>
      <c r="L203">
        <v>1010100</v>
      </c>
      <c r="M203" t="s">
        <v>35</v>
      </c>
      <c r="N203">
        <v>161</v>
      </c>
      <c r="O203" t="s">
        <v>160</v>
      </c>
      <c r="P203" t="s">
        <v>206</v>
      </c>
      <c r="Q203">
        <f t="shared" si="4"/>
        <v>594</v>
      </c>
      <c r="R203" t="str">
        <f>_xlfn.XLOOKUP(P203,'Painel Fertilizers'!$B:$B,'Painel Fertilizers'!$B:$B,0)</f>
        <v>CBM FERTILIZANTES</v>
      </c>
    </row>
    <row r="204" spans="1:18" x14ac:dyDescent="0.25">
      <c r="A204">
        <v>12295</v>
      </c>
      <c r="B204" t="s">
        <v>206</v>
      </c>
      <c r="C204" t="s">
        <v>207</v>
      </c>
      <c r="D204" s="34">
        <v>126208</v>
      </c>
      <c r="E204">
        <v>1246106003</v>
      </c>
      <c r="F204" s="30">
        <v>45559</v>
      </c>
      <c r="H204" t="s">
        <v>172</v>
      </c>
      <c r="I204" t="s">
        <v>173</v>
      </c>
      <c r="J204">
        <v>1328</v>
      </c>
      <c r="K204" s="30">
        <v>45194</v>
      </c>
      <c r="L204">
        <v>1010100</v>
      </c>
      <c r="M204" t="s">
        <v>35</v>
      </c>
      <c r="N204">
        <v>161</v>
      </c>
      <c r="O204" t="s">
        <v>160</v>
      </c>
      <c r="P204" t="s">
        <v>206</v>
      </c>
      <c r="Q204">
        <f t="shared" si="4"/>
        <v>582</v>
      </c>
      <c r="R204" t="str">
        <f>_xlfn.XLOOKUP(P204,'Painel Fertilizers'!$B:$B,'Painel Fertilizers'!$B:$B,0)</f>
        <v>CBM FERTILIZANTES</v>
      </c>
    </row>
    <row r="205" spans="1:18" x14ac:dyDescent="0.25">
      <c r="A205">
        <v>12295</v>
      </c>
      <c r="B205" t="s">
        <v>206</v>
      </c>
      <c r="C205" t="s">
        <v>207</v>
      </c>
      <c r="D205" s="34">
        <v>19965</v>
      </c>
      <c r="E205">
        <v>1246100409</v>
      </c>
      <c r="F205" s="30">
        <v>45548</v>
      </c>
      <c r="H205" t="s">
        <v>172</v>
      </c>
      <c r="I205" t="s">
        <v>173</v>
      </c>
      <c r="J205">
        <v>864</v>
      </c>
      <c r="K205" s="30">
        <v>45163</v>
      </c>
      <c r="L205">
        <v>1010100</v>
      </c>
      <c r="M205" t="s">
        <v>35</v>
      </c>
      <c r="N205">
        <v>161</v>
      </c>
      <c r="O205" t="s">
        <v>160</v>
      </c>
      <c r="P205" t="s">
        <v>206</v>
      </c>
      <c r="Q205">
        <f t="shared" si="4"/>
        <v>593</v>
      </c>
      <c r="R205" t="str">
        <f>_xlfn.XLOOKUP(P205,'Painel Fertilizers'!$B:$B,'Painel Fertilizers'!$B:$B,0)</f>
        <v>CBM FERTILIZANTES</v>
      </c>
    </row>
    <row r="206" spans="1:18" x14ac:dyDescent="0.25">
      <c r="A206">
        <v>12295</v>
      </c>
      <c r="B206" t="s">
        <v>206</v>
      </c>
      <c r="C206" t="s">
        <v>207</v>
      </c>
      <c r="D206" s="34">
        <v>102625</v>
      </c>
      <c r="E206">
        <v>1246100411</v>
      </c>
      <c r="F206" s="30">
        <v>45548</v>
      </c>
      <c r="H206" t="s">
        <v>172</v>
      </c>
      <c r="I206" t="s">
        <v>173</v>
      </c>
      <c r="J206">
        <v>865</v>
      </c>
      <c r="K206" s="30">
        <v>45163</v>
      </c>
      <c r="L206">
        <v>1010100</v>
      </c>
      <c r="M206" t="s">
        <v>35</v>
      </c>
      <c r="N206">
        <v>161</v>
      </c>
      <c r="O206" t="s">
        <v>160</v>
      </c>
      <c r="P206" t="s">
        <v>206</v>
      </c>
      <c r="Q206">
        <f t="shared" si="4"/>
        <v>593</v>
      </c>
      <c r="R206" t="str">
        <f>_xlfn.XLOOKUP(P206,'Painel Fertilizers'!$B:$B,'Painel Fertilizers'!$B:$B,0)</f>
        <v>CBM FERTILIZANTES</v>
      </c>
    </row>
    <row r="207" spans="1:18" x14ac:dyDescent="0.25">
      <c r="A207">
        <v>12295</v>
      </c>
      <c r="B207" t="s">
        <v>206</v>
      </c>
      <c r="C207" t="s">
        <v>207</v>
      </c>
      <c r="D207" s="34">
        <v>23664</v>
      </c>
      <c r="E207">
        <v>1246100034</v>
      </c>
      <c r="F207" s="30">
        <v>45547</v>
      </c>
      <c r="H207" t="s">
        <v>172</v>
      </c>
      <c r="I207" t="s">
        <v>173</v>
      </c>
      <c r="J207">
        <v>842</v>
      </c>
      <c r="K207" s="30">
        <v>45162</v>
      </c>
      <c r="L207">
        <v>1010100</v>
      </c>
      <c r="M207" t="s">
        <v>35</v>
      </c>
      <c r="N207">
        <v>161</v>
      </c>
      <c r="O207" t="s">
        <v>160</v>
      </c>
      <c r="P207" t="s">
        <v>206</v>
      </c>
      <c r="Q207">
        <f t="shared" si="4"/>
        <v>594</v>
      </c>
      <c r="R207" t="str">
        <f>_xlfn.XLOOKUP(P207,'Painel Fertilizers'!$B:$B,'Painel Fertilizers'!$B:$B,0)</f>
        <v>CBM FERTILIZANTES</v>
      </c>
    </row>
    <row r="208" spans="1:18" x14ac:dyDescent="0.25">
      <c r="A208">
        <v>12295</v>
      </c>
      <c r="B208" t="s">
        <v>206</v>
      </c>
      <c r="C208" t="s">
        <v>207</v>
      </c>
      <c r="D208" s="34">
        <v>126845</v>
      </c>
      <c r="E208">
        <v>1246102685</v>
      </c>
      <c r="F208" s="30">
        <v>45560</v>
      </c>
      <c r="H208" t="s">
        <v>172</v>
      </c>
      <c r="I208" t="s">
        <v>173</v>
      </c>
      <c r="J208">
        <v>1060</v>
      </c>
      <c r="K208" s="30">
        <v>45175</v>
      </c>
      <c r="L208">
        <v>1010100</v>
      </c>
      <c r="M208" t="s">
        <v>35</v>
      </c>
      <c r="N208">
        <v>161</v>
      </c>
      <c r="O208" t="s">
        <v>160</v>
      </c>
      <c r="P208" t="s">
        <v>206</v>
      </c>
      <c r="Q208">
        <f t="shared" si="4"/>
        <v>581</v>
      </c>
      <c r="R208" t="str">
        <f>_xlfn.XLOOKUP(P208,'Painel Fertilizers'!$B:$B,'Painel Fertilizers'!$B:$B,0)</f>
        <v>CBM FERTILIZANTES</v>
      </c>
    </row>
    <row r="209" spans="1:18" x14ac:dyDescent="0.25">
      <c r="A209">
        <v>12295</v>
      </c>
      <c r="B209" t="s">
        <v>206</v>
      </c>
      <c r="C209" t="s">
        <v>207</v>
      </c>
      <c r="D209" s="34">
        <v>119790</v>
      </c>
      <c r="E209">
        <v>1246100311</v>
      </c>
      <c r="F209" s="30">
        <v>45548</v>
      </c>
      <c r="H209" t="s">
        <v>172</v>
      </c>
      <c r="I209" t="s">
        <v>173</v>
      </c>
      <c r="J209">
        <v>851</v>
      </c>
      <c r="K209" s="30">
        <v>45163</v>
      </c>
      <c r="L209">
        <v>1010100</v>
      </c>
      <c r="M209" t="s">
        <v>35</v>
      </c>
      <c r="N209">
        <v>161</v>
      </c>
      <c r="O209" t="s">
        <v>160</v>
      </c>
      <c r="P209" t="s">
        <v>206</v>
      </c>
      <c r="Q209">
        <f t="shared" si="4"/>
        <v>593</v>
      </c>
      <c r="R209" t="str">
        <f>_xlfn.XLOOKUP(P209,'Painel Fertilizers'!$B:$B,'Painel Fertilizers'!$B:$B,0)</f>
        <v>CBM FERTILIZANTES</v>
      </c>
    </row>
    <row r="210" spans="1:18" x14ac:dyDescent="0.25">
      <c r="A210">
        <v>12295</v>
      </c>
      <c r="B210" t="s">
        <v>206</v>
      </c>
      <c r="C210" t="s">
        <v>207</v>
      </c>
      <c r="D210" s="34">
        <v>127776</v>
      </c>
      <c r="E210">
        <v>1246102654</v>
      </c>
      <c r="F210" s="30">
        <v>45560</v>
      </c>
      <c r="H210" t="s">
        <v>172</v>
      </c>
      <c r="I210" t="s">
        <v>173</v>
      </c>
      <c r="J210">
        <v>1053</v>
      </c>
      <c r="K210" s="30">
        <v>45175</v>
      </c>
      <c r="L210">
        <v>1010100</v>
      </c>
      <c r="M210" t="s">
        <v>35</v>
      </c>
      <c r="N210">
        <v>161</v>
      </c>
      <c r="O210" t="s">
        <v>160</v>
      </c>
      <c r="P210" t="s">
        <v>206</v>
      </c>
      <c r="Q210">
        <f t="shared" si="4"/>
        <v>581</v>
      </c>
      <c r="R210" t="str">
        <f>_xlfn.XLOOKUP(P210,'Painel Fertilizers'!$B:$B,'Painel Fertilizers'!$B:$B,0)</f>
        <v>CBM FERTILIZANTES</v>
      </c>
    </row>
    <row r="211" spans="1:18" x14ac:dyDescent="0.25">
      <c r="A211">
        <v>12295</v>
      </c>
      <c r="B211" t="s">
        <v>206</v>
      </c>
      <c r="C211" t="s">
        <v>207</v>
      </c>
      <c r="D211" s="34">
        <v>99410.750000000015</v>
      </c>
      <c r="E211">
        <v>1246240412</v>
      </c>
      <c r="F211" s="30">
        <v>45546</v>
      </c>
      <c r="H211" t="s">
        <v>172</v>
      </c>
      <c r="I211" t="s">
        <v>173</v>
      </c>
      <c r="J211">
        <v>176</v>
      </c>
      <c r="K211" s="30">
        <v>45161</v>
      </c>
      <c r="L211">
        <v>1010100</v>
      </c>
      <c r="M211" t="s">
        <v>35</v>
      </c>
      <c r="N211">
        <v>161</v>
      </c>
      <c r="O211" t="s">
        <v>160</v>
      </c>
      <c r="P211" t="s">
        <v>206</v>
      </c>
      <c r="Q211">
        <f t="shared" si="4"/>
        <v>595</v>
      </c>
      <c r="R211" t="str">
        <f>_xlfn.XLOOKUP(P211,'Painel Fertilizers'!$B:$B,'Painel Fertilizers'!$B:$B,0)</f>
        <v>CBM FERTILIZANTES</v>
      </c>
    </row>
    <row r="212" spans="1:18" x14ac:dyDescent="0.25">
      <c r="A212">
        <v>13193</v>
      </c>
      <c r="B212" t="s">
        <v>209</v>
      </c>
      <c r="C212" t="s">
        <v>210</v>
      </c>
      <c r="D212" s="34">
        <v>39218.19</v>
      </c>
      <c r="E212">
        <v>1246129675</v>
      </c>
      <c r="F212" s="30">
        <v>45598</v>
      </c>
      <c r="H212" t="s">
        <v>172</v>
      </c>
      <c r="I212" t="s">
        <v>173</v>
      </c>
      <c r="J212">
        <v>2817</v>
      </c>
      <c r="K212" s="30">
        <v>45338</v>
      </c>
      <c r="L212">
        <v>1010100</v>
      </c>
      <c r="M212" t="s">
        <v>35</v>
      </c>
      <c r="N212">
        <v>161</v>
      </c>
      <c r="O212" t="s">
        <v>160</v>
      </c>
      <c r="P212" t="s">
        <v>209</v>
      </c>
      <c r="Q212">
        <f t="shared" si="4"/>
        <v>543</v>
      </c>
      <c r="R212" t="str">
        <f>_xlfn.XLOOKUP(P212,'Painel Fertilizers'!$B:$B,'Painel Fertilizers'!$B:$B,0)</f>
        <v>AGRO BERALDO</v>
      </c>
    </row>
    <row r="213" spans="1:18" x14ac:dyDescent="0.25">
      <c r="A213">
        <v>13193</v>
      </c>
      <c r="B213" t="s">
        <v>209</v>
      </c>
      <c r="C213" t="s">
        <v>210</v>
      </c>
      <c r="D213" s="34">
        <v>96537.1</v>
      </c>
      <c r="E213">
        <v>1246128994</v>
      </c>
      <c r="F213" s="30">
        <v>45599</v>
      </c>
      <c r="H213" t="s">
        <v>172</v>
      </c>
      <c r="I213" t="s">
        <v>173</v>
      </c>
      <c r="J213">
        <v>2765</v>
      </c>
      <c r="K213" s="30">
        <v>45331</v>
      </c>
      <c r="L213">
        <v>1010100</v>
      </c>
      <c r="M213" t="s">
        <v>35</v>
      </c>
      <c r="N213">
        <v>161</v>
      </c>
      <c r="O213" t="s">
        <v>160</v>
      </c>
      <c r="P213" t="s">
        <v>209</v>
      </c>
      <c r="Q213">
        <f t="shared" si="4"/>
        <v>542</v>
      </c>
      <c r="R213" t="str">
        <f>_xlfn.XLOOKUP(P213,'Painel Fertilizers'!$B:$B,'Painel Fertilizers'!$B:$B,0)</f>
        <v>AGRO BERALDO</v>
      </c>
    </row>
    <row r="214" spans="1:18" x14ac:dyDescent="0.25">
      <c r="A214">
        <v>13193</v>
      </c>
      <c r="B214" t="s">
        <v>209</v>
      </c>
      <c r="C214" t="s">
        <v>210</v>
      </c>
      <c r="D214" s="34">
        <v>14369.79</v>
      </c>
      <c r="E214">
        <v>1246129687</v>
      </c>
      <c r="F214" s="30">
        <v>45594</v>
      </c>
      <c r="H214" t="s">
        <v>172</v>
      </c>
      <c r="I214" t="s">
        <v>173</v>
      </c>
      <c r="J214">
        <v>2824</v>
      </c>
      <c r="K214" s="30">
        <v>45338</v>
      </c>
      <c r="L214">
        <v>1010100</v>
      </c>
      <c r="M214" t="s">
        <v>35</v>
      </c>
      <c r="N214">
        <v>161</v>
      </c>
      <c r="O214" t="s">
        <v>160</v>
      </c>
      <c r="P214" t="s">
        <v>209</v>
      </c>
      <c r="Q214">
        <f t="shared" si="4"/>
        <v>547</v>
      </c>
      <c r="R214" t="str">
        <f>_xlfn.XLOOKUP(P214,'Painel Fertilizers'!$B:$B,'Painel Fertilizers'!$B:$B,0)</f>
        <v>AGRO BERALDO</v>
      </c>
    </row>
    <row r="215" spans="1:18" x14ac:dyDescent="0.25">
      <c r="A215">
        <v>13193</v>
      </c>
      <c r="B215" t="s">
        <v>209</v>
      </c>
      <c r="C215" t="s">
        <v>210</v>
      </c>
      <c r="D215" s="34">
        <v>102482.69</v>
      </c>
      <c r="E215">
        <v>1246129689</v>
      </c>
      <c r="F215" s="30">
        <v>45594</v>
      </c>
      <c r="H215" t="s">
        <v>172</v>
      </c>
      <c r="I215" t="s">
        <v>173</v>
      </c>
      <c r="J215">
        <v>2825</v>
      </c>
      <c r="K215" s="30">
        <v>45338</v>
      </c>
      <c r="L215">
        <v>1010100</v>
      </c>
      <c r="M215" t="s">
        <v>35</v>
      </c>
      <c r="N215">
        <v>161</v>
      </c>
      <c r="O215" t="s">
        <v>160</v>
      </c>
      <c r="P215" t="s">
        <v>209</v>
      </c>
      <c r="Q215">
        <f t="shared" si="4"/>
        <v>547</v>
      </c>
      <c r="R215" t="str">
        <f>_xlfn.XLOOKUP(P215,'Painel Fertilizers'!$B:$B,'Painel Fertilizers'!$B:$B,0)</f>
        <v>AGRO BERALDO</v>
      </c>
    </row>
    <row r="216" spans="1:18" x14ac:dyDescent="0.25">
      <c r="A216">
        <v>13193</v>
      </c>
      <c r="B216" t="s">
        <v>209</v>
      </c>
      <c r="C216" t="s">
        <v>210</v>
      </c>
      <c r="D216" s="34">
        <v>96537.1</v>
      </c>
      <c r="E216">
        <v>1246128030</v>
      </c>
      <c r="F216" s="30">
        <v>45604</v>
      </c>
      <c r="H216" t="s">
        <v>172</v>
      </c>
      <c r="I216" t="s">
        <v>173</v>
      </c>
      <c r="J216">
        <v>2691</v>
      </c>
      <c r="K216" s="30">
        <v>45324</v>
      </c>
      <c r="L216">
        <v>1010100</v>
      </c>
      <c r="M216" t="s">
        <v>35</v>
      </c>
      <c r="N216">
        <v>161</v>
      </c>
      <c r="O216" t="s">
        <v>160</v>
      </c>
      <c r="P216" t="s">
        <v>209</v>
      </c>
      <c r="Q216">
        <f t="shared" si="4"/>
        <v>537</v>
      </c>
      <c r="R216" t="str">
        <f>_xlfn.XLOOKUP(P216,'Painel Fertilizers'!$B:$B,'Painel Fertilizers'!$B:$B,0)</f>
        <v>AGRO BERALDO</v>
      </c>
    </row>
    <row r="217" spans="1:18" x14ac:dyDescent="0.25">
      <c r="A217">
        <v>13193</v>
      </c>
      <c r="B217" t="s">
        <v>209</v>
      </c>
      <c r="C217" t="s">
        <v>210</v>
      </c>
      <c r="D217" s="34">
        <v>96537.1</v>
      </c>
      <c r="E217">
        <v>1246129535</v>
      </c>
      <c r="F217" s="30">
        <v>45597</v>
      </c>
      <c r="H217" t="s">
        <v>172</v>
      </c>
      <c r="I217" t="s">
        <v>173</v>
      </c>
      <c r="J217">
        <v>2797</v>
      </c>
      <c r="K217" s="30">
        <v>45337</v>
      </c>
      <c r="L217">
        <v>1010100</v>
      </c>
      <c r="M217" t="s">
        <v>35</v>
      </c>
      <c r="N217">
        <v>161</v>
      </c>
      <c r="O217" t="s">
        <v>160</v>
      </c>
      <c r="P217" t="s">
        <v>209</v>
      </c>
      <c r="Q217">
        <f t="shared" si="4"/>
        <v>544</v>
      </c>
      <c r="R217" t="str">
        <f>_xlfn.XLOOKUP(P217,'Painel Fertilizers'!$B:$B,'Painel Fertilizers'!$B:$B,0)</f>
        <v>AGRO BERALDO</v>
      </c>
    </row>
    <row r="218" spans="1:18" x14ac:dyDescent="0.25">
      <c r="A218">
        <v>13193</v>
      </c>
      <c r="B218" t="s">
        <v>209</v>
      </c>
      <c r="C218" t="s">
        <v>210</v>
      </c>
      <c r="D218" s="34">
        <v>12586.97</v>
      </c>
      <c r="E218">
        <v>1246129615</v>
      </c>
      <c r="F218" s="30">
        <v>45594</v>
      </c>
      <c r="H218" t="s">
        <v>172</v>
      </c>
      <c r="I218" t="s">
        <v>173</v>
      </c>
      <c r="J218">
        <v>2804</v>
      </c>
      <c r="K218" s="30">
        <v>45338</v>
      </c>
      <c r="L218">
        <v>1010100</v>
      </c>
      <c r="M218" t="s">
        <v>35</v>
      </c>
      <c r="N218">
        <v>161</v>
      </c>
      <c r="O218" t="s">
        <v>160</v>
      </c>
      <c r="P218" t="s">
        <v>209</v>
      </c>
      <c r="Q218">
        <f t="shared" si="4"/>
        <v>547</v>
      </c>
      <c r="R218" t="str">
        <f>_xlfn.XLOOKUP(P218,'Painel Fertilizers'!$B:$B,'Painel Fertilizers'!$B:$B,0)</f>
        <v>AGRO BERALDO</v>
      </c>
    </row>
    <row r="219" spans="1:18" x14ac:dyDescent="0.25">
      <c r="A219">
        <v>13193</v>
      </c>
      <c r="B219" t="s">
        <v>209</v>
      </c>
      <c r="C219" t="s">
        <v>210</v>
      </c>
      <c r="D219" s="34">
        <v>96537.1</v>
      </c>
      <c r="E219">
        <v>1246129423</v>
      </c>
      <c r="F219" s="30">
        <v>45597</v>
      </c>
      <c r="H219" t="s">
        <v>172</v>
      </c>
      <c r="I219" t="s">
        <v>173</v>
      </c>
      <c r="J219">
        <v>2793</v>
      </c>
      <c r="K219" s="30">
        <v>45337</v>
      </c>
      <c r="L219">
        <v>1010100</v>
      </c>
      <c r="M219" t="s">
        <v>35</v>
      </c>
      <c r="N219">
        <v>161</v>
      </c>
      <c r="O219" t="s">
        <v>160</v>
      </c>
      <c r="P219" t="s">
        <v>209</v>
      </c>
      <c r="Q219">
        <f t="shared" si="4"/>
        <v>544</v>
      </c>
      <c r="R219" t="str">
        <f>_xlfn.XLOOKUP(P219,'Painel Fertilizers'!$B:$B,'Painel Fertilizers'!$B:$B,0)</f>
        <v>AGRO BERALDO</v>
      </c>
    </row>
    <row r="220" spans="1:18" x14ac:dyDescent="0.25">
      <c r="A220">
        <v>13193</v>
      </c>
      <c r="B220" t="s">
        <v>209</v>
      </c>
      <c r="C220" t="s">
        <v>210</v>
      </c>
      <c r="D220" s="34">
        <v>96537.1</v>
      </c>
      <c r="E220">
        <v>1246129513</v>
      </c>
      <c r="F220" s="30">
        <v>45605</v>
      </c>
      <c r="H220" t="s">
        <v>172</v>
      </c>
      <c r="I220" t="s">
        <v>173</v>
      </c>
      <c r="J220">
        <v>2795</v>
      </c>
      <c r="K220" s="30">
        <v>45337</v>
      </c>
      <c r="L220">
        <v>1010100</v>
      </c>
      <c r="M220" t="s">
        <v>35</v>
      </c>
      <c r="N220">
        <v>161</v>
      </c>
      <c r="O220" t="s">
        <v>160</v>
      </c>
      <c r="P220" t="s">
        <v>209</v>
      </c>
      <c r="Q220">
        <f t="shared" si="4"/>
        <v>536</v>
      </c>
      <c r="R220" t="str">
        <f>_xlfn.XLOOKUP(P220,'Painel Fertilizers'!$B:$B,'Painel Fertilizers'!$B:$B,0)</f>
        <v>AGRO BERALDO</v>
      </c>
    </row>
    <row r="221" spans="1:18" x14ac:dyDescent="0.25">
      <c r="A221">
        <v>13193</v>
      </c>
      <c r="B221" t="s">
        <v>209</v>
      </c>
      <c r="C221" t="s">
        <v>210</v>
      </c>
      <c r="D221" s="34">
        <v>100695.77</v>
      </c>
      <c r="E221">
        <v>1246129348</v>
      </c>
      <c r="F221" s="30">
        <v>45592</v>
      </c>
      <c r="H221" t="s">
        <v>172</v>
      </c>
      <c r="I221" t="s">
        <v>173</v>
      </c>
      <c r="J221">
        <v>2788</v>
      </c>
      <c r="K221" s="30">
        <v>45336</v>
      </c>
      <c r="L221">
        <v>1010100</v>
      </c>
      <c r="M221" t="s">
        <v>35</v>
      </c>
      <c r="N221">
        <v>161</v>
      </c>
      <c r="O221" t="s">
        <v>160</v>
      </c>
      <c r="P221" t="s">
        <v>209</v>
      </c>
      <c r="Q221">
        <f t="shared" si="4"/>
        <v>549</v>
      </c>
      <c r="R221" t="str">
        <f>_xlfn.XLOOKUP(P221,'Painel Fertilizers'!$B:$B,'Painel Fertilizers'!$B:$B,0)</f>
        <v>AGRO BERALDO</v>
      </c>
    </row>
    <row r="222" spans="1:18" x14ac:dyDescent="0.25">
      <c r="A222">
        <v>13193</v>
      </c>
      <c r="B222" t="s">
        <v>209</v>
      </c>
      <c r="C222" t="s">
        <v>210</v>
      </c>
      <c r="D222" s="34">
        <v>96537.12</v>
      </c>
      <c r="E222">
        <v>1246129613</v>
      </c>
      <c r="F222" s="30">
        <v>45598</v>
      </c>
      <c r="H222" t="s">
        <v>172</v>
      </c>
      <c r="I222" t="s">
        <v>173</v>
      </c>
      <c r="J222">
        <v>2803</v>
      </c>
      <c r="K222" s="30">
        <v>45338</v>
      </c>
      <c r="L222">
        <v>1010100</v>
      </c>
      <c r="M222" t="s">
        <v>35</v>
      </c>
      <c r="N222">
        <v>161</v>
      </c>
      <c r="O222" t="s">
        <v>160</v>
      </c>
      <c r="P222" t="s">
        <v>209</v>
      </c>
      <c r="Q222">
        <f t="shared" si="4"/>
        <v>543</v>
      </c>
      <c r="R222" t="str">
        <f>_xlfn.XLOOKUP(P222,'Painel Fertilizers'!$B:$B,'Painel Fertilizers'!$B:$B,0)</f>
        <v>AGRO BERALDO</v>
      </c>
    </row>
    <row r="223" spans="1:18" x14ac:dyDescent="0.25">
      <c r="A223">
        <v>13193</v>
      </c>
      <c r="B223" t="s">
        <v>209</v>
      </c>
      <c r="C223" t="s">
        <v>210</v>
      </c>
      <c r="D223" s="34">
        <v>114958.38999999998</v>
      </c>
      <c r="E223">
        <v>1246126152</v>
      </c>
      <c r="F223" s="30">
        <v>45594</v>
      </c>
      <c r="H223" t="s">
        <v>172</v>
      </c>
      <c r="I223" t="s">
        <v>173</v>
      </c>
      <c r="J223">
        <v>2568</v>
      </c>
      <c r="K223" s="30">
        <v>45314</v>
      </c>
      <c r="L223">
        <v>1010100</v>
      </c>
      <c r="M223" t="s">
        <v>35</v>
      </c>
      <c r="N223">
        <v>161</v>
      </c>
      <c r="O223" t="s">
        <v>160</v>
      </c>
      <c r="P223" t="s">
        <v>209</v>
      </c>
      <c r="Q223">
        <f t="shared" si="4"/>
        <v>547</v>
      </c>
      <c r="R223" t="str">
        <f>_xlfn.XLOOKUP(P223,'Painel Fertilizers'!$B:$B,'Painel Fertilizers'!$B:$B,0)</f>
        <v>AGRO BERALDO</v>
      </c>
    </row>
    <row r="224" spans="1:18" x14ac:dyDescent="0.25">
      <c r="A224">
        <v>13193</v>
      </c>
      <c r="B224" t="s">
        <v>209</v>
      </c>
      <c r="C224" t="s">
        <v>210</v>
      </c>
      <c r="D224" s="34">
        <v>111898.75000000001</v>
      </c>
      <c r="E224">
        <v>1246126325</v>
      </c>
      <c r="F224" s="30">
        <v>45595</v>
      </c>
      <c r="H224" t="s">
        <v>172</v>
      </c>
      <c r="I224" t="s">
        <v>173</v>
      </c>
      <c r="J224">
        <v>2581</v>
      </c>
      <c r="K224" s="30">
        <v>45315</v>
      </c>
      <c r="L224">
        <v>1010100</v>
      </c>
      <c r="M224" t="s">
        <v>35</v>
      </c>
      <c r="N224">
        <v>161</v>
      </c>
      <c r="O224" t="s">
        <v>160</v>
      </c>
      <c r="P224" t="s">
        <v>209</v>
      </c>
      <c r="Q224">
        <f t="shared" si="4"/>
        <v>546</v>
      </c>
      <c r="R224" t="str">
        <f>_xlfn.XLOOKUP(P224,'Painel Fertilizers'!$B:$B,'Painel Fertilizers'!$B:$B,0)</f>
        <v>AGRO BERALDO</v>
      </c>
    </row>
    <row r="225" spans="1:18" x14ac:dyDescent="0.25">
      <c r="A225">
        <v>13193</v>
      </c>
      <c r="B225" t="s">
        <v>209</v>
      </c>
      <c r="C225" t="s">
        <v>210</v>
      </c>
      <c r="D225" s="34">
        <v>108604.24</v>
      </c>
      <c r="E225">
        <v>1246126878</v>
      </c>
      <c r="F225" s="30">
        <v>45597</v>
      </c>
      <c r="H225" t="s">
        <v>172</v>
      </c>
      <c r="I225" t="s">
        <v>173</v>
      </c>
      <c r="J225">
        <v>2614</v>
      </c>
      <c r="K225" s="30">
        <v>45317</v>
      </c>
      <c r="L225">
        <v>1010100</v>
      </c>
      <c r="M225" t="s">
        <v>35</v>
      </c>
      <c r="N225">
        <v>161</v>
      </c>
      <c r="O225" t="s">
        <v>160</v>
      </c>
      <c r="P225" t="s">
        <v>209</v>
      </c>
      <c r="Q225">
        <f t="shared" si="4"/>
        <v>544</v>
      </c>
      <c r="R225" t="str">
        <f>_xlfn.XLOOKUP(P225,'Painel Fertilizers'!$B:$B,'Painel Fertilizers'!$B:$B,0)</f>
        <v>AGRO BERALDO</v>
      </c>
    </row>
    <row r="226" spans="1:18" x14ac:dyDescent="0.25">
      <c r="A226">
        <v>13193</v>
      </c>
      <c r="B226" t="s">
        <v>209</v>
      </c>
      <c r="C226" t="s">
        <v>210</v>
      </c>
      <c r="D226" s="34">
        <v>110524.44</v>
      </c>
      <c r="E226">
        <v>1246126771</v>
      </c>
      <c r="F226" s="30">
        <v>45597</v>
      </c>
      <c r="H226" t="s">
        <v>172</v>
      </c>
      <c r="I226" t="s">
        <v>173</v>
      </c>
      <c r="J226">
        <v>2605</v>
      </c>
      <c r="K226" s="30">
        <v>45317</v>
      </c>
      <c r="L226">
        <v>1010100</v>
      </c>
      <c r="M226" t="s">
        <v>35</v>
      </c>
      <c r="N226">
        <v>161</v>
      </c>
      <c r="O226" t="s">
        <v>160</v>
      </c>
      <c r="P226" t="s">
        <v>209</v>
      </c>
      <c r="Q226">
        <f t="shared" si="4"/>
        <v>544</v>
      </c>
      <c r="R226" t="str">
        <f>_xlfn.XLOOKUP(P226,'Painel Fertilizers'!$B:$B,'Painel Fertilizers'!$B:$B,0)</f>
        <v>AGRO BERALDO</v>
      </c>
    </row>
    <row r="227" spans="1:18" x14ac:dyDescent="0.25">
      <c r="A227">
        <v>13193</v>
      </c>
      <c r="B227" t="s">
        <v>209</v>
      </c>
      <c r="C227" t="s">
        <v>210</v>
      </c>
      <c r="D227" s="34">
        <v>81453.179999999993</v>
      </c>
      <c r="E227">
        <v>1246126682</v>
      </c>
      <c r="F227" s="30">
        <v>45596</v>
      </c>
      <c r="H227" t="s">
        <v>172</v>
      </c>
      <c r="I227" t="s">
        <v>173</v>
      </c>
      <c r="J227">
        <v>2598</v>
      </c>
      <c r="K227" s="30">
        <v>45316</v>
      </c>
      <c r="L227">
        <v>1010100</v>
      </c>
      <c r="M227" t="s">
        <v>35</v>
      </c>
      <c r="N227">
        <v>161</v>
      </c>
      <c r="O227" t="s">
        <v>160</v>
      </c>
      <c r="P227" t="s">
        <v>209</v>
      </c>
      <c r="Q227">
        <f t="shared" si="4"/>
        <v>545</v>
      </c>
      <c r="R227" t="str">
        <f>_xlfn.XLOOKUP(P227,'Painel Fertilizers'!$B:$B,'Painel Fertilizers'!$B:$B,0)</f>
        <v>AGRO BERALDO</v>
      </c>
    </row>
    <row r="228" spans="1:18" x14ac:dyDescent="0.25">
      <c r="A228">
        <v>13193</v>
      </c>
      <c r="B228" t="s">
        <v>209</v>
      </c>
      <c r="C228" t="s">
        <v>210</v>
      </c>
      <c r="D228" s="34">
        <v>97994.5</v>
      </c>
      <c r="E228">
        <v>1246124699</v>
      </c>
      <c r="F228" s="30">
        <v>45593</v>
      </c>
      <c r="H228" t="s">
        <v>172</v>
      </c>
      <c r="I228" t="s">
        <v>173</v>
      </c>
      <c r="J228">
        <v>2485</v>
      </c>
      <c r="K228" s="30">
        <v>45303</v>
      </c>
      <c r="L228">
        <v>1010100</v>
      </c>
      <c r="M228" t="s">
        <v>35</v>
      </c>
      <c r="N228">
        <v>161</v>
      </c>
      <c r="O228" t="s">
        <v>160</v>
      </c>
      <c r="P228" t="s">
        <v>209</v>
      </c>
      <c r="Q228">
        <f t="shared" si="4"/>
        <v>548</v>
      </c>
      <c r="R228" t="str">
        <f>_xlfn.XLOOKUP(P228,'Painel Fertilizers'!$B:$B,'Painel Fertilizers'!$B:$B,0)</f>
        <v>AGRO BERALDO</v>
      </c>
    </row>
    <row r="229" spans="1:18" x14ac:dyDescent="0.25">
      <c r="A229">
        <v>13193</v>
      </c>
      <c r="B229" t="s">
        <v>209</v>
      </c>
      <c r="C229" t="s">
        <v>210</v>
      </c>
      <c r="D229" s="34">
        <v>102482.69</v>
      </c>
      <c r="E229">
        <v>1246129677</v>
      </c>
      <c r="F229" s="30">
        <v>45594</v>
      </c>
      <c r="H229" t="s">
        <v>172</v>
      </c>
      <c r="I229" t="s">
        <v>173</v>
      </c>
      <c r="J229">
        <v>2818</v>
      </c>
      <c r="K229" s="30">
        <v>45338</v>
      </c>
      <c r="L229">
        <v>1010100</v>
      </c>
      <c r="M229" t="s">
        <v>35</v>
      </c>
      <c r="N229">
        <v>161</v>
      </c>
      <c r="O229" t="s">
        <v>160</v>
      </c>
      <c r="P229" t="s">
        <v>209</v>
      </c>
      <c r="Q229">
        <f t="shared" si="4"/>
        <v>547</v>
      </c>
      <c r="R229" t="str">
        <f>_xlfn.XLOOKUP(P229,'Painel Fertilizers'!$B:$B,'Painel Fertilizers'!$B:$B,0)</f>
        <v>AGRO BERALDO</v>
      </c>
    </row>
    <row r="230" spans="1:18" x14ac:dyDescent="0.25">
      <c r="A230">
        <v>13193</v>
      </c>
      <c r="B230" t="s">
        <v>209</v>
      </c>
      <c r="C230" t="s">
        <v>210</v>
      </c>
      <c r="D230" s="34">
        <v>140175.09</v>
      </c>
      <c r="E230">
        <v>1246130332</v>
      </c>
      <c r="F230" s="30">
        <v>45599</v>
      </c>
      <c r="H230" t="s">
        <v>172</v>
      </c>
      <c r="I230" t="s">
        <v>173</v>
      </c>
      <c r="J230">
        <v>2873</v>
      </c>
      <c r="K230" s="30">
        <v>45343</v>
      </c>
      <c r="L230">
        <v>1010100</v>
      </c>
      <c r="M230" t="s">
        <v>35</v>
      </c>
      <c r="N230">
        <v>161</v>
      </c>
      <c r="O230" t="s">
        <v>160</v>
      </c>
      <c r="P230" t="s">
        <v>209</v>
      </c>
      <c r="Q230">
        <f t="shared" si="4"/>
        <v>542</v>
      </c>
      <c r="R230" t="str">
        <f>_xlfn.XLOOKUP(P230,'Painel Fertilizers'!$B:$B,'Painel Fertilizers'!$B:$B,0)</f>
        <v>AGRO BERALDO</v>
      </c>
    </row>
    <row r="231" spans="1:18" x14ac:dyDescent="0.25">
      <c r="A231">
        <v>13193</v>
      </c>
      <c r="B231" t="s">
        <v>209</v>
      </c>
      <c r="C231" t="s">
        <v>210</v>
      </c>
      <c r="D231" s="34">
        <v>112140.07</v>
      </c>
      <c r="E231">
        <v>1246130309</v>
      </c>
      <c r="F231" s="30">
        <v>45599</v>
      </c>
      <c r="H231" t="s">
        <v>172</v>
      </c>
      <c r="I231" t="s">
        <v>173</v>
      </c>
      <c r="J231">
        <v>2867</v>
      </c>
      <c r="K231" s="30">
        <v>45343</v>
      </c>
      <c r="L231">
        <v>1010100</v>
      </c>
      <c r="M231" t="s">
        <v>35</v>
      </c>
      <c r="N231">
        <v>161</v>
      </c>
      <c r="O231" t="s">
        <v>160</v>
      </c>
      <c r="P231" t="s">
        <v>209</v>
      </c>
      <c r="Q231">
        <f t="shared" si="4"/>
        <v>542</v>
      </c>
      <c r="R231" t="str">
        <f>_xlfn.XLOOKUP(P231,'Painel Fertilizers'!$B:$B,'Painel Fertilizers'!$B:$B,0)</f>
        <v>AGRO BERALDO</v>
      </c>
    </row>
    <row r="232" spans="1:18" x14ac:dyDescent="0.25">
      <c r="A232">
        <v>13193</v>
      </c>
      <c r="B232" t="s">
        <v>209</v>
      </c>
      <c r="C232" t="s">
        <v>210</v>
      </c>
      <c r="D232" s="34">
        <v>105131.31</v>
      </c>
      <c r="E232">
        <v>1246132575</v>
      </c>
      <c r="F232" s="30">
        <v>45597</v>
      </c>
      <c r="H232" t="s">
        <v>172</v>
      </c>
      <c r="I232" t="s">
        <v>173</v>
      </c>
      <c r="J232">
        <v>2994</v>
      </c>
      <c r="K232" s="30">
        <v>45357</v>
      </c>
      <c r="L232">
        <v>1010100</v>
      </c>
      <c r="M232" t="s">
        <v>35</v>
      </c>
      <c r="N232">
        <v>161</v>
      </c>
      <c r="O232" t="s">
        <v>160</v>
      </c>
      <c r="P232" t="s">
        <v>209</v>
      </c>
      <c r="Q232">
        <f t="shared" si="4"/>
        <v>544</v>
      </c>
      <c r="R232" t="str">
        <f>_xlfn.XLOOKUP(P232,'Painel Fertilizers'!$B:$B,'Painel Fertilizers'!$B:$B,0)</f>
        <v>AGRO BERALDO</v>
      </c>
    </row>
    <row r="233" spans="1:18" x14ac:dyDescent="0.25">
      <c r="A233">
        <v>13193</v>
      </c>
      <c r="B233" t="s">
        <v>209</v>
      </c>
      <c r="C233" t="s">
        <v>210</v>
      </c>
      <c r="D233" s="34">
        <v>97257.29</v>
      </c>
      <c r="E233">
        <v>1246139180</v>
      </c>
      <c r="F233" s="30">
        <v>45573</v>
      </c>
      <c r="H233" t="s">
        <v>172</v>
      </c>
      <c r="I233" t="s">
        <v>173</v>
      </c>
      <c r="J233">
        <v>3265</v>
      </c>
      <c r="K233" s="30">
        <v>45393</v>
      </c>
      <c r="L233">
        <v>1010100</v>
      </c>
      <c r="M233" t="s">
        <v>35</v>
      </c>
      <c r="N233">
        <v>161</v>
      </c>
      <c r="O233" t="s">
        <v>160</v>
      </c>
      <c r="P233" t="s">
        <v>209</v>
      </c>
      <c r="Q233">
        <f t="shared" si="4"/>
        <v>568</v>
      </c>
      <c r="R233" t="str">
        <f>_xlfn.XLOOKUP(P233,'Painel Fertilizers'!$B:$B,'Painel Fertilizers'!$B:$B,0)</f>
        <v>AGRO BERALDO</v>
      </c>
    </row>
    <row r="234" spans="1:18" x14ac:dyDescent="0.25">
      <c r="A234">
        <v>13193</v>
      </c>
      <c r="B234" t="s">
        <v>209</v>
      </c>
      <c r="C234" t="s">
        <v>210</v>
      </c>
      <c r="D234" s="34">
        <v>104293.46</v>
      </c>
      <c r="E234">
        <v>1246135519</v>
      </c>
      <c r="F234" s="30">
        <v>45600</v>
      </c>
      <c r="H234" t="s">
        <v>172</v>
      </c>
      <c r="I234" t="s">
        <v>173</v>
      </c>
      <c r="J234">
        <v>3146</v>
      </c>
      <c r="K234" s="30">
        <v>45373</v>
      </c>
      <c r="L234">
        <v>1010100</v>
      </c>
      <c r="M234" t="s">
        <v>35</v>
      </c>
      <c r="N234">
        <v>161</v>
      </c>
      <c r="O234" t="s">
        <v>160</v>
      </c>
      <c r="P234" t="s">
        <v>209</v>
      </c>
      <c r="Q234">
        <f t="shared" si="4"/>
        <v>541</v>
      </c>
      <c r="R234" t="str">
        <f>_xlfn.XLOOKUP(P234,'Painel Fertilizers'!$B:$B,'Painel Fertilizers'!$B:$B,0)</f>
        <v>AGRO BERALDO</v>
      </c>
    </row>
    <row r="235" spans="1:18" x14ac:dyDescent="0.25">
      <c r="A235">
        <v>13193</v>
      </c>
      <c r="B235" t="s">
        <v>209</v>
      </c>
      <c r="C235" t="s">
        <v>210</v>
      </c>
      <c r="D235" s="34">
        <v>120980.73</v>
      </c>
      <c r="E235">
        <v>1246138904</v>
      </c>
      <c r="F235" s="30">
        <v>45572</v>
      </c>
      <c r="H235" t="s">
        <v>172</v>
      </c>
      <c r="I235" t="s">
        <v>173</v>
      </c>
      <c r="J235">
        <v>3260</v>
      </c>
      <c r="K235" s="30">
        <v>45392</v>
      </c>
      <c r="L235">
        <v>1010100</v>
      </c>
      <c r="M235" t="s">
        <v>35</v>
      </c>
      <c r="N235">
        <v>161</v>
      </c>
      <c r="O235" t="s">
        <v>160</v>
      </c>
      <c r="P235" t="s">
        <v>209</v>
      </c>
      <c r="Q235">
        <f t="shared" si="4"/>
        <v>569</v>
      </c>
      <c r="R235" t="str">
        <f>_xlfn.XLOOKUP(P235,'Painel Fertilizers'!$B:$B,'Painel Fertilizers'!$B:$B,0)</f>
        <v>AGRO BERALDO</v>
      </c>
    </row>
    <row r="236" spans="1:18" x14ac:dyDescent="0.25">
      <c r="A236">
        <v>13193</v>
      </c>
      <c r="B236" t="s">
        <v>209</v>
      </c>
      <c r="C236" t="s">
        <v>210</v>
      </c>
      <c r="D236" s="34">
        <v>142145.26999999999</v>
      </c>
      <c r="E236">
        <v>1246138695</v>
      </c>
      <c r="F236" s="30">
        <v>45571</v>
      </c>
      <c r="H236" t="s">
        <v>172</v>
      </c>
      <c r="I236" t="s">
        <v>173</v>
      </c>
      <c r="J236">
        <v>3255</v>
      </c>
      <c r="K236" s="30">
        <v>45391</v>
      </c>
      <c r="L236">
        <v>1010100</v>
      </c>
      <c r="M236" t="s">
        <v>35</v>
      </c>
      <c r="N236">
        <v>161</v>
      </c>
      <c r="O236" t="s">
        <v>160</v>
      </c>
      <c r="P236" t="s">
        <v>209</v>
      </c>
      <c r="Q236">
        <f t="shared" si="4"/>
        <v>570</v>
      </c>
      <c r="R236" t="str">
        <f>_xlfn.XLOOKUP(P236,'Painel Fertilizers'!$B:$B,'Painel Fertilizers'!$B:$B,0)</f>
        <v>AGRO BERALDO</v>
      </c>
    </row>
    <row r="237" spans="1:18" x14ac:dyDescent="0.25">
      <c r="A237">
        <v>13193</v>
      </c>
      <c r="B237" t="s">
        <v>209</v>
      </c>
      <c r="C237" t="s">
        <v>210</v>
      </c>
      <c r="D237" s="34">
        <v>30167.84</v>
      </c>
      <c r="E237">
        <v>1246134824</v>
      </c>
      <c r="F237" s="30">
        <v>45597</v>
      </c>
      <c r="H237" t="s">
        <v>172</v>
      </c>
      <c r="I237" t="s">
        <v>173</v>
      </c>
      <c r="J237">
        <v>3122</v>
      </c>
      <c r="K237" s="30">
        <v>45370</v>
      </c>
      <c r="L237">
        <v>1010100</v>
      </c>
      <c r="M237" t="s">
        <v>35</v>
      </c>
      <c r="N237">
        <v>161</v>
      </c>
      <c r="O237" t="s">
        <v>160</v>
      </c>
      <c r="P237" t="s">
        <v>209</v>
      </c>
      <c r="Q237">
        <f t="shared" si="4"/>
        <v>544</v>
      </c>
      <c r="R237" t="str">
        <f>_xlfn.XLOOKUP(P237,'Painel Fertilizers'!$B:$B,'Painel Fertilizers'!$B:$B,0)</f>
        <v>AGRO BERALDO</v>
      </c>
    </row>
    <row r="238" spans="1:18" x14ac:dyDescent="0.25">
      <c r="A238">
        <v>13193</v>
      </c>
      <c r="B238" t="s">
        <v>209</v>
      </c>
      <c r="C238" t="s">
        <v>210</v>
      </c>
      <c r="D238" s="34">
        <v>96077.53</v>
      </c>
      <c r="E238">
        <v>1246134935</v>
      </c>
      <c r="F238" s="30">
        <v>45598</v>
      </c>
      <c r="H238" t="s">
        <v>172</v>
      </c>
      <c r="I238" t="s">
        <v>173</v>
      </c>
      <c r="J238">
        <v>3128</v>
      </c>
      <c r="K238" s="30">
        <v>45371</v>
      </c>
      <c r="L238">
        <v>1010100</v>
      </c>
      <c r="M238" t="s">
        <v>35</v>
      </c>
      <c r="N238">
        <v>161</v>
      </c>
      <c r="O238" t="s">
        <v>160</v>
      </c>
      <c r="P238" t="s">
        <v>209</v>
      </c>
      <c r="Q238">
        <f t="shared" si="4"/>
        <v>543</v>
      </c>
      <c r="R238" t="str">
        <f>_xlfn.XLOOKUP(P238,'Painel Fertilizers'!$B:$B,'Painel Fertilizers'!$B:$B,0)</f>
        <v>AGRO BERALDO</v>
      </c>
    </row>
    <row r="239" spans="1:18" x14ac:dyDescent="0.25">
      <c r="A239">
        <v>13193</v>
      </c>
      <c r="B239" t="s">
        <v>209</v>
      </c>
      <c r="C239" t="s">
        <v>210</v>
      </c>
      <c r="D239" s="34">
        <v>90503.54</v>
      </c>
      <c r="E239">
        <v>1246134807</v>
      </c>
      <c r="F239" s="30">
        <v>45597</v>
      </c>
      <c r="H239" t="s">
        <v>172</v>
      </c>
      <c r="I239" t="s">
        <v>173</v>
      </c>
      <c r="J239">
        <v>3119</v>
      </c>
      <c r="K239" s="30">
        <v>45370</v>
      </c>
      <c r="L239">
        <v>1010100</v>
      </c>
      <c r="M239" t="s">
        <v>35</v>
      </c>
      <c r="N239">
        <v>161</v>
      </c>
      <c r="O239" t="s">
        <v>160</v>
      </c>
      <c r="P239" t="s">
        <v>209</v>
      </c>
      <c r="Q239">
        <f t="shared" si="4"/>
        <v>544</v>
      </c>
      <c r="R239" t="str">
        <f>_xlfn.XLOOKUP(P239,'Painel Fertilizers'!$B:$B,'Painel Fertilizers'!$B:$B,0)</f>
        <v>AGRO BERALDO</v>
      </c>
    </row>
    <row r="240" spans="1:18" x14ac:dyDescent="0.25">
      <c r="A240">
        <v>13193</v>
      </c>
      <c r="B240" t="s">
        <v>209</v>
      </c>
      <c r="C240" t="s">
        <v>210</v>
      </c>
      <c r="D240" s="34">
        <v>90503.54</v>
      </c>
      <c r="E240">
        <v>1246134540</v>
      </c>
      <c r="F240" s="30">
        <v>45596</v>
      </c>
      <c r="H240" t="s">
        <v>172</v>
      </c>
      <c r="I240" t="s">
        <v>173</v>
      </c>
      <c r="J240">
        <v>3110</v>
      </c>
      <c r="K240" s="30">
        <v>45369</v>
      </c>
      <c r="L240">
        <v>1010100</v>
      </c>
      <c r="M240" t="s">
        <v>35</v>
      </c>
      <c r="N240">
        <v>161</v>
      </c>
      <c r="O240" t="s">
        <v>160</v>
      </c>
      <c r="P240" t="s">
        <v>209</v>
      </c>
      <c r="Q240">
        <f t="shared" si="4"/>
        <v>545</v>
      </c>
      <c r="R240" t="str">
        <f>_xlfn.XLOOKUP(P240,'Painel Fertilizers'!$B:$B,'Painel Fertilizers'!$B:$B,0)</f>
        <v>AGRO BERALDO</v>
      </c>
    </row>
    <row r="241" spans="1:18" x14ac:dyDescent="0.25">
      <c r="A241">
        <v>13193</v>
      </c>
      <c r="B241" t="s">
        <v>209</v>
      </c>
      <c r="C241" t="s">
        <v>210</v>
      </c>
      <c r="D241" s="34">
        <v>82776.289999999994</v>
      </c>
      <c r="E241">
        <v>1246139327</v>
      </c>
      <c r="F241" s="30">
        <v>45573</v>
      </c>
      <c r="H241" t="s">
        <v>172</v>
      </c>
      <c r="I241" t="s">
        <v>173</v>
      </c>
      <c r="J241">
        <v>3272</v>
      </c>
      <c r="K241" s="30">
        <v>45393</v>
      </c>
      <c r="L241">
        <v>1010100</v>
      </c>
      <c r="M241" t="s">
        <v>35</v>
      </c>
      <c r="N241">
        <v>161</v>
      </c>
      <c r="O241" t="s">
        <v>160</v>
      </c>
      <c r="P241" t="s">
        <v>209</v>
      </c>
      <c r="Q241">
        <f t="shared" si="4"/>
        <v>568</v>
      </c>
      <c r="R241" t="str">
        <f>_xlfn.XLOOKUP(P241,'Painel Fertilizers'!$B:$B,'Painel Fertilizers'!$B:$B,0)</f>
        <v>AGRO BERALDO</v>
      </c>
    </row>
    <row r="242" spans="1:18" x14ac:dyDescent="0.25">
      <c r="A242">
        <v>13193</v>
      </c>
      <c r="B242" t="s">
        <v>209</v>
      </c>
      <c r="C242" t="s">
        <v>210</v>
      </c>
      <c r="D242" s="34">
        <v>64051.68</v>
      </c>
      <c r="E242">
        <v>1246134828</v>
      </c>
      <c r="F242" s="30">
        <v>45597</v>
      </c>
      <c r="H242" t="s">
        <v>172</v>
      </c>
      <c r="I242" t="s">
        <v>173</v>
      </c>
      <c r="J242">
        <v>3123</v>
      </c>
      <c r="K242" s="30">
        <v>45370</v>
      </c>
      <c r="L242">
        <v>1010100</v>
      </c>
      <c r="M242" t="s">
        <v>35</v>
      </c>
      <c r="N242">
        <v>161</v>
      </c>
      <c r="O242" t="s">
        <v>160</v>
      </c>
      <c r="P242" t="s">
        <v>209</v>
      </c>
      <c r="Q242">
        <f t="shared" si="4"/>
        <v>544</v>
      </c>
      <c r="R242" t="str">
        <f>_xlfn.XLOOKUP(P242,'Painel Fertilizers'!$B:$B,'Painel Fertilizers'!$B:$B,0)</f>
        <v>AGRO BERALDO</v>
      </c>
    </row>
    <row r="243" spans="1:18" x14ac:dyDescent="0.25">
      <c r="A243">
        <v>13193</v>
      </c>
      <c r="B243" t="s">
        <v>209</v>
      </c>
      <c r="C243" t="s">
        <v>210</v>
      </c>
      <c r="D243" s="34">
        <v>96077.53</v>
      </c>
      <c r="E243">
        <v>1246134926</v>
      </c>
      <c r="F243" s="30">
        <v>45598</v>
      </c>
      <c r="H243" t="s">
        <v>172</v>
      </c>
      <c r="I243" t="s">
        <v>173</v>
      </c>
      <c r="J243">
        <v>3126</v>
      </c>
      <c r="K243" s="30">
        <v>45371</v>
      </c>
      <c r="L243">
        <v>1010100</v>
      </c>
      <c r="M243" t="s">
        <v>35</v>
      </c>
      <c r="N243">
        <v>161</v>
      </c>
      <c r="O243" t="s">
        <v>160</v>
      </c>
      <c r="P243" t="s">
        <v>209</v>
      </c>
      <c r="Q243">
        <f t="shared" si="4"/>
        <v>543</v>
      </c>
      <c r="R243" t="str">
        <f>_xlfn.XLOOKUP(P243,'Painel Fertilizers'!$B:$B,'Painel Fertilizers'!$B:$B,0)</f>
        <v>AGRO BERALDO</v>
      </c>
    </row>
    <row r="244" spans="1:18" x14ac:dyDescent="0.25">
      <c r="A244">
        <v>13193</v>
      </c>
      <c r="B244" t="s">
        <v>209</v>
      </c>
      <c r="C244" t="s">
        <v>210</v>
      </c>
      <c r="D244" s="34">
        <v>96077.53</v>
      </c>
      <c r="E244">
        <v>1246135475</v>
      </c>
      <c r="F244" s="30">
        <v>45600</v>
      </c>
      <c r="H244" t="s">
        <v>172</v>
      </c>
      <c r="I244" t="s">
        <v>173</v>
      </c>
      <c r="J244">
        <v>3143</v>
      </c>
      <c r="K244" s="30">
        <v>45373</v>
      </c>
      <c r="L244">
        <v>1010100</v>
      </c>
      <c r="M244" t="s">
        <v>35</v>
      </c>
      <c r="N244">
        <v>161</v>
      </c>
      <c r="O244" t="s">
        <v>160</v>
      </c>
      <c r="P244" t="s">
        <v>209</v>
      </c>
      <c r="Q244">
        <f t="shared" si="4"/>
        <v>541</v>
      </c>
      <c r="R244" t="str">
        <f>_xlfn.XLOOKUP(P244,'Painel Fertilizers'!$B:$B,'Painel Fertilizers'!$B:$B,0)</f>
        <v>AGRO BERALDO</v>
      </c>
    </row>
    <row r="245" spans="1:18" x14ac:dyDescent="0.25">
      <c r="A245">
        <v>13567</v>
      </c>
      <c r="B245" t="s">
        <v>377</v>
      </c>
      <c r="C245" t="s">
        <v>378</v>
      </c>
      <c r="D245" s="34">
        <v>108547.57</v>
      </c>
      <c r="E245">
        <v>1246235061</v>
      </c>
      <c r="F245" s="30">
        <v>46143</v>
      </c>
      <c r="H245" t="s">
        <v>172</v>
      </c>
      <c r="I245" t="s">
        <v>173</v>
      </c>
      <c r="J245">
        <v>9184</v>
      </c>
      <c r="K245" s="30">
        <v>45904</v>
      </c>
      <c r="L245">
        <v>1010100</v>
      </c>
      <c r="M245" t="s">
        <v>35</v>
      </c>
      <c r="N245">
        <v>56</v>
      </c>
      <c r="O245" t="s">
        <v>161</v>
      </c>
      <c r="P245" t="s">
        <v>377</v>
      </c>
      <c r="Q245">
        <f t="shared" si="4"/>
        <v>-2</v>
      </c>
      <c r="R245" t="str">
        <f>_xlfn.XLOOKUP(P245,'Painel Fertilizers'!$B:$B,'Painel Fertilizers'!$B:$B,0)</f>
        <v>TAKI AGRO - POUSO ALEGRE</v>
      </c>
    </row>
    <row r="246" spans="1:18" x14ac:dyDescent="0.25">
      <c r="A246">
        <v>13567</v>
      </c>
      <c r="B246" t="s">
        <v>377</v>
      </c>
      <c r="C246" t="s">
        <v>378</v>
      </c>
      <c r="D246" s="34">
        <v>114260.6</v>
      </c>
      <c r="E246">
        <v>1246235060</v>
      </c>
      <c r="F246" s="30">
        <v>46143</v>
      </c>
      <c r="H246" t="s">
        <v>172</v>
      </c>
      <c r="I246" t="s">
        <v>173</v>
      </c>
      <c r="J246">
        <v>9183</v>
      </c>
      <c r="K246" s="30">
        <v>45904</v>
      </c>
      <c r="L246">
        <v>1010100</v>
      </c>
      <c r="M246" t="s">
        <v>35</v>
      </c>
      <c r="N246">
        <v>56</v>
      </c>
      <c r="O246" t="s">
        <v>161</v>
      </c>
      <c r="P246" t="s">
        <v>377</v>
      </c>
      <c r="Q246">
        <f t="shared" si="4"/>
        <v>-2</v>
      </c>
      <c r="R246" t="str">
        <f>_xlfn.XLOOKUP(P246,'Painel Fertilizers'!$B:$B,'Painel Fertilizers'!$B:$B,0)</f>
        <v>TAKI AGRO - POUSO ALEGRE</v>
      </c>
    </row>
    <row r="247" spans="1:18" x14ac:dyDescent="0.25">
      <c r="A247">
        <v>14948</v>
      </c>
      <c r="B247" t="s">
        <v>379</v>
      </c>
      <c r="C247" t="s">
        <v>380</v>
      </c>
      <c r="D247" s="34">
        <v>184217.94</v>
      </c>
      <c r="E247">
        <v>1246221983</v>
      </c>
      <c r="F247" s="30">
        <v>46138</v>
      </c>
      <c r="H247" t="s">
        <v>172</v>
      </c>
      <c r="I247" t="s">
        <v>173</v>
      </c>
      <c r="J247">
        <v>8306</v>
      </c>
      <c r="K247" s="30">
        <v>45838</v>
      </c>
      <c r="L247">
        <v>1010100</v>
      </c>
      <c r="M247" t="s">
        <v>35</v>
      </c>
      <c r="N247">
        <v>56</v>
      </c>
      <c r="O247" t="s">
        <v>161</v>
      </c>
      <c r="P247" t="s">
        <v>379</v>
      </c>
      <c r="Q247">
        <f t="shared" si="4"/>
        <v>3</v>
      </c>
      <c r="R247" t="str">
        <f>_xlfn.XLOOKUP(P247,'Painel Fertilizers'!$B:$B,'Painel Fertilizers'!$B:$B,0)</f>
        <v>TAKI AGRO - SOCORRO</v>
      </c>
    </row>
    <row r="248" spans="1:18" x14ac:dyDescent="0.25">
      <c r="A248">
        <v>14552</v>
      </c>
      <c r="B248" t="s">
        <v>334</v>
      </c>
      <c r="C248" t="s">
        <v>335</v>
      </c>
      <c r="D248" s="34">
        <v>194626</v>
      </c>
      <c r="E248">
        <v>1246240017</v>
      </c>
      <c r="F248" s="30">
        <v>46143</v>
      </c>
      <c r="H248" t="s">
        <v>172</v>
      </c>
      <c r="I248" t="s">
        <v>173</v>
      </c>
      <c r="J248">
        <v>9500</v>
      </c>
      <c r="K248" s="30">
        <v>45929</v>
      </c>
      <c r="L248">
        <v>1010100</v>
      </c>
      <c r="M248" t="s">
        <v>35</v>
      </c>
      <c r="N248">
        <v>161</v>
      </c>
      <c r="O248" t="s">
        <v>160</v>
      </c>
      <c r="P248" t="s">
        <v>334</v>
      </c>
      <c r="Q248">
        <f t="shared" si="4"/>
        <v>-2</v>
      </c>
      <c r="R248" t="str">
        <f>_xlfn.XLOOKUP(P248,'Painel Fertilizers'!$B:$B,'Painel Fertilizers'!$B:$B,0)</f>
        <v>GA AGRONEGOCIOS</v>
      </c>
    </row>
    <row r="249" spans="1:18" x14ac:dyDescent="0.25">
      <c r="A249">
        <v>14552</v>
      </c>
      <c r="B249" t="s">
        <v>334</v>
      </c>
      <c r="C249" t="s">
        <v>335</v>
      </c>
      <c r="D249" s="34">
        <v>176320</v>
      </c>
      <c r="E249">
        <v>1246225706</v>
      </c>
      <c r="F249" s="30">
        <v>46145</v>
      </c>
      <c r="H249" t="s">
        <v>172</v>
      </c>
      <c r="I249" t="s">
        <v>173</v>
      </c>
      <c r="J249">
        <v>8525</v>
      </c>
      <c r="K249" s="30">
        <v>45855</v>
      </c>
      <c r="L249">
        <v>1010100</v>
      </c>
      <c r="M249" t="s">
        <v>35</v>
      </c>
      <c r="N249">
        <v>161</v>
      </c>
      <c r="O249" t="s">
        <v>160</v>
      </c>
      <c r="P249" t="s">
        <v>334</v>
      </c>
      <c r="Q249">
        <f t="shared" ref="Q249:Q309" si="5">$R$1-F249</f>
        <v>-4</v>
      </c>
      <c r="R249" t="str">
        <f>_xlfn.XLOOKUP(P249,'Painel Fertilizers'!$B:$B,'Painel Fertilizers'!$B:$B,0)</f>
        <v>GA AGRONEGOCIOS</v>
      </c>
    </row>
    <row r="250" spans="1:18" x14ac:dyDescent="0.25">
      <c r="A250">
        <v>14552</v>
      </c>
      <c r="B250" t="s">
        <v>334</v>
      </c>
      <c r="C250" t="s">
        <v>335</v>
      </c>
      <c r="D250" s="34">
        <v>112043</v>
      </c>
      <c r="E250">
        <v>1246240517</v>
      </c>
      <c r="F250" s="30">
        <v>46144</v>
      </c>
      <c r="H250" t="s">
        <v>172</v>
      </c>
      <c r="I250" t="s">
        <v>173</v>
      </c>
      <c r="J250">
        <v>9522</v>
      </c>
      <c r="K250" s="30">
        <v>45930</v>
      </c>
      <c r="L250">
        <v>1010100</v>
      </c>
      <c r="M250" t="s">
        <v>35</v>
      </c>
      <c r="N250">
        <v>161</v>
      </c>
      <c r="O250" t="s">
        <v>160</v>
      </c>
      <c r="P250" t="s">
        <v>334</v>
      </c>
      <c r="Q250">
        <f t="shared" si="5"/>
        <v>-3</v>
      </c>
      <c r="R250" t="str">
        <f>_xlfn.XLOOKUP(P250,'Painel Fertilizers'!$B:$B,'Painel Fertilizers'!$B:$B,0)</f>
        <v>GA AGRONEGOCIOS</v>
      </c>
    </row>
    <row r="251" spans="1:18" x14ac:dyDescent="0.25">
      <c r="A251">
        <v>14848</v>
      </c>
      <c r="B251" t="s">
        <v>376</v>
      </c>
      <c r="C251" t="s">
        <v>651</v>
      </c>
      <c r="D251" s="34">
        <v>207773.56999999998</v>
      </c>
      <c r="E251">
        <v>1246230064</v>
      </c>
      <c r="F251" s="30">
        <v>46162</v>
      </c>
      <c r="H251" t="s">
        <v>172</v>
      </c>
      <c r="I251" t="s">
        <v>173</v>
      </c>
      <c r="J251">
        <v>8811</v>
      </c>
      <c r="K251" s="30">
        <v>45877</v>
      </c>
      <c r="L251">
        <v>1010100</v>
      </c>
      <c r="M251" t="s">
        <v>35</v>
      </c>
      <c r="N251">
        <v>161</v>
      </c>
      <c r="O251" t="s">
        <v>160</v>
      </c>
      <c r="P251" t="s">
        <v>376</v>
      </c>
      <c r="Q251">
        <f t="shared" si="5"/>
        <v>-21</v>
      </c>
      <c r="R251" t="str">
        <f>_xlfn.XLOOKUP(P251,'Painel Fertilizers'!$B:$B,'Painel Fertilizers'!$B:$B,0)</f>
        <v>FAZENDA FERRADURA</v>
      </c>
    </row>
    <row r="252" spans="1:18" x14ac:dyDescent="0.25">
      <c r="A252">
        <v>14848</v>
      </c>
      <c r="B252" t="s">
        <v>376</v>
      </c>
      <c r="C252" t="s">
        <v>651</v>
      </c>
      <c r="D252" s="34">
        <v>121554.34</v>
      </c>
      <c r="E252">
        <v>1246230701</v>
      </c>
      <c r="F252" s="30">
        <v>46164</v>
      </c>
      <c r="H252" t="s">
        <v>172</v>
      </c>
      <c r="I252" t="s">
        <v>173</v>
      </c>
      <c r="J252">
        <v>8856</v>
      </c>
      <c r="K252" s="30">
        <v>45881</v>
      </c>
      <c r="L252">
        <v>1010100</v>
      </c>
      <c r="M252" t="s">
        <v>35</v>
      </c>
      <c r="N252">
        <v>161</v>
      </c>
      <c r="O252" t="s">
        <v>160</v>
      </c>
      <c r="P252" t="s">
        <v>376</v>
      </c>
      <c r="Q252">
        <f t="shared" si="5"/>
        <v>-23</v>
      </c>
      <c r="R252" t="str">
        <f>_xlfn.XLOOKUP(P252,'Painel Fertilizers'!$B:$B,'Painel Fertilizers'!$B:$B,0)</f>
        <v>FAZENDA FERRADURA</v>
      </c>
    </row>
    <row r="253" spans="1:18" x14ac:dyDescent="0.25">
      <c r="A253">
        <v>14396</v>
      </c>
      <c r="B253" t="s">
        <v>269</v>
      </c>
      <c r="C253" t="s">
        <v>270</v>
      </c>
      <c r="D253" s="34">
        <v>137598</v>
      </c>
      <c r="E253">
        <v>1246163527</v>
      </c>
      <c r="F253" s="30">
        <v>45779</v>
      </c>
      <c r="H253" t="s">
        <v>172</v>
      </c>
      <c r="I253" t="s">
        <v>173</v>
      </c>
      <c r="J253">
        <v>4649</v>
      </c>
      <c r="K253" s="30">
        <v>45511</v>
      </c>
      <c r="L253">
        <v>1010100</v>
      </c>
      <c r="M253" t="s">
        <v>35</v>
      </c>
      <c r="N253">
        <v>161</v>
      </c>
      <c r="O253" t="s">
        <v>160</v>
      </c>
      <c r="P253" t="s">
        <v>269</v>
      </c>
      <c r="Q253">
        <f t="shared" si="5"/>
        <v>362</v>
      </c>
      <c r="R253" t="str">
        <f>_xlfn.XLOOKUP(P253,'Painel Fertilizers'!$B:$B,'Painel Fertilizers'!$B:$B,0)</f>
        <v>FAZENDA ARCOS SÃO JOÃO</v>
      </c>
    </row>
    <row r="254" spans="1:18" x14ac:dyDescent="0.25">
      <c r="A254">
        <v>14396</v>
      </c>
      <c r="B254" t="s">
        <v>269</v>
      </c>
      <c r="C254" t="s">
        <v>270</v>
      </c>
      <c r="D254" s="34">
        <v>121086.24</v>
      </c>
      <c r="E254">
        <v>1246160799</v>
      </c>
      <c r="F254" s="30">
        <v>45779</v>
      </c>
      <c r="H254" t="s">
        <v>172</v>
      </c>
      <c r="I254" t="s">
        <v>173</v>
      </c>
      <c r="J254">
        <v>4489</v>
      </c>
      <c r="K254" s="30">
        <v>45499</v>
      </c>
      <c r="L254">
        <v>1010100</v>
      </c>
      <c r="M254" t="s">
        <v>35</v>
      </c>
      <c r="N254">
        <v>161</v>
      </c>
      <c r="O254" t="s">
        <v>160</v>
      </c>
      <c r="P254" t="s">
        <v>269</v>
      </c>
      <c r="Q254">
        <f t="shared" si="5"/>
        <v>362</v>
      </c>
      <c r="R254" t="str">
        <f>_xlfn.XLOOKUP(P254,'Painel Fertilizers'!$B:$B,'Painel Fertilizers'!$B:$B,0)</f>
        <v>FAZENDA ARCOS SÃO JOÃO</v>
      </c>
    </row>
    <row r="255" spans="1:18" x14ac:dyDescent="0.25">
      <c r="A255">
        <v>14396</v>
      </c>
      <c r="B255" t="s">
        <v>269</v>
      </c>
      <c r="C255" t="s">
        <v>270</v>
      </c>
      <c r="D255" s="34">
        <v>145692</v>
      </c>
      <c r="E255">
        <v>1246160793</v>
      </c>
      <c r="F255" s="30">
        <v>45779</v>
      </c>
      <c r="H255" t="s">
        <v>172</v>
      </c>
      <c r="I255" t="s">
        <v>173</v>
      </c>
      <c r="J255">
        <v>4485</v>
      </c>
      <c r="K255" s="30">
        <v>45499</v>
      </c>
      <c r="L255">
        <v>1010100</v>
      </c>
      <c r="M255" t="s">
        <v>35</v>
      </c>
      <c r="N255">
        <v>161</v>
      </c>
      <c r="O255" t="s">
        <v>160</v>
      </c>
      <c r="P255" t="s">
        <v>269</v>
      </c>
      <c r="Q255">
        <f t="shared" si="5"/>
        <v>362</v>
      </c>
      <c r="R255" t="str">
        <f>_xlfn.XLOOKUP(P255,'Painel Fertilizers'!$B:$B,'Painel Fertilizers'!$B:$B,0)</f>
        <v>FAZENDA ARCOS SÃO JOÃO</v>
      </c>
    </row>
    <row r="256" spans="1:18" x14ac:dyDescent="0.25">
      <c r="A256">
        <v>14396</v>
      </c>
      <c r="B256" t="s">
        <v>269</v>
      </c>
      <c r="C256" t="s">
        <v>270</v>
      </c>
      <c r="D256" s="34">
        <v>121410</v>
      </c>
      <c r="E256">
        <v>1246180565</v>
      </c>
      <c r="F256" s="30">
        <v>45776</v>
      </c>
      <c r="H256" t="s">
        <v>172</v>
      </c>
      <c r="I256" t="s">
        <v>173</v>
      </c>
      <c r="J256">
        <v>5953</v>
      </c>
      <c r="K256" s="30">
        <v>45600</v>
      </c>
      <c r="L256">
        <v>1010100</v>
      </c>
      <c r="M256" t="s">
        <v>35</v>
      </c>
      <c r="N256">
        <v>161</v>
      </c>
      <c r="O256" t="s">
        <v>160</v>
      </c>
      <c r="P256" t="s">
        <v>269</v>
      </c>
      <c r="Q256">
        <f t="shared" si="5"/>
        <v>365</v>
      </c>
      <c r="R256" t="str">
        <f>_xlfn.XLOOKUP(P256,'Painel Fertilizers'!$B:$B,'Painel Fertilizers'!$B:$B,0)</f>
        <v>FAZENDA ARCOS SÃO JOÃO</v>
      </c>
    </row>
    <row r="257" spans="1:18" x14ac:dyDescent="0.25">
      <c r="A257">
        <v>14396</v>
      </c>
      <c r="B257" t="s">
        <v>269</v>
      </c>
      <c r="C257" t="s">
        <v>270</v>
      </c>
      <c r="D257" s="34">
        <v>171360</v>
      </c>
      <c r="E257">
        <v>1246202562</v>
      </c>
      <c r="F257" s="30">
        <v>45930</v>
      </c>
      <c r="H257" t="s">
        <v>172</v>
      </c>
      <c r="I257" t="s">
        <v>173</v>
      </c>
      <c r="J257">
        <v>7204</v>
      </c>
      <c r="K257" s="30">
        <v>45728</v>
      </c>
      <c r="L257">
        <v>1010100</v>
      </c>
      <c r="M257" t="s">
        <v>35</v>
      </c>
      <c r="N257">
        <v>161</v>
      </c>
      <c r="O257" t="s">
        <v>160</v>
      </c>
      <c r="P257" t="s">
        <v>269</v>
      </c>
      <c r="Q257">
        <f t="shared" si="5"/>
        <v>211</v>
      </c>
      <c r="R257" t="str">
        <f>_xlfn.XLOOKUP(P257,'Painel Fertilizers'!$B:$B,'Painel Fertilizers'!$B:$B,0)</f>
        <v>FAZENDA ARCOS SÃO JOÃO</v>
      </c>
    </row>
    <row r="258" spans="1:18" x14ac:dyDescent="0.25">
      <c r="A258">
        <v>14396</v>
      </c>
      <c r="B258" t="s">
        <v>269</v>
      </c>
      <c r="C258" t="s">
        <v>270</v>
      </c>
      <c r="D258" s="34">
        <v>4000</v>
      </c>
      <c r="E258">
        <v>1246203613</v>
      </c>
      <c r="F258" s="30">
        <v>45920</v>
      </c>
      <c r="H258" t="s">
        <v>172</v>
      </c>
      <c r="I258" t="s">
        <v>173</v>
      </c>
      <c r="J258">
        <v>7286</v>
      </c>
      <c r="K258" s="30">
        <v>45735</v>
      </c>
      <c r="L258">
        <v>1010100</v>
      </c>
      <c r="M258" t="s">
        <v>35</v>
      </c>
      <c r="N258">
        <v>161</v>
      </c>
      <c r="O258" t="s">
        <v>160</v>
      </c>
      <c r="P258" t="s">
        <v>269</v>
      </c>
      <c r="Q258">
        <f t="shared" si="5"/>
        <v>221</v>
      </c>
      <c r="R258" t="str">
        <f>_xlfn.XLOOKUP(P258,'Painel Fertilizers'!$B:$B,'Painel Fertilizers'!$B:$B,0)</f>
        <v>FAZENDA ARCOS SÃO JOÃO</v>
      </c>
    </row>
    <row r="259" spans="1:18" x14ac:dyDescent="0.25">
      <c r="A259">
        <v>14396</v>
      </c>
      <c r="B259" t="s">
        <v>269</v>
      </c>
      <c r="C259" t="s">
        <v>270</v>
      </c>
      <c r="D259" s="34">
        <v>139680</v>
      </c>
      <c r="E259">
        <v>1246199147</v>
      </c>
      <c r="F259" s="30">
        <v>45889</v>
      </c>
      <c r="H259" t="s">
        <v>172</v>
      </c>
      <c r="I259" t="s">
        <v>173</v>
      </c>
      <c r="J259">
        <v>6996</v>
      </c>
      <c r="K259" s="30">
        <v>45706</v>
      </c>
      <c r="L259">
        <v>1010100</v>
      </c>
      <c r="M259" t="s">
        <v>35</v>
      </c>
      <c r="N259">
        <v>161</v>
      </c>
      <c r="O259" t="s">
        <v>160</v>
      </c>
      <c r="P259" t="s">
        <v>269</v>
      </c>
      <c r="Q259">
        <f t="shared" si="5"/>
        <v>252</v>
      </c>
      <c r="R259" t="str">
        <f>_xlfn.XLOOKUP(P259,'Painel Fertilizers'!$B:$B,'Painel Fertilizers'!$B:$B,0)</f>
        <v>FAZENDA ARCOS SÃO JOÃO</v>
      </c>
    </row>
    <row r="260" spans="1:18" x14ac:dyDescent="0.25">
      <c r="A260">
        <v>14396</v>
      </c>
      <c r="B260" t="s">
        <v>269</v>
      </c>
      <c r="C260" t="s">
        <v>270</v>
      </c>
      <c r="D260" s="34">
        <v>139680</v>
      </c>
      <c r="E260">
        <v>1246199209</v>
      </c>
      <c r="F260" s="30">
        <v>45889</v>
      </c>
      <c r="H260" t="s">
        <v>172</v>
      </c>
      <c r="I260" t="s">
        <v>173</v>
      </c>
      <c r="J260">
        <v>7005</v>
      </c>
      <c r="K260" s="30">
        <v>45706</v>
      </c>
      <c r="L260">
        <v>1010100</v>
      </c>
      <c r="M260" t="s">
        <v>35</v>
      </c>
      <c r="N260">
        <v>161</v>
      </c>
      <c r="O260" t="s">
        <v>160</v>
      </c>
      <c r="P260" t="s">
        <v>269</v>
      </c>
      <c r="Q260">
        <f t="shared" si="5"/>
        <v>252</v>
      </c>
      <c r="R260" t="str">
        <f>_xlfn.XLOOKUP(P260,'Painel Fertilizers'!$B:$B,'Painel Fertilizers'!$B:$B,0)</f>
        <v>FAZENDA ARCOS SÃO JOÃO</v>
      </c>
    </row>
    <row r="261" spans="1:18" x14ac:dyDescent="0.25">
      <c r="A261">
        <v>14396</v>
      </c>
      <c r="B261" t="s">
        <v>269</v>
      </c>
      <c r="C261" t="s">
        <v>270</v>
      </c>
      <c r="D261" s="34">
        <v>8000</v>
      </c>
      <c r="E261">
        <v>1246205781</v>
      </c>
      <c r="F261" s="30">
        <v>45920</v>
      </c>
      <c r="H261" t="s">
        <v>172</v>
      </c>
      <c r="I261" t="s">
        <v>173</v>
      </c>
      <c r="J261">
        <v>7423</v>
      </c>
      <c r="K261" s="30">
        <v>45744</v>
      </c>
      <c r="L261">
        <v>1010100</v>
      </c>
      <c r="M261" t="s">
        <v>35</v>
      </c>
      <c r="N261">
        <v>161</v>
      </c>
      <c r="O261" t="s">
        <v>160</v>
      </c>
      <c r="P261" t="s">
        <v>269</v>
      </c>
      <c r="Q261">
        <f t="shared" si="5"/>
        <v>221</v>
      </c>
      <c r="R261" t="str">
        <f>_xlfn.XLOOKUP(P261,'Painel Fertilizers'!$B:$B,'Painel Fertilizers'!$B:$B,0)</f>
        <v>FAZENDA ARCOS SÃO JOÃO</v>
      </c>
    </row>
    <row r="262" spans="1:18" x14ac:dyDescent="0.25">
      <c r="A262">
        <v>16107</v>
      </c>
      <c r="B262" t="s">
        <v>577</v>
      </c>
      <c r="C262" t="s">
        <v>578</v>
      </c>
      <c r="D262" s="34">
        <v>58579.74</v>
      </c>
      <c r="E262">
        <v>1246235692</v>
      </c>
      <c r="F262" s="30">
        <v>46265</v>
      </c>
      <c r="H262" t="s">
        <v>172</v>
      </c>
      <c r="I262" t="s">
        <v>173</v>
      </c>
      <c r="J262">
        <v>9246</v>
      </c>
      <c r="K262" s="30">
        <v>45908</v>
      </c>
      <c r="L262">
        <v>1010100</v>
      </c>
      <c r="M262" t="s">
        <v>35</v>
      </c>
      <c r="N262">
        <v>161</v>
      </c>
      <c r="O262" t="s">
        <v>160</v>
      </c>
      <c r="P262" t="s">
        <v>577</v>
      </c>
      <c r="Q262">
        <f t="shared" si="5"/>
        <v>-124</v>
      </c>
      <c r="R262" t="str">
        <f>_xlfn.XLOOKUP(P262,'Painel Fertilizers'!$B:$B,'Painel Fertilizers'!$B:$B,0)</f>
        <v>CONNTACTA AGRONEGOCIOS</v>
      </c>
    </row>
    <row r="263" spans="1:18" x14ac:dyDescent="0.25">
      <c r="A263">
        <v>16107</v>
      </c>
      <c r="B263" t="s">
        <v>577</v>
      </c>
      <c r="C263" t="s">
        <v>578</v>
      </c>
      <c r="D263" s="34">
        <v>120293.94</v>
      </c>
      <c r="E263">
        <v>1246234013</v>
      </c>
      <c r="F263" s="30">
        <v>46265</v>
      </c>
      <c r="H263" t="s">
        <v>172</v>
      </c>
      <c r="I263" t="s">
        <v>173</v>
      </c>
      <c r="J263">
        <v>9130</v>
      </c>
      <c r="K263" s="30">
        <v>45898</v>
      </c>
      <c r="L263">
        <v>1010100</v>
      </c>
      <c r="M263" t="s">
        <v>35</v>
      </c>
      <c r="N263">
        <v>161</v>
      </c>
      <c r="O263" t="s">
        <v>160</v>
      </c>
      <c r="P263" t="s">
        <v>577</v>
      </c>
      <c r="Q263">
        <f t="shared" si="5"/>
        <v>-124</v>
      </c>
      <c r="R263" t="str">
        <f>_xlfn.XLOOKUP(P263,'Painel Fertilizers'!$B:$B,'Painel Fertilizers'!$B:$B,0)</f>
        <v>CONNTACTA AGRONEGOCIOS</v>
      </c>
    </row>
    <row r="264" spans="1:18" x14ac:dyDescent="0.25">
      <c r="A264">
        <v>16107</v>
      </c>
      <c r="B264" t="s">
        <v>577</v>
      </c>
      <c r="C264" t="s">
        <v>578</v>
      </c>
      <c r="D264" s="34">
        <v>52795.360000000001</v>
      </c>
      <c r="E264">
        <v>1246231811</v>
      </c>
      <c r="F264" s="30">
        <v>46265</v>
      </c>
      <c r="H264" t="s">
        <v>172</v>
      </c>
      <c r="I264" t="s">
        <v>173</v>
      </c>
      <c r="J264">
        <v>8929</v>
      </c>
      <c r="K264" s="30">
        <v>45888</v>
      </c>
      <c r="L264">
        <v>1010100</v>
      </c>
      <c r="M264" t="s">
        <v>35</v>
      </c>
      <c r="N264">
        <v>161</v>
      </c>
      <c r="O264" t="s">
        <v>160</v>
      </c>
      <c r="P264" t="s">
        <v>577</v>
      </c>
      <c r="Q264">
        <f t="shared" si="5"/>
        <v>-124</v>
      </c>
      <c r="R264" t="str">
        <f>_xlfn.XLOOKUP(P264,'Painel Fertilizers'!$B:$B,'Painel Fertilizers'!$B:$B,0)</f>
        <v>CONNTACTA AGRONEGOCIOS</v>
      </c>
    </row>
    <row r="265" spans="1:18" x14ac:dyDescent="0.25">
      <c r="A265">
        <v>16107</v>
      </c>
      <c r="B265" t="s">
        <v>577</v>
      </c>
      <c r="C265" t="s">
        <v>578</v>
      </c>
      <c r="D265" s="34">
        <v>92391.88</v>
      </c>
      <c r="E265">
        <v>1246232362</v>
      </c>
      <c r="F265" s="30">
        <v>46265</v>
      </c>
      <c r="H265" t="s">
        <v>172</v>
      </c>
      <c r="I265" t="s">
        <v>173</v>
      </c>
      <c r="J265">
        <v>8978</v>
      </c>
      <c r="K265" s="30">
        <v>45890</v>
      </c>
      <c r="L265">
        <v>1010100</v>
      </c>
      <c r="M265" t="s">
        <v>35</v>
      </c>
      <c r="N265">
        <v>161</v>
      </c>
      <c r="O265" t="s">
        <v>160</v>
      </c>
      <c r="P265" t="s">
        <v>577</v>
      </c>
      <c r="Q265">
        <f t="shared" si="5"/>
        <v>-124</v>
      </c>
      <c r="R265" t="str">
        <f>_xlfn.XLOOKUP(P265,'Painel Fertilizers'!$B:$B,'Painel Fertilizers'!$B:$B,0)</f>
        <v>CONNTACTA AGRONEGOCIOS</v>
      </c>
    </row>
    <row r="266" spans="1:18" x14ac:dyDescent="0.25">
      <c r="A266">
        <v>16107</v>
      </c>
      <c r="B266" t="s">
        <v>577</v>
      </c>
      <c r="C266" t="s">
        <v>578</v>
      </c>
      <c r="D266" s="34">
        <v>94968.9</v>
      </c>
      <c r="E266">
        <v>1246234271</v>
      </c>
      <c r="F266" s="30">
        <v>46265</v>
      </c>
      <c r="H266" t="s">
        <v>172</v>
      </c>
      <c r="I266" t="s">
        <v>173</v>
      </c>
      <c r="J266">
        <v>9136</v>
      </c>
      <c r="K266" s="30">
        <v>45901</v>
      </c>
      <c r="L266">
        <v>1010100</v>
      </c>
      <c r="M266" t="s">
        <v>35</v>
      </c>
      <c r="N266">
        <v>161</v>
      </c>
      <c r="O266" t="s">
        <v>160</v>
      </c>
      <c r="P266" t="s">
        <v>577</v>
      </c>
      <c r="Q266">
        <f t="shared" si="5"/>
        <v>-124</v>
      </c>
      <c r="R266" t="str">
        <f>_xlfn.XLOOKUP(P266,'Painel Fertilizers'!$B:$B,'Painel Fertilizers'!$B:$B,0)</f>
        <v>CONNTACTA AGRONEGOCIOS</v>
      </c>
    </row>
    <row r="267" spans="1:18" x14ac:dyDescent="0.25">
      <c r="A267">
        <v>16107</v>
      </c>
      <c r="B267" t="s">
        <v>577</v>
      </c>
      <c r="C267" t="s">
        <v>578</v>
      </c>
      <c r="D267" s="34">
        <v>101300.16</v>
      </c>
      <c r="E267">
        <v>1246233237</v>
      </c>
      <c r="F267" s="30">
        <v>46265</v>
      </c>
      <c r="H267" t="s">
        <v>172</v>
      </c>
      <c r="I267" t="s">
        <v>173</v>
      </c>
      <c r="J267">
        <v>9072</v>
      </c>
      <c r="K267" s="30">
        <v>45896</v>
      </c>
      <c r="L267">
        <v>1010100</v>
      </c>
      <c r="M267" t="s">
        <v>35</v>
      </c>
      <c r="N267">
        <v>161</v>
      </c>
      <c r="O267" t="s">
        <v>160</v>
      </c>
      <c r="P267" t="s">
        <v>577</v>
      </c>
      <c r="Q267">
        <f t="shared" si="5"/>
        <v>-124</v>
      </c>
      <c r="R267" t="str">
        <f>_xlfn.XLOOKUP(P267,'Painel Fertilizers'!$B:$B,'Painel Fertilizers'!$B:$B,0)</f>
        <v>CONNTACTA AGRONEGOCIOS</v>
      </c>
    </row>
    <row r="268" spans="1:18" x14ac:dyDescent="0.25">
      <c r="A268">
        <v>16107</v>
      </c>
      <c r="B268" t="s">
        <v>577</v>
      </c>
      <c r="C268" t="s">
        <v>578</v>
      </c>
      <c r="D268" s="34">
        <v>27054.5</v>
      </c>
      <c r="E268">
        <v>1246235694</v>
      </c>
      <c r="F268" s="30">
        <v>46265</v>
      </c>
      <c r="H268" t="s">
        <v>172</v>
      </c>
      <c r="I268" t="s">
        <v>173</v>
      </c>
      <c r="J268">
        <v>9247</v>
      </c>
      <c r="K268" s="30">
        <v>45908</v>
      </c>
      <c r="L268">
        <v>1010100</v>
      </c>
      <c r="M268" t="s">
        <v>35</v>
      </c>
      <c r="N268">
        <v>161</v>
      </c>
      <c r="O268" t="s">
        <v>160</v>
      </c>
      <c r="P268" t="s">
        <v>577</v>
      </c>
      <c r="Q268">
        <f t="shared" si="5"/>
        <v>-124</v>
      </c>
      <c r="R268" t="str">
        <f>_xlfn.XLOOKUP(P268,'Painel Fertilizers'!$B:$B,'Painel Fertilizers'!$B:$B,0)</f>
        <v>CONNTACTA AGRONEGOCIOS</v>
      </c>
    </row>
    <row r="269" spans="1:18" x14ac:dyDescent="0.25">
      <c r="A269">
        <v>16107</v>
      </c>
      <c r="B269" t="s">
        <v>577</v>
      </c>
      <c r="C269" t="s">
        <v>578</v>
      </c>
      <c r="D269" s="34">
        <v>94968.9</v>
      </c>
      <c r="E269">
        <v>1246233894</v>
      </c>
      <c r="F269" s="30">
        <v>46265</v>
      </c>
      <c r="H269" t="s">
        <v>172</v>
      </c>
      <c r="I269" t="s">
        <v>173</v>
      </c>
      <c r="J269">
        <v>9120</v>
      </c>
      <c r="K269" s="30">
        <v>45898</v>
      </c>
      <c r="L269">
        <v>1010100</v>
      </c>
      <c r="M269" t="s">
        <v>35</v>
      </c>
      <c r="N269">
        <v>161</v>
      </c>
      <c r="O269" t="s">
        <v>160</v>
      </c>
      <c r="P269" t="s">
        <v>577</v>
      </c>
      <c r="Q269">
        <f t="shared" si="5"/>
        <v>-124</v>
      </c>
      <c r="R269" t="str">
        <f>_xlfn.XLOOKUP(P269,'Painel Fertilizers'!$B:$B,'Painel Fertilizers'!$B:$B,0)</f>
        <v>CONNTACTA AGRONEGOCIOS</v>
      </c>
    </row>
    <row r="270" spans="1:18" x14ac:dyDescent="0.25">
      <c r="A270">
        <v>16107</v>
      </c>
      <c r="B270" t="s">
        <v>577</v>
      </c>
      <c r="C270" t="s">
        <v>578</v>
      </c>
      <c r="D270" s="34">
        <v>94968.9</v>
      </c>
      <c r="E270">
        <v>1246238555</v>
      </c>
      <c r="F270" s="30">
        <v>46265</v>
      </c>
      <c r="H270" t="s">
        <v>172</v>
      </c>
      <c r="I270" t="s">
        <v>173</v>
      </c>
      <c r="J270">
        <v>9444</v>
      </c>
      <c r="K270" s="30">
        <v>45924</v>
      </c>
      <c r="L270">
        <v>1010100</v>
      </c>
      <c r="M270" t="s">
        <v>35</v>
      </c>
      <c r="N270">
        <v>161</v>
      </c>
      <c r="O270" t="s">
        <v>160</v>
      </c>
      <c r="P270" t="s">
        <v>577</v>
      </c>
      <c r="Q270">
        <f t="shared" si="5"/>
        <v>-124</v>
      </c>
      <c r="R270" t="str">
        <f>_xlfn.XLOOKUP(P270,'Painel Fertilizers'!$B:$B,'Painel Fertilizers'!$B:$B,0)</f>
        <v>CONNTACTA AGRONEGOCIOS</v>
      </c>
    </row>
    <row r="271" spans="1:18" x14ac:dyDescent="0.25">
      <c r="A271">
        <v>16107</v>
      </c>
      <c r="B271" t="s">
        <v>577</v>
      </c>
      <c r="C271" t="s">
        <v>578</v>
      </c>
      <c r="D271" s="34">
        <v>2217.7800000000002</v>
      </c>
      <c r="E271">
        <v>1246235696</v>
      </c>
      <c r="F271" s="30">
        <v>46265</v>
      </c>
      <c r="H271" t="s">
        <v>172</v>
      </c>
      <c r="I271" t="s">
        <v>173</v>
      </c>
      <c r="J271">
        <v>9248</v>
      </c>
      <c r="K271" s="30">
        <v>45908</v>
      </c>
      <c r="L271">
        <v>1010100</v>
      </c>
      <c r="M271" t="s">
        <v>35</v>
      </c>
      <c r="N271">
        <v>161</v>
      </c>
      <c r="O271" t="s">
        <v>160</v>
      </c>
      <c r="P271" t="s">
        <v>577</v>
      </c>
      <c r="Q271">
        <f t="shared" si="5"/>
        <v>-124</v>
      </c>
      <c r="R271" t="str">
        <f>_xlfn.XLOOKUP(P271,'Painel Fertilizers'!$B:$B,'Painel Fertilizers'!$B:$B,0)</f>
        <v>CONNTACTA AGRONEGOCIOS</v>
      </c>
    </row>
    <row r="272" spans="1:18" x14ac:dyDescent="0.25">
      <c r="D272" s="34"/>
      <c r="F272" s="30"/>
      <c r="K272" s="30"/>
      <c r="Q272">
        <f t="shared" si="5"/>
        <v>46141</v>
      </c>
      <c r="R272">
        <f>_xlfn.XLOOKUP(P272,'Painel Fertilizers'!$B:$B,'Painel Fertilizers'!$B:$B,0)</f>
        <v>0</v>
      </c>
    </row>
    <row r="273" spans="4:18" x14ac:dyDescent="0.25">
      <c r="D273" s="34"/>
      <c r="F273" s="30"/>
      <c r="K273" s="30"/>
      <c r="Q273">
        <f t="shared" si="5"/>
        <v>46141</v>
      </c>
      <c r="R273">
        <f>_xlfn.XLOOKUP(P273,'Painel Fertilizers'!$B:$B,'Painel Fertilizers'!$B:$B,0)</f>
        <v>0</v>
      </c>
    </row>
    <row r="274" spans="4:18" x14ac:dyDescent="0.25">
      <c r="D274" s="34"/>
      <c r="F274" s="30"/>
      <c r="K274" s="30"/>
      <c r="Q274">
        <f t="shared" si="5"/>
        <v>46141</v>
      </c>
      <c r="R274">
        <f>_xlfn.XLOOKUP(P274,'Painel Fertilizers'!$B:$B,'Painel Fertilizers'!$B:$B,0)</f>
        <v>0</v>
      </c>
    </row>
    <row r="275" spans="4:18" x14ac:dyDescent="0.25">
      <c r="D275" s="34"/>
      <c r="F275" s="30"/>
      <c r="K275" s="30"/>
      <c r="Q275">
        <f t="shared" si="5"/>
        <v>46141</v>
      </c>
      <c r="R275">
        <f>_xlfn.XLOOKUP(P275,'Painel Fertilizers'!$B:$B,'Painel Fertilizers'!$B:$B,0)</f>
        <v>0</v>
      </c>
    </row>
    <row r="276" spans="4:18" x14ac:dyDescent="0.25">
      <c r="D276" s="34"/>
      <c r="F276" s="30"/>
      <c r="K276" s="30"/>
      <c r="Q276">
        <f t="shared" si="5"/>
        <v>46141</v>
      </c>
      <c r="R276">
        <f>_xlfn.XLOOKUP(P276,'Painel Fertilizers'!$B:$B,'Painel Fertilizers'!$B:$B,0)</f>
        <v>0</v>
      </c>
    </row>
    <row r="277" spans="4:18" x14ac:dyDescent="0.25">
      <c r="D277" s="34"/>
      <c r="F277" s="30"/>
      <c r="K277" s="30"/>
      <c r="Q277">
        <f t="shared" si="5"/>
        <v>46141</v>
      </c>
      <c r="R277">
        <f>_xlfn.XLOOKUP(P277,'Painel Fertilizers'!$B:$B,'Painel Fertilizers'!$B:$B,0)</f>
        <v>0</v>
      </c>
    </row>
    <row r="278" spans="4:18" x14ac:dyDescent="0.25">
      <c r="D278" s="34"/>
      <c r="F278" s="30"/>
      <c r="K278" s="30"/>
      <c r="Q278">
        <f t="shared" si="5"/>
        <v>46141</v>
      </c>
      <c r="R278">
        <f>_xlfn.XLOOKUP(P278,'Painel Fertilizers'!$B:$B,'Painel Fertilizers'!$B:$B,0)</f>
        <v>0</v>
      </c>
    </row>
    <row r="279" spans="4:18" x14ac:dyDescent="0.25">
      <c r="D279" s="34"/>
      <c r="F279" s="30"/>
      <c r="K279" s="30"/>
      <c r="Q279">
        <f t="shared" si="5"/>
        <v>46141</v>
      </c>
      <c r="R279">
        <f>_xlfn.XLOOKUP(P279,'Painel Fertilizers'!$B:$B,'Painel Fertilizers'!$B:$B,0)</f>
        <v>0</v>
      </c>
    </row>
    <row r="280" spans="4:18" x14ac:dyDescent="0.25">
      <c r="D280" s="34"/>
      <c r="F280" s="30"/>
      <c r="K280" s="30"/>
      <c r="Q280">
        <f t="shared" si="5"/>
        <v>46141</v>
      </c>
      <c r="R280">
        <f>_xlfn.XLOOKUP(P280,'Painel Fertilizers'!$B:$B,'Painel Fertilizers'!$B:$B,0)</f>
        <v>0</v>
      </c>
    </row>
    <row r="281" spans="4:18" x14ac:dyDescent="0.25">
      <c r="D281" s="34"/>
      <c r="F281" s="30"/>
      <c r="K281" s="30"/>
      <c r="Q281">
        <f t="shared" si="5"/>
        <v>46141</v>
      </c>
      <c r="R281">
        <f>_xlfn.XLOOKUP(P281,'Painel Fertilizers'!$B:$B,'Painel Fertilizers'!$B:$B,0)</f>
        <v>0</v>
      </c>
    </row>
    <row r="282" spans="4:18" x14ac:dyDescent="0.25">
      <c r="D282" s="34"/>
      <c r="F282" s="30"/>
      <c r="K282" s="30"/>
      <c r="Q282">
        <f t="shared" si="5"/>
        <v>46141</v>
      </c>
      <c r="R282">
        <f>_xlfn.XLOOKUP(P282,'Painel Fertilizers'!$B:$B,'Painel Fertilizers'!$B:$B,0)</f>
        <v>0</v>
      </c>
    </row>
    <row r="283" spans="4:18" x14ac:dyDescent="0.25">
      <c r="D283" s="34"/>
      <c r="F283" s="30"/>
      <c r="K283" s="30"/>
      <c r="Q283">
        <f t="shared" si="5"/>
        <v>46141</v>
      </c>
      <c r="R283">
        <f>_xlfn.XLOOKUP(P283,'Painel Fertilizers'!$B:$B,'Painel Fertilizers'!$B:$B,0)</f>
        <v>0</v>
      </c>
    </row>
    <row r="284" spans="4:18" x14ac:dyDescent="0.25">
      <c r="D284" s="34"/>
      <c r="F284" s="30"/>
      <c r="K284" s="30"/>
      <c r="Q284">
        <f t="shared" si="5"/>
        <v>46141</v>
      </c>
      <c r="R284">
        <f>_xlfn.XLOOKUP(P284,'Painel Fertilizers'!$B:$B,'Painel Fertilizers'!$B:$B,0)</f>
        <v>0</v>
      </c>
    </row>
    <row r="285" spans="4:18" x14ac:dyDescent="0.25">
      <c r="D285" s="34"/>
      <c r="F285" s="30"/>
      <c r="K285" s="30"/>
      <c r="Q285">
        <f t="shared" si="5"/>
        <v>46141</v>
      </c>
      <c r="R285">
        <f>_xlfn.XLOOKUP(P285,'Painel Fertilizers'!$B:$B,'Painel Fertilizers'!$B:$B,0)</f>
        <v>0</v>
      </c>
    </row>
    <row r="286" spans="4:18" x14ac:dyDescent="0.25">
      <c r="D286" s="34"/>
      <c r="F286" s="30"/>
      <c r="K286" s="30"/>
      <c r="Q286">
        <f t="shared" si="5"/>
        <v>46141</v>
      </c>
      <c r="R286">
        <f>_xlfn.XLOOKUP(P286,'Painel Fertilizers'!$B:$B,'Painel Fertilizers'!$B:$B,0)</f>
        <v>0</v>
      </c>
    </row>
    <row r="287" spans="4:18" x14ac:dyDescent="0.25">
      <c r="D287" s="34"/>
      <c r="F287" s="30"/>
      <c r="K287" s="30"/>
      <c r="Q287">
        <f t="shared" si="5"/>
        <v>46141</v>
      </c>
      <c r="R287">
        <f>_xlfn.XLOOKUP(P287,'Painel Fertilizers'!$B:$B,'Painel Fertilizers'!$B:$B,0)</f>
        <v>0</v>
      </c>
    </row>
    <row r="288" spans="4:18" x14ac:dyDescent="0.25">
      <c r="D288" s="34"/>
      <c r="F288" s="30"/>
      <c r="K288" s="30"/>
      <c r="Q288">
        <f t="shared" si="5"/>
        <v>46141</v>
      </c>
      <c r="R288">
        <f>_xlfn.XLOOKUP(P288,'Painel Fertilizers'!$B:$B,'Painel Fertilizers'!$B:$B,0)</f>
        <v>0</v>
      </c>
    </row>
    <row r="289" spans="4:18" x14ac:dyDescent="0.25">
      <c r="D289" s="34"/>
      <c r="F289" s="30"/>
      <c r="G289" s="30"/>
      <c r="K289" s="30"/>
      <c r="Q289">
        <f t="shared" si="5"/>
        <v>46141</v>
      </c>
      <c r="R289">
        <f>_xlfn.XLOOKUP(P289,'Painel Fertilizers'!$B:$B,'Painel Fertilizers'!$B:$B,0)</f>
        <v>0</v>
      </c>
    </row>
    <row r="290" spans="4:18" x14ac:dyDescent="0.25">
      <c r="D290" s="34"/>
      <c r="F290" s="30"/>
      <c r="G290" s="30"/>
      <c r="K290" s="30"/>
      <c r="Q290">
        <f t="shared" si="5"/>
        <v>46141</v>
      </c>
      <c r="R290">
        <f>_xlfn.XLOOKUP(P290,'Painel Fertilizers'!$B:$B,'Painel Fertilizers'!$B:$B,0)</f>
        <v>0</v>
      </c>
    </row>
    <row r="291" spans="4:18" x14ac:dyDescent="0.25">
      <c r="D291" s="34"/>
      <c r="F291" s="30"/>
      <c r="G291" s="30"/>
      <c r="K291" s="30"/>
      <c r="Q291">
        <f t="shared" si="5"/>
        <v>46141</v>
      </c>
      <c r="R291">
        <f>_xlfn.XLOOKUP(P291,'Painel Fertilizers'!$B:$B,'Painel Fertilizers'!$B:$B,0)</f>
        <v>0</v>
      </c>
    </row>
    <row r="292" spans="4:18" x14ac:dyDescent="0.25">
      <c r="D292" s="34"/>
      <c r="F292" s="30"/>
      <c r="G292" s="30"/>
      <c r="K292" s="30"/>
      <c r="Q292">
        <f t="shared" si="5"/>
        <v>46141</v>
      </c>
      <c r="R292">
        <f>_xlfn.XLOOKUP(P292,'Painel Fertilizers'!$B:$B,'Painel Fertilizers'!$B:$B,0)</f>
        <v>0</v>
      </c>
    </row>
    <row r="293" spans="4:18" x14ac:dyDescent="0.25">
      <c r="D293" s="34"/>
      <c r="F293" s="30"/>
      <c r="G293" s="30"/>
      <c r="K293" s="30"/>
      <c r="Q293">
        <f t="shared" si="5"/>
        <v>46141</v>
      </c>
      <c r="R293">
        <f>_xlfn.XLOOKUP(P293,'Painel Fertilizers'!$B:$B,'Painel Fertilizers'!$B:$B,0)</f>
        <v>0</v>
      </c>
    </row>
    <row r="294" spans="4:18" x14ac:dyDescent="0.25">
      <c r="D294" s="34"/>
      <c r="F294" s="30"/>
      <c r="G294" s="30"/>
      <c r="K294" s="30"/>
      <c r="Q294">
        <f t="shared" si="5"/>
        <v>46141</v>
      </c>
      <c r="R294">
        <f>_xlfn.XLOOKUP(P294,'Painel Fertilizers'!$B:$B,'Painel Fertilizers'!$B:$B,0)</f>
        <v>0</v>
      </c>
    </row>
    <row r="295" spans="4:18" x14ac:dyDescent="0.25">
      <c r="D295" s="34"/>
      <c r="F295" s="30"/>
      <c r="G295" s="30"/>
      <c r="K295" s="30"/>
      <c r="Q295">
        <f t="shared" si="5"/>
        <v>46141</v>
      </c>
      <c r="R295">
        <f>_xlfn.XLOOKUP(P295,'Painel Fertilizers'!$B:$B,'Painel Fertilizers'!$B:$B,0)</f>
        <v>0</v>
      </c>
    </row>
    <row r="296" spans="4:18" x14ac:dyDescent="0.25">
      <c r="D296" s="34"/>
      <c r="F296" s="30"/>
      <c r="G296" s="30"/>
      <c r="K296" s="30"/>
      <c r="Q296">
        <f t="shared" si="5"/>
        <v>46141</v>
      </c>
      <c r="R296">
        <f>_xlfn.XLOOKUP(P296,'Painel Fertilizers'!$B:$B,'Painel Fertilizers'!$B:$B,0)</f>
        <v>0</v>
      </c>
    </row>
    <row r="297" spans="4:18" x14ac:dyDescent="0.25">
      <c r="D297" s="34"/>
      <c r="F297" s="30"/>
      <c r="G297" s="30"/>
      <c r="K297" s="30"/>
      <c r="Q297">
        <f t="shared" si="5"/>
        <v>46141</v>
      </c>
      <c r="R297">
        <f>_xlfn.XLOOKUP(P297,'Painel Fertilizers'!$B:$B,'Painel Fertilizers'!$B:$B,0)</f>
        <v>0</v>
      </c>
    </row>
    <row r="298" spans="4:18" x14ac:dyDescent="0.25">
      <c r="D298" s="34"/>
      <c r="F298" s="30"/>
      <c r="G298" s="30"/>
      <c r="K298" s="30"/>
      <c r="Q298">
        <f t="shared" si="5"/>
        <v>46141</v>
      </c>
      <c r="R298">
        <f>_xlfn.XLOOKUP(P298,'Painel Fertilizers'!$B:$B,'Painel Fertilizers'!$B:$B,0)</f>
        <v>0</v>
      </c>
    </row>
    <row r="299" spans="4:18" x14ac:dyDescent="0.25">
      <c r="D299" s="34"/>
      <c r="F299" s="30"/>
      <c r="K299" s="30"/>
      <c r="Q299">
        <f t="shared" si="5"/>
        <v>46141</v>
      </c>
      <c r="R299">
        <f>_xlfn.XLOOKUP(P299,'Painel Fertilizers'!$B:$B,'Painel Fertilizers'!$B:$B,0)</f>
        <v>0</v>
      </c>
    </row>
    <row r="300" spans="4:18" x14ac:dyDescent="0.25">
      <c r="D300" s="34"/>
      <c r="F300" s="30"/>
      <c r="K300" s="30"/>
      <c r="Q300">
        <f t="shared" si="5"/>
        <v>46141</v>
      </c>
      <c r="R300">
        <f>_xlfn.XLOOKUP(P300,'Painel Fertilizers'!$B:$B,'Painel Fertilizers'!$B:$B,0)</f>
        <v>0</v>
      </c>
    </row>
    <row r="301" spans="4:18" x14ac:dyDescent="0.25">
      <c r="D301" s="34"/>
      <c r="F301" s="30"/>
      <c r="K301" s="30"/>
      <c r="Q301">
        <f t="shared" si="5"/>
        <v>46141</v>
      </c>
      <c r="R301">
        <f>_xlfn.XLOOKUP(P301,'Painel Fertilizers'!$B:$B,'Painel Fertilizers'!$B:$B,0)</f>
        <v>0</v>
      </c>
    </row>
    <row r="302" spans="4:18" x14ac:dyDescent="0.25">
      <c r="D302" s="34"/>
      <c r="F302" s="30"/>
      <c r="K302" s="30"/>
      <c r="Q302">
        <f t="shared" si="5"/>
        <v>46141</v>
      </c>
      <c r="R302">
        <f>_xlfn.XLOOKUP(P302,'Painel Fertilizers'!$B:$B,'Painel Fertilizers'!$B:$B,0)</f>
        <v>0</v>
      </c>
    </row>
    <row r="303" spans="4:18" x14ac:dyDescent="0.25">
      <c r="D303" s="34"/>
      <c r="F303" s="30"/>
      <c r="K303" s="30"/>
      <c r="Q303">
        <f t="shared" si="5"/>
        <v>46141</v>
      </c>
      <c r="R303">
        <f>_xlfn.XLOOKUP(P303,'Painel Fertilizers'!$B:$B,'Painel Fertilizers'!$B:$B,0)</f>
        <v>0</v>
      </c>
    </row>
    <row r="304" spans="4:18" x14ac:dyDescent="0.25">
      <c r="D304" s="34"/>
      <c r="F304" s="30"/>
      <c r="K304" s="30"/>
      <c r="Q304">
        <f t="shared" si="5"/>
        <v>46141</v>
      </c>
      <c r="R304">
        <f>_xlfn.XLOOKUP(P304,'Painel Fertilizers'!$B:$B,'Painel Fertilizers'!$B:$B,0)</f>
        <v>0</v>
      </c>
    </row>
    <row r="305" spans="4:18" x14ac:dyDescent="0.25">
      <c r="D305" s="34"/>
      <c r="F305" s="30"/>
      <c r="K305" s="30"/>
      <c r="Q305">
        <f t="shared" si="5"/>
        <v>46141</v>
      </c>
      <c r="R305">
        <f>_xlfn.XLOOKUP(P305,'Painel Fertilizers'!$B:$B,'Painel Fertilizers'!$B:$B,0)</f>
        <v>0</v>
      </c>
    </row>
    <row r="306" spans="4:18" x14ac:dyDescent="0.25">
      <c r="D306" s="34"/>
      <c r="F306" s="30"/>
      <c r="K306" s="30"/>
      <c r="Q306">
        <f t="shared" si="5"/>
        <v>46141</v>
      </c>
      <c r="R306">
        <f>_xlfn.XLOOKUP(P306,'Painel Fertilizers'!$B:$B,'Painel Fertilizers'!$B:$B,0)</f>
        <v>0</v>
      </c>
    </row>
    <row r="307" spans="4:18" x14ac:dyDescent="0.25">
      <c r="D307" s="34"/>
      <c r="F307" s="30"/>
      <c r="G307" s="30"/>
      <c r="K307" s="30"/>
      <c r="Q307">
        <f t="shared" si="5"/>
        <v>46141</v>
      </c>
      <c r="R307">
        <f>_xlfn.XLOOKUP(P307,'Painel Fertilizers'!$B:$B,'Painel Fertilizers'!$B:$B,0)</f>
        <v>0</v>
      </c>
    </row>
    <row r="308" spans="4:18" x14ac:dyDescent="0.25">
      <c r="D308" s="34"/>
      <c r="F308" s="30"/>
      <c r="K308" s="30"/>
      <c r="Q308">
        <f t="shared" si="5"/>
        <v>46141</v>
      </c>
      <c r="R308">
        <f>_xlfn.XLOOKUP(P308,'Painel Fertilizers'!$B:$B,'Painel Fertilizers'!$B:$B,0)</f>
        <v>0</v>
      </c>
    </row>
    <row r="309" spans="4:18" x14ac:dyDescent="0.25">
      <c r="D309" s="34"/>
      <c r="F309" s="30"/>
      <c r="K309" s="30"/>
      <c r="Q309">
        <f t="shared" si="5"/>
        <v>46141</v>
      </c>
      <c r="R309">
        <f>_xlfn.XLOOKUP(P309,'Painel Fertilizers'!$B:$B,'Painel Fertilizers'!$B:$B,0)</f>
        <v>0</v>
      </c>
    </row>
    <row r="310" spans="4:18" x14ac:dyDescent="0.25">
      <c r="D310" s="34"/>
      <c r="F310" s="30"/>
      <c r="K310" s="30"/>
      <c r="Q310">
        <f t="shared" ref="Q310" si="6">$R$1-F310</f>
        <v>46141</v>
      </c>
      <c r="R310">
        <f>_xlfn.XLOOKUP(P310,'Painel Fertilizers'!$B:$B,'Painel Fertilizers'!$B:$B,0)</f>
        <v>0</v>
      </c>
    </row>
    <row r="311" spans="4:18" x14ac:dyDescent="0.25">
      <c r="D311" s="34"/>
      <c r="F311" s="30"/>
      <c r="K311" s="30"/>
      <c r="Q311">
        <f t="shared" ref="Q311:Q374" si="7">$R$1-F311</f>
        <v>46141</v>
      </c>
      <c r="R311">
        <f>_xlfn.XLOOKUP(P311,'Painel Fertilizers'!$B:$B,'Painel Fertilizers'!$B:$B,0)</f>
        <v>0</v>
      </c>
    </row>
    <row r="312" spans="4:18" x14ac:dyDescent="0.25">
      <c r="D312" s="34"/>
      <c r="F312" s="30"/>
      <c r="K312" s="30"/>
      <c r="Q312">
        <f t="shared" si="7"/>
        <v>46141</v>
      </c>
      <c r="R312">
        <f>_xlfn.XLOOKUP(P312,'Painel Fertilizers'!$B:$B,'Painel Fertilizers'!$B:$B,0)</f>
        <v>0</v>
      </c>
    </row>
    <row r="313" spans="4:18" x14ac:dyDescent="0.25">
      <c r="D313" s="34"/>
      <c r="F313" s="30"/>
      <c r="K313" s="30"/>
      <c r="Q313">
        <f t="shared" si="7"/>
        <v>46141</v>
      </c>
      <c r="R313">
        <f>_xlfn.XLOOKUP(P313,'Painel Fertilizers'!$B:$B,'Painel Fertilizers'!$B:$B,0)</f>
        <v>0</v>
      </c>
    </row>
    <row r="314" spans="4:18" x14ac:dyDescent="0.25">
      <c r="D314" s="34"/>
      <c r="F314" s="30"/>
      <c r="K314" s="30"/>
      <c r="Q314">
        <f t="shared" si="7"/>
        <v>46141</v>
      </c>
      <c r="R314">
        <f>_xlfn.XLOOKUP(P314,'Painel Fertilizers'!$B:$B,'Painel Fertilizers'!$B:$B,0)</f>
        <v>0</v>
      </c>
    </row>
    <row r="315" spans="4:18" x14ac:dyDescent="0.25">
      <c r="D315" s="34"/>
      <c r="F315" s="30"/>
      <c r="K315" s="30"/>
      <c r="Q315">
        <f t="shared" si="7"/>
        <v>46141</v>
      </c>
      <c r="R315">
        <f>_xlfn.XLOOKUP(P315,'Painel Fertilizers'!$B:$B,'Painel Fertilizers'!$B:$B,0)</f>
        <v>0</v>
      </c>
    </row>
    <row r="316" spans="4:18" x14ac:dyDescent="0.25">
      <c r="D316" s="34"/>
      <c r="F316" s="30"/>
      <c r="K316" s="30"/>
      <c r="Q316">
        <f t="shared" si="7"/>
        <v>46141</v>
      </c>
      <c r="R316">
        <f>_xlfn.XLOOKUP(P316,'Painel Fertilizers'!$B:$B,'Painel Fertilizers'!$B:$B,0)</f>
        <v>0</v>
      </c>
    </row>
    <row r="317" spans="4:18" x14ac:dyDescent="0.25">
      <c r="D317" s="34"/>
      <c r="F317" s="30"/>
      <c r="G317" s="30"/>
      <c r="K317" s="30"/>
      <c r="Q317">
        <f t="shared" si="7"/>
        <v>46141</v>
      </c>
      <c r="R317">
        <f>_xlfn.XLOOKUP(P317,'Painel Fertilizers'!$B:$B,'Painel Fertilizers'!$B:$B,0)</f>
        <v>0</v>
      </c>
    </row>
    <row r="318" spans="4:18" x14ac:dyDescent="0.25">
      <c r="D318" s="34"/>
      <c r="F318" s="30"/>
      <c r="K318" s="30"/>
      <c r="Q318">
        <f t="shared" si="7"/>
        <v>46141</v>
      </c>
      <c r="R318">
        <f>_xlfn.XLOOKUP(P318,'Painel Fertilizers'!$B:$B,'Painel Fertilizers'!$B:$B,0)</f>
        <v>0</v>
      </c>
    </row>
    <row r="319" spans="4:18" x14ac:dyDescent="0.25">
      <c r="D319" s="34"/>
      <c r="F319" s="30"/>
      <c r="K319" s="30"/>
      <c r="Q319">
        <f t="shared" si="7"/>
        <v>46141</v>
      </c>
      <c r="R319">
        <f>_xlfn.XLOOKUP(P319,'Painel Fertilizers'!$B:$B,'Painel Fertilizers'!$B:$B,0)</f>
        <v>0</v>
      </c>
    </row>
    <row r="320" spans="4:18" x14ac:dyDescent="0.25">
      <c r="D320" s="34"/>
      <c r="F320" s="30"/>
      <c r="K320" s="30"/>
      <c r="Q320">
        <f t="shared" si="7"/>
        <v>46141</v>
      </c>
      <c r="R320">
        <f>_xlfn.XLOOKUP(P320,'Painel Fertilizers'!$B:$B,'Painel Fertilizers'!$B:$B,0)</f>
        <v>0</v>
      </c>
    </row>
    <row r="321" spans="4:18" x14ac:dyDescent="0.25">
      <c r="D321" s="34"/>
      <c r="F321" s="30"/>
      <c r="K321" s="30"/>
      <c r="Q321">
        <f t="shared" si="7"/>
        <v>46141</v>
      </c>
      <c r="R321">
        <f>_xlfn.XLOOKUP(P321,'Painel Fertilizers'!$B:$B,'Painel Fertilizers'!$B:$B,0)</f>
        <v>0</v>
      </c>
    </row>
    <row r="322" spans="4:18" x14ac:dyDescent="0.25">
      <c r="D322" s="34"/>
      <c r="F322" s="30"/>
      <c r="K322" s="30"/>
      <c r="Q322">
        <f t="shared" si="7"/>
        <v>46141</v>
      </c>
      <c r="R322">
        <f>_xlfn.XLOOKUP(P322,'Painel Fertilizers'!$B:$B,'Painel Fertilizers'!$B:$B,0)</f>
        <v>0</v>
      </c>
    </row>
    <row r="323" spans="4:18" x14ac:dyDescent="0.25">
      <c r="D323" s="34"/>
      <c r="F323" s="30"/>
      <c r="G323" s="30"/>
      <c r="K323" s="30"/>
      <c r="Q323">
        <f t="shared" si="7"/>
        <v>46141</v>
      </c>
      <c r="R323">
        <f>_xlfn.XLOOKUP(P323,'Painel Fertilizers'!$B:$B,'Painel Fertilizers'!$B:$B,0)</f>
        <v>0</v>
      </c>
    </row>
    <row r="324" spans="4:18" x14ac:dyDescent="0.25">
      <c r="D324" s="34"/>
      <c r="F324" s="30"/>
      <c r="G324" s="30"/>
      <c r="K324" s="30"/>
      <c r="Q324">
        <f t="shared" si="7"/>
        <v>46141</v>
      </c>
      <c r="R324">
        <f>_xlfn.XLOOKUP(P324,'Painel Fertilizers'!$B:$B,'Painel Fertilizers'!$B:$B,0)</f>
        <v>0</v>
      </c>
    </row>
    <row r="325" spans="4:18" x14ac:dyDescent="0.25">
      <c r="D325" s="34"/>
      <c r="F325" s="30"/>
      <c r="G325" s="30"/>
      <c r="K325" s="30"/>
      <c r="Q325">
        <f t="shared" si="7"/>
        <v>46141</v>
      </c>
      <c r="R325">
        <f>_xlfn.XLOOKUP(P325,'Painel Fertilizers'!$B:$B,'Painel Fertilizers'!$B:$B,0)</f>
        <v>0</v>
      </c>
    </row>
    <row r="326" spans="4:18" x14ac:dyDescent="0.25">
      <c r="D326" s="34"/>
      <c r="F326" s="30"/>
      <c r="K326" s="30"/>
      <c r="Q326">
        <f t="shared" si="7"/>
        <v>46141</v>
      </c>
      <c r="R326">
        <f>_xlfn.XLOOKUP(P326,'Painel Fertilizers'!$B:$B,'Painel Fertilizers'!$B:$B,0)</f>
        <v>0</v>
      </c>
    </row>
    <row r="327" spans="4:18" x14ac:dyDescent="0.25">
      <c r="D327" s="34"/>
      <c r="F327" s="30"/>
      <c r="K327" s="30"/>
      <c r="Q327">
        <f t="shared" si="7"/>
        <v>46141</v>
      </c>
      <c r="R327">
        <f>_xlfn.XLOOKUP(P327,'Painel Fertilizers'!$B:$B,'Painel Fertilizers'!$B:$B,0)</f>
        <v>0</v>
      </c>
    </row>
    <row r="328" spans="4:18" x14ac:dyDescent="0.25">
      <c r="D328" s="34"/>
      <c r="F328" s="30"/>
      <c r="K328" s="30"/>
      <c r="Q328">
        <f t="shared" si="7"/>
        <v>46141</v>
      </c>
      <c r="R328">
        <f>_xlfn.XLOOKUP(P328,'Painel Fertilizers'!$B:$B,'Painel Fertilizers'!$B:$B,0)</f>
        <v>0</v>
      </c>
    </row>
    <row r="329" spans="4:18" x14ac:dyDescent="0.25">
      <c r="D329" s="34"/>
      <c r="F329" s="30"/>
      <c r="K329" s="30"/>
      <c r="Q329">
        <f t="shared" si="7"/>
        <v>46141</v>
      </c>
      <c r="R329">
        <f>_xlfn.XLOOKUP(P329,'Painel Fertilizers'!$B:$B,'Painel Fertilizers'!$B:$B,0)</f>
        <v>0</v>
      </c>
    </row>
    <row r="330" spans="4:18" x14ac:dyDescent="0.25">
      <c r="D330" s="34"/>
      <c r="F330" s="30"/>
      <c r="K330" s="30"/>
      <c r="Q330">
        <f t="shared" si="7"/>
        <v>46141</v>
      </c>
      <c r="R330">
        <f>_xlfn.XLOOKUP(P330,'Painel Fertilizers'!$B:$B,'Painel Fertilizers'!$B:$B,0)</f>
        <v>0</v>
      </c>
    </row>
    <row r="331" spans="4:18" x14ac:dyDescent="0.25">
      <c r="D331" s="34"/>
      <c r="F331" s="30"/>
      <c r="K331" s="30"/>
      <c r="Q331">
        <f t="shared" si="7"/>
        <v>46141</v>
      </c>
      <c r="R331">
        <f>_xlfn.XLOOKUP(P331,'Painel Fertilizers'!$B:$B,'Painel Fertilizers'!$B:$B,0)</f>
        <v>0</v>
      </c>
    </row>
    <row r="332" spans="4:18" x14ac:dyDescent="0.25">
      <c r="D332" s="34"/>
      <c r="F332" s="30"/>
      <c r="K332" s="30"/>
      <c r="Q332">
        <f t="shared" si="7"/>
        <v>46141</v>
      </c>
      <c r="R332">
        <f>_xlfn.XLOOKUP(P332,'Painel Fertilizers'!$B:$B,'Painel Fertilizers'!$B:$B,0)</f>
        <v>0</v>
      </c>
    </row>
    <row r="333" spans="4:18" x14ac:dyDescent="0.25">
      <c r="D333" s="34"/>
      <c r="F333" s="30"/>
      <c r="K333" s="30"/>
      <c r="Q333">
        <f t="shared" si="7"/>
        <v>46141</v>
      </c>
      <c r="R333">
        <f>_xlfn.XLOOKUP(P333,'Painel Fertilizers'!$B:$B,'Painel Fertilizers'!$B:$B,0)</f>
        <v>0</v>
      </c>
    </row>
    <row r="334" spans="4:18" x14ac:dyDescent="0.25">
      <c r="D334" s="34"/>
      <c r="F334" s="30"/>
      <c r="K334" s="30"/>
      <c r="Q334">
        <f t="shared" si="7"/>
        <v>46141</v>
      </c>
      <c r="R334">
        <f>_xlfn.XLOOKUP(P334,'Painel Fertilizers'!$B:$B,'Painel Fertilizers'!$B:$B,0)</f>
        <v>0</v>
      </c>
    </row>
    <row r="335" spans="4:18" x14ac:dyDescent="0.25">
      <c r="D335" s="34"/>
      <c r="F335" s="30"/>
      <c r="K335" s="30"/>
      <c r="Q335">
        <f t="shared" si="7"/>
        <v>46141</v>
      </c>
      <c r="R335">
        <f>_xlfn.XLOOKUP(P335,'Painel Fertilizers'!$B:$B,'Painel Fertilizers'!$B:$B,0)</f>
        <v>0</v>
      </c>
    </row>
    <row r="336" spans="4:18" x14ac:dyDescent="0.25">
      <c r="D336" s="34"/>
      <c r="F336" s="30"/>
      <c r="K336" s="30"/>
      <c r="Q336">
        <f t="shared" si="7"/>
        <v>46141</v>
      </c>
      <c r="R336">
        <f>_xlfn.XLOOKUP(P336,'Painel Fertilizers'!$B:$B,'Painel Fertilizers'!$B:$B,0)</f>
        <v>0</v>
      </c>
    </row>
    <row r="337" spans="4:18" x14ac:dyDescent="0.25">
      <c r="D337" s="34"/>
      <c r="F337" s="30"/>
      <c r="G337" s="30"/>
      <c r="K337" s="30"/>
      <c r="Q337">
        <f t="shared" si="7"/>
        <v>46141</v>
      </c>
      <c r="R337">
        <f>_xlfn.XLOOKUP(P337,'Painel Fertilizers'!$B:$B,'Painel Fertilizers'!$B:$B,0)</f>
        <v>0</v>
      </c>
    </row>
    <row r="338" spans="4:18" x14ac:dyDescent="0.25">
      <c r="D338" s="34"/>
      <c r="F338" s="30"/>
      <c r="G338" s="30"/>
      <c r="K338" s="30"/>
      <c r="Q338">
        <f t="shared" si="7"/>
        <v>46141</v>
      </c>
      <c r="R338">
        <f>_xlfn.XLOOKUP(P338,'Painel Fertilizers'!$B:$B,'Painel Fertilizers'!$B:$B,0)</f>
        <v>0</v>
      </c>
    </row>
    <row r="339" spans="4:18" x14ac:dyDescent="0.25">
      <c r="D339" s="34"/>
      <c r="F339" s="30"/>
      <c r="G339" s="30"/>
      <c r="K339" s="30"/>
      <c r="Q339">
        <f t="shared" si="7"/>
        <v>46141</v>
      </c>
      <c r="R339">
        <f>_xlfn.XLOOKUP(P339,'Painel Fertilizers'!$B:$B,'Painel Fertilizers'!$B:$B,0)</f>
        <v>0</v>
      </c>
    </row>
    <row r="340" spans="4:18" x14ac:dyDescent="0.25">
      <c r="D340" s="34"/>
      <c r="F340" s="30"/>
      <c r="G340" s="30"/>
      <c r="K340" s="30"/>
      <c r="Q340">
        <f t="shared" si="7"/>
        <v>46141</v>
      </c>
      <c r="R340">
        <f>_xlfn.XLOOKUP(P340,'Painel Fertilizers'!$B:$B,'Painel Fertilizers'!$B:$B,0)</f>
        <v>0</v>
      </c>
    </row>
    <row r="341" spans="4:18" x14ac:dyDescent="0.25">
      <c r="D341" s="34"/>
      <c r="F341" s="30"/>
      <c r="G341" s="30"/>
      <c r="K341" s="30"/>
      <c r="Q341">
        <f t="shared" si="7"/>
        <v>46141</v>
      </c>
      <c r="R341">
        <f>_xlfn.XLOOKUP(P341,'Painel Fertilizers'!$B:$B,'Painel Fertilizers'!$B:$B,0)</f>
        <v>0</v>
      </c>
    </row>
    <row r="342" spans="4:18" x14ac:dyDescent="0.25">
      <c r="D342" s="34"/>
      <c r="F342" s="30"/>
      <c r="G342" s="30"/>
      <c r="K342" s="30"/>
      <c r="Q342">
        <f t="shared" si="7"/>
        <v>46141</v>
      </c>
      <c r="R342">
        <f>_xlfn.XLOOKUP(P342,'Painel Fertilizers'!$B:$B,'Painel Fertilizers'!$B:$B,0)</f>
        <v>0</v>
      </c>
    </row>
    <row r="343" spans="4:18" x14ac:dyDescent="0.25">
      <c r="D343" s="34"/>
      <c r="F343" s="30"/>
      <c r="G343" s="30"/>
      <c r="K343" s="30"/>
      <c r="Q343">
        <f t="shared" si="7"/>
        <v>46141</v>
      </c>
      <c r="R343">
        <f>_xlfn.XLOOKUP(P343,'Painel Fertilizers'!$B:$B,'Painel Fertilizers'!$B:$B,0)</f>
        <v>0</v>
      </c>
    </row>
    <row r="344" spans="4:18" x14ac:dyDescent="0.25">
      <c r="D344" s="34"/>
      <c r="F344" s="30"/>
      <c r="G344" s="30"/>
      <c r="K344" s="30"/>
      <c r="Q344">
        <f t="shared" si="7"/>
        <v>46141</v>
      </c>
      <c r="R344">
        <f>_xlfn.XLOOKUP(P344,'Painel Fertilizers'!$B:$B,'Painel Fertilizers'!$B:$B,0)</f>
        <v>0</v>
      </c>
    </row>
    <row r="345" spans="4:18" x14ac:dyDescent="0.25">
      <c r="D345" s="34"/>
      <c r="F345" s="30"/>
      <c r="G345" s="30"/>
      <c r="K345" s="30"/>
      <c r="Q345">
        <f t="shared" si="7"/>
        <v>46141</v>
      </c>
      <c r="R345">
        <f>_xlfn.XLOOKUP(P345,'Painel Fertilizers'!$B:$B,'Painel Fertilizers'!$B:$B,0)</f>
        <v>0</v>
      </c>
    </row>
    <row r="346" spans="4:18" x14ac:dyDescent="0.25">
      <c r="D346" s="34"/>
      <c r="F346" s="30"/>
      <c r="G346" s="30"/>
      <c r="K346" s="30"/>
      <c r="Q346">
        <f t="shared" si="7"/>
        <v>46141</v>
      </c>
      <c r="R346">
        <f>_xlfn.XLOOKUP(P346,'Painel Fertilizers'!$B:$B,'Painel Fertilizers'!$B:$B,0)</f>
        <v>0</v>
      </c>
    </row>
    <row r="347" spans="4:18" x14ac:dyDescent="0.25">
      <c r="D347" s="34"/>
      <c r="F347" s="30"/>
      <c r="G347" s="30"/>
      <c r="K347" s="30"/>
      <c r="Q347">
        <f t="shared" si="7"/>
        <v>46141</v>
      </c>
      <c r="R347">
        <f>_xlfn.XLOOKUP(P347,'Painel Fertilizers'!$B:$B,'Painel Fertilizers'!$B:$B,0)</f>
        <v>0</v>
      </c>
    </row>
    <row r="348" spans="4:18" x14ac:dyDescent="0.25">
      <c r="D348" s="34"/>
      <c r="F348" s="30"/>
      <c r="G348" s="30"/>
      <c r="K348" s="30"/>
      <c r="Q348">
        <f t="shared" si="7"/>
        <v>46141</v>
      </c>
      <c r="R348">
        <f>_xlfn.XLOOKUP(P348,'Painel Fertilizers'!$B:$B,'Painel Fertilizers'!$B:$B,0)</f>
        <v>0</v>
      </c>
    </row>
    <row r="349" spans="4:18" x14ac:dyDescent="0.25">
      <c r="D349" s="34"/>
      <c r="F349" s="30"/>
      <c r="G349" s="30"/>
      <c r="K349" s="30"/>
      <c r="Q349">
        <f t="shared" si="7"/>
        <v>46141</v>
      </c>
      <c r="R349">
        <f>_xlfn.XLOOKUP(P349,'Painel Fertilizers'!$B:$B,'Painel Fertilizers'!$B:$B,0)</f>
        <v>0</v>
      </c>
    </row>
    <row r="350" spans="4:18" x14ac:dyDescent="0.25">
      <c r="D350" s="34"/>
      <c r="F350" s="30"/>
      <c r="G350" s="30"/>
      <c r="K350" s="30"/>
      <c r="Q350">
        <f t="shared" si="7"/>
        <v>46141</v>
      </c>
      <c r="R350">
        <f>_xlfn.XLOOKUP(P350,'Painel Fertilizers'!$B:$B,'Painel Fertilizers'!$B:$B,0)</f>
        <v>0</v>
      </c>
    </row>
    <row r="351" spans="4:18" x14ac:dyDescent="0.25">
      <c r="D351" s="34"/>
      <c r="F351" s="30"/>
      <c r="G351" s="30"/>
      <c r="K351" s="30"/>
      <c r="Q351">
        <f t="shared" si="7"/>
        <v>46141</v>
      </c>
      <c r="R351">
        <f>_xlfn.XLOOKUP(P351,'Painel Fertilizers'!$B:$B,'Painel Fertilizers'!$B:$B,0)</f>
        <v>0</v>
      </c>
    </row>
    <row r="352" spans="4:18" x14ac:dyDescent="0.25">
      <c r="D352" s="34"/>
      <c r="F352" s="30"/>
      <c r="G352" s="30"/>
      <c r="K352" s="30"/>
      <c r="Q352">
        <f t="shared" si="7"/>
        <v>46141</v>
      </c>
      <c r="R352">
        <f>_xlfn.XLOOKUP(P352,'Painel Fertilizers'!$B:$B,'Painel Fertilizers'!$B:$B,0)</f>
        <v>0</v>
      </c>
    </row>
    <row r="353" spans="4:18" x14ac:dyDescent="0.25">
      <c r="D353" s="34"/>
      <c r="F353" s="30"/>
      <c r="G353" s="30"/>
      <c r="K353" s="30"/>
      <c r="Q353">
        <f t="shared" si="7"/>
        <v>46141</v>
      </c>
      <c r="R353">
        <f>_xlfn.XLOOKUP(P353,'Painel Fertilizers'!$B:$B,'Painel Fertilizers'!$B:$B,0)</f>
        <v>0</v>
      </c>
    </row>
    <row r="354" spans="4:18" x14ac:dyDescent="0.25">
      <c r="D354" s="34"/>
      <c r="F354" s="30"/>
      <c r="G354" s="30"/>
      <c r="K354" s="30"/>
      <c r="Q354">
        <f t="shared" si="7"/>
        <v>46141</v>
      </c>
      <c r="R354">
        <f>_xlfn.XLOOKUP(P354,'Painel Fertilizers'!$B:$B,'Painel Fertilizers'!$B:$B,0)</f>
        <v>0</v>
      </c>
    </row>
    <row r="355" spans="4:18" x14ac:dyDescent="0.25">
      <c r="D355" s="34"/>
      <c r="F355" s="30"/>
      <c r="G355" s="30"/>
      <c r="K355" s="30"/>
      <c r="Q355">
        <f t="shared" si="7"/>
        <v>46141</v>
      </c>
      <c r="R355">
        <f>_xlfn.XLOOKUP(P355,'Painel Fertilizers'!$B:$B,'Painel Fertilizers'!$B:$B,0)</f>
        <v>0</v>
      </c>
    </row>
    <row r="356" spans="4:18" x14ac:dyDescent="0.25">
      <c r="D356" s="34"/>
      <c r="F356" s="30"/>
      <c r="G356" s="30"/>
      <c r="K356" s="30"/>
      <c r="Q356">
        <f t="shared" si="7"/>
        <v>46141</v>
      </c>
      <c r="R356">
        <f>_xlfn.XLOOKUP(P356,'Painel Fertilizers'!$B:$B,'Painel Fertilizers'!$B:$B,0)</f>
        <v>0</v>
      </c>
    </row>
    <row r="357" spans="4:18" x14ac:dyDescent="0.25">
      <c r="D357" s="34"/>
      <c r="F357" s="30"/>
      <c r="G357" s="30"/>
      <c r="K357" s="30"/>
      <c r="Q357">
        <f t="shared" si="7"/>
        <v>46141</v>
      </c>
      <c r="R357">
        <f>_xlfn.XLOOKUP(P357,'Painel Fertilizers'!$B:$B,'Painel Fertilizers'!$B:$B,0)</f>
        <v>0</v>
      </c>
    </row>
    <row r="358" spans="4:18" x14ac:dyDescent="0.25">
      <c r="D358" s="34"/>
      <c r="F358" s="30"/>
      <c r="G358" s="30"/>
      <c r="K358" s="30"/>
      <c r="Q358">
        <f t="shared" si="7"/>
        <v>46141</v>
      </c>
      <c r="R358">
        <f>_xlfn.XLOOKUP(P358,'Painel Fertilizers'!$B:$B,'Painel Fertilizers'!$B:$B,0)</f>
        <v>0</v>
      </c>
    </row>
    <row r="359" spans="4:18" x14ac:dyDescent="0.25">
      <c r="D359" s="34"/>
      <c r="F359" s="30"/>
      <c r="G359" s="30"/>
      <c r="K359" s="30"/>
      <c r="Q359">
        <f t="shared" si="7"/>
        <v>46141</v>
      </c>
      <c r="R359">
        <f>_xlfn.XLOOKUP(P359,'Painel Fertilizers'!$B:$B,'Painel Fertilizers'!$B:$B,0)</f>
        <v>0</v>
      </c>
    </row>
    <row r="360" spans="4:18" x14ac:dyDescent="0.25">
      <c r="D360" s="34"/>
      <c r="F360" s="30"/>
      <c r="G360" s="30"/>
      <c r="K360" s="30"/>
      <c r="Q360">
        <f t="shared" si="7"/>
        <v>46141</v>
      </c>
      <c r="R360">
        <f>_xlfn.XLOOKUP(P360,'Painel Fertilizers'!$B:$B,'Painel Fertilizers'!$B:$B,0)</f>
        <v>0</v>
      </c>
    </row>
    <row r="361" spans="4:18" x14ac:dyDescent="0.25">
      <c r="D361" s="34"/>
      <c r="F361" s="30"/>
      <c r="G361" s="30"/>
      <c r="K361" s="30"/>
      <c r="Q361">
        <f t="shared" si="7"/>
        <v>46141</v>
      </c>
      <c r="R361">
        <f>_xlfn.XLOOKUP(P361,'Painel Fertilizers'!$B:$B,'Painel Fertilizers'!$B:$B,0)</f>
        <v>0</v>
      </c>
    </row>
    <row r="362" spans="4:18" x14ac:dyDescent="0.25">
      <c r="D362" s="34"/>
      <c r="F362" s="30"/>
      <c r="G362" s="30"/>
      <c r="K362" s="30"/>
      <c r="Q362">
        <f t="shared" si="7"/>
        <v>46141</v>
      </c>
      <c r="R362">
        <f>_xlfn.XLOOKUP(P362,'Painel Fertilizers'!$B:$B,'Painel Fertilizers'!$B:$B,0)</f>
        <v>0</v>
      </c>
    </row>
    <row r="363" spans="4:18" x14ac:dyDescent="0.25">
      <c r="D363" s="34"/>
      <c r="F363" s="30"/>
      <c r="G363" s="30"/>
      <c r="K363" s="30"/>
      <c r="Q363">
        <f t="shared" si="7"/>
        <v>46141</v>
      </c>
      <c r="R363">
        <f>_xlfn.XLOOKUP(P363,'Painel Fertilizers'!$B:$B,'Painel Fertilizers'!$B:$B,0)</f>
        <v>0</v>
      </c>
    </row>
    <row r="364" spans="4:18" x14ac:dyDescent="0.25">
      <c r="D364" s="34"/>
      <c r="F364" s="30"/>
      <c r="G364" s="30"/>
      <c r="K364" s="30"/>
      <c r="Q364">
        <f t="shared" si="7"/>
        <v>46141</v>
      </c>
      <c r="R364">
        <f>_xlfn.XLOOKUP(P364,'Painel Fertilizers'!$B:$B,'Painel Fertilizers'!$B:$B,0)</f>
        <v>0</v>
      </c>
    </row>
    <row r="365" spans="4:18" x14ac:dyDescent="0.25">
      <c r="D365" s="34"/>
      <c r="F365" s="30"/>
      <c r="G365" s="30"/>
      <c r="K365" s="30"/>
      <c r="Q365">
        <f t="shared" si="7"/>
        <v>46141</v>
      </c>
      <c r="R365">
        <f>_xlfn.XLOOKUP(P365,'Painel Fertilizers'!$B:$B,'Painel Fertilizers'!$B:$B,0)</f>
        <v>0</v>
      </c>
    </row>
    <row r="366" spans="4:18" x14ac:dyDescent="0.25">
      <c r="D366" s="34"/>
      <c r="F366" s="30"/>
      <c r="K366" s="30"/>
      <c r="Q366">
        <f t="shared" si="7"/>
        <v>46141</v>
      </c>
      <c r="R366">
        <f>_xlfn.XLOOKUP(P366,'Painel Fertilizers'!$B:$B,'Painel Fertilizers'!$B:$B,0)</f>
        <v>0</v>
      </c>
    </row>
    <row r="367" spans="4:18" x14ac:dyDescent="0.25">
      <c r="D367" s="34"/>
      <c r="F367" s="30"/>
      <c r="K367" s="30"/>
      <c r="Q367">
        <f t="shared" si="7"/>
        <v>46141</v>
      </c>
      <c r="R367">
        <f>_xlfn.XLOOKUP(P367,'Painel Fertilizers'!$B:$B,'Painel Fertilizers'!$B:$B,0)</f>
        <v>0</v>
      </c>
    </row>
    <row r="368" spans="4:18" x14ac:dyDescent="0.25">
      <c r="D368" s="34"/>
      <c r="F368" s="30"/>
      <c r="K368" s="30"/>
      <c r="Q368">
        <f t="shared" si="7"/>
        <v>46141</v>
      </c>
      <c r="R368">
        <f>_xlfn.XLOOKUP(P368,'Painel Fertilizers'!$B:$B,'Painel Fertilizers'!$B:$B,0)</f>
        <v>0</v>
      </c>
    </row>
    <row r="369" spans="4:18" x14ac:dyDescent="0.25">
      <c r="D369" s="34"/>
      <c r="F369" s="30"/>
      <c r="K369" s="30"/>
      <c r="Q369">
        <f t="shared" si="7"/>
        <v>46141</v>
      </c>
      <c r="R369">
        <f>_xlfn.XLOOKUP(P369,'Painel Fertilizers'!$B:$B,'Painel Fertilizers'!$B:$B,0)</f>
        <v>0</v>
      </c>
    </row>
    <row r="370" spans="4:18" x14ac:dyDescent="0.25">
      <c r="D370" s="34"/>
      <c r="F370" s="30"/>
      <c r="K370" s="30"/>
      <c r="Q370">
        <f t="shared" si="7"/>
        <v>46141</v>
      </c>
      <c r="R370">
        <f>_xlfn.XLOOKUP(P370,'Painel Fertilizers'!$B:$B,'Painel Fertilizers'!$B:$B,0)</f>
        <v>0</v>
      </c>
    </row>
    <row r="371" spans="4:18" x14ac:dyDescent="0.25">
      <c r="D371" s="34"/>
      <c r="F371" s="30"/>
      <c r="K371" s="30"/>
      <c r="Q371">
        <f t="shared" si="7"/>
        <v>46141</v>
      </c>
      <c r="R371">
        <f>_xlfn.XLOOKUP(P371,'Painel Fertilizers'!$B:$B,'Painel Fertilizers'!$B:$B,0)</f>
        <v>0</v>
      </c>
    </row>
    <row r="372" spans="4:18" x14ac:dyDescent="0.25">
      <c r="D372" s="34"/>
      <c r="F372" s="30"/>
      <c r="K372" s="30"/>
      <c r="Q372">
        <f t="shared" si="7"/>
        <v>46141</v>
      </c>
      <c r="R372">
        <f>_xlfn.XLOOKUP(P372,'Painel Fertilizers'!$B:$B,'Painel Fertilizers'!$B:$B,0)</f>
        <v>0</v>
      </c>
    </row>
    <row r="373" spans="4:18" x14ac:dyDescent="0.25">
      <c r="D373" s="34"/>
      <c r="F373" s="30"/>
      <c r="K373" s="30"/>
      <c r="Q373">
        <f t="shared" si="7"/>
        <v>46141</v>
      </c>
      <c r="R373">
        <f>_xlfn.XLOOKUP(P373,'Painel Fertilizers'!$B:$B,'Painel Fertilizers'!$B:$B,0)</f>
        <v>0</v>
      </c>
    </row>
    <row r="374" spans="4:18" x14ac:dyDescent="0.25">
      <c r="D374" s="34"/>
      <c r="F374" s="30"/>
      <c r="K374" s="30"/>
      <c r="Q374">
        <f t="shared" si="7"/>
        <v>46141</v>
      </c>
      <c r="R374">
        <f>_xlfn.XLOOKUP(P374,'Painel Fertilizers'!$B:$B,'Painel Fertilizers'!$B:$B,0)</f>
        <v>0</v>
      </c>
    </row>
    <row r="375" spans="4:18" x14ac:dyDescent="0.25">
      <c r="D375" s="34"/>
      <c r="F375" s="30"/>
      <c r="K375" s="30"/>
      <c r="Q375">
        <f t="shared" ref="Q375:Q392" si="8">$R$1-F375</f>
        <v>46141</v>
      </c>
      <c r="R375">
        <f>_xlfn.XLOOKUP(P375,'Painel Fertilizers'!$B:$B,'Painel Fertilizers'!$B:$B,0)</f>
        <v>0</v>
      </c>
    </row>
    <row r="376" spans="4:18" x14ac:dyDescent="0.25">
      <c r="D376" s="34"/>
      <c r="F376" s="30"/>
      <c r="K376" s="30"/>
      <c r="Q376">
        <f t="shared" si="8"/>
        <v>46141</v>
      </c>
      <c r="R376">
        <f>_xlfn.XLOOKUP(P376,'Painel Fertilizers'!$B:$B,'Painel Fertilizers'!$B:$B,0)</f>
        <v>0</v>
      </c>
    </row>
    <row r="377" spans="4:18" x14ac:dyDescent="0.25">
      <c r="D377" s="34"/>
      <c r="F377" s="30"/>
      <c r="G377" s="30"/>
      <c r="K377" s="30"/>
      <c r="Q377">
        <f t="shared" si="8"/>
        <v>46141</v>
      </c>
      <c r="R377">
        <f>_xlfn.XLOOKUP(P377,'Painel Fertilizers'!$B:$B,'Painel Fertilizers'!$B:$B,0)</f>
        <v>0</v>
      </c>
    </row>
    <row r="378" spans="4:18" x14ac:dyDescent="0.25">
      <c r="D378" s="34"/>
      <c r="F378" s="30"/>
      <c r="G378" s="30"/>
      <c r="K378" s="30"/>
      <c r="Q378">
        <f t="shared" si="8"/>
        <v>46141</v>
      </c>
      <c r="R378">
        <f>_xlfn.XLOOKUP(P378,'Painel Fertilizers'!$B:$B,'Painel Fertilizers'!$B:$B,0)</f>
        <v>0</v>
      </c>
    </row>
    <row r="379" spans="4:18" x14ac:dyDescent="0.25">
      <c r="D379" s="34"/>
      <c r="F379" s="30"/>
      <c r="G379" s="30"/>
      <c r="K379" s="30"/>
      <c r="Q379">
        <f t="shared" si="8"/>
        <v>46141</v>
      </c>
      <c r="R379">
        <f>_xlfn.XLOOKUP(P379,'Painel Fertilizers'!$B:$B,'Painel Fertilizers'!$B:$B,0)</f>
        <v>0</v>
      </c>
    </row>
    <row r="380" spans="4:18" x14ac:dyDescent="0.25">
      <c r="D380" s="34"/>
      <c r="F380" s="30"/>
      <c r="G380" s="30"/>
      <c r="K380" s="30"/>
      <c r="Q380">
        <f t="shared" si="8"/>
        <v>46141</v>
      </c>
      <c r="R380">
        <f>_xlfn.XLOOKUP(P380,'Painel Fertilizers'!$B:$B,'Painel Fertilizers'!$B:$B,0)</f>
        <v>0</v>
      </c>
    </row>
    <row r="381" spans="4:18" x14ac:dyDescent="0.25">
      <c r="D381" s="34"/>
      <c r="F381" s="30"/>
      <c r="G381" s="30"/>
      <c r="K381" s="30"/>
      <c r="Q381">
        <f t="shared" si="8"/>
        <v>46141</v>
      </c>
      <c r="R381">
        <f>_xlfn.XLOOKUP(P381,'Painel Fertilizers'!$B:$B,'Painel Fertilizers'!$B:$B,0)</f>
        <v>0</v>
      </c>
    </row>
    <row r="382" spans="4:18" x14ac:dyDescent="0.25">
      <c r="D382" s="34"/>
      <c r="F382" s="30"/>
      <c r="G382" s="30"/>
      <c r="K382" s="30"/>
      <c r="Q382">
        <f t="shared" si="8"/>
        <v>46141</v>
      </c>
      <c r="R382">
        <f>_xlfn.XLOOKUP(P382,'Painel Fertilizers'!$B:$B,'Painel Fertilizers'!$B:$B,0)</f>
        <v>0</v>
      </c>
    </row>
    <row r="383" spans="4:18" x14ac:dyDescent="0.25">
      <c r="D383" s="34"/>
      <c r="F383" s="30"/>
      <c r="G383" s="30"/>
      <c r="K383" s="30"/>
      <c r="Q383">
        <f t="shared" si="8"/>
        <v>46141</v>
      </c>
      <c r="R383">
        <f>_xlfn.XLOOKUP(P383,'Painel Fertilizers'!$B:$B,'Painel Fertilizers'!$B:$B,0)</f>
        <v>0</v>
      </c>
    </row>
    <row r="384" spans="4:18" x14ac:dyDescent="0.25">
      <c r="D384" s="34"/>
      <c r="F384" s="30"/>
      <c r="G384" s="30"/>
      <c r="K384" s="30"/>
      <c r="Q384">
        <f t="shared" si="8"/>
        <v>46141</v>
      </c>
      <c r="R384">
        <f>_xlfn.XLOOKUP(P384,'Painel Fertilizers'!$B:$B,'Painel Fertilizers'!$B:$B,0)</f>
        <v>0</v>
      </c>
    </row>
    <row r="385" spans="4:18" x14ac:dyDescent="0.25">
      <c r="D385" s="34"/>
      <c r="F385" s="30"/>
      <c r="G385" s="30"/>
      <c r="K385" s="30"/>
      <c r="Q385">
        <f t="shared" si="8"/>
        <v>46141</v>
      </c>
      <c r="R385">
        <f>_xlfn.XLOOKUP(P385,'Painel Fertilizers'!$B:$B,'Painel Fertilizers'!$B:$B,0)</f>
        <v>0</v>
      </c>
    </row>
    <row r="386" spans="4:18" x14ac:dyDescent="0.25">
      <c r="D386" s="34"/>
      <c r="F386" s="30"/>
      <c r="G386" s="30"/>
      <c r="K386" s="30"/>
      <c r="Q386">
        <f t="shared" si="8"/>
        <v>46141</v>
      </c>
      <c r="R386">
        <f>_xlfn.XLOOKUP(P386,'Painel Fertilizers'!$B:$B,'Painel Fertilizers'!$B:$B,0)</f>
        <v>0</v>
      </c>
    </row>
    <row r="387" spans="4:18" x14ac:dyDescent="0.25">
      <c r="D387" s="34"/>
      <c r="F387" s="30"/>
      <c r="G387" s="30"/>
      <c r="K387" s="30"/>
      <c r="Q387">
        <f t="shared" si="8"/>
        <v>46141</v>
      </c>
      <c r="R387">
        <f>_xlfn.XLOOKUP(P387,'Painel Fertilizers'!$B:$B,'Painel Fertilizers'!$B:$B,0)</f>
        <v>0</v>
      </c>
    </row>
    <row r="388" spans="4:18" x14ac:dyDescent="0.25">
      <c r="D388" s="34"/>
      <c r="F388" s="30"/>
      <c r="G388" s="30"/>
      <c r="K388" s="30"/>
      <c r="Q388">
        <f t="shared" si="8"/>
        <v>46141</v>
      </c>
      <c r="R388">
        <f>_xlfn.XLOOKUP(P388,'Painel Fertilizers'!$B:$B,'Painel Fertilizers'!$B:$B,0)</f>
        <v>0</v>
      </c>
    </row>
    <row r="389" spans="4:18" x14ac:dyDescent="0.25">
      <c r="D389" s="34"/>
      <c r="F389" s="30"/>
      <c r="G389" s="30"/>
      <c r="K389" s="30"/>
      <c r="Q389">
        <f t="shared" si="8"/>
        <v>46141</v>
      </c>
      <c r="R389">
        <f>_xlfn.XLOOKUP(P389,'Painel Fertilizers'!$B:$B,'Painel Fertilizers'!$B:$B,0)</f>
        <v>0</v>
      </c>
    </row>
    <row r="390" spans="4:18" x14ac:dyDescent="0.25">
      <c r="D390" s="34"/>
      <c r="F390" s="30"/>
      <c r="K390" s="30"/>
      <c r="Q390">
        <f t="shared" si="8"/>
        <v>46141</v>
      </c>
      <c r="R390">
        <f>_xlfn.XLOOKUP(P390,'Painel Fertilizers'!$B:$B,'Painel Fertilizers'!$B:$B,0)</f>
        <v>0</v>
      </c>
    </row>
    <row r="391" spans="4:18" x14ac:dyDescent="0.25">
      <c r="D391" s="34"/>
      <c r="F391" s="30"/>
      <c r="K391" s="30"/>
      <c r="Q391">
        <f t="shared" si="8"/>
        <v>46141</v>
      </c>
      <c r="R391">
        <f>_xlfn.XLOOKUP(P391,'Painel Fertilizers'!$B:$B,'Painel Fertilizers'!$B:$B,0)</f>
        <v>0</v>
      </c>
    </row>
    <row r="392" spans="4:18" x14ac:dyDescent="0.25">
      <c r="Q392">
        <f t="shared" si="8"/>
        <v>46141</v>
      </c>
      <c r="R392">
        <f>_xlfn.XLOOKUP(P392,'Painel Fertilizers'!$B:$B,'Painel Fertilizers'!$B:$B,0)</f>
        <v>0</v>
      </c>
    </row>
  </sheetData>
  <autoFilter ref="A2:S391" xr:uid="{44BAA583-B199-4777-8608-3512A75541B2}"/>
  <phoneticPr fontId="2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43B8-1ECE-4FE7-8241-98814406AEAE}">
  <sheetPr>
    <tabColor theme="4"/>
  </sheetPr>
  <dimension ref="A1:AN85"/>
  <sheetViews>
    <sheetView showGridLines="0" zoomScale="80" zoomScaleNormal="80" workbookViewId="0">
      <pane xSplit="15" ySplit="3" topLeftCell="P4" activePane="bottomRight" state="frozen"/>
      <selection activeCell="G48" sqref="G48"/>
      <selection pane="topRight" activeCell="G48" sqref="G48"/>
      <selection pane="bottomLeft" activeCell="G48" sqref="G48"/>
      <selection pane="bottomRight" activeCell="AL38" sqref="AL38"/>
    </sheetView>
  </sheetViews>
  <sheetFormatPr defaultColWidth="8.88671875" defaultRowHeight="13.2" outlineLevelCol="2" x14ac:dyDescent="0.25"/>
  <cols>
    <col min="1" max="1" width="7.109375" style="253" customWidth="1"/>
    <col min="2" max="2" width="19.109375" style="384" customWidth="1"/>
    <col min="3" max="3" width="49.109375" style="252" customWidth="1"/>
    <col min="4" max="4" width="13.88671875" style="252" hidden="1" customWidth="1"/>
    <col min="5" max="5" width="5.88671875" style="252" hidden="1" customWidth="1"/>
    <col min="6" max="6" width="17.6640625" style="385" bestFit="1" customWidth="1"/>
    <col min="7" max="7" width="18.109375" style="385" customWidth="1" outlineLevel="1"/>
    <col min="8" max="8" width="18.5546875" style="385" customWidth="1" outlineLevel="1"/>
    <col min="9" max="9" width="18" style="252" hidden="1" customWidth="1" outlineLevel="2"/>
    <col min="10" max="11" width="17.6640625" style="252" hidden="1" customWidth="1" outlineLevel="2"/>
    <col min="12" max="12" width="18.88671875" style="252" hidden="1" customWidth="1" outlineLevel="2"/>
    <col min="13" max="14" width="20.33203125" style="252" hidden="1" customWidth="1" outlineLevel="2"/>
    <col min="15" max="15" width="21.33203125" style="252" hidden="1" customWidth="1" outlineLevel="2"/>
    <col min="16" max="16" width="15.5546875" style="385" customWidth="1" outlineLevel="1" collapsed="1"/>
    <col min="17" max="17" width="15.77734375" style="385" customWidth="1" outlineLevel="1"/>
    <col min="18" max="18" width="16.6640625" style="252" hidden="1" customWidth="1" outlineLevel="2"/>
    <col min="19" max="19" width="17.88671875" style="252" hidden="1" customWidth="1" outlineLevel="2"/>
    <col min="20" max="20" width="17.6640625" style="252" hidden="1" customWidth="1" outlineLevel="2"/>
    <col min="21" max="21" width="12.109375" style="252" hidden="1" customWidth="1" outlineLevel="2"/>
    <col min="22" max="22" width="13.33203125" style="252" hidden="1" customWidth="1" outlineLevel="2"/>
    <col min="23" max="23" width="13.88671875" style="252" hidden="1" customWidth="1" outlineLevel="2"/>
    <col min="24" max="24" width="22.44140625" style="252" hidden="1" customWidth="1" outlineLevel="2"/>
    <col min="25" max="25" width="14.5546875" style="252" hidden="1" customWidth="1" outlineLevel="2"/>
    <col min="26" max="26" width="2.6640625" style="252" customWidth="1" outlineLevel="1" collapsed="1"/>
    <col min="27" max="27" width="2.6640625" style="252" customWidth="1" outlineLevel="1"/>
    <col min="28" max="28" width="16.6640625" style="385" bestFit="1" customWidth="1"/>
    <col min="29" max="29" width="15.109375" style="252" hidden="1" customWidth="1"/>
    <col min="30" max="30" width="9.44140625" style="252" hidden="1" customWidth="1"/>
    <col min="31" max="31" width="9.44140625" style="292" hidden="1" customWidth="1"/>
    <col min="32" max="32" width="8.6640625" style="293" hidden="1" customWidth="1"/>
    <col min="33" max="33" width="0.5546875" style="252" customWidth="1"/>
    <col min="34" max="34" width="22" style="294" customWidth="1"/>
    <col min="35" max="35" width="7.44140625" style="253" bestFit="1" customWidth="1"/>
    <col min="36" max="36" width="22" style="254" customWidth="1"/>
    <col min="37" max="37" width="14.5546875" style="254" customWidth="1"/>
    <col min="38" max="38" width="13.109375" style="254" customWidth="1"/>
    <col min="39" max="39" width="11.88671875" style="253" bestFit="1" customWidth="1"/>
    <col min="40" max="40" width="14" style="253" bestFit="1" customWidth="1"/>
    <col min="41" max="43" width="8.88671875" style="253"/>
    <col min="44" max="44" width="11.109375" style="253" customWidth="1"/>
    <col min="45" max="16384" width="8.88671875" style="253"/>
  </cols>
  <sheetData>
    <row r="1" spans="1:40" s="9" customFormat="1" x14ac:dyDescent="0.25">
      <c r="A1" s="165"/>
      <c r="B1" s="190"/>
      <c r="C1" s="167">
        <v>46142</v>
      </c>
      <c r="D1" s="190"/>
      <c r="E1" s="190"/>
      <c r="F1" s="190"/>
      <c r="G1" s="190"/>
      <c r="H1" s="189">
        <f t="shared" ref="H1:Y1" si="0">SUBTOTAL(9,H4:H1048576)</f>
        <v>59371742.749999985</v>
      </c>
      <c r="I1" s="189">
        <f t="shared" si="0"/>
        <v>537781.14</v>
      </c>
      <c r="J1" s="189">
        <f t="shared" si="0"/>
        <v>49440</v>
      </c>
      <c r="K1" s="189">
        <f t="shared" si="0"/>
        <v>0</v>
      </c>
      <c r="L1" s="189">
        <f t="shared" si="0"/>
        <v>14548.35</v>
      </c>
      <c r="M1" s="189">
        <f t="shared" si="0"/>
        <v>0</v>
      </c>
      <c r="N1" s="189">
        <f t="shared" si="0"/>
        <v>912819.16999999993</v>
      </c>
      <c r="O1" s="189">
        <f t="shared" si="0"/>
        <v>21875863.229999997</v>
      </c>
      <c r="P1" s="189">
        <f t="shared" si="0"/>
        <v>23390451.890000004</v>
      </c>
      <c r="Q1" s="189">
        <f t="shared" si="0"/>
        <v>35981290.859999992</v>
      </c>
      <c r="R1" s="189">
        <f t="shared" si="0"/>
        <v>16811754.989999998</v>
      </c>
      <c r="S1" s="189">
        <f t="shared" si="0"/>
        <v>12509468.439999999</v>
      </c>
      <c r="T1" s="189">
        <f t="shared" si="0"/>
        <v>4204236.49</v>
      </c>
      <c r="U1" s="189">
        <f t="shared" si="0"/>
        <v>186261.5</v>
      </c>
      <c r="V1" s="189">
        <f t="shared" si="0"/>
        <v>1796677.12</v>
      </c>
      <c r="W1" s="189">
        <f t="shared" si="0"/>
        <v>376122.31</v>
      </c>
      <c r="X1" s="189">
        <f t="shared" si="0"/>
        <v>96770.01</v>
      </c>
      <c r="Y1" s="189">
        <f t="shared" si="0"/>
        <v>11119209.775599997</v>
      </c>
      <c r="Z1" s="191"/>
      <c r="AA1" s="191"/>
      <c r="AB1" s="189">
        <f>SUBTOTAL(9,AB4:AB1048576)</f>
        <v>88842500</v>
      </c>
      <c r="AC1" s="229"/>
      <c r="AD1" s="189"/>
      <c r="AE1" s="189"/>
      <c r="AF1" s="189"/>
      <c r="AH1" s="318">
        <f>SUBTOTAL(9,AH4:AH1048050)</f>
        <v>30675949.879999995</v>
      </c>
      <c r="AI1" s="10"/>
      <c r="AJ1" s="320">
        <f>P1/H1</f>
        <v>0.39396606544786006</v>
      </c>
      <c r="AK1" s="115"/>
      <c r="AL1" s="115"/>
      <c r="AN1" s="231"/>
    </row>
    <row r="2" spans="1:40" s="192" customFormat="1" ht="12.6" customHeight="1" thickBot="1" x14ac:dyDescent="0.3">
      <c r="B2" s="95"/>
      <c r="C2" s="95"/>
      <c r="D2" s="95"/>
      <c r="E2" s="95"/>
      <c r="F2" s="283"/>
      <c r="G2" s="283"/>
      <c r="H2" s="386"/>
      <c r="I2" s="263" t="s">
        <v>26</v>
      </c>
      <c r="J2" s="263"/>
      <c r="K2" s="263"/>
      <c r="L2" s="263"/>
      <c r="M2" s="263"/>
      <c r="N2" s="263"/>
      <c r="O2" s="263"/>
      <c r="P2" s="388"/>
      <c r="Q2" s="388"/>
      <c r="R2" s="33" t="s">
        <v>16</v>
      </c>
      <c r="S2" s="33"/>
      <c r="T2" s="33"/>
      <c r="U2" s="33"/>
      <c r="V2" s="33"/>
      <c r="W2" s="33"/>
      <c r="X2" s="33"/>
      <c r="Y2" s="116"/>
      <c r="Z2" s="282"/>
      <c r="AA2" s="282"/>
      <c r="AB2" s="386"/>
      <c r="AC2" s="118"/>
      <c r="AD2" s="225"/>
      <c r="AE2" s="225"/>
      <c r="AF2" s="225"/>
      <c r="AG2" s="282"/>
      <c r="AH2" s="319"/>
      <c r="AI2" s="6"/>
      <c r="AJ2" s="117" t="s">
        <v>479</v>
      </c>
      <c r="AK2" s="117"/>
      <c r="AL2" s="117"/>
      <c r="AN2" s="230"/>
    </row>
    <row r="3" spans="1:40" s="192" customFormat="1" ht="28.8" thickTop="1" thickBot="1" x14ac:dyDescent="0.3">
      <c r="A3" s="192" t="s">
        <v>224</v>
      </c>
      <c r="B3" s="286" t="s">
        <v>338</v>
      </c>
      <c r="C3" s="285" t="s">
        <v>22</v>
      </c>
      <c r="D3" s="95" t="s">
        <v>435</v>
      </c>
      <c r="E3" s="95"/>
      <c r="F3" s="284" t="s">
        <v>475</v>
      </c>
      <c r="G3" s="284" t="s">
        <v>476</v>
      </c>
      <c r="H3" s="387" t="s">
        <v>17</v>
      </c>
      <c r="I3" s="264" t="s">
        <v>9</v>
      </c>
      <c r="J3" s="264" t="s">
        <v>10</v>
      </c>
      <c r="K3" s="264" t="s">
        <v>11</v>
      </c>
      <c r="L3" s="264" t="s">
        <v>12</v>
      </c>
      <c r="M3" s="264" t="s">
        <v>13</v>
      </c>
      <c r="N3" s="264" t="s">
        <v>14</v>
      </c>
      <c r="O3" s="265" t="s">
        <v>15</v>
      </c>
      <c r="P3" s="389" t="s">
        <v>27</v>
      </c>
      <c r="Q3" s="389" t="s">
        <v>8</v>
      </c>
      <c r="R3" s="12" t="s">
        <v>9</v>
      </c>
      <c r="S3" s="12" t="s">
        <v>10</v>
      </c>
      <c r="T3" s="12" t="s">
        <v>11</v>
      </c>
      <c r="U3" s="12" t="s">
        <v>12</v>
      </c>
      <c r="V3" s="12" t="s">
        <v>13</v>
      </c>
      <c r="W3" s="12" t="s">
        <v>14</v>
      </c>
      <c r="X3" s="262" t="s">
        <v>15</v>
      </c>
      <c r="Y3" s="116" t="s">
        <v>297</v>
      </c>
      <c r="Z3" s="282" t="s">
        <v>224</v>
      </c>
      <c r="AA3" s="282" t="s">
        <v>224</v>
      </c>
      <c r="AB3" s="387" t="s">
        <v>477</v>
      </c>
      <c r="AC3" s="118" t="s">
        <v>483</v>
      </c>
      <c r="AD3" s="170" t="s">
        <v>20</v>
      </c>
      <c r="AE3" s="170" t="s">
        <v>550</v>
      </c>
      <c r="AF3" s="170" t="s">
        <v>23</v>
      </c>
      <c r="AG3" s="282" t="s">
        <v>224</v>
      </c>
      <c r="AH3" s="291" t="s">
        <v>703</v>
      </c>
      <c r="AI3" s="6" t="s">
        <v>224</v>
      </c>
      <c r="AJ3" s="280" t="s">
        <v>480</v>
      </c>
      <c r="AK3" s="281" t="s">
        <v>481</v>
      </c>
      <c r="AL3" s="281" t="s">
        <v>482</v>
      </c>
    </row>
    <row r="4" spans="1:40" ht="13.8" thickTop="1" x14ac:dyDescent="0.25">
      <c r="B4" s="251" t="str">
        <f>_xlfn.XLOOKUP(C4,Planilha3!A:A,Planilha3!B:B)</f>
        <v>Fertilizer / Litigation</v>
      </c>
      <c r="C4" s="391" t="s">
        <v>176</v>
      </c>
      <c r="D4" s="392">
        <v>0</v>
      </c>
      <c r="E4" s="392"/>
      <c r="F4" s="393">
        <v>0</v>
      </c>
      <c r="G4" s="393">
        <v>-7560727.799999997</v>
      </c>
      <c r="H4" s="393">
        <v>7560727.799999997</v>
      </c>
      <c r="I4" s="393">
        <v>0</v>
      </c>
      <c r="J4" s="393">
        <v>0</v>
      </c>
      <c r="K4" s="393">
        <v>0</v>
      </c>
      <c r="L4" s="393">
        <v>0</v>
      </c>
      <c r="M4" s="393">
        <v>0</v>
      </c>
      <c r="N4" s="393">
        <v>0</v>
      </c>
      <c r="O4" s="408">
        <v>7560727.799999997</v>
      </c>
      <c r="P4" s="393">
        <v>7560727.799999997</v>
      </c>
      <c r="Q4" s="393">
        <v>0</v>
      </c>
      <c r="R4" s="393">
        <v>0</v>
      </c>
      <c r="S4" s="393">
        <v>0</v>
      </c>
      <c r="T4" s="393">
        <v>0</v>
      </c>
      <c r="U4" s="393">
        <v>0</v>
      </c>
      <c r="V4" s="393">
        <v>0</v>
      </c>
      <c r="W4" s="393">
        <v>0</v>
      </c>
      <c r="X4" s="408">
        <v>0</v>
      </c>
      <c r="Y4" s="393">
        <v>0</v>
      </c>
      <c r="Z4" s="409"/>
      <c r="AA4" s="409"/>
      <c r="AB4" s="393">
        <v>0</v>
      </c>
      <c r="AC4" s="397"/>
      <c r="AD4" s="397"/>
      <c r="AE4" s="397"/>
      <c r="AF4" s="407"/>
      <c r="AG4" s="385"/>
      <c r="AH4" s="182">
        <f>MAX(H4-AB4,0)</f>
        <v>7560727.799999997</v>
      </c>
    </row>
    <row r="5" spans="1:40" x14ac:dyDescent="0.25">
      <c r="B5" s="251" t="str">
        <f>_xlfn.XLOOKUP(C5,Planilha3!A:A,Planilha3!B:B)</f>
        <v>Additive</v>
      </c>
      <c r="C5" s="391" t="s">
        <v>527</v>
      </c>
      <c r="D5" s="392" t="s">
        <v>454</v>
      </c>
      <c r="E5" s="392"/>
      <c r="F5" s="393">
        <v>10000000</v>
      </c>
      <c r="G5" s="393">
        <v>3234990.1000000006</v>
      </c>
      <c r="H5" s="393">
        <v>6765009.8999999994</v>
      </c>
      <c r="I5" s="393">
        <v>0</v>
      </c>
      <c r="J5" s="393">
        <v>0</v>
      </c>
      <c r="K5" s="393">
        <v>0</v>
      </c>
      <c r="L5" s="393">
        <v>0</v>
      </c>
      <c r="M5" s="393">
        <v>0</v>
      </c>
      <c r="N5" s="393">
        <v>0</v>
      </c>
      <c r="O5" s="408">
        <v>0</v>
      </c>
      <c r="P5" s="393">
        <v>0</v>
      </c>
      <c r="Q5" s="393">
        <v>6765009.8999999994</v>
      </c>
      <c r="R5" s="393">
        <v>1136498.7</v>
      </c>
      <c r="S5" s="393">
        <v>3096134.6999999993</v>
      </c>
      <c r="T5" s="393">
        <v>2532376.5</v>
      </c>
      <c r="U5" s="393">
        <v>0</v>
      </c>
      <c r="V5" s="393">
        <v>0</v>
      </c>
      <c r="W5" s="393">
        <v>0</v>
      </c>
      <c r="X5" s="408">
        <v>0</v>
      </c>
      <c r="Y5" s="393">
        <v>16500</v>
      </c>
      <c r="Z5" s="409"/>
      <c r="AA5" s="409"/>
      <c r="AB5" s="393">
        <v>10000000</v>
      </c>
      <c r="AC5" s="397"/>
      <c r="AD5" s="397"/>
      <c r="AE5" s="397"/>
      <c r="AF5" s="407"/>
      <c r="AG5" s="385"/>
      <c r="AH5" s="182">
        <f t="shared" ref="AH5:AH68" si="1">MAX(H5-AB5,0)</f>
        <v>0</v>
      </c>
    </row>
    <row r="6" spans="1:40" x14ac:dyDescent="0.25">
      <c r="B6" s="251" t="str">
        <f>_xlfn.XLOOKUP(C6,Planilha3!A:A,Planilha3!B:B)</f>
        <v>Additive</v>
      </c>
      <c r="C6" s="391" t="s">
        <v>419</v>
      </c>
      <c r="D6" s="392" t="s">
        <v>454</v>
      </c>
      <c r="E6" s="392"/>
      <c r="F6" s="393">
        <v>6000000</v>
      </c>
      <c r="G6" s="393">
        <v>1910281.5000000005</v>
      </c>
      <c r="H6" s="393">
        <v>4089718.4999999995</v>
      </c>
      <c r="I6" s="393">
        <v>0</v>
      </c>
      <c r="J6" s="393">
        <v>0</v>
      </c>
      <c r="K6" s="393">
        <v>0</v>
      </c>
      <c r="L6" s="393">
        <v>0</v>
      </c>
      <c r="M6" s="393">
        <v>0</v>
      </c>
      <c r="N6" s="393">
        <v>0</v>
      </c>
      <c r="O6" s="408">
        <v>5626.32</v>
      </c>
      <c r="P6" s="393">
        <v>5626.32</v>
      </c>
      <c r="Q6" s="393">
        <v>4084092.1799999997</v>
      </c>
      <c r="R6" s="393">
        <v>2439848.4</v>
      </c>
      <c r="S6" s="393">
        <v>1644243.7799999998</v>
      </c>
      <c r="T6" s="393">
        <v>0</v>
      </c>
      <c r="U6" s="393">
        <v>0</v>
      </c>
      <c r="V6" s="393">
        <v>0</v>
      </c>
      <c r="W6" s="393">
        <v>0</v>
      </c>
      <c r="X6" s="408">
        <v>0</v>
      </c>
      <c r="Y6" s="393">
        <v>63226.319999999992</v>
      </c>
      <c r="Z6" s="409"/>
      <c r="AA6" s="409"/>
      <c r="AB6" s="393">
        <v>6000000</v>
      </c>
      <c r="AC6" s="397"/>
      <c r="AD6" s="397"/>
      <c r="AE6" s="397"/>
      <c r="AF6" s="407"/>
      <c r="AG6" s="385"/>
      <c r="AH6" s="182">
        <f t="shared" si="1"/>
        <v>0</v>
      </c>
    </row>
    <row r="7" spans="1:40" x14ac:dyDescent="0.25">
      <c r="B7" s="251" t="str">
        <f>_xlfn.XLOOKUP(C7,Planilha3!A:A,Planilha3!B:B)</f>
        <v>Additive</v>
      </c>
      <c r="C7" s="391" t="s">
        <v>416</v>
      </c>
      <c r="D7" s="392" t="s">
        <v>454</v>
      </c>
      <c r="E7" s="392"/>
      <c r="F7" s="393">
        <v>4500000</v>
      </c>
      <c r="G7" s="393">
        <v>743391.09999999963</v>
      </c>
      <c r="H7" s="393">
        <v>3756608.9000000004</v>
      </c>
      <c r="I7" s="393">
        <v>0</v>
      </c>
      <c r="J7" s="393">
        <v>0</v>
      </c>
      <c r="K7" s="393">
        <v>0</v>
      </c>
      <c r="L7" s="393">
        <v>0</v>
      </c>
      <c r="M7" s="393">
        <v>0</v>
      </c>
      <c r="N7" s="393">
        <v>0</v>
      </c>
      <c r="O7" s="408">
        <v>0</v>
      </c>
      <c r="P7" s="393">
        <v>0</v>
      </c>
      <c r="Q7" s="393">
        <v>3756608.9000000004</v>
      </c>
      <c r="R7" s="393">
        <v>3756608.9000000004</v>
      </c>
      <c r="S7" s="393">
        <v>0</v>
      </c>
      <c r="T7" s="393">
        <v>0</v>
      </c>
      <c r="U7" s="393">
        <v>0</v>
      </c>
      <c r="V7" s="393">
        <v>0</v>
      </c>
      <c r="W7" s="393">
        <v>0</v>
      </c>
      <c r="X7" s="408">
        <v>0</v>
      </c>
      <c r="Y7" s="393">
        <v>0</v>
      </c>
      <c r="Z7" s="409"/>
      <c r="AA7" s="409"/>
      <c r="AB7" s="393">
        <v>4500000</v>
      </c>
      <c r="AC7" s="397"/>
      <c r="AD7" s="397"/>
      <c r="AE7" s="397"/>
      <c r="AF7" s="407"/>
      <c r="AG7" s="385"/>
      <c r="AH7" s="182">
        <f t="shared" si="1"/>
        <v>0</v>
      </c>
      <c r="AM7" s="255"/>
    </row>
    <row r="8" spans="1:40" x14ac:dyDescent="0.25">
      <c r="B8" s="251" t="str">
        <f>_xlfn.XLOOKUP(C8,Planilha3!A:A,Planilha3!B:B)</f>
        <v>Additive Intl.</v>
      </c>
      <c r="C8" s="391" t="s">
        <v>336</v>
      </c>
      <c r="D8" s="392">
        <v>0</v>
      </c>
      <c r="E8" s="392"/>
      <c r="F8" s="393">
        <v>0</v>
      </c>
      <c r="G8" s="393">
        <v>-3280155.1799999997</v>
      </c>
      <c r="H8" s="393">
        <v>3280155.1799999997</v>
      </c>
      <c r="I8" s="393">
        <v>0</v>
      </c>
      <c r="J8" s="393">
        <v>0</v>
      </c>
      <c r="K8" s="393">
        <v>0</v>
      </c>
      <c r="L8" s="393">
        <v>0</v>
      </c>
      <c r="M8" s="393">
        <v>0</v>
      </c>
      <c r="N8" s="393">
        <v>0</v>
      </c>
      <c r="O8" s="408">
        <v>0</v>
      </c>
      <c r="P8" s="393">
        <v>0</v>
      </c>
      <c r="Q8" s="393">
        <v>3280155.1799999997</v>
      </c>
      <c r="R8" s="393">
        <v>0</v>
      </c>
      <c r="S8" s="393">
        <v>3280155.1799999997</v>
      </c>
      <c r="T8" s="393">
        <v>0</v>
      </c>
      <c r="U8" s="393">
        <v>0</v>
      </c>
      <c r="V8" s="393">
        <v>0</v>
      </c>
      <c r="W8" s="393">
        <v>0</v>
      </c>
      <c r="X8" s="408">
        <v>0</v>
      </c>
      <c r="Y8" s="393">
        <v>0</v>
      </c>
      <c r="Z8" s="409"/>
      <c r="AA8" s="409"/>
      <c r="AB8" s="393">
        <v>0</v>
      </c>
      <c r="AC8" s="397"/>
      <c r="AD8" s="397"/>
      <c r="AE8" s="397"/>
      <c r="AF8" s="407"/>
      <c r="AG8" s="385"/>
      <c r="AH8" s="182">
        <f t="shared" si="1"/>
        <v>3280155.1799999997</v>
      </c>
    </row>
    <row r="9" spans="1:40" x14ac:dyDescent="0.25">
      <c r="B9" s="251" t="str">
        <f>_xlfn.XLOOKUP(C9,Planilha3!A:A,Planilha3!B:B)</f>
        <v>Fertilizer / Litigation</v>
      </c>
      <c r="C9" s="391" t="s">
        <v>428</v>
      </c>
      <c r="D9" s="392">
        <v>0</v>
      </c>
      <c r="E9" s="392"/>
      <c r="F9" s="393">
        <v>0</v>
      </c>
      <c r="G9" s="393">
        <v>-3088531.0700000003</v>
      </c>
      <c r="H9" s="393">
        <v>3088531.0700000003</v>
      </c>
      <c r="I9" s="393">
        <v>0</v>
      </c>
      <c r="J9" s="393">
        <v>0</v>
      </c>
      <c r="K9" s="393">
        <v>0</v>
      </c>
      <c r="L9" s="393">
        <v>0</v>
      </c>
      <c r="M9" s="393">
        <v>0</v>
      </c>
      <c r="N9" s="393">
        <v>0</v>
      </c>
      <c r="O9" s="408">
        <v>3088531.0700000003</v>
      </c>
      <c r="P9" s="393">
        <v>3088531.0700000003</v>
      </c>
      <c r="Q9" s="393">
        <v>0</v>
      </c>
      <c r="R9" s="393">
        <v>0</v>
      </c>
      <c r="S9" s="393">
        <v>0</v>
      </c>
      <c r="T9" s="393">
        <v>0</v>
      </c>
      <c r="U9" s="393">
        <v>0</v>
      </c>
      <c r="V9" s="393">
        <v>0</v>
      </c>
      <c r="W9" s="393">
        <v>0</v>
      </c>
      <c r="X9" s="408">
        <v>0</v>
      </c>
      <c r="Y9" s="393">
        <v>3088531.0700000008</v>
      </c>
      <c r="Z9" s="409"/>
      <c r="AA9" s="409"/>
      <c r="AB9" s="393">
        <v>0</v>
      </c>
      <c r="AC9" s="397"/>
      <c r="AD9" s="397"/>
      <c r="AE9" s="397"/>
      <c r="AF9" s="407"/>
      <c r="AG9" s="385"/>
      <c r="AH9" s="182">
        <f t="shared" si="1"/>
        <v>3088531.0700000003</v>
      </c>
    </row>
    <row r="10" spans="1:40" x14ac:dyDescent="0.25">
      <c r="B10" s="251" t="str">
        <f>_xlfn.XLOOKUP(C10,Planilha3!A:A,Planilha3!B:B)</f>
        <v>Fertilizer / Litigation</v>
      </c>
      <c r="C10" s="391" t="s">
        <v>209</v>
      </c>
      <c r="D10" s="392">
        <v>0</v>
      </c>
      <c r="E10" s="392"/>
      <c r="F10" s="393">
        <v>0</v>
      </c>
      <c r="G10" s="393">
        <v>-3044850.9199999995</v>
      </c>
      <c r="H10" s="393">
        <v>3044850.9199999995</v>
      </c>
      <c r="I10" s="393">
        <v>0</v>
      </c>
      <c r="J10" s="393">
        <v>0</v>
      </c>
      <c r="K10" s="393">
        <v>0</v>
      </c>
      <c r="L10" s="393">
        <v>0</v>
      </c>
      <c r="M10" s="393">
        <v>0</v>
      </c>
      <c r="N10" s="393">
        <v>0</v>
      </c>
      <c r="O10" s="408">
        <v>3044850.9199999995</v>
      </c>
      <c r="P10" s="393">
        <v>3044850.9199999995</v>
      </c>
      <c r="Q10" s="393">
        <v>0</v>
      </c>
      <c r="R10" s="393">
        <v>0</v>
      </c>
      <c r="S10" s="393">
        <v>0</v>
      </c>
      <c r="T10" s="393">
        <v>0</v>
      </c>
      <c r="U10" s="393">
        <v>0</v>
      </c>
      <c r="V10" s="393">
        <v>0</v>
      </c>
      <c r="W10" s="393">
        <v>0</v>
      </c>
      <c r="X10" s="408">
        <v>0</v>
      </c>
      <c r="Y10" s="393">
        <v>3044850.9199999995</v>
      </c>
      <c r="Z10" s="409"/>
      <c r="AA10" s="409"/>
      <c r="AB10" s="393">
        <v>0</v>
      </c>
      <c r="AC10" s="397"/>
      <c r="AD10" s="397"/>
      <c r="AE10" s="397"/>
      <c r="AF10" s="407"/>
      <c r="AG10" s="385"/>
      <c r="AH10" s="182">
        <f t="shared" si="1"/>
        <v>3044850.9199999995</v>
      </c>
      <c r="AM10" s="272"/>
    </row>
    <row r="11" spans="1:40" x14ac:dyDescent="0.25">
      <c r="B11" s="251" t="str">
        <f>_xlfn.XLOOKUP(C11,Planilha3!A:A,Planilha3!B:B)</f>
        <v>Additive</v>
      </c>
      <c r="C11" s="391" t="s">
        <v>496</v>
      </c>
      <c r="D11" s="392">
        <v>0</v>
      </c>
      <c r="E11" s="392"/>
      <c r="F11" s="393">
        <v>20000000</v>
      </c>
      <c r="G11" s="393">
        <v>17021565.66</v>
      </c>
      <c r="H11" s="393">
        <v>2978434.34</v>
      </c>
      <c r="I11" s="393">
        <v>0</v>
      </c>
      <c r="J11" s="393">
        <v>0</v>
      </c>
      <c r="K11" s="393">
        <v>0</v>
      </c>
      <c r="L11" s="393">
        <v>0</v>
      </c>
      <c r="M11" s="393">
        <v>0</v>
      </c>
      <c r="N11" s="393">
        <v>64.2</v>
      </c>
      <c r="O11" s="408">
        <v>16754.72</v>
      </c>
      <c r="P11" s="393">
        <v>16818.920000000002</v>
      </c>
      <c r="Q11" s="393">
        <v>2961615.42</v>
      </c>
      <c r="R11" s="393">
        <v>1468196.92</v>
      </c>
      <c r="S11" s="393">
        <v>550787.30000000005</v>
      </c>
      <c r="T11" s="393">
        <v>761400.20000000007</v>
      </c>
      <c r="U11" s="393">
        <v>181231</v>
      </c>
      <c r="V11" s="393">
        <v>0</v>
      </c>
      <c r="W11" s="393">
        <v>0</v>
      </c>
      <c r="X11" s="408">
        <v>0</v>
      </c>
      <c r="Y11" s="393">
        <v>84763.766000000003</v>
      </c>
      <c r="Z11" s="409"/>
      <c r="AA11" s="409"/>
      <c r="AB11" s="393">
        <v>15000000</v>
      </c>
      <c r="AC11" s="397"/>
      <c r="AD11" s="397"/>
      <c r="AE11" s="397"/>
      <c r="AF11" s="407"/>
      <c r="AG11" s="385"/>
      <c r="AH11" s="182">
        <f t="shared" si="1"/>
        <v>0</v>
      </c>
    </row>
    <row r="12" spans="1:40" x14ac:dyDescent="0.25">
      <c r="B12" s="251" t="str">
        <f>_xlfn.XLOOKUP(C12,Planilha3!A:A,Planilha3!B:B)</f>
        <v>Fertilizer / Litigation</v>
      </c>
      <c r="C12" s="391" t="s">
        <v>186</v>
      </c>
      <c r="D12" s="392">
        <v>0</v>
      </c>
      <c r="E12" s="392"/>
      <c r="F12" s="393">
        <v>0</v>
      </c>
      <c r="G12" s="393">
        <v>-2492842.0500000003</v>
      </c>
      <c r="H12" s="393">
        <v>2492842.0500000003</v>
      </c>
      <c r="I12" s="393">
        <v>0</v>
      </c>
      <c r="J12" s="393">
        <v>0</v>
      </c>
      <c r="K12" s="393">
        <v>0</v>
      </c>
      <c r="L12" s="393">
        <v>0</v>
      </c>
      <c r="M12" s="393">
        <v>0</v>
      </c>
      <c r="N12" s="393">
        <v>0</v>
      </c>
      <c r="O12" s="408">
        <v>2492842.0500000003</v>
      </c>
      <c r="P12" s="393">
        <v>2492842.0500000003</v>
      </c>
      <c r="Q12" s="393">
        <v>0</v>
      </c>
      <c r="R12" s="393">
        <v>0</v>
      </c>
      <c r="S12" s="393">
        <v>0</v>
      </c>
      <c r="T12" s="393">
        <v>0</v>
      </c>
      <c r="U12" s="393">
        <v>0</v>
      </c>
      <c r="V12" s="393">
        <v>0</v>
      </c>
      <c r="W12" s="393">
        <v>0</v>
      </c>
      <c r="X12" s="408">
        <v>0</v>
      </c>
      <c r="Y12" s="393">
        <v>0</v>
      </c>
      <c r="Z12" s="409"/>
      <c r="AA12" s="409"/>
      <c r="AB12" s="393">
        <v>0</v>
      </c>
      <c r="AC12" s="397"/>
      <c r="AD12" s="397"/>
      <c r="AE12" s="397"/>
      <c r="AF12" s="407"/>
      <c r="AG12" s="385"/>
      <c r="AH12" s="182">
        <f t="shared" si="1"/>
        <v>2492842.0500000003</v>
      </c>
    </row>
    <row r="13" spans="1:40" x14ac:dyDescent="0.25">
      <c r="B13" s="251" t="str">
        <f>_xlfn.XLOOKUP(C13,Planilha3!A:A,Planilha3!B:B)</f>
        <v>Fertilizer / Litigation</v>
      </c>
      <c r="C13" s="391" t="s">
        <v>194</v>
      </c>
      <c r="D13" s="392">
        <v>0</v>
      </c>
      <c r="E13" s="392"/>
      <c r="F13" s="393">
        <v>0</v>
      </c>
      <c r="G13" s="393">
        <v>-1863200.9</v>
      </c>
      <c r="H13" s="393">
        <v>1863200.9</v>
      </c>
      <c r="I13" s="393">
        <v>0</v>
      </c>
      <c r="J13" s="393">
        <v>0</v>
      </c>
      <c r="K13" s="393">
        <v>0</v>
      </c>
      <c r="L13" s="393">
        <v>0</v>
      </c>
      <c r="M13" s="393">
        <v>0</v>
      </c>
      <c r="N13" s="393">
        <v>0</v>
      </c>
      <c r="O13" s="408">
        <v>1863200.9</v>
      </c>
      <c r="P13" s="393">
        <v>1863200.9</v>
      </c>
      <c r="Q13" s="393">
        <v>0</v>
      </c>
      <c r="R13" s="393">
        <v>0</v>
      </c>
      <c r="S13" s="393">
        <v>0</v>
      </c>
      <c r="T13" s="393">
        <v>0</v>
      </c>
      <c r="U13" s="393">
        <v>0</v>
      </c>
      <c r="V13" s="393">
        <v>0</v>
      </c>
      <c r="W13" s="393">
        <v>0</v>
      </c>
      <c r="X13" s="408">
        <v>0</v>
      </c>
      <c r="Y13" s="393">
        <v>1863200.9</v>
      </c>
      <c r="Z13" s="409"/>
      <c r="AA13" s="409"/>
      <c r="AB13" s="393">
        <v>0</v>
      </c>
      <c r="AC13" s="397"/>
      <c r="AD13" s="397"/>
      <c r="AE13" s="397"/>
      <c r="AF13" s="407"/>
      <c r="AG13" s="385"/>
      <c r="AH13" s="182">
        <f t="shared" si="1"/>
        <v>1863200.9</v>
      </c>
    </row>
    <row r="14" spans="1:40" x14ac:dyDescent="0.25">
      <c r="B14" s="251" t="str">
        <f>_xlfn.XLOOKUP(C14,Planilha3!A:A,Planilha3!B:B)</f>
        <v>Fertilizer / Litigation</v>
      </c>
      <c r="C14" s="391" t="s">
        <v>198</v>
      </c>
      <c r="D14" s="392">
        <v>0</v>
      </c>
      <c r="E14" s="392"/>
      <c r="F14" s="393">
        <v>0</v>
      </c>
      <c r="G14" s="393">
        <v>-1702848.7400000002</v>
      </c>
      <c r="H14" s="393">
        <v>1702848.7400000002</v>
      </c>
      <c r="I14" s="393">
        <v>0</v>
      </c>
      <c r="J14" s="393">
        <v>0</v>
      </c>
      <c r="K14" s="393">
        <v>0</v>
      </c>
      <c r="L14" s="393">
        <v>0</v>
      </c>
      <c r="M14" s="393">
        <v>0</v>
      </c>
      <c r="N14" s="393">
        <v>0</v>
      </c>
      <c r="O14" s="408">
        <v>1702848.7400000002</v>
      </c>
      <c r="P14" s="393">
        <v>1702848.7400000002</v>
      </c>
      <c r="Q14" s="393">
        <v>0</v>
      </c>
      <c r="R14" s="393">
        <v>0</v>
      </c>
      <c r="S14" s="393">
        <v>0</v>
      </c>
      <c r="T14" s="393">
        <v>0</v>
      </c>
      <c r="U14" s="393">
        <v>0</v>
      </c>
      <c r="V14" s="393">
        <v>0</v>
      </c>
      <c r="W14" s="393">
        <v>0</v>
      </c>
      <c r="X14" s="408">
        <v>0</v>
      </c>
      <c r="Y14" s="393">
        <v>1702848.7400000002</v>
      </c>
      <c r="Z14" s="409"/>
      <c r="AA14" s="409"/>
      <c r="AB14" s="393">
        <v>0</v>
      </c>
      <c r="AC14" s="397"/>
      <c r="AD14" s="397"/>
      <c r="AE14" s="397"/>
      <c r="AF14" s="407"/>
      <c r="AG14" s="385"/>
      <c r="AH14" s="182">
        <f t="shared" si="1"/>
        <v>1702848.7400000002</v>
      </c>
    </row>
    <row r="15" spans="1:40" x14ac:dyDescent="0.25">
      <c r="B15" s="251" t="str">
        <f>_xlfn.XLOOKUP(C15,Planilha3!A:A,Planilha3!B:B)</f>
        <v>Fertilizer</v>
      </c>
      <c r="C15" s="391" t="s">
        <v>181</v>
      </c>
      <c r="D15" s="392" t="s">
        <v>454</v>
      </c>
      <c r="E15" s="392"/>
      <c r="F15" s="393">
        <v>1800000</v>
      </c>
      <c r="G15" s="393">
        <v>599809.58000000007</v>
      </c>
      <c r="H15" s="393">
        <v>1200190.42</v>
      </c>
      <c r="I15" s="393">
        <v>0</v>
      </c>
      <c r="J15" s="393">
        <v>0</v>
      </c>
      <c r="K15" s="393">
        <v>0</v>
      </c>
      <c r="L15" s="393">
        <v>0</v>
      </c>
      <c r="M15" s="393">
        <v>0</v>
      </c>
      <c r="N15" s="393">
        <v>0</v>
      </c>
      <c r="O15" s="408">
        <v>0</v>
      </c>
      <c r="P15" s="393">
        <v>0</v>
      </c>
      <c r="Q15" s="393">
        <v>1200190.42</v>
      </c>
      <c r="R15" s="393">
        <v>274733.36</v>
      </c>
      <c r="S15" s="393">
        <v>0</v>
      </c>
      <c r="T15" s="393">
        <v>0</v>
      </c>
      <c r="U15" s="393">
        <v>0</v>
      </c>
      <c r="V15" s="393">
        <v>925457.05999999994</v>
      </c>
      <c r="W15" s="393">
        <v>0</v>
      </c>
      <c r="X15" s="408">
        <v>0</v>
      </c>
      <c r="Y15" s="393">
        <v>0</v>
      </c>
      <c r="Z15" s="409"/>
      <c r="AA15" s="409"/>
      <c r="AB15" s="393">
        <v>500000</v>
      </c>
      <c r="AC15" s="397"/>
      <c r="AD15" s="397"/>
      <c r="AE15" s="397"/>
      <c r="AF15" s="407"/>
      <c r="AG15" s="385"/>
      <c r="AH15" s="182">
        <f t="shared" si="1"/>
        <v>700190.41999999993</v>
      </c>
    </row>
    <row r="16" spans="1:40" x14ac:dyDescent="0.25">
      <c r="B16" s="251" t="str">
        <f>_xlfn.XLOOKUP(C16,Planilha3!A:A,Planilha3!B:B)</f>
        <v>Fertilizer / Litigation</v>
      </c>
      <c r="C16" s="391" t="s">
        <v>269</v>
      </c>
      <c r="D16" s="392">
        <v>0</v>
      </c>
      <c r="E16" s="392"/>
      <c r="F16" s="393">
        <v>0</v>
      </c>
      <c r="G16" s="393">
        <v>-988506.24</v>
      </c>
      <c r="H16" s="393">
        <v>988506.24</v>
      </c>
      <c r="I16" s="393">
        <v>0</v>
      </c>
      <c r="J16" s="393">
        <v>0</v>
      </c>
      <c r="K16" s="393">
        <v>0</v>
      </c>
      <c r="L16" s="393">
        <v>0</v>
      </c>
      <c r="M16" s="393">
        <v>0</v>
      </c>
      <c r="N16" s="393">
        <v>462720</v>
      </c>
      <c r="O16" s="408">
        <v>525786.24</v>
      </c>
      <c r="P16" s="393">
        <v>988506.24</v>
      </c>
      <c r="Q16" s="393">
        <v>0</v>
      </c>
      <c r="R16" s="393">
        <v>0</v>
      </c>
      <c r="S16" s="393">
        <v>0</v>
      </c>
      <c r="T16" s="393">
        <v>0</v>
      </c>
      <c r="U16" s="393">
        <v>0</v>
      </c>
      <c r="V16" s="393">
        <v>0</v>
      </c>
      <c r="W16" s="393">
        <v>0</v>
      </c>
      <c r="X16" s="408">
        <v>0</v>
      </c>
      <c r="Y16" s="393">
        <v>539667.84000000008</v>
      </c>
      <c r="Z16" s="409"/>
      <c r="AA16" s="409"/>
      <c r="AB16" s="393">
        <v>0</v>
      </c>
      <c r="AC16" s="397"/>
      <c r="AD16" s="397"/>
      <c r="AE16" s="397"/>
      <c r="AF16" s="407"/>
      <c r="AG16" s="385"/>
      <c r="AH16" s="182">
        <f t="shared" si="1"/>
        <v>988506.24</v>
      </c>
    </row>
    <row r="17" spans="2:34" x14ac:dyDescent="0.25">
      <c r="B17" s="251" t="str">
        <f>_xlfn.XLOOKUP(C17,Planilha3!A:A,Planilha3!B:B)</f>
        <v>Fertilizer / Litigation</v>
      </c>
      <c r="C17" s="391" t="s">
        <v>206</v>
      </c>
      <c r="D17" s="392">
        <v>0</v>
      </c>
      <c r="E17" s="392"/>
      <c r="F17" s="393">
        <v>0</v>
      </c>
      <c r="G17" s="393">
        <v>-876011.75</v>
      </c>
      <c r="H17" s="393">
        <v>876011.75</v>
      </c>
      <c r="I17" s="393">
        <v>0</v>
      </c>
      <c r="J17" s="393">
        <v>0</v>
      </c>
      <c r="K17" s="393">
        <v>0</v>
      </c>
      <c r="L17" s="393">
        <v>0</v>
      </c>
      <c r="M17" s="393">
        <v>0</v>
      </c>
      <c r="N17" s="393">
        <v>0</v>
      </c>
      <c r="O17" s="408">
        <v>876011.75</v>
      </c>
      <c r="P17" s="393">
        <v>876011.75</v>
      </c>
      <c r="Q17" s="393">
        <v>0</v>
      </c>
      <c r="R17" s="393">
        <v>0</v>
      </c>
      <c r="S17" s="393">
        <v>0</v>
      </c>
      <c r="T17" s="393">
        <v>0</v>
      </c>
      <c r="U17" s="393">
        <v>0</v>
      </c>
      <c r="V17" s="393">
        <v>0</v>
      </c>
      <c r="W17" s="393">
        <v>0</v>
      </c>
      <c r="X17" s="408">
        <v>0</v>
      </c>
      <c r="Y17" s="393">
        <v>0</v>
      </c>
      <c r="Z17" s="409"/>
      <c r="AA17" s="409"/>
      <c r="AB17" s="393">
        <v>0</v>
      </c>
      <c r="AC17" s="397"/>
      <c r="AD17" s="397"/>
      <c r="AE17" s="397"/>
      <c r="AF17" s="407"/>
      <c r="AG17" s="385"/>
      <c r="AH17" s="182">
        <f t="shared" si="1"/>
        <v>876011.75</v>
      </c>
    </row>
    <row r="18" spans="2:34" x14ac:dyDescent="0.25">
      <c r="B18" s="251" t="str">
        <f>_xlfn.XLOOKUP(C18,Planilha3!A:A,Planilha3!B:B)</f>
        <v>Additive</v>
      </c>
      <c r="C18" s="391" t="s">
        <v>119</v>
      </c>
      <c r="D18" s="392">
        <v>0</v>
      </c>
      <c r="E18" s="392"/>
      <c r="F18" s="393">
        <v>2500000</v>
      </c>
      <c r="G18" s="393">
        <v>1706188.3</v>
      </c>
      <c r="H18" s="393">
        <v>793811.7</v>
      </c>
      <c r="I18" s="393">
        <v>315971.7</v>
      </c>
      <c r="J18" s="393">
        <v>0</v>
      </c>
      <c r="K18" s="393">
        <v>0</v>
      </c>
      <c r="L18" s="393">
        <v>0</v>
      </c>
      <c r="M18" s="393">
        <v>0</v>
      </c>
      <c r="N18" s="393">
        <v>0</v>
      </c>
      <c r="O18" s="408">
        <v>0</v>
      </c>
      <c r="P18" s="393">
        <v>315971.7</v>
      </c>
      <c r="Q18" s="393">
        <v>477840</v>
      </c>
      <c r="R18" s="393">
        <v>477840</v>
      </c>
      <c r="S18" s="393">
        <v>0</v>
      </c>
      <c r="T18" s="393">
        <v>0</v>
      </c>
      <c r="U18" s="393">
        <v>0</v>
      </c>
      <c r="V18" s="393">
        <v>0</v>
      </c>
      <c r="W18" s="393">
        <v>0</v>
      </c>
      <c r="X18" s="408">
        <v>0</v>
      </c>
      <c r="Y18" s="393">
        <v>0</v>
      </c>
      <c r="Z18" s="409"/>
      <c r="AA18" s="409"/>
      <c r="AB18" s="393">
        <v>0</v>
      </c>
      <c r="AC18" s="397"/>
      <c r="AD18" s="397"/>
      <c r="AE18" s="397"/>
      <c r="AF18" s="407"/>
      <c r="AG18" s="385"/>
      <c r="AH18" s="182">
        <f t="shared" si="1"/>
        <v>793811.7</v>
      </c>
    </row>
    <row r="19" spans="2:34" x14ac:dyDescent="0.25">
      <c r="B19" s="251" t="str">
        <f>_xlfn.XLOOKUP(C19,Planilha3!A:A,Planilha3!B:B)</f>
        <v>Fertilizer</v>
      </c>
      <c r="C19" s="391" t="s">
        <v>577</v>
      </c>
      <c r="D19" s="392">
        <v>0</v>
      </c>
      <c r="E19" s="392">
        <v>180</v>
      </c>
      <c r="F19" s="393">
        <v>0</v>
      </c>
      <c r="G19" s="393">
        <v>-739540.06</v>
      </c>
      <c r="H19" s="393">
        <v>739540.06</v>
      </c>
      <c r="I19" s="393">
        <v>0</v>
      </c>
      <c r="J19" s="393">
        <v>0</v>
      </c>
      <c r="K19" s="393">
        <v>0</v>
      </c>
      <c r="L19" s="393">
        <v>0</v>
      </c>
      <c r="M19" s="393">
        <v>0</v>
      </c>
      <c r="N19" s="393">
        <v>0</v>
      </c>
      <c r="O19" s="408">
        <v>0</v>
      </c>
      <c r="P19" s="393">
        <v>0</v>
      </c>
      <c r="Q19" s="393">
        <v>739540.06</v>
      </c>
      <c r="R19" s="393">
        <v>0</v>
      </c>
      <c r="S19" s="393">
        <v>0</v>
      </c>
      <c r="T19" s="393">
        <v>0</v>
      </c>
      <c r="U19" s="393">
        <v>0</v>
      </c>
      <c r="V19" s="393">
        <v>739540.06</v>
      </c>
      <c r="W19" s="393">
        <v>0</v>
      </c>
      <c r="X19" s="408">
        <v>0</v>
      </c>
      <c r="Y19" s="393">
        <v>0</v>
      </c>
      <c r="Z19" s="409"/>
      <c r="AA19" s="409"/>
      <c r="AB19" s="393">
        <v>0</v>
      </c>
      <c r="AC19" s="397"/>
      <c r="AD19" s="397"/>
      <c r="AE19" s="397"/>
      <c r="AF19" s="407"/>
      <c r="AG19" s="385"/>
      <c r="AH19" s="182">
        <f t="shared" si="1"/>
        <v>739540.06</v>
      </c>
    </row>
    <row r="20" spans="2:34" x14ac:dyDescent="0.25">
      <c r="B20" s="251" t="str">
        <f>_xlfn.XLOOKUP(C20,Planilha3!A:A,Planilha3!B:B)</f>
        <v>Fertilizer</v>
      </c>
      <c r="C20" s="391" t="s">
        <v>905</v>
      </c>
      <c r="D20" s="392" t="s">
        <v>454</v>
      </c>
      <c r="E20" s="392">
        <v>180</v>
      </c>
      <c r="F20" s="393">
        <v>3000000</v>
      </c>
      <c r="G20" s="393">
        <v>2265046.5299999998</v>
      </c>
      <c r="H20" s="393">
        <v>734953.47000000009</v>
      </c>
      <c r="I20" s="393">
        <v>0</v>
      </c>
      <c r="J20" s="393">
        <v>0</v>
      </c>
      <c r="K20" s="393">
        <v>0</v>
      </c>
      <c r="L20" s="393">
        <v>0</v>
      </c>
      <c r="M20" s="393">
        <v>0</v>
      </c>
      <c r="N20" s="393">
        <v>0</v>
      </c>
      <c r="O20" s="408">
        <v>0</v>
      </c>
      <c r="P20" s="393">
        <v>0</v>
      </c>
      <c r="Q20" s="393">
        <v>734953.47000000009</v>
      </c>
      <c r="R20" s="393">
        <v>0</v>
      </c>
      <c r="S20" s="393">
        <v>662365.68000000005</v>
      </c>
      <c r="T20" s="393">
        <v>72587.789999999994</v>
      </c>
      <c r="U20" s="393">
        <v>0</v>
      </c>
      <c r="V20" s="393">
        <v>0</v>
      </c>
      <c r="W20" s="393">
        <v>0</v>
      </c>
      <c r="X20" s="408">
        <v>0</v>
      </c>
      <c r="Y20" s="393">
        <v>0</v>
      </c>
      <c r="Z20" s="409"/>
      <c r="AA20" s="409"/>
      <c r="AB20" s="393">
        <v>3000000</v>
      </c>
      <c r="AC20" s="397"/>
      <c r="AD20" s="397"/>
      <c r="AE20" s="397"/>
      <c r="AF20" s="407"/>
      <c r="AG20" s="385"/>
      <c r="AH20" s="182">
        <f t="shared" si="1"/>
        <v>0</v>
      </c>
    </row>
    <row r="21" spans="2:34" x14ac:dyDescent="0.25">
      <c r="B21" s="251" t="str">
        <f>_xlfn.XLOOKUP(C21,Planilha3!A:A,Planilha3!B:B)</f>
        <v>Additive</v>
      </c>
      <c r="C21" s="391" t="s">
        <v>774</v>
      </c>
      <c r="D21" s="392" t="s">
        <v>466</v>
      </c>
      <c r="E21" s="392"/>
      <c r="F21" s="393">
        <v>1500000</v>
      </c>
      <c r="G21" s="393">
        <v>792448.4</v>
      </c>
      <c r="H21" s="393">
        <v>707551.6</v>
      </c>
      <c r="I21" s="393">
        <v>0</v>
      </c>
      <c r="J21" s="393">
        <v>0</v>
      </c>
      <c r="K21" s="393">
        <v>0</v>
      </c>
      <c r="L21" s="393">
        <v>0</v>
      </c>
      <c r="M21" s="393">
        <v>0</v>
      </c>
      <c r="N21" s="393">
        <v>0</v>
      </c>
      <c r="O21" s="408">
        <v>0</v>
      </c>
      <c r="P21" s="393">
        <v>0</v>
      </c>
      <c r="Q21" s="393">
        <v>707551.6</v>
      </c>
      <c r="R21" s="393">
        <v>70705.600000000006</v>
      </c>
      <c r="S21" s="393">
        <v>141600</v>
      </c>
      <c r="T21" s="393">
        <v>495246</v>
      </c>
      <c r="U21" s="393">
        <v>0</v>
      </c>
      <c r="V21" s="393">
        <v>0</v>
      </c>
      <c r="W21" s="393">
        <v>0</v>
      </c>
      <c r="X21" s="408">
        <v>0</v>
      </c>
      <c r="Y21" s="393">
        <v>1800</v>
      </c>
      <c r="Z21" s="409"/>
      <c r="AA21" s="409"/>
      <c r="AB21" s="393">
        <v>1500000</v>
      </c>
      <c r="AC21" s="397"/>
      <c r="AD21" s="397"/>
      <c r="AE21" s="397"/>
      <c r="AF21" s="407"/>
      <c r="AG21" s="385"/>
      <c r="AH21" s="182">
        <f t="shared" si="1"/>
        <v>0</v>
      </c>
    </row>
    <row r="22" spans="2:34" x14ac:dyDescent="0.25">
      <c r="B22" s="251" t="str">
        <f>_xlfn.XLOOKUP(C22,Planilha3!A:A,Planilha3!B:B)</f>
        <v>Additive Intl.</v>
      </c>
      <c r="C22" s="391" t="s">
        <v>627</v>
      </c>
      <c r="D22" s="392" t="s">
        <v>466</v>
      </c>
      <c r="E22" s="392"/>
      <c r="F22" s="393">
        <v>1100000</v>
      </c>
      <c r="G22" s="393">
        <v>412311.08999999997</v>
      </c>
      <c r="H22" s="393">
        <v>687688.91</v>
      </c>
      <c r="I22" s="393">
        <v>0</v>
      </c>
      <c r="J22" s="393">
        <v>0</v>
      </c>
      <c r="K22" s="393">
        <v>0</v>
      </c>
      <c r="L22" s="393">
        <v>0</v>
      </c>
      <c r="M22" s="393">
        <v>0</v>
      </c>
      <c r="N22" s="393">
        <v>0</v>
      </c>
      <c r="O22" s="408">
        <v>0</v>
      </c>
      <c r="P22" s="393">
        <v>0</v>
      </c>
      <c r="Q22" s="393">
        <v>687688.91</v>
      </c>
      <c r="R22" s="393">
        <v>0</v>
      </c>
      <c r="S22" s="393">
        <v>687688.91</v>
      </c>
      <c r="T22" s="393">
        <v>0</v>
      </c>
      <c r="U22" s="393">
        <v>0</v>
      </c>
      <c r="V22" s="393">
        <v>0</v>
      </c>
      <c r="W22" s="393">
        <v>0</v>
      </c>
      <c r="X22" s="408">
        <v>0</v>
      </c>
      <c r="Y22" s="393">
        <v>0</v>
      </c>
      <c r="Z22" s="409"/>
      <c r="AA22" s="409"/>
      <c r="AB22" s="393">
        <v>1100000</v>
      </c>
      <c r="AC22" s="397"/>
      <c r="AD22" s="397"/>
      <c r="AE22" s="397"/>
      <c r="AF22" s="407"/>
      <c r="AG22" s="385"/>
      <c r="AH22" s="182">
        <f t="shared" si="1"/>
        <v>0</v>
      </c>
    </row>
    <row r="23" spans="2:34" x14ac:dyDescent="0.25">
      <c r="B23" s="251" t="str">
        <f>_xlfn.XLOOKUP(C23,Planilha3!A:A,Planilha3!B:B)</f>
        <v>Additive</v>
      </c>
      <c r="C23" s="391" t="s">
        <v>573</v>
      </c>
      <c r="D23" s="392" t="s">
        <v>454</v>
      </c>
      <c r="E23" s="392"/>
      <c r="F23" s="393">
        <v>3000000</v>
      </c>
      <c r="G23" s="393">
        <v>2345464.27</v>
      </c>
      <c r="H23" s="393">
        <v>654535.73</v>
      </c>
      <c r="I23" s="393">
        <v>0</v>
      </c>
      <c r="J23" s="393">
        <v>0</v>
      </c>
      <c r="K23" s="393">
        <v>0</v>
      </c>
      <c r="L23" s="393">
        <v>0</v>
      </c>
      <c r="M23" s="393">
        <v>0</v>
      </c>
      <c r="N23" s="393">
        <v>0</v>
      </c>
      <c r="O23" s="408">
        <v>0</v>
      </c>
      <c r="P23" s="393">
        <v>0</v>
      </c>
      <c r="Q23" s="393">
        <v>654535.73</v>
      </c>
      <c r="R23" s="393">
        <v>654535.73</v>
      </c>
      <c r="S23" s="393">
        <v>0</v>
      </c>
      <c r="T23" s="393">
        <v>0</v>
      </c>
      <c r="U23" s="393">
        <v>0</v>
      </c>
      <c r="V23" s="393">
        <v>0</v>
      </c>
      <c r="W23" s="393">
        <v>0</v>
      </c>
      <c r="X23" s="408">
        <v>0</v>
      </c>
      <c r="Y23" s="393">
        <v>0</v>
      </c>
      <c r="Z23" s="409"/>
      <c r="AA23" s="409"/>
      <c r="AB23" s="393">
        <v>3000000</v>
      </c>
      <c r="AC23" s="397"/>
      <c r="AD23" s="397"/>
      <c r="AE23" s="397"/>
      <c r="AF23" s="407"/>
      <c r="AG23" s="385"/>
      <c r="AH23" s="182">
        <f t="shared" si="1"/>
        <v>0</v>
      </c>
    </row>
    <row r="24" spans="2:34" x14ac:dyDescent="0.25">
      <c r="B24" s="251" t="str">
        <f>_xlfn.XLOOKUP(C24,Planilha3!A:A,Planilha3!B:B)</f>
        <v>Additive</v>
      </c>
      <c r="C24" s="391" t="s">
        <v>415</v>
      </c>
      <c r="D24" s="392">
        <v>0</v>
      </c>
      <c r="E24" s="392"/>
      <c r="F24" s="393">
        <v>6900000</v>
      </c>
      <c r="G24" s="393">
        <v>6245984.2999999998</v>
      </c>
      <c r="H24" s="393">
        <v>654015.69999999995</v>
      </c>
      <c r="I24" s="393">
        <v>0</v>
      </c>
      <c r="J24" s="393">
        <v>0</v>
      </c>
      <c r="K24" s="393">
        <v>0</v>
      </c>
      <c r="L24" s="393">
        <v>0</v>
      </c>
      <c r="M24" s="393">
        <v>0</v>
      </c>
      <c r="N24" s="393">
        <v>0</v>
      </c>
      <c r="O24" s="408">
        <v>0</v>
      </c>
      <c r="P24" s="393">
        <v>0</v>
      </c>
      <c r="Q24" s="393">
        <v>654015.69999999995</v>
      </c>
      <c r="R24" s="393">
        <v>654015.69999999995</v>
      </c>
      <c r="S24" s="393">
        <v>0</v>
      </c>
      <c r="T24" s="393">
        <v>0</v>
      </c>
      <c r="U24" s="393">
        <v>0</v>
      </c>
      <c r="V24" s="393">
        <v>0</v>
      </c>
      <c r="W24" s="393">
        <v>0</v>
      </c>
      <c r="X24" s="408">
        <v>0</v>
      </c>
      <c r="Y24" s="393">
        <v>1200</v>
      </c>
      <c r="Z24" s="409"/>
      <c r="AA24" s="409"/>
      <c r="AB24" s="393">
        <v>2315000</v>
      </c>
      <c r="AC24" s="397"/>
      <c r="AD24" s="397"/>
      <c r="AE24" s="397"/>
      <c r="AF24" s="407"/>
      <c r="AG24" s="385"/>
      <c r="AH24" s="182">
        <f t="shared" si="1"/>
        <v>0</v>
      </c>
    </row>
    <row r="25" spans="2:34" x14ac:dyDescent="0.25">
      <c r="B25" s="251" t="str">
        <f>_xlfn.XLOOKUP(C25,Planilha3!A:A,Planilha3!B:B)</f>
        <v>Additive</v>
      </c>
      <c r="C25" s="391" t="s">
        <v>427</v>
      </c>
      <c r="D25" s="392">
        <v>0</v>
      </c>
      <c r="E25" s="392"/>
      <c r="F25" s="393">
        <v>0</v>
      </c>
      <c r="G25" s="393">
        <v>-604009.9</v>
      </c>
      <c r="H25" s="393">
        <v>604009.9</v>
      </c>
      <c r="I25" s="393">
        <v>0</v>
      </c>
      <c r="J25" s="393">
        <v>0</v>
      </c>
      <c r="K25" s="393">
        <v>0</v>
      </c>
      <c r="L25" s="393">
        <v>0</v>
      </c>
      <c r="M25" s="393">
        <v>0</v>
      </c>
      <c r="N25" s="393">
        <v>0</v>
      </c>
      <c r="O25" s="408">
        <v>0</v>
      </c>
      <c r="P25" s="393">
        <v>0</v>
      </c>
      <c r="Q25" s="393">
        <v>604009.9</v>
      </c>
      <c r="R25" s="393">
        <v>281124</v>
      </c>
      <c r="S25" s="393">
        <v>322885.90000000002</v>
      </c>
      <c r="T25" s="393">
        <v>0</v>
      </c>
      <c r="U25" s="393">
        <v>0</v>
      </c>
      <c r="V25" s="393">
        <v>0</v>
      </c>
      <c r="W25" s="393">
        <v>0</v>
      </c>
      <c r="X25" s="408">
        <v>0</v>
      </c>
      <c r="Y25" s="393">
        <v>0</v>
      </c>
      <c r="Z25" s="409"/>
      <c r="AA25" s="409"/>
      <c r="AB25" s="393">
        <v>0</v>
      </c>
      <c r="AC25" s="397"/>
      <c r="AD25" s="397"/>
      <c r="AE25" s="397"/>
      <c r="AF25" s="407"/>
      <c r="AG25" s="385"/>
      <c r="AH25" s="182">
        <f t="shared" si="1"/>
        <v>604009.9</v>
      </c>
    </row>
    <row r="26" spans="2:34" x14ac:dyDescent="0.25">
      <c r="B26" s="251" t="str">
        <f>_xlfn.XLOOKUP(C26,Planilha3!A:A,Planilha3!B:B)</f>
        <v>Additive</v>
      </c>
      <c r="C26" s="391" t="s">
        <v>30</v>
      </c>
      <c r="D26" s="392" t="s">
        <v>454</v>
      </c>
      <c r="E26" s="392"/>
      <c r="F26" s="393">
        <v>2600000</v>
      </c>
      <c r="G26" s="393">
        <v>2082661.8</v>
      </c>
      <c r="H26" s="393">
        <v>517338.2</v>
      </c>
      <c r="I26" s="393">
        <v>0</v>
      </c>
      <c r="J26" s="393">
        <v>0</v>
      </c>
      <c r="K26" s="393">
        <v>0</v>
      </c>
      <c r="L26" s="393">
        <v>0</v>
      </c>
      <c r="M26" s="393">
        <v>0</v>
      </c>
      <c r="N26" s="393">
        <v>0</v>
      </c>
      <c r="O26" s="408">
        <v>0</v>
      </c>
      <c r="P26" s="393">
        <v>0</v>
      </c>
      <c r="Q26" s="393">
        <v>517338.2</v>
      </c>
      <c r="R26" s="393">
        <v>517338.2</v>
      </c>
      <c r="S26" s="393">
        <v>0</v>
      </c>
      <c r="T26" s="393">
        <v>0</v>
      </c>
      <c r="U26" s="393">
        <v>0</v>
      </c>
      <c r="V26" s="393">
        <v>0</v>
      </c>
      <c r="W26" s="393">
        <v>0</v>
      </c>
      <c r="X26" s="408">
        <v>0</v>
      </c>
      <c r="Y26" s="393">
        <v>0</v>
      </c>
      <c r="Z26" s="409"/>
      <c r="AA26" s="409"/>
      <c r="AB26" s="393">
        <v>2600000</v>
      </c>
      <c r="AC26" s="397"/>
      <c r="AD26" s="397"/>
      <c r="AE26" s="397"/>
      <c r="AF26" s="407"/>
      <c r="AG26" s="385"/>
      <c r="AH26" s="182">
        <f t="shared" si="1"/>
        <v>0</v>
      </c>
    </row>
    <row r="27" spans="2:34" x14ac:dyDescent="0.25">
      <c r="B27" s="251" t="str">
        <f>_xlfn.XLOOKUP(C27,Planilha3!A:A,Planilha3!B:B)</f>
        <v>Additive</v>
      </c>
      <c r="C27" s="391" t="s">
        <v>674</v>
      </c>
      <c r="D27" s="392" t="s">
        <v>454</v>
      </c>
      <c r="E27" s="392"/>
      <c r="F27" s="393">
        <v>1500000</v>
      </c>
      <c r="G27" s="393">
        <v>983388.60000000009</v>
      </c>
      <c r="H27" s="393">
        <v>516611.39999999997</v>
      </c>
      <c r="I27" s="393">
        <v>0</v>
      </c>
      <c r="J27" s="393">
        <v>0</v>
      </c>
      <c r="K27" s="393">
        <v>0</v>
      </c>
      <c r="L27" s="393">
        <v>0</v>
      </c>
      <c r="M27" s="393">
        <v>0</v>
      </c>
      <c r="N27" s="393">
        <v>0</v>
      </c>
      <c r="O27" s="408">
        <v>0</v>
      </c>
      <c r="P27" s="393">
        <v>0</v>
      </c>
      <c r="Q27" s="393">
        <v>516611.39999999997</v>
      </c>
      <c r="R27" s="393">
        <v>516611.39999999997</v>
      </c>
      <c r="S27" s="393">
        <v>0</v>
      </c>
      <c r="T27" s="393">
        <v>0</v>
      </c>
      <c r="U27" s="393">
        <v>0</v>
      </c>
      <c r="V27" s="393">
        <v>0</v>
      </c>
      <c r="W27" s="393">
        <v>0</v>
      </c>
      <c r="X27" s="408">
        <v>0</v>
      </c>
      <c r="Y27" s="393">
        <v>0</v>
      </c>
      <c r="Z27" s="409"/>
      <c r="AA27" s="409"/>
      <c r="AB27" s="393">
        <v>1500000</v>
      </c>
      <c r="AC27" s="397"/>
      <c r="AD27" s="397"/>
      <c r="AE27" s="397"/>
      <c r="AF27" s="407"/>
      <c r="AG27" s="385"/>
      <c r="AH27" s="182">
        <f t="shared" si="1"/>
        <v>0</v>
      </c>
    </row>
    <row r="28" spans="2:34" x14ac:dyDescent="0.25">
      <c r="B28" s="251" t="str">
        <f>_xlfn.XLOOKUP(C28,Planilha3!A:A,Planilha3!B:B)</f>
        <v>Fertilizer</v>
      </c>
      <c r="C28" s="391" t="s">
        <v>334</v>
      </c>
      <c r="D28" s="392" t="s">
        <v>461</v>
      </c>
      <c r="E28" s="392"/>
      <c r="F28" s="393">
        <v>500000</v>
      </c>
      <c r="G28" s="393">
        <v>17011</v>
      </c>
      <c r="H28" s="393">
        <v>482989</v>
      </c>
      <c r="I28" s="393">
        <v>0</v>
      </c>
      <c r="J28" s="393">
        <v>0</v>
      </c>
      <c r="K28" s="393">
        <v>0</v>
      </c>
      <c r="L28" s="393">
        <v>0</v>
      </c>
      <c r="M28" s="393">
        <v>0</v>
      </c>
      <c r="N28" s="393">
        <v>0</v>
      </c>
      <c r="O28" s="408">
        <v>0</v>
      </c>
      <c r="P28" s="393">
        <v>0</v>
      </c>
      <c r="Q28" s="393">
        <v>482989</v>
      </c>
      <c r="R28" s="393">
        <v>482989</v>
      </c>
      <c r="S28" s="393">
        <v>0</v>
      </c>
      <c r="T28" s="393">
        <v>0</v>
      </c>
      <c r="U28" s="393">
        <v>0</v>
      </c>
      <c r="V28" s="393">
        <v>0</v>
      </c>
      <c r="W28" s="393">
        <v>0</v>
      </c>
      <c r="X28" s="408">
        <v>0</v>
      </c>
      <c r="Y28" s="393">
        <v>0</v>
      </c>
      <c r="Z28" s="409"/>
      <c r="AA28" s="409"/>
      <c r="AB28" s="393">
        <v>500000</v>
      </c>
      <c r="AC28" s="397"/>
      <c r="AD28" s="397"/>
      <c r="AE28" s="397"/>
      <c r="AF28" s="407"/>
      <c r="AG28" s="385"/>
      <c r="AH28" s="182">
        <f t="shared" si="1"/>
        <v>0</v>
      </c>
    </row>
    <row r="29" spans="2:34" x14ac:dyDescent="0.25">
      <c r="B29" s="251" t="str">
        <f>_xlfn.XLOOKUP(C29,Planilha3!A:A,Planilha3!B:B)</f>
        <v>Additive Intl.</v>
      </c>
      <c r="C29" s="391" t="s">
        <v>127</v>
      </c>
      <c r="D29" s="392">
        <v>0</v>
      </c>
      <c r="E29" s="392"/>
      <c r="F29" s="393">
        <v>0</v>
      </c>
      <c r="G29" s="393">
        <v>-449507.68999999994</v>
      </c>
      <c r="H29" s="393">
        <v>449507.68999999994</v>
      </c>
      <c r="I29" s="393">
        <v>0</v>
      </c>
      <c r="J29" s="393">
        <v>0</v>
      </c>
      <c r="K29" s="393">
        <v>0</v>
      </c>
      <c r="L29" s="393">
        <v>0</v>
      </c>
      <c r="M29" s="393">
        <v>0</v>
      </c>
      <c r="N29" s="393">
        <v>449507.68999999994</v>
      </c>
      <c r="O29" s="408">
        <v>0</v>
      </c>
      <c r="P29" s="393">
        <v>449507.68999999994</v>
      </c>
      <c r="Q29" s="393">
        <v>0</v>
      </c>
      <c r="R29" s="393">
        <v>0</v>
      </c>
      <c r="S29" s="393">
        <v>0</v>
      </c>
      <c r="T29" s="393">
        <v>0</v>
      </c>
      <c r="U29" s="393">
        <v>0</v>
      </c>
      <c r="V29" s="393">
        <v>0</v>
      </c>
      <c r="W29" s="393">
        <v>0</v>
      </c>
      <c r="X29" s="408">
        <v>0</v>
      </c>
      <c r="Y29" s="393">
        <v>13485.2307</v>
      </c>
      <c r="Z29" s="409"/>
      <c r="AA29" s="409"/>
      <c r="AB29" s="393">
        <v>0</v>
      </c>
      <c r="AC29" s="397"/>
      <c r="AD29" s="397"/>
      <c r="AE29" s="397"/>
      <c r="AF29" s="407"/>
      <c r="AG29" s="385"/>
      <c r="AH29" s="182">
        <f t="shared" si="1"/>
        <v>449507.68999999994</v>
      </c>
    </row>
    <row r="30" spans="2:34" x14ac:dyDescent="0.25">
      <c r="B30" s="251" t="str">
        <f>_xlfn.XLOOKUP(C30,Planilha3!A:A,Planilha3!B:B)</f>
        <v>Additive</v>
      </c>
      <c r="C30" s="391" t="s">
        <v>83</v>
      </c>
      <c r="D30" s="392" t="s">
        <v>454</v>
      </c>
      <c r="E30" s="392"/>
      <c r="F30" s="393">
        <v>3000000</v>
      </c>
      <c r="G30" s="393">
        <v>2589143.48</v>
      </c>
      <c r="H30" s="393">
        <v>410856.52</v>
      </c>
      <c r="I30" s="393">
        <v>0</v>
      </c>
      <c r="J30" s="393">
        <v>0</v>
      </c>
      <c r="K30" s="393">
        <v>0</v>
      </c>
      <c r="L30" s="393">
        <v>0</v>
      </c>
      <c r="M30" s="393">
        <v>0</v>
      </c>
      <c r="N30" s="393">
        <v>0</v>
      </c>
      <c r="O30" s="408">
        <v>0</v>
      </c>
      <c r="P30" s="393">
        <v>0</v>
      </c>
      <c r="Q30" s="393">
        <v>410856.52</v>
      </c>
      <c r="R30" s="393">
        <v>0</v>
      </c>
      <c r="S30" s="393">
        <v>410856.52</v>
      </c>
      <c r="T30" s="393">
        <v>0</v>
      </c>
      <c r="U30" s="393">
        <v>0</v>
      </c>
      <c r="V30" s="393">
        <v>0</v>
      </c>
      <c r="W30" s="393">
        <v>0</v>
      </c>
      <c r="X30" s="408">
        <v>0</v>
      </c>
      <c r="Y30" s="393">
        <v>0</v>
      </c>
      <c r="Z30" s="409"/>
      <c r="AA30" s="409"/>
      <c r="AB30" s="393">
        <v>3000000</v>
      </c>
      <c r="AC30" s="397"/>
      <c r="AD30" s="397"/>
      <c r="AE30" s="397"/>
      <c r="AF30" s="407"/>
      <c r="AG30" s="385"/>
      <c r="AH30" s="182">
        <f t="shared" si="1"/>
        <v>0</v>
      </c>
    </row>
    <row r="31" spans="2:34" x14ac:dyDescent="0.25">
      <c r="B31" s="251" t="str">
        <f>_xlfn.XLOOKUP(C31,Planilha3!A:A,Planilha3!B:B)</f>
        <v>Additive</v>
      </c>
      <c r="C31" s="391" t="s">
        <v>528</v>
      </c>
      <c r="D31" s="392">
        <v>0</v>
      </c>
      <c r="E31" s="392"/>
      <c r="F31" s="393">
        <v>10000000</v>
      </c>
      <c r="G31" s="393">
        <v>9590448.5999999996</v>
      </c>
      <c r="H31" s="393">
        <v>409551.4</v>
      </c>
      <c r="I31" s="393">
        <v>0</v>
      </c>
      <c r="J31" s="393">
        <v>0</v>
      </c>
      <c r="K31" s="393">
        <v>0</v>
      </c>
      <c r="L31" s="393">
        <v>0</v>
      </c>
      <c r="M31" s="393">
        <v>0</v>
      </c>
      <c r="N31" s="393">
        <v>0</v>
      </c>
      <c r="O31" s="408">
        <v>0</v>
      </c>
      <c r="P31" s="393">
        <v>0</v>
      </c>
      <c r="Q31" s="393">
        <v>409551.4</v>
      </c>
      <c r="R31" s="393">
        <v>0</v>
      </c>
      <c r="S31" s="393">
        <v>409551.4</v>
      </c>
      <c r="T31" s="393">
        <v>0</v>
      </c>
      <c r="U31" s="393">
        <v>0</v>
      </c>
      <c r="V31" s="393">
        <v>0</v>
      </c>
      <c r="W31" s="393">
        <v>0</v>
      </c>
      <c r="X31" s="408">
        <v>0</v>
      </c>
      <c r="Y31" s="393">
        <v>0</v>
      </c>
      <c r="Z31" s="409"/>
      <c r="AA31" s="409"/>
      <c r="AB31" s="393">
        <v>0</v>
      </c>
      <c r="AC31" s="397"/>
      <c r="AD31" s="397"/>
      <c r="AE31" s="397"/>
      <c r="AF31" s="407"/>
      <c r="AG31" s="385"/>
      <c r="AH31" s="182">
        <f t="shared" si="1"/>
        <v>409551.4</v>
      </c>
    </row>
    <row r="32" spans="2:34" x14ac:dyDescent="0.25">
      <c r="B32" s="251" t="str">
        <f>_xlfn.XLOOKUP(C32,Planilha3!A:A,Planilha3!B:B)</f>
        <v>Additive Intl.</v>
      </c>
      <c r="C32" s="391" t="s">
        <v>354</v>
      </c>
      <c r="D32" s="392" t="s">
        <v>466</v>
      </c>
      <c r="E32" s="392"/>
      <c r="F32" s="393">
        <v>770000</v>
      </c>
      <c r="G32" s="393">
        <v>369912.15</v>
      </c>
      <c r="H32" s="393">
        <v>400087.85</v>
      </c>
      <c r="I32" s="393">
        <v>0</v>
      </c>
      <c r="J32" s="393">
        <v>0</v>
      </c>
      <c r="K32" s="393">
        <v>0</v>
      </c>
      <c r="L32" s="393">
        <v>0</v>
      </c>
      <c r="M32" s="393">
        <v>0</v>
      </c>
      <c r="N32" s="393">
        <v>0</v>
      </c>
      <c r="O32" s="408">
        <v>0</v>
      </c>
      <c r="P32" s="393">
        <v>0</v>
      </c>
      <c r="Q32" s="393">
        <v>400087.85</v>
      </c>
      <c r="R32" s="393">
        <v>224812.61</v>
      </c>
      <c r="S32" s="393">
        <v>175275.24</v>
      </c>
      <c r="T32" s="393">
        <v>0</v>
      </c>
      <c r="U32" s="393">
        <v>0</v>
      </c>
      <c r="V32" s="393">
        <v>0</v>
      </c>
      <c r="W32" s="393">
        <v>0</v>
      </c>
      <c r="X32" s="408">
        <v>0</v>
      </c>
      <c r="Y32" s="393">
        <v>0</v>
      </c>
      <c r="Z32" s="409"/>
      <c r="AA32" s="409"/>
      <c r="AB32" s="393">
        <v>770000</v>
      </c>
      <c r="AC32" s="397"/>
      <c r="AD32" s="397"/>
      <c r="AE32" s="397"/>
      <c r="AF32" s="407"/>
      <c r="AG32" s="385"/>
      <c r="AH32" s="182">
        <f t="shared" si="1"/>
        <v>0</v>
      </c>
    </row>
    <row r="33" spans="2:34" x14ac:dyDescent="0.25">
      <c r="B33" s="251" t="str">
        <f>_xlfn.XLOOKUP(C33,Planilha3!A:A,Planilha3!B:B)</f>
        <v>Additive</v>
      </c>
      <c r="C33" s="391" t="s">
        <v>611</v>
      </c>
      <c r="D33" s="392" t="s">
        <v>454</v>
      </c>
      <c r="E33" s="392"/>
      <c r="F33" s="393">
        <v>700000</v>
      </c>
      <c r="G33" s="393">
        <v>304735</v>
      </c>
      <c r="H33" s="393">
        <v>395265</v>
      </c>
      <c r="I33" s="393">
        <v>0</v>
      </c>
      <c r="J33" s="393">
        <v>0</v>
      </c>
      <c r="K33" s="393">
        <v>0</v>
      </c>
      <c r="L33" s="393">
        <v>0</v>
      </c>
      <c r="M33" s="393">
        <v>0</v>
      </c>
      <c r="N33" s="393">
        <v>0</v>
      </c>
      <c r="O33" s="408">
        <v>0</v>
      </c>
      <c r="P33" s="393">
        <v>0</v>
      </c>
      <c r="Q33" s="393">
        <v>395265</v>
      </c>
      <c r="R33" s="393">
        <v>134855</v>
      </c>
      <c r="S33" s="393">
        <v>168735</v>
      </c>
      <c r="T33" s="393">
        <v>91675</v>
      </c>
      <c r="U33" s="393">
        <v>0</v>
      </c>
      <c r="V33" s="393">
        <v>0</v>
      </c>
      <c r="W33" s="393">
        <v>0</v>
      </c>
      <c r="X33" s="408">
        <v>0</v>
      </c>
      <c r="Y33" s="393">
        <v>0</v>
      </c>
      <c r="Z33" s="409"/>
      <c r="AA33" s="409"/>
      <c r="AB33" s="393">
        <v>700000</v>
      </c>
      <c r="AC33" s="397"/>
      <c r="AD33" s="397"/>
      <c r="AE33" s="397"/>
      <c r="AF33" s="407"/>
      <c r="AG33" s="385"/>
      <c r="AH33" s="182">
        <f t="shared" si="1"/>
        <v>0</v>
      </c>
    </row>
    <row r="34" spans="2:34" x14ac:dyDescent="0.25">
      <c r="B34" s="251" t="str">
        <f>_xlfn.XLOOKUP(C34,Planilha3!A:A,Planilha3!B:B)</f>
        <v>Additive Intl.</v>
      </c>
      <c r="C34" s="391" t="s">
        <v>294</v>
      </c>
      <c r="D34" s="392" t="s">
        <v>454</v>
      </c>
      <c r="E34" s="392"/>
      <c r="F34" s="393">
        <v>550000</v>
      </c>
      <c r="G34" s="393">
        <v>199990.55000000005</v>
      </c>
      <c r="H34" s="393">
        <v>350009.44999999995</v>
      </c>
      <c r="I34" s="393">
        <v>0</v>
      </c>
      <c r="J34" s="393">
        <v>0</v>
      </c>
      <c r="K34" s="393">
        <v>0</v>
      </c>
      <c r="L34" s="393">
        <v>0</v>
      </c>
      <c r="M34" s="393">
        <v>0</v>
      </c>
      <c r="N34" s="393">
        <v>0</v>
      </c>
      <c r="O34" s="408">
        <v>0</v>
      </c>
      <c r="P34" s="393">
        <v>0</v>
      </c>
      <c r="Q34" s="393">
        <v>350009.44999999995</v>
      </c>
      <c r="R34" s="393">
        <v>350009.44999999995</v>
      </c>
      <c r="S34" s="393">
        <v>0</v>
      </c>
      <c r="T34" s="393">
        <v>0</v>
      </c>
      <c r="U34" s="393">
        <v>0</v>
      </c>
      <c r="V34" s="393">
        <v>0</v>
      </c>
      <c r="W34" s="393">
        <v>0</v>
      </c>
      <c r="X34" s="408">
        <v>0</v>
      </c>
      <c r="Y34" s="393">
        <v>0</v>
      </c>
      <c r="Z34" s="409"/>
      <c r="AA34" s="409"/>
      <c r="AB34" s="393">
        <v>550000</v>
      </c>
      <c r="AC34" s="397"/>
      <c r="AD34" s="397"/>
      <c r="AE34" s="397"/>
      <c r="AF34" s="407"/>
      <c r="AG34" s="385"/>
      <c r="AH34" s="182">
        <f t="shared" si="1"/>
        <v>0</v>
      </c>
    </row>
    <row r="35" spans="2:34" x14ac:dyDescent="0.25">
      <c r="B35" s="251" t="str">
        <f>_xlfn.XLOOKUP(C35,Planilha3!A:A,Planilha3!B:B)</f>
        <v>Fertilizer</v>
      </c>
      <c r="C35" s="391" t="s">
        <v>376</v>
      </c>
      <c r="D35" s="392">
        <v>0</v>
      </c>
      <c r="E35" s="392"/>
      <c r="F35" s="393">
        <v>0</v>
      </c>
      <c r="G35" s="393">
        <v>-329327.90999999997</v>
      </c>
      <c r="H35" s="393">
        <v>329327.90999999997</v>
      </c>
      <c r="I35" s="393">
        <v>0</v>
      </c>
      <c r="J35" s="393">
        <v>0</v>
      </c>
      <c r="K35" s="393">
        <v>0</v>
      </c>
      <c r="L35" s="393">
        <v>0</v>
      </c>
      <c r="M35" s="393">
        <v>0</v>
      </c>
      <c r="N35" s="393">
        <v>0</v>
      </c>
      <c r="O35" s="408">
        <v>0</v>
      </c>
      <c r="P35" s="393">
        <v>0</v>
      </c>
      <c r="Q35" s="393">
        <v>329327.90999999997</v>
      </c>
      <c r="R35" s="393">
        <v>329327.90999999997</v>
      </c>
      <c r="S35" s="393">
        <v>0</v>
      </c>
      <c r="T35" s="393">
        <v>0</v>
      </c>
      <c r="U35" s="393">
        <v>0</v>
      </c>
      <c r="V35" s="393">
        <v>0</v>
      </c>
      <c r="W35" s="393">
        <v>0</v>
      </c>
      <c r="X35" s="408">
        <v>0</v>
      </c>
      <c r="Y35" s="393">
        <v>0</v>
      </c>
      <c r="Z35" s="409"/>
      <c r="AA35" s="409"/>
      <c r="AB35" s="393">
        <v>0</v>
      </c>
      <c r="AC35" s="397"/>
      <c r="AD35" s="397"/>
      <c r="AE35" s="397"/>
      <c r="AF35" s="407"/>
      <c r="AG35" s="385"/>
      <c r="AH35" s="182">
        <f t="shared" si="1"/>
        <v>329327.90999999997</v>
      </c>
    </row>
    <row r="36" spans="2:34" x14ac:dyDescent="0.25">
      <c r="B36" s="251" t="str">
        <f>_xlfn.XLOOKUP(C36,Planilha3!A:A,Planilha3!B:B)</f>
        <v>Fertilizer</v>
      </c>
      <c r="C36" s="391" t="s">
        <v>431</v>
      </c>
      <c r="D36" s="392" t="s">
        <v>454</v>
      </c>
      <c r="E36" s="392">
        <v>270</v>
      </c>
      <c r="F36" s="393">
        <v>1500000</v>
      </c>
      <c r="G36" s="393">
        <v>1193272.8799999999</v>
      </c>
      <c r="H36" s="393">
        <v>306727.12</v>
      </c>
      <c r="I36" s="393">
        <v>0</v>
      </c>
      <c r="J36" s="393">
        <v>0</v>
      </c>
      <c r="K36" s="393">
        <v>0</v>
      </c>
      <c r="L36" s="393">
        <v>0</v>
      </c>
      <c r="M36" s="393">
        <v>0</v>
      </c>
      <c r="N36" s="393">
        <v>0</v>
      </c>
      <c r="O36" s="408">
        <v>0</v>
      </c>
      <c r="P36" s="393">
        <v>0</v>
      </c>
      <c r="Q36" s="393">
        <v>306727.12</v>
      </c>
      <c r="R36" s="393">
        <v>306727.12</v>
      </c>
      <c r="S36" s="393">
        <v>0</v>
      </c>
      <c r="T36" s="393">
        <v>0</v>
      </c>
      <c r="U36" s="393">
        <v>0</v>
      </c>
      <c r="V36" s="393">
        <v>0</v>
      </c>
      <c r="W36" s="393">
        <v>0</v>
      </c>
      <c r="X36" s="408">
        <v>0</v>
      </c>
      <c r="Y36" s="393">
        <v>0</v>
      </c>
      <c r="Z36" s="409"/>
      <c r="AA36" s="409"/>
      <c r="AB36" s="393">
        <v>1000000</v>
      </c>
      <c r="AC36" s="397"/>
      <c r="AD36" s="397"/>
      <c r="AE36" s="397"/>
      <c r="AF36" s="407"/>
      <c r="AG36" s="385"/>
      <c r="AH36" s="182">
        <f t="shared" si="1"/>
        <v>0</v>
      </c>
    </row>
    <row r="37" spans="2:34" x14ac:dyDescent="0.25">
      <c r="B37" s="251" t="str">
        <f>_xlfn.XLOOKUP(C37,Planilha3!A:A,Planilha3!B:B)</f>
        <v>Fertilizer</v>
      </c>
      <c r="C37" s="391" t="s">
        <v>549</v>
      </c>
      <c r="D37" s="392" t="s">
        <v>454</v>
      </c>
      <c r="E37" s="392">
        <v>180</v>
      </c>
      <c r="F37" s="393">
        <v>4000000</v>
      </c>
      <c r="G37" s="393">
        <v>3700357.92</v>
      </c>
      <c r="H37" s="393">
        <v>299642.08</v>
      </c>
      <c r="I37" s="393">
        <v>0</v>
      </c>
      <c r="J37" s="393">
        <v>0</v>
      </c>
      <c r="K37" s="393">
        <v>0</v>
      </c>
      <c r="L37" s="393">
        <v>0</v>
      </c>
      <c r="M37" s="393">
        <v>0</v>
      </c>
      <c r="N37" s="393">
        <v>0</v>
      </c>
      <c r="O37" s="408">
        <v>0</v>
      </c>
      <c r="P37" s="393">
        <v>0</v>
      </c>
      <c r="Q37" s="393">
        <v>299642.08</v>
      </c>
      <c r="R37" s="393">
        <v>0</v>
      </c>
      <c r="S37" s="393">
        <v>0</v>
      </c>
      <c r="T37" s="393">
        <v>0</v>
      </c>
      <c r="U37" s="393">
        <v>0</v>
      </c>
      <c r="V37" s="393">
        <v>0</v>
      </c>
      <c r="W37" s="393">
        <v>299642.08</v>
      </c>
      <c r="X37" s="408">
        <v>0</v>
      </c>
      <c r="Y37" s="393">
        <v>0</v>
      </c>
      <c r="Z37" s="409"/>
      <c r="AA37" s="409"/>
      <c r="AB37" s="393">
        <v>1000000</v>
      </c>
      <c r="AC37" s="397"/>
      <c r="AD37" s="397"/>
      <c r="AE37" s="397"/>
      <c r="AF37" s="407"/>
      <c r="AG37" s="385"/>
      <c r="AH37" s="182">
        <f t="shared" si="1"/>
        <v>0</v>
      </c>
    </row>
    <row r="38" spans="2:34" x14ac:dyDescent="0.25">
      <c r="B38" s="251" t="str">
        <f>_xlfn.XLOOKUP(C38,Planilha3!A:A,Planilha3!B:B)</f>
        <v>Additive</v>
      </c>
      <c r="C38" s="391" t="s">
        <v>721</v>
      </c>
      <c r="D38" s="392">
        <v>0</v>
      </c>
      <c r="E38" s="392"/>
      <c r="F38" s="393">
        <v>0</v>
      </c>
      <c r="G38" s="393">
        <v>-290220</v>
      </c>
      <c r="H38" s="393">
        <v>290220</v>
      </c>
      <c r="I38" s="393">
        <v>0</v>
      </c>
      <c r="J38" s="393">
        <v>0</v>
      </c>
      <c r="K38" s="393">
        <v>0</v>
      </c>
      <c r="L38" s="393">
        <v>0</v>
      </c>
      <c r="M38" s="393">
        <v>0</v>
      </c>
      <c r="N38" s="393">
        <v>0</v>
      </c>
      <c r="O38" s="408">
        <v>0</v>
      </c>
      <c r="P38" s="393">
        <v>0</v>
      </c>
      <c r="Q38" s="393">
        <v>290220</v>
      </c>
      <c r="R38" s="393">
        <v>290220</v>
      </c>
      <c r="S38" s="393">
        <v>0</v>
      </c>
      <c r="T38" s="393">
        <v>0</v>
      </c>
      <c r="U38" s="393">
        <v>0</v>
      </c>
      <c r="V38" s="393">
        <v>0</v>
      </c>
      <c r="W38" s="393">
        <v>0</v>
      </c>
      <c r="X38" s="408">
        <v>0</v>
      </c>
      <c r="Y38" s="393">
        <v>0</v>
      </c>
      <c r="Z38" s="409"/>
      <c r="AA38" s="409"/>
      <c r="AB38" s="393">
        <v>0</v>
      </c>
      <c r="AC38" s="397"/>
      <c r="AD38" s="397"/>
      <c r="AE38" s="397"/>
      <c r="AF38" s="407"/>
      <c r="AG38" s="385"/>
      <c r="AH38" s="182">
        <f t="shared" si="1"/>
        <v>290220</v>
      </c>
    </row>
    <row r="39" spans="2:34" x14ac:dyDescent="0.25">
      <c r="B39" s="251" t="str">
        <f>_xlfn.XLOOKUP(C39,Planilha3!A:A,Planilha3!B:B)</f>
        <v>Additive Intl.</v>
      </c>
      <c r="C39" s="391" t="s">
        <v>381</v>
      </c>
      <c r="D39" s="392" t="s">
        <v>454</v>
      </c>
      <c r="E39" s="392"/>
      <c r="F39" s="393">
        <v>990000</v>
      </c>
      <c r="G39" s="393">
        <v>727686.99</v>
      </c>
      <c r="H39" s="393">
        <v>262313.01</v>
      </c>
      <c r="I39" s="393">
        <v>0</v>
      </c>
      <c r="J39" s="393">
        <v>0</v>
      </c>
      <c r="K39" s="393">
        <v>0</v>
      </c>
      <c r="L39" s="393">
        <v>0</v>
      </c>
      <c r="M39" s="393">
        <v>0</v>
      </c>
      <c r="N39" s="393">
        <v>0</v>
      </c>
      <c r="O39" s="408">
        <v>0</v>
      </c>
      <c r="P39" s="393">
        <v>0</v>
      </c>
      <c r="Q39" s="393">
        <v>262313.01</v>
      </c>
      <c r="R39" s="393">
        <v>262313.01</v>
      </c>
      <c r="S39" s="393">
        <v>0</v>
      </c>
      <c r="T39" s="393">
        <v>0</v>
      </c>
      <c r="U39" s="393">
        <v>0</v>
      </c>
      <c r="V39" s="393">
        <v>0</v>
      </c>
      <c r="W39" s="393">
        <v>0</v>
      </c>
      <c r="X39" s="408">
        <v>0</v>
      </c>
      <c r="Y39" s="393">
        <v>0</v>
      </c>
      <c r="Z39" s="409"/>
      <c r="AA39" s="409"/>
      <c r="AB39" s="393">
        <v>990000</v>
      </c>
      <c r="AC39" s="397"/>
      <c r="AD39" s="397"/>
      <c r="AE39" s="397"/>
      <c r="AF39" s="407"/>
      <c r="AG39" s="385"/>
      <c r="AH39" s="182">
        <f t="shared" si="1"/>
        <v>0</v>
      </c>
    </row>
    <row r="40" spans="2:34" x14ac:dyDescent="0.25">
      <c r="B40" s="251" t="str">
        <f>_xlfn.XLOOKUP(C40,Planilha3!A:A,Planilha3!B:B)</f>
        <v>Additive Intl.</v>
      </c>
      <c r="C40" s="391" t="s">
        <v>402</v>
      </c>
      <c r="D40" s="392" t="s">
        <v>466</v>
      </c>
      <c r="E40" s="392"/>
      <c r="F40" s="393">
        <v>660000</v>
      </c>
      <c r="G40" s="393">
        <v>409738.47</v>
      </c>
      <c r="H40" s="393">
        <v>250261.53</v>
      </c>
      <c r="I40" s="393">
        <v>0</v>
      </c>
      <c r="J40" s="393">
        <v>0</v>
      </c>
      <c r="K40" s="393">
        <v>0</v>
      </c>
      <c r="L40" s="393">
        <v>0</v>
      </c>
      <c r="M40" s="393">
        <v>0</v>
      </c>
      <c r="N40" s="393">
        <v>0</v>
      </c>
      <c r="O40" s="408">
        <v>0</v>
      </c>
      <c r="P40" s="393">
        <v>0</v>
      </c>
      <c r="Q40" s="393">
        <v>250261.53</v>
      </c>
      <c r="R40" s="393">
        <v>0</v>
      </c>
      <c r="S40" s="393">
        <v>250261.53</v>
      </c>
      <c r="T40" s="393">
        <v>0</v>
      </c>
      <c r="U40" s="393">
        <v>0</v>
      </c>
      <c r="V40" s="393">
        <v>0</v>
      </c>
      <c r="W40" s="393">
        <v>0</v>
      </c>
      <c r="X40" s="408">
        <v>0</v>
      </c>
      <c r="Y40" s="393">
        <v>0</v>
      </c>
      <c r="Z40" s="409"/>
      <c r="AA40" s="409"/>
      <c r="AB40" s="393">
        <v>660000</v>
      </c>
      <c r="AC40" s="397"/>
      <c r="AD40" s="397"/>
      <c r="AE40" s="397"/>
      <c r="AF40" s="407"/>
      <c r="AG40" s="385"/>
      <c r="AH40" s="182">
        <f t="shared" si="1"/>
        <v>0</v>
      </c>
    </row>
    <row r="41" spans="2:34" x14ac:dyDescent="0.25">
      <c r="B41" s="251" t="str">
        <f>_xlfn.XLOOKUP(C41,Planilha3!A:A,Planilha3!B:B)</f>
        <v>Additive</v>
      </c>
      <c r="C41" s="391" t="s">
        <v>526</v>
      </c>
      <c r="D41" s="392" t="s">
        <v>454</v>
      </c>
      <c r="E41" s="392"/>
      <c r="F41" s="393">
        <v>3000000</v>
      </c>
      <c r="G41" s="393">
        <v>2751102.39</v>
      </c>
      <c r="H41" s="393">
        <v>248897.61</v>
      </c>
      <c r="I41" s="393">
        <v>0</v>
      </c>
      <c r="J41" s="393">
        <v>0</v>
      </c>
      <c r="K41" s="393">
        <v>0</v>
      </c>
      <c r="L41" s="393">
        <v>0</v>
      </c>
      <c r="M41" s="393">
        <v>0</v>
      </c>
      <c r="N41" s="393">
        <v>0</v>
      </c>
      <c r="O41" s="408">
        <v>0</v>
      </c>
      <c r="P41" s="393">
        <v>0</v>
      </c>
      <c r="Q41" s="393">
        <v>248897.61</v>
      </c>
      <c r="R41" s="393">
        <v>152127.6</v>
      </c>
      <c r="S41" s="393">
        <v>0</v>
      </c>
      <c r="T41" s="393">
        <v>0</v>
      </c>
      <c r="U41" s="393">
        <v>0</v>
      </c>
      <c r="V41" s="393">
        <v>0</v>
      </c>
      <c r="W41" s="393">
        <v>0</v>
      </c>
      <c r="X41" s="408">
        <v>96770.01</v>
      </c>
      <c r="Y41" s="393">
        <v>0</v>
      </c>
      <c r="Z41" s="409"/>
      <c r="AA41" s="409"/>
      <c r="AB41" s="393">
        <v>0</v>
      </c>
      <c r="AC41" s="397"/>
      <c r="AD41" s="397"/>
      <c r="AE41" s="397"/>
      <c r="AF41" s="407"/>
      <c r="AG41" s="385"/>
      <c r="AH41" s="182">
        <f t="shared" si="1"/>
        <v>248897.61</v>
      </c>
    </row>
    <row r="42" spans="2:34" x14ac:dyDescent="0.25">
      <c r="B42" s="251" t="str">
        <f>_xlfn.XLOOKUP(C42,Planilha3!A:A,Planilha3!B:B)</f>
        <v>Additive</v>
      </c>
      <c r="C42" s="391" t="s">
        <v>729</v>
      </c>
      <c r="D42" s="392" t="s">
        <v>454</v>
      </c>
      <c r="E42" s="392"/>
      <c r="F42" s="393">
        <v>850000</v>
      </c>
      <c r="G42" s="393">
        <v>605968</v>
      </c>
      <c r="H42" s="393">
        <v>244032</v>
      </c>
      <c r="I42" s="393">
        <v>0</v>
      </c>
      <c r="J42" s="393">
        <v>0</v>
      </c>
      <c r="K42" s="393">
        <v>0</v>
      </c>
      <c r="L42" s="393">
        <v>0</v>
      </c>
      <c r="M42" s="393">
        <v>0</v>
      </c>
      <c r="N42" s="393">
        <v>0</v>
      </c>
      <c r="O42" s="408">
        <v>0</v>
      </c>
      <c r="P42" s="393">
        <v>0</v>
      </c>
      <c r="Q42" s="393">
        <v>244032</v>
      </c>
      <c r="R42" s="393">
        <v>121852</v>
      </c>
      <c r="S42" s="393">
        <v>122180</v>
      </c>
      <c r="T42" s="393">
        <v>0</v>
      </c>
      <c r="U42" s="393">
        <v>0</v>
      </c>
      <c r="V42" s="393">
        <v>0</v>
      </c>
      <c r="W42" s="393">
        <v>0</v>
      </c>
      <c r="X42" s="408">
        <v>0</v>
      </c>
      <c r="Y42" s="393">
        <v>0</v>
      </c>
      <c r="Z42" s="409"/>
      <c r="AA42" s="409"/>
      <c r="AB42" s="393">
        <v>850000</v>
      </c>
      <c r="AC42" s="397"/>
      <c r="AD42" s="397"/>
      <c r="AE42" s="397"/>
      <c r="AF42" s="407"/>
      <c r="AG42" s="385"/>
      <c r="AH42" s="182">
        <f t="shared" si="1"/>
        <v>0</v>
      </c>
    </row>
    <row r="43" spans="2:34" x14ac:dyDescent="0.25">
      <c r="B43" s="251" t="str">
        <f>_xlfn.XLOOKUP(C43,Planilha3!A:A,Planilha3!B:B)</f>
        <v>Additive</v>
      </c>
      <c r="C43" s="391" t="s">
        <v>572</v>
      </c>
      <c r="D43" s="392" t="s">
        <v>454</v>
      </c>
      <c r="E43" s="392"/>
      <c r="F43" s="393">
        <v>1500000</v>
      </c>
      <c r="G43" s="393">
        <v>1256487</v>
      </c>
      <c r="H43" s="393">
        <v>243513</v>
      </c>
      <c r="I43" s="393">
        <v>0</v>
      </c>
      <c r="J43" s="393">
        <v>0</v>
      </c>
      <c r="K43" s="393">
        <v>0</v>
      </c>
      <c r="L43" s="393">
        <v>0</v>
      </c>
      <c r="M43" s="393">
        <v>0</v>
      </c>
      <c r="N43" s="393">
        <v>0</v>
      </c>
      <c r="O43" s="408">
        <v>0</v>
      </c>
      <c r="P43" s="393">
        <v>0</v>
      </c>
      <c r="Q43" s="393">
        <v>243513</v>
      </c>
      <c r="R43" s="393">
        <v>243513</v>
      </c>
      <c r="S43" s="393">
        <v>0</v>
      </c>
      <c r="T43" s="393">
        <v>0</v>
      </c>
      <c r="U43" s="393">
        <v>0</v>
      </c>
      <c r="V43" s="393">
        <v>0</v>
      </c>
      <c r="W43" s="393">
        <v>0</v>
      </c>
      <c r="X43" s="408">
        <v>0</v>
      </c>
      <c r="Y43" s="393">
        <v>0</v>
      </c>
      <c r="Z43" s="409"/>
      <c r="AA43" s="409"/>
      <c r="AB43" s="393">
        <v>1500000</v>
      </c>
      <c r="AC43" s="397"/>
      <c r="AD43" s="397"/>
      <c r="AE43" s="397"/>
      <c r="AF43" s="407"/>
      <c r="AG43" s="385"/>
      <c r="AH43" s="182">
        <f t="shared" si="1"/>
        <v>0</v>
      </c>
    </row>
    <row r="44" spans="2:34" x14ac:dyDescent="0.25">
      <c r="B44" s="251" t="str">
        <f>_xlfn.XLOOKUP(C44,Planilha3!A:A,Planilha3!B:B)</f>
        <v>Fertilizer / Litigation</v>
      </c>
      <c r="C44" s="391" t="s">
        <v>426</v>
      </c>
      <c r="D44" s="392">
        <v>0</v>
      </c>
      <c r="E44" s="392"/>
      <c r="F44" s="393">
        <v>0</v>
      </c>
      <c r="G44" s="393">
        <v>-237309.12</v>
      </c>
      <c r="H44" s="393">
        <v>237309.12</v>
      </c>
      <c r="I44" s="393">
        <v>0</v>
      </c>
      <c r="J44" s="393">
        <v>0</v>
      </c>
      <c r="K44" s="393">
        <v>0</v>
      </c>
      <c r="L44" s="393">
        <v>0</v>
      </c>
      <c r="M44" s="393">
        <v>0</v>
      </c>
      <c r="N44" s="393">
        <v>0</v>
      </c>
      <c r="O44" s="408">
        <v>237309.12</v>
      </c>
      <c r="P44" s="393">
        <v>237309.12</v>
      </c>
      <c r="Q44" s="393">
        <v>0</v>
      </c>
      <c r="R44" s="393">
        <v>0</v>
      </c>
      <c r="S44" s="393">
        <v>0</v>
      </c>
      <c r="T44" s="393">
        <v>0</v>
      </c>
      <c r="U44" s="393">
        <v>0</v>
      </c>
      <c r="V44" s="393">
        <v>0</v>
      </c>
      <c r="W44" s="393">
        <v>0</v>
      </c>
      <c r="X44" s="408">
        <v>0</v>
      </c>
      <c r="Y44" s="393">
        <v>237309.12</v>
      </c>
      <c r="Z44" s="409"/>
      <c r="AA44" s="409"/>
      <c r="AB44" s="393">
        <v>0</v>
      </c>
      <c r="AC44" s="397"/>
      <c r="AD44" s="397"/>
      <c r="AE44" s="397"/>
      <c r="AF44" s="407"/>
      <c r="AG44" s="385"/>
      <c r="AH44" s="182">
        <f t="shared" si="1"/>
        <v>237309.12</v>
      </c>
    </row>
    <row r="45" spans="2:34" x14ac:dyDescent="0.25">
      <c r="B45" s="251" t="str">
        <f>_xlfn.XLOOKUP(C45,Planilha3!A:A,Planilha3!B:B)</f>
        <v>Additive / Litigation</v>
      </c>
      <c r="C45" s="391" t="s">
        <v>53</v>
      </c>
      <c r="D45" s="392">
        <v>0</v>
      </c>
      <c r="E45" s="392"/>
      <c r="F45" s="393">
        <v>0</v>
      </c>
      <c r="G45" s="393">
        <v>-226233.60000000001</v>
      </c>
      <c r="H45" s="393">
        <v>226233.60000000001</v>
      </c>
      <c r="I45" s="393">
        <v>0</v>
      </c>
      <c r="J45" s="393">
        <v>0</v>
      </c>
      <c r="K45" s="393">
        <v>0</v>
      </c>
      <c r="L45" s="393">
        <v>0</v>
      </c>
      <c r="M45" s="393">
        <v>0</v>
      </c>
      <c r="N45" s="393">
        <v>0</v>
      </c>
      <c r="O45" s="408">
        <v>226233.60000000001</v>
      </c>
      <c r="P45" s="393">
        <v>226233.60000000001</v>
      </c>
      <c r="Q45" s="393">
        <v>0</v>
      </c>
      <c r="R45" s="393">
        <v>0</v>
      </c>
      <c r="S45" s="393">
        <v>0</v>
      </c>
      <c r="T45" s="393">
        <v>0</v>
      </c>
      <c r="U45" s="393">
        <v>0</v>
      </c>
      <c r="V45" s="393">
        <v>0</v>
      </c>
      <c r="W45" s="393">
        <v>0</v>
      </c>
      <c r="X45" s="408">
        <v>0</v>
      </c>
      <c r="Y45" s="393">
        <v>226233.60000000001</v>
      </c>
      <c r="Z45" s="409"/>
      <c r="AA45" s="409"/>
      <c r="AB45" s="393">
        <v>0</v>
      </c>
      <c r="AC45" s="397"/>
      <c r="AD45" s="397"/>
      <c r="AE45" s="397"/>
      <c r="AF45" s="407"/>
      <c r="AG45" s="385"/>
      <c r="AH45" s="182">
        <f t="shared" si="1"/>
        <v>226233.60000000001</v>
      </c>
    </row>
    <row r="46" spans="2:34" x14ac:dyDescent="0.25">
      <c r="B46" s="251" t="str">
        <f>_xlfn.XLOOKUP(C46,Planilha3!A:A,Planilha3!B:B)</f>
        <v>Fertilizer</v>
      </c>
      <c r="C46" s="391" t="s">
        <v>377</v>
      </c>
      <c r="D46" s="392" t="s">
        <v>454</v>
      </c>
      <c r="E46" s="392">
        <v>180</v>
      </c>
      <c r="F46" s="393">
        <v>500000</v>
      </c>
      <c r="G46" s="393">
        <v>277191.82999999996</v>
      </c>
      <c r="H46" s="393">
        <v>222808.17</v>
      </c>
      <c r="I46" s="393">
        <v>0</v>
      </c>
      <c r="J46" s="393">
        <v>0</v>
      </c>
      <c r="K46" s="393">
        <v>0</v>
      </c>
      <c r="L46" s="393">
        <v>0</v>
      </c>
      <c r="M46" s="393">
        <v>0</v>
      </c>
      <c r="N46" s="393">
        <v>0</v>
      </c>
      <c r="O46" s="408">
        <v>0</v>
      </c>
      <c r="P46" s="393">
        <v>0</v>
      </c>
      <c r="Q46" s="393">
        <v>222808.17</v>
      </c>
      <c r="R46" s="393">
        <v>222808.17</v>
      </c>
      <c r="S46" s="393">
        <v>0</v>
      </c>
      <c r="T46" s="393">
        <v>0</v>
      </c>
      <c r="U46" s="393">
        <v>0</v>
      </c>
      <c r="V46" s="393">
        <v>0</v>
      </c>
      <c r="W46" s="393">
        <v>0</v>
      </c>
      <c r="X46" s="408">
        <v>0</v>
      </c>
      <c r="Y46" s="393">
        <v>0</v>
      </c>
      <c r="Z46" s="409"/>
      <c r="AA46" s="409"/>
      <c r="AB46" s="393">
        <v>300000</v>
      </c>
      <c r="AC46" s="397"/>
      <c r="AD46" s="397"/>
      <c r="AE46" s="397"/>
      <c r="AF46" s="407"/>
      <c r="AG46" s="385"/>
      <c r="AH46" s="182">
        <f t="shared" si="1"/>
        <v>0</v>
      </c>
    </row>
    <row r="47" spans="2:34" x14ac:dyDescent="0.25">
      <c r="B47" s="251" t="str">
        <f>_xlfn.XLOOKUP(C47,Planilha3!A:A,Planilha3!B:B)</f>
        <v>Additive</v>
      </c>
      <c r="C47" s="391" t="s">
        <v>546</v>
      </c>
      <c r="D47" s="392" t="s">
        <v>454</v>
      </c>
      <c r="E47" s="392"/>
      <c r="F47" s="393">
        <v>200000</v>
      </c>
      <c r="G47" s="393">
        <v>-15702.859999999986</v>
      </c>
      <c r="H47" s="393">
        <v>215702.86</v>
      </c>
      <c r="I47" s="393">
        <v>0</v>
      </c>
      <c r="J47" s="393">
        <v>0</v>
      </c>
      <c r="K47" s="393">
        <v>0</v>
      </c>
      <c r="L47" s="393">
        <v>0</v>
      </c>
      <c r="M47" s="393">
        <v>0</v>
      </c>
      <c r="N47" s="393">
        <v>0</v>
      </c>
      <c r="O47" s="408">
        <v>0</v>
      </c>
      <c r="P47" s="393">
        <v>0</v>
      </c>
      <c r="Q47" s="393">
        <v>215702.86</v>
      </c>
      <c r="R47" s="393">
        <v>107851.43</v>
      </c>
      <c r="S47" s="393">
        <v>107851.43</v>
      </c>
      <c r="T47" s="393">
        <v>0</v>
      </c>
      <c r="U47" s="393">
        <v>0</v>
      </c>
      <c r="V47" s="393">
        <v>0</v>
      </c>
      <c r="W47" s="393">
        <v>0</v>
      </c>
      <c r="X47" s="408">
        <v>0</v>
      </c>
      <c r="Y47" s="393">
        <v>0</v>
      </c>
      <c r="Z47" s="409"/>
      <c r="AA47" s="409"/>
      <c r="AB47" s="393">
        <v>200000</v>
      </c>
      <c r="AC47" s="397"/>
      <c r="AD47" s="397"/>
      <c r="AE47" s="397"/>
      <c r="AF47" s="407"/>
      <c r="AG47" s="385"/>
      <c r="AH47" s="182">
        <f t="shared" si="1"/>
        <v>15702.859999999986</v>
      </c>
    </row>
    <row r="48" spans="2:34" x14ac:dyDescent="0.25">
      <c r="B48" s="251" t="str">
        <f>_xlfn.XLOOKUP(C48,Planilha3!A:A,Planilha3!B:B)</f>
        <v>Additive / Litigation</v>
      </c>
      <c r="C48" s="391" t="s">
        <v>293</v>
      </c>
      <c r="D48" s="392">
        <v>0</v>
      </c>
      <c r="E48" s="392"/>
      <c r="F48" s="393">
        <v>0</v>
      </c>
      <c r="G48" s="393">
        <v>-213750</v>
      </c>
      <c r="H48" s="393">
        <v>213750</v>
      </c>
      <c r="I48" s="393">
        <v>0</v>
      </c>
      <c r="J48" s="393">
        <v>0</v>
      </c>
      <c r="K48" s="393">
        <v>0</v>
      </c>
      <c r="L48" s="393">
        <v>0</v>
      </c>
      <c r="M48" s="393">
        <v>0</v>
      </c>
      <c r="N48" s="393">
        <v>0</v>
      </c>
      <c r="O48" s="408">
        <v>213750</v>
      </c>
      <c r="P48" s="393">
        <v>213750</v>
      </c>
      <c r="Q48" s="393">
        <v>0</v>
      </c>
      <c r="R48" s="393">
        <v>0</v>
      </c>
      <c r="S48" s="393">
        <v>0</v>
      </c>
      <c r="T48" s="393">
        <v>0</v>
      </c>
      <c r="U48" s="393">
        <v>0</v>
      </c>
      <c r="V48" s="393">
        <v>0</v>
      </c>
      <c r="W48" s="393">
        <v>0</v>
      </c>
      <c r="X48" s="408">
        <v>0</v>
      </c>
      <c r="Y48" s="393">
        <v>213750</v>
      </c>
      <c r="Z48" s="409"/>
      <c r="AA48" s="409"/>
      <c r="AB48" s="393">
        <v>0</v>
      </c>
      <c r="AC48" s="397"/>
      <c r="AD48" s="397"/>
      <c r="AE48" s="397"/>
      <c r="AF48" s="407"/>
      <c r="AG48" s="385"/>
      <c r="AH48" s="182">
        <f t="shared" si="1"/>
        <v>213750</v>
      </c>
    </row>
    <row r="49" spans="2:34" x14ac:dyDescent="0.25">
      <c r="B49" s="251" t="str">
        <f>_xlfn.XLOOKUP(C49,Planilha3!A:A,Planilha3!B:B)</f>
        <v>Additive</v>
      </c>
      <c r="C49" s="391" t="s">
        <v>65</v>
      </c>
      <c r="D49" s="392">
        <v>0</v>
      </c>
      <c r="E49" s="392"/>
      <c r="F49" s="393">
        <v>0</v>
      </c>
      <c r="G49" s="393">
        <v>-189028.7</v>
      </c>
      <c r="H49" s="393">
        <v>189028.7</v>
      </c>
      <c r="I49" s="393">
        <v>37491.5</v>
      </c>
      <c r="J49" s="393">
        <v>0</v>
      </c>
      <c r="K49" s="393">
        <v>0</v>
      </c>
      <c r="L49" s="393">
        <v>0</v>
      </c>
      <c r="M49" s="393">
        <v>0</v>
      </c>
      <c r="N49" s="393">
        <v>0</v>
      </c>
      <c r="O49" s="408">
        <v>0</v>
      </c>
      <c r="P49" s="393">
        <v>37491.5</v>
      </c>
      <c r="Q49" s="393">
        <v>151537.20000000001</v>
      </c>
      <c r="R49" s="393">
        <v>75216.800000000003</v>
      </c>
      <c r="S49" s="393">
        <v>76320.399999999994</v>
      </c>
      <c r="T49" s="393">
        <v>0</v>
      </c>
      <c r="U49" s="393">
        <v>0</v>
      </c>
      <c r="V49" s="393">
        <v>0</v>
      </c>
      <c r="W49" s="393">
        <v>0</v>
      </c>
      <c r="X49" s="408">
        <v>0</v>
      </c>
      <c r="Y49" s="393">
        <v>0</v>
      </c>
      <c r="Z49" s="409"/>
      <c r="AA49" s="409"/>
      <c r="AB49" s="393">
        <v>0</v>
      </c>
      <c r="AC49" s="397"/>
      <c r="AD49" s="397"/>
      <c r="AE49" s="397"/>
      <c r="AF49" s="407"/>
      <c r="AG49" s="385"/>
      <c r="AH49" s="182">
        <f t="shared" si="1"/>
        <v>189028.7</v>
      </c>
    </row>
    <row r="50" spans="2:34" x14ac:dyDescent="0.25">
      <c r="B50" s="251" t="str">
        <f>_xlfn.XLOOKUP(C50,Planilha3!A:A,Planilha3!B:B)</f>
        <v>Additive</v>
      </c>
      <c r="C50" s="391" t="s">
        <v>429</v>
      </c>
      <c r="D50" s="392" t="s">
        <v>454</v>
      </c>
      <c r="E50" s="392"/>
      <c r="F50" s="393">
        <v>1000000</v>
      </c>
      <c r="G50" s="393">
        <v>814960</v>
      </c>
      <c r="H50" s="393">
        <v>185040</v>
      </c>
      <c r="I50" s="393">
        <v>0</v>
      </c>
      <c r="J50" s="393">
        <v>0</v>
      </c>
      <c r="K50" s="393">
        <v>0</v>
      </c>
      <c r="L50" s="393">
        <v>0</v>
      </c>
      <c r="M50" s="393">
        <v>0</v>
      </c>
      <c r="N50" s="393">
        <v>0</v>
      </c>
      <c r="O50" s="408">
        <v>0</v>
      </c>
      <c r="P50" s="393">
        <v>0</v>
      </c>
      <c r="Q50" s="393">
        <v>185040</v>
      </c>
      <c r="R50" s="393">
        <v>0</v>
      </c>
      <c r="S50" s="393">
        <v>0</v>
      </c>
      <c r="T50" s="393">
        <v>185040</v>
      </c>
      <c r="U50" s="393">
        <v>0</v>
      </c>
      <c r="V50" s="393">
        <v>0</v>
      </c>
      <c r="W50" s="393">
        <v>0</v>
      </c>
      <c r="X50" s="408">
        <v>0</v>
      </c>
      <c r="Y50" s="393">
        <v>0</v>
      </c>
      <c r="Z50" s="409"/>
      <c r="AA50" s="409"/>
      <c r="AB50" s="393">
        <v>1000000</v>
      </c>
      <c r="AC50" s="397"/>
      <c r="AD50" s="397"/>
      <c r="AE50" s="397"/>
      <c r="AF50" s="407"/>
      <c r="AG50" s="385"/>
      <c r="AH50" s="182">
        <f t="shared" si="1"/>
        <v>0</v>
      </c>
    </row>
    <row r="51" spans="2:34" x14ac:dyDescent="0.25">
      <c r="B51" s="251" t="str">
        <f>_xlfn.XLOOKUP(C51,Planilha3!A:A,Planilha3!B:B)</f>
        <v>Fertilizer</v>
      </c>
      <c r="C51" s="391" t="s">
        <v>379</v>
      </c>
      <c r="D51" s="392">
        <v>0</v>
      </c>
      <c r="E51" s="392">
        <v>180</v>
      </c>
      <c r="F51" s="393">
        <v>0</v>
      </c>
      <c r="G51" s="393">
        <v>-184217.94</v>
      </c>
      <c r="H51" s="393">
        <v>184217.94</v>
      </c>
      <c r="I51" s="393">
        <v>184217.94</v>
      </c>
      <c r="J51" s="393">
        <v>0</v>
      </c>
      <c r="K51" s="393">
        <v>0</v>
      </c>
      <c r="L51" s="393">
        <v>0</v>
      </c>
      <c r="M51" s="393">
        <v>0</v>
      </c>
      <c r="N51" s="393">
        <v>0</v>
      </c>
      <c r="O51" s="408">
        <v>0</v>
      </c>
      <c r="P51" s="393">
        <v>184217.94</v>
      </c>
      <c r="Q51" s="393">
        <v>0</v>
      </c>
      <c r="R51" s="393">
        <v>0</v>
      </c>
      <c r="S51" s="393">
        <v>0</v>
      </c>
      <c r="T51" s="393">
        <v>0</v>
      </c>
      <c r="U51" s="393">
        <v>0</v>
      </c>
      <c r="V51" s="393">
        <v>0</v>
      </c>
      <c r="W51" s="393">
        <v>0</v>
      </c>
      <c r="X51" s="408">
        <v>0</v>
      </c>
      <c r="Y51" s="393">
        <v>0</v>
      </c>
      <c r="Z51" s="409"/>
      <c r="AA51" s="409"/>
      <c r="AB51" s="393">
        <v>0</v>
      </c>
      <c r="AC51" s="397"/>
      <c r="AD51" s="397"/>
      <c r="AE51" s="397"/>
      <c r="AF51" s="407"/>
      <c r="AG51" s="385"/>
      <c r="AH51" s="182">
        <f t="shared" si="1"/>
        <v>184217.94</v>
      </c>
    </row>
    <row r="52" spans="2:34" x14ac:dyDescent="0.25">
      <c r="B52" s="251" t="str">
        <f>_xlfn.XLOOKUP(C52,Planilha3!A:A,Planilha3!B:B)</f>
        <v>Additive Intl.</v>
      </c>
      <c r="C52" s="391" t="s">
        <v>128</v>
      </c>
      <c r="D52" s="392" t="s">
        <v>466</v>
      </c>
      <c r="E52" s="392"/>
      <c r="F52" s="393">
        <v>1375000</v>
      </c>
      <c r="G52" s="393">
        <v>1217850.53</v>
      </c>
      <c r="H52" s="393">
        <v>157149.47</v>
      </c>
      <c r="I52" s="393">
        <v>0</v>
      </c>
      <c r="J52" s="393">
        <v>0</v>
      </c>
      <c r="K52" s="393">
        <v>0</v>
      </c>
      <c r="L52" s="393">
        <v>0</v>
      </c>
      <c r="M52" s="393">
        <v>0</v>
      </c>
      <c r="N52" s="393">
        <v>0</v>
      </c>
      <c r="O52" s="408">
        <v>0</v>
      </c>
      <c r="P52" s="393">
        <v>0</v>
      </c>
      <c r="Q52" s="393">
        <v>157149.47</v>
      </c>
      <c r="R52" s="393">
        <v>157149.47</v>
      </c>
      <c r="S52" s="393">
        <v>0</v>
      </c>
      <c r="T52" s="393">
        <v>0</v>
      </c>
      <c r="U52" s="393">
        <v>0</v>
      </c>
      <c r="V52" s="393">
        <v>0</v>
      </c>
      <c r="W52" s="393">
        <v>0</v>
      </c>
      <c r="X52" s="408">
        <v>0</v>
      </c>
      <c r="Y52" s="393">
        <v>0</v>
      </c>
      <c r="Z52" s="409"/>
      <c r="AA52" s="409"/>
      <c r="AB52" s="393">
        <v>1375000</v>
      </c>
      <c r="AC52" s="397"/>
      <c r="AD52" s="397"/>
      <c r="AE52" s="397"/>
      <c r="AF52" s="407"/>
      <c r="AG52" s="385"/>
      <c r="AH52" s="182">
        <f t="shared" si="1"/>
        <v>0</v>
      </c>
    </row>
    <row r="53" spans="2:34" x14ac:dyDescent="0.25">
      <c r="B53" s="251" t="str">
        <f>_xlfn.XLOOKUP(C53,Planilha3!A:A,Planilha3!B:B)</f>
        <v>Additive</v>
      </c>
      <c r="C53" s="391" t="s">
        <v>413</v>
      </c>
      <c r="D53" s="392" t="s">
        <v>454</v>
      </c>
      <c r="E53" s="392"/>
      <c r="F53" s="393">
        <v>4000000</v>
      </c>
      <c r="G53" s="393">
        <v>3846736.2</v>
      </c>
      <c r="H53" s="393">
        <v>153263.79999999999</v>
      </c>
      <c r="I53" s="393">
        <v>0</v>
      </c>
      <c r="J53" s="393">
        <v>0</v>
      </c>
      <c r="K53" s="393">
        <v>0</v>
      </c>
      <c r="L53" s="393">
        <v>0</v>
      </c>
      <c r="M53" s="393">
        <v>0</v>
      </c>
      <c r="N53" s="393">
        <v>0</v>
      </c>
      <c r="O53" s="408">
        <v>0</v>
      </c>
      <c r="P53" s="393">
        <v>0</v>
      </c>
      <c r="Q53" s="393">
        <v>153263.79999999999</v>
      </c>
      <c r="R53" s="393">
        <v>58917.8</v>
      </c>
      <c r="S53" s="393">
        <v>94346</v>
      </c>
      <c r="T53" s="393">
        <v>0</v>
      </c>
      <c r="U53" s="393">
        <v>0</v>
      </c>
      <c r="V53" s="393">
        <v>0</v>
      </c>
      <c r="W53" s="393">
        <v>0</v>
      </c>
      <c r="X53" s="408">
        <v>0</v>
      </c>
      <c r="Y53" s="393">
        <v>0</v>
      </c>
      <c r="Z53" s="409"/>
      <c r="AA53" s="409"/>
      <c r="AB53" s="393">
        <v>4000000</v>
      </c>
      <c r="AC53" s="397"/>
      <c r="AD53" s="397"/>
      <c r="AE53" s="397"/>
      <c r="AF53" s="407"/>
      <c r="AG53" s="385"/>
      <c r="AH53" s="182">
        <f t="shared" si="1"/>
        <v>0</v>
      </c>
    </row>
    <row r="54" spans="2:34" x14ac:dyDescent="0.25">
      <c r="B54" s="251" t="str">
        <f>_xlfn.XLOOKUP(C54,Planilha3!A:A,Planilha3!B:B)</f>
        <v>Additive Intl.</v>
      </c>
      <c r="C54" s="391" t="s">
        <v>125</v>
      </c>
      <c r="D54" s="392" t="s">
        <v>454</v>
      </c>
      <c r="E54" s="392"/>
      <c r="F54" s="393">
        <v>962500</v>
      </c>
      <c r="G54" s="393">
        <v>812435.17</v>
      </c>
      <c r="H54" s="393">
        <v>150064.82999999999</v>
      </c>
      <c r="I54" s="393">
        <v>0</v>
      </c>
      <c r="J54" s="393">
        <v>0</v>
      </c>
      <c r="K54" s="393">
        <v>0</v>
      </c>
      <c r="L54" s="393">
        <v>0</v>
      </c>
      <c r="M54" s="393">
        <v>0</v>
      </c>
      <c r="N54" s="393">
        <v>0</v>
      </c>
      <c r="O54" s="408">
        <v>0</v>
      </c>
      <c r="P54" s="393">
        <v>0</v>
      </c>
      <c r="Q54" s="393">
        <v>150064.82999999999</v>
      </c>
      <c r="R54" s="393">
        <v>150064.82999999999</v>
      </c>
      <c r="S54" s="393">
        <v>0</v>
      </c>
      <c r="T54" s="393">
        <v>0</v>
      </c>
      <c r="U54" s="393">
        <v>0</v>
      </c>
      <c r="V54" s="393">
        <v>0</v>
      </c>
      <c r="W54" s="393">
        <v>0</v>
      </c>
      <c r="X54" s="408">
        <v>0</v>
      </c>
      <c r="Y54" s="393">
        <v>0</v>
      </c>
      <c r="Z54" s="409"/>
      <c r="AA54" s="409"/>
      <c r="AB54" s="393">
        <v>962500</v>
      </c>
      <c r="AC54" s="390"/>
      <c r="AD54" s="390"/>
      <c r="AE54" s="390"/>
      <c r="AF54" s="406"/>
      <c r="AG54" s="405"/>
      <c r="AH54" s="182">
        <f t="shared" si="1"/>
        <v>0</v>
      </c>
    </row>
    <row r="55" spans="2:34" x14ac:dyDescent="0.25">
      <c r="B55" s="251" t="str">
        <f>_xlfn.XLOOKUP(C55,Planilha3!A:A,Planilha3!B:B)</f>
        <v>Additive Intl.</v>
      </c>
      <c r="C55" s="391" t="s">
        <v>567</v>
      </c>
      <c r="D55" s="392" t="s">
        <v>454</v>
      </c>
      <c r="E55" s="392"/>
      <c r="F55" s="393">
        <v>550000</v>
      </c>
      <c r="G55" s="393">
        <v>412283.08999999997</v>
      </c>
      <c r="H55" s="393">
        <v>137716.91</v>
      </c>
      <c r="I55" s="393">
        <v>0</v>
      </c>
      <c r="J55" s="393">
        <v>0</v>
      </c>
      <c r="K55" s="393">
        <v>0</v>
      </c>
      <c r="L55" s="393">
        <v>0</v>
      </c>
      <c r="M55" s="393">
        <v>0</v>
      </c>
      <c r="N55" s="393">
        <v>0</v>
      </c>
      <c r="O55" s="408">
        <v>0</v>
      </c>
      <c r="P55" s="393">
        <v>0</v>
      </c>
      <c r="Q55" s="393">
        <v>137716.91</v>
      </c>
      <c r="R55" s="393">
        <v>137716.91</v>
      </c>
      <c r="S55" s="393">
        <v>0</v>
      </c>
      <c r="T55" s="393">
        <v>0</v>
      </c>
      <c r="U55" s="393">
        <v>0</v>
      </c>
      <c r="V55" s="393">
        <v>0</v>
      </c>
      <c r="W55" s="393">
        <v>0</v>
      </c>
      <c r="X55" s="408">
        <v>0</v>
      </c>
      <c r="Y55" s="393">
        <v>0</v>
      </c>
      <c r="Z55" s="409"/>
      <c r="AA55" s="409"/>
      <c r="AB55" s="393">
        <v>550000</v>
      </c>
      <c r="AC55" s="397"/>
      <c r="AD55" s="397"/>
      <c r="AE55" s="397"/>
      <c r="AF55" s="407"/>
      <c r="AG55" s="385"/>
      <c r="AH55" s="182">
        <f t="shared" si="1"/>
        <v>0</v>
      </c>
    </row>
    <row r="56" spans="2:34" x14ac:dyDescent="0.25">
      <c r="B56" s="251" t="str">
        <f>_xlfn.XLOOKUP(C56,Planilha3!A:A,Planilha3!B:B)</f>
        <v>Fertilizer</v>
      </c>
      <c r="C56" s="391" t="s">
        <v>432</v>
      </c>
      <c r="D56" s="392">
        <v>0</v>
      </c>
      <c r="E56" s="392"/>
      <c r="F56" s="393">
        <v>1000000</v>
      </c>
      <c r="G56" s="393">
        <v>866282</v>
      </c>
      <c r="H56" s="393">
        <v>133718</v>
      </c>
      <c r="I56" s="393">
        <v>0</v>
      </c>
      <c r="J56" s="393">
        <v>0</v>
      </c>
      <c r="K56" s="393">
        <v>0</v>
      </c>
      <c r="L56" s="393">
        <v>0</v>
      </c>
      <c r="M56" s="393">
        <v>0</v>
      </c>
      <c r="N56" s="393">
        <v>0</v>
      </c>
      <c r="O56" s="408">
        <v>0</v>
      </c>
      <c r="P56" s="393">
        <v>0</v>
      </c>
      <c r="Q56" s="393">
        <v>133718</v>
      </c>
      <c r="R56" s="393">
        <v>133718</v>
      </c>
      <c r="S56" s="393">
        <v>0</v>
      </c>
      <c r="T56" s="393">
        <v>0</v>
      </c>
      <c r="U56" s="393">
        <v>0</v>
      </c>
      <c r="V56" s="393">
        <v>0</v>
      </c>
      <c r="W56" s="393">
        <v>0</v>
      </c>
      <c r="X56" s="408">
        <v>0</v>
      </c>
      <c r="Y56" s="393">
        <v>0</v>
      </c>
      <c r="Z56" s="409"/>
      <c r="AA56" s="409"/>
      <c r="AB56" s="393">
        <v>1000000</v>
      </c>
      <c r="AC56" s="397"/>
      <c r="AD56" s="397"/>
      <c r="AE56" s="397"/>
      <c r="AF56" s="407"/>
      <c r="AG56" s="385"/>
      <c r="AH56" s="182">
        <f t="shared" si="1"/>
        <v>0</v>
      </c>
    </row>
    <row r="57" spans="2:34" x14ac:dyDescent="0.25">
      <c r="B57" s="251" t="str">
        <f>_xlfn.XLOOKUP(C57,Planilha3!A:A,Planilha3!B:B)</f>
        <v>Additive Intl.</v>
      </c>
      <c r="C57" s="391" t="s">
        <v>129</v>
      </c>
      <c r="D57" s="392" t="s">
        <v>466</v>
      </c>
      <c r="E57" s="392"/>
      <c r="F57" s="393">
        <v>687500</v>
      </c>
      <c r="G57" s="393">
        <v>555539.93999999994</v>
      </c>
      <c r="H57" s="393">
        <v>131960.06</v>
      </c>
      <c r="I57" s="393">
        <v>0</v>
      </c>
      <c r="J57" s="393">
        <v>0</v>
      </c>
      <c r="K57" s="393">
        <v>0</v>
      </c>
      <c r="L57" s="393">
        <v>0</v>
      </c>
      <c r="M57" s="393">
        <v>0</v>
      </c>
      <c r="N57" s="393">
        <v>0</v>
      </c>
      <c r="O57" s="408">
        <v>0</v>
      </c>
      <c r="P57" s="393">
        <v>0</v>
      </c>
      <c r="Q57" s="393">
        <v>131960.06</v>
      </c>
      <c r="R57" s="393">
        <v>131960.06</v>
      </c>
      <c r="S57" s="393">
        <v>0</v>
      </c>
      <c r="T57" s="393">
        <v>0</v>
      </c>
      <c r="U57" s="393">
        <v>0</v>
      </c>
      <c r="V57" s="393">
        <v>0</v>
      </c>
      <c r="W57" s="393">
        <v>0</v>
      </c>
      <c r="X57" s="408">
        <v>0</v>
      </c>
      <c r="Y57" s="393">
        <v>0</v>
      </c>
      <c r="Z57" s="409"/>
      <c r="AA57" s="409"/>
      <c r="AB57" s="393">
        <v>687500</v>
      </c>
      <c r="AC57" s="397"/>
      <c r="AD57" s="397"/>
      <c r="AE57" s="397"/>
      <c r="AF57" s="407"/>
      <c r="AG57" s="385"/>
      <c r="AH57" s="182">
        <f t="shared" si="1"/>
        <v>0</v>
      </c>
    </row>
    <row r="58" spans="2:34" x14ac:dyDescent="0.25">
      <c r="B58" s="251" t="str">
        <f>_xlfn.XLOOKUP(C58,Planilha3!A:A,Planilha3!B:B)</f>
        <v>Fertilizer</v>
      </c>
      <c r="C58" s="391" t="s">
        <v>196</v>
      </c>
      <c r="D58" s="392">
        <v>0</v>
      </c>
      <c r="E58" s="392">
        <v>360</v>
      </c>
      <c r="F58" s="393">
        <v>1500000</v>
      </c>
      <c r="G58" s="393">
        <v>1368320</v>
      </c>
      <c r="H58" s="393">
        <v>131680</v>
      </c>
      <c r="I58" s="393">
        <v>0</v>
      </c>
      <c r="J58" s="393">
        <v>0</v>
      </c>
      <c r="K58" s="393">
        <v>0</v>
      </c>
      <c r="L58" s="393">
        <v>0</v>
      </c>
      <c r="M58" s="393">
        <v>0</v>
      </c>
      <c r="N58" s="393">
        <v>0</v>
      </c>
      <c r="O58" s="408">
        <v>0</v>
      </c>
      <c r="P58" s="393">
        <v>0</v>
      </c>
      <c r="Q58" s="393">
        <v>131680</v>
      </c>
      <c r="R58" s="393">
        <v>0</v>
      </c>
      <c r="S58" s="393">
        <v>0</v>
      </c>
      <c r="T58" s="393">
        <v>0</v>
      </c>
      <c r="U58" s="393">
        <v>0</v>
      </c>
      <c r="V58" s="393">
        <v>131680</v>
      </c>
      <c r="W58" s="393">
        <v>0</v>
      </c>
      <c r="X58" s="408">
        <v>0</v>
      </c>
      <c r="Y58" s="393">
        <v>0</v>
      </c>
      <c r="Z58" s="409"/>
      <c r="AA58" s="409"/>
      <c r="AB58" s="393">
        <v>660000</v>
      </c>
      <c r="AC58" s="397"/>
      <c r="AD58" s="397"/>
      <c r="AE58" s="397"/>
      <c r="AF58" s="407"/>
      <c r="AG58" s="385"/>
      <c r="AH58" s="182">
        <f t="shared" si="1"/>
        <v>0</v>
      </c>
    </row>
    <row r="59" spans="2:34" x14ac:dyDescent="0.25">
      <c r="B59" s="251" t="str">
        <f>_xlfn.XLOOKUP(C59,Planilha3!A:A,Planilha3!B:B)</f>
        <v>Additive</v>
      </c>
      <c r="C59" s="391" t="s">
        <v>712</v>
      </c>
      <c r="D59" s="392" t="s">
        <v>454</v>
      </c>
      <c r="E59" s="392"/>
      <c r="F59" s="393">
        <v>3500000</v>
      </c>
      <c r="G59" s="393">
        <v>3394170.6</v>
      </c>
      <c r="H59" s="393">
        <v>105829.4</v>
      </c>
      <c r="I59" s="393">
        <v>0</v>
      </c>
      <c r="J59" s="393">
        <v>0</v>
      </c>
      <c r="K59" s="393">
        <v>0</v>
      </c>
      <c r="L59" s="393">
        <v>0</v>
      </c>
      <c r="M59" s="393">
        <v>0</v>
      </c>
      <c r="N59" s="393">
        <v>0</v>
      </c>
      <c r="O59" s="408">
        <v>0</v>
      </c>
      <c r="P59" s="393">
        <v>0</v>
      </c>
      <c r="Q59" s="393">
        <v>105829.4</v>
      </c>
      <c r="R59" s="393">
        <v>105829.4</v>
      </c>
      <c r="S59" s="393">
        <v>0</v>
      </c>
      <c r="T59" s="393">
        <v>0</v>
      </c>
      <c r="U59" s="393">
        <v>0</v>
      </c>
      <c r="V59" s="393">
        <v>0</v>
      </c>
      <c r="W59" s="393">
        <v>0</v>
      </c>
      <c r="X59" s="408">
        <v>0</v>
      </c>
      <c r="Y59" s="393">
        <v>0</v>
      </c>
      <c r="Z59" s="409"/>
      <c r="AA59" s="409"/>
      <c r="AB59" s="393">
        <v>3500000</v>
      </c>
      <c r="AC59" s="397"/>
      <c r="AD59" s="397"/>
      <c r="AE59" s="397"/>
      <c r="AF59" s="407"/>
      <c r="AG59" s="385"/>
      <c r="AH59" s="182">
        <f t="shared" si="1"/>
        <v>0</v>
      </c>
    </row>
    <row r="60" spans="2:34" x14ac:dyDescent="0.25">
      <c r="B60" s="251" t="str">
        <f>_xlfn.XLOOKUP(C60,Planilha3!A:A,Planilha3!B:B)</f>
        <v>Additive Intl.</v>
      </c>
      <c r="C60" s="391" t="s">
        <v>531</v>
      </c>
      <c r="D60" s="392" t="s">
        <v>454</v>
      </c>
      <c r="E60" s="392"/>
      <c r="F60" s="393">
        <v>1100000</v>
      </c>
      <c r="G60" s="393">
        <v>996580.11</v>
      </c>
      <c r="H60" s="393">
        <v>103419.88999999998</v>
      </c>
      <c r="I60" s="393">
        <v>0</v>
      </c>
      <c r="J60" s="393">
        <v>0</v>
      </c>
      <c r="K60" s="393">
        <v>0</v>
      </c>
      <c r="L60" s="393">
        <v>0</v>
      </c>
      <c r="M60" s="393">
        <v>0</v>
      </c>
      <c r="N60" s="393">
        <v>0</v>
      </c>
      <c r="O60" s="408">
        <v>0</v>
      </c>
      <c r="P60" s="393">
        <v>0</v>
      </c>
      <c r="Q60" s="393">
        <v>103419.88999999998</v>
      </c>
      <c r="R60" s="393">
        <v>103419.88999999998</v>
      </c>
      <c r="S60" s="393">
        <v>0</v>
      </c>
      <c r="T60" s="393">
        <v>0</v>
      </c>
      <c r="U60" s="393">
        <v>0</v>
      </c>
      <c r="V60" s="393">
        <v>0</v>
      </c>
      <c r="W60" s="393">
        <v>0</v>
      </c>
      <c r="X60" s="408">
        <v>0</v>
      </c>
      <c r="Y60" s="393">
        <v>0</v>
      </c>
      <c r="Z60" s="409"/>
      <c r="AA60" s="409"/>
      <c r="AB60" s="393">
        <v>550000</v>
      </c>
      <c r="AC60" s="397"/>
      <c r="AD60" s="397"/>
      <c r="AE60" s="397"/>
      <c r="AF60" s="407"/>
      <c r="AG60" s="385"/>
      <c r="AH60" s="182">
        <f t="shared" si="1"/>
        <v>0</v>
      </c>
    </row>
    <row r="61" spans="2:34" x14ac:dyDescent="0.25">
      <c r="B61" s="251" t="str">
        <f>_xlfn.XLOOKUP(C61,Planilha3!A:A,Planilha3!B:B)</f>
        <v>Additive Intl.</v>
      </c>
      <c r="C61" s="391" t="s">
        <v>392</v>
      </c>
      <c r="D61" s="392" t="s">
        <v>454</v>
      </c>
      <c r="E61" s="392"/>
      <c r="F61" s="393">
        <v>605000</v>
      </c>
      <c r="G61" s="393">
        <v>512638.82</v>
      </c>
      <c r="H61" s="393">
        <v>92361.18</v>
      </c>
      <c r="I61" s="393">
        <v>0</v>
      </c>
      <c r="J61" s="393">
        <v>0</v>
      </c>
      <c r="K61" s="393">
        <v>0</v>
      </c>
      <c r="L61" s="393">
        <v>0</v>
      </c>
      <c r="M61" s="393">
        <v>0</v>
      </c>
      <c r="N61" s="393">
        <v>0</v>
      </c>
      <c r="O61" s="408">
        <v>0</v>
      </c>
      <c r="P61" s="393">
        <v>0</v>
      </c>
      <c r="Q61" s="393">
        <v>92361.18</v>
      </c>
      <c r="R61" s="393">
        <v>0</v>
      </c>
      <c r="S61" s="393">
        <v>92361.18</v>
      </c>
      <c r="T61" s="393">
        <v>0</v>
      </c>
      <c r="U61" s="393">
        <v>0</v>
      </c>
      <c r="V61" s="393">
        <v>0</v>
      </c>
      <c r="W61" s="393">
        <v>0</v>
      </c>
      <c r="X61" s="408">
        <v>0</v>
      </c>
      <c r="Y61" s="393">
        <v>0</v>
      </c>
      <c r="Z61" s="409"/>
      <c r="AA61" s="409"/>
      <c r="AB61" s="393">
        <v>605000</v>
      </c>
      <c r="AC61" s="397"/>
      <c r="AD61" s="397"/>
      <c r="AE61" s="397"/>
      <c r="AF61" s="407"/>
      <c r="AG61" s="385"/>
      <c r="AH61" s="182">
        <f t="shared" si="1"/>
        <v>0</v>
      </c>
    </row>
    <row r="62" spans="2:34" x14ac:dyDescent="0.25">
      <c r="B62" s="251" t="str">
        <f>_xlfn.XLOOKUP(C62,Planilha3!A:A,Planilha3!B:B)</f>
        <v>Additive Intl.</v>
      </c>
      <c r="C62" s="391" t="s">
        <v>304</v>
      </c>
      <c r="D62" s="392" t="s">
        <v>466</v>
      </c>
      <c r="E62" s="392"/>
      <c r="F62" s="393">
        <v>550000</v>
      </c>
      <c r="G62" s="393">
        <v>463310.9</v>
      </c>
      <c r="H62" s="393">
        <v>86689.1</v>
      </c>
      <c r="I62" s="393">
        <v>0</v>
      </c>
      <c r="J62" s="393">
        <v>0</v>
      </c>
      <c r="K62" s="393">
        <v>0</v>
      </c>
      <c r="L62" s="393">
        <v>0</v>
      </c>
      <c r="M62" s="393">
        <v>0</v>
      </c>
      <c r="N62" s="393">
        <v>0</v>
      </c>
      <c r="O62" s="408">
        <v>0</v>
      </c>
      <c r="P62" s="393">
        <v>0</v>
      </c>
      <c r="Q62" s="393">
        <v>86689.1</v>
      </c>
      <c r="R62" s="393">
        <v>86689.1</v>
      </c>
      <c r="S62" s="393">
        <v>0</v>
      </c>
      <c r="T62" s="393">
        <v>0</v>
      </c>
      <c r="U62" s="393">
        <v>0</v>
      </c>
      <c r="V62" s="393">
        <v>0</v>
      </c>
      <c r="W62" s="393">
        <v>0</v>
      </c>
      <c r="X62" s="408">
        <v>0</v>
      </c>
      <c r="Y62" s="393">
        <v>0</v>
      </c>
      <c r="Z62" s="409"/>
      <c r="AA62" s="409"/>
      <c r="AB62" s="393">
        <v>550000</v>
      </c>
      <c r="AC62" s="397"/>
      <c r="AD62" s="397"/>
      <c r="AE62" s="397"/>
      <c r="AF62" s="407"/>
      <c r="AG62" s="385"/>
      <c r="AH62" s="182">
        <f t="shared" si="1"/>
        <v>0</v>
      </c>
    </row>
    <row r="63" spans="2:34" x14ac:dyDescent="0.25">
      <c r="B63" s="251" t="str">
        <f>_xlfn.XLOOKUP(C63,Planilha3!A:A,Planilha3!B:B)</f>
        <v>Additive</v>
      </c>
      <c r="C63" s="391" t="s">
        <v>485</v>
      </c>
      <c r="D63" s="392" t="s">
        <v>454</v>
      </c>
      <c r="E63" s="392"/>
      <c r="F63" s="393">
        <v>2500000</v>
      </c>
      <c r="G63" s="393">
        <v>2419920.7000000002</v>
      </c>
      <c r="H63" s="393">
        <v>80079.3</v>
      </c>
      <c r="I63" s="393">
        <v>0</v>
      </c>
      <c r="J63" s="393">
        <v>0</v>
      </c>
      <c r="K63" s="393">
        <v>0</v>
      </c>
      <c r="L63" s="393">
        <v>0</v>
      </c>
      <c r="M63" s="393">
        <v>0</v>
      </c>
      <c r="N63" s="393">
        <v>0</v>
      </c>
      <c r="O63" s="408">
        <v>0</v>
      </c>
      <c r="P63" s="393">
        <v>0</v>
      </c>
      <c r="Q63" s="393">
        <v>80079.3</v>
      </c>
      <c r="R63" s="393">
        <v>80079.3</v>
      </c>
      <c r="S63" s="393">
        <v>0</v>
      </c>
      <c r="T63" s="393">
        <v>0</v>
      </c>
      <c r="U63" s="393">
        <v>0</v>
      </c>
      <c r="V63" s="393">
        <v>0</v>
      </c>
      <c r="W63" s="393">
        <v>0</v>
      </c>
      <c r="X63" s="408">
        <v>0</v>
      </c>
      <c r="Y63" s="393">
        <v>0</v>
      </c>
      <c r="Z63" s="409"/>
      <c r="AA63" s="409"/>
      <c r="AB63" s="393">
        <v>2500000</v>
      </c>
      <c r="AC63" s="397"/>
      <c r="AD63" s="397"/>
      <c r="AE63" s="397"/>
      <c r="AF63" s="407"/>
      <c r="AG63" s="385"/>
      <c r="AH63" s="182">
        <f t="shared" si="1"/>
        <v>0</v>
      </c>
    </row>
    <row r="64" spans="2:34" x14ac:dyDescent="0.25">
      <c r="B64" s="251" t="str">
        <f>_xlfn.XLOOKUP(C64,Planilha3!A:A,Planilha3!B:B)</f>
        <v>Additive Intl.</v>
      </c>
      <c r="C64" s="391" t="s">
        <v>489</v>
      </c>
      <c r="D64" s="392" t="s">
        <v>466</v>
      </c>
      <c r="E64" s="392"/>
      <c r="F64" s="393">
        <v>302500</v>
      </c>
      <c r="G64" s="393">
        <v>226019.77000000002</v>
      </c>
      <c r="H64" s="393">
        <v>76480.23</v>
      </c>
      <c r="I64" s="393">
        <v>0</v>
      </c>
      <c r="J64" s="393">
        <v>0</v>
      </c>
      <c r="K64" s="393">
        <v>0</v>
      </c>
      <c r="L64" s="393">
        <v>0</v>
      </c>
      <c r="M64" s="393">
        <v>0</v>
      </c>
      <c r="N64" s="393">
        <v>0</v>
      </c>
      <c r="O64" s="408">
        <v>0</v>
      </c>
      <c r="P64" s="393">
        <v>0</v>
      </c>
      <c r="Q64" s="393">
        <v>76480.23</v>
      </c>
      <c r="R64" s="393">
        <v>0</v>
      </c>
      <c r="S64" s="393">
        <v>0</v>
      </c>
      <c r="T64" s="393">
        <v>0</v>
      </c>
      <c r="U64" s="393">
        <v>0</v>
      </c>
      <c r="V64" s="393">
        <v>0</v>
      </c>
      <c r="W64" s="393">
        <v>76480.23</v>
      </c>
      <c r="X64" s="408">
        <v>0</v>
      </c>
      <c r="Y64" s="393">
        <v>0</v>
      </c>
      <c r="Z64" s="409"/>
      <c r="AA64" s="409"/>
      <c r="AB64" s="393">
        <v>302500</v>
      </c>
      <c r="AC64" s="397"/>
      <c r="AD64" s="397"/>
      <c r="AE64" s="397"/>
      <c r="AF64" s="407"/>
      <c r="AG64" s="385"/>
      <c r="AH64" s="182">
        <f t="shared" si="1"/>
        <v>0</v>
      </c>
    </row>
    <row r="65" spans="2:34" x14ac:dyDescent="0.25">
      <c r="B65" s="251" t="str">
        <f>_xlfn.XLOOKUP(C65,Planilha3!A:A,Planilha3!B:B)</f>
        <v>Additive</v>
      </c>
      <c r="C65" s="391" t="s">
        <v>418</v>
      </c>
      <c r="D65" s="392" t="s">
        <v>454</v>
      </c>
      <c r="E65" s="392"/>
      <c r="F65" s="393">
        <v>500000</v>
      </c>
      <c r="G65" s="393">
        <v>434670</v>
      </c>
      <c r="H65" s="393">
        <v>65330</v>
      </c>
      <c r="I65" s="393">
        <v>0</v>
      </c>
      <c r="J65" s="393">
        <v>0</v>
      </c>
      <c r="K65" s="393">
        <v>0</v>
      </c>
      <c r="L65" s="393">
        <v>0</v>
      </c>
      <c r="M65" s="393">
        <v>0</v>
      </c>
      <c r="N65" s="393">
        <v>0</v>
      </c>
      <c r="O65" s="408">
        <v>0</v>
      </c>
      <c r="P65" s="393">
        <v>0</v>
      </c>
      <c r="Q65" s="393">
        <v>65330</v>
      </c>
      <c r="R65" s="393">
        <v>0</v>
      </c>
      <c r="S65" s="393">
        <v>0</v>
      </c>
      <c r="T65" s="393">
        <v>65330</v>
      </c>
      <c r="U65" s="393">
        <v>0</v>
      </c>
      <c r="V65" s="393">
        <v>0</v>
      </c>
      <c r="W65" s="393">
        <v>0</v>
      </c>
      <c r="X65" s="408">
        <v>0</v>
      </c>
      <c r="Y65" s="393">
        <v>0</v>
      </c>
      <c r="Z65" s="409"/>
      <c r="AA65" s="409"/>
      <c r="AB65" s="393">
        <v>500000</v>
      </c>
      <c r="AC65" s="397"/>
      <c r="AD65" s="397"/>
      <c r="AE65" s="397"/>
      <c r="AF65" s="407"/>
      <c r="AG65" s="385"/>
      <c r="AH65" s="182">
        <f t="shared" si="1"/>
        <v>0</v>
      </c>
    </row>
    <row r="66" spans="2:34" x14ac:dyDescent="0.25">
      <c r="B66" s="251" t="str">
        <f>_xlfn.XLOOKUP(C66,Planilha3!A:A,Planilha3!B:B)</f>
        <v>Additive</v>
      </c>
      <c r="C66" s="391" t="s">
        <v>424</v>
      </c>
      <c r="D66" s="392" t="s">
        <v>454</v>
      </c>
      <c r="E66" s="392"/>
      <c r="F66" s="393">
        <v>1500000</v>
      </c>
      <c r="G66" s="393">
        <v>1437433.6</v>
      </c>
      <c r="H66" s="393">
        <v>62566.400000000001</v>
      </c>
      <c r="I66" s="393">
        <v>0</v>
      </c>
      <c r="J66" s="393">
        <v>0</v>
      </c>
      <c r="K66" s="393">
        <v>0</v>
      </c>
      <c r="L66" s="393">
        <v>0</v>
      </c>
      <c r="M66" s="393">
        <v>0</v>
      </c>
      <c r="N66" s="393">
        <v>0</v>
      </c>
      <c r="O66" s="408">
        <v>0</v>
      </c>
      <c r="P66" s="393">
        <v>0</v>
      </c>
      <c r="Q66" s="393">
        <v>62566.400000000001</v>
      </c>
      <c r="R66" s="393">
        <v>0</v>
      </c>
      <c r="S66" s="393">
        <v>62566.400000000001</v>
      </c>
      <c r="T66" s="393">
        <v>0</v>
      </c>
      <c r="U66" s="393">
        <v>0</v>
      </c>
      <c r="V66" s="393">
        <v>0</v>
      </c>
      <c r="W66" s="393">
        <v>0</v>
      </c>
      <c r="X66" s="408">
        <v>0</v>
      </c>
      <c r="Y66" s="393">
        <v>0</v>
      </c>
      <c r="Z66" s="409"/>
      <c r="AA66" s="409"/>
      <c r="AB66" s="393">
        <v>1500000</v>
      </c>
      <c r="AC66" s="397"/>
      <c r="AD66" s="397"/>
      <c r="AE66" s="397"/>
      <c r="AF66" s="407"/>
      <c r="AG66" s="385"/>
      <c r="AH66" s="182">
        <f t="shared" si="1"/>
        <v>0</v>
      </c>
    </row>
    <row r="67" spans="2:34" x14ac:dyDescent="0.25">
      <c r="B67" s="251" t="str">
        <f>_xlfn.XLOOKUP(C67,Planilha3!A:A,Planilha3!B:B)</f>
        <v>Additive Intl.</v>
      </c>
      <c r="C67" s="391" t="s">
        <v>640</v>
      </c>
      <c r="D67" s="392" t="s">
        <v>454</v>
      </c>
      <c r="E67" s="392"/>
      <c r="F67" s="393">
        <v>990000</v>
      </c>
      <c r="G67" s="393">
        <v>940043.32</v>
      </c>
      <c r="H67" s="393">
        <v>49956.68</v>
      </c>
      <c r="I67" s="393">
        <v>0</v>
      </c>
      <c r="J67" s="393">
        <v>0</v>
      </c>
      <c r="K67" s="393">
        <v>0</v>
      </c>
      <c r="L67" s="393">
        <v>0</v>
      </c>
      <c r="M67" s="393">
        <v>0</v>
      </c>
      <c r="N67" s="393">
        <v>0</v>
      </c>
      <c r="O67" s="408">
        <v>0</v>
      </c>
      <c r="P67" s="393">
        <v>0</v>
      </c>
      <c r="Q67" s="393">
        <v>49956.68</v>
      </c>
      <c r="R67" s="393">
        <v>0</v>
      </c>
      <c r="S67" s="393">
        <v>49956.68</v>
      </c>
      <c r="T67" s="393">
        <v>0</v>
      </c>
      <c r="U67" s="393">
        <v>0</v>
      </c>
      <c r="V67" s="393">
        <v>0</v>
      </c>
      <c r="W67" s="393">
        <v>0</v>
      </c>
      <c r="X67" s="408">
        <v>0</v>
      </c>
      <c r="Y67" s="393">
        <v>0</v>
      </c>
      <c r="Z67" s="409"/>
      <c r="AA67" s="409"/>
      <c r="AB67" s="393">
        <v>990000</v>
      </c>
      <c r="AC67" s="397"/>
      <c r="AD67" s="397"/>
      <c r="AE67" s="397"/>
      <c r="AF67" s="407"/>
      <c r="AG67" s="385"/>
      <c r="AH67" s="182">
        <f t="shared" si="1"/>
        <v>0</v>
      </c>
    </row>
    <row r="68" spans="2:34" x14ac:dyDescent="0.25">
      <c r="B68" s="251" t="str">
        <f>_xlfn.XLOOKUP(C68,Planilha3!A:A,Planilha3!B:B)</f>
        <v>Additive</v>
      </c>
      <c r="C68" s="391" t="s">
        <v>819</v>
      </c>
      <c r="D68" s="392">
        <v>0</v>
      </c>
      <c r="E68" s="392"/>
      <c r="F68" s="393">
        <v>0</v>
      </c>
      <c r="G68" s="393">
        <v>-49440</v>
      </c>
      <c r="H68" s="393">
        <v>49440</v>
      </c>
      <c r="I68" s="393">
        <v>0</v>
      </c>
      <c r="J68" s="393">
        <v>49440</v>
      </c>
      <c r="K68" s="393">
        <v>0</v>
      </c>
      <c r="L68" s="393">
        <v>0</v>
      </c>
      <c r="M68" s="393">
        <v>0</v>
      </c>
      <c r="N68" s="393">
        <v>0</v>
      </c>
      <c r="O68" s="408">
        <v>0</v>
      </c>
      <c r="P68" s="393">
        <v>49440</v>
      </c>
      <c r="Q68" s="393">
        <v>0</v>
      </c>
      <c r="R68" s="393">
        <v>0</v>
      </c>
      <c r="S68" s="393">
        <v>0</v>
      </c>
      <c r="T68" s="393">
        <v>0</v>
      </c>
      <c r="U68" s="393">
        <v>0</v>
      </c>
      <c r="V68" s="393">
        <v>0</v>
      </c>
      <c r="W68" s="393">
        <v>0</v>
      </c>
      <c r="X68" s="408">
        <v>0</v>
      </c>
      <c r="Y68" s="393">
        <v>0</v>
      </c>
      <c r="Z68" s="409"/>
      <c r="AA68" s="409"/>
      <c r="AB68" s="393">
        <v>0</v>
      </c>
      <c r="AC68" s="397"/>
      <c r="AD68" s="397"/>
      <c r="AE68" s="397"/>
      <c r="AF68" s="407"/>
      <c r="AG68" s="385"/>
      <c r="AH68" s="182">
        <f t="shared" si="1"/>
        <v>49440</v>
      </c>
    </row>
    <row r="69" spans="2:34" x14ac:dyDescent="0.25">
      <c r="B69" s="251" t="str">
        <f>_xlfn.XLOOKUP(C69,Planilha3!A:A,Planilha3!B:B)</f>
        <v>Additive Intl.</v>
      </c>
      <c r="C69" s="391" t="s">
        <v>826</v>
      </c>
      <c r="D69" s="392">
        <v>0</v>
      </c>
      <c r="E69" s="392"/>
      <c r="F69" s="393">
        <v>0</v>
      </c>
      <c r="G69" s="393">
        <v>-45718.46</v>
      </c>
      <c r="H69" s="393">
        <v>45718.46</v>
      </c>
      <c r="I69" s="393">
        <v>0</v>
      </c>
      <c r="J69" s="393">
        <v>0</v>
      </c>
      <c r="K69" s="393">
        <v>0</v>
      </c>
      <c r="L69" s="393">
        <v>0</v>
      </c>
      <c r="M69" s="393">
        <v>0</v>
      </c>
      <c r="N69" s="393">
        <v>0</v>
      </c>
      <c r="O69" s="408">
        <v>0</v>
      </c>
      <c r="P69" s="393">
        <v>0</v>
      </c>
      <c r="Q69" s="393">
        <v>45718.46</v>
      </c>
      <c r="R69" s="393">
        <v>0</v>
      </c>
      <c r="S69" s="393">
        <v>45718.46</v>
      </c>
      <c r="T69" s="393">
        <v>0</v>
      </c>
      <c r="U69" s="393">
        <v>0</v>
      </c>
      <c r="V69" s="393">
        <v>0</v>
      </c>
      <c r="W69" s="393">
        <v>0</v>
      </c>
      <c r="X69" s="408">
        <v>0</v>
      </c>
      <c r="Y69" s="393">
        <v>0</v>
      </c>
      <c r="Z69" s="409"/>
      <c r="AA69" s="409"/>
      <c r="AB69" s="393">
        <v>0</v>
      </c>
      <c r="AC69" s="397"/>
      <c r="AD69" s="397"/>
      <c r="AE69" s="397"/>
      <c r="AF69" s="407"/>
      <c r="AG69" s="385"/>
      <c r="AH69" s="182">
        <f t="shared" ref="AH69:AH85" si="2">MAX(H69-AB69,0)</f>
        <v>45718.46</v>
      </c>
    </row>
    <row r="70" spans="2:34" x14ac:dyDescent="0.25">
      <c r="B70" s="251" t="str">
        <f>_xlfn.XLOOKUP(C70,Planilha3!A:A,Planilha3!B:B)</f>
        <v>Additive</v>
      </c>
      <c r="C70" s="391" t="s">
        <v>88</v>
      </c>
      <c r="D70" s="392" t="s">
        <v>454</v>
      </c>
      <c r="E70" s="392"/>
      <c r="F70" s="393">
        <v>200000</v>
      </c>
      <c r="G70" s="393">
        <v>155081</v>
      </c>
      <c r="H70" s="393">
        <v>44919</v>
      </c>
      <c r="I70" s="393">
        <v>0</v>
      </c>
      <c r="J70" s="393">
        <v>0</v>
      </c>
      <c r="K70" s="393">
        <v>0</v>
      </c>
      <c r="L70" s="393">
        <v>0</v>
      </c>
      <c r="M70" s="393">
        <v>0</v>
      </c>
      <c r="N70" s="393">
        <v>0</v>
      </c>
      <c r="O70" s="408">
        <v>0</v>
      </c>
      <c r="P70" s="393">
        <v>0</v>
      </c>
      <c r="Q70" s="393">
        <v>44919</v>
      </c>
      <c r="R70" s="393">
        <v>44919</v>
      </c>
      <c r="S70" s="393">
        <v>0</v>
      </c>
      <c r="T70" s="393">
        <v>0</v>
      </c>
      <c r="U70" s="393">
        <v>0</v>
      </c>
      <c r="V70" s="393">
        <v>0</v>
      </c>
      <c r="W70" s="393">
        <v>0</v>
      </c>
      <c r="X70" s="408">
        <v>0</v>
      </c>
      <c r="Y70" s="393">
        <v>0</v>
      </c>
      <c r="Z70" s="409"/>
      <c r="AA70" s="409"/>
      <c r="AB70" s="393">
        <v>200000</v>
      </c>
      <c r="AC70" s="397"/>
      <c r="AD70" s="397"/>
      <c r="AE70" s="397"/>
      <c r="AF70" s="407"/>
      <c r="AG70" s="385"/>
      <c r="AH70" s="182">
        <f t="shared" si="2"/>
        <v>0</v>
      </c>
    </row>
    <row r="71" spans="2:34" x14ac:dyDescent="0.25">
      <c r="B71" s="251" t="str">
        <f>_xlfn.XLOOKUP(C71,Planilha3!A:A,Planilha3!B:B)</f>
        <v>Additive</v>
      </c>
      <c r="C71" s="391" t="s">
        <v>302</v>
      </c>
      <c r="D71" s="392" t="s">
        <v>454</v>
      </c>
      <c r="E71" s="392"/>
      <c r="F71" s="393">
        <v>300000</v>
      </c>
      <c r="G71" s="393">
        <v>256430.25</v>
      </c>
      <c r="H71" s="393">
        <v>43569.75</v>
      </c>
      <c r="I71" s="393">
        <v>0</v>
      </c>
      <c r="J71" s="393">
        <v>0</v>
      </c>
      <c r="K71" s="393">
        <v>0</v>
      </c>
      <c r="L71" s="393">
        <v>0</v>
      </c>
      <c r="M71" s="393">
        <v>0</v>
      </c>
      <c r="N71" s="393">
        <v>0</v>
      </c>
      <c r="O71" s="408">
        <v>0</v>
      </c>
      <c r="P71" s="393">
        <v>0</v>
      </c>
      <c r="Q71" s="393">
        <v>43569.75</v>
      </c>
      <c r="R71" s="393">
        <v>0</v>
      </c>
      <c r="S71" s="393">
        <v>43569.75</v>
      </c>
      <c r="T71" s="393">
        <v>0</v>
      </c>
      <c r="U71" s="393">
        <v>0</v>
      </c>
      <c r="V71" s="393">
        <v>0</v>
      </c>
      <c r="W71" s="393">
        <v>0</v>
      </c>
      <c r="X71" s="408">
        <v>0</v>
      </c>
      <c r="Y71" s="393">
        <v>0</v>
      </c>
      <c r="Z71" s="409"/>
      <c r="AA71" s="409"/>
      <c r="AB71" s="393">
        <v>300000</v>
      </c>
      <c r="AC71" s="397"/>
      <c r="AD71" s="397"/>
      <c r="AE71" s="397"/>
      <c r="AF71" s="407"/>
      <c r="AG71" s="385"/>
      <c r="AH71" s="182">
        <f t="shared" si="2"/>
        <v>0</v>
      </c>
    </row>
    <row r="72" spans="2:34" x14ac:dyDescent="0.25">
      <c r="B72" s="251" t="str">
        <f>_xlfn.XLOOKUP(C72,Planilha3!A:A,Planilha3!B:B)</f>
        <v>Additive Intl.</v>
      </c>
      <c r="C72" s="391" t="s">
        <v>359</v>
      </c>
      <c r="D72" s="392" t="s">
        <v>454</v>
      </c>
      <c r="E72" s="392"/>
      <c r="F72" s="393">
        <v>1100000</v>
      </c>
      <c r="G72" s="393">
        <v>1059982.3600000001</v>
      </c>
      <c r="H72" s="393">
        <v>40017.64</v>
      </c>
      <c r="I72" s="393">
        <v>0</v>
      </c>
      <c r="J72" s="393">
        <v>0</v>
      </c>
      <c r="K72" s="393">
        <v>0</v>
      </c>
      <c r="L72" s="393">
        <v>0</v>
      </c>
      <c r="M72" s="393">
        <v>0</v>
      </c>
      <c r="N72" s="393">
        <v>0</v>
      </c>
      <c r="O72" s="408">
        <v>0</v>
      </c>
      <c r="P72" s="393">
        <v>0</v>
      </c>
      <c r="Q72" s="393">
        <v>40017.64</v>
      </c>
      <c r="R72" s="393">
        <v>40017.64</v>
      </c>
      <c r="S72" s="393">
        <v>0</v>
      </c>
      <c r="T72" s="393">
        <v>0</v>
      </c>
      <c r="U72" s="393">
        <v>0</v>
      </c>
      <c r="V72" s="393">
        <v>0</v>
      </c>
      <c r="W72" s="393">
        <v>0</v>
      </c>
      <c r="X72" s="408">
        <v>0</v>
      </c>
      <c r="Y72" s="393">
        <v>0</v>
      </c>
      <c r="Z72" s="409"/>
      <c r="AA72" s="409"/>
      <c r="AB72" s="393">
        <v>1100000</v>
      </c>
      <c r="AC72" s="397"/>
      <c r="AD72" s="397"/>
      <c r="AE72" s="397"/>
      <c r="AF72" s="407"/>
      <c r="AG72" s="385"/>
      <c r="AH72" s="182">
        <f t="shared" si="2"/>
        <v>0</v>
      </c>
    </row>
    <row r="73" spans="2:34" x14ac:dyDescent="0.25">
      <c r="B73" s="251" t="str">
        <f>_xlfn.XLOOKUP(C73,Planilha3!A:A,Planilha3!B:B)</f>
        <v>Additive</v>
      </c>
      <c r="C73" s="391" t="s">
        <v>490</v>
      </c>
      <c r="D73" s="392">
        <v>0</v>
      </c>
      <c r="E73" s="392"/>
      <c r="F73" s="393">
        <v>500000</v>
      </c>
      <c r="G73" s="393">
        <v>473710</v>
      </c>
      <c r="H73" s="393">
        <v>26290</v>
      </c>
      <c r="I73" s="393">
        <v>0</v>
      </c>
      <c r="J73" s="393">
        <v>0</v>
      </c>
      <c r="K73" s="393">
        <v>0</v>
      </c>
      <c r="L73" s="393">
        <v>0</v>
      </c>
      <c r="M73" s="393">
        <v>0</v>
      </c>
      <c r="N73" s="393">
        <v>0</v>
      </c>
      <c r="O73" s="408">
        <v>0</v>
      </c>
      <c r="P73" s="393">
        <v>0</v>
      </c>
      <c r="Q73" s="393">
        <v>26290</v>
      </c>
      <c r="R73" s="393">
        <v>13145</v>
      </c>
      <c r="S73" s="393">
        <v>13145</v>
      </c>
      <c r="T73" s="393">
        <v>0</v>
      </c>
      <c r="U73" s="393">
        <v>0</v>
      </c>
      <c r="V73" s="393">
        <v>0</v>
      </c>
      <c r="W73" s="393">
        <v>0</v>
      </c>
      <c r="X73" s="408">
        <v>0</v>
      </c>
      <c r="Y73" s="393">
        <v>0</v>
      </c>
      <c r="Z73" s="409"/>
      <c r="AA73" s="409"/>
      <c r="AB73" s="393">
        <v>0</v>
      </c>
      <c r="AC73" s="397"/>
      <c r="AD73" s="397"/>
      <c r="AE73" s="397"/>
      <c r="AF73" s="407"/>
      <c r="AG73" s="385"/>
      <c r="AH73" s="182">
        <f t="shared" si="2"/>
        <v>26290</v>
      </c>
    </row>
    <row r="74" spans="2:34" x14ac:dyDescent="0.25">
      <c r="B74" s="251" t="str">
        <f>_xlfn.XLOOKUP(C74,Planilha3!A:A,Planilha3!B:B)</f>
        <v>Additive / Litigation</v>
      </c>
      <c r="C74" s="391" t="s">
        <v>90</v>
      </c>
      <c r="D74" s="392">
        <v>0</v>
      </c>
      <c r="E74" s="392"/>
      <c r="F74" s="393">
        <v>0</v>
      </c>
      <c r="G74" s="393">
        <v>-20940</v>
      </c>
      <c r="H74" s="393">
        <v>20940</v>
      </c>
      <c r="I74" s="393">
        <v>0</v>
      </c>
      <c r="J74" s="393">
        <v>0</v>
      </c>
      <c r="K74" s="393">
        <v>0</v>
      </c>
      <c r="L74" s="393">
        <v>0</v>
      </c>
      <c r="M74" s="393">
        <v>0</v>
      </c>
      <c r="N74" s="393">
        <v>0</v>
      </c>
      <c r="O74" s="408">
        <v>20940</v>
      </c>
      <c r="P74" s="393">
        <v>20940</v>
      </c>
      <c r="Q74" s="393">
        <v>0</v>
      </c>
      <c r="R74" s="393">
        <v>0</v>
      </c>
      <c r="S74" s="393">
        <v>0</v>
      </c>
      <c r="T74" s="393">
        <v>0</v>
      </c>
      <c r="U74" s="393">
        <v>0</v>
      </c>
      <c r="V74" s="393">
        <v>0</v>
      </c>
      <c r="W74" s="393">
        <v>0</v>
      </c>
      <c r="X74" s="408">
        <v>0</v>
      </c>
      <c r="Y74" s="393">
        <v>20940</v>
      </c>
      <c r="Z74" s="409"/>
      <c r="AA74" s="409"/>
      <c r="AB74" s="393">
        <v>0</v>
      </c>
      <c r="AC74" s="397"/>
      <c r="AD74" s="397"/>
      <c r="AE74" s="397"/>
      <c r="AF74" s="407"/>
      <c r="AG74" s="385"/>
      <c r="AH74" s="182">
        <f t="shared" si="2"/>
        <v>20940</v>
      </c>
    </row>
    <row r="75" spans="2:34" x14ac:dyDescent="0.25">
      <c r="B75" s="251" t="str">
        <f>_xlfn.XLOOKUP(C75,Planilha3!A:A,Planilha3!B:B)</f>
        <v>Additive Intl.</v>
      </c>
      <c r="C75" s="391" t="s">
        <v>437</v>
      </c>
      <c r="D75" s="392" t="s">
        <v>454</v>
      </c>
      <c r="E75" s="392"/>
      <c r="F75" s="393">
        <v>275000</v>
      </c>
      <c r="G75" s="393">
        <v>260451.65</v>
      </c>
      <c r="H75" s="393">
        <v>14548.35</v>
      </c>
      <c r="I75" s="393">
        <v>0</v>
      </c>
      <c r="J75" s="393">
        <v>0</v>
      </c>
      <c r="K75" s="393">
        <v>0</v>
      </c>
      <c r="L75" s="393">
        <v>14548.35</v>
      </c>
      <c r="M75" s="393">
        <v>0</v>
      </c>
      <c r="N75" s="393">
        <v>0</v>
      </c>
      <c r="O75" s="408">
        <v>0</v>
      </c>
      <c r="P75" s="393">
        <v>14548.35</v>
      </c>
      <c r="Q75" s="393">
        <v>0</v>
      </c>
      <c r="R75" s="393">
        <v>0</v>
      </c>
      <c r="S75" s="393">
        <v>0</v>
      </c>
      <c r="T75" s="393">
        <v>0</v>
      </c>
      <c r="U75" s="393">
        <v>0</v>
      </c>
      <c r="V75" s="393">
        <v>0</v>
      </c>
      <c r="W75" s="393">
        <v>0</v>
      </c>
      <c r="X75" s="408">
        <v>0</v>
      </c>
      <c r="Y75" s="393">
        <v>436.45049999999998</v>
      </c>
      <c r="Z75" s="409"/>
      <c r="AA75" s="409"/>
      <c r="AB75" s="393">
        <v>275000</v>
      </c>
      <c r="AC75" s="397"/>
      <c r="AD75" s="397"/>
      <c r="AE75" s="397"/>
      <c r="AF75" s="407"/>
      <c r="AG75" s="385"/>
      <c r="AH75" s="182">
        <f t="shared" si="2"/>
        <v>0</v>
      </c>
    </row>
    <row r="76" spans="2:34" x14ac:dyDescent="0.25">
      <c r="B76" s="251" t="str">
        <f>_xlfn.XLOOKUP(C76,Planilha3!A:A,Planilha3!B:B)</f>
        <v>Additive</v>
      </c>
      <c r="C76" s="391" t="s">
        <v>417</v>
      </c>
      <c r="D76" s="392" t="s">
        <v>454</v>
      </c>
      <c r="E76" s="392"/>
      <c r="F76" s="393">
        <v>2000000</v>
      </c>
      <c r="G76" s="393">
        <v>1986569</v>
      </c>
      <c r="H76" s="393">
        <v>13431</v>
      </c>
      <c r="I76" s="393">
        <v>0</v>
      </c>
      <c r="J76" s="393">
        <v>0</v>
      </c>
      <c r="K76" s="393">
        <v>0</v>
      </c>
      <c r="L76" s="393">
        <v>0</v>
      </c>
      <c r="M76" s="393">
        <v>0</v>
      </c>
      <c r="N76" s="393">
        <v>0</v>
      </c>
      <c r="O76" s="408">
        <v>0</v>
      </c>
      <c r="P76" s="393">
        <v>0</v>
      </c>
      <c r="Q76" s="393">
        <v>13431</v>
      </c>
      <c r="R76" s="393">
        <v>13431</v>
      </c>
      <c r="S76" s="393">
        <v>0</v>
      </c>
      <c r="T76" s="393">
        <v>0</v>
      </c>
      <c r="U76" s="393">
        <v>0</v>
      </c>
      <c r="V76" s="393">
        <v>0</v>
      </c>
      <c r="W76" s="393">
        <v>0</v>
      </c>
      <c r="X76" s="408">
        <v>0</v>
      </c>
      <c r="Y76" s="393">
        <v>0</v>
      </c>
      <c r="Z76" s="409"/>
      <c r="AA76" s="409"/>
      <c r="AB76" s="393">
        <v>2000000</v>
      </c>
      <c r="AC76" s="397"/>
      <c r="AD76" s="397"/>
      <c r="AE76" s="397"/>
      <c r="AF76" s="407"/>
      <c r="AG76" s="385"/>
      <c r="AH76" s="182">
        <f t="shared" si="2"/>
        <v>0</v>
      </c>
    </row>
    <row r="77" spans="2:34" x14ac:dyDescent="0.25">
      <c r="B77" s="251" t="str">
        <f>_xlfn.XLOOKUP(C77,Planilha3!A:A,Planilha3!B:B)</f>
        <v>Fertilizer</v>
      </c>
      <c r="C77" s="391" t="s">
        <v>425</v>
      </c>
      <c r="D77" s="392" t="s">
        <v>454</v>
      </c>
      <c r="E77" s="392">
        <v>360</v>
      </c>
      <c r="F77" s="393">
        <v>700000</v>
      </c>
      <c r="G77" s="393">
        <v>694969.5</v>
      </c>
      <c r="H77" s="393">
        <v>5030.5</v>
      </c>
      <c r="I77" s="393">
        <v>0</v>
      </c>
      <c r="J77" s="393">
        <v>0</v>
      </c>
      <c r="K77" s="393">
        <v>0</v>
      </c>
      <c r="L77" s="393">
        <v>0</v>
      </c>
      <c r="M77" s="393">
        <v>0</v>
      </c>
      <c r="N77" s="393">
        <v>0</v>
      </c>
      <c r="O77" s="408">
        <v>0</v>
      </c>
      <c r="P77" s="393">
        <v>0</v>
      </c>
      <c r="Q77" s="393">
        <v>5030.5</v>
      </c>
      <c r="R77" s="393">
        <v>0</v>
      </c>
      <c r="S77" s="393">
        <v>0</v>
      </c>
      <c r="T77" s="393">
        <v>0</v>
      </c>
      <c r="U77" s="393">
        <v>5030.5</v>
      </c>
      <c r="V77" s="393">
        <v>0</v>
      </c>
      <c r="W77" s="393">
        <v>0</v>
      </c>
      <c r="X77" s="408">
        <v>0</v>
      </c>
      <c r="Y77" s="393">
        <v>0</v>
      </c>
      <c r="Z77" s="409"/>
      <c r="AA77" s="409"/>
      <c r="AB77" s="393">
        <v>700000</v>
      </c>
      <c r="AC77" s="397"/>
      <c r="AD77" s="397"/>
      <c r="AE77" s="397"/>
      <c r="AF77" s="407"/>
      <c r="AG77" s="385"/>
      <c r="AH77" s="182">
        <f t="shared" si="2"/>
        <v>0</v>
      </c>
    </row>
    <row r="78" spans="2:34" x14ac:dyDescent="0.25">
      <c r="B78" s="251" t="str">
        <f>_xlfn.XLOOKUP(C78,Planilha3!A:A,Planilha3!B:B)</f>
        <v>Additive</v>
      </c>
      <c r="C78" s="391" t="s">
        <v>890</v>
      </c>
      <c r="D78" s="392">
        <v>0</v>
      </c>
      <c r="E78" s="392"/>
      <c r="F78" s="393">
        <v>0</v>
      </c>
      <c r="G78" s="393">
        <v>-1743</v>
      </c>
      <c r="H78" s="393">
        <v>1743</v>
      </c>
      <c r="I78" s="393">
        <v>0</v>
      </c>
      <c r="J78" s="393">
        <v>0</v>
      </c>
      <c r="K78" s="393">
        <v>0</v>
      </c>
      <c r="L78" s="393">
        <v>0</v>
      </c>
      <c r="M78" s="393">
        <v>0</v>
      </c>
      <c r="N78" s="393">
        <v>0</v>
      </c>
      <c r="O78" s="408">
        <v>0</v>
      </c>
      <c r="P78" s="393">
        <v>0</v>
      </c>
      <c r="Q78" s="393">
        <v>1743</v>
      </c>
      <c r="R78" s="393">
        <v>581</v>
      </c>
      <c r="S78" s="393">
        <v>581</v>
      </c>
      <c r="T78" s="393">
        <v>581</v>
      </c>
      <c r="U78" s="393">
        <v>0</v>
      </c>
      <c r="V78" s="393">
        <v>0</v>
      </c>
      <c r="W78" s="393">
        <v>0</v>
      </c>
      <c r="X78" s="408">
        <v>0</v>
      </c>
      <c r="Y78" s="393">
        <v>0</v>
      </c>
      <c r="Z78" s="409"/>
      <c r="AA78" s="409"/>
      <c r="AB78" s="393">
        <v>0</v>
      </c>
      <c r="AC78" s="397"/>
      <c r="AD78" s="397"/>
      <c r="AE78" s="397"/>
      <c r="AF78" s="407"/>
      <c r="AG78" s="385"/>
      <c r="AH78" s="182">
        <f t="shared" si="2"/>
        <v>1743</v>
      </c>
    </row>
    <row r="79" spans="2:34" x14ac:dyDescent="0.25">
      <c r="B79" s="251" t="str">
        <f>_xlfn.XLOOKUP(C79,Planilha3!A:A,Planilha3!B:B)</f>
        <v>Additive Intl.</v>
      </c>
      <c r="C79" s="391" t="s">
        <v>670</v>
      </c>
      <c r="D79" s="392">
        <v>0</v>
      </c>
      <c r="E79" s="392"/>
      <c r="F79" s="393">
        <v>0</v>
      </c>
      <c r="G79" s="393">
        <v>-1380.52</v>
      </c>
      <c r="H79" s="393">
        <v>1380.52</v>
      </c>
      <c r="I79" s="393">
        <v>0</v>
      </c>
      <c r="J79" s="393">
        <v>0</v>
      </c>
      <c r="K79" s="393">
        <v>0</v>
      </c>
      <c r="L79" s="393">
        <v>0</v>
      </c>
      <c r="M79" s="393">
        <v>0</v>
      </c>
      <c r="N79" s="393">
        <v>527.28</v>
      </c>
      <c r="O79" s="408">
        <v>0</v>
      </c>
      <c r="P79" s="393">
        <v>527.28</v>
      </c>
      <c r="Q79" s="393">
        <v>853.24</v>
      </c>
      <c r="R79" s="393">
        <v>853.24</v>
      </c>
      <c r="S79" s="393">
        <v>0</v>
      </c>
      <c r="T79" s="393">
        <v>0</v>
      </c>
      <c r="U79" s="393">
        <v>0</v>
      </c>
      <c r="V79" s="393">
        <v>0</v>
      </c>
      <c r="W79" s="393">
        <v>0</v>
      </c>
      <c r="X79" s="408">
        <v>0</v>
      </c>
      <c r="Y79" s="393">
        <v>15.818399999999999</v>
      </c>
      <c r="Z79" s="409"/>
      <c r="AA79" s="409"/>
      <c r="AB79" s="393">
        <v>0</v>
      </c>
      <c r="AC79" s="397"/>
      <c r="AD79" s="397"/>
      <c r="AE79" s="397"/>
      <c r="AF79" s="407"/>
      <c r="AG79" s="385"/>
      <c r="AH79" s="182">
        <f t="shared" si="2"/>
        <v>1380.52</v>
      </c>
    </row>
    <row r="80" spans="2:34" x14ac:dyDescent="0.25">
      <c r="B80" s="251" t="str">
        <f>_xlfn.XLOOKUP(C80,Planilha3!A:A,Planilha3!B:B)</f>
        <v>Additive</v>
      </c>
      <c r="C80" s="391" t="s">
        <v>828</v>
      </c>
      <c r="D80" s="392">
        <v>0</v>
      </c>
      <c r="E80" s="392"/>
      <c r="F80" s="393">
        <v>0</v>
      </c>
      <c r="G80" s="393">
        <v>-583.34</v>
      </c>
      <c r="H80" s="393">
        <v>583.34</v>
      </c>
      <c r="I80" s="393">
        <v>0</v>
      </c>
      <c r="J80" s="393">
        <v>0</v>
      </c>
      <c r="K80" s="393">
        <v>0</v>
      </c>
      <c r="L80" s="393">
        <v>0</v>
      </c>
      <c r="M80" s="393">
        <v>0</v>
      </c>
      <c r="N80" s="393">
        <v>0</v>
      </c>
      <c r="O80" s="408">
        <v>0</v>
      </c>
      <c r="P80" s="393">
        <v>0</v>
      </c>
      <c r="Q80" s="393">
        <v>583.34</v>
      </c>
      <c r="R80" s="393">
        <v>583.34</v>
      </c>
      <c r="S80" s="393">
        <v>0</v>
      </c>
      <c r="T80" s="393">
        <v>0</v>
      </c>
      <c r="U80" s="393">
        <v>0</v>
      </c>
      <c r="V80" s="393">
        <v>0</v>
      </c>
      <c r="W80" s="393">
        <v>0</v>
      </c>
      <c r="X80" s="408">
        <v>0</v>
      </c>
      <c r="Y80" s="393">
        <v>0</v>
      </c>
      <c r="Z80" s="409"/>
      <c r="AA80" s="409"/>
      <c r="AB80" s="393">
        <v>0</v>
      </c>
      <c r="AC80" s="397"/>
      <c r="AD80" s="397"/>
      <c r="AE80" s="397"/>
      <c r="AF80" s="407"/>
      <c r="AG80" s="385"/>
      <c r="AH80" s="182">
        <f t="shared" si="2"/>
        <v>583.34</v>
      </c>
    </row>
    <row r="81" spans="2:34" x14ac:dyDescent="0.25">
      <c r="B81" s="251" t="str">
        <f>_xlfn.XLOOKUP(C81,Planilha3!A:A,Planilha3!B:B)</f>
        <v>Additive</v>
      </c>
      <c r="C81" s="391" t="s">
        <v>846</v>
      </c>
      <c r="D81" s="392">
        <v>0</v>
      </c>
      <c r="E81" s="392"/>
      <c r="F81" s="393">
        <v>0</v>
      </c>
      <c r="G81" s="393">
        <v>-331</v>
      </c>
      <c r="H81" s="393">
        <v>331</v>
      </c>
      <c r="I81" s="393">
        <v>0</v>
      </c>
      <c r="J81" s="393">
        <v>0</v>
      </c>
      <c r="K81" s="393">
        <v>0</v>
      </c>
      <c r="L81" s="393">
        <v>0</v>
      </c>
      <c r="M81" s="393">
        <v>0</v>
      </c>
      <c r="N81" s="393">
        <v>0</v>
      </c>
      <c r="O81" s="408">
        <v>0</v>
      </c>
      <c r="P81" s="393">
        <v>0</v>
      </c>
      <c r="Q81" s="393">
        <v>331</v>
      </c>
      <c r="R81" s="393">
        <v>0</v>
      </c>
      <c r="S81" s="393">
        <v>331</v>
      </c>
      <c r="T81" s="393">
        <v>0</v>
      </c>
      <c r="U81" s="393">
        <v>0</v>
      </c>
      <c r="V81" s="393">
        <v>0</v>
      </c>
      <c r="W81" s="393">
        <v>0</v>
      </c>
      <c r="X81" s="408">
        <v>0</v>
      </c>
      <c r="Y81" s="393">
        <v>0</v>
      </c>
      <c r="Z81" s="409"/>
      <c r="AA81" s="409"/>
      <c r="AB81" s="393">
        <v>0</v>
      </c>
      <c r="AC81" s="397"/>
      <c r="AD81" s="397"/>
      <c r="AE81" s="397"/>
      <c r="AF81" s="407"/>
      <c r="AG81" s="385"/>
      <c r="AH81" s="182">
        <f t="shared" si="2"/>
        <v>331</v>
      </c>
    </row>
    <row r="82" spans="2:34" x14ac:dyDescent="0.25">
      <c r="B82" s="251" t="str">
        <f>_xlfn.XLOOKUP(C82,Planilha3!A:A,Planilha3!B:B)</f>
        <v>Additive</v>
      </c>
      <c r="C82" s="391" t="s">
        <v>382</v>
      </c>
      <c r="D82" s="392">
        <v>0</v>
      </c>
      <c r="E82" s="392"/>
      <c r="F82" s="393">
        <v>0</v>
      </c>
      <c r="G82" s="393">
        <v>-300</v>
      </c>
      <c r="H82" s="393">
        <v>300</v>
      </c>
      <c r="I82" s="393">
        <v>0</v>
      </c>
      <c r="J82" s="393">
        <v>0</v>
      </c>
      <c r="K82" s="393">
        <v>0</v>
      </c>
      <c r="L82" s="393">
        <v>0</v>
      </c>
      <c r="M82" s="393">
        <v>0</v>
      </c>
      <c r="N82" s="393">
        <v>0</v>
      </c>
      <c r="O82" s="408">
        <v>300</v>
      </c>
      <c r="P82" s="393">
        <v>300</v>
      </c>
      <c r="Q82" s="393">
        <v>0</v>
      </c>
      <c r="R82" s="393">
        <v>0</v>
      </c>
      <c r="S82" s="393">
        <v>0</v>
      </c>
      <c r="T82" s="393">
        <v>0</v>
      </c>
      <c r="U82" s="393">
        <v>0</v>
      </c>
      <c r="V82" s="393">
        <v>0</v>
      </c>
      <c r="W82" s="393">
        <v>0</v>
      </c>
      <c r="X82" s="408">
        <v>0</v>
      </c>
      <c r="Y82" s="393">
        <v>300</v>
      </c>
      <c r="Z82" s="409"/>
      <c r="AA82" s="409"/>
      <c r="AB82" s="393">
        <v>0</v>
      </c>
      <c r="AC82" s="397"/>
      <c r="AD82" s="397"/>
      <c r="AE82" s="397"/>
      <c r="AF82" s="407"/>
      <c r="AG82" s="385"/>
      <c r="AH82" s="182">
        <f t="shared" si="2"/>
        <v>300</v>
      </c>
    </row>
    <row r="83" spans="2:34" x14ac:dyDescent="0.25">
      <c r="B83" s="251" t="str">
        <f>_xlfn.XLOOKUP(C83,Planilha3!A:A,Planilha3!B:B)</f>
        <v>Additive</v>
      </c>
      <c r="C83" s="391" t="s">
        <v>264</v>
      </c>
      <c r="D83" s="392">
        <v>0</v>
      </c>
      <c r="E83" s="392"/>
      <c r="F83" s="393">
        <v>0</v>
      </c>
      <c r="G83" s="393">
        <v>-100</v>
      </c>
      <c r="H83" s="393">
        <v>100</v>
      </c>
      <c r="I83" s="393">
        <v>0</v>
      </c>
      <c r="J83" s="393">
        <v>0</v>
      </c>
      <c r="K83" s="393">
        <v>0</v>
      </c>
      <c r="L83" s="393">
        <v>0</v>
      </c>
      <c r="M83" s="393">
        <v>0</v>
      </c>
      <c r="N83" s="393">
        <v>0</v>
      </c>
      <c r="O83" s="408">
        <v>100</v>
      </c>
      <c r="P83" s="393">
        <v>100</v>
      </c>
      <c r="Q83" s="393">
        <v>0</v>
      </c>
      <c r="R83" s="393">
        <v>0</v>
      </c>
      <c r="S83" s="393">
        <v>0</v>
      </c>
      <c r="T83" s="393">
        <v>0</v>
      </c>
      <c r="U83" s="393">
        <v>0</v>
      </c>
      <c r="V83" s="393">
        <v>0</v>
      </c>
      <c r="W83" s="393">
        <v>0</v>
      </c>
      <c r="X83" s="408">
        <v>0</v>
      </c>
      <c r="Y83" s="393">
        <v>100</v>
      </c>
      <c r="Z83" s="409"/>
      <c r="AA83" s="409"/>
      <c r="AB83" s="393">
        <v>0</v>
      </c>
      <c r="AC83" s="397"/>
      <c r="AD83" s="397"/>
      <c r="AE83" s="397"/>
      <c r="AF83" s="407"/>
      <c r="AG83" s="385"/>
      <c r="AH83" s="182">
        <f t="shared" si="2"/>
        <v>100</v>
      </c>
    </row>
    <row r="84" spans="2:34" x14ac:dyDescent="0.25">
      <c r="B84" s="251" t="str">
        <f>_xlfn.XLOOKUP(C84,Planilha3!A:A,Planilha3!B:B)</f>
        <v>Additive</v>
      </c>
      <c r="C84" s="391" t="s">
        <v>533</v>
      </c>
      <c r="D84" s="392">
        <v>0</v>
      </c>
      <c r="E84" s="392"/>
      <c r="F84" s="393">
        <v>0</v>
      </c>
      <c r="G84" s="393">
        <v>-100</v>
      </c>
      <c r="H84" s="393">
        <v>100</v>
      </c>
      <c r="I84" s="393">
        <v>100</v>
      </c>
      <c r="J84" s="393">
        <v>0</v>
      </c>
      <c r="K84" s="393">
        <v>0</v>
      </c>
      <c r="L84" s="393">
        <v>0</v>
      </c>
      <c r="M84" s="393">
        <v>0</v>
      </c>
      <c r="N84" s="393">
        <v>0</v>
      </c>
      <c r="O84" s="408">
        <v>0</v>
      </c>
      <c r="P84" s="393">
        <v>100</v>
      </c>
      <c r="Q84" s="393">
        <v>0</v>
      </c>
      <c r="R84" s="393">
        <v>0</v>
      </c>
      <c r="S84" s="393">
        <v>0</v>
      </c>
      <c r="T84" s="393">
        <v>0</v>
      </c>
      <c r="U84" s="393">
        <v>0</v>
      </c>
      <c r="V84" s="393">
        <v>0</v>
      </c>
      <c r="W84" s="393">
        <v>0</v>
      </c>
      <c r="X84" s="408">
        <v>0</v>
      </c>
      <c r="Y84" s="393">
        <v>0</v>
      </c>
      <c r="Z84" s="409"/>
      <c r="AA84" s="409"/>
      <c r="AB84" s="393">
        <v>0</v>
      </c>
      <c r="AC84" s="397"/>
      <c r="AD84" s="397"/>
      <c r="AE84" s="397"/>
      <c r="AF84" s="407"/>
      <c r="AG84" s="385"/>
      <c r="AH84" s="182">
        <f t="shared" si="2"/>
        <v>100</v>
      </c>
    </row>
    <row r="85" spans="2:34" x14ac:dyDescent="0.25">
      <c r="B85" s="251" t="str">
        <f>_xlfn.XLOOKUP(C85,Planilha3!A:A,Planilha3!B:B)</f>
        <v>Additive</v>
      </c>
      <c r="C85" s="391" t="s">
        <v>308</v>
      </c>
      <c r="D85" s="392">
        <v>0</v>
      </c>
      <c r="E85" s="392"/>
      <c r="F85" s="393">
        <v>0</v>
      </c>
      <c r="G85" s="393">
        <v>-50</v>
      </c>
      <c r="H85" s="393">
        <v>50</v>
      </c>
      <c r="I85" s="393">
        <v>0</v>
      </c>
      <c r="J85" s="393">
        <v>0</v>
      </c>
      <c r="K85" s="393">
        <v>0</v>
      </c>
      <c r="L85" s="393">
        <v>0</v>
      </c>
      <c r="M85" s="393">
        <v>0</v>
      </c>
      <c r="N85" s="393">
        <v>0</v>
      </c>
      <c r="O85" s="408">
        <v>50</v>
      </c>
      <c r="P85" s="393">
        <v>50</v>
      </c>
      <c r="Q85" s="393">
        <v>0</v>
      </c>
      <c r="R85" s="393">
        <v>0</v>
      </c>
      <c r="S85" s="393">
        <v>0</v>
      </c>
      <c r="T85" s="393">
        <v>0</v>
      </c>
      <c r="U85" s="393">
        <v>0</v>
      </c>
      <c r="V85" s="393">
        <v>0</v>
      </c>
      <c r="W85" s="393">
        <v>0</v>
      </c>
      <c r="X85" s="408">
        <v>0</v>
      </c>
      <c r="Y85" s="393">
        <v>50</v>
      </c>
      <c r="Z85" s="409"/>
      <c r="AA85" s="409"/>
      <c r="AB85" s="393">
        <v>0</v>
      </c>
      <c r="AC85" s="397"/>
      <c r="AD85" s="397"/>
      <c r="AE85" s="397"/>
      <c r="AF85" s="407"/>
      <c r="AG85" s="385"/>
      <c r="AH85" s="182">
        <f t="shared" si="2"/>
        <v>50</v>
      </c>
    </row>
  </sheetData>
  <autoFilter ref="A3:AL47" xr:uid="{F5FB43B8-1ECE-4FE7-8241-98814406AEAE}">
    <sortState xmlns:xlrd2="http://schemas.microsoft.com/office/spreadsheetml/2017/richdata2" ref="A4:AL242">
      <sortCondition descending="1" ref="H3:H47"/>
    </sortState>
  </autoFilter>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93D16-0A7E-44A7-8B76-8E2842027ED7}">
  <dimension ref="B1:M49"/>
  <sheetViews>
    <sheetView workbookViewId="0">
      <selection activeCell="E41" sqref="E41"/>
    </sheetView>
  </sheetViews>
  <sheetFormatPr defaultRowHeight="13.2" x14ac:dyDescent="0.25"/>
  <cols>
    <col min="2" max="2" width="9.6640625" bestFit="1" customWidth="1"/>
    <col min="3" max="3" width="43.6640625" customWidth="1"/>
    <col min="4" max="4" width="15.44140625" bestFit="1" customWidth="1"/>
    <col min="5" max="5" width="13.88671875" bestFit="1" customWidth="1"/>
    <col min="6" max="6" width="16" bestFit="1" customWidth="1"/>
    <col min="7" max="7" width="2.33203125" customWidth="1"/>
    <col min="8" max="8" width="15.44140625" bestFit="1" customWidth="1"/>
    <col min="9" max="9" width="13.88671875" bestFit="1" customWidth="1"/>
    <col min="10" max="10" width="16" bestFit="1" customWidth="1"/>
    <col min="11" max="11" width="63.5546875" customWidth="1"/>
    <col min="13" max="13" width="9.44140625" bestFit="1" customWidth="1"/>
  </cols>
  <sheetData>
    <row r="1" spans="2:13" ht="14.4" x14ac:dyDescent="0.3">
      <c r="D1" s="362"/>
      <c r="E1" s="362" t="s">
        <v>803</v>
      </c>
      <c r="F1" s="362"/>
      <c r="H1" s="362"/>
      <c r="I1" s="362" t="s">
        <v>802</v>
      </c>
      <c r="J1" s="362"/>
    </row>
    <row r="2" spans="2:13" x14ac:dyDescent="0.25">
      <c r="B2" s="363"/>
      <c r="C2" s="364"/>
      <c r="D2" s="365">
        <f>SUBTOTAL(9,D4:D27)</f>
        <v>19842082.280000005</v>
      </c>
      <c r="E2" s="365">
        <f>SUBTOTAL(9,E4:E27)</f>
        <v>3794382.76</v>
      </c>
      <c r="F2" s="365">
        <f>SUBTOTAL(9,F4:F27)</f>
        <v>16047699.52</v>
      </c>
      <c r="H2" s="365" t="e">
        <f>SUBTOTAL(9,H4:H27)</f>
        <v>#N/A</v>
      </c>
      <c r="I2" s="365" t="e">
        <f>SUBTOTAL(9,I4:I27)</f>
        <v>#N/A</v>
      </c>
      <c r="J2" s="365" t="e">
        <f>SUBTOTAL(9,J4:J27)</f>
        <v>#N/A</v>
      </c>
    </row>
    <row r="3" spans="2:13" ht="13.8" x14ac:dyDescent="0.25">
      <c r="B3" s="286" t="s">
        <v>338</v>
      </c>
      <c r="C3" s="286" t="s">
        <v>22</v>
      </c>
      <c r="D3" s="366" t="s">
        <v>17</v>
      </c>
      <c r="E3" s="367" t="s">
        <v>27</v>
      </c>
      <c r="F3" s="367" t="s">
        <v>8</v>
      </c>
      <c r="H3" s="366" t="s">
        <v>17</v>
      </c>
      <c r="I3" s="367" t="s">
        <v>27</v>
      </c>
      <c r="J3" s="367" t="s">
        <v>8</v>
      </c>
      <c r="K3" s="367" t="s">
        <v>777</v>
      </c>
    </row>
    <row r="4" spans="2:13" x14ac:dyDescent="0.25">
      <c r="B4" s="324" t="s">
        <v>543</v>
      </c>
      <c r="C4" s="325" t="s">
        <v>496</v>
      </c>
      <c r="D4" s="326">
        <v>5370037.1899999995</v>
      </c>
      <c r="E4" s="295">
        <v>16818.920000000002</v>
      </c>
      <c r="F4" s="295">
        <v>5353218.2699999996</v>
      </c>
      <c r="H4" s="326">
        <f>_xlfn.XLOOKUP(C4,'Clientes Consolidado.'!$C$4:$C$47,'Clientes Consolidado.'!$H$4:$H$47)</f>
        <v>2978434.34</v>
      </c>
      <c r="I4" s="326">
        <f>_xlfn.XLOOKUP(C4,'Clientes Consolidado.'!$C$4:$C$47,'Clientes Consolidado.'!$P$4:$P$47)</f>
        <v>16818.920000000002</v>
      </c>
      <c r="J4" s="298">
        <f>_xlfn.XLOOKUP(C4,'Clientes Consolidado.'!$C$4:$C$47,'Clientes Consolidado.'!$Q$4:$Q$47)</f>
        <v>2961615.42</v>
      </c>
      <c r="K4" s="327"/>
      <c r="M4" s="317"/>
    </row>
    <row r="5" spans="2:13" x14ac:dyDescent="0.25">
      <c r="B5" s="328" t="s">
        <v>543</v>
      </c>
      <c r="C5" s="296" t="s">
        <v>419</v>
      </c>
      <c r="D5" s="297">
        <v>3979397.8099999996</v>
      </c>
      <c r="E5" s="298">
        <v>5626.32</v>
      </c>
      <c r="F5" s="298">
        <v>3973771.4899999998</v>
      </c>
      <c r="H5" s="297">
        <f>_xlfn.XLOOKUP(C5,'Clientes Consolidado.'!$C$4:$C$47,'Clientes Consolidado.'!$H$4:$H$47)</f>
        <v>4089718.4999999995</v>
      </c>
      <c r="I5" s="297">
        <f>_xlfn.XLOOKUP(C5,'Clientes Consolidado.'!$C$4:$C$47,'Clientes Consolidado.'!$P$4:$P$47)</f>
        <v>5626.32</v>
      </c>
      <c r="J5" s="298">
        <f>_xlfn.XLOOKUP(C5,'Clientes Consolidado.'!$C$4:$C$47,'Clientes Consolidado.'!$Q$4:$Q$47)</f>
        <v>4084092.1799999997</v>
      </c>
      <c r="K5" s="329"/>
    </row>
    <row r="6" spans="2:13" x14ac:dyDescent="0.25">
      <c r="B6" s="328" t="s">
        <v>543</v>
      </c>
      <c r="C6" t="s">
        <v>30</v>
      </c>
      <c r="D6" s="297">
        <v>690300</v>
      </c>
      <c r="E6" s="298">
        <v>0</v>
      </c>
      <c r="F6" s="298">
        <v>690300</v>
      </c>
      <c r="H6" s="297">
        <f>_xlfn.XLOOKUP(C6,'Clientes Consolidado.'!$C$4:$C$47,'Clientes Consolidado.'!$H$4:$H$47)</f>
        <v>517338.2</v>
      </c>
      <c r="I6" s="297">
        <f>_xlfn.XLOOKUP(C6,'Clientes Consolidado.'!$C$4:$C$47,'Clientes Consolidado.'!$P$4:$P$47)</f>
        <v>0</v>
      </c>
      <c r="J6" s="298">
        <f>_xlfn.XLOOKUP(C6,'Clientes Consolidado.'!$C$4:$C$47,'Clientes Consolidado.'!$Q$4:$Q$47)</f>
        <v>517338.2</v>
      </c>
      <c r="K6" s="329"/>
    </row>
    <row r="7" spans="2:13" ht="14.4" x14ac:dyDescent="0.25">
      <c r="B7" s="330" t="s">
        <v>543</v>
      </c>
      <c r="C7" s="353" t="s">
        <v>526</v>
      </c>
      <c r="D7" s="354">
        <v>520371.3</v>
      </c>
      <c r="E7" s="299">
        <v>220406.5</v>
      </c>
      <c r="F7" s="299">
        <v>299964.79999999999</v>
      </c>
      <c r="H7" s="355">
        <f>_xlfn.XLOOKUP(C7,'Clientes Consolidado.'!$C$4:$C$47,'Clientes Consolidado.'!$H$4:$H$47)</f>
        <v>248897.61</v>
      </c>
      <c r="I7" s="360">
        <f>_xlfn.XLOOKUP(C7,'Clientes Consolidado.'!$C$4:$C$47,'Clientes Consolidado.'!$P$4:$P$47)</f>
        <v>0</v>
      </c>
      <c r="J7" s="374">
        <f>_xlfn.XLOOKUP(C7,'Clientes Consolidado.'!$C$4:$C$47,'Clientes Consolidado.'!$Q$4:$Q$47)</f>
        <v>248897.61</v>
      </c>
      <c r="K7" s="375"/>
    </row>
    <row r="8" spans="2:13" ht="14.4" x14ac:dyDescent="0.25">
      <c r="B8" s="330" t="s">
        <v>543</v>
      </c>
      <c r="C8" s="353" t="s">
        <v>119</v>
      </c>
      <c r="D8" s="354">
        <v>618802.80000000005</v>
      </c>
      <c r="E8" s="299">
        <v>149216.4</v>
      </c>
      <c r="F8" s="299">
        <v>469586.4</v>
      </c>
      <c r="H8" s="355">
        <f>_xlfn.XLOOKUP(C8,'Clientes Consolidado.'!$C$4:$C$47,'Clientes Consolidado.'!$H$4:$H$47)</f>
        <v>793811.7</v>
      </c>
      <c r="I8" s="360">
        <f>_xlfn.XLOOKUP(C8,'Clientes Consolidado.'!$C$4:$C$47,'Clientes Consolidado.'!$P$4:$P$47)</f>
        <v>315971.7</v>
      </c>
      <c r="J8" s="374">
        <f>_xlfn.XLOOKUP(C8,'Clientes Consolidado.'!$C$4:$C$47,'Clientes Consolidado.'!$Q$4:$Q$47)</f>
        <v>477840</v>
      </c>
      <c r="K8" s="375"/>
    </row>
    <row r="9" spans="2:13" ht="14.4" x14ac:dyDescent="0.25">
      <c r="B9" s="330" t="s">
        <v>543</v>
      </c>
      <c r="C9" s="353" t="s">
        <v>528</v>
      </c>
      <c r="D9" s="354">
        <v>1682538.8</v>
      </c>
      <c r="E9" s="299">
        <v>0</v>
      </c>
      <c r="F9" s="354">
        <v>1682538.8</v>
      </c>
      <c r="H9" s="355">
        <f>_xlfn.XLOOKUP(C9,'Clientes Consolidado.'!$C$4:$C$47,'Clientes Consolidado.'!$H$4:$H$47)</f>
        <v>409551.4</v>
      </c>
      <c r="I9" s="360">
        <f>_xlfn.XLOOKUP(C9,'Clientes Consolidado.'!$C$4:$C$47,'Clientes Consolidado.'!$P$4:$P$47)</f>
        <v>0</v>
      </c>
      <c r="J9" s="374">
        <f>_xlfn.XLOOKUP(C9,'Clientes Consolidado.'!$C$4:$C$47,'Clientes Consolidado.'!$Q$4:$Q$47)</f>
        <v>409551.4</v>
      </c>
      <c r="K9" s="375"/>
    </row>
    <row r="10" spans="2:13" x14ac:dyDescent="0.25">
      <c r="B10" s="331" t="s">
        <v>543</v>
      </c>
      <c r="C10" s="323" t="s">
        <v>53</v>
      </c>
      <c r="D10" s="322">
        <v>226233.60000000001</v>
      </c>
      <c r="E10" s="300">
        <v>226233.60000000001</v>
      </c>
      <c r="F10" s="300">
        <v>0</v>
      </c>
      <c r="H10" s="356">
        <f>_xlfn.XLOOKUP(C10,'Clientes Consolidado.'!$C$4:$C$47,'Clientes Consolidado.'!$H$4:$H$47)</f>
        <v>226233.60000000001</v>
      </c>
      <c r="I10" s="322">
        <f>_xlfn.XLOOKUP(C10,'Clientes Consolidado.'!$C$4:$C$47,'Clientes Consolidado.'!$P$4:$P$47)</f>
        <v>226233.60000000001</v>
      </c>
      <c r="J10" s="300">
        <f>_xlfn.XLOOKUP(C10,'Clientes Consolidado.'!$C$4:$C$47,'Clientes Consolidado.'!$Q$4:$Q$47)</f>
        <v>0</v>
      </c>
      <c r="K10" s="332"/>
    </row>
    <row r="11" spans="2:13" x14ac:dyDescent="0.25">
      <c r="B11" s="331" t="s">
        <v>543</v>
      </c>
      <c r="C11" s="323" t="s">
        <v>293</v>
      </c>
      <c r="D11" s="322">
        <v>213750</v>
      </c>
      <c r="E11" s="300">
        <v>213750</v>
      </c>
      <c r="F11" s="300">
        <v>0</v>
      </c>
      <c r="H11" s="356" t="e">
        <f>_xlfn.XLOOKUP(C11,'Clientes Consolidado.'!$C$4:$C$47,'Clientes Consolidado.'!$H$4:$H$47)</f>
        <v>#N/A</v>
      </c>
      <c r="I11" s="322" t="e">
        <f>_xlfn.XLOOKUP(C11,'Clientes Consolidado.'!$C$4:$C$47,'Clientes Consolidado.'!$P$4:$P$47)</f>
        <v>#N/A</v>
      </c>
      <c r="J11" s="300" t="e">
        <f>_xlfn.XLOOKUP(C11,'Clientes Consolidado.'!$C$4:$C$47,'Clientes Consolidado.'!$Q$4:$Q$47)</f>
        <v>#N/A</v>
      </c>
      <c r="K11" s="332"/>
    </row>
    <row r="12" spans="2:13" x14ac:dyDescent="0.25">
      <c r="B12" s="328" t="s">
        <v>543</v>
      </c>
      <c r="C12" s="301" t="s">
        <v>650</v>
      </c>
      <c r="D12" s="352">
        <v>103960.4</v>
      </c>
      <c r="E12" s="302">
        <v>3393</v>
      </c>
      <c r="F12" s="302">
        <v>100567.4</v>
      </c>
      <c r="H12" s="357" t="e">
        <f>_xlfn.XLOOKUP(C12,'Clientes Consolidado.'!$C$4:$C$47,'Clientes Consolidado.'!$H$4:$H$47)</f>
        <v>#N/A</v>
      </c>
      <c r="I12" s="297" t="e">
        <f>_xlfn.XLOOKUP(C12,'Clientes Consolidado.'!$C$4:$C$47,'Clientes Consolidado.'!$P$4:$P$47)</f>
        <v>#N/A</v>
      </c>
      <c r="J12" s="298" t="e">
        <f>_xlfn.XLOOKUP(C12,'Clientes Consolidado.'!$C$4:$C$47,'Clientes Consolidado.'!$Q$4:$Q$47)</f>
        <v>#N/A</v>
      </c>
      <c r="K12" s="329"/>
    </row>
    <row r="13" spans="2:13" x14ac:dyDescent="0.25">
      <c r="B13" s="328" t="s">
        <v>543</v>
      </c>
      <c r="C13" s="296" t="s">
        <v>90</v>
      </c>
      <c r="D13" s="297">
        <v>20940</v>
      </c>
      <c r="E13" s="298">
        <v>20940</v>
      </c>
      <c r="F13" s="298">
        <v>0</v>
      </c>
      <c r="H13" s="357" t="e">
        <f>_xlfn.XLOOKUP(C13,'Clientes Consolidado.'!$C$4:$C$47,'Clientes Consolidado.'!$H$4:$H$47)</f>
        <v>#N/A</v>
      </c>
      <c r="I13" s="297" t="e">
        <f>_xlfn.XLOOKUP(C13,'Clientes Consolidado.'!$C$4:$C$47,'Clientes Consolidado.'!$P$4:$P$47)</f>
        <v>#N/A</v>
      </c>
      <c r="J13" s="298" t="e">
        <f>_xlfn.XLOOKUP(C13,'Clientes Consolidado.'!$C$4:$C$47,'Clientes Consolidado.'!$Q$4:$Q$47)</f>
        <v>#N/A</v>
      </c>
      <c r="K13" s="329"/>
    </row>
    <row r="14" spans="2:13" x14ac:dyDescent="0.25">
      <c r="B14" s="328" t="s">
        <v>543</v>
      </c>
      <c r="C14" s="296" t="s">
        <v>382</v>
      </c>
      <c r="D14" s="297">
        <v>300</v>
      </c>
      <c r="E14" s="298">
        <v>300</v>
      </c>
      <c r="F14" s="298">
        <v>0</v>
      </c>
      <c r="H14" s="357" t="e">
        <f>_xlfn.XLOOKUP(C14,'Clientes Consolidado.'!$C$4:$C$47,'Clientes Consolidado.'!$H$4:$H$47)</f>
        <v>#N/A</v>
      </c>
      <c r="I14" s="297" t="e">
        <f>_xlfn.XLOOKUP(C14,'Clientes Consolidado.'!$C$4:$C$47,'Clientes Consolidado.'!$P$4:$P$47)</f>
        <v>#N/A</v>
      </c>
      <c r="J14" s="298" t="e">
        <f>_xlfn.XLOOKUP(C14,'Clientes Consolidado.'!$C$4:$C$47,'Clientes Consolidado.'!$Q$4:$Q$47)</f>
        <v>#N/A</v>
      </c>
      <c r="K14" s="329"/>
    </row>
    <row r="15" spans="2:13" x14ac:dyDescent="0.25">
      <c r="B15" s="328" t="s">
        <v>543</v>
      </c>
      <c r="C15" s="296" t="s">
        <v>264</v>
      </c>
      <c r="D15" s="297">
        <v>100</v>
      </c>
      <c r="E15" s="298">
        <v>100</v>
      </c>
      <c r="F15" s="298">
        <v>0</v>
      </c>
      <c r="H15" s="357" t="e">
        <f>_xlfn.XLOOKUP(C15,'Clientes Consolidado.'!$C$4:$C$47,'Clientes Consolidado.'!$H$4:$H$47)</f>
        <v>#N/A</v>
      </c>
      <c r="I15" s="297" t="e">
        <f>_xlfn.XLOOKUP(C15,'Clientes Consolidado.'!$C$4:$C$47,'Clientes Consolidado.'!$P$4:$P$47)</f>
        <v>#N/A</v>
      </c>
      <c r="J15" s="298" t="e">
        <f>_xlfn.XLOOKUP(C15,'Clientes Consolidado.'!$C$4:$C$47,'Clientes Consolidado.'!$Q$4:$Q$47)</f>
        <v>#N/A</v>
      </c>
      <c r="K15" s="329"/>
    </row>
    <row r="16" spans="2:13" x14ac:dyDescent="0.25">
      <c r="B16" s="328" t="s">
        <v>543</v>
      </c>
      <c r="C16" s="301" t="s">
        <v>308</v>
      </c>
      <c r="D16" s="352">
        <v>50</v>
      </c>
      <c r="E16" s="302">
        <v>50</v>
      </c>
      <c r="F16" s="302">
        <v>0</v>
      </c>
      <c r="H16" s="357" t="e">
        <f>_xlfn.XLOOKUP(C16,'Clientes Consolidado.'!$C$4:$C$47,'Clientes Consolidado.'!$H$4:$H$47)</f>
        <v>#N/A</v>
      </c>
      <c r="I16" s="297" t="e">
        <f>_xlfn.XLOOKUP(C16,'Clientes Consolidado.'!$C$4:$C$47,'Clientes Consolidado.'!$P$4:$P$47)</f>
        <v>#N/A</v>
      </c>
      <c r="J16" s="298" t="e">
        <f>_xlfn.XLOOKUP(C16,'Clientes Consolidado.'!$C$4:$C$47,'Clientes Consolidado.'!$Q$4:$Q$47)</f>
        <v>#N/A</v>
      </c>
      <c r="K16" s="329"/>
    </row>
    <row r="17" spans="2:11" x14ac:dyDescent="0.25">
      <c r="B17" s="335" t="s">
        <v>341</v>
      </c>
      <c r="C17" s="336" t="s">
        <v>269</v>
      </c>
      <c r="D17" s="337">
        <v>988506.24</v>
      </c>
      <c r="E17" s="303">
        <v>988506.24</v>
      </c>
      <c r="F17" s="303">
        <v>0</v>
      </c>
      <c r="H17" s="361">
        <f>_xlfn.XLOOKUP(C17,'Clientes Consolidado.'!$C$4:$C$47,'Clientes Consolidado.'!$H$4:$H$47)</f>
        <v>988506.24</v>
      </c>
      <c r="I17" s="337">
        <f>_xlfn.XLOOKUP(C17,'Clientes Consolidado.'!$C$4:$C$47,'Clientes Consolidado.'!$P$4:$P$47)</f>
        <v>988506.24</v>
      </c>
      <c r="J17" s="303">
        <f>_xlfn.XLOOKUP(C17,'Clientes Consolidado.'!$C$4:$C$47,'Clientes Consolidado.'!$Q$4:$Q$47)</f>
        <v>0</v>
      </c>
      <c r="K17" s="338"/>
    </row>
    <row r="18" spans="2:11" x14ac:dyDescent="0.25">
      <c r="B18" s="328" t="s">
        <v>341</v>
      </c>
      <c r="C18" s="296" t="s">
        <v>423</v>
      </c>
      <c r="D18" s="297">
        <v>659074</v>
      </c>
      <c r="E18" s="298">
        <v>659074</v>
      </c>
      <c r="F18" s="298">
        <v>0</v>
      </c>
      <c r="H18" s="357" t="e">
        <f>_xlfn.XLOOKUP(C18,'Clientes Consolidado.'!$C$4:$C$47,'Clientes Consolidado.'!$H$4:$H$47)</f>
        <v>#N/A</v>
      </c>
      <c r="I18" s="297" t="e">
        <f>_xlfn.XLOOKUP(C18,'Clientes Consolidado.'!$C$4:$C$47,'Clientes Consolidado.'!$P$4:$P$47)</f>
        <v>#N/A</v>
      </c>
      <c r="J18" s="298" t="e">
        <f>_xlfn.XLOOKUP(C18,'Clientes Consolidado.'!$C$4:$C$47,'Clientes Consolidado.'!$Q$4:$Q$47)</f>
        <v>#N/A</v>
      </c>
      <c r="K18" s="329"/>
    </row>
    <row r="19" spans="2:11" x14ac:dyDescent="0.25">
      <c r="B19" s="333" t="s">
        <v>341</v>
      </c>
      <c r="C19" s="339" t="s">
        <v>83</v>
      </c>
      <c r="D19" s="340">
        <v>2357440.4499999997</v>
      </c>
      <c r="E19" s="304">
        <v>0</v>
      </c>
      <c r="F19" s="304">
        <v>2357440.4499999997</v>
      </c>
      <c r="H19" s="358">
        <f>_xlfn.XLOOKUP(C19,'Clientes Consolidado.'!$C$4:$C$47,'Clientes Consolidado.'!$H$4:$H$47)</f>
        <v>410856.52</v>
      </c>
      <c r="I19" s="340">
        <f>_xlfn.XLOOKUP(C19,'Clientes Consolidado.'!$C$4:$C$47,'Clientes Consolidado.'!$P$4:$P$47)</f>
        <v>0</v>
      </c>
      <c r="J19" s="304">
        <f>_xlfn.XLOOKUP(C19,'Clientes Consolidado.'!$C$4:$C$47,'Clientes Consolidado.'!$Q$4:$Q$47)</f>
        <v>410856.52</v>
      </c>
      <c r="K19" s="334"/>
    </row>
    <row r="20" spans="2:11" ht="20.399999999999999" customHeight="1" x14ac:dyDescent="0.25">
      <c r="B20" s="341" t="s">
        <v>522</v>
      </c>
      <c r="C20" s="342" t="s">
        <v>615</v>
      </c>
      <c r="D20" s="343">
        <v>89211.36</v>
      </c>
      <c r="E20" s="305">
        <v>89211.36</v>
      </c>
      <c r="F20" s="305">
        <v>0</v>
      </c>
      <c r="H20" s="355" t="e">
        <f>_xlfn.XLOOKUP(C20,'Clientes Consolidado.'!$C$4:$C$47,'Clientes Consolidado.'!$H$4:$H$47)</f>
        <v>#N/A</v>
      </c>
      <c r="I20" s="360" t="e">
        <f>_xlfn.XLOOKUP(C20,'Clientes Consolidado.'!$C$4:$C$47,'Clientes Consolidado.'!$P$4:$P$47)</f>
        <v>#N/A</v>
      </c>
      <c r="J20" s="374" t="e">
        <f>_xlfn.XLOOKUP(C20,'Clientes Consolidado.'!$C$4:$C$47,'Clientes Consolidado.'!$Q$4:$Q$47)</f>
        <v>#N/A</v>
      </c>
      <c r="K20" s="344"/>
    </row>
    <row r="21" spans="2:11" x14ac:dyDescent="0.25">
      <c r="B21" s="345" t="s">
        <v>522</v>
      </c>
      <c r="C21" s="376" t="s">
        <v>373</v>
      </c>
      <c r="D21" s="377">
        <v>845708.19</v>
      </c>
      <c r="E21" s="306">
        <v>420567.82</v>
      </c>
      <c r="F21" s="306">
        <v>425140.37</v>
      </c>
      <c r="H21" s="355" t="e">
        <f>_xlfn.XLOOKUP(C21,'Clientes Consolidado.'!$C$4:$C$47,'Clientes Consolidado.'!$H$4:$H$47)</f>
        <v>#N/A</v>
      </c>
      <c r="I21" s="360" t="e">
        <f>_xlfn.XLOOKUP(C21,'Clientes Consolidado.'!$C$4:$C$47,'Clientes Consolidado.'!$P$4:$P$47)</f>
        <v>#N/A</v>
      </c>
      <c r="J21" s="374" t="e">
        <f>_xlfn.XLOOKUP(C21,'Clientes Consolidado.'!$C$4:$C$47,'Clientes Consolidado.'!$Q$4:$Q$47)</f>
        <v>#N/A</v>
      </c>
      <c r="K21" s="346"/>
    </row>
    <row r="22" spans="2:11" x14ac:dyDescent="0.25">
      <c r="B22" s="345" t="s">
        <v>522</v>
      </c>
      <c r="C22" s="376" t="s">
        <v>127</v>
      </c>
      <c r="D22" s="377">
        <v>449507.68999999994</v>
      </c>
      <c r="E22" s="306">
        <v>449507.68999999994</v>
      </c>
      <c r="F22" s="306">
        <v>0</v>
      </c>
      <c r="H22" s="355">
        <f>_xlfn.XLOOKUP(C22,'Clientes Consolidado.'!$C$4:$C$47,'Clientes Consolidado.'!$H$4:$H$47)</f>
        <v>449507.68999999994</v>
      </c>
      <c r="I22" s="360">
        <f>_xlfn.XLOOKUP(C22,'Clientes Consolidado.'!$C$4:$C$47,'Clientes Consolidado.'!$P$4:$P$47)</f>
        <v>449507.68999999994</v>
      </c>
      <c r="J22" s="374">
        <f>_xlfn.XLOOKUP(C22,'Clientes Consolidado.'!$C$4:$C$47,'Clientes Consolidado.'!$Q$4:$Q$47)</f>
        <v>0</v>
      </c>
      <c r="K22" s="346"/>
    </row>
    <row r="23" spans="2:11" x14ac:dyDescent="0.25">
      <c r="B23" s="345" t="s">
        <v>522</v>
      </c>
      <c r="C23" s="376" t="s">
        <v>294</v>
      </c>
      <c r="D23" s="377">
        <v>510177.36</v>
      </c>
      <c r="E23" s="306">
        <v>0</v>
      </c>
      <c r="F23" s="306">
        <v>510177.36</v>
      </c>
      <c r="H23" s="355">
        <f>_xlfn.XLOOKUP(C23,'Clientes Consolidado.'!$C$4:$C$47,'Clientes Consolidado.'!$H$4:$H$47)</f>
        <v>350009.44999999995</v>
      </c>
      <c r="I23" s="360">
        <f>_xlfn.XLOOKUP(C23,'Clientes Consolidado.'!$C$4:$C$47,'Clientes Consolidado.'!$P$4:$P$47)</f>
        <v>0</v>
      </c>
      <c r="J23" s="374">
        <f>_xlfn.XLOOKUP(C23,'Clientes Consolidado.'!$C$4:$C$47,'Clientes Consolidado.'!$Q$4:$Q$47)</f>
        <v>350009.44999999995</v>
      </c>
      <c r="K23" s="346"/>
    </row>
    <row r="24" spans="2:11" x14ac:dyDescent="0.25">
      <c r="B24" s="345" t="s">
        <v>522</v>
      </c>
      <c r="C24" s="376" t="s">
        <v>657</v>
      </c>
      <c r="D24" s="377">
        <v>237744.12</v>
      </c>
      <c r="E24" s="306">
        <v>237744.12</v>
      </c>
      <c r="F24" s="306">
        <v>0</v>
      </c>
      <c r="H24" s="355" t="e">
        <f>_xlfn.XLOOKUP(C24,'Clientes Consolidado.'!$C$4:$C$47,'Clientes Consolidado.'!$H$4:$H$47)</f>
        <v>#N/A</v>
      </c>
      <c r="I24" s="360" t="e">
        <f>_xlfn.XLOOKUP(C24,'Clientes Consolidado.'!$C$4:$C$47,'Clientes Consolidado.'!$P$4:$P$47)</f>
        <v>#N/A</v>
      </c>
      <c r="J24" s="374" t="e">
        <f>_xlfn.XLOOKUP(C24,'Clientes Consolidado.'!$C$4:$C$47,'Clientes Consolidado.'!$Q$4:$Q$47)</f>
        <v>#N/A</v>
      </c>
      <c r="K24" s="346"/>
    </row>
    <row r="25" spans="2:11" x14ac:dyDescent="0.25">
      <c r="B25" s="345" t="s">
        <v>522</v>
      </c>
      <c r="C25" s="376" t="s">
        <v>488</v>
      </c>
      <c r="D25" s="377">
        <v>63312.81</v>
      </c>
      <c r="E25" s="306">
        <v>63312.81</v>
      </c>
      <c r="F25" s="306">
        <v>0</v>
      </c>
      <c r="H25" s="355" t="e">
        <f>_xlfn.XLOOKUP(C25,'Clientes Consolidado.'!$C$4:$C$47,'Clientes Consolidado.'!$H$4:$H$47)</f>
        <v>#N/A</v>
      </c>
      <c r="I25" s="360" t="e">
        <f>_xlfn.XLOOKUP(C25,'Clientes Consolidado.'!$C$4:$C$47,'Clientes Consolidado.'!$P$4:$P$47)</f>
        <v>#N/A</v>
      </c>
      <c r="J25" s="374" t="e">
        <f>_xlfn.XLOOKUP(C25,'Clientes Consolidado.'!$C$4:$C$47,'Clientes Consolidado.'!$Q$4:$Q$47)</f>
        <v>#N/A</v>
      </c>
      <c r="K25" s="347"/>
    </row>
    <row r="26" spans="2:11" x14ac:dyDescent="0.25">
      <c r="B26" s="345" t="s">
        <v>522</v>
      </c>
      <c r="C26" s="376" t="s">
        <v>437</v>
      </c>
      <c r="D26" s="377">
        <v>29096.7</v>
      </c>
      <c r="E26" s="306">
        <v>29096.7</v>
      </c>
      <c r="F26" s="306">
        <v>0</v>
      </c>
      <c r="H26" s="355" t="e">
        <f>_xlfn.XLOOKUP(C26,'Clientes Consolidado.'!$C$4:$C$47,'Clientes Consolidado.'!$H$4:$H$47)</f>
        <v>#N/A</v>
      </c>
      <c r="I26" s="360" t="e">
        <f>_xlfn.XLOOKUP(C26,'Clientes Consolidado.'!$C$4:$C$47,'Clientes Consolidado.'!$P$4:$P$47)</f>
        <v>#N/A</v>
      </c>
      <c r="J26" s="374" t="e">
        <f>_xlfn.XLOOKUP(C26,'Clientes Consolidado.'!$C$4:$C$47,'Clientes Consolidado.'!$Q$4:$Q$47)</f>
        <v>#N/A</v>
      </c>
      <c r="K26" s="346"/>
    </row>
    <row r="27" spans="2:11" x14ac:dyDescent="0.25">
      <c r="B27" s="348" t="s">
        <v>522</v>
      </c>
      <c r="C27" s="349" t="s">
        <v>670</v>
      </c>
      <c r="D27" s="350">
        <v>185521.46</v>
      </c>
      <c r="E27" s="307">
        <v>527.28</v>
      </c>
      <c r="F27" s="307">
        <v>184994.18</v>
      </c>
      <c r="H27" s="359" t="e">
        <f>_xlfn.XLOOKUP(C27,'Clientes Consolidado.'!$C$4:$C$47,'Clientes Consolidado.'!$H$4:$H$47)</f>
        <v>#N/A</v>
      </c>
      <c r="I27" s="368" t="e">
        <f>_xlfn.XLOOKUP(C27,'Clientes Consolidado.'!$C$4:$C$47,'Clientes Consolidado.'!$P$4:$P$47)</f>
        <v>#N/A</v>
      </c>
      <c r="J27" s="378" t="e">
        <f>_xlfn.XLOOKUP(C27,'Clientes Consolidado.'!$C$4:$C$47,'Clientes Consolidado.'!$Q$4:$Q$47)</f>
        <v>#N/A</v>
      </c>
      <c r="K27" s="351"/>
    </row>
    <row r="28" spans="2:11" x14ac:dyDescent="0.25">
      <c r="B28" s="301"/>
      <c r="C28" s="296"/>
      <c r="D28" s="297"/>
      <c r="E28" s="298"/>
      <c r="F28" s="298"/>
      <c r="H28" s="297"/>
      <c r="I28" s="298"/>
      <c r="J28" s="298"/>
      <c r="K28" s="308"/>
    </row>
    <row r="29" spans="2:11" ht="14.4" thickBot="1" x14ac:dyDescent="0.3">
      <c r="B29" s="439" t="s">
        <v>338</v>
      </c>
      <c r="C29" s="439"/>
      <c r="D29" s="309" t="s">
        <v>17</v>
      </c>
      <c r="E29" s="310" t="s">
        <v>27</v>
      </c>
      <c r="F29" s="310" t="s">
        <v>8</v>
      </c>
      <c r="H29" s="309" t="s">
        <v>17</v>
      </c>
      <c r="I29" s="310" t="s">
        <v>27</v>
      </c>
      <c r="J29" s="310" t="s">
        <v>8</v>
      </c>
      <c r="K29" s="308"/>
    </row>
    <row r="30" spans="2:11" x14ac:dyDescent="0.25">
      <c r="B30" s="440" t="s">
        <v>543</v>
      </c>
      <c r="C30" s="440"/>
      <c r="D30" s="36">
        <f>SUM(D4:D16)</f>
        <v>13426781.900000002</v>
      </c>
      <c r="E30" s="36">
        <f>SUM(E4:E16)</f>
        <v>856834.74</v>
      </c>
      <c r="F30" s="36">
        <f>SUM(F4:F16)</f>
        <v>12569947.160000002</v>
      </c>
      <c r="H30" s="36" t="e">
        <f>SUM(H4:H16)</f>
        <v>#N/A</v>
      </c>
      <c r="I30" s="36" t="e">
        <f>SUM(I4:I16)</f>
        <v>#N/A</v>
      </c>
      <c r="J30" s="36" t="e">
        <f>SUM(J4:J16)</f>
        <v>#N/A</v>
      </c>
      <c r="K30" s="308"/>
    </row>
    <row r="31" spans="2:11" x14ac:dyDescent="0.25">
      <c r="B31" s="441" t="s">
        <v>341</v>
      </c>
      <c r="C31" s="441"/>
      <c r="D31" s="36">
        <f>+SUM(D17:D19)</f>
        <v>4005020.6899999995</v>
      </c>
      <c r="E31" s="36">
        <f>+SUM(E17:E19)</f>
        <v>1647580.24</v>
      </c>
      <c r="F31" s="36">
        <f>+SUM(F17:F19)</f>
        <v>2357440.4499999997</v>
      </c>
      <c r="H31" s="36" t="e">
        <f>+SUM(H17:H19)</f>
        <v>#N/A</v>
      </c>
      <c r="I31" s="36" t="e">
        <f>+SUM(I17:I19)</f>
        <v>#N/A</v>
      </c>
      <c r="J31" s="36" t="e">
        <f>+SUM(J17:J19)</f>
        <v>#N/A</v>
      </c>
      <c r="K31" s="308"/>
    </row>
    <row r="32" spans="2:11" x14ac:dyDescent="0.25">
      <c r="B32" s="441" t="s">
        <v>522</v>
      </c>
      <c r="C32" s="441"/>
      <c r="D32" s="36">
        <f>+SUM(D20:D27)</f>
        <v>2410279.69</v>
      </c>
      <c r="E32" s="36">
        <f>+SUM(E20:E27)</f>
        <v>1289967.7799999998</v>
      </c>
      <c r="F32" s="36">
        <f>+SUM(F20:F27)</f>
        <v>1120311.9099999999</v>
      </c>
      <c r="H32" s="36" t="e">
        <f>+SUM(H20:H27)</f>
        <v>#N/A</v>
      </c>
      <c r="I32" s="36" t="e">
        <f>+SUM(I20:I27)</f>
        <v>#N/A</v>
      </c>
      <c r="J32" s="36" t="e">
        <f>+SUM(J20:J27)</f>
        <v>#N/A</v>
      </c>
      <c r="K32" s="308"/>
    </row>
    <row r="33" spans="2:11" ht="4.95" customHeight="1" x14ac:dyDescent="0.25">
      <c r="K33" s="308"/>
    </row>
    <row r="34" spans="2:11" ht="14.4" x14ac:dyDescent="0.3">
      <c r="B34" s="311" t="s">
        <v>350</v>
      </c>
      <c r="C34" s="312"/>
      <c r="D34" s="313">
        <f>+D32+D31+D30</f>
        <v>19842082.280000001</v>
      </c>
      <c r="E34" s="313">
        <f>+E32+E31+E30</f>
        <v>3794382.76</v>
      </c>
      <c r="F34" s="313">
        <f>+F32+F31+F30</f>
        <v>16047699.520000001</v>
      </c>
      <c r="H34" s="313" t="e">
        <f>+H32+H31+H30</f>
        <v>#N/A</v>
      </c>
      <c r="I34" s="313" t="e">
        <f>+I32+I31+I30</f>
        <v>#N/A</v>
      </c>
      <c r="J34" s="313" t="e">
        <f>+J32+J31+J30</f>
        <v>#N/A</v>
      </c>
    </row>
    <row r="35" spans="2:11" ht="14.4" x14ac:dyDescent="0.3">
      <c r="C35" s="312"/>
      <c r="D35" s="312"/>
      <c r="E35" s="312"/>
      <c r="F35" s="312"/>
      <c r="H35" s="312"/>
      <c r="I35" s="312"/>
      <c r="J35" s="312"/>
    </row>
    <row r="36" spans="2:11" ht="14.4" customHeight="1" x14ac:dyDescent="0.3">
      <c r="B36" s="442" t="s">
        <v>778</v>
      </c>
      <c r="C36" s="442"/>
      <c r="D36" s="442"/>
      <c r="E36" s="313">
        <f>E7+E9+E8</f>
        <v>369622.9</v>
      </c>
      <c r="H36" t="s">
        <v>778</v>
      </c>
      <c r="I36" s="313">
        <f>+I7+I9</f>
        <v>0</v>
      </c>
    </row>
    <row r="37" spans="2:11" ht="14.4" x14ac:dyDescent="0.3">
      <c r="B37" s="442" t="s">
        <v>779</v>
      </c>
      <c r="C37" s="442"/>
      <c r="D37" s="442"/>
      <c r="E37" s="314">
        <f>SUM(E20:E27)</f>
        <v>1289967.7799999998</v>
      </c>
      <c r="H37" t="s">
        <v>779</v>
      </c>
      <c r="I37" s="314" t="e">
        <f>SUM(I20:I27)</f>
        <v>#N/A</v>
      </c>
    </row>
    <row r="38" spans="2:11" ht="14.4" x14ac:dyDescent="0.25">
      <c r="E38" s="315">
        <f>(+E36+E37)/E34</f>
        <v>0.43738093518008703</v>
      </c>
      <c r="F38" s="316" t="s">
        <v>780</v>
      </c>
      <c r="I38" s="315" t="e">
        <f>(+I36+I37)/I34</f>
        <v>#N/A</v>
      </c>
      <c r="J38" s="316" t="s">
        <v>780</v>
      </c>
    </row>
    <row r="40" spans="2:11" ht="14.4" thickBot="1" x14ac:dyDescent="0.3">
      <c r="B40" s="439" t="s">
        <v>338</v>
      </c>
      <c r="C40" s="439"/>
      <c r="D40" s="309" t="s">
        <v>17</v>
      </c>
      <c r="E40" s="310" t="s">
        <v>27</v>
      </c>
      <c r="F40" s="310" t="s">
        <v>8</v>
      </c>
    </row>
    <row r="41" spans="2:11" x14ac:dyDescent="0.25">
      <c r="B41" s="440" t="s">
        <v>543</v>
      </c>
      <c r="C41" s="440"/>
      <c r="D41" s="369" t="e">
        <f>SUM(H4:H16)</f>
        <v>#N/A</v>
      </c>
      <c r="E41" s="369" t="e">
        <f>SUM(I4:I16)</f>
        <v>#N/A</v>
      </c>
      <c r="F41" s="369" t="e">
        <f>SUM(J4:J16)</f>
        <v>#N/A</v>
      </c>
    </row>
    <row r="42" spans="2:11" x14ac:dyDescent="0.25">
      <c r="B42" s="441" t="s">
        <v>341</v>
      </c>
      <c r="C42" s="441"/>
      <c r="D42" s="369" t="e">
        <f>+SUM(H17:H19)</f>
        <v>#N/A</v>
      </c>
      <c r="E42" s="369" t="e">
        <f>+SUM(I17:I19)</f>
        <v>#N/A</v>
      </c>
      <c r="F42" s="369" t="e">
        <f>+SUM(J17:J19)</f>
        <v>#N/A</v>
      </c>
    </row>
    <row r="43" spans="2:11" x14ac:dyDescent="0.25">
      <c r="B43" s="441" t="s">
        <v>522</v>
      </c>
      <c r="C43" s="441"/>
      <c r="D43" s="369" t="e">
        <f>+SUM(H20:H27)</f>
        <v>#N/A</v>
      </c>
      <c r="E43" s="369" t="e">
        <f>+SUM(I20:I27)</f>
        <v>#N/A</v>
      </c>
      <c r="F43" s="369" t="e">
        <f>+SUM(J20:J27)</f>
        <v>#N/A</v>
      </c>
    </row>
    <row r="44" spans="2:11" x14ac:dyDescent="0.25">
      <c r="B44" s="253"/>
      <c r="C44" s="253"/>
      <c r="D44" s="253"/>
      <c r="E44" s="253"/>
      <c r="F44" s="253"/>
    </row>
    <row r="45" spans="2:11" ht="14.4" x14ac:dyDescent="0.3">
      <c r="B45" s="311" t="s">
        <v>350</v>
      </c>
      <c r="C45" s="370"/>
      <c r="D45" s="371" t="e">
        <f>+D43+D42+D41</f>
        <v>#N/A</v>
      </c>
      <c r="E45" s="371" t="e">
        <f>+E43+E42+E41</f>
        <v>#N/A</v>
      </c>
      <c r="F45" s="371" t="e">
        <f>+F43+F42+F41</f>
        <v>#N/A</v>
      </c>
    </row>
    <row r="46" spans="2:11" ht="14.4" x14ac:dyDescent="0.3">
      <c r="B46" s="253"/>
      <c r="C46" s="370"/>
      <c r="D46" s="370"/>
      <c r="E46" s="370"/>
      <c r="F46" s="370"/>
    </row>
    <row r="47" spans="2:11" ht="15" customHeight="1" x14ac:dyDescent="0.3">
      <c r="B47" s="372"/>
      <c r="C47" s="372"/>
      <c r="D47" s="370" t="s">
        <v>778</v>
      </c>
      <c r="E47" s="371">
        <f>I7+I9+I8</f>
        <v>315971.7</v>
      </c>
      <c r="F47" s="253"/>
    </row>
    <row r="48" spans="2:11" ht="15" customHeight="1" x14ac:dyDescent="0.3">
      <c r="B48" s="372"/>
      <c r="C48" s="372"/>
      <c r="D48" s="370" t="s">
        <v>779</v>
      </c>
      <c r="E48" s="373" t="e">
        <f>SUM(I20:I27)</f>
        <v>#N/A</v>
      </c>
      <c r="F48" s="253"/>
    </row>
    <row r="49" spans="2:6" ht="14.4" x14ac:dyDescent="0.25">
      <c r="B49" s="253"/>
      <c r="C49" s="253"/>
      <c r="D49" s="253"/>
      <c r="E49" s="315" t="e">
        <f>(+E47+E48)/E45</f>
        <v>#N/A</v>
      </c>
      <c r="F49" s="316" t="s">
        <v>780</v>
      </c>
    </row>
  </sheetData>
  <mergeCells count="10">
    <mergeCell ref="B42:C42"/>
    <mergeCell ref="B43:C43"/>
    <mergeCell ref="B40:C40"/>
    <mergeCell ref="B36:D36"/>
    <mergeCell ref="B37:D37"/>
    <mergeCell ref="B29:C29"/>
    <mergeCell ref="B30:C30"/>
    <mergeCell ref="B31:C31"/>
    <mergeCell ref="B32:C32"/>
    <mergeCell ref="B41:C41"/>
  </mergeCells>
  <pageMargins left="0.511811024" right="0.511811024" top="0.78740157499999996" bottom="0.78740157499999996" header="0.31496062000000002" footer="0.3149606200000000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18680-E941-44EF-B65F-B4C2EF04F7E0}">
  <sheetPr>
    <tabColor rgb="FF00B050"/>
  </sheetPr>
  <dimension ref="A1:AC206"/>
  <sheetViews>
    <sheetView showGridLines="0" zoomScale="90" zoomScaleNormal="90" workbookViewId="0">
      <selection activeCell="H80" sqref="H80"/>
    </sheetView>
  </sheetViews>
  <sheetFormatPr defaultRowHeight="13.2" outlineLevelCol="1" x14ac:dyDescent="0.25"/>
  <cols>
    <col min="1" max="1" width="13.109375" bestFit="1" customWidth="1"/>
    <col min="2" max="2" width="19.77734375" customWidth="1"/>
    <col min="3" max="3" width="48.88671875" customWidth="1"/>
    <col min="4" max="4" width="13.21875" customWidth="1"/>
    <col min="5" max="5" width="15" customWidth="1"/>
    <col min="6" max="6" width="16.33203125" customWidth="1"/>
    <col min="7" max="7" width="17.5546875" customWidth="1"/>
    <col min="8" max="8" width="51.21875" bestFit="1" customWidth="1"/>
    <col min="9" max="9" width="2.33203125" style="253" customWidth="1"/>
    <col min="10" max="10" width="14.44140625" customWidth="1"/>
    <col min="11" max="11" width="13.109375" hidden="1" customWidth="1" outlineLevel="1"/>
    <col min="12" max="12" width="13" hidden="1" customWidth="1" outlineLevel="1"/>
    <col min="13" max="13" width="13.109375" hidden="1" customWidth="1" outlineLevel="1"/>
    <col min="14" max="14" width="12.44140625" hidden="1" customWidth="1" outlineLevel="1"/>
    <col min="15" max="15" width="15.109375" hidden="1" customWidth="1" outlineLevel="1"/>
    <col min="16" max="16" width="14.5546875" hidden="1" customWidth="1" outlineLevel="1"/>
    <col min="17" max="17" width="16.21875" hidden="1" customWidth="1" outlineLevel="1"/>
    <col min="18" max="18" width="16.5546875" customWidth="1" collapsed="1"/>
    <col min="19" max="19" width="11.5546875" hidden="1" customWidth="1" outlineLevel="1"/>
    <col min="20" max="20" width="13.44140625" hidden="1" customWidth="1" outlineLevel="1"/>
    <col min="21" max="21" width="12.88671875" hidden="1" customWidth="1" outlineLevel="1"/>
    <col min="22" max="22" width="12.21875" hidden="1" customWidth="1" outlineLevel="1"/>
    <col min="23" max="23" width="14.33203125" hidden="1" customWidth="1" outlineLevel="1"/>
    <col min="24" max="24" width="14" hidden="1" customWidth="1" outlineLevel="1"/>
    <col min="25" max="25" width="15.77734375" hidden="1" customWidth="1" outlineLevel="1"/>
    <col min="26" max="26" width="12.6640625" customWidth="1" collapsed="1"/>
    <col min="27" max="27" width="14.5546875" bestFit="1" customWidth="1"/>
    <col min="29" max="29" width="11.44140625" bestFit="1" customWidth="1"/>
  </cols>
  <sheetData>
    <row r="1" spans="1:29" x14ac:dyDescent="0.25">
      <c r="C1" s="414">
        <v>46142</v>
      </c>
      <c r="E1" s="402">
        <f>SUBTOTAL(9,E3:E997)</f>
        <v>59371742.749999985</v>
      </c>
      <c r="G1" s="32"/>
      <c r="H1" s="411"/>
      <c r="J1" s="402">
        <f>SUBTOTAL(9,J3:J997)</f>
        <v>35981290.859999992</v>
      </c>
      <c r="K1" s="128">
        <f>SUBTOTAL(9,K3:K997)</f>
        <v>16811754.989999998</v>
      </c>
      <c r="L1" s="128">
        <f>SUBTOTAL(9,L3:L84)</f>
        <v>12509468.439999999</v>
      </c>
      <c r="M1" s="128">
        <f t="shared" ref="M1:Z1" si="0">SUBTOTAL(9,M3:M997)</f>
        <v>4204236.49</v>
      </c>
      <c r="N1" s="128">
        <f t="shared" si="0"/>
        <v>186261.5</v>
      </c>
      <c r="O1" s="128">
        <f t="shared" si="0"/>
        <v>1796677.12</v>
      </c>
      <c r="P1" s="128">
        <f t="shared" si="0"/>
        <v>376122.31</v>
      </c>
      <c r="Q1" s="128">
        <f t="shared" si="0"/>
        <v>96770.01</v>
      </c>
      <c r="R1" s="402">
        <f t="shared" si="0"/>
        <v>1074699.7</v>
      </c>
      <c r="S1" s="128">
        <f t="shared" si="0"/>
        <v>537781.14</v>
      </c>
      <c r="T1" s="128">
        <f t="shared" si="0"/>
        <v>49440</v>
      </c>
      <c r="U1" s="128">
        <f t="shared" si="0"/>
        <v>0</v>
      </c>
      <c r="V1" s="128">
        <f t="shared" si="0"/>
        <v>14548.35</v>
      </c>
      <c r="W1" s="128">
        <f t="shared" si="0"/>
        <v>0</v>
      </c>
      <c r="X1" s="128">
        <f t="shared" si="0"/>
        <v>450099.17</v>
      </c>
      <c r="Y1" s="128">
        <f t="shared" si="0"/>
        <v>22831.040000000001</v>
      </c>
      <c r="Z1" s="402">
        <f t="shared" si="0"/>
        <v>22315752.189999998</v>
      </c>
      <c r="AC1" s="36"/>
    </row>
    <row r="2" spans="1:29" ht="46.8" customHeight="1" x14ac:dyDescent="0.25">
      <c r="B2" s="398" t="s">
        <v>338</v>
      </c>
      <c r="C2" s="398" t="s">
        <v>902</v>
      </c>
      <c r="D2" s="398" t="s">
        <v>896</v>
      </c>
      <c r="E2" s="398" t="s">
        <v>897</v>
      </c>
      <c r="F2" s="398" t="s">
        <v>477</v>
      </c>
      <c r="G2" s="398" t="s">
        <v>478</v>
      </c>
      <c r="H2" s="398" t="s">
        <v>898</v>
      </c>
      <c r="I2" s="399"/>
      <c r="J2" s="398" t="s">
        <v>899</v>
      </c>
      <c r="K2" s="400" t="s">
        <v>9</v>
      </c>
      <c r="L2" s="400" t="s">
        <v>10</v>
      </c>
      <c r="M2" s="400" t="s">
        <v>11</v>
      </c>
      <c r="N2" s="400" t="s">
        <v>12</v>
      </c>
      <c r="O2" s="400" t="s">
        <v>13</v>
      </c>
      <c r="P2" s="400" t="s">
        <v>14</v>
      </c>
      <c r="Q2" s="400" t="s">
        <v>15</v>
      </c>
      <c r="R2" s="398" t="s">
        <v>904</v>
      </c>
      <c r="S2" s="400" t="s">
        <v>9</v>
      </c>
      <c r="T2" s="400" t="s">
        <v>10</v>
      </c>
      <c r="U2" s="400" t="s">
        <v>11</v>
      </c>
      <c r="V2" s="400" t="s">
        <v>12</v>
      </c>
      <c r="W2" s="400" t="s">
        <v>13</v>
      </c>
      <c r="X2" s="400" t="s">
        <v>14</v>
      </c>
      <c r="Y2" s="400" t="s">
        <v>15</v>
      </c>
      <c r="Z2" s="398" t="s">
        <v>900</v>
      </c>
      <c r="AA2" s="398" t="s">
        <v>901</v>
      </c>
      <c r="AC2" s="36"/>
    </row>
    <row r="3" spans="1:29" x14ac:dyDescent="0.25">
      <c r="A3" s="32"/>
      <c r="B3" s="94" t="str">
        <f>_xlfn.XLOOKUP(C3,Planilha3!A:A,Planilha3!B:B)</f>
        <v>Fertilizer / Litigation</v>
      </c>
      <c r="C3" s="94" t="s">
        <v>176</v>
      </c>
      <c r="D3" s="19">
        <f>_xlfn.XLOOKUP(C3,'Limite de crédito'!C:C,'Limite de crédito'!G:G,0)</f>
        <v>0</v>
      </c>
      <c r="E3" s="19">
        <f t="shared" ref="E3:E34" si="1">J3+R3+Z3</f>
        <v>7560727.799999997</v>
      </c>
      <c r="F3" s="19">
        <f>_xlfn.XLOOKUP('Nova Versão '!C3,'Limite de crédito'!C:C,'Limite de crédito'!O:O,0)</f>
        <v>0</v>
      </c>
      <c r="G3" s="404">
        <f t="shared" ref="G3:G34" si="2">MAX(E3-F3,0)</f>
        <v>7560727.799999997</v>
      </c>
      <c r="H3" s="412" t="str">
        <f>_xlfn.XLOOKUP(C3,Planilha3!A:A,Planilha3!C:C)</f>
        <v>Litigation</v>
      </c>
      <c r="J3" s="19">
        <f t="shared" ref="J3:J34" si="3">K3+L3+M3+N3+O3+P3+Q3</f>
        <v>0</v>
      </c>
      <c r="K3" s="19">
        <f>_xlfn.XLOOKUP(C3,'Clientes Consolidado.'!$C:$C,'Clientes Consolidado.'!R:R,0)</f>
        <v>0</v>
      </c>
      <c r="L3" s="19">
        <f>_xlfn.XLOOKUP(C3,'Clientes Consolidado.'!$C:$C,'Clientes Consolidado.'!S:S,0)</f>
        <v>0</v>
      </c>
      <c r="M3" s="19">
        <f>_xlfn.XLOOKUP(C3,'Clientes Consolidado.'!$C:$C,'Clientes Consolidado.'!T:T,0)</f>
        <v>0</v>
      </c>
      <c r="N3" s="19">
        <f>_xlfn.XLOOKUP(C3,'Clientes Consolidado.'!$C:$C,'Clientes Consolidado.'!U:U,0)</f>
        <v>0</v>
      </c>
      <c r="O3" s="19">
        <f>_xlfn.XLOOKUP(C3,'Clientes Consolidado.'!$C:$C,'Clientes Consolidado.'!V:V,0)</f>
        <v>0</v>
      </c>
      <c r="P3" s="19">
        <f>_xlfn.XLOOKUP(C3,'Clientes Consolidado.'!$C:$C,'Clientes Consolidado.'!W:W,0)</f>
        <v>0</v>
      </c>
      <c r="Q3" s="19">
        <f>_xlfn.XLOOKUP(C3,'Clientes Consolidado.'!$C:$C,'Clientes Consolidado.'!X:X,0)</f>
        <v>0</v>
      </c>
      <c r="R3" s="19">
        <f>SUM(S3:Y3)</f>
        <v>0</v>
      </c>
      <c r="S3" s="19">
        <f>SUMIFS('Clientes Consolidado.'!I:I,'Clientes Consolidado.'!C:C,C3,'Clientes Consolidado.'!B:B,"Fertilizer")
+SUMIFS('Clientes Consolidado.'!I:I,'Clientes Consolidado.'!C:C,C3,'Clientes Consolidado.'!B:B,"Additive")
+SUMIFS('Clientes Consolidado.'!I:I,'Clientes Consolidado.'!C:C,C3,'Clientes Consolidado.'!B:B,"Additive Intl.")</f>
        <v>0</v>
      </c>
      <c r="T3" s="19">
        <f>SUMIFS('Clientes Consolidado.'!J:J,'Clientes Consolidado.'!C:C,C3,'Clientes Consolidado.'!B:B,"Fertilizer")
+SUMIFS('Clientes Consolidado.'!J:J,'Clientes Consolidado.'!C:C,C3,'Clientes Consolidado.'!B:B,"Additive")
+SUMIFS('Clientes Consolidado.'!J:J,'Clientes Consolidado.'!C:C,C3,'Clientes Consolidado.'!B:B,"Additive Intl.")</f>
        <v>0</v>
      </c>
      <c r="U3" s="19">
        <f>SUMIFS('Clientes Consolidado.'!K:K,'Clientes Consolidado.'!C:C,C3,'Clientes Consolidado.'!B:B,"Fertilizer")
+SUMIFS('Clientes Consolidado.'!K:K,'Clientes Consolidado.'!C:C,C3,'Clientes Consolidado.'!B:B,"Additive")
+SUMIFS('Clientes Consolidado.'!K:K,'Clientes Consolidado.'!C:C,C3,'Clientes Consolidado.'!B:B,"Additive Intl.")</f>
        <v>0</v>
      </c>
      <c r="V3" s="19">
        <f>SUMIFS('Clientes Consolidado.'!L:L,'Clientes Consolidado.'!C:C,C3,'Clientes Consolidado.'!B:B,"Fertilizer")
+SUMIFS('Clientes Consolidado.'!L:L,'Clientes Consolidado.'!C:C,C3,'Clientes Consolidado.'!B:B,"Additive")
+SUMIFS('Clientes Consolidado.'!L:L,'Clientes Consolidado.'!C:C,C3,'Clientes Consolidado.'!B:B,"Additive Intl.")</f>
        <v>0</v>
      </c>
      <c r="W3" s="19">
        <f>SUMIFS('Clientes Consolidado.'!M:M,'Clientes Consolidado.'!C:C,C3,'Clientes Consolidado.'!B:B,"Fertilizer")
+SUMIFS('Clientes Consolidado.'!M:M,'Clientes Consolidado.'!C:C,C3,'Clientes Consolidado.'!B:B,"Additive")
+SUMIFS('Clientes Consolidado.'!M:M,'Clientes Consolidado.'!C:C,C3,'Clientes Consolidado.'!B:B,"Additive Intl.")</f>
        <v>0</v>
      </c>
      <c r="X3" s="19">
        <f>SUMIFS('Clientes Consolidado.'!N:N,'Clientes Consolidado.'!C:C,C3,'Clientes Consolidado.'!B:B,"Fertilizer")
+SUMIFS('Clientes Consolidado.'!N:N,'Clientes Consolidado.'!C:C,C3,'Clientes Consolidado.'!B:B,"Additive")
+SUMIFS('Clientes Consolidado.'!N:N,'Clientes Consolidado.'!C:C,C3,'Clientes Consolidado.'!B:B,"Additive Intl.")</f>
        <v>0</v>
      </c>
      <c r="Y3" s="19">
        <f>SUMIFS('Clientes Consolidado.'!O:O,'Clientes Consolidado.'!C:C,C3,'Clientes Consolidado.'!B:B,"Fertilizer")
+SUMIFS('Clientes Consolidado.'!O:O,'Clientes Consolidado.'!C:C,C3,'Clientes Consolidado.'!B:B,"Additive")
+SUMIFS('Clientes Consolidado.'!O:O,'Clientes Consolidado.'!C:C,C3,'Clientes Consolidado.'!B:B,"Additive Intl.")</f>
        <v>0</v>
      </c>
      <c r="Z3" s="19">
        <f>SUMIFS('Clientes Consolidado.'!P:P,'Clientes Consolidado.'!C:C,'Nova Versão '!C3,'Clientes Consolidado.'!B:B,"Fertilizer / Litigation")+SUMIFS('Clientes Consolidado.'!P:P,'Clientes Consolidado.'!C:C,'Nova Versão '!C3,'Clientes Consolidado.'!B:B,"Additive / Litigation")</f>
        <v>7560727.799999997</v>
      </c>
      <c r="AA3" s="94"/>
    </row>
    <row r="4" spans="1:29" x14ac:dyDescent="0.25">
      <c r="A4" s="32"/>
      <c r="B4" s="94" t="str">
        <f>_xlfn.XLOOKUP(C4,Planilha3!A:A,Planilha3!B:B)</f>
        <v>Additive</v>
      </c>
      <c r="C4" s="94" t="s">
        <v>527</v>
      </c>
      <c r="D4" s="19">
        <f>_xlfn.XLOOKUP(C4,'Limite de crédito'!C:C,'Limite de crédito'!G:G,0)</f>
        <v>10000000</v>
      </c>
      <c r="E4" s="19">
        <f t="shared" si="1"/>
        <v>6765009.8999999994</v>
      </c>
      <c r="F4" s="19">
        <f>_xlfn.XLOOKUP('Nova Versão '!C4,'Limite de crédito'!C:C,'Limite de crédito'!O:O,0)</f>
        <v>10000000</v>
      </c>
      <c r="G4" s="404">
        <f t="shared" si="2"/>
        <v>0</v>
      </c>
      <c r="H4" s="412" t="str">
        <f>_xlfn.XLOOKUP(C4,Planilha3!A:A,Planilha3!C:C)</f>
        <v>Guarantee or credit</v>
      </c>
      <c r="J4" s="19">
        <f t="shared" si="3"/>
        <v>6765009.8999999994</v>
      </c>
      <c r="K4" s="19">
        <f>_xlfn.XLOOKUP(C4,'Clientes Consolidado.'!$C:$C,'Clientes Consolidado.'!R:R,0)</f>
        <v>1136498.7</v>
      </c>
      <c r="L4" s="19">
        <f>_xlfn.XLOOKUP(C4,'Clientes Consolidado.'!$C:$C,'Clientes Consolidado.'!S:S,0)</f>
        <v>3096134.6999999993</v>
      </c>
      <c r="M4" s="19">
        <f>_xlfn.XLOOKUP(C4,'Clientes Consolidado.'!$C:$C,'Clientes Consolidado.'!T:T,0)</f>
        <v>2532376.5</v>
      </c>
      <c r="N4" s="19">
        <f>_xlfn.XLOOKUP(C4,'Clientes Consolidado.'!$C:$C,'Clientes Consolidado.'!U:U,0)</f>
        <v>0</v>
      </c>
      <c r="O4" s="19">
        <f>_xlfn.XLOOKUP(C4,'Clientes Consolidado.'!$C:$C,'Clientes Consolidado.'!V:V,0)</f>
        <v>0</v>
      </c>
      <c r="P4" s="19">
        <f>_xlfn.XLOOKUP(C4,'Clientes Consolidado.'!$C:$C,'Clientes Consolidado.'!W:W,0)</f>
        <v>0</v>
      </c>
      <c r="Q4" s="19">
        <f>_xlfn.XLOOKUP(C4,'Clientes Consolidado.'!$C:$C,'Clientes Consolidado.'!X:X,0)</f>
        <v>0</v>
      </c>
      <c r="R4" s="19">
        <f>SUM(S4:Y4)</f>
        <v>0</v>
      </c>
      <c r="S4" s="19">
        <f>SUMIFS('Clientes Consolidado.'!I:I,'Clientes Consolidado.'!C:C,C4,'Clientes Consolidado.'!B:B,"Fertilizer")
+SUMIFS('Clientes Consolidado.'!I:I,'Clientes Consolidado.'!C:C,C4,'Clientes Consolidado.'!B:B,"Additive")
+SUMIFS('Clientes Consolidado.'!I:I,'Clientes Consolidado.'!C:C,C4,'Clientes Consolidado.'!B:B,"Additive Intl.")</f>
        <v>0</v>
      </c>
      <c r="T4" s="19">
        <f>SUMIFS('Clientes Consolidado.'!J:J,'Clientes Consolidado.'!C:C,C4,'Clientes Consolidado.'!B:B,"Fertilizer")
+SUMIFS('Clientes Consolidado.'!J:J,'Clientes Consolidado.'!C:C,C4,'Clientes Consolidado.'!B:B,"Additive")
+SUMIFS('Clientes Consolidado.'!J:J,'Clientes Consolidado.'!C:C,C4,'Clientes Consolidado.'!B:B,"Additive Intl.")</f>
        <v>0</v>
      </c>
      <c r="U4" s="19">
        <f>SUMIFS('Clientes Consolidado.'!K:K,'Clientes Consolidado.'!C:C,C4,'Clientes Consolidado.'!B:B,"Fertilizer")
+SUMIFS('Clientes Consolidado.'!K:K,'Clientes Consolidado.'!C:C,C4,'Clientes Consolidado.'!B:B,"Additive")
+SUMIFS('Clientes Consolidado.'!K:K,'Clientes Consolidado.'!C:C,C4,'Clientes Consolidado.'!B:B,"Additive Intl.")</f>
        <v>0</v>
      </c>
      <c r="V4" s="19">
        <f>SUMIFS('Clientes Consolidado.'!L:L,'Clientes Consolidado.'!C:C,C4,'Clientes Consolidado.'!B:B,"Fertilizer")
+SUMIFS('Clientes Consolidado.'!L:L,'Clientes Consolidado.'!C:C,C4,'Clientes Consolidado.'!B:B,"Additive")
+SUMIFS('Clientes Consolidado.'!L:L,'Clientes Consolidado.'!C:C,C4,'Clientes Consolidado.'!B:B,"Additive Intl.")</f>
        <v>0</v>
      </c>
      <c r="W4" s="19">
        <f>SUMIFS('Clientes Consolidado.'!M:M,'Clientes Consolidado.'!C:C,C4,'Clientes Consolidado.'!B:B,"Fertilizer")
+SUMIFS('Clientes Consolidado.'!M:M,'Clientes Consolidado.'!C:C,C4,'Clientes Consolidado.'!B:B,"Additive")
+SUMIFS('Clientes Consolidado.'!M:M,'Clientes Consolidado.'!C:C,C4,'Clientes Consolidado.'!B:B,"Additive Intl.")</f>
        <v>0</v>
      </c>
      <c r="X4" s="19">
        <f>SUMIFS('Clientes Consolidado.'!N:N,'Clientes Consolidado.'!C:C,C4,'Clientes Consolidado.'!B:B,"Fertilizer")
+SUMIFS('Clientes Consolidado.'!N:N,'Clientes Consolidado.'!C:C,C4,'Clientes Consolidado.'!B:B,"Additive")
+SUMIFS('Clientes Consolidado.'!N:N,'Clientes Consolidado.'!C:C,C4,'Clientes Consolidado.'!B:B,"Additive Intl.")</f>
        <v>0</v>
      </c>
      <c r="Y4" s="19">
        <f>SUMIFS('Clientes Consolidado.'!O:O,'Clientes Consolidado.'!C:C,C4,'Clientes Consolidado.'!B:B,"Fertilizer")
+SUMIFS('Clientes Consolidado.'!O:O,'Clientes Consolidado.'!C:C,C4,'Clientes Consolidado.'!B:B,"Additive")
+SUMIFS('Clientes Consolidado.'!O:O,'Clientes Consolidado.'!C:C,C4,'Clientes Consolidado.'!B:B,"Additive Intl.")</f>
        <v>0</v>
      </c>
      <c r="Z4" s="19">
        <f>SUMIFS('Clientes Consolidado.'!P:P,'Clientes Consolidado.'!C:C,'Nova Versão '!C4,'Clientes Consolidado.'!B:B,"Fertilizer / Litigation")+SUMIFS('Clientes Consolidado.'!P:P,'Clientes Consolidado.'!C:C,'Nova Versão '!C4,'Clientes Consolidado.'!B:B,"Additive / Litigation")</f>
        <v>0</v>
      </c>
      <c r="AA4" s="94"/>
    </row>
    <row r="5" spans="1:29" x14ac:dyDescent="0.25">
      <c r="A5" s="32"/>
      <c r="B5" s="94" t="str">
        <f>_xlfn.XLOOKUP(C5,Planilha3!A:A,Planilha3!B:B)</f>
        <v>Additive</v>
      </c>
      <c r="C5" s="94" t="s">
        <v>419</v>
      </c>
      <c r="D5" s="19">
        <f>_xlfn.XLOOKUP(C5,'Limite de crédito'!C:C,'Limite de crédito'!G:G,0)</f>
        <v>6000000</v>
      </c>
      <c r="E5" s="19">
        <f t="shared" si="1"/>
        <v>4089718.4999999995</v>
      </c>
      <c r="F5" s="19">
        <f>_xlfn.XLOOKUP('Nova Versão '!C5,'Limite de crédito'!C:C,'Limite de crédito'!O:O,0)</f>
        <v>6000000</v>
      </c>
      <c r="G5" s="404">
        <f t="shared" si="2"/>
        <v>0</v>
      </c>
      <c r="H5" s="412" t="str">
        <f>_xlfn.XLOOKUP(C5,Planilha3!A:A,Planilha3!C:C)</f>
        <v>Guarantee or credit</v>
      </c>
      <c r="J5" s="19">
        <f t="shared" si="3"/>
        <v>4084092.1799999997</v>
      </c>
      <c r="K5" s="19">
        <f>_xlfn.XLOOKUP(C5,'Clientes Consolidado.'!$C:$C,'Clientes Consolidado.'!R:R,0)</f>
        <v>2439848.4</v>
      </c>
      <c r="L5" s="19">
        <f>_xlfn.XLOOKUP(C5,'Clientes Consolidado.'!$C:$C,'Clientes Consolidado.'!S:S,0)</f>
        <v>1644243.7799999998</v>
      </c>
      <c r="M5" s="19">
        <f>_xlfn.XLOOKUP(C5,'Clientes Consolidado.'!$C:$C,'Clientes Consolidado.'!T:T,0)</f>
        <v>0</v>
      </c>
      <c r="N5" s="19">
        <f>_xlfn.XLOOKUP(C5,'Clientes Consolidado.'!$C:$C,'Clientes Consolidado.'!U:U,0)</f>
        <v>0</v>
      </c>
      <c r="O5" s="19">
        <f>_xlfn.XLOOKUP(C5,'Clientes Consolidado.'!$C:$C,'Clientes Consolidado.'!V:V,0)</f>
        <v>0</v>
      </c>
      <c r="P5" s="19">
        <f>_xlfn.XLOOKUP(C5,'Clientes Consolidado.'!$C:$C,'Clientes Consolidado.'!W:W,0)</f>
        <v>0</v>
      </c>
      <c r="Q5" s="19">
        <f>_xlfn.XLOOKUP(C5,'Clientes Consolidado.'!$C:$C,'Clientes Consolidado.'!X:X,0)</f>
        <v>0</v>
      </c>
      <c r="R5" s="19">
        <f t="shared" ref="R5:R67" si="4">SUM(S5:Y5)</f>
        <v>5626.32</v>
      </c>
      <c r="S5" s="19">
        <f>SUMIFS('Clientes Consolidado.'!I:I,'Clientes Consolidado.'!C:C,C5,'Clientes Consolidado.'!B:B,"Fertilizer")
+SUMIFS('Clientes Consolidado.'!I:I,'Clientes Consolidado.'!C:C,C5,'Clientes Consolidado.'!B:B,"Additive")
+SUMIFS('Clientes Consolidado.'!I:I,'Clientes Consolidado.'!C:C,C5,'Clientes Consolidado.'!B:B,"Additive Intl.")</f>
        <v>0</v>
      </c>
      <c r="T5" s="19">
        <f>SUMIFS('Clientes Consolidado.'!J:J,'Clientes Consolidado.'!C:C,C5,'Clientes Consolidado.'!B:B,"Fertilizer")
+SUMIFS('Clientes Consolidado.'!J:J,'Clientes Consolidado.'!C:C,C5,'Clientes Consolidado.'!B:B,"Additive")
+SUMIFS('Clientes Consolidado.'!J:J,'Clientes Consolidado.'!C:C,C5,'Clientes Consolidado.'!B:B,"Additive Intl.")</f>
        <v>0</v>
      </c>
      <c r="U5" s="19">
        <f>SUMIFS('Clientes Consolidado.'!K:K,'Clientes Consolidado.'!C:C,C5,'Clientes Consolidado.'!B:B,"Fertilizer")
+SUMIFS('Clientes Consolidado.'!K:K,'Clientes Consolidado.'!C:C,C5,'Clientes Consolidado.'!B:B,"Additive")
+SUMIFS('Clientes Consolidado.'!K:K,'Clientes Consolidado.'!C:C,C5,'Clientes Consolidado.'!B:B,"Additive Intl.")</f>
        <v>0</v>
      </c>
      <c r="V5" s="19">
        <f>SUMIFS('Clientes Consolidado.'!L:L,'Clientes Consolidado.'!C:C,C5,'Clientes Consolidado.'!B:B,"Fertilizer")
+SUMIFS('Clientes Consolidado.'!L:L,'Clientes Consolidado.'!C:C,C5,'Clientes Consolidado.'!B:B,"Additive")
+SUMIFS('Clientes Consolidado.'!L:L,'Clientes Consolidado.'!C:C,C5,'Clientes Consolidado.'!B:B,"Additive Intl.")</f>
        <v>0</v>
      </c>
      <c r="W5" s="19">
        <f>SUMIFS('Clientes Consolidado.'!M:M,'Clientes Consolidado.'!C:C,C5,'Clientes Consolidado.'!B:B,"Fertilizer")
+SUMIFS('Clientes Consolidado.'!M:M,'Clientes Consolidado.'!C:C,C5,'Clientes Consolidado.'!B:B,"Additive")
+SUMIFS('Clientes Consolidado.'!M:M,'Clientes Consolidado.'!C:C,C5,'Clientes Consolidado.'!B:B,"Additive Intl.")</f>
        <v>0</v>
      </c>
      <c r="X5" s="19">
        <f>SUMIFS('Clientes Consolidado.'!N:N,'Clientes Consolidado.'!C:C,C5,'Clientes Consolidado.'!B:B,"Fertilizer")
+SUMIFS('Clientes Consolidado.'!N:N,'Clientes Consolidado.'!C:C,C5,'Clientes Consolidado.'!B:B,"Additive")
+SUMIFS('Clientes Consolidado.'!N:N,'Clientes Consolidado.'!C:C,C5,'Clientes Consolidado.'!B:B,"Additive Intl.")</f>
        <v>0</v>
      </c>
      <c r="Y5" s="19">
        <f>SUMIFS('Clientes Consolidado.'!O:O,'Clientes Consolidado.'!C:C,C5,'Clientes Consolidado.'!B:B,"Fertilizer")
+SUMIFS('Clientes Consolidado.'!O:O,'Clientes Consolidado.'!C:C,C5,'Clientes Consolidado.'!B:B,"Additive")
+SUMIFS('Clientes Consolidado.'!O:O,'Clientes Consolidado.'!C:C,C5,'Clientes Consolidado.'!B:B,"Additive Intl.")</f>
        <v>5626.32</v>
      </c>
      <c r="Z5" s="19">
        <f>SUMIFS('Clientes Consolidado.'!P:P,'Clientes Consolidado.'!C:C,'Nova Versão '!C5,'Clientes Consolidado.'!B:B,"Fertilizer / Litigation")+SUMIFS('Clientes Consolidado.'!P:P,'Clientes Consolidado.'!C:C,'Nova Versão '!C5,'Clientes Consolidado.'!B:B,"Additive / Litigation")</f>
        <v>0</v>
      </c>
      <c r="AA5" s="94"/>
    </row>
    <row r="6" spans="1:29" x14ac:dyDescent="0.25">
      <c r="A6" s="32"/>
      <c r="B6" s="94" t="str">
        <f>_xlfn.XLOOKUP(C6,Planilha3!A:A,Planilha3!B:B)</f>
        <v>Additive</v>
      </c>
      <c r="C6" s="94" t="s">
        <v>416</v>
      </c>
      <c r="D6" s="19">
        <f>_xlfn.XLOOKUP(C6,'Limite de crédito'!C:C,'Limite de crédito'!G:G,0)</f>
        <v>4500000</v>
      </c>
      <c r="E6" s="19">
        <f t="shared" si="1"/>
        <v>3756608.9000000004</v>
      </c>
      <c r="F6" s="19">
        <f>_xlfn.XLOOKUP('Nova Versão '!C6,'Limite de crédito'!C:C,'Limite de crédito'!O:O,0)</f>
        <v>4500000</v>
      </c>
      <c r="G6" s="404">
        <f t="shared" si="2"/>
        <v>0</v>
      </c>
      <c r="H6" s="412" t="str">
        <f>_xlfn.XLOOKUP(C6,Planilha3!A:A,Planilha3!C:C)</f>
        <v>Guarantee or credit</v>
      </c>
      <c r="J6" s="19">
        <f t="shared" si="3"/>
        <v>3756608.9000000004</v>
      </c>
      <c r="K6" s="19">
        <f>_xlfn.XLOOKUP(C6,'Clientes Consolidado.'!$C:$C,'Clientes Consolidado.'!R:R,0)</f>
        <v>3756608.9000000004</v>
      </c>
      <c r="L6" s="19">
        <f>_xlfn.XLOOKUP(C6,'Clientes Consolidado.'!$C:$C,'Clientes Consolidado.'!S:S,0)</f>
        <v>0</v>
      </c>
      <c r="M6" s="19">
        <f>_xlfn.XLOOKUP(C6,'Clientes Consolidado.'!$C:$C,'Clientes Consolidado.'!T:T,0)</f>
        <v>0</v>
      </c>
      <c r="N6" s="19">
        <f>_xlfn.XLOOKUP(C6,'Clientes Consolidado.'!$C:$C,'Clientes Consolidado.'!U:U,0)</f>
        <v>0</v>
      </c>
      <c r="O6" s="19">
        <f>_xlfn.XLOOKUP(C6,'Clientes Consolidado.'!$C:$C,'Clientes Consolidado.'!V:V,0)</f>
        <v>0</v>
      </c>
      <c r="P6" s="19">
        <f>_xlfn.XLOOKUP(C6,'Clientes Consolidado.'!$C:$C,'Clientes Consolidado.'!W:W,0)</f>
        <v>0</v>
      </c>
      <c r="Q6" s="19">
        <f>_xlfn.XLOOKUP(C6,'Clientes Consolidado.'!$C:$C,'Clientes Consolidado.'!X:X,0)</f>
        <v>0</v>
      </c>
      <c r="R6" s="19">
        <f t="shared" si="4"/>
        <v>0</v>
      </c>
      <c r="S6" s="19">
        <f>SUMIFS('Clientes Consolidado.'!I:I,'Clientes Consolidado.'!C:C,C6,'Clientes Consolidado.'!B:B,"Fertilizer")
+SUMIFS('Clientes Consolidado.'!I:I,'Clientes Consolidado.'!C:C,C6,'Clientes Consolidado.'!B:B,"Additive")
+SUMIFS('Clientes Consolidado.'!I:I,'Clientes Consolidado.'!C:C,C6,'Clientes Consolidado.'!B:B,"Additive Intl.")</f>
        <v>0</v>
      </c>
      <c r="T6" s="19">
        <f>SUMIFS('Clientes Consolidado.'!J:J,'Clientes Consolidado.'!C:C,C6,'Clientes Consolidado.'!B:B,"Fertilizer")
+SUMIFS('Clientes Consolidado.'!J:J,'Clientes Consolidado.'!C:C,C6,'Clientes Consolidado.'!B:B,"Additive")
+SUMIFS('Clientes Consolidado.'!J:J,'Clientes Consolidado.'!C:C,C6,'Clientes Consolidado.'!B:B,"Additive Intl.")</f>
        <v>0</v>
      </c>
      <c r="U6" s="19">
        <f>SUMIFS('Clientes Consolidado.'!K:K,'Clientes Consolidado.'!C:C,C6,'Clientes Consolidado.'!B:B,"Fertilizer")
+SUMIFS('Clientes Consolidado.'!K:K,'Clientes Consolidado.'!C:C,C6,'Clientes Consolidado.'!B:B,"Additive")
+SUMIFS('Clientes Consolidado.'!K:K,'Clientes Consolidado.'!C:C,C6,'Clientes Consolidado.'!B:B,"Additive Intl.")</f>
        <v>0</v>
      </c>
      <c r="V6" s="19">
        <f>SUMIFS('Clientes Consolidado.'!L:L,'Clientes Consolidado.'!C:C,C6,'Clientes Consolidado.'!B:B,"Fertilizer")
+SUMIFS('Clientes Consolidado.'!L:L,'Clientes Consolidado.'!C:C,C6,'Clientes Consolidado.'!B:B,"Additive")
+SUMIFS('Clientes Consolidado.'!L:L,'Clientes Consolidado.'!C:C,C6,'Clientes Consolidado.'!B:B,"Additive Intl.")</f>
        <v>0</v>
      </c>
      <c r="W6" s="19">
        <f>SUMIFS('Clientes Consolidado.'!M:M,'Clientes Consolidado.'!C:C,C6,'Clientes Consolidado.'!B:B,"Fertilizer")
+SUMIFS('Clientes Consolidado.'!M:M,'Clientes Consolidado.'!C:C,C6,'Clientes Consolidado.'!B:B,"Additive")
+SUMIFS('Clientes Consolidado.'!M:M,'Clientes Consolidado.'!C:C,C6,'Clientes Consolidado.'!B:B,"Additive Intl.")</f>
        <v>0</v>
      </c>
      <c r="X6" s="19">
        <f>SUMIFS('Clientes Consolidado.'!N:N,'Clientes Consolidado.'!C:C,C6,'Clientes Consolidado.'!B:B,"Fertilizer")
+SUMIFS('Clientes Consolidado.'!N:N,'Clientes Consolidado.'!C:C,C6,'Clientes Consolidado.'!B:B,"Additive")
+SUMIFS('Clientes Consolidado.'!N:N,'Clientes Consolidado.'!C:C,C6,'Clientes Consolidado.'!B:B,"Additive Intl.")</f>
        <v>0</v>
      </c>
      <c r="Y6" s="19">
        <f>SUMIFS('Clientes Consolidado.'!O:O,'Clientes Consolidado.'!C:C,C6,'Clientes Consolidado.'!B:B,"Fertilizer")
+SUMIFS('Clientes Consolidado.'!O:O,'Clientes Consolidado.'!C:C,C6,'Clientes Consolidado.'!B:B,"Additive")
+SUMIFS('Clientes Consolidado.'!O:O,'Clientes Consolidado.'!C:C,C6,'Clientes Consolidado.'!B:B,"Additive Intl.")</f>
        <v>0</v>
      </c>
      <c r="Z6" s="19">
        <f>SUMIFS('Clientes Consolidado.'!P:P,'Clientes Consolidado.'!C:C,'Nova Versão '!C6,'Clientes Consolidado.'!B:B,"Fertilizer / Litigation")+SUMIFS('Clientes Consolidado.'!P:P,'Clientes Consolidado.'!C:C,'Nova Versão '!C6,'Clientes Consolidado.'!B:B,"Additive / Litigation")</f>
        <v>0</v>
      </c>
      <c r="AA6" s="94"/>
    </row>
    <row r="7" spans="1:29" x14ac:dyDescent="0.25">
      <c r="A7" s="32"/>
      <c r="B7" s="94" t="str">
        <f>_xlfn.XLOOKUP(C7,Planilha3!A:A,Planilha3!B:B)</f>
        <v>Additive Intl.</v>
      </c>
      <c r="C7" s="94" t="s">
        <v>336</v>
      </c>
      <c r="D7" s="19">
        <f>_xlfn.XLOOKUP(C7,'Limite de crédito'!C:C,'Limite de crédito'!G:G,0)</f>
        <v>0</v>
      </c>
      <c r="E7" s="19">
        <f t="shared" si="1"/>
        <v>3280155.1799999997</v>
      </c>
      <c r="F7" s="19">
        <f>_xlfn.XLOOKUP('Nova Versão '!C7,'Limite de crédito'!C:C,'Limite de crédito'!O:O,0)</f>
        <v>0</v>
      </c>
      <c r="G7" s="404">
        <f t="shared" si="2"/>
        <v>3280155.1799999997</v>
      </c>
      <c r="H7" s="412" t="str">
        <f>_xlfn.XLOOKUP(C7,Planilha3!A:A,Planilha3!C:C)</f>
        <v>Credit without Insurance</v>
      </c>
      <c r="J7" s="19">
        <f t="shared" si="3"/>
        <v>3280155.1799999997</v>
      </c>
      <c r="K7" s="19">
        <f>_xlfn.XLOOKUP(C7,'Clientes Consolidado.'!$C:$C,'Clientes Consolidado.'!R:R,0)</f>
        <v>0</v>
      </c>
      <c r="L7" s="19">
        <f>_xlfn.XLOOKUP(C7,'Clientes Consolidado.'!$C:$C,'Clientes Consolidado.'!S:S,0)</f>
        <v>3280155.1799999997</v>
      </c>
      <c r="M7" s="19">
        <f>_xlfn.XLOOKUP(C7,'Clientes Consolidado.'!$C:$C,'Clientes Consolidado.'!T:T,0)</f>
        <v>0</v>
      </c>
      <c r="N7" s="19">
        <f>_xlfn.XLOOKUP(C7,'Clientes Consolidado.'!$C:$C,'Clientes Consolidado.'!U:U,0)</f>
        <v>0</v>
      </c>
      <c r="O7" s="19">
        <f>_xlfn.XLOOKUP(C7,'Clientes Consolidado.'!$C:$C,'Clientes Consolidado.'!V:V,0)</f>
        <v>0</v>
      </c>
      <c r="P7" s="19">
        <f>_xlfn.XLOOKUP(C7,'Clientes Consolidado.'!$C:$C,'Clientes Consolidado.'!W:W,0)</f>
        <v>0</v>
      </c>
      <c r="Q7" s="19">
        <f>_xlfn.XLOOKUP(C7,'Clientes Consolidado.'!$C:$C,'Clientes Consolidado.'!X:X,0)</f>
        <v>0</v>
      </c>
      <c r="R7" s="19">
        <f t="shared" si="4"/>
        <v>0</v>
      </c>
      <c r="S7" s="19">
        <f>SUMIFS('Clientes Consolidado.'!I:I,'Clientes Consolidado.'!C:C,C7,'Clientes Consolidado.'!B:B,"Fertilizer")
+SUMIFS('Clientes Consolidado.'!I:I,'Clientes Consolidado.'!C:C,C7,'Clientes Consolidado.'!B:B,"Additive")
+SUMIFS('Clientes Consolidado.'!I:I,'Clientes Consolidado.'!C:C,C7,'Clientes Consolidado.'!B:B,"Additive Intl.")</f>
        <v>0</v>
      </c>
      <c r="T7" s="19">
        <f>SUMIFS('Clientes Consolidado.'!J:J,'Clientes Consolidado.'!C:C,C7,'Clientes Consolidado.'!B:B,"Fertilizer")
+SUMIFS('Clientes Consolidado.'!J:J,'Clientes Consolidado.'!C:C,C7,'Clientes Consolidado.'!B:B,"Additive")
+SUMIFS('Clientes Consolidado.'!J:J,'Clientes Consolidado.'!C:C,C7,'Clientes Consolidado.'!B:B,"Additive Intl.")</f>
        <v>0</v>
      </c>
      <c r="U7" s="19">
        <f>SUMIFS('Clientes Consolidado.'!K:K,'Clientes Consolidado.'!C:C,C7,'Clientes Consolidado.'!B:B,"Fertilizer")
+SUMIFS('Clientes Consolidado.'!K:K,'Clientes Consolidado.'!C:C,C7,'Clientes Consolidado.'!B:B,"Additive")
+SUMIFS('Clientes Consolidado.'!K:K,'Clientes Consolidado.'!C:C,C7,'Clientes Consolidado.'!B:B,"Additive Intl.")</f>
        <v>0</v>
      </c>
      <c r="V7" s="19">
        <f>SUMIFS('Clientes Consolidado.'!L:L,'Clientes Consolidado.'!C:C,C7,'Clientes Consolidado.'!B:B,"Fertilizer")
+SUMIFS('Clientes Consolidado.'!L:L,'Clientes Consolidado.'!C:C,C7,'Clientes Consolidado.'!B:B,"Additive")
+SUMIFS('Clientes Consolidado.'!L:L,'Clientes Consolidado.'!C:C,C7,'Clientes Consolidado.'!B:B,"Additive Intl.")</f>
        <v>0</v>
      </c>
      <c r="W7" s="19">
        <f>SUMIFS('Clientes Consolidado.'!M:M,'Clientes Consolidado.'!C:C,C7,'Clientes Consolidado.'!B:B,"Fertilizer")
+SUMIFS('Clientes Consolidado.'!M:M,'Clientes Consolidado.'!C:C,C7,'Clientes Consolidado.'!B:B,"Additive")
+SUMIFS('Clientes Consolidado.'!M:M,'Clientes Consolidado.'!C:C,C7,'Clientes Consolidado.'!B:B,"Additive Intl.")</f>
        <v>0</v>
      </c>
      <c r="X7" s="19">
        <f>SUMIFS('Clientes Consolidado.'!N:N,'Clientes Consolidado.'!C:C,C7,'Clientes Consolidado.'!B:B,"Fertilizer")
+SUMIFS('Clientes Consolidado.'!N:N,'Clientes Consolidado.'!C:C,C7,'Clientes Consolidado.'!B:B,"Additive")
+SUMIFS('Clientes Consolidado.'!N:N,'Clientes Consolidado.'!C:C,C7,'Clientes Consolidado.'!B:B,"Additive Intl.")</f>
        <v>0</v>
      </c>
      <c r="Y7" s="19">
        <f>SUMIFS('Clientes Consolidado.'!O:O,'Clientes Consolidado.'!C:C,C7,'Clientes Consolidado.'!B:B,"Fertilizer")
+SUMIFS('Clientes Consolidado.'!O:O,'Clientes Consolidado.'!C:C,C7,'Clientes Consolidado.'!B:B,"Additive")
+SUMIFS('Clientes Consolidado.'!O:O,'Clientes Consolidado.'!C:C,C7,'Clientes Consolidado.'!B:B,"Additive Intl.")</f>
        <v>0</v>
      </c>
      <c r="Z7" s="19">
        <f>SUMIFS('Clientes Consolidado.'!P:P,'Clientes Consolidado.'!C:C,'Nova Versão '!C7,'Clientes Consolidado.'!B:B,"Fertilizer / Litigation")+SUMIFS('Clientes Consolidado.'!P:P,'Clientes Consolidado.'!C:C,'Nova Versão '!C7,'Clientes Consolidado.'!B:B,"Additive / Litigation")</f>
        <v>0</v>
      </c>
      <c r="AA7" s="94"/>
    </row>
    <row r="8" spans="1:29" x14ac:dyDescent="0.25">
      <c r="A8" s="32"/>
      <c r="B8" s="94" t="str">
        <f>_xlfn.XLOOKUP(C8,Planilha3!A:A,Planilha3!B:B)</f>
        <v>Fertilizer / Litigation</v>
      </c>
      <c r="C8" s="94" t="s">
        <v>428</v>
      </c>
      <c r="D8" s="19">
        <f>_xlfn.XLOOKUP(C8,'Limite de crédito'!C:C,'Limite de crédito'!G:G,0)</f>
        <v>0</v>
      </c>
      <c r="E8" s="19">
        <f t="shared" si="1"/>
        <v>3088531.0700000003</v>
      </c>
      <c r="F8" s="19">
        <f>_xlfn.XLOOKUP('Nova Versão '!C8,'Limite de crédito'!C:C,'Limite de crédito'!O:O,0)</f>
        <v>0</v>
      </c>
      <c r="G8" s="404">
        <f t="shared" si="2"/>
        <v>3088531.0700000003</v>
      </c>
      <c r="H8" s="412" t="str">
        <f>_xlfn.XLOOKUP(C8,Planilha3!A:A,Planilha3!C:C)</f>
        <v>Litigation</v>
      </c>
      <c r="J8" s="19">
        <f t="shared" si="3"/>
        <v>0</v>
      </c>
      <c r="K8" s="19">
        <f>_xlfn.XLOOKUP(C8,'Clientes Consolidado.'!$C:$C,'Clientes Consolidado.'!R:R,0)</f>
        <v>0</v>
      </c>
      <c r="L8" s="19">
        <f>_xlfn.XLOOKUP(C8,'Clientes Consolidado.'!$C:$C,'Clientes Consolidado.'!S:S,0)</f>
        <v>0</v>
      </c>
      <c r="M8" s="19">
        <f>_xlfn.XLOOKUP(C8,'Clientes Consolidado.'!$C:$C,'Clientes Consolidado.'!T:T,0)</f>
        <v>0</v>
      </c>
      <c r="N8" s="19">
        <f>_xlfn.XLOOKUP(C8,'Clientes Consolidado.'!$C:$C,'Clientes Consolidado.'!U:U,0)</f>
        <v>0</v>
      </c>
      <c r="O8" s="19">
        <f>_xlfn.XLOOKUP(C8,'Clientes Consolidado.'!$C:$C,'Clientes Consolidado.'!V:V,0)</f>
        <v>0</v>
      </c>
      <c r="P8" s="19">
        <f>_xlfn.XLOOKUP(C8,'Clientes Consolidado.'!$C:$C,'Clientes Consolidado.'!W:W,0)</f>
        <v>0</v>
      </c>
      <c r="Q8" s="19">
        <f>_xlfn.XLOOKUP(C8,'Clientes Consolidado.'!$C:$C,'Clientes Consolidado.'!X:X,0)</f>
        <v>0</v>
      </c>
      <c r="R8" s="19">
        <f t="shared" si="4"/>
        <v>0</v>
      </c>
      <c r="S8" s="19">
        <f>SUMIFS('Clientes Consolidado.'!I:I,'Clientes Consolidado.'!C:C,C8,'Clientes Consolidado.'!B:B,"Fertilizer")
+SUMIFS('Clientes Consolidado.'!I:I,'Clientes Consolidado.'!C:C,C8,'Clientes Consolidado.'!B:B,"Additive")
+SUMIFS('Clientes Consolidado.'!I:I,'Clientes Consolidado.'!C:C,C8,'Clientes Consolidado.'!B:B,"Additive Intl.")</f>
        <v>0</v>
      </c>
      <c r="T8" s="19">
        <f>SUMIFS('Clientes Consolidado.'!J:J,'Clientes Consolidado.'!C:C,C8,'Clientes Consolidado.'!B:B,"Fertilizer")
+SUMIFS('Clientes Consolidado.'!J:J,'Clientes Consolidado.'!C:C,C8,'Clientes Consolidado.'!B:B,"Additive")
+SUMIFS('Clientes Consolidado.'!J:J,'Clientes Consolidado.'!C:C,C8,'Clientes Consolidado.'!B:B,"Additive Intl.")</f>
        <v>0</v>
      </c>
      <c r="U8" s="19">
        <f>SUMIFS('Clientes Consolidado.'!K:K,'Clientes Consolidado.'!C:C,C8,'Clientes Consolidado.'!B:B,"Fertilizer")
+SUMIFS('Clientes Consolidado.'!K:K,'Clientes Consolidado.'!C:C,C8,'Clientes Consolidado.'!B:B,"Additive")
+SUMIFS('Clientes Consolidado.'!K:K,'Clientes Consolidado.'!C:C,C8,'Clientes Consolidado.'!B:B,"Additive Intl.")</f>
        <v>0</v>
      </c>
      <c r="V8" s="19">
        <f>SUMIFS('Clientes Consolidado.'!L:L,'Clientes Consolidado.'!C:C,C8,'Clientes Consolidado.'!B:B,"Fertilizer")
+SUMIFS('Clientes Consolidado.'!L:L,'Clientes Consolidado.'!C:C,C8,'Clientes Consolidado.'!B:B,"Additive")
+SUMIFS('Clientes Consolidado.'!L:L,'Clientes Consolidado.'!C:C,C8,'Clientes Consolidado.'!B:B,"Additive Intl.")</f>
        <v>0</v>
      </c>
      <c r="W8" s="19">
        <f>SUMIFS('Clientes Consolidado.'!M:M,'Clientes Consolidado.'!C:C,C8,'Clientes Consolidado.'!B:B,"Fertilizer")
+SUMIFS('Clientes Consolidado.'!M:M,'Clientes Consolidado.'!C:C,C8,'Clientes Consolidado.'!B:B,"Additive")
+SUMIFS('Clientes Consolidado.'!M:M,'Clientes Consolidado.'!C:C,C8,'Clientes Consolidado.'!B:B,"Additive Intl.")</f>
        <v>0</v>
      </c>
      <c r="X8" s="19">
        <f>SUMIFS('Clientes Consolidado.'!N:N,'Clientes Consolidado.'!C:C,C8,'Clientes Consolidado.'!B:B,"Fertilizer")
+SUMIFS('Clientes Consolidado.'!N:N,'Clientes Consolidado.'!C:C,C8,'Clientes Consolidado.'!B:B,"Additive")
+SUMIFS('Clientes Consolidado.'!N:N,'Clientes Consolidado.'!C:C,C8,'Clientes Consolidado.'!B:B,"Additive Intl.")</f>
        <v>0</v>
      </c>
      <c r="Y8" s="19">
        <f>SUMIFS('Clientes Consolidado.'!O:O,'Clientes Consolidado.'!C:C,C8,'Clientes Consolidado.'!B:B,"Fertilizer")
+SUMIFS('Clientes Consolidado.'!O:O,'Clientes Consolidado.'!C:C,C8,'Clientes Consolidado.'!B:B,"Additive")
+SUMIFS('Clientes Consolidado.'!O:O,'Clientes Consolidado.'!C:C,C8,'Clientes Consolidado.'!B:B,"Additive Intl.")</f>
        <v>0</v>
      </c>
      <c r="Z8" s="19">
        <f>SUMIFS('Clientes Consolidado.'!P:P,'Clientes Consolidado.'!C:C,'Nova Versão '!C8,'Clientes Consolidado.'!B:B,"Fertilizer / Litigation")+SUMIFS('Clientes Consolidado.'!P:P,'Clientes Consolidado.'!C:C,'Nova Versão '!C8,'Clientes Consolidado.'!B:B,"Additive / Litigation")</f>
        <v>3088531.0700000003</v>
      </c>
      <c r="AA8" s="94"/>
    </row>
    <row r="9" spans="1:29" x14ac:dyDescent="0.25">
      <c r="A9" s="32"/>
      <c r="B9" s="94" t="str">
        <f>_xlfn.XLOOKUP(C9,Planilha3!A:A,Planilha3!B:B)</f>
        <v>Fertilizer / Litigation</v>
      </c>
      <c r="C9" s="94" t="s">
        <v>209</v>
      </c>
      <c r="D9" s="19">
        <f>_xlfn.XLOOKUP(C9,'Limite de crédito'!C:C,'Limite de crédito'!G:G,0)</f>
        <v>0</v>
      </c>
      <c r="E9" s="19">
        <f t="shared" si="1"/>
        <v>3044850.9199999995</v>
      </c>
      <c r="F9" s="19">
        <f>_xlfn.XLOOKUP('Nova Versão '!C9,'Limite de crédito'!C:C,'Limite de crédito'!O:O,0)</f>
        <v>0</v>
      </c>
      <c r="G9" s="404">
        <f t="shared" si="2"/>
        <v>3044850.9199999995</v>
      </c>
      <c r="H9" s="412" t="str">
        <f>_xlfn.XLOOKUP(C9,Planilha3!A:A,Planilha3!C:C)</f>
        <v>Litigation</v>
      </c>
      <c r="J9" s="19">
        <f t="shared" si="3"/>
        <v>0</v>
      </c>
      <c r="K9" s="19">
        <f>_xlfn.XLOOKUP(C9,'Clientes Consolidado.'!$C:$C,'Clientes Consolidado.'!R:R,0)</f>
        <v>0</v>
      </c>
      <c r="L9" s="19">
        <f>_xlfn.XLOOKUP(C9,'Clientes Consolidado.'!$C:$C,'Clientes Consolidado.'!S:S,0)</f>
        <v>0</v>
      </c>
      <c r="M9" s="19">
        <f>_xlfn.XLOOKUP(C9,'Clientes Consolidado.'!$C:$C,'Clientes Consolidado.'!T:T,0)</f>
        <v>0</v>
      </c>
      <c r="N9" s="19">
        <f>_xlfn.XLOOKUP(C9,'Clientes Consolidado.'!$C:$C,'Clientes Consolidado.'!U:U,0)</f>
        <v>0</v>
      </c>
      <c r="O9" s="19">
        <f>_xlfn.XLOOKUP(C9,'Clientes Consolidado.'!$C:$C,'Clientes Consolidado.'!V:V,0)</f>
        <v>0</v>
      </c>
      <c r="P9" s="19">
        <f>_xlfn.XLOOKUP(C9,'Clientes Consolidado.'!$C:$C,'Clientes Consolidado.'!W:W,0)</f>
        <v>0</v>
      </c>
      <c r="Q9" s="19">
        <f>_xlfn.XLOOKUP(C9,'Clientes Consolidado.'!$C:$C,'Clientes Consolidado.'!X:X,0)</f>
        <v>0</v>
      </c>
      <c r="R9" s="19">
        <f t="shared" si="4"/>
        <v>0</v>
      </c>
      <c r="S9" s="19">
        <f>SUMIFS('Clientes Consolidado.'!I:I,'Clientes Consolidado.'!C:C,C9,'Clientes Consolidado.'!B:B,"Fertilizer")
+SUMIFS('Clientes Consolidado.'!I:I,'Clientes Consolidado.'!C:C,C9,'Clientes Consolidado.'!B:B,"Additive")
+SUMIFS('Clientes Consolidado.'!I:I,'Clientes Consolidado.'!C:C,C9,'Clientes Consolidado.'!B:B,"Additive Intl.")</f>
        <v>0</v>
      </c>
      <c r="T9" s="19">
        <f>SUMIFS('Clientes Consolidado.'!J:J,'Clientes Consolidado.'!C:C,C9,'Clientes Consolidado.'!B:B,"Fertilizer")
+SUMIFS('Clientes Consolidado.'!J:J,'Clientes Consolidado.'!C:C,C9,'Clientes Consolidado.'!B:B,"Additive")
+SUMIFS('Clientes Consolidado.'!J:J,'Clientes Consolidado.'!C:C,C9,'Clientes Consolidado.'!B:B,"Additive Intl.")</f>
        <v>0</v>
      </c>
      <c r="U9" s="19">
        <f>SUMIFS('Clientes Consolidado.'!K:K,'Clientes Consolidado.'!C:C,C9,'Clientes Consolidado.'!B:B,"Fertilizer")
+SUMIFS('Clientes Consolidado.'!K:K,'Clientes Consolidado.'!C:C,C9,'Clientes Consolidado.'!B:B,"Additive")
+SUMIFS('Clientes Consolidado.'!K:K,'Clientes Consolidado.'!C:C,C9,'Clientes Consolidado.'!B:B,"Additive Intl.")</f>
        <v>0</v>
      </c>
      <c r="V9" s="19">
        <f>SUMIFS('Clientes Consolidado.'!L:L,'Clientes Consolidado.'!C:C,C9,'Clientes Consolidado.'!B:B,"Fertilizer")
+SUMIFS('Clientes Consolidado.'!L:L,'Clientes Consolidado.'!C:C,C9,'Clientes Consolidado.'!B:B,"Additive")
+SUMIFS('Clientes Consolidado.'!L:L,'Clientes Consolidado.'!C:C,C9,'Clientes Consolidado.'!B:B,"Additive Intl.")</f>
        <v>0</v>
      </c>
      <c r="W9" s="19">
        <f>SUMIFS('Clientes Consolidado.'!M:M,'Clientes Consolidado.'!C:C,C9,'Clientes Consolidado.'!B:B,"Fertilizer")
+SUMIFS('Clientes Consolidado.'!M:M,'Clientes Consolidado.'!C:C,C9,'Clientes Consolidado.'!B:B,"Additive")
+SUMIFS('Clientes Consolidado.'!M:M,'Clientes Consolidado.'!C:C,C9,'Clientes Consolidado.'!B:B,"Additive Intl.")</f>
        <v>0</v>
      </c>
      <c r="X9" s="19">
        <f>SUMIFS('Clientes Consolidado.'!N:N,'Clientes Consolidado.'!C:C,C9,'Clientes Consolidado.'!B:B,"Fertilizer")
+SUMIFS('Clientes Consolidado.'!N:N,'Clientes Consolidado.'!C:C,C9,'Clientes Consolidado.'!B:B,"Additive")
+SUMIFS('Clientes Consolidado.'!N:N,'Clientes Consolidado.'!C:C,C9,'Clientes Consolidado.'!B:B,"Additive Intl.")</f>
        <v>0</v>
      </c>
      <c r="Y9" s="19">
        <f>SUMIFS('Clientes Consolidado.'!O:O,'Clientes Consolidado.'!C:C,C9,'Clientes Consolidado.'!B:B,"Fertilizer")
+SUMIFS('Clientes Consolidado.'!O:O,'Clientes Consolidado.'!C:C,C9,'Clientes Consolidado.'!B:B,"Additive")
+SUMIFS('Clientes Consolidado.'!O:O,'Clientes Consolidado.'!C:C,C9,'Clientes Consolidado.'!B:B,"Additive Intl.")</f>
        <v>0</v>
      </c>
      <c r="Z9" s="19">
        <f>SUMIFS('Clientes Consolidado.'!P:P,'Clientes Consolidado.'!C:C,'Nova Versão '!C9,'Clientes Consolidado.'!B:B,"Fertilizer / Litigation")+SUMIFS('Clientes Consolidado.'!P:P,'Clientes Consolidado.'!C:C,'Nova Versão '!C9,'Clientes Consolidado.'!B:B,"Additive / Litigation")</f>
        <v>3044850.9199999995</v>
      </c>
      <c r="AA9" s="94"/>
    </row>
    <row r="10" spans="1:29" x14ac:dyDescent="0.25">
      <c r="A10" s="32"/>
      <c r="B10" s="94" t="str">
        <f>_xlfn.XLOOKUP(C10,Planilha3!A:A,Planilha3!B:B)</f>
        <v>Additive</v>
      </c>
      <c r="C10" s="94" t="s">
        <v>496</v>
      </c>
      <c r="D10" s="19">
        <f>_xlfn.XLOOKUP(C10,'Limite de crédito'!C:C,'Limite de crédito'!G:G,0)</f>
        <v>15000000</v>
      </c>
      <c r="E10" s="19">
        <f t="shared" si="1"/>
        <v>2978434.34</v>
      </c>
      <c r="F10" s="19">
        <f>_xlfn.XLOOKUP('Nova Versão '!C10,'Limite de crédito'!C:C,'Limite de crédito'!O:O,0)</f>
        <v>15000000</v>
      </c>
      <c r="G10" s="404">
        <f t="shared" si="2"/>
        <v>0</v>
      </c>
      <c r="H10" s="412" t="str">
        <f>_xlfn.XLOOKUP(C10,Planilha3!A:A,Planilha3!C:C)</f>
        <v>Guarantee or credit</v>
      </c>
      <c r="J10" s="19">
        <f t="shared" si="3"/>
        <v>2961615.42</v>
      </c>
      <c r="K10" s="19">
        <f>_xlfn.XLOOKUP(C10,'Clientes Consolidado.'!$C:$C,'Clientes Consolidado.'!R:R,0)</f>
        <v>1468196.92</v>
      </c>
      <c r="L10" s="19">
        <f>_xlfn.XLOOKUP(C10,'Clientes Consolidado.'!$C:$C,'Clientes Consolidado.'!S:S,0)</f>
        <v>550787.30000000005</v>
      </c>
      <c r="M10" s="19">
        <f>_xlfn.XLOOKUP(C10,'Clientes Consolidado.'!$C:$C,'Clientes Consolidado.'!T:T,0)</f>
        <v>761400.20000000007</v>
      </c>
      <c r="N10" s="19">
        <f>_xlfn.XLOOKUP(C10,'Clientes Consolidado.'!$C:$C,'Clientes Consolidado.'!U:U,0)</f>
        <v>181231</v>
      </c>
      <c r="O10" s="19">
        <f>_xlfn.XLOOKUP(C10,'Clientes Consolidado.'!$C:$C,'Clientes Consolidado.'!V:V,0)</f>
        <v>0</v>
      </c>
      <c r="P10" s="19">
        <f>_xlfn.XLOOKUP(C10,'Clientes Consolidado.'!$C:$C,'Clientes Consolidado.'!W:W,0)</f>
        <v>0</v>
      </c>
      <c r="Q10" s="19">
        <f>_xlfn.XLOOKUP(C10,'Clientes Consolidado.'!$C:$C,'Clientes Consolidado.'!X:X,0)</f>
        <v>0</v>
      </c>
      <c r="R10" s="19">
        <f t="shared" si="4"/>
        <v>16818.920000000002</v>
      </c>
      <c r="S10" s="19">
        <f>SUMIFS('Clientes Consolidado.'!I:I,'Clientes Consolidado.'!C:C,C10,'Clientes Consolidado.'!B:B,"Fertilizer")
+SUMIFS('Clientes Consolidado.'!I:I,'Clientes Consolidado.'!C:C,C10,'Clientes Consolidado.'!B:B,"Additive")
+SUMIFS('Clientes Consolidado.'!I:I,'Clientes Consolidado.'!C:C,C10,'Clientes Consolidado.'!B:B,"Additive Intl.")</f>
        <v>0</v>
      </c>
      <c r="T10" s="19">
        <f>SUMIFS('Clientes Consolidado.'!J:J,'Clientes Consolidado.'!C:C,C10,'Clientes Consolidado.'!B:B,"Fertilizer")
+SUMIFS('Clientes Consolidado.'!J:J,'Clientes Consolidado.'!C:C,C10,'Clientes Consolidado.'!B:B,"Additive")
+SUMIFS('Clientes Consolidado.'!J:J,'Clientes Consolidado.'!C:C,C10,'Clientes Consolidado.'!B:B,"Additive Intl.")</f>
        <v>0</v>
      </c>
      <c r="U10" s="19">
        <f>SUMIFS('Clientes Consolidado.'!K:K,'Clientes Consolidado.'!C:C,C10,'Clientes Consolidado.'!B:B,"Fertilizer")
+SUMIFS('Clientes Consolidado.'!K:K,'Clientes Consolidado.'!C:C,C10,'Clientes Consolidado.'!B:B,"Additive")
+SUMIFS('Clientes Consolidado.'!K:K,'Clientes Consolidado.'!C:C,C10,'Clientes Consolidado.'!B:B,"Additive Intl.")</f>
        <v>0</v>
      </c>
      <c r="V10" s="19">
        <f>SUMIFS('Clientes Consolidado.'!L:L,'Clientes Consolidado.'!C:C,C10,'Clientes Consolidado.'!B:B,"Fertilizer")
+SUMIFS('Clientes Consolidado.'!L:L,'Clientes Consolidado.'!C:C,C10,'Clientes Consolidado.'!B:B,"Additive")
+SUMIFS('Clientes Consolidado.'!L:L,'Clientes Consolidado.'!C:C,C10,'Clientes Consolidado.'!B:B,"Additive Intl.")</f>
        <v>0</v>
      </c>
      <c r="W10" s="19">
        <f>SUMIFS('Clientes Consolidado.'!M:M,'Clientes Consolidado.'!C:C,C10,'Clientes Consolidado.'!B:B,"Fertilizer")
+SUMIFS('Clientes Consolidado.'!M:M,'Clientes Consolidado.'!C:C,C10,'Clientes Consolidado.'!B:B,"Additive")
+SUMIFS('Clientes Consolidado.'!M:M,'Clientes Consolidado.'!C:C,C10,'Clientes Consolidado.'!B:B,"Additive Intl.")</f>
        <v>0</v>
      </c>
      <c r="X10" s="19">
        <f>SUMIFS('Clientes Consolidado.'!N:N,'Clientes Consolidado.'!C:C,C10,'Clientes Consolidado.'!B:B,"Fertilizer")
+SUMIFS('Clientes Consolidado.'!N:N,'Clientes Consolidado.'!C:C,C10,'Clientes Consolidado.'!B:B,"Additive")
+SUMIFS('Clientes Consolidado.'!N:N,'Clientes Consolidado.'!C:C,C10,'Clientes Consolidado.'!B:B,"Additive Intl.")</f>
        <v>64.2</v>
      </c>
      <c r="Y10" s="19">
        <f>SUMIFS('Clientes Consolidado.'!O:O,'Clientes Consolidado.'!C:C,C10,'Clientes Consolidado.'!B:B,"Fertilizer")
+SUMIFS('Clientes Consolidado.'!O:O,'Clientes Consolidado.'!C:C,C10,'Clientes Consolidado.'!B:B,"Additive")
+SUMIFS('Clientes Consolidado.'!O:O,'Clientes Consolidado.'!C:C,C10,'Clientes Consolidado.'!B:B,"Additive Intl.")</f>
        <v>16754.72</v>
      </c>
      <c r="Z10" s="19">
        <f>SUMIFS('Clientes Consolidado.'!P:P,'Clientes Consolidado.'!C:C,'Nova Versão '!C10,'Clientes Consolidado.'!B:B,"Fertilizer / Litigation")+SUMIFS('Clientes Consolidado.'!P:P,'Clientes Consolidado.'!C:C,'Nova Versão '!C10,'Clientes Consolidado.'!B:B,"Additive / Litigation")</f>
        <v>0</v>
      </c>
      <c r="AA10" s="94"/>
    </row>
    <row r="11" spans="1:29" x14ac:dyDescent="0.25">
      <c r="A11" s="32"/>
      <c r="B11" s="94" t="str">
        <f>_xlfn.XLOOKUP(C11,Planilha3!A:A,Planilha3!B:B)</f>
        <v>Fertilizer / Litigation</v>
      </c>
      <c r="C11" s="94" t="s">
        <v>186</v>
      </c>
      <c r="D11" s="19">
        <f>_xlfn.XLOOKUP(C11,'Limite de crédito'!C:C,'Limite de crédito'!G:G,0)</f>
        <v>0</v>
      </c>
      <c r="E11" s="19">
        <f t="shared" si="1"/>
        <v>2492842.0500000003</v>
      </c>
      <c r="F11" s="19">
        <f>_xlfn.XLOOKUP('Nova Versão '!C11,'Limite de crédito'!C:C,'Limite de crédito'!O:O,0)</f>
        <v>0</v>
      </c>
      <c r="G11" s="404">
        <f t="shared" si="2"/>
        <v>2492842.0500000003</v>
      </c>
      <c r="H11" s="412" t="str">
        <f>_xlfn.XLOOKUP(C11,Planilha3!A:A,Planilha3!C:C)</f>
        <v>Litigation</v>
      </c>
      <c r="J11" s="19">
        <f t="shared" si="3"/>
        <v>0</v>
      </c>
      <c r="K11" s="19">
        <f>_xlfn.XLOOKUP(C11,'Clientes Consolidado.'!$C:$C,'Clientes Consolidado.'!R:R,0)</f>
        <v>0</v>
      </c>
      <c r="L11" s="19">
        <f>_xlfn.XLOOKUP(C11,'Clientes Consolidado.'!$C:$C,'Clientes Consolidado.'!S:S,0)</f>
        <v>0</v>
      </c>
      <c r="M11" s="19">
        <f>_xlfn.XLOOKUP(C11,'Clientes Consolidado.'!$C:$C,'Clientes Consolidado.'!T:T,0)</f>
        <v>0</v>
      </c>
      <c r="N11" s="19">
        <f>_xlfn.XLOOKUP(C11,'Clientes Consolidado.'!$C:$C,'Clientes Consolidado.'!U:U,0)</f>
        <v>0</v>
      </c>
      <c r="O11" s="19">
        <f>_xlfn.XLOOKUP(C11,'Clientes Consolidado.'!$C:$C,'Clientes Consolidado.'!V:V,0)</f>
        <v>0</v>
      </c>
      <c r="P11" s="19">
        <f>_xlfn.XLOOKUP(C11,'Clientes Consolidado.'!$C:$C,'Clientes Consolidado.'!W:W,0)</f>
        <v>0</v>
      </c>
      <c r="Q11" s="19">
        <f>_xlfn.XLOOKUP(C11,'Clientes Consolidado.'!$C:$C,'Clientes Consolidado.'!X:X,0)</f>
        <v>0</v>
      </c>
      <c r="R11" s="19">
        <f t="shared" si="4"/>
        <v>0</v>
      </c>
      <c r="S11" s="19">
        <f>SUMIFS('Clientes Consolidado.'!I:I,'Clientes Consolidado.'!C:C,C11,'Clientes Consolidado.'!B:B,"Fertilizer")
+SUMIFS('Clientes Consolidado.'!I:I,'Clientes Consolidado.'!C:C,C11,'Clientes Consolidado.'!B:B,"Additive")
+SUMIFS('Clientes Consolidado.'!I:I,'Clientes Consolidado.'!C:C,C11,'Clientes Consolidado.'!B:B,"Additive Intl.")</f>
        <v>0</v>
      </c>
      <c r="T11" s="19">
        <f>SUMIFS('Clientes Consolidado.'!J:J,'Clientes Consolidado.'!C:C,C11,'Clientes Consolidado.'!B:B,"Fertilizer")
+SUMIFS('Clientes Consolidado.'!J:J,'Clientes Consolidado.'!C:C,C11,'Clientes Consolidado.'!B:B,"Additive")
+SUMIFS('Clientes Consolidado.'!J:J,'Clientes Consolidado.'!C:C,C11,'Clientes Consolidado.'!B:B,"Additive Intl.")</f>
        <v>0</v>
      </c>
      <c r="U11" s="19">
        <f>SUMIFS('Clientes Consolidado.'!K:K,'Clientes Consolidado.'!C:C,C11,'Clientes Consolidado.'!B:B,"Fertilizer")
+SUMIFS('Clientes Consolidado.'!K:K,'Clientes Consolidado.'!C:C,C11,'Clientes Consolidado.'!B:B,"Additive")
+SUMIFS('Clientes Consolidado.'!K:K,'Clientes Consolidado.'!C:C,C11,'Clientes Consolidado.'!B:B,"Additive Intl.")</f>
        <v>0</v>
      </c>
      <c r="V11" s="19">
        <f>SUMIFS('Clientes Consolidado.'!L:L,'Clientes Consolidado.'!C:C,C11,'Clientes Consolidado.'!B:B,"Fertilizer")
+SUMIFS('Clientes Consolidado.'!L:L,'Clientes Consolidado.'!C:C,C11,'Clientes Consolidado.'!B:B,"Additive")
+SUMIFS('Clientes Consolidado.'!L:L,'Clientes Consolidado.'!C:C,C11,'Clientes Consolidado.'!B:B,"Additive Intl.")</f>
        <v>0</v>
      </c>
      <c r="W11" s="19">
        <f>SUMIFS('Clientes Consolidado.'!M:M,'Clientes Consolidado.'!C:C,C11,'Clientes Consolidado.'!B:B,"Fertilizer")
+SUMIFS('Clientes Consolidado.'!M:M,'Clientes Consolidado.'!C:C,C11,'Clientes Consolidado.'!B:B,"Additive")
+SUMIFS('Clientes Consolidado.'!M:M,'Clientes Consolidado.'!C:C,C11,'Clientes Consolidado.'!B:B,"Additive Intl.")</f>
        <v>0</v>
      </c>
      <c r="X11" s="19">
        <f>SUMIFS('Clientes Consolidado.'!N:N,'Clientes Consolidado.'!C:C,C11,'Clientes Consolidado.'!B:B,"Fertilizer")
+SUMIFS('Clientes Consolidado.'!N:N,'Clientes Consolidado.'!C:C,C11,'Clientes Consolidado.'!B:B,"Additive")
+SUMIFS('Clientes Consolidado.'!N:N,'Clientes Consolidado.'!C:C,C11,'Clientes Consolidado.'!B:B,"Additive Intl.")</f>
        <v>0</v>
      </c>
      <c r="Y11" s="19">
        <f>SUMIFS('Clientes Consolidado.'!O:O,'Clientes Consolidado.'!C:C,C11,'Clientes Consolidado.'!B:B,"Fertilizer")
+SUMIFS('Clientes Consolidado.'!O:O,'Clientes Consolidado.'!C:C,C11,'Clientes Consolidado.'!B:B,"Additive")
+SUMIFS('Clientes Consolidado.'!O:O,'Clientes Consolidado.'!C:C,C11,'Clientes Consolidado.'!B:B,"Additive Intl.")</f>
        <v>0</v>
      </c>
      <c r="Z11" s="19">
        <f>SUMIFS('Clientes Consolidado.'!P:P,'Clientes Consolidado.'!C:C,'Nova Versão '!C11,'Clientes Consolidado.'!B:B,"Fertilizer / Litigation")+SUMIFS('Clientes Consolidado.'!P:P,'Clientes Consolidado.'!C:C,'Nova Versão '!C11,'Clientes Consolidado.'!B:B,"Additive / Litigation")</f>
        <v>2492842.0500000003</v>
      </c>
      <c r="AA11" s="94"/>
    </row>
    <row r="12" spans="1:29" x14ac:dyDescent="0.25">
      <c r="A12" s="32"/>
      <c r="B12" s="94" t="str">
        <f>_xlfn.XLOOKUP(C12,Planilha3!A:A,Planilha3!B:B)</f>
        <v>Fertilizer / Litigation</v>
      </c>
      <c r="C12" s="94" t="s">
        <v>194</v>
      </c>
      <c r="D12" s="19">
        <f>_xlfn.XLOOKUP(C12,'Limite de crédito'!C:C,'Limite de crédito'!G:G,0)</f>
        <v>0</v>
      </c>
      <c r="E12" s="19">
        <f t="shared" si="1"/>
        <v>1863200.9</v>
      </c>
      <c r="F12" s="19">
        <f>_xlfn.XLOOKUP('Nova Versão '!C12,'Limite de crédito'!C:C,'Limite de crédito'!O:O,0)</f>
        <v>0</v>
      </c>
      <c r="G12" s="404">
        <f t="shared" si="2"/>
        <v>1863200.9</v>
      </c>
      <c r="H12" s="412" t="str">
        <f>_xlfn.XLOOKUP(C12,Planilha3!A:A,Planilha3!C:C)</f>
        <v>Litigation</v>
      </c>
      <c r="J12" s="19">
        <f t="shared" si="3"/>
        <v>0</v>
      </c>
      <c r="K12" s="19">
        <f>_xlfn.XLOOKUP(C12,'Clientes Consolidado.'!$C:$C,'Clientes Consolidado.'!R:R,0)</f>
        <v>0</v>
      </c>
      <c r="L12" s="19">
        <f>_xlfn.XLOOKUP(C12,'Clientes Consolidado.'!$C:$C,'Clientes Consolidado.'!S:S,0)</f>
        <v>0</v>
      </c>
      <c r="M12" s="19">
        <f>_xlfn.XLOOKUP(C12,'Clientes Consolidado.'!$C:$C,'Clientes Consolidado.'!T:T,0)</f>
        <v>0</v>
      </c>
      <c r="N12" s="19">
        <f>_xlfn.XLOOKUP(C12,'Clientes Consolidado.'!$C:$C,'Clientes Consolidado.'!U:U,0)</f>
        <v>0</v>
      </c>
      <c r="O12" s="19">
        <f>_xlfn.XLOOKUP(C12,'Clientes Consolidado.'!$C:$C,'Clientes Consolidado.'!V:V,0)</f>
        <v>0</v>
      </c>
      <c r="P12" s="19">
        <f>_xlfn.XLOOKUP(C12,'Clientes Consolidado.'!$C:$C,'Clientes Consolidado.'!W:W,0)</f>
        <v>0</v>
      </c>
      <c r="Q12" s="19">
        <f>_xlfn.XLOOKUP(C12,'Clientes Consolidado.'!$C:$C,'Clientes Consolidado.'!X:X,0)</f>
        <v>0</v>
      </c>
      <c r="R12" s="19">
        <f t="shared" si="4"/>
        <v>0</v>
      </c>
      <c r="S12" s="19">
        <f>SUMIFS('Clientes Consolidado.'!I:I,'Clientes Consolidado.'!C:C,C12,'Clientes Consolidado.'!B:B,"Fertilizer")
+SUMIFS('Clientes Consolidado.'!I:I,'Clientes Consolidado.'!C:C,C12,'Clientes Consolidado.'!B:B,"Additive")
+SUMIFS('Clientes Consolidado.'!I:I,'Clientes Consolidado.'!C:C,C12,'Clientes Consolidado.'!B:B,"Additive Intl.")</f>
        <v>0</v>
      </c>
      <c r="T12" s="19">
        <f>SUMIFS('Clientes Consolidado.'!J:J,'Clientes Consolidado.'!C:C,C12,'Clientes Consolidado.'!B:B,"Fertilizer")
+SUMIFS('Clientes Consolidado.'!J:J,'Clientes Consolidado.'!C:C,C12,'Clientes Consolidado.'!B:B,"Additive")
+SUMIFS('Clientes Consolidado.'!J:J,'Clientes Consolidado.'!C:C,C12,'Clientes Consolidado.'!B:B,"Additive Intl.")</f>
        <v>0</v>
      </c>
      <c r="U12" s="19">
        <f>SUMIFS('Clientes Consolidado.'!K:K,'Clientes Consolidado.'!C:C,C12,'Clientes Consolidado.'!B:B,"Fertilizer")
+SUMIFS('Clientes Consolidado.'!K:K,'Clientes Consolidado.'!C:C,C12,'Clientes Consolidado.'!B:B,"Additive")
+SUMIFS('Clientes Consolidado.'!K:K,'Clientes Consolidado.'!C:C,C12,'Clientes Consolidado.'!B:B,"Additive Intl.")</f>
        <v>0</v>
      </c>
      <c r="V12" s="19">
        <f>SUMIFS('Clientes Consolidado.'!L:L,'Clientes Consolidado.'!C:C,C12,'Clientes Consolidado.'!B:B,"Fertilizer")
+SUMIFS('Clientes Consolidado.'!L:L,'Clientes Consolidado.'!C:C,C12,'Clientes Consolidado.'!B:B,"Additive")
+SUMIFS('Clientes Consolidado.'!L:L,'Clientes Consolidado.'!C:C,C12,'Clientes Consolidado.'!B:B,"Additive Intl.")</f>
        <v>0</v>
      </c>
      <c r="W12" s="19">
        <f>SUMIFS('Clientes Consolidado.'!M:M,'Clientes Consolidado.'!C:C,C12,'Clientes Consolidado.'!B:B,"Fertilizer")
+SUMIFS('Clientes Consolidado.'!M:M,'Clientes Consolidado.'!C:C,C12,'Clientes Consolidado.'!B:B,"Additive")
+SUMIFS('Clientes Consolidado.'!M:M,'Clientes Consolidado.'!C:C,C12,'Clientes Consolidado.'!B:B,"Additive Intl.")</f>
        <v>0</v>
      </c>
      <c r="X12" s="19">
        <f>SUMIFS('Clientes Consolidado.'!N:N,'Clientes Consolidado.'!C:C,C12,'Clientes Consolidado.'!B:B,"Fertilizer")
+SUMIFS('Clientes Consolidado.'!N:N,'Clientes Consolidado.'!C:C,C12,'Clientes Consolidado.'!B:B,"Additive")
+SUMIFS('Clientes Consolidado.'!N:N,'Clientes Consolidado.'!C:C,C12,'Clientes Consolidado.'!B:B,"Additive Intl.")</f>
        <v>0</v>
      </c>
      <c r="Y12" s="19">
        <f>SUMIFS('Clientes Consolidado.'!O:O,'Clientes Consolidado.'!C:C,C12,'Clientes Consolidado.'!B:B,"Fertilizer")
+SUMIFS('Clientes Consolidado.'!O:O,'Clientes Consolidado.'!C:C,C12,'Clientes Consolidado.'!B:B,"Additive")
+SUMIFS('Clientes Consolidado.'!O:O,'Clientes Consolidado.'!C:C,C12,'Clientes Consolidado.'!B:B,"Additive Intl.")</f>
        <v>0</v>
      </c>
      <c r="Z12" s="19">
        <f>SUMIFS('Clientes Consolidado.'!P:P,'Clientes Consolidado.'!C:C,'Nova Versão '!C12,'Clientes Consolidado.'!B:B,"Fertilizer / Litigation")+SUMIFS('Clientes Consolidado.'!P:P,'Clientes Consolidado.'!C:C,'Nova Versão '!C12,'Clientes Consolidado.'!B:B,"Additive / Litigation")</f>
        <v>1863200.9</v>
      </c>
      <c r="AA12" s="94"/>
    </row>
    <row r="13" spans="1:29" x14ac:dyDescent="0.25">
      <c r="A13" s="32"/>
      <c r="B13" s="94" t="str">
        <f>_xlfn.XLOOKUP(C13,Planilha3!A:A,Planilha3!B:B)</f>
        <v>Fertilizer / Litigation</v>
      </c>
      <c r="C13" s="94" t="s">
        <v>198</v>
      </c>
      <c r="D13" s="19">
        <f>_xlfn.XLOOKUP(C13,'Limite de crédito'!C:C,'Limite de crédito'!G:G,0)</f>
        <v>0</v>
      </c>
      <c r="E13" s="19">
        <f t="shared" si="1"/>
        <v>1702848.7400000002</v>
      </c>
      <c r="F13" s="19">
        <f>_xlfn.XLOOKUP('Nova Versão '!C13,'Limite de crédito'!C:C,'Limite de crédito'!O:O,0)</f>
        <v>0</v>
      </c>
      <c r="G13" s="404">
        <f t="shared" si="2"/>
        <v>1702848.7400000002</v>
      </c>
      <c r="H13" s="412" t="str">
        <f>_xlfn.XLOOKUP(C13,Planilha3!A:A,Planilha3!C:C)</f>
        <v>Litigation</v>
      </c>
      <c r="J13" s="19">
        <f t="shared" si="3"/>
        <v>0</v>
      </c>
      <c r="K13" s="19">
        <f>_xlfn.XLOOKUP(C13,'Clientes Consolidado.'!$C:$C,'Clientes Consolidado.'!R:R,0)</f>
        <v>0</v>
      </c>
      <c r="L13" s="19">
        <f>_xlfn.XLOOKUP(C13,'Clientes Consolidado.'!$C:$C,'Clientes Consolidado.'!S:S,0)</f>
        <v>0</v>
      </c>
      <c r="M13" s="19">
        <f>_xlfn.XLOOKUP(C13,'Clientes Consolidado.'!$C:$C,'Clientes Consolidado.'!T:T,0)</f>
        <v>0</v>
      </c>
      <c r="N13" s="19">
        <f>_xlfn.XLOOKUP(C13,'Clientes Consolidado.'!$C:$C,'Clientes Consolidado.'!U:U,0)</f>
        <v>0</v>
      </c>
      <c r="O13" s="19">
        <f>_xlfn.XLOOKUP(C13,'Clientes Consolidado.'!$C:$C,'Clientes Consolidado.'!V:V,0)</f>
        <v>0</v>
      </c>
      <c r="P13" s="19">
        <f>_xlfn.XLOOKUP(C13,'Clientes Consolidado.'!$C:$C,'Clientes Consolidado.'!W:W,0)</f>
        <v>0</v>
      </c>
      <c r="Q13" s="19">
        <f>_xlfn.XLOOKUP(C13,'Clientes Consolidado.'!$C:$C,'Clientes Consolidado.'!X:X,0)</f>
        <v>0</v>
      </c>
      <c r="R13" s="19">
        <f t="shared" si="4"/>
        <v>0</v>
      </c>
      <c r="S13" s="19">
        <f>SUMIFS('Clientes Consolidado.'!I:I,'Clientes Consolidado.'!C:C,C13,'Clientes Consolidado.'!B:B,"Fertilizer")
+SUMIFS('Clientes Consolidado.'!I:I,'Clientes Consolidado.'!C:C,C13,'Clientes Consolidado.'!B:B,"Additive")
+SUMIFS('Clientes Consolidado.'!I:I,'Clientes Consolidado.'!C:C,C13,'Clientes Consolidado.'!B:B,"Additive Intl.")</f>
        <v>0</v>
      </c>
      <c r="T13" s="19">
        <f>SUMIFS('Clientes Consolidado.'!J:J,'Clientes Consolidado.'!C:C,C13,'Clientes Consolidado.'!B:B,"Fertilizer")
+SUMIFS('Clientes Consolidado.'!J:J,'Clientes Consolidado.'!C:C,C13,'Clientes Consolidado.'!B:B,"Additive")
+SUMIFS('Clientes Consolidado.'!J:J,'Clientes Consolidado.'!C:C,C13,'Clientes Consolidado.'!B:B,"Additive Intl.")</f>
        <v>0</v>
      </c>
      <c r="U13" s="19">
        <f>SUMIFS('Clientes Consolidado.'!K:K,'Clientes Consolidado.'!C:C,C13,'Clientes Consolidado.'!B:B,"Fertilizer")
+SUMIFS('Clientes Consolidado.'!K:K,'Clientes Consolidado.'!C:C,C13,'Clientes Consolidado.'!B:B,"Additive")
+SUMIFS('Clientes Consolidado.'!K:K,'Clientes Consolidado.'!C:C,C13,'Clientes Consolidado.'!B:B,"Additive Intl.")</f>
        <v>0</v>
      </c>
      <c r="V13" s="19">
        <f>SUMIFS('Clientes Consolidado.'!L:L,'Clientes Consolidado.'!C:C,C13,'Clientes Consolidado.'!B:B,"Fertilizer")
+SUMIFS('Clientes Consolidado.'!L:L,'Clientes Consolidado.'!C:C,C13,'Clientes Consolidado.'!B:B,"Additive")
+SUMIFS('Clientes Consolidado.'!L:L,'Clientes Consolidado.'!C:C,C13,'Clientes Consolidado.'!B:B,"Additive Intl.")</f>
        <v>0</v>
      </c>
      <c r="W13" s="19">
        <f>SUMIFS('Clientes Consolidado.'!M:M,'Clientes Consolidado.'!C:C,C13,'Clientes Consolidado.'!B:B,"Fertilizer")
+SUMIFS('Clientes Consolidado.'!M:M,'Clientes Consolidado.'!C:C,C13,'Clientes Consolidado.'!B:B,"Additive")
+SUMIFS('Clientes Consolidado.'!M:M,'Clientes Consolidado.'!C:C,C13,'Clientes Consolidado.'!B:B,"Additive Intl.")</f>
        <v>0</v>
      </c>
      <c r="X13" s="19">
        <f>SUMIFS('Clientes Consolidado.'!N:N,'Clientes Consolidado.'!C:C,C13,'Clientes Consolidado.'!B:B,"Fertilizer")
+SUMIFS('Clientes Consolidado.'!N:N,'Clientes Consolidado.'!C:C,C13,'Clientes Consolidado.'!B:B,"Additive")
+SUMIFS('Clientes Consolidado.'!N:N,'Clientes Consolidado.'!C:C,C13,'Clientes Consolidado.'!B:B,"Additive Intl.")</f>
        <v>0</v>
      </c>
      <c r="Y13" s="19">
        <f>SUMIFS('Clientes Consolidado.'!O:O,'Clientes Consolidado.'!C:C,C13,'Clientes Consolidado.'!B:B,"Fertilizer")
+SUMIFS('Clientes Consolidado.'!O:O,'Clientes Consolidado.'!C:C,C13,'Clientes Consolidado.'!B:B,"Additive")
+SUMIFS('Clientes Consolidado.'!O:O,'Clientes Consolidado.'!C:C,C13,'Clientes Consolidado.'!B:B,"Additive Intl.")</f>
        <v>0</v>
      </c>
      <c r="Z13" s="19">
        <f>SUMIFS('Clientes Consolidado.'!P:P,'Clientes Consolidado.'!C:C,'Nova Versão '!C13,'Clientes Consolidado.'!B:B,"Fertilizer / Litigation")+SUMIFS('Clientes Consolidado.'!P:P,'Clientes Consolidado.'!C:C,'Nova Versão '!C13,'Clientes Consolidado.'!B:B,"Additive / Litigation")</f>
        <v>1702848.7400000002</v>
      </c>
      <c r="AA13" s="94"/>
    </row>
    <row r="14" spans="1:29" x14ac:dyDescent="0.25">
      <c r="A14" s="32"/>
      <c r="B14" s="94" t="str">
        <f>_xlfn.XLOOKUP(C14,Planilha3!A:A,Planilha3!B:B)</f>
        <v>Fertilizer</v>
      </c>
      <c r="C14" s="94" t="s">
        <v>181</v>
      </c>
      <c r="D14" s="19">
        <f>_xlfn.XLOOKUP(C14,'Limite de crédito'!C:C,'Limite de crédito'!G:G,0)</f>
        <v>1800000</v>
      </c>
      <c r="E14" s="19">
        <f t="shared" si="1"/>
        <v>1200190.42</v>
      </c>
      <c r="F14" s="19">
        <f>_xlfn.XLOOKUP('Nova Versão '!C14,'Limite de crédito'!C:C,'Limite de crédito'!O:O,0)</f>
        <v>500000</v>
      </c>
      <c r="G14" s="404">
        <f t="shared" si="2"/>
        <v>700190.41999999993</v>
      </c>
      <c r="H14" s="412" t="str">
        <f>_xlfn.XLOOKUP(C14,Planilha3!A:A,Planilha3!C:C)</f>
        <v>Guarantee or credit + Credit approved based on credit rating</v>
      </c>
      <c r="J14" s="19">
        <f t="shared" si="3"/>
        <v>1200190.42</v>
      </c>
      <c r="K14" s="19">
        <f>_xlfn.XLOOKUP(C14,'Clientes Consolidado.'!$C:$C,'Clientes Consolidado.'!R:R,0)</f>
        <v>274733.36</v>
      </c>
      <c r="L14" s="19">
        <f>_xlfn.XLOOKUP(C14,'Clientes Consolidado.'!$C:$C,'Clientes Consolidado.'!S:S,0)</f>
        <v>0</v>
      </c>
      <c r="M14" s="19">
        <f>_xlfn.XLOOKUP(C14,'Clientes Consolidado.'!$C:$C,'Clientes Consolidado.'!T:T,0)</f>
        <v>0</v>
      </c>
      <c r="N14" s="19">
        <f>_xlfn.XLOOKUP(C14,'Clientes Consolidado.'!$C:$C,'Clientes Consolidado.'!U:U,0)</f>
        <v>0</v>
      </c>
      <c r="O14" s="19">
        <f>_xlfn.XLOOKUP(C14,'Clientes Consolidado.'!$C:$C,'Clientes Consolidado.'!V:V,0)</f>
        <v>925457.05999999994</v>
      </c>
      <c r="P14" s="19">
        <f>_xlfn.XLOOKUP(C14,'Clientes Consolidado.'!$C:$C,'Clientes Consolidado.'!W:W,0)</f>
        <v>0</v>
      </c>
      <c r="Q14" s="19">
        <f>_xlfn.XLOOKUP(C14,'Clientes Consolidado.'!$C:$C,'Clientes Consolidado.'!X:X,0)</f>
        <v>0</v>
      </c>
      <c r="R14" s="19">
        <f t="shared" si="4"/>
        <v>0</v>
      </c>
      <c r="S14" s="19">
        <f>SUMIFS('Clientes Consolidado.'!I:I,'Clientes Consolidado.'!C:C,C14,'Clientes Consolidado.'!B:B,"Fertilizer")
+SUMIFS('Clientes Consolidado.'!I:I,'Clientes Consolidado.'!C:C,C14,'Clientes Consolidado.'!B:B,"Additive")
+SUMIFS('Clientes Consolidado.'!I:I,'Clientes Consolidado.'!C:C,C14,'Clientes Consolidado.'!B:B,"Additive Intl.")</f>
        <v>0</v>
      </c>
      <c r="T14" s="19">
        <f>SUMIFS('Clientes Consolidado.'!J:J,'Clientes Consolidado.'!C:C,C14,'Clientes Consolidado.'!B:B,"Fertilizer")
+SUMIFS('Clientes Consolidado.'!J:J,'Clientes Consolidado.'!C:C,C14,'Clientes Consolidado.'!B:B,"Additive")
+SUMIFS('Clientes Consolidado.'!J:J,'Clientes Consolidado.'!C:C,C14,'Clientes Consolidado.'!B:B,"Additive Intl.")</f>
        <v>0</v>
      </c>
      <c r="U14" s="19">
        <f>SUMIFS('Clientes Consolidado.'!K:K,'Clientes Consolidado.'!C:C,C14,'Clientes Consolidado.'!B:B,"Fertilizer")
+SUMIFS('Clientes Consolidado.'!K:K,'Clientes Consolidado.'!C:C,C14,'Clientes Consolidado.'!B:B,"Additive")
+SUMIFS('Clientes Consolidado.'!K:K,'Clientes Consolidado.'!C:C,C14,'Clientes Consolidado.'!B:B,"Additive Intl.")</f>
        <v>0</v>
      </c>
      <c r="V14" s="19">
        <f>SUMIFS('Clientes Consolidado.'!L:L,'Clientes Consolidado.'!C:C,C14,'Clientes Consolidado.'!B:B,"Fertilizer")
+SUMIFS('Clientes Consolidado.'!L:L,'Clientes Consolidado.'!C:C,C14,'Clientes Consolidado.'!B:B,"Additive")
+SUMIFS('Clientes Consolidado.'!L:L,'Clientes Consolidado.'!C:C,C14,'Clientes Consolidado.'!B:B,"Additive Intl.")</f>
        <v>0</v>
      </c>
      <c r="W14" s="19">
        <f>SUMIFS('Clientes Consolidado.'!M:M,'Clientes Consolidado.'!C:C,C14,'Clientes Consolidado.'!B:B,"Fertilizer")
+SUMIFS('Clientes Consolidado.'!M:M,'Clientes Consolidado.'!C:C,C14,'Clientes Consolidado.'!B:B,"Additive")
+SUMIFS('Clientes Consolidado.'!M:M,'Clientes Consolidado.'!C:C,C14,'Clientes Consolidado.'!B:B,"Additive Intl.")</f>
        <v>0</v>
      </c>
      <c r="X14" s="19">
        <f>SUMIFS('Clientes Consolidado.'!N:N,'Clientes Consolidado.'!C:C,C14,'Clientes Consolidado.'!B:B,"Fertilizer")
+SUMIFS('Clientes Consolidado.'!N:N,'Clientes Consolidado.'!C:C,C14,'Clientes Consolidado.'!B:B,"Additive")
+SUMIFS('Clientes Consolidado.'!N:N,'Clientes Consolidado.'!C:C,C14,'Clientes Consolidado.'!B:B,"Additive Intl.")</f>
        <v>0</v>
      </c>
      <c r="Y14" s="19">
        <f>SUMIFS('Clientes Consolidado.'!O:O,'Clientes Consolidado.'!C:C,C14,'Clientes Consolidado.'!B:B,"Fertilizer")
+SUMIFS('Clientes Consolidado.'!O:O,'Clientes Consolidado.'!C:C,C14,'Clientes Consolidado.'!B:B,"Additive")
+SUMIFS('Clientes Consolidado.'!O:O,'Clientes Consolidado.'!C:C,C14,'Clientes Consolidado.'!B:B,"Additive Intl.")</f>
        <v>0</v>
      </c>
      <c r="Z14" s="19">
        <f>SUMIFS('Clientes Consolidado.'!P:P,'Clientes Consolidado.'!C:C,'Nova Versão '!C14,'Clientes Consolidado.'!B:B,"Fertilizer / Litigation")+SUMIFS('Clientes Consolidado.'!P:P,'Clientes Consolidado.'!C:C,'Nova Versão '!C14,'Clientes Consolidado.'!B:B,"Additive / Litigation")</f>
        <v>0</v>
      </c>
      <c r="AA14" s="94"/>
    </row>
    <row r="15" spans="1:29" x14ac:dyDescent="0.25">
      <c r="A15" s="32"/>
      <c r="B15" s="94" t="str">
        <f>_xlfn.XLOOKUP(C15,Planilha3!A:A,Planilha3!B:B)</f>
        <v>Fertilizer / Litigation</v>
      </c>
      <c r="C15" s="94" t="s">
        <v>269</v>
      </c>
      <c r="D15" s="19">
        <f>_xlfn.XLOOKUP(C15,'Limite de crédito'!C:C,'Limite de crédito'!G:G,0)</f>
        <v>0</v>
      </c>
      <c r="E15" s="19">
        <f t="shared" si="1"/>
        <v>988506.24</v>
      </c>
      <c r="F15" s="19">
        <f>_xlfn.XLOOKUP('Nova Versão '!C15,'Limite de crédito'!C:C,'Limite de crédito'!O:O,0)</f>
        <v>0</v>
      </c>
      <c r="G15" s="404">
        <f t="shared" si="2"/>
        <v>988506.24</v>
      </c>
      <c r="H15" s="412" t="str">
        <f>_xlfn.XLOOKUP(C15,Planilha3!A:A,Planilha3!C:C)</f>
        <v>Litigation</v>
      </c>
      <c r="J15" s="19">
        <f t="shared" si="3"/>
        <v>0</v>
      </c>
      <c r="K15" s="19">
        <f>_xlfn.XLOOKUP(C15,'Clientes Consolidado.'!$C:$C,'Clientes Consolidado.'!R:R,0)</f>
        <v>0</v>
      </c>
      <c r="L15" s="19">
        <f>_xlfn.XLOOKUP(C15,'Clientes Consolidado.'!$C:$C,'Clientes Consolidado.'!S:S,0)</f>
        <v>0</v>
      </c>
      <c r="M15" s="19">
        <f>_xlfn.XLOOKUP(C15,'Clientes Consolidado.'!$C:$C,'Clientes Consolidado.'!T:T,0)</f>
        <v>0</v>
      </c>
      <c r="N15" s="19">
        <f>_xlfn.XLOOKUP(C15,'Clientes Consolidado.'!$C:$C,'Clientes Consolidado.'!U:U,0)</f>
        <v>0</v>
      </c>
      <c r="O15" s="19">
        <f>_xlfn.XLOOKUP(C15,'Clientes Consolidado.'!$C:$C,'Clientes Consolidado.'!V:V,0)</f>
        <v>0</v>
      </c>
      <c r="P15" s="19">
        <f>_xlfn.XLOOKUP(C15,'Clientes Consolidado.'!$C:$C,'Clientes Consolidado.'!W:W,0)</f>
        <v>0</v>
      </c>
      <c r="Q15" s="19">
        <f>_xlfn.XLOOKUP(C15,'Clientes Consolidado.'!$C:$C,'Clientes Consolidado.'!X:X,0)</f>
        <v>0</v>
      </c>
      <c r="R15" s="19">
        <f t="shared" si="4"/>
        <v>0</v>
      </c>
      <c r="S15" s="19">
        <f>SUMIFS('Clientes Consolidado.'!I:I,'Clientes Consolidado.'!C:C,C15,'Clientes Consolidado.'!B:B,"Fertilizer")
+SUMIFS('Clientes Consolidado.'!I:I,'Clientes Consolidado.'!C:C,C15,'Clientes Consolidado.'!B:B,"Additive")
+SUMIFS('Clientes Consolidado.'!I:I,'Clientes Consolidado.'!C:C,C15,'Clientes Consolidado.'!B:B,"Additive Intl.")</f>
        <v>0</v>
      </c>
      <c r="T15" s="19">
        <f>SUMIFS('Clientes Consolidado.'!J:J,'Clientes Consolidado.'!C:C,C15,'Clientes Consolidado.'!B:B,"Fertilizer")
+SUMIFS('Clientes Consolidado.'!J:J,'Clientes Consolidado.'!C:C,C15,'Clientes Consolidado.'!B:B,"Additive")
+SUMIFS('Clientes Consolidado.'!J:J,'Clientes Consolidado.'!C:C,C15,'Clientes Consolidado.'!B:B,"Additive Intl.")</f>
        <v>0</v>
      </c>
      <c r="U15" s="19">
        <f>SUMIFS('Clientes Consolidado.'!K:K,'Clientes Consolidado.'!C:C,C15,'Clientes Consolidado.'!B:B,"Fertilizer")
+SUMIFS('Clientes Consolidado.'!K:K,'Clientes Consolidado.'!C:C,C15,'Clientes Consolidado.'!B:B,"Additive")
+SUMIFS('Clientes Consolidado.'!K:K,'Clientes Consolidado.'!C:C,C15,'Clientes Consolidado.'!B:B,"Additive Intl.")</f>
        <v>0</v>
      </c>
      <c r="V15" s="19">
        <f>SUMIFS('Clientes Consolidado.'!L:L,'Clientes Consolidado.'!C:C,C15,'Clientes Consolidado.'!B:B,"Fertilizer")
+SUMIFS('Clientes Consolidado.'!L:L,'Clientes Consolidado.'!C:C,C15,'Clientes Consolidado.'!B:B,"Additive")
+SUMIFS('Clientes Consolidado.'!L:L,'Clientes Consolidado.'!C:C,C15,'Clientes Consolidado.'!B:B,"Additive Intl.")</f>
        <v>0</v>
      </c>
      <c r="W15" s="19">
        <f>SUMIFS('Clientes Consolidado.'!M:M,'Clientes Consolidado.'!C:C,C15,'Clientes Consolidado.'!B:B,"Fertilizer")
+SUMIFS('Clientes Consolidado.'!M:M,'Clientes Consolidado.'!C:C,C15,'Clientes Consolidado.'!B:B,"Additive")
+SUMIFS('Clientes Consolidado.'!M:M,'Clientes Consolidado.'!C:C,C15,'Clientes Consolidado.'!B:B,"Additive Intl.")</f>
        <v>0</v>
      </c>
      <c r="X15" s="19">
        <f>SUMIFS('Clientes Consolidado.'!N:N,'Clientes Consolidado.'!C:C,C15,'Clientes Consolidado.'!B:B,"Fertilizer")
+SUMIFS('Clientes Consolidado.'!N:N,'Clientes Consolidado.'!C:C,C15,'Clientes Consolidado.'!B:B,"Additive")
+SUMIFS('Clientes Consolidado.'!N:N,'Clientes Consolidado.'!C:C,C15,'Clientes Consolidado.'!B:B,"Additive Intl.")</f>
        <v>0</v>
      </c>
      <c r="Y15" s="19">
        <f>SUMIFS('Clientes Consolidado.'!O:O,'Clientes Consolidado.'!C:C,C15,'Clientes Consolidado.'!B:B,"Fertilizer")
+SUMIFS('Clientes Consolidado.'!O:O,'Clientes Consolidado.'!C:C,C15,'Clientes Consolidado.'!B:B,"Additive")
+SUMIFS('Clientes Consolidado.'!O:O,'Clientes Consolidado.'!C:C,C15,'Clientes Consolidado.'!B:B,"Additive Intl.")</f>
        <v>0</v>
      </c>
      <c r="Z15" s="19">
        <f>SUMIFS('Clientes Consolidado.'!P:P,'Clientes Consolidado.'!C:C,'Nova Versão '!C15,'Clientes Consolidado.'!B:B,"Fertilizer / Litigation")+SUMIFS('Clientes Consolidado.'!P:P,'Clientes Consolidado.'!C:C,'Nova Versão '!C15,'Clientes Consolidado.'!B:B,"Additive / Litigation")</f>
        <v>988506.24</v>
      </c>
      <c r="AA15" s="94"/>
    </row>
    <row r="16" spans="1:29" x14ac:dyDescent="0.25">
      <c r="A16" s="32"/>
      <c r="B16" s="94" t="str">
        <f>_xlfn.XLOOKUP(C16,Planilha3!A:A,Planilha3!B:B)</f>
        <v>Fertilizer / Litigation</v>
      </c>
      <c r="C16" s="94" t="s">
        <v>206</v>
      </c>
      <c r="D16" s="19">
        <f>_xlfn.XLOOKUP(C16,'Limite de crédito'!C:C,'Limite de crédito'!G:G,0)</f>
        <v>0</v>
      </c>
      <c r="E16" s="19">
        <f t="shared" si="1"/>
        <v>876011.75</v>
      </c>
      <c r="F16" s="19">
        <f>_xlfn.XLOOKUP('Nova Versão '!C16,'Limite de crédito'!C:C,'Limite de crédito'!O:O,0)</f>
        <v>0</v>
      </c>
      <c r="G16" s="404">
        <f t="shared" si="2"/>
        <v>876011.75</v>
      </c>
      <c r="H16" s="412" t="str">
        <f>_xlfn.XLOOKUP(C16,Planilha3!A:A,Planilha3!C:C)</f>
        <v>Litigation</v>
      </c>
      <c r="J16" s="19">
        <f t="shared" si="3"/>
        <v>0</v>
      </c>
      <c r="K16" s="19">
        <f>_xlfn.XLOOKUP(C16,'Clientes Consolidado.'!$C:$C,'Clientes Consolidado.'!R:R,0)</f>
        <v>0</v>
      </c>
      <c r="L16" s="19">
        <f>_xlfn.XLOOKUP(C16,'Clientes Consolidado.'!$C:$C,'Clientes Consolidado.'!S:S,0)</f>
        <v>0</v>
      </c>
      <c r="M16" s="19">
        <f>_xlfn.XLOOKUP(C16,'Clientes Consolidado.'!$C:$C,'Clientes Consolidado.'!T:T,0)</f>
        <v>0</v>
      </c>
      <c r="N16" s="19">
        <f>_xlfn.XLOOKUP(C16,'Clientes Consolidado.'!$C:$C,'Clientes Consolidado.'!U:U,0)</f>
        <v>0</v>
      </c>
      <c r="O16" s="19">
        <f>_xlfn.XLOOKUP(C16,'Clientes Consolidado.'!$C:$C,'Clientes Consolidado.'!V:V,0)</f>
        <v>0</v>
      </c>
      <c r="P16" s="19">
        <f>_xlfn.XLOOKUP(C16,'Clientes Consolidado.'!$C:$C,'Clientes Consolidado.'!W:W,0)</f>
        <v>0</v>
      </c>
      <c r="Q16" s="19">
        <f>_xlfn.XLOOKUP(C16,'Clientes Consolidado.'!$C:$C,'Clientes Consolidado.'!X:X,0)</f>
        <v>0</v>
      </c>
      <c r="R16" s="19">
        <f t="shared" si="4"/>
        <v>0</v>
      </c>
      <c r="S16" s="19">
        <f>SUMIFS('Clientes Consolidado.'!I:I,'Clientes Consolidado.'!C:C,C16,'Clientes Consolidado.'!B:B,"Fertilizer")
+SUMIFS('Clientes Consolidado.'!I:I,'Clientes Consolidado.'!C:C,C16,'Clientes Consolidado.'!B:B,"Additive")
+SUMIFS('Clientes Consolidado.'!I:I,'Clientes Consolidado.'!C:C,C16,'Clientes Consolidado.'!B:B,"Additive Intl.")</f>
        <v>0</v>
      </c>
      <c r="T16" s="19">
        <f>SUMIFS('Clientes Consolidado.'!J:J,'Clientes Consolidado.'!C:C,C16,'Clientes Consolidado.'!B:B,"Fertilizer")
+SUMIFS('Clientes Consolidado.'!J:J,'Clientes Consolidado.'!C:C,C16,'Clientes Consolidado.'!B:B,"Additive")
+SUMIFS('Clientes Consolidado.'!J:J,'Clientes Consolidado.'!C:C,C16,'Clientes Consolidado.'!B:B,"Additive Intl.")</f>
        <v>0</v>
      </c>
      <c r="U16" s="19">
        <f>SUMIFS('Clientes Consolidado.'!K:K,'Clientes Consolidado.'!C:C,C16,'Clientes Consolidado.'!B:B,"Fertilizer")
+SUMIFS('Clientes Consolidado.'!K:K,'Clientes Consolidado.'!C:C,C16,'Clientes Consolidado.'!B:B,"Additive")
+SUMIFS('Clientes Consolidado.'!K:K,'Clientes Consolidado.'!C:C,C16,'Clientes Consolidado.'!B:B,"Additive Intl.")</f>
        <v>0</v>
      </c>
      <c r="V16" s="19">
        <f>SUMIFS('Clientes Consolidado.'!L:L,'Clientes Consolidado.'!C:C,C16,'Clientes Consolidado.'!B:B,"Fertilizer")
+SUMIFS('Clientes Consolidado.'!L:L,'Clientes Consolidado.'!C:C,C16,'Clientes Consolidado.'!B:B,"Additive")
+SUMIFS('Clientes Consolidado.'!L:L,'Clientes Consolidado.'!C:C,C16,'Clientes Consolidado.'!B:B,"Additive Intl.")</f>
        <v>0</v>
      </c>
      <c r="W16" s="19">
        <f>SUMIFS('Clientes Consolidado.'!M:M,'Clientes Consolidado.'!C:C,C16,'Clientes Consolidado.'!B:B,"Fertilizer")
+SUMIFS('Clientes Consolidado.'!M:M,'Clientes Consolidado.'!C:C,C16,'Clientes Consolidado.'!B:B,"Additive")
+SUMIFS('Clientes Consolidado.'!M:M,'Clientes Consolidado.'!C:C,C16,'Clientes Consolidado.'!B:B,"Additive Intl.")</f>
        <v>0</v>
      </c>
      <c r="X16" s="19">
        <f>SUMIFS('Clientes Consolidado.'!N:N,'Clientes Consolidado.'!C:C,C16,'Clientes Consolidado.'!B:B,"Fertilizer")
+SUMIFS('Clientes Consolidado.'!N:N,'Clientes Consolidado.'!C:C,C16,'Clientes Consolidado.'!B:B,"Additive")
+SUMIFS('Clientes Consolidado.'!N:N,'Clientes Consolidado.'!C:C,C16,'Clientes Consolidado.'!B:B,"Additive Intl.")</f>
        <v>0</v>
      </c>
      <c r="Y16" s="19">
        <f>SUMIFS('Clientes Consolidado.'!O:O,'Clientes Consolidado.'!C:C,C16,'Clientes Consolidado.'!B:B,"Fertilizer")
+SUMIFS('Clientes Consolidado.'!O:O,'Clientes Consolidado.'!C:C,C16,'Clientes Consolidado.'!B:B,"Additive")
+SUMIFS('Clientes Consolidado.'!O:O,'Clientes Consolidado.'!C:C,C16,'Clientes Consolidado.'!B:B,"Additive Intl.")</f>
        <v>0</v>
      </c>
      <c r="Z16" s="19">
        <f>SUMIFS('Clientes Consolidado.'!P:P,'Clientes Consolidado.'!C:C,'Nova Versão '!C16,'Clientes Consolidado.'!B:B,"Fertilizer / Litigation")+SUMIFS('Clientes Consolidado.'!P:P,'Clientes Consolidado.'!C:C,'Nova Versão '!C16,'Clientes Consolidado.'!B:B,"Additive / Litigation")</f>
        <v>876011.75</v>
      </c>
      <c r="AA16" s="94"/>
    </row>
    <row r="17" spans="1:27" x14ac:dyDescent="0.25">
      <c r="A17" s="32"/>
      <c r="B17" s="94" t="str">
        <f>_xlfn.XLOOKUP(C17,Planilha3!A:A,Planilha3!B:B)</f>
        <v>Additive</v>
      </c>
      <c r="C17" s="94" t="s">
        <v>119</v>
      </c>
      <c r="D17" s="19">
        <f>_xlfn.XLOOKUP(C17,'Limite de crédito'!C:C,'Limite de crédito'!G:G,0)</f>
        <v>0</v>
      </c>
      <c r="E17" s="19">
        <f t="shared" si="1"/>
        <v>793811.7</v>
      </c>
      <c r="F17" s="19">
        <f>_xlfn.XLOOKUP('Nova Versão '!C17,'Limite de crédito'!C:C,'Limite de crédito'!O:O,0)</f>
        <v>0</v>
      </c>
      <c r="G17" s="404">
        <f t="shared" si="2"/>
        <v>793811.7</v>
      </c>
      <c r="H17" s="412" t="str">
        <f>_xlfn.XLOOKUP(C17,Planilha3!A:A,Planilha3!C:C)</f>
        <v>Credit without Insurance</v>
      </c>
      <c r="J17" s="19">
        <f t="shared" si="3"/>
        <v>477840</v>
      </c>
      <c r="K17" s="19">
        <f>_xlfn.XLOOKUP(C17,'Clientes Consolidado.'!$C:$C,'Clientes Consolidado.'!R:R,0)</f>
        <v>477840</v>
      </c>
      <c r="L17" s="19">
        <f>_xlfn.XLOOKUP(C17,'Clientes Consolidado.'!$C:$C,'Clientes Consolidado.'!S:S,0)</f>
        <v>0</v>
      </c>
      <c r="M17" s="19">
        <f>_xlfn.XLOOKUP(C17,'Clientes Consolidado.'!$C:$C,'Clientes Consolidado.'!T:T,0)</f>
        <v>0</v>
      </c>
      <c r="N17" s="19">
        <f>_xlfn.XLOOKUP(C17,'Clientes Consolidado.'!$C:$C,'Clientes Consolidado.'!U:U,0)</f>
        <v>0</v>
      </c>
      <c r="O17" s="19">
        <f>_xlfn.XLOOKUP(C17,'Clientes Consolidado.'!$C:$C,'Clientes Consolidado.'!V:V,0)</f>
        <v>0</v>
      </c>
      <c r="P17" s="19">
        <f>_xlfn.XLOOKUP(C17,'Clientes Consolidado.'!$C:$C,'Clientes Consolidado.'!W:W,0)</f>
        <v>0</v>
      </c>
      <c r="Q17" s="19">
        <f>_xlfn.XLOOKUP(C17,'Clientes Consolidado.'!$C:$C,'Clientes Consolidado.'!X:X,0)</f>
        <v>0</v>
      </c>
      <c r="R17" s="19">
        <f t="shared" si="4"/>
        <v>315971.7</v>
      </c>
      <c r="S17" s="19">
        <f>SUMIFS('Clientes Consolidado.'!I:I,'Clientes Consolidado.'!C:C,C17,'Clientes Consolidado.'!B:B,"Fertilizer")
+SUMIFS('Clientes Consolidado.'!I:I,'Clientes Consolidado.'!C:C,C17,'Clientes Consolidado.'!B:B,"Additive")
+SUMIFS('Clientes Consolidado.'!I:I,'Clientes Consolidado.'!C:C,C17,'Clientes Consolidado.'!B:B,"Additive Intl.")</f>
        <v>315971.7</v>
      </c>
      <c r="T17" s="19">
        <f>SUMIFS('Clientes Consolidado.'!J:J,'Clientes Consolidado.'!C:C,C17,'Clientes Consolidado.'!B:B,"Fertilizer")
+SUMIFS('Clientes Consolidado.'!J:J,'Clientes Consolidado.'!C:C,C17,'Clientes Consolidado.'!B:B,"Additive")
+SUMIFS('Clientes Consolidado.'!J:J,'Clientes Consolidado.'!C:C,C17,'Clientes Consolidado.'!B:B,"Additive Intl.")</f>
        <v>0</v>
      </c>
      <c r="U17" s="19">
        <f>SUMIFS('Clientes Consolidado.'!K:K,'Clientes Consolidado.'!C:C,C17,'Clientes Consolidado.'!B:B,"Fertilizer")
+SUMIFS('Clientes Consolidado.'!K:K,'Clientes Consolidado.'!C:C,C17,'Clientes Consolidado.'!B:B,"Additive")
+SUMIFS('Clientes Consolidado.'!K:K,'Clientes Consolidado.'!C:C,C17,'Clientes Consolidado.'!B:B,"Additive Intl.")</f>
        <v>0</v>
      </c>
      <c r="V17" s="19">
        <f>SUMIFS('Clientes Consolidado.'!L:L,'Clientes Consolidado.'!C:C,C17,'Clientes Consolidado.'!B:B,"Fertilizer")
+SUMIFS('Clientes Consolidado.'!L:L,'Clientes Consolidado.'!C:C,C17,'Clientes Consolidado.'!B:B,"Additive")
+SUMIFS('Clientes Consolidado.'!L:L,'Clientes Consolidado.'!C:C,C17,'Clientes Consolidado.'!B:B,"Additive Intl.")</f>
        <v>0</v>
      </c>
      <c r="W17" s="19">
        <f>SUMIFS('Clientes Consolidado.'!M:M,'Clientes Consolidado.'!C:C,C17,'Clientes Consolidado.'!B:B,"Fertilizer")
+SUMIFS('Clientes Consolidado.'!M:M,'Clientes Consolidado.'!C:C,C17,'Clientes Consolidado.'!B:B,"Additive")
+SUMIFS('Clientes Consolidado.'!M:M,'Clientes Consolidado.'!C:C,C17,'Clientes Consolidado.'!B:B,"Additive Intl.")</f>
        <v>0</v>
      </c>
      <c r="X17" s="19">
        <f>SUMIFS('Clientes Consolidado.'!N:N,'Clientes Consolidado.'!C:C,C17,'Clientes Consolidado.'!B:B,"Fertilizer")
+SUMIFS('Clientes Consolidado.'!N:N,'Clientes Consolidado.'!C:C,C17,'Clientes Consolidado.'!B:B,"Additive")
+SUMIFS('Clientes Consolidado.'!N:N,'Clientes Consolidado.'!C:C,C17,'Clientes Consolidado.'!B:B,"Additive Intl.")</f>
        <v>0</v>
      </c>
      <c r="Y17" s="19">
        <f>SUMIFS('Clientes Consolidado.'!O:O,'Clientes Consolidado.'!C:C,C17,'Clientes Consolidado.'!B:B,"Fertilizer")
+SUMIFS('Clientes Consolidado.'!O:O,'Clientes Consolidado.'!C:C,C17,'Clientes Consolidado.'!B:B,"Additive")
+SUMIFS('Clientes Consolidado.'!O:O,'Clientes Consolidado.'!C:C,C17,'Clientes Consolidado.'!B:B,"Additive Intl.")</f>
        <v>0</v>
      </c>
      <c r="Z17" s="19">
        <f>SUMIFS('Clientes Consolidado.'!P:P,'Clientes Consolidado.'!C:C,'Nova Versão '!C17,'Clientes Consolidado.'!B:B,"Fertilizer / Litigation")+SUMIFS('Clientes Consolidado.'!P:P,'Clientes Consolidado.'!C:C,'Nova Versão '!C17,'Clientes Consolidado.'!B:B,"Additive / Litigation")</f>
        <v>0</v>
      </c>
      <c r="AA17" s="94"/>
    </row>
    <row r="18" spans="1:27" x14ac:dyDescent="0.25">
      <c r="A18" s="32"/>
      <c r="B18" s="94" t="str">
        <f>_xlfn.XLOOKUP(C18,Planilha3!A:A,Planilha3!B:B)</f>
        <v>Fertilizer</v>
      </c>
      <c r="C18" s="94" t="s">
        <v>577</v>
      </c>
      <c r="D18" s="19">
        <f>_xlfn.XLOOKUP(C18,'Limite de crédito'!C:C,'Limite de crédito'!G:G,0)</f>
        <v>0</v>
      </c>
      <c r="E18" s="19">
        <f t="shared" si="1"/>
        <v>739540.06</v>
      </c>
      <c r="F18" s="19">
        <f>_xlfn.XLOOKUP('Nova Versão '!C18,'Limite de crédito'!C:C,'Limite de crédito'!O:O,0)</f>
        <v>0</v>
      </c>
      <c r="G18" s="404">
        <f t="shared" si="2"/>
        <v>739540.06</v>
      </c>
      <c r="H18" s="412" t="str">
        <f>_xlfn.XLOOKUP(C18,Planilha3!A:A,Planilha3!C:C)</f>
        <v>Credit without Insurance</v>
      </c>
      <c r="J18" s="19">
        <f t="shared" si="3"/>
        <v>739540.06</v>
      </c>
      <c r="K18" s="19">
        <f>_xlfn.XLOOKUP(C18,'Clientes Consolidado.'!$C:$C,'Clientes Consolidado.'!R:R,0)</f>
        <v>0</v>
      </c>
      <c r="L18" s="19">
        <f>_xlfn.XLOOKUP(C18,'Clientes Consolidado.'!$C:$C,'Clientes Consolidado.'!S:S,0)</f>
        <v>0</v>
      </c>
      <c r="M18" s="19">
        <f>_xlfn.XLOOKUP(C18,'Clientes Consolidado.'!$C:$C,'Clientes Consolidado.'!T:T,0)</f>
        <v>0</v>
      </c>
      <c r="N18" s="19">
        <f>_xlfn.XLOOKUP(C18,'Clientes Consolidado.'!$C:$C,'Clientes Consolidado.'!U:U,0)</f>
        <v>0</v>
      </c>
      <c r="O18" s="19">
        <f>_xlfn.XLOOKUP(C18,'Clientes Consolidado.'!$C:$C,'Clientes Consolidado.'!V:V,0)</f>
        <v>739540.06</v>
      </c>
      <c r="P18" s="19">
        <f>_xlfn.XLOOKUP(C18,'Clientes Consolidado.'!$C:$C,'Clientes Consolidado.'!W:W,0)</f>
        <v>0</v>
      </c>
      <c r="Q18" s="19">
        <f>_xlfn.XLOOKUP(C18,'Clientes Consolidado.'!$C:$C,'Clientes Consolidado.'!X:X,0)</f>
        <v>0</v>
      </c>
      <c r="R18" s="19">
        <f t="shared" si="4"/>
        <v>0</v>
      </c>
      <c r="S18" s="19">
        <f>SUMIFS('Clientes Consolidado.'!I:I,'Clientes Consolidado.'!C:C,C18,'Clientes Consolidado.'!B:B,"Fertilizer")
+SUMIFS('Clientes Consolidado.'!I:I,'Clientes Consolidado.'!C:C,C18,'Clientes Consolidado.'!B:B,"Additive")
+SUMIFS('Clientes Consolidado.'!I:I,'Clientes Consolidado.'!C:C,C18,'Clientes Consolidado.'!B:B,"Additive Intl.")</f>
        <v>0</v>
      </c>
      <c r="T18" s="19">
        <f>SUMIFS('Clientes Consolidado.'!J:J,'Clientes Consolidado.'!C:C,C18,'Clientes Consolidado.'!B:B,"Fertilizer")
+SUMIFS('Clientes Consolidado.'!J:J,'Clientes Consolidado.'!C:C,C18,'Clientes Consolidado.'!B:B,"Additive")
+SUMIFS('Clientes Consolidado.'!J:J,'Clientes Consolidado.'!C:C,C18,'Clientes Consolidado.'!B:B,"Additive Intl.")</f>
        <v>0</v>
      </c>
      <c r="U18" s="19">
        <f>SUMIFS('Clientes Consolidado.'!K:K,'Clientes Consolidado.'!C:C,C18,'Clientes Consolidado.'!B:B,"Fertilizer")
+SUMIFS('Clientes Consolidado.'!K:K,'Clientes Consolidado.'!C:C,C18,'Clientes Consolidado.'!B:B,"Additive")
+SUMIFS('Clientes Consolidado.'!K:K,'Clientes Consolidado.'!C:C,C18,'Clientes Consolidado.'!B:B,"Additive Intl.")</f>
        <v>0</v>
      </c>
      <c r="V18" s="19">
        <f>SUMIFS('Clientes Consolidado.'!L:L,'Clientes Consolidado.'!C:C,C18,'Clientes Consolidado.'!B:B,"Fertilizer")
+SUMIFS('Clientes Consolidado.'!L:L,'Clientes Consolidado.'!C:C,C18,'Clientes Consolidado.'!B:B,"Additive")
+SUMIFS('Clientes Consolidado.'!L:L,'Clientes Consolidado.'!C:C,C18,'Clientes Consolidado.'!B:B,"Additive Intl.")</f>
        <v>0</v>
      </c>
      <c r="W18" s="19">
        <f>SUMIFS('Clientes Consolidado.'!M:M,'Clientes Consolidado.'!C:C,C18,'Clientes Consolidado.'!B:B,"Fertilizer")
+SUMIFS('Clientes Consolidado.'!M:M,'Clientes Consolidado.'!C:C,C18,'Clientes Consolidado.'!B:B,"Additive")
+SUMIFS('Clientes Consolidado.'!M:M,'Clientes Consolidado.'!C:C,C18,'Clientes Consolidado.'!B:B,"Additive Intl.")</f>
        <v>0</v>
      </c>
      <c r="X18" s="19">
        <f>SUMIFS('Clientes Consolidado.'!N:N,'Clientes Consolidado.'!C:C,C18,'Clientes Consolidado.'!B:B,"Fertilizer")
+SUMIFS('Clientes Consolidado.'!N:N,'Clientes Consolidado.'!C:C,C18,'Clientes Consolidado.'!B:B,"Additive")
+SUMIFS('Clientes Consolidado.'!N:N,'Clientes Consolidado.'!C:C,C18,'Clientes Consolidado.'!B:B,"Additive Intl.")</f>
        <v>0</v>
      </c>
      <c r="Y18" s="19">
        <f>SUMIFS('Clientes Consolidado.'!O:O,'Clientes Consolidado.'!C:C,C18,'Clientes Consolidado.'!B:B,"Fertilizer")
+SUMIFS('Clientes Consolidado.'!O:O,'Clientes Consolidado.'!C:C,C18,'Clientes Consolidado.'!B:B,"Additive")
+SUMIFS('Clientes Consolidado.'!O:O,'Clientes Consolidado.'!C:C,C18,'Clientes Consolidado.'!B:B,"Additive Intl.")</f>
        <v>0</v>
      </c>
      <c r="Z18" s="19">
        <f>SUMIFS('Clientes Consolidado.'!P:P,'Clientes Consolidado.'!C:C,'Nova Versão '!C18,'Clientes Consolidado.'!B:B,"Fertilizer / Litigation")+SUMIFS('Clientes Consolidado.'!P:P,'Clientes Consolidado.'!C:C,'Nova Versão '!C18,'Clientes Consolidado.'!B:B,"Additive / Litigation")</f>
        <v>0</v>
      </c>
      <c r="AA18" s="94"/>
    </row>
    <row r="19" spans="1:27" x14ac:dyDescent="0.25">
      <c r="A19" s="32"/>
      <c r="B19" s="94" t="str">
        <f>_xlfn.XLOOKUP(C19,Planilha3!A:A,Planilha3!B:B)</f>
        <v>Additive</v>
      </c>
      <c r="C19" s="94" t="s">
        <v>83</v>
      </c>
      <c r="D19" s="19">
        <f>_xlfn.XLOOKUP(C19,'Limite de crédito'!C:C,'Limite de crédito'!G:G,0)</f>
        <v>3000000</v>
      </c>
      <c r="E19" s="19">
        <f t="shared" si="1"/>
        <v>410856.52</v>
      </c>
      <c r="F19" s="19">
        <f>_xlfn.XLOOKUP('Nova Versão '!C19,'Limite de crédito'!C:C,'Limite de crédito'!O:O,0)</f>
        <v>3000000</v>
      </c>
      <c r="G19" s="404">
        <f t="shared" si="2"/>
        <v>0</v>
      </c>
      <c r="H19" s="412" t="str">
        <f>_xlfn.XLOOKUP(C19,Planilha3!A:A,Planilha3!C:C)</f>
        <v>Guarantee or credit</v>
      </c>
      <c r="J19" s="19">
        <f t="shared" si="3"/>
        <v>410856.52</v>
      </c>
      <c r="K19" s="19">
        <f>_xlfn.XLOOKUP(C19,'Clientes Consolidado.'!$C:$C,'Clientes Consolidado.'!R:R,0)</f>
        <v>0</v>
      </c>
      <c r="L19" s="19">
        <f>_xlfn.XLOOKUP(C19,'Clientes Consolidado.'!$C:$C,'Clientes Consolidado.'!S:S,0)</f>
        <v>410856.52</v>
      </c>
      <c r="M19" s="19">
        <f>_xlfn.XLOOKUP(C19,'Clientes Consolidado.'!$C:$C,'Clientes Consolidado.'!T:T,0)</f>
        <v>0</v>
      </c>
      <c r="N19" s="19">
        <f>_xlfn.XLOOKUP(C19,'Clientes Consolidado.'!$C:$C,'Clientes Consolidado.'!U:U,0)</f>
        <v>0</v>
      </c>
      <c r="O19" s="19">
        <f>_xlfn.XLOOKUP(C19,'Clientes Consolidado.'!$C:$C,'Clientes Consolidado.'!V:V,0)</f>
        <v>0</v>
      </c>
      <c r="P19" s="19">
        <f>_xlfn.XLOOKUP(C19,'Clientes Consolidado.'!$C:$C,'Clientes Consolidado.'!W:W,0)</f>
        <v>0</v>
      </c>
      <c r="Q19" s="19">
        <f>_xlfn.XLOOKUP(C19,'Clientes Consolidado.'!$C:$C,'Clientes Consolidado.'!X:X,0)</f>
        <v>0</v>
      </c>
      <c r="R19" s="19">
        <f t="shared" si="4"/>
        <v>0</v>
      </c>
      <c r="S19" s="19">
        <f>SUMIFS('Clientes Consolidado.'!I:I,'Clientes Consolidado.'!C:C,C19,'Clientes Consolidado.'!B:B,"Fertilizer")
+SUMIFS('Clientes Consolidado.'!I:I,'Clientes Consolidado.'!C:C,C19,'Clientes Consolidado.'!B:B,"Additive")
+SUMIFS('Clientes Consolidado.'!I:I,'Clientes Consolidado.'!C:C,C19,'Clientes Consolidado.'!B:B,"Additive Intl.")</f>
        <v>0</v>
      </c>
      <c r="T19" s="19">
        <f>SUMIFS('Clientes Consolidado.'!J:J,'Clientes Consolidado.'!C:C,C19,'Clientes Consolidado.'!B:B,"Fertilizer")
+SUMIFS('Clientes Consolidado.'!J:J,'Clientes Consolidado.'!C:C,C19,'Clientes Consolidado.'!B:B,"Additive")
+SUMIFS('Clientes Consolidado.'!J:J,'Clientes Consolidado.'!C:C,C19,'Clientes Consolidado.'!B:B,"Additive Intl.")</f>
        <v>0</v>
      </c>
      <c r="U19" s="19">
        <f>SUMIFS('Clientes Consolidado.'!K:K,'Clientes Consolidado.'!C:C,C19,'Clientes Consolidado.'!B:B,"Fertilizer")
+SUMIFS('Clientes Consolidado.'!K:K,'Clientes Consolidado.'!C:C,C19,'Clientes Consolidado.'!B:B,"Additive")
+SUMIFS('Clientes Consolidado.'!K:K,'Clientes Consolidado.'!C:C,C19,'Clientes Consolidado.'!B:B,"Additive Intl.")</f>
        <v>0</v>
      </c>
      <c r="V19" s="19">
        <f>SUMIFS('Clientes Consolidado.'!L:L,'Clientes Consolidado.'!C:C,C19,'Clientes Consolidado.'!B:B,"Fertilizer")
+SUMIFS('Clientes Consolidado.'!L:L,'Clientes Consolidado.'!C:C,C19,'Clientes Consolidado.'!B:B,"Additive")
+SUMIFS('Clientes Consolidado.'!L:L,'Clientes Consolidado.'!C:C,C19,'Clientes Consolidado.'!B:B,"Additive Intl.")</f>
        <v>0</v>
      </c>
      <c r="W19" s="19">
        <f>SUMIFS('Clientes Consolidado.'!M:M,'Clientes Consolidado.'!C:C,C19,'Clientes Consolidado.'!B:B,"Fertilizer")
+SUMIFS('Clientes Consolidado.'!M:M,'Clientes Consolidado.'!C:C,C19,'Clientes Consolidado.'!B:B,"Additive")
+SUMIFS('Clientes Consolidado.'!M:M,'Clientes Consolidado.'!C:C,C19,'Clientes Consolidado.'!B:B,"Additive Intl.")</f>
        <v>0</v>
      </c>
      <c r="X19" s="19">
        <f>SUMIFS('Clientes Consolidado.'!N:N,'Clientes Consolidado.'!C:C,C19,'Clientes Consolidado.'!B:B,"Fertilizer")
+SUMIFS('Clientes Consolidado.'!N:N,'Clientes Consolidado.'!C:C,C19,'Clientes Consolidado.'!B:B,"Additive")
+SUMIFS('Clientes Consolidado.'!N:N,'Clientes Consolidado.'!C:C,C19,'Clientes Consolidado.'!B:B,"Additive Intl.")</f>
        <v>0</v>
      </c>
      <c r="Y19" s="19">
        <f>SUMIFS('Clientes Consolidado.'!O:O,'Clientes Consolidado.'!C:C,C19,'Clientes Consolidado.'!B:B,"Fertilizer")
+SUMIFS('Clientes Consolidado.'!O:O,'Clientes Consolidado.'!C:C,C19,'Clientes Consolidado.'!B:B,"Additive")
+SUMIFS('Clientes Consolidado.'!O:O,'Clientes Consolidado.'!C:C,C19,'Clientes Consolidado.'!B:B,"Additive Intl.")</f>
        <v>0</v>
      </c>
      <c r="Z19" s="19">
        <f>SUMIFS('Clientes Consolidado.'!P:P,'Clientes Consolidado.'!C:C,'Nova Versão '!C19,'Clientes Consolidado.'!B:B,"Fertilizer / Litigation")+SUMIFS('Clientes Consolidado.'!P:P,'Clientes Consolidado.'!C:C,'Nova Versão '!C19,'Clientes Consolidado.'!B:B,"Additive / Litigation")</f>
        <v>0</v>
      </c>
      <c r="AA19" s="94"/>
    </row>
    <row r="20" spans="1:27" x14ac:dyDescent="0.25">
      <c r="A20" s="32"/>
      <c r="B20" s="94" t="str">
        <f>_xlfn.XLOOKUP(C20,Planilha3!A:A,Planilha3!B:B)</f>
        <v>Additive</v>
      </c>
      <c r="C20" s="94" t="s">
        <v>774</v>
      </c>
      <c r="D20" s="19">
        <f>_xlfn.XLOOKUP(C20,'Limite de crédito'!C:C,'Limite de crédito'!G:G,0)</f>
        <v>1500000</v>
      </c>
      <c r="E20" s="19">
        <f t="shared" si="1"/>
        <v>707551.6</v>
      </c>
      <c r="F20" s="19">
        <f>_xlfn.XLOOKUP('Nova Versão '!C20,'Limite de crédito'!C:C,'Limite de crédito'!O:O,0)</f>
        <v>1500000</v>
      </c>
      <c r="G20" s="404">
        <f t="shared" si="2"/>
        <v>0</v>
      </c>
      <c r="H20" s="412" t="str">
        <f>_xlfn.XLOOKUP(C20,Planilha3!A:A,Planilha3!C:C)</f>
        <v>Guarantee or credit</v>
      </c>
      <c r="J20" s="19">
        <f t="shared" si="3"/>
        <v>707551.6</v>
      </c>
      <c r="K20" s="19">
        <f>_xlfn.XLOOKUP(C20,'Clientes Consolidado.'!$C:$C,'Clientes Consolidado.'!R:R,0)</f>
        <v>70705.600000000006</v>
      </c>
      <c r="L20" s="19">
        <f>_xlfn.XLOOKUP(C20,'Clientes Consolidado.'!$C:$C,'Clientes Consolidado.'!S:S,0)</f>
        <v>141600</v>
      </c>
      <c r="M20" s="19">
        <f>_xlfn.XLOOKUP(C20,'Clientes Consolidado.'!$C:$C,'Clientes Consolidado.'!T:T,0)</f>
        <v>495246</v>
      </c>
      <c r="N20" s="19">
        <f>_xlfn.XLOOKUP(C20,'Clientes Consolidado.'!$C:$C,'Clientes Consolidado.'!U:U,0)</f>
        <v>0</v>
      </c>
      <c r="O20" s="19">
        <f>_xlfn.XLOOKUP(C20,'Clientes Consolidado.'!$C:$C,'Clientes Consolidado.'!V:V,0)</f>
        <v>0</v>
      </c>
      <c r="P20" s="19">
        <f>_xlfn.XLOOKUP(C20,'Clientes Consolidado.'!$C:$C,'Clientes Consolidado.'!W:W,0)</f>
        <v>0</v>
      </c>
      <c r="Q20" s="19">
        <f>_xlfn.XLOOKUP(C20,'Clientes Consolidado.'!$C:$C,'Clientes Consolidado.'!X:X,0)</f>
        <v>0</v>
      </c>
      <c r="R20" s="19">
        <f t="shared" si="4"/>
        <v>0</v>
      </c>
      <c r="S20" s="19">
        <f>SUMIFS('Clientes Consolidado.'!I:I,'Clientes Consolidado.'!C:C,C20,'Clientes Consolidado.'!B:B,"Fertilizer")
+SUMIFS('Clientes Consolidado.'!I:I,'Clientes Consolidado.'!C:C,C20,'Clientes Consolidado.'!B:B,"Additive")
+SUMIFS('Clientes Consolidado.'!I:I,'Clientes Consolidado.'!C:C,C20,'Clientes Consolidado.'!B:B,"Additive Intl.")</f>
        <v>0</v>
      </c>
      <c r="T20" s="19">
        <f>SUMIFS('Clientes Consolidado.'!J:J,'Clientes Consolidado.'!C:C,C20,'Clientes Consolidado.'!B:B,"Fertilizer")
+SUMIFS('Clientes Consolidado.'!J:J,'Clientes Consolidado.'!C:C,C20,'Clientes Consolidado.'!B:B,"Additive")
+SUMIFS('Clientes Consolidado.'!J:J,'Clientes Consolidado.'!C:C,C20,'Clientes Consolidado.'!B:B,"Additive Intl.")</f>
        <v>0</v>
      </c>
      <c r="U20" s="19">
        <f>SUMIFS('Clientes Consolidado.'!K:K,'Clientes Consolidado.'!C:C,C20,'Clientes Consolidado.'!B:B,"Fertilizer")
+SUMIFS('Clientes Consolidado.'!K:K,'Clientes Consolidado.'!C:C,C20,'Clientes Consolidado.'!B:B,"Additive")
+SUMIFS('Clientes Consolidado.'!K:K,'Clientes Consolidado.'!C:C,C20,'Clientes Consolidado.'!B:B,"Additive Intl.")</f>
        <v>0</v>
      </c>
      <c r="V20" s="19">
        <f>SUMIFS('Clientes Consolidado.'!L:L,'Clientes Consolidado.'!C:C,C20,'Clientes Consolidado.'!B:B,"Fertilizer")
+SUMIFS('Clientes Consolidado.'!L:L,'Clientes Consolidado.'!C:C,C20,'Clientes Consolidado.'!B:B,"Additive")
+SUMIFS('Clientes Consolidado.'!L:L,'Clientes Consolidado.'!C:C,C20,'Clientes Consolidado.'!B:B,"Additive Intl.")</f>
        <v>0</v>
      </c>
      <c r="W20" s="19">
        <f>SUMIFS('Clientes Consolidado.'!M:M,'Clientes Consolidado.'!C:C,C20,'Clientes Consolidado.'!B:B,"Fertilizer")
+SUMIFS('Clientes Consolidado.'!M:M,'Clientes Consolidado.'!C:C,C20,'Clientes Consolidado.'!B:B,"Additive")
+SUMIFS('Clientes Consolidado.'!M:M,'Clientes Consolidado.'!C:C,C20,'Clientes Consolidado.'!B:B,"Additive Intl.")</f>
        <v>0</v>
      </c>
      <c r="X20" s="19">
        <f>SUMIFS('Clientes Consolidado.'!N:N,'Clientes Consolidado.'!C:C,C20,'Clientes Consolidado.'!B:B,"Fertilizer")
+SUMIFS('Clientes Consolidado.'!N:N,'Clientes Consolidado.'!C:C,C20,'Clientes Consolidado.'!B:B,"Additive")
+SUMIFS('Clientes Consolidado.'!N:N,'Clientes Consolidado.'!C:C,C20,'Clientes Consolidado.'!B:B,"Additive Intl.")</f>
        <v>0</v>
      </c>
      <c r="Y20" s="19">
        <f>SUMIFS('Clientes Consolidado.'!O:O,'Clientes Consolidado.'!C:C,C20,'Clientes Consolidado.'!B:B,"Fertilizer")
+SUMIFS('Clientes Consolidado.'!O:O,'Clientes Consolidado.'!C:C,C20,'Clientes Consolidado.'!B:B,"Additive")
+SUMIFS('Clientes Consolidado.'!O:O,'Clientes Consolidado.'!C:C,C20,'Clientes Consolidado.'!B:B,"Additive Intl.")</f>
        <v>0</v>
      </c>
      <c r="Z20" s="19">
        <f>SUMIFS('Clientes Consolidado.'!P:P,'Clientes Consolidado.'!C:C,'Nova Versão '!C20,'Clientes Consolidado.'!B:B,"Fertilizer / Litigation")+SUMIFS('Clientes Consolidado.'!P:P,'Clientes Consolidado.'!C:C,'Nova Versão '!C20,'Clientes Consolidado.'!B:B,"Additive / Litigation")</f>
        <v>0</v>
      </c>
      <c r="AA20" s="94"/>
    </row>
    <row r="21" spans="1:27" x14ac:dyDescent="0.25">
      <c r="A21" s="32"/>
      <c r="B21" s="94" t="str">
        <f>_xlfn.XLOOKUP(C21,Planilha3!A:A,Planilha3!B:B)</f>
        <v>Additive Intl.</v>
      </c>
      <c r="C21" s="94" t="s">
        <v>627</v>
      </c>
      <c r="D21" s="19">
        <f>_xlfn.XLOOKUP(C21,'Limite de crédito'!C:C,'Limite de crédito'!G:G,0)</f>
        <v>1100000</v>
      </c>
      <c r="E21" s="19">
        <f t="shared" si="1"/>
        <v>687688.91</v>
      </c>
      <c r="F21" s="19">
        <f>_xlfn.XLOOKUP('Nova Versão '!C21,'Limite de crédito'!C:C,'Limite de crédito'!O:O,0)</f>
        <v>1100000</v>
      </c>
      <c r="G21" s="404">
        <f t="shared" si="2"/>
        <v>0</v>
      </c>
      <c r="H21" s="412" t="str">
        <f>_xlfn.XLOOKUP(C21,Planilha3!A:A,Planilha3!C:C)</f>
        <v>Guarantee or credit</v>
      </c>
      <c r="J21" s="19">
        <f t="shared" si="3"/>
        <v>687688.91</v>
      </c>
      <c r="K21" s="19">
        <f>_xlfn.XLOOKUP(C21,'Clientes Consolidado.'!$C:$C,'Clientes Consolidado.'!R:R,0)</f>
        <v>0</v>
      </c>
      <c r="L21" s="19">
        <f>_xlfn.XLOOKUP(C21,'Clientes Consolidado.'!$C:$C,'Clientes Consolidado.'!S:S,0)</f>
        <v>687688.91</v>
      </c>
      <c r="M21" s="19">
        <f>_xlfn.XLOOKUP(C21,'Clientes Consolidado.'!$C:$C,'Clientes Consolidado.'!T:T,0)</f>
        <v>0</v>
      </c>
      <c r="N21" s="19">
        <f>_xlfn.XLOOKUP(C21,'Clientes Consolidado.'!$C:$C,'Clientes Consolidado.'!U:U,0)</f>
        <v>0</v>
      </c>
      <c r="O21" s="19">
        <f>_xlfn.XLOOKUP(C21,'Clientes Consolidado.'!$C:$C,'Clientes Consolidado.'!V:V,0)</f>
        <v>0</v>
      </c>
      <c r="P21" s="19">
        <f>_xlfn.XLOOKUP(C21,'Clientes Consolidado.'!$C:$C,'Clientes Consolidado.'!W:W,0)</f>
        <v>0</v>
      </c>
      <c r="Q21" s="19">
        <f>_xlfn.XLOOKUP(C21,'Clientes Consolidado.'!$C:$C,'Clientes Consolidado.'!X:X,0)</f>
        <v>0</v>
      </c>
      <c r="R21" s="19">
        <f t="shared" si="4"/>
        <v>0</v>
      </c>
      <c r="S21" s="19">
        <f>SUMIFS('Clientes Consolidado.'!I:I,'Clientes Consolidado.'!C:C,C21,'Clientes Consolidado.'!B:B,"Fertilizer")
+SUMIFS('Clientes Consolidado.'!I:I,'Clientes Consolidado.'!C:C,C21,'Clientes Consolidado.'!B:B,"Additive")
+SUMIFS('Clientes Consolidado.'!I:I,'Clientes Consolidado.'!C:C,C21,'Clientes Consolidado.'!B:B,"Additive Intl.")</f>
        <v>0</v>
      </c>
      <c r="T21" s="19">
        <f>SUMIFS('Clientes Consolidado.'!J:J,'Clientes Consolidado.'!C:C,C21,'Clientes Consolidado.'!B:B,"Fertilizer")
+SUMIFS('Clientes Consolidado.'!J:J,'Clientes Consolidado.'!C:C,C21,'Clientes Consolidado.'!B:B,"Additive")
+SUMIFS('Clientes Consolidado.'!J:J,'Clientes Consolidado.'!C:C,C21,'Clientes Consolidado.'!B:B,"Additive Intl.")</f>
        <v>0</v>
      </c>
      <c r="U21" s="19">
        <f>SUMIFS('Clientes Consolidado.'!K:K,'Clientes Consolidado.'!C:C,C21,'Clientes Consolidado.'!B:B,"Fertilizer")
+SUMIFS('Clientes Consolidado.'!K:K,'Clientes Consolidado.'!C:C,C21,'Clientes Consolidado.'!B:B,"Additive")
+SUMIFS('Clientes Consolidado.'!K:K,'Clientes Consolidado.'!C:C,C21,'Clientes Consolidado.'!B:B,"Additive Intl.")</f>
        <v>0</v>
      </c>
      <c r="V21" s="19">
        <f>SUMIFS('Clientes Consolidado.'!L:L,'Clientes Consolidado.'!C:C,C21,'Clientes Consolidado.'!B:B,"Fertilizer")
+SUMIFS('Clientes Consolidado.'!L:L,'Clientes Consolidado.'!C:C,C21,'Clientes Consolidado.'!B:B,"Additive")
+SUMIFS('Clientes Consolidado.'!L:L,'Clientes Consolidado.'!C:C,C21,'Clientes Consolidado.'!B:B,"Additive Intl.")</f>
        <v>0</v>
      </c>
      <c r="W21" s="19">
        <f>SUMIFS('Clientes Consolidado.'!M:M,'Clientes Consolidado.'!C:C,C21,'Clientes Consolidado.'!B:B,"Fertilizer")
+SUMIFS('Clientes Consolidado.'!M:M,'Clientes Consolidado.'!C:C,C21,'Clientes Consolidado.'!B:B,"Additive")
+SUMIFS('Clientes Consolidado.'!M:M,'Clientes Consolidado.'!C:C,C21,'Clientes Consolidado.'!B:B,"Additive Intl.")</f>
        <v>0</v>
      </c>
      <c r="X21" s="19">
        <f>SUMIFS('Clientes Consolidado.'!N:N,'Clientes Consolidado.'!C:C,C21,'Clientes Consolidado.'!B:B,"Fertilizer")
+SUMIFS('Clientes Consolidado.'!N:N,'Clientes Consolidado.'!C:C,C21,'Clientes Consolidado.'!B:B,"Additive")
+SUMIFS('Clientes Consolidado.'!N:N,'Clientes Consolidado.'!C:C,C21,'Clientes Consolidado.'!B:B,"Additive Intl.")</f>
        <v>0</v>
      </c>
      <c r="Y21" s="19">
        <f>SUMIFS('Clientes Consolidado.'!O:O,'Clientes Consolidado.'!C:C,C21,'Clientes Consolidado.'!B:B,"Fertilizer")
+SUMIFS('Clientes Consolidado.'!O:O,'Clientes Consolidado.'!C:C,C21,'Clientes Consolidado.'!B:B,"Additive")
+SUMIFS('Clientes Consolidado.'!O:O,'Clientes Consolidado.'!C:C,C21,'Clientes Consolidado.'!B:B,"Additive Intl.")</f>
        <v>0</v>
      </c>
      <c r="Z21" s="19">
        <f>SUMIFS('Clientes Consolidado.'!P:P,'Clientes Consolidado.'!C:C,'Nova Versão '!C21,'Clientes Consolidado.'!B:B,"Fertilizer / Litigation")+SUMIFS('Clientes Consolidado.'!P:P,'Clientes Consolidado.'!C:C,'Nova Versão '!C21,'Clientes Consolidado.'!B:B,"Additive / Litigation")</f>
        <v>0</v>
      </c>
      <c r="AA21" s="94"/>
    </row>
    <row r="22" spans="1:27" x14ac:dyDescent="0.25">
      <c r="A22" s="32"/>
      <c r="B22" s="94" t="str">
        <f>_xlfn.XLOOKUP(C22,Planilha3!A:A,Planilha3!B:B)</f>
        <v>Additive</v>
      </c>
      <c r="C22" s="94" t="s">
        <v>573</v>
      </c>
      <c r="D22" s="19">
        <f>_xlfn.XLOOKUP(C22,'Limite de crédito'!C:C,'Limite de crédito'!G:G,0)</f>
        <v>3000000</v>
      </c>
      <c r="E22" s="19">
        <f t="shared" si="1"/>
        <v>654535.73</v>
      </c>
      <c r="F22" s="19">
        <f>_xlfn.XLOOKUP('Nova Versão '!C22,'Limite de crédito'!C:C,'Limite de crédito'!O:O,0)</f>
        <v>3000000</v>
      </c>
      <c r="G22" s="404">
        <f t="shared" si="2"/>
        <v>0</v>
      </c>
      <c r="H22" s="412" t="str">
        <f>_xlfn.XLOOKUP(C22,Planilha3!A:A,Planilha3!C:C)</f>
        <v>Guarantee or credit</v>
      </c>
      <c r="J22" s="19">
        <f t="shared" si="3"/>
        <v>654535.73</v>
      </c>
      <c r="K22" s="19">
        <f>_xlfn.XLOOKUP(C22,'Clientes Consolidado.'!$C:$C,'Clientes Consolidado.'!R:R,0)</f>
        <v>654535.73</v>
      </c>
      <c r="L22" s="19">
        <f>_xlfn.XLOOKUP(C22,'Clientes Consolidado.'!$C:$C,'Clientes Consolidado.'!S:S,0)</f>
        <v>0</v>
      </c>
      <c r="M22" s="19">
        <f>_xlfn.XLOOKUP(C22,'Clientes Consolidado.'!$C:$C,'Clientes Consolidado.'!T:T,0)</f>
        <v>0</v>
      </c>
      <c r="N22" s="19">
        <f>_xlfn.XLOOKUP(C22,'Clientes Consolidado.'!$C:$C,'Clientes Consolidado.'!U:U,0)</f>
        <v>0</v>
      </c>
      <c r="O22" s="19">
        <f>_xlfn.XLOOKUP(C22,'Clientes Consolidado.'!$C:$C,'Clientes Consolidado.'!V:V,0)</f>
        <v>0</v>
      </c>
      <c r="P22" s="19">
        <f>_xlfn.XLOOKUP(C22,'Clientes Consolidado.'!$C:$C,'Clientes Consolidado.'!W:W,0)</f>
        <v>0</v>
      </c>
      <c r="Q22" s="19">
        <f>_xlfn.XLOOKUP(C22,'Clientes Consolidado.'!$C:$C,'Clientes Consolidado.'!X:X,0)</f>
        <v>0</v>
      </c>
      <c r="R22" s="19">
        <f t="shared" si="4"/>
        <v>0</v>
      </c>
      <c r="S22" s="19">
        <f>SUMIFS('Clientes Consolidado.'!I:I,'Clientes Consolidado.'!C:C,C22,'Clientes Consolidado.'!B:B,"Fertilizer")
+SUMIFS('Clientes Consolidado.'!I:I,'Clientes Consolidado.'!C:C,C22,'Clientes Consolidado.'!B:B,"Additive")
+SUMIFS('Clientes Consolidado.'!I:I,'Clientes Consolidado.'!C:C,C22,'Clientes Consolidado.'!B:B,"Additive Intl.")</f>
        <v>0</v>
      </c>
      <c r="T22" s="19">
        <f>SUMIFS('Clientes Consolidado.'!J:J,'Clientes Consolidado.'!C:C,C22,'Clientes Consolidado.'!B:B,"Fertilizer")
+SUMIFS('Clientes Consolidado.'!J:J,'Clientes Consolidado.'!C:C,C22,'Clientes Consolidado.'!B:B,"Additive")
+SUMIFS('Clientes Consolidado.'!J:J,'Clientes Consolidado.'!C:C,C22,'Clientes Consolidado.'!B:B,"Additive Intl.")</f>
        <v>0</v>
      </c>
      <c r="U22" s="19">
        <f>SUMIFS('Clientes Consolidado.'!K:K,'Clientes Consolidado.'!C:C,C22,'Clientes Consolidado.'!B:B,"Fertilizer")
+SUMIFS('Clientes Consolidado.'!K:K,'Clientes Consolidado.'!C:C,C22,'Clientes Consolidado.'!B:B,"Additive")
+SUMIFS('Clientes Consolidado.'!K:K,'Clientes Consolidado.'!C:C,C22,'Clientes Consolidado.'!B:B,"Additive Intl.")</f>
        <v>0</v>
      </c>
      <c r="V22" s="19">
        <f>SUMIFS('Clientes Consolidado.'!L:L,'Clientes Consolidado.'!C:C,C22,'Clientes Consolidado.'!B:B,"Fertilizer")
+SUMIFS('Clientes Consolidado.'!L:L,'Clientes Consolidado.'!C:C,C22,'Clientes Consolidado.'!B:B,"Additive")
+SUMIFS('Clientes Consolidado.'!L:L,'Clientes Consolidado.'!C:C,C22,'Clientes Consolidado.'!B:B,"Additive Intl.")</f>
        <v>0</v>
      </c>
      <c r="W22" s="19">
        <f>SUMIFS('Clientes Consolidado.'!M:M,'Clientes Consolidado.'!C:C,C22,'Clientes Consolidado.'!B:B,"Fertilizer")
+SUMIFS('Clientes Consolidado.'!M:M,'Clientes Consolidado.'!C:C,C22,'Clientes Consolidado.'!B:B,"Additive")
+SUMIFS('Clientes Consolidado.'!M:M,'Clientes Consolidado.'!C:C,C22,'Clientes Consolidado.'!B:B,"Additive Intl.")</f>
        <v>0</v>
      </c>
      <c r="X22" s="19">
        <f>SUMIFS('Clientes Consolidado.'!N:N,'Clientes Consolidado.'!C:C,C22,'Clientes Consolidado.'!B:B,"Fertilizer")
+SUMIFS('Clientes Consolidado.'!N:N,'Clientes Consolidado.'!C:C,C22,'Clientes Consolidado.'!B:B,"Additive")
+SUMIFS('Clientes Consolidado.'!N:N,'Clientes Consolidado.'!C:C,C22,'Clientes Consolidado.'!B:B,"Additive Intl.")</f>
        <v>0</v>
      </c>
      <c r="Y22" s="19">
        <f>SUMIFS('Clientes Consolidado.'!O:O,'Clientes Consolidado.'!C:C,C22,'Clientes Consolidado.'!B:B,"Fertilizer")
+SUMIFS('Clientes Consolidado.'!O:O,'Clientes Consolidado.'!C:C,C22,'Clientes Consolidado.'!B:B,"Additive")
+SUMIFS('Clientes Consolidado.'!O:O,'Clientes Consolidado.'!C:C,C22,'Clientes Consolidado.'!B:B,"Additive Intl.")</f>
        <v>0</v>
      </c>
      <c r="Z22" s="19">
        <f>SUMIFS('Clientes Consolidado.'!P:P,'Clientes Consolidado.'!C:C,'Nova Versão '!C22,'Clientes Consolidado.'!B:B,"Fertilizer / Litigation")+SUMIFS('Clientes Consolidado.'!P:P,'Clientes Consolidado.'!C:C,'Nova Versão '!C22,'Clientes Consolidado.'!B:B,"Additive / Litigation")</f>
        <v>0</v>
      </c>
      <c r="AA22" s="94"/>
    </row>
    <row r="23" spans="1:27" x14ac:dyDescent="0.25">
      <c r="A23" s="32"/>
      <c r="B23" s="94" t="str">
        <f>_xlfn.XLOOKUP(C23,Planilha3!A:A,Planilha3!B:B)</f>
        <v>Additive</v>
      </c>
      <c r="C23" s="94" t="s">
        <v>415</v>
      </c>
      <c r="D23" s="19">
        <f>_xlfn.XLOOKUP(C23,'Limite de crédito'!C:C,'Limite de crédito'!G:G,0)</f>
        <v>6900000</v>
      </c>
      <c r="E23" s="19">
        <f t="shared" si="1"/>
        <v>654015.69999999995</v>
      </c>
      <c r="F23" s="19">
        <f>_xlfn.XLOOKUP('Nova Versão '!C23,'Limite de crédito'!C:C,'Limite de crédito'!O:O,0)</f>
        <v>2315000</v>
      </c>
      <c r="G23" s="404">
        <f t="shared" si="2"/>
        <v>0</v>
      </c>
      <c r="H23" s="412" t="str">
        <f>_xlfn.XLOOKUP(C23,Planilha3!A:A,Planilha3!C:C)</f>
        <v>Guarantee or credit + Credit approved based on credit rating</v>
      </c>
      <c r="J23" s="19">
        <f t="shared" si="3"/>
        <v>654015.69999999995</v>
      </c>
      <c r="K23" s="19">
        <f>_xlfn.XLOOKUP(C23,'Clientes Consolidado.'!$C:$C,'Clientes Consolidado.'!R:R,0)</f>
        <v>654015.69999999995</v>
      </c>
      <c r="L23" s="19">
        <f>_xlfn.XLOOKUP(C23,'Clientes Consolidado.'!$C:$C,'Clientes Consolidado.'!S:S,0)</f>
        <v>0</v>
      </c>
      <c r="M23" s="19">
        <f>_xlfn.XLOOKUP(C23,'Clientes Consolidado.'!$C:$C,'Clientes Consolidado.'!T:T,0)</f>
        <v>0</v>
      </c>
      <c r="N23" s="19">
        <f>_xlfn.XLOOKUP(C23,'Clientes Consolidado.'!$C:$C,'Clientes Consolidado.'!U:U,0)</f>
        <v>0</v>
      </c>
      <c r="O23" s="19">
        <f>_xlfn.XLOOKUP(C23,'Clientes Consolidado.'!$C:$C,'Clientes Consolidado.'!V:V,0)</f>
        <v>0</v>
      </c>
      <c r="P23" s="19">
        <f>_xlfn.XLOOKUP(C23,'Clientes Consolidado.'!$C:$C,'Clientes Consolidado.'!W:W,0)</f>
        <v>0</v>
      </c>
      <c r="Q23" s="19">
        <f>_xlfn.XLOOKUP(C23,'Clientes Consolidado.'!$C:$C,'Clientes Consolidado.'!X:X,0)</f>
        <v>0</v>
      </c>
      <c r="R23" s="19">
        <f t="shared" si="4"/>
        <v>0</v>
      </c>
      <c r="S23" s="19">
        <f>SUMIFS('Clientes Consolidado.'!I:I,'Clientes Consolidado.'!C:C,C23,'Clientes Consolidado.'!B:B,"Fertilizer")
+SUMIFS('Clientes Consolidado.'!I:I,'Clientes Consolidado.'!C:C,C23,'Clientes Consolidado.'!B:B,"Additive")
+SUMIFS('Clientes Consolidado.'!I:I,'Clientes Consolidado.'!C:C,C23,'Clientes Consolidado.'!B:B,"Additive Intl.")</f>
        <v>0</v>
      </c>
      <c r="T23" s="19">
        <f>SUMIFS('Clientes Consolidado.'!J:J,'Clientes Consolidado.'!C:C,C23,'Clientes Consolidado.'!B:B,"Fertilizer")
+SUMIFS('Clientes Consolidado.'!J:J,'Clientes Consolidado.'!C:C,C23,'Clientes Consolidado.'!B:B,"Additive")
+SUMIFS('Clientes Consolidado.'!J:J,'Clientes Consolidado.'!C:C,C23,'Clientes Consolidado.'!B:B,"Additive Intl.")</f>
        <v>0</v>
      </c>
      <c r="U23" s="19">
        <f>SUMIFS('Clientes Consolidado.'!K:K,'Clientes Consolidado.'!C:C,C23,'Clientes Consolidado.'!B:B,"Fertilizer")
+SUMIFS('Clientes Consolidado.'!K:K,'Clientes Consolidado.'!C:C,C23,'Clientes Consolidado.'!B:B,"Additive")
+SUMIFS('Clientes Consolidado.'!K:K,'Clientes Consolidado.'!C:C,C23,'Clientes Consolidado.'!B:B,"Additive Intl.")</f>
        <v>0</v>
      </c>
      <c r="V23" s="19">
        <f>SUMIFS('Clientes Consolidado.'!L:L,'Clientes Consolidado.'!C:C,C23,'Clientes Consolidado.'!B:B,"Fertilizer")
+SUMIFS('Clientes Consolidado.'!L:L,'Clientes Consolidado.'!C:C,C23,'Clientes Consolidado.'!B:B,"Additive")
+SUMIFS('Clientes Consolidado.'!L:L,'Clientes Consolidado.'!C:C,C23,'Clientes Consolidado.'!B:B,"Additive Intl.")</f>
        <v>0</v>
      </c>
      <c r="W23" s="19">
        <f>SUMIFS('Clientes Consolidado.'!M:M,'Clientes Consolidado.'!C:C,C23,'Clientes Consolidado.'!B:B,"Fertilizer")
+SUMIFS('Clientes Consolidado.'!M:M,'Clientes Consolidado.'!C:C,C23,'Clientes Consolidado.'!B:B,"Additive")
+SUMIFS('Clientes Consolidado.'!M:M,'Clientes Consolidado.'!C:C,C23,'Clientes Consolidado.'!B:B,"Additive Intl.")</f>
        <v>0</v>
      </c>
      <c r="X23" s="19">
        <f>SUMIFS('Clientes Consolidado.'!N:N,'Clientes Consolidado.'!C:C,C23,'Clientes Consolidado.'!B:B,"Fertilizer")
+SUMIFS('Clientes Consolidado.'!N:N,'Clientes Consolidado.'!C:C,C23,'Clientes Consolidado.'!B:B,"Additive")
+SUMIFS('Clientes Consolidado.'!N:N,'Clientes Consolidado.'!C:C,C23,'Clientes Consolidado.'!B:B,"Additive Intl.")</f>
        <v>0</v>
      </c>
      <c r="Y23" s="19">
        <f>SUMIFS('Clientes Consolidado.'!O:O,'Clientes Consolidado.'!C:C,C23,'Clientes Consolidado.'!B:B,"Fertilizer")
+SUMIFS('Clientes Consolidado.'!O:O,'Clientes Consolidado.'!C:C,C23,'Clientes Consolidado.'!B:B,"Additive")
+SUMIFS('Clientes Consolidado.'!O:O,'Clientes Consolidado.'!C:C,C23,'Clientes Consolidado.'!B:B,"Additive Intl.")</f>
        <v>0</v>
      </c>
      <c r="Z23" s="19">
        <f>SUMIFS('Clientes Consolidado.'!P:P,'Clientes Consolidado.'!C:C,'Nova Versão '!C23,'Clientes Consolidado.'!B:B,"Fertilizer / Litigation")+SUMIFS('Clientes Consolidado.'!P:P,'Clientes Consolidado.'!C:C,'Nova Versão '!C23,'Clientes Consolidado.'!B:B,"Additive / Litigation")</f>
        <v>0</v>
      </c>
      <c r="AA23" s="94"/>
    </row>
    <row r="24" spans="1:27" x14ac:dyDescent="0.25">
      <c r="A24" s="32"/>
      <c r="B24" s="94" t="str">
        <f>_xlfn.XLOOKUP(C24,Planilha3!A:A,Planilha3!B:B)</f>
        <v>Additive</v>
      </c>
      <c r="C24" s="94" t="s">
        <v>427</v>
      </c>
      <c r="D24" s="19">
        <f>_xlfn.XLOOKUP(C24,'Limite de crédito'!C:C,'Limite de crédito'!G:G,0)</f>
        <v>0</v>
      </c>
      <c r="E24" s="19">
        <f t="shared" si="1"/>
        <v>604009.9</v>
      </c>
      <c r="F24" s="19">
        <f>_xlfn.XLOOKUP('Nova Versão '!C24,'Limite de crédito'!C:C,'Limite de crédito'!O:O,0)</f>
        <v>0</v>
      </c>
      <c r="G24" s="404">
        <f t="shared" si="2"/>
        <v>604009.9</v>
      </c>
      <c r="H24" s="412" t="str">
        <f>_xlfn.XLOOKUP(C24,Planilha3!A:A,Planilha3!C:C)</f>
        <v>Credit without Insurance</v>
      </c>
      <c r="J24" s="19">
        <f t="shared" si="3"/>
        <v>604009.9</v>
      </c>
      <c r="K24" s="19">
        <f>_xlfn.XLOOKUP(C24,'Clientes Consolidado.'!$C:$C,'Clientes Consolidado.'!R:R,0)</f>
        <v>281124</v>
      </c>
      <c r="L24" s="19">
        <f>_xlfn.XLOOKUP(C24,'Clientes Consolidado.'!$C:$C,'Clientes Consolidado.'!S:S,0)</f>
        <v>322885.90000000002</v>
      </c>
      <c r="M24" s="19">
        <f>_xlfn.XLOOKUP(C24,'Clientes Consolidado.'!$C:$C,'Clientes Consolidado.'!T:T,0)</f>
        <v>0</v>
      </c>
      <c r="N24" s="19">
        <f>_xlfn.XLOOKUP(C24,'Clientes Consolidado.'!$C:$C,'Clientes Consolidado.'!U:U,0)</f>
        <v>0</v>
      </c>
      <c r="O24" s="19">
        <f>_xlfn.XLOOKUP(C24,'Clientes Consolidado.'!$C:$C,'Clientes Consolidado.'!V:V,0)</f>
        <v>0</v>
      </c>
      <c r="P24" s="19">
        <f>_xlfn.XLOOKUP(C24,'Clientes Consolidado.'!$C:$C,'Clientes Consolidado.'!W:W,0)</f>
        <v>0</v>
      </c>
      <c r="Q24" s="19">
        <f>_xlfn.XLOOKUP(C24,'Clientes Consolidado.'!$C:$C,'Clientes Consolidado.'!X:X,0)</f>
        <v>0</v>
      </c>
      <c r="R24" s="19">
        <f t="shared" si="4"/>
        <v>0</v>
      </c>
      <c r="S24" s="19">
        <f>SUMIFS('Clientes Consolidado.'!I:I,'Clientes Consolidado.'!C:C,C24,'Clientes Consolidado.'!B:B,"Fertilizer")
+SUMIFS('Clientes Consolidado.'!I:I,'Clientes Consolidado.'!C:C,C24,'Clientes Consolidado.'!B:B,"Additive")
+SUMIFS('Clientes Consolidado.'!I:I,'Clientes Consolidado.'!C:C,C24,'Clientes Consolidado.'!B:B,"Additive Intl.")</f>
        <v>0</v>
      </c>
      <c r="T24" s="19">
        <f>SUMIFS('Clientes Consolidado.'!J:J,'Clientes Consolidado.'!C:C,C24,'Clientes Consolidado.'!B:B,"Fertilizer")
+SUMIFS('Clientes Consolidado.'!J:J,'Clientes Consolidado.'!C:C,C24,'Clientes Consolidado.'!B:B,"Additive")
+SUMIFS('Clientes Consolidado.'!J:J,'Clientes Consolidado.'!C:C,C24,'Clientes Consolidado.'!B:B,"Additive Intl.")</f>
        <v>0</v>
      </c>
      <c r="U24" s="19">
        <f>SUMIFS('Clientes Consolidado.'!K:K,'Clientes Consolidado.'!C:C,C24,'Clientes Consolidado.'!B:B,"Fertilizer")
+SUMIFS('Clientes Consolidado.'!K:K,'Clientes Consolidado.'!C:C,C24,'Clientes Consolidado.'!B:B,"Additive")
+SUMIFS('Clientes Consolidado.'!K:K,'Clientes Consolidado.'!C:C,C24,'Clientes Consolidado.'!B:B,"Additive Intl.")</f>
        <v>0</v>
      </c>
      <c r="V24" s="19">
        <f>SUMIFS('Clientes Consolidado.'!L:L,'Clientes Consolidado.'!C:C,C24,'Clientes Consolidado.'!B:B,"Fertilizer")
+SUMIFS('Clientes Consolidado.'!L:L,'Clientes Consolidado.'!C:C,C24,'Clientes Consolidado.'!B:B,"Additive")
+SUMIFS('Clientes Consolidado.'!L:L,'Clientes Consolidado.'!C:C,C24,'Clientes Consolidado.'!B:B,"Additive Intl.")</f>
        <v>0</v>
      </c>
      <c r="W24" s="19">
        <f>SUMIFS('Clientes Consolidado.'!M:M,'Clientes Consolidado.'!C:C,C24,'Clientes Consolidado.'!B:B,"Fertilizer")
+SUMIFS('Clientes Consolidado.'!M:M,'Clientes Consolidado.'!C:C,C24,'Clientes Consolidado.'!B:B,"Additive")
+SUMIFS('Clientes Consolidado.'!M:M,'Clientes Consolidado.'!C:C,C24,'Clientes Consolidado.'!B:B,"Additive Intl.")</f>
        <v>0</v>
      </c>
      <c r="X24" s="19">
        <f>SUMIFS('Clientes Consolidado.'!N:N,'Clientes Consolidado.'!C:C,C24,'Clientes Consolidado.'!B:B,"Fertilizer")
+SUMIFS('Clientes Consolidado.'!N:N,'Clientes Consolidado.'!C:C,C24,'Clientes Consolidado.'!B:B,"Additive")
+SUMIFS('Clientes Consolidado.'!N:N,'Clientes Consolidado.'!C:C,C24,'Clientes Consolidado.'!B:B,"Additive Intl.")</f>
        <v>0</v>
      </c>
      <c r="Y24" s="19">
        <f>SUMIFS('Clientes Consolidado.'!O:O,'Clientes Consolidado.'!C:C,C24,'Clientes Consolidado.'!B:B,"Fertilizer")
+SUMIFS('Clientes Consolidado.'!O:O,'Clientes Consolidado.'!C:C,C24,'Clientes Consolidado.'!B:B,"Additive")
+SUMIFS('Clientes Consolidado.'!O:O,'Clientes Consolidado.'!C:C,C24,'Clientes Consolidado.'!B:B,"Additive Intl.")</f>
        <v>0</v>
      </c>
      <c r="Z24" s="19">
        <f>SUMIFS('Clientes Consolidado.'!P:P,'Clientes Consolidado.'!C:C,'Nova Versão '!C24,'Clientes Consolidado.'!B:B,"Fertilizer / Litigation")+SUMIFS('Clientes Consolidado.'!P:P,'Clientes Consolidado.'!C:C,'Nova Versão '!C24,'Clientes Consolidado.'!B:B,"Additive / Litigation")</f>
        <v>0</v>
      </c>
      <c r="AA24" s="94"/>
    </row>
    <row r="25" spans="1:27" x14ac:dyDescent="0.25">
      <c r="A25" s="32"/>
      <c r="B25" s="94" t="str">
        <f>_xlfn.XLOOKUP(C25,Planilha3!A:A,Planilha3!B:B)</f>
        <v>Additive</v>
      </c>
      <c r="C25" s="94" t="s">
        <v>30</v>
      </c>
      <c r="D25" s="19">
        <f>_xlfn.XLOOKUP(C25,'Limite de crédito'!C:C,'Limite de crédito'!G:G,0)</f>
        <v>2600000</v>
      </c>
      <c r="E25" s="19">
        <f t="shared" si="1"/>
        <v>517338.2</v>
      </c>
      <c r="F25" s="19">
        <f>_xlfn.XLOOKUP('Nova Versão '!C25,'Limite de crédito'!C:C,'Limite de crédito'!O:O,0)</f>
        <v>2600000</v>
      </c>
      <c r="G25" s="404">
        <f t="shared" si="2"/>
        <v>0</v>
      </c>
      <c r="H25" s="412" t="str">
        <f>_xlfn.XLOOKUP(C25,Planilha3!A:A,Planilha3!C:C)</f>
        <v>Guarantee or credit</v>
      </c>
      <c r="J25" s="19">
        <f t="shared" si="3"/>
        <v>517338.2</v>
      </c>
      <c r="K25" s="19">
        <f>_xlfn.XLOOKUP(C25,'Clientes Consolidado.'!$C:$C,'Clientes Consolidado.'!R:R,0)</f>
        <v>517338.2</v>
      </c>
      <c r="L25" s="19">
        <f>_xlfn.XLOOKUP(C25,'Clientes Consolidado.'!$C:$C,'Clientes Consolidado.'!S:S,0)</f>
        <v>0</v>
      </c>
      <c r="M25" s="19">
        <f>_xlfn.XLOOKUP(C25,'Clientes Consolidado.'!$C:$C,'Clientes Consolidado.'!T:T,0)</f>
        <v>0</v>
      </c>
      <c r="N25" s="19">
        <f>_xlfn.XLOOKUP(C25,'Clientes Consolidado.'!$C:$C,'Clientes Consolidado.'!U:U,0)</f>
        <v>0</v>
      </c>
      <c r="O25" s="19">
        <f>_xlfn.XLOOKUP(C25,'Clientes Consolidado.'!$C:$C,'Clientes Consolidado.'!V:V,0)</f>
        <v>0</v>
      </c>
      <c r="P25" s="19">
        <f>_xlfn.XLOOKUP(C25,'Clientes Consolidado.'!$C:$C,'Clientes Consolidado.'!W:W,0)</f>
        <v>0</v>
      </c>
      <c r="Q25" s="19">
        <f>_xlfn.XLOOKUP(C25,'Clientes Consolidado.'!$C:$C,'Clientes Consolidado.'!X:X,0)</f>
        <v>0</v>
      </c>
      <c r="R25" s="19">
        <f t="shared" si="4"/>
        <v>0</v>
      </c>
      <c r="S25" s="19">
        <f>SUMIFS('Clientes Consolidado.'!I:I,'Clientes Consolidado.'!C:C,C25,'Clientes Consolidado.'!B:B,"Fertilizer")
+SUMIFS('Clientes Consolidado.'!I:I,'Clientes Consolidado.'!C:C,C25,'Clientes Consolidado.'!B:B,"Additive")
+SUMIFS('Clientes Consolidado.'!I:I,'Clientes Consolidado.'!C:C,C25,'Clientes Consolidado.'!B:B,"Additive Intl.")</f>
        <v>0</v>
      </c>
      <c r="T25" s="19">
        <f>SUMIFS('Clientes Consolidado.'!J:J,'Clientes Consolidado.'!C:C,C25,'Clientes Consolidado.'!B:B,"Fertilizer")
+SUMIFS('Clientes Consolidado.'!J:J,'Clientes Consolidado.'!C:C,C25,'Clientes Consolidado.'!B:B,"Additive")
+SUMIFS('Clientes Consolidado.'!J:J,'Clientes Consolidado.'!C:C,C25,'Clientes Consolidado.'!B:B,"Additive Intl.")</f>
        <v>0</v>
      </c>
      <c r="U25" s="19">
        <f>SUMIFS('Clientes Consolidado.'!K:K,'Clientes Consolidado.'!C:C,C25,'Clientes Consolidado.'!B:B,"Fertilizer")
+SUMIFS('Clientes Consolidado.'!K:K,'Clientes Consolidado.'!C:C,C25,'Clientes Consolidado.'!B:B,"Additive")
+SUMIFS('Clientes Consolidado.'!K:K,'Clientes Consolidado.'!C:C,C25,'Clientes Consolidado.'!B:B,"Additive Intl.")</f>
        <v>0</v>
      </c>
      <c r="V25" s="19">
        <f>SUMIFS('Clientes Consolidado.'!L:L,'Clientes Consolidado.'!C:C,C25,'Clientes Consolidado.'!B:B,"Fertilizer")
+SUMIFS('Clientes Consolidado.'!L:L,'Clientes Consolidado.'!C:C,C25,'Clientes Consolidado.'!B:B,"Additive")
+SUMIFS('Clientes Consolidado.'!L:L,'Clientes Consolidado.'!C:C,C25,'Clientes Consolidado.'!B:B,"Additive Intl.")</f>
        <v>0</v>
      </c>
      <c r="W25" s="19">
        <f>SUMIFS('Clientes Consolidado.'!M:M,'Clientes Consolidado.'!C:C,C25,'Clientes Consolidado.'!B:B,"Fertilizer")
+SUMIFS('Clientes Consolidado.'!M:M,'Clientes Consolidado.'!C:C,C25,'Clientes Consolidado.'!B:B,"Additive")
+SUMIFS('Clientes Consolidado.'!M:M,'Clientes Consolidado.'!C:C,C25,'Clientes Consolidado.'!B:B,"Additive Intl.")</f>
        <v>0</v>
      </c>
      <c r="X25" s="19">
        <f>SUMIFS('Clientes Consolidado.'!N:N,'Clientes Consolidado.'!C:C,C25,'Clientes Consolidado.'!B:B,"Fertilizer")
+SUMIFS('Clientes Consolidado.'!N:N,'Clientes Consolidado.'!C:C,C25,'Clientes Consolidado.'!B:B,"Additive")
+SUMIFS('Clientes Consolidado.'!N:N,'Clientes Consolidado.'!C:C,C25,'Clientes Consolidado.'!B:B,"Additive Intl.")</f>
        <v>0</v>
      </c>
      <c r="Y25" s="19">
        <f>SUMIFS('Clientes Consolidado.'!O:O,'Clientes Consolidado.'!C:C,C25,'Clientes Consolidado.'!B:B,"Fertilizer")
+SUMIFS('Clientes Consolidado.'!O:O,'Clientes Consolidado.'!C:C,C25,'Clientes Consolidado.'!B:B,"Additive")
+SUMIFS('Clientes Consolidado.'!O:O,'Clientes Consolidado.'!C:C,C25,'Clientes Consolidado.'!B:B,"Additive Intl.")</f>
        <v>0</v>
      </c>
      <c r="Z25" s="19">
        <f>SUMIFS('Clientes Consolidado.'!P:P,'Clientes Consolidado.'!C:C,'Nova Versão '!C25,'Clientes Consolidado.'!B:B,"Fertilizer / Litigation")+SUMIFS('Clientes Consolidado.'!P:P,'Clientes Consolidado.'!C:C,'Nova Versão '!C25,'Clientes Consolidado.'!B:B,"Additive / Litigation")</f>
        <v>0</v>
      </c>
      <c r="AA25" s="94"/>
    </row>
    <row r="26" spans="1:27" x14ac:dyDescent="0.25">
      <c r="A26" s="32"/>
      <c r="B26" s="94" t="str">
        <f>_xlfn.XLOOKUP(C26,Planilha3!A:A,Planilha3!B:B)</f>
        <v>Additive</v>
      </c>
      <c r="C26" s="94" t="s">
        <v>674</v>
      </c>
      <c r="D26" s="19">
        <f>_xlfn.XLOOKUP(C26,'Limite de crédito'!C:C,'Limite de crédito'!G:G,0)</f>
        <v>1500000</v>
      </c>
      <c r="E26" s="19">
        <f t="shared" si="1"/>
        <v>516611.39999999997</v>
      </c>
      <c r="F26" s="19">
        <f>_xlfn.XLOOKUP('Nova Versão '!C26,'Limite de crédito'!C:C,'Limite de crédito'!O:O,0)</f>
        <v>1500000</v>
      </c>
      <c r="G26" s="404">
        <f t="shared" si="2"/>
        <v>0</v>
      </c>
      <c r="H26" s="412" t="str">
        <f>_xlfn.XLOOKUP(C26,Planilha3!A:A,Planilha3!C:C)</f>
        <v>Guarantee or credit</v>
      </c>
      <c r="J26" s="19">
        <f t="shared" si="3"/>
        <v>516611.39999999997</v>
      </c>
      <c r="K26" s="19">
        <f>_xlfn.XLOOKUP(C26,'Clientes Consolidado.'!$C:$C,'Clientes Consolidado.'!R:R,0)</f>
        <v>516611.39999999997</v>
      </c>
      <c r="L26" s="19">
        <f>_xlfn.XLOOKUP(C26,'Clientes Consolidado.'!$C:$C,'Clientes Consolidado.'!S:S,0)</f>
        <v>0</v>
      </c>
      <c r="M26" s="19">
        <f>_xlfn.XLOOKUP(C26,'Clientes Consolidado.'!$C:$C,'Clientes Consolidado.'!T:T,0)</f>
        <v>0</v>
      </c>
      <c r="N26" s="19">
        <f>_xlfn.XLOOKUP(C26,'Clientes Consolidado.'!$C:$C,'Clientes Consolidado.'!U:U,0)</f>
        <v>0</v>
      </c>
      <c r="O26" s="19">
        <f>_xlfn.XLOOKUP(C26,'Clientes Consolidado.'!$C:$C,'Clientes Consolidado.'!V:V,0)</f>
        <v>0</v>
      </c>
      <c r="P26" s="19">
        <f>_xlfn.XLOOKUP(C26,'Clientes Consolidado.'!$C:$C,'Clientes Consolidado.'!W:W,0)</f>
        <v>0</v>
      </c>
      <c r="Q26" s="19">
        <f>_xlfn.XLOOKUP(C26,'Clientes Consolidado.'!$C:$C,'Clientes Consolidado.'!X:X,0)</f>
        <v>0</v>
      </c>
      <c r="R26" s="19">
        <f t="shared" si="4"/>
        <v>0</v>
      </c>
      <c r="S26" s="19">
        <f>SUMIFS('Clientes Consolidado.'!I:I,'Clientes Consolidado.'!C:C,C26,'Clientes Consolidado.'!B:B,"Fertilizer")
+SUMIFS('Clientes Consolidado.'!I:I,'Clientes Consolidado.'!C:C,C26,'Clientes Consolidado.'!B:B,"Additive")
+SUMIFS('Clientes Consolidado.'!I:I,'Clientes Consolidado.'!C:C,C26,'Clientes Consolidado.'!B:B,"Additive Intl.")</f>
        <v>0</v>
      </c>
      <c r="T26" s="19">
        <f>SUMIFS('Clientes Consolidado.'!J:J,'Clientes Consolidado.'!C:C,C26,'Clientes Consolidado.'!B:B,"Fertilizer")
+SUMIFS('Clientes Consolidado.'!J:J,'Clientes Consolidado.'!C:C,C26,'Clientes Consolidado.'!B:B,"Additive")
+SUMIFS('Clientes Consolidado.'!J:J,'Clientes Consolidado.'!C:C,C26,'Clientes Consolidado.'!B:B,"Additive Intl.")</f>
        <v>0</v>
      </c>
      <c r="U26" s="19">
        <f>SUMIFS('Clientes Consolidado.'!K:K,'Clientes Consolidado.'!C:C,C26,'Clientes Consolidado.'!B:B,"Fertilizer")
+SUMIFS('Clientes Consolidado.'!K:K,'Clientes Consolidado.'!C:C,C26,'Clientes Consolidado.'!B:B,"Additive")
+SUMIFS('Clientes Consolidado.'!K:K,'Clientes Consolidado.'!C:C,C26,'Clientes Consolidado.'!B:B,"Additive Intl.")</f>
        <v>0</v>
      </c>
      <c r="V26" s="19">
        <f>SUMIFS('Clientes Consolidado.'!L:L,'Clientes Consolidado.'!C:C,C26,'Clientes Consolidado.'!B:B,"Fertilizer")
+SUMIFS('Clientes Consolidado.'!L:L,'Clientes Consolidado.'!C:C,C26,'Clientes Consolidado.'!B:B,"Additive")
+SUMIFS('Clientes Consolidado.'!L:L,'Clientes Consolidado.'!C:C,C26,'Clientes Consolidado.'!B:B,"Additive Intl.")</f>
        <v>0</v>
      </c>
      <c r="W26" s="19">
        <f>SUMIFS('Clientes Consolidado.'!M:M,'Clientes Consolidado.'!C:C,C26,'Clientes Consolidado.'!B:B,"Fertilizer")
+SUMIFS('Clientes Consolidado.'!M:M,'Clientes Consolidado.'!C:C,C26,'Clientes Consolidado.'!B:B,"Additive")
+SUMIFS('Clientes Consolidado.'!M:M,'Clientes Consolidado.'!C:C,C26,'Clientes Consolidado.'!B:B,"Additive Intl.")</f>
        <v>0</v>
      </c>
      <c r="X26" s="19">
        <f>SUMIFS('Clientes Consolidado.'!N:N,'Clientes Consolidado.'!C:C,C26,'Clientes Consolidado.'!B:B,"Fertilizer")
+SUMIFS('Clientes Consolidado.'!N:N,'Clientes Consolidado.'!C:C,C26,'Clientes Consolidado.'!B:B,"Additive")
+SUMIFS('Clientes Consolidado.'!N:N,'Clientes Consolidado.'!C:C,C26,'Clientes Consolidado.'!B:B,"Additive Intl.")</f>
        <v>0</v>
      </c>
      <c r="Y26" s="19">
        <f>SUMIFS('Clientes Consolidado.'!O:O,'Clientes Consolidado.'!C:C,C26,'Clientes Consolidado.'!B:B,"Fertilizer")
+SUMIFS('Clientes Consolidado.'!O:O,'Clientes Consolidado.'!C:C,C26,'Clientes Consolidado.'!B:B,"Additive")
+SUMIFS('Clientes Consolidado.'!O:O,'Clientes Consolidado.'!C:C,C26,'Clientes Consolidado.'!B:B,"Additive Intl.")</f>
        <v>0</v>
      </c>
      <c r="Z26" s="19">
        <f>SUMIFS('Clientes Consolidado.'!P:P,'Clientes Consolidado.'!C:C,'Nova Versão '!C26,'Clientes Consolidado.'!B:B,"Fertilizer / Litigation")+SUMIFS('Clientes Consolidado.'!P:P,'Clientes Consolidado.'!C:C,'Nova Versão '!C26,'Clientes Consolidado.'!B:B,"Additive / Litigation")</f>
        <v>0</v>
      </c>
      <c r="AA26" s="94"/>
    </row>
    <row r="27" spans="1:27" x14ac:dyDescent="0.25">
      <c r="A27" s="32"/>
      <c r="B27" s="94" t="str">
        <f>_xlfn.XLOOKUP(C27,Planilha3!A:A,Planilha3!B:B)</f>
        <v>Fertilizer</v>
      </c>
      <c r="C27" s="94" t="s">
        <v>334</v>
      </c>
      <c r="D27" s="19">
        <f>_xlfn.XLOOKUP(C27,'Limite de crédito'!C:C,'Limite de crédito'!G:G,0)</f>
        <v>500000</v>
      </c>
      <c r="E27" s="19">
        <f t="shared" si="1"/>
        <v>482989</v>
      </c>
      <c r="F27" s="19">
        <f>_xlfn.XLOOKUP('Nova Versão '!C27,'Limite de crédito'!C:C,'Limite de crédito'!O:O,0)</f>
        <v>500000</v>
      </c>
      <c r="G27" s="404">
        <f t="shared" si="2"/>
        <v>0</v>
      </c>
      <c r="H27" s="412" t="str">
        <f>_xlfn.XLOOKUP(C27,Planilha3!A:A,Planilha3!C:C)</f>
        <v>Guarantee or credit</v>
      </c>
      <c r="J27" s="19">
        <f t="shared" si="3"/>
        <v>482989</v>
      </c>
      <c r="K27" s="19">
        <f>_xlfn.XLOOKUP(C27,'Clientes Consolidado.'!$C:$C,'Clientes Consolidado.'!R:R,0)</f>
        <v>482989</v>
      </c>
      <c r="L27" s="19">
        <f>_xlfn.XLOOKUP(C27,'Clientes Consolidado.'!$C:$C,'Clientes Consolidado.'!S:S,0)</f>
        <v>0</v>
      </c>
      <c r="M27" s="19">
        <f>_xlfn.XLOOKUP(C27,'Clientes Consolidado.'!$C:$C,'Clientes Consolidado.'!T:T,0)</f>
        <v>0</v>
      </c>
      <c r="N27" s="19">
        <f>_xlfn.XLOOKUP(C27,'Clientes Consolidado.'!$C:$C,'Clientes Consolidado.'!U:U,0)</f>
        <v>0</v>
      </c>
      <c r="O27" s="19">
        <f>_xlfn.XLOOKUP(C27,'Clientes Consolidado.'!$C:$C,'Clientes Consolidado.'!V:V,0)</f>
        <v>0</v>
      </c>
      <c r="P27" s="19">
        <f>_xlfn.XLOOKUP(C27,'Clientes Consolidado.'!$C:$C,'Clientes Consolidado.'!W:W,0)</f>
        <v>0</v>
      </c>
      <c r="Q27" s="19">
        <f>_xlfn.XLOOKUP(C27,'Clientes Consolidado.'!$C:$C,'Clientes Consolidado.'!X:X,0)</f>
        <v>0</v>
      </c>
      <c r="R27" s="19">
        <f t="shared" si="4"/>
        <v>0</v>
      </c>
      <c r="S27" s="19">
        <f>SUMIFS('Clientes Consolidado.'!I:I,'Clientes Consolidado.'!C:C,C27,'Clientes Consolidado.'!B:B,"Fertilizer")
+SUMIFS('Clientes Consolidado.'!I:I,'Clientes Consolidado.'!C:C,C27,'Clientes Consolidado.'!B:B,"Additive")
+SUMIFS('Clientes Consolidado.'!I:I,'Clientes Consolidado.'!C:C,C27,'Clientes Consolidado.'!B:B,"Additive Intl.")</f>
        <v>0</v>
      </c>
      <c r="T27" s="19">
        <f>SUMIFS('Clientes Consolidado.'!J:J,'Clientes Consolidado.'!C:C,C27,'Clientes Consolidado.'!B:B,"Fertilizer")
+SUMIFS('Clientes Consolidado.'!J:J,'Clientes Consolidado.'!C:C,C27,'Clientes Consolidado.'!B:B,"Additive")
+SUMIFS('Clientes Consolidado.'!J:J,'Clientes Consolidado.'!C:C,C27,'Clientes Consolidado.'!B:B,"Additive Intl.")</f>
        <v>0</v>
      </c>
      <c r="U27" s="19">
        <f>SUMIFS('Clientes Consolidado.'!K:K,'Clientes Consolidado.'!C:C,C27,'Clientes Consolidado.'!B:B,"Fertilizer")
+SUMIFS('Clientes Consolidado.'!K:K,'Clientes Consolidado.'!C:C,C27,'Clientes Consolidado.'!B:B,"Additive")
+SUMIFS('Clientes Consolidado.'!K:K,'Clientes Consolidado.'!C:C,C27,'Clientes Consolidado.'!B:B,"Additive Intl.")</f>
        <v>0</v>
      </c>
      <c r="V27" s="19">
        <f>SUMIFS('Clientes Consolidado.'!L:L,'Clientes Consolidado.'!C:C,C27,'Clientes Consolidado.'!B:B,"Fertilizer")
+SUMIFS('Clientes Consolidado.'!L:L,'Clientes Consolidado.'!C:C,C27,'Clientes Consolidado.'!B:B,"Additive")
+SUMIFS('Clientes Consolidado.'!L:L,'Clientes Consolidado.'!C:C,C27,'Clientes Consolidado.'!B:B,"Additive Intl.")</f>
        <v>0</v>
      </c>
      <c r="W27" s="19">
        <f>SUMIFS('Clientes Consolidado.'!M:M,'Clientes Consolidado.'!C:C,C27,'Clientes Consolidado.'!B:B,"Fertilizer")
+SUMIFS('Clientes Consolidado.'!M:M,'Clientes Consolidado.'!C:C,C27,'Clientes Consolidado.'!B:B,"Additive")
+SUMIFS('Clientes Consolidado.'!M:M,'Clientes Consolidado.'!C:C,C27,'Clientes Consolidado.'!B:B,"Additive Intl.")</f>
        <v>0</v>
      </c>
      <c r="X27" s="19">
        <f>SUMIFS('Clientes Consolidado.'!N:N,'Clientes Consolidado.'!C:C,C27,'Clientes Consolidado.'!B:B,"Fertilizer")
+SUMIFS('Clientes Consolidado.'!N:N,'Clientes Consolidado.'!C:C,C27,'Clientes Consolidado.'!B:B,"Additive")
+SUMIFS('Clientes Consolidado.'!N:N,'Clientes Consolidado.'!C:C,C27,'Clientes Consolidado.'!B:B,"Additive Intl.")</f>
        <v>0</v>
      </c>
      <c r="Y27" s="19">
        <f>SUMIFS('Clientes Consolidado.'!O:O,'Clientes Consolidado.'!C:C,C27,'Clientes Consolidado.'!B:B,"Fertilizer")
+SUMIFS('Clientes Consolidado.'!O:O,'Clientes Consolidado.'!C:C,C27,'Clientes Consolidado.'!B:B,"Additive")
+SUMIFS('Clientes Consolidado.'!O:O,'Clientes Consolidado.'!C:C,C27,'Clientes Consolidado.'!B:B,"Additive Intl.")</f>
        <v>0</v>
      </c>
      <c r="Z27" s="19">
        <f>SUMIFS('Clientes Consolidado.'!P:P,'Clientes Consolidado.'!C:C,'Nova Versão '!C27,'Clientes Consolidado.'!B:B,"Fertilizer / Litigation")+SUMIFS('Clientes Consolidado.'!P:P,'Clientes Consolidado.'!C:C,'Nova Versão '!C27,'Clientes Consolidado.'!B:B,"Additive / Litigation")</f>
        <v>0</v>
      </c>
      <c r="AA27" s="94"/>
    </row>
    <row r="28" spans="1:27" x14ac:dyDescent="0.25">
      <c r="A28" s="32"/>
      <c r="B28" s="94" t="str">
        <f>_xlfn.XLOOKUP(C28,Planilha3!A:A,Planilha3!B:B)</f>
        <v>Additive Intl.</v>
      </c>
      <c r="C28" s="94" t="s">
        <v>127</v>
      </c>
      <c r="D28" s="19">
        <f>_xlfn.XLOOKUP(C28,'Limite de crédito'!C:C,'Limite de crédito'!G:G,0)</f>
        <v>0</v>
      </c>
      <c r="E28" s="19">
        <f t="shared" si="1"/>
        <v>449507.68999999994</v>
      </c>
      <c r="F28" s="19">
        <f>_xlfn.XLOOKUP('Nova Versão '!C28,'Limite de crédito'!C:C,'Limite de crédito'!O:O,0)</f>
        <v>0</v>
      </c>
      <c r="G28" s="404">
        <f t="shared" si="2"/>
        <v>449507.68999999994</v>
      </c>
      <c r="H28" s="412" t="str">
        <f>_xlfn.XLOOKUP(C28,Planilha3!A:A,Planilha3!C:C)</f>
        <v>Credit without Insurance</v>
      </c>
      <c r="J28" s="19">
        <f t="shared" si="3"/>
        <v>0</v>
      </c>
      <c r="K28" s="19">
        <f>_xlfn.XLOOKUP(C28,'Clientes Consolidado.'!$C:$C,'Clientes Consolidado.'!R:R,0)</f>
        <v>0</v>
      </c>
      <c r="L28" s="19">
        <f>_xlfn.XLOOKUP(C28,'Clientes Consolidado.'!$C:$C,'Clientes Consolidado.'!S:S,0)</f>
        <v>0</v>
      </c>
      <c r="M28" s="19">
        <f>_xlfn.XLOOKUP(C28,'Clientes Consolidado.'!$C:$C,'Clientes Consolidado.'!T:T,0)</f>
        <v>0</v>
      </c>
      <c r="N28" s="19">
        <f>_xlfn.XLOOKUP(C28,'Clientes Consolidado.'!$C:$C,'Clientes Consolidado.'!U:U,0)</f>
        <v>0</v>
      </c>
      <c r="O28" s="19">
        <f>_xlfn.XLOOKUP(C28,'Clientes Consolidado.'!$C:$C,'Clientes Consolidado.'!V:V,0)</f>
        <v>0</v>
      </c>
      <c r="P28" s="19">
        <f>_xlfn.XLOOKUP(C28,'Clientes Consolidado.'!$C:$C,'Clientes Consolidado.'!W:W,0)</f>
        <v>0</v>
      </c>
      <c r="Q28" s="19">
        <f>_xlfn.XLOOKUP(C28,'Clientes Consolidado.'!$C:$C,'Clientes Consolidado.'!X:X,0)</f>
        <v>0</v>
      </c>
      <c r="R28" s="19">
        <f t="shared" si="4"/>
        <v>449507.68999999994</v>
      </c>
      <c r="S28" s="19">
        <f>SUMIFS('Clientes Consolidado.'!I:I,'Clientes Consolidado.'!C:C,C28,'Clientes Consolidado.'!B:B,"Fertilizer")
+SUMIFS('Clientes Consolidado.'!I:I,'Clientes Consolidado.'!C:C,C28,'Clientes Consolidado.'!B:B,"Additive")
+SUMIFS('Clientes Consolidado.'!I:I,'Clientes Consolidado.'!C:C,C28,'Clientes Consolidado.'!B:B,"Additive Intl.")</f>
        <v>0</v>
      </c>
      <c r="T28" s="19">
        <f>SUMIFS('Clientes Consolidado.'!J:J,'Clientes Consolidado.'!C:C,C28,'Clientes Consolidado.'!B:B,"Fertilizer")
+SUMIFS('Clientes Consolidado.'!J:J,'Clientes Consolidado.'!C:C,C28,'Clientes Consolidado.'!B:B,"Additive")
+SUMIFS('Clientes Consolidado.'!J:J,'Clientes Consolidado.'!C:C,C28,'Clientes Consolidado.'!B:B,"Additive Intl.")</f>
        <v>0</v>
      </c>
      <c r="U28" s="19">
        <f>SUMIFS('Clientes Consolidado.'!K:K,'Clientes Consolidado.'!C:C,C28,'Clientes Consolidado.'!B:B,"Fertilizer")
+SUMIFS('Clientes Consolidado.'!K:K,'Clientes Consolidado.'!C:C,C28,'Clientes Consolidado.'!B:B,"Additive")
+SUMIFS('Clientes Consolidado.'!K:K,'Clientes Consolidado.'!C:C,C28,'Clientes Consolidado.'!B:B,"Additive Intl.")</f>
        <v>0</v>
      </c>
      <c r="V28" s="19">
        <f>SUMIFS('Clientes Consolidado.'!L:L,'Clientes Consolidado.'!C:C,C28,'Clientes Consolidado.'!B:B,"Fertilizer")
+SUMIFS('Clientes Consolidado.'!L:L,'Clientes Consolidado.'!C:C,C28,'Clientes Consolidado.'!B:B,"Additive")
+SUMIFS('Clientes Consolidado.'!L:L,'Clientes Consolidado.'!C:C,C28,'Clientes Consolidado.'!B:B,"Additive Intl.")</f>
        <v>0</v>
      </c>
      <c r="W28" s="19">
        <f>SUMIFS('Clientes Consolidado.'!M:M,'Clientes Consolidado.'!C:C,C28,'Clientes Consolidado.'!B:B,"Fertilizer")
+SUMIFS('Clientes Consolidado.'!M:M,'Clientes Consolidado.'!C:C,C28,'Clientes Consolidado.'!B:B,"Additive")
+SUMIFS('Clientes Consolidado.'!M:M,'Clientes Consolidado.'!C:C,C28,'Clientes Consolidado.'!B:B,"Additive Intl.")</f>
        <v>0</v>
      </c>
      <c r="X28" s="19">
        <f>SUMIFS('Clientes Consolidado.'!N:N,'Clientes Consolidado.'!C:C,C28,'Clientes Consolidado.'!B:B,"Fertilizer")
+SUMIFS('Clientes Consolidado.'!N:N,'Clientes Consolidado.'!C:C,C28,'Clientes Consolidado.'!B:B,"Additive")
+SUMIFS('Clientes Consolidado.'!N:N,'Clientes Consolidado.'!C:C,C28,'Clientes Consolidado.'!B:B,"Additive Intl.")</f>
        <v>449507.68999999994</v>
      </c>
      <c r="Y28" s="19">
        <f>SUMIFS('Clientes Consolidado.'!O:O,'Clientes Consolidado.'!C:C,C28,'Clientes Consolidado.'!B:B,"Fertilizer")
+SUMIFS('Clientes Consolidado.'!O:O,'Clientes Consolidado.'!C:C,C28,'Clientes Consolidado.'!B:B,"Additive")
+SUMIFS('Clientes Consolidado.'!O:O,'Clientes Consolidado.'!C:C,C28,'Clientes Consolidado.'!B:B,"Additive Intl.")</f>
        <v>0</v>
      </c>
      <c r="Z28" s="19">
        <f>SUMIFS('Clientes Consolidado.'!P:P,'Clientes Consolidado.'!C:C,'Nova Versão '!C28,'Clientes Consolidado.'!B:B,"Fertilizer / Litigation")+SUMIFS('Clientes Consolidado.'!P:P,'Clientes Consolidado.'!C:C,'Nova Versão '!C28,'Clientes Consolidado.'!B:B,"Additive / Litigation")</f>
        <v>0</v>
      </c>
      <c r="AA28" s="94"/>
    </row>
    <row r="29" spans="1:27" x14ac:dyDescent="0.25">
      <c r="A29" s="32"/>
      <c r="B29" s="94" t="str">
        <f>_xlfn.XLOOKUP(C29,Planilha3!A:A,Planilha3!B:B)</f>
        <v>Fertilizer</v>
      </c>
      <c r="C29" s="94" t="s">
        <v>905</v>
      </c>
      <c r="D29" s="19">
        <f>_xlfn.XLOOKUP(C29,'Limite de crédito'!C:C,'Limite de crédito'!G:G,0)</f>
        <v>3000000</v>
      </c>
      <c r="E29" s="19">
        <f t="shared" si="1"/>
        <v>734953.47000000009</v>
      </c>
      <c r="F29" s="19">
        <f>_xlfn.XLOOKUP('Nova Versão '!C29,'Limite de crédito'!C:C,'Limite de crédito'!O:O,0)</f>
        <v>3000000</v>
      </c>
      <c r="G29" s="404">
        <f t="shared" si="2"/>
        <v>0</v>
      </c>
      <c r="H29" s="412" t="str">
        <f>_xlfn.XLOOKUP(C29,Planilha3!A:A,Planilha3!C:C)</f>
        <v>Guarantee or credit</v>
      </c>
      <c r="J29" s="19">
        <f t="shared" si="3"/>
        <v>734953.47000000009</v>
      </c>
      <c r="K29" s="19">
        <f>_xlfn.XLOOKUP(C29,'Clientes Consolidado.'!$C:$C,'Clientes Consolidado.'!R:R,0)</f>
        <v>0</v>
      </c>
      <c r="L29" s="19">
        <f>_xlfn.XLOOKUP(C29,'Clientes Consolidado.'!$C:$C,'Clientes Consolidado.'!S:S,0)</f>
        <v>662365.68000000005</v>
      </c>
      <c r="M29" s="19">
        <f>_xlfn.XLOOKUP(C29,'Clientes Consolidado.'!$C:$C,'Clientes Consolidado.'!T:T,0)</f>
        <v>72587.789999999994</v>
      </c>
      <c r="N29" s="19">
        <f>_xlfn.XLOOKUP(C29,'Clientes Consolidado.'!$C:$C,'Clientes Consolidado.'!U:U,0)</f>
        <v>0</v>
      </c>
      <c r="O29" s="19">
        <f>_xlfn.XLOOKUP(C29,'Clientes Consolidado.'!$C:$C,'Clientes Consolidado.'!V:V,0)</f>
        <v>0</v>
      </c>
      <c r="P29" s="19">
        <f>_xlfn.XLOOKUP(C29,'Clientes Consolidado.'!$C:$C,'Clientes Consolidado.'!W:W,0)</f>
        <v>0</v>
      </c>
      <c r="Q29" s="19">
        <f>_xlfn.XLOOKUP(C29,'Clientes Consolidado.'!$C:$C,'Clientes Consolidado.'!X:X,0)</f>
        <v>0</v>
      </c>
      <c r="R29" s="19">
        <f t="shared" si="4"/>
        <v>0</v>
      </c>
      <c r="S29" s="19">
        <f>SUMIFS('Clientes Consolidado.'!I:I,'Clientes Consolidado.'!C:C,C29,'Clientes Consolidado.'!B:B,"Fertilizer")
+SUMIFS('Clientes Consolidado.'!I:I,'Clientes Consolidado.'!C:C,C29,'Clientes Consolidado.'!B:B,"Additive")
+SUMIFS('Clientes Consolidado.'!I:I,'Clientes Consolidado.'!C:C,C29,'Clientes Consolidado.'!B:B,"Additive Intl.")</f>
        <v>0</v>
      </c>
      <c r="T29" s="19">
        <f>SUMIFS('Clientes Consolidado.'!J:J,'Clientes Consolidado.'!C:C,C29,'Clientes Consolidado.'!B:B,"Fertilizer")
+SUMIFS('Clientes Consolidado.'!J:J,'Clientes Consolidado.'!C:C,C29,'Clientes Consolidado.'!B:B,"Additive")
+SUMIFS('Clientes Consolidado.'!J:J,'Clientes Consolidado.'!C:C,C29,'Clientes Consolidado.'!B:B,"Additive Intl.")</f>
        <v>0</v>
      </c>
      <c r="U29" s="19">
        <f>SUMIFS('Clientes Consolidado.'!K:K,'Clientes Consolidado.'!C:C,C29,'Clientes Consolidado.'!B:B,"Fertilizer")
+SUMIFS('Clientes Consolidado.'!K:K,'Clientes Consolidado.'!C:C,C29,'Clientes Consolidado.'!B:B,"Additive")
+SUMIFS('Clientes Consolidado.'!K:K,'Clientes Consolidado.'!C:C,C29,'Clientes Consolidado.'!B:B,"Additive Intl.")</f>
        <v>0</v>
      </c>
      <c r="V29" s="19">
        <f>SUMIFS('Clientes Consolidado.'!L:L,'Clientes Consolidado.'!C:C,C29,'Clientes Consolidado.'!B:B,"Fertilizer")
+SUMIFS('Clientes Consolidado.'!L:L,'Clientes Consolidado.'!C:C,C29,'Clientes Consolidado.'!B:B,"Additive")
+SUMIFS('Clientes Consolidado.'!L:L,'Clientes Consolidado.'!C:C,C29,'Clientes Consolidado.'!B:B,"Additive Intl.")</f>
        <v>0</v>
      </c>
      <c r="W29" s="19">
        <f>SUMIFS('Clientes Consolidado.'!M:M,'Clientes Consolidado.'!C:C,C29,'Clientes Consolidado.'!B:B,"Fertilizer")
+SUMIFS('Clientes Consolidado.'!M:M,'Clientes Consolidado.'!C:C,C29,'Clientes Consolidado.'!B:B,"Additive")
+SUMIFS('Clientes Consolidado.'!M:M,'Clientes Consolidado.'!C:C,C29,'Clientes Consolidado.'!B:B,"Additive Intl.")</f>
        <v>0</v>
      </c>
      <c r="X29" s="19">
        <f>SUMIFS('Clientes Consolidado.'!N:N,'Clientes Consolidado.'!C:C,C29,'Clientes Consolidado.'!B:B,"Fertilizer")
+SUMIFS('Clientes Consolidado.'!N:N,'Clientes Consolidado.'!C:C,C29,'Clientes Consolidado.'!B:B,"Additive")
+SUMIFS('Clientes Consolidado.'!N:N,'Clientes Consolidado.'!C:C,C29,'Clientes Consolidado.'!B:B,"Additive Intl.")</f>
        <v>0</v>
      </c>
      <c r="Y29" s="19">
        <f>SUMIFS('Clientes Consolidado.'!O:O,'Clientes Consolidado.'!C:C,C29,'Clientes Consolidado.'!B:B,"Fertilizer")
+SUMIFS('Clientes Consolidado.'!O:O,'Clientes Consolidado.'!C:C,C29,'Clientes Consolidado.'!B:B,"Additive")
+SUMIFS('Clientes Consolidado.'!O:O,'Clientes Consolidado.'!C:C,C29,'Clientes Consolidado.'!B:B,"Additive Intl.")</f>
        <v>0</v>
      </c>
      <c r="Z29" s="19">
        <f>SUMIFS('Clientes Consolidado.'!P:P,'Clientes Consolidado.'!C:C,'Nova Versão '!C29,'Clientes Consolidado.'!B:B,"Fertilizer / Litigation")+SUMIFS('Clientes Consolidado.'!P:P,'Clientes Consolidado.'!C:C,'Nova Versão '!C29,'Clientes Consolidado.'!B:B,"Additive / Litigation")</f>
        <v>0</v>
      </c>
      <c r="AA29" s="94"/>
    </row>
    <row r="30" spans="1:27" x14ac:dyDescent="0.25">
      <c r="A30" s="32"/>
      <c r="B30" s="94" t="str">
        <f>_xlfn.XLOOKUP(C30,Planilha3!A:A,Planilha3!B:B)</f>
        <v>Additive</v>
      </c>
      <c r="C30" s="94" t="s">
        <v>528</v>
      </c>
      <c r="D30" s="19">
        <f>_xlfn.XLOOKUP(C30,'Limite de crédito'!C:C,'Limite de crédito'!G:G,0)</f>
        <v>0</v>
      </c>
      <c r="E30" s="19">
        <f t="shared" si="1"/>
        <v>409551.4</v>
      </c>
      <c r="F30" s="19">
        <f>_xlfn.XLOOKUP('Nova Versão '!C30,'Limite de crédito'!C:C,'Limite de crédito'!O:O,0)</f>
        <v>0</v>
      </c>
      <c r="G30" s="404">
        <f t="shared" si="2"/>
        <v>409551.4</v>
      </c>
      <c r="H30" s="412" t="str">
        <f>_xlfn.XLOOKUP(C30,Planilha3!A:A,Planilha3!C:C)</f>
        <v>Credit without Insurance</v>
      </c>
      <c r="J30" s="19">
        <f t="shared" si="3"/>
        <v>409551.4</v>
      </c>
      <c r="K30" s="19">
        <f>_xlfn.XLOOKUP(C30,'Clientes Consolidado.'!$C:$C,'Clientes Consolidado.'!R:R,0)</f>
        <v>0</v>
      </c>
      <c r="L30" s="19">
        <f>_xlfn.XLOOKUP(C30,'Clientes Consolidado.'!$C:$C,'Clientes Consolidado.'!S:S,0)</f>
        <v>409551.4</v>
      </c>
      <c r="M30" s="19">
        <f>_xlfn.XLOOKUP(C30,'Clientes Consolidado.'!$C:$C,'Clientes Consolidado.'!T:T,0)</f>
        <v>0</v>
      </c>
      <c r="N30" s="19">
        <f>_xlfn.XLOOKUP(C30,'Clientes Consolidado.'!$C:$C,'Clientes Consolidado.'!U:U,0)</f>
        <v>0</v>
      </c>
      <c r="O30" s="19">
        <f>_xlfn.XLOOKUP(C30,'Clientes Consolidado.'!$C:$C,'Clientes Consolidado.'!V:V,0)</f>
        <v>0</v>
      </c>
      <c r="P30" s="19">
        <f>_xlfn.XLOOKUP(C30,'Clientes Consolidado.'!$C:$C,'Clientes Consolidado.'!W:W,0)</f>
        <v>0</v>
      </c>
      <c r="Q30" s="19">
        <f>_xlfn.XLOOKUP(C30,'Clientes Consolidado.'!$C:$C,'Clientes Consolidado.'!X:X,0)</f>
        <v>0</v>
      </c>
      <c r="R30" s="19">
        <f t="shared" si="4"/>
        <v>0</v>
      </c>
      <c r="S30" s="19">
        <f>SUMIFS('Clientes Consolidado.'!I:I,'Clientes Consolidado.'!C:C,C30,'Clientes Consolidado.'!B:B,"Fertilizer")
+SUMIFS('Clientes Consolidado.'!I:I,'Clientes Consolidado.'!C:C,C30,'Clientes Consolidado.'!B:B,"Additive")
+SUMIFS('Clientes Consolidado.'!I:I,'Clientes Consolidado.'!C:C,C30,'Clientes Consolidado.'!B:B,"Additive Intl.")</f>
        <v>0</v>
      </c>
      <c r="T30" s="19">
        <f>SUMIFS('Clientes Consolidado.'!J:J,'Clientes Consolidado.'!C:C,C30,'Clientes Consolidado.'!B:B,"Fertilizer")
+SUMIFS('Clientes Consolidado.'!J:J,'Clientes Consolidado.'!C:C,C30,'Clientes Consolidado.'!B:B,"Additive")
+SUMIFS('Clientes Consolidado.'!J:J,'Clientes Consolidado.'!C:C,C30,'Clientes Consolidado.'!B:B,"Additive Intl.")</f>
        <v>0</v>
      </c>
      <c r="U30" s="19">
        <f>SUMIFS('Clientes Consolidado.'!K:K,'Clientes Consolidado.'!C:C,C30,'Clientes Consolidado.'!B:B,"Fertilizer")
+SUMIFS('Clientes Consolidado.'!K:K,'Clientes Consolidado.'!C:C,C30,'Clientes Consolidado.'!B:B,"Additive")
+SUMIFS('Clientes Consolidado.'!K:K,'Clientes Consolidado.'!C:C,C30,'Clientes Consolidado.'!B:B,"Additive Intl.")</f>
        <v>0</v>
      </c>
      <c r="V30" s="19">
        <f>SUMIFS('Clientes Consolidado.'!L:L,'Clientes Consolidado.'!C:C,C30,'Clientes Consolidado.'!B:B,"Fertilizer")
+SUMIFS('Clientes Consolidado.'!L:L,'Clientes Consolidado.'!C:C,C30,'Clientes Consolidado.'!B:B,"Additive")
+SUMIFS('Clientes Consolidado.'!L:L,'Clientes Consolidado.'!C:C,C30,'Clientes Consolidado.'!B:B,"Additive Intl.")</f>
        <v>0</v>
      </c>
      <c r="W30" s="19">
        <f>SUMIFS('Clientes Consolidado.'!M:M,'Clientes Consolidado.'!C:C,C30,'Clientes Consolidado.'!B:B,"Fertilizer")
+SUMIFS('Clientes Consolidado.'!M:M,'Clientes Consolidado.'!C:C,C30,'Clientes Consolidado.'!B:B,"Additive")
+SUMIFS('Clientes Consolidado.'!M:M,'Clientes Consolidado.'!C:C,C30,'Clientes Consolidado.'!B:B,"Additive Intl.")</f>
        <v>0</v>
      </c>
      <c r="X30" s="19">
        <f>SUMIFS('Clientes Consolidado.'!N:N,'Clientes Consolidado.'!C:C,C30,'Clientes Consolidado.'!B:B,"Fertilizer")
+SUMIFS('Clientes Consolidado.'!N:N,'Clientes Consolidado.'!C:C,C30,'Clientes Consolidado.'!B:B,"Additive")
+SUMIFS('Clientes Consolidado.'!N:N,'Clientes Consolidado.'!C:C,C30,'Clientes Consolidado.'!B:B,"Additive Intl.")</f>
        <v>0</v>
      </c>
      <c r="Y30" s="19">
        <f>SUMIFS('Clientes Consolidado.'!O:O,'Clientes Consolidado.'!C:C,C30,'Clientes Consolidado.'!B:B,"Fertilizer")
+SUMIFS('Clientes Consolidado.'!O:O,'Clientes Consolidado.'!C:C,C30,'Clientes Consolidado.'!B:B,"Additive")
+SUMIFS('Clientes Consolidado.'!O:O,'Clientes Consolidado.'!C:C,C30,'Clientes Consolidado.'!B:B,"Additive Intl.")</f>
        <v>0</v>
      </c>
      <c r="Z30" s="19">
        <f>SUMIFS('Clientes Consolidado.'!P:P,'Clientes Consolidado.'!C:C,'Nova Versão '!C30,'Clientes Consolidado.'!B:B,"Fertilizer / Litigation")+SUMIFS('Clientes Consolidado.'!P:P,'Clientes Consolidado.'!C:C,'Nova Versão '!C30,'Clientes Consolidado.'!B:B,"Additive / Litigation")</f>
        <v>0</v>
      </c>
      <c r="AA30" s="94"/>
    </row>
    <row r="31" spans="1:27" x14ac:dyDescent="0.25">
      <c r="A31" s="32"/>
      <c r="B31" s="94" t="str">
        <f>_xlfn.XLOOKUP(C31,Planilha3!A:A,Planilha3!B:B)</f>
        <v>Additive Intl.</v>
      </c>
      <c r="C31" s="94" t="s">
        <v>354</v>
      </c>
      <c r="D31" s="19">
        <f>_xlfn.XLOOKUP(C31,'Limite de crédito'!C:C,'Limite de crédito'!G:G,0)</f>
        <v>770000</v>
      </c>
      <c r="E31" s="19">
        <f t="shared" si="1"/>
        <v>400087.85</v>
      </c>
      <c r="F31" s="19">
        <f>_xlfn.XLOOKUP('Nova Versão '!C31,'Limite de crédito'!C:C,'Limite de crédito'!O:O,0)</f>
        <v>770000</v>
      </c>
      <c r="G31" s="404">
        <f t="shared" si="2"/>
        <v>0</v>
      </c>
      <c r="H31" s="412" t="str">
        <f>_xlfn.XLOOKUP(C31,Planilha3!A:A,Planilha3!C:C)</f>
        <v>Guarantee or credit</v>
      </c>
      <c r="J31" s="19">
        <f t="shared" si="3"/>
        <v>400087.85</v>
      </c>
      <c r="K31" s="19">
        <f>_xlfn.XLOOKUP(C31,'Clientes Consolidado.'!$C:$C,'Clientes Consolidado.'!R:R,0)</f>
        <v>224812.61</v>
      </c>
      <c r="L31" s="19">
        <f>_xlfn.XLOOKUP(C31,'Clientes Consolidado.'!$C:$C,'Clientes Consolidado.'!S:S,0)</f>
        <v>175275.24</v>
      </c>
      <c r="M31" s="19">
        <f>_xlfn.XLOOKUP(C31,'Clientes Consolidado.'!$C:$C,'Clientes Consolidado.'!T:T,0)</f>
        <v>0</v>
      </c>
      <c r="N31" s="19">
        <f>_xlfn.XLOOKUP(C31,'Clientes Consolidado.'!$C:$C,'Clientes Consolidado.'!U:U,0)</f>
        <v>0</v>
      </c>
      <c r="O31" s="19">
        <f>_xlfn.XLOOKUP(C31,'Clientes Consolidado.'!$C:$C,'Clientes Consolidado.'!V:V,0)</f>
        <v>0</v>
      </c>
      <c r="P31" s="19">
        <f>_xlfn.XLOOKUP(C31,'Clientes Consolidado.'!$C:$C,'Clientes Consolidado.'!W:W,0)</f>
        <v>0</v>
      </c>
      <c r="Q31" s="19">
        <f>_xlfn.XLOOKUP(C31,'Clientes Consolidado.'!$C:$C,'Clientes Consolidado.'!X:X,0)</f>
        <v>0</v>
      </c>
      <c r="R31" s="19">
        <f t="shared" si="4"/>
        <v>0</v>
      </c>
      <c r="S31" s="19">
        <f>SUMIFS('Clientes Consolidado.'!I:I,'Clientes Consolidado.'!C:C,C31,'Clientes Consolidado.'!B:B,"Fertilizer")
+SUMIFS('Clientes Consolidado.'!I:I,'Clientes Consolidado.'!C:C,C31,'Clientes Consolidado.'!B:B,"Additive")
+SUMIFS('Clientes Consolidado.'!I:I,'Clientes Consolidado.'!C:C,C31,'Clientes Consolidado.'!B:B,"Additive Intl.")</f>
        <v>0</v>
      </c>
      <c r="T31" s="19">
        <f>SUMIFS('Clientes Consolidado.'!J:J,'Clientes Consolidado.'!C:C,C31,'Clientes Consolidado.'!B:B,"Fertilizer")
+SUMIFS('Clientes Consolidado.'!J:J,'Clientes Consolidado.'!C:C,C31,'Clientes Consolidado.'!B:B,"Additive")
+SUMIFS('Clientes Consolidado.'!J:J,'Clientes Consolidado.'!C:C,C31,'Clientes Consolidado.'!B:B,"Additive Intl.")</f>
        <v>0</v>
      </c>
      <c r="U31" s="19">
        <f>SUMIFS('Clientes Consolidado.'!K:K,'Clientes Consolidado.'!C:C,C31,'Clientes Consolidado.'!B:B,"Fertilizer")
+SUMIFS('Clientes Consolidado.'!K:K,'Clientes Consolidado.'!C:C,C31,'Clientes Consolidado.'!B:B,"Additive")
+SUMIFS('Clientes Consolidado.'!K:K,'Clientes Consolidado.'!C:C,C31,'Clientes Consolidado.'!B:B,"Additive Intl.")</f>
        <v>0</v>
      </c>
      <c r="V31" s="19">
        <f>SUMIFS('Clientes Consolidado.'!L:L,'Clientes Consolidado.'!C:C,C31,'Clientes Consolidado.'!B:B,"Fertilizer")
+SUMIFS('Clientes Consolidado.'!L:L,'Clientes Consolidado.'!C:C,C31,'Clientes Consolidado.'!B:B,"Additive")
+SUMIFS('Clientes Consolidado.'!L:L,'Clientes Consolidado.'!C:C,C31,'Clientes Consolidado.'!B:B,"Additive Intl.")</f>
        <v>0</v>
      </c>
      <c r="W31" s="19">
        <f>SUMIFS('Clientes Consolidado.'!M:M,'Clientes Consolidado.'!C:C,C31,'Clientes Consolidado.'!B:B,"Fertilizer")
+SUMIFS('Clientes Consolidado.'!M:M,'Clientes Consolidado.'!C:C,C31,'Clientes Consolidado.'!B:B,"Additive")
+SUMIFS('Clientes Consolidado.'!M:M,'Clientes Consolidado.'!C:C,C31,'Clientes Consolidado.'!B:B,"Additive Intl.")</f>
        <v>0</v>
      </c>
      <c r="X31" s="19">
        <f>SUMIFS('Clientes Consolidado.'!N:N,'Clientes Consolidado.'!C:C,C31,'Clientes Consolidado.'!B:B,"Fertilizer")
+SUMIFS('Clientes Consolidado.'!N:N,'Clientes Consolidado.'!C:C,C31,'Clientes Consolidado.'!B:B,"Additive")
+SUMIFS('Clientes Consolidado.'!N:N,'Clientes Consolidado.'!C:C,C31,'Clientes Consolidado.'!B:B,"Additive Intl.")</f>
        <v>0</v>
      </c>
      <c r="Y31" s="19">
        <f>SUMIFS('Clientes Consolidado.'!O:O,'Clientes Consolidado.'!C:C,C31,'Clientes Consolidado.'!B:B,"Fertilizer")
+SUMIFS('Clientes Consolidado.'!O:O,'Clientes Consolidado.'!C:C,C31,'Clientes Consolidado.'!B:B,"Additive")
+SUMIFS('Clientes Consolidado.'!O:O,'Clientes Consolidado.'!C:C,C31,'Clientes Consolidado.'!B:B,"Additive Intl.")</f>
        <v>0</v>
      </c>
      <c r="Z31" s="19">
        <f>SUMIFS('Clientes Consolidado.'!P:P,'Clientes Consolidado.'!C:C,'Nova Versão '!C31,'Clientes Consolidado.'!B:B,"Fertilizer / Litigation")+SUMIFS('Clientes Consolidado.'!P:P,'Clientes Consolidado.'!C:C,'Nova Versão '!C31,'Clientes Consolidado.'!B:B,"Additive / Litigation")</f>
        <v>0</v>
      </c>
      <c r="AA31" s="94"/>
    </row>
    <row r="32" spans="1:27" x14ac:dyDescent="0.25">
      <c r="A32" s="32"/>
      <c r="B32" s="94" t="str">
        <f>_xlfn.XLOOKUP(C32,Planilha3!A:A,Planilha3!B:B)</f>
        <v>Additive</v>
      </c>
      <c r="C32" s="94" t="s">
        <v>611</v>
      </c>
      <c r="D32" s="19">
        <f>_xlfn.XLOOKUP(C32,'Limite de crédito'!C:C,'Limite de crédito'!G:G,0)</f>
        <v>700000</v>
      </c>
      <c r="E32" s="19">
        <f t="shared" si="1"/>
        <v>395265</v>
      </c>
      <c r="F32" s="19">
        <f>_xlfn.XLOOKUP('Nova Versão '!C32,'Limite de crédito'!C:C,'Limite de crédito'!O:O,0)</f>
        <v>700000</v>
      </c>
      <c r="G32" s="404">
        <f t="shared" si="2"/>
        <v>0</v>
      </c>
      <c r="H32" s="412" t="str">
        <f>_xlfn.XLOOKUP(C32,Planilha3!A:A,Planilha3!C:C)</f>
        <v>Guarantee or credit</v>
      </c>
      <c r="J32" s="19">
        <f t="shared" si="3"/>
        <v>395265</v>
      </c>
      <c r="K32" s="19">
        <f>_xlfn.XLOOKUP(C32,'Clientes Consolidado.'!$C:$C,'Clientes Consolidado.'!R:R,0)</f>
        <v>134855</v>
      </c>
      <c r="L32" s="19">
        <f>_xlfn.XLOOKUP(C32,'Clientes Consolidado.'!$C:$C,'Clientes Consolidado.'!S:S,0)</f>
        <v>168735</v>
      </c>
      <c r="M32" s="19">
        <f>_xlfn.XLOOKUP(C32,'Clientes Consolidado.'!$C:$C,'Clientes Consolidado.'!T:T,0)</f>
        <v>91675</v>
      </c>
      <c r="N32" s="19">
        <f>_xlfn.XLOOKUP(C32,'Clientes Consolidado.'!$C:$C,'Clientes Consolidado.'!U:U,0)</f>
        <v>0</v>
      </c>
      <c r="O32" s="19">
        <f>_xlfn.XLOOKUP(C32,'Clientes Consolidado.'!$C:$C,'Clientes Consolidado.'!V:V,0)</f>
        <v>0</v>
      </c>
      <c r="P32" s="19">
        <f>_xlfn.XLOOKUP(C32,'Clientes Consolidado.'!$C:$C,'Clientes Consolidado.'!W:W,0)</f>
        <v>0</v>
      </c>
      <c r="Q32" s="19">
        <f>_xlfn.XLOOKUP(C32,'Clientes Consolidado.'!$C:$C,'Clientes Consolidado.'!X:X,0)</f>
        <v>0</v>
      </c>
      <c r="R32" s="19">
        <f t="shared" si="4"/>
        <v>0</v>
      </c>
      <c r="S32" s="19">
        <f>SUMIFS('Clientes Consolidado.'!I:I,'Clientes Consolidado.'!C:C,C32,'Clientes Consolidado.'!B:B,"Fertilizer")
+SUMIFS('Clientes Consolidado.'!I:I,'Clientes Consolidado.'!C:C,C32,'Clientes Consolidado.'!B:B,"Additive")
+SUMIFS('Clientes Consolidado.'!I:I,'Clientes Consolidado.'!C:C,C32,'Clientes Consolidado.'!B:B,"Additive Intl.")</f>
        <v>0</v>
      </c>
      <c r="T32" s="19">
        <f>SUMIFS('Clientes Consolidado.'!J:J,'Clientes Consolidado.'!C:C,C32,'Clientes Consolidado.'!B:B,"Fertilizer")
+SUMIFS('Clientes Consolidado.'!J:J,'Clientes Consolidado.'!C:C,C32,'Clientes Consolidado.'!B:B,"Additive")
+SUMIFS('Clientes Consolidado.'!J:J,'Clientes Consolidado.'!C:C,C32,'Clientes Consolidado.'!B:B,"Additive Intl.")</f>
        <v>0</v>
      </c>
      <c r="U32" s="19">
        <f>SUMIFS('Clientes Consolidado.'!K:K,'Clientes Consolidado.'!C:C,C32,'Clientes Consolidado.'!B:B,"Fertilizer")
+SUMIFS('Clientes Consolidado.'!K:K,'Clientes Consolidado.'!C:C,C32,'Clientes Consolidado.'!B:B,"Additive")
+SUMIFS('Clientes Consolidado.'!K:K,'Clientes Consolidado.'!C:C,C32,'Clientes Consolidado.'!B:B,"Additive Intl.")</f>
        <v>0</v>
      </c>
      <c r="V32" s="19">
        <f>SUMIFS('Clientes Consolidado.'!L:L,'Clientes Consolidado.'!C:C,C32,'Clientes Consolidado.'!B:B,"Fertilizer")
+SUMIFS('Clientes Consolidado.'!L:L,'Clientes Consolidado.'!C:C,C32,'Clientes Consolidado.'!B:B,"Additive")
+SUMIFS('Clientes Consolidado.'!L:L,'Clientes Consolidado.'!C:C,C32,'Clientes Consolidado.'!B:B,"Additive Intl.")</f>
        <v>0</v>
      </c>
      <c r="W32" s="19">
        <f>SUMIFS('Clientes Consolidado.'!M:M,'Clientes Consolidado.'!C:C,C32,'Clientes Consolidado.'!B:B,"Fertilizer")
+SUMIFS('Clientes Consolidado.'!M:M,'Clientes Consolidado.'!C:C,C32,'Clientes Consolidado.'!B:B,"Additive")
+SUMIFS('Clientes Consolidado.'!M:M,'Clientes Consolidado.'!C:C,C32,'Clientes Consolidado.'!B:B,"Additive Intl.")</f>
        <v>0</v>
      </c>
      <c r="X32" s="19">
        <f>SUMIFS('Clientes Consolidado.'!N:N,'Clientes Consolidado.'!C:C,C32,'Clientes Consolidado.'!B:B,"Fertilizer")
+SUMIFS('Clientes Consolidado.'!N:N,'Clientes Consolidado.'!C:C,C32,'Clientes Consolidado.'!B:B,"Additive")
+SUMIFS('Clientes Consolidado.'!N:N,'Clientes Consolidado.'!C:C,C32,'Clientes Consolidado.'!B:B,"Additive Intl.")</f>
        <v>0</v>
      </c>
      <c r="Y32" s="19">
        <f>SUMIFS('Clientes Consolidado.'!O:O,'Clientes Consolidado.'!C:C,C32,'Clientes Consolidado.'!B:B,"Fertilizer")
+SUMIFS('Clientes Consolidado.'!O:O,'Clientes Consolidado.'!C:C,C32,'Clientes Consolidado.'!B:B,"Additive")
+SUMIFS('Clientes Consolidado.'!O:O,'Clientes Consolidado.'!C:C,C32,'Clientes Consolidado.'!B:B,"Additive Intl.")</f>
        <v>0</v>
      </c>
      <c r="Z32" s="19">
        <f>SUMIFS('Clientes Consolidado.'!P:P,'Clientes Consolidado.'!C:C,'Nova Versão '!C32,'Clientes Consolidado.'!B:B,"Fertilizer / Litigation")+SUMIFS('Clientes Consolidado.'!P:P,'Clientes Consolidado.'!C:C,'Nova Versão '!C32,'Clientes Consolidado.'!B:B,"Additive / Litigation")</f>
        <v>0</v>
      </c>
      <c r="AA32" s="94"/>
    </row>
    <row r="33" spans="1:27" x14ac:dyDescent="0.25">
      <c r="A33" s="32"/>
      <c r="B33" s="94" t="str">
        <f>_xlfn.XLOOKUP(C33,Planilha3!A:A,Planilha3!B:B)</f>
        <v>Additive Intl.</v>
      </c>
      <c r="C33" s="94" t="s">
        <v>294</v>
      </c>
      <c r="D33" s="19">
        <f>_xlfn.XLOOKUP(C33,'Limite de crédito'!C:C,'Limite de crédito'!G:G,0)</f>
        <v>550000</v>
      </c>
      <c r="E33" s="19">
        <f t="shared" si="1"/>
        <v>350009.44999999995</v>
      </c>
      <c r="F33" s="19">
        <f>_xlfn.XLOOKUP('Nova Versão '!C33,'Limite de crédito'!C:C,'Limite de crédito'!O:O,0)</f>
        <v>550000</v>
      </c>
      <c r="G33" s="404">
        <f t="shared" si="2"/>
        <v>0</v>
      </c>
      <c r="H33" s="412" t="str">
        <f>_xlfn.XLOOKUP(C33,Planilha3!A:A,Planilha3!C:C)</f>
        <v>Guarantee or credit</v>
      </c>
      <c r="J33" s="19">
        <f t="shared" si="3"/>
        <v>350009.44999999995</v>
      </c>
      <c r="K33" s="19">
        <f>_xlfn.XLOOKUP(C33,'Clientes Consolidado.'!$C:$C,'Clientes Consolidado.'!R:R,0)</f>
        <v>350009.44999999995</v>
      </c>
      <c r="L33" s="19">
        <f>_xlfn.XLOOKUP(C33,'Clientes Consolidado.'!$C:$C,'Clientes Consolidado.'!S:S,0)</f>
        <v>0</v>
      </c>
      <c r="M33" s="19">
        <f>_xlfn.XLOOKUP(C33,'Clientes Consolidado.'!$C:$C,'Clientes Consolidado.'!T:T,0)</f>
        <v>0</v>
      </c>
      <c r="N33" s="19">
        <f>_xlfn.XLOOKUP(C33,'Clientes Consolidado.'!$C:$C,'Clientes Consolidado.'!U:U,0)</f>
        <v>0</v>
      </c>
      <c r="O33" s="19">
        <f>_xlfn.XLOOKUP(C33,'Clientes Consolidado.'!$C:$C,'Clientes Consolidado.'!V:V,0)</f>
        <v>0</v>
      </c>
      <c r="P33" s="19">
        <f>_xlfn.XLOOKUP(C33,'Clientes Consolidado.'!$C:$C,'Clientes Consolidado.'!W:W,0)</f>
        <v>0</v>
      </c>
      <c r="Q33" s="19">
        <f>_xlfn.XLOOKUP(C33,'Clientes Consolidado.'!$C:$C,'Clientes Consolidado.'!X:X,0)</f>
        <v>0</v>
      </c>
      <c r="R33" s="19">
        <f t="shared" si="4"/>
        <v>0</v>
      </c>
      <c r="S33" s="19">
        <f>SUMIFS('Clientes Consolidado.'!I:I,'Clientes Consolidado.'!C:C,C33,'Clientes Consolidado.'!B:B,"Fertilizer")
+SUMIFS('Clientes Consolidado.'!I:I,'Clientes Consolidado.'!C:C,C33,'Clientes Consolidado.'!B:B,"Additive")
+SUMIFS('Clientes Consolidado.'!I:I,'Clientes Consolidado.'!C:C,C33,'Clientes Consolidado.'!B:B,"Additive Intl.")</f>
        <v>0</v>
      </c>
      <c r="T33" s="19">
        <f>SUMIFS('Clientes Consolidado.'!J:J,'Clientes Consolidado.'!C:C,C33,'Clientes Consolidado.'!B:B,"Fertilizer")
+SUMIFS('Clientes Consolidado.'!J:J,'Clientes Consolidado.'!C:C,C33,'Clientes Consolidado.'!B:B,"Additive")
+SUMIFS('Clientes Consolidado.'!J:J,'Clientes Consolidado.'!C:C,C33,'Clientes Consolidado.'!B:B,"Additive Intl.")</f>
        <v>0</v>
      </c>
      <c r="U33" s="19">
        <f>SUMIFS('Clientes Consolidado.'!K:K,'Clientes Consolidado.'!C:C,C33,'Clientes Consolidado.'!B:B,"Fertilizer")
+SUMIFS('Clientes Consolidado.'!K:K,'Clientes Consolidado.'!C:C,C33,'Clientes Consolidado.'!B:B,"Additive")
+SUMIFS('Clientes Consolidado.'!K:K,'Clientes Consolidado.'!C:C,C33,'Clientes Consolidado.'!B:B,"Additive Intl.")</f>
        <v>0</v>
      </c>
      <c r="V33" s="19">
        <f>SUMIFS('Clientes Consolidado.'!L:L,'Clientes Consolidado.'!C:C,C33,'Clientes Consolidado.'!B:B,"Fertilizer")
+SUMIFS('Clientes Consolidado.'!L:L,'Clientes Consolidado.'!C:C,C33,'Clientes Consolidado.'!B:B,"Additive")
+SUMIFS('Clientes Consolidado.'!L:L,'Clientes Consolidado.'!C:C,C33,'Clientes Consolidado.'!B:B,"Additive Intl.")</f>
        <v>0</v>
      </c>
      <c r="W33" s="19">
        <f>SUMIFS('Clientes Consolidado.'!M:M,'Clientes Consolidado.'!C:C,C33,'Clientes Consolidado.'!B:B,"Fertilizer")
+SUMIFS('Clientes Consolidado.'!M:M,'Clientes Consolidado.'!C:C,C33,'Clientes Consolidado.'!B:B,"Additive")
+SUMIFS('Clientes Consolidado.'!M:M,'Clientes Consolidado.'!C:C,C33,'Clientes Consolidado.'!B:B,"Additive Intl.")</f>
        <v>0</v>
      </c>
      <c r="X33" s="19">
        <f>SUMIFS('Clientes Consolidado.'!N:N,'Clientes Consolidado.'!C:C,C33,'Clientes Consolidado.'!B:B,"Fertilizer")
+SUMIFS('Clientes Consolidado.'!N:N,'Clientes Consolidado.'!C:C,C33,'Clientes Consolidado.'!B:B,"Additive")
+SUMIFS('Clientes Consolidado.'!N:N,'Clientes Consolidado.'!C:C,C33,'Clientes Consolidado.'!B:B,"Additive Intl.")</f>
        <v>0</v>
      </c>
      <c r="Y33" s="19">
        <f>SUMIFS('Clientes Consolidado.'!O:O,'Clientes Consolidado.'!C:C,C33,'Clientes Consolidado.'!B:B,"Fertilizer")
+SUMIFS('Clientes Consolidado.'!O:O,'Clientes Consolidado.'!C:C,C33,'Clientes Consolidado.'!B:B,"Additive")
+SUMIFS('Clientes Consolidado.'!O:O,'Clientes Consolidado.'!C:C,C33,'Clientes Consolidado.'!B:B,"Additive Intl.")</f>
        <v>0</v>
      </c>
      <c r="Z33" s="19">
        <f>SUMIFS('Clientes Consolidado.'!P:P,'Clientes Consolidado.'!C:C,'Nova Versão '!C33,'Clientes Consolidado.'!B:B,"Fertilizer / Litigation")+SUMIFS('Clientes Consolidado.'!P:P,'Clientes Consolidado.'!C:C,'Nova Versão '!C33,'Clientes Consolidado.'!B:B,"Additive / Litigation")</f>
        <v>0</v>
      </c>
      <c r="AA33" s="94"/>
    </row>
    <row r="34" spans="1:27" x14ac:dyDescent="0.25">
      <c r="A34" s="32"/>
      <c r="B34" s="94" t="str">
        <f>_xlfn.XLOOKUP(C34,Planilha3!A:A,Planilha3!B:B)</f>
        <v>Fertilizer</v>
      </c>
      <c r="C34" s="94" t="s">
        <v>376</v>
      </c>
      <c r="D34" s="19">
        <f>_xlfn.XLOOKUP(C34,'Limite de crédito'!C:C,'Limite de crédito'!G:G,0)</f>
        <v>0</v>
      </c>
      <c r="E34" s="19">
        <f t="shared" si="1"/>
        <v>329327.90999999997</v>
      </c>
      <c r="F34" s="19">
        <f>_xlfn.XLOOKUP('Nova Versão '!C34,'Limite de crédito'!C:C,'Limite de crédito'!O:O,0)</f>
        <v>0</v>
      </c>
      <c r="G34" s="404">
        <f t="shared" si="2"/>
        <v>329327.90999999997</v>
      </c>
      <c r="H34" s="412" t="str">
        <f>_xlfn.XLOOKUP(C34,Planilha3!A:A,Planilha3!C:C)</f>
        <v>Credit without Insurance</v>
      </c>
      <c r="J34" s="19">
        <f t="shared" si="3"/>
        <v>329327.90999999997</v>
      </c>
      <c r="K34" s="19">
        <f>_xlfn.XLOOKUP(C34,'Clientes Consolidado.'!$C:$C,'Clientes Consolidado.'!R:R,0)</f>
        <v>329327.90999999997</v>
      </c>
      <c r="L34" s="19">
        <f>_xlfn.XLOOKUP(C34,'Clientes Consolidado.'!$C:$C,'Clientes Consolidado.'!S:S,0)</f>
        <v>0</v>
      </c>
      <c r="M34" s="19">
        <f>_xlfn.XLOOKUP(C34,'Clientes Consolidado.'!$C:$C,'Clientes Consolidado.'!T:T,0)</f>
        <v>0</v>
      </c>
      <c r="N34" s="19">
        <f>_xlfn.XLOOKUP(C34,'Clientes Consolidado.'!$C:$C,'Clientes Consolidado.'!U:U,0)</f>
        <v>0</v>
      </c>
      <c r="O34" s="19">
        <f>_xlfn.XLOOKUP(C34,'Clientes Consolidado.'!$C:$C,'Clientes Consolidado.'!V:V,0)</f>
        <v>0</v>
      </c>
      <c r="P34" s="19">
        <f>_xlfn.XLOOKUP(C34,'Clientes Consolidado.'!$C:$C,'Clientes Consolidado.'!W:W,0)</f>
        <v>0</v>
      </c>
      <c r="Q34" s="19">
        <f>_xlfn.XLOOKUP(C34,'Clientes Consolidado.'!$C:$C,'Clientes Consolidado.'!X:X,0)</f>
        <v>0</v>
      </c>
      <c r="R34" s="19">
        <f t="shared" si="4"/>
        <v>0</v>
      </c>
      <c r="S34" s="19">
        <f>SUMIFS('Clientes Consolidado.'!I:I,'Clientes Consolidado.'!C:C,C34,'Clientes Consolidado.'!B:B,"Fertilizer")
+SUMIFS('Clientes Consolidado.'!I:I,'Clientes Consolidado.'!C:C,C34,'Clientes Consolidado.'!B:B,"Additive")
+SUMIFS('Clientes Consolidado.'!I:I,'Clientes Consolidado.'!C:C,C34,'Clientes Consolidado.'!B:B,"Additive Intl.")</f>
        <v>0</v>
      </c>
      <c r="T34" s="19">
        <f>SUMIFS('Clientes Consolidado.'!J:J,'Clientes Consolidado.'!C:C,C34,'Clientes Consolidado.'!B:B,"Fertilizer")
+SUMIFS('Clientes Consolidado.'!J:J,'Clientes Consolidado.'!C:C,C34,'Clientes Consolidado.'!B:B,"Additive")
+SUMIFS('Clientes Consolidado.'!J:J,'Clientes Consolidado.'!C:C,C34,'Clientes Consolidado.'!B:B,"Additive Intl.")</f>
        <v>0</v>
      </c>
      <c r="U34" s="19">
        <f>SUMIFS('Clientes Consolidado.'!K:K,'Clientes Consolidado.'!C:C,C34,'Clientes Consolidado.'!B:B,"Fertilizer")
+SUMIFS('Clientes Consolidado.'!K:K,'Clientes Consolidado.'!C:C,C34,'Clientes Consolidado.'!B:B,"Additive")
+SUMIFS('Clientes Consolidado.'!K:K,'Clientes Consolidado.'!C:C,C34,'Clientes Consolidado.'!B:B,"Additive Intl.")</f>
        <v>0</v>
      </c>
      <c r="V34" s="19">
        <f>SUMIFS('Clientes Consolidado.'!L:L,'Clientes Consolidado.'!C:C,C34,'Clientes Consolidado.'!B:B,"Fertilizer")
+SUMIFS('Clientes Consolidado.'!L:L,'Clientes Consolidado.'!C:C,C34,'Clientes Consolidado.'!B:B,"Additive")
+SUMIFS('Clientes Consolidado.'!L:L,'Clientes Consolidado.'!C:C,C34,'Clientes Consolidado.'!B:B,"Additive Intl.")</f>
        <v>0</v>
      </c>
      <c r="W34" s="19">
        <f>SUMIFS('Clientes Consolidado.'!M:M,'Clientes Consolidado.'!C:C,C34,'Clientes Consolidado.'!B:B,"Fertilizer")
+SUMIFS('Clientes Consolidado.'!M:M,'Clientes Consolidado.'!C:C,C34,'Clientes Consolidado.'!B:B,"Additive")
+SUMIFS('Clientes Consolidado.'!M:M,'Clientes Consolidado.'!C:C,C34,'Clientes Consolidado.'!B:B,"Additive Intl.")</f>
        <v>0</v>
      </c>
      <c r="X34" s="19">
        <f>SUMIFS('Clientes Consolidado.'!N:N,'Clientes Consolidado.'!C:C,C34,'Clientes Consolidado.'!B:B,"Fertilizer")
+SUMIFS('Clientes Consolidado.'!N:N,'Clientes Consolidado.'!C:C,C34,'Clientes Consolidado.'!B:B,"Additive")
+SUMIFS('Clientes Consolidado.'!N:N,'Clientes Consolidado.'!C:C,C34,'Clientes Consolidado.'!B:B,"Additive Intl.")</f>
        <v>0</v>
      </c>
      <c r="Y34" s="19">
        <f>SUMIFS('Clientes Consolidado.'!O:O,'Clientes Consolidado.'!C:C,C34,'Clientes Consolidado.'!B:B,"Fertilizer")
+SUMIFS('Clientes Consolidado.'!O:O,'Clientes Consolidado.'!C:C,C34,'Clientes Consolidado.'!B:B,"Additive")
+SUMIFS('Clientes Consolidado.'!O:O,'Clientes Consolidado.'!C:C,C34,'Clientes Consolidado.'!B:B,"Additive Intl.")</f>
        <v>0</v>
      </c>
      <c r="Z34" s="19">
        <f>SUMIFS('Clientes Consolidado.'!P:P,'Clientes Consolidado.'!C:C,'Nova Versão '!C34,'Clientes Consolidado.'!B:B,"Fertilizer / Litigation")+SUMIFS('Clientes Consolidado.'!P:P,'Clientes Consolidado.'!C:C,'Nova Versão '!C34,'Clientes Consolidado.'!B:B,"Additive / Litigation")</f>
        <v>0</v>
      </c>
      <c r="AA34" s="94"/>
    </row>
    <row r="35" spans="1:27" x14ac:dyDescent="0.25">
      <c r="A35" s="32"/>
      <c r="B35" s="94" t="str">
        <f>_xlfn.XLOOKUP(C35,Planilha3!A:A,Planilha3!B:B)</f>
        <v>Fertilizer</v>
      </c>
      <c r="C35" s="94" t="s">
        <v>431</v>
      </c>
      <c r="D35" s="19">
        <f>_xlfn.XLOOKUP(C35,'Limite de crédito'!C:C,'Limite de crédito'!G:G,0)</f>
        <v>1500000</v>
      </c>
      <c r="E35" s="19">
        <f t="shared" ref="E35:E66" si="5">J35+R35+Z35</f>
        <v>306727.12</v>
      </c>
      <c r="F35" s="19">
        <f>_xlfn.XLOOKUP('Nova Versão '!C35,'Limite de crédito'!C:C,'Limite de crédito'!O:O,0)</f>
        <v>1000000</v>
      </c>
      <c r="G35" s="404">
        <f t="shared" ref="G35:G66" si="6">MAX(E35-F35,0)</f>
        <v>0</v>
      </c>
      <c r="H35" s="412" t="str">
        <f>_xlfn.XLOOKUP(C35,Planilha3!A:A,Planilha3!C:C)</f>
        <v>Guarantee or credit + Credit approved based on credit rating</v>
      </c>
      <c r="J35" s="19">
        <f t="shared" ref="J35:J66" si="7">K35+L35+M35+N35+O35+P35+Q35</f>
        <v>306727.12</v>
      </c>
      <c r="K35" s="19">
        <f>_xlfn.XLOOKUP(C35,'Clientes Consolidado.'!$C:$C,'Clientes Consolidado.'!R:R,0)</f>
        <v>306727.12</v>
      </c>
      <c r="L35" s="19">
        <f>_xlfn.XLOOKUP(C35,'Clientes Consolidado.'!$C:$C,'Clientes Consolidado.'!S:S,0)</f>
        <v>0</v>
      </c>
      <c r="M35" s="19">
        <f>_xlfn.XLOOKUP(C35,'Clientes Consolidado.'!$C:$C,'Clientes Consolidado.'!T:T,0)</f>
        <v>0</v>
      </c>
      <c r="N35" s="19">
        <f>_xlfn.XLOOKUP(C35,'Clientes Consolidado.'!$C:$C,'Clientes Consolidado.'!U:U,0)</f>
        <v>0</v>
      </c>
      <c r="O35" s="19">
        <f>_xlfn.XLOOKUP(C35,'Clientes Consolidado.'!$C:$C,'Clientes Consolidado.'!V:V,0)</f>
        <v>0</v>
      </c>
      <c r="P35" s="19">
        <f>_xlfn.XLOOKUP(C35,'Clientes Consolidado.'!$C:$C,'Clientes Consolidado.'!W:W,0)</f>
        <v>0</v>
      </c>
      <c r="Q35" s="19">
        <f>_xlfn.XLOOKUP(C35,'Clientes Consolidado.'!$C:$C,'Clientes Consolidado.'!X:X,0)</f>
        <v>0</v>
      </c>
      <c r="R35" s="19">
        <f t="shared" si="4"/>
        <v>0</v>
      </c>
      <c r="S35" s="19">
        <f>SUMIFS('Clientes Consolidado.'!I:I,'Clientes Consolidado.'!C:C,C35,'Clientes Consolidado.'!B:B,"Fertilizer")
+SUMIFS('Clientes Consolidado.'!I:I,'Clientes Consolidado.'!C:C,C35,'Clientes Consolidado.'!B:B,"Additive")
+SUMIFS('Clientes Consolidado.'!I:I,'Clientes Consolidado.'!C:C,C35,'Clientes Consolidado.'!B:B,"Additive Intl.")</f>
        <v>0</v>
      </c>
      <c r="T35" s="19">
        <f>SUMIFS('Clientes Consolidado.'!J:J,'Clientes Consolidado.'!C:C,C35,'Clientes Consolidado.'!B:B,"Fertilizer")
+SUMIFS('Clientes Consolidado.'!J:J,'Clientes Consolidado.'!C:C,C35,'Clientes Consolidado.'!B:B,"Additive")
+SUMIFS('Clientes Consolidado.'!J:J,'Clientes Consolidado.'!C:C,C35,'Clientes Consolidado.'!B:B,"Additive Intl.")</f>
        <v>0</v>
      </c>
      <c r="U35" s="19">
        <f>SUMIFS('Clientes Consolidado.'!K:K,'Clientes Consolidado.'!C:C,C35,'Clientes Consolidado.'!B:B,"Fertilizer")
+SUMIFS('Clientes Consolidado.'!K:K,'Clientes Consolidado.'!C:C,C35,'Clientes Consolidado.'!B:B,"Additive")
+SUMIFS('Clientes Consolidado.'!K:K,'Clientes Consolidado.'!C:C,C35,'Clientes Consolidado.'!B:B,"Additive Intl.")</f>
        <v>0</v>
      </c>
      <c r="V35" s="19">
        <f>SUMIFS('Clientes Consolidado.'!L:L,'Clientes Consolidado.'!C:C,C35,'Clientes Consolidado.'!B:B,"Fertilizer")
+SUMIFS('Clientes Consolidado.'!L:L,'Clientes Consolidado.'!C:C,C35,'Clientes Consolidado.'!B:B,"Additive")
+SUMIFS('Clientes Consolidado.'!L:L,'Clientes Consolidado.'!C:C,C35,'Clientes Consolidado.'!B:B,"Additive Intl.")</f>
        <v>0</v>
      </c>
      <c r="W35" s="19">
        <f>SUMIFS('Clientes Consolidado.'!M:M,'Clientes Consolidado.'!C:C,C35,'Clientes Consolidado.'!B:B,"Fertilizer")
+SUMIFS('Clientes Consolidado.'!M:M,'Clientes Consolidado.'!C:C,C35,'Clientes Consolidado.'!B:B,"Additive")
+SUMIFS('Clientes Consolidado.'!M:M,'Clientes Consolidado.'!C:C,C35,'Clientes Consolidado.'!B:B,"Additive Intl.")</f>
        <v>0</v>
      </c>
      <c r="X35" s="19">
        <f>SUMIFS('Clientes Consolidado.'!N:N,'Clientes Consolidado.'!C:C,C35,'Clientes Consolidado.'!B:B,"Fertilizer")
+SUMIFS('Clientes Consolidado.'!N:N,'Clientes Consolidado.'!C:C,C35,'Clientes Consolidado.'!B:B,"Additive")
+SUMIFS('Clientes Consolidado.'!N:N,'Clientes Consolidado.'!C:C,C35,'Clientes Consolidado.'!B:B,"Additive Intl.")</f>
        <v>0</v>
      </c>
      <c r="Y35" s="19">
        <f>SUMIFS('Clientes Consolidado.'!O:O,'Clientes Consolidado.'!C:C,C35,'Clientes Consolidado.'!B:B,"Fertilizer")
+SUMIFS('Clientes Consolidado.'!O:O,'Clientes Consolidado.'!C:C,C35,'Clientes Consolidado.'!B:B,"Additive")
+SUMIFS('Clientes Consolidado.'!O:O,'Clientes Consolidado.'!C:C,C35,'Clientes Consolidado.'!B:B,"Additive Intl.")</f>
        <v>0</v>
      </c>
      <c r="Z35" s="19">
        <f>SUMIFS('Clientes Consolidado.'!P:P,'Clientes Consolidado.'!C:C,'Nova Versão '!C35,'Clientes Consolidado.'!B:B,"Fertilizer / Litigation")+SUMIFS('Clientes Consolidado.'!P:P,'Clientes Consolidado.'!C:C,'Nova Versão '!C35,'Clientes Consolidado.'!B:B,"Additive / Litigation")</f>
        <v>0</v>
      </c>
      <c r="AA35" s="94"/>
    </row>
    <row r="36" spans="1:27" x14ac:dyDescent="0.25">
      <c r="A36" s="32"/>
      <c r="B36" s="94" t="str">
        <f>_xlfn.XLOOKUP(C36,Planilha3!A:A,Planilha3!B:B)</f>
        <v>Fertilizer</v>
      </c>
      <c r="C36" s="94" t="s">
        <v>549</v>
      </c>
      <c r="D36" s="19">
        <f>_xlfn.XLOOKUP(C36,'Limite de crédito'!C:C,'Limite de crédito'!G:G,0)</f>
        <v>4000000</v>
      </c>
      <c r="E36" s="19">
        <f t="shared" si="5"/>
        <v>299642.08</v>
      </c>
      <c r="F36" s="19">
        <f>_xlfn.XLOOKUP('Nova Versão '!C36,'Limite de crédito'!C:C,'Limite de crédito'!O:O,0)</f>
        <v>1000000</v>
      </c>
      <c r="G36" s="404">
        <f t="shared" si="6"/>
        <v>0</v>
      </c>
      <c r="H36" s="412" t="str">
        <f>_xlfn.XLOOKUP(C36,Planilha3!A:A,Planilha3!C:C)</f>
        <v>Guarantee or credit + Credit approved based on credit rating</v>
      </c>
      <c r="J36" s="19">
        <f t="shared" si="7"/>
        <v>299642.08</v>
      </c>
      <c r="K36" s="19">
        <f>_xlfn.XLOOKUP(C36,'Clientes Consolidado.'!$C:$C,'Clientes Consolidado.'!R:R,0)</f>
        <v>0</v>
      </c>
      <c r="L36" s="19">
        <f>_xlfn.XLOOKUP(C36,'Clientes Consolidado.'!$C:$C,'Clientes Consolidado.'!S:S,0)</f>
        <v>0</v>
      </c>
      <c r="M36" s="19">
        <f>_xlfn.XLOOKUP(C36,'Clientes Consolidado.'!$C:$C,'Clientes Consolidado.'!T:T,0)</f>
        <v>0</v>
      </c>
      <c r="N36" s="19">
        <f>_xlfn.XLOOKUP(C36,'Clientes Consolidado.'!$C:$C,'Clientes Consolidado.'!U:U,0)</f>
        <v>0</v>
      </c>
      <c r="O36" s="19">
        <f>_xlfn.XLOOKUP(C36,'Clientes Consolidado.'!$C:$C,'Clientes Consolidado.'!V:V,0)</f>
        <v>0</v>
      </c>
      <c r="P36" s="19">
        <f>_xlfn.XLOOKUP(C36,'Clientes Consolidado.'!$C:$C,'Clientes Consolidado.'!W:W,0)</f>
        <v>299642.08</v>
      </c>
      <c r="Q36" s="19">
        <f>_xlfn.XLOOKUP(C36,'Clientes Consolidado.'!$C:$C,'Clientes Consolidado.'!X:X,0)</f>
        <v>0</v>
      </c>
      <c r="R36" s="19">
        <f t="shared" si="4"/>
        <v>0</v>
      </c>
      <c r="S36" s="19">
        <f>SUMIFS('Clientes Consolidado.'!I:I,'Clientes Consolidado.'!C:C,C36,'Clientes Consolidado.'!B:B,"Fertilizer")
+SUMIFS('Clientes Consolidado.'!I:I,'Clientes Consolidado.'!C:C,C36,'Clientes Consolidado.'!B:B,"Additive")
+SUMIFS('Clientes Consolidado.'!I:I,'Clientes Consolidado.'!C:C,C36,'Clientes Consolidado.'!B:B,"Additive Intl.")</f>
        <v>0</v>
      </c>
      <c r="T36" s="19">
        <f>SUMIFS('Clientes Consolidado.'!J:J,'Clientes Consolidado.'!C:C,C36,'Clientes Consolidado.'!B:B,"Fertilizer")
+SUMIFS('Clientes Consolidado.'!J:J,'Clientes Consolidado.'!C:C,C36,'Clientes Consolidado.'!B:B,"Additive")
+SUMIFS('Clientes Consolidado.'!J:J,'Clientes Consolidado.'!C:C,C36,'Clientes Consolidado.'!B:B,"Additive Intl.")</f>
        <v>0</v>
      </c>
      <c r="U36" s="19">
        <f>SUMIFS('Clientes Consolidado.'!K:K,'Clientes Consolidado.'!C:C,C36,'Clientes Consolidado.'!B:B,"Fertilizer")
+SUMIFS('Clientes Consolidado.'!K:K,'Clientes Consolidado.'!C:C,C36,'Clientes Consolidado.'!B:B,"Additive")
+SUMIFS('Clientes Consolidado.'!K:K,'Clientes Consolidado.'!C:C,C36,'Clientes Consolidado.'!B:B,"Additive Intl.")</f>
        <v>0</v>
      </c>
      <c r="V36" s="19">
        <f>SUMIFS('Clientes Consolidado.'!L:L,'Clientes Consolidado.'!C:C,C36,'Clientes Consolidado.'!B:B,"Fertilizer")
+SUMIFS('Clientes Consolidado.'!L:L,'Clientes Consolidado.'!C:C,C36,'Clientes Consolidado.'!B:B,"Additive")
+SUMIFS('Clientes Consolidado.'!L:L,'Clientes Consolidado.'!C:C,C36,'Clientes Consolidado.'!B:B,"Additive Intl.")</f>
        <v>0</v>
      </c>
      <c r="W36" s="19">
        <f>SUMIFS('Clientes Consolidado.'!M:M,'Clientes Consolidado.'!C:C,C36,'Clientes Consolidado.'!B:B,"Fertilizer")
+SUMIFS('Clientes Consolidado.'!M:M,'Clientes Consolidado.'!C:C,C36,'Clientes Consolidado.'!B:B,"Additive")
+SUMIFS('Clientes Consolidado.'!M:M,'Clientes Consolidado.'!C:C,C36,'Clientes Consolidado.'!B:B,"Additive Intl.")</f>
        <v>0</v>
      </c>
      <c r="X36" s="19">
        <f>SUMIFS('Clientes Consolidado.'!N:N,'Clientes Consolidado.'!C:C,C36,'Clientes Consolidado.'!B:B,"Fertilizer")
+SUMIFS('Clientes Consolidado.'!N:N,'Clientes Consolidado.'!C:C,C36,'Clientes Consolidado.'!B:B,"Additive")
+SUMIFS('Clientes Consolidado.'!N:N,'Clientes Consolidado.'!C:C,C36,'Clientes Consolidado.'!B:B,"Additive Intl.")</f>
        <v>0</v>
      </c>
      <c r="Y36" s="19">
        <f>SUMIFS('Clientes Consolidado.'!O:O,'Clientes Consolidado.'!C:C,C36,'Clientes Consolidado.'!B:B,"Fertilizer")
+SUMIFS('Clientes Consolidado.'!O:O,'Clientes Consolidado.'!C:C,C36,'Clientes Consolidado.'!B:B,"Additive")
+SUMIFS('Clientes Consolidado.'!O:O,'Clientes Consolidado.'!C:C,C36,'Clientes Consolidado.'!B:B,"Additive Intl.")</f>
        <v>0</v>
      </c>
      <c r="Z36" s="19">
        <f>SUMIFS('Clientes Consolidado.'!P:P,'Clientes Consolidado.'!C:C,'Nova Versão '!C36,'Clientes Consolidado.'!B:B,"Fertilizer / Litigation")+SUMIFS('Clientes Consolidado.'!P:P,'Clientes Consolidado.'!C:C,'Nova Versão '!C36,'Clientes Consolidado.'!B:B,"Additive / Litigation")</f>
        <v>0</v>
      </c>
      <c r="AA36" s="94"/>
    </row>
    <row r="37" spans="1:27" x14ac:dyDescent="0.25">
      <c r="A37" s="32"/>
      <c r="B37" s="94" t="str">
        <f>_xlfn.XLOOKUP(C37,Planilha3!A:A,Planilha3!B:B)</f>
        <v>Additive</v>
      </c>
      <c r="C37" s="94" t="s">
        <v>721</v>
      </c>
      <c r="D37" s="19">
        <f>_xlfn.XLOOKUP(C37,'Limite de crédito'!C:C,'Limite de crédito'!G:G,0)</f>
        <v>0</v>
      </c>
      <c r="E37" s="19">
        <f t="shared" si="5"/>
        <v>290220</v>
      </c>
      <c r="F37" s="19">
        <f>_xlfn.XLOOKUP('Nova Versão '!C37,'Limite de crédito'!C:C,'Limite de crédito'!O:O,0)</f>
        <v>0</v>
      </c>
      <c r="G37" s="404">
        <f t="shared" si="6"/>
        <v>290220</v>
      </c>
      <c r="H37" s="412" t="str">
        <f>_xlfn.XLOOKUP(C37,Planilha3!A:A,Planilha3!C:C)</f>
        <v>Credit without Insurance</v>
      </c>
      <c r="J37" s="19">
        <f t="shared" si="7"/>
        <v>290220</v>
      </c>
      <c r="K37" s="19">
        <f>_xlfn.XLOOKUP(C37,'Clientes Consolidado.'!$C:$C,'Clientes Consolidado.'!R:R,0)</f>
        <v>290220</v>
      </c>
      <c r="L37" s="19">
        <f>_xlfn.XLOOKUP(C37,'Clientes Consolidado.'!$C:$C,'Clientes Consolidado.'!S:S,0)</f>
        <v>0</v>
      </c>
      <c r="M37" s="19">
        <f>_xlfn.XLOOKUP(C37,'Clientes Consolidado.'!$C:$C,'Clientes Consolidado.'!T:T,0)</f>
        <v>0</v>
      </c>
      <c r="N37" s="19">
        <f>_xlfn.XLOOKUP(C37,'Clientes Consolidado.'!$C:$C,'Clientes Consolidado.'!U:U,0)</f>
        <v>0</v>
      </c>
      <c r="O37" s="19">
        <f>_xlfn.XLOOKUP(C37,'Clientes Consolidado.'!$C:$C,'Clientes Consolidado.'!V:V,0)</f>
        <v>0</v>
      </c>
      <c r="P37" s="19">
        <f>_xlfn.XLOOKUP(C37,'Clientes Consolidado.'!$C:$C,'Clientes Consolidado.'!W:W,0)</f>
        <v>0</v>
      </c>
      <c r="Q37" s="19">
        <f>_xlfn.XLOOKUP(C37,'Clientes Consolidado.'!$C:$C,'Clientes Consolidado.'!X:X,0)</f>
        <v>0</v>
      </c>
      <c r="R37" s="19">
        <f t="shared" si="4"/>
        <v>0</v>
      </c>
      <c r="S37" s="19">
        <f>SUMIFS('Clientes Consolidado.'!I:I,'Clientes Consolidado.'!C:C,C37,'Clientes Consolidado.'!B:B,"Fertilizer")
+SUMIFS('Clientes Consolidado.'!I:I,'Clientes Consolidado.'!C:C,C37,'Clientes Consolidado.'!B:B,"Additive")
+SUMIFS('Clientes Consolidado.'!I:I,'Clientes Consolidado.'!C:C,C37,'Clientes Consolidado.'!B:B,"Additive Intl.")</f>
        <v>0</v>
      </c>
      <c r="T37" s="19">
        <f>SUMIFS('Clientes Consolidado.'!J:J,'Clientes Consolidado.'!C:C,C37,'Clientes Consolidado.'!B:B,"Fertilizer")
+SUMIFS('Clientes Consolidado.'!J:J,'Clientes Consolidado.'!C:C,C37,'Clientes Consolidado.'!B:B,"Additive")
+SUMIFS('Clientes Consolidado.'!J:J,'Clientes Consolidado.'!C:C,C37,'Clientes Consolidado.'!B:B,"Additive Intl.")</f>
        <v>0</v>
      </c>
      <c r="U37" s="19">
        <f>SUMIFS('Clientes Consolidado.'!K:K,'Clientes Consolidado.'!C:C,C37,'Clientes Consolidado.'!B:B,"Fertilizer")
+SUMIFS('Clientes Consolidado.'!K:K,'Clientes Consolidado.'!C:C,C37,'Clientes Consolidado.'!B:B,"Additive")
+SUMIFS('Clientes Consolidado.'!K:K,'Clientes Consolidado.'!C:C,C37,'Clientes Consolidado.'!B:B,"Additive Intl.")</f>
        <v>0</v>
      </c>
      <c r="V37" s="19">
        <f>SUMIFS('Clientes Consolidado.'!L:L,'Clientes Consolidado.'!C:C,C37,'Clientes Consolidado.'!B:B,"Fertilizer")
+SUMIFS('Clientes Consolidado.'!L:L,'Clientes Consolidado.'!C:C,C37,'Clientes Consolidado.'!B:B,"Additive")
+SUMIFS('Clientes Consolidado.'!L:L,'Clientes Consolidado.'!C:C,C37,'Clientes Consolidado.'!B:B,"Additive Intl.")</f>
        <v>0</v>
      </c>
      <c r="W37" s="19">
        <f>SUMIFS('Clientes Consolidado.'!M:M,'Clientes Consolidado.'!C:C,C37,'Clientes Consolidado.'!B:B,"Fertilizer")
+SUMIFS('Clientes Consolidado.'!M:M,'Clientes Consolidado.'!C:C,C37,'Clientes Consolidado.'!B:B,"Additive")
+SUMIFS('Clientes Consolidado.'!M:M,'Clientes Consolidado.'!C:C,C37,'Clientes Consolidado.'!B:B,"Additive Intl.")</f>
        <v>0</v>
      </c>
      <c r="X37" s="19">
        <f>SUMIFS('Clientes Consolidado.'!N:N,'Clientes Consolidado.'!C:C,C37,'Clientes Consolidado.'!B:B,"Fertilizer")
+SUMIFS('Clientes Consolidado.'!N:N,'Clientes Consolidado.'!C:C,C37,'Clientes Consolidado.'!B:B,"Additive")
+SUMIFS('Clientes Consolidado.'!N:N,'Clientes Consolidado.'!C:C,C37,'Clientes Consolidado.'!B:B,"Additive Intl.")</f>
        <v>0</v>
      </c>
      <c r="Y37" s="19">
        <f>SUMIFS('Clientes Consolidado.'!O:O,'Clientes Consolidado.'!C:C,C37,'Clientes Consolidado.'!B:B,"Fertilizer")
+SUMIFS('Clientes Consolidado.'!O:O,'Clientes Consolidado.'!C:C,C37,'Clientes Consolidado.'!B:B,"Additive")
+SUMIFS('Clientes Consolidado.'!O:O,'Clientes Consolidado.'!C:C,C37,'Clientes Consolidado.'!B:B,"Additive Intl.")</f>
        <v>0</v>
      </c>
      <c r="Z37" s="19">
        <f>SUMIFS('Clientes Consolidado.'!P:P,'Clientes Consolidado.'!C:C,'Nova Versão '!C37,'Clientes Consolidado.'!B:B,"Fertilizer / Litigation")+SUMIFS('Clientes Consolidado.'!P:P,'Clientes Consolidado.'!C:C,'Nova Versão '!C37,'Clientes Consolidado.'!B:B,"Additive / Litigation")</f>
        <v>0</v>
      </c>
      <c r="AA37" s="94"/>
    </row>
    <row r="38" spans="1:27" x14ac:dyDescent="0.25">
      <c r="A38" s="32"/>
      <c r="B38" s="94" t="str">
        <f>_xlfn.XLOOKUP(C38,Planilha3!A:A,Planilha3!B:B)</f>
        <v>Additive Intl.</v>
      </c>
      <c r="C38" s="94" t="s">
        <v>381</v>
      </c>
      <c r="D38" s="19">
        <f>_xlfn.XLOOKUP(C38,'Limite de crédito'!C:C,'Limite de crédito'!G:G,0)</f>
        <v>990000</v>
      </c>
      <c r="E38" s="19">
        <f t="shared" si="5"/>
        <v>262313.01</v>
      </c>
      <c r="F38" s="19">
        <f>_xlfn.XLOOKUP('Nova Versão '!C38,'Limite de crédito'!C:C,'Limite de crédito'!O:O,0)</f>
        <v>990000</v>
      </c>
      <c r="G38" s="404">
        <f t="shared" si="6"/>
        <v>0</v>
      </c>
      <c r="H38" s="412" t="str">
        <f>_xlfn.XLOOKUP(C38,Planilha3!A:A,Planilha3!C:C)</f>
        <v>Guarantee or credit</v>
      </c>
      <c r="J38" s="19">
        <f t="shared" si="7"/>
        <v>262313.01</v>
      </c>
      <c r="K38" s="19">
        <f>_xlfn.XLOOKUP(C38,'Clientes Consolidado.'!$C:$C,'Clientes Consolidado.'!R:R,0)</f>
        <v>262313.01</v>
      </c>
      <c r="L38" s="19">
        <f>_xlfn.XLOOKUP(C38,'Clientes Consolidado.'!$C:$C,'Clientes Consolidado.'!S:S,0)</f>
        <v>0</v>
      </c>
      <c r="M38" s="19">
        <f>_xlfn.XLOOKUP(C38,'Clientes Consolidado.'!$C:$C,'Clientes Consolidado.'!T:T,0)</f>
        <v>0</v>
      </c>
      <c r="N38" s="19">
        <f>_xlfn.XLOOKUP(C38,'Clientes Consolidado.'!$C:$C,'Clientes Consolidado.'!U:U,0)</f>
        <v>0</v>
      </c>
      <c r="O38" s="19">
        <f>_xlfn.XLOOKUP(C38,'Clientes Consolidado.'!$C:$C,'Clientes Consolidado.'!V:V,0)</f>
        <v>0</v>
      </c>
      <c r="P38" s="19">
        <f>_xlfn.XLOOKUP(C38,'Clientes Consolidado.'!$C:$C,'Clientes Consolidado.'!W:W,0)</f>
        <v>0</v>
      </c>
      <c r="Q38" s="19">
        <f>_xlfn.XLOOKUP(C38,'Clientes Consolidado.'!$C:$C,'Clientes Consolidado.'!X:X,0)</f>
        <v>0</v>
      </c>
      <c r="R38" s="19">
        <f t="shared" si="4"/>
        <v>0</v>
      </c>
      <c r="S38" s="19">
        <f>SUMIFS('Clientes Consolidado.'!I:I,'Clientes Consolidado.'!C:C,C38,'Clientes Consolidado.'!B:B,"Fertilizer")
+SUMIFS('Clientes Consolidado.'!I:I,'Clientes Consolidado.'!C:C,C38,'Clientes Consolidado.'!B:B,"Additive")
+SUMIFS('Clientes Consolidado.'!I:I,'Clientes Consolidado.'!C:C,C38,'Clientes Consolidado.'!B:B,"Additive Intl.")</f>
        <v>0</v>
      </c>
      <c r="T38" s="19">
        <f>SUMIFS('Clientes Consolidado.'!J:J,'Clientes Consolidado.'!C:C,C38,'Clientes Consolidado.'!B:B,"Fertilizer")
+SUMIFS('Clientes Consolidado.'!J:J,'Clientes Consolidado.'!C:C,C38,'Clientes Consolidado.'!B:B,"Additive")
+SUMIFS('Clientes Consolidado.'!J:J,'Clientes Consolidado.'!C:C,C38,'Clientes Consolidado.'!B:B,"Additive Intl.")</f>
        <v>0</v>
      </c>
      <c r="U38" s="19">
        <f>SUMIFS('Clientes Consolidado.'!K:K,'Clientes Consolidado.'!C:C,C38,'Clientes Consolidado.'!B:B,"Fertilizer")
+SUMIFS('Clientes Consolidado.'!K:K,'Clientes Consolidado.'!C:C,C38,'Clientes Consolidado.'!B:B,"Additive")
+SUMIFS('Clientes Consolidado.'!K:K,'Clientes Consolidado.'!C:C,C38,'Clientes Consolidado.'!B:B,"Additive Intl.")</f>
        <v>0</v>
      </c>
      <c r="V38" s="19">
        <f>SUMIFS('Clientes Consolidado.'!L:L,'Clientes Consolidado.'!C:C,C38,'Clientes Consolidado.'!B:B,"Fertilizer")
+SUMIFS('Clientes Consolidado.'!L:L,'Clientes Consolidado.'!C:C,C38,'Clientes Consolidado.'!B:B,"Additive")
+SUMIFS('Clientes Consolidado.'!L:L,'Clientes Consolidado.'!C:C,C38,'Clientes Consolidado.'!B:B,"Additive Intl.")</f>
        <v>0</v>
      </c>
      <c r="W38" s="19">
        <f>SUMIFS('Clientes Consolidado.'!M:M,'Clientes Consolidado.'!C:C,C38,'Clientes Consolidado.'!B:B,"Fertilizer")
+SUMIFS('Clientes Consolidado.'!M:M,'Clientes Consolidado.'!C:C,C38,'Clientes Consolidado.'!B:B,"Additive")
+SUMIFS('Clientes Consolidado.'!M:M,'Clientes Consolidado.'!C:C,C38,'Clientes Consolidado.'!B:B,"Additive Intl.")</f>
        <v>0</v>
      </c>
      <c r="X38" s="19">
        <f>SUMIFS('Clientes Consolidado.'!N:N,'Clientes Consolidado.'!C:C,C38,'Clientes Consolidado.'!B:B,"Fertilizer")
+SUMIFS('Clientes Consolidado.'!N:N,'Clientes Consolidado.'!C:C,C38,'Clientes Consolidado.'!B:B,"Additive")
+SUMIFS('Clientes Consolidado.'!N:N,'Clientes Consolidado.'!C:C,C38,'Clientes Consolidado.'!B:B,"Additive Intl.")</f>
        <v>0</v>
      </c>
      <c r="Y38" s="19">
        <f>SUMIFS('Clientes Consolidado.'!O:O,'Clientes Consolidado.'!C:C,C38,'Clientes Consolidado.'!B:B,"Fertilizer")
+SUMIFS('Clientes Consolidado.'!O:O,'Clientes Consolidado.'!C:C,C38,'Clientes Consolidado.'!B:B,"Additive")
+SUMIFS('Clientes Consolidado.'!O:O,'Clientes Consolidado.'!C:C,C38,'Clientes Consolidado.'!B:B,"Additive Intl.")</f>
        <v>0</v>
      </c>
      <c r="Z38" s="19">
        <f>SUMIFS('Clientes Consolidado.'!P:P,'Clientes Consolidado.'!C:C,'Nova Versão '!C38,'Clientes Consolidado.'!B:B,"Fertilizer / Litigation")+SUMIFS('Clientes Consolidado.'!P:P,'Clientes Consolidado.'!C:C,'Nova Versão '!C38,'Clientes Consolidado.'!B:B,"Additive / Litigation")</f>
        <v>0</v>
      </c>
      <c r="AA38" s="94"/>
    </row>
    <row r="39" spans="1:27" x14ac:dyDescent="0.25">
      <c r="A39" s="32"/>
      <c r="B39" s="94" t="str">
        <f>_xlfn.XLOOKUP(C39,Planilha3!A:A,Planilha3!B:B)</f>
        <v>Additive Intl.</v>
      </c>
      <c r="C39" s="94" t="s">
        <v>402</v>
      </c>
      <c r="D39" s="19">
        <f>_xlfn.XLOOKUP(C39,'Limite de crédito'!C:C,'Limite de crédito'!G:G,0)</f>
        <v>660000</v>
      </c>
      <c r="E39" s="19">
        <f t="shared" si="5"/>
        <v>250261.53</v>
      </c>
      <c r="F39" s="19">
        <f>_xlfn.XLOOKUP('Nova Versão '!C39,'Limite de crédito'!C:C,'Limite de crédito'!O:O,0)</f>
        <v>660000</v>
      </c>
      <c r="G39" s="404">
        <f t="shared" si="6"/>
        <v>0</v>
      </c>
      <c r="H39" s="412" t="str">
        <f>_xlfn.XLOOKUP(C39,Planilha3!A:A,Planilha3!C:C)</f>
        <v>Guarantee or credit</v>
      </c>
      <c r="J39" s="19">
        <f t="shared" si="7"/>
        <v>250261.53</v>
      </c>
      <c r="K39" s="19">
        <f>_xlfn.XLOOKUP(C39,'Clientes Consolidado.'!$C:$C,'Clientes Consolidado.'!R:R,0)</f>
        <v>0</v>
      </c>
      <c r="L39" s="19">
        <f>_xlfn.XLOOKUP(C39,'Clientes Consolidado.'!$C:$C,'Clientes Consolidado.'!S:S,0)</f>
        <v>250261.53</v>
      </c>
      <c r="M39" s="19">
        <f>_xlfn.XLOOKUP(C39,'Clientes Consolidado.'!$C:$C,'Clientes Consolidado.'!T:T,0)</f>
        <v>0</v>
      </c>
      <c r="N39" s="19">
        <f>_xlfn.XLOOKUP(C39,'Clientes Consolidado.'!$C:$C,'Clientes Consolidado.'!U:U,0)</f>
        <v>0</v>
      </c>
      <c r="O39" s="19">
        <f>_xlfn.XLOOKUP(C39,'Clientes Consolidado.'!$C:$C,'Clientes Consolidado.'!V:V,0)</f>
        <v>0</v>
      </c>
      <c r="P39" s="19">
        <f>_xlfn.XLOOKUP(C39,'Clientes Consolidado.'!$C:$C,'Clientes Consolidado.'!W:W,0)</f>
        <v>0</v>
      </c>
      <c r="Q39" s="19">
        <f>_xlfn.XLOOKUP(C39,'Clientes Consolidado.'!$C:$C,'Clientes Consolidado.'!X:X,0)</f>
        <v>0</v>
      </c>
      <c r="R39" s="19">
        <f t="shared" si="4"/>
        <v>0</v>
      </c>
      <c r="S39" s="19">
        <f>SUMIFS('Clientes Consolidado.'!I:I,'Clientes Consolidado.'!C:C,C39,'Clientes Consolidado.'!B:B,"Fertilizer")
+SUMIFS('Clientes Consolidado.'!I:I,'Clientes Consolidado.'!C:C,C39,'Clientes Consolidado.'!B:B,"Additive")
+SUMIFS('Clientes Consolidado.'!I:I,'Clientes Consolidado.'!C:C,C39,'Clientes Consolidado.'!B:B,"Additive Intl.")</f>
        <v>0</v>
      </c>
      <c r="T39" s="19">
        <f>SUMIFS('Clientes Consolidado.'!J:J,'Clientes Consolidado.'!C:C,C39,'Clientes Consolidado.'!B:B,"Fertilizer")
+SUMIFS('Clientes Consolidado.'!J:J,'Clientes Consolidado.'!C:C,C39,'Clientes Consolidado.'!B:B,"Additive")
+SUMIFS('Clientes Consolidado.'!J:J,'Clientes Consolidado.'!C:C,C39,'Clientes Consolidado.'!B:B,"Additive Intl.")</f>
        <v>0</v>
      </c>
      <c r="U39" s="19">
        <f>SUMIFS('Clientes Consolidado.'!K:K,'Clientes Consolidado.'!C:C,C39,'Clientes Consolidado.'!B:B,"Fertilizer")
+SUMIFS('Clientes Consolidado.'!K:K,'Clientes Consolidado.'!C:C,C39,'Clientes Consolidado.'!B:B,"Additive")
+SUMIFS('Clientes Consolidado.'!K:K,'Clientes Consolidado.'!C:C,C39,'Clientes Consolidado.'!B:B,"Additive Intl.")</f>
        <v>0</v>
      </c>
      <c r="V39" s="19">
        <f>SUMIFS('Clientes Consolidado.'!L:L,'Clientes Consolidado.'!C:C,C39,'Clientes Consolidado.'!B:B,"Fertilizer")
+SUMIFS('Clientes Consolidado.'!L:L,'Clientes Consolidado.'!C:C,C39,'Clientes Consolidado.'!B:B,"Additive")
+SUMIFS('Clientes Consolidado.'!L:L,'Clientes Consolidado.'!C:C,C39,'Clientes Consolidado.'!B:B,"Additive Intl.")</f>
        <v>0</v>
      </c>
      <c r="W39" s="19">
        <f>SUMIFS('Clientes Consolidado.'!M:M,'Clientes Consolidado.'!C:C,C39,'Clientes Consolidado.'!B:B,"Fertilizer")
+SUMIFS('Clientes Consolidado.'!M:M,'Clientes Consolidado.'!C:C,C39,'Clientes Consolidado.'!B:B,"Additive")
+SUMIFS('Clientes Consolidado.'!M:M,'Clientes Consolidado.'!C:C,C39,'Clientes Consolidado.'!B:B,"Additive Intl.")</f>
        <v>0</v>
      </c>
      <c r="X39" s="19">
        <f>SUMIFS('Clientes Consolidado.'!N:N,'Clientes Consolidado.'!C:C,C39,'Clientes Consolidado.'!B:B,"Fertilizer")
+SUMIFS('Clientes Consolidado.'!N:N,'Clientes Consolidado.'!C:C,C39,'Clientes Consolidado.'!B:B,"Additive")
+SUMIFS('Clientes Consolidado.'!N:N,'Clientes Consolidado.'!C:C,C39,'Clientes Consolidado.'!B:B,"Additive Intl.")</f>
        <v>0</v>
      </c>
      <c r="Y39" s="19">
        <f>SUMIFS('Clientes Consolidado.'!O:O,'Clientes Consolidado.'!C:C,C39,'Clientes Consolidado.'!B:B,"Fertilizer")
+SUMIFS('Clientes Consolidado.'!O:O,'Clientes Consolidado.'!C:C,C39,'Clientes Consolidado.'!B:B,"Additive")
+SUMIFS('Clientes Consolidado.'!O:O,'Clientes Consolidado.'!C:C,C39,'Clientes Consolidado.'!B:B,"Additive Intl.")</f>
        <v>0</v>
      </c>
      <c r="Z39" s="19">
        <f>SUMIFS('Clientes Consolidado.'!P:P,'Clientes Consolidado.'!C:C,'Nova Versão '!C39,'Clientes Consolidado.'!B:B,"Fertilizer / Litigation")+SUMIFS('Clientes Consolidado.'!P:P,'Clientes Consolidado.'!C:C,'Nova Versão '!C39,'Clientes Consolidado.'!B:B,"Additive / Litigation")</f>
        <v>0</v>
      </c>
      <c r="AA39" s="94"/>
    </row>
    <row r="40" spans="1:27" x14ac:dyDescent="0.25">
      <c r="A40" s="32"/>
      <c r="B40" s="94" t="str">
        <f>_xlfn.XLOOKUP(C40,Planilha3!A:A,Planilha3!B:B)</f>
        <v>Additive</v>
      </c>
      <c r="C40" s="94" t="s">
        <v>526</v>
      </c>
      <c r="D40" s="19">
        <f>_xlfn.XLOOKUP(C40,'Limite de crédito'!C:C,'Limite de crédito'!G:G,0)</f>
        <v>0</v>
      </c>
      <c r="E40" s="19">
        <f t="shared" si="5"/>
        <v>248897.61</v>
      </c>
      <c r="F40" s="19">
        <f>_xlfn.XLOOKUP('Nova Versão '!C40,'Limite de crédito'!C:C,'Limite de crédito'!O:O,0)</f>
        <v>0</v>
      </c>
      <c r="G40" s="404">
        <f t="shared" si="6"/>
        <v>248897.61</v>
      </c>
      <c r="H40" s="412" t="str">
        <f>_xlfn.XLOOKUP(C40,Planilha3!A:A,Planilha3!C:C)</f>
        <v>Credit without Insurance</v>
      </c>
      <c r="J40" s="19">
        <f t="shared" si="7"/>
        <v>248897.61</v>
      </c>
      <c r="K40" s="19">
        <f>_xlfn.XLOOKUP(C40,'Clientes Consolidado.'!$C:$C,'Clientes Consolidado.'!R:R,0)</f>
        <v>152127.6</v>
      </c>
      <c r="L40" s="19">
        <f>_xlfn.XLOOKUP(C40,'Clientes Consolidado.'!$C:$C,'Clientes Consolidado.'!S:S,0)</f>
        <v>0</v>
      </c>
      <c r="M40" s="19">
        <f>_xlfn.XLOOKUP(C40,'Clientes Consolidado.'!$C:$C,'Clientes Consolidado.'!T:T,0)</f>
        <v>0</v>
      </c>
      <c r="N40" s="19">
        <f>_xlfn.XLOOKUP(C40,'Clientes Consolidado.'!$C:$C,'Clientes Consolidado.'!U:U,0)</f>
        <v>0</v>
      </c>
      <c r="O40" s="19">
        <f>_xlfn.XLOOKUP(C40,'Clientes Consolidado.'!$C:$C,'Clientes Consolidado.'!V:V,0)</f>
        <v>0</v>
      </c>
      <c r="P40" s="19">
        <f>_xlfn.XLOOKUP(C40,'Clientes Consolidado.'!$C:$C,'Clientes Consolidado.'!W:W,0)</f>
        <v>0</v>
      </c>
      <c r="Q40" s="19">
        <f>_xlfn.XLOOKUP(C40,'Clientes Consolidado.'!$C:$C,'Clientes Consolidado.'!X:X,0)</f>
        <v>96770.01</v>
      </c>
      <c r="R40" s="19">
        <f t="shared" si="4"/>
        <v>0</v>
      </c>
      <c r="S40" s="19">
        <f>SUMIFS('Clientes Consolidado.'!I:I,'Clientes Consolidado.'!C:C,C40,'Clientes Consolidado.'!B:B,"Fertilizer")
+SUMIFS('Clientes Consolidado.'!I:I,'Clientes Consolidado.'!C:C,C40,'Clientes Consolidado.'!B:B,"Additive")
+SUMIFS('Clientes Consolidado.'!I:I,'Clientes Consolidado.'!C:C,C40,'Clientes Consolidado.'!B:B,"Additive Intl.")</f>
        <v>0</v>
      </c>
      <c r="T40" s="19">
        <f>SUMIFS('Clientes Consolidado.'!J:J,'Clientes Consolidado.'!C:C,C40,'Clientes Consolidado.'!B:B,"Fertilizer")
+SUMIFS('Clientes Consolidado.'!J:J,'Clientes Consolidado.'!C:C,C40,'Clientes Consolidado.'!B:B,"Additive")
+SUMIFS('Clientes Consolidado.'!J:J,'Clientes Consolidado.'!C:C,C40,'Clientes Consolidado.'!B:B,"Additive Intl.")</f>
        <v>0</v>
      </c>
      <c r="U40" s="19">
        <f>SUMIFS('Clientes Consolidado.'!K:K,'Clientes Consolidado.'!C:C,C40,'Clientes Consolidado.'!B:B,"Fertilizer")
+SUMIFS('Clientes Consolidado.'!K:K,'Clientes Consolidado.'!C:C,C40,'Clientes Consolidado.'!B:B,"Additive")
+SUMIFS('Clientes Consolidado.'!K:K,'Clientes Consolidado.'!C:C,C40,'Clientes Consolidado.'!B:B,"Additive Intl.")</f>
        <v>0</v>
      </c>
      <c r="V40" s="19">
        <f>SUMIFS('Clientes Consolidado.'!L:L,'Clientes Consolidado.'!C:C,C40,'Clientes Consolidado.'!B:B,"Fertilizer")
+SUMIFS('Clientes Consolidado.'!L:L,'Clientes Consolidado.'!C:C,C40,'Clientes Consolidado.'!B:B,"Additive")
+SUMIFS('Clientes Consolidado.'!L:L,'Clientes Consolidado.'!C:C,C40,'Clientes Consolidado.'!B:B,"Additive Intl.")</f>
        <v>0</v>
      </c>
      <c r="W40" s="19">
        <f>SUMIFS('Clientes Consolidado.'!M:M,'Clientes Consolidado.'!C:C,C40,'Clientes Consolidado.'!B:B,"Fertilizer")
+SUMIFS('Clientes Consolidado.'!M:M,'Clientes Consolidado.'!C:C,C40,'Clientes Consolidado.'!B:B,"Additive")
+SUMIFS('Clientes Consolidado.'!M:M,'Clientes Consolidado.'!C:C,C40,'Clientes Consolidado.'!B:B,"Additive Intl.")</f>
        <v>0</v>
      </c>
      <c r="X40" s="19">
        <f>SUMIFS('Clientes Consolidado.'!N:N,'Clientes Consolidado.'!C:C,C40,'Clientes Consolidado.'!B:B,"Fertilizer")
+SUMIFS('Clientes Consolidado.'!N:N,'Clientes Consolidado.'!C:C,C40,'Clientes Consolidado.'!B:B,"Additive")
+SUMIFS('Clientes Consolidado.'!N:N,'Clientes Consolidado.'!C:C,C40,'Clientes Consolidado.'!B:B,"Additive Intl.")</f>
        <v>0</v>
      </c>
      <c r="Y40" s="19">
        <f>SUMIFS('Clientes Consolidado.'!O:O,'Clientes Consolidado.'!C:C,C40,'Clientes Consolidado.'!B:B,"Fertilizer")
+SUMIFS('Clientes Consolidado.'!O:O,'Clientes Consolidado.'!C:C,C40,'Clientes Consolidado.'!B:B,"Additive")
+SUMIFS('Clientes Consolidado.'!O:O,'Clientes Consolidado.'!C:C,C40,'Clientes Consolidado.'!B:B,"Additive Intl.")</f>
        <v>0</v>
      </c>
      <c r="Z40" s="19">
        <f>SUMIFS('Clientes Consolidado.'!P:P,'Clientes Consolidado.'!C:C,'Nova Versão '!C40,'Clientes Consolidado.'!B:B,"Fertilizer / Litigation")+SUMIFS('Clientes Consolidado.'!P:P,'Clientes Consolidado.'!C:C,'Nova Versão '!C40,'Clientes Consolidado.'!B:B,"Additive / Litigation")</f>
        <v>0</v>
      </c>
      <c r="AA40" s="94"/>
    </row>
    <row r="41" spans="1:27" x14ac:dyDescent="0.25">
      <c r="A41" s="32"/>
      <c r="B41" s="94" t="str">
        <f>_xlfn.XLOOKUP(C41,Planilha3!A:A,Planilha3!B:B)</f>
        <v>Additive</v>
      </c>
      <c r="C41" s="94" t="s">
        <v>729</v>
      </c>
      <c r="D41" s="19">
        <f>_xlfn.XLOOKUP(C41,'Limite de crédito'!C:C,'Limite de crédito'!G:G,0)</f>
        <v>850000</v>
      </c>
      <c r="E41" s="19">
        <f t="shared" si="5"/>
        <v>244032</v>
      </c>
      <c r="F41" s="19">
        <f>_xlfn.XLOOKUP('Nova Versão '!C41,'Limite de crédito'!C:C,'Limite de crédito'!O:O,0)</f>
        <v>850000</v>
      </c>
      <c r="G41" s="404">
        <f t="shared" si="6"/>
        <v>0</v>
      </c>
      <c r="H41" s="412" t="str">
        <f>_xlfn.XLOOKUP(C41,Planilha3!A:A,Planilha3!C:C)</f>
        <v>Guarantee or credit</v>
      </c>
      <c r="J41" s="19">
        <f t="shared" si="7"/>
        <v>244032</v>
      </c>
      <c r="K41" s="19">
        <f>_xlfn.XLOOKUP(C41,'Clientes Consolidado.'!$C:$C,'Clientes Consolidado.'!R:R,0)</f>
        <v>121852</v>
      </c>
      <c r="L41" s="19">
        <f>_xlfn.XLOOKUP(C41,'Clientes Consolidado.'!$C:$C,'Clientes Consolidado.'!S:S,0)</f>
        <v>122180</v>
      </c>
      <c r="M41" s="19">
        <f>_xlfn.XLOOKUP(C41,'Clientes Consolidado.'!$C:$C,'Clientes Consolidado.'!T:T,0)</f>
        <v>0</v>
      </c>
      <c r="N41" s="19">
        <f>_xlfn.XLOOKUP(C41,'Clientes Consolidado.'!$C:$C,'Clientes Consolidado.'!U:U,0)</f>
        <v>0</v>
      </c>
      <c r="O41" s="19">
        <f>_xlfn.XLOOKUP(C41,'Clientes Consolidado.'!$C:$C,'Clientes Consolidado.'!V:V,0)</f>
        <v>0</v>
      </c>
      <c r="P41" s="19">
        <f>_xlfn.XLOOKUP(C41,'Clientes Consolidado.'!$C:$C,'Clientes Consolidado.'!W:W,0)</f>
        <v>0</v>
      </c>
      <c r="Q41" s="19">
        <f>_xlfn.XLOOKUP(C41,'Clientes Consolidado.'!$C:$C,'Clientes Consolidado.'!X:X,0)</f>
        <v>0</v>
      </c>
      <c r="R41" s="19">
        <f t="shared" si="4"/>
        <v>0</v>
      </c>
      <c r="S41" s="19">
        <f>SUMIFS('Clientes Consolidado.'!I:I,'Clientes Consolidado.'!C:C,C41,'Clientes Consolidado.'!B:B,"Fertilizer")
+SUMIFS('Clientes Consolidado.'!I:I,'Clientes Consolidado.'!C:C,C41,'Clientes Consolidado.'!B:B,"Additive")
+SUMIFS('Clientes Consolidado.'!I:I,'Clientes Consolidado.'!C:C,C41,'Clientes Consolidado.'!B:B,"Additive Intl.")</f>
        <v>0</v>
      </c>
      <c r="T41" s="19">
        <f>SUMIFS('Clientes Consolidado.'!J:J,'Clientes Consolidado.'!C:C,C41,'Clientes Consolidado.'!B:B,"Fertilizer")
+SUMIFS('Clientes Consolidado.'!J:J,'Clientes Consolidado.'!C:C,C41,'Clientes Consolidado.'!B:B,"Additive")
+SUMIFS('Clientes Consolidado.'!J:J,'Clientes Consolidado.'!C:C,C41,'Clientes Consolidado.'!B:B,"Additive Intl.")</f>
        <v>0</v>
      </c>
      <c r="U41" s="19">
        <f>SUMIFS('Clientes Consolidado.'!K:K,'Clientes Consolidado.'!C:C,C41,'Clientes Consolidado.'!B:B,"Fertilizer")
+SUMIFS('Clientes Consolidado.'!K:K,'Clientes Consolidado.'!C:C,C41,'Clientes Consolidado.'!B:B,"Additive")
+SUMIFS('Clientes Consolidado.'!K:K,'Clientes Consolidado.'!C:C,C41,'Clientes Consolidado.'!B:B,"Additive Intl.")</f>
        <v>0</v>
      </c>
      <c r="V41" s="19">
        <f>SUMIFS('Clientes Consolidado.'!L:L,'Clientes Consolidado.'!C:C,C41,'Clientes Consolidado.'!B:B,"Fertilizer")
+SUMIFS('Clientes Consolidado.'!L:L,'Clientes Consolidado.'!C:C,C41,'Clientes Consolidado.'!B:B,"Additive")
+SUMIFS('Clientes Consolidado.'!L:L,'Clientes Consolidado.'!C:C,C41,'Clientes Consolidado.'!B:B,"Additive Intl.")</f>
        <v>0</v>
      </c>
      <c r="W41" s="19">
        <f>SUMIFS('Clientes Consolidado.'!M:M,'Clientes Consolidado.'!C:C,C41,'Clientes Consolidado.'!B:B,"Fertilizer")
+SUMIFS('Clientes Consolidado.'!M:M,'Clientes Consolidado.'!C:C,C41,'Clientes Consolidado.'!B:B,"Additive")
+SUMIFS('Clientes Consolidado.'!M:M,'Clientes Consolidado.'!C:C,C41,'Clientes Consolidado.'!B:B,"Additive Intl.")</f>
        <v>0</v>
      </c>
      <c r="X41" s="19">
        <f>SUMIFS('Clientes Consolidado.'!N:N,'Clientes Consolidado.'!C:C,C41,'Clientes Consolidado.'!B:B,"Fertilizer")
+SUMIFS('Clientes Consolidado.'!N:N,'Clientes Consolidado.'!C:C,C41,'Clientes Consolidado.'!B:B,"Additive")
+SUMIFS('Clientes Consolidado.'!N:N,'Clientes Consolidado.'!C:C,C41,'Clientes Consolidado.'!B:B,"Additive Intl.")</f>
        <v>0</v>
      </c>
      <c r="Y41" s="19">
        <f>SUMIFS('Clientes Consolidado.'!O:O,'Clientes Consolidado.'!C:C,C41,'Clientes Consolidado.'!B:B,"Fertilizer")
+SUMIFS('Clientes Consolidado.'!O:O,'Clientes Consolidado.'!C:C,C41,'Clientes Consolidado.'!B:B,"Additive")
+SUMIFS('Clientes Consolidado.'!O:O,'Clientes Consolidado.'!C:C,C41,'Clientes Consolidado.'!B:B,"Additive Intl.")</f>
        <v>0</v>
      </c>
      <c r="Z41" s="19">
        <f>SUMIFS('Clientes Consolidado.'!P:P,'Clientes Consolidado.'!C:C,'Nova Versão '!C41,'Clientes Consolidado.'!B:B,"Fertilizer / Litigation")+SUMIFS('Clientes Consolidado.'!P:P,'Clientes Consolidado.'!C:C,'Nova Versão '!C41,'Clientes Consolidado.'!B:B,"Additive / Litigation")</f>
        <v>0</v>
      </c>
      <c r="AA41" s="94"/>
    </row>
    <row r="42" spans="1:27" x14ac:dyDescent="0.25">
      <c r="A42" s="32"/>
      <c r="B42" s="94" t="str">
        <f>_xlfn.XLOOKUP(C42,Planilha3!A:A,Planilha3!B:B)</f>
        <v>Additive</v>
      </c>
      <c r="C42" s="94" t="s">
        <v>572</v>
      </c>
      <c r="D42" s="19">
        <f>_xlfn.XLOOKUP(C42,'Limite de crédito'!C:C,'Limite de crédito'!G:G,0)</f>
        <v>1500000</v>
      </c>
      <c r="E42" s="19">
        <f t="shared" si="5"/>
        <v>243513</v>
      </c>
      <c r="F42" s="19">
        <f>_xlfn.XLOOKUP('Nova Versão '!C42,'Limite de crédito'!C:C,'Limite de crédito'!O:O,0)</f>
        <v>1500000</v>
      </c>
      <c r="G42" s="404">
        <f t="shared" si="6"/>
        <v>0</v>
      </c>
      <c r="H42" s="412" t="str">
        <f>_xlfn.XLOOKUP(C42,Planilha3!A:A,Planilha3!C:C)</f>
        <v>Guarantee or credit</v>
      </c>
      <c r="J42" s="19">
        <f t="shared" si="7"/>
        <v>243513</v>
      </c>
      <c r="K42" s="19">
        <f>_xlfn.XLOOKUP(C42,'Clientes Consolidado.'!$C:$C,'Clientes Consolidado.'!R:R,0)</f>
        <v>243513</v>
      </c>
      <c r="L42" s="19">
        <f>_xlfn.XLOOKUP(C42,'Clientes Consolidado.'!$C:$C,'Clientes Consolidado.'!S:S,0)</f>
        <v>0</v>
      </c>
      <c r="M42" s="19">
        <f>_xlfn.XLOOKUP(C42,'Clientes Consolidado.'!$C:$C,'Clientes Consolidado.'!T:T,0)</f>
        <v>0</v>
      </c>
      <c r="N42" s="19">
        <f>_xlfn.XLOOKUP(C42,'Clientes Consolidado.'!$C:$C,'Clientes Consolidado.'!U:U,0)</f>
        <v>0</v>
      </c>
      <c r="O42" s="19">
        <f>_xlfn.XLOOKUP(C42,'Clientes Consolidado.'!$C:$C,'Clientes Consolidado.'!V:V,0)</f>
        <v>0</v>
      </c>
      <c r="P42" s="19">
        <f>_xlfn.XLOOKUP(C42,'Clientes Consolidado.'!$C:$C,'Clientes Consolidado.'!W:W,0)</f>
        <v>0</v>
      </c>
      <c r="Q42" s="19">
        <f>_xlfn.XLOOKUP(C42,'Clientes Consolidado.'!$C:$C,'Clientes Consolidado.'!X:X,0)</f>
        <v>0</v>
      </c>
      <c r="R42" s="19">
        <f t="shared" si="4"/>
        <v>0</v>
      </c>
      <c r="S42" s="19">
        <f>SUMIFS('Clientes Consolidado.'!I:I,'Clientes Consolidado.'!C:C,C42,'Clientes Consolidado.'!B:B,"Fertilizer")
+SUMIFS('Clientes Consolidado.'!I:I,'Clientes Consolidado.'!C:C,C42,'Clientes Consolidado.'!B:B,"Additive")
+SUMIFS('Clientes Consolidado.'!I:I,'Clientes Consolidado.'!C:C,C42,'Clientes Consolidado.'!B:B,"Additive Intl.")</f>
        <v>0</v>
      </c>
      <c r="T42" s="19">
        <f>SUMIFS('Clientes Consolidado.'!J:J,'Clientes Consolidado.'!C:C,C42,'Clientes Consolidado.'!B:B,"Fertilizer")
+SUMIFS('Clientes Consolidado.'!J:J,'Clientes Consolidado.'!C:C,C42,'Clientes Consolidado.'!B:B,"Additive")
+SUMIFS('Clientes Consolidado.'!J:J,'Clientes Consolidado.'!C:C,C42,'Clientes Consolidado.'!B:B,"Additive Intl.")</f>
        <v>0</v>
      </c>
      <c r="U42" s="19">
        <f>SUMIFS('Clientes Consolidado.'!K:K,'Clientes Consolidado.'!C:C,C42,'Clientes Consolidado.'!B:B,"Fertilizer")
+SUMIFS('Clientes Consolidado.'!K:K,'Clientes Consolidado.'!C:C,C42,'Clientes Consolidado.'!B:B,"Additive")
+SUMIFS('Clientes Consolidado.'!K:K,'Clientes Consolidado.'!C:C,C42,'Clientes Consolidado.'!B:B,"Additive Intl.")</f>
        <v>0</v>
      </c>
      <c r="V42" s="19">
        <f>SUMIFS('Clientes Consolidado.'!L:L,'Clientes Consolidado.'!C:C,C42,'Clientes Consolidado.'!B:B,"Fertilizer")
+SUMIFS('Clientes Consolidado.'!L:L,'Clientes Consolidado.'!C:C,C42,'Clientes Consolidado.'!B:B,"Additive")
+SUMIFS('Clientes Consolidado.'!L:L,'Clientes Consolidado.'!C:C,C42,'Clientes Consolidado.'!B:B,"Additive Intl.")</f>
        <v>0</v>
      </c>
      <c r="W42" s="19">
        <f>SUMIFS('Clientes Consolidado.'!M:M,'Clientes Consolidado.'!C:C,C42,'Clientes Consolidado.'!B:B,"Fertilizer")
+SUMIFS('Clientes Consolidado.'!M:M,'Clientes Consolidado.'!C:C,C42,'Clientes Consolidado.'!B:B,"Additive")
+SUMIFS('Clientes Consolidado.'!M:M,'Clientes Consolidado.'!C:C,C42,'Clientes Consolidado.'!B:B,"Additive Intl.")</f>
        <v>0</v>
      </c>
      <c r="X42" s="19">
        <f>SUMIFS('Clientes Consolidado.'!N:N,'Clientes Consolidado.'!C:C,C42,'Clientes Consolidado.'!B:B,"Fertilizer")
+SUMIFS('Clientes Consolidado.'!N:N,'Clientes Consolidado.'!C:C,C42,'Clientes Consolidado.'!B:B,"Additive")
+SUMIFS('Clientes Consolidado.'!N:N,'Clientes Consolidado.'!C:C,C42,'Clientes Consolidado.'!B:B,"Additive Intl.")</f>
        <v>0</v>
      </c>
      <c r="Y42" s="19">
        <f>SUMIFS('Clientes Consolidado.'!O:O,'Clientes Consolidado.'!C:C,C42,'Clientes Consolidado.'!B:B,"Fertilizer")
+SUMIFS('Clientes Consolidado.'!O:O,'Clientes Consolidado.'!C:C,C42,'Clientes Consolidado.'!B:B,"Additive")
+SUMIFS('Clientes Consolidado.'!O:O,'Clientes Consolidado.'!C:C,C42,'Clientes Consolidado.'!B:B,"Additive Intl.")</f>
        <v>0</v>
      </c>
      <c r="Z42" s="19">
        <f>SUMIFS('Clientes Consolidado.'!P:P,'Clientes Consolidado.'!C:C,'Nova Versão '!C42,'Clientes Consolidado.'!B:B,"Fertilizer / Litigation")+SUMIFS('Clientes Consolidado.'!P:P,'Clientes Consolidado.'!C:C,'Nova Versão '!C42,'Clientes Consolidado.'!B:B,"Additive / Litigation")</f>
        <v>0</v>
      </c>
      <c r="AA42" s="94"/>
    </row>
    <row r="43" spans="1:27" x14ac:dyDescent="0.25">
      <c r="A43" s="32"/>
      <c r="B43" s="94" t="str">
        <f>_xlfn.XLOOKUP(C43,Planilha3!A:A,Planilha3!B:B)</f>
        <v>Fertilizer / Litigation</v>
      </c>
      <c r="C43" s="94" t="s">
        <v>426</v>
      </c>
      <c r="D43" s="19">
        <f>_xlfn.XLOOKUP(C43,'Limite de crédito'!C:C,'Limite de crédito'!G:G,0)</f>
        <v>0</v>
      </c>
      <c r="E43" s="19">
        <f t="shared" si="5"/>
        <v>237309.12</v>
      </c>
      <c r="F43" s="19">
        <f>_xlfn.XLOOKUP('Nova Versão '!C43,'Limite de crédito'!C:C,'Limite de crédito'!O:O,0)</f>
        <v>0</v>
      </c>
      <c r="G43" s="404">
        <f t="shared" si="6"/>
        <v>237309.12</v>
      </c>
      <c r="H43" s="412" t="str">
        <f>_xlfn.XLOOKUP(C43,Planilha3!A:A,Planilha3!C:C)</f>
        <v>Litigation</v>
      </c>
      <c r="J43" s="19">
        <f t="shared" si="7"/>
        <v>0</v>
      </c>
      <c r="K43" s="19">
        <f>_xlfn.XLOOKUP(C43,'Clientes Consolidado.'!$C:$C,'Clientes Consolidado.'!R:R,0)</f>
        <v>0</v>
      </c>
      <c r="L43" s="19">
        <f>_xlfn.XLOOKUP(C43,'Clientes Consolidado.'!$C:$C,'Clientes Consolidado.'!S:S,0)</f>
        <v>0</v>
      </c>
      <c r="M43" s="19">
        <f>_xlfn.XLOOKUP(C43,'Clientes Consolidado.'!$C:$C,'Clientes Consolidado.'!T:T,0)</f>
        <v>0</v>
      </c>
      <c r="N43" s="19">
        <f>_xlfn.XLOOKUP(C43,'Clientes Consolidado.'!$C:$C,'Clientes Consolidado.'!U:U,0)</f>
        <v>0</v>
      </c>
      <c r="O43" s="19">
        <f>_xlfn.XLOOKUP(C43,'Clientes Consolidado.'!$C:$C,'Clientes Consolidado.'!V:V,0)</f>
        <v>0</v>
      </c>
      <c r="P43" s="19">
        <f>_xlfn.XLOOKUP(C43,'Clientes Consolidado.'!$C:$C,'Clientes Consolidado.'!W:W,0)</f>
        <v>0</v>
      </c>
      <c r="Q43" s="19">
        <f>_xlfn.XLOOKUP(C43,'Clientes Consolidado.'!$C:$C,'Clientes Consolidado.'!X:X,0)</f>
        <v>0</v>
      </c>
      <c r="R43" s="19">
        <f t="shared" si="4"/>
        <v>0</v>
      </c>
      <c r="S43" s="19">
        <f>SUMIFS('Clientes Consolidado.'!I:I,'Clientes Consolidado.'!C:C,C43,'Clientes Consolidado.'!B:B,"Fertilizer")
+SUMIFS('Clientes Consolidado.'!I:I,'Clientes Consolidado.'!C:C,C43,'Clientes Consolidado.'!B:B,"Additive")
+SUMIFS('Clientes Consolidado.'!I:I,'Clientes Consolidado.'!C:C,C43,'Clientes Consolidado.'!B:B,"Additive Intl.")</f>
        <v>0</v>
      </c>
      <c r="T43" s="19">
        <f>SUMIFS('Clientes Consolidado.'!J:J,'Clientes Consolidado.'!C:C,C43,'Clientes Consolidado.'!B:B,"Fertilizer")
+SUMIFS('Clientes Consolidado.'!J:J,'Clientes Consolidado.'!C:C,C43,'Clientes Consolidado.'!B:B,"Additive")
+SUMIFS('Clientes Consolidado.'!J:J,'Clientes Consolidado.'!C:C,C43,'Clientes Consolidado.'!B:B,"Additive Intl.")</f>
        <v>0</v>
      </c>
      <c r="U43" s="19">
        <f>SUMIFS('Clientes Consolidado.'!K:K,'Clientes Consolidado.'!C:C,C43,'Clientes Consolidado.'!B:B,"Fertilizer")
+SUMIFS('Clientes Consolidado.'!K:K,'Clientes Consolidado.'!C:C,C43,'Clientes Consolidado.'!B:B,"Additive")
+SUMIFS('Clientes Consolidado.'!K:K,'Clientes Consolidado.'!C:C,C43,'Clientes Consolidado.'!B:B,"Additive Intl.")</f>
        <v>0</v>
      </c>
      <c r="V43" s="19">
        <f>SUMIFS('Clientes Consolidado.'!L:L,'Clientes Consolidado.'!C:C,C43,'Clientes Consolidado.'!B:B,"Fertilizer")
+SUMIFS('Clientes Consolidado.'!L:L,'Clientes Consolidado.'!C:C,C43,'Clientes Consolidado.'!B:B,"Additive")
+SUMIFS('Clientes Consolidado.'!L:L,'Clientes Consolidado.'!C:C,C43,'Clientes Consolidado.'!B:B,"Additive Intl.")</f>
        <v>0</v>
      </c>
      <c r="W43" s="19">
        <f>SUMIFS('Clientes Consolidado.'!M:M,'Clientes Consolidado.'!C:C,C43,'Clientes Consolidado.'!B:B,"Fertilizer")
+SUMIFS('Clientes Consolidado.'!M:M,'Clientes Consolidado.'!C:C,C43,'Clientes Consolidado.'!B:B,"Additive")
+SUMIFS('Clientes Consolidado.'!M:M,'Clientes Consolidado.'!C:C,C43,'Clientes Consolidado.'!B:B,"Additive Intl.")</f>
        <v>0</v>
      </c>
      <c r="X43" s="19">
        <f>SUMIFS('Clientes Consolidado.'!N:N,'Clientes Consolidado.'!C:C,C43,'Clientes Consolidado.'!B:B,"Fertilizer")
+SUMIFS('Clientes Consolidado.'!N:N,'Clientes Consolidado.'!C:C,C43,'Clientes Consolidado.'!B:B,"Additive")
+SUMIFS('Clientes Consolidado.'!N:N,'Clientes Consolidado.'!C:C,C43,'Clientes Consolidado.'!B:B,"Additive Intl.")</f>
        <v>0</v>
      </c>
      <c r="Y43" s="19">
        <f>SUMIFS('Clientes Consolidado.'!O:O,'Clientes Consolidado.'!C:C,C43,'Clientes Consolidado.'!B:B,"Fertilizer")
+SUMIFS('Clientes Consolidado.'!O:O,'Clientes Consolidado.'!C:C,C43,'Clientes Consolidado.'!B:B,"Additive")
+SUMIFS('Clientes Consolidado.'!O:O,'Clientes Consolidado.'!C:C,C43,'Clientes Consolidado.'!B:B,"Additive Intl.")</f>
        <v>0</v>
      </c>
      <c r="Z43" s="19">
        <f>SUMIFS('Clientes Consolidado.'!P:P,'Clientes Consolidado.'!C:C,'Nova Versão '!C43,'Clientes Consolidado.'!B:B,"Fertilizer / Litigation")+SUMIFS('Clientes Consolidado.'!P:P,'Clientes Consolidado.'!C:C,'Nova Versão '!C43,'Clientes Consolidado.'!B:B,"Additive / Litigation")</f>
        <v>237309.12</v>
      </c>
      <c r="AA43" s="94"/>
    </row>
    <row r="44" spans="1:27" x14ac:dyDescent="0.25">
      <c r="A44" s="32"/>
      <c r="B44" s="94" t="str">
        <f>_xlfn.XLOOKUP(C44,Planilha3!A:A,Planilha3!B:B)</f>
        <v>Additive / Litigation</v>
      </c>
      <c r="C44" s="94" t="s">
        <v>53</v>
      </c>
      <c r="D44" s="19">
        <f>_xlfn.XLOOKUP(C44,'Limite de crédito'!C:C,'Limite de crédito'!G:G,0)</f>
        <v>0</v>
      </c>
      <c r="E44" s="19">
        <f t="shared" si="5"/>
        <v>226233.60000000001</v>
      </c>
      <c r="F44" s="19">
        <f>_xlfn.XLOOKUP('Nova Versão '!C44,'Limite de crédito'!C:C,'Limite de crédito'!O:O,0)</f>
        <v>0</v>
      </c>
      <c r="G44" s="404">
        <f t="shared" si="6"/>
        <v>226233.60000000001</v>
      </c>
      <c r="H44" s="412" t="str">
        <f>_xlfn.XLOOKUP(C44,Planilha3!A:A,Planilha3!C:C)</f>
        <v>Litigation</v>
      </c>
      <c r="J44" s="19">
        <f t="shared" si="7"/>
        <v>0</v>
      </c>
      <c r="K44" s="19">
        <f>_xlfn.XLOOKUP(C44,'Clientes Consolidado.'!$C:$C,'Clientes Consolidado.'!R:R,0)</f>
        <v>0</v>
      </c>
      <c r="L44" s="19">
        <f>_xlfn.XLOOKUP(C44,'Clientes Consolidado.'!$C:$C,'Clientes Consolidado.'!S:S,0)</f>
        <v>0</v>
      </c>
      <c r="M44" s="19">
        <f>_xlfn.XLOOKUP(C44,'Clientes Consolidado.'!$C:$C,'Clientes Consolidado.'!T:T,0)</f>
        <v>0</v>
      </c>
      <c r="N44" s="19">
        <f>_xlfn.XLOOKUP(C44,'Clientes Consolidado.'!$C:$C,'Clientes Consolidado.'!U:U,0)</f>
        <v>0</v>
      </c>
      <c r="O44" s="19">
        <f>_xlfn.XLOOKUP(C44,'Clientes Consolidado.'!$C:$C,'Clientes Consolidado.'!V:V,0)</f>
        <v>0</v>
      </c>
      <c r="P44" s="19">
        <f>_xlfn.XLOOKUP(C44,'Clientes Consolidado.'!$C:$C,'Clientes Consolidado.'!W:W,0)</f>
        <v>0</v>
      </c>
      <c r="Q44" s="19">
        <f>_xlfn.XLOOKUP(C44,'Clientes Consolidado.'!$C:$C,'Clientes Consolidado.'!X:X,0)</f>
        <v>0</v>
      </c>
      <c r="R44" s="19">
        <f t="shared" si="4"/>
        <v>0</v>
      </c>
      <c r="S44" s="19">
        <f>SUMIFS('Clientes Consolidado.'!I:I,'Clientes Consolidado.'!C:C,C44,'Clientes Consolidado.'!B:B,"Fertilizer")
+SUMIFS('Clientes Consolidado.'!I:I,'Clientes Consolidado.'!C:C,C44,'Clientes Consolidado.'!B:B,"Additive")
+SUMIFS('Clientes Consolidado.'!I:I,'Clientes Consolidado.'!C:C,C44,'Clientes Consolidado.'!B:B,"Additive Intl.")</f>
        <v>0</v>
      </c>
      <c r="T44" s="19">
        <f>SUMIFS('Clientes Consolidado.'!J:J,'Clientes Consolidado.'!C:C,C44,'Clientes Consolidado.'!B:B,"Fertilizer")
+SUMIFS('Clientes Consolidado.'!J:J,'Clientes Consolidado.'!C:C,C44,'Clientes Consolidado.'!B:B,"Additive")
+SUMIFS('Clientes Consolidado.'!J:J,'Clientes Consolidado.'!C:C,C44,'Clientes Consolidado.'!B:B,"Additive Intl.")</f>
        <v>0</v>
      </c>
      <c r="U44" s="19">
        <f>SUMIFS('Clientes Consolidado.'!K:K,'Clientes Consolidado.'!C:C,C44,'Clientes Consolidado.'!B:B,"Fertilizer")
+SUMIFS('Clientes Consolidado.'!K:K,'Clientes Consolidado.'!C:C,C44,'Clientes Consolidado.'!B:B,"Additive")
+SUMIFS('Clientes Consolidado.'!K:K,'Clientes Consolidado.'!C:C,C44,'Clientes Consolidado.'!B:B,"Additive Intl.")</f>
        <v>0</v>
      </c>
      <c r="V44" s="19">
        <f>SUMIFS('Clientes Consolidado.'!L:L,'Clientes Consolidado.'!C:C,C44,'Clientes Consolidado.'!B:B,"Fertilizer")
+SUMIFS('Clientes Consolidado.'!L:L,'Clientes Consolidado.'!C:C,C44,'Clientes Consolidado.'!B:B,"Additive")
+SUMIFS('Clientes Consolidado.'!L:L,'Clientes Consolidado.'!C:C,C44,'Clientes Consolidado.'!B:B,"Additive Intl.")</f>
        <v>0</v>
      </c>
      <c r="W44" s="19">
        <f>SUMIFS('Clientes Consolidado.'!M:M,'Clientes Consolidado.'!C:C,C44,'Clientes Consolidado.'!B:B,"Fertilizer")
+SUMIFS('Clientes Consolidado.'!M:M,'Clientes Consolidado.'!C:C,C44,'Clientes Consolidado.'!B:B,"Additive")
+SUMIFS('Clientes Consolidado.'!M:M,'Clientes Consolidado.'!C:C,C44,'Clientes Consolidado.'!B:B,"Additive Intl.")</f>
        <v>0</v>
      </c>
      <c r="X44" s="19">
        <f>SUMIFS('Clientes Consolidado.'!N:N,'Clientes Consolidado.'!C:C,C44,'Clientes Consolidado.'!B:B,"Fertilizer")
+SUMIFS('Clientes Consolidado.'!N:N,'Clientes Consolidado.'!C:C,C44,'Clientes Consolidado.'!B:B,"Additive")
+SUMIFS('Clientes Consolidado.'!N:N,'Clientes Consolidado.'!C:C,C44,'Clientes Consolidado.'!B:B,"Additive Intl.")</f>
        <v>0</v>
      </c>
      <c r="Y44" s="19">
        <f>SUMIFS('Clientes Consolidado.'!O:O,'Clientes Consolidado.'!C:C,C44,'Clientes Consolidado.'!B:B,"Fertilizer")
+SUMIFS('Clientes Consolidado.'!O:O,'Clientes Consolidado.'!C:C,C44,'Clientes Consolidado.'!B:B,"Additive")
+SUMIFS('Clientes Consolidado.'!O:O,'Clientes Consolidado.'!C:C,C44,'Clientes Consolidado.'!B:B,"Additive Intl.")</f>
        <v>0</v>
      </c>
      <c r="Z44" s="19">
        <f>SUMIFS('Clientes Consolidado.'!P:P,'Clientes Consolidado.'!C:C,'Nova Versão '!C44,'Clientes Consolidado.'!B:B,"Fertilizer / Litigation")+SUMIFS('Clientes Consolidado.'!P:P,'Clientes Consolidado.'!C:C,'Nova Versão '!C44,'Clientes Consolidado.'!B:B,"Additive / Litigation")</f>
        <v>226233.60000000001</v>
      </c>
      <c r="AA44" s="94"/>
    </row>
    <row r="45" spans="1:27" x14ac:dyDescent="0.25">
      <c r="A45" s="32"/>
      <c r="B45" s="94" t="str">
        <f>_xlfn.XLOOKUP(C45,Planilha3!A:A,Planilha3!B:B)</f>
        <v>Fertilizer</v>
      </c>
      <c r="C45" s="94" t="s">
        <v>377</v>
      </c>
      <c r="D45" s="19">
        <f>_xlfn.XLOOKUP(C45,'Limite de crédito'!C:C,'Limite de crédito'!G:G,0)</f>
        <v>500000</v>
      </c>
      <c r="E45" s="19">
        <f t="shared" si="5"/>
        <v>222808.17</v>
      </c>
      <c r="F45" s="19">
        <f>_xlfn.XLOOKUP('Nova Versão '!C45,'Limite de crédito'!C:C,'Limite de crédito'!O:O,0)</f>
        <v>300000</v>
      </c>
      <c r="G45" s="404">
        <f t="shared" si="6"/>
        <v>0</v>
      </c>
      <c r="H45" s="412" t="str">
        <f>_xlfn.XLOOKUP(C45,Planilha3!A:A,Planilha3!C:C)</f>
        <v>Guarantee or credit + Credit approved based on credit rating</v>
      </c>
      <c r="J45" s="19">
        <f t="shared" si="7"/>
        <v>222808.17</v>
      </c>
      <c r="K45" s="19">
        <f>_xlfn.XLOOKUP(C45,'Clientes Consolidado.'!$C:$C,'Clientes Consolidado.'!R:R,0)</f>
        <v>222808.17</v>
      </c>
      <c r="L45" s="19">
        <f>_xlfn.XLOOKUP(C45,'Clientes Consolidado.'!$C:$C,'Clientes Consolidado.'!S:S,0)</f>
        <v>0</v>
      </c>
      <c r="M45" s="19">
        <f>_xlfn.XLOOKUP(C45,'Clientes Consolidado.'!$C:$C,'Clientes Consolidado.'!T:T,0)</f>
        <v>0</v>
      </c>
      <c r="N45" s="19">
        <f>_xlfn.XLOOKUP(C45,'Clientes Consolidado.'!$C:$C,'Clientes Consolidado.'!U:U,0)</f>
        <v>0</v>
      </c>
      <c r="O45" s="19">
        <f>_xlfn.XLOOKUP(C45,'Clientes Consolidado.'!$C:$C,'Clientes Consolidado.'!V:V,0)</f>
        <v>0</v>
      </c>
      <c r="P45" s="19">
        <f>_xlfn.XLOOKUP(C45,'Clientes Consolidado.'!$C:$C,'Clientes Consolidado.'!W:W,0)</f>
        <v>0</v>
      </c>
      <c r="Q45" s="19">
        <f>_xlfn.XLOOKUP(C45,'Clientes Consolidado.'!$C:$C,'Clientes Consolidado.'!X:X,0)</f>
        <v>0</v>
      </c>
      <c r="R45" s="19">
        <f t="shared" si="4"/>
        <v>0</v>
      </c>
      <c r="S45" s="19">
        <f>SUMIFS('Clientes Consolidado.'!I:I,'Clientes Consolidado.'!C:C,C45,'Clientes Consolidado.'!B:B,"Fertilizer")
+SUMIFS('Clientes Consolidado.'!I:I,'Clientes Consolidado.'!C:C,C45,'Clientes Consolidado.'!B:B,"Additive")
+SUMIFS('Clientes Consolidado.'!I:I,'Clientes Consolidado.'!C:C,C45,'Clientes Consolidado.'!B:B,"Additive Intl.")</f>
        <v>0</v>
      </c>
      <c r="T45" s="19">
        <f>SUMIFS('Clientes Consolidado.'!J:J,'Clientes Consolidado.'!C:C,C45,'Clientes Consolidado.'!B:B,"Fertilizer")
+SUMIFS('Clientes Consolidado.'!J:J,'Clientes Consolidado.'!C:C,C45,'Clientes Consolidado.'!B:B,"Additive")
+SUMIFS('Clientes Consolidado.'!J:J,'Clientes Consolidado.'!C:C,C45,'Clientes Consolidado.'!B:B,"Additive Intl.")</f>
        <v>0</v>
      </c>
      <c r="U45" s="19">
        <f>SUMIFS('Clientes Consolidado.'!K:K,'Clientes Consolidado.'!C:C,C45,'Clientes Consolidado.'!B:B,"Fertilizer")
+SUMIFS('Clientes Consolidado.'!K:K,'Clientes Consolidado.'!C:C,C45,'Clientes Consolidado.'!B:B,"Additive")
+SUMIFS('Clientes Consolidado.'!K:K,'Clientes Consolidado.'!C:C,C45,'Clientes Consolidado.'!B:B,"Additive Intl.")</f>
        <v>0</v>
      </c>
      <c r="V45" s="19">
        <f>SUMIFS('Clientes Consolidado.'!L:L,'Clientes Consolidado.'!C:C,C45,'Clientes Consolidado.'!B:B,"Fertilizer")
+SUMIFS('Clientes Consolidado.'!L:L,'Clientes Consolidado.'!C:C,C45,'Clientes Consolidado.'!B:B,"Additive")
+SUMIFS('Clientes Consolidado.'!L:L,'Clientes Consolidado.'!C:C,C45,'Clientes Consolidado.'!B:B,"Additive Intl.")</f>
        <v>0</v>
      </c>
      <c r="W45" s="19">
        <f>SUMIFS('Clientes Consolidado.'!M:M,'Clientes Consolidado.'!C:C,C45,'Clientes Consolidado.'!B:B,"Fertilizer")
+SUMIFS('Clientes Consolidado.'!M:M,'Clientes Consolidado.'!C:C,C45,'Clientes Consolidado.'!B:B,"Additive")
+SUMIFS('Clientes Consolidado.'!M:M,'Clientes Consolidado.'!C:C,C45,'Clientes Consolidado.'!B:B,"Additive Intl.")</f>
        <v>0</v>
      </c>
      <c r="X45" s="19">
        <f>SUMIFS('Clientes Consolidado.'!N:N,'Clientes Consolidado.'!C:C,C45,'Clientes Consolidado.'!B:B,"Fertilizer")
+SUMIFS('Clientes Consolidado.'!N:N,'Clientes Consolidado.'!C:C,C45,'Clientes Consolidado.'!B:B,"Additive")
+SUMIFS('Clientes Consolidado.'!N:N,'Clientes Consolidado.'!C:C,C45,'Clientes Consolidado.'!B:B,"Additive Intl.")</f>
        <v>0</v>
      </c>
      <c r="Y45" s="19">
        <f>SUMIFS('Clientes Consolidado.'!O:O,'Clientes Consolidado.'!C:C,C45,'Clientes Consolidado.'!B:B,"Fertilizer")
+SUMIFS('Clientes Consolidado.'!O:O,'Clientes Consolidado.'!C:C,C45,'Clientes Consolidado.'!B:B,"Additive")
+SUMIFS('Clientes Consolidado.'!O:O,'Clientes Consolidado.'!C:C,C45,'Clientes Consolidado.'!B:B,"Additive Intl.")</f>
        <v>0</v>
      </c>
      <c r="Z45" s="19">
        <f>SUMIFS('Clientes Consolidado.'!P:P,'Clientes Consolidado.'!C:C,'Nova Versão '!C45,'Clientes Consolidado.'!B:B,"Fertilizer / Litigation")+SUMIFS('Clientes Consolidado.'!P:P,'Clientes Consolidado.'!C:C,'Nova Versão '!C45,'Clientes Consolidado.'!B:B,"Additive / Litigation")</f>
        <v>0</v>
      </c>
      <c r="AA45" s="94"/>
    </row>
    <row r="46" spans="1:27" x14ac:dyDescent="0.25">
      <c r="A46" s="32"/>
      <c r="B46" s="94" t="str">
        <f>_xlfn.XLOOKUP(C46,Planilha3!A:A,Planilha3!B:B)</f>
        <v>Additive</v>
      </c>
      <c r="C46" s="94" t="s">
        <v>546</v>
      </c>
      <c r="D46" s="19">
        <f>_xlfn.XLOOKUP(C46,'Limite de crédito'!C:C,'Limite de crédito'!G:G,0)</f>
        <v>200000</v>
      </c>
      <c r="E46" s="19">
        <f t="shared" si="5"/>
        <v>215702.86</v>
      </c>
      <c r="F46" s="19">
        <f>_xlfn.XLOOKUP('Nova Versão '!C46,'Limite de crédito'!C:C,'Limite de crédito'!O:O,0)</f>
        <v>200000</v>
      </c>
      <c r="G46" s="404">
        <f t="shared" si="6"/>
        <v>15702.859999999986</v>
      </c>
      <c r="H46" s="412" t="str">
        <f>_xlfn.XLOOKUP(C46,Planilha3!A:A,Planilha3!C:C)</f>
        <v>Guarantee or credit</v>
      </c>
      <c r="J46" s="19">
        <f t="shared" si="7"/>
        <v>215702.86</v>
      </c>
      <c r="K46" s="19">
        <f>_xlfn.XLOOKUP(C46,'Clientes Consolidado.'!$C:$C,'Clientes Consolidado.'!R:R,0)</f>
        <v>107851.43</v>
      </c>
      <c r="L46" s="19">
        <f>_xlfn.XLOOKUP(C46,'Clientes Consolidado.'!$C:$C,'Clientes Consolidado.'!S:S,0)</f>
        <v>107851.43</v>
      </c>
      <c r="M46" s="19">
        <f>_xlfn.XLOOKUP(C46,'Clientes Consolidado.'!$C:$C,'Clientes Consolidado.'!T:T,0)</f>
        <v>0</v>
      </c>
      <c r="N46" s="19">
        <f>_xlfn.XLOOKUP(C46,'Clientes Consolidado.'!$C:$C,'Clientes Consolidado.'!U:U,0)</f>
        <v>0</v>
      </c>
      <c r="O46" s="19">
        <f>_xlfn.XLOOKUP(C46,'Clientes Consolidado.'!$C:$C,'Clientes Consolidado.'!V:V,0)</f>
        <v>0</v>
      </c>
      <c r="P46" s="19">
        <f>_xlfn.XLOOKUP(C46,'Clientes Consolidado.'!$C:$C,'Clientes Consolidado.'!W:W,0)</f>
        <v>0</v>
      </c>
      <c r="Q46" s="19">
        <f>_xlfn.XLOOKUP(C46,'Clientes Consolidado.'!$C:$C,'Clientes Consolidado.'!X:X,0)</f>
        <v>0</v>
      </c>
      <c r="R46" s="19">
        <f t="shared" si="4"/>
        <v>0</v>
      </c>
      <c r="S46" s="19">
        <f>SUMIFS('Clientes Consolidado.'!I:I,'Clientes Consolidado.'!C:C,C46,'Clientes Consolidado.'!B:B,"Fertilizer")
+SUMIFS('Clientes Consolidado.'!I:I,'Clientes Consolidado.'!C:C,C46,'Clientes Consolidado.'!B:B,"Additive")
+SUMIFS('Clientes Consolidado.'!I:I,'Clientes Consolidado.'!C:C,C46,'Clientes Consolidado.'!B:B,"Additive Intl.")</f>
        <v>0</v>
      </c>
      <c r="T46" s="19">
        <f>SUMIFS('Clientes Consolidado.'!J:J,'Clientes Consolidado.'!C:C,C46,'Clientes Consolidado.'!B:B,"Fertilizer")
+SUMIFS('Clientes Consolidado.'!J:J,'Clientes Consolidado.'!C:C,C46,'Clientes Consolidado.'!B:B,"Additive")
+SUMIFS('Clientes Consolidado.'!J:J,'Clientes Consolidado.'!C:C,C46,'Clientes Consolidado.'!B:B,"Additive Intl.")</f>
        <v>0</v>
      </c>
      <c r="U46" s="19">
        <f>SUMIFS('Clientes Consolidado.'!K:K,'Clientes Consolidado.'!C:C,C46,'Clientes Consolidado.'!B:B,"Fertilizer")
+SUMIFS('Clientes Consolidado.'!K:K,'Clientes Consolidado.'!C:C,C46,'Clientes Consolidado.'!B:B,"Additive")
+SUMIFS('Clientes Consolidado.'!K:K,'Clientes Consolidado.'!C:C,C46,'Clientes Consolidado.'!B:B,"Additive Intl.")</f>
        <v>0</v>
      </c>
      <c r="V46" s="19">
        <f>SUMIFS('Clientes Consolidado.'!L:L,'Clientes Consolidado.'!C:C,C46,'Clientes Consolidado.'!B:B,"Fertilizer")
+SUMIFS('Clientes Consolidado.'!L:L,'Clientes Consolidado.'!C:C,C46,'Clientes Consolidado.'!B:B,"Additive")
+SUMIFS('Clientes Consolidado.'!L:L,'Clientes Consolidado.'!C:C,C46,'Clientes Consolidado.'!B:B,"Additive Intl.")</f>
        <v>0</v>
      </c>
      <c r="W46" s="19">
        <f>SUMIFS('Clientes Consolidado.'!M:M,'Clientes Consolidado.'!C:C,C46,'Clientes Consolidado.'!B:B,"Fertilizer")
+SUMIFS('Clientes Consolidado.'!M:M,'Clientes Consolidado.'!C:C,C46,'Clientes Consolidado.'!B:B,"Additive")
+SUMIFS('Clientes Consolidado.'!M:M,'Clientes Consolidado.'!C:C,C46,'Clientes Consolidado.'!B:B,"Additive Intl.")</f>
        <v>0</v>
      </c>
      <c r="X46" s="19">
        <f>SUMIFS('Clientes Consolidado.'!N:N,'Clientes Consolidado.'!C:C,C46,'Clientes Consolidado.'!B:B,"Fertilizer")
+SUMIFS('Clientes Consolidado.'!N:N,'Clientes Consolidado.'!C:C,C46,'Clientes Consolidado.'!B:B,"Additive")
+SUMIFS('Clientes Consolidado.'!N:N,'Clientes Consolidado.'!C:C,C46,'Clientes Consolidado.'!B:B,"Additive Intl.")</f>
        <v>0</v>
      </c>
      <c r="Y46" s="19">
        <f>SUMIFS('Clientes Consolidado.'!O:O,'Clientes Consolidado.'!C:C,C46,'Clientes Consolidado.'!B:B,"Fertilizer")
+SUMIFS('Clientes Consolidado.'!O:O,'Clientes Consolidado.'!C:C,C46,'Clientes Consolidado.'!B:B,"Additive")
+SUMIFS('Clientes Consolidado.'!O:O,'Clientes Consolidado.'!C:C,C46,'Clientes Consolidado.'!B:B,"Additive Intl.")</f>
        <v>0</v>
      </c>
      <c r="Z46" s="19">
        <f>SUMIFS('Clientes Consolidado.'!P:P,'Clientes Consolidado.'!C:C,'Nova Versão '!C46,'Clientes Consolidado.'!B:B,"Fertilizer / Litigation")+SUMIFS('Clientes Consolidado.'!P:P,'Clientes Consolidado.'!C:C,'Nova Versão '!C46,'Clientes Consolidado.'!B:B,"Additive / Litigation")</f>
        <v>0</v>
      </c>
      <c r="AA46" s="94"/>
    </row>
    <row r="47" spans="1:27" x14ac:dyDescent="0.25">
      <c r="A47" s="32"/>
      <c r="B47" s="94" t="str">
        <f>_xlfn.XLOOKUP(C47,Planilha3!A:A,Planilha3!B:B)</f>
        <v>Additive / Litigation</v>
      </c>
      <c r="C47" s="94" t="s">
        <v>293</v>
      </c>
      <c r="D47" s="19">
        <f>_xlfn.XLOOKUP(C47,'Limite de crédito'!C:C,'Limite de crédito'!G:G,0)</f>
        <v>0</v>
      </c>
      <c r="E47" s="19">
        <f t="shared" si="5"/>
        <v>213750</v>
      </c>
      <c r="F47" s="19">
        <f>_xlfn.XLOOKUP('Nova Versão '!C47,'Limite de crédito'!C:C,'Limite de crédito'!O:O,0)</f>
        <v>0</v>
      </c>
      <c r="G47" s="404">
        <f t="shared" si="6"/>
        <v>213750</v>
      </c>
      <c r="H47" s="412" t="str">
        <f>_xlfn.XLOOKUP(C47,Planilha3!A:A,Planilha3!C:C)</f>
        <v>Litigation</v>
      </c>
      <c r="J47" s="19">
        <f t="shared" si="7"/>
        <v>0</v>
      </c>
      <c r="K47" s="19">
        <f>_xlfn.XLOOKUP(C47,'Clientes Consolidado.'!$C:$C,'Clientes Consolidado.'!R:R,0)</f>
        <v>0</v>
      </c>
      <c r="L47" s="19">
        <f>_xlfn.XLOOKUP(C47,'Clientes Consolidado.'!$C:$C,'Clientes Consolidado.'!S:S,0)</f>
        <v>0</v>
      </c>
      <c r="M47" s="19">
        <f>_xlfn.XLOOKUP(C47,'Clientes Consolidado.'!$C:$C,'Clientes Consolidado.'!T:T,0)</f>
        <v>0</v>
      </c>
      <c r="N47" s="19">
        <f>_xlfn.XLOOKUP(C47,'Clientes Consolidado.'!$C:$C,'Clientes Consolidado.'!U:U,0)</f>
        <v>0</v>
      </c>
      <c r="O47" s="19">
        <f>_xlfn.XLOOKUP(C47,'Clientes Consolidado.'!$C:$C,'Clientes Consolidado.'!V:V,0)</f>
        <v>0</v>
      </c>
      <c r="P47" s="19">
        <f>_xlfn.XLOOKUP(C47,'Clientes Consolidado.'!$C:$C,'Clientes Consolidado.'!W:W,0)</f>
        <v>0</v>
      </c>
      <c r="Q47" s="19">
        <f>_xlfn.XLOOKUP(C47,'Clientes Consolidado.'!$C:$C,'Clientes Consolidado.'!X:X,0)</f>
        <v>0</v>
      </c>
      <c r="R47" s="19">
        <f t="shared" si="4"/>
        <v>0</v>
      </c>
      <c r="S47" s="19">
        <f>SUMIFS('Clientes Consolidado.'!I:I,'Clientes Consolidado.'!C:C,C47,'Clientes Consolidado.'!B:B,"Fertilizer")
+SUMIFS('Clientes Consolidado.'!I:I,'Clientes Consolidado.'!C:C,C47,'Clientes Consolidado.'!B:B,"Additive")
+SUMIFS('Clientes Consolidado.'!I:I,'Clientes Consolidado.'!C:C,C47,'Clientes Consolidado.'!B:B,"Additive Intl.")</f>
        <v>0</v>
      </c>
      <c r="T47" s="19">
        <f>SUMIFS('Clientes Consolidado.'!J:J,'Clientes Consolidado.'!C:C,C47,'Clientes Consolidado.'!B:B,"Fertilizer")
+SUMIFS('Clientes Consolidado.'!J:J,'Clientes Consolidado.'!C:C,C47,'Clientes Consolidado.'!B:B,"Additive")
+SUMIFS('Clientes Consolidado.'!J:J,'Clientes Consolidado.'!C:C,C47,'Clientes Consolidado.'!B:B,"Additive Intl.")</f>
        <v>0</v>
      </c>
      <c r="U47" s="19">
        <f>SUMIFS('Clientes Consolidado.'!K:K,'Clientes Consolidado.'!C:C,C47,'Clientes Consolidado.'!B:B,"Fertilizer")
+SUMIFS('Clientes Consolidado.'!K:K,'Clientes Consolidado.'!C:C,C47,'Clientes Consolidado.'!B:B,"Additive")
+SUMIFS('Clientes Consolidado.'!K:K,'Clientes Consolidado.'!C:C,C47,'Clientes Consolidado.'!B:B,"Additive Intl.")</f>
        <v>0</v>
      </c>
      <c r="V47" s="19">
        <f>SUMIFS('Clientes Consolidado.'!L:L,'Clientes Consolidado.'!C:C,C47,'Clientes Consolidado.'!B:B,"Fertilizer")
+SUMIFS('Clientes Consolidado.'!L:L,'Clientes Consolidado.'!C:C,C47,'Clientes Consolidado.'!B:B,"Additive")
+SUMIFS('Clientes Consolidado.'!L:L,'Clientes Consolidado.'!C:C,C47,'Clientes Consolidado.'!B:B,"Additive Intl.")</f>
        <v>0</v>
      </c>
      <c r="W47" s="19">
        <f>SUMIFS('Clientes Consolidado.'!M:M,'Clientes Consolidado.'!C:C,C47,'Clientes Consolidado.'!B:B,"Fertilizer")
+SUMIFS('Clientes Consolidado.'!M:M,'Clientes Consolidado.'!C:C,C47,'Clientes Consolidado.'!B:B,"Additive")
+SUMIFS('Clientes Consolidado.'!M:M,'Clientes Consolidado.'!C:C,C47,'Clientes Consolidado.'!B:B,"Additive Intl.")</f>
        <v>0</v>
      </c>
      <c r="X47" s="19">
        <f>SUMIFS('Clientes Consolidado.'!N:N,'Clientes Consolidado.'!C:C,C47,'Clientes Consolidado.'!B:B,"Fertilizer")
+SUMIFS('Clientes Consolidado.'!N:N,'Clientes Consolidado.'!C:C,C47,'Clientes Consolidado.'!B:B,"Additive")
+SUMIFS('Clientes Consolidado.'!N:N,'Clientes Consolidado.'!C:C,C47,'Clientes Consolidado.'!B:B,"Additive Intl.")</f>
        <v>0</v>
      </c>
      <c r="Y47" s="19">
        <f>SUMIFS('Clientes Consolidado.'!O:O,'Clientes Consolidado.'!C:C,C47,'Clientes Consolidado.'!B:B,"Fertilizer")
+SUMIFS('Clientes Consolidado.'!O:O,'Clientes Consolidado.'!C:C,C47,'Clientes Consolidado.'!B:B,"Additive")
+SUMIFS('Clientes Consolidado.'!O:O,'Clientes Consolidado.'!C:C,C47,'Clientes Consolidado.'!B:B,"Additive Intl.")</f>
        <v>0</v>
      </c>
      <c r="Z47" s="19">
        <f>SUMIFS('Clientes Consolidado.'!P:P,'Clientes Consolidado.'!C:C,'Nova Versão '!C47,'Clientes Consolidado.'!B:B,"Fertilizer / Litigation")+SUMIFS('Clientes Consolidado.'!P:P,'Clientes Consolidado.'!C:C,'Nova Versão '!C47,'Clientes Consolidado.'!B:B,"Additive / Litigation")</f>
        <v>213750</v>
      </c>
      <c r="AA47" s="94"/>
    </row>
    <row r="48" spans="1:27" x14ac:dyDescent="0.25">
      <c r="A48" s="32"/>
      <c r="B48" s="94" t="str">
        <f>_xlfn.XLOOKUP(C48,Planilha3!A:A,Planilha3!B:B)</f>
        <v>Additive</v>
      </c>
      <c r="C48" s="94" t="s">
        <v>65</v>
      </c>
      <c r="D48" s="19">
        <f>_xlfn.XLOOKUP(C48,'Limite de crédito'!C:C,'Limite de crédito'!G:G,0)</f>
        <v>0</v>
      </c>
      <c r="E48" s="19">
        <f t="shared" si="5"/>
        <v>189028.7</v>
      </c>
      <c r="F48" s="19">
        <f>_xlfn.XLOOKUP('Nova Versão '!C48,'Limite de crédito'!C:C,'Limite de crédito'!O:O,0)</f>
        <v>0</v>
      </c>
      <c r="G48" s="404">
        <f t="shared" si="6"/>
        <v>189028.7</v>
      </c>
      <c r="H48" s="412" t="str">
        <f>_xlfn.XLOOKUP(C48,Planilha3!A:A,Planilha3!C:C)</f>
        <v>Credit without Insurance</v>
      </c>
      <c r="J48" s="19">
        <f t="shared" si="7"/>
        <v>151537.20000000001</v>
      </c>
      <c r="K48" s="19">
        <f>_xlfn.XLOOKUP(C48,'Clientes Consolidado.'!$C:$C,'Clientes Consolidado.'!R:R,0)</f>
        <v>75216.800000000003</v>
      </c>
      <c r="L48" s="19">
        <f>_xlfn.XLOOKUP(C48,'Clientes Consolidado.'!$C:$C,'Clientes Consolidado.'!S:S,0)</f>
        <v>76320.399999999994</v>
      </c>
      <c r="M48" s="19">
        <f>_xlfn.XLOOKUP(C48,'Clientes Consolidado.'!$C:$C,'Clientes Consolidado.'!T:T,0)</f>
        <v>0</v>
      </c>
      <c r="N48" s="19">
        <f>_xlfn.XLOOKUP(C48,'Clientes Consolidado.'!$C:$C,'Clientes Consolidado.'!U:U,0)</f>
        <v>0</v>
      </c>
      <c r="O48" s="19">
        <f>_xlfn.XLOOKUP(C48,'Clientes Consolidado.'!$C:$C,'Clientes Consolidado.'!V:V,0)</f>
        <v>0</v>
      </c>
      <c r="P48" s="19">
        <f>_xlfn.XLOOKUP(C48,'Clientes Consolidado.'!$C:$C,'Clientes Consolidado.'!W:W,0)</f>
        <v>0</v>
      </c>
      <c r="Q48" s="19">
        <f>_xlfn.XLOOKUP(C48,'Clientes Consolidado.'!$C:$C,'Clientes Consolidado.'!X:X,0)</f>
        <v>0</v>
      </c>
      <c r="R48" s="19">
        <f t="shared" si="4"/>
        <v>37491.5</v>
      </c>
      <c r="S48" s="19">
        <f>SUMIFS('Clientes Consolidado.'!I:I,'Clientes Consolidado.'!C:C,C48,'Clientes Consolidado.'!B:B,"Fertilizer")
+SUMIFS('Clientes Consolidado.'!I:I,'Clientes Consolidado.'!C:C,C48,'Clientes Consolidado.'!B:B,"Additive")
+SUMIFS('Clientes Consolidado.'!I:I,'Clientes Consolidado.'!C:C,C48,'Clientes Consolidado.'!B:B,"Additive Intl.")</f>
        <v>37491.5</v>
      </c>
      <c r="T48" s="19">
        <f>SUMIFS('Clientes Consolidado.'!J:J,'Clientes Consolidado.'!C:C,C48,'Clientes Consolidado.'!B:B,"Fertilizer")
+SUMIFS('Clientes Consolidado.'!J:J,'Clientes Consolidado.'!C:C,C48,'Clientes Consolidado.'!B:B,"Additive")
+SUMIFS('Clientes Consolidado.'!J:J,'Clientes Consolidado.'!C:C,C48,'Clientes Consolidado.'!B:B,"Additive Intl.")</f>
        <v>0</v>
      </c>
      <c r="U48" s="19">
        <f>SUMIFS('Clientes Consolidado.'!K:K,'Clientes Consolidado.'!C:C,C48,'Clientes Consolidado.'!B:B,"Fertilizer")
+SUMIFS('Clientes Consolidado.'!K:K,'Clientes Consolidado.'!C:C,C48,'Clientes Consolidado.'!B:B,"Additive")
+SUMIFS('Clientes Consolidado.'!K:K,'Clientes Consolidado.'!C:C,C48,'Clientes Consolidado.'!B:B,"Additive Intl.")</f>
        <v>0</v>
      </c>
      <c r="V48" s="19">
        <f>SUMIFS('Clientes Consolidado.'!L:L,'Clientes Consolidado.'!C:C,C48,'Clientes Consolidado.'!B:B,"Fertilizer")
+SUMIFS('Clientes Consolidado.'!L:L,'Clientes Consolidado.'!C:C,C48,'Clientes Consolidado.'!B:B,"Additive")
+SUMIFS('Clientes Consolidado.'!L:L,'Clientes Consolidado.'!C:C,C48,'Clientes Consolidado.'!B:B,"Additive Intl.")</f>
        <v>0</v>
      </c>
      <c r="W48" s="19">
        <f>SUMIFS('Clientes Consolidado.'!M:M,'Clientes Consolidado.'!C:C,C48,'Clientes Consolidado.'!B:B,"Fertilizer")
+SUMIFS('Clientes Consolidado.'!M:M,'Clientes Consolidado.'!C:C,C48,'Clientes Consolidado.'!B:B,"Additive")
+SUMIFS('Clientes Consolidado.'!M:M,'Clientes Consolidado.'!C:C,C48,'Clientes Consolidado.'!B:B,"Additive Intl.")</f>
        <v>0</v>
      </c>
      <c r="X48" s="19">
        <f>SUMIFS('Clientes Consolidado.'!N:N,'Clientes Consolidado.'!C:C,C48,'Clientes Consolidado.'!B:B,"Fertilizer")
+SUMIFS('Clientes Consolidado.'!N:N,'Clientes Consolidado.'!C:C,C48,'Clientes Consolidado.'!B:B,"Additive")
+SUMIFS('Clientes Consolidado.'!N:N,'Clientes Consolidado.'!C:C,C48,'Clientes Consolidado.'!B:B,"Additive Intl.")</f>
        <v>0</v>
      </c>
      <c r="Y48" s="19">
        <f>SUMIFS('Clientes Consolidado.'!O:O,'Clientes Consolidado.'!C:C,C48,'Clientes Consolidado.'!B:B,"Fertilizer")
+SUMIFS('Clientes Consolidado.'!O:O,'Clientes Consolidado.'!C:C,C48,'Clientes Consolidado.'!B:B,"Additive")
+SUMIFS('Clientes Consolidado.'!O:O,'Clientes Consolidado.'!C:C,C48,'Clientes Consolidado.'!B:B,"Additive Intl.")</f>
        <v>0</v>
      </c>
      <c r="Z48" s="19">
        <f>SUMIFS('Clientes Consolidado.'!P:P,'Clientes Consolidado.'!C:C,'Nova Versão '!C48,'Clientes Consolidado.'!B:B,"Fertilizer / Litigation")+SUMIFS('Clientes Consolidado.'!P:P,'Clientes Consolidado.'!C:C,'Nova Versão '!C48,'Clientes Consolidado.'!B:B,"Additive / Litigation")</f>
        <v>0</v>
      </c>
      <c r="AA48" s="94"/>
    </row>
    <row r="49" spans="1:27" x14ac:dyDescent="0.25">
      <c r="A49" s="32"/>
      <c r="B49" s="94" t="str">
        <f>_xlfn.XLOOKUP(C49,Planilha3!A:A,Planilha3!B:B)</f>
        <v>Additive</v>
      </c>
      <c r="C49" s="94" t="s">
        <v>429</v>
      </c>
      <c r="D49" s="19">
        <f>_xlfn.XLOOKUP(C49,'Limite de crédito'!C:C,'Limite de crédito'!G:G,0)</f>
        <v>1000000</v>
      </c>
      <c r="E49" s="19">
        <f t="shared" si="5"/>
        <v>185040</v>
      </c>
      <c r="F49" s="19">
        <f>_xlfn.XLOOKUP('Nova Versão '!C49,'Limite de crédito'!C:C,'Limite de crédito'!O:O,0)</f>
        <v>1000000</v>
      </c>
      <c r="G49" s="404">
        <f t="shared" si="6"/>
        <v>0</v>
      </c>
      <c r="H49" s="412" t="str">
        <f>_xlfn.XLOOKUP(C49,Planilha3!A:A,Planilha3!C:C)</f>
        <v>Guarantee or credit</v>
      </c>
      <c r="J49" s="19">
        <f t="shared" si="7"/>
        <v>185040</v>
      </c>
      <c r="K49" s="19">
        <f>_xlfn.XLOOKUP(C49,'Clientes Consolidado.'!$C:$C,'Clientes Consolidado.'!R:R,0)</f>
        <v>0</v>
      </c>
      <c r="L49" s="19">
        <f>_xlfn.XLOOKUP(C49,'Clientes Consolidado.'!$C:$C,'Clientes Consolidado.'!S:S,0)</f>
        <v>0</v>
      </c>
      <c r="M49" s="19">
        <f>_xlfn.XLOOKUP(C49,'Clientes Consolidado.'!$C:$C,'Clientes Consolidado.'!T:T,0)</f>
        <v>185040</v>
      </c>
      <c r="N49" s="19">
        <f>_xlfn.XLOOKUP(C49,'Clientes Consolidado.'!$C:$C,'Clientes Consolidado.'!U:U,0)</f>
        <v>0</v>
      </c>
      <c r="O49" s="19">
        <f>_xlfn.XLOOKUP(C49,'Clientes Consolidado.'!$C:$C,'Clientes Consolidado.'!V:V,0)</f>
        <v>0</v>
      </c>
      <c r="P49" s="19">
        <f>_xlfn.XLOOKUP(C49,'Clientes Consolidado.'!$C:$C,'Clientes Consolidado.'!W:W,0)</f>
        <v>0</v>
      </c>
      <c r="Q49" s="19">
        <f>_xlfn.XLOOKUP(C49,'Clientes Consolidado.'!$C:$C,'Clientes Consolidado.'!X:X,0)</f>
        <v>0</v>
      </c>
      <c r="R49" s="19">
        <f t="shared" si="4"/>
        <v>0</v>
      </c>
      <c r="S49" s="19">
        <f>SUMIFS('Clientes Consolidado.'!I:I,'Clientes Consolidado.'!C:C,C49,'Clientes Consolidado.'!B:B,"Fertilizer")
+SUMIFS('Clientes Consolidado.'!I:I,'Clientes Consolidado.'!C:C,C49,'Clientes Consolidado.'!B:B,"Additive")
+SUMIFS('Clientes Consolidado.'!I:I,'Clientes Consolidado.'!C:C,C49,'Clientes Consolidado.'!B:B,"Additive Intl.")</f>
        <v>0</v>
      </c>
      <c r="T49" s="19">
        <f>SUMIFS('Clientes Consolidado.'!J:J,'Clientes Consolidado.'!C:C,C49,'Clientes Consolidado.'!B:B,"Fertilizer")
+SUMIFS('Clientes Consolidado.'!J:J,'Clientes Consolidado.'!C:C,C49,'Clientes Consolidado.'!B:B,"Additive")
+SUMIFS('Clientes Consolidado.'!J:J,'Clientes Consolidado.'!C:C,C49,'Clientes Consolidado.'!B:B,"Additive Intl.")</f>
        <v>0</v>
      </c>
      <c r="U49" s="19">
        <f>SUMIFS('Clientes Consolidado.'!K:K,'Clientes Consolidado.'!C:C,C49,'Clientes Consolidado.'!B:B,"Fertilizer")
+SUMIFS('Clientes Consolidado.'!K:K,'Clientes Consolidado.'!C:C,C49,'Clientes Consolidado.'!B:B,"Additive")
+SUMIFS('Clientes Consolidado.'!K:K,'Clientes Consolidado.'!C:C,C49,'Clientes Consolidado.'!B:B,"Additive Intl.")</f>
        <v>0</v>
      </c>
      <c r="V49" s="19">
        <f>SUMIFS('Clientes Consolidado.'!L:L,'Clientes Consolidado.'!C:C,C49,'Clientes Consolidado.'!B:B,"Fertilizer")
+SUMIFS('Clientes Consolidado.'!L:L,'Clientes Consolidado.'!C:C,C49,'Clientes Consolidado.'!B:B,"Additive")
+SUMIFS('Clientes Consolidado.'!L:L,'Clientes Consolidado.'!C:C,C49,'Clientes Consolidado.'!B:B,"Additive Intl.")</f>
        <v>0</v>
      </c>
      <c r="W49" s="19">
        <f>SUMIFS('Clientes Consolidado.'!M:M,'Clientes Consolidado.'!C:C,C49,'Clientes Consolidado.'!B:B,"Fertilizer")
+SUMIFS('Clientes Consolidado.'!M:M,'Clientes Consolidado.'!C:C,C49,'Clientes Consolidado.'!B:B,"Additive")
+SUMIFS('Clientes Consolidado.'!M:M,'Clientes Consolidado.'!C:C,C49,'Clientes Consolidado.'!B:B,"Additive Intl.")</f>
        <v>0</v>
      </c>
      <c r="X49" s="19">
        <f>SUMIFS('Clientes Consolidado.'!N:N,'Clientes Consolidado.'!C:C,C49,'Clientes Consolidado.'!B:B,"Fertilizer")
+SUMIFS('Clientes Consolidado.'!N:N,'Clientes Consolidado.'!C:C,C49,'Clientes Consolidado.'!B:B,"Additive")
+SUMIFS('Clientes Consolidado.'!N:N,'Clientes Consolidado.'!C:C,C49,'Clientes Consolidado.'!B:B,"Additive Intl.")</f>
        <v>0</v>
      </c>
      <c r="Y49" s="19">
        <f>SUMIFS('Clientes Consolidado.'!O:O,'Clientes Consolidado.'!C:C,C49,'Clientes Consolidado.'!B:B,"Fertilizer")
+SUMIFS('Clientes Consolidado.'!O:O,'Clientes Consolidado.'!C:C,C49,'Clientes Consolidado.'!B:B,"Additive")
+SUMIFS('Clientes Consolidado.'!O:O,'Clientes Consolidado.'!C:C,C49,'Clientes Consolidado.'!B:B,"Additive Intl.")</f>
        <v>0</v>
      </c>
      <c r="Z49" s="19">
        <f>SUMIFS('Clientes Consolidado.'!P:P,'Clientes Consolidado.'!C:C,'Nova Versão '!C49,'Clientes Consolidado.'!B:B,"Fertilizer / Litigation")+SUMIFS('Clientes Consolidado.'!P:P,'Clientes Consolidado.'!C:C,'Nova Versão '!C49,'Clientes Consolidado.'!B:B,"Additive / Litigation")</f>
        <v>0</v>
      </c>
      <c r="AA49" s="94"/>
    </row>
    <row r="50" spans="1:27" x14ac:dyDescent="0.25">
      <c r="A50" s="32"/>
      <c r="B50" s="94" t="str">
        <f>_xlfn.XLOOKUP(C50,Planilha3!A:A,Planilha3!B:B)</f>
        <v>Fertilizer</v>
      </c>
      <c r="C50" s="94" t="s">
        <v>379</v>
      </c>
      <c r="D50" s="19">
        <f>_xlfn.XLOOKUP(C50,'Limite de crédito'!C:C,'Limite de crédito'!G:G,0)</f>
        <v>0</v>
      </c>
      <c r="E50" s="19">
        <f t="shared" si="5"/>
        <v>184217.94</v>
      </c>
      <c r="F50" s="19">
        <f>_xlfn.XLOOKUP('Nova Versão '!C50,'Limite de crédito'!C:C,'Limite de crédito'!O:O,0)</f>
        <v>0</v>
      </c>
      <c r="G50" s="404">
        <f t="shared" si="6"/>
        <v>184217.94</v>
      </c>
      <c r="H50" s="412" t="str">
        <f>_xlfn.XLOOKUP(C50,Planilha3!A:A,Planilha3!C:C)</f>
        <v>Credit without Insurance</v>
      </c>
      <c r="J50" s="19">
        <f t="shared" si="7"/>
        <v>0</v>
      </c>
      <c r="K50" s="19">
        <f>_xlfn.XLOOKUP(C50,'Clientes Consolidado.'!$C:$C,'Clientes Consolidado.'!R:R,0)</f>
        <v>0</v>
      </c>
      <c r="L50" s="19">
        <f>_xlfn.XLOOKUP(C50,'Clientes Consolidado.'!$C:$C,'Clientes Consolidado.'!S:S,0)</f>
        <v>0</v>
      </c>
      <c r="M50" s="19">
        <f>_xlfn.XLOOKUP(C50,'Clientes Consolidado.'!$C:$C,'Clientes Consolidado.'!T:T,0)</f>
        <v>0</v>
      </c>
      <c r="N50" s="19">
        <f>_xlfn.XLOOKUP(C50,'Clientes Consolidado.'!$C:$C,'Clientes Consolidado.'!U:U,0)</f>
        <v>0</v>
      </c>
      <c r="O50" s="19">
        <f>_xlfn.XLOOKUP(C50,'Clientes Consolidado.'!$C:$C,'Clientes Consolidado.'!V:V,0)</f>
        <v>0</v>
      </c>
      <c r="P50" s="19">
        <f>_xlfn.XLOOKUP(C50,'Clientes Consolidado.'!$C:$C,'Clientes Consolidado.'!W:W,0)</f>
        <v>0</v>
      </c>
      <c r="Q50" s="19">
        <f>_xlfn.XLOOKUP(C50,'Clientes Consolidado.'!$C:$C,'Clientes Consolidado.'!X:X,0)</f>
        <v>0</v>
      </c>
      <c r="R50" s="19">
        <f t="shared" si="4"/>
        <v>184217.94</v>
      </c>
      <c r="S50" s="19">
        <f>SUMIFS('Clientes Consolidado.'!I:I,'Clientes Consolidado.'!C:C,C50,'Clientes Consolidado.'!B:B,"Fertilizer")
+SUMIFS('Clientes Consolidado.'!I:I,'Clientes Consolidado.'!C:C,C50,'Clientes Consolidado.'!B:B,"Additive")
+SUMIFS('Clientes Consolidado.'!I:I,'Clientes Consolidado.'!C:C,C50,'Clientes Consolidado.'!B:B,"Additive Intl.")</f>
        <v>184217.94</v>
      </c>
      <c r="T50" s="19">
        <f>SUMIFS('Clientes Consolidado.'!J:J,'Clientes Consolidado.'!C:C,C50,'Clientes Consolidado.'!B:B,"Fertilizer")
+SUMIFS('Clientes Consolidado.'!J:J,'Clientes Consolidado.'!C:C,C50,'Clientes Consolidado.'!B:B,"Additive")
+SUMIFS('Clientes Consolidado.'!J:J,'Clientes Consolidado.'!C:C,C50,'Clientes Consolidado.'!B:B,"Additive Intl.")</f>
        <v>0</v>
      </c>
      <c r="U50" s="19">
        <f>SUMIFS('Clientes Consolidado.'!K:K,'Clientes Consolidado.'!C:C,C50,'Clientes Consolidado.'!B:B,"Fertilizer")
+SUMIFS('Clientes Consolidado.'!K:K,'Clientes Consolidado.'!C:C,C50,'Clientes Consolidado.'!B:B,"Additive")
+SUMIFS('Clientes Consolidado.'!K:K,'Clientes Consolidado.'!C:C,C50,'Clientes Consolidado.'!B:B,"Additive Intl.")</f>
        <v>0</v>
      </c>
      <c r="V50" s="19">
        <f>SUMIFS('Clientes Consolidado.'!L:L,'Clientes Consolidado.'!C:C,C50,'Clientes Consolidado.'!B:B,"Fertilizer")
+SUMIFS('Clientes Consolidado.'!L:L,'Clientes Consolidado.'!C:C,C50,'Clientes Consolidado.'!B:B,"Additive")
+SUMIFS('Clientes Consolidado.'!L:L,'Clientes Consolidado.'!C:C,C50,'Clientes Consolidado.'!B:B,"Additive Intl.")</f>
        <v>0</v>
      </c>
      <c r="W50" s="19">
        <f>SUMIFS('Clientes Consolidado.'!M:M,'Clientes Consolidado.'!C:C,C50,'Clientes Consolidado.'!B:B,"Fertilizer")
+SUMIFS('Clientes Consolidado.'!M:M,'Clientes Consolidado.'!C:C,C50,'Clientes Consolidado.'!B:B,"Additive")
+SUMIFS('Clientes Consolidado.'!M:M,'Clientes Consolidado.'!C:C,C50,'Clientes Consolidado.'!B:B,"Additive Intl.")</f>
        <v>0</v>
      </c>
      <c r="X50" s="19">
        <f>SUMIFS('Clientes Consolidado.'!N:N,'Clientes Consolidado.'!C:C,C50,'Clientes Consolidado.'!B:B,"Fertilizer")
+SUMIFS('Clientes Consolidado.'!N:N,'Clientes Consolidado.'!C:C,C50,'Clientes Consolidado.'!B:B,"Additive")
+SUMIFS('Clientes Consolidado.'!N:N,'Clientes Consolidado.'!C:C,C50,'Clientes Consolidado.'!B:B,"Additive Intl.")</f>
        <v>0</v>
      </c>
      <c r="Y50" s="19">
        <f>SUMIFS('Clientes Consolidado.'!O:O,'Clientes Consolidado.'!C:C,C50,'Clientes Consolidado.'!B:B,"Fertilizer")
+SUMIFS('Clientes Consolidado.'!O:O,'Clientes Consolidado.'!C:C,C50,'Clientes Consolidado.'!B:B,"Additive")
+SUMIFS('Clientes Consolidado.'!O:O,'Clientes Consolidado.'!C:C,C50,'Clientes Consolidado.'!B:B,"Additive Intl.")</f>
        <v>0</v>
      </c>
      <c r="Z50" s="19">
        <f>SUMIFS('Clientes Consolidado.'!P:P,'Clientes Consolidado.'!C:C,'Nova Versão '!C50,'Clientes Consolidado.'!B:B,"Fertilizer / Litigation")+SUMIFS('Clientes Consolidado.'!P:P,'Clientes Consolidado.'!C:C,'Nova Versão '!C50,'Clientes Consolidado.'!B:B,"Additive / Litigation")</f>
        <v>0</v>
      </c>
      <c r="AA50" s="94"/>
    </row>
    <row r="51" spans="1:27" x14ac:dyDescent="0.25">
      <c r="A51" s="32"/>
      <c r="B51" s="94" t="str">
        <f>_xlfn.XLOOKUP(C51,Planilha3!A:A,Planilha3!B:B)</f>
        <v>Additive Intl.</v>
      </c>
      <c r="C51" s="94" t="s">
        <v>128</v>
      </c>
      <c r="D51" s="19">
        <f>_xlfn.XLOOKUP(C51,'Limite de crédito'!C:C,'Limite de crédito'!G:G,0)</f>
        <v>1375000</v>
      </c>
      <c r="E51" s="19">
        <f t="shared" si="5"/>
        <v>157149.47</v>
      </c>
      <c r="F51" s="19">
        <f>_xlfn.XLOOKUP('Nova Versão '!C51,'Limite de crédito'!C:C,'Limite de crédito'!O:O,0)</f>
        <v>1375000</v>
      </c>
      <c r="G51" s="404">
        <f t="shared" si="6"/>
        <v>0</v>
      </c>
      <c r="H51" s="412" t="str">
        <f>_xlfn.XLOOKUP(C51,Planilha3!A:A,Planilha3!C:C)</f>
        <v>Guarantee or credit</v>
      </c>
      <c r="J51" s="19">
        <f t="shared" si="7"/>
        <v>157149.47</v>
      </c>
      <c r="K51" s="19">
        <f>_xlfn.XLOOKUP(C51,'Clientes Consolidado.'!$C:$C,'Clientes Consolidado.'!R:R,0)</f>
        <v>157149.47</v>
      </c>
      <c r="L51" s="19">
        <f>_xlfn.XLOOKUP(C51,'Clientes Consolidado.'!$C:$C,'Clientes Consolidado.'!S:S,0)</f>
        <v>0</v>
      </c>
      <c r="M51" s="19">
        <f>_xlfn.XLOOKUP(C51,'Clientes Consolidado.'!$C:$C,'Clientes Consolidado.'!T:T,0)</f>
        <v>0</v>
      </c>
      <c r="N51" s="19">
        <f>_xlfn.XLOOKUP(C51,'Clientes Consolidado.'!$C:$C,'Clientes Consolidado.'!U:U,0)</f>
        <v>0</v>
      </c>
      <c r="O51" s="19">
        <f>_xlfn.XLOOKUP(C51,'Clientes Consolidado.'!$C:$C,'Clientes Consolidado.'!V:V,0)</f>
        <v>0</v>
      </c>
      <c r="P51" s="19">
        <f>_xlfn.XLOOKUP(C51,'Clientes Consolidado.'!$C:$C,'Clientes Consolidado.'!W:W,0)</f>
        <v>0</v>
      </c>
      <c r="Q51" s="19">
        <f>_xlfn.XLOOKUP(C51,'Clientes Consolidado.'!$C:$C,'Clientes Consolidado.'!X:X,0)</f>
        <v>0</v>
      </c>
      <c r="R51" s="19">
        <f t="shared" si="4"/>
        <v>0</v>
      </c>
      <c r="S51" s="19">
        <f>SUMIFS('Clientes Consolidado.'!I:I,'Clientes Consolidado.'!C:C,C51,'Clientes Consolidado.'!B:B,"Fertilizer")
+SUMIFS('Clientes Consolidado.'!I:I,'Clientes Consolidado.'!C:C,C51,'Clientes Consolidado.'!B:B,"Additive")
+SUMIFS('Clientes Consolidado.'!I:I,'Clientes Consolidado.'!C:C,C51,'Clientes Consolidado.'!B:B,"Additive Intl.")</f>
        <v>0</v>
      </c>
      <c r="T51" s="19">
        <f>SUMIFS('Clientes Consolidado.'!J:J,'Clientes Consolidado.'!C:C,C51,'Clientes Consolidado.'!B:B,"Fertilizer")
+SUMIFS('Clientes Consolidado.'!J:J,'Clientes Consolidado.'!C:C,C51,'Clientes Consolidado.'!B:B,"Additive")
+SUMIFS('Clientes Consolidado.'!J:J,'Clientes Consolidado.'!C:C,C51,'Clientes Consolidado.'!B:B,"Additive Intl.")</f>
        <v>0</v>
      </c>
      <c r="U51" s="19">
        <f>SUMIFS('Clientes Consolidado.'!K:K,'Clientes Consolidado.'!C:C,C51,'Clientes Consolidado.'!B:B,"Fertilizer")
+SUMIFS('Clientes Consolidado.'!K:K,'Clientes Consolidado.'!C:C,C51,'Clientes Consolidado.'!B:B,"Additive")
+SUMIFS('Clientes Consolidado.'!K:K,'Clientes Consolidado.'!C:C,C51,'Clientes Consolidado.'!B:B,"Additive Intl.")</f>
        <v>0</v>
      </c>
      <c r="V51" s="19">
        <f>SUMIFS('Clientes Consolidado.'!L:L,'Clientes Consolidado.'!C:C,C51,'Clientes Consolidado.'!B:B,"Fertilizer")
+SUMIFS('Clientes Consolidado.'!L:L,'Clientes Consolidado.'!C:C,C51,'Clientes Consolidado.'!B:B,"Additive")
+SUMIFS('Clientes Consolidado.'!L:L,'Clientes Consolidado.'!C:C,C51,'Clientes Consolidado.'!B:B,"Additive Intl.")</f>
        <v>0</v>
      </c>
      <c r="W51" s="19">
        <f>SUMIFS('Clientes Consolidado.'!M:M,'Clientes Consolidado.'!C:C,C51,'Clientes Consolidado.'!B:B,"Fertilizer")
+SUMIFS('Clientes Consolidado.'!M:M,'Clientes Consolidado.'!C:C,C51,'Clientes Consolidado.'!B:B,"Additive")
+SUMIFS('Clientes Consolidado.'!M:M,'Clientes Consolidado.'!C:C,C51,'Clientes Consolidado.'!B:B,"Additive Intl.")</f>
        <v>0</v>
      </c>
      <c r="X51" s="19">
        <f>SUMIFS('Clientes Consolidado.'!N:N,'Clientes Consolidado.'!C:C,C51,'Clientes Consolidado.'!B:B,"Fertilizer")
+SUMIFS('Clientes Consolidado.'!N:N,'Clientes Consolidado.'!C:C,C51,'Clientes Consolidado.'!B:B,"Additive")
+SUMIFS('Clientes Consolidado.'!N:N,'Clientes Consolidado.'!C:C,C51,'Clientes Consolidado.'!B:B,"Additive Intl.")</f>
        <v>0</v>
      </c>
      <c r="Y51" s="19">
        <f>SUMIFS('Clientes Consolidado.'!O:O,'Clientes Consolidado.'!C:C,C51,'Clientes Consolidado.'!B:B,"Fertilizer")
+SUMIFS('Clientes Consolidado.'!O:O,'Clientes Consolidado.'!C:C,C51,'Clientes Consolidado.'!B:B,"Additive")
+SUMIFS('Clientes Consolidado.'!O:O,'Clientes Consolidado.'!C:C,C51,'Clientes Consolidado.'!B:B,"Additive Intl.")</f>
        <v>0</v>
      </c>
      <c r="Z51" s="19">
        <f>SUMIFS('Clientes Consolidado.'!P:P,'Clientes Consolidado.'!C:C,'Nova Versão '!C51,'Clientes Consolidado.'!B:B,"Fertilizer / Litigation")+SUMIFS('Clientes Consolidado.'!P:P,'Clientes Consolidado.'!C:C,'Nova Versão '!C51,'Clientes Consolidado.'!B:B,"Additive / Litigation")</f>
        <v>0</v>
      </c>
      <c r="AA51" s="94"/>
    </row>
    <row r="52" spans="1:27" x14ac:dyDescent="0.25">
      <c r="A52" s="32"/>
      <c r="B52" s="94" t="str">
        <f>_xlfn.XLOOKUP(C52,Planilha3!A:A,Planilha3!B:B)</f>
        <v>Additive</v>
      </c>
      <c r="C52" s="94" t="s">
        <v>413</v>
      </c>
      <c r="D52" s="19">
        <f>_xlfn.XLOOKUP(C52,'Limite de crédito'!C:C,'Limite de crédito'!G:G,0)</f>
        <v>4000000</v>
      </c>
      <c r="E52" s="19">
        <f t="shared" si="5"/>
        <v>153263.79999999999</v>
      </c>
      <c r="F52" s="19">
        <f>_xlfn.XLOOKUP('Nova Versão '!C52,'Limite de crédito'!C:C,'Limite de crédito'!O:O,0)</f>
        <v>4000000</v>
      </c>
      <c r="G52" s="404">
        <f t="shared" si="6"/>
        <v>0</v>
      </c>
      <c r="H52" s="412" t="str">
        <f>_xlfn.XLOOKUP(C52,Planilha3!A:A,Planilha3!C:C)</f>
        <v>Guarantee or credit</v>
      </c>
      <c r="J52" s="19">
        <f t="shared" si="7"/>
        <v>153263.79999999999</v>
      </c>
      <c r="K52" s="19">
        <f>_xlfn.XLOOKUP(C52,'Clientes Consolidado.'!$C:$C,'Clientes Consolidado.'!R:R,0)</f>
        <v>58917.8</v>
      </c>
      <c r="L52" s="19">
        <f>_xlfn.XLOOKUP(C52,'Clientes Consolidado.'!$C:$C,'Clientes Consolidado.'!S:S,0)</f>
        <v>94346</v>
      </c>
      <c r="M52" s="19">
        <f>_xlfn.XLOOKUP(C52,'Clientes Consolidado.'!$C:$C,'Clientes Consolidado.'!T:T,0)</f>
        <v>0</v>
      </c>
      <c r="N52" s="19">
        <f>_xlfn.XLOOKUP(C52,'Clientes Consolidado.'!$C:$C,'Clientes Consolidado.'!U:U,0)</f>
        <v>0</v>
      </c>
      <c r="O52" s="19">
        <f>_xlfn.XLOOKUP(C52,'Clientes Consolidado.'!$C:$C,'Clientes Consolidado.'!V:V,0)</f>
        <v>0</v>
      </c>
      <c r="P52" s="19">
        <f>_xlfn.XLOOKUP(C52,'Clientes Consolidado.'!$C:$C,'Clientes Consolidado.'!W:W,0)</f>
        <v>0</v>
      </c>
      <c r="Q52" s="19">
        <f>_xlfn.XLOOKUP(C52,'Clientes Consolidado.'!$C:$C,'Clientes Consolidado.'!X:X,0)</f>
        <v>0</v>
      </c>
      <c r="R52" s="19">
        <f t="shared" si="4"/>
        <v>0</v>
      </c>
      <c r="S52" s="19">
        <f>SUMIFS('Clientes Consolidado.'!I:I,'Clientes Consolidado.'!C:C,C52,'Clientes Consolidado.'!B:B,"Fertilizer")
+SUMIFS('Clientes Consolidado.'!I:I,'Clientes Consolidado.'!C:C,C52,'Clientes Consolidado.'!B:B,"Additive")
+SUMIFS('Clientes Consolidado.'!I:I,'Clientes Consolidado.'!C:C,C52,'Clientes Consolidado.'!B:B,"Additive Intl.")</f>
        <v>0</v>
      </c>
      <c r="T52" s="19">
        <f>SUMIFS('Clientes Consolidado.'!J:J,'Clientes Consolidado.'!C:C,C52,'Clientes Consolidado.'!B:B,"Fertilizer")
+SUMIFS('Clientes Consolidado.'!J:J,'Clientes Consolidado.'!C:C,C52,'Clientes Consolidado.'!B:B,"Additive")
+SUMIFS('Clientes Consolidado.'!J:J,'Clientes Consolidado.'!C:C,C52,'Clientes Consolidado.'!B:B,"Additive Intl.")</f>
        <v>0</v>
      </c>
      <c r="U52" s="19">
        <f>SUMIFS('Clientes Consolidado.'!K:K,'Clientes Consolidado.'!C:C,C52,'Clientes Consolidado.'!B:B,"Fertilizer")
+SUMIFS('Clientes Consolidado.'!K:K,'Clientes Consolidado.'!C:C,C52,'Clientes Consolidado.'!B:B,"Additive")
+SUMIFS('Clientes Consolidado.'!K:K,'Clientes Consolidado.'!C:C,C52,'Clientes Consolidado.'!B:B,"Additive Intl.")</f>
        <v>0</v>
      </c>
      <c r="V52" s="19">
        <f>SUMIFS('Clientes Consolidado.'!L:L,'Clientes Consolidado.'!C:C,C52,'Clientes Consolidado.'!B:B,"Fertilizer")
+SUMIFS('Clientes Consolidado.'!L:L,'Clientes Consolidado.'!C:C,C52,'Clientes Consolidado.'!B:B,"Additive")
+SUMIFS('Clientes Consolidado.'!L:L,'Clientes Consolidado.'!C:C,C52,'Clientes Consolidado.'!B:B,"Additive Intl.")</f>
        <v>0</v>
      </c>
      <c r="W52" s="19">
        <f>SUMIFS('Clientes Consolidado.'!M:M,'Clientes Consolidado.'!C:C,C52,'Clientes Consolidado.'!B:B,"Fertilizer")
+SUMIFS('Clientes Consolidado.'!M:M,'Clientes Consolidado.'!C:C,C52,'Clientes Consolidado.'!B:B,"Additive")
+SUMIFS('Clientes Consolidado.'!M:M,'Clientes Consolidado.'!C:C,C52,'Clientes Consolidado.'!B:B,"Additive Intl.")</f>
        <v>0</v>
      </c>
      <c r="X52" s="19">
        <f>SUMIFS('Clientes Consolidado.'!N:N,'Clientes Consolidado.'!C:C,C52,'Clientes Consolidado.'!B:B,"Fertilizer")
+SUMIFS('Clientes Consolidado.'!N:N,'Clientes Consolidado.'!C:C,C52,'Clientes Consolidado.'!B:B,"Additive")
+SUMIFS('Clientes Consolidado.'!N:N,'Clientes Consolidado.'!C:C,C52,'Clientes Consolidado.'!B:B,"Additive Intl.")</f>
        <v>0</v>
      </c>
      <c r="Y52" s="19">
        <f>SUMIFS('Clientes Consolidado.'!O:O,'Clientes Consolidado.'!C:C,C52,'Clientes Consolidado.'!B:B,"Fertilizer")
+SUMIFS('Clientes Consolidado.'!O:O,'Clientes Consolidado.'!C:C,C52,'Clientes Consolidado.'!B:B,"Additive")
+SUMIFS('Clientes Consolidado.'!O:O,'Clientes Consolidado.'!C:C,C52,'Clientes Consolidado.'!B:B,"Additive Intl.")</f>
        <v>0</v>
      </c>
      <c r="Z52" s="19">
        <f>SUMIFS('Clientes Consolidado.'!P:P,'Clientes Consolidado.'!C:C,'Nova Versão '!C52,'Clientes Consolidado.'!B:B,"Fertilizer / Litigation")+SUMIFS('Clientes Consolidado.'!P:P,'Clientes Consolidado.'!C:C,'Nova Versão '!C52,'Clientes Consolidado.'!B:B,"Additive / Litigation")</f>
        <v>0</v>
      </c>
      <c r="AA52" s="94"/>
    </row>
    <row r="53" spans="1:27" x14ac:dyDescent="0.25">
      <c r="A53" s="32"/>
      <c r="B53" s="94" t="str">
        <f>_xlfn.XLOOKUP(C53,Planilha3!A:A,Planilha3!B:B)</f>
        <v>Additive Intl.</v>
      </c>
      <c r="C53" s="94" t="s">
        <v>125</v>
      </c>
      <c r="D53" s="19">
        <f>_xlfn.XLOOKUP(C53,'Limite de crédito'!C:C,'Limite de crédito'!G:G,0)</f>
        <v>962500</v>
      </c>
      <c r="E53" s="19">
        <f t="shared" si="5"/>
        <v>150064.82999999999</v>
      </c>
      <c r="F53" s="19">
        <f>_xlfn.XLOOKUP('Nova Versão '!C53,'Limite de crédito'!C:C,'Limite de crédito'!O:O,0)</f>
        <v>962500</v>
      </c>
      <c r="G53" s="404">
        <f t="shared" si="6"/>
        <v>0</v>
      </c>
      <c r="H53" s="412" t="str">
        <f>_xlfn.XLOOKUP(C53,Planilha3!A:A,Planilha3!C:C)</f>
        <v>Guarantee or credit</v>
      </c>
      <c r="J53" s="19">
        <f t="shared" si="7"/>
        <v>150064.82999999999</v>
      </c>
      <c r="K53" s="19">
        <f>_xlfn.XLOOKUP(C53,'Clientes Consolidado.'!$C:$C,'Clientes Consolidado.'!R:R,0)</f>
        <v>150064.82999999999</v>
      </c>
      <c r="L53" s="19">
        <f>_xlfn.XLOOKUP(C53,'Clientes Consolidado.'!$C:$C,'Clientes Consolidado.'!S:S,0)</f>
        <v>0</v>
      </c>
      <c r="M53" s="19">
        <f>_xlfn.XLOOKUP(C53,'Clientes Consolidado.'!$C:$C,'Clientes Consolidado.'!T:T,0)</f>
        <v>0</v>
      </c>
      <c r="N53" s="19">
        <f>_xlfn.XLOOKUP(C53,'Clientes Consolidado.'!$C:$C,'Clientes Consolidado.'!U:U,0)</f>
        <v>0</v>
      </c>
      <c r="O53" s="19">
        <f>_xlfn.XLOOKUP(C53,'Clientes Consolidado.'!$C:$C,'Clientes Consolidado.'!V:V,0)</f>
        <v>0</v>
      </c>
      <c r="P53" s="19">
        <f>_xlfn.XLOOKUP(C53,'Clientes Consolidado.'!$C:$C,'Clientes Consolidado.'!W:W,0)</f>
        <v>0</v>
      </c>
      <c r="Q53" s="19">
        <f>_xlfn.XLOOKUP(C53,'Clientes Consolidado.'!$C:$C,'Clientes Consolidado.'!X:X,0)</f>
        <v>0</v>
      </c>
      <c r="R53" s="19">
        <f t="shared" si="4"/>
        <v>0</v>
      </c>
      <c r="S53" s="19">
        <f>SUMIFS('Clientes Consolidado.'!I:I,'Clientes Consolidado.'!C:C,C53,'Clientes Consolidado.'!B:B,"Fertilizer")
+SUMIFS('Clientes Consolidado.'!I:I,'Clientes Consolidado.'!C:C,C53,'Clientes Consolidado.'!B:B,"Additive")
+SUMIFS('Clientes Consolidado.'!I:I,'Clientes Consolidado.'!C:C,C53,'Clientes Consolidado.'!B:B,"Additive Intl.")</f>
        <v>0</v>
      </c>
      <c r="T53" s="19">
        <f>SUMIFS('Clientes Consolidado.'!J:J,'Clientes Consolidado.'!C:C,C53,'Clientes Consolidado.'!B:B,"Fertilizer")
+SUMIFS('Clientes Consolidado.'!J:J,'Clientes Consolidado.'!C:C,C53,'Clientes Consolidado.'!B:B,"Additive")
+SUMIFS('Clientes Consolidado.'!J:J,'Clientes Consolidado.'!C:C,C53,'Clientes Consolidado.'!B:B,"Additive Intl.")</f>
        <v>0</v>
      </c>
      <c r="U53" s="19">
        <f>SUMIFS('Clientes Consolidado.'!K:K,'Clientes Consolidado.'!C:C,C53,'Clientes Consolidado.'!B:B,"Fertilizer")
+SUMIFS('Clientes Consolidado.'!K:K,'Clientes Consolidado.'!C:C,C53,'Clientes Consolidado.'!B:B,"Additive")
+SUMIFS('Clientes Consolidado.'!K:K,'Clientes Consolidado.'!C:C,C53,'Clientes Consolidado.'!B:B,"Additive Intl.")</f>
        <v>0</v>
      </c>
      <c r="V53" s="19">
        <f>SUMIFS('Clientes Consolidado.'!L:L,'Clientes Consolidado.'!C:C,C53,'Clientes Consolidado.'!B:B,"Fertilizer")
+SUMIFS('Clientes Consolidado.'!L:L,'Clientes Consolidado.'!C:C,C53,'Clientes Consolidado.'!B:B,"Additive")
+SUMIFS('Clientes Consolidado.'!L:L,'Clientes Consolidado.'!C:C,C53,'Clientes Consolidado.'!B:B,"Additive Intl.")</f>
        <v>0</v>
      </c>
      <c r="W53" s="19">
        <f>SUMIFS('Clientes Consolidado.'!M:M,'Clientes Consolidado.'!C:C,C53,'Clientes Consolidado.'!B:B,"Fertilizer")
+SUMIFS('Clientes Consolidado.'!M:M,'Clientes Consolidado.'!C:C,C53,'Clientes Consolidado.'!B:B,"Additive")
+SUMIFS('Clientes Consolidado.'!M:M,'Clientes Consolidado.'!C:C,C53,'Clientes Consolidado.'!B:B,"Additive Intl.")</f>
        <v>0</v>
      </c>
      <c r="X53" s="19">
        <f>SUMIFS('Clientes Consolidado.'!N:N,'Clientes Consolidado.'!C:C,C53,'Clientes Consolidado.'!B:B,"Fertilizer")
+SUMIFS('Clientes Consolidado.'!N:N,'Clientes Consolidado.'!C:C,C53,'Clientes Consolidado.'!B:B,"Additive")
+SUMIFS('Clientes Consolidado.'!N:N,'Clientes Consolidado.'!C:C,C53,'Clientes Consolidado.'!B:B,"Additive Intl.")</f>
        <v>0</v>
      </c>
      <c r="Y53" s="19">
        <f>SUMIFS('Clientes Consolidado.'!O:O,'Clientes Consolidado.'!C:C,C53,'Clientes Consolidado.'!B:B,"Fertilizer")
+SUMIFS('Clientes Consolidado.'!O:O,'Clientes Consolidado.'!C:C,C53,'Clientes Consolidado.'!B:B,"Additive")
+SUMIFS('Clientes Consolidado.'!O:O,'Clientes Consolidado.'!C:C,C53,'Clientes Consolidado.'!B:B,"Additive Intl.")</f>
        <v>0</v>
      </c>
      <c r="Z53" s="19">
        <f>SUMIFS('Clientes Consolidado.'!P:P,'Clientes Consolidado.'!C:C,'Nova Versão '!C53,'Clientes Consolidado.'!B:B,"Fertilizer / Litigation")+SUMIFS('Clientes Consolidado.'!P:P,'Clientes Consolidado.'!C:C,'Nova Versão '!C53,'Clientes Consolidado.'!B:B,"Additive / Litigation")</f>
        <v>0</v>
      </c>
      <c r="AA53" s="94"/>
    </row>
    <row r="54" spans="1:27" x14ac:dyDescent="0.25">
      <c r="A54" s="32"/>
      <c r="B54" s="94" t="str">
        <f>_xlfn.XLOOKUP(C54,Planilha3!A:A,Planilha3!B:B)</f>
        <v>Additive Intl.</v>
      </c>
      <c r="C54" s="94" t="s">
        <v>567</v>
      </c>
      <c r="D54" s="19">
        <f>_xlfn.XLOOKUP(C54,'Limite de crédito'!C:C,'Limite de crédito'!G:G,0)</f>
        <v>550000</v>
      </c>
      <c r="E54" s="19">
        <f t="shared" si="5"/>
        <v>137716.91</v>
      </c>
      <c r="F54" s="19">
        <f>_xlfn.XLOOKUP('Nova Versão '!C54,'Limite de crédito'!C:C,'Limite de crédito'!O:O,0)</f>
        <v>550000</v>
      </c>
      <c r="G54" s="404">
        <f t="shared" si="6"/>
        <v>0</v>
      </c>
      <c r="H54" s="412" t="str">
        <f>_xlfn.XLOOKUP(C54,Planilha3!A:A,Planilha3!C:C)</f>
        <v>Guarantee or credit</v>
      </c>
      <c r="J54" s="19">
        <f t="shared" si="7"/>
        <v>137716.91</v>
      </c>
      <c r="K54" s="19">
        <f>_xlfn.XLOOKUP(C54,'Clientes Consolidado.'!$C:$C,'Clientes Consolidado.'!R:R,0)</f>
        <v>137716.91</v>
      </c>
      <c r="L54" s="19">
        <f>_xlfn.XLOOKUP(C54,'Clientes Consolidado.'!$C:$C,'Clientes Consolidado.'!S:S,0)</f>
        <v>0</v>
      </c>
      <c r="M54" s="19">
        <f>_xlfn.XLOOKUP(C54,'Clientes Consolidado.'!$C:$C,'Clientes Consolidado.'!T:T,0)</f>
        <v>0</v>
      </c>
      <c r="N54" s="19">
        <f>_xlfn.XLOOKUP(C54,'Clientes Consolidado.'!$C:$C,'Clientes Consolidado.'!U:U,0)</f>
        <v>0</v>
      </c>
      <c r="O54" s="19">
        <f>_xlfn.XLOOKUP(C54,'Clientes Consolidado.'!$C:$C,'Clientes Consolidado.'!V:V,0)</f>
        <v>0</v>
      </c>
      <c r="P54" s="19">
        <f>_xlfn.XLOOKUP(C54,'Clientes Consolidado.'!$C:$C,'Clientes Consolidado.'!W:W,0)</f>
        <v>0</v>
      </c>
      <c r="Q54" s="19">
        <f>_xlfn.XLOOKUP(C54,'Clientes Consolidado.'!$C:$C,'Clientes Consolidado.'!X:X,0)</f>
        <v>0</v>
      </c>
      <c r="R54" s="19">
        <f t="shared" si="4"/>
        <v>0</v>
      </c>
      <c r="S54" s="19">
        <f>SUMIFS('Clientes Consolidado.'!I:I,'Clientes Consolidado.'!C:C,C54,'Clientes Consolidado.'!B:B,"Fertilizer")
+SUMIFS('Clientes Consolidado.'!I:I,'Clientes Consolidado.'!C:C,C54,'Clientes Consolidado.'!B:B,"Additive")
+SUMIFS('Clientes Consolidado.'!I:I,'Clientes Consolidado.'!C:C,C54,'Clientes Consolidado.'!B:B,"Additive Intl.")</f>
        <v>0</v>
      </c>
      <c r="T54" s="19">
        <f>SUMIFS('Clientes Consolidado.'!J:J,'Clientes Consolidado.'!C:C,C54,'Clientes Consolidado.'!B:B,"Fertilizer")
+SUMIFS('Clientes Consolidado.'!J:J,'Clientes Consolidado.'!C:C,C54,'Clientes Consolidado.'!B:B,"Additive")
+SUMIFS('Clientes Consolidado.'!J:J,'Clientes Consolidado.'!C:C,C54,'Clientes Consolidado.'!B:B,"Additive Intl.")</f>
        <v>0</v>
      </c>
      <c r="U54" s="19">
        <f>SUMIFS('Clientes Consolidado.'!K:K,'Clientes Consolidado.'!C:C,C54,'Clientes Consolidado.'!B:B,"Fertilizer")
+SUMIFS('Clientes Consolidado.'!K:K,'Clientes Consolidado.'!C:C,C54,'Clientes Consolidado.'!B:B,"Additive")
+SUMIFS('Clientes Consolidado.'!K:K,'Clientes Consolidado.'!C:C,C54,'Clientes Consolidado.'!B:B,"Additive Intl.")</f>
        <v>0</v>
      </c>
      <c r="V54" s="19">
        <f>SUMIFS('Clientes Consolidado.'!L:L,'Clientes Consolidado.'!C:C,C54,'Clientes Consolidado.'!B:B,"Fertilizer")
+SUMIFS('Clientes Consolidado.'!L:L,'Clientes Consolidado.'!C:C,C54,'Clientes Consolidado.'!B:B,"Additive")
+SUMIFS('Clientes Consolidado.'!L:L,'Clientes Consolidado.'!C:C,C54,'Clientes Consolidado.'!B:B,"Additive Intl.")</f>
        <v>0</v>
      </c>
      <c r="W54" s="19">
        <f>SUMIFS('Clientes Consolidado.'!M:M,'Clientes Consolidado.'!C:C,C54,'Clientes Consolidado.'!B:B,"Fertilizer")
+SUMIFS('Clientes Consolidado.'!M:M,'Clientes Consolidado.'!C:C,C54,'Clientes Consolidado.'!B:B,"Additive")
+SUMIFS('Clientes Consolidado.'!M:M,'Clientes Consolidado.'!C:C,C54,'Clientes Consolidado.'!B:B,"Additive Intl.")</f>
        <v>0</v>
      </c>
      <c r="X54" s="19">
        <f>SUMIFS('Clientes Consolidado.'!N:N,'Clientes Consolidado.'!C:C,C54,'Clientes Consolidado.'!B:B,"Fertilizer")
+SUMIFS('Clientes Consolidado.'!N:N,'Clientes Consolidado.'!C:C,C54,'Clientes Consolidado.'!B:B,"Additive")
+SUMIFS('Clientes Consolidado.'!N:N,'Clientes Consolidado.'!C:C,C54,'Clientes Consolidado.'!B:B,"Additive Intl.")</f>
        <v>0</v>
      </c>
      <c r="Y54" s="19">
        <f>SUMIFS('Clientes Consolidado.'!O:O,'Clientes Consolidado.'!C:C,C54,'Clientes Consolidado.'!B:B,"Fertilizer")
+SUMIFS('Clientes Consolidado.'!O:O,'Clientes Consolidado.'!C:C,C54,'Clientes Consolidado.'!B:B,"Additive")
+SUMIFS('Clientes Consolidado.'!O:O,'Clientes Consolidado.'!C:C,C54,'Clientes Consolidado.'!B:B,"Additive Intl.")</f>
        <v>0</v>
      </c>
      <c r="Z54" s="19">
        <f>SUMIFS('Clientes Consolidado.'!P:P,'Clientes Consolidado.'!C:C,'Nova Versão '!C54,'Clientes Consolidado.'!B:B,"Fertilizer / Litigation")+SUMIFS('Clientes Consolidado.'!P:P,'Clientes Consolidado.'!C:C,'Nova Versão '!C54,'Clientes Consolidado.'!B:B,"Additive / Litigation")</f>
        <v>0</v>
      </c>
      <c r="AA54" s="94"/>
    </row>
    <row r="55" spans="1:27" x14ac:dyDescent="0.25">
      <c r="A55" s="32"/>
      <c r="B55" s="94" t="str">
        <f>_xlfn.XLOOKUP(C55,Planilha3!A:A,Planilha3!B:B)</f>
        <v>Fertilizer</v>
      </c>
      <c r="C55" s="94" t="s">
        <v>432</v>
      </c>
      <c r="D55" s="19">
        <f>_xlfn.XLOOKUP(C55,'Limite de crédito'!C:C,'Limite de crédito'!G:G,0)</f>
        <v>1000000</v>
      </c>
      <c r="E55" s="19">
        <f t="shared" si="5"/>
        <v>133718</v>
      </c>
      <c r="F55" s="19">
        <f>_xlfn.XLOOKUP('Nova Versão '!C55,'Limite de crédito'!C:C,'Limite de crédito'!O:O,0)</f>
        <v>1000000</v>
      </c>
      <c r="G55" s="404">
        <f t="shared" si="6"/>
        <v>0</v>
      </c>
      <c r="H55" s="412" t="str">
        <f>_xlfn.XLOOKUP(C55,Planilha3!A:A,Planilha3!C:C)</f>
        <v>Guarantee or credit</v>
      </c>
      <c r="J55" s="19">
        <f t="shared" si="7"/>
        <v>133718</v>
      </c>
      <c r="K55" s="19">
        <f>_xlfn.XLOOKUP(C55,'Clientes Consolidado.'!$C:$C,'Clientes Consolidado.'!R:R,0)</f>
        <v>133718</v>
      </c>
      <c r="L55" s="19">
        <f>_xlfn.XLOOKUP(C55,'Clientes Consolidado.'!$C:$C,'Clientes Consolidado.'!S:S,0)</f>
        <v>0</v>
      </c>
      <c r="M55" s="19">
        <f>_xlfn.XLOOKUP(C55,'Clientes Consolidado.'!$C:$C,'Clientes Consolidado.'!T:T,0)</f>
        <v>0</v>
      </c>
      <c r="N55" s="19">
        <f>_xlfn.XLOOKUP(C55,'Clientes Consolidado.'!$C:$C,'Clientes Consolidado.'!U:U,0)</f>
        <v>0</v>
      </c>
      <c r="O55" s="19">
        <f>_xlfn.XLOOKUP(C55,'Clientes Consolidado.'!$C:$C,'Clientes Consolidado.'!V:V,0)</f>
        <v>0</v>
      </c>
      <c r="P55" s="19">
        <f>_xlfn.XLOOKUP(C55,'Clientes Consolidado.'!$C:$C,'Clientes Consolidado.'!W:W,0)</f>
        <v>0</v>
      </c>
      <c r="Q55" s="19">
        <f>_xlfn.XLOOKUP(C55,'Clientes Consolidado.'!$C:$C,'Clientes Consolidado.'!X:X,0)</f>
        <v>0</v>
      </c>
      <c r="R55" s="19">
        <f t="shared" si="4"/>
        <v>0</v>
      </c>
      <c r="S55" s="19">
        <f>SUMIFS('Clientes Consolidado.'!I:I,'Clientes Consolidado.'!C:C,C55,'Clientes Consolidado.'!B:B,"Fertilizer")
+SUMIFS('Clientes Consolidado.'!I:I,'Clientes Consolidado.'!C:C,C55,'Clientes Consolidado.'!B:B,"Additive")
+SUMIFS('Clientes Consolidado.'!I:I,'Clientes Consolidado.'!C:C,C55,'Clientes Consolidado.'!B:B,"Additive Intl.")</f>
        <v>0</v>
      </c>
      <c r="T55" s="19">
        <f>SUMIFS('Clientes Consolidado.'!J:J,'Clientes Consolidado.'!C:C,C55,'Clientes Consolidado.'!B:B,"Fertilizer")
+SUMIFS('Clientes Consolidado.'!J:J,'Clientes Consolidado.'!C:C,C55,'Clientes Consolidado.'!B:B,"Additive")
+SUMIFS('Clientes Consolidado.'!J:J,'Clientes Consolidado.'!C:C,C55,'Clientes Consolidado.'!B:B,"Additive Intl.")</f>
        <v>0</v>
      </c>
      <c r="U55" s="19">
        <f>SUMIFS('Clientes Consolidado.'!K:K,'Clientes Consolidado.'!C:C,C55,'Clientes Consolidado.'!B:B,"Fertilizer")
+SUMIFS('Clientes Consolidado.'!K:K,'Clientes Consolidado.'!C:C,C55,'Clientes Consolidado.'!B:B,"Additive")
+SUMIFS('Clientes Consolidado.'!K:K,'Clientes Consolidado.'!C:C,C55,'Clientes Consolidado.'!B:B,"Additive Intl.")</f>
        <v>0</v>
      </c>
      <c r="V55" s="19">
        <f>SUMIFS('Clientes Consolidado.'!L:L,'Clientes Consolidado.'!C:C,C55,'Clientes Consolidado.'!B:B,"Fertilizer")
+SUMIFS('Clientes Consolidado.'!L:L,'Clientes Consolidado.'!C:C,C55,'Clientes Consolidado.'!B:B,"Additive")
+SUMIFS('Clientes Consolidado.'!L:L,'Clientes Consolidado.'!C:C,C55,'Clientes Consolidado.'!B:B,"Additive Intl.")</f>
        <v>0</v>
      </c>
      <c r="W55" s="19">
        <f>SUMIFS('Clientes Consolidado.'!M:M,'Clientes Consolidado.'!C:C,C55,'Clientes Consolidado.'!B:B,"Fertilizer")
+SUMIFS('Clientes Consolidado.'!M:M,'Clientes Consolidado.'!C:C,C55,'Clientes Consolidado.'!B:B,"Additive")
+SUMIFS('Clientes Consolidado.'!M:M,'Clientes Consolidado.'!C:C,C55,'Clientes Consolidado.'!B:B,"Additive Intl.")</f>
        <v>0</v>
      </c>
      <c r="X55" s="19">
        <f>SUMIFS('Clientes Consolidado.'!N:N,'Clientes Consolidado.'!C:C,C55,'Clientes Consolidado.'!B:B,"Fertilizer")
+SUMIFS('Clientes Consolidado.'!N:N,'Clientes Consolidado.'!C:C,C55,'Clientes Consolidado.'!B:B,"Additive")
+SUMIFS('Clientes Consolidado.'!N:N,'Clientes Consolidado.'!C:C,C55,'Clientes Consolidado.'!B:B,"Additive Intl.")</f>
        <v>0</v>
      </c>
      <c r="Y55" s="19">
        <f>SUMIFS('Clientes Consolidado.'!O:O,'Clientes Consolidado.'!C:C,C55,'Clientes Consolidado.'!B:B,"Fertilizer")
+SUMIFS('Clientes Consolidado.'!O:O,'Clientes Consolidado.'!C:C,C55,'Clientes Consolidado.'!B:B,"Additive")
+SUMIFS('Clientes Consolidado.'!O:O,'Clientes Consolidado.'!C:C,C55,'Clientes Consolidado.'!B:B,"Additive Intl.")</f>
        <v>0</v>
      </c>
      <c r="Z55" s="19">
        <f>SUMIFS('Clientes Consolidado.'!P:P,'Clientes Consolidado.'!C:C,'Nova Versão '!C55,'Clientes Consolidado.'!B:B,"Fertilizer / Litigation")+SUMIFS('Clientes Consolidado.'!P:P,'Clientes Consolidado.'!C:C,'Nova Versão '!C55,'Clientes Consolidado.'!B:B,"Additive / Litigation")</f>
        <v>0</v>
      </c>
      <c r="AA55" s="94"/>
    </row>
    <row r="56" spans="1:27" x14ac:dyDescent="0.25">
      <c r="A56" s="32"/>
      <c r="B56" s="94" t="str">
        <f>_xlfn.XLOOKUP(C56,Planilha3!A:A,Planilha3!B:B)</f>
        <v>Additive Intl.</v>
      </c>
      <c r="C56" s="94" t="s">
        <v>129</v>
      </c>
      <c r="D56" s="19">
        <f>_xlfn.XLOOKUP(C56,'Limite de crédito'!C:C,'Limite de crédito'!G:G,0)</f>
        <v>687500</v>
      </c>
      <c r="E56" s="19">
        <f t="shared" si="5"/>
        <v>131960.06</v>
      </c>
      <c r="F56" s="19">
        <f>_xlfn.XLOOKUP('Nova Versão '!C56,'Limite de crédito'!C:C,'Limite de crédito'!O:O,0)</f>
        <v>687500</v>
      </c>
      <c r="G56" s="404">
        <f t="shared" si="6"/>
        <v>0</v>
      </c>
      <c r="H56" s="412" t="str">
        <f>_xlfn.XLOOKUP(C56,Planilha3!A:A,Planilha3!C:C)</f>
        <v>Guarantee or credit</v>
      </c>
      <c r="J56" s="19">
        <f t="shared" si="7"/>
        <v>131960.06</v>
      </c>
      <c r="K56" s="19">
        <f>_xlfn.XLOOKUP(C56,'Clientes Consolidado.'!$C:$C,'Clientes Consolidado.'!R:R,0)</f>
        <v>131960.06</v>
      </c>
      <c r="L56" s="19">
        <f>_xlfn.XLOOKUP(C56,'Clientes Consolidado.'!$C:$C,'Clientes Consolidado.'!S:S,0)</f>
        <v>0</v>
      </c>
      <c r="M56" s="19">
        <f>_xlfn.XLOOKUP(C56,'Clientes Consolidado.'!$C:$C,'Clientes Consolidado.'!T:T,0)</f>
        <v>0</v>
      </c>
      <c r="N56" s="19">
        <f>_xlfn.XLOOKUP(C56,'Clientes Consolidado.'!$C:$C,'Clientes Consolidado.'!U:U,0)</f>
        <v>0</v>
      </c>
      <c r="O56" s="19">
        <f>_xlfn.XLOOKUP(C56,'Clientes Consolidado.'!$C:$C,'Clientes Consolidado.'!V:V,0)</f>
        <v>0</v>
      </c>
      <c r="P56" s="19">
        <f>_xlfn.XLOOKUP(C56,'Clientes Consolidado.'!$C:$C,'Clientes Consolidado.'!W:W,0)</f>
        <v>0</v>
      </c>
      <c r="Q56" s="19">
        <f>_xlfn.XLOOKUP(C56,'Clientes Consolidado.'!$C:$C,'Clientes Consolidado.'!X:X,0)</f>
        <v>0</v>
      </c>
      <c r="R56" s="19">
        <f t="shared" si="4"/>
        <v>0</v>
      </c>
      <c r="S56" s="19">
        <f>SUMIFS('Clientes Consolidado.'!I:I,'Clientes Consolidado.'!C:C,C56,'Clientes Consolidado.'!B:B,"Fertilizer")
+SUMIFS('Clientes Consolidado.'!I:I,'Clientes Consolidado.'!C:C,C56,'Clientes Consolidado.'!B:B,"Additive")
+SUMIFS('Clientes Consolidado.'!I:I,'Clientes Consolidado.'!C:C,C56,'Clientes Consolidado.'!B:B,"Additive Intl.")</f>
        <v>0</v>
      </c>
      <c r="T56" s="19">
        <f>SUMIFS('Clientes Consolidado.'!J:J,'Clientes Consolidado.'!C:C,C56,'Clientes Consolidado.'!B:B,"Fertilizer")
+SUMIFS('Clientes Consolidado.'!J:J,'Clientes Consolidado.'!C:C,C56,'Clientes Consolidado.'!B:B,"Additive")
+SUMIFS('Clientes Consolidado.'!J:J,'Clientes Consolidado.'!C:C,C56,'Clientes Consolidado.'!B:B,"Additive Intl.")</f>
        <v>0</v>
      </c>
      <c r="U56" s="19">
        <f>SUMIFS('Clientes Consolidado.'!K:K,'Clientes Consolidado.'!C:C,C56,'Clientes Consolidado.'!B:B,"Fertilizer")
+SUMIFS('Clientes Consolidado.'!K:K,'Clientes Consolidado.'!C:C,C56,'Clientes Consolidado.'!B:B,"Additive")
+SUMIFS('Clientes Consolidado.'!K:K,'Clientes Consolidado.'!C:C,C56,'Clientes Consolidado.'!B:B,"Additive Intl.")</f>
        <v>0</v>
      </c>
      <c r="V56" s="19">
        <f>SUMIFS('Clientes Consolidado.'!L:L,'Clientes Consolidado.'!C:C,C56,'Clientes Consolidado.'!B:B,"Fertilizer")
+SUMIFS('Clientes Consolidado.'!L:L,'Clientes Consolidado.'!C:C,C56,'Clientes Consolidado.'!B:B,"Additive")
+SUMIFS('Clientes Consolidado.'!L:L,'Clientes Consolidado.'!C:C,C56,'Clientes Consolidado.'!B:B,"Additive Intl.")</f>
        <v>0</v>
      </c>
      <c r="W56" s="19">
        <f>SUMIFS('Clientes Consolidado.'!M:M,'Clientes Consolidado.'!C:C,C56,'Clientes Consolidado.'!B:B,"Fertilizer")
+SUMIFS('Clientes Consolidado.'!M:M,'Clientes Consolidado.'!C:C,C56,'Clientes Consolidado.'!B:B,"Additive")
+SUMIFS('Clientes Consolidado.'!M:M,'Clientes Consolidado.'!C:C,C56,'Clientes Consolidado.'!B:B,"Additive Intl.")</f>
        <v>0</v>
      </c>
      <c r="X56" s="19">
        <f>SUMIFS('Clientes Consolidado.'!N:N,'Clientes Consolidado.'!C:C,C56,'Clientes Consolidado.'!B:B,"Fertilizer")
+SUMIFS('Clientes Consolidado.'!N:N,'Clientes Consolidado.'!C:C,C56,'Clientes Consolidado.'!B:B,"Additive")
+SUMIFS('Clientes Consolidado.'!N:N,'Clientes Consolidado.'!C:C,C56,'Clientes Consolidado.'!B:B,"Additive Intl.")</f>
        <v>0</v>
      </c>
      <c r="Y56" s="19">
        <f>SUMIFS('Clientes Consolidado.'!O:O,'Clientes Consolidado.'!C:C,C56,'Clientes Consolidado.'!B:B,"Fertilizer")
+SUMIFS('Clientes Consolidado.'!O:O,'Clientes Consolidado.'!C:C,C56,'Clientes Consolidado.'!B:B,"Additive")
+SUMIFS('Clientes Consolidado.'!O:O,'Clientes Consolidado.'!C:C,C56,'Clientes Consolidado.'!B:B,"Additive Intl.")</f>
        <v>0</v>
      </c>
      <c r="Z56" s="19">
        <f>SUMIFS('Clientes Consolidado.'!P:P,'Clientes Consolidado.'!C:C,'Nova Versão '!C56,'Clientes Consolidado.'!B:B,"Fertilizer / Litigation")+SUMIFS('Clientes Consolidado.'!P:P,'Clientes Consolidado.'!C:C,'Nova Versão '!C56,'Clientes Consolidado.'!B:B,"Additive / Litigation")</f>
        <v>0</v>
      </c>
      <c r="AA56" s="94"/>
    </row>
    <row r="57" spans="1:27" x14ac:dyDescent="0.25">
      <c r="A57" s="32"/>
      <c r="B57" s="94" t="str">
        <f>_xlfn.XLOOKUP(C57,Planilha3!A:A,Planilha3!B:B)</f>
        <v>Fertilizer</v>
      </c>
      <c r="C57" s="94" t="s">
        <v>196</v>
      </c>
      <c r="D57" s="19">
        <f>_xlfn.XLOOKUP(C57,'Limite de crédito'!C:C,'Limite de crédito'!G:G,0)</f>
        <v>1500000</v>
      </c>
      <c r="E57" s="19">
        <f t="shared" si="5"/>
        <v>131680</v>
      </c>
      <c r="F57" s="19">
        <f>_xlfn.XLOOKUP('Nova Versão '!C57,'Limite de crédito'!C:C,'Limite de crédito'!O:O,0)</f>
        <v>660000</v>
      </c>
      <c r="G57" s="404">
        <f t="shared" si="6"/>
        <v>0</v>
      </c>
      <c r="H57" s="412" t="str">
        <f>_xlfn.XLOOKUP(C57,Planilha3!A:A,Planilha3!C:C)</f>
        <v>Guarantee or credit + Credit approved based on credit rating</v>
      </c>
      <c r="J57" s="19">
        <f t="shared" si="7"/>
        <v>131680</v>
      </c>
      <c r="K57" s="19">
        <f>_xlfn.XLOOKUP(C57,'Clientes Consolidado.'!$C:$C,'Clientes Consolidado.'!R:R,0)</f>
        <v>0</v>
      </c>
      <c r="L57" s="19">
        <f>_xlfn.XLOOKUP(C57,'Clientes Consolidado.'!$C:$C,'Clientes Consolidado.'!S:S,0)</f>
        <v>0</v>
      </c>
      <c r="M57" s="19">
        <f>_xlfn.XLOOKUP(C57,'Clientes Consolidado.'!$C:$C,'Clientes Consolidado.'!T:T,0)</f>
        <v>0</v>
      </c>
      <c r="N57" s="19">
        <f>_xlfn.XLOOKUP(C57,'Clientes Consolidado.'!$C:$C,'Clientes Consolidado.'!U:U,0)</f>
        <v>0</v>
      </c>
      <c r="O57" s="19">
        <f>_xlfn.XLOOKUP(C57,'Clientes Consolidado.'!$C:$C,'Clientes Consolidado.'!V:V,0)</f>
        <v>131680</v>
      </c>
      <c r="P57" s="19">
        <f>_xlfn.XLOOKUP(C57,'Clientes Consolidado.'!$C:$C,'Clientes Consolidado.'!W:W,0)</f>
        <v>0</v>
      </c>
      <c r="Q57" s="19">
        <f>_xlfn.XLOOKUP(C57,'Clientes Consolidado.'!$C:$C,'Clientes Consolidado.'!X:X,0)</f>
        <v>0</v>
      </c>
      <c r="R57" s="19">
        <f t="shared" si="4"/>
        <v>0</v>
      </c>
      <c r="S57" s="19">
        <f>SUMIFS('Clientes Consolidado.'!I:I,'Clientes Consolidado.'!C:C,C57,'Clientes Consolidado.'!B:B,"Fertilizer")
+SUMIFS('Clientes Consolidado.'!I:I,'Clientes Consolidado.'!C:C,C57,'Clientes Consolidado.'!B:B,"Additive")
+SUMIFS('Clientes Consolidado.'!I:I,'Clientes Consolidado.'!C:C,C57,'Clientes Consolidado.'!B:B,"Additive Intl.")</f>
        <v>0</v>
      </c>
      <c r="T57" s="19">
        <f>SUMIFS('Clientes Consolidado.'!J:J,'Clientes Consolidado.'!C:C,C57,'Clientes Consolidado.'!B:B,"Fertilizer")
+SUMIFS('Clientes Consolidado.'!J:J,'Clientes Consolidado.'!C:C,C57,'Clientes Consolidado.'!B:B,"Additive")
+SUMIFS('Clientes Consolidado.'!J:J,'Clientes Consolidado.'!C:C,C57,'Clientes Consolidado.'!B:B,"Additive Intl.")</f>
        <v>0</v>
      </c>
      <c r="U57" s="19">
        <f>SUMIFS('Clientes Consolidado.'!K:K,'Clientes Consolidado.'!C:C,C57,'Clientes Consolidado.'!B:B,"Fertilizer")
+SUMIFS('Clientes Consolidado.'!K:K,'Clientes Consolidado.'!C:C,C57,'Clientes Consolidado.'!B:B,"Additive")
+SUMIFS('Clientes Consolidado.'!K:K,'Clientes Consolidado.'!C:C,C57,'Clientes Consolidado.'!B:B,"Additive Intl.")</f>
        <v>0</v>
      </c>
      <c r="V57" s="19">
        <f>SUMIFS('Clientes Consolidado.'!L:L,'Clientes Consolidado.'!C:C,C57,'Clientes Consolidado.'!B:B,"Fertilizer")
+SUMIFS('Clientes Consolidado.'!L:L,'Clientes Consolidado.'!C:C,C57,'Clientes Consolidado.'!B:B,"Additive")
+SUMIFS('Clientes Consolidado.'!L:L,'Clientes Consolidado.'!C:C,C57,'Clientes Consolidado.'!B:B,"Additive Intl.")</f>
        <v>0</v>
      </c>
      <c r="W57" s="19">
        <f>SUMIFS('Clientes Consolidado.'!M:M,'Clientes Consolidado.'!C:C,C57,'Clientes Consolidado.'!B:B,"Fertilizer")
+SUMIFS('Clientes Consolidado.'!M:M,'Clientes Consolidado.'!C:C,C57,'Clientes Consolidado.'!B:B,"Additive")
+SUMIFS('Clientes Consolidado.'!M:M,'Clientes Consolidado.'!C:C,C57,'Clientes Consolidado.'!B:B,"Additive Intl.")</f>
        <v>0</v>
      </c>
      <c r="X57" s="19">
        <f>SUMIFS('Clientes Consolidado.'!N:N,'Clientes Consolidado.'!C:C,C57,'Clientes Consolidado.'!B:B,"Fertilizer")
+SUMIFS('Clientes Consolidado.'!N:N,'Clientes Consolidado.'!C:C,C57,'Clientes Consolidado.'!B:B,"Additive")
+SUMIFS('Clientes Consolidado.'!N:N,'Clientes Consolidado.'!C:C,C57,'Clientes Consolidado.'!B:B,"Additive Intl.")</f>
        <v>0</v>
      </c>
      <c r="Y57" s="19">
        <f>SUMIFS('Clientes Consolidado.'!O:O,'Clientes Consolidado.'!C:C,C57,'Clientes Consolidado.'!B:B,"Fertilizer")
+SUMIFS('Clientes Consolidado.'!O:O,'Clientes Consolidado.'!C:C,C57,'Clientes Consolidado.'!B:B,"Additive")
+SUMIFS('Clientes Consolidado.'!O:O,'Clientes Consolidado.'!C:C,C57,'Clientes Consolidado.'!B:B,"Additive Intl.")</f>
        <v>0</v>
      </c>
      <c r="Z57" s="19">
        <f>SUMIFS('Clientes Consolidado.'!P:P,'Clientes Consolidado.'!C:C,'Nova Versão '!C57,'Clientes Consolidado.'!B:B,"Fertilizer / Litigation")+SUMIFS('Clientes Consolidado.'!P:P,'Clientes Consolidado.'!C:C,'Nova Versão '!C57,'Clientes Consolidado.'!B:B,"Additive / Litigation")</f>
        <v>0</v>
      </c>
      <c r="AA57" s="94"/>
    </row>
    <row r="58" spans="1:27" x14ac:dyDescent="0.25">
      <c r="A58" s="32"/>
      <c r="B58" s="94" t="str">
        <f>_xlfn.XLOOKUP(C58,Planilha3!A:A,Planilha3!B:B)</f>
        <v>Additive</v>
      </c>
      <c r="C58" s="94" t="s">
        <v>712</v>
      </c>
      <c r="D58" s="19">
        <f>_xlfn.XLOOKUP(C58,'Limite de crédito'!C:C,'Limite de crédito'!G:G,0)</f>
        <v>3500000</v>
      </c>
      <c r="E58" s="19">
        <f t="shared" si="5"/>
        <v>105829.4</v>
      </c>
      <c r="F58" s="19">
        <f>_xlfn.XLOOKUP('Nova Versão '!C58,'Limite de crédito'!C:C,'Limite de crédito'!O:O,0)</f>
        <v>3500000</v>
      </c>
      <c r="G58" s="404">
        <f t="shared" si="6"/>
        <v>0</v>
      </c>
      <c r="H58" s="412" t="str">
        <f>_xlfn.XLOOKUP(C58,Planilha3!A:A,Planilha3!C:C)</f>
        <v>Guarantee or credit</v>
      </c>
      <c r="J58" s="19">
        <f t="shared" si="7"/>
        <v>105829.4</v>
      </c>
      <c r="K58" s="19">
        <f>_xlfn.XLOOKUP(C58,'Clientes Consolidado.'!$C:$C,'Clientes Consolidado.'!R:R,0)</f>
        <v>105829.4</v>
      </c>
      <c r="L58" s="19">
        <f>_xlfn.XLOOKUP(C58,'Clientes Consolidado.'!$C:$C,'Clientes Consolidado.'!S:S,0)</f>
        <v>0</v>
      </c>
      <c r="M58" s="19">
        <f>_xlfn.XLOOKUP(C58,'Clientes Consolidado.'!$C:$C,'Clientes Consolidado.'!T:T,0)</f>
        <v>0</v>
      </c>
      <c r="N58" s="19">
        <f>_xlfn.XLOOKUP(C58,'Clientes Consolidado.'!$C:$C,'Clientes Consolidado.'!U:U,0)</f>
        <v>0</v>
      </c>
      <c r="O58" s="19">
        <f>_xlfn.XLOOKUP(C58,'Clientes Consolidado.'!$C:$C,'Clientes Consolidado.'!V:V,0)</f>
        <v>0</v>
      </c>
      <c r="P58" s="19">
        <f>_xlfn.XLOOKUP(C58,'Clientes Consolidado.'!$C:$C,'Clientes Consolidado.'!W:W,0)</f>
        <v>0</v>
      </c>
      <c r="Q58" s="19">
        <f>_xlfn.XLOOKUP(C58,'Clientes Consolidado.'!$C:$C,'Clientes Consolidado.'!X:X,0)</f>
        <v>0</v>
      </c>
      <c r="R58" s="19">
        <f t="shared" si="4"/>
        <v>0</v>
      </c>
      <c r="S58" s="19">
        <f>SUMIFS('Clientes Consolidado.'!I:I,'Clientes Consolidado.'!C:C,C58,'Clientes Consolidado.'!B:B,"Fertilizer")
+SUMIFS('Clientes Consolidado.'!I:I,'Clientes Consolidado.'!C:C,C58,'Clientes Consolidado.'!B:B,"Additive")
+SUMIFS('Clientes Consolidado.'!I:I,'Clientes Consolidado.'!C:C,C58,'Clientes Consolidado.'!B:B,"Additive Intl.")</f>
        <v>0</v>
      </c>
      <c r="T58" s="19">
        <f>SUMIFS('Clientes Consolidado.'!J:J,'Clientes Consolidado.'!C:C,C58,'Clientes Consolidado.'!B:B,"Fertilizer")
+SUMIFS('Clientes Consolidado.'!J:J,'Clientes Consolidado.'!C:C,C58,'Clientes Consolidado.'!B:B,"Additive")
+SUMIFS('Clientes Consolidado.'!J:J,'Clientes Consolidado.'!C:C,C58,'Clientes Consolidado.'!B:B,"Additive Intl.")</f>
        <v>0</v>
      </c>
      <c r="U58" s="19">
        <f>SUMIFS('Clientes Consolidado.'!K:K,'Clientes Consolidado.'!C:C,C58,'Clientes Consolidado.'!B:B,"Fertilizer")
+SUMIFS('Clientes Consolidado.'!K:K,'Clientes Consolidado.'!C:C,C58,'Clientes Consolidado.'!B:B,"Additive")
+SUMIFS('Clientes Consolidado.'!K:K,'Clientes Consolidado.'!C:C,C58,'Clientes Consolidado.'!B:B,"Additive Intl.")</f>
        <v>0</v>
      </c>
      <c r="V58" s="19">
        <f>SUMIFS('Clientes Consolidado.'!L:L,'Clientes Consolidado.'!C:C,C58,'Clientes Consolidado.'!B:B,"Fertilizer")
+SUMIFS('Clientes Consolidado.'!L:L,'Clientes Consolidado.'!C:C,C58,'Clientes Consolidado.'!B:B,"Additive")
+SUMIFS('Clientes Consolidado.'!L:L,'Clientes Consolidado.'!C:C,C58,'Clientes Consolidado.'!B:B,"Additive Intl.")</f>
        <v>0</v>
      </c>
      <c r="W58" s="19">
        <f>SUMIFS('Clientes Consolidado.'!M:M,'Clientes Consolidado.'!C:C,C58,'Clientes Consolidado.'!B:B,"Fertilizer")
+SUMIFS('Clientes Consolidado.'!M:M,'Clientes Consolidado.'!C:C,C58,'Clientes Consolidado.'!B:B,"Additive")
+SUMIFS('Clientes Consolidado.'!M:M,'Clientes Consolidado.'!C:C,C58,'Clientes Consolidado.'!B:B,"Additive Intl.")</f>
        <v>0</v>
      </c>
      <c r="X58" s="19">
        <f>SUMIFS('Clientes Consolidado.'!N:N,'Clientes Consolidado.'!C:C,C58,'Clientes Consolidado.'!B:B,"Fertilizer")
+SUMIFS('Clientes Consolidado.'!N:N,'Clientes Consolidado.'!C:C,C58,'Clientes Consolidado.'!B:B,"Additive")
+SUMIFS('Clientes Consolidado.'!N:N,'Clientes Consolidado.'!C:C,C58,'Clientes Consolidado.'!B:B,"Additive Intl.")</f>
        <v>0</v>
      </c>
      <c r="Y58" s="19">
        <f>SUMIFS('Clientes Consolidado.'!O:O,'Clientes Consolidado.'!C:C,C58,'Clientes Consolidado.'!B:B,"Fertilizer")
+SUMIFS('Clientes Consolidado.'!O:O,'Clientes Consolidado.'!C:C,C58,'Clientes Consolidado.'!B:B,"Additive")
+SUMIFS('Clientes Consolidado.'!O:O,'Clientes Consolidado.'!C:C,C58,'Clientes Consolidado.'!B:B,"Additive Intl.")</f>
        <v>0</v>
      </c>
      <c r="Z58" s="19">
        <f>SUMIFS('Clientes Consolidado.'!P:P,'Clientes Consolidado.'!C:C,'Nova Versão '!C58,'Clientes Consolidado.'!B:B,"Fertilizer / Litigation")+SUMIFS('Clientes Consolidado.'!P:P,'Clientes Consolidado.'!C:C,'Nova Versão '!C58,'Clientes Consolidado.'!B:B,"Additive / Litigation")</f>
        <v>0</v>
      </c>
      <c r="AA58" s="94"/>
    </row>
    <row r="59" spans="1:27" x14ac:dyDescent="0.25">
      <c r="A59" s="32"/>
      <c r="B59" s="94" t="str">
        <f>_xlfn.XLOOKUP(C59,Planilha3!A:A,Planilha3!B:B)</f>
        <v>Additive Intl.</v>
      </c>
      <c r="C59" s="94" t="s">
        <v>531</v>
      </c>
      <c r="D59" s="19">
        <f>_xlfn.XLOOKUP(C59,'Limite de crédito'!C:C,'Limite de crédito'!G:G,0)</f>
        <v>1100000</v>
      </c>
      <c r="E59" s="19">
        <f t="shared" si="5"/>
        <v>103419.88999999998</v>
      </c>
      <c r="F59" s="19">
        <f>_xlfn.XLOOKUP('Nova Versão '!C59,'Limite de crédito'!C:C,'Limite de crédito'!O:O,0)</f>
        <v>550000</v>
      </c>
      <c r="G59" s="404">
        <f t="shared" si="6"/>
        <v>0</v>
      </c>
      <c r="H59" s="412" t="str">
        <f>_xlfn.XLOOKUP(C59,Planilha3!A:A,Planilha3!C:C)</f>
        <v>Guarantee or credit + Credit approved based on credit rating</v>
      </c>
      <c r="J59" s="19">
        <f t="shared" si="7"/>
        <v>103419.88999999998</v>
      </c>
      <c r="K59" s="19">
        <f>_xlfn.XLOOKUP(C59,'Clientes Consolidado.'!$C:$C,'Clientes Consolidado.'!R:R,0)</f>
        <v>103419.88999999998</v>
      </c>
      <c r="L59" s="19">
        <f>_xlfn.XLOOKUP(C59,'Clientes Consolidado.'!$C:$C,'Clientes Consolidado.'!S:S,0)</f>
        <v>0</v>
      </c>
      <c r="M59" s="19">
        <f>_xlfn.XLOOKUP(C59,'Clientes Consolidado.'!$C:$C,'Clientes Consolidado.'!T:T,0)</f>
        <v>0</v>
      </c>
      <c r="N59" s="19">
        <f>_xlfn.XLOOKUP(C59,'Clientes Consolidado.'!$C:$C,'Clientes Consolidado.'!U:U,0)</f>
        <v>0</v>
      </c>
      <c r="O59" s="19">
        <f>_xlfn.XLOOKUP(C59,'Clientes Consolidado.'!$C:$C,'Clientes Consolidado.'!V:V,0)</f>
        <v>0</v>
      </c>
      <c r="P59" s="19">
        <f>_xlfn.XLOOKUP(C59,'Clientes Consolidado.'!$C:$C,'Clientes Consolidado.'!W:W,0)</f>
        <v>0</v>
      </c>
      <c r="Q59" s="19">
        <f>_xlfn.XLOOKUP(C59,'Clientes Consolidado.'!$C:$C,'Clientes Consolidado.'!X:X,0)</f>
        <v>0</v>
      </c>
      <c r="R59" s="19">
        <f t="shared" si="4"/>
        <v>0</v>
      </c>
      <c r="S59" s="19">
        <f>SUMIFS('Clientes Consolidado.'!I:I,'Clientes Consolidado.'!C:C,C59,'Clientes Consolidado.'!B:B,"Fertilizer")
+SUMIFS('Clientes Consolidado.'!I:I,'Clientes Consolidado.'!C:C,C59,'Clientes Consolidado.'!B:B,"Additive")
+SUMIFS('Clientes Consolidado.'!I:I,'Clientes Consolidado.'!C:C,C59,'Clientes Consolidado.'!B:B,"Additive Intl.")</f>
        <v>0</v>
      </c>
      <c r="T59" s="19">
        <f>SUMIFS('Clientes Consolidado.'!J:J,'Clientes Consolidado.'!C:C,C59,'Clientes Consolidado.'!B:B,"Fertilizer")
+SUMIFS('Clientes Consolidado.'!J:J,'Clientes Consolidado.'!C:C,C59,'Clientes Consolidado.'!B:B,"Additive")
+SUMIFS('Clientes Consolidado.'!J:J,'Clientes Consolidado.'!C:C,C59,'Clientes Consolidado.'!B:B,"Additive Intl.")</f>
        <v>0</v>
      </c>
      <c r="U59" s="19">
        <f>SUMIFS('Clientes Consolidado.'!K:K,'Clientes Consolidado.'!C:C,C59,'Clientes Consolidado.'!B:B,"Fertilizer")
+SUMIFS('Clientes Consolidado.'!K:K,'Clientes Consolidado.'!C:C,C59,'Clientes Consolidado.'!B:B,"Additive")
+SUMIFS('Clientes Consolidado.'!K:K,'Clientes Consolidado.'!C:C,C59,'Clientes Consolidado.'!B:B,"Additive Intl.")</f>
        <v>0</v>
      </c>
      <c r="V59" s="19">
        <f>SUMIFS('Clientes Consolidado.'!L:L,'Clientes Consolidado.'!C:C,C59,'Clientes Consolidado.'!B:B,"Fertilizer")
+SUMIFS('Clientes Consolidado.'!L:L,'Clientes Consolidado.'!C:C,C59,'Clientes Consolidado.'!B:B,"Additive")
+SUMIFS('Clientes Consolidado.'!L:L,'Clientes Consolidado.'!C:C,C59,'Clientes Consolidado.'!B:B,"Additive Intl.")</f>
        <v>0</v>
      </c>
      <c r="W59" s="19">
        <f>SUMIFS('Clientes Consolidado.'!M:M,'Clientes Consolidado.'!C:C,C59,'Clientes Consolidado.'!B:B,"Fertilizer")
+SUMIFS('Clientes Consolidado.'!M:M,'Clientes Consolidado.'!C:C,C59,'Clientes Consolidado.'!B:B,"Additive")
+SUMIFS('Clientes Consolidado.'!M:M,'Clientes Consolidado.'!C:C,C59,'Clientes Consolidado.'!B:B,"Additive Intl.")</f>
        <v>0</v>
      </c>
      <c r="X59" s="19">
        <f>SUMIFS('Clientes Consolidado.'!N:N,'Clientes Consolidado.'!C:C,C59,'Clientes Consolidado.'!B:B,"Fertilizer")
+SUMIFS('Clientes Consolidado.'!N:N,'Clientes Consolidado.'!C:C,C59,'Clientes Consolidado.'!B:B,"Additive")
+SUMIFS('Clientes Consolidado.'!N:N,'Clientes Consolidado.'!C:C,C59,'Clientes Consolidado.'!B:B,"Additive Intl.")</f>
        <v>0</v>
      </c>
      <c r="Y59" s="19">
        <f>SUMIFS('Clientes Consolidado.'!O:O,'Clientes Consolidado.'!C:C,C59,'Clientes Consolidado.'!B:B,"Fertilizer")
+SUMIFS('Clientes Consolidado.'!O:O,'Clientes Consolidado.'!C:C,C59,'Clientes Consolidado.'!B:B,"Additive")
+SUMIFS('Clientes Consolidado.'!O:O,'Clientes Consolidado.'!C:C,C59,'Clientes Consolidado.'!B:B,"Additive Intl.")</f>
        <v>0</v>
      </c>
      <c r="Z59" s="19">
        <f>SUMIFS('Clientes Consolidado.'!P:P,'Clientes Consolidado.'!C:C,'Nova Versão '!C59,'Clientes Consolidado.'!B:B,"Fertilizer / Litigation")+SUMIFS('Clientes Consolidado.'!P:P,'Clientes Consolidado.'!C:C,'Nova Versão '!C59,'Clientes Consolidado.'!B:B,"Additive / Litigation")</f>
        <v>0</v>
      </c>
      <c r="AA59" s="94"/>
    </row>
    <row r="60" spans="1:27" x14ac:dyDescent="0.25">
      <c r="A60" s="32"/>
      <c r="B60" s="94" t="str">
        <f>_xlfn.XLOOKUP(C60,Planilha3!A:A,Planilha3!B:B)</f>
        <v>Additive Intl.</v>
      </c>
      <c r="C60" s="94" t="s">
        <v>392</v>
      </c>
      <c r="D60" s="19">
        <f>_xlfn.XLOOKUP(C60,'Limite de crédito'!C:C,'Limite de crédito'!G:G,0)</f>
        <v>605000</v>
      </c>
      <c r="E60" s="19">
        <f t="shared" si="5"/>
        <v>92361.18</v>
      </c>
      <c r="F60" s="19">
        <f>_xlfn.XLOOKUP('Nova Versão '!C60,'Limite de crédito'!C:C,'Limite de crédito'!O:O,0)</f>
        <v>605000</v>
      </c>
      <c r="G60" s="404">
        <f t="shared" si="6"/>
        <v>0</v>
      </c>
      <c r="H60" s="412" t="str">
        <f>_xlfn.XLOOKUP(C60,Planilha3!A:A,Planilha3!C:C)</f>
        <v>Guarantee or credit</v>
      </c>
      <c r="J60" s="19">
        <f t="shared" si="7"/>
        <v>92361.18</v>
      </c>
      <c r="K60" s="19">
        <f>_xlfn.XLOOKUP(C60,'Clientes Consolidado.'!$C:$C,'Clientes Consolidado.'!R:R,0)</f>
        <v>0</v>
      </c>
      <c r="L60" s="19">
        <f>_xlfn.XLOOKUP(C60,'Clientes Consolidado.'!$C:$C,'Clientes Consolidado.'!S:S,0)</f>
        <v>92361.18</v>
      </c>
      <c r="M60" s="19">
        <f>_xlfn.XLOOKUP(C60,'Clientes Consolidado.'!$C:$C,'Clientes Consolidado.'!T:T,0)</f>
        <v>0</v>
      </c>
      <c r="N60" s="19">
        <f>_xlfn.XLOOKUP(C60,'Clientes Consolidado.'!$C:$C,'Clientes Consolidado.'!U:U,0)</f>
        <v>0</v>
      </c>
      <c r="O60" s="19">
        <f>_xlfn.XLOOKUP(C60,'Clientes Consolidado.'!$C:$C,'Clientes Consolidado.'!V:V,0)</f>
        <v>0</v>
      </c>
      <c r="P60" s="19">
        <f>_xlfn.XLOOKUP(C60,'Clientes Consolidado.'!$C:$C,'Clientes Consolidado.'!W:W,0)</f>
        <v>0</v>
      </c>
      <c r="Q60" s="19">
        <f>_xlfn.XLOOKUP(C60,'Clientes Consolidado.'!$C:$C,'Clientes Consolidado.'!X:X,0)</f>
        <v>0</v>
      </c>
      <c r="R60" s="19">
        <f t="shared" si="4"/>
        <v>0</v>
      </c>
      <c r="S60" s="19">
        <f>SUMIFS('Clientes Consolidado.'!I:I,'Clientes Consolidado.'!C:C,C60,'Clientes Consolidado.'!B:B,"Fertilizer")
+SUMIFS('Clientes Consolidado.'!I:I,'Clientes Consolidado.'!C:C,C60,'Clientes Consolidado.'!B:B,"Additive")
+SUMIFS('Clientes Consolidado.'!I:I,'Clientes Consolidado.'!C:C,C60,'Clientes Consolidado.'!B:B,"Additive Intl.")</f>
        <v>0</v>
      </c>
      <c r="T60" s="19">
        <f>SUMIFS('Clientes Consolidado.'!J:J,'Clientes Consolidado.'!C:C,C60,'Clientes Consolidado.'!B:B,"Fertilizer")
+SUMIFS('Clientes Consolidado.'!J:J,'Clientes Consolidado.'!C:C,C60,'Clientes Consolidado.'!B:B,"Additive")
+SUMIFS('Clientes Consolidado.'!J:J,'Clientes Consolidado.'!C:C,C60,'Clientes Consolidado.'!B:B,"Additive Intl.")</f>
        <v>0</v>
      </c>
      <c r="U60" s="19">
        <f>SUMIFS('Clientes Consolidado.'!K:K,'Clientes Consolidado.'!C:C,C60,'Clientes Consolidado.'!B:B,"Fertilizer")
+SUMIFS('Clientes Consolidado.'!K:K,'Clientes Consolidado.'!C:C,C60,'Clientes Consolidado.'!B:B,"Additive")
+SUMIFS('Clientes Consolidado.'!K:K,'Clientes Consolidado.'!C:C,C60,'Clientes Consolidado.'!B:B,"Additive Intl.")</f>
        <v>0</v>
      </c>
      <c r="V60" s="19">
        <f>SUMIFS('Clientes Consolidado.'!L:L,'Clientes Consolidado.'!C:C,C60,'Clientes Consolidado.'!B:B,"Fertilizer")
+SUMIFS('Clientes Consolidado.'!L:L,'Clientes Consolidado.'!C:C,C60,'Clientes Consolidado.'!B:B,"Additive")
+SUMIFS('Clientes Consolidado.'!L:L,'Clientes Consolidado.'!C:C,C60,'Clientes Consolidado.'!B:B,"Additive Intl.")</f>
        <v>0</v>
      </c>
      <c r="W60" s="19">
        <f>SUMIFS('Clientes Consolidado.'!M:M,'Clientes Consolidado.'!C:C,C60,'Clientes Consolidado.'!B:B,"Fertilizer")
+SUMIFS('Clientes Consolidado.'!M:M,'Clientes Consolidado.'!C:C,C60,'Clientes Consolidado.'!B:B,"Additive")
+SUMIFS('Clientes Consolidado.'!M:M,'Clientes Consolidado.'!C:C,C60,'Clientes Consolidado.'!B:B,"Additive Intl.")</f>
        <v>0</v>
      </c>
      <c r="X60" s="19">
        <f>SUMIFS('Clientes Consolidado.'!N:N,'Clientes Consolidado.'!C:C,C60,'Clientes Consolidado.'!B:B,"Fertilizer")
+SUMIFS('Clientes Consolidado.'!N:N,'Clientes Consolidado.'!C:C,C60,'Clientes Consolidado.'!B:B,"Additive")
+SUMIFS('Clientes Consolidado.'!N:N,'Clientes Consolidado.'!C:C,C60,'Clientes Consolidado.'!B:B,"Additive Intl.")</f>
        <v>0</v>
      </c>
      <c r="Y60" s="19">
        <f>SUMIFS('Clientes Consolidado.'!O:O,'Clientes Consolidado.'!C:C,C60,'Clientes Consolidado.'!B:B,"Fertilizer")
+SUMIFS('Clientes Consolidado.'!O:O,'Clientes Consolidado.'!C:C,C60,'Clientes Consolidado.'!B:B,"Additive")
+SUMIFS('Clientes Consolidado.'!O:O,'Clientes Consolidado.'!C:C,C60,'Clientes Consolidado.'!B:B,"Additive Intl.")</f>
        <v>0</v>
      </c>
      <c r="Z60" s="19">
        <f>SUMIFS('Clientes Consolidado.'!P:P,'Clientes Consolidado.'!C:C,'Nova Versão '!C60,'Clientes Consolidado.'!B:B,"Fertilizer / Litigation")+SUMIFS('Clientes Consolidado.'!P:P,'Clientes Consolidado.'!C:C,'Nova Versão '!C60,'Clientes Consolidado.'!B:B,"Additive / Litigation")</f>
        <v>0</v>
      </c>
      <c r="AA60" s="94"/>
    </row>
    <row r="61" spans="1:27" x14ac:dyDescent="0.25">
      <c r="A61" s="32"/>
      <c r="B61" s="94" t="str">
        <f>_xlfn.XLOOKUP(C61,Planilha3!A:A,Planilha3!B:B)</f>
        <v>Additive Intl.</v>
      </c>
      <c r="C61" s="94" t="s">
        <v>304</v>
      </c>
      <c r="D61" s="19">
        <f>_xlfn.XLOOKUP(C61,'Limite de crédito'!C:C,'Limite de crédito'!G:G,0)</f>
        <v>550000</v>
      </c>
      <c r="E61" s="19">
        <f t="shared" si="5"/>
        <v>86689.1</v>
      </c>
      <c r="F61" s="19">
        <f>_xlfn.XLOOKUP('Nova Versão '!C61,'Limite de crédito'!C:C,'Limite de crédito'!O:O,0)</f>
        <v>550000</v>
      </c>
      <c r="G61" s="404">
        <f t="shared" si="6"/>
        <v>0</v>
      </c>
      <c r="H61" s="412" t="str">
        <f>_xlfn.XLOOKUP(C61,Planilha3!A:A,Planilha3!C:C)</f>
        <v>Guarantee or credit</v>
      </c>
      <c r="J61" s="19">
        <f t="shared" si="7"/>
        <v>86689.1</v>
      </c>
      <c r="K61" s="19">
        <f>_xlfn.XLOOKUP(C61,'Clientes Consolidado.'!$C:$C,'Clientes Consolidado.'!R:R,0)</f>
        <v>86689.1</v>
      </c>
      <c r="L61" s="19">
        <f>_xlfn.XLOOKUP(C61,'Clientes Consolidado.'!$C:$C,'Clientes Consolidado.'!S:S,0)</f>
        <v>0</v>
      </c>
      <c r="M61" s="19">
        <f>_xlfn.XLOOKUP(C61,'Clientes Consolidado.'!$C:$C,'Clientes Consolidado.'!T:T,0)</f>
        <v>0</v>
      </c>
      <c r="N61" s="19">
        <f>_xlfn.XLOOKUP(C61,'Clientes Consolidado.'!$C:$C,'Clientes Consolidado.'!U:U,0)</f>
        <v>0</v>
      </c>
      <c r="O61" s="19">
        <f>_xlfn.XLOOKUP(C61,'Clientes Consolidado.'!$C:$C,'Clientes Consolidado.'!V:V,0)</f>
        <v>0</v>
      </c>
      <c r="P61" s="19">
        <f>_xlfn.XLOOKUP(C61,'Clientes Consolidado.'!$C:$C,'Clientes Consolidado.'!W:W,0)</f>
        <v>0</v>
      </c>
      <c r="Q61" s="19">
        <f>_xlfn.XLOOKUP(C61,'Clientes Consolidado.'!$C:$C,'Clientes Consolidado.'!X:X,0)</f>
        <v>0</v>
      </c>
      <c r="R61" s="19">
        <f t="shared" si="4"/>
        <v>0</v>
      </c>
      <c r="S61" s="19">
        <f>SUMIFS('Clientes Consolidado.'!I:I,'Clientes Consolidado.'!C:C,C61,'Clientes Consolidado.'!B:B,"Fertilizer")
+SUMIFS('Clientes Consolidado.'!I:I,'Clientes Consolidado.'!C:C,C61,'Clientes Consolidado.'!B:B,"Additive")
+SUMIFS('Clientes Consolidado.'!I:I,'Clientes Consolidado.'!C:C,C61,'Clientes Consolidado.'!B:B,"Additive Intl.")</f>
        <v>0</v>
      </c>
      <c r="T61" s="19">
        <f>SUMIFS('Clientes Consolidado.'!J:J,'Clientes Consolidado.'!C:C,C61,'Clientes Consolidado.'!B:B,"Fertilizer")
+SUMIFS('Clientes Consolidado.'!J:J,'Clientes Consolidado.'!C:C,C61,'Clientes Consolidado.'!B:B,"Additive")
+SUMIFS('Clientes Consolidado.'!J:J,'Clientes Consolidado.'!C:C,C61,'Clientes Consolidado.'!B:B,"Additive Intl.")</f>
        <v>0</v>
      </c>
      <c r="U61" s="19">
        <f>SUMIFS('Clientes Consolidado.'!K:K,'Clientes Consolidado.'!C:C,C61,'Clientes Consolidado.'!B:B,"Fertilizer")
+SUMIFS('Clientes Consolidado.'!K:K,'Clientes Consolidado.'!C:C,C61,'Clientes Consolidado.'!B:B,"Additive")
+SUMIFS('Clientes Consolidado.'!K:K,'Clientes Consolidado.'!C:C,C61,'Clientes Consolidado.'!B:B,"Additive Intl.")</f>
        <v>0</v>
      </c>
      <c r="V61" s="19">
        <f>SUMIFS('Clientes Consolidado.'!L:L,'Clientes Consolidado.'!C:C,C61,'Clientes Consolidado.'!B:B,"Fertilizer")
+SUMIFS('Clientes Consolidado.'!L:L,'Clientes Consolidado.'!C:C,C61,'Clientes Consolidado.'!B:B,"Additive")
+SUMIFS('Clientes Consolidado.'!L:L,'Clientes Consolidado.'!C:C,C61,'Clientes Consolidado.'!B:B,"Additive Intl.")</f>
        <v>0</v>
      </c>
      <c r="W61" s="19">
        <f>SUMIFS('Clientes Consolidado.'!M:M,'Clientes Consolidado.'!C:C,C61,'Clientes Consolidado.'!B:B,"Fertilizer")
+SUMIFS('Clientes Consolidado.'!M:M,'Clientes Consolidado.'!C:C,C61,'Clientes Consolidado.'!B:B,"Additive")
+SUMIFS('Clientes Consolidado.'!M:M,'Clientes Consolidado.'!C:C,C61,'Clientes Consolidado.'!B:B,"Additive Intl.")</f>
        <v>0</v>
      </c>
      <c r="X61" s="19">
        <f>SUMIFS('Clientes Consolidado.'!N:N,'Clientes Consolidado.'!C:C,C61,'Clientes Consolidado.'!B:B,"Fertilizer")
+SUMIFS('Clientes Consolidado.'!N:N,'Clientes Consolidado.'!C:C,C61,'Clientes Consolidado.'!B:B,"Additive")
+SUMIFS('Clientes Consolidado.'!N:N,'Clientes Consolidado.'!C:C,C61,'Clientes Consolidado.'!B:B,"Additive Intl.")</f>
        <v>0</v>
      </c>
      <c r="Y61" s="19">
        <f>SUMIFS('Clientes Consolidado.'!O:O,'Clientes Consolidado.'!C:C,C61,'Clientes Consolidado.'!B:B,"Fertilizer")
+SUMIFS('Clientes Consolidado.'!O:O,'Clientes Consolidado.'!C:C,C61,'Clientes Consolidado.'!B:B,"Additive")
+SUMIFS('Clientes Consolidado.'!O:O,'Clientes Consolidado.'!C:C,C61,'Clientes Consolidado.'!B:B,"Additive Intl.")</f>
        <v>0</v>
      </c>
      <c r="Z61" s="19">
        <f>SUMIFS('Clientes Consolidado.'!P:P,'Clientes Consolidado.'!C:C,'Nova Versão '!C61,'Clientes Consolidado.'!B:B,"Fertilizer / Litigation")+SUMIFS('Clientes Consolidado.'!P:P,'Clientes Consolidado.'!C:C,'Nova Versão '!C61,'Clientes Consolidado.'!B:B,"Additive / Litigation")</f>
        <v>0</v>
      </c>
      <c r="AA61" s="94"/>
    </row>
    <row r="62" spans="1:27" x14ac:dyDescent="0.25">
      <c r="A62" s="32"/>
      <c r="B62" s="94" t="str">
        <f>_xlfn.XLOOKUP(C62,Planilha3!A:A,Planilha3!B:B)</f>
        <v>Additive</v>
      </c>
      <c r="C62" s="94" t="s">
        <v>485</v>
      </c>
      <c r="D62" s="19">
        <f>_xlfn.XLOOKUP(C62,'Limite de crédito'!C:C,'Limite de crédito'!G:G,0)</f>
        <v>2500000</v>
      </c>
      <c r="E62" s="19">
        <f t="shared" si="5"/>
        <v>80079.3</v>
      </c>
      <c r="F62" s="19">
        <f>_xlfn.XLOOKUP('Nova Versão '!C62,'Limite de crédito'!C:C,'Limite de crédito'!O:O,0)</f>
        <v>2500000</v>
      </c>
      <c r="G62" s="404">
        <f t="shared" si="6"/>
        <v>0</v>
      </c>
      <c r="H62" s="412" t="str">
        <f>_xlfn.XLOOKUP(C62,Planilha3!A:A,Planilha3!C:C)</f>
        <v>Guarantee or credit</v>
      </c>
      <c r="J62" s="19">
        <f t="shared" si="7"/>
        <v>80079.3</v>
      </c>
      <c r="K62" s="19">
        <f>_xlfn.XLOOKUP(C62,'Clientes Consolidado.'!$C:$C,'Clientes Consolidado.'!R:R,0)</f>
        <v>80079.3</v>
      </c>
      <c r="L62" s="19">
        <f>_xlfn.XLOOKUP(C62,'Clientes Consolidado.'!$C:$C,'Clientes Consolidado.'!S:S,0)</f>
        <v>0</v>
      </c>
      <c r="M62" s="19">
        <f>_xlfn.XLOOKUP(C62,'Clientes Consolidado.'!$C:$C,'Clientes Consolidado.'!T:T,0)</f>
        <v>0</v>
      </c>
      <c r="N62" s="19">
        <f>_xlfn.XLOOKUP(C62,'Clientes Consolidado.'!$C:$C,'Clientes Consolidado.'!U:U,0)</f>
        <v>0</v>
      </c>
      <c r="O62" s="19">
        <f>_xlfn.XLOOKUP(C62,'Clientes Consolidado.'!$C:$C,'Clientes Consolidado.'!V:V,0)</f>
        <v>0</v>
      </c>
      <c r="P62" s="19">
        <f>_xlfn.XLOOKUP(C62,'Clientes Consolidado.'!$C:$C,'Clientes Consolidado.'!W:W,0)</f>
        <v>0</v>
      </c>
      <c r="Q62" s="19">
        <f>_xlfn.XLOOKUP(C62,'Clientes Consolidado.'!$C:$C,'Clientes Consolidado.'!X:X,0)</f>
        <v>0</v>
      </c>
      <c r="R62" s="19">
        <f t="shared" si="4"/>
        <v>0</v>
      </c>
      <c r="S62" s="19">
        <f>SUMIFS('Clientes Consolidado.'!I:I,'Clientes Consolidado.'!C:C,C62,'Clientes Consolidado.'!B:B,"Fertilizer")
+SUMIFS('Clientes Consolidado.'!I:I,'Clientes Consolidado.'!C:C,C62,'Clientes Consolidado.'!B:B,"Additive")
+SUMIFS('Clientes Consolidado.'!I:I,'Clientes Consolidado.'!C:C,C62,'Clientes Consolidado.'!B:B,"Additive Intl.")</f>
        <v>0</v>
      </c>
      <c r="T62" s="19">
        <f>SUMIFS('Clientes Consolidado.'!J:J,'Clientes Consolidado.'!C:C,C62,'Clientes Consolidado.'!B:B,"Fertilizer")
+SUMIFS('Clientes Consolidado.'!J:J,'Clientes Consolidado.'!C:C,C62,'Clientes Consolidado.'!B:B,"Additive")
+SUMIFS('Clientes Consolidado.'!J:J,'Clientes Consolidado.'!C:C,C62,'Clientes Consolidado.'!B:B,"Additive Intl.")</f>
        <v>0</v>
      </c>
      <c r="U62" s="19">
        <f>SUMIFS('Clientes Consolidado.'!K:K,'Clientes Consolidado.'!C:C,C62,'Clientes Consolidado.'!B:B,"Fertilizer")
+SUMIFS('Clientes Consolidado.'!K:K,'Clientes Consolidado.'!C:C,C62,'Clientes Consolidado.'!B:B,"Additive")
+SUMIFS('Clientes Consolidado.'!K:K,'Clientes Consolidado.'!C:C,C62,'Clientes Consolidado.'!B:B,"Additive Intl.")</f>
        <v>0</v>
      </c>
      <c r="V62" s="19">
        <f>SUMIFS('Clientes Consolidado.'!L:L,'Clientes Consolidado.'!C:C,C62,'Clientes Consolidado.'!B:B,"Fertilizer")
+SUMIFS('Clientes Consolidado.'!L:L,'Clientes Consolidado.'!C:C,C62,'Clientes Consolidado.'!B:B,"Additive")
+SUMIFS('Clientes Consolidado.'!L:L,'Clientes Consolidado.'!C:C,C62,'Clientes Consolidado.'!B:B,"Additive Intl.")</f>
        <v>0</v>
      </c>
      <c r="W62" s="19">
        <f>SUMIFS('Clientes Consolidado.'!M:M,'Clientes Consolidado.'!C:C,C62,'Clientes Consolidado.'!B:B,"Fertilizer")
+SUMIFS('Clientes Consolidado.'!M:M,'Clientes Consolidado.'!C:C,C62,'Clientes Consolidado.'!B:B,"Additive")
+SUMIFS('Clientes Consolidado.'!M:M,'Clientes Consolidado.'!C:C,C62,'Clientes Consolidado.'!B:B,"Additive Intl.")</f>
        <v>0</v>
      </c>
      <c r="X62" s="19">
        <f>SUMIFS('Clientes Consolidado.'!N:N,'Clientes Consolidado.'!C:C,C62,'Clientes Consolidado.'!B:B,"Fertilizer")
+SUMIFS('Clientes Consolidado.'!N:N,'Clientes Consolidado.'!C:C,C62,'Clientes Consolidado.'!B:B,"Additive")
+SUMIFS('Clientes Consolidado.'!N:N,'Clientes Consolidado.'!C:C,C62,'Clientes Consolidado.'!B:B,"Additive Intl.")</f>
        <v>0</v>
      </c>
      <c r="Y62" s="19">
        <f>SUMIFS('Clientes Consolidado.'!O:O,'Clientes Consolidado.'!C:C,C62,'Clientes Consolidado.'!B:B,"Fertilizer")
+SUMIFS('Clientes Consolidado.'!O:O,'Clientes Consolidado.'!C:C,C62,'Clientes Consolidado.'!B:B,"Additive")
+SUMIFS('Clientes Consolidado.'!O:O,'Clientes Consolidado.'!C:C,C62,'Clientes Consolidado.'!B:B,"Additive Intl.")</f>
        <v>0</v>
      </c>
      <c r="Z62" s="19">
        <f>SUMIFS('Clientes Consolidado.'!P:P,'Clientes Consolidado.'!C:C,'Nova Versão '!C62,'Clientes Consolidado.'!B:B,"Fertilizer / Litigation")+SUMIFS('Clientes Consolidado.'!P:P,'Clientes Consolidado.'!C:C,'Nova Versão '!C62,'Clientes Consolidado.'!B:B,"Additive / Litigation")</f>
        <v>0</v>
      </c>
      <c r="AA62" s="94"/>
    </row>
    <row r="63" spans="1:27" x14ac:dyDescent="0.25">
      <c r="A63" s="32"/>
      <c r="B63" s="94" t="str">
        <f>_xlfn.XLOOKUP(C63,Planilha3!A:A,Planilha3!B:B)</f>
        <v>Additive Intl.</v>
      </c>
      <c r="C63" s="94" t="s">
        <v>489</v>
      </c>
      <c r="D63" s="19">
        <f>_xlfn.XLOOKUP(C63,'Limite de crédito'!C:C,'Limite de crédito'!G:G,0)</f>
        <v>302500</v>
      </c>
      <c r="E63" s="19">
        <f t="shared" si="5"/>
        <v>76480.23</v>
      </c>
      <c r="F63" s="19">
        <f>_xlfn.XLOOKUP('Nova Versão '!C63,'Limite de crédito'!C:C,'Limite de crédito'!O:O,0)</f>
        <v>302500</v>
      </c>
      <c r="G63" s="404">
        <f t="shared" si="6"/>
        <v>0</v>
      </c>
      <c r="H63" s="412" t="str">
        <f>_xlfn.XLOOKUP(C63,Planilha3!A:A,Planilha3!C:C)</f>
        <v>Guarantee or credit</v>
      </c>
      <c r="J63" s="19">
        <f t="shared" si="7"/>
        <v>76480.23</v>
      </c>
      <c r="K63" s="19">
        <f>_xlfn.XLOOKUP(C63,'Clientes Consolidado.'!$C:$C,'Clientes Consolidado.'!R:R,0)</f>
        <v>0</v>
      </c>
      <c r="L63" s="19">
        <f>_xlfn.XLOOKUP(C63,'Clientes Consolidado.'!$C:$C,'Clientes Consolidado.'!S:S,0)</f>
        <v>0</v>
      </c>
      <c r="M63" s="19">
        <f>_xlfn.XLOOKUP(C63,'Clientes Consolidado.'!$C:$C,'Clientes Consolidado.'!T:T,0)</f>
        <v>0</v>
      </c>
      <c r="N63" s="19">
        <f>_xlfn.XLOOKUP(C63,'Clientes Consolidado.'!$C:$C,'Clientes Consolidado.'!U:U,0)</f>
        <v>0</v>
      </c>
      <c r="O63" s="19">
        <f>_xlfn.XLOOKUP(C63,'Clientes Consolidado.'!$C:$C,'Clientes Consolidado.'!V:V,0)</f>
        <v>0</v>
      </c>
      <c r="P63" s="19">
        <f>_xlfn.XLOOKUP(C63,'Clientes Consolidado.'!$C:$C,'Clientes Consolidado.'!W:W,0)</f>
        <v>76480.23</v>
      </c>
      <c r="Q63" s="19">
        <f>_xlfn.XLOOKUP(C63,'Clientes Consolidado.'!$C:$C,'Clientes Consolidado.'!X:X,0)</f>
        <v>0</v>
      </c>
      <c r="R63" s="19">
        <f t="shared" si="4"/>
        <v>0</v>
      </c>
      <c r="S63" s="19">
        <f>SUMIFS('Clientes Consolidado.'!I:I,'Clientes Consolidado.'!C:C,C63,'Clientes Consolidado.'!B:B,"Fertilizer")
+SUMIFS('Clientes Consolidado.'!I:I,'Clientes Consolidado.'!C:C,C63,'Clientes Consolidado.'!B:B,"Additive")
+SUMIFS('Clientes Consolidado.'!I:I,'Clientes Consolidado.'!C:C,C63,'Clientes Consolidado.'!B:B,"Additive Intl.")</f>
        <v>0</v>
      </c>
      <c r="T63" s="19">
        <f>SUMIFS('Clientes Consolidado.'!J:J,'Clientes Consolidado.'!C:C,C63,'Clientes Consolidado.'!B:B,"Fertilizer")
+SUMIFS('Clientes Consolidado.'!J:J,'Clientes Consolidado.'!C:C,C63,'Clientes Consolidado.'!B:B,"Additive")
+SUMIFS('Clientes Consolidado.'!J:J,'Clientes Consolidado.'!C:C,C63,'Clientes Consolidado.'!B:B,"Additive Intl.")</f>
        <v>0</v>
      </c>
      <c r="U63" s="19">
        <f>SUMIFS('Clientes Consolidado.'!K:K,'Clientes Consolidado.'!C:C,C63,'Clientes Consolidado.'!B:B,"Fertilizer")
+SUMIFS('Clientes Consolidado.'!K:K,'Clientes Consolidado.'!C:C,C63,'Clientes Consolidado.'!B:B,"Additive")
+SUMIFS('Clientes Consolidado.'!K:K,'Clientes Consolidado.'!C:C,C63,'Clientes Consolidado.'!B:B,"Additive Intl.")</f>
        <v>0</v>
      </c>
      <c r="V63" s="19">
        <f>SUMIFS('Clientes Consolidado.'!L:L,'Clientes Consolidado.'!C:C,C63,'Clientes Consolidado.'!B:B,"Fertilizer")
+SUMIFS('Clientes Consolidado.'!L:L,'Clientes Consolidado.'!C:C,C63,'Clientes Consolidado.'!B:B,"Additive")
+SUMIFS('Clientes Consolidado.'!L:L,'Clientes Consolidado.'!C:C,C63,'Clientes Consolidado.'!B:B,"Additive Intl.")</f>
        <v>0</v>
      </c>
      <c r="W63" s="19">
        <f>SUMIFS('Clientes Consolidado.'!M:M,'Clientes Consolidado.'!C:C,C63,'Clientes Consolidado.'!B:B,"Fertilizer")
+SUMIFS('Clientes Consolidado.'!M:M,'Clientes Consolidado.'!C:C,C63,'Clientes Consolidado.'!B:B,"Additive")
+SUMIFS('Clientes Consolidado.'!M:M,'Clientes Consolidado.'!C:C,C63,'Clientes Consolidado.'!B:B,"Additive Intl.")</f>
        <v>0</v>
      </c>
      <c r="X63" s="19">
        <f>SUMIFS('Clientes Consolidado.'!N:N,'Clientes Consolidado.'!C:C,C63,'Clientes Consolidado.'!B:B,"Fertilizer")
+SUMIFS('Clientes Consolidado.'!N:N,'Clientes Consolidado.'!C:C,C63,'Clientes Consolidado.'!B:B,"Additive")
+SUMIFS('Clientes Consolidado.'!N:N,'Clientes Consolidado.'!C:C,C63,'Clientes Consolidado.'!B:B,"Additive Intl.")</f>
        <v>0</v>
      </c>
      <c r="Y63" s="19">
        <f>SUMIFS('Clientes Consolidado.'!O:O,'Clientes Consolidado.'!C:C,C63,'Clientes Consolidado.'!B:B,"Fertilizer")
+SUMIFS('Clientes Consolidado.'!O:O,'Clientes Consolidado.'!C:C,C63,'Clientes Consolidado.'!B:B,"Additive")
+SUMIFS('Clientes Consolidado.'!O:O,'Clientes Consolidado.'!C:C,C63,'Clientes Consolidado.'!B:B,"Additive Intl.")</f>
        <v>0</v>
      </c>
      <c r="Z63" s="19">
        <f>SUMIFS('Clientes Consolidado.'!P:P,'Clientes Consolidado.'!C:C,'Nova Versão '!C63,'Clientes Consolidado.'!B:B,"Fertilizer / Litigation")+SUMIFS('Clientes Consolidado.'!P:P,'Clientes Consolidado.'!C:C,'Nova Versão '!C63,'Clientes Consolidado.'!B:B,"Additive / Litigation")</f>
        <v>0</v>
      </c>
      <c r="AA63" s="94"/>
    </row>
    <row r="64" spans="1:27" x14ac:dyDescent="0.25">
      <c r="A64" s="32"/>
      <c r="B64" s="94" t="str">
        <f>_xlfn.XLOOKUP(C64,Planilha3!A:A,Planilha3!B:B)</f>
        <v>Additive</v>
      </c>
      <c r="C64" s="94" t="s">
        <v>418</v>
      </c>
      <c r="D64" s="19">
        <f>_xlfn.XLOOKUP(C64,'Limite de crédito'!C:C,'Limite de crédito'!G:G,0)</f>
        <v>500000</v>
      </c>
      <c r="E64" s="19">
        <f t="shared" si="5"/>
        <v>65330</v>
      </c>
      <c r="F64" s="19">
        <f>_xlfn.XLOOKUP('Nova Versão '!C64,'Limite de crédito'!C:C,'Limite de crédito'!O:O,0)</f>
        <v>500000</v>
      </c>
      <c r="G64" s="404">
        <f t="shared" si="6"/>
        <v>0</v>
      </c>
      <c r="H64" s="412" t="str">
        <f>_xlfn.XLOOKUP(C64,Planilha3!A:A,Planilha3!C:C)</f>
        <v>Guarantee or credit</v>
      </c>
      <c r="J64" s="19">
        <f t="shared" si="7"/>
        <v>65330</v>
      </c>
      <c r="K64" s="19">
        <f>_xlfn.XLOOKUP(C64,'Clientes Consolidado.'!$C:$C,'Clientes Consolidado.'!R:R,0)</f>
        <v>0</v>
      </c>
      <c r="L64" s="19">
        <f>_xlfn.XLOOKUP(C64,'Clientes Consolidado.'!$C:$C,'Clientes Consolidado.'!S:S,0)</f>
        <v>0</v>
      </c>
      <c r="M64" s="19">
        <f>_xlfn.XLOOKUP(C64,'Clientes Consolidado.'!$C:$C,'Clientes Consolidado.'!T:T,0)</f>
        <v>65330</v>
      </c>
      <c r="N64" s="19">
        <f>_xlfn.XLOOKUP(C64,'Clientes Consolidado.'!$C:$C,'Clientes Consolidado.'!U:U,0)</f>
        <v>0</v>
      </c>
      <c r="O64" s="19">
        <f>_xlfn.XLOOKUP(C64,'Clientes Consolidado.'!$C:$C,'Clientes Consolidado.'!V:V,0)</f>
        <v>0</v>
      </c>
      <c r="P64" s="19">
        <f>_xlfn.XLOOKUP(C64,'Clientes Consolidado.'!$C:$C,'Clientes Consolidado.'!W:W,0)</f>
        <v>0</v>
      </c>
      <c r="Q64" s="19">
        <f>_xlfn.XLOOKUP(C64,'Clientes Consolidado.'!$C:$C,'Clientes Consolidado.'!X:X,0)</f>
        <v>0</v>
      </c>
      <c r="R64" s="19">
        <f t="shared" si="4"/>
        <v>0</v>
      </c>
      <c r="S64" s="19">
        <f>SUMIFS('Clientes Consolidado.'!I:I,'Clientes Consolidado.'!C:C,C64,'Clientes Consolidado.'!B:B,"Fertilizer")
+SUMIFS('Clientes Consolidado.'!I:I,'Clientes Consolidado.'!C:C,C64,'Clientes Consolidado.'!B:B,"Additive")
+SUMIFS('Clientes Consolidado.'!I:I,'Clientes Consolidado.'!C:C,C64,'Clientes Consolidado.'!B:B,"Additive Intl.")</f>
        <v>0</v>
      </c>
      <c r="T64" s="19">
        <f>SUMIFS('Clientes Consolidado.'!J:J,'Clientes Consolidado.'!C:C,C64,'Clientes Consolidado.'!B:B,"Fertilizer")
+SUMIFS('Clientes Consolidado.'!J:J,'Clientes Consolidado.'!C:C,C64,'Clientes Consolidado.'!B:B,"Additive")
+SUMIFS('Clientes Consolidado.'!J:J,'Clientes Consolidado.'!C:C,C64,'Clientes Consolidado.'!B:B,"Additive Intl.")</f>
        <v>0</v>
      </c>
      <c r="U64" s="19">
        <f>SUMIFS('Clientes Consolidado.'!K:K,'Clientes Consolidado.'!C:C,C64,'Clientes Consolidado.'!B:B,"Fertilizer")
+SUMIFS('Clientes Consolidado.'!K:K,'Clientes Consolidado.'!C:C,C64,'Clientes Consolidado.'!B:B,"Additive")
+SUMIFS('Clientes Consolidado.'!K:K,'Clientes Consolidado.'!C:C,C64,'Clientes Consolidado.'!B:B,"Additive Intl.")</f>
        <v>0</v>
      </c>
      <c r="V64" s="19">
        <f>SUMIFS('Clientes Consolidado.'!L:L,'Clientes Consolidado.'!C:C,C64,'Clientes Consolidado.'!B:B,"Fertilizer")
+SUMIFS('Clientes Consolidado.'!L:L,'Clientes Consolidado.'!C:C,C64,'Clientes Consolidado.'!B:B,"Additive")
+SUMIFS('Clientes Consolidado.'!L:L,'Clientes Consolidado.'!C:C,C64,'Clientes Consolidado.'!B:B,"Additive Intl.")</f>
        <v>0</v>
      </c>
      <c r="W64" s="19">
        <f>SUMIFS('Clientes Consolidado.'!M:M,'Clientes Consolidado.'!C:C,C64,'Clientes Consolidado.'!B:B,"Fertilizer")
+SUMIFS('Clientes Consolidado.'!M:M,'Clientes Consolidado.'!C:C,C64,'Clientes Consolidado.'!B:B,"Additive")
+SUMIFS('Clientes Consolidado.'!M:M,'Clientes Consolidado.'!C:C,C64,'Clientes Consolidado.'!B:B,"Additive Intl.")</f>
        <v>0</v>
      </c>
      <c r="X64" s="19">
        <f>SUMIFS('Clientes Consolidado.'!N:N,'Clientes Consolidado.'!C:C,C64,'Clientes Consolidado.'!B:B,"Fertilizer")
+SUMIFS('Clientes Consolidado.'!N:N,'Clientes Consolidado.'!C:C,C64,'Clientes Consolidado.'!B:B,"Additive")
+SUMIFS('Clientes Consolidado.'!N:N,'Clientes Consolidado.'!C:C,C64,'Clientes Consolidado.'!B:B,"Additive Intl.")</f>
        <v>0</v>
      </c>
      <c r="Y64" s="19">
        <f>SUMIFS('Clientes Consolidado.'!O:O,'Clientes Consolidado.'!C:C,C64,'Clientes Consolidado.'!B:B,"Fertilizer")
+SUMIFS('Clientes Consolidado.'!O:O,'Clientes Consolidado.'!C:C,C64,'Clientes Consolidado.'!B:B,"Additive")
+SUMIFS('Clientes Consolidado.'!O:O,'Clientes Consolidado.'!C:C,C64,'Clientes Consolidado.'!B:B,"Additive Intl.")</f>
        <v>0</v>
      </c>
      <c r="Z64" s="19">
        <f>SUMIFS('Clientes Consolidado.'!P:P,'Clientes Consolidado.'!C:C,'Nova Versão '!C64,'Clientes Consolidado.'!B:B,"Fertilizer / Litigation")+SUMIFS('Clientes Consolidado.'!P:P,'Clientes Consolidado.'!C:C,'Nova Versão '!C64,'Clientes Consolidado.'!B:B,"Additive / Litigation")</f>
        <v>0</v>
      </c>
      <c r="AA64" s="94"/>
    </row>
    <row r="65" spans="1:27" x14ac:dyDescent="0.25">
      <c r="A65" s="32"/>
      <c r="B65" s="94" t="str">
        <f>_xlfn.XLOOKUP(C65,Planilha3!A:A,Planilha3!B:B)</f>
        <v>Additive</v>
      </c>
      <c r="C65" s="94" t="s">
        <v>424</v>
      </c>
      <c r="D65" s="19">
        <f>_xlfn.XLOOKUP(C65,'Limite de crédito'!C:C,'Limite de crédito'!G:G,0)</f>
        <v>1500000</v>
      </c>
      <c r="E65" s="19">
        <f t="shared" si="5"/>
        <v>62566.400000000001</v>
      </c>
      <c r="F65" s="19">
        <f>_xlfn.XLOOKUP('Nova Versão '!C65,'Limite de crédito'!C:C,'Limite de crédito'!O:O,0)</f>
        <v>1500000</v>
      </c>
      <c r="G65" s="404">
        <f t="shared" si="6"/>
        <v>0</v>
      </c>
      <c r="H65" s="412" t="str">
        <f>_xlfn.XLOOKUP(C65,Planilha3!A:A,Planilha3!C:C)</f>
        <v>Guarantee or credit</v>
      </c>
      <c r="J65" s="19">
        <f t="shared" si="7"/>
        <v>62566.400000000001</v>
      </c>
      <c r="K65" s="19">
        <f>_xlfn.XLOOKUP(C65,'Clientes Consolidado.'!$C:$C,'Clientes Consolidado.'!R:R,0)</f>
        <v>0</v>
      </c>
      <c r="L65" s="19">
        <f>_xlfn.XLOOKUP(C65,'Clientes Consolidado.'!$C:$C,'Clientes Consolidado.'!S:S,0)</f>
        <v>62566.400000000001</v>
      </c>
      <c r="M65" s="19">
        <f>_xlfn.XLOOKUP(C65,'Clientes Consolidado.'!$C:$C,'Clientes Consolidado.'!T:T,0)</f>
        <v>0</v>
      </c>
      <c r="N65" s="19">
        <f>_xlfn.XLOOKUP(C65,'Clientes Consolidado.'!$C:$C,'Clientes Consolidado.'!U:U,0)</f>
        <v>0</v>
      </c>
      <c r="O65" s="19">
        <f>_xlfn.XLOOKUP(C65,'Clientes Consolidado.'!$C:$C,'Clientes Consolidado.'!V:V,0)</f>
        <v>0</v>
      </c>
      <c r="P65" s="19">
        <f>_xlfn.XLOOKUP(C65,'Clientes Consolidado.'!$C:$C,'Clientes Consolidado.'!W:W,0)</f>
        <v>0</v>
      </c>
      <c r="Q65" s="19">
        <f>_xlfn.XLOOKUP(C65,'Clientes Consolidado.'!$C:$C,'Clientes Consolidado.'!X:X,0)</f>
        <v>0</v>
      </c>
      <c r="R65" s="19">
        <f t="shared" si="4"/>
        <v>0</v>
      </c>
      <c r="S65" s="19">
        <f>SUMIFS('Clientes Consolidado.'!I:I,'Clientes Consolidado.'!C:C,C65,'Clientes Consolidado.'!B:B,"Fertilizer")
+SUMIFS('Clientes Consolidado.'!I:I,'Clientes Consolidado.'!C:C,C65,'Clientes Consolidado.'!B:B,"Additive")
+SUMIFS('Clientes Consolidado.'!I:I,'Clientes Consolidado.'!C:C,C65,'Clientes Consolidado.'!B:B,"Additive Intl.")</f>
        <v>0</v>
      </c>
      <c r="T65" s="19">
        <f>SUMIFS('Clientes Consolidado.'!J:J,'Clientes Consolidado.'!C:C,C65,'Clientes Consolidado.'!B:B,"Fertilizer")
+SUMIFS('Clientes Consolidado.'!J:J,'Clientes Consolidado.'!C:C,C65,'Clientes Consolidado.'!B:B,"Additive")
+SUMIFS('Clientes Consolidado.'!J:J,'Clientes Consolidado.'!C:C,C65,'Clientes Consolidado.'!B:B,"Additive Intl.")</f>
        <v>0</v>
      </c>
      <c r="U65" s="19">
        <f>SUMIFS('Clientes Consolidado.'!K:K,'Clientes Consolidado.'!C:C,C65,'Clientes Consolidado.'!B:B,"Fertilizer")
+SUMIFS('Clientes Consolidado.'!K:K,'Clientes Consolidado.'!C:C,C65,'Clientes Consolidado.'!B:B,"Additive")
+SUMIFS('Clientes Consolidado.'!K:K,'Clientes Consolidado.'!C:C,C65,'Clientes Consolidado.'!B:B,"Additive Intl.")</f>
        <v>0</v>
      </c>
      <c r="V65" s="19">
        <f>SUMIFS('Clientes Consolidado.'!L:L,'Clientes Consolidado.'!C:C,C65,'Clientes Consolidado.'!B:B,"Fertilizer")
+SUMIFS('Clientes Consolidado.'!L:L,'Clientes Consolidado.'!C:C,C65,'Clientes Consolidado.'!B:B,"Additive")
+SUMIFS('Clientes Consolidado.'!L:L,'Clientes Consolidado.'!C:C,C65,'Clientes Consolidado.'!B:B,"Additive Intl.")</f>
        <v>0</v>
      </c>
      <c r="W65" s="19">
        <f>SUMIFS('Clientes Consolidado.'!M:M,'Clientes Consolidado.'!C:C,C65,'Clientes Consolidado.'!B:B,"Fertilizer")
+SUMIFS('Clientes Consolidado.'!M:M,'Clientes Consolidado.'!C:C,C65,'Clientes Consolidado.'!B:B,"Additive")
+SUMIFS('Clientes Consolidado.'!M:M,'Clientes Consolidado.'!C:C,C65,'Clientes Consolidado.'!B:B,"Additive Intl.")</f>
        <v>0</v>
      </c>
      <c r="X65" s="19">
        <f>SUMIFS('Clientes Consolidado.'!N:N,'Clientes Consolidado.'!C:C,C65,'Clientes Consolidado.'!B:B,"Fertilizer")
+SUMIFS('Clientes Consolidado.'!N:N,'Clientes Consolidado.'!C:C,C65,'Clientes Consolidado.'!B:B,"Additive")
+SUMIFS('Clientes Consolidado.'!N:N,'Clientes Consolidado.'!C:C,C65,'Clientes Consolidado.'!B:B,"Additive Intl.")</f>
        <v>0</v>
      </c>
      <c r="Y65" s="19">
        <f>SUMIFS('Clientes Consolidado.'!O:O,'Clientes Consolidado.'!C:C,C65,'Clientes Consolidado.'!B:B,"Fertilizer")
+SUMIFS('Clientes Consolidado.'!O:O,'Clientes Consolidado.'!C:C,C65,'Clientes Consolidado.'!B:B,"Additive")
+SUMIFS('Clientes Consolidado.'!O:O,'Clientes Consolidado.'!C:C,C65,'Clientes Consolidado.'!B:B,"Additive Intl.")</f>
        <v>0</v>
      </c>
      <c r="Z65" s="19">
        <f>SUMIFS('Clientes Consolidado.'!P:P,'Clientes Consolidado.'!C:C,'Nova Versão '!C65,'Clientes Consolidado.'!B:B,"Fertilizer / Litigation")+SUMIFS('Clientes Consolidado.'!P:P,'Clientes Consolidado.'!C:C,'Nova Versão '!C65,'Clientes Consolidado.'!B:B,"Additive / Litigation")</f>
        <v>0</v>
      </c>
      <c r="AA65" s="94"/>
    </row>
    <row r="66" spans="1:27" x14ac:dyDescent="0.25">
      <c r="A66" s="32"/>
      <c r="B66" s="94" t="str">
        <f>_xlfn.XLOOKUP(C66,Planilha3!A:A,Planilha3!B:B)</f>
        <v>Additive Intl.</v>
      </c>
      <c r="C66" s="94" t="s">
        <v>640</v>
      </c>
      <c r="D66" s="19">
        <f>_xlfn.XLOOKUP(C66,'Limite de crédito'!C:C,'Limite de crédito'!G:G,0)</f>
        <v>990000</v>
      </c>
      <c r="E66" s="19">
        <f t="shared" si="5"/>
        <v>49956.68</v>
      </c>
      <c r="F66" s="19">
        <f>_xlfn.XLOOKUP('Nova Versão '!C66,'Limite de crédito'!C:C,'Limite de crédito'!O:O,0)</f>
        <v>990000</v>
      </c>
      <c r="G66" s="404">
        <f t="shared" si="6"/>
        <v>0</v>
      </c>
      <c r="H66" s="412" t="str">
        <f>_xlfn.XLOOKUP(C66,Planilha3!A:A,Planilha3!C:C)</f>
        <v>Guarantee or credit</v>
      </c>
      <c r="J66" s="19">
        <f t="shared" si="7"/>
        <v>49956.68</v>
      </c>
      <c r="K66" s="19">
        <f>_xlfn.XLOOKUP(C66,'Clientes Consolidado.'!$C:$C,'Clientes Consolidado.'!R:R,0)</f>
        <v>0</v>
      </c>
      <c r="L66" s="19">
        <f>_xlfn.XLOOKUP(C66,'Clientes Consolidado.'!$C:$C,'Clientes Consolidado.'!S:S,0)</f>
        <v>49956.68</v>
      </c>
      <c r="M66" s="19">
        <f>_xlfn.XLOOKUP(C66,'Clientes Consolidado.'!$C:$C,'Clientes Consolidado.'!T:T,0)</f>
        <v>0</v>
      </c>
      <c r="N66" s="19">
        <f>_xlfn.XLOOKUP(C66,'Clientes Consolidado.'!$C:$C,'Clientes Consolidado.'!U:U,0)</f>
        <v>0</v>
      </c>
      <c r="O66" s="19">
        <f>_xlfn.XLOOKUP(C66,'Clientes Consolidado.'!$C:$C,'Clientes Consolidado.'!V:V,0)</f>
        <v>0</v>
      </c>
      <c r="P66" s="19">
        <f>_xlfn.XLOOKUP(C66,'Clientes Consolidado.'!$C:$C,'Clientes Consolidado.'!W:W,0)</f>
        <v>0</v>
      </c>
      <c r="Q66" s="19">
        <f>_xlfn.XLOOKUP(C66,'Clientes Consolidado.'!$C:$C,'Clientes Consolidado.'!X:X,0)</f>
        <v>0</v>
      </c>
      <c r="R66" s="19">
        <f t="shared" si="4"/>
        <v>0</v>
      </c>
      <c r="S66" s="19">
        <f>SUMIFS('Clientes Consolidado.'!I:I,'Clientes Consolidado.'!C:C,C66,'Clientes Consolidado.'!B:B,"Fertilizer")
+SUMIFS('Clientes Consolidado.'!I:I,'Clientes Consolidado.'!C:C,C66,'Clientes Consolidado.'!B:B,"Additive")
+SUMIFS('Clientes Consolidado.'!I:I,'Clientes Consolidado.'!C:C,C66,'Clientes Consolidado.'!B:B,"Additive Intl.")</f>
        <v>0</v>
      </c>
      <c r="T66" s="19">
        <f>SUMIFS('Clientes Consolidado.'!J:J,'Clientes Consolidado.'!C:C,C66,'Clientes Consolidado.'!B:B,"Fertilizer")
+SUMIFS('Clientes Consolidado.'!J:J,'Clientes Consolidado.'!C:C,C66,'Clientes Consolidado.'!B:B,"Additive")
+SUMIFS('Clientes Consolidado.'!J:J,'Clientes Consolidado.'!C:C,C66,'Clientes Consolidado.'!B:B,"Additive Intl.")</f>
        <v>0</v>
      </c>
      <c r="U66" s="19">
        <f>SUMIFS('Clientes Consolidado.'!K:K,'Clientes Consolidado.'!C:C,C66,'Clientes Consolidado.'!B:B,"Fertilizer")
+SUMIFS('Clientes Consolidado.'!K:K,'Clientes Consolidado.'!C:C,C66,'Clientes Consolidado.'!B:B,"Additive")
+SUMIFS('Clientes Consolidado.'!K:K,'Clientes Consolidado.'!C:C,C66,'Clientes Consolidado.'!B:B,"Additive Intl.")</f>
        <v>0</v>
      </c>
      <c r="V66" s="19">
        <f>SUMIFS('Clientes Consolidado.'!L:L,'Clientes Consolidado.'!C:C,C66,'Clientes Consolidado.'!B:B,"Fertilizer")
+SUMIFS('Clientes Consolidado.'!L:L,'Clientes Consolidado.'!C:C,C66,'Clientes Consolidado.'!B:B,"Additive")
+SUMIFS('Clientes Consolidado.'!L:L,'Clientes Consolidado.'!C:C,C66,'Clientes Consolidado.'!B:B,"Additive Intl.")</f>
        <v>0</v>
      </c>
      <c r="W66" s="19">
        <f>SUMIFS('Clientes Consolidado.'!M:M,'Clientes Consolidado.'!C:C,C66,'Clientes Consolidado.'!B:B,"Fertilizer")
+SUMIFS('Clientes Consolidado.'!M:M,'Clientes Consolidado.'!C:C,C66,'Clientes Consolidado.'!B:B,"Additive")
+SUMIFS('Clientes Consolidado.'!M:M,'Clientes Consolidado.'!C:C,C66,'Clientes Consolidado.'!B:B,"Additive Intl.")</f>
        <v>0</v>
      </c>
      <c r="X66" s="19">
        <f>SUMIFS('Clientes Consolidado.'!N:N,'Clientes Consolidado.'!C:C,C66,'Clientes Consolidado.'!B:B,"Fertilizer")
+SUMIFS('Clientes Consolidado.'!N:N,'Clientes Consolidado.'!C:C,C66,'Clientes Consolidado.'!B:B,"Additive")
+SUMIFS('Clientes Consolidado.'!N:N,'Clientes Consolidado.'!C:C,C66,'Clientes Consolidado.'!B:B,"Additive Intl.")</f>
        <v>0</v>
      </c>
      <c r="Y66" s="19">
        <f>SUMIFS('Clientes Consolidado.'!O:O,'Clientes Consolidado.'!C:C,C66,'Clientes Consolidado.'!B:B,"Fertilizer")
+SUMIFS('Clientes Consolidado.'!O:O,'Clientes Consolidado.'!C:C,C66,'Clientes Consolidado.'!B:B,"Additive")
+SUMIFS('Clientes Consolidado.'!O:O,'Clientes Consolidado.'!C:C,C66,'Clientes Consolidado.'!B:B,"Additive Intl.")</f>
        <v>0</v>
      </c>
      <c r="Z66" s="19">
        <f>SUMIFS('Clientes Consolidado.'!P:P,'Clientes Consolidado.'!C:C,'Nova Versão '!C66,'Clientes Consolidado.'!B:B,"Fertilizer / Litigation")+SUMIFS('Clientes Consolidado.'!P:P,'Clientes Consolidado.'!C:C,'Nova Versão '!C66,'Clientes Consolidado.'!B:B,"Additive / Litigation")</f>
        <v>0</v>
      </c>
      <c r="AA66" s="94"/>
    </row>
    <row r="67" spans="1:27" x14ac:dyDescent="0.25">
      <c r="A67" s="32"/>
      <c r="B67" s="94" t="str">
        <f>_xlfn.XLOOKUP(C67,Planilha3!A:A,Planilha3!B:B)</f>
        <v>Additive</v>
      </c>
      <c r="C67" s="94" t="s">
        <v>819</v>
      </c>
      <c r="D67" s="19">
        <f>_xlfn.XLOOKUP(C67,'Limite de crédito'!C:C,'Limite de crédito'!G:G,0)</f>
        <v>0</v>
      </c>
      <c r="E67" s="19">
        <f t="shared" ref="E67:E84" si="8">J67+R67+Z67</f>
        <v>49440</v>
      </c>
      <c r="F67" s="19">
        <f>_xlfn.XLOOKUP('Nova Versão '!C67,'Limite de crédito'!C:C,'Limite de crédito'!O:O,0)</f>
        <v>0</v>
      </c>
      <c r="G67" s="404">
        <f t="shared" ref="G67:G84" si="9">MAX(E67-F67,0)</f>
        <v>49440</v>
      </c>
      <c r="H67" s="412" t="str">
        <f>_xlfn.XLOOKUP(C67,Planilha3!A:A,Planilha3!C:C)</f>
        <v>Credit without Insurance</v>
      </c>
      <c r="J67" s="19">
        <f t="shared" ref="J67:J84" si="10">K67+L67+M67+N67+O67+P67+Q67</f>
        <v>0</v>
      </c>
      <c r="K67" s="19">
        <f>_xlfn.XLOOKUP(C67,'Clientes Consolidado.'!$C:$C,'Clientes Consolidado.'!R:R,0)</f>
        <v>0</v>
      </c>
      <c r="L67" s="19">
        <f>_xlfn.XLOOKUP(C67,'Clientes Consolidado.'!$C:$C,'Clientes Consolidado.'!S:S,0)</f>
        <v>0</v>
      </c>
      <c r="M67" s="19">
        <f>_xlfn.XLOOKUP(C67,'Clientes Consolidado.'!$C:$C,'Clientes Consolidado.'!T:T,0)</f>
        <v>0</v>
      </c>
      <c r="N67" s="19">
        <f>_xlfn.XLOOKUP(C67,'Clientes Consolidado.'!$C:$C,'Clientes Consolidado.'!U:U,0)</f>
        <v>0</v>
      </c>
      <c r="O67" s="19">
        <f>_xlfn.XLOOKUP(C67,'Clientes Consolidado.'!$C:$C,'Clientes Consolidado.'!V:V,0)</f>
        <v>0</v>
      </c>
      <c r="P67" s="19">
        <f>_xlfn.XLOOKUP(C67,'Clientes Consolidado.'!$C:$C,'Clientes Consolidado.'!W:W,0)</f>
        <v>0</v>
      </c>
      <c r="Q67" s="19">
        <f>_xlfn.XLOOKUP(C67,'Clientes Consolidado.'!$C:$C,'Clientes Consolidado.'!X:X,0)</f>
        <v>0</v>
      </c>
      <c r="R67" s="19">
        <f t="shared" si="4"/>
        <v>49440</v>
      </c>
      <c r="S67" s="19">
        <f>SUMIFS('Clientes Consolidado.'!I:I,'Clientes Consolidado.'!C:C,C67,'Clientes Consolidado.'!B:B,"Fertilizer")
+SUMIFS('Clientes Consolidado.'!I:I,'Clientes Consolidado.'!C:C,C67,'Clientes Consolidado.'!B:B,"Additive")
+SUMIFS('Clientes Consolidado.'!I:I,'Clientes Consolidado.'!C:C,C67,'Clientes Consolidado.'!B:B,"Additive Intl.")</f>
        <v>0</v>
      </c>
      <c r="T67" s="19">
        <f>SUMIFS('Clientes Consolidado.'!J:J,'Clientes Consolidado.'!C:C,C67,'Clientes Consolidado.'!B:B,"Fertilizer")
+SUMIFS('Clientes Consolidado.'!J:J,'Clientes Consolidado.'!C:C,C67,'Clientes Consolidado.'!B:B,"Additive")
+SUMIFS('Clientes Consolidado.'!J:J,'Clientes Consolidado.'!C:C,C67,'Clientes Consolidado.'!B:B,"Additive Intl.")</f>
        <v>49440</v>
      </c>
      <c r="U67" s="19">
        <f>SUMIFS('Clientes Consolidado.'!K:K,'Clientes Consolidado.'!C:C,C67,'Clientes Consolidado.'!B:B,"Fertilizer")
+SUMIFS('Clientes Consolidado.'!K:K,'Clientes Consolidado.'!C:C,C67,'Clientes Consolidado.'!B:B,"Additive")
+SUMIFS('Clientes Consolidado.'!K:K,'Clientes Consolidado.'!C:C,C67,'Clientes Consolidado.'!B:B,"Additive Intl.")</f>
        <v>0</v>
      </c>
      <c r="V67" s="19">
        <f>SUMIFS('Clientes Consolidado.'!L:L,'Clientes Consolidado.'!C:C,C67,'Clientes Consolidado.'!B:B,"Fertilizer")
+SUMIFS('Clientes Consolidado.'!L:L,'Clientes Consolidado.'!C:C,C67,'Clientes Consolidado.'!B:B,"Additive")
+SUMIFS('Clientes Consolidado.'!L:L,'Clientes Consolidado.'!C:C,C67,'Clientes Consolidado.'!B:B,"Additive Intl.")</f>
        <v>0</v>
      </c>
      <c r="W67" s="19">
        <f>SUMIFS('Clientes Consolidado.'!M:M,'Clientes Consolidado.'!C:C,C67,'Clientes Consolidado.'!B:B,"Fertilizer")
+SUMIFS('Clientes Consolidado.'!M:M,'Clientes Consolidado.'!C:C,C67,'Clientes Consolidado.'!B:B,"Additive")
+SUMIFS('Clientes Consolidado.'!M:M,'Clientes Consolidado.'!C:C,C67,'Clientes Consolidado.'!B:B,"Additive Intl.")</f>
        <v>0</v>
      </c>
      <c r="X67" s="19">
        <f>SUMIFS('Clientes Consolidado.'!N:N,'Clientes Consolidado.'!C:C,C67,'Clientes Consolidado.'!B:B,"Fertilizer")
+SUMIFS('Clientes Consolidado.'!N:N,'Clientes Consolidado.'!C:C,C67,'Clientes Consolidado.'!B:B,"Additive")
+SUMIFS('Clientes Consolidado.'!N:N,'Clientes Consolidado.'!C:C,C67,'Clientes Consolidado.'!B:B,"Additive Intl.")</f>
        <v>0</v>
      </c>
      <c r="Y67" s="19">
        <f>SUMIFS('Clientes Consolidado.'!O:O,'Clientes Consolidado.'!C:C,C67,'Clientes Consolidado.'!B:B,"Fertilizer")
+SUMIFS('Clientes Consolidado.'!O:O,'Clientes Consolidado.'!C:C,C67,'Clientes Consolidado.'!B:B,"Additive")
+SUMIFS('Clientes Consolidado.'!O:O,'Clientes Consolidado.'!C:C,C67,'Clientes Consolidado.'!B:B,"Additive Intl.")</f>
        <v>0</v>
      </c>
      <c r="Z67" s="19">
        <f>SUMIFS('Clientes Consolidado.'!P:P,'Clientes Consolidado.'!C:C,'Nova Versão '!C67,'Clientes Consolidado.'!B:B,"Fertilizer / Litigation")+SUMIFS('Clientes Consolidado.'!P:P,'Clientes Consolidado.'!C:C,'Nova Versão '!C67,'Clientes Consolidado.'!B:B,"Additive / Litigation")</f>
        <v>0</v>
      </c>
      <c r="AA67" s="94"/>
    </row>
    <row r="68" spans="1:27" x14ac:dyDescent="0.25">
      <c r="A68" s="32"/>
      <c r="B68" s="94" t="str">
        <f>_xlfn.XLOOKUP(C68,Planilha3!A:A,Planilha3!B:B)</f>
        <v>Additive Intl.</v>
      </c>
      <c r="C68" s="94" t="s">
        <v>826</v>
      </c>
      <c r="D68" s="19">
        <f>_xlfn.XLOOKUP(C68,'Limite de crédito'!C:C,'Limite de crédito'!G:G,0)</f>
        <v>0</v>
      </c>
      <c r="E68" s="19">
        <f t="shared" si="8"/>
        <v>45718.46</v>
      </c>
      <c r="F68" s="19">
        <f>_xlfn.XLOOKUP('Nova Versão '!C68,'Limite de crédito'!C:C,'Limite de crédito'!O:O,0)</f>
        <v>0</v>
      </c>
      <c r="G68" s="404">
        <f t="shared" si="9"/>
        <v>45718.46</v>
      </c>
      <c r="H68" s="412" t="str">
        <f>_xlfn.XLOOKUP(C68,Planilha3!A:A,Planilha3!C:C)</f>
        <v>Credit without Insurance</v>
      </c>
      <c r="J68" s="19">
        <f t="shared" si="10"/>
        <v>45718.46</v>
      </c>
      <c r="K68" s="19">
        <f>_xlfn.XLOOKUP(C68,'Clientes Consolidado.'!$C:$C,'Clientes Consolidado.'!R:R,0)</f>
        <v>0</v>
      </c>
      <c r="L68" s="19">
        <f>_xlfn.XLOOKUP(C68,'Clientes Consolidado.'!$C:$C,'Clientes Consolidado.'!S:S,0)</f>
        <v>45718.46</v>
      </c>
      <c r="M68" s="19">
        <f>_xlfn.XLOOKUP(C68,'Clientes Consolidado.'!$C:$C,'Clientes Consolidado.'!T:T,0)</f>
        <v>0</v>
      </c>
      <c r="N68" s="19">
        <f>_xlfn.XLOOKUP(C68,'Clientes Consolidado.'!$C:$C,'Clientes Consolidado.'!U:U,0)</f>
        <v>0</v>
      </c>
      <c r="O68" s="19">
        <f>_xlfn.XLOOKUP(C68,'Clientes Consolidado.'!$C:$C,'Clientes Consolidado.'!V:V,0)</f>
        <v>0</v>
      </c>
      <c r="P68" s="19">
        <f>_xlfn.XLOOKUP(C68,'Clientes Consolidado.'!$C:$C,'Clientes Consolidado.'!W:W,0)</f>
        <v>0</v>
      </c>
      <c r="Q68" s="19">
        <f>_xlfn.XLOOKUP(C68,'Clientes Consolidado.'!$C:$C,'Clientes Consolidado.'!X:X,0)</f>
        <v>0</v>
      </c>
      <c r="R68" s="19">
        <f t="shared" ref="R68:R84" si="11">SUM(S68:Y68)</f>
        <v>0</v>
      </c>
      <c r="S68" s="19">
        <f>SUMIFS('Clientes Consolidado.'!I:I,'Clientes Consolidado.'!C:C,C68,'Clientes Consolidado.'!B:B,"Fertilizer")
+SUMIFS('Clientes Consolidado.'!I:I,'Clientes Consolidado.'!C:C,C68,'Clientes Consolidado.'!B:B,"Additive")
+SUMIFS('Clientes Consolidado.'!I:I,'Clientes Consolidado.'!C:C,C68,'Clientes Consolidado.'!B:B,"Additive Intl.")</f>
        <v>0</v>
      </c>
      <c r="T68" s="19">
        <f>SUMIFS('Clientes Consolidado.'!J:J,'Clientes Consolidado.'!C:C,C68,'Clientes Consolidado.'!B:B,"Fertilizer")
+SUMIFS('Clientes Consolidado.'!J:J,'Clientes Consolidado.'!C:C,C68,'Clientes Consolidado.'!B:B,"Additive")
+SUMIFS('Clientes Consolidado.'!J:J,'Clientes Consolidado.'!C:C,C68,'Clientes Consolidado.'!B:B,"Additive Intl.")</f>
        <v>0</v>
      </c>
      <c r="U68" s="19">
        <f>SUMIFS('Clientes Consolidado.'!K:K,'Clientes Consolidado.'!C:C,C68,'Clientes Consolidado.'!B:B,"Fertilizer")
+SUMIFS('Clientes Consolidado.'!K:K,'Clientes Consolidado.'!C:C,C68,'Clientes Consolidado.'!B:B,"Additive")
+SUMIFS('Clientes Consolidado.'!K:K,'Clientes Consolidado.'!C:C,C68,'Clientes Consolidado.'!B:B,"Additive Intl.")</f>
        <v>0</v>
      </c>
      <c r="V68" s="19">
        <f>SUMIFS('Clientes Consolidado.'!L:L,'Clientes Consolidado.'!C:C,C68,'Clientes Consolidado.'!B:B,"Fertilizer")
+SUMIFS('Clientes Consolidado.'!L:L,'Clientes Consolidado.'!C:C,C68,'Clientes Consolidado.'!B:B,"Additive")
+SUMIFS('Clientes Consolidado.'!L:L,'Clientes Consolidado.'!C:C,C68,'Clientes Consolidado.'!B:B,"Additive Intl.")</f>
        <v>0</v>
      </c>
      <c r="W68" s="19">
        <f>SUMIFS('Clientes Consolidado.'!M:M,'Clientes Consolidado.'!C:C,C68,'Clientes Consolidado.'!B:B,"Fertilizer")
+SUMIFS('Clientes Consolidado.'!M:M,'Clientes Consolidado.'!C:C,C68,'Clientes Consolidado.'!B:B,"Additive")
+SUMIFS('Clientes Consolidado.'!M:M,'Clientes Consolidado.'!C:C,C68,'Clientes Consolidado.'!B:B,"Additive Intl.")</f>
        <v>0</v>
      </c>
      <c r="X68" s="19">
        <f>SUMIFS('Clientes Consolidado.'!N:N,'Clientes Consolidado.'!C:C,C68,'Clientes Consolidado.'!B:B,"Fertilizer")
+SUMIFS('Clientes Consolidado.'!N:N,'Clientes Consolidado.'!C:C,C68,'Clientes Consolidado.'!B:B,"Additive")
+SUMIFS('Clientes Consolidado.'!N:N,'Clientes Consolidado.'!C:C,C68,'Clientes Consolidado.'!B:B,"Additive Intl.")</f>
        <v>0</v>
      </c>
      <c r="Y68" s="19">
        <f>SUMIFS('Clientes Consolidado.'!O:O,'Clientes Consolidado.'!C:C,C68,'Clientes Consolidado.'!B:B,"Fertilizer")
+SUMIFS('Clientes Consolidado.'!O:O,'Clientes Consolidado.'!C:C,C68,'Clientes Consolidado.'!B:B,"Additive")
+SUMIFS('Clientes Consolidado.'!O:O,'Clientes Consolidado.'!C:C,C68,'Clientes Consolidado.'!B:B,"Additive Intl.")</f>
        <v>0</v>
      </c>
      <c r="Z68" s="19">
        <f>SUMIFS('Clientes Consolidado.'!P:P,'Clientes Consolidado.'!C:C,'Nova Versão '!C68,'Clientes Consolidado.'!B:B,"Fertilizer / Litigation")+SUMIFS('Clientes Consolidado.'!P:P,'Clientes Consolidado.'!C:C,'Nova Versão '!C68,'Clientes Consolidado.'!B:B,"Additive / Litigation")</f>
        <v>0</v>
      </c>
      <c r="AA68" s="94"/>
    </row>
    <row r="69" spans="1:27" x14ac:dyDescent="0.25">
      <c r="A69" s="32"/>
      <c r="B69" s="94" t="str">
        <f>_xlfn.XLOOKUP(C69,Planilha3!A:A,Planilha3!B:B)</f>
        <v>Additive</v>
      </c>
      <c r="C69" s="94" t="s">
        <v>88</v>
      </c>
      <c r="D69" s="19">
        <f>_xlfn.XLOOKUP(C69,'Limite de crédito'!C:C,'Limite de crédito'!G:G,0)</f>
        <v>200000</v>
      </c>
      <c r="E69" s="19">
        <f t="shared" si="8"/>
        <v>44919</v>
      </c>
      <c r="F69" s="19">
        <f>_xlfn.XLOOKUP('Nova Versão '!C69,'Limite de crédito'!C:C,'Limite de crédito'!O:O,0)</f>
        <v>200000</v>
      </c>
      <c r="G69" s="404">
        <f t="shared" si="9"/>
        <v>0</v>
      </c>
      <c r="H69" s="412" t="str">
        <f>_xlfn.XLOOKUP(C69,Planilha3!A:A,Planilha3!C:C)</f>
        <v>Guarantee or credit</v>
      </c>
      <c r="J69" s="19">
        <f t="shared" si="10"/>
        <v>44919</v>
      </c>
      <c r="K69" s="19">
        <f>_xlfn.XLOOKUP(C69,'Clientes Consolidado.'!$C:$C,'Clientes Consolidado.'!R:R,0)</f>
        <v>44919</v>
      </c>
      <c r="L69" s="19">
        <f>_xlfn.XLOOKUP(C69,'Clientes Consolidado.'!$C:$C,'Clientes Consolidado.'!S:S,0)</f>
        <v>0</v>
      </c>
      <c r="M69" s="19">
        <f>_xlfn.XLOOKUP(C69,'Clientes Consolidado.'!$C:$C,'Clientes Consolidado.'!T:T,0)</f>
        <v>0</v>
      </c>
      <c r="N69" s="19">
        <f>_xlfn.XLOOKUP(C69,'Clientes Consolidado.'!$C:$C,'Clientes Consolidado.'!U:U,0)</f>
        <v>0</v>
      </c>
      <c r="O69" s="19">
        <f>_xlfn.XLOOKUP(C69,'Clientes Consolidado.'!$C:$C,'Clientes Consolidado.'!V:V,0)</f>
        <v>0</v>
      </c>
      <c r="P69" s="19">
        <f>_xlfn.XLOOKUP(C69,'Clientes Consolidado.'!$C:$C,'Clientes Consolidado.'!W:W,0)</f>
        <v>0</v>
      </c>
      <c r="Q69" s="19">
        <f>_xlfn.XLOOKUP(C69,'Clientes Consolidado.'!$C:$C,'Clientes Consolidado.'!X:X,0)</f>
        <v>0</v>
      </c>
      <c r="R69" s="19">
        <f t="shared" si="11"/>
        <v>0</v>
      </c>
      <c r="S69" s="19">
        <f>SUMIFS('Clientes Consolidado.'!I:I,'Clientes Consolidado.'!C:C,C69,'Clientes Consolidado.'!B:B,"Fertilizer")
+SUMIFS('Clientes Consolidado.'!I:I,'Clientes Consolidado.'!C:C,C69,'Clientes Consolidado.'!B:B,"Additive")
+SUMIFS('Clientes Consolidado.'!I:I,'Clientes Consolidado.'!C:C,C69,'Clientes Consolidado.'!B:B,"Additive Intl.")</f>
        <v>0</v>
      </c>
      <c r="T69" s="19">
        <f>SUMIFS('Clientes Consolidado.'!J:J,'Clientes Consolidado.'!C:C,C69,'Clientes Consolidado.'!B:B,"Fertilizer")
+SUMIFS('Clientes Consolidado.'!J:J,'Clientes Consolidado.'!C:C,C69,'Clientes Consolidado.'!B:B,"Additive")
+SUMIFS('Clientes Consolidado.'!J:J,'Clientes Consolidado.'!C:C,C69,'Clientes Consolidado.'!B:B,"Additive Intl.")</f>
        <v>0</v>
      </c>
      <c r="U69" s="19">
        <f>SUMIFS('Clientes Consolidado.'!K:K,'Clientes Consolidado.'!C:C,C69,'Clientes Consolidado.'!B:B,"Fertilizer")
+SUMIFS('Clientes Consolidado.'!K:K,'Clientes Consolidado.'!C:C,C69,'Clientes Consolidado.'!B:B,"Additive")
+SUMIFS('Clientes Consolidado.'!K:K,'Clientes Consolidado.'!C:C,C69,'Clientes Consolidado.'!B:B,"Additive Intl.")</f>
        <v>0</v>
      </c>
      <c r="V69" s="19">
        <f>SUMIFS('Clientes Consolidado.'!L:L,'Clientes Consolidado.'!C:C,C69,'Clientes Consolidado.'!B:B,"Fertilizer")
+SUMIFS('Clientes Consolidado.'!L:L,'Clientes Consolidado.'!C:C,C69,'Clientes Consolidado.'!B:B,"Additive")
+SUMIFS('Clientes Consolidado.'!L:L,'Clientes Consolidado.'!C:C,C69,'Clientes Consolidado.'!B:B,"Additive Intl.")</f>
        <v>0</v>
      </c>
      <c r="W69" s="19">
        <f>SUMIFS('Clientes Consolidado.'!M:M,'Clientes Consolidado.'!C:C,C69,'Clientes Consolidado.'!B:B,"Fertilizer")
+SUMIFS('Clientes Consolidado.'!M:M,'Clientes Consolidado.'!C:C,C69,'Clientes Consolidado.'!B:B,"Additive")
+SUMIFS('Clientes Consolidado.'!M:M,'Clientes Consolidado.'!C:C,C69,'Clientes Consolidado.'!B:B,"Additive Intl.")</f>
        <v>0</v>
      </c>
      <c r="X69" s="19">
        <f>SUMIFS('Clientes Consolidado.'!N:N,'Clientes Consolidado.'!C:C,C69,'Clientes Consolidado.'!B:B,"Fertilizer")
+SUMIFS('Clientes Consolidado.'!N:N,'Clientes Consolidado.'!C:C,C69,'Clientes Consolidado.'!B:B,"Additive")
+SUMIFS('Clientes Consolidado.'!N:N,'Clientes Consolidado.'!C:C,C69,'Clientes Consolidado.'!B:B,"Additive Intl.")</f>
        <v>0</v>
      </c>
      <c r="Y69" s="19">
        <f>SUMIFS('Clientes Consolidado.'!O:O,'Clientes Consolidado.'!C:C,C69,'Clientes Consolidado.'!B:B,"Fertilizer")
+SUMIFS('Clientes Consolidado.'!O:O,'Clientes Consolidado.'!C:C,C69,'Clientes Consolidado.'!B:B,"Additive")
+SUMIFS('Clientes Consolidado.'!O:O,'Clientes Consolidado.'!C:C,C69,'Clientes Consolidado.'!B:B,"Additive Intl.")</f>
        <v>0</v>
      </c>
      <c r="Z69" s="19">
        <f>SUMIFS('Clientes Consolidado.'!P:P,'Clientes Consolidado.'!C:C,'Nova Versão '!C69,'Clientes Consolidado.'!B:B,"Fertilizer / Litigation")+SUMIFS('Clientes Consolidado.'!P:P,'Clientes Consolidado.'!C:C,'Nova Versão '!C69,'Clientes Consolidado.'!B:B,"Additive / Litigation")</f>
        <v>0</v>
      </c>
      <c r="AA69" s="94"/>
    </row>
    <row r="70" spans="1:27" x14ac:dyDescent="0.25">
      <c r="A70" s="32"/>
      <c r="B70" s="94" t="str">
        <f>_xlfn.XLOOKUP(C70,Planilha3!A:A,Planilha3!B:B)</f>
        <v>Additive</v>
      </c>
      <c r="C70" s="94" t="s">
        <v>302</v>
      </c>
      <c r="D70" s="19">
        <f>_xlfn.XLOOKUP(C70,'Limite de crédito'!C:C,'Limite de crédito'!G:G,0)</f>
        <v>300000</v>
      </c>
      <c r="E70" s="19">
        <f t="shared" si="8"/>
        <v>43569.75</v>
      </c>
      <c r="F70" s="19">
        <f>_xlfn.XLOOKUP('Nova Versão '!C70,'Limite de crédito'!C:C,'Limite de crédito'!O:O,0)</f>
        <v>300000</v>
      </c>
      <c r="G70" s="404">
        <f t="shared" si="9"/>
        <v>0</v>
      </c>
      <c r="H70" s="412" t="str">
        <f>_xlfn.XLOOKUP(C70,Planilha3!A:A,Planilha3!C:C)</f>
        <v>Guarantee or credit</v>
      </c>
      <c r="J70" s="19">
        <f t="shared" si="10"/>
        <v>43569.75</v>
      </c>
      <c r="K70" s="19">
        <f>_xlfn.XLOOKUP(C70,'Clientes Consolidado.'!$C:$C,'Clientes Consolidado.'!R:R,0)</f>
        <v>0</v>
      </c>
      <c r="L70" s="19">
        <f>_xlfn.XLOOKUP(C70,'Clientes Consolidado.'!$C:$C,'Clientes Consolidado.'!S:S,0)</f>
        <v>43569.75</v>
      </c>
      <c r="M70" s="19">
        <f>_xlfn.XLOOKUP(C70,'Clientes Consolidado.'!$C:$C,'Clientes Consolidado.'!T:T,0)</f>
        <v>0</v>
      </c>
      <c r="N70" s="19">
        <f>_xlfn.XLOOKUP(C70,'Clientes Consolidado.'!$C:$C,'Clientes Consolidado.'!U:U,0)</f>
        <v>0</v>
      </c>
      <c r="O70" s="19">
        <f>_xlfn.XLOOKUP(C70,'Clientes Consolidado.'!$C:$C,'Clientes Consolidado.'!V:V,0)</f>
        <v>0</v>
      </c>
      <c r="P70" s="19">
        <f>_xlfn.XLOOKUP(C70,'Clientes Consolidado.'!$C:$C,'Clientes Consolidado.'!W:W,0)</f>
        <v>0</v>
      </c>
      <c r="Q70" s="19">
        <f>_xlfn.XLOOKUP(C70,'Clientes Consolidado.'!$C:$C,'Clientes Consolidado.'!X:X,0)</f>
        <v>0</v>
      </c>
      <c r="R70" s="19">
        <f t="shared" si="11"/>
        <v>0</v>
      </c>
      <c r="S70" s="19">
        <f>SUMIFS('Clientes Consolidado.'!I:I,'Clientes Consolidado.'!C:C,C70,'Clientes Consolidado.'!B:B,"Fertilizer")
+SUMIFS('Clientes Consolidado.'!I:I,'Clientes Consolidado.'!C:C,C70,'Clientes Consolidado.'!B:B,"Additive")
+SUMIFS('Clientes Consolidado.'!I:I,'Clientes Consolidado.'!C:C,C70,'Clientes Consolidado.'!B:B,"Additive Intl.")</f>
        <v>0</v>
      </c>
      <c r="T70" s="19">
        <f>SUMIFS('Clientes Consolidado.'!J:J,'Clientes Consolidado.'!C:C,C70,'Clientes Consolidado.'!B:B,"Fertilizer")
+SUMIFS('Clientes Consolidado.'!J:J,'Clientes Consolidado.'!C:C,C70,'Clientes Consolidado.'!B:B,"Additive")
+SUMIFS('Clientes Consolidado.'!J:J,'Clientes Consolidado.'!C:C,C70,'Clientes Consolidado.'!B:B,"Additive Intl.")</f>
        <v>0</v>
      </c>
      <c r="U70" s="19">
        <f>SUMIFS('Clientes Consolidado.'!K:K,'Clientes Consolidado.'!C:C,C70,'Clientes Consolidado.'!B:B,"Fertilizer")
+SUMIFS('Clientes Consolidado.'!K:K,'Clientes Consolidado.'!C:C,C70,'Clientes Consolidado.'!B:B,"Additive")
+SUMIFS('Clientes Consolidado.'!K:K,'Clientes Consolidado.'!C:C,C70,'Clientes Consolidado.'!B:B,"Additive Intl.")</f>
        <v>0</v>
      </c>
      <c r="V70" s="19">
        <f>SUMIFS('Clientes Consolidado.'!L:L,'Clientes Consolidado.'!C:C,C70,'Clientes Consolidado.'!B:B,"Fertilizer")
+SUMIFS('Clientes Consolidado.'!L:L,'Clientes Consolidado.'!C:C,C70,'Clientes Consolidado.'!B:B,"Additive")
+SUMIFS('Clientes Consolidado.'!L:L,'Clientes Consolidado.'!C:C,C70,'Clientes Consolidado.'!B:B,"Additive Intl.")</f>
        <v>0</v>
      </c>
      <c r="W70" s="19">
        <f>SUMIFS('Clientes Consolidado.'!M:M,'Clientes Consolidado.'!C:C,C70,'Clientes Consolidado.'!B:B,"Fertilizer")
+SUMIFS('Clientes Consolidado.'!M:M,'Clientes Consolidado.'!C:C,C70,'Clientes Consolidado.'!B:B,"Additive")
+SUMIFS('Clientes Consolidado.'!M:M,'Clientes Consolidado.'!C:C,C70,'Clientes Consolidado.'!B:B,"Additive Intl.")</f>
        <v>0</v>
      </c>
      <c r="X70" s="19">
        <f>SUMIFS('Clientes Consolidado.'!N:N,'Clientes Consolidado.'!C:C,C70,'Clientes Consolidado.'!B:B,"Fertilizer")
+SUMIFS('Clientes Consolidado.'!N:N,'Clientes Consolidado.'!C:C,C70,'Clientes Consolidado.'!B:B,"Additive")
+SUMIFS('Clientes Consolidado.'!N:N,'Clientes Consolidado.'!C:C,C70,'Clientes Consolidado.'!B:B,"Additive Intl.")</f>
        <v>0</v>
      </c>
      <c r="Y70" s="19">
        <f>SUMIFS('Clientes Consolidado.'!O:O,'Clientes Consolidado.'!C:C,C70,'Clientes Consolidado.'!B:B,"Fertilizer")
+SUMIFS('Clientes Consolidado.'!O:O,'Clientes Consolidado.'!C:C,C70,'Clientes Consolidado.'!B:B,"Additive")
+SUMIFS('Clientes Consolidado.'!O:O,'Clientes Consolidado.'!C:C,C70,'Clientes Consolidado.'!B:B,"Additive Intl.")</f>
        <v>0</v>
      </c>
      <c r="Z70" s="19">
        <f>SUMIFS('Clientes Consolidado.'!P:P,'Clientes Consolidado.'!C:C,'Nova Versão '!C70,'Clientes Consolidado.'!B:B,"Fertilizer / Litigation")+SUMIFS('Clientes Consolidado.'!P:P,'Clientes Consolidado.'!C:C,'Nova Versão '!C70,'Clientes Consolidado.'!B:B,"Additive / Litigation")</f>
        <v>0</v>
      </c>
      <c r="AA70" s="94"/>
    </row>
    <row r="71" spans="1:27" x14ac:dyDescent="0.25">
      <c r="A71" s="32"/>
      <c r="B71" s="94" t="str">
        <f>_xlfn.XLOOKUP(C71,Planilha3!A:A,Planilha3!B:B)</f>
        <v>Additive Intl.</v>
      </c>
      <c r="C71" s="94" t="s">
        <v>359</v>
      </c>
      <c r="D71" s="19">
        <f>_xlfn.XLOOKUP(C71,'Limite de crédito'!C:C,'Limite de crédito'!G:G,0)</f>
        <v>1100000</v>
      </c>
      <c r="E71" s="19">
        <f t="shared" si="8"/>
        <v>40017.64</v>
      </c>
      <c r="F71" s="19">
        <f>_xlfn.XLOOKUP('Nova Versão '!C71,'Limite de crédito'!C:C,'Limite de crédito'!O:O,0)</f>
        <v>1100000</v>
      </c>
      <c r="G71" s="404">
        <f t="shared" si="9"/>
        <v>0</v>
      </c>
      <c r="H71" s="412" t="str">
        <f>_xlfn.XLOOKUP(C71,Planilha3!A:A,Planilha3!C:C)</f>
        <v>Guarantee or credit</v>
      </c>
      <c r="J71" s="19">
        <f t="shared" si="10"/>
        <v>40017.64</v>
      </c>
      <c r="K71" s="19">
        <f>_xlfn.XLOOKUP(C71,'Clientes Consolidado.'!$C:$C,'Clientes Consolidado.'!R:R,0)</f>
        <v>40017.64</v>
      </c>
      <c r="L71" s="19">
        <f>_xlfn.XLOOKUP(C71,'Clientes Consolidado.'!$C:$C,'Clientes Consolidado.'!S:S,0)</f>
        <v>0</v>
      </c>
      <c r="M71" s="19">
        <f>_xlfn.XLOOKUP(C71,'Clientes Consolidado.'!$C:$C,'Clientes Consolidado.'!T:T,0)</f>
        <v>0</v>
      </c>
      <c r="N71" s="19">
        <f>_xlfn.XLOOKUP(C71,'Clientes Consolidado.'!$C:$C,'Clientes Consolidado.'!U:U,0)</f>
        <v>0</v>
      </c>
      <c r="O71" s="19">
        <f>_xlfn.XLOOKUP(C71,'Clientes Consolidado.'!$C:$C,'Clientes Consolidado.'!V:V,0)</f>
        <v>0</v>
      </c>
      <c r="P71" s="19">
        <f>_xlfn.XLOOKUP(C71,'Clientes Consolidado.'!$C:$C,'Clientes Consolidado.'!W:W,0)</f>
        <v>0</v>
      </c>
      <c r="Q71" s="19">
        <f>_xlfn.XLOOKUP(C71,'Clientes Consolidado.'!$C:$C,'Clientes Consolidado.'!X:X,0)</f>
        <v>0</v>
      </c>
      <c r="R71" s="19">
        <f t="shared" si="11"/>
        <v>0</v>
      </c>
      <c r="S71" s="19">
        <f>SUMIFS('Clientes Consolidado.'!I:I,'Clientes Consolidado.'!C:C,C71,'Clientes Consolidado.'!B:B,"Fertilizer")
+SUMIFS('Clientes Consolidado.'!I:I,'Clientes Consolidado.'!C:C,C71,'Clientes Consolidado.'!B:B,"Additive")
+SUMIFS('Clientes Consolidado.'!I:I,'Clientes Consolidado.'!C:C,C71,'Clientes Consolidado.'!B:B,"Additive Intl.")</f>
        <v>0</v>
      </c>
      <c r="T71" s="19">
        <f>SUMIFS('Clientes Consolidado.'!J:J,'Clientes Consolidado.'!C:C,C71,'Clientes Consolidado.'!B:B,"Fertilizer")
+SUMIFS('Clientes Consolidado.'!J:J,'Clientes Consolidado.'!C:C,C71,'Clientes Consolidado.'!B:B,"Additive")
+SUMIFS('Clientes Consolidado.'!J:J,'Clientes Consolidado.'!C:C,C71,'Clientes Consolidado.'!B:B,"Additive Intl.")</f>
        <v>0</v>
      </c>
      <c r="U71" s="19">
        <f>SUMIFS('Clientes Consolidado.'!K:K,'Clientes Consolidado.'!C:C,C71,'Clientes Consolidado.'!B:B,"Fertilizer")
+SUMIFS('Clientes Consolidado.'!K:K,'Clientes Consolidado.'!C:C,C71,'Clientes Consolidado.'!B:B,"Additive")
+SUMIFS('Clientes Consolidado.'!K:K,'Clientes Consolidado.'!C:C,C71,'Clientes Consolidado.'!B:B,"Additive Intl.")</f>
        <v>0</v>
      </c>
      <c r="V71" s="19">
        <f>SUMIFS('Clientes Consolidado.'!L:L,'Clientes Consolidado.'!C:C,C71,'Clientes Consolidado.'!B:B,"Fertilizer")
+SUMIFS('Clientes Consolidado.'!L:L,'Clientes Consolidado.'!C:C,C71,'Clientes Consolidado.'!B:B,"Additive")
+SUMIFS('Clientes Consolidado.'!L:L,'Clientes Consolidado.'!C:C,C71,'Clientes Consolidado.'!B:B,"Additive Intl.")</f>
        <v>0</v>
      </c>
      <c r="W71" s="19">
        <f>SUMIFS('Clientes Consolidado.'!M:M,'Clientes Consolidado.'!C:C,C71,'Clientes Consolidado.'!B:B,"Fertilizer")
+SUMIFS('Clientes Consolidado.'!M:M,'Clientes Consolidado.'!C:C,C71,'Clientes Consolidado.'!B:B,"Additive")
+SUMIFS('Clientes Consolidado.'!M:M,'Clientes Consolidado.'!C:C,C71,'Clientes Consolidado.'!B:B,"Additive Intl.")</f>
        <v>0</v>
      </c>
      <c r="X71" s="19">
        <f>SUMIFS('Clientes Consolidado.'!N:N,'Clientes Consolidado.'!C:C,C71,'Clientes Consolidado.'!B:B,"Fertilizer")
+SUMIFS('Clientes Consolidado.'!N:N,'Clientes Consolidado.'!C:C,C71,'Clientes Consolidado.'!B:B,"Additive")
+SUMIFS('Clientes Consolidado.'!N:N,'Clientes Consolidado.'!C:C,C71,'Clientes Consolidado.'!B:B,"Additive Intl.")</f>
        <v>0</v>
      </c>
      <c r="Y71" s="19">
        <f>SUMIFS('Clientes Consolidado.'!O:O,'Clientes Consolidado.'!C:C,C71,'Clientes Consolidado.'!B:B,"Fertilizer")
+SUMIFS('Clientes Consolidado.'!O:O,'Clientes Consolidado.'!C:C,C71,'Clientes Consolidado.'!B:B,"Additive")
+SUMIFS('Clientes Consolidado.'!O:O,'Clientes Consolidado.'!C:C,C71,'Clientes Consolidado.'!B:B,"Additive Intl.")</f>
        <v>0</v>
      </c>
      <c r="Z71" s="19">
        <f>SUMIFS('Clientes Consolidado.'!P:P,'Clientes Consolidado.'!C:C,'Nova Versão '!C71,'Clientes Consolidado.'!B:B,"Fertilizer / Litigation")+SUMIFS('Clientes Consolidado.'!P:P,'Clientes Consolidado.'!C:C,'Nova Versão '!C71,'Clientes Consolidado.'!B:B,"Additive / Litigation")</f>
        <v>0</v>
      </c>
      <c r="AA71" s="94"/>
    </row>
    <row r="72" spans="1:27" x14ac:dyDescent="0.25">
      <c r="A72" s="32"/>
      <c r="B72" s="94" t="str">
        <f>_xlfn.XLOOKUP(C72,Planilha3!A:A,Planilha3!B:B)</f>
        <v>Additive</v>
      </c>
      <c r="C72" s="94" t="s">
        <v>490</v>
      </c>
      <c r="D72" s="19">
        <f>_xlfn.XLOOKUP(C72,'Limite de crédito'!C:C,'Limite de crédito'!G:G,0)</f>
        <v>0</v>
      </c>
      <c r="E72" s="19">
        <f t="shared" si="8"/>
        <v>26290</v>
      </c>
      <c r="F72" s="19">
        <f>_xlfn.XLOOKUP('Nova Versão '!C72,'Limite de crédito'!C:C,'Limite de crédito'!O:O,0)</f>
        <v>0</v>
      </c>
      <c r="G72" s="404">
        <f t="shared" si="9"/>
        <v>26290</v>
      </c>
      <c r="H72" s="412" t="str">
        <f>_xlfn.XLOOKUP(C72,Planilha3!A:A,Planilha3!C:C)</f>
        <v>Credit without Insurance</v>
      </c>
      <c r="J72" s="19">
        <f t="shared" si="10"/>
        <v>26290</v>
      </c>
      <c r="K72" s="19">
        <f>_xlfn.XLOOKUP(C72,'Clientes Consolidado.'!$C:$C,'Clientes Consolidado.'!R:R,0)</f>
        <v>13145</v>
      </c>
      <c r="L72" s="19">
        <f>_xlfn.XLOOKUP(C72,'Clientes Consolidado.'!$C:$C,'Clientes Consolidado.'!S:S,0)</f>
        <v>13145</v>
      </c>
      <c r="M72" s="19">
        <f>_xlfn.XLOOKUP(C72,'Clientes Consolidado.'!$C:$C,'Clientes Consolidado.'!T:T,0)</f>
        <v>0</v>
      </c>
      <c r="N72" s="19">
        <f>_xlfn.XLOOKUP(C72,'Clientes Consolidado.'!$C:$C,'Clientes Consolidado.'!U:U,0)</f>
        <v>0</v>
      </c>
      <c r="O72" s="19">
        <f>_xlfn.XLOOKUP(C72,'Clientes Consolidado.'!$C:$C,'Clientes Consolidado.'!V:V,0)</f>
        <v>0</v>
      </c>
      <c r="P72" s="19">
        <f>_xlfn.XLOOKUP(C72,'Clientes Consolidado.'!$C:$C,'Clientes Consolidado.'!W:W,0)</f>
        <v>0</v>
      </c>
      <c r="Q72" s="19">
        <f>_xlfn.XLOOKUP(C72,'Clientes Consolidado.'!$C:$C,'Clientes Consolidado.'!X:X,0)</f>
        <v>0</v>
      </c>
      <c r="R72" s="19">
        <f t="shared" si="11"/>
        <v>0</v>
      </c>
      <c r="S72" s="19">
        <f>SUMIFS('Clientes Consolidado.'!I:I,'Clientes Consolidado.'!C:C,C72,'Clientes Consolidado.'!B:B,"Fertilizer")
+SUMIFS('Clientes Consolidado.'!I:I,'Clientes Consolidado.'!C:C,C72,'Clientes Consolidado.'!B:B,"Additive")
+SUMIFS('Clientes Consolidado.'!I:I,'Clientes Consolidado.'!C:C,C72,'Clientes Consolidado.'!B:B,"Additive Intl.")</f>
        <v>0</v>
      </c>
      <c r="T72" s="19">
        <f>SUMIFS('Clientes Consolidado.'!J:J,'Clientes Consolidado.'!C:C,C72,'Clientes Consolidado.'!B:B,"Fertilizer")
+SUMIFS('Clientes Consolidado.'!J:J,'Clientes Consolidado.'!C:C,C72,'Clientes Consolidado.'!B:B,"Additive")
+SUMIFS('Clientes Consolidado.'!J:J,'Clientes Consolidado.'!C:C,C72,'Clientes Consolidado.'!B:B,"Additive Intl.")</f>
        <v>0</v>
      </c>
      <c r="U72" s="19">
        <f>SUMIFS('Clientes Consolidado.'!K:K,'Clientes Consolidado.'!C:C,C72,'Clientes Consolidado.'!B:B,"Fertilizer")
+SUMIFS('Clientes Consolidado.'!K:K,'Clientes Consolidado.'!C:C,C72,'Clientes Consolidado.'!B:B,"Additive")
+SUMIFS('Clientes Consolidado.'!K:K,'Clientes Consolidado.'!C:C,C72,'Clientes Consolidado.'!B:B,"Additive Intl.")</f>
        <v>0</v>
      </c>
      <c r="V72" s="19">
        <f>SUMIFS('Clientes Consolidado.'!L:L,'Clientes Consolidado.'!C:C,C72,'Clientes Consolidado.'!B:B,"Fertilizer")
+SUMIFS('Clientes Consolidado.'!L:L,'Clientes Consolidado.'!C:C,C72,'Clientes Consolidado.'!B:B,"Additive")
+SUMIFS('Clientes Consolidado.'!L:L,'Clientes Consolidado.'!C:C,C72,'Clientes Consolidado.'!B:B,"Additive Intl.")</f>
        <v>0</v>
      </c>
      <c r="W72" s="19">
        <f>SUMIFS('Clientes Consolidado.'!M:M,'Clientes Consolidado.'!C:C,C72,'Clientes Consolidado.'!B:B,"Fertilizer")
+SUMIFS('Clientes Consolidado.'!M:M,'Clientes Consolidado.'!C:C,C72,'Clientes Consolidado.'!B:B,"Additive")
+SUMIFS('Clientes Consolidado.'!M:M,'Clientes Consolidado.'!C:C,C72,'Clientes Consolidado.'!B:B,"Additive Intl.")</f>
        <v>0</v>
      </c>
      <c r="X72" s="19">
        <f>SUMIFS('Clientes Consolidado.'!N:N,'Clientes Consolidado.'!C:C,C72,'Clientes Consolidado.'!B:B,"Fertilizer")
+SUMIFS('Clientes Consolidado.'!N:N,'Clientes Consolidado.'!C:C,C72,'Clientes Consolidado.'!B:B,"Additive")
+SUMIFS('Clientes Consolidado.'!N:N,'Clientes Consolidado.'!C:C,C72,'Clientes Consolidado.'!B:B,"Additive Intl.")</f>
        <v>0</v>
      </c>
      <c r="Y72" s="19">
        <f>SUMIFS('Clientes Consolidado.'!O:O,'Clientes Consolidado.'!C:C,C72,'Clientes Consolidado.'!B:B,"Fertilizer")
+SUMIFS('Clientes Consolidado.'!O:O,'Clientes Consolidado.'!C:C,C72,'Clientes Consolidado.'!B:B,"Additive")
+SUMIFS('Clientes Consolidado.'!O:O,'Clientes Consolidado.'!C:C,C72,'Clientes Consolidado.'!B:B,"Additive Intl.")</f>
        <v>0</v>
      </c>
      <c r="Z72" s="19">
        <f>SUMIFS('Clientes Consolidado.'!P:P,'Clientes Consolidado.'!C:C,'Nova Versão '!C72,'Clientes Consolidado.'!B:B,"Fertilizer / Litigation")+SUMIFS('Clientes Consolidado.'!P:P,'Clientes Consolidado.'!C:C,'Nova Versão '!C72,'Clientes Consolidado.'!B:B,"Additive / Litigation")</f>
        <v>0</v>
      </c>
      <c r="AA72" s="94"/>
    </row>
    <row r="73" spans="1:27" x14ac:dyDescent="0.25">
      <c r="A73" s="32"/>
      <c r="B73" s="94" t="str">
        <f>_xlfn.XLOOKUP(C73,Planilha3!A:A,Planilha3!B:B)</f>
        <v>Additive / Litigation</v>
      </c>
      <c r="C73" s="94" t="s">
        <v>90</v>
      </c>
      <c r="D73" s="19">
        <f>_xlfn.XLOOKUP(C73,'Limite de crédito'!C:C,'Limite de crédito'!G:G,0)</f>
        <v>0</v>
      </c>
      <c r="E73" s="19">
        <f t="shared" si="8"/>
        <v>20940</v>
      </c>
      <c r="F73" s="19">
        <f>_xlfn.XLOOKUP('Nova Versão '!C73,'Limite de crédito'!C:C,'Limite de crédito'!O:O,0)</f>
        <v>0</v>
      </c>
      <c r="G73" s="404">
        <f t="shared" si="9"/>
        <v>20940</v>
      </c>
      <c r="H73" s="412" t="str">
        <f>_xlfn.XLOOKUP(C73,Planilha3!A:A,Planilha3!C:C)</f>
        <v>Litigation</v>
      </c>
      <c r="J73" s="19">
        <f t="shared" si="10"/>
        <v>0</v>
      </c>
      <c r="K73" s="19">
        <f>_xlfn.XLOOKUP(C73,'Clientes Consolidado.'!$C:$C,'Clientes Consolidado.'!R:R,0)</f>
        <v>0</v>
      </c>
      <c r="L73" s="19">
        <f>_xlfn.XLOOKUP(C73,'Clientes Consolidado.'!$C:$C,'Clientes Consolidado.'!S:S,0)</f>
        <v>0</v>
      </c>
      <c r="M73" s="19">
        <f>_xlfn.XLOOKUP(C73,'Clientes Consolidado.'!$C:$C,'Clientes Consolidado.'!T:T,0)</f>
        <v>0</v>
      </c>
      <c r="N73" s="19">
        <f>_xlfn.XLOOKUP(C73,'Clientes Consolidado.'!$C:$C,'Clientes Consolidado.'!U:U,0)</f>
        <v>0</v>
      </c>
      <c r="O73" s="19">
        <f>_xlfn.XLOOKUP(C73,'Clientes Consolidado.'!$C:$C,'Clientes Consolidado.'!V:V,0)</f>
        <v>0</v>
      </c>
      <c r="P73" s="19">
        <f>_xlfn.XLOOKUP(C73,'Clientes Consolidado.'!$C:$C,'Clientes Consolidado.'!W:W,0)</f>
        <v>0</v>
      </c>
      <c r="Q73" s="19">
        <f>_xlfn.XLOOKUP(C73,'Clientes Consolidado.'!$C:$C,'Clientes Consolidado.'!X:X,0)</f>
        <v>0</v>
      </c>
      <c r="R73" s="19">
        <f t="shared" si="11"/>
        <v>0</v>
      </c>
      <c r="S73" s="19">
        <f>SUMIFS('Clientes Consolidado.'!I:I,'Clientes Consolidado.'!C:C,C73,'Clientes Consolidado.'!B:B,"Fertilizer")
+SUMIFS('Clientes Consolidado.'!I:I,'Clientes Consolidado.'!C:C,C73,'Clientes Consolidado.'!B:B,"Additive")
+SUMIFS('Clientes Consolidado.'!I:I,'Clientes Consolidado.'!C:C,C73,'Clientes Consolidado.'!B:B,"Additive Intl.")</f>
        <v>0</v>
      </c>
      <c r="T73" s="19">
        <f>SUMIFS('Clientes Consolidado.'!J:J,'Clientes Consolidado.'!C:C,C73,'Clientes Consolidado.'!B:B,"Fertilizer")
+SUMIFS('Clientes Consolidado.'!J:J,'Clientes Consolidado.'!C:C,C73,'Clientes Consolidado.'!B:B,"Additive")
+SUMIFS('Clientes Consolidado.'!J:J,'Clientes Consolidado.'!C:C,C73,'Clientes Consolidado.'!B:B,"Additive Intl.")</f>
        <v>0</v>
      </c>
      <c r="U73" s="19">
        <f>SUMIFS('Clientes Consolidado.'!K:K,'Clientes Consolidado.'!C:C,C73,'Clientes Consolidado.'!B:B,"Fertilizer")
+SUMIFS('Clientes Consolidado.'!K:K,'Clientes Consolidado.'!C:C,C73,'Clientes Consolidado.'!B:B,"Additive")
+SUMIFS('Clientes Consolidado.'!K:K,'Clientes Consolidado.'!C:C,C73,'Clientes Consolidado.'!B:B,"Additive Intl.")</f>
        <v>0</v>
      </c>
      <c r="V73" s="19">
        <f>SUMIFS('Clientes Consolidado.'!L:L,'Clientes Consolidado.'!C:C,C73,'Clientes Consolidado.'!B:B,"Fertilizer")
+SUMIFS('Clientes Consolidado.'!L:L,'Clientes Consolidado.'!C:C,C73,'Clientes Consolidado.'!B:B,"Additive")
+SUMIFS('Clientes Consolidado.'!L:L,'Clientes Consolidado.'!C:C,C73,'Clientes Consolidado.'!B:B,"Additive Intl.")</f>
        <v>0</v>
      </c>
      <c r="W73" s="19">
        <f>SUMIFS('Clientes Consolidado.'!M:M,'Clientes Consolidado.'!C:C,C73,'Clientes Consolidado.'!B:B,"Fertilizer")
+SUMIFS('Clientes Consolidado.'!M:M,'Clientes Consolidado.'!C:C,C73,'Clientes Consolidado.'!B:B,"Additive")
+SUMIFS('Clientes Consolidado.'!M:M,'Clientes Consolidado.'!C:C,C73,'Clientes Consolidado.'!B:B,"Additive Intl.")</f>
        <v>0</v>
      </c>
      <c r="X73" s="19">
        <f>SUMIFS('Clientes Consolidado.'!N:N,'Clientes Consolidado.'!C:C,C73,'Clientes Consolidado.'!B:B,"Fertilizer")
+SUMIFS('Clientes Consolidado.'!N:N,'Clientes Consolidado.'!C:C,C73,'Clientes Consolidado.'!B:B,"Additive")
+SUMIFS('Clientes Consolidado.'!N:N,'Clientes Consolidado.'!C:C,C73,'Clientes Consolidado.'!B:B,"Additive Intl.")</f>
        <v>0</v>
      </c>
      <c r="Y73" s="19">
        <f>SUMIFS('Clientes Consolidado.'!O:O,'Clientes Consolidado.'!C:C,C73,'Clientes Consolidado.'!B:B,"Fertilizer")
+SUMIFS('Clientes Consolidado.'!O:O,'Clientes Consolidado.'!C:C,C73,'Clientes Consolidado.'!B:B,"Additive")
+SUMIFS('Clientes Consolidado.'!O:O,'Clientes Consolidado.'!C:C,C73,'Clientes Consolidado.'!B:B,"Additive Intl.")</f>
        <v>0</v>
      </c>
      <c r="Z73" s="19">
        <f>SUMIFS('Clientes Consolidado.'!P:P,'Clientes Consolidado.'!C:C,'Nova Versão '!C73,'Clientes Consolidado.'!B:B,"Fertilizer / Litigation")+SUMIFS('Clientes Consolidado.'!P:P,'Clientes Consolidado.'!C:C,'Nova Versão '!C73,'Clientes Consolidado.'!B:B,"Additive / Litigation")</f>
        <v>20940</v>
      </c>
      <c r="AA73" s="94"/>
    </row>
    <row r="74" spans="1:27" x14ac:dyDescent="0.25">
      <c r="A74" s="32"/>
      <c r="B74" s="94" t="str">
        <f>_xlfn.XLOOKUP(C74,Planilha3!A:A,Planilha3!B:B)</f>
        <v>Additive Intl.</v>
      </c>
      <c r="C74" s="94" t="s">
        <v>437</v>
      </c>
      <c r="D74" s="19">
        <f>_xlfn.XLOOKUP(C74,'Limite de crédito'!C:C,'Limite de crédito'!G:G,0)</f>
        <v>275000</v>
      </c>
      <c r="E74" s="19">
        <f t="shared" si="8"/>
        <v>14548.35</v>
      </c>
      <c r="F74" s="19">
        <f>_xlfn.XLOOKUP('Nova Versão '!C74,'Limite de crédito'!C:C,'Limite de crédito'!O:O,0)</f>
        <v>275000</v>
      </c>
      <c r="G74" s="404">
        <f t="shared" si="9"/>
        <v>0</v>
      </c>
      <c r="H74" s="412" t="str">
        <f>_xlfn.XLOOKUP(C74,Planilha3!A:A,Planilha3!C:C)</f>
        <v>Guarantee or credit</v>
      </c>
      <c r="J74" s="19">
        <f t="shared" si="10"/>
        <v>0</v>
      </c>
      <c r="K74" s="19">
        <f>_xlfn.XLOOKUP(C74,'Clientes Consolidado.'!$C:$C,'Clientes Consolidado.'!R:R,0)</f>
        <v>0</v>
      </c>
      <c r="L74" s="19">
        <f>_xlfn.XLOOKUP(C74,'Clientes Consolidado.'!$C:$C,'Clientes Consolidado.'!S:S,0)</f>
        <v>0</v>
      </c>
      <c r="M74" s="19">
        <f>_xlfn.XLOOKUP(C74,'Clientes Consolidado.'!$C:$C,'Clientes Consolidado.'!T:T,0)</f>
        <v>0</v>
      </c>
      <c r="N74" s="19">
        <f>_xlfn.XLOOKUP(C74,'Clientes Consolidado.'!$C:$C,'Clientes Consolidado.'!U:U,0)</f>
        <v>0</v>
      </c>
      <c r="O74" s="19">
        <f>_xlfn.XLOOKUP(C74,'Clientes Consolidado.'!$C:$C,'Clientes Consolidado.'!V:V,0)</f>
        <v>0</v>
      </c>
      <c r="P74" s="19">
        <f>_xlfn.XLOOKUP(C74,'Clientes Consolidado.'!$C:$C,'Clientes Consolidado.'!W:W,0)</f>
        <v>0</v>
      </c>
      <c r="Q74" s="19">
        <f>_xlfn.XLOOKUP(C74,'Clientes Consolidado.'!$C:$C,'Clientes Consolidado.'!X:X,0)</f>
        <v>0</v>
      </c>
      <c r="R74" s="19">
        <f t="shared" si="11"/>
        <v>14548.35</v>
      </c>
      <c r="S74" s="19">
        <f>SUMIFS('Clientes Consolidado.'!I:I,'Clientes Consolidado.'!C:C,C74,'Clientes Consolidado.'!B:B,"Fertilizer")
+SUMIFS('Clientes Consolidado.'!I:I,'Clientes Consolidado.'!C:C,C74,'Clientes Consolidado.'!B:B,"Additive")
+SUMIFS('Clientes Consolidado.'!I:I,'Clientes Consolidado.'!C:C,C74,'Clientes Consolidado.'!B:B,"Additive Intl.")</f>
        <v>0</v>
      </c>
      <c r="T74" s="19">
        <f>SUMIFS('Clientes Consolidado.'!J:J,'Clientes Consolidado.'!C:C,C74,'Clientes Consolidado.'!B:B,"Fertilizer")
+SUMIFS('Clientes Consolidado.'!J:J,'Clientes Consolidado.'!C:C,C74,'Clientes Consolidado.'!B:B,"Additive")
+SUMIFS('Clientes Consolidado.'!J:J,'Clientes Consolidado.'!C:C,C74,'Clientes Consolidado.'!B:B,"Additive Intl.")</f>
        <v>0</v>
      </c>
      <c r="U74" s="19">
        <f>SUMIFS('Clientes Consolidado.'!K:K,'Clientes Consolidado.'!C:C,C74,'Clientes Consolidado.'!B:B,"Fertilizer")
+SUMIFS('Clientes Consolidado.'!K:K,'Clientes Consolidado.'!C:C,C74,'Clientes Consolidado.'!B:B,"Additive")
+SUMIFS('Clientes Consolidado.'!K:K,'Clientes Consolidado.'!C:C,C74,'Clientes Consolidado.'!B:B,"Additive Intl.")</f>
        <v>0</v>
      </c>
      <c r="V74" s="19">
        <f>SUMIFS('Clientes Consolidado.'!L:L,'Clientes Consolidado.'!C:C,C74,'Clientes Consolidado.'!B:B,"Fertilizer")
+SUMIFS('Clientes Consolidado.'!L:L,'Clientes Consolidado.'!C:C,C74,'Clientes Consolidado.'!B:B,"Additive")
+SUMIFS('Clientes Consolidado.'!L:L,'Clientes Consolidado.'!C:C,C74,'Clientes Consolidado.'!B:B,"Additive Intl.")</f>
        <v>14548.35</v>
      </c>
      <c r="W74" s="19">
        <f>SUMIFS('Clientes Consolidado.'!M:M,'Clientes Consolidado.'!C:C,C74,'Clientes Consolidado.'!B:B,"Fertilizer")
+SUMIFS('Clientes Consolidado.'!M:M,'Clientes Consolidado.'!C:C,C74,'Clientes Consolidado.'!B:B,"Additive")
+SUMIFS('Clientes Consolidado.'!M:M,'Clientes Consolidado.'!C:C,C74,'Clientes Consolidado.'!B:B,"Additive Intl.")</f>
        <v>0</v>
      </c>
      <c r="X74" s="19">
        <f>SUMIFS('Clientes Consolidado.'!N:N,'Clientes Consolidado.'!C:C,C74,'Clientes Consolidado.'!B:B,"Fertilizer")
+SUMIFS('Clientes Consolidado.'!N:N,'Clientes Consolidado.'!C:C,C74,'Clientes Consolidado.'!B:B,"Additive")
+SUMIFS('Clientes Consolidado.'!N:N,'Clientes Consolidado.'!C:C,C74,'Clientes Consolidado.'!B:B,"Additive Intl.")</f>
        <v>0</v>
      </c>
      <c r="Y74" s="19">
        <f>SUMIFS('Clientes Consolidado.'!O:O,'Clientes Consolidado.'!C:C,C74,'Clientes Consolidado.'!B:B,"Fertilizer")
+SUMIFS('Clientes Consolidado.'!O:O,'Clientes Consolidado.'!C:C,C74,'Clientes Consolidado.'!B:B,"Additive")
+SUMIFS('Clientes Consolidado.'!O:O,'Clientes Consolidado.'!C:C,C74,'Clientes Consolidado.'!B:B,"Additive Intl.")</f>
        <v>0</v>
      </c>
      <c r="Z74" s="19">
        <f>SUMIFS('Clientes Consolidado.'!P:P,'Clientes Consolidado.'!C:C,'Nova Versão '!C74,'Clientes Consolidado.'!B:B,"Fertilizer / Litigation")+SUMIFS('Clientes Consolidado.'!P:P,'Clientes Consolidado.'!C:C,'Nova Versão '!C74,'Clientes Consolidado.'!B:B,"Additive / Litigation")</f>
        <v>0</v>
      </c>
      <c r="AA74" s="94"/>
    </row>
    <row r="75" spans="1:27" x14ac:dyDescent="0.25">
      <c r="A75" s="32"/>
      <c r="B75" s="94" t="str">
        <f>_xlfn.XLOOKUP(C75,Planilha3!A:A,Planilha3!B:B)</f>
        <v>Additive</v>
      </c>
      <c r="C75" s="94" t="s">
        <v>417</v>
      </c>
      <c r="D75" s="19">
        <f>_xlfn.XLOOKUP(C75,'Limite de crédito'!C:C,'Limite de crédito'!G:G,0)</f>
        <v>2000000</v>
      </c>
      <c r="E75" s="19">
        <f t="shared" si="8"/>
        <v>13431</v>
      </c>
      <c r="F75" s="19">
        <f>_xlfn.XLOOKUP('Nova Versão '!C75,'Limite de crédito'!C:C,'Limite de crédito'!O:O,0)</f>
        <v>2000000</v>
      </c>
      <c r="G75" s="404">
        <f t="shared" si="9"/>
        <v>0</v>
      </c>
      <c r="H75" s="412" t="str">
        <f>_xlfn.XLOOKUP(C75,Planilha3!A:A,Planilha3!C:C)</f>
        <v>Guarantee or credit</v>
      </c>
      <c r="J75" s="19">
        <f t="shared" si="10"/>
        <v>13431</v>
      </c>
      <c r="K75" s="19">
        <f>_xlfn.XLOOKUP(C75,'Clientes Consolidado.'!$C:$C,'Clientes Consolidado.'!R:R,0)</f>
        <v>13431</v>
      </c>
      <c r="L75" s="19">
        <f>_xlfn.XLOOKUP(C75,'Clientes Consolidado.'!$C:$C,'Clientes Consolidado.'!S:S,0)</f>
        <v>0</v>
      </c>
      <c r="M75" s="19">
        <f>_xlfn.XLOOKUP(C75,'Clientes Consolidado.'!$C:$C,'Clientes Consolidado.'!T:T,0)</f>
        <v>0</v>
      </c>
      <c r="N75" s="19">
        <f>_xlfn.XLOOKUP(C75,'Clientes Consolidado.'!$C:$C,'Clientes Consolidado.'!U:U,0)</f>
        <v>0</v>
      </c>
      <c r="O75" s="19">
        <f>_xlfn.XLOOKUP(C75,'Clientes Consolidado.'!$C:$C,'Clientes Consolidado.'!V:V,0)</f>
        <v>0</v>
      </c>
      <c r="P75" s="19">
        <f>_xlfn.XLOOKUP(C75,'Clientes Consolidado.'!$C:$C,'Clientes Consolidado.'!W:W,0)</f>
        <v>0</v>
      </c>
      <c r="Q75" s="19">
        <f>_xlfn.XLOOKUP(C75,'Clientes Consolidado.'!$C:$C,'Clientes Consolidado.'!X:X,0)</f>
        <v>0</v>
      </c>
      <c r="R75" s="19">
        <f t="shared" si="11"/>
        <v>0</v>
      </c>
      <c r="S75" s="19">
        <f>SUMIFS('Clientes Consolidado.'!I:I,'Clientes Consolidado.'!C:C,C75,'Clientes Consolidado.'!B:B,"Fertilizer")
+SUMIFS('Clientes Consolidado.'!I:I,'Clientes Consolidado.'!C:C,C75,'Clientes Consolidado.'!B:B,"Additive")
+SUMIFS('Clientes Consolidado.'!I:I,'Clientes Consolidado.'!C:C,C75,'Clientes Consolidado.'!B:B,"Additive Intl.")</f>
        <v>0</v>
      </c>
      <c r="T75" s="19">
        <f>SUMIFS('Clientes Consolidado.'!J:J,'Clientes Consolidado.'!C:C,C75,'Clientes Consolidado.'!B:B,"Fertilizer")
+SUMIFS('Clientes Consolidado.'!J:J,'Clientes Consolidado.'!C:C,C75,'Clientes Consolidado.'!B:B,"Additive")
+SUMIFS('Clientes Consolidado.'!J:J,'Clientes Consolidado.'!C:C,C75,'Clientes Consolidado.'!B:B,"Additive Intl.")</f>
        <v>0</v>
      </c>
      <c r="U75" s="19">
        <f>SUMIFS('Clientes Consolidado.'!K:K,'Clientes Consolidado.'!C:C,C75,'Clientes Consolidado.'!B:B,"Fertilizer")
+SUMIFS('Clientes Consolidado.'!K:K,'Clientes Consolidado.'!C:C,C75,'Clientes Consolidado.'!B:B,"Additive")
+SUMIFS('Clientes Consolidado.'!K:K,'Clientes Consolidado.'!C:C,C75,'Clientes Consolidado.'!B:B,"Additive Intl.")</f>
        <v>0</v>
      </c>
      <c r="V75" s="19">
        <f>SUMIFS('Clientes Consolidado.'!L:L,'Clientes Consolidado.'!C:C,C75,'Clientes Consolidado.'!B:B,"Fertilizer")
+SUMIFS('Clientes Consolidado.'!L:L,'Clientes Consolidado.'!C:C,C75,'Clientes Consolidado.'!B:B,"Additive")
+SUMIFS('Clientes Consolidado.'!L:L,'Clientes Consolidado.'!C:C,C75,'Clientes Consolidado.'!B:B,"Additive Intl.")</f>
        <v>0</v>
      </c>
      <c r="W75" s="19">
        <f>SUMIFS('Clientes Consolidado.'!M:M,'Clientes Consolidado.'!C:C,C75,'Clientes Consolidado.'!B:B,"Fertilizer")
+SUMIFS('Clientes Consolidado.'!M:M,'Clientes Consolidado.'!C:C,C75,'Clientes Consolidado.'!B:B,"Additive")
+SUMIFS('Clientes Consolidado.'!M:M,'Clientes Consolidado.'!C:C,C75,'Clientes Consolidado.'!B:B,"Additive Intl.")</f>
        <v>0</v>
      </c>
      <c r="X75" s="19">
        <f>SUMIFS('Clientes Consolidado.'!N:N,'Clientes Consolidado.'!C:C,C75,'Clientes Consolidado.'!B:B,"Fertilizer")
+SUMIFS('Clientes Consolidado.'!N:N,'Clientes Consolidado.'!C:C,C75,'Clientes Consolidado.'!B:B,"Additive")
+SUMIFS('Clientes Consolidado.'!N:N,'Clientes Consolidado.'!C:C,C75,'Clientes Consolidado.'!B:B,"Additive Intl.")</f>
        <v>0</v>
      </c>
      <c r="Y75" s="19">
        <f>SUMIFS('Clientes Consolidado.'!O:O,'Clientes Consolidado.'!C:C,C75,'Clientes Consolidado.'!B:B,"Fertilizer")
+SUMIFS('Clientes Consolidado.'!O:O,'Clientes Consolidado.'!C:C,C75,'Clientes Consolidado.'!B:B,"Additive")
+SUMIFS('Clientes Consolidado.'!O:O,'Clientes Consolidado.'!C:C,C75,'Clientes Consolidado.'!B:B,"Additive Intl.")</f>
        <v>0</v>
      </c>
      <c r="Z75" s="19">
        <f>SUMIFS('Clientes Consolidado.'!P:P,'Clientes Consolidado.'!C:C,'Nova Versão '!C75,'Clientes Consolidado.'!B:B,"Fertilizer / Litigation")+SUMIFS('Clientes Consolidado.'!P:P,'Clientes Consolidado.'!C:C,'Nova Versão '!C75,'Clientes Consolidado.'!B:B,"Additive / Litigation")</f>
        <v>0</v>
      </c>
      <c r="AA75" s="94"/>
    </row>
    <row r="76" spans="1:27" x14ac:dyDescent="0.25">
      <c r="A76" s="32"/>
      <c r="B76" s="94" t="str">
        <f>_xlfn.XLOOKUP(C76,Planilha3!A:A,Planilha3!B:B)</f>
        <v>Fertilizer</v>
      </c>
      <c r="C76" s="94" t="s">
        <v>425</v>
      </c>
      <c r="D76" s="19">
        <f>_xlfn.XLOOKUP(C76,'Limite de crédito'!C:C,'Limite de crédito'!G:G,0)</f>
        <v>700000</v>
      </c>
      <c r="E76" s="19">
        <f t="shared" si="8"/>
        <v>5030.5</v>
      </c>
      <c r="F76" s="19">
        <f>_xlfn.XLOOKUP('Nova Versão '!C76,'Limite de crédito'!C:C,'Limite de crédito'!O:O,0)</f>
        <v>700000</v>
      </c>
      <c r="G76" s="404">
        <f t="shared" si="9"/>
        <v>0</v>
      </c>
      <c r="H76" s="412" t="str">
        <f>_xlfn.XLOOKUP(C76,Planilha3!A:A,Planilha3!C:C)</f>
        <v>Guarantee or credit</v>
      </c>
      <c r="J76" s="19">
        <f t="shared" si="10"/>
        <v>5030.5</v>
      </c>
      <c r="K76" s="19">
        <f>_xlfn.XLOOKUP(C76,'Clientes Consolidado.'!$C:$C,'Clientes Consolidado.'!R:R,0)</f>
        <v>0</v>
      </c>
      <c r="L76" s="19">
        <f>_xlfn.XLOOKUP(C76,'Clientes Consolidado.'!$C:$C,'Clientes Consolidado.'!S:S,0)</f>
        <v>0</v>
      </c>
      <c r="M76" s="19">
        <f>_xlfn.XLOOKUP(C76,'Clientes Consolidado.'!$C:$C,'Clientes Consolidado.'!T:T,0)</f>
        <v>0</v>
      </c>
      <c r="N76" s="19">
        <f>_xlfn.XLOOKUP(C76,'Clientes Consolidado.'!$C:$C,'Clientes Consolidado.'!U:U,0)</f>
        <v>5030.5</v>
      </c>
      <c r="O76" s="19">
        <f>_xlfn.XLOOKUP(C76,'Clientes Consolidado.'!$C:$C,'Clientes Consolidado.'!V:V,0)</f>
        <v>0</v>
      </c>
      <c r="P76" s="19">
        <f>_xlfn.XLOOKUP(C76,'Clientes Consolidado.'!$C:$C,'Clientes Consolidado.'!W:W,0)</f>
        <v>0</v>
      </c>
      <c r="Q76" s="19">
        <f>_xlfn.XLOOKUP(C76,'Clientes Consolidado.'!$C:$C,'Clientes Consolidado.'!X:X,0)</f>
        <v>0</v>
      </c>
      <c r="R76" s="19">
        <f t="shared" si="11"/>
        <v>0</v>
      </c>
      <c r="S76" s="19">
        <f>SUMIFS('Clientes Consolidado.'!I:I,'Clientes Consolidado.'!C:C,C76,'Clientes Consolidado.'!B:B,"Fertilizer")
+SUMIFS('Clientes Consolidado.'!I:I,'Clientes Consolidado.'!C:C,C76,'Clientes Consolidado.'!B:B,"Additive")
+SUMIFS('Clientes Consolidado.'!I:I,'Clientes Consolidado.'!C:C,C76,'Clientes Consolidado.'!B:B,"Additive Intl.")</f>
        <v>0</v>
      </c>
      <c r="T76" s="19">
        <f>SUMIFS('Clientes Consolidado.'!J:J,'Clientes Consolidado.'!C:C,C76,'Clientes Consolidado.'!B:B,"Fertilizer")
+SUMIFS('Clientes Consolidado.'!J:J,'Clientes Consolidado.'!C:C,C76,'Clientes Consolidado.'!B:B,"Additive")
+SUMIFS('Clientes Consolidado.'!J:J,'Clientes Consolidado.'!C:C,C76,'Clientes Consolidado.'!B:B,"Additive Intl.")</f>
        <v>0</v>
      </c>
      <c r="U76" s="19">
        <f>SUMIFS('Clientes Consolidado.'!K:K,'Clientes Consolidado.'!C:C,C76,'Clientes Consolidado.'!B:B,"Fertilizer")
+SUMIFS('Clientes Consolidado.'!K:K,'Clientes Consolidado.'!C:C,C76,'Clientes Consolidado.'!B:B,"Additive")
+SUMIFS('Clientes Consolidado.'!K:K,'Clientes Consolidado.'!C:C,C76,'Clientes Consolidado.'!B:B,"Additive Intl.")</f>
        <v>0</v>
      </c>
      <c r="V76" s="19">
        <f>SUMIFS('Clientes Consolidado.'!L:L,'Clientes Consolidado.'!C:C,C76,'Clientes Consolidado.'!B:B,"Fertilizer")
+SUMIFS('Clientes Consolidado.'!L:L,'Clientes Consolidado.'!C:C,C76,'Clientes Consolidado.'!B:B,"Additive")
+SUMIFS('Clientes Consolidado.'!L:L,'Clientes Consolidado.'!C:C,C76,'Clientes Consolidado.'!B:B,"Additive Intl.")</f>
        <v>0</v>
      </c>
      <c r="W76" s="19">
        <f>SUMIFS('Clientes Consolidado.'!M:M,'Clientes Consolidado.'!C:C,C76,'Clientes Consolidado.'!B:B,"Fertilizer")
+SUMIFS('Clientes Consolidado.'!M:M,'Clientes Consolidado.'!C:C,C76,'Clientes Consolidado.'!B:B,"Additive")
+SUMIFS('Clientes Consolidado.'!M:M,'Clientes Consolidado.'!C:C,C76,'Clientes Consolidado.'!B:B,"Additive Intl.")</f>
        <v>0</v>
      </c>
      <c r="X76" s="19">
        <f>SUMIFS('Clientes Consolidado.'!N:N,'Clientes Consolidado.'!C:C,C76,'Clientes Consolidado.'!B:B,"Fertilizer")
+SUMIFS('Clientes Consolidado.'!N:N,'Clientes Consolidado.'!C:C,C76,'Clientes Consolidado.'!B:B,"Additive")
+SUMIFS('Clientes Consolidado.'!N:N,'Clientes Consolidado.'!C:C,C76,'Clientes Consolidado.'!B:B,"Additive Intl.")</f>
        <v>0</v>
      </c>
      <c r="Y76" s="19">
        <f>SUMIFS('Clientes Consolidado.'!O:O,'Clientes Consolidado.'!C:C,C76,'Clientes Consolidado.'!B:B,"Fertilizer")
+SUMIFS('Clientes Consolidado.'!O:O,'Clientes Consolidado.'!C:C,C76,'Clientes Consolidado.'!B:B,"Additive")
+SUMIFS('Clientes Consolidado.'!O:O,'Clientes Consolidado.'!C:C,C76,'Clientes Consolidado.'!B:B,"Additive Intl.")</f>
        <v>0</v>
      </c>
      <c r="Z76" s="19">
        <f>SUMIFS('Clientes Consolidado.'!P:P,'Clientes Consolidado.'!C:C,'Nova Versão '!C76,'Clientes Consolidado.'!B:B,"Fertilizer / Litigation")+SUMIFS('Clientes Consolidado.'!P:P,'Clientes Consolidado.'!C:C,'Nova Versão '!C76,'Clientes Consolidado.'!B:B,"Additive / Litigation")</f>
        <v>0</v>
      </c>
      <c r="AA76" s="94"/>
    </row>
    <row r="77" spans="1:27" x14ac:dyDescent="0.25">
      <c r="A77" s="32"/>
      <c r="B77" s="94" t="str">
        <f>_xlfn.XLOOKUP(C77,Planilha3!A:A,Planilha3!B:B)</f>
        <v>Additive</v>
      </c>
      <c r="C77" s="94" t="s">
        <v>890</v>
      </c>
      <c r="D77" s="19">
        <f>_xlfn.XLOOKUP(C77,'Limite de crédito'!C:C,'Limite de crédito'!G:G,0)</f>
        <v>0</v>
      </c>
      <c r="E77" s="19">
        <f t="shared" si="8"/>
        <v>1743</v>
      </c>
      <c r="F77" s="19">
        <f>_xlfn.XLOOKUP('Nova Versão '!C77,'Limite de crédito'!C:C,'Limite de crédito'!O:O,0)</f>
        <v>0</v>
      </c>
      <c r="G77" s="404">
        <f t="shared" si="9"/>
        <v>1743</v>
      </c>
      <c r="H77" s="412" t="str">
        <f>_xlfn.XLOOKUP(C77,Planilha3!A:A,Planilha3!C:C)</f>
        <v>Sales to employees</v>
      </c>
      <c r="J77" s="19">
        <f t="shared" si="10"/>
        <v>1743</v>
      </c>
      <c r="K77" s="19">
        <f>_xlfn.XLOOKUP(C77,'Clientes Consolidado.'!$C:$C,'Clientes Consolidado.'!R:R,0)</f>
        <v>581</v>
      </c>
      <c r="L77" s="19">
        <f>_xlfn.XLOOKUP(C77,'Clientes Consolidado.'!$C:$C,'Clientes Consolidado.'!S:S,0)</f>
        <v>581</v>
      </c>
      <c r="M77" s="19">
        <f>_xlfn.XLOOKUP(C77,'Clientes Consolidado.'!$C:$C,'Clientes Consolidado.'!T:T,0)</f>
        <v>581</v>
      </c>
      <c r="N77" s="19">
        <f>_xlfn.XLOOKUP(C77,'Clientes Consolidado.'!$C:$C,'Clientes Consolidado.'!U:U,0)</f>
        <v>0</v>
      </c>
      <c r="O77" s="19">
        <f>_xlfn.XLOOKUP(C77,'Clientes Consolidado.'!$C:$C,'Clientes Consolidado.'!V:V,0)</f>
        <v>0</v>
      </c>
      <c r="P77" s="19">
        <f>_xlfn.XLOOKUP(C77,'Clientes Consolidado.'!$C:$C,'Clientes Consolidado.'!W:W,0)</f>
        <v>0</v>
      </c>
      <c r="Q77" s="19">
        <f>_xlfn.XLOOKUP(C77,'Clientes Consolidado.'!$C:$C,'Clientes Consolidado.'!X:X,0)</f>
        <v>0</v>
      </c>
      <c r="R77" s="19">
        <f t="shared" si="11"/>
        <v>0</v>
      </c>
      <c r="S77" s="19">
        <f>SUMIFS('Clientes Consolidado.'!I:I,'Clientes Consolidado.'!C:C,C77,'Clientes Consolidado.'!B:B,"Fertilizer")
+SUMIFS('Clientes Consolidado.'!I:I,'Clientes Consolidado.'!C:C,C77,'Clientes Consolidado.'!B:B,"Additive")
+SUMIFS('Clientes Consolidado.'!I:I,'Clientes Consolidado.'!C:C,C77,'Clientes Consolidado.'!B:B,"Additive Intl.")</f>
        <v>0</v>
      </c>
      <c r="T77" s="19">
        <f>SUMIFS('Clientes Consolidado.'!J:J,'Clientes Consolidado.'!C:C,C77,'Clientes Consolidado.'!B:B,"Fertilizer")
+SUMIFS('Clientes Consolidado.'!J:J,'Clientes Consolidado.'!C:C,C77,'Clientes Consolidado.'!B:B,"Additive")
+SUMIFS('Clientes Consolidado.'!J:J,'Clientes Consolidado.'!C:C,C77,'Clientes Consolidado.'!B:B,"Additive Intl.")</f>
        <v>0</v>
      </c>
      <c r="U77" s="19">
        <f>SUMIFS('Clientes Consolidado.'!K:K,'Clientes Consolidado.'!C:C,C77,'Clientes Consolidado.'!B:B,"Fertilizer")
+SUMIFS('Clientes Consolidado.'!K:K,'Clientes Consolidado.'!C:C,C77,'Clientes Consolidado.'!B:B,"Additive")
+SUMIFS('Clientes Consolidado.'!K:K,'Clientes Consolidado.'!C:C,C77,'Clientes Consolidado.'!B:B,"Additive Intl.")</f>
        <v>0</v>
      </c>
      <c r="V77" s="19">
        <f>SUMIFS('Clientes Consolidado.'!L:L,'Clientes Consolidado.'!C:C,C77,'Clientes Consolidado.'!B:B,"Fertilizer")
+SUMIFS('Clientes Consolidado.'!L:L,'Clientes Consolidado.'!C:C,C77,'Clientes Consolidado.'!B:B,"Additive")
+SUMIFS('Clientes Consolidado.'!L:L,'Clientes Consolidado.'!C:C,C77,'Clientes Consolidado.'!B:B,"Additive Intl.")</f>
        <v>0</v>
      </c>
      <c r="W77" s="19">
        <f>SUMIFS('Clientes Consolidado.'!M:M,'Clientes Consolidado.'!C:C,C77,'Clientes Consolidado.'!B:B,"Fertilizer")
+SUMIFS('Clientes Consolidado.'!M:M,'Clientes Consolidado.'!C:C,C77,'Clientes Consolidado.'!B:B,"Additive")
+SUMIFS('Clientes Consolidado.'!M:M,'Clientes Consolidado.'!C:C,C77,'Clientes Consolidado.'!B:B,"Additive Intl.")</f>
        <v>0</v>
      </c>
      <c r="X77" s="19">
        <f>SUMIFS('Clientes Consolidado.'!N:N,'Clientes Consolidado.'!C:C,C77,'Clientes Consolidado.'!B:B,"Fertilizer")
+SUMIFS('Clientes Consolidado.'!N:N,'Clientes Consolidado.'!C:C,C77,'Clientes Consolidado.'!B:B,"Additive")
+SUMIFS('Clientes Consolidado.'!N:N,'Clientes Consolidado.'!C:C,C77,'Clientes Consolidado.'!B:B,"Additive Intl.")</f>
        <v>0</v>
      </c>
      <c r="Y77" s="19">
        <f>SUMIFS('Clientes Consolidado.'!O:O,'Clientes Consolidado.'!C:C,C77,'Clientes Consolidado.'!B:B,"Fertilizer")
+SUMIFS('Clientes Consolidado.'!O:O,'Clientes Consolidado.'!C:C,C77,'Clientes Consolidado.'!B:B,"Additive")
+SUMIFS('Clientes Consolidado.'!O:O,'Clientes Consolidado.'!C:C,C77,'Clientes Consolidado.'!B:B,"Additive Intl.")</f>
        <v>0</v>
      </c>
      <c r="Z77" s="19">
        <f>SUMIFS('Clientes Consolidado.'!P:P,'Clientes Consolidado.'!C:C,'Nova Versão '!C77,'Clientes Consolidado.'!B:B,"Fertilizer / Litigation")+SUMIFS('Clientes Consolidado.'!P:P,'Clientes Consolidado.'!C:C,'Nova Versão '!C77,'Clientes Consolidado.'!B:B,"Additive / Litigation")</f>
        <v>0</v>
      </c>
      <c r="AA77" s="94"/>
    </row>
    <row r="78" spans="1:27" x14ac:dyDescent="0.25">
      <c r="A78" s="32"/>
      <c r="B78" s="94" t="str">
        <f>_xlfn.XLOOKUP(C78,Planilha3!A:A,Planilha3!B:B)</f>
        <v>Additive Intl.</v>
      </c>
      <c r="C78" s="94" t="s">
        <v>670</v>
      </c>
      <c r="D78" s="19">
        <f>_xlfn.XLOOKUP(C78,'Limite de crédito'!C:C,'Limite de crédito'!G:G,0)</f>
        <v>0</v>
      </c>
      <c r="E78" s="19">
        <f t="shared" si="8"/>
        <v>1380.52</v>
      </c>
      <c r="F78" s="19">
        <f>_xlfn.XLOOKUP('Nova Versão '!C78,'Limite de crédito'!C:C,'Limite de crédito'!O:O,0)</f>
        <v>0</v>
      </c>
      <c r="G78" s="404">
        <f t="shared" si="9"/>
        <v>1380.52</v>
      </c>
      <c r="H78" s="412" t="str">
        <f>_xlfn.XLOOKUP(C78,Planilha3!A:A,Planilha3!C:C)</f>
        <v>Credit without Insurance</v>
      </c>
      <c r="J78" s="19">
        <f t="shared" si="10"/>
        <v>853.24</v>
      </c>
      <c r="K78" s="19">
        <f>_xlfn.XLOOKUP(C78,'Clientes Consolidado.'!$C:$C,'Clientes Consolidado.'!R:R,0)</f>
        <v>853.24</v>
      </c>
      <c r="L78" s="19">
        <f>_xlfn.XLOOKUP(C78,'Clientes Consolidado.'!$C:$C,'Clientes Consolidado.'!S:S,0)</f>
        <v>0</v>
      </c>
      <c r="M78" s="19">
        <f>_xlfn.XLOOKUP(C78,'Clientes Consolidado.'!$C:$C,'Clientes Consolidado.'!T:T,0)</f>
        <v>0</v>
      </c>
      <c r="N78" s="19">
        <f>_xlfn.XLOOKUP(C78,'Clientes Consolidado.'!$C:$C,'Clientes Consolidado.'!U:U,0)</f>
        <v>0</v>
      </c>
      <c r="O78" s="19">
        <f>_xlfn.XLOOKUP(C78,'Clientes Consolidado.'!$C:$C,'Clientes Consolidado.'!V:V,0)</f>
        <v>0</v>
      </c>
      <c r="P78" s="19">
        <f>_xlfn.XLOOKUP(C78,'Clientes Consolidado.'!$C:$C,'Clientes Consolidado.'!W:W,0)</f>
        <v>0</v>
      </c>
      <c r="Q78" s="19">
        <f>_xlfn.XLOOKUP(C78,'Clientes Consolidado.'!$C:$C,'Clientes Consolidado.'!X:X,0)</f>
        <v>0</v>
      </c>
      <c r="R78" s="19">
        <f t="shared" si="11"/>
        <v>527.28</v>
      </c>
      <c r="S78" s="19">
        <f>SUMIFS('Clientes Consolidado.'!I:I,'Clientes Consolidado.'!C:C,C78,'Clientes Consolidado.'!B:B,"Fertilizer")
+SUMIFS('Clientes Consolidado.'!I:I,'Clientes Consolidado.'!C:C,C78,'Clientes Consolidado.'!B:B,"Additive")
+SUMIFS('Clientes Consolidado.'!I:I,'Clientes Consolidado.'!C:C,C78,'Clientes Consolidado.'!B:B,"Additive Intl.")</f>
        <v>0</v>
      </c>
      <c r="T78" s="19">
        <f>SUMIFS('Clientes Consolidado.'!J:J,'Clientes Consolidado.'!C:C,C78,'Clientes Consolidado.'!B:B,"Fertilizer")
+SUMIFS('Clientes Consolidado.'!J:J,'Clientes Consolidado.'!C:C,C78,'Clientes Consolidado.'!B:B,"Additive")
+SUMIFS('Clientes Consolidado.'!J:J,'Clientes Consolidado.'!C:C,C78,'Clientes Consolidado.'!B:B,"Additive Intl.")</f>
        <v>0</v>
      </c>
      <c r="U78" s="19">
        <f>SUMIFS('Clientes Consolidado.'!K:K,'Clientes Consolidado.'!C:C,C78,'Clientes Consolidado.'!B:B,"Fertilizer")
+SUMIFS('Clientes Consolidado.'!K:K,'Clientes Consolidado.'!C:C,C78,'Clientes Consolidado.'!B:B,"Additive")
+SUMIFS('Clientes Consolidado.'!K:K,'Clientes Consolidado.'!C:C,C78,'Clientes Consolidado.'!B:B,"Additive Intl.")</f>
        <v>0</v>
      </c>
      <c r="V78" s="19">
        <f>SUMIFS('Clientes Consolidado.'!L:L,'Clientes Consolidado.'!C:C,C78,'Clientes Consolidado.'!B:B,"Fertilizer")
+SUMIFS('Clientes Consolidado.'!L:L,'Clientes Consolidado.'!C:C,C78,'Clientes Consolidado.'!B:B,"Additive")
+SUMIFS('Clientes Consolidado.'!L:L,'Clientes Consolidado.'!C:C,C78,'Clientes Consolidado.'!B:B,"Additive Intl.")</f>
        <v>0</v>
      </c>
      <c r="W78" s="19">
        <f>SUMIFS('Clientes Consolidado.'!M:M,'Clientes Consolidado.'!C:C,C78,'Clientes Consolidado.'!B:B,"Fertilizer")
+SUMIFS('Clientes Consolidado.'!M:M,'Clientes Consolidado.'!C:C,C78,'Clientes Consolidado.'!B:B,"Additive")
+SUMIFS('Clientes Consolidado.'!M:M,'Clientes Consolidado.'!C:C,C78,'Clientes Consolidado.'!B:B,"Additive Intl.")</f>
        <v>0</v>
      </c>
      <c r="X78" s="19">
        <f>SUMIFS('Clientes Consolidado.'!N:N,'Clientes Consolidado.'!C:C,C78,'Clientes Consolidado.'!B:B,"Fertilizer")
+SUMIFS('Clientes Consolidado.'!N:N,'Clientes Consolidado.'!C:C,C78,'Clientes Consolidado.'!B:B,"Additive")
+SUMIFS('Clientes Consolidado.'!N:N,'Clientes Consolidado.'!C:C,C78,'Clientes Consolidado.'!B:B,"Additive Intl.")</f>
        <v>527.28</v>
      </c>
      <c r="Y78" s="19">
        <f>SUMIFS('Clientes Consolidado.'!O:O,'Clientes Consolidado.'!C:C,C78,'Clientes Consolidado.'!B:B,"Fertilizer")
+SUMIFS('Clientes Consolidado.'!O:O,'Clientes Consolidado.'!C:C,C78,'Clientes Consolidado.'!B:B,"Additive")
+SUMIFS('Clientes Consolidado.'!O:O,'Clientes Consolidado.'!C:C,C78,'Clientes Consolidado.'!B:B,"Additive Intl.")</f>
        <v>0</v>
      </c>
      <c r="Z78" s="19">
        <f>SUMIFS('Clientes Consolidado.'!P:P,'Clientes Consolidado.'!C:C,'Nova Versão '!C78,'Clientes Consolidado.'!B:B,"Fertilizer / Litigation")+SUMIFS('Clientes Consolidado.'!P:P,'Clientes Consolidado.'!C:C,'Nova Versão '!C78,'Clientes Consolidado.'!B:B,"Additive / Litigation")</f>
        <v>0</v>
      </c>
      <c r="AA78" s="94"/>
    </row>
    <row r="79" spans="1:27" x14ac:dyDescent="0.25">
      <c r="A79" s="32"/>
      <c r="B79" s="94" t="str">
        <f>_xlfn.XLOOKUP(C79,Planilha3!A:A,Planilha3!B:B)</f>
        <v>Additive</v>
      </c>
      <c r="C79" s="94" t="s">
        <v>846</v>
      </c>
      <c r="D79" s="19">
        <f>_xlfn.XLOOKUP(C79,'Limite de crédito'!C:C,'Limite de crédito'!G:G,0)</f>
        <v>0</v>
      </c>
      <c r="E79" s="19">
        <f t="shared" si="8"/>
        <v>331</v>
      </c>
      <c r="F79" s="19">
        <f>_xlfn.XLOOKUP('Nova Versão '!C79,'Limite de crédito'!C:C,'Limite de crédito'!O:O,0)</f>
        <v>0</v>
      </c>
      <c r="G79" s="404">
        <f t="shared" si="9"/>
        <v>331</v>
      </c>
      <c r="H79" s="412" t="str">
        <f>_xlfn.XLOOKUP(C79,Planilha3!A:A,Planilha3!C:C)</f>
        <v>Sales to employees</v>
      </c>
      <c r="J79" s="19">
        <f t="shared" si="10"/>
        <v>331</v>
      </c>
      <c r="K79" s="19">
        <f>_xlfn.XLOOKUP(C79,'Clientes Consolidado.'!$C:$C,'Clientes Consolidado.'!R:R,0)</f>
        <v>0</v>
      </c>
      <c r="L79" s="19">
        <f>_xlfn.XLOOKUP(C79,'Clientes Consolidado.'!$C:$C,'Clientes Consolidado.'!S:S,0)</f>
        <v>331</v>
      </c>
      <c r="M79" s="19">
        <f>_xlfn.XLOOKUP(C79,'Clientes Consolidado.'!$C:$C,'Clientes Consolidado.'!T:T,0)</f>
        <v>0</v>
      </c>
      <c r="N79" s="19">
        <f>_xlfn.XLOOKUP(C79,'Clientes Consolidado.'!$C:$C,'Clientes Consolidado.'!U:U,0)</f>
        <v>0</v>
      </c>
      <c r="O79" s="19">
        <f>_xlfn.XLOOKUP(C79,'Clientes Consolidado.'!$C:$C,'Clientes Consolidado.'!V:V,0)</f>
        <v>0</v>
      </c>
      <c r="P79" s="19">
        <f>_xlfn.XLOOKUP(C79,'Clientes Consolidado.'!$C:$C,'Clientes Consolidado.'!W:W,0)</f>
        <v>0</v>
      </c>
      <c r="Q79" s="19">
        <f>_xlfn.XLOOKUP(C79,'Clientes Consolidado.'!$C:$C,'Clientes Consolidado.'!X:X,0)</f>
        <v>0</v>
      </c>
      <c r="R79" s="19">
        <f t="shared" si="11"/>
        <v>0</v>
      </c>
      <c r="S79" s="19">
        <f>SUMIFS('Clientes Consolidado.'!I:I,'Clientes Consolidado.'!C:C,C79,'Clientes Consolidado.'!B:B,"Fertilizer")
+SUMIFS('Clientes Consolidado.'!I:I,'Clientes Consolidado.'!C:C,C79,'Clientes Consolidado.'!B:B,"Additive")
+SUMIFS('Clientes Consolidado.'!I:I,'Clientes Consolidado.'!C:C,C79,'Clientes Consolidado.'!B:B,"Additive Intl.")</f>
        <v>0</v>
      </c>
      <c r="T79" s="19">
        <f>SUMIFS('Clientes Consolidado.'!J:J,'Clientes Consolidado.'!C:C,C79,'Clientes Consolidado.'!B:B,"Fertilizer")
+SUMIFS('Clientes Consolidado.'!J:J,'Clientes Consolidado.'!C:C,C79,'Clientes Consolidado.'!B:B,"Additive")
+SUMIFS('Clientes Consolidado.'!J:J,'Clientes Consolidado.'!C:C,C79,'Clientes Consolidado.'!B:B,"Additive Intl.")</f>
        <v>0</v>
      </c>
      <c r="U79" s="19">
        <f>SUMIFS('Clientes Consolidado.'!K:K,'Clientes Consolidado.'!C:C,C79,'Clientes Consolidado.'!B:B,"Fertilizer")
+SUMIFS('Clientes Consolidado.'!K:K,'Clientes Consolidado.'!C:C,C79,'Clientes Consolidado.'!B:B,"Additive")
+SUMIFS('Clientes Consolidado.'!K:K,'Clientes Consolidado.'!C:C,C79,'Clientes Consolidado.'!B:B,"Additive Intl.")</f>
        <v>0</v>
      </c>
      <c r="V79" s="19">
        <f>SUMIFS('Clientes Consolidado.'!L:L,'Clientes Consolidado.'!C:C,C79,'Clientes Consolidado.'!B:B,"Fertilizer")
+SUMIFS('Clientes Consolidado.'!L:L,'Clientes Consolidado.'!C:C,C79,'Clientes Consolidado.'!B:B,"Additive")
+SUMIFS('Clientes Consolidado.'!L:L,'Clientes Consolidado.'!C:C,C79,'Clientes Consolidado.'!B:B,"Additive Intl.")</f>
        <v>0</v>
      </c>
      <c r="W79" s="19">
        <f>SUMIFS('Clientes Consolidado.'!M:M,'Clientes Consolidado.'!C:C,C79,'Clientes Consolidado.'!B:B,"Fertilizer")
+SUMIFS('Clientes Consolidado.'!M:M,'Clientes Consolidado.'!C:C,C79,'Clientes Consolidado.'!B:B,"Additive")
+SUMIFS('Clientes Consolidado.'!M:M,'Clientes Consolidado.'!C:C,C79,'Clientes Consolidado.'!B:B,"Additive Intl.")</f>
        <v>0</v>
      </c>
      <c r="X79" s="19">
        <f>SUMIFS('Clientes Consolidado.'!N:N,'Clientes Consolidado.'!C:C,C79,'Clientes Consolidado.'!B:B,"Fertilizer")
+SUMIFS('Clientes Consolidado.'!N:N,'Clientes Consolidado.'!C:C,C79,'Clientes Consolidado.'!B:B,"Additive")
+SUMIFS('Clientes Consolidado.'!N:N,'Clientes Consolidado.'!C:C,C79,'Clientes Consolidado.'!B:B,"Additive Intl.")</f>
        <v>0</v>
      </c>
      <c r="Y79" s="19">
        <f>SUMIFS('Clientes Consolidado.'!O:O,'Clientes Consolidado.'!C:C,C79,'Clientes Consolidado.'!B:B,"Fertilizer")
+SUMIFS('Clientes Consolidado.'!O:O,'Clientes Consolidado.'!C:C,C79,'Clientes Consolidado.'!B:B,"Additive")
+SUMIFS('Clientes Consolidado.'!O:O,'Clientes Consolidado.'!C:C,C79,'Clientes Consolidado.'!B:B,"Additive Intl.")</f>
        <v>0</v>
      </c>
      <c r="Z79" s="19">
        <f>SUMIFS('Clientes Consolidado.'!P:P,'Clientes Consolidado.'!C:C,'Nova Versão '!C79,'Clientes Consolidado.'!B:B,"Fertilizer / Litigation")+SUMIFS('Clientes Consolidado.'!P:P,'Clientes Consolidado.'!C:C,'Nova Versão '!C79,'Clientes Consolidado.'!B:B,"Additive / Litigation")</f>
        <v>0</v>
      </c>
      <c r="AA79" s="94"/>
    </row>
    <row r="80" spans="1:27" x14ac:dyDescent="0.25">
      <c r="A80" s="32"/>
      <c r="B80" s="94" t="str">
        <f>_xlfn.XLOOKUP(C80,Planilha3!A:A,Planilha3!B:B)</f>
        <v>Additive</v>
      </c>
      <c r="C80" s="94" t="s">
        <v>828</v>
      </c>
      <c r="D80" s="19">
        <f>_xlfn.XLOOKUP(C80,'Limite de crédito'!C:C,'Limite de crédito'!G:G,0)</f>
        <v>0</v>
      </c>
      <c r="E80" s="19">
        <f t="shared" si="8"/>
        <v>583.34</v>
      </c>
      <c r="F80" s="19">
        <f>_xlfn.XLOOKUP('Nova Versão '!C80,'Limite de crédito'!C:C,'Limite de crédito'!O:O,0)</f>
        <v>0</v>
      </c>
      <c r="G80" s="404">
        <f t="shared" si="9"/>
        <v>583.34</v>
      </c>
      <c r="H80" s="412" t="str">
        <f>_xlfn.XLOOKUP(C80,Planilha3!A:A,Planilha3!C:C)</f>
        <v>Sales to employees</v>
      </c>
      <c r="J80" s="19">
        <f t="shared" si="10"/>
        <v>583.34</v>
      </c>
      <c r="K80" s="19">
        <f>_xlfn.XLOOKUP(C80,'Clientes Consolidado.'!$C:$C,'Clientes Consolidado.'!R:R,0)</f>
        <v>583.34</v>
      </c>
      <c r="L80" s="19">
        <f>_xlfn.XLOOKUP(C80,'Clientes Consolidado.'!$C:$C,'Clientes Consolidado.'!S:S,0)</f>
        <v>0</v>
      </c>
      <c r="M80" s="19">
        <f>_xlfn.XLOOKUP(C80,'Clientes Consolidado.'!$C:$C,'Clientes Consolidado.'!T:T,0)</f>
        <v>0</v>
      </c>
      <c r="N80" s="19">
        <f>_xlfn.XLOOKUP(C80,'Clientes Consolidado.'!$C:$C,'Clientes Consolidado.'!U:U,0)</f>
        <v>0</v>
      </c>
      <c r="O80" s="19">
        <f>_xlfn.XLOOKUP(C80,'Clientes Consolidado.'!$C:$C,'Clientes Consolidado.'!V:V,0)</f>
        <v>0</v>
      </c>
      <c r="P80" s="19">
        <f>_xlfn.XLOOKUP(C80,'Clientes Consolidado.'!$C:$C,'Clientes Consolidado.'!W:W,0)</f>
        <v>0</v>
      </c>
      <c r="Q80" s="19">
        <f>_xlfn.XLOOKUP(C80,'Clientes Consolidado.'!$C:$C,'Clientes Consolidado.'!X:X,0)</f>
        <v>0</v>
      </c>
      <c r="R80" s="19">
        <f t="shared" si="11"/>
        <v>0</v>
      </c>
      <c r="S80" s="19">
        <f>SUMIFS('Clientes Consolidado.'!I:I,'Clientes Consolidado.'!C:C,C80,'Clientes Consolidado.'!B:B,"Fertilizer")
+SUMIFS('Clientes Consolidado.'!I:I,'Clientes Consolidado.'!C:C,C80,'Clientes Consolidado.'!B:B,"Additive")
+SUMIFS('Clientes Consolidado.'!I:I,'Clientes Consolidado.'!C:C,C80,'Clientes Consolidado.'!B:B,"Additive Intl.")</f>
        <v>0</v>
      </c>
      <c r="T80" s="19">
        <f>SUMIFS('Clientes Consolidado.'!J:J,'Clientes Consolidado.'!C:C,C80,'Clientes Consolidado.'!B:B,"Fertilizer")
+SUMIFS('Clientes Consolidado.'!J:J,'Clientes Consolidado.'!C:C,C80,'Clientes Consolidado.'!B:B,"Additive")
+SUMIFS('Clientes Consolidado.'!J:J,'Clientes Consolidado.'!C:C,C80,'Clientes Consolidado.'!B:B,"Additive Intl.")</f>
        <v>0</v>
      </c>
      <c r="U80" s="19">
        <f>SUMIFS('Clientes Consolidado.'!K:K,'Clientes Consolidado.'!C:C,C80,'Clientes Consolidado.'!B:B,"Fertilizer")
+SUMIFS('Clientes Consolidado.'!K:K,'Clientes Consolidado.'!C:C,C80,'Clientes Consolidado.'!B:B,"Additive")
+SUMIFS('Clientes Consolidado.'!K:K,'Clientes Consolidado.'!C:C,C80,'Clientes Consolidado.'!B:B,"Additive Intl.")</f>
        <v>0</v>
      </c>
      <c r="V80" s="19">
        <f>SUMIFS('Clientes Consolidado.'!L:L,'Clientes Consolidado.'!C:C,C80,'Clientes Consolidado.'!B:B,"Fertilizer")
+SUMIFS('Clientes Consolidado.'!L:L,'Clientes Consolidado.'!C:C,C80,'Clientes Consolidado.'!B:B,"Additive")
+SUMIFS('Clientes Consolidado.'!L:L,'Clientes Consolidado.'!C:C,C80,'Clientes Consolidado.'!B:B,"Additive Intl.")</f>
        <v>0</v>
      </c>
      <c r="W80" s="19">
        <f>SUMIFS('Clientes Consolidado.'!M:M,'Clientes Consolidado.'!C:C,C80,'Clientes Consolidado.'!B:B,"Fertilizer")
+SUMIFS('Clientes Consolidado.'!M:M,'Clientes Consolidado.'!C:C,C80,'Clientes Consolidado.'!B:B,"Additive")
+SUMIFS('Clientes Consolidado.'!M:M,'Clientes Consolidado.'!C:C,C80,'Clientes Consolidado.'!B:B,"Additive Intl.")</f>
        <v>0</v>
      </c>
      <c r="X80" s="19">
        <f>SUMIFS('Clientes Consolidado.'!N:N,'Clientes Consolidado.'!C:C,C80,'Clientes Consolidado.'!B:B,"Fertilizer")
+SUMIFS('Clientes Consolidado.'!N:N,'Clientes Consolidado.'!C:C,C80,'Clientes Consolidado.'!B:B,"Additive")
+SUMIFS('Clientes Consolidado.'!N:N,'Clientes Consolidado.'!C:C,C80,'Clientes Consolidado.'!B:B,"Additive Intl.")</f>
        <v>0</v>
      </c>
      <c r="Y80" s="19">
        <f>SUMIFS('Clientes Consolidado.'!O:O,'Clientes Consolidado.'!C:C,C80,'Clientes Consolidado.'!B:B,"Fertilizer")
+SUMIFS('Clientes Consolidado.'!O:O,'Clientes Consolidado.'!C:C,C80,'Clientes Consolidado.'!B:B,"Additive")
+SUMIFS('Clientes Consolidado.'!O:O,'Clientes Consolidado.'!C:C,C80,'Clientes Consolidado.'!B:B,"Additive Intl.")</f>
        <v>0</v>
      </c>
      <c r="Z80" s="19">
        <f>SUMIFS('Clientes Consolidado.'!P:P,'Clientes Consolidado.'!C:C,'Nova Versão '!C80,'Clientes Consolidado.'!B:B,"Fertilizer / Litigation")+SUMIFS('Clientes Consolidado.'!P:P,'Clientes Consolidado.'!C:C,'Nova Versão '!C80,'Clientes Consolidado.'!B:B,"Additive / Litigation")</f>
        <v>0</v>
      </c>
      <c r="AA80" s="94"/>
    </row>
    <row r="81" spans="1:27" x14ac:dyDescent="0.25">
      <c r="A81" s="32"/>
      <c r="B81" s="94" t="str">
        <f>_xlfn.XLOOKUP(C81,Planilha3!A:A,Planilha3!B:B)</f>
        <v>Additive</v>
      </c>
      <c r="C81" s="94" t="s">
        <v>382</v>
      </c>
      <c r="D81" s="19">
        <f>_xlfn.XLOOKUP(C81,'Limite de crédito'!C:C,'Limite de crédito'!G:G,0)</f>
        <v>0</v>
      </c>
      <c r="E81" s="19">
        <f t="shared" si="8"/>
        <v>300</v>
      </c>
      <c r="F81" s="19">
        <f>_xlfn.XLOOKUP('Nova Versão '!C81,'Limite de crédito'!C:C,'Limite de crédito'!O:O,0)</f>
        <v>0</v>
      </c>
      <c r="G81" s="404">
        <f t="shared" si="9"/>
        <v>300</v>
      </c>
      <c r="H81" s="412" t="str">
        <f>_xlfn.XLOOKUP(C81,Planilha3!A:A,Planilha3!C:C)</f>
        <v>Credit without Insurance</v>
      </c>
      <c r="J81" s="19">
        <f t="shared" si="10"/>
        <v>0</v>
      </c>
      <c r="K81" s="19">
        <f>_xlfn.XLOOKUP(C81,'Clientes Consolidado.'!$C:$C,'Clientes Consolidado.'!R:R,0)</f>
        <v>0</v>
      </c>
      <c r="L81" s="19">
        <f>_xlfn.XLOOKUP(C81,'Clientes Consolidado.'!$C:$C,'Clientes Consolidado.'!S:S,0)</f>
        <v>0</v>
      </c>
      <c r="M81" s="19">
        <f>_xlfn.XLOOKUP(C81,'Clientes Consolidado.'!$C:$C,'Clientes Consolidado.'!T:T,0)</f>
        <v>0</v>
      </c>
      <c r="N81" s="19">
        <f>_xlfn.XLOOKUP(C81,'Clientes Consolidado.'!$C:$C,'Clientes Consolidado.'!U:U,0)</f>
        <v>0</v>
      </c>
      <c r="O81" s="19">
        <f>_xlfn.XLOOKUP(C81,'Clientes Consolidado.'!$C:$C,'Clientes Consolidado.'!V:V,0)</f>
        <v>0</v>
      </c>
      <c r="P81" s="19">
        <f>_xlfn.XLOOKUP(C81,'Clientes Consolidado.'!$C:$C,'Clientes Consolidado.'!W:W,0)</f>
        <v>0</v>
      </c>
      <c r="Q81" s="19">
        <f>_xlfn.XLOOKUP(C81,'Clientes Consolidado.'!$C:$C,'Clientes Consolidado.'!X:X,0)</f>
        <v>0</v>
      </c>
      <c r="R81" s="19">
        <f t="shared" si="11"/>
        <v>300</v>
      </c>
      <c r="S81" s="19">
        <f>SUMIFS('Clientes Consolidado.'!I:I,'Clientes Consolidado.'!C:C,C81,'Clientes Consolidado.'!B:B,"Fertilizer")
+SUMIFS('Clientes Consolidado.'!I:I,'Clientes Consolidado.'!C:C,C81,'Clientes Consolidado.'!B:B,"Additive")
+SUMIFS('Clientes Consolidado.'!I:I,'Clientes Consolidado.'!C:C,C81,'Clientes Consolidado.'!B:B,"Additive Intl.")</f>
        <v>0</v>
      </c>
      <c r="T81" s="19">
        <f>SUMIFS('Clientes Consolidado.'!J:J,'Clientes Consolidado.'!C:C,C81,'Clientes Consolidado.'!B:B,"Fertilizer")
+SUMIFS('Clientes Consolidado.'!J:J,'Clientes Consolidado.'!C:C,C81,'Clientes Consolidado.'!B:B,"Additive")
+SUMIFS('Clientes Consolidado.'!J:J,'Clientes Consolidado.'!C:C,C81,'Clientes Consolidado.'!B:B,"Additive Intl.")</f>
        <v>0</v>
      </c>
      <c r="U81" s="19">
        <f>SUMIFS('Clientes Consolidado.'!K:K,'Clientes Consolidado.'!C:C,C81,'Clientes Consolidado.'!B:B,"Fertilizer")
+SUMIFS('Clientes Consolidado.'!K:K,'Clientes Consolidado.'!C:C,C81,'Clientes Consolidado.'!B:B,"Additive")
+SUMIFS('Clientes Consolidado.'!K:K,'Clientes Consolidado.'!C:C,C81,'Clientes Consolidado.'!B:B,"Additive Intl.")</f>
        <v>0</v>
      </c>
      <c r="V81" s="19">
        <f>SUMIFS('Clientes Consolidado.'!L:L,'Clientes Consolidado.'!C:C,C81,'Clientes Consolidado.'!B:B,"Fertilizer")
+SUMIFS('Clientes Consolidado.'!L:L,'Clientes Consolidado.'!C:C,C81,'Clientes Consolidado.'!B:B,"Additive")
+SUMIFS('Clientes Consolidado.'!L:L,'Clientes Consolidado.'!C:C,C81,'Clientes Consolidado.'!B:B,"Additive Intl.")</f>
        <v>0</v>
      </c>
      <c r="W81" s="19">
        <f>SUMIFS('Clientes Consolidado.'!M:M,'Clientes Consolidado.'!C:C,C81,'Clientes Consolidado.'!B:B,"Fertilizer")
+SUMIFS('Clientes Consolidado.'!M:M,'Clientes Consolidado.'!C:C,C81,'Clientes Consolidado.'!B:B,"Additive")
+SUMIFS('Clientes Consolidado.'!M:M,'Clientes Consolidado.'!C:C,C81,'Clientes Consolidado.'!B:B,"Additive Intl.")</f>
        <v>0</v>
      </c>
      <c r="X81" s="19">
        <f>SUMIFS('Clientes Consolidado.'!N:N,'Clientes Consolidado.'!C:C,C81,'Clientes Consolidado.'!B:B,"Fertilizer")
+SUMIFS('Clientes Consolidado.'!N:N,'Clientes Consolidado.'!C:C,C81,'Clientes Consolidado.'!B:B,"Additive")
+SUMIFS('Clientes Consolidado.'!N:N,'Clientes Consolidado.'!C:C,C81,'Clientes Consolidado.'!B:B,"Additive Intl.")</f>
        <v>0</v>
      </c>
      <c r="Y81" s="19">
        <f>SUMIFS('Clientes Consolidado.'!O:O,'Clientes Consolidado.'!C:C,C81,'Clientes Consolidado.'!B:B,"Fertilizer")
+SUMIFS('Clientes Consolidado.'!O:O,'Clientes Consolidado.'!C:C,C81,'Clientes Consolidado.'!B:B,"Additive")
+SUMIFS('Clientes Consolidado.'!O:O,'Clientes Consolidado.'!C:C,C81,'Clientes Consolidado.'!B:B,"Additive Intl.")</f>
        <v>300</v>
      </c>
      <c r="Z81" s="19">
        <f>SUMIFS('Clientes Consolidado.'!P:P,'Clientes Consolidado.'!C:C,'Nova Versão '!C81,'Clientes Consolidado.'!B:B,"Fertilizer / Litigation")+SUMIFS('Clientes Consolidado.'!P:P,'Clientes Consolidado.'!C:C,'Nova Versão '!C81,'Clientes Consolidado.'!B:B,"Additive / Litigation")</f>
        <v>0</v>
      </c>
      <c r="AA81" s="94"/>
    </row>
    <row r="82" spans="1:27" x14ac:dyDescent="0.25">
      <c r="A82" s="32"/>
      <c r="B82" s="94" t="str">
        <f>_xlfn.XLOOKUP(C82,Planilha3!A:A,Planilha3!B:B)</f>
        <v>Additive</v>
      </c>
      <c r="C82" s="94" t="s">
        <v>264</v>
      </c>
      <c r="D82" s="19">
        <f>_xlfn.XLOOKUP(C82,'Limite de crédito'!C:C,'Limite de crédito'!G:G,0)</f>
        <v>0</v>
      </c>
      <c r="E82" s="19">
        <f t="shared" si="8"/>
        <v>100</v>
      </c>
      <c r="F82" s="19">
        <f>_xlfn.XLOOKUP('Nova Versão '!C82,'Limite de crédito'!C:C,'Limite de crédito'!O:O,0)</f>
        <v>0</v>
      </c>
      <c r="G82" s="404">
        <f t="shared" si="9"/>
        <v>100</v>
      </c>
      <c r="H82" s="412" t="str">
        <f>_xlfn.XLOOKUP(C82,Planilha3!A:A,Planilha3!C:C)</f>
        <v>Sales to employees</v>
      </c>
      <c r="J82" s="19">
        <f t="shared" si="10"/>
        <v>0</v>
      </c>
      <c r="K82" s="19">
        <f>_xlfn.XLOOKUP(C82,'Clientes Consolidado.'!$C:$C,'Clientes Consolidado.'!R:R,0)</f>
        <v>0</v>
      </c>
      <c r="L82" s="19">
        <f>_xlfn.XLOOKUP(C82,'Clientes Consolidado.'!$C:$C,'Clientes Consolidado.'!S:S,0)</f>
        <v>0</v>
      </c>
      <c r="M82" s="19">
        <f>_xlfn.XLOOKUP(C82,'Clientes Consolidado.'!$C:$C,'Clientes Consolidado.'!T:T,0)</f>
        <v>0</v>
      </c>
      <c r="N82" s="19">
        <f>_xlfn.XLOOKUP(C82,'Clientes Consolidado.'!$C:$C,'Clientes Consolidado.'!U:U,0)</f>
        <v>0</v>
      </c>
      <c r="O82" s="19">
        <f>_xlfn.XLOOKUP(C82,'Clientes Consolidado.'!$C:$C,'Clientes Consolidado.'!V:V,0)</f>
        <v>0</v>
      </c>
      <c r="P82" s="19">
        <f>_xlfn.XLOOKUP(C82,'Clientes Consolidado.'!$C:$C,'Clientes Consolidado.'!W:W,0)</f>
        <v>0</v>
      </c>
      <c r="Q82" s="19">
        <f>_xlfn.XLOOKUP(C82,'Clientes Consolidado.'!$C:$C,'Clientes Consolidado.'!X:X,0)</f>
        <v>0</v>
      </c>
      <c r="R82" s="19">
        <f t="shared" si="11"/>
        <v>100</v>
      </c>
      <c r="S82" s="19">
        <f>SUMIFS('Clientes Consolidado.'!I:I,'Clientes Consolidado.'!C:C,C82,'Clientes Consolidado.'!B:B,"Fertilizer")
+SUMIFS('Clientes Consolidado.'!I:I,'Clientes Consolidado.'!C:C,C82,'Clientes Consolidado.'!B:B,"Additive")
+SUMIFS('Clientes Consolidado.'!I:I,'Clientes Consolidado.'!C:C,C82,'Clientes Consolidado.'!B:B,"Additive Intl.")</f>
        <v>0</v>
      </c>
      <c r="T82" s="19">
        <f>SUMIFS('Clientes Consolidado.'!J:J,'Clientes Consolidado.'!C:C,C82,'Clientes Consolidado.'!B:B,"Fertilizer")
+SUMIFS('Clientes Consolidado.'!J:J,'Clientes Consolidado.'!C:C,C82,'Clientes Consolidado.'!B:B,"Additive")
+SUMIFS('Clientes Consolidado.'!J:J,'Clientes Consolidado.'!C:C,C82,'Clientes Consolidado.'!B:B,"Additive Intl.")</f>
        <v>0</v>
      </c>
      <c r="U82" s="19">
        <f>SUMIFS('Clientes Consolidado.'!K:K,'Clientes Consolidado.'!C:C,C82,'Clientes Consolidado.'!B:B,"Fertilizer")
+SUMIFS('Clientes Consolidado.'!K:K,'Clientes Consolidado.'!C:C,C82,'Clientes Consolidado.'!B:B,"Additive")
+SUMIFS('Clientes Consolidado.'!K:K,'Clientes Consolidado.'!C:C,C82,'Clientes Consolidado.'!B:B,"Additive Intl.")</f>
        <v>0</v>
      </c>
      <c r="V82" s="19">
        <f>SUMIFS('Clientes Consolidado.'!L:L,'Clientes Consolidado.'!C:C,C82,'Clientes Consolidado.'!B:B,"Fertilizer")
+SUMIFS('Clientes Consolidado.'!L:L,'Clientes Consolidado.'!C:C,C82,'Clientes Consolidado.'!B:B,"Additive")
+SUMIFS('Clientes Consolidado.'!L:L,'Clientes Consolidado.'!C:C,C82,'Clientes Consolidado.'!B:B,"Additive Intl.")</f>
        <v>0</v>
      </c>
      <c r="W82" s="19">
        <f>SUMIFS('Clientes Consolidado.'!M:M,'Clientes Consolidado.'!C:C,C82,'Clientes Consolidado.'!B:B,"Fertilizer")
+SUMIFS('Clientes Consolidado.'!M:M,'Clientes Consolidado.'!C:C,C82,'Clientes Consolidado.'!B:B,"Additive")
+SUMIFS('Clientes Consolidado.'!M:M,'Clientes Consolidado.'!C:C,C82,'Clientes Consolidado.'!B:B,"Additive Intl.")</f>
        <v>0</v>
      </c>
      <c r="X82" s="19">
        <f>SUMIFS('Clientes Consolidado.'!N:N,'Clientes Consolidado.'!C:C,C82,'Clientes Consolidado.'!B:B,"Fertilizer")
+SUMIFS('Clientes Consolidado.'!N:N,'Clientes Consolidado.'!C:C,C82,'Clientes Consolidado.'!B:B,"Additive")
+SUMIFS('Clientes Consolidado.'!N:N,'Clientes Consolidado.'!C:C,C82,'Clientes Consolidado.'!B:B,"Additive Intl.")</f>
        <v>0</v>
      </c>
      <c r="Y82" s="19">
        <f>SUMIFS('Clientes Consolidado.'!O:O,'Clientes Consolidado.'!C:C,C82,'Clientes Consolidado.'!B:B,"Fertilizer")
+SUMIFS('Clientes Consolidado.'!O:O,'Clientes Consolidado.'!C:C,C82,'Clientes Consolidado.'!B:B,"Additive")
+SUMIFS('Clientes Consolidado.'!O:O,'Clientes Consolidado.'!C:C,C82,'Clientes Consolidado.'!B:B,"Additive Intl.")</f>
        <v>100</v>
      </c>
      <c r="Z82" s="19">
        <f>SUMIFS('Clientes Consolidado.'!P:P,'Clientes Consolidado.'!C:C,'Nova Versão '!C82,'Clientes Consolidado.'!B:B,"Fertilizer / Litigation")+SUMIFS('Clientes Consolidado.'!P:P,'Clientes Consolidado.'!C:C,'Nova Versão '!C82,'Clientes Consolidado.'!B:B,"Additive / Litigation")</f>
        <v>0</v>
      </c>
      <c r="AA82" s="94"/>
    </row>
    <row r="83" spans="1:27" x14ac:dyDescent="0.25">
      <c r="A83" s="32"/>
      <c r="B83" s="94" t="str">
        <f>_xlfn.XLOOKUP(C83,Planilha3!A:A,Planilha3!B:B)</f>
        <v>Additive</v>
      </c>
      <c r="C83" s="94" t="s">
        <v>533</v>
      </c>
      <c r="D83" s="19">
        <f>_xlfn.XLOOKUP(C83,'Limite de crédito'!C:C,'Limite de crédito'!G:G,0)</f>
        <v>0</v>
      </c>
      <c r="E83" s="19">
        <f t="shared" si="8"/>
        <v>100</v>
      </c>
      <c r="F83" s="19">
        <f>_xlfn.XLOOKUP('Nova Versão '!C83,'Limite de crédito'!C:C,'Limite de crédito'!O:O,0)</f>
        <v>0</v>
      </c>
      <c r="G83" s="404">
        <f t="shared" si="9"/>
        <v>100</v>
      </c>
      <c r="H83" s="412" t="str">
        <f>_xlfn.XLOOKUP(C83,Planilha3!A:A,Planilha3!C:C)</f>
        <v>Sales to employees</v>
      </c>
      <c r="J83" s="19">
        <f t="shared" si="10"/>
        <v>0</v>
      </c>
      <c r="K83" s="19">
        <f>_xlfn.XLOOKUP(C83,'Clientes Consolidado.'!$C:$C,'Clientes Consolidado.'!R:R,0)</f>
        <v>0</v>
      </c>
      <c r="L83" s="19">
        <f>_xlfn.XLOOKUP(C83,'Clientes Consolidado.'!$C:$C,'Clientes Consolidado.'!S:S,0)</f>
        <v>0</v>
      </c>
      <c r="M83" s="19">
        <f>_xlfn.XLOOKUP(C83,'Clientes Consolidado.'!$C:$C,'Clientes Consolidado.'!T:T,0)</f>
        <v>0</v>
      </c>
      <c r="N83" s="19">
        <f>_xlfn.XLOOKUP(C83,'Clientes Consolidado.'!$C:$C,'Clientes Consolidado.'!U:U,0)</f>
        <v>0</v>
      </c>
      <c r="O83" s="19">
        <f>_xlfn.XLOOKUP(C83,'Clientes Consolidado.'!$C:$C,'Clientes Consolidado.'!V:V,0)</f>
        <v>0</v>
      </c>
      <c r="P83" s="19">
        <f>_xlfn.XLOOKUP(C83,'Clientes Consolidado.'!$C:$C,'Clientes Consolidado.'!W:W,0)</f>
        <v>0</v>
      </c>
      <c r="Q83" s="19">
        <f>_xlfn.XLOOKUP(C83,'Clientes Consolidado.'!$C:$C,'Clientes Consolidado.'!X:X,0)</f>
        <v>0</v>
      </c>
      <c r="R83" s="19">
        <f t="shared" si="11"/>
        <v>100</v>
      </c>
      <c r="S83" s="19">
        <f>SUMIFS('Clientes Consolidado.'!I:I,'Clientes Consolidado.'!C:C,C83,'Clientes Consolidado.'!B:B,"Fertilizer")
+SUMIFS('Clientes Consolidado.'!I:I,'Clientes Consolidado.'!C:C,C83,'Clientes Consolidado.'!B:B,"Additive")
+SUMIFS('Clientes Consolidado.'!I:I,'Clientes Consolidado.'!C:C,C83,'Clientes Consolidado.'!B:B,"Additive Intl.")</f>
        <v>100</v>
      </c>
      <c r="T83" s="19">
        <f>SUMIFS('Clientes Consolidado.'!J:J,'Clientes Consolidado.'!C:C,C83,'Clientes Consolidado.'!B:B,"Fertilizer")
+SUMIFS('Clientes Consolidado.'!J:J,'Clientes Consolidado.'!C:C,C83,'Clientes Consolidado.'!B:B,"Additive")
+SUMIFS('Clientes Consolidado.'!J:J,'Clientes Consolidado.'!C:C,C83,'Clientes Consolidado.'!B:B,"Additive Intl.")</f>
        <v>0</v>
      </c>
      <c r="U83" s="19">
        <f>SUMIFS('Clientes Consolidado.'!K:K,'Clientes Consolidado.'!C:C,C83,'Clientes Consolidado.'!B:B,"Fertilizer")
+SUMIFS('Clientes Consolidado.'!K:K,'Clientes Consolidado.'!C:C,C83,'Clientes Consolidado.'!B:B,"Additive")
+SUMIFS('Clientes Consolidado.'!K:K,'Clientes Consolidado.'!C:C,C83,'Clientes Consolidado.'!B:B,"Additive Intl.")</f>
        <v>0</v>
      </c>
      <c r="V83" s="19">
        <f>SUMIFS('Clientes Consolidado.'!L:L,'Clientes Consolidado.'!C:C,C83,'Clientes Consolidado.'!B:B,"Fertilizer")
+SUMIFS('Clientes Consolidado.'!L:L,'Clientes Consolidado.'!C:C,C83,'Clientes Consolidado.'!B:B,"Additive")
+SUMIFS('Clientes Consolidado.'!L:L,'Clientes Consolidado.'!C:C,C83,'Clientes Consolidado.'!B:B,"Additive Intl.")</f>
        <v>0</v>
      </c>
      <c r="W83" s="19">
        <f>SUMIFS('Clientes Consolidado.'!M:M,'Clientes Consolidado.'!C:C,C83,'Clientes Consolidado.'!B:B,"Fertilizer")
+SUMIFS('Clientes Consolidado.'!M:M,'Clientes Consolidado.'!C:C,C83,'Clientes Consolidado.'!B:B,"Additive")
+SUMIFS('Clientes Consolidado.'!M:M,'Clientes Consolidado.'!C:C,C83,'Clientes Consolidado.'!B:B,"Additive Intl.")</f>
        <v>0</v>
      </c>
      <c r="X83" s="19">
        <f>SUMIFS('Clientes Consolidado.'!N:N,'Clientes Consolidado.'!C:C,C83,'Clientes Consolidado.'!B:B,"Fertilizer")
+SUMIFS('Clientes Consolidado.'!N:N,'Clientes Consolidado.'!C:C,C83,'Clientes Consolidado.'!B:B,"Additive")
+SUMIFS('Clientes Consolidado.'!N:N,'Clientes Consolidado.'!C:C,C83,'Clientes Consolidado.'!B:B,"Additive Intl.")</f>
        <v>0</v>
      </c>
      <c r="Y83" s="19">
        <f>SUMIFS('Clientes Consolidado.'!O:O,'Clientes Consolidado.'!C:C,C83,'Clientes Consolidado.'!B:B,"Fertilizer")
+SUMIFS('Clientes Consolidado.'!O:O,'Clientes Consolidado.'!C:C,C83,'Clientes Consolidado.'!B:B,"Additive")
+SUMIFS('Clientes Consolidado.'!O:O,'Clientes Consolidado.'!C:C,C83,'Clientes Consolidado.'!B:B,"Additive Intl.")</f>
        <v>0</v>
      </c>
      <c r="Z83" s="19">
        <f>SUMIFS('Clientes Consolidado.'!P:P,'Clientes Consolidado.'!C:C,'Nova Versão '!C83,'Clientes Consolidado.'!B:B,"Fertilizer / Litigation")+SUMIFS('Clientes Consolidado.'!P:P,'Clientes Consolidado.'!C:C,'Nova Versão '!C83,'Clientes Consolidado.'!B:B,"Additive / Litigation")</f>
        <v>0</v>
      </c>
      <c r="AA83" s="94"/>
    </row>
    <row r="84" spans="1:27" x14ac:dyDescent="0.25">
      <c r="A84" s="32"/>
      <c r="B84" s="94" t="str">
        <f>_xlfn.XLOOKUP(C84,Planilha3!A:A,Planilha3!B:B)</f>
        <v>Additive</v>
      </c>
      <c r="C84" s="94" t="s">
        <v>308</v>
      </c>
      <c r="D84" s="19">
        <f>_xlfn.XLOOKUP(C84,'Limite de crédito'!C:C,'Limite de crédito'!G:G,0)</f>
        <v>0</v>
      </c>
      <c r="E84" s="19">
        <f t="shared" si="8"/>
        <v>50</v>
      </c>
      <c r="F84" s="19">
        <f>_xlfn.XLOOKUP('Nova Versão '!C84,'Limite de crédito'!C:C,'Limite de crédito'!O:O,0)</f>
        <v>0</v>
      </c>
      <c r="G84" s="404">
        <f t="shared" si="9"/>
        <v>50</v>
      </c>
      <c r="H84" s="412" t="str">
        <f>_xlfn.XLOOKUP(C84,Planilha3!A:A,Planilha3!C:C)</f>
        <v>Sales to employees</v>
      </c>
      <c r="J84" s="19">
        <f t="shared" si="10"/>
        <v>0</v>
      </c>
      <c r="K84" s="19">
        <f>_xlfn.XLOOKUP(C84,'Clientes Consolidado.'!$C:$C,'Clientes Consolidado.'!R:R,0)</f>
        <v>0</v>
      </c>
      <c r="L84" s="19">
        <f>_xlfn.XLOOKUP(C84,'Clientes Consolidado.'!$C:$C,'Clientes Consolidado.'!S:S,0)</f>
        <v>0</v>
      </c>
      <c r="M84" s="19">
        <f>_xlfn.XLOOKUP(C84,'Clientes Consolidado.'!$C:$C,'Clientes Consolidado.'!T:T,0)</f>
        <v>0</v>
      </c>
      <c r="N84" s="19">
        <f>_xlfn.XLOOKUP(C84,'Clientes Consolidado.'!$C:$C,'Clientes Consolidado.'!U:U,0)</f>
        <v>0</v>
      </c>
      <c r="O84" s="19">
        <f>_xlfn.XLOOKUP(C84,'Clientes Consolidado.'!$C:$C,'Clientes Consolidado.'!V:V,0)</f>
        <v>0</v>
      </c>
      <c r="P84" s="19">
        <f>_xlfn.XLOOKUP(C84,'Clientes Consolidado.'!$C:$C,'Clientes Consolidado.'!W:W,0)</f>
        <v>0</v>
      </c>
      <c r="Q84" s="19">
        <f>_xlfn.XLOOKUP(C84,'Clientes Consolidado.'!$C:$C,'Clientes Consolidado.'!X:X,0)</f>
        <v>0</v>
      </c>
      <c r="R84" s="19">
        <f t="shared" si="11"/>
        <v>50</v>
      </c>
      <c r="S84" s="19">
        <f>SUMIFS('Clientes Consolidado.'!I:I,'Clientes Consolidado.'!C:C,C84,'Clientes Consolidado.'!B:B,"Fertilizer")
+SUMIFS('Clientes Consolidado.'!I:I,'Clientes Consolidado.'!C:C,C84,'Clientes Consolidado.'!B:B,"Additive")
+SUMIFS('Clientes Consolidado.'!I:I,'Clientes Consolidado.'!C:C,C84,'Clientes Consolidado.'!B:B,"Additive Intl.")</f>
        <v>0</v>
      </c>
      <c r="T84" s="19">
        <f>SUMIFS('Clientes Consolidado.'!J:J,'Clientes Consolidado.'!C:C,C84,'Clientes Consolidado.'!B:B,"Fertilizer")
+SUMIFS('Clientes Consolidado.'!J:J,'Clientes Consolidado.'!C:C,C84,'Clientes Consolidado.'!B:B,"Additive")
+SUMIFS('Clientes Consolidado.'!J:J,'Clientes Consolidado.'!C:C,C84,'Clientes Consolidado.'!B:B,"Additive Intl.")</f>
        <v>0</v>
      </c>
      <c r="U84" s="19">
        <f>SUMIFS('Clientes Consolidado.'!K:K,'Clientes Consolidado.'!C:C,C84,'Clientes Consolidado.'!B:B,"Fertilizer")
+SUMIFS('Clientes Consolidado.'!K:K,'Clientes Consolidado.'!C:C,C84,'Clientes Consolidado.'!B:B,"Additive")
+SUMIFS('Clientes Consolidado.'!K:K,'Clientes Consolidado.'!C:C,C84,'Clientes Consolidado.'!B:B,"Additive Intl.")</f>
        <v>0</v>
      </c>
      <c r="V84" s="19">
        <f>SUMIFS('Clientes Consolidado.'!L:L,'Clientes Consolidado.'!C:C,C84,'Clientes Consolidado.'!B:B,"Fertilizer")
+SUMIFS('Clientes Consolidado.'!L:L,'Clientes Consolidado.'!C:C,C84,'Clientes Consolidado.'!B:B,"Additive")
+SUMIFS('Clientes Consolidado.'!L:L,'Clientes Consolidado.'!C:C,C84,'Clientes Consolidado.'!B:B,"Additive Intl.")</f>
        <v>0</v>
      </c>
      <c r="W84" s="19">
        <f>SUMIFS('Clientes Consolidado.'!M:M,'Clientes Consolidado.'!C:C,C84,'Clientes Consolidado.'!B:B,"Fertilizer")
+SUMIFS('Clientes Consolidado.'!M:M,'Clientes Consolidado.'!C:C,C84,'Clientes Consolidado.'!B:B,"Additive")
+SUMIFS('Clientes Consolidado.'!M:M,'Clientes Consolidado.'!C:C,C84,'Clientes Consolidado.'!B:B,"Additive Intl.")</f>
        <v>0</v>
      </c>
      <c r="X84" s="19">
        <f>SUMIFS('Clientes Consolidado.'!N:N,'Clientes Consolidado.'!C:C,C84,'Clientes Consolidado.'!B:B,"Fertilizer")
+SUMIFS('Clientes Consolidado.'!N:N,'Clientes Consolidado.'!C:C,C84,'Clientes Consolidado.'!B:B,"Additive")
+SUMIFS('Clientes Consolidado.'!N:N,'Clientes Consolidado.'!C:C,C84,'Clientes Consolidado.'!B:B,"Additive Intl.")</f>
        <v>0</v>
      </c>
      <c r="Y84" s="19">
        <f>SUMIFS('Clientes Consolidado.'!O:O,'Clientes Consolidado.'!C:C,C84,'Clientes Consolidado.'!B:B,"Fertilizer")
+SUMIFS('Clientes Consolidado.'!O:O,'Clientes Consolidado.'!C:C,C84,'Clientes Consolidado.'!B:B,"Additive")
+SUMIFS('Clientes Consolidado.'!O:O,'Clientes Consolidado.'!C:C,C84,'Clientes Consolidado.'!B:B,"Additive Intl.")</f>
        <v>50</v>
      </c>
      <c r="Z84" s="19">
        <f>SUMIFS('Clientes Consolidado.'!P:P,'Clientes Consolidado.'!C:C,'Nova Versão '!C84,'Clientes Consolidado.'!B:B,"Fertilizer / Litigation")+SUMIFS('Clientes Consolidado.'!P:P,'Clientes Consolidado.'!C:C,'Nova Versão '!C84,'Clientes Consolidado.'!B:B,"Additive / Litigation")</f>
        <v>0</v>
      </c>
      <c r="AA84" s="94"/>
    </row>
    <row r="85" spans="1:27" x14ac:dyDescent="0.25">
      <c r="A85" s="32"/>
      <c r="B85" s="410"/>
      <c r="E85" s="403"/>
      <c r="F85" s="403"/>
      <c r="G85" s="36"/>
    </row>
    <row r="86" spans="1:27" x14ac:dyDescent="0.25">
      <c r="A86" s="32"/>
      <c r="B86" s="32"/>
      <c r="E86" s="128"/>
      <c r="F86" s="128"/>
      <c r="G86" s="36"/>
    </row>
    <row r="87" spans="1:27" x14ac:dyDescent="0.25">
      <c r="A87" s="32"/>
      <c r="B87" s="32"/>
    </row>
    <row r="88" spans="1:27" x14ac:dyDescent="0.25">
      <c r="A88" s="32"/>
      <c r="B88" s="32"/>
    </row>
    <row r="89" spans="1:27" x14ac:dyDescent="0.25">
      <c r="A89" s="32"/>
      <c r="B89" s="32"/>
    </row>
    <row r="90" spans="1:27" x14ac:dyDescent="0.25">
      <c r="A90" s="32"/>
      <c r="B90" s="32"/>
    </row>
    <row r="91" spans="1:27" x14ac:dyDescent="0.25">
      <c r="A91" s="32"/>
      <c r="B91" s="32"/>
    </row>
    <row r="92" spans="1:27" x14ac:dyDescent="0.25">
      <c r="A92" s="32"/>
      <c r="B92" s="32"/>
    </row>
    <row r="93" spans="1:27" x14ac:dyDescent="0.25">
      <c r="A93" s="32"/>
      <c r="B93" s="32"/>
    </row>
    <row r="94" spans="1:27" x14ac:dyDescent="0.25">
      <c r="A94" s="32"/>
      <c r="B94" s="32"/>
    </row>
    <row r="95" spans="1:27" x14ac:dyDescent="0.25">
      <c r="A95" s="32"/>
      <c r="B95" s="32"/>
    </row>
    <row r="96" spans="1:27" x14ac:dyDescent="0.25">
      <c r="A96" s="32"/>
      <c r="B96" s="32"/>
    </row>
    <row r="97" spans="1:2" x14ac:dyDescent="0.25">
      <c r="A97" s="32"/>
      <c r="B97" s="32"/>
    </row>
    <row r="98" spans="1:2" x14ac:dyDescent="0.25">
      <c r="A98" s="32"/>
      <c r="B98" s="32"/>
    </row>
    <row r="99" spans="1:2" x14ac:dyDescent="0.25">
      <c r="A99" s="32"/>
      <c r="B99" s="32"/>
    </row>
    <row r="100" spans="1:2" x14ac:dyDescent="0.25">
      <c r="A100" s="32"/>
      <c r="B100" s="32"/>
    </row>
    <row r="101" spans="1:2" x14ac:dyDescent="0.25">
      <c r="A101" s="32"/>
      <c r="B101" s="32"/>
    </row>
    <row r="102" spans="1:2" x14ac:dyDescent="0.25">
      <c r="A102" s="32"/>
      <c r="B102" s="32"/>
    </row>
    <row r="103" spans="1:2" x14ac:dyDescent="0.25">
      <c r="A103" s="32"/>
      <c r="B103" s="32"/>
    </row>
    <row r="104" spans="1:2" x14ac:dyDescent="0.25">
      <c r="A104" s="32"/>
      <c r="B104" s="32"/>
    </row>
    <row r="105" spans="1:2" x14ac:dyDescent="0.25">
      <c r="A105" s="32"/>
      <c r="B105" s="32"/>
    </row>
    <row r="106" spans="1:2" x14ac:dyDescent="0.25">
      <c r="A106" s="32"/>
      <c r="B106" s="32"/>
    </row>
    <row r="107" spans="1:2" x14ac:dyDescent="0.25">
      <c r="A107" s="32"/>
      <c r="B107" s="32"/>
    </row>
    <row r="108" spans="1:2" x14ac:dyDescent="0.25">
      <c r="A108" s="32"/>
      <c r="B108" s="32"/>
    </row>
    <row r="109" spans="1:2" x14ac:dyDescent="0.25">
      <c r="A109" s="32"/>
      <c r="B109" s="32"/>
    </row>
    <row r="110" spans="1:2" x14ac:dyDescent="0.25">
      <c r="A110" s="32"/>
      <c r="B110" s="32"/>
    </row>
    <row r="111" spans="1:2" x14ac:dyDescent="0.25">
      <c r="A111" s="32"/>
      <c r="B111" s="32"/>
    </row>
    <row r="112" spans="1:2" x14ac:dyDescent="0.25">
      <c r="A112" s="32"/>
      <c r="B112" s="32"/>
    </row>
    <row r="113" spans="1:2" x14ac:dyDescent="0.25">
      <c r="A113" s="32"/>
      <c r="B113" s="32"/>
    </row>
    <row r="114" spans="1:2" x14ac:dyDescent="0.25">
      <c r="A114" s="32"/>
      <c r="B114" s="32"/>
    </row>
    <row r="115" spans="1:2" x14ac:dyDescent="0.25">
      <c r="A115" s="32"/>
      <c r="B115" s="32"/>
    </row>
    <row r="116" spans="1:2" x14ac:dyDescent="0.25">
      <c r="A116" s="32"/>
      <c r="B116" s="32"/>
    </row>
    <row r="117" spans="1:2" x14ac:dyDescent="0.25">
      <c r="A117" s="32"/>
      <c r="B117" s="32"/>
    </row>
    <row r="118" spans="1:2" x14ac:dyDescent="0.25">
      <c r="A118" s="32"/>
      <c r="B118" s="32"/>
    </row>
    <row r="119" spans="1:2" x14ac:dyDescent="0.25">
      <c r="A119" s="32"/>
      <c r="B119" s="32"/>
    </row>
    <row r="120" spans="1:2" x14ac:dyDescent="0.25">
      <c r="A120" s="32"/>
      <c r="B120" s="32"/>
    </row>
    <row r="121" spans="1:2" x14ac:dyDescent="0.25">
      <c r="A121" s="32"/>
      <c r="B121" s="32"/>
    </row>
    <row r="122" spans="1:2" x14ac:dyDescent="0.25">
      <c r="A122" s="32"/>
      <c r="B122" s="32"/>
    </row>
    <row r="123" spans="1:2" x14ac:dyDescent="0.25">
      <c r="A123" s="32"/>
      <c r="B123" s="32"/>
    </row>
    <row r="124" spans="1:2" x14ac:dyDescent="0.25">
      <c r="A124" s="32"/>
      <c r="B124" s="32"/>
    </row>
    <row r="125" spans="1:2" x14ac:dyDescent="0.25">
      <c r="A125" s="32"/>
      <c r="B125" s="32"/>
    </row>
    <row r="126" spans="1:2" x14ac:dyDescent="0.25">
      <c r="A126" s="32"/>
      <c r="B126" s="32"/>
    </row>
    <row r="144" spans="3:3" x14ac:dyDescent="0.25">
      <c r="C144" s="32"/>
    </row>
    <row r="145" spans="3:3" x14ac:dyDescent="0.25">
      <c r="C145" s="32"/>
    </row>
    <row r="146" spans="3:3" x14ac:dyDescent="0.25">
      <c r="C146" s="32"/>
    </row>
    <row r="147" spans="3:3" x14ac:dyDescent="0.25">
      <c r="C147" s="32"/>
    </row>
    <row r="148" spans="3:3" x14ac:dyDescent="0.25">
      <c r="C148" s="32"/>
    </row>
    <row r="149" spans="3:3" x14ac:dyDescent="0.25">
      <c r="C149" s="32"/>
    </row>
    <row r="150" spans="3:3" x14ac:dyDescent="0.25">
      <c r="C150" s="32"/>
    </row>
    <row r="151" spans="3:3" x14ac:dyDescent="0.25">
      <c r="C151" s="32"/>
    </row>
    <row r="152" spans="3:3" x14ac:dyDescent="0.25">
      <c r="C152" s="32"/>
    </row>
    <row r="153" spans="3:3" x14ac:dyDescent="0.25">
      <c r="C153" s="32"/>
    </row>
    <row r="154" spans="3:3" x14ac:dyDescent="0.25">
      <c r="C154" s="32"/>
    </row>
    <row r="155" spans="3:3" x14ac:dyDescent="0.25">
      <c r="C155" s="32"/>
    </row>
    <row r="156" spans="3:3" x14ac:dyDescent="0.25">
      <c r="C156" s="32"/>
    </row>
    <row r="157" spans="3:3" x14ac:dyDescent="0.25">
      <c r="C157" s="32"/>
    </row>
    <row r="158" spans="3:3" x14ac:dyDescent="0.25">
      <c r="C158" s="32"/>
    </row>
    <row r="159" spans="3:3" x14ac:dyDescent="0.25">
      <c r="C159" s="32"/>
    </row>
    <row r="160" spans="3:3" x14ac:dyDescent="0.25">
      <c r="C160" s="32"/>
    </row>
    <row r="161" spans="3:3" x14ac:dyDescent="0.25">
      <c r="C161" s="32"/>
    </row>
    <row r="162" spans="3:3" x14ac:dyDescent="0.25">
      <c r="C162" s="32"/>
    </row>
    <row r="163" spans="3:3" x14ac:dyDescent="0.25">
      <c r="C163" s="32"/>
    </row>
    <row r="164" spans="3:3" x14ac:dyDescent="0.25">
      <c r="C164" s="32"/>
    </row>
    <row r="165" spans="3:3" x14ac:dyDescent="0.25">
      <c r="C165" s="32"/>
    </row>
    <row r="166" spans="3:3" x14ac:dyDescent="0.25">
      <c r="C166" s="32"/>
    </row>
    <row r="167" spans="3:3" x14ac:dyDescent="0.25">
      <c r="C167" s="32"/>
    </row>
    <row r="168" spans="3:3" x14ac:dyDescent="0.25">
      <c r="C168" s="32"/>
    </row>
    <row r="169" spans="3:3" x14ac:dyDescent="0.25">
      <c r="C169" s="32"/>
    </row>
    <row r="170" spans="3:3" x14ac:dyDescent="0.25">
      <c r="C170" s="32"/>
    </row>
    <row r="171" spans="3:3" x14ac:dyDescent="0.25">
      <c r="C171" s="32"/>
    </row>
    <row r="172" spans="3:3" x14ac:dyDescent="0.25">
      <c r="C172" s="32"/>
    </row>
    <row r="173" spans="3:3" x14ac:dyDescent="0.25">
      <c r="C173" s="32"/>
    </row>
    <row r="174" spans="3:3" x14ac:dyDescent="0.25">
      <c r="C174" s="32"/>
    </row>
    <row r="175" spans="3:3" x14ac:dyDescent="0.25">
      <c r="C175" s="32"/>
    </row>
    <row r="176" spans="3:3" x14ac:dyDescent="0.25">
      <c r="C176" s="32"/>
    </row>
    <row r="177" spans="3:3" x14ac:dyDescent="0.25">
      <c r="C177" s="32"/>
    </row>
    <row r="178" spans="3:3" x14ac:dyDescent="0.25">
      <c r="C178" s="32"/>
    </row>
    <row r="179" spans="3:3" x14ac:dyDescent="0.25">
      <c r="C179" s="32"/>
    </row>
    <row r="180" spans="3:3" x14ac:dyDescent="0.25">
      <c r="C180" s="32"/>
    </row>
    <row r="181" spans="3:3" x14ac:dyDescent="0.25">
      <c r="C181" s="32"/>
    </row>
    <row r="182" spans="3:3" x14ac:dyDescent="0.25">
      <c r="C182" s="32"/>
    </row>
    <row r="183" spans="3:3" x14ac:dyDescent="0.25">
      <c r="C183" s="32"/>
    </row>
    <row r="184" spans="3:3" x14ac:dyDescent="0.25">
      <c r="C184" s="32"/>
    </row>
    <row r="185" spans="3:3" x14ac:dyDescent="0.25">
      <c r="C185" s="32"/>
    </row>
    <row r="186" spans="3:3" x14ac:dyDescent="0.25">
      <c r="C186" s="32"/>
    </row>
    <row r="187" spans="3:3" x14ac:dyDescent="0.25">
      <c r="C187" s="32"/>
    </row>
    <row r="188" spans="3:3" x14ac:dyDescent="0.25">
      <c r="C188" s="32"/>
    </row>
    <row r="189" spans="3:3" x14ac:dyDescent="0.25">
      <c r="C189" s="32"/>
    </row>
    <row r="190" spans="3:3" x14ac:dyDescent="0.25">
      <c r="C190" s="32"/>
    </row>
    <row r="191" spans="3:3" x14ac:dyDescent="0.25">
      <c r="C191" s="32"/>
    </row>
    <row r="192" spans="3:3" x14ac:dyDescent="0.25">
      <c r="C192" s="32"/>
    </row>
    <row r="193" spans="3:3" x14ac:dyDescent="0.25">
      <c r="C193" s="32"/>
    </row>
    <row r="194" spans="3:3" x14ac:dyDescent="0.25">
      <c r="C194" s="32"/>
    </row>
    <row r="195" spans="3:3" x14ac:dyDescent="0.25">
      <c r="C195" s="32"/>
    </row>
    <row r="196" spans="3:3" x14ac:dyDescent="0.25">
      <c r="C196" s="32"/>
    </row>
    <row r="197" spans="3:3" x14ac:dyDescent="0.25">
      <c r="C197" s="32"/>
    </row>
    <row r="198" spans="3:3" x14ac:dyDescent="0.25">
      <c r="C198" s="32"/>
    </row>
    <row r="199" spans="3:3" x14ac:dyDescent="0.25">
      <c r="C199" s="32"/>
    </row>
    <row r="200" spans="3:3" x14ac:dyDescent="0.25">
      <c r="C200" s="32"/>
    </row>
    <row r="201" spans="3:3" x14ac:dyDescent="0.25">
      <c r="C201" s="32"/>
    </row>
    <row r="202" spans="3:3" x14ac:dyDescent="0.25">
      <c r="C202" s="32"/>
    </row>
    <row r="203" spans="3:3" x14ac:dyDescent="0.25">
      <c r="C203" s="32"/>
    </row>
    <row r="204" spans="3:3" x14ac:dyDescent="0.25">
      <c r="C204" s="32"/>
    </row>
    <row r="205" spans="3:3" x14ac:dyDescent="0.25">
      <c r="C205" s="32"/>
    </row>
    <row r="206" spans="3:3" x14ac:dyDescent="0.25">
      <c r="C206" s="32"/>
    </row>
  </sheetData>
  <autoFilter ref="B2:AA126" xr:uid="{C5B18680-E941-44EF-B65F-B4C2EF04F7E0}"/>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5CF93-5C5C-4FF0-82A9-E94788869630}">
  <dimension ref="A1:AM137"/>
  <sheetViews>
    <sheetView showGridLines="0" zoomScale="80" zoomScaleNormal="80" workbookViewId="0">
      <pane xSplit="14" ySplit="3" topLeftCell="O92" activePane="bottomRight" state="frozen"/>
      <selection activeCell="X86" sqref="X86"/>
      <selection pane="topRight" activeCell="X86" sqref="X86"/>
      <selection pane="bottomLeft" activeCell="X86" sqref="X86"/>
      <selection pane="bottomRight" activeCell="B4" sqref="B4:AA137"/>
    </sheetView>
  </sheetViews>
  <sheetFormatPr defaultRowHeight="13.2" outlineLevelCol="1" x14ac:dyDescent="0.25"/>
  <cols>
    <col min="1" max="1" width="3.109375" customWidth="1"/>
    <col min="2" max="2" width="44.44140625" customWidth="1"/>
    <col min="3" max="3" width="9.6640625" customWidth="1"/>
    <col min="4" max="4" width="15.33203125" customWidth="1"/>
    <col min="5" max="5" width="20.6640625" customWidth="1"/>
    <col min="6" max="6" width="12.6640625" customWidth="1"/>
    <col min="7" max="7" width="14.88671875" customWidth="1"/>
    <col min="8" max="8" width="16.554687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6.5546875" hidden="1" customWidth="1" outlineLevel="1"/>
    <col min="18" max="19" width="17.6640625" hidden="1" customWidth="1" outlineLevel="1"/>
    <col min="20" max="20" width="12.6640625" hidden="1" customWidth="1" outlineLevel="1"/>
    <col min="21" max="22" width="13.88671875" hidden="1" customWidth="1" outlineLevel="1"/>
    <col min="23" max="23" width="16.6640625" hidden="1" customWidth="1" outlineLevel="1"/>
    <col min="24" max="24" width="14.88671875" bestFit="1" customWidth="1" collapsed="1"/>
    <col min="25" max="26" width="1.6640625" customWidth="1"/>
    <col min="27" max="27" width="23.33203125" bestFit="1" customWidth="1"/>
    <col min="28" max="28" width="23.88671875" bestFit="1" customWidth="1"/>
    <col min="29" max="29" width="11.33203125" bestFit="1" customWidth="1"/>
    <col min="30" max="30" width="15.44140625" style="7" bestFit="1" customWidth="1"/>
    <col min="31" max="31" width="12.44140625" style="16" bestFit="1" customWidth="1"/>
    <col min="32" max="32" width="7.6640625" bestFit="1" customWidth="1"/>
    <col min="33" max="33" width="18.6640625" style="29" bestFit="1" customWidth="1"/>
    <col min="34" max="34" width="1.6640625" customWidth="1"/>
    <col min="35" max="35" width="19.5546875" bestFit="1" customWidth="1"/>
    <col min="36" max="36" width="14.5546875" customWidth="1"/>
    <col min="37" max="37" width="13.109375" customWidth="1"/>
    <col min="38" max="38" width="10.44140625" bestFit="1" customWidth="1"/>
    <col min="39" max="39" width="14.6640625" bestFit="1" customWidth="1"/>
  </cols>
  <sheetData>
    <row r="1" spans="1:39" s="9" customFormat="1" ht="12" x14ac:dyDescent="0.25">
      <c r="B1" s="96">
        <v>46135</v>
      </c>
      <c r="C1" s="11"/>
      <c r="D1" s="11"/>
      <c r="E1" s="11"/>
      <c r="F1" s="11"/>
      <c r="G1" s="9">
        <f t="shared" ref="G1:P1" si="0">SUBTOTAL(9,G4:G101)</f>
        <v>24684701.609999992</v>
      </c>
      <c r="H1" s="115">
        <f t="shared" si="0"/>
        <v>353563.2</v>
      </c>
      <c r="I1" s="9">
        <f t="shared" si="0"/>
        <v>0</v>
      </c>
      <c r="J1" s="9">
        <f t="shared" si="0"/>
        <v>0</v>
      </c>
      <c r="K1" s="9">
        <f t="shared" si="0"/>
        <v>0</v>
      </c>
      <c r="L1" s="9">
        <f t="shared" si="0"/>
        <v>0</v>
      </c>
      <c r="M1" s="9">
        <f t="shared" si="0"/>
        <v>64.2</v>
      </c>
      <c r="N1" s="9">
        <f t="shared" si="0"/>
        <v>483754.64</v>
      </c>
      <c r="O1" s="9">
        <f t="shared" si="0"/>
        <v>837382.04</v>
      </c>
      <c r="P1" s="9">
        <f t="shared" si="0"/>
        <v>23847319.569999997</v>
      </c>
      <c r="Q1" s="9">
        <f t="shared" ref="Q1:W1" si="1">SUM(Q4:Q102)</f>
        <v>12932503.279999999</v>
      </c>
      <c r="R1" s="9">
        <f t="shared" si="1"/>
        <v>7000993.5799999982</v>
      </c>
      <c r="S1" s="9">
        <f t="shared" si="1"/>
        <v>3635821.7</v>
      </c>
      <c r="T1" s="9">
        <f t="shared" si="1"/>
        <v>181231</v>
      </c>
      <c r="U1" s="9">
        <f t="shared" si="1"/>
        <v>0</v>
      </c>
      <c r="V1" s="9">
        <f t="shared" si="1"/>
        <v>0</v>
      </c>
      <c r="W1" s="9">
        <f t="shared" si="1"/>
        <v>96770.01</v>
      </c>
      <c r="X1" s="9">
        <f>SUBTOTAL(9,X4:X101)</f>
        <v>628863.68599999999</v>
      </c>
      <c r="Y1" s="10"/>
      <c r="Z1" s="10"/>
      <c r="AA1" s="9">
        <f>SUBTOTAL(9,AA4:AA1048576)</f>
        <v>92937000</v>
      </c>
      <c r="AD1" s="10"/>
      <c r="AE1" s="14"/>
      <c r="AF1" s="10"/>
      <c r="AG1" s="27">
        <f>SUBTOTAL(9,AG4:AG106)</f>
        <v>61662078.390000008</v>
      </c>
      <c r="AH1" s="10"/>
      <c r="AI1" s="233">
        <f>O1/G1</f>
        <v>3.3923117776751617E-2</v>
      </c>
    </row>
    <row r="2" spans="1:39" ht="18.600000000000001" customHeight="1" thickBot="1" x14ac:dyDescent="0.3">
      <c r="B2" s="8"/>
      <c r="C2" s="95"/>
      <c r="D2" s="95"/>
      <c r="E2" s="95"/>
      <c r="F2" s="95"/>
      <c r="G2" s="8"/>
      <c r="H2" s="45" t="s">
        <v>26</v>
      </c>
      <c r="I2" s="45"/>
      <c r="J2" s="45"/>
      <c r="K2" s="45"/>
      <c r="L2" s="45"/>
      <c r="M2" s="45"/>
      <c r="N2" s="45"/>
      <c r="O2" s="33"/>
      <c r="P2" s="33"/>
      <c r="Q2" s="45" t="s">
        <v>16</v>
      </c>
      <c r="R2" s="45"/>
      <c r="S2" s="45"/>
      <c r="T2" s="45"/>
      <c r="U2" s="45"/>
      <c r="V2" s="45"/>
      <c r="W2" s="45"/>
      <c r="X2" s="8"/>
      <c r="Y2" s="6"/>
      <c r="Z2" s="6"/>
      <c r="AA2" s="46"/>
      <c r="AB2" s="46"/>
      <c r="AC2" s="46"/>
      <c r="AD2" s="46"/>
      <c r="AE2" s="46"/>
      <c r="AF2" s="6"/>
      <c r="AG2" s="37"/>
      <c r="AH2" s="6"/>
      <c r="AI2" s="39" t="s">
        <v>479</v>
      </c>
      <c r="AJ2" s="39"/>
      <c r="AK2" s="39"/>
    </row>
    <row r="3" spans="1:39" ht="15" thickTop="1" thickBot="1" x14ac:dyDescent="0.3">
      <c r="A3" t="s">
        <v>224</v>
      </c>
      <c r="B3" s="8" t="s">
        <v>22</v>
      </c>
      <c r="C3" s="95" t="s">
        <v>435</v>
      </c>
      <c r="D3" s="95" t="s">
        <v>491</v>
      </c>
      <c r="E3" s="103" t="s">
        <v>475</v>
      </c>
      <c r="F3" s="95" t="s">
        <v>476</v>
      </c>
      <c r="G3" s="12" t="s">
        <v>17</v>
      </c>
      <c r="H3" s="43" t="s">
        <v>9</v>
      </c>
      <c r="I3" s="43" t="s">
        <v>10</v>
      </c>
      <c r="J3" s="43" t="s">
        <v>11</v>
      </c>
      <c r="K3" s="43" t="s">
        <v>12</v>
      </c>
      <c r="L3" s="43" t="s">
        <v>13</v>
      </c>
      <c r="M3" s="43" t="s">
        <v>14</v>
      </c>
      <c r="N3" s="44" t="s">
        <v>15</v>
      </c>
      <c r="O3" s="12" t="s">
        <v>27</v>
      </c>
      <c r="P3" s="12" t="s">
        <v>8</v>
      </c>
      <c r="Q3" s="43" t="s">
        <v>9</v>
      </c>
      <c r="R3" s="43" t="s">
        <v>10</v>
      </c>
      <c r="S3" s="43" t="s">
        <v>11</v>
      </c>
      <c r="T3" s="43" t="s">
        <v>12</v>
      </c>
      <c r="U3" s="43" t="s">
        <v>13</v>
      </c>
      <c r="V3" s="43" t="s">
        <v>14</v>
      </c>
      <c r="W3" s="44" t="s">
        <v>15</v>
      </c>
      <c r="X3" s="12" t="s">
        <v>297</v>
      </c>
      <c r="Y3" s="6" t="s">
        <v>224</v>
      </c>
      <c r="Z3" s="6" t="s">
        <v>224</v>
      </c>
      <c r="AA3" s="12" t="s">
        <v>477</v>
      </c>
      <c r="AB3" s="12" t="s">
        <v>483</v>
      </c>
      <c r="AC3" s="13" t="s">
        <v>20</v>
      </c>
      <c r="AD3" s="13" t="s">
        <v>19</v>
      </c>
      <c r="AE3" s="15" t="s">
        <v>23</v>
      </c>
      <c r="AF3" s="6" t="s">
        <v>224</v>
      </c>
      <c r="AG3" s="37" t="s">
        <v>478</v>
      </c>
      <c r="AH3" s="6" t="s">
        <v>224</v>
      </c>
      <c r="AI3" s="112" t="s">
        <v>480</v>
      </c>
      <c r="AJ3" s="113" t="s">
        <v>481</v>
      </c>
      <c r="AK3" s="113" t="s">
        <v>482</v>
      </c>
    </row>
    <row r="4" spans="1:39" ht="15.75" customHeight="1" thickTop="1" x14ac:dyDescent="0.25">
      <c r="B4" s="41" t="s">
        <v>496</v>
      </c>
      <c r="C4" s="224">
        <f>IFERROR(_xlfn.XLOOKUP(B4,'Limite de crédito'!C:C,'Limite de crédito'!L:L,),0)</f>
        <v>0</v>
      </c>
      <c r="D4" s="93"/>
      <c r="E4" s="18">
        <f>_xlfn.XLOOKUP(B4,'Limite de crédito'!C:C,'Limite de crédito'!G:G,0)</f>
        <v>15000000</v>
      </c>
      <c r="F4" s="18">
        <f>E4-G4</f>
        <v>12021565.66</v>
      </c>
      <c r="G4" s="18">
        <f>P4+O4</f>
        <v>2978434.34</v>
      </c>
      <c r="H4" s="19">
        <f>SUMIFS('Data Additive'!$D:$D,'Data Additive'!$P:$P,'Painel Additive'!$B4,'Data Additive'!$Q:$Q,"&gt;0",'Data Additive'!$Q:$Q,"&lt;=30")</f>
        <v>0</v>
      </c>
      <c r="I4" s="19">
        <f>SUMIFS('Data Additive'!$D:$D,'Data Additive'!$P:$P,'Painel Additive'!$B4,'Data Additive'!$Q:$Q,"&gt;30",'Data Additive'!$Q:$Q,"&lt;=60")</f>
        <v>0</v>
      </c>
      <c r="J4" s="19">
        <f>SUMIFS('Data Additive'!$D:$D,'Data Additive'!$P:$P,'Painel Additive'!$B4,'Data Additive'!$Q:$Q,"&gt;60",'Data Additive'!$Q:$Q,"&lt;=90")</f>
        <v>0</v>
      </c>
      <c r="K4" s="19">
        <f>SUMIFS('Data Additive'!$D:$D,'Data Additive'!$P:$P,'Painel Additive'!$B4,'Data Additive'!$Q:$Q,"&gt;90",'Data Additive'!$Q:$Q,"&lt;=120")</f>
        <v>0</v>
      </c>
      <c r="L4" s="19">
        <f>SUMIFS('Data Additive'!$D:$D,'Data Additive'!$P:$P,'Painel Additive'!$B4,'Data Additive'!$Q:$Q,"&gt;120",'Data Additive'!$Q:$Q,"&lt;=180")</f>
        <v>0</v>
      </c>
      <c r="M4" s="19">
        <f>SUMIFS('Data Additive'!$D:$D,'Data Additive'!$P:$P,'Painel Additive'!$B4,'Data Additive'!$Q:$Q,"&gt;180",'Data Additive'!$Q:$Q,"&lt;=360")</f>
        <v>64.2</v>
      </c>
      <c r="N4" s="23">
        <f>SUMIFS('Data Additive'!$D:$D,'Data Additive'!$P:$P,'Painel Additive'!$B4,'Data Additive'!$Q:$Q,"&gt;360")</f>
        <v>16754.72</v>
      </c>
      <c r="O4" s="122">
        <f>SUMIFS('Data Additive'!$D:$D,'Data Additive'!$P:$P,'Painel Additive'!$B4,'Data Additive'!$Q:$Q,"&gt;0")</f>
        <v>16818.920000000002</v>
      </c>
      <c r="P4" s="19">
        <f>SUM(Q4:W4)</f>
        <v>2961615.42</v>
      </c>
      <c r="Q4" s="19">
        <f>SUMIFS('Data Additive'!$D:$D,'Data Additive'!$P:$P,'Painel Additive'!$B4,'Data Additive'!$Q:$Q,"&lt;=0",'Data Additive'!$Q:$Q,"&gt;=-30")</f>
        <v>1468196.92</v>
      </c>
      <c r="R4" s="19">
        <f>SUMIFS('Data Additive'!$D:$D,'Data Additive'!$P:$P,'Painel Additive'!$B4,'Data Additive'!$Q:$Q,"&lt;=-31",'Data Additive'!$Q:$Q,"&gt;=-60")</f>
        <v>550787.30000000005</v>
      </c>
      <c r="S4" s="19">
        <f>SUMIFS('Data Additive'!$D:$D,'Data Additive'!$P:$P,'Painel Additive'!$B4,'Data Additive'!$Q:$Q,"&lt;=-61",'Data Additive'!$Q:$Q,"&gt;=-90")</f>
        <v>761400.20000000007</v>
      </c>
      <c r="T4" s="19">
        <f>SUMIFS('Data Additive'!$D:$D,'Data Additive'!$P:$P,'Painel Additive'!$B4,'Data Additive'!$Q:$Q,"&lt;=-91",'Data Additive'!$Q:$Q,"&gt;=-120")</f>
        <v>181231</v>
      </c>
      <c r="U4" s="19">
        <f>SUMIFS('Data Additive'!$D:$D,'Data Additive'!$P:$P,'Painel Additive'!$B4,'Data Additive'!$Q:$Q,"&lt;=-121",'Data Additive'!$Q:$Q,"&gt;=-180")</f>
        <v>0</v>
      </c>
      <c r="V4" s="19">
        <f>SUMIFS('Data Additive'!$D:$D,'Data Additive'!$P:$P,'Painel Additive'!$B4,'Data Additive'!$Q:$Q,"&lt;=-181",'Data Additive'!$Q:$Q,"&gt;=-360")</f>
        <v>0</v>
      </c>
      <c r="W4" s="23">
        <f>SUMIFS('Data Additive'!$D:$D,'Data Additive'!$P:$P,'Painel Additive'!$B4,'Data Additive'!$Q:$Q,"&lt;-360")</f>
        <v>0</v>
      </c>
      <c r="X4" s="19">
        <f>SUMIFS('Bad Debt Provision'!AB:AB,'Bad Debt Provision'!B:B,'Painel Additive'!B4)</f>
        <v>84763.766000000003</v>
      </c>
      <c r="Y4" s="5"/>
      <c r="Z4" s="5"/>
      <c r="AA4" s="19">
        <f>IFERROR(_xlfn.XLOOKUP(B4,'Limite de crédito'!C:C,'Limite de crédito'!O:O,),0)</f>
        <v>15000000</v>
      </c>
      <c r="AB4" s="19"/>
      <c r="AC4" s="20"/>
      <c r="AD4" s="22"/>
      <c r="AE4" s="22"/>
      <c r="AF4" s="5"/>
      <c r="AG4" s="105">
        <f t="shared" ref="AG4:AG67" si="2">AA4-G4</f>
        <v>12021565.66</v>
      </c>
    </row>
    <row r="5" spans="1:39" ht="15" customHeight="1" x14ac:dyDescent="0.25">
      <c r="B5" s="41" t="s">
        <v>415</v>
      </c>
      <c r="C5" s="224">
        <f>IFERROR(_xlfn.XLOOKUP(B5,'Limite de crédito'!C:C,'Limite de crédito'!L:L,),0)</f>
        <v>0</v>
      </c>
      <c r="D5" s="93"/>
      <c r="E5" s="18">
        <f>_xlfn.XLOOKUP(B5,'Limite de crédito'!C:C,'Limite de crédito'!G:G,0)</f>
        <v>6900000</v>
      </c>
      <c r="F5" s="18">
        <f t="shared" ref="F5:F26" si="3">E5-G5</f>
        <v>6245984.2999999998</v>
      </c>
      <c r="G5" s="18">
        <f t="shared" ref="G5:G26" si="4">P5+O5</f>
        <v>654015.69999999995</v>
      </c>
      <c r="H5" s="19">
        <f>SUMIFS('Data Additive'!$D:$D,'Data Additive'!$P:$P,'Painel Additive'!$B5,'Data Additive'!$Q:$Q,"&gt;0",'Data Additive'!$Q:$Q,"&lt;=30")</f>
        <v>0</v>
      </c>
      <c r="I5" s="19">
        <f>SUMIFS('Data Additive'!$D:$D,'Data Additive'!$P:$P,'Painel Additive'!$B5,'Data Additive'!$Q:$Q,"&gt;30",'Data Additive'!$Q:$Q,"&lt;=60")</f>
        <v>0</v>
      </c>
      <c r="J5" s="19">
        <f>SUMIFS('Data Additive'!$D:$D,'Data Additive'!$P:$P,'Painel Additive'!$B5,'Data Additive'!$Q:$Q,"&gt;60",'Data Additive'!$Q:$Q,"&lt;=90")</f>
        <v>0</v>
      </c>
      <c r="K5" s="19">
        <f>SUMIFS('Data Additive'!$D:$D,'Data Additive'!$P:$P,'Painel Additive'!$B5,'Data Additive'!$Q:$Q,"&gt;90",'Data Additive'!$Q:$Q,"&lt;=120")</f>
        <v>0</v>
      </c>
      <c r="L5" s="19">
        <f>SUMIFS('Data Additive'!$D:$D,'Data Additive'!$P:$P,'Painel Additive'!$B5,'Data Additive'!$Q:$Q,"&gt;120",'Data Additive'!$Q:$Q,"&lt;=180")</f>
        <v>0</v>
      </c>
      <c r="M5" s="19">
        <f>SUMIFS('Data Additive'!$D:$D,'Data Additive'!$P:$P,'Painel Additive'!$B5,'Data Additive'!$Q:$Q,"&gt;180",'Data Additive'!$Q:$Q,"&lt;=360")</f>
        <v>0</v>
      </c>
      <c r="N5" s="23">
        <f>SUMIFS('Data Additive'!$D:$D,'Data Additive'!$P:$P,'Painel Additive'!$B5,'Data Additive'!$Q:$Q,"&gt;360")</f>
        <v>0</v>
      </c>
      <c r="O5" s="122">
        <f>SUMIFS('Data Additive'!$D:$D,'Data Additive'!$P:$P,'Painel Additive'!$B5,'Data Additive'!$Q:$Q,"&gt;0")</f>
        <v>0</v>
      </c>
      <c r="P5" s="19">
        <f t="shared" ref="P5:P54" si="5">SUM(Q5:W5)</f>
        <v>654015.69999999995</v>
      </c>
      <c r="Q5" s="19">
        <f>SUMIFS('Data Additive'!$D:$D,'Data Additive'!$P:$P,'Painel Additive'!$B5,'Data Additive'!$Q:$Q,"&lt;=0",'Data Additive'!$Q:$Q,"&gt;=-30")</f>
        <v>654015.69999999995</v>
      </c>
      <c r="R5" s="19">
        <f>SUMIFS('Data Additive'!$D:$D,'Data Additive'!$P:$P,'Painel Additive'!$B5,'Data Additive'!$Q:$Q,"&lt;=-31",'Data Additive'!$Q:$Q,"&gt;=-60")</f>
        <v>0</v>
      </c>
      <c r="S5" s="19">
        <f>SUMIFS('Data Additive'!$D:$D,'Data Additive'!$P:$P,'Painel Additive'!$B5,'Data Additive'!$Q:$Q,"&lt;=-61",'Data Additive'!$Q:$Q,"&gt;=-90")</f>
        <v>0</v>
      </c>
      <c r="T5" s="19">
        <f>SUMIFS('Data Additive'!$D:$D,'Data Additive'!$P:$P,'Painel Additive'!$B5,'Data Additive'!$Q:$Q,"&lt;=-91",'Data Additive'!$Q:$Q,"&gt;=-120")</f>
        <v>0</v>
      </c>
      <c r="U5" s="19">
        <f>SUMIFS('Data Additive'!$D:$D,'Data Additive'!$P:$P,'Painel Additive'!$B5,'Data Additive'!$Q:$Q,"&lt;=-121",'Data Additive'!$Q:$Q,"&gt;=-180")</f>
        <v>0</v>
      </c>
      <c r="V5" s="19">
        <f>SUMIFS('Data Additive'!$D:$D,'Data Additive'!$P:$P,'Painel Additive'!$B5,'Data Additive'!$Q:$Q,"&lt;=-181",'Data Additive'!$Q:$Q,"&gt;=-360")</f>
        <v>0</v>
      </c>
      <c r="W5" s="23">
        <f>SUMIFS('Data Additive'!$D:$D,'Data Additive'!$P:$P,'Painel Additive'!$B5,'Data Additive'!$Q:$Q,"&lt;-360")</f>
        <v>0</v>
      </c>
      <c r="X5" s="19">
        <f>SUMIFS('Bad Debt Provision'!AB:AB,'Bad Debt Provision'!B:B,'Painel Additive'!B5)</f>
        <v>1200</v>
      </c>
      <c r="Y5" s="5"/>
      <c r="Z5" s="5"/>
      <c r="AA5" s="19">
        <f>IFERROR(_xlfn.XLOOKUP(B5,'Limite de crédito'!C:C,'Limite de crédito'!O:O,),0)</f>
        <v>2315000</v>
      </c>
      <c r="AB5" s="19"/>
      <c r="AC5" s="20"/>
      <c r="AD5" s="22"/>
      <c r="AE5" s="22"/>
      <c r="AF5" s="5"/>
      <c r="AG5" s="105">
        <f t="shared" si="2"/>
        <v>1660984.3</v>
      </c>
    </row>
    <row r="6" spans="1:39" ht="15.75" customHeight="1" x14ac:dyDescent="0.25">
      <c r="B6" s="41" t="s">
        <v>419</v>
      </c>
      <c r="C6" s="224" t="str">
        <f>IFERROR(_xlfn.XLOOKUP(B6,'Limite de crédito'!C:C,'Limite de crédito'!L:L,),0)</f>
        <v>B</v>
      </c>
      <c r="D6" s="93"/>
      <c r="E6" s="18">
        <f>_xlfn.XLOOKUP(B6,'Limite de crédito'!C:C,'Limite de crédito'!G:G,0)</f>
        <v>6000000</v>
      </c>
      <c r="F6" s="18">
        <f t="shared" si="3"/>
        <v>1910281.5000000005</v>
      </c>
      <c r="G6" s="18">
        <f t="shared" si="4"/>
        <v>4089718.4999999995</v>
      </c>
      <c r="H6" s="19">
        <f>SUMIFS('Data Additive'!$D:$D,'Data Additive'!$P:$P,'Painel Additive'!$B6,'Data Additive'!$Q:$Q,"&gt;0",'Data Additive'!$Q:$Q,"&lt;=30")</f>
        <v>0</v>
      </c>
      <c r="I6" s="19">
        <f>SUMIFS('Data Additive'!$D:$D,'Data Additive'!$P:$P,'Painel Additive'!$B6,'Data Additive'!$Q:$Q,"&gt;30",'Data Additive'!$Q:$Q,"&lt;=60")</f>
        <v>0</v>
      </c>
      <c r="J6" s="19">
        <f>SUMIFS('Data Additive'!$D:$D,'Data Additive'!$P:$P,'Painel Additive'!$B6,'Data Additive'!$Q:$Q,"&gt;60",'Data Additive'!$Q:$Q,"&lt;=90")</f>
        <v>0</v>
      </c>
      <c r="K6" s="19">
        <f>SUMIFS('Data Additive'!$D:$D,'Data Additive'!$P:$P,'Painel Additive'!$B6,'Data Additive'!$Q:$Q,"&gt;90",'Data Additive'!$Q:$Q,"&lt;=120")</f>
        <v>0</v>
      </c>
      <c r="L6" s="19">
        <f>SUMIFS('Data Additive'!$D:$D,'Data Additive'!$P:$P,'Painel Additive'!$B6,'Data Additive'!$Q:$Q,"&gt;120",'Data Additive'!$Q:$Q,"&lt;=180")</f>
        <v>0</v>
      </c>
      <c r="M6" s="19">
        <f>SUMIFS('Data Additive'!$D:$D,'Data Additive'!$P:$P,'Painel Additive'!$B6,'Data Additive'!$Q:$Q,"&gt;180",'Data Additive'!$Q:$Q,"&lt;=360")</f>
        <v>0</v>
      </c>
      <c r="N6" s="23">
        <f>SUMIFS('Data Additive'!$D:$D,'Data Additive'!$P:$P,'Painel Additive'!$B6,'Data Additive'!$Q:$Q,"&gt;360")</f>
        <v>5626.32</v>
      </c>
      <c r="O6" s="122">
        <f>SUMIFS('Data Additive'!$D:$D,'Data Additive'!$P:$P,'Painel Additive'!$B6,'Data Additive'!$Q:$Q,"&gt;0")</f>
        <v>5626.32</v>
      </c>
      <c r="P6" s="19">
        <f t="shared" si="5"/>
        <v>4084092.1799999997</v>
      </c>
      <c r="Q6" s="19">
        <f>SUMIFS('Data Additive'!$D:$D,'Data Additive'!$P:$P,'Painel Additive'!$B6,'Data Additive'!$Q:$Q,"&lt;=0",'Data Additive'!$Q:$Q,"&gt;=-30")</f>
        <v>2439848.4</v>
      </c>
      <c r="R6" s="19">
        <f>SUMIFS('Data Additive'!$D:$D,'Data Additive'!$P:$P,'Painel Additive'!$B6,'Data Additive'!$Q:$Q,"&lt;=-31",'Data Additive'!$Q:$Q,"&gt;=-60")</f>
        <v>1644243.7799999998</v>
      </c>
      <c r="S6" s="19">
        <f>SUMIFS('Data Additive'!$D:$D,'Data Additive'!$P:$P,'Painel Additive'!$B6,'Data Additive'!$Q:$Q,"&lt;=-61",'Data Additive'!$Q:$Q,"&gt;=-90")</f>
        <v>0</v>
      </c>
      <c r="T6" s="19">
        <f>SUMIFS('Data Additive'!$D:$D,'Data Additive'!$P:$P,'Painel Additive'!$B6,'Data Additive'!$Q:$Q,"&lt;=-91",'Data Additive'!$Q:$Q,"&gt;=-120")</f>
        <v>0</v>
      </c>
      <c r="U6" s="19">
        <f>SUMIFS('Data Additive'!$D:$D,'Data Additive'!$P:$P,'Painel Additive'!$B6,'Data Additive'!$Q:$Q,"&lt;=-121",'Data Additive'!$Q:$Q,"&gt;=-180")</f>
        <v>0</v>
      </c>
      <c r="V6" s="19">
        <f>SUMIFS('Data Additive'!$D:$D,'Data Additive'!$P:$P,'Painel Additive'!$B6,'Data Additive'!$Q:$Q,"&lt;=-181",'Data Additive'!$Q:$Q,"&gt;=-360")</f>
        <v>0</v>
      </c>
      <c r="W6" s="23">
        <f>SUMIFS('Data Additive'!$D:$D,'Data Additive'!$P:$P,'Painel Additive'!$B6,'Data Additive'!$Q:$Q,"&lt;-360")</f>
        <v>0</v>
      </c>
      <c r="X6" s="19">
        <f>SUMIFS('Bad Debt Provision'!AB:AB,'Bad Debt Provision'!B:B,'Painel Additive'!B6)</f>
        <v>63226.319999999992</v>
      </c>
      <c r="Y6" s="5"/>
      <c r="Z6" s="5"/>
      <c r="AA6" s="19">
        <f>IFERROR(_xlfn.XLOOKUP(B6,'Limite de crédito'!C:C,'Limite de crédito'!O:O,),0)</f>
        <v>6000000</v>
      </c>
      <c r="AB6" s="19"/>
      <c r="AC6" s="20"/>
      <c r="AD6" s="22"/>
      <c r="AE6" s="22"/>
      <c r="AF6" s="5"/>
      <c r="AG6" s="105">
        <f t="shared" si="2"/>
        <v>1910281.5000000005</v>
      </c>
      <c r="AL6" t="s">
        <v>17</v>
      </c>
      <c r="AM6" s="36">
        <f>G1+'Painel Fertilizers'!G1+'Painel International'!G1-AM8</f>
        <v>36616063.829999983</v>
      </c>
    </row>
    <row r="7" spans="1:39" ht="16.2" customHeight="1" x14ac:dyDescent="0.25">
      <c r="B7" s="41" t="s">
        <v>418</v>
      </c>
      <c r="C7" s="224" t="str">
        <f>IFERROR(_xlfn.XLOOKUP(B7,'Limite de crédito'!C:C,'Limite de crédito'!L:L,),0)</f>
        <v>B</v>
      </c>
      <c r="D7" s="93"/>
      <c r="E7" s="18">
        <f>_xlfn.XLOOKUP(B7,'Limite de crédito'!C:C,'Limite de crédito'!G:G,0)</f>
        <v>500000</v>
      </c>
      <c r="F7" s="18">
        <f t="shared" si="3"/>
        <v>434670</v>
      </c>
      <c r="G7" s="18">
        <f t="shared" si="4"/>
        <v>65330</v>
      </c>
      <c r="H7" s="19">
        <f>SUMIFS('Data Additive'!$D:$D,'Data Additive'!$P:$P,'Painel Additive'!$B7,'Data Additive'!$Q:$Q,"&gt;0",'Data Additive'!$Q:$Q,"&lt;=30")</f>
        <v>0</v>
      </c>
      <c r="I7" s="19">
        <f>SUMIFS('Data Additive'!$D:$D,'Data Additive'!$P:$P,'Painel Additive'!$B7,'Data Additive'!$Q:$Q,"&gt;30",'Data Additive'!$Q:$Q,"&lt;=60")</f>
        <v>0</v>
      </c>
      <c r="J7" s="19">
        <f>SUMIFS('Data Additive'!$D:$D,'Data Additive'!$P:$P,'Painel Additive'!$B7,'Data Additive'!$Q:$Q,"&gt;60",'Data Additive'!$Q:$Q,"&lt;=90")</f>
        <v>0</v>
      </c>
      <c r="K7" s="19">
        <f>SUMIFS('Data Additive'!$D:$D,'Data Additive'!$P:$P,'Painel Additive'!$B7,'Data Additive'!$Q:$Q,"&gt;90",'Data Additive'!$Q:$Q,"&lt;=120")</f>
        <v>0</v>
      </c>
      <c r="L7" s="19">
        <f>SUMIFS('Data Additive'!$D:$D,'Data Additive'!$P:$P,'Painel Additive'!$B7,'Data Additive'!$Q:$Q,"&gt;120",'Data Additive'!$Q:$Q,"&lt;=180")</f>
        <v>0</v>
      </c>
      <c r="M7" s="19">
        <f>SUMIFS('Data Additive'!$D:$D,'Data Additive'!$P:$P,'Painel Additive'!$B7,'Data Additive'!$Q:$Q,"&gt;180",'Data Additive'!$Q:$Q,"&lt;=360")</f>
        <v>0</v>
      </c>
      <c r="N7" s="23">
        <f>SUMIFS('Data Additive'!$D:$D,'Data Additive'!$P:$P,'Painel Additive'!$B7,'Data Additive'!$Q:$Q,"&gt;360")</f>
        <v>0</v>
      </c>
      <c r="O7" s="122">
        <f>SUMIFS('Data Additive'!$D:$D,'Data Additive'!$P:$P,'Painel Additive'!$B7,'Data Additive'!$Q:$Q,"&gt;0")</f>
        <v>0</v>
      </c>
      <c r="P7" s="19">
        <f t="shared" si="5"/>
        <v>65330</v>
      </c>
      <c r="Q7" s="19">
        <f>SUMIFS('Data Additive'!$D:$D,'Data Additive'!$P:$P,'Painel Additive'!$B7,'Data Additive'!$Q:$Q,"&lt;=0",'Data Additive'!$Q:$Q,"&gt;=-30")</f>
        <v>0</v>
      </c>
      <c r="R7" s="19">
        <f>SUMIFS('Data Additive'!$D:$D,'Data Additive'!$P:$P,'Painel Additive'!$B7,'Data Additive'!$Q:$Q,"&lt;=-31",'Data Additive'!$Q:$Q,"&gt;=-60")</f>
        <v>0</v>
      </c>
      <c r="S7" s="19">
        <f>SUMIFS('Data Additive'!$D:$D,'Data Additive'!$P:$P,'Painel Additive'!$B7,'Data Additive'!$Q:$Q,"&lt;=-61",'Data Additive'!$Q:$Q,"&gt;=-90")</f>
        <v>65330</v>
      </c>
      <c r="T7" s="19">
        <f>SUMIFS('Data Additive'!$D:$D,'Data Additive'!$P:$P,'Painel Additive'!$B7,'Data Additive'!$Q:$Q,"&lt;=-91",'Data Additive'!$Q:$Q,"&gt;=-120")</f>
        <v>0</v>
      </c>
      <c r="U7" s="19">
        <f>SUMIFS('Data Additive'!$D:$D,'Data Additive'!$P:$P,'Painel Additive'!$B7,'Data Additive'!$Q:$Q,"&lt;=-121",'Data Additive'!$Q:$Q,"&gt;=-180")</f>
        <v>0</v>
      </c>
      <c r="V7" s="19">
        <f>SUMIFS('Data Additive'!$D:$D,'Data Additive'!$P:$P,'Painel Additive'!$B7,'Data Additive'!$Q:$Q,"&lt;=-181",'Data Additive'!$Q:$Q,"&gt;=-360")</f>
        <v>0</v>
      </c>
      <c r="W7" s="23">
        <f>SUMIFS('Data Additive'!$D:$D,'Data Additive'!$P:$P,'Painel Additive'!$B7,'Data Additive'!$Q:$Q,"&lt;-360")</f>
        <v>0</v>
      </c>
      <c r="X7" s="19">
        <f>SUMIFS('Bad Debt Provision'!AB:AB,'Bad Debt Provision'!B:B,'Painel Additive'!B7)</f>
        <v>0</v>
      </c>
      <c r="Y7" s="5"/>
      <c r="Z7" s="5"/>
      <c r="AA7" s="19">
        <f>IFERROR(_xlfn.XLOOKUP(B7,'Limite de crédito'!C:C,'Limite de crédito'!O:O,),0)</f>
        <v>500000</v>
      </c>
      <c r="AB7" s="19"/>
      <c r="AC7" s="20"/>
      <c r="AD7" s="22"/>
      <c r="AE7" s="22"/>
      <c r="AF7" s="5"/>
      <c r="AG7" s="105">
        <f t="shared" si="2"/>
        <v>434670</v>
      </c>
      <c r="AL7" t="s">
        <v>495</v>
      </c>
      <c r="AM7" s="29">
        <f>AG1+'Painel Fertilizers'!AG1+'Painel International'!AG1</f>
        <v>100900951.42000002</v>
      </c>
    </row>
    <row r="8" spans="1:39" ht="16.2" customHeight="1" x14ac:dyDescent="0.25">
      <c r="B8" s="41" t="s">
        <v>413</v>
      </c>
      <c r="C8" s="224" t="str">
        <f>IFERROR(_xlfn.XLOOKUP(B8,'Limite de crédito'!C:C,'Limite de crédito'!L:L,),0)</f>
        <v>B</v>
      </c>
      <c r="D8" s="93"/>
      <c r="E8" s="18">
        <f>_xlfn.XLOOKUP(B8,'Limite de crédito'!C:C,'Limite de crédito'!G:G,0)</f>
        <v>4000000</v>
      </c>
      <c r="F8" s="18">
        <f t="shared" si="3"/>
        <v>3846736.2</v>
      </c>
      <c r="G8" s="18">
        <f t="shared" si="4"/>
        <v>153263.79999999999</v>
      </c>
      <c r="H8" s="19">
        <f>SUMIFS('Data Additive'!$D:$D,'Data Additive'!$P:$P,'Painel Additive'!$B8,'Data Additive'!$Q:$Q,"&gt;0",'Data Additive'!$Q:$Q,"&lt;=30")</f>
        <v>0</v>
      </c>
      <c r="I8" s="19">
        <f>SUMIFS('Data Additive'!$D:$D,'Data Additive'!$P:$P,'Painel Additive'!$B8,'Data Additive'!$Q:$Q,"&gt;30",'Data Additive'!$Q:$Q,"&lt;=60")</f>
        <v>0</v>
      </c>
      <c r="J8" s="19">
        <f>SUMIFS('Data Additive'!$D:$D,'Data Additive'!$P:$P,'Painel Additive'!$B8,'Data Additive'!$Q:$Q,"&gt;60",'Data Additive'!$Q:$Q,"&lt;=90")</f>
        <v>0</v>
      </c>
      <c r="K8" s="19">
        <f>SUMIFS('Data Additive'!$D:$D,'Data Additive'!$P:$P,'Painel Additive'!$B8,'Data Additive'!$Q:$Q,"&gt;90",'Data Additive'!$Q:$Q,"&lt;=120")</f>
        <v>0</v>
      </c>
      <c r="L8" s="19">
        <f>SUMIFS('Data Additive'!$D:$D,'Data Additive'!$P:$P,'Painel Additive'!$B8,'Data Additive'!$Q:$Q,"&gt;120",'Data Additive'!$Q:$Q,"&lt;=180")</f>
        <v>0</v>
      </c>
      <c r="M8" s="19">
        <f>SUMIFS('Data Additive'!$D:$D,'Data Additive'!$P:$P,'Painel Additive'!$B8,'Data Additive'!$Q:$Q,"&gt;180",'Data Additive'!$Q:$Q,"&lt;=360")</f>
        <v>0</v>
      </c>
      <c r="N8" s="23">
        <f>SUMIFS('Data Additive'!$D:$D,'Data Additive'!$P:$P,'Painel Additive'!$B8,'Data Additive'!$Q:$Q,"&gt;360")</f>
        <v>0</v>
      </c>
      <c r="O8" s="122">
        <f>SUMIFS('Data Additive'!$D:$D,'Data Additive'!$P:$P,'Painel Additive'!$B8,'Data Additive'!$Q:$Q,"&gt;0")</f>
        <v>0</v>
      </c>
      <c r="P8" s="19">
        <f t="shared" si="5"/>
        <v>153263.79999999999</v>
      </c>
      <c r="Q8" s="19">
        <f>SUMIFS('Data Additive'!$D:$D,'Data Additive'!$P:$P,'Painel Additive'!$B8,'Data Additive'!$Q:$Q,"&lt;=0",'Data Additive'!$Q:$Q,"&gt;=-30")</f>
        <v>58917.8</v>
      </c>
      <c r="R8" s="19">
        <f>SUMIFS('Data Additive'!$D:$D,'Data Additive'!$P:$P,'Painel Additive'!$B8,'Data Additive'!$Q:$Q,"&lt;=-31",'Data Additive'!$Q:$Q,"&gt;=-60")</f>
        <v>94346</v>
      </c>
      <c r="S8" s="19">
        <f>SUMIFS('Data Additive'!$D:$D,'Data Additive'!$P:$P,'Painel Additive'!$B8,'Data Additive'!$Q:$Q,"&lt;=-61",'Data Additive'!$Q:$Q,"&gt;=-90")</f>
        <v>0</v>
      </c>
      <c r="T8" s="19">
        <f>SUMIFS('Data Additive'!$D:$D,'Data Additive'!$P:$P,'Painel Additive'!$B8,'Data Additive'!$Q:$Q,"&lt;=-91",'Data Additive'!$Q:$Q,"&gt;=-120")</f>
        <v>0</v>
      </c>
      <c r="U8" s="19">
        <f>SUMIFS('Data Additive'!$D:$D,'Data Additive'!$P:$P,'Painel Additive'!$B8,'Data Additive'!$Q:$Q,"&lt;=-121",'Data Additive'!$Q:$Q,"&gt;=-180")</f>
        <v>0</v>
      </c>
      <c r="V8" s="19">
        <f>SUMIFS('Data Additive'!$D:$D,'Data Additive'!$P:$P,'Painel Additive'!$B8,'Data Additive'!$Q:$Q,"&lt;=-181",'Data Additive'!$Q:$Q,"&gt;=-360")</f>
        <v>0</v>
      </c>
      <c r="W8" s="23">
        <f>SUMIFS('Data Additive'!$D:$D,'Data Additive'!$P:$P,'Painel Additive'!$B8,'Data Additive'!$Q:$Q,"&lt;-360")</f>
        <v>0</v>
      </c>
      <c r="X8" s="19">
        <f>SUMIFS('Bad Debt Provision'!AB:AB,'Bad Debt Provision'!B:B,'Painel Additive'!B8)</f>
        <v>0</v>
      </c>
      <c r="Y8" s="5"/>
      <c r="Z8" s="5"/>
      <c r="AA8" s="19">
        <f>IFERROR(_xlfn.XLOOKUP(B8,'Limite de crédito'!C:C,'Limite de crédito'!O:O,),0)</f>
        <v>4000000</v>
      </c>
      <c r="AB8" s="19"/>
      <c r="AC8" s="20"/>
      <c r="AD8" s="22"/>
      <c r="AE8" s="22"/>
      <c r="AF8" s="5"/>
      <c r="AG8" s="105">
        <f t="shared" si="2"/>
        <v>3846736.2</v>
      </c>
      <c r="AM8" s="128">
        <v>21461777.98</v>
      </c>
    </row>
    <row r="9" spans="1:39" ht="15.75" customHeight="1" x14ac:dyDescent="0.25">
      <c r="B9" s="41" t="s">
        <v>416</v>
      </c>
      <c r="C9" s="224" t="str">
        <f>IFERROR(_xlfn.XLOOKUP(B9,'Limite de crédito'!C:C,'Limite de crédito'!L:L,),0)</f>
        <v>B</v>
      </c>
      <c r="D9" s="93"/>
      <c r="E9" s="18">
        <f>_xlfn.XLOOKUP(B9,'Limite de crédito'!C:C,'Limite de crédito'!G:G,0)</f>
        <v>4500000</v>
      </c>
      <c r="F9" s="18">
        <f t="shared" si="3"/>
        <v>743391.09999999963</v>
      </c>
      <c r="G9" s="18">
        <f t="shared" si="4"/>
        <v>3756608.9000000004</v>
      </c>
      <c r="H9" s="19">
        <f>SUMIFS('Data Additive'!$D:$D,'Data Additive'!$P:$P,'Painel Additive'!$B9,'Data Additive'!$Q:$Q,"&gt;0",'Data Additive'!$Q:$Q,"&lt;=30")</f>
        <v>0</v>
      </c>
      <c r="I9" s="19">
        <f>SUMIFS('Data Additive'!$D:$D,'Data Additive'!$P:$P,'Painel Additive'!$B9,'Data Additive'!$Q:$Q,"&gt;30",'Data Additive'!$Q:$Q,"&lt;=60")</f>
        <v>0</v>
      </c>
      <c r="J9" s="19">
        <f>SUMIFS('Data Additive'!$D:$D,'Data Additive'!$P:$P,'Painel Additive'!$B9,'Data Additive'!$Q:$Q,"&gt;60",'Data Additive'!$Q:$Q,"&lt;=90")</f>
        <v>0</v>
      </c>
      <c r="K9" s="19">
        <f>SUMIFS('Data Additive'!$D:$D,'Data Additive'!$P:$P,'Painel Additive'!$B9,'Data Additive'!$Q:$Q,"&gt;90",'Data Additive'!$Q:$Q,"&lt;=120")</f>
        <v>0</v>
      </c>
      <c r="L9" s="19">
        <f>SUMIFS('Data Additive'!$D:$D,'Data Additive'!$P:$P,'Painel Additive'!$B9,'Data Additive'!$Q:$Q,"&gt;120",'Data Additive'!$Q:$Q,"&lt;=180")</f>
        <v>0</v>
      </c>
      <c r="M9" s="19">
        <f>SUMIFS('Data Additive'!$D:$D,'Data Additive'!$P:$P,'Painel Additive'!$B9,'Data Additive'!$Q:$Q,"&gt;180",'Data Additive'!$Q:$Q,"&lt;=360")</f>
        <v>0</v>
      </c>
      <c r="N9" s="23">
        <f>SUMIFS('Data Additive'!$D:$D,'Data Additive'!$P:$P,'Painel Additive'!$B9,'Data Additive'!$Q:$Q,"&gt;360")</f>
        <v>0</v>
      </c>
      <c r="O9" s="122">
        <f>SUMIFS('Data Additive'!$D:$D,'Data Additive'!$P:$P,'Painel Additive'!$B9,'Data Additive'!$Q:$Q,"&gt;0")</f>
        <v>0</v>
      </c>
      <c r="P9" s="19">
        <f t="shared" si="5"/>
        <v>3756608.9000000004</v>
      </c>
      <c r="Q9" s="19">
        <f>SUMIFS('Data Additive'!$D:$D,'Data Additive'!$P:$P,'Painel Additive'!$B9,'Data Additive'!$Q:$Q,"&lt;=0",'Data Additive'!$Q:$Q,"&gt;=-30")</f>
        <v>3756608.9000000004</v>
      </c>
      <c r="R9" s="19">
        <f>SUMIFS('Data Additive'!$D:$D,'Data Additive'!$P:$P,'Painel Additive'!$B9,'Data Additive'!$Q:$Q,"&lt;=-31",'Data Additive'!$Q:$Q,"&gt;=-60")</f>
        <v>0</v>
      </c>
      <c r="S9" s="19">
        <f>SUMIFS('Data Additive'!$D:$D,'Data Additive'!$P:$P,'Painel Additive'!$B9,'Data Additive'!$Q:$Q,"&lt;=-61",'Data Additive'!$Q:$Q,"&gt;=-90")</f>
        <v>0</v>
      </c>
      <c r="T9" s="19">
        <f>SUMIFS('Data Additive'!$D:$D,'Data Additive'!$P:$P,'Painel Additive'!$B9,'Data Additive'!$Q:$Q,"&lt;=-91",'Data Additive'!$Q:$Q,"&gt;=-120")</f>
        <v>0</v>
      </c>
      <c r="U9" s="19">
        <f>SUMIFS('Data Additive'!$D:$D,'Data Additive'!$P:$P,'Painel Additive'!$B9,'Data Additive'!$Q:$Q,"&lt;=-121",'Data Additive'!$Q:$Q,"&gt;=-180")</f>
        <v>0</v>
      </c>
      <c r="V9" s="19">
        <f>SUMIFS('Data Additive'!$D:$D,'Data Additive'!$P:$P,'Painel Additive'!$B9,'Data Additive'!$Q:$Q,"&lt;=-181",'Data Additive'!$Q:$Q,"&gt;=-360")</f>
        <v>0</v>
      </c>
      <c r="W9" s="23">
        <f>SUMIFS('Data Additive'!$D:$D,'Data Additive'!$P:$P,'Painel Additive'!$B9,'Data Additive'!$Q:$Q,"&lt;-360")</f>
        <v>0</v>
      </c>
      <c r="X9" s="19">
        <f>SUMIFS('Bad Debt Provision'!AB:AB,'Bad Debt Provision'!B:B,'Painel Additive'!B9)</f>
        <v>0</v>
      </c>
      <c r="Y9" s="5"/>
      <c r="Z9" s="5"/>
      <c r="AA9" s="19">
        <f>IFERROR(_xlfn.XLOOKUP(B9,'Limite de crédito'!C:C,'Limite de crédito'!O:O,),0)</f>
        <v>4500000</v>
      </c>
      <c r="AB9" s="19"/>
      <c r="AC9" s="20"/>
      <c r="AD9" s="22"/>
      <c r="AE9" s="22"/>
      <c r="AF9" s="5"/>
      <c r="AG9" s="105">
        <f t="shared" si="2"/>
        <v>743391.09999999963</v>
      </c>
      <c r="AM9" s="36">
        <f>AM7+AM8</f>
        <v>122362729.40000002</v>
      </c>
    </row>
    <row r="10" spans="1:39" ht="13.95" customHeight="1" x14ac:dyDescent="0.25">
      <c r="B10" s="41" t="s">
        <v>427</v>
      </c>
      <c r="C10" s="224">
        <f>IFERROR(_xlfn.XLOOKUP(B10,'Limite de crédito'!C:C,'Limite de crédito'!L:L,),0)</f>
        <v>0</v>
      </c>
      <c r="D10" s="93"/>
      <c r="E10" s="18">
        <f>_xlfn.XLOOKUP(B10,'Limite de crédito'!C:C,'Limite de crédito'!G:G,0)</f>
        <v>0</v>
      </c>
      <c r="F10" s="18">
        <f t="shared" si="3"/>
        <v>-604009.9</v>
      </c>
      <c r="G10" s="18">
        <f t="shared" si="4"/>
        <v>604009.9</v>
      </c>
      <c r="H10" s="19">
        <f>SUMIFS('Data Additive'!$D:$D,'Data Additive'!$P:$P,'Painel Additive'!$B10,'Data Additive'!$Q:$Q,"&gt;0",'Data Additive'!$Q:$Q,"&lt;=30")</f>
        <v>0</v>
      </c>
      <c r="I10" s="19">
        <f>SUMIFS('Data Additive'!$D:$D,'Data Additive'!$P:$P,'Painel Additive'!$B10,'Data Additive'!$Q:$Q,"&gt;30",'Data Additive'!$Q:$Q,"&lt;=60")</f>
        <v>0</v>
      </c>
      <c r="J10" s="19">
        <f>SUMIFS('Data Additive'!$D:$D,'Data Additive'!$P:$P,'Painel Additive'!$B10,'Data Additive'!$Q:$Q,"&gt;60",'Data Additive'!$Q:$Q,"&lt;=90")</f>
        <v>0</v>
      </c>
      <c r="K10" s="19">
        <f>SUMIFS('Data Additive'!$D:$D,'Data Additive'!$P:$P,'Painel Additive'!$B10,'Data Additive'!$Q:$Q,"&gt;90",'Data Additive'!$Q:$Q,"&lt;=120")</f>
        <v>0</v>
      </c>
      <c r="L10" s="19">
        <f>SUMIFS('Data Additive'!$D:$D,'Data Additive'!$P:$P,'Painel Additive'!$B10,'Data Additive'!$Q:$Q,"&gt;120",'Data Additive'!$Q:$Q,"&lt;=180")</f>
        <v>0</v>
      </c>
      <c r="M10" s="19">
        <f>SUMIFS('Data Additive'!$D:$D,'Data Additive'!$P:$P,'Painel Additive'!$B10,'Data Additive'!$Q:$Q,"&gt;180",'Data Additive'!$Q:$Q,"&lt;=360")</f>
        <v>0</v>
      </c>
      <c r="N10" s="23">
        <f>SUMIFS('Data Additive'!$D:$D,'Data Additive'!$P:$P,'Painel Additive'!$B10,'Data Additive'!$Q:$Q,"&gt;360")</f>
        <v>0</v>
      </c>
      <c r="O10" s="122">
        <f>SUMIFS('Data Additive'!$D:$D,'Data Additive'!$P:$P,'Painel Additive'!$B10,'Data Additive'!$Q:$Q,"&gt;0")</f>
        <v>0</v>
      </c>
      <c r="P10" s="19">
        <f t="shared" si="5"/>
        <v>604009.9</v>
      </c>
      <c r="Q10" s="19">
        <f>SUMIFS('Data Additive'!$D:$D,'Data Additive'!$P:$P,'Painel Additive'!$B10,'Data Additive'!$Q:$Q,"&lt;=0",'Data Additive'!$Q:$Q,"&gt;=-30")</f>
        <v>281124</v>
      </c>
      <c r="R10" s="19">
        <f>SUMIFS('Data Additive'!$D:$D,'Data Additive'!$P:$P,'Painel Additive'!$B10,'Data Additive'!$Q:$Q,"&lt;=-31",'Data Additive'!$Q:$Q,"&gt;=-60")</f>
        <v>322885.90000000002</v>
      </c>
      <c r="S10" s="19">
        <f>SUMIFS('Data Additive'!$D:$D,'Data Additive'!$P:$P,'Painel Additive'!$B10,'Data Additive'!$Q:$Q,"&lt;=-61",'Data Additive'!$Q:$Q,"&gt;=-90")</f>
        <v>0</v>
      </c>
      <c r="T10" s="19">
        <f>SUMIFS('Data Additive'!$D:$D,'Data Additive'!$P:$P,'Painel Additive'!$B10,'Data Additive'!$Q:$Q,"&lt;=-91",'Data Additive'!$Q:$Q,"&gt;=-120")</f>
        <v>0</v>
      </c>
      <c r="U10" s="19">
        <f>SUMIFS('Data Additive'!$D:$D,'Data Additive'!$P:$P,'Painel Additive'!$B10,'Data Additive'!$Q:$Q,"&lt;=-121",'Data Additive'!$Q:$Q,"&gt;=-180")</f>
        <v>0</v>
      </c>
      <c r="V10" s="19">
        <f>SUMIFS('Data Additive'!$D:$D,'Data Additive'!$P:$P,'Painel Additive'!$B10,'Data Additive'!$Q:$Q,"&lt;=-181",'Data Additive'!$Q:$Q,"&gt;=-360")</f>
        <v>0</v>
      </c>
      <c r="W10" s="23">
        <f>SUMIFS('Data Additive'!$D:$D,'Data Additive'!$P:$P,'Painel Additive'!$B10,'Data Additive'!$Q:$Q,"&lt;-360")</f>
        <v>0</v>
      </c>
      <c r="X10" s="19">
        <f>SUMIFS('Bad Debt Provision'!AB:AB,'Bad Debt Provision'!B:B,'Painel Additive'!B10)</f>
        <v>0</v>
      </c>
      <c r="Y10" s="5"/>
      <c r="Z10" s="5"/>
      <c r="AA10" s="19">
        <f>IFERROR(_xlfn.XLOOKUP(B10,'Limite de crédito'!C:C,'Limite de crédito'!O:O,),0)</f>
        <v>0</v>
      </c>
      <c r="AB10" s="19"/>
      <c r="AC10" s="20"/>
      <c r="AD10" s="22"/>
      <c r="AE10" s="22"/>
      <c r="AF10" s="5"/>
      <c r="AG10" s="105">
        <f t="shared" si="2"/>
        <v>-604009.9</v>
      </c>
      <c r="AM10" s="129">
        <f>AM9*-1/AM6</f>
        <v>-3.3417772584213914</v>
      </c>
    </row>
    <row r="11" spans="1:39" ht="15" customHeight="1" x14ac:dyDescent="0.25">
      <c r="B11" s="17" t="s">
        <v>77</v>
      </c>
      <c r="C11" s="224">
        <f>IFERROR(_xlfn.XLOOKUP(B11,'Limite de crédito'!C:C,'Limite de crédito'!L:L,),0)</f>
        <v>0</v>
      </c>
      <c r="D11" s="93"/>
      <c r="E11" s="18">
        <f>_xlfn.XLOOKUP(B11,'Limite de crédito'!C:C,'Limite de crédito'!G:G,0)</f>
        <v>0</v>
      </c>
      <c r="F11" s="18">
        <f t="shared" si="3"/>
        <v>0</v>
      </c>
      <c r="G11" s="18">
        <f t="shared" si="4"/>
        <v>0</v>
      </c>
      <c r="H11" s="19">
        <f>SUMIFS('Data Additive'!$D:$D,'Data Additive'!$P:$P,'Painel Additive'!$B11,'Data Additive'!$Q:$Q,"&gt;0",'Data Additive'!$Q:$Q,"&lt;=30")</f>
        <v>0</v>
      </c>
      <c r="I11" s="19">
        <f>SUMIFS('Data Additive'!$D:$D,'Data Additive'!$P:$P,'Painel Additive'!$B11,'Data Additive'!$Q:$Q,"&gt;30",'Data Additive'!$Q:$Q,"&lt;=60")</f>
        <v>0</v>
      </c>
      <c r="J11" s="19">
        <f>SUMIFS('Data Additive'!$D:$D,'Data Additive'!$P:$P,'Painel Additive'!$B11,'Data Additive'!$Q:$Q,"&gt;60",'Data Additive'!$Q:$Q,"&lt;=90")</f>
        <v>0</v>
      </c>
      <c r="K11" s="19">
        <f>SUMIFS('Data Additive'!$D:$D,'Data Additive'!$P:$P,'Painel Additive'!$B11,'Data Additive'!$Q:$Q,"&gt;90",'Data Additive'!$Q:$Q,"&lt;=120")</f>
        <v>0</v>
      </c>
      <c r="L11" s="19">
        <f>SUMIFS('Data Additive'!$D:$D,'Data Additive'!$P:$P,'Painel Additive'!$B11,'Data Additive'!$Q:$Q,"&gt;120",'Data Additive'!$Q:$Q,"&lt;=180")</f>
        <v>0</v>
      </c>
      <c r="M11" s="19">
        <f>SUMIFS('Data Additive'!$D:$D,'Data Additive'!$P:$P,'Painel Additive'!$B11,'Data Additive'!$Q:$Q,"&gt;180",'Data Additive'!$Q:$Q,"&lt;=360")</f>
        <v>0</v>
      </c>
      <c r="N11" s="23">
        <f>SUMIFS('Data Additive'!$D:$D,'Data Additive'!$P:$P,'Painel Additive'!$B11,'Data Additive'!$Q:$Q,"&gt;360")</f>
        <v>0</v>
      </c>
      <c r="O11" s="122">
        <f>SUMIFS('Data Additive'!$D:$D,'Data Additive'!$P:$P,'Painel Additive'!$B11,'Data Additive'!$Q:$Q,"&gt;0")</f>
        <v>0</v>
      </c>
      <c r="P11" s="19">
        <f t="shared" si="5"/>
        <v>0</v>
      </c>
      <c r="Q11" s="19">
        <f>SUMIFS('Data Additive'!$D:$D,'Data Additive'!$P:$P,'Painel Additive'!$B11,'Data Additive'!$Q:$Q,"&lt;=0",'Data Additive'!$Q:$Q,"&gt;=-30")</f>
        <v>0</v>
      </c>
      <c r="R11" s="19">
        <f>SUMIFS('Data Additive'!$D:$D,'Data Additive'!$P:$P,'Painel Additive'!$B11,'Data Additive'!$Q:$Q,"&lt;=-31",'Data Additive'!$Q:$Q,"&gt;=-60")</f>
        <v>0</v>
      </c>
      <c r="S11" s="19">
        <f>SUMIFS('Data Additive'!$D:$D,'Data Additive'!$P:$P,'Painel Additive'!$B11,'Data Additive'!$Q:$Q,"&lt;=-61",'Data Additive'!$Q:$Q,"&gt;=-90")</f>
        <v>0</v>
      </c>
      <c r="T11" s="19">
        <f>SUMIFS('Data Additive'!$D:$D,'Data Additive'!$P:$P,'Painel Additive'!$B11,'Data Additive'!$Q:$Q,"&lt;=-91",'Data Additive'!$Q:$Q,"&gt;=-120")</f>
        <v>0</v>
      </c>
      <c r="U11" s="19">
        <f>SUMIFS('Data Additive'!$D:$D,'Data Additive'!$P:$P,'Painel Additive'!$B11,'Data Additive'!$Q:$Q,"&lt;=-121",'Data Additive'!$Q:$Q,"&gt;=-180")</f>
        <v>0</v>
      </c>
      <c r="V11" s="19">
        <f>SUMIFS('Data Additive'!$D:$D,'Data Additive'!$P:$P,'Painel Additive'!$B11,'Data Additive'!$Q:$Q,"&lt;=-181",'Data Additive'!$Q:$Q,"&gt;=-360")</f>
        <v>0</v>
      </c>
      <c r="W11" s="23">
        <f>SUMIFS('Data Additive'!$D:$D,'Data Additive'!$P:$P,'Painel Additive'!$B11,'Data Additive'!$Q:$Q,"&lt;-360")</f>
        <v>0</v>
      </c>
      <c r="X11" s="19">
        <f>SUMIFS('Bad Debt Provision'!AB:AB,'Bad Debt Provision'!B:B,'Painel Additive'!B11)</f>
        <v>0</v>
      </c>
      <c r="Y11" s="5"/>
      <c r="Z11" s="5"/>
      <c r="AA11" s="19">
        <f>IFERROR(_xlfn.XLOOKUP(B11,'Limite de crédito'!C:C,'Limite de crédito'!O:O,),0)</f>
        <v>0</v>
      </c>
      <c r="AB11" s="19"/>
      <c r="AC11" s="20"/>
      <c r="AD11" s="22"/>
      <c r="AE11" s="22"/>
      <c r="AF11" s="5"/>
      <c r="AG11" s="105">
        <f t="shared" si="2"/>
        <v>0</v>
      </c>
      <c r="AH11" s="5"/>
      <c r="AM11" s="129"/>
    </row>
    <row r="12" spans="1:39" ht="15.75" customHeight="1" x14ac:dyDescent="0.25">
      <c r="B12" s="41" t="s">
        <v>430</v>
      </c>
      <c r="C12" s="224" t="str">
        <f>IFERROR(_xlfn.XLOOKUP(B12,'Limite de crédito'!C:C,'Limite de crédito'!L:L,),0)</f>
        <v>B</v>
      </c>
      <c r="D12" s="93"/>
      <c r="E12" s="18">
        <f>_xlfn.XLOOKUP(B12,'Limite de crédito'!C:C,'Limite de crédito'!G:G,0)</f>
        <v>2000000</v>
      </c>
      <c r="F12" s="18">
        <f t="shared" si="3"/>
        <v>2000000</v>
      </c>
      <c r="G12" s="18">
        <f t="shared" si="4"/>
        <v>0</v>
      </c>
      <c r="H12" s="19">
        <f>SUMIFS('Data Additive'!$D:$D,'Data Additive'!$P:$P,'Painel Additive'!$B12,'Data Additive'!$Q:$Q,"&gt;0",'Data Additive'!$Q:$Q,"&lt;=30")</f>
        <v>0</v>
      </c>
      <c r="I12" s="19">
        <f>SUMIFS('Data Additive'!$D:$D,'Data Additive'!$P:$P,'Painel Additive'!$B12,'Data Additive'!$Q:$Q,"&gt;30",'Data Additive'!$Q:$Q,"&lt;=60")</f>
        <v>0</v>
      </c>
      <c r="J12" s="19">
        <f>SUMIFS('Data Additive'!$D:$D,'Data Additive'!$P:$P,'Painel Additive'!$B12,'Data Additive'!$Q:$Q,"&gt;60",'Data Additive'!$Q:$Q,"&lt;=90")</f>
        <v>0</v>
      </c>
      <c r="K12" s="19">
        <f>SUMIFS('Data Additive'!$D:$D,'Data Additive'!$P:$P,'Painel Additive'!$B12,'Data Additive'!$Q:$Q,"&gt;90",'Data Additive'!$Q:$Q,"&lt;=120")</f>
        <v>0</v>
      </c>
      <c r="L12" s="19">
        <f>SUMIFS('Data Additive'!$D:$D,'Data Additive'!$P:$P,'Painel Additive'!$B12,'Data Additive'!$Q:$Q,"&gt;120",'Data Additive'!$Q:$Q,"&lt;=180")</f>
        <v>0</v>
      </c>
      <c r="M12" s="19">
        <f>SUMIFS('Data Additive'!$D:$D,'Data Additive'!$P:$P,'Painel Additive'!$B12,'Data Additive'!$Q:$Q,"&gt;180",'Data Additive'!$Q:$Q,"&lt;=360")</f>
        <v>0</v>
      </c>
      <c r="N12" s="23">
        <f>SUMIFS('Data Additive'!$D:$D,'Data Additive'!$P:$P,'Painel Additive'!$B12,'Data Additive'!$Q:$Q,"&gt;360")</f>
        <v>0</v>
      </c>
      <c r="O12" s="122">
        <f>SUMIFS('Data Additive'!$D:$D,'Data Additive'!$P:$P,'Painel Additive'!$B12,'Data Additive'!$Q:$Q,"&gt;0")</f>
        <v>0</v>
      </c>
      <c r="P12" s="19">
        <f t="shared" si="5"/>
        <v>0</v>
      </c>
      <c r="Q12" s="19">
        <f>SUMIFS('Data Additive'!$D:$D,'Data Additive'!$P:$P,'Painel Additive'!$B12,'Data Additive'!$Q:$Q,"&lt;=0",'Data Additive'!$Q:$Q,"&gt;=-30")</f>
        <v>0</v>
      </c>
      <c r="R12" s="19">
        <f>SUMIFS('Data Additive'!$D:$D,'Data Additive'!$P:$P,'Painel Additive'!$B12,'Data Additive'!$Q:$Q,"&lt;=-31",'Data Additive'!$Q:$Q,"&gt;=-60")</f>
        <v>0</v>
      </c>
      <c r="S12" s="19">
        <f>SUMIFS('Data Additive'!$D:$D,'Data Additive'!$P:$P,'Painel Additive'!$B12,'Data Additive'!$Q:$Q,"&lt;=-61",'Data Additive'!$Q:$Q,"&gt;=-90")</f>
        <v>0</v>
      </c>
      <c r="T12" s="19">
        <f>SUMIFS('Data Additive'!$D:$D,'Data Additive'!$P:$P,'Painel Additive'!$B12,'Data Additive'!$Q:$Q,"&lt;=-91",'Data Additive'!$Q:$Q,"&gt;=-120")</f>
        <v>0</v>
      </c>
      <c r="U12" s="19">
        <f>SUMIFS('Data Additive'!$D:$D,'Data Additive'!$P:$P,'Painel Additive'!$B12,'Data Additive'!$Q:$Q,"&lt;=-121",'Data Additive'!$Q:$Q,"&gt;=-180")</f>
        <v>0</v>
      </c>
      <c r="V12" s="19">
        <f>SUMIFS('Data Additive'!$D:$D,'Data Additive'!$P:$P,'Painel Additive'!$B12,'Data Additive'!$Q:$Q,"&lt;=-181",'Data Additive'!$Q:$Q,"&gt;=-360")</f>
        <v>0</v>
      </c>
      <c r="W12" s="23">
        <f>SUMIFS('Data Additive'!$D:$D,'Data Additive'!$P:$P,'Painel Additive'!$B12,'Data Additive'!$Q:$Q,"&lt;-360")</f>
        <v>0</v>
      </c>
      <c r="X12" s="19">
        <f>SUMIFS('Bad Debt Provision'!AB:AB,'Bad Debt Provision'!B:B,'Painel Additive'!B12)</f>
        <v>0</v>
      </c>
      <c r="Y12" s="5"/>
      <c r="Z12" s="5"/>
      <c r="AA12" s="19">
        <f>IFERROR(_xlfn.XLOOKUP(B12,'Limite de crédito'!C:C,'Limite de crédito'!O:O,),0)</f>
        <v>2000000</v>
      </c>
      <c r="AB12" s="19"/>
      <c r="AC12" s="20"/>
      <c r="AD12" s="22"/>
      <c r="AE12" s="22"/>
      <c r="AF12" s="5"/>
      <c r="AG12" s="105">
        <f t="shared" si="2"/>
        <v>2000000</v>
      </c>
    </row>
    <row r="13" spans="1:39" ht="15.75" customHeight="1" x14ac:dyDescent="0.25">
      <c r="B13" s="41" t="s">
        <v>30</v>
      </c>
      <c r="C13" s="224" t="str">
        <f>IFERROR(_xlfn.XLOOKUP(B13,'Limite de crédito'!C:C,'Limite de crédito'!L:L,),0)</f>
        <v>B</v>
      </c>
      <c r="D13" s="93"/>
      <c r="E13" s="18">
        <f>_xlfn.XLOOKUP(B13,'Limite de crédito'!C:C,'Limite de crédito'!G:G,0)</f>
        <v>2600000</v>
      </c>
      <c r="F13" s="18">
        <f t="shared" si="3"/>
        <v>2082661.8</v>
      </c>
      <c r="G13" s="18">
        <f t="shared" si="4"/>
        <v>517338.2</v>
      </c>
      <c r="H13" s="19">
        <f>SUMIFS('Data Additive'!$D:$D,'Data Additive'!$P:$P,'Painel Additive'!$B13,'Data Additive'!$Q:$Q,"&gt;0",'Data Additive'!$Q:$Q,"&lt;=30")</f>
        <v>0</v>
      </c>
      <c r="I13" s="19">
        <f>SUMIFS('Data Additive'!$D:$D,'Data Additive'!$P:$P,'Painel Additive'!$B13,'Data Additive'!$Q:$Q,"&gt;30",'Data Additive'!$Q:$Q,"&lt;=60")</f>
        <v>0</v>
      </c>
      <c r="J13" s="19">
        <f>SUMIFS('Data Additive'!$D:$D,'Data Additive'!$P:$P,'Painel Additive'!$B13,'Data Additive'!$Q:$Q,"&gt;60",'Data Additive'!$Q:$Q,"&lt;=90")</f>
        <v>0</v>
      </c>
      <c r="K13" s="19">
        <f>SUMIFS('Data Additive'!$D:$D,'Data Additive'!$P:$P,'Painel Additive'!$B13,'Data Additive'!$Q:$Q,"&gt;90",'Data Additive'!$Q:$Q,"&lt;=120")</f>
        <v>0</v>
      </c>
      <c r="L13" s="19">
        <f>SUMIFS('Data Additive'!$D:$D,'Data Additive'!$P:$P,'Painel Additive'!$B13,'Data Additive'!$Q:$Q,"&gt;120",'Data Additive'!$Q:$Q,"&lt;=180")</f>
        <v>0</v>
      </c>
      <c r="M13" s="19">
        <f>SUMIFS('Data Additive'!$D:$D,'Data Additive'!$P:$P,'Painel Additive'!$B13,'Data Additive'!$Q:$Q,"&gt;180",'Data Additive'!$Q:$Q,"&lt;=360")</f>
        <v>0</v>
      </c>
      <c r="N13" s="23">
        <f>SUMIFS('Data Additive'!$D:$D,'Data Additive'!$P:$P,'Painel Additive'!$B13,'Data Additive'!$Q:$Q,"&gt;360")</f>
        <v>0</v>
      </c>
      <c r="O13" s="122">
        <f>SUMIFS('Data Additive'!$D:$D,'Data Additive'!$P:$P,'Painel Additive'!$B13,'Data Additive'!$Q:$Q,"&gt;0")</f>
        <v>0</v>
      </c>
      <c r="P13" s="19">
        <f t="shared" si="5"/>
        <v>517338.2</v>
      </c>
      <c r="Q13" s="19">
        <f>SUMIFS('Data Additive'!$D:$D,'Data Additive'!$P:$P,'Painel Additive'!$B13,'Data Additive'!$Q:$Q,"&lt;=0",'Data Additive'!$Q:$Q,"&gt;=-30")</f>
        <v>517338.2</v>
      </c>
      <c r="R13" s="19">
        <f>SUMIFS('Data Additive'!$D:$D,'Data Additive'!$P:$P,'Painel Additive'!$B13,'Data Additive'!$Q:$Q,"&lt;=-31",'Data Additive'!$Q:$Q,"&gt;=-60")</f>
        <v>0</v>
      </c>
      <c r="S13" s="19">
        <f>SUMIFS('Data Additive'!$D:$D,'Data Additive'!$P:$P,'Painel Additive'!$B13,'Data Additive'!$Q:$Q,"&lt;=-61",'Data Additive'!$Q:$Q,"&gt;=-90")</f>
        <v>0</v>
      </c>
      <c r="T13" s="19">
        <f>SUMIFS('Data Additive'!$D:$D,'Data Additive'!$P:$P,'Painel Additive'!$B13,'Data Additive'!$Q:$Q,"&lt;=-91",'Data Additive'!$Q:$Q,"&gt;=-120")</f>
        <v>0</v>
      </c>
      <c r="U13" s="19">
        <f>SUMIFS('Data Additive'!$D:$D,'Data Additive'!$P:$P,'Painel Additive'!$B13,'Data Additive'!$Q:$Q,"&lt;=-121",'Data Additive'!$Q:$Q,"&gt;=-180")</f>
        <v>0</v>
      </c>
      <c r="V13" s="19">
        <f>SUMIFS('Data Additive'!$D:$D,'Data Additive'!$P:$P,'Painel Additive'!$B13,'Data Additive'!$Q:$Q,"&lt;=-181",'Data Additive'!$Q:$Q,"&gt;=-360")</f>
        <v>0</v>
      </c>
      <c r="W13" s="23">
        <f>SUMIFS('Data Additive'!$D:$D,'Data Additive'!$P:$P,'Painel Additive'!$B13,'Data Additive'!$Q:$Q,"&lt;-360")</f>
        <v>0</v>
      </c>
      <c r="X13" s="19">
        <f>SUMIFS('Bad Debt Provision'!AB:AB,'Bad Debt Provision'!B:B,'Painel Additive'!B13)</f>
        <v>0</v>
      </c>
      <c r="Y13" s="5"/>
      <c r="Z13" s="5"/>
      <c r="AA13" s="19">
        <f>IFERROR(_xlfn.XLOOKUP(B13,'Limite de crédito'!C:C,'Limite de crédito'!O:O,),0)</f>
        <v>2600000</v>
      </c>
      <c r="AB13" s="19"/>
      <c r="AC13" s="20"/>
      <c r="AD13" s="22"/>
      <c r="AE13" s="22"/>
      <c r="AF13" s="5"/>
      <c r="AG13" s="105">
        <f t="shared" si="2"/>
        <v>2082661.8</v>
      </c>
      <c r="AH13" s="5"/>
    </row>
    <row r="14" spans="1:39" ht="15.75" customHeight="1" x14ac:dyDescent="0.25">
      <c r="B14" s="17" t="s">
        <v>83</v>
      </c>
      <c r="C14" s="224" t="str">
        <f>IFERROR(_xlfn.XLOOKUP(B14,'Limite de crédito'!C:C,'Limite de crédito'!L:L,),0)</f>
        <v>B</v>
      </c>
      <c r="D14" s="93"/>
      <c r="E14" s="18">
        <f>_xlfn.XLOOKUP(B14,'Limite de crédito'!C:C,'Limite de crédito'!G:G,0)</f>
        <v>3000000</v>
      </c>
      <c r="F14" s="18">
        <f t="shared" si="3"/>
        <v>2589143.48</v>
      </c>
      <c r="G14" s="18">
        <f t="shared" si="4"/>
        <v>410856.52</v>
      </c>
      <c r="H14" s="19">
        <f>SUMIFS('Data Additive'!$D:$D,'Data Additive'!$P:$P,'Painel Additive'!$B14,'Data Additive'!$Q:$Q,"&gt;0",'Data Additive'!$Q:$Q,"&lt;=30")</f>
        <v>0</v>
      </c>
      <c r="I14" s="19">
        <f>SUMIFS('Data Additive'!$D:$D,'Data Additive'!$P:$P,'Painel Additive'!$B14,'Data Additive'!$Q:$Q,"&gt;30",'Data Additive'!$Q:$Q,"&lt;=60")</f>
        <v>0</v>
      </c>
      <c r="J14" s="19">
        <f>SUMIFS('Data Additive'!$D:$D,'Data Additive'!$P:$P,'Painel Additive'!$B14,'Data Additive'!$Q:$Q,"&gt;60",'Data Additive'!$Q:$Q,"&lt;=90")</f>
        <v>0</v>
      </c>
      <c r="K14" s="19">
        <f>SUMIFS('Data Additive'!$D:$D,'Data Additive'!$P:$P,'Painel Additive'!$B14,'Data Additive'!$Q:$Q,"&gt;90",'Data Additive'!$Q:$Q,"&lt;=120")</f>
        <v>0</v>
      </c>
      <c r="L14" s="19">
        <f>SUMIFS('Data Additive'!$D:$D,'Data Additive'!$P:$P,'Painel Additive'!$B14,'Data Additive'!$Q:$Q,"&gt;120",'Data Additive'!$Q:$Q,"&lt;=180")</f>
        <v>0</v>
      </c>
      <c r="M14" s="19">
        <f>SUMIFS('Data Additive'!$D:$D,'Data Additive'!$P:$P,'Painel Additive'!$B14,'Data Additive'!$Q:$Q,"&gt;180",'Data Additive'!$Q:$Q,"&lt;=360")</f>
        <v>0</v>
      </c>
      <c r="N14" s="23">
        <f>SUMIFS('Data Additive'!$D:$D,'Data Additive'!$P:$P,'Painel Additive'!$B14,'Data Additive'!$Q:$Q,"&gt;360")</f>
        <v>0</v>
      </c>
      <c r="O14" s="122">
        <f>SUMIFS('Data Additive'!$D:$D,'Data Additive'!$P:$P,'Painel Additive'!$B14,'Data Additive'!$Q:$Q,"&gt;0")</f>
        <v>0</v>
      </c>
      <c r="P14" s="19">
        <f t="shared" si="5"/>
        <v>410856.52</v>
      </c>
      <c r="Q14" s="19">
        <f>SUMIFS('Data Additive'!$D:$D,'Data Additive'!$P:$P,'Painel Additive'!$B14,'Data Additive'!$Q:$Q,"&lt;=0",'Data Additive'!$Q:$Q,"&gt;=-30")</f>
        <v>0</v>
      </c>
      <c r="R14" s="19">
        <f>SUMIFS('Data Additive'!$D:$D,'Data Additive'!$P:$P,'Painel Additive'!$B14,'Data Additive'!$Q:$Q,"&lt;=-31",'Data Additive'!$Q:$Q,"&gt;=-60")</f>
        <v>410856.52</v>
      </c>
      <c r="S14" s="19">
        <f>SUMIFS('Data Additive'!$D:$D,'Data Additive'!$P:$P,'Painel Additive'!$B14,'Data Additive'!$Q:$Q,"&lt;=-61",'Data Additive'!$Q:$Q,"&gt;=-90")</f>
        <v>0</v>
      </c>
      <c r="T14" s="19">
        <f>SUMIFS('Data Additive'!$D:$D,'Data Additive'!$P:$P,'Painel Additive'!$B14,'Data Additive'!$Q:$Q,"&lt;=-91",'Data Additive'!$Q:$Q,"&gt;=-120")</f>
        <v>0</v>
      </c>
      <c r="U14" s="19">
        <f>SUMIFS('Data Additive'!$D:$D,'Data Additive'!$P:$P,'Painel Additive'!$B14,'Data Additive'!$Q:$Q,"&lt;=-121",'Data Additive'!$Q:$Q,"&gt;=-180")</f>
        <v>0</v>
      </c>
      <c r="V14" s="19">
        <f>SUMIFS('Data Additive'!$D:$D,'Data Additive'!$P:$P,'Painel Additive'!$B14,'Data Additive'!$Q:$Q,"&lt;=-181",'Data Additive'!$Q:$Q,"&gt;=-360")</f>
        <v>0</v>
      </c>
      <c r="W14" s="23">
        <f>SUMIFS('Data Additive'!$D:$D,'Data Additive'!$P:$P,'Painel Additive'!$B14,'Data Additive'!$Q:$Q,"&lt;-360")</f>
        <v>0</v>
      </c>
      <c r="X14" s="19">
        <f>SUMIFS('Bad Debt Provision'!AB:AB,'Bad Debt Provision'!B:B,'Painel Additive'!B14)</f>
        <v>0</v>
      </c>
      <c r="Y14" s="5"/>
      <c r="Z14" s="5"/>
      <c r="AA14" s="19">
        <f>IFERROR(_xlfn.XLOOKUP(B14,'Limite de crédito'!C:C,'Limite de crédito'!O:O,),0)</f>
        <v>3000000</v>
      </c>
      <c r="AB14" s="19"/>
      <c r="AC14" s="20"/>
      <c r="AD14" s="22"/>
      <c r="AE14" s="22"/>
      <c r="AF14" s="5"/>
      <c r="AG14" s="105">
        <f t="shared" si="2"/>
        <v>2589143.48</v>
      </c>
      <c r="AH14" s="5"/>
    </row>
    <row r="15" spans="1:39" ht="15.75" customHeight="1" x14ac:dyDescent="0.25">
      <c r="B15" s="17" t="s">
        <v>65</v>
      </c>
      <c r="C15" s="224">
        <f>IFERROR(_xlfn.XLOOKUP(B15,'Limite de crédito'!C:C,'Limite de crédito'!L:L,),0)</f>
        <v>0</v>
      </c>
      <c r="D15" s="93"/>
      <c r="E15" s="18">
        <f>_xlfn.XLOOKUP(B15,'Limite de crédito'!C:C,'Limite de crédito'!G:G,0)</f>
        <v>0</v>
      </c>
      <c r="F15" s="18">
        <f t="shared" si="3"/>
        <v>-189028.7</v>
      </c>
      <c r="G15" s="18">
        <f t="shared" si="4"/>
        <v>189028.7</v>
      </c>
      <c r="H15" s="19">
        <f>SUMIFS('Data Additive'!$D:$D,'Data Additive'!$P:$P,'Painel Additive'!$B15,'Data Additive'!$Q:$Q,"&gt;0",'Data Additive'!$Q:$Q,"&lt;=30")</f>
        <v>37491.5</v>
      </c>
      <c r="I15" s="19">
        <f>SUMIFS('Data Additive'!$D:$D,'Data Additive'!$P:$P,'Painel Additive'!$B15,'Data Additive'!$Q:$Q,"&gt;30",'Data Additive'!$Q:$Q,"&lt;=60")</f>
        <v>0</v>
      </c>
      <c r="J15" s="19">
        <f>SUMIFS('Data Additive'!$D:$D,'Data Additive'!$P:$P,'Painel Additive'!$B15,'Data Additive'!$Q:$Q,"&gt;60",'Data Additive'!$Q:$Q,"&lt;=90")</f>
        <v>0</v>
      </c>
      <c r="K15" s="19">
        <f>SUMIFS('Data Additive'!$D:$D,'Data Additive'!$P:$P,'Painel Additive'!$B15,'Data Additive'!$Q:$Q,"&gt;90",'Data Additive'!$Q:$Q,"&lt;=120")</f>
        <v>0</v>
      </c>
      <c r="L15" s="19">
        <f>SUMIFS('Data Additive'!$D:$D,'Data Additive'!$P:$P,'Painel Additive'!$B15,'Data Additive'!$Q:$Q,"&gt;120",'Data Additive'!$Q:$Q,"&lt;=180")</f>
        <v>0</v>
      </c>
      <c r="M15" s="19">
        <f>SUMIFS('Data Additive'!$D:$D,'Data Additive'!$P:$P,'Painel Additive'!$B15,'Data Additive'!$Q:$Q,"&gt;180",'Data Additive'!$Q:$Q,"&lt;=360")</f>
        <v>0</v>
      </c>
      <c r="N15" s="23">
        <f>SUMIFS('Data Additive'!$D:$D,'Data Additive'!$P:$P,'Painel Additive'!$B15,'Data Additive'!$Q:$Q,"&gt;360")</f>
        <v>0</v>
      </c>
      <c r="O15" s="122">
        <f>SUMIFS('Data Additive'!$D:$D,'Data Additive'!$P:$P,'Painel Additive'!$B15,'Data Additive'!$Q:$Q,"&gt;0")</f>
        <v>37491.5</v>
      </c>
      <c r="P15" s="19">
        <f t="shared" si="5"/>
        <v>151537.20000000001</v>
      </c>
      <c r="Q15" s="19">
        <f>SUMIFS('Data Additive'!$D:$D,'Data Additive'!$P:$P,'Painel Additive'!$B15,'Data Additive'!$Q:$Q,"&lt;=0",'Data Additive'!$Q:$Q,"&gt;=-30")</f>
        <v>75216.800000000003</v>
      </c>
      <c r="R15" s="19">
        <f>SUMIFS('Data Additive'!$D:$D,'Data Additive'!$P:$P,'Painel Additive'!$B15,'Data Additive'!$Q:$Q,"&lt;=-31",'Data Additive'!$Q:$Q,"&gt;=-60")</f>
        <v>76320.399999999994</v>
      </c>
      <c r="S15" s="19">
        <f>SUMIFS('Data Additive'!$D:$D,'Data Additive'!$P:$P,'Painel Additive'!$B15,'Data Additive'!$Q:$Q,"&lt;=-61",'Data Additive'!$Q:$Q,"&gt;=-90")</f>
        <v>0</v>
      </c>
      <c r="T15" s="19">
        <f>SUMIFS('Data Additive'!$D:$D,'Data Additive'!$P:$P,'Painel Additive'!$B15,'Data Additive'!$Q:$Q,"&lt;=-91",'Data Additive'!$Q:$Q,"&gt;=-120")</f>
        <v>0</v>
      </c>
      <c r="U15" s="19">
        <f>SUMIFS('Data Additive'!$D:$D,'Data Additive'!$P:$P,'Painel Additive'!$B15,'Data Additive'!$Q:$Q,"&lt;=-121",'Data Additive'!$Q:$Q,"&gt;=-180")</f>
        <v>0</v>
      </c>
      <c r="V15" s="19">
        <f>SUMIFS('Data Additive'!$D:$D,'Data Additive'!$P:$P,'Painel Additive'!$B15,'Data Additive'!$Q:$Q,"&lt;=-181",'Data Additive'!$Q:$Q,"&gt;=-360")</f>
        <v>0</v>
      </c>
      <c r="W15" s="23">
        <f>SUMIFS('Data Additive'!$D:$D,'Data Additive'!$P:$P,'Painel Additive'!$B15,'Data Additive'!$Q:$Q,"&lt;-360")</f>
        <v>0</v>
      </c>
      <c r="X15" s="19">
        <f>SUMIFS('Bad Debt Provision'!AB:AB,'Bad Debt Provision'!B:B,'Painel Additive'!B15)</f>
        <v>0</v>
      </c>
      <c r="Y15" s="5"/>
      <c r="Z15" s="5"/>
      <c r="AA15" s="19">
        <f>IFERROR(_xlfn.XLOOKUP(B15,'Limite de crédito'!C:C,'Limite de crédito'!O:O,),0)</f>
        <v>0</v>
      </c>
      <c r="AB15" s="19"/>
      <c r="AC15" s="20"/>
      <c r="AD15" s="22"/>
      <c r="AE15" s="22"/>
      <c r="AF15" s="5"/>
      <c r="AG15" s="105">
        <f t="shared" si="2"/>
        <v>-189028.7</v>
      </c>
      <c r="AH15" s="5"/>
    </row>
    <row r="16" spans="1:39" ht="15.75" customHeight="1" x14ac:dyDescent="0.25">
      <c r="B16" s="41" t="s">
        <v>485</v>
      </c>
      <c r="C16" s="224" t="str">
        <f>IFERROR(_xlfn.XLOOKUP(B16,'Limite de crédito'!C:C,'Limite de crédito'!L:L,),0)</f>
        <v>B</v>
      </c>
      <c r="D16" s="93"/>
      <c r="E16" s="18">
        <f>_xlfn.XLOOKUP(B16,'Limite de crédito'!C:C,'Limite de crédito'!G:G,0)</f>
        <v>2500000</v>
      </c>
      <c r="F16" s="18">
        <f t="shared" si="3"/>
        <v>2419920.7000000002</v>
      </c>
      <c r="G16" s="18">
        <f t="shared" si="4"/>
        <v>80079.3</v>
      </c>
      <c r="H16" s="19">
        <f>SUMIFS('Data Additive'!$D:$D,'Data Additive'!$P:$P,'Painel Additive'!$B16,'Data Additive'!$Q:$Q,"&gt;0",'Data Additive'!$Q:$Q,"&lt;=30")</f>
        <v>0</v>
      </c>
      <c r="I16" s="19">
        <f>SUMIFS('Data Additive'!$D:$D,'Data Additive'!$P:$P,'Painel Additive'!$B16,'Data Additive'!$Q:$Q,"&gt;30",'Data Additive'!$Q:$Q,"&lt;=60")</f>
        <v>0</v>
      </c>
      <c r="J16" s="19">
        <f>SUMIFS('Data Additive'!$D:$D,'Data Additive'!$P:$P,'Painel Additive'!$B16,'Data Additive'!$Q:$Q,"&gt;60",'Data Additive'!$Q:$Q,"&lt;=90")</f>
        <v>0</v>
      </c>
      <c r="K16" s="19">
        <f>SUMIFS('Data Additive'!$D:$D,'Data Additive'!$P:$P,'Painel Additive'!$B16,'Data Additive'!$Q:$Q,"&gt;90",'Data Additive'!$Q:$Q,"&lt;=120")</f>
        <v>0</v>
      </c>
      <c r="L16" s="19">
        <f>SUMIFS('Data Additive'!$D:$D,'Data Additive'!$P:$P,'Painel Additive'!$B16,'Data Additive'!$Q:$Q,"&gt;120",'Data Additive'!$Q:$Q,"&lt;=180")</f>
        <v>0</v>
      </c>
      <c r="M16" s="19">
        <f>SUMIFS('Data Additive'!$D:$D,'Data Additive'!$P:$P,'Painel Additive'!$B16,'Data Additive'!$Q:$Q,"&gt;180",'Data Additive'!$Q:$Q,"&lt;=360")</f>
        <v>0</v>
      </c>
      <c r="N16" s="23">
        <f>SUMIFS('Data Additive'!$D:$D,'Data Additive'!$P:$P,'Painel Additive'!$B16,'Data Additive'!$Q:$Q,"&gt;360")</f>
        <v>0</v>
      </c>
      <c r="O16" s="122">
        <f>SUMIFS('Data Additive'!$D:$D,'Data Additive'!$P:$P,'Painel Additive'!$B16,'Data Additive'!$Q:$Q,"&gt;0")</f>
        <v>0</v>
      </c>
      <c r="P16" s="19">
        <f t="shared" si="5"/>
        <v>80079.3</v>
      </c>
      <c r="Q16" s="19">
        <f>SUMIFS('Data Additive'!$D:$D,'Data Additive'!$P:$P,'Painel Additive'!$B16,'Data Additive'!$Q:$Q,"&lt;=0",'Data Additive'!$Q:$Q,"&gt;=-30")</f>
        <v>80079.3</v>
      </c>
      <c r="R16" s="19">
        <f>SUMIFS('Data Additive'!$D:$D,'Data Additive'!$P:$P,'Painel Additive'!$B16,'Data Additive'!$Q:$Q,"&lt;=-31",'Data Additive'!$Q:$Q,"&gt;=-60")</f>
        <v>0</v>
      </c>
      <c r="S16" s="19">
        <f>SUMIFS('Data Additive'!$D:$D,'Data Additive'!$P:$P,'Painel Additive'!$B16,'Data Additive'!$Q:$Q,"&lt;=-61",'Data Additive'!$Q:$Q,"&gt;=-90")</f>
        <v>0</v>
      </c>
      <c r="T16" s="19">
        <f>SUMIFS('Data Additive'!$D:$D,'Data Additive'!$P:$P,'Painel Additive'!$B16,'Data Additive'!$Q:$Q,"&lt;=-91",'Data Additive'!$Q:$Q,"&gt;=-120")</f>
        <v>0</v>
      </c>
      <c r="U16" s="19">
        <f>SUMIFS('Data Additive'!$D:$D,'Data Additive'!$P:$P,'Painel Additive'!$B16,'Data Additive'!$Q:$Q,"&lt;=-121",'Data Additive'!$Q:$Q,"&gt;=-180")</f>
        <v>0</v>
      </c>
      <c r="V16" s="19">
        <f>SUMIFS('Data Additive'!$D:$D,'Data Additive'!$P:$P,'Painel Additive'!$B16,'Data Additive'!$Q:$Q,"&lt;=-181",'Data Additive'!$Q:$Q,"&gt;=-360")</f>
        <v>0</v>
      </c>
      <c r="W16" s="23">
        <f>SUMIFS('Data Additive'!$D:$D,'Data Additive'!$P:$P,'Painel Additive'!$B16,'Data Additive'!$Q:$Q,"&lt;-360")</f>
        <v>0</v>
      </c>
      <c r="X16" s="19">
        <f>SUMIFS('Bad Debt Provision'!AB:AB,'Bad Debt Provision'!B:B,'Painel Additive'!B16)</f>
        <v>0</v>
      </c>
      <c r="Y16" s="5"/>
      <c r="Z16" s="5"/>
      <c r="AA16" s="19">
        <f>IFERROR(_xlfn.XLOOKUP(B16,'Limite de crédito'!C:C,'Limite de crédito'!O:O,),0)</f>
        <v>2500000</v>
      </c>
      <c r="AB16" s="19"/>
      <c r="AC16" s="20"/>
      <c r="AD16" s="22"/>
      <c r="AE16" s="22"/>
      <c r="AF16" s="5"/>
      <c r="AG16" s="105">
        <f t="shared" si="2"/>
        <v>2419920.7000000002</v>
      </c>
    </row>
    <row r="17" spans="2:34" s="119" customFormat="1" x14ac:dyDescent="0.25">
      <c r="B17" s="120" t="s">
        <v>53</v>
      </c>
      <c r="C17" s="224">
        <f>IFERROR(_xlfn.XLOOKUP(B17,'Limite de crédito'!C:C,'Limite de crédito'!L:L,),0)</f>
        <v>0</v>
      </c>
      <c r="D17" s="127"/>
      <c r="E17" s="18">
        <f>_xlfn.XLOOKUP(B17,'Limite de crédito'!C:C,'Limite de crédito'!G:G,0)</f>
        <v>0</v>
      </c>
      <c r="F17" s="121">
        <f t="shared" si="3"/>
        <v>-226233.60000000001</v>
      </c>
      <c r="G17" s="121">
        <f t="shared" si="4"/>
        <v>226233.60000000001</v>
      </c>
      <c r="H17" s="122">
        <f>SUMIFS('Data Additive'!$D:$D,'Data Additive'!$P:$P,'Painel Additive'!$B17,'Data Additive'!$Q:$Q,"&gt;0",'Data Additive'!$Q:$Q,"&lt;=30")</f>
        <v>0</v>
      </c>
      <c r="I17" s="122">
        <f>SUMIFS('Data Additive'!$D:$D,'Data Additive'!$P:$P,'Painel Additive'!$B17,'Data Additive'!$Q:$Q,"&gt;30",'Data Additive'!$Q:$Q,"&lt;=60")</f>
        <v>0</v>
      </c>
      <c r="J17" s="122">
        <f>SUMIFS('Data Additive'!$D:$D,'Data Additive'!$P:$P,'Painel Additive'!$B17,'Data Additive'!$Q:$Q,"&gt;60",'Data Additive'!$Q:$Q,"&lt;=90")</f>
        <v>0</v>
      </c>
      <c r="K17" s="122">
        <f>SUMIFS('Data Additive'!$D:$D,'Data Additive'!$P:$P,'Painel Additive'!$B17,'Data Additive'!$Q:$Q,"&gt;90",'Data Additive'!$Q:$Q,"&lt;=120")</f>
        <v>0</v>
      </c>
      <c r="L17" s="122">
        <f>SUMIFS('Data Additive'!$D:$D,'Data Additive'!$P:$P,'Painel Additive'!$B17,'Data Additive'!$Q:$Q,"&gt;120",'Data Additive'!$Q:$Q,"&lt;=180")</f>
        <v>0</v>
      </c>
      <c r="M17" s="122">
        <f>SUMIFS('Data Additive'!$D:$D,'Data Additive'!$P:$P,'Painel Additive'!$B17,'Data Additive'!$Q:$Q,"&gt;180",'Data Additive'!$Q:$Q,"&lt;=360")</f>
        <v>0</v>
      </c>
      <c r="N17" s="123">
        <f>SUMIFS('Data Additive'!$D:$D,'Data Additive'!$P:$P,'Painel Additive'!$B17,'Data Additive'!$Q:$Q,"&gt;360")</f>
        <v>226233.60000000001</v>
      </c>
      <c r="O17" s="122">
        <f>SUMIFS('Data Additive'!$D:$D,'Data Additive'!$P:$P,'Painel Additive'!$B17,'Data Additive'!$Q:$Q,"&gt;0")</f>
        <v>226233.60000000001</v>
      </c>
      <c r="P17" s="122">
        <f t="shared" si="5"/>
        <v>0</v>
      </c>
      <c r="Q17" s="122">
        <f>SUMIFS('Data Additive'!$D:$D,'Data Additive'!$P:$P,'Painel Additive'!$B17,'Data Additive'!$Q:$Q,"&lt;=0",'Data Additive'!$Q:$Q,"&gt;=-30")</f>
        <v>0</v>
      </c>
      <c r="R17" s="122">
        <f>SUMIFS('Data Additive'!$D:$D,'Data Additive'!$P:$P,'Painel Additive'!$B17,'Data Additive'!$Q:$Q,"&lt;=-31",'Data Additive'!$Q:$Q,"&gt;=-60")</f>
        <v>0</v>
      </c>
      <c r="S17" s="122">
        <f>SUMIFS('Data Additive'!$D:$D,'Data Additive'!$P:$P,'Painel Additive'!$B17,'Data Additive'!$Q:$Q,"&lt;=-61",'Data Additive'!$Q:$Q,"&gt;=-90")</f>
        <v>0</v>
      </c>
      <c r="T17" s="122">
        <f>SUMIFS('Data Additive'!$D:$D,'Data Additive'!$P:$P,'Painel Additive'!$B17,'Data Additive'!$Q:$Q,"&lt;=-91",'Data Additive'!$Q:$Q,"&gt;=-120")</f>
        <v>0</v>
      </c>
      <c r="U17" s="122">
        <f>SUMIFS('Data Additive'!$D:$D,'Data Additive'!$P:$P,'Painel Additive'!$B17,'Data Additive'!$Q:$Q,"&lt;=-121",'Data Additive'!$Q:$Q,"&gt;=-180")</f>
        <v>0</v>
      </c>
      <c r="V17" s="122">
        <f>SUMIFS('Data Additive'!$D:$D,'Data Additive'!$P:$P,'Painel Additive'!$B17,'Data Additive'!$Q:$Q,"&lt;=-181",'Data Additive'!$Q:$Q,"&gt;=-360")</f>
        <v>0</v>
      </c>
      <c r="W17" s="123">
        <f>SUMIFS('Data Additive'!$D:$D,'Data Additive'!$P:$P,'Painel Additive'!$B17,'Data Additive'!$Q:$Q,"&lt;-360")</f>
        <v>0</v>
      </c>
      <c r="X17" s="19">
        <f>SUMIFS('Bad Debt Provision'!AB:AB,'Bad Debt Provision'!B:B,'Painel Additive'!B17)</f>
        <v>226233.60000000001</v>
      </c>
      <c r="Y17" s="124"/>
      <c r="Z17" s="124"/>
      <c r="AA17" s="19">
        <f>IFERROR(_xlfn.XLOOKUP(B17,'Limite de crédito'!C:C,'Limite de crédito'!O:O,),0)</f>
        <v>0</v>
      </c>
      <c r="AB17" s="122"/>
      <c r="AC17" s="125"/>
      <c r="AD17" s="126"/>
      <c r="AE17" s="126"/>
      <c r="AF17" s="124"/>
      <c r="AG17" s="105">
        <f t="shared" si="2"/>
        <v>-226233.60000000001</v>
      </c>
      <c r="AH17" s="124"/>
    </row>
    <row r="18" spans="2:34" s="119" customFormat="1" x14ac:dyDescent="0.25">
      <c r="B18" s="120" t="s">
        <v>293</v>
      </c>
      <c r="C18" s="224">
        <f>IFERROR(_xlfn.XLOOKUP(B18,'Limite de crédito'!C:C,'Limite de crédito'!L:L,),0)</f>
        <v>0</v>
      </c>
      <c r="D18" s="127"/>
      <c r="E18" s="18">
        <f>_xlfn.XLOOKUP(B18,'Limite de crédito'!C:C,'Limite de crédito'!G:G,0)</f>
        <v>0</v>
      </c>
      <c r="F18" s="121">
        <f t="shared" si="3"/>
        <v>-213750</v>
      </c>
      <c r="G18" s="121">
        <f t="shared" si="4"/>
        <v>213750</v>
      </c>
      <c r="H18" s="122">
        <f>SUMIFS('Data Additive'!$D:$D,'Data Additive'!$P:$P,'Painel Additive'!$B18,'Data Additive'!$Q:$Q,"&gt;0",'Data Additive'!$Q:$Q,"&lt;=30")</f>
        <v>0</v>
      </c>
      <c r="I18" s="122">
        <f>SUMIFS('Data Additive'!$D:$D,'Data Additive'!$P:$P,'Painel Additive'!$B18,'Data Additive'!$Q:$Q,"&gt;30",'Data Additive'!$Q:$Q,"&lt;=60")</f>
        <v>0</v>
      </c>
      <c r="J18" s="122">
        <f>SUMIFS('Data Additive'!$D:$D,'Data Additive'!$P:$P,'Painel Additive'!$B18,'Data Additive'!$Q:$Q,"&gt;60",'Data Additive'!$Q:$Q,"&lt;=90")</f>
        <v>0</v>
      </c>
      <c r="K18" s="122">
        <f>SUMIFS('Data Additive'!$D:$D,'Data Additive'!$P:$P,'Painel Additive'!$B18,'Data Additive'!$Q:$Q,"&gt;90",'Data Additive'!$Q:$Q,"&lt;=120")</f>
        <v>0</v>
      </c>
      <c r="L18" s="122">
        <f>SUMIFS('Data Additive'!$D:$D,'Data Additive'!$P:$P,'Painel Additive'!$B18,'Data Additive'!$Q:$Q,"&gt;120",'Data Additive'!$Q:$Q,"&lt;=180")</f>
        <v>0</v>
      </c>
      <c r="M18" s="122">
        <f>SUMIFS('Data Additive'!$D:$D,'Data Additive'!$P:$P,'Painel Additive'!$B18,'Data Additive'!$Q:$Q,"&gt;180",'Data Additive'!$Q:$Q,"&lt;=360")</f>
        <v>0</v>
      </c>
      <c r="N18" s="123">
        <f>SUMIFS('Data Additive'!$D:$D,'Data Additive'!$P:$P,'Painel Additive'!$B18,'Data Additive'!$Q:$Q,"&gt;360")</f>
        <v>213750</v>
      </c>
      <c r="O18" s="122">
        <f>SUMIFS('Data Additive'!$D:$D,'Data Additive'!$P:$P,'Painel Additive'!$B18,'Data Additive'!$Q:$Q,"&gt;0")</f>
        <v>213750</v>
      </c>
      <c r="P18" s="122">
        <f t="shared" si="5"/>
        <v>0</v>
      </c>
      <c r="Q18" s="122">
        <f>SUMIFS('Data Additive'!$D:$D,'Data Additive'!$P:$P,'Painel Additive'!$B18,'Data Additive'!$Q:$Q,"&lt;=0",'Data Additive'!$Q:$Q,"&gt;=-30")</f>
        <v>0</v>
      </c>
      <c r="R18" s="122">
        <f>SUMIFS('Data Additive'!$D:$D,'Data Additive'!$P:$P,'Painel Additive'!$B18,'Data Additive'!$Q:$Q,"&lt;=-31",'Data Additive'!$Q:$Q,"&gt;=-60")</f>
        <v>0</v>
      </c>
      <c r="S18" s="122">
        <f>SUMIFS('Data Additive'!$D:$D,'Data Additive'!$P:$P,'Painel Additive'!$B18,'Data Additive'!$Q:$Q,"&lt;=-61",'Data Additive'!$Q:$Q,"&gt;=-90")</f>
        <v>0</v>
      </c>
      <c r="T18" s="122">
        <f>SUMIFS('Data Additive'!$D:$D,'Data Additive'!$P:$P,'Painel Additive'!$B18,'Data Additive'!$Q:$Q,"&lt;=-91",'Data Additive'!$Q:$Q,"&gt;=-120")</f>
        <v>0</v>
      </c>
      <c r="U18" s="122">
        <f>SUMIFS('Data Additive'!$D:$D,'Data Additive'!$P:$P,'Painel Additive'!$B18,'Data Additive'!$Q:$Q,"&lt;=-121",'Data Additive'!$Q:$Q,"&gt;=-180")</f>
        <v>0</v>
      </c>
      <c r="V18" s="122">
        <f>SUMIFS('Data Additive'!$D:$D,'Data Additive'!$P:$P,'Painel Additive'!$B18,'Data Additive'!$Q:$Q,"&lt;=-181",'Data Additive'!$Q:$Q,"&gt;=-360")</f>
        <v>0</v>
      </c>
      <c r="W18" s="123">
        <f>SUMIFS('Data Additive'!$D:$D,'Data Additive'!$P:$P,'Painel Additive'!$B18,'Data Additive'!$Q:$Q,"&lt;-360")</f>
        <v>0</v>
      </c>
      <c r="X18" s="19">
        <f>SUMIFS('Bad Debt Provision'!AB:AB,'Bad Debt Provision'!B:B,'Painel Additive'!B18)</f>
        <v>213750</v>
      </c>
      <c r="Y18" s="124"/>
      <c r="Z18" s="124"/>
      <c r="AA18" s="19">
        <f>IFERROR(_xlfn.XLOOKUP(B18,'Limite de crédito'!C:C,'Limite de crédito'!O:O,),0)</f>
        <v>0</v>
      </c>
      <c r="AB18" s="122"/>
      <c r="AC18" s="125"/>
      <c r="AD18" s="126"/>
      <c r="AE18" s="126"/>
      <c r="AF18" s="124"/>
      <c r="AG18" s="105">
        <f t="shared" si="2"/>
        <v>-213750</v>
      </c>
    </row>
    <row r="19" spans="2:34" x14ac:dyDescent="0.25">
      <c r="B19" s="41" t="s">
        <v>420</v>
      </c>
      <c r="C19" s="224" t="str">
        <f>IFERROR(_xlfn.XLOOKUP(B19,'Limite de crédito'!C:C,'Limite de crédito'!L:L,),0)</f>
        <v>B</v>
      </c>
      <c r="D19" s="93"/>
      <c r="E19" s="18">
        <f>_xlfn.XLOOKUP(B19,'Limite de crédito'!C:C,'Limite de crédito'!G:G,0)</f>
        <v>1500000</v>
      </c>
      <c r="F19" s="18">
        <f t="shared" si="3"/>
        <v>1500000</v>
      </c>
      <c r="G19" s="18">
        <f t="shared" si="4"/>
        <v>0</v>
      </c>
      <c r="H19" s="19">
        <f>SUMIFS('Data Additive'!$D:$D,'Data Additive'!$P:$P,'Painel Additive'!$B19,'Data Additive'!$Q:$Q,"&gt;0",'Data Additive'!$Q:$Q,"&lt;=30")</f>
        <v>0</v>
      </c>
      <c r="I19" s="19">
        <f>SUMIFS('Data Additive'!$D:$D,'Data Additive'!$P:$P,'Painel Additive'!$B19,'Data Additive'!$Q:$Q,"&gt;30",'Data Additive'!$Q:$Q,"&lt;=60")</f>
        <v>0</v>
      </c>
      <c r="J19" s="19">
        <f>SUMIFS('Data Additive'!$D:$D,'Data Additive'!$P:$P,'Painel Additive'!$B19,'Data Additive'!$Q:$Q,"&gt;60",'Data Additive'!$Q:$Q,"&lt;=90")</f>
        <v>0</v>
      </c>
      <c r="K19" s="19">
        <f>SUMIFS('Data Additive'!$D:$D,'Data Additive'!$P:$P,'Painel Additive'!$B19,'Data Additive'!$Q:$Q,"&gt;90",'Data Additive'!$Q:$Q,"&lt;=120")</f>
        <v>0</v>
      </c>
      <c r="L19" s="19">
        <f>SUMIFS('Data Additive'!$D:$D,'Data Additive'!$P:$P,'Painel Additive'!$B19,'Data Additive'!$Q:$Q,"&gt;120",'Data Additive'!$Q:$Q,"&lt;=180")</f>
        <v>0</v>
      </c>
      <c r="M19" s="19">
        <f>SUMIFS('Data Additive'!$D:$D,'Data Additive'!$P:$P,'Painel Additive'!$B19,'Data Additive'!$Q:$Q,"&gt;180",'Data Additive'!$Q:$Q,"&lt;=360")</f>
        <v>0</v>
      </c>
      <c r="N19" s="23">
        <f>SUMIFS('Data Additive'!$D:$D,'Data Additive'!$P:$P,'Painel Additive'!$B19,'Data Additive'!$Q:$Q,"&gt;360")</f>
        <v>0</v>
      </c>
      <c r="O19" s="122">
        <f>SUMIFS('Data Additive'!$D:$D,'Data Additive'!$P:$P,'Painel Additive'!$B19,'Data Additive'!$Q:$Q,"&gt;0")</f>
        <v>0</v>
      </c>
      <c r="P19" s="19">
        <f t="shared" si="5"/>
        <v>0</v>
      </c>
      <c r="Q19" s="19">
        <f>SUMIFS('Data Additive'!$D:$D,'Data Additive'!$P:$P,'Painel Additive'!$B19,'Data Additive'!$Q:$Q,"&lt;=0",'Data Additive'!$Q:$Q,"&gt;=-30")</f>
        <v>0</v>
      </c>
      <c r="R19" s="19">
        <f>SUMIFS('Data Additive'!$D:$D,'Data Additive'!$P:$P,'Painel Additive'!$B19,'Data Additive'!$Q:$Q,"&lt;=-31",'Data Additive'!$Q:$Q,"&gt;=-60")</f>
        <v>0</v>
      </c>
      <c r="S19" s="19">
        <f>SUMIFS('Data Additive'!$D:$D,'Data Additive'!$P:$P,'Painel Additive'!$B19,'Data Additive'!$Q:$Q,"&lt;=-61",'Data Additive'!$Q:$Q,"&gt;=-90")</f>
        <v>0</v>
      </c>
      <c r="T19" s="19">
        <f>SUMIFS('Data Additive'!$D:$D,'Data Additive'!$P:$P,'Painel Additive'!$B19,'Data Additive'!$Q:$Q,"&lt;=-91",'Data Additive'!$Q:$Q,"&gt;=-120")</f>
        <v>0</v>
      </c>
      <c r="U19" s="19">
        <f>SUMIFS('Data Additive'!$D:$D,'Data Additive'!$P:$P,'Painel Additive'!$B19,'Data Additive'!$Q:$Q,"&lt;=-121",'Data Additive'!$Q:$Q,"&gt;=-180")</f>
        <v>0</v>
      </c>
      <c r="V19" s="19">
        <f>SUMIFS('Data Additive'!$D:$D,'Data Additive'!$P:$P,'Painel Additive'!$B19,'Data Additive'!$Q:$Q,"&lt;=-181",'Data Additive'!$Q:$Q,"&gt;=-360")</f>
        <v>0</v>
      </c>
      <c r="W19" s="23">
        <f>SUMIFS('Data Additive'!$D:$D,'Data Additive'!$P:$P,'Painel Additive'!$B19,'Data Additive'!$Q:$Q,"&lt;-360")</f>
        <v>0</v>
      </c>
      <c r="X19" s="19">
        <f>SUMIFS('Bad Debt Provision'!AB:AB,'Bad Debt Provision'!B:B,'Painel Additive'!B19)</f>
        <v>0</v>
      </c>
      <c r="Y19" s="5"/>
      <c r="Z19" s="5"/>
      <c r="AA19" s="19">
        <f>IFERROR(_xlfn.XLOOKUP(B19,'Limite de crédito'!C:C,'Limite de crédito'!O:O,),0)</f>
        <v>750000</v>
      </c>
      <c r="AB19" s="19"/>
      <c r="AC19" s="20"/>
      <c r="AD19" s="22"/>
      <c r="AE19" s="22"/>
      <c r="AF19" s="5"/>
      <c r="AG19" s="105">
        <f t="shared" si="2"/>
        <v>750000</v>
      </c>
    </row>
    <row r="20" spans="2:34" x14ac:dyDescent="0.25">
      <c r="B20" s="41" t="s">
        <v>424</v>
      </c>
      <c r="C20" s="224" t="str">
        <f>IFERROR(_xlfn.XLOOKUP(B20,'Limite de crédito'!C:C,'Limite de crédito'!L:L,),0)</f>
        <v>B</v>
      </c>
      <c r="D20" s="93"/>
      <c r="E20" s="18">
        <f>_xlfn.XLOOKUP(B20,'Limite de crédito'!C:C,'Limite de crédito'!G:G,0)</f>
        <v>1500000</v>
      </c>
      <c r="F20" s="18">
        <f t="shared" si="3"/>
        <v>1437433.6</v>
      </c>
      <c r="G20" s="18">
        <f t="shared" si="4"/>
        <v>62566.400000000001</v>
      </c>
      <c r="H20" s="19">
        <f>SUMIFS('Data Additive'!$D:$D,'Data Additive'!$P:$P,'Painel Additive'!$B20,'Data Additive'!$Q:$Q,"&gt;0",'Data Additive'!$Q:$Q,"&lt;=30")</f>
        <v>0</v>
      </c>
      <c r="I20" s="19">
        <f>SUMIFS('Data Additive'!$D:$D,'Data Additive'!$P:$P,'Painel Additive'!$B20,'Data Additive'!$Q:$Q,"&gt;30",'Data Additive'!$Q:$Q,"&lt;=60")</f>
        <v>0</v>
      </c>
      <c r="J20" s="19">
        <f>SUMIFS('Data Additive'!$D:$D,'Data Additive'!$P:$P,'Painel Additive'!$B20,'Data Additive'!$Q:$Q,"&gt;60",'Data Additive'!$Q:$Q,"&lt;=90")</f>
        <v>0</v>
      </c>
      <c r="K20" s="19">
        <f>SUMIFS('Data Additive'!$D:$D,'Data Additive'!$P:$P,'Painel Additive'!$B20,'Data Additive'!$Q:$Q,"&gt;90",'Data Additive'!$Q:$Q,"&lt;=120")</f>
        <v>0</v>
      </c>
      <c r="L20" s="19">
        <f>SUMIFS('Data Additive'!$D:$D,'Data Additive'!$P:$P,'Painel Additive'!$B20,'Data Additive'!$Q:$Q,"&gt;120",'Data Additive'!$Q:$Q,"&lt;=180")</f>
        <v>0</v>
      </c>
      <c r="M20" s="19">
        <f>SUMIFS('Data Additive'!$D:$D,'Data Additive'!$P:$P,'Painel Additive'!$B20,'Data Additive'!$Q:$Q,"&gt;180",'Data Additive'!$Q:$Q,"&lt;=360")</f>
        <v>0</v>
      </c>
      <c r="N20" s="23">
        <f>SUMIFS('Data Additive'!$D:$D,'Data Additive'!$P:$P,'Painel Additive'!$B20,'Data Additive'!$Q:$Q,"&gt;360")</f>
        <v>0</v>
      </c>
      <c r="O20" s="122">
        <f>SUMIFS('Data Additive'!$D:$D,'Data Additive'!$P:$P,'Painel Additive'!$B20,'Data Additive'!$Q:$Q,"&gt;0")</f>
        <v>0</v>
      </c>
      <c r="P20" s="19">
        <f t="shared" si="5"/>
        <v>62566.400000000001</v>
      </c>
      <c r="Q20" s="19">
        <f>SUMIFS('Data Additive'!$D:$D,'Data Additive'!$P:$P,'Painel Additive'!$B20,'Data Additive'!$Q:$Q,"&lt;=0",'Data Additive'!$Q:$Q,"&gt;=-30")</f>
        <v>0</v>
      </c>
      <c r="R20" s="19">
        <f>SUMIFS('Data Additive'!$D:$D,'Data Additive'!$P:$P,'Painel Additive'!$B20,'Data Additive'!$Q:$Q,"&lt;=-31",'Data Additive'!$Q:$Q,"&gt;=-60")</f>
        <v>62566.400000000001</v>
      </c>
      <c r="S20" s="19">
        <f>SUMIFS('Data Additive'!$D:$D,'Data Additive'!$P:$P,'Painel Additive'!$B20,'Data Additive'!$Q:$Q,"&lt;=-61",'Data Additive'!$Q:$Q,"&gt;=-90")</f>
        <v>0</v>
      </c>
      <c r="T20" s="19">
        <f>SUMIFS('Data Additive'!$D:$D,'Data Additive'!$P:$P,'Painel Additive'!$B20,'Data Additive'!$Q:$Q,"&lt;=-91",'Data Additive'!$Q:$Q,"&gt;=-120")</f>
        <v>0</v>
      </c>
      <c r="U20" s="19">
        <f>SUMIFS('Data Additive'!$D:$D,'Data Additive'!$P:$P,'Painel Additive'!$B20,'Data Additive'!$Q:$Q,"&lt;=-121",'Data Additive'!$Q:$Q,"&gt;=-180")</f>
        <v>0</v>
      </c>
      <c r="V20" s="19">
        <f>SUMIFS('Data Additive'!$D:$D,'Data Additive'!$P:$P,'Painel Additive'!$B20,'Data Additive'!$Q:$Q,"&lt;=-181",'Data Additive'!$Q:$Q,"&gt;=-360")</f>
        <v>0</v>
      </c>
      <c r="W20" s="23">
        <f>SUMIFS('Data Additive'!$D:$D,'Data Additive'!$P:$P,'Painel Additive'!$B20,'Data Additive'!$Q:$Q,"&lt;-360")</f>
        <v>0</v>
      </c>
      <c r="X20" s="19">
        <f>SUMIFS('Bad Debt Provision'!AB:AB,'Bad Debt Provision'!B:B,'Painel Additive'!B20)</f>
        <v>0</v>
      </c>
      <c r="Y20" s="5"/>
      <c r="Z20" s="5"/>
      <c r="AA20" s="19">
        <f>IFERROR(_xlfn.XLOOKUP(B20,'Limite de crédito'!C:C,'Limite de crédito'!O:O,),0)</f>
        <v>1500000</v>
      </c>
      <c r="AB20" s="19"/>
      <c r="AC20" s="20"/>
      <c r="AD20" s="22"/>
      <c r="AE20" s="22"/>
      <c r="AF20" s="5"/>
      <c r="AG20" s="105">
        <f t="shared" si="2"/>
        <v>1437433.6</v>
      </c>
    </row>
    <row r="21" spans="2:34" x14ac:dyDescent="0.25">
      <c r="B21" s="17" t="s">
        <v>89</v>
      </c>
      <c r="C21" s="224" t="str">
        <f>IFERROR(_xlfn.XLOOKUP(B21,'Limite de crédito'!C:C,'Limite de crédito'!L:L,),0)</f>
        <v>B</v>
      </c>
      <c r="D21" s="93"/>
      <c r="E21" s="18">
        <f>_xlfn.XLOOKUP(B21,'Limite de crédito'!C:C,'Limite de crédito'!G:G,0)</f>
        <v>1500000</v>
      </c>
      <c r="F21" s="18">
        <f t="shared" si="3"/>
        <v>1500000</v>
      </c>
      <c r="G21" s="18">
        <f t="shared" si="4"/>
        <v>0</v>
      </c>
      <c r="H21" s="19">
        <f>SUMIFS('Data Additive'!$D:$D,'Data Additive'!$P:$P,'Painel Additive'!$B21,'Data Additive'!$Q:$Q,"&gt;0",'Data Additive'!$Q:$Q,"&lt;=30")</f>
        <v>0</v>
      </c>
      <c r="I21" s="19">
        <f>SUMIFS('Data Additive'!$D:$D,'Data Additive'!$P:$P,'Painel Additive'!$B21,'Data Additive'!$Q:$Q,"&gt;30",'Data Additive'!$Q:$Q,"&lt;=60")</f>
        <v>0</v>
      </c>
      <c r="J21" s="19">
        <f>SUMIFS('Data Additive'!$D:$D,'Data Additive'!$P:$P,'Painel Additive'!$B21,'Data Additive'!$Q:$Q,"&gt;60",'Data Additive'!$Q:$Q,"&lt;=90")</f>
        <v>0</v>
      </c>
      <c r="K21" s="19">
        <f>SUMIFS('Data Additive'!$D:$D,'Data Additive'!$P:$P,'Painel Additive'!$B21,'Data Additive'!$Q:$Q,"&gt;90",'Data Additive'!$Q:$Q,"&lt;=120")</f>
        <v>0</v>
      </c>
      <c r="L21" s="19">
        <f>SUMIFS('Data Additive'!$D:$D,'Data Additive'!$P:$P,'Painel Additive'!$B21,'Data Additive'!$Q:$Q,"&gt;120",'Data Additive'!$Q:$Q,"&lt;=180")</f>
        <v>0</v>
      </c>
      <c r="M21" s="19">
        <f>SUMIFS('Data Additive'!$D:$D,'Data Additive'!$P:$P,'Painel Additive'!$B21,'Data Additive'!$Q:$Q,"&gt;180",'Data Additive'!$Q:$Q,"&lt;=360")</f>
        <v>0</v>
      </c>
      <c r="N21" s="23">
        <f>SUMIFS('Data Additive'!$D:$D,'Data Additive'!$P:$P,'Painel Additive'!$B21,'Data Additive'!$Q:$Q,"&gt;360")</f>
        <v>0</v>
      </c>
      <c r="O21" s="122">
        <f>SUMIFS('Data Additive'!$D:$D,'Data Additive'!$P:$P,'Painel Additive'!$B21,'Data Additive'!$Q:$Q,"&gt;0")</f>
        <v>0</v>
      </c>
      <c r="P21" s="19">
        <f t="shared" si="5"/>
        <v>0</v>
      </c>
      <c r="Q21" s="19">
        <f>SUMIFS('Data Additive'!$D:$D,'Data Additive'!$P:$P,'Painel Additive'!$B21,'Data Additive'!$Q:$Q,"&lt;=0",'Data Additive'!$Q:$Q,"&gt;=-30")</f>
        <v>0</v>
      </c>
      <c r="R21" s="19">
        <f>SUMIFS('Data Additive'!$D:$D,'Data Additive'!$P:$P,'Painel Additive'!$B21,'Data Additive'!$Q:$Q,"&lt;=-31",'Data Additive'!$Q:$Q,"&gt;=-60")</f>
        <v>0</v>
      </c>
      <c r="S21" s="19">
        <f>SUMIFS('Data Additive'!$D:$D,'Data Additive'!$P:$P,'Painel Additive'!$B21,'Data Additive'!$Q:$Q,"&lt;=-61",'Data Additive'!$Q:$Q,"&gt;=-90")</f>
        <v>0</v>
      </c>
      <c r="T21" s="19">
        <f>SUMIFS('Data Additive'!$D:$D,'Data Additive'!$P:$P,'Painel Additive'!$B21,'Data Additive'!$Q:$Q,"&lt;=-91",'Data Additive'!$Q:$Q,"&gt;=-120")</f>
        <v>0</v>
      </c>
      <c r="U21" s="19">
        <f>SUMIFS('Data Additive'!$D:$D,'Data Additive'!$P:$P,'Painel Additive'!$B21,'Data Additive'!$Q:$Q,"&lt;=-121",'Data Additive'!$Q:$Q,"&gt;=-180")</f>
        <v>0</v>
      </c>
      <c r="V21" s="19">
        <f>SUMIFS('Data Additive'!$D:$D,'Data Additive'!$P:$P,'Painel Additive'!$B21,'Data Additive'!$Q:$Q,"&lt;=-181",'Data Additive'!$Q:$Q,"&gt;=-360")</f>
        <v>0</v>
      </c>
      <c r="W21" s="23">
        <f>SUMIFS('Data Additive'!$D:$D,'Data Additive'!$P:$P,'Painel Additive'!$B21,'Data Additive'!$Q:$Q,"&lt;-360")</f>
        <v>0</v>
      </c>
      <c r="X21" s="19">
        <f>SUMIFS('Bad Debt Provision'!AB:AB,'Bad Debt Provision'!B:B,'Painel Additive'!B21)</f>
        <v>0</v>
      </c>
      <c r="Y21" s="5"/>
      <c r="Z21" s="5"/>
      <c r="AA21" s="19">
        <f>IFERROR(_xlfn.XLOOKUP(B21,'Limite de crédito'!C:C,'Limite de crédito'!O:O,),0)</f>
        <v>1500000</v>
      </c>
      <c r="AB21" s="19"/>
      <c r="AC21" s="20"/>
      <c r="AD21" s="22"/>
      <c r="AE21" s="22"/>
      <c r="AF21" s="5"/>
      <c r="AG21" s="105">
        <f t="shared" si="2"/>
        <v>1500000</v>
      </c>
      <c r="AH21" s="5"/>
    </row>
    <row r="22" spans="2:34" x14ac:dyDescent="0.25">
      <c r="B22" s="17" t="s">
        <v>167</v>
      </c>
      <c r="C22" s="224" t="str">
        <f>IFERROR(_xlfn.XLOOKUP(B22,'Limite de crédito'!C:C,'Limite de crédito'!L:L,),0)</f>
        <v>B</v>
      </c>
      <c r="D22" s="93"/>
      <c r="E22" s="18">
        <f>_xlfn.XLOOKUP(B22,'Limite de crédito'!C:C,'Limite de crédito'!G:G,0)</f>
        <v>1500000</v>
      </c>
      <c r="F22" s="18">
        <f t="shared" si="3"/>
        <v>1500000</v>
      </c>
      <c r="G22" s="18">
        <f t="shared" si="4"/>
        <v>0</v>
      </c>
      <c r="H22" s="19">
        <f>SUMIFS('Data Additive'!$D:$D,'Data Additive'!$P:$P,'Painel Additive'!$B22,'Data Additive'!$Q:$Q,"&gt;0",'Data Additive'!$Q:$Q,"&lt;=30")</f>
        <v>0</v>
      </c>
      <c r="I22" s="19">
        <f>SUMIFS('Data Additive'!$D:$D,'Data Additive'!$P:$P,'Painel Additive'!$B22,'Data Additive'!$Q:$Q,"&gt;30",'Data Additive'!$Q:$Q,"&lt;=60")</f>
        <v>0</v>
      </c>
      <c r="J22" s="19">
        <f>SUMIFS('Data Additive'!$D:$D,'Data Additive'!$P:$P,'Painel Additive'!$B22,'Data Additive'!$Q:$Q,"&gt;60",'Data Additive'!$Q:$Q,"&lt;=90")</f>
        <v>0</v>
      </c>
      <c r="K22" s="19">
        <f>SUMIFS('Data Additive'!$D:$D,'Data Additive'!$P:$P,'Painel Additive'!$B22,'Data Additive'!$Q:$Q,"&gt;90",'Data Additive'!$Q:$Q,"&lt;=120")</f>
        <v>0</v>
      </c>
      <c r="L22" s="19">
        <f>SUMIFS('Data Additive'!$D:$D,'Data Additive'!$P:$P,'Painel Additive'!$B22,'Data Additive'!$Q:$Q,"&gt;120",'Data Additive'!$Q:$Q,"&lt;=180")</f>
        <v>0</v>
      </c>
      <c r="M22" s="19">
        <f>SUMIFS('Data Additive'!$D:$D,'Data Additive'!$P:$P,'Painel Additive'!$B22,'Data Additive'!$Q:$Q,"&gt;180",'Data Additive'!$Q:$Q,"&lt;=360")</f>
        <v>0</v>
      </c>
      <c r="N22" s="23">
        <f>SUMIFS('Data Additive'!$D:$D,'Data Additive'!$P:$P,'Painel Additive'!$B22,'Data Additive'!$Q:$Q,"&gt;360")</f>
        <v>0</v>
      </c>
      <c r="O22" s="122">
        <f>SUMIFS('Data Additive'!$D:$D,'Data Additive'!$P:$P,'Painel Additive'!$B22,'Data Additive'!$Q:$Q,"&gt;0")</f>
        <v>0</v>
      </c>
      <c r="P22" s="19">
        <f t="shared" si="5"/>
        <v>0</v>
      </c>
      <c r="Q22" s="19">
        <f>SUMIFS('Data Additive'!$D:$D,'Data Additive'!$P:$P,'Painel Additive'!$B22,'Data Additive'!$Q:$Q,"&lt;=0",'Data Additive'!$Q:$Q,"&gt;=-30")</f>
        <v>0</v>
      </c>
      <c r="R22" s="19">
        <f>SUMIFS('Data Additive'!$D:$D,'Data Additive'!$P:$P,'Painel Additive'!$B22,'Data Additive'!$Q:$Q,"&lt;=-31",'Data Additive'!$Q:$Q,"&gt;=-60")</f>
        <v>0</v>
      </c>
      <c r="S22" s="19">
        <f>SUMIFS('Data Additive'!$D:$D,'Data Additive'!$P:$P,'Painel Additive'!$B22,'Data Additive'!$Q:$Q,"&lt;=-61",'Data Additive'!$Q:$Q,"&gt;=-90")</f>
        <v>0</v>
      </c>
      <c r="T22" s="19">
        <f>SUMIFS('Data Additive'!$D:$D,'Data Additive'!$P:$P,'Painel Additive'!$B22,'Data Additive'!$Q:$Q,"&lt;=-91",'Data Additive'!$Q:$Q,"&gt;=-120")</f>
        <v>0</v>
      </c>
      <c r="U22" s="19">
        <f>SUMIFS('Data Additive'!$D:$D,'Data Additive'!$P:$P,'Painel Additive'!$B22,'Data Additive'!$Q:$Q,"&lt;=-121",'Data Additive'!$Q:$Q,"&gt;=-180")</f>
        <v>0</v>
      </c>
      <c r="V22" s="19">
        <f>SUMIFS('Data Additive'!$D:$D,'Data Additive'!$P:$P,'Painel Additive'!$B22,'Data Additive'!$Q:$Q,"&lt;=-181",'Data Additive'!$Q:$Q,"&gt;=-360")</f>
        <v>0</v>
      </c>
      <c r="W22" s="23">
        <f>SUMIFS('Data Additive'!$D:$D,'Data Additive'!$P:$P,'Painel Additive'!$B22,'Data Additive'!$Q:$Q,"&lt;-360")</f>
        <v>0</v>
      </c>
      <c r="X22" s="19">
        <f>SUMIFS('Bad Debt Provision'!AB:AB,'Bad Debt Provision'!B:B,'Painel Additive'!B22)</f>
        <v>0</v>
      </c>
      <c r="Y22" s="5"/>
      <c r="Z22" s="5"/>
      <c r="AA22" s="19">
        <f>IFERROR(_xlfn.XLOOKUP(B22,'Limite de crédito'!C:C,'Limite de crédito'!O:O,),0)</f>
        <v>1500000</v>
      </c>
      <c r="AB22" s="19"/>
      <c r="AC22" s="20"/>
      <c r="AD22" s="22"/>
      <c r="AE22" s="22"/>
      <c r="AF22" s="5"/>
      <c r="AG22" s="105">
        <f t="shared" si="2"/>
        <v>1500000</v>
      </c>
      <c r="AH22" s="5"/>
    </row>
    <row r="23" spans="2:34" s="119" customFormat="1" x14ac:dyDescent="0.25">
      <c r="B23" s="120" t="s">
        <v>155</v>
      </c>
      <c r="C23" s="224">
        <f>IFERROR(_xlfn.XLOOKUP(B23,'Limite de crédito'!C:C,'Limite de crédito'!L:L,),0)</f>
        <v>0</v>
      </c>
      <c r="D23" s="127"/>
      <c r="E23" s="18">
        <f>_xlfn.XLOOKUP(B23,'Limite de crédito'!C:C,'Limite de crédito'!G:G,0)</f>
        <v>0</v>
      </c>
      <c r="F23" s="121">
        <f t="shared" si="3"/>
        <v>0</v>
      </c>
      <c r="G23" s="121">
        <f t="shared" si="4"/>
        <v>0</v>
      </c>
      <c r="H23" s="122">
        <f>SUMIFS('Data Additive'!$D:$D,'Data Additive'!$P:$P,'Painel Additive'!$B23,'Data Additive'!$Q:$Q,"&gt;0",'Data Additive'!$Q:$Q,"&lt;=30")</f>
        <v>0</v>
      </c>
      <c r="I23" s="122">
        <f>SUMIFS('Data Additive'!$D:$D,'Data Additive'!$P:$P,'Painel Additive'!$B23,'Data Additive'!$Q:$Q,"&gt;30",'Data Additive'!$Q:$Q,"&lt;=60")</f>
        <v>0</v>
      </c>
      <c r="J23" s="122">
        <f>SUMIFS('Data Additive'!$D:$D,'Data Additive'!$P:$P,'Painel Additive'!$B23,'Data Additive'!$Q:$Q,"&gt;60",'Data Additive'!$Q:$Q,"&lt;=90")</f>
        <v>0</v>
      </c>
      <c r="K23" s="122">
        <f>SUMIFS('Data Additive'!$D:$D,'Data Additive'!$P:$P,'Painel Additive'!$B23,'Data Additive'!$Q:$Q,"&gt;90",'Data Additive'!$Q:$Q,"&lt;=120")</f>
        <v>0</v>
      </c>
      <c r="L23" s="122">
        <f>SUMIFS('Data Additive'!$D:$D,'Data Additive'!$P:$P,'Painel Additive'!$B23,'Data Additive'!$Q:$Q,"&gt;120",'Data Additive'!$Q:$Q,"&lt;=180")</f>
        <v>0</v>
      </c>
      <c r="M23" s="122">
        <f>SUMIFS('Data Additive'!$D:$D,'Data Additive'!$P:$P,'Painel Additive'!$B23,'Data Additive'!$Q:$Q,"&gt;180",'Data Additive'!$Q:$Q,"&lt;=360")</f>
        <v>0</v>
      </c>
      <c r="N23" s="123">
        <f>SUMIFS('Data Additive'!$D:$D,'Data Additive'!$P:$P,'Painel Additive'!$B23,'Data Additive'!$Q:$Q,"&gt;360")</f>
        <v>0</v>
      </c>
      <c r="O23" s="122">
        <f>SUMIFS('Data Additive'!$D:$D,'Data Additive'!$P:$P,'Painel Additive'!$B23,'Data Additive'!$Q:$Q,"&gt;0")</f>
        <v>0</v>
      </c>
      <c r="P23" s="122">
        <f t="shared" si="5"/>
        <v>0</v>
      </c>
      <c r="Q23" s="122">
        <f>SUMIFS('Data Additive'!$D:$D,'Data Additive'!$P:$P,'Painel Additive'!$B23,'Data Additive'!$Q:$Q,"&lt;=0",'Data Additive'!$Q:$Q,"&gt;=-30")</f>
        <v>0</v>
      </c>
      <c r="R23" s="122">
        <f>SUMIFS('Data Additive'!$D:$D,'Data Additive'!$P:$P,'Painel Additive'!$B23,'Data Additive'!$Q:$Q,"&lt;=-31",'Data Additive'!$Q:$Q,"&gt;=-60")</f>
        <v>0</v>
      </c>
      <c r="S23" s="122">
        <f>SUMIFS('Data Additive'!$D:$D,'Data Additive'!$P:$P,'Painel Additive'!$B23,'Data Additive'!$Q:$Q,"&lt;=-61",'Data Additive'!$Q:$Q,"&gt;=-90")</f>
        <v>0</v>
      </c>
      <c r="T23" s="122">
        <f>SUMIFS('Data Additive'!$D:$D,'Data Additive'!$P:$P,'Painel Additive'!$B23,'Data Additive'!$Q:$Q,"&lt;=-91",'Data Additive'!$Q:$Q,"&gt;=-120")</f>
        <v>0</v>
      </c>
      <c r="U23" s="122">
        <f>SUMIFS('Data Additive'!$D:$D,'Data Additive'!$P:$P,'Painel Additive'!$B23,'Data Additive'!$Q:$Q,"&lt;=-121",'Data Additive'!$Q:$Q,"&gt;=-180")</f>
        <v>0</v>
      </c>
      <c r="V23" s="122">
        <f>SUMIFS('Data Additive'!$D:$D,'Data Additive'!$P:$P,'Painel Additive'!$B23,'Data Additive'!$Q:$Q,"&lt;=-181",'Data Additive'!$Q:$Q,"&gt;=-360")</f>
        <v>0</v>
      </c>
      <c r="W23" s="123">
        <f>SUMIFS('Data Additive'!$D:$D,'Data Additive'!$P:$P,'Painel Additive'!$B23,'Data Additive'!$Q:$Q,"&lt;-360")</f>
        <v>0</v>
      </c>
      <c r="X23" s="19">
        <f>SUMIFS('Bad Debt Provision'!AB:AB,'Bad Debt Provision'!B:B,'Painel Additive'!B23)</f>
        <v>0</v>
      </c>
      <c r="Y23" s="124"/>
      <c r="Z23" s="124"/>
      <c r="AA23" s="19">
        <f>IFERROR(_xlfn.XLOOKUP(B23,'Limite de crédito'!C:C,'Limite de crédito'!O:O,),0)</f>
        <v>0</v>
      </c>
      <c r="AB23" s="122"/>
      <c r="AC23" s="125"/>
      <c r="AD23" s="126"/>
      <c r="AE23" s="126"/>
      <c r="AF23" s="124"/>
      <c r="AG23" s="105">
        <f t="shared" si="2"/>
        <v>0</v>
      </c>
      <c r="AH23" s="124"/>
    </row>
    <row r="24" spans="2:34" ht="13.95" customHeight="1" x14ac:dyDescent="0.25">
      <c r="B24" s="17" t="s">
        <v>289</v>
      </c>
      <c r="C24" s="224" t="str">
        <f>IFERROR(_xlfn.XLOOKUP(B24,'Limite de crédito'!C:C,'Limite de crédito'!L:L,),0)</f>
        <v>B</v>
      </c>
      <c r="D24" s="93"/>
      <c r="E24" s="18">
        <f>_xlfn.XLOOKUP(B24,'Limite de crédito'!C:C,'Limite de crédito'!G:G,0)</f>
        <v>500000</v>
      </c>
      <c r="F24" s="18">
        <f t="shared" si="3"/>
        <v>500000</v>
      </c>
      <c r="G24" s="18">
        <f t="shared" si="4"/>
        <v>0</v>
      </c>
      <c r="H24" s="19">
        <f>SUMIFS('Data Additive'!$D:$D,'Data Additive'!$P:$P,'Painel Additive'!$B24,'Data Additive'!$Q:$Q,"&gt;0",'Data Additive'!$Q:$Q,"&lt;=30")</f>
        <v>0</v>
      </c>
      <c r="I24" s="19">
        <f>SUMIFS('Data Additive'!$D:$D,'Data Additive'!$P:$P,'Painel Additive'!$B24,'Data Additive'!$Q:$Q,"&gt;30",'Data Additive'!$Q:$Q,"&lt;=60")</f>
        <v>0</v>
      </c>
      <c r="J24" s="19">
        <f>SUMIFS('Data Additive'!$D:$D,'Data Additive'!$P:$P,'Painel Additive'!$B24,'Data Additive'!$Q:$Q,"&gt;60",'Data Additive'!$Q:$Q,"&lt;=90")</f>
        <v>0</v>
      </c>
      <c r="K24" s="19">
        <f>SUMIFS('Data Additive'!$D:$D,'Data Additive'!$P:$P,'Painel Additive'!$B24,'Data Additive'!$Q:$Q,"&gt;90",'Data Additive'!$Q:$Q,"&lt;=120")</f>
        <v>0</v>
      </c>
      <c r="L24" s="19">
        <f>SUMIFS('Data Additive'!$D:$D,'Data Additive'!$P:$P,'Painel Additive'!$B24,'Data Additive'!$Q:$Q,"&gt;120",'Data Additive'!$Q:$Q,"&lt;=180")</f>
        <v>0</v>
      </c>
      <c r="M24" s="19">
        <f>SUMIFS('Data Additive'!$D:$D,'Data Additive'!$P:$P,'Painel Additive'!$B24,'Data Additive'!$Q:$Q,"&gt;180",'Data Additive'!$Q:$Q,"&lt;=360")</f>
        <v>0</v>
      </c>
      <c r="N24" s="23">
        <f>SUMIFS('Data Additive'!$D:$D,'Data Additive'!$P:$P,'Painel Additive'!$B24,'Data Additive'!$Q:$Q,"&gt;360")</f>
        <v>0</v>
      </c>
      <c r="O24" s="122">
        <f>SUMIFS('Data Additive'!$D:$D,'Data Additive'!$P:$P,'Painel Additive'!$B24,'Data Additive'!$Q:$Q,"&gt;0")</f>
        <v>0</v>
      </c>
      <c r="P24" s="19">
        <f t="shared" si="5"/>
        <v>0</v>
      </c>
      <c r="Q24" s="19">
        <f>SUMIFS('Data Additive'!$D:$D,'Data Additive'!$P:$P,'Painel Additive'!$B24,'Data Additive'!$Q:$Q,"&lt;=0",'Data Additive'!$Q:$Q,"&gt;=-30")</f>
        <v>0</v>
      </c>
      <c r="R24" s="19">
        <f>SUMIFS('Data Additive'!$D:$D,'Data Additive'!$P:$P,'Painel Additive'!$B24,'Data Additive'!$Q:$Q,"&lt;=-31",'Data Additive'!$Q:$Q,"&gt;=-60")</f>
        <v>0</v>
      </c>
      <c r="S24" s="19">
        <f>SUMIFS('Data Additive'!$D:$D,'Data Additive'!$P:$P,'Painel Additive'!$B24,'Data Additive'!$Q:$Q,"&lt;=-61",'Data Additive'!$Q:$Q,"&gt;=-90")</f>
        <v>0</v>
      </c>
      <c r="T24" s="19">
        <f>SUMIFS('Data Additive'!$D:$D,'Data Additive'!$P:$P,'Painel Additive'!$B24,'Data Additive'!$Q:$Q,"&lt;=-91",'Data Additive'!$Q:$Q,"&gt;=-120")</f>
        <v>0</v>
      </c>
      <c r="U24" s="19">
        <f>SUMIFS('Data Additive'!$D:$D,'Data Additive'!$P:$P,'Painel Additive'!$B24,'Data Additive'!$Q:$Q,"&lt;=-121",'Data Additive'!$Q:$Q,"&gt;=-180")</f>
        <v>0</v>
      </c>
      <c r="V24" s="19">
        <f>SUMIFS('Data Additive'!$D:$D,'Data Additive'!$P:$P,'Painel Additive'!$B24,'Data Additive'!$Q:$Q,"&lt;=-181",'Data Additive'!$Q:$Q,"&gt;=-360")</f>
        <v>0</v>
      </c>
      <c r="W24" s="23">
        <f>SUMIFS('Data Additive'!$D:$D,'Data Additive'!$P:$P,'Painel Additive'!$B24,'Data Additive'!$Q:$Q,"&lt;-360")</f>
        <v>0</v>
      </c>
      <c r="X24" s="19">
        <f>SUMIFS('Bad Debt Provision'!AB:AB,'Bad Debt Provision'!B:B,'Painel Additive'!B24)</f>
        <v>0</v>
      </c>
      <c r="Y24" s="5"/>
      <c r="Z24" s="5"/>
      <c r="AA24" s="19">
        <f>IFERROR(_xlfn.XLOOKUP(B24,'Limite de crédito'!C:C,'Limite de crédito'!O:O,),0)</f>
        <v>500000</v>
      </c>
      <c r="AB24" s="19"/>
      <c r="AC24" s="20"/>
      <c r="AD24" s="22"/>
      <c r="AE24" s="22"/>
      <c r="AF24" s="5"/>
      <c r="AG24" s="105">
        <f t="shared" si="2"/>
        <v>500000</v>
      </c>
    </row>
    <row r="25" spans="2:34" s="119" customFormat="1" x14ac:dyDescent="0.25">
      <c r="B25" s="120" t="s">
        <v>421</v>
      </c>
      <c r="C25" s="224">
        <f>IFERROR(_xlfn.XLOOKUP(B25,'Limite de crédito'!C:C,'Limite de crédito'!L:L,),0)</f>
        <v>0</v>
      </c>
      <c r="D25" s="127"/>
      <c r="E25" s="18">
        <f>_xlfn.XLOOKUP(B25,'Limite de crédito'!C:C,'Limite de crédito'!G:G,0)</f>
        <v>0</v>
      </c>
      <c r="F25" s="121">
        <f t="shared" si="3"/>
        <v>0</v>
      </c>
      <c r="G25" s="121">
        <f t="shared" si="4"/>
        <v>0</v>
      </c>
      <c r="H25" s="122">
        <f>SUMIFS('Data Additive'!$D:$D,'Data Additive'!$P:$P,'Painel Additive'!$B25,'Data Additive'!$Q:$Q,"&gt;0",'Data Additive'!$Q:$Q,"&lt;=30")</f>
        <v>0</v>
      </c>
      <c r="I25" s="122">
        <f>SUMIFS('Data Additive'!$D:$D,'Data Additive'!$P:$P,'Painel Additive'!$B25,'Data Additive'!$Q:$Q,"&gt;30",'Data Additive'!$Q:$Q,"&lt;=60")</f>
        <v>0</v>
      </c>
      <c r="J25" s="122">
        <f>SUMIFS('Data Additive'!$D:$D,'Data Additive'!$P:$P,'Painel Additive'!$B25,'Data Additive'!$Q:$Q,"&gt;60",'Data Additive'!$Q:$Q,"&lt;=90")</f>
        <v>0</v>
      </c>
      <c r="K25" s="122">
        <f>SUMIFS('Data Additive'!$D:$D,'Data Additive'!$P:$P,'Painel Additive'!$B25,'Data Additive'!$Q:$Q,"&gt;90",'Data Additive'!$Q:$Q,"&lt;=120")</f>
        <v>0</v>
      </c>
      <c r="L25" s="122">
        <f>SUMIFS('Data Additive'!$D:$D,'Data Additive'!$P:$P,'Painel Additive'!$B25,'Data Additive'!$Q:$Q,"&gt;120",'Data Additive'!$Q:$Q,"&lt;=180")</f>
        <v>0</v>
      </c>
      <c r="M25" s="122">
        <f>SUMIFS('Data Additive'!$D:$D,'Data Additive'!$P:$P,'Painel Additive'!$B25,'Data Additive'!$Q:$Q,"&gt;180",'Data Additive'!$Q:$Q,"&lt;=360")</f>
        <v>0</v>
      </c>
      <c r="N25" s="123">
        <f>SUMIFS('Data Additive'!$D:$D,'Data Additive'!$P:$P,'Painel Additive'!$B25,'Data Additive'!$Q:$Q,"&gt;360")</f>
        <v>0</v>
      </c>
      <c r="O25" s="122">
        <f>SUMIFS('Data Additive'!$D:$D,'Data Additive'!$P:$P,'Painel Additive'!$B25,'Data Additive'!$Q:$Q,"&gt;0")</f>
        <v>0</v>
      </c>
      <c r="P25" s="122">
        <f t="shared" si="5"/>
        <v>0</v>
      </c>
      <c r="Q25" s="122">
        <f>SUMIFS('Data Additive'!$D:$D,'Data Additive'!$P:$P,'Painel Additive'!$B25,'Data Additive'!$Q:$Q,"&lt;=0",'Data Additive'!$Q:$Q,"&gt;=-30")</f>
        <v>0</v>
      </c>
      <c r="R25" s="122">
        <f>SUMIFS('Data Additive'!$D:$D,'Data Additive'!$P:$P,'Painel Additive'!$B25,'Data Additive'!$Q:$Q,"&lt;=-31",'Data Additive'!$Q:$Q,"&gt;=-60")</f>
        <v>0</v>
      </c>
      <c r="S25" s="122">
        <f>SUMIFS('Data Additive'!$D:$D,'Data Additive'!$P:$P,'Painel Additive'!$B25,'Data Additive'!$Q:$Q,"&lt;=-61",'Data Additive'!$Q:$Q,"&gt;=-90")</f>
        <v>0</v>
      </c>
      <c r="T25" s="122">
        <f>SUMIFS('Data Additive'!$D:$D,'Data Additive'!$P:$P,'Painel Additive'!$B25,'Data Additive'!$Q:$Q,"&lt;=-91",'Data Additive'!$Q:$Q,"&gt;=-120")</f>
        <v>0</v>
      </c>
      <c r="U25" s="122">
        <f>SUMIFS('Data Additive'!$D:$D,'Data Additive'!$P:$P,'Painel Additive'!$B25,'Data Additive'!$Q:$Q,"&lt;=-121",'Data Additive'!$Q:$Q,"&gt;=-180")</f>
        <v>0</v>
      </c>
      <c r="V25" s="122">
        <f>SUMIFS('Data Additive'!$D:$D,'Data Additive'!$P:$P,'Painel Additive'!$B25,'Data Additive'!$Q:$Q,"&lt;=-181",'Data Additive'!$Q:$Q,"&gt;=-360")</f>
        <v>0</v>
      </c>
      <c r="W25" s="123">
        <f>SUMIFS('Data Additive'!$D:$D,'Data Additive'!$P:$P,'Painel Additive'!$B25,'Data Additive'!$Q:$Q,"&lt;-360")</f>
        <v>0</v>
      </c>
      <c r="X25" s="19">
        <f>SUMIFS('Bad Debt Provision'!AB:AB,'Bad Debt Provision'!B:B,'Painel Additive'!B25)</f>
        <v>0</v>
      </c>
      <c r="Y25" s="124"/>
      <c r="Z25" s="124"/>
      <c r="AA25" s="19">
        <f>IFERROR(_xlfn.XLOOKUP(B25,'Limite de crédito'!C:C,'Limite de crédito'!O:O,),0)</f>
        <v>0</v>
      </c>
      <c r="AB25" s="122"/>
      <c r="AC25" s="125"/>
      <c r="AD25" s="126"/>
      <c r="AE25" s="126"/>
      <c r="AF25" s="124"/>
      <c r="AG25" s="105">
        <f t="shared" si="2"/>
        <v>0</v>
      </c>
    </row>
    <row r="26" spans="2:34" x14ac:dyDescent="0.25">
      <c r="B26" s="120" t="s">
        <v>562</v>
      </c>
      <c r="C26" s="224">
        <f>IFERROR(_xlfn.XLOOKUP(B26,'Limite de crédito'!C:C,'Limite de crédito'!L:L,),0)</f>
        <v>0</v>
      </c>
      <c r="D26" s="127"/>
      <c r="E26" s="18">
        <f>_xlfn.XLOOKUP(B26,'Limite de crédito'!C:C,'Limite de crédito'!G:G,0)</f>
        <v>0</v>
      </c>
      <c r="F26" s="121">
        <f t="shared" si="3"/>
        <v>0</v>
      </c>
      <c r="G26" s="121">
        <f t="shared" si="4"/>
        <v>0</v>
      </c>
      <c r="H26" s="19">
        <f>SUMIFS('Data Additive'!$D:$D,'Data Additive'!$P:$P,'Painel Additive'!$B26,'Data Additive'!$Q:$Q,"&gt;0",'Data Additive'!$Q:$Q,"&lt;=30")</f>
        <v>0</v>
      </c>
      <c r="I26" s="19">
        <f>SUMIFS('Data Additive'!$D:$D,'Data Additive'!$P:$P,'Painel Additive'!$B26,'Data Additive'!$Q:$Q,"&gt;30",'Data Additive'!$Q:$Q,"&lt;=60")</f>
        <v>0</v>
      </c>
      <c r="J26" s="19">
        <f>SUMIFS('Data Additive'!$D:$D,'Data Additive'!$P:$P,'Painel Additive'!$B26,'Data Additive'!$Q:$Q,"&gt;60",'Data Additive'!$Q:$Q,"&lt;=90")</f>
        <v>0</v>
      </c>
      <c r="K26" s="19">
        <f>SUMIFS('Data Additive'!$D:$D,'Data Additive'!$P:$P,'Painel Additive'!$B26,'Data Additive'!$Q:$Q,"&gt;90",'Data Additive'!$Q:$Q,"&lt;=120")</f>
        <v>0</v>
      </c>
      <c r="L26" s="19">
        <f>SUMIFS('Data Additive'!$D:$D,'Data Additive'!$P:$P,'Painel Additive'!$B26,'Data Additive'!$Q:$Q,"&gt;120",'Data Additive'!$Q:$Q,"&lt;=180")</f>
        <v>0</v>
      </c>
      <c r="M26" s="19">
        <f>SUMIFS('Data Additive'!$D:$D,'Data Additive'!$P:$P,'Painel Additive'!$B26,'Data Additive'!$Q:$Q,"&gt;180",'Data Additive'!$Q:$Q,"&lt;=360")</f>
        <v>0</v>
      </c>
      <c r="N26" s="23">
        <f>SUMIFS('Data Additive'!$D:$D,'Data Additive'!$P:$P,'Painel Additive'!$B26,'Data Additive'!$Q:$Q,"&gt;360")</f>
        <v>0</v>
      </c>
      <c r="O26" s="122">
        <f>SUMIFS('Data Additive'!$D:$D,'Data Additive'!$P:$P,'Painel Additive'!$B26,'Data Additive'!$Q:$Q,"&gt;0")</f>
        <v>0</v>
      </c>
      <c r="P26" s="19">
        <f t="shared" si="5"/>
        <v>0</v>
      </c>
      <c r="Q26" s="19">
        <f>SUMIFS('Data Additive'!$D:$D,'Data Additive'!$P:$P,'Painel Additive'!$B26,'Data Additive'!$Q:$Q,"&lt;=0",'Data Additive'!$Q:$Q,"&gt;=-30")</f>
        <v>0</v>
      </c>
      <c r="R26" s="19">
        <f>SUMIFS('Data Additive'!$D:$D,'Data Additive'!$P:$P,'Painel Additive'!$B26,'Data Additive'!$Q:$Q,"&lt;=-31",'Data Additive'!$Q:$Q,"&gt;=-60")</f>
        <v>0</v>
      </c>
      <c r="S26" s="19">
        <f>SUMIFS('Data Additive'!$D:$D,'Data Additive'!$P:$P,'Painel Additive'!$B26,'Data Additive'!$Q:$Q,"&lt;=-61",'Data Additive'!$Q:$Q,"&gt;=-90")</f>
        <v>0</v>
      </c>
      <c r="T26" s="19">
        <f>SUMIFS('Data Additive'!$D:$D,'Data Additive'!$P:$P,'Painel Additive'!$B26,'Data Additive'!$Q:$Q,"&lt;=-91",'Data Additive'!$Q:$Q,"&gt;=-120")</f>
        <v>0</v>
      </c>
      <c r="U26" s="19">
        <f>SUMIFS('Data Additive'!$D:$D,'Data Additive'!$P:$P,'Painel Additive'!$B26,'Data Additive'!$Q:$Q,"&lt;=-121",'Data Additive'!$Q:$Q,"&gt;=-180")</f>
        <v>0</v>
      </c>
      <c r="V26" s="19">
        <f>SUMIFS('Data Additive'!$D:$D,'Data Additive'!$P:$P,'Painel Additive'!$B26,'Data Additive'!$Q:$Q,"&lt;=-181",'Data Additive'!$Q:$Q,"&gt;=-360")</f>
        <v>0</v>
      </c>
      <c r="W26" s="23">
        <f>SUMIFS('Data Additive'!$D:$D,'Data Additive'!$P:$P,'Painel Additive'!$B26,'Data Additive'!$Q:$Q,"&lt;-360")</f>
        <v>0</v>
      </c>
      <c r="X26" s="19">
        <f>SUMIFS('Bad Debt Provision'!AB:AB,'Bad Debt Provision'!B:B,'Painel Additive'!B26)</f>
        <v>0</v>
      </c>
      <c r="Y26" s="5"/>
      <c r="Z26" s="5"/>
      <c r="AA26" s="19">
        <f>IFERROR(_xlfn.XLOOKUP(B26,'Limite de crédito'!C:C,'Limite de crédito'!O:O,),0)</f>
        <v>0</v>
      </c>
      <c r="AB26" s="19"/>
      <c r="AC26" s="20"/>
      <c r="AD26" s="22"/>
      <c r="AE26" s="22"/>
      <c r="AF26" s="5"/>
      <c r="AG26" s="105">
        <f t="shared" si="2"/>
        <v>0</v>
      </c>
      <c r="AH26" s="5"/>
    </row>
    <row r="27" spans="2:34" ht="13.95" customHeight="1" x14ac:dyDescent="0.25">
      <c r="B27" s="41" t="s">
        <v>486</v>
      </c>
      <c r="C27" s="224">
        <f>IFERROR(_xlfn.XLOOKUP(B27,'Limite de crédito'!C:C,'Limite de crédito'!L:L,),0)</f>
        <v>0</v>
      </c>
      <c r="D27" s="93"/>
      <c r="E27" s="18">
        <f>_xlfn.XLOOKUP(B27,'Limite de crédito'!C:C,'Limite de crédito'!G:G,0)</f>
        <v>0</v>
      </c>
      <c r="F27" s="18">
        <f t="shared" ref="F27:F46" si="6">E27-G27</f>
        <v>0</v>
      </c>
      <c r="G27" s="18">
        <f t="shared" ref="G27:G46" si="7">P27+O27</f>
        <v>0</v>
      </c>
      <c r="H27" s="19">
        <f>SUMIFS('Data Additive'!$D:$D,'Data Additive'!$P:$P,'Painel Additive'!$B27,'Data Additive'!$Q:$Q,"&gt;0",'Data Additive'!$Q:$Q,"&lt;=30")</f>
        <v>0</v>
      </c>
      <c r="I27" s="19">
        <f>SUMIFS('Data Additive'!$D:$D,'Data Additive'!$P:$P,'Painel Additive'!$B27,'Data Additive'!$Q:$Q,"&gt;30",'Data Additive'!$Q:$Q,"&lt;=60")</f>
        <v>0</v>
      </c>
      <c r="J27" s="19">
        <f>SUMIFS('Data Additive'!$D:$D,'Data Additive'!$P:$P,'Painel Additive'!$B27,'Data Additive'!$Q:$Q,"&gt;60",'Data Additive'!$Q:$Q,"&lt;=90")</f>
        <v>0</v>
      </c>
      <c r="K27" s="19">
        <f>SUMIFS('Data Additive'!$D:$D,'Data Additive'!$P:$P,'Painel Additive'!$B27,'Data Additive'!$Q:$Q,"&gt;90",'Data Additive'!$Q:$Q,"&lt;=120")</f>
        <v>0</v>
      </c>
      <c r="L27" s="19">
        <f>SUMIFS('Data Additive'!$D:$D,'Data Additive'!$P:$P,'Painel Additive'!$B27,'Data Additive'!$Q:$Q,"&gt;120",'Data Additive'!$Q:$Q,"&lt;=180")</f>
        <v>0</v>
      </c>
      <c r="M27" s="19">
        <f>SUMIFS('Data Additive'!$D:$D,'Data Additive'!$P:$P,'Painel Additive'!$B27,'Data Additive'!$Q:$Q,"&gt;180",'Data Additive'!$Q:$Q,"&lt;=360")</f>
        <v>0</v>
      </c>
      <c r="N27" s="23">
        <f>SUMIFS('Data Additive'!$D:$D,'Data Additive'!$P:$P,'Painel Additive'!$B27,'Data Additive'!$Q:$Q,"&gt;360")</f>
        <v>0</v>
      </c>
      <c r="O27" s="122">
        <f>SUMIFS('Data Additive'!$D:$D,'Data Additive'!$P:$P,'Painel Additive'!$B27,'Data Additive'!$Q:$Q,"&gt;0")</f>
        <v>0</v>
      </c>
      <c r="P27" s="19">
        <f t="shared" si="5"/>
        <v>0</v>
      </c>
      <c r="Q27" s="19">
        <f>SUMIFS('Data Additive'!$D:$D,'Data Additive'!$P:$P,'Painel Additive'!$B27,'Data Additive'!$Q:$Q,"&lt;=0",'Data Additive'!$Q:$Q,"&gt;=-30")</f>
        <v>0</v>
      </c>
      <c r="R27" s="19">
        <f>SUMIFS('Data Additive'!$D:$D,'Data Additive'!$P:$P,'Painel Additive'!$B27,'Data Additive'!$Q:$Q,"&lt;=-31",'Data Additive'!$Q:$Q,"&gt;=-60")</f>
        <v>0</v>
      </c>
      <c r="S27" s="19">
        <f>SUMIFS('Data Additive'!$D:$D,'Data Additive'!$P:$P,'Painel Additive'!$B27,'Data Additive'!$Q:$Q,"&lt;=-61",'Data Additive'!$Q:$Q,"&gt;=-90")</f>
        <v>0</v>
      </c>
      <c r="T27" s="19">
        <f>SUMIFS('Data Additive'!$D:$D,'Data Additive'!$P:$P,'Painel Additive'!$B27,'Data Additive'!$Q:$Q,"&lt;=-91",'Data Additive'!$Q:$Q,"&gt;=-120")</f>
        <v>0</v>
      </c>
      <c r="U27" s="19">
        <f>SUMIFS('Data Additive'!$D:$D,'Data Additive'!$P:$P,'Painel Additive'!$B27,'Data Additive'!$Q:$Q,"&lt;=-121",'Data Additive'!$Q:$Q,"&gt;=-180")</f>
        <v>0</v>
      </c>
      <c r="V27" s="19">
        <f>SUMIFS('Data Additive'!$D:$D,'Data Additive'!$P:$P,'Painel Additive'!$B27,'Data Additive'!$Q:$Q,"&lt;=-181",'Data Additive'!$Q:$Q,"&gt;=-360")</f>
        <v>0</v>
      </c>
      <c r="W27" s="23">
        <f>SUMIFS('Data Additive'!$D:$D,'Data Additive'!$P:$P,'Painel Additive'!$B27,'Data Additive'!$Q:$Q,"&lt;-360")</f>
        <v>0</v>
      </c>
      <c r="X27" s="19">
        <f>SUMIFS('Bad Debt Provision'!AB:AB,'Bad Debt Provision'!B:B,'Painel Additive'!B27)</f>
        <v>0</v>
      </c>
      <c r="Y27" s="5"/>
      <c r="Z27" s="5"/>
      <c r="AA27" s="19">
        <f>IFERROR(_xlfn.XLOOKUP(B27,'Limite de crédito'!C:C,'Limite de crédito'!O:O,),0)</f>
        <v>0</v>
      </c>
      <c r="AB27" s="19"/>
      <c r="AC27" s="20"/>
      <c r="AD27" s="22"/>
      <c r="AE27" s="22"/>
      <c r="AF27" s="5"/>
      <c r="AG27" s="105">
        <f t="shared" si="2"/>
        <v>0</v>
      </c>
    </row>
    <row r="28" spans="2:34" ht="12.6" customHeight="1" x14ac:dyDescent="0.25">
      <c r="B28" s="41" t="s">
        <v>417</v>
      </c>
      <c r="C28" s="224" t="str">
        <f>IFERROR(_xlfn.XLOOKUP(B28,'Limite de crédito'!C:C,'Limite de crédito'!L:L,),0)</f>
        <v>B</v>
      </c>
      <c r="D28" s="93"/>
      <c r="E28" s="18">
        <f>_xlfn.XLOOKUP(B28,'Limite de crédito'!C:C,'Limite de crédito'!G:G,0)</f>
        <v>2000000</v>
      </c>
      <c r="F28" s="18">
        <f t="shared" si="6"/>
        <v>1986569</v>
      </c>
      <c r="G28" s="18">
        <f t="shared" si="7"/>
        <v>13431</v>
      </c>
      <c r="H28" s="19">
        <f>SUMIFS('Data Additive'!$D:$D,'Data Additive'!$P:$P,'Painel Additive'!$B28,'Data Additive'!$Q:$Q,"&gt;0",'Data Additive'!$Q:$Q,"&lt;=30")</f>
        <v>0</v>
      </c>
      <c r="I28" s="19">
        <f>SUMIFS('Data Additive'!$D:$D,'Data Additive'!$P:$P,'Painel Additive'!$B28,'Data Additive'!$Q:$Q,"&gt;30",'Data Additive'!$Q:$Q,"&lt;=60")</f>
        <v>0</v>
      </c>
      <c r="J28" s="19">
        <f>SUMIFS('Data Additive'!$D:$D,'Data Additive'!$P:$P,'Painel Additive'!$B28,'Data Additive'!$Q:$Q,"&gt;60",'Data Additive'!$Q:$Q,"&lt;=90")</f>
        <v>0</v>
      </c>
      <c r="K28" s="19">
        <f>SUMIFS('Data Additive'!$D:$D,'Data Additive'!$P:$P,'Painel Additive'!$B28,'Data Additive'!$Q:$Q,"&gt;90",'Data Additive'!$Q:$Q,"&lt;=120")</f>
        <v>0</v>
      </c>
      <c r="L28" s="19">
        <f>SUMIFS('Data Additive'!$D:$D,'Data Additive'!$P:$P,'Painel Additive'!$B28,'Data Additive'!$Q:$Q,"&gt;120",'Data Additive'!$Q:$Q,"&lt;=180")</f>
        <v>0</v>
      </c>
      <c r="M28" s="19">
        <f>SUMIFS('Data Additive'!$D:$D,'Data Additive'!$P:$P,'Painel Additive'!$B28,'Data Additive'!$Q:$Q,"&gt;180",'Data Additive'!$Q:$Q,"&lt;=360")</f>
        <v>0</v>
      </c>
      <c r="N28" s="23">
        <f>SUMIFS('Data Additive'!$D:$D,'Data Additive'!$P:$P,'Painel Additive'!$B28,'Data Additive'!$Q:$Q,"&gt;360")</f>
        <v>0</v>
      </c>
      <c r="O28" s="122">
        <f>SUMIFS('Data Additive'!$D:$D,'Data Additive'!$P:$P,'Painel Additive'!$B28,'Data Additive'!$Q:$Q,"&gt;0")</f>
        <v>0</v>
      </c>
      <c r="P28" s="19">
        <f t="shared" si="5"/>
        <v>13431</v>
      </c>
      <c r="Q28" s="19">
        <f>SUMIFS('Data Additive'!$D:$D,'Data Additive'!$P:$P,'Painel Additive'!$B28,'Data Additive'!$Q:$Q,"&lt;=0",'Data Additive'!$Q:$Q,"&gt;=-30")</f>
        <v>13431</v>
      </c>
      <c r="R28" s="19">
        <f>SUMIFS('Data Additive'!$D:$D,'Data Additive'!$P:$P,'Painel Additive'!$B28,'Data Additive'!$Q:$Q,"&lt;=-31",'Data Additive'!$Q:$Q,"&gt;=-60")</f>
        <v>0</v>
      </c>
      <c r="S28" s="19">
        <f>SUMIFS('Data Additive'!$D:$D,'Data Additive'!$P:$P,'Painel Additive'!$B28,'Data Additive'!$Q:$Q,"&lt;=-61",'Data Additive'!$Q:$Q,"&gt;=-90")</f>
        <v>0</v>
      </c>
      <c r="T28" s="19">
        <f>SUMIFS('Data Additive'!$D:$D,'Data Additive'!$P:$P,'Painel Additive'!$B28,'Data Additive'!$Q:$Q,"&lt;=-91",'Data Additive'!$Q:$Q,"&gt;=-120")</f>
        <v>0</v>
      </c>
      <c r="U28" s="19">
        <f>SUMIFS('Data Additive'!$D:$D,'Data Additive'!$P:$P,'Painel Additive'!$B28,'Data Additive'!$Q:$Q,"&lt;=-121",'Data Additive'!$Q:$Q,"&gt;=-180")</f>
        <v>0</v>
      </c>
      <c r="V28" s="19">
        <f>SUMIFS('Data Additive'!$D:$D,'Data Additive'!$P:$P,'Painel Additive'!$B28,'Data Additive'!$Q:$Q,"&lt;=-181",'Data Additive'!$Q:$Q,"&gt;=-360")</f>
        <v>0</v>
      </c>
      <c r="W28" s="23">
        <f>SUMIFS('Data Additive'!$D:$D,'Data Additive'!$P:$P,'Painel Additive'!$B28,'Data Additive'!$Q:$Q,"&lt;-360")</f>
        <v>0</v>
      </c>
      <c r="X28" s="19">
        <f>SUMIFS('Bad Debt Provision'!AB:AB,'Bad Debt Provision'!B:B,'Painel Additive'!B28)</f>
        <v>0</v>
      </c>
      <c r="Y28" s="5"/>
      <c r="Z28" s="5"/>
      <c r="AA28" s="19">
        <f>IFERROR(_xlfn.XLOOKUP(B28,'Limite de crédito'!C:C,'Limite de crédito'!O:O,),0)</f>
        <v>2000000</v>
      </c>
      <c r="AB28" s="19"/>
      <c r="AC28" s="20"/>
      <c r="AD28" s="22"/>
      <c r="AE28" s="22"/>
      <c r="AF28" s="5"/>
      <c r="AG28" s="105">
        <f t="shared" si="2"/>
        <v>1986569</v>
      </c>
    </row>
    <row r="29" spans="2:34" x14ac:dyDescent="0.25">
      <c r="B29" s="120" t="s">
        <v>152</v>
      </c>
      <c r="C29" s="224">
        <f>IFERROR(_xlfn.XLOOKUP(B29,'Limite de crédito'!C:C,'Limite de crédito'!L:L,),0)</f>
        <v>0</v>
      </c>
      <c r="D29" s="127"/>
      <c r="E29" s="18">
        <f>_xlfn.XLOOKUP(B29,'Limite de crédito'!C:C,'Limite de crédito'!G:G,0)</f>
        <v>0</v>
      </c>
      <c r="F29" s="121">
        <f t="shared" si="6"/>
        <v>0</v>
      </c>
      <c r="G29" s="121">
        <f t="shared" si="7"/>
        <v>0</v>
      </c>
      <c r="H29" s="19">
        <f>SUMIFS('Data Additive'!$D:$D,'Data Additive'!$P:$P,'Painel Additive'!$B29,'Data Additive'!$Q:$Q,"&gt;0",'Data Additive'!$Q:$Q,"&lt;=30")</f>
        <v>0</v>
      </c>
      <c r="I29" s="19">
        <f>SUMIFS('Data Additive'!$D:$D,'Data Additive'!$P:$P,'Painel Additive'!$B29,'Data Additive'!$Q:$Q,"&gt;30",'Data Additive'!$Q:$Q,"&lt;=60")</f>
        <v>0</v>
      </c>
      <c r="J29" s="19">
        <f>SUMIFS('Data Additive'!$D:$D,'Data Additive'!$P:$P,'Painel Additive'!$B29,'Data Additive'!$Q:$Q,"&gt;60",'Data Additive'!$Q:$Q,"&lt;=90")</f>
        <v>0</v>
      </c>
      <c r="K29" s="19">
        <f>SUMIFS('Data Additive'!$D:$D,'Data Additive'!$P:$P,'Painel Additive'!$B29,'Data Additive'!$Q:$Q,"&gt;90",'Data Additive'!$Q:$Q,"&lt;=120")</f>
        <v>0</v>
      </c>
      <c r="L29" s="19">
        <f>SUMIFS('Data Additive'!$D:$D,'Data Additive'!$P:$P,'Painel Additive'!$B29,'Data Additive'!$Q:$Q,"&gt;120",'Data Additive'!$Q:$Q,"&lt;=180")</f>
        <v>0</v>
      </c>
      <c r="M29" s="19">
        <f>SUMIFS('Data Additive'!$D:$D,'Data Additive'!$P:$P,'Painel Additive'!$B29,'Data Additive'!$Q:$Q,"&gt;180",'Data Additive'!$Q:$Q,"&lt;=360")</f>
        <v>0</v>
      </c>
      <c r="N29" s="23">
        <f>SUMIFS('Data Additive'!$D:$D,'Data Additive'!$P:$P,'Painel Additive'!$B29,'Data Additive'!$Q:$Q,"&gt;360")</f>
        <v>0</v>
      </c>
      <c r="O29" s="122">
        <f>SUMIFS('Data Additive'!$D:$D,'Data Additive'!$P:$P,'Painel Additive'!$B29,'Data Additive'!$Q:$Q,"&gt;0")</f>
        <v>0</v>
      </c>
      <c r="P29" s="19">
        <f t="shared" si="5"/>
        <v>0</v>
      </c>
      <c r="Q29" s="19">
        <f>SUMIFS('Data Additive'!$D:$D,'Data Additive'!$P:$P,'Painel Additive'!$B29,'Data Additive'!$Q:$Q,"&lt;=0",'Data Additive'!$Q:$Q,"&gt;=-30")</f>
        <v>0</v>
      </c>
      <c r="R29" s="19">
        <f>SUMIFS('Data Additive'!$D:$D,'Data Additive'!$P:$P,'Painel Additive'!$B29,'Data Additive'!$Q:$Q,"&lt;=-31",'Data Additive'!$Q:$Q,"&gt;=-60")</f>
        <v>0</v>
      </c>
      <c r="S29" s="19">
        <f>SUMIFS('Data Additive'!$D:$D,'Data Additive'!$P:$P,'Painel Additive'!$B29,'Data Additive'!$Q:$Q,"&lt;=-61",'Data Additive'!$Q:$Q,"&gt;=-90")</f>
        <v>0</v>
      </c>
      <c r="T29" s="19">
        <f>SUMIFS('Data Additive'!$D:$D,'Data Additive'!$P:$P,'Painel Additive'!$B29,'Data Additive'!$Q:$Q,"&lt;=-91",'Data Additive'!$Q:$Q,"&gt;=-120")</f>
        <v>0</v>
      </c>
      <c r="U29" s="19">
        <f>SUMIFS('Data Additive'!$D:$D,'Data Additive'!$P:$P,'Painel Additive'!$B29,'Data Additive'!$Q:$Q,"&lt;=-121",'Data Additive'!$Q:$Q,"&gt;=-180")</f>
        <v>0</v>
      </c>
      <c r="V29" s="19">
        <f>SUMIFS('Data Additive'!$D:$D,'Data Additive'!$P:$P,'Painel Additive'!$B29,'Data Additive'!$Q:$Q,"&lt;=-181",'Data Additive'!$Q:$Q,"&gt;=-360")</f>
        <v>0</v>
      </c>
      <c r="W29" s="23">
        <f>SUMIFS('Data Additive'!$D:$D,'Data Additive'!$P:$P,'Painel Additive'!$B29,'Data Additive'!$Q:$Q,"&lt;-360")</f>
        <v>0</v>
      </c>
      <c r="X29" s="19">
        <f>SUMIFS('Bad Debt Provision'!AB:AB,'Bad Debt Provision'!B:B,'Painel Additive'!B29)</f>
        <v>0</v>
      </c>
      <c r="Y29" s="5"/>
      <c r="Z29" s="5"/>
      <c r="AA29" s="19">
        <f>IFERROR(_xlfn.XLOOKUP(B29,'Limite de crédito'!C:C,'Limite de crédito'!O:O,),0)</f>
        <v>0</v>
      </c>
      <c r="AB29" s="19"/>
      <c r="AC29" s="20"/>
      <c r="AD29" s="22"/>
      <c r="AE29" s="22"/>
      <c r="AF29" s="5"/>
      <c r="AG29" s="105">
        <f t="shared" si="2"/>
        <v>0</v>
      </c>
      <c r="AH29" s="5"/>
    </row>
    <row r="30" spans="2:34" s="119" customFormat="1" x14ac:dyDescent="0.25">
      <c r="B30" s="120" t="s">
        <v>153</v>
      </c>
      <c r="C30" s="224">
        <f>IFERROR(_xlfn.XLOOKUP(B30,'Limite de crédito'!C:C,'Limite de crédito'!L:L,),0)</f>
        <v>0</v>
      </c>
      <c r="D30" s="127"/>
      <c r="E30" s="18">
        <f>_xlfn.XLOOKUP(B30,'Limite de crédito'!C:C,'Limite de crédito'!G:G,0)</f>
        <v>0</v>
      </c>
      <c r="F30" s="121">
        <f t="shared" si="6"/>
        <v>0</v>
      </c>
      <c r="G30" s="121">
        <f t="shared" si="7"/>
        <v>0</v>
      </c>
      <c r="H30" s="122">
        <f>SUMIFS('Data Additive'!$D:$D,'Data Additive'!$P:$P,'Painel Additive'!$B30,'Data Additive'!$Q:$Q,"&gt;0",'Data Additive'!$Q:$Q,"&lt;=30")</f>
        <v>0</v>
      </c>
      <c r="I30" s="122">
        <f>SUMIFS('Data Additive'!$D:$D,'Data Additive'!$P:$P,'Painel Additive'!$B30,'Data Additive'!$Q:$Q,"&gt;30",'Data Additive'!$Q:$Q,"&lt;=60")</f>
        <v>0</v>
      </c>
      <c r="J30" s="122">
        <f>SUMIFS('Data Additive'!$D:$D,'Data Additive'!$P:$P,'Painel Additive'!$B30,'Data Additive'!$Q:$Q,"&gt;60",'Data Additive'!$Q:$Q,"&lt;=90")</f>
        <v>0</v>
      </c>
      <c r="K30" s="122">
        <f>SUMIFS('Data Additive'!$D:$D,'Data Additive'!$P:$P,'Painel Additive'!$B30,'Data Additive'!$Q:$Q,"&gt;90",'Data Additive'!$Q:$Q,"&lt;=120")</f>
        <v>0</v>
      </c>
      <c r="L30" s="122">
        <f>SUMIFS('Data Additive'!$D:$D,'Data Additive'!$P:$P,'Painel Additive'!$B30,'Data Additive'!$Q:$Q,"&gt;120",'Data Additive'!$Q:$Q,"&lt;=180")</f>
        <v>0</v>
      </c>
      <c r="M30" s="122">
        <f>SUMIFS('Data Additive'!$D:$D,'Data Additive'!$P:$P,'Painel Additive'!$B30,'Data Additive'!$Q:$Q,"&gt;180",'Data Additive'!$Q:$Q,"&lt;=360")</f>
        <v>0</v>
      </c>
      <c r="N30" s="123">
        <f>SUMIFS('Data Additive'!$D:$D,'Data Additive'!$P:$P,'Painel Additive'!$B30,'Data Additive'!$Q:$Q,"&gt;360")</f>
        <v>0</v>
      </c>
      <c r="O30" s="122">
        <f>SUMIFS('Data Additive'!$D:$D,'Data Additive'!$P:$P,'Painel Additive'!$B30,'Data Additive'!$Q:$Q,"&gt;0")</f>
        <v>0</v>
      </c>
      <c r="P30" s="122">
        <f t="shared" si="5"/>
        <v>0</v>
      </c>
      <c r="Q30" s="122">
        <f>SUMIFS('Data Additive'!$D:$D,'Data Additive'!$P:$P,'Painel Additive'!$B30,'Data Additive'!$Q:$Q,"&lt;=0",'Data Additive'!$Q:$Q,"&gt;=-30")</f>
        <v>0</v>
      </c>
      <c r="R30" s="122">
        <f>SUMIFS('Data Additive'!$D:$D,'Data Additive'!$P:$P,'Painel Additive'!$B30,'Data Additive'!$Q:$Q,"&lt;=-31",'Data Additive'!$Q:$Q,"&gt;=-60")</f>
        <v>0</v>
      </c>
      <c r="S30" s="122">
        <f>SUMIFS('Data Additive'!$D:$D,'Data Additive'!$P:$P,'Painel Additive'!$B30,'Data Additive'!$Q:$Q,"&lt;=-61",'Data Additive'!$Q:$Q,"&gt;=-90")</f>
        <v>0</v>
      </c>
      <c r="T30" s="122">
        <f>SUMIFS('Data Additive'!$D:$D,'Data Additive'!$P:$P,'Painel Additive'!$B30,'Data Additive'!$Q:$Q,"&lt;=-91",'Data Additive'!$Q:$Q,"&gt;=-120")</f>
        <v>0</v>
      </c>
      <c r="U30" s="122">
        <f>SUMIFS('Data Additive'!$D:$D,'Data Additive'!$P:$P,'Painel Additive'!$B30,'Data Additive'!$Q:$Q,"&lt;=-121",'Data Additive'!$Q:$Q,"&gt;=-180")</f>
        <v>0</v>
      </c>
      <c r="V30" s="122">
        <f>SUMIFS('Data Additive'!$D:$D,'Data Additive'!$P:$P,'Painel Additive'!$B30,'Data Additive'!$Q:$Q,"&lt;=-181",'Data Additive'!$Q:$Q,"&gt;=-360")</f>
        <v>0</v>
      </c>
      <c r="W30" s="123">
        <f>SUMIFS('Data Additive'!$D:$D,'Data Additive'!$P:$P,'Painel Additive'!$B30,'Data Additive'!$Q:$Q,"&lt;-360")</f>
        <v>0</v>
      </c>
      <c r="X30" s="19">
        <f>SUMIFS('Bad Debt Provision'!AB:AB,'Bad Debt Provision'!B:B,'Painel Additive'!B30)</f>
        <v>0</v>
      </c>
      <c r="Y30" s="124"/>
      <c r="Z30" s="124"/>
      <c r="AA30" s="19">
        <f>IFERROR(_xlfn.XLOOKUP(B30,'Limite de crédito'!C:C,'Limite de crédito'!O:O,),0)</f>
        <v>0</v>
      </c>
      <c r="AB30" s="122"/>
      <c r="AC30" s="125"/>
      <c r="AD30" s="126"/>
      <c r="AE30" s="126"/>
      <c r="AF30" s="124"/>
      <c r="AG30" s="105">
        <f t="shared" si="2"/>
        <v>0</v>
      </c>
      <c r="AH30" s="124"/>
    </row>
    <row r="31" spans="2:34" x14ac:dyDescent="0.25">
      <c r="B31" s="41" t="s">
        <v>490</v>
      </c>
      <c r="C31" s="224">
        <f>IFERROR(_xlfn.XLOOKUP(B31,'Limite de crédito'!C:C,'Limite de crédito'!L:L,),0)</f>
        <v>0</v>
      </c>
      <c r="D31" s="93"/>
      <c r="E31" s="18">
        <f>_xlfn.XLOOKUP(B31,'Limite de crédito'!C:C,'Limite de crédito'!G:G,0)</f>
        <v>0</v>
      </c>
      <c r="F31" s="18">
        <f t="shared" si="6"/>
        <v>-26290</v>
      </c>
      <c r="G31" s="18">
        <f t="shared" si="7"/>
        <v>26290</v>
      </c>
      <c r="H31" s="19">
        <f>SUMIFS('Data Additive'!$D:$D,'Data Additive'!$P:$P,'Painel Additive'!$B31,'Data Additive'!$Q:$Q,"&gt;0",'Data Additive'!$Q:$Q,"&lt;=30")</f>
        <v>0</v>
      </c>
      <c r="I31" s="19">
        <f>SUMIFS('Data Additive'!$D:$D,'Data Additive'!$P:$P,'Painel Additive'!$B31,'Data Additive'!$Q:$Q,"&gt;30",'Data Additive'!$Q:$Q,"&lt;=60")</f>
        <v>0</v>
      </c>
      <c r="J31" s="19">
        <f>SUMIFS('Data Additive'!$D:$D,'Data Additive'!$P:$P,'Painel Additive'!$B31,'Data Additive'!$Q:$Q,"&gt;60",'Data Additive'!$Q:$Q,"&lt;=90")</f>
        <v>0</v>
      </c>
      <c r="K31" s="19">
        <f>SUMIFS('Data Additive'!$D:$D,'Data Additive'!$P:$P,'Painel Additive'!$B31,'Data Additive'!$Q:$Q,"&gt;90",'Data Additive'!$Q:$Q,"&lt;=120")</f>
        <v>0</v>
      </c>
      <c r="L31" s="19">
        <f>SUMIFS('Data Additive'!$D:$D,'Data Additive'!$P:$P,'Painel Additive'!$B31,'Data Additive'!$Q:$Q,"&gt;120",'Data Additive'!$Q:$Q,"&lt;=180")</f>
        <v>0</v>
      </c>
      <c r="M31" s="19">
        <f>SUMIFS('Data Additive'!$D:$D,'Data Additive'!$P:$P,'Painel Additive'!$B31,'Data Additive'!$Q:$Q,"&gt;180",'Data Additive'!$Q:$Q,"&lt;=360")</f>
        <v>0</v>
      </c>
      <c r="N31" s="23">
        <f>SUMIFS('Data Additive'!$D:$D,'Data Additive'!$P:$P,'Painel Additive'!$B31,'Data Additive'!$Q:$Q,"&gt;360")</f>
        <v>0</v>
      </c>
      <c r="O31" s="122">
        <f>SUMIFS('Data Additive'!$D:$D,'Data Additive'!$P:$P,'Painel Additive'!$B31,'Data Additive'!$Q:$Q,"&gt;0")</f>
        <v>0</v>
      </c>
      <c r="P31" s="19">
        <f t="shared" si="5"/>
        <v>26290</v>
      </c>
      <c r="Q31" s="19">
        <f>SUMIFS('Data Additive'!$D:$D,'Data Additive'!$P:$P,'Painel Additive'!$B31,'Data Additive'!$Q:$Q,"&lt;=0",'Data Additive'!$Q:$Q,"&gt;=-30")</f>
        <v>13145</v>
      </c>
      <c r="R31" s="19">
        <f>SUMIFS('Data Additive'!$D:$D,'Data Additive'!$P:$P,'Painel Additive'!$B31,'Data Additive'!$Q:$Q,"&lt;=-31",'Data Additive'!$Q:$Q,"&gt;=-60")</f>
        <v>13145</v>
      </c>
      <c r="S31" s="19">
        <f>SUMIFS('Data Additive'!$D:$D,'Data Additive'!$P:$P,'Painel Additive'!$B31,'Data Additive'!$Q:$Q,"&lt;=-61",'Data Additive'!$Q:$Q,"&gt;=-90")</f>
        <v>0</v>
      </c>
      <c r="T31" s="19">
        <f>SUMIFS('Data Additive'!$D:$D,'Data Additive'!$P:$P,'Painel Additive'!$B31,'Data Additive'!$Q:$Q,"&lt;=-91",'Data Additive'!$Q:$Q,"&gt;=-120")</f>
        <v>0</v>
      </c>
      <c r="U31" s="19">
        <f>SUMIFS('Data Additive'!$D:$D,'Data Additive'!$P:$P,'Painel Additive'!$B31,'Data Additive'!$Q:$Q,"&lt;=-121",'Data Additive'!$Q:$Q,"&gt;=-180")</f>
        <v>0</v>
      </c>
      <c r="V31" s="19">
        <f>SUMIFS('Data Additive'!$D:$D,'Data Additive'!$P:$P,'Painel Additive'!$B31,'Data Additive'!$Q:$Q,"&lt;=-181",'Data Additive'!$Q:$Q,"&gt;=-360")</f>
        <v>0</v>
      </c>
      <c r="W31" s="23">
        <f>SUMIFS('Data Additive'!$D:$D,'Data Additive'!$P:$P,'Painel Additive'!$B31,'Data Additive'!$Q:$Q,"&lt;-360")</f>
        <v>0</v>
      </c>
      <c r="X31" s="19">
        <f>SUMIFS('Bad Debt Provision'!AB:AB,'Bad Debt Provision'!B:B,'Painel Additive'!B31)</f>
        <v>0</v>
      </c>
      <c r="Y31" s="5"/>
      <c r="Z31" s="5"/>
      <c r="AA31" s="19">
        <f>IFERROR(_xlfn.XLOOKUP(B31,'Limite de crédito'!C:C,'Limite de crédito'!O:O,),0)</f>
        <v>0</v>
      </c>
      <c r="AB31" s="19"/>
      <c r="AC31" s="20"/>
      <c r="AD31" s="22"/>
      <c r="AE31" s="22"/>
      <c r="AF31" s="5"/>
      <c r="AG31" s="105">
        <f t="shared" si="2"/>
        <v>-26290</v>
      </c>
    </row>
    <row r="32" spans="2:34" s="119" customFormat="1" x14ac:dyDescent="0.25">
      <c r="B32" s="120" t="s">
        <v>90</v>
      </c>
      <c r="C32" s="224">
        <f>IFERROR(_xlfn.XLOOKUP(B32,'Limite de crédito'!C:C,'Limite de crédito'!L:L,),0)</f>
        <v>0</v>
      </c>
      <c r="D32" s="127"/>
      <c r="E32" s="18">
        <f>_xlfn.XLOOKUP(B32,'Limite de crédito'!C:C,'Limite de crédito'!G:G,0)</f>
        <v>0</v>
      </c>
      <c r="F32" s="121">
        <f t="shared" si="6"/>
        <v>-20940</v>
      </c>
      <c r="G32" s="121">
        <f t="shared" si="7"/>
        <v>20940</v>
      </c>
      <c r="H32" s="122">
        <f>SUMIFS('Data Additive'!$D:$D,'Data Additive'!$P:$P,'Painel Additive'!$B32,'Data Additive'!$Q:$Q,"&gt;0",'Data Additive'!$Q:$Q,"&lt;=30")</f>
        <v>0</v>
      </c>
      <c r="I32" s="122">
        <f>SUMIFS('Data Additive'!$D:$D,'Data Additive'!$P:$P,'Painel Additive'!$B32,'Data Additive'!$Q:$Q,"&gt;30",'Data Additive'!$Q:$Q,"&lt;=60")</f>
        <v>0</v>
      </c>
      <c r="J32" s="122">
        <f>SUMIFS('Data Additive'!$D:$D,'Data Additive'!$P:$P,'Painel Additive'!$B32,'Data Additive'!$Q:$Q,"&gt;60",'Data Additive'!$Q:$Q,"&lt;=90")</f>
        <v>0</v>
      </c>
      <c r="K32" s="122">
        <f>SUMIFS('Data Additive'!$D:$D,'Data Additive'!$P:$P,'Painel Additive'!$B32,'Data Additive'!$Q:$Q,"&gt;90",'Data Additive'!$Q:$Q,"&lt;=120")</f>
        <v>0</v>
      </c>
      <c r="L32" s="122">
        <f>SUMIFS('Data Additive'!$D:$D,'Data Additive'!$P:$P,'Painel Additive'!$B32,'Data Additive'!$Q:$Q,"&gt;120",'Data Additive'!$Q:$Q,"&lt;=180")</f>
        <v>0</v>
      </c>
      <c r="M32" s="122">
        <f>SUMIFS('Data Additive'!$D:$D,'Data Additive'!$P:$P,'Painel Additive'!$B32,'Data Additive'!$Q:$Q,"&gt;180",'Data Additive'!$Q:$Q,"&lt;=360")</f>
        <v>0</v>
      </c>
      <c r="N32" s="123">
        <f>SUMIFS('Data Additive'!$D:$D,'Data Additive'!$P:$P,'Painel Additive'!$B32,'Data Additive'!$Q:$Q,"&gt;360")</f>
        <v>20940</v>
      </c>
      <c r="O32" s="122">
        <f>SUMIFS('Data Additive'!$D:$D,'Data Additive'!$P:$P,'Painel Additive'!$B32,'Data Additive'!$Q:$Q,"&gt;0")</f>
        <v>20940</v>
      </c>
      <c r="P32" s="122">
        <f t="shared" si="5"/>
        <v>0</v>
      </c>
      <c r="Q32" s="122">
        <f>SUMIFS('Data Additive'!$D:$D,'Data Additive'!$P:$P,'Painel Additive'!$B32,'Data Additive'!$Q:$Q,"&lt;=0",'Data Additive'!$Q:$Q,"&gt;=-30")</f>
        <v>0</v>
      </c>
      <c r="R32" s="122">
        <f>SUMIFS('Data Additive'!$D:$D,'Data Additive'!$P:$P,'Painel Additive'!$B32,'Data Additive'!$Q:$Q,"&lt;=-31",'Data Additive'!$Q:$Q,"&gt;=-60")</f>
        <v>0</v>
      </c>
      <c r="S32" s="122">
        <f>SUMIFS('Data Additive'!$D:$D,'Data Additive'!$P:$P,'Painel Additive'!$B32,'Data Additive'!$Q:$Q,"&lt;=-61",'Data Additive'!$Q:$Q,"&gt;=-90")</f>
        <v>0</v>
      </c>
      <c r="T32" s="122">
        <f>SUMIFS('Data Additive'!$D:$D,'Data Additive'!$P:$P,'Painel Additive'!$B32,'Data Additive'!$Q:$Q,"&lt;=-91",'Data Additive'!$Q:$Q,"&gt;=-120")</f>
        <v>0</v>
      </c>
      <c r="U32" s="122">
        <f>SUMIFS('Data Additive'!$D:$D,'Data Additive'!$P:$P,'Painel Additive'!$B32,'Data Additive'!$Q:$Q,"&lt;=-121",'Data Additive'!$Q:$Q,"&gt;=-180")</f>
        <v>0</v>
      </c>
      <c r="V32" s="122">
        <f>SUMIFS('Data Additive'!$D:$D,'Data Additive'!$P:$P,'Painel Additive'!$B32,'Data Additive'!$Q:$Q,"&lt;=-181",'Data Additive'!$Q:$Q,"&gt;=-360")</f>
        <v>0</v>
      </c>
      <c r="W32" s="123">
        <f>SUMIFS('Data Additive'!$D:$D,'Data Additive'!$P:$P,'Painel Additive'!$B32,'Data Additive'!$Q:$Q,"&lt;-360")</f>
        <v>0</v>
      </c>
      <c r="X32" s="19">
        <f>SUMIFS('Bad Debt Provision'!AB:AB,'Bad Debt Provision'!B:B,'Painel Additive'!B32)</f>
        <v>20940</v>
      </c>
      <c r="Y32" s="124"/>
      <c r="Z32" s="124"/>
      <c r="AA32" s="19">
        <f>IFERROR(_xlfn.XLOOKUP(B32,'Limite de crédito'!C:C,'Limite de crédito'!O:O,),0)</f>
        <v>0</v>
      </c>
      <c r="AB32" s="122"/>
      <c r="AC32" s="125"/>
      <c r="AD32" s="126"/>
      <c r="AE32" s="126"/>
      <c r="AF32" s="124"/>
      <c r="AG32" s="105">
        <f t="shared" si="2"/>
        <v>-20940</v>
      </c>
      <c r="AH32" s="124"/>
    </row>
    <row r="33" spans="2:34" s="119" customFormat="1" x14ac:dyDescent="0.25">
      <c r="B33" s="120" t="s">
        <v>145</v>
      </c>
      <c r="C33" s="224">
        <f>IFERROR(_xlfn.XLOOKUP(B33,'Limite de crédito'!C:C,'Limite de crédito'!L:L,),0)</f>
        <v>0</v>
      </c>
      <c r="D33" s="127"/>
      <c r="E33" s="18">
        <f>_xlfn.XLOOKUP(B33,'Limite de crédito'!C:C,'Limite de crédito'!G:G,0)</f>
        <v>0</v>
      </c>
      <c r="F33" s="121">
        <f t="shared" si="6"/>
        <v>0</v>
      </c>
      <c r="G33" s="121">
        <f t="shared" si="7"/>
        <v>0</v>
      </c>
      <c r="H33" s="122">
        <f>SUMIFS('Data Additive'!$D:$D,'Data Additive'!$P:$P,'Painel Additive'!$B33,'Data Additive'!$Q:$Q,"&gt;0",'Data Additive'!$Q:$Q,"&lt;=30")</f>
        <v>0</v>
      </c>
      <c r="I33" s="122">
        <f>SUMIFS('Data Additive'!$D:$D,'Data Additive'!$P:$P,'Painel Additive'!$B33,'Data Additive'!$Q:$Q,"&gt;30",'Data Additive'!$Q:$Q,"&lt;=60")</f>
        <v>0</v>
      </c>
      <c r="J33" s="122">
        <f>SUMIFS('Data Additive'!$D:$D,'Data Additive'!$P:$P,'Painel Additive'!$B33,'Data Additive'!$Q:$Q,"&gt;60",'Data Additive'!$Q:$Q,"&lt;=90")</f>
        <v>0</v>
      </c>
      <c r="K33" s="122">
        <f>SUMIFS('Data Additive'!$D:$D,'Data Additive'!$P:$P,'Painel Additive'!$B33,'Data Additive'!$Q:$Q,"&gt;90",'Data Additive'!$Q:$Q,"&lt;=120")</f>
        <v>0</v>
      </c>
      <c r="L33" s="122">
        <f>SUMIFS('Data Additive'!$D:$D,'Data Additive'!$P:$P,'Painel Additive'!$B33,'Data Additive'!$Q:$Q,"&gt;120",'Data Additive'!$Q:$Q,"&lt;=180")</f>
        <v>0</v>
      </c>
      <c r="M33" s="122">
        <f>SUMIFS('Data Additive'!$D:$D,'Data Additive'!$P:$P,'Painel Additive'!$B33,'Data Additive'!$Q:$Q,"&gt;180",'Data Additive'!$Q:$Q,"&lt;=360")</f>
        <v>0</v>
      </c>
      <c r="N33" s="123">
        <f>SUMIFS('Data Additive'!$D:$D,'Data Additive'!$P:$P,'Painel Additive'!$B33,'Data Additive'!$Q:$Q,"&gt;360")</f>
        <v>0</v>
      </c>
      <c r="O33" s="122">
        <f>SUMIFS('Data Additive'!$D:$D,'Data Additive'!$P:$P,'Painel Additive'!$B33,'Data Additive'!$Q:$Q,"&gt;0")</f>
        <v>0</v>
      </c>
      <c r="P33" s="122">
        <f t="shared" si="5"/>
        <v>0</v>
      </c>
      <c r="Q33" s="122">
        <f>SUMIFS('Data Additive'!$D:$D,'Data Additive'!$P:$P,'Painel Additive'!$B33,'Data Additive'!$Q:$Q,"&lt;=0",'Data Additive'!$Q:$Q,"&gt;=-30")</f>
        <v>0</v>
      </c>
      <c r="R33" s="122">
        <f>SUMIFS('Data Additive'!$D:$D,'Data Additive'!$P:$P,'Painel Additive'!$B33,'Data Additive'!$Q:$Q,"&lt;=-31",'Data Additive'!$Q:$Q,"&gt;=-60")</f>
        <v>0</v>
      </c>
      <c r="S33" s="122">
        <f>SUMIFS('Data Additive'!$D:$D,'Data Additive'!$P:$P,'Painel Additive'!$B33,'Data Additive'!$Q:$Q,"&lt;=-61",'Data Additive'!$Q:$Q,"&gt;=-90")</f>
        <v>0</v>
      </c>
      <c r="T33" s="122">
        <f>SUMIFS('Data Additive'!$D:$D,'Data Additive'!$P:$P,'Painel Additive'!$B33,'Data Additive'!$Q:$Q,"&lt;=-91",'Data Additive'!$Q:$Q,"&gt;=-120")</f>
        <v>0</v>
      </c>
      <c r="U33" s="122">
        <f>SUMIFS('Data Additive'!$D:$D,'Data Additive'!$P:$P,'Painel Additive'!$B33,'Data Additive'!$Q:$Q,"&lt;=-121",'Data Additive'!$Q:$Q,"&gt;=-180")</f>
        <v>0</v>
      </c>
      <c r="V33" s="122">
        <f>SUMIFS('Data Additive'!$D:$D,'Data Additive'!$P:$P,'Painel Additive'!$B33,'Data Additive'!$Q:$Q,"&lt;=-181",'Data Additive'!$Q:$Q,"&gt;=-360")</f>
        <v>0</v>
      </c>
      <c r="W33" s="123">
        <f>SUMIFS('Data Additive'!$D:$D,'Data Additive'!$P:$P,'Painel Additive'!$B33,'Data Additive'!$Q:$Q,"&lt;-360")</f>
        <v>0</v>
      </c>
      <c r="X33" s="19">
        <f>SUMIFS('Bad Debt Provision'!AB:AB,'Bad Debt Provision'!B:B,'Painel Additive'!B33)</f>
        <v>0</v>
      </c>
      <c r="Y33" s="124"/>
      <c r="Z33" s="124"/>
      <c r="AA33" s="19">
        <f>IFERROR(_xlfn.XLOOKUP(B33,'Limite de crédito'!C:C,'Limite de crédito'!O:O,),0)</f>
        <v>0</v>
      </c>
      <c r="AB33" s="122"/>
      <c r="AC33" s="125"/>
      <c r="AD33" s="126"/>
      <c r="AE33" s="126"/>
      <c r="AF33" s="124"/>
      <c r="AG33" s="105">
        <f t="shared" si="2"/>
        <v>0</v>
      </c>
      <c r="AH33" s="124"/>
    </row>
    <row r="34" spans="2:34" s="119" customFormat="1" x14ac:dyDescent="0.25">
      <c r="B34" s="120" t="s">
        <v>142</v>
      </c>
      <c r="C34" s="224">
        <f>IFERROR(_xlfn.XLOOKUP(B34,'Limite de crédito'!C:C,'Limite de crédito'!L:L,),0)</f>
        <v>0</v>
      </c>
      <c r="D34" s="127"/>
      <c r="E34" s="18">
        <f>_xlfn.XLOOKUP(B34,'Limite de crédito'!C:C,'Limite de crédito'!G:G,0)</f>
        <v>0</v>
      </c>
      <c r="F34" s="121">
        <f t="shared" si="6"/>
        <v>0</v>
      </c>
      <c r="G34" s="121">
        <f t="shared" si="7"/>
        <v>0</v>
      </c>
      <c r="H34" s="122">
        <f>SUMIFS('Data Additive'!$D:$D,'Data Additive'!$P:$P,'Painel Additive'!$B34,'Data Additive'!$Q:$Q,"&gt;0",'Data Additive'!$Q:$Q,"&lt;=30")</f>
        <v>0</v>
      </c>
      <c r="I34" s="122">
        <f>SUMIFS('Data Additive'!$D:$D,'Data Additive'!$P:$P,'Painel Additive'!$B34,'Data Additive'!$Q:$Q,"&gt;30",'Data Additive'!$Q:$Q,"&lt;=60")</f>
        <v>0</v>
      </c>
      <c r="J34" s="122">
        <f>SUMIFS('Data Additive'!$D:$D,'Data Additive'!$P:$P,'Painel Additive'!$B34,'Data Additive'!$Q:$Q,"&gt;60",'Data Additive'!$Q:$Q,"&lt;=90")</f>
        <v>0</v>
      </c>
      <c r="K34" s="122">
        <f>SUMIFS('Data Additive'!$D:$D,'Data Additive'!$P:$P,'Painel Additive'!$B34,'Data Additive'!$Q:$Q,"&gt;90",'Data Additive'!$Q:$Q,"&lt;=120")</f>
        <v>0</v>
      </c>
      <c r="L34" s="122">
        <f>SUMIFS('Data Additive'!$D:$D,'Data Additive'!$P:$P,'Painel Additive'!$B34,'Data Additive'!$Q:$Q,"&gt;120",'Data Additive'!$Q:$Q,"&lt;=180")</f>
        <v>0</v>
      </c>
      <c r="M34" s="122">
        <f>SUMIFS('Data Additive'!$D:$D,'Data Additive'!$P:$P,'Painel Additive'!$B34,'Data Additive'!$Q:$Q,"&gt;180",'Data Additive'!$Q:$Q,"&lt;=360")</f>
        <v>0</v>
      </c>
      <c r="N34" s="123">
        <f>SUMIFS('Data Additive'!$D:$D,'Data Additive'!$P:$P,'Painel Additive'!$B34,'Data Additive'!$Q:$Q,"&gt;360")</f>
        <v>0</v>
      </c>
      <c r="O34" s="122">
        <f>SUMIFS('Data Additive'!$D:$D,'Data Additive'!$P:$P,'Painel Additive'!$B34,'Data Additive'!$Q:$Q,"&gt;0")</f>
        <v>0</v>
      </c>
      <c r="P34" s="122">
        <f t="shared" si="5"/>
        <v>0</v>
      </c>
      <c r="Q34" s="122">
        <f>SUMIFS('Data Additive'!$D:$D,'Data Additive'!$P:$P,'Painel Additive'!$B34,'Data Additive'!$Q:$Q,"&lt;=0",'Data Additive'!$Q:$Q,"&gt;=-30")</f>
        <v>0</v>
      </c>
      <c r="R34" s="122">
        <f>SUMIFS('Data Additive'!$D:$D,'Data Additive'!$P:$P,'Painel Additive'!$B34,'Data Additive'!$Q:$Q,"&lt;=-31",'Data Additive'!$Q:$Q,"&gt;=-60")</f>
        <v>0</v>
      </c>
      <c r="S34" s="122">
        <f>SUMIFS('Data Additive'!$D:$D,'Data Additive'!$P:$P,'Painel Additive'!$B34,'Data Additive'!$Q:$Q,"&lt;=-61",'Data Additive'!$Q:$Q,"&gt;=-90")</f>
        <v>0</v>
      </c>
      <c r="T34" s="122">
        <f>SUMIFS('Data Additive'!$D:$D,'Data Additive'!$P:$P,'Painel Additive'!$B34,'Data Additive'!$Q:$Q,"&lt;=-91",'Data Additive'!$Q:$Q,"&gt;=-120")</f>
        <v>0</v>
      </c>
      <c r="U34" s="122">
        <f>SUMIFS('Data Additive'!$D:$D,'Data Additive'!$P:$P,'Painel Additive'!$B34,'Data Additive'!$Q:$Q,"&lt;=-121",'Data Additive'!$Q:$Q,"&gt;=-180")</f>
        <v>0</v>
      </c>
      <c r="V34" s="122">
        <f>SUMIFS('Data Additive'!$D:$D,'Data Additive'!$P:$P,'Painel Additive'!$B34,'Data Additive'!$Q:$Q,"&lt;=-181",'Data Additive'!$Q:$Q,"&gt;=-360")</f>
        <v>0</v>
      </c>
      <c r="W34" s="123">
        <f>SUMIFS('Data Additive'!$D:$D,'Data Additive'!$P:$P,'Painel Additive'!$B34,'Data Additive'!$Q:$Q,"&lt;-360")</f>
        <v>0</v>
      </c>
      <c r="X34" s="19">
        <f>SUMIFS('Bad Debt Provision'!AB:AB,'Bad Debt Provision'!B:B,'Painel Additive'!B34)</f>
        <v>0</v>
      </c>
      <c r="Y34" s="124"/>
      <c r="Z34" s="124"/>
      <c r="AA34" s="19">
        <f>IFERROR(_xlfn.XLOOKUP(B34,'Limite de crédito'!C:C,'Limite de crédito'!O:O,),0)</f>
        <v>0</v>
      </c>
      <c r="AB34" s="122"/>
      <c r="AC34" s="125"/>
      <c r="AD34" s="126"/>
      <c r="AE34" s="126"/>
      <c r="AF34" s="124"/>
      <c r="AG34" s="105">
        <f t="shared" si="2"/>
        <v>0</v>
      </c>
      <c r="AH34" s="124"/>
    </row>
    <row r="35" spans="2:34" s="119" customFormat="1" x14ac:dyDescent="0.25">
      <c r="B35" s="120" t="s">
        <v>151</v>
      </c>
      <c r="C35" s="224">
        <f>IFERROR(_xlfn.XLOOKUP(B35,'Limite de crédito'!C:C,'Limite de crédito'!L:L,),0)</f>
        <v>0</v>
      </c>
      <c r="D35" s="127"/>
      <c r="E35" s="18">
        <f>_xlfn.XLOOKUP(B35,'Limite de crédito'!C:C,'Limite de crédito'!G:G,0)</f>
        <v>0</v>
      </c>
      <c r="F35" s="121">
        <f t="shared" si="6"/>
        <v>0</v>
      </c>
      <c r="G35" s="121">
        <f t="shared" si="7"/>
        <v>0</v>
      </c>
      <c r="H35" s="122">
        <f>SUMIFS('Data Additive'!$D:$D,'Data Additive'!$P:$P,'Painel Additive'!$B35,'Data Additive'!$Q:$Q,"&gt;0",'Data Additive'!$Q:$Q,"&lt;=30")</f>
        <v>0</v>
      </c>
      <c r="I35" s="122">
        <f>SUMIFS('Data Additive'!$D:$D,'Data Additive'!$P:$P,'Painel Additive'!$B35,'Data Additive'!$Q:$Q,"&gt;30",'Data Additive'!$Q:$Q,"&lt;=60")</f>
        <v>0</v>
      </c>
      <c r="J35" s="122">
        <f>SUMIFS('Data Additive'!$D:$D,'Data Additive'!$P:$P,'Painel Additive'!$B35,'Data Additive'!$Q:$Q,"&gt;60",'Data Additive'!$Q:$Q,"&lt;=90")</f>
        <v>0</v>
      </c>
      <c r="K35" s="122">
        <f>SUMIFS('Data Additive'!$D:$D,'Data Additive'!$P:$P,'Painel Additive'!$B35,'Data Additive'!$Q:$Q,"&gt;90",'Data Additive'!$Q:$Q,"&lt;=120")</f>
        <v>0</v>
      </c>
      <c r="L35" s="122">
        <f>SUMIFS('Data Additive'!$D:$D,'Data Additive'!$P:$P,'Painel Additive'!$B35,'Data Additive'!$Q:$Q,"&gt;120",'Data Additive'!$Q:$Q,"&lt;=180")</f>
        <v>0</v>
      </c>
      <c r="M35" s="122">
        <f>SUMIFS('Data Additive'!$D:$D,'Data Additive'!$P:$P,'Painel Additive'!$B35,'Data Additive'!$Q:$Q,"&gt;180",'Data Additive'!$Q:$Q,"&lt;=360")</f>
        <v>0</v>
      </c>
      <c r="N35" s="123">
        <f>SUMIFS('Data Additive'!$D:$D,'Data Additive'!$P:$P,'Painel Additive'!$B35,'Data Additive'!$Q:$Q,"&gt;360")</f>
        <v>0</v>
      </c>
      <c r="O35" s="122">
        <f>SUMIFS('Data Additive'!$D:$D,'Data Additive'!$P:$P,'Painel Additive'!$B35,'Data Additive'!$Q:$Q,"&gt;0")</f>
        <v>0</v>
      </c>
      <c r="P35" s="122">
        <f t="shared" si="5"/>
        <v>0</v>
      </c>
      <c r="Q35" s="122">
        <f>SUMIFS('Data Additive'!$D:$D,'Data Additive'!$P:$P,'Painel Additive'!$B35,'Data Additive'!$Q:$Q,"&lt;=0",'Data Additive'!$Q:$Q,"&gt;=-30")</f>
        <v>0</v>
      </c>
      <c r="R35" s="122">
        <f>SUMIFS('Data Additive'!$D:$D,'Data Additive'!$P:$P,'Painel Additive'!$B35,'Data Additive'!$Q:$Q,"&lt;=-31",'Data Additive'!$Q:$Q,"&gt;=-60")</f>
        <v>0</v>
      </c>
      <c r="S35" s="122">
        <f>SUMIFS('Data Additive'!$D:$D,'Data Additive'!$P:$P,'Painel Additive'!$B35,'Data Additive'!$Q:$Q,"&lt;=-61",'Data Additive'!$Q:$Q,"&gt;=-90")</f>
        <v>0</v>
      </c>
      <c r="T35" s="122">
        <f>SUMIFS('Data Additive'!$D:$D,'Data Additive'!$P:$P,'Painel Additive'!$B35,'Data Additive'!$Q:$Q,"&lt;=-91",'Data Additive'!$Q:$Q,"&gt;=-120")</f>
        <v>0</v>
      </c>
      <c r="U35" s="122">
        <f>SUMIFS('Data Additive'!$D:$D,'Data Additive'!$P:$P,'Painel Additive'!$B35,'Data Additive'!$Q:$Q,"&lt;=-121",'Data Additive'!$Q:$Q,"&gt;=-180")</f>
        <v>0</v>
      </c>
      <c r="V35" s="122">
        <f>SUMIFS('Data Additive'!$D:$D,'Data Additive'!$P:$P,'Painel Additive'!$B35,'Data Additive'!$Q:$Q,"&lt;=-181",'Data Additive'!$Q:$Q,"&gt;=-360")</f>
        <v>0</v>
      </c>
      <c r="W35" s="123">
        <f>SUMIFS('Data Additive'!$D:$D,'Data Additive'!$P:$P,'Painel Additive'!$B35,'Data Additive'!$Q:$Q,"&lt;-360")</f>
        <v>0</v>
      </c>
      <c r="X35" s="19">
        <f>SUMIFS('Bad Debt Provision'!AB:AB,'Bad Debt Provision'!B:B,'Painel Additive'!B35)</f>
        <v>0</v>
      </c>
      <c r="Y35" s="124"/>
      <c r="Z35" s="124"/>
      <c r="AA35" s="19">
        <f>IFERROR(_xlfn.XLOOKUP(B35,'Limite de crédito'!C:C,'Limite de crédito'!O:O,),0)</f>
        <v>0</v>
      </c>
      <c r="AB35" s="122"/>
      <c r="AC35" s="125"/>
      <c r="AD35" s="126"/>
      <c r="AE35" s="126"/>
      <c r="AF35" s="124"/>
      <c r="AG35" s="105">
        <f t="shared" si="2"/>
        <v>0</v>
      </c>
      <c r="AH35" s="124"/>
    </row>
    <row r="36" spans="2:34" s="119" customFormat="1" x14ac:dyDescent="0.25">
      <c r="B36" s="120" t="s">
        <v>148</v>
      </c>
      <c r="C36" s="224">
        <f>IFERROR(_xlfn.XLOOKUP(B36,'Limite de crédito'!C:C,'Limite de crédito'!L:L,),0)</f>
        <v>0</v>
      </c>
      <c r="D36" s="127"/>
      <c r="E36" s="18">
        <f>_xlfn.XLOOKUP(B36,'Limite de crédito'!C:C,'Limite de crédito'!G:G,0)</f>
        <v>0</v>
      </c>
      <c r="F36" s="121">
        <f t="shared" si="6"/>
        <v>0</v>
      </c>
      <c r="G36" s="121">
        <f t="shared" si="7"/>
        <v>0</v>
      </c>
      <c r="H36" s="122">
        <f>SUMIFS('Data Additive'!$D:$D,'Data Additive'!$P:$P,'Painel Additive'!$B36,'Data Additive'!$Q:$Q,"&gt;0",'Data Additive'!$Q:$Q,"&lt;=30")</f>
        <v>0</v>
      </c>
      <c r="I36" s="122">
        <f>SUMIFS('Data Additive'!$D:$D,'Data Additive'!$P:$P,'Painel Additive'!$B36,'Data Additive'!$Q:$Q,"&gt;30",'Data Additive'!$Q:$Q,"&lt;=60")</f>
        <v>0</v>
      </c>
      <c r="J36" s="122">
        <f>SUMIFS('Data Additive'!$D:$D,'Data Additive'!$P:$P,'Painel Additive'!$B36,'Data Additive'!$Q:$Q,"&gt;60",'Data Additive'!$Q:$Q,"&lt;=90")</f>
        <v>0</v>
      </c>
      <c r="K36" s="122">
        <f>SUMIFS('Data Additive'!$D:$D,'Data Additive'!$P:$P,'Painel Additive'!$B36,'Data Additive'!$Q:$Q,"&gt;90",'Data Additive'!$Q:$Q,"&lt;=120")</f>
        <v>0</v>
      </c>
      <c r="L36" s="122">
        <f>SUMIFS('Data Additive'!$D:$D,'Data Additive'!$P:$P,'Painel Additive'!$B36,'Data Additive'!$Q:$Q,"&gt;120",'Data Additive'!$Q:$Q,"&lt;=180")</f>
        <v>0</v>
      </c>
      <c r="M36" s="122">
        <f>SUMIFS('Data Additive'!$D:$D,'Data Additive'!$P:$P,'Painel Additive'!$B36,'Data Additive'!$Q:$Q,"&gt;180",'Data Additive'!$Q:$Q,"&lt;=360")</f>
        <v>0</v>
      </c>
      <c r="N36" s="123">
        <f>SUMIFS('Data Additive'!$D:$D,'Data Additive'!$P:$P,'Painel Additive'!$B36,'Data Additive'!$Q:$Q,"&gt;360")</f>
        <v>0</v>
      </c>
      <c r="O36" s="122">
        <f>SUMIFS('Data Additive'!$D:$D,'Data Additive'!$P:$P,'Painel Additive'!$B36,'Data Additive'!$Q:$Q,"&gt;0")</f>
        <v>0</v>
      </c>
      <c r="P36" s="122">
        <f t="shared" si="5"/>
        <v>0</v>
      </c>
      <c r="Q36" s="122">
        <f>SUMIFS('Data Additive'!$D:$D,'Data Additive'!$P:$P,'Painel Additive'!$B36,'Data Additive'!$Q:$Q,"&lt;=0",'Data Additive'!$Q:$Q,"&gt;=-30")</f>
        <v>0</v>
      </c>
      <c r="R36" s="122">
        <f>SUMIFS('Data Additive'!$D:$D,'Data Additive'!$P:$P,'Painel Additive'!$B36,'Data Additive'!$Q:$Q,"&lt;=-31",'Data Additive'!$Q:$Q,"&gt;=-60")</f>
        <v>0</v>
      </c>
      <c r="S36" s="122">
        <f>SUMIFS('Data Additive'!$D:$D,'Data Additive'!$P:$P,'Painel Additive'!$B36,'Data Additive'!$Q:$Q,"&lt;=-61",'Data Additive'!$Q:$Q,"&gt;=-90")</f>
        <v>0</v>
      </c>
      <c r="T36" s="122">
        <f>SUMIFS('Data Additive'!$D:$D,'Data Additive'!$P:$P,'Painel Additive'!$B36,'Data Additive'!$Q:$Q,"&lt;=-91",'Data Additive'!$Q:$Q,"&gt;=-120")</f>
        <v>0</v>
      </c>
      <c r="U36" s="122">
        <f>SUMIFS('Data Additive'!$D:$D,'Data Additive'!$P:$P,'Painel Additive'!$B36,'Data Additive'!$Q:$Q,"&lt;=-121",'Data Additive'!$Q:$Q,"&gt;=-180")</f>
        <v>0</v>
      </c>
      <c r="V36" s="122">
        <f>SUMIFS('Data Additive'!$D:$D,'Data Additive'!$P:$P,'Painel Additive'!$B36,'Data Additive'!$Q:$Q,"&lt;=-181",'Data Additive'!$Q:$Q,"&gt;=-360")</f>
        <v>0</v>
      </c>
      <c r="W36" s="123">
        <f>SUMIFS('Data Additive'!$D:$D,'Data Additive'!$P:$P,'Painel Additive'!$B36,'Data Additive'!$Q:$Q,"&lt;-360")</f>
        <v>0</v>
      </c>
      <c r="X36" s="19">
        <f>SUMIFS('Bad Debt Provision'!AB:AB,'Bad Debt Provision'!B:B,'Painel Additive'!B36)</f>
        <v>0</v>
      </c>
      <c r="Y36" s="124"/>
      <c r="Z36" s="124"/>
      <c r="AA36" s="19">
        <f>IFERROR(_xlfn.XLOOKUP(B36,'Limite de crédito'!C:C,'Limite de crédito'!O:O,),0)</f>
        <v>0</v>
      </c>
      <c r="AB36" s="122"/>
      <c r="AC36" s="125"/>
      <c r="AD36" s="126"/>
      <c r="AE36" s="126"/>
      <c r="AF36" s="124"/>
      <c r="AG36" s="105">
        <f t="shared" si="2"/>
        <v>0</v>
      </c>
      <c r="AH36" s="124"/>
    </row>
    <row r="37" spans="2:34" s="119" customFormat="1" x14ac:dyDescent="0.25">
      <c r="B37" s="120" t="s">
        <v>157</v>
      </c>
      <c r="C37" s="224">
        <f>IFERROR(_xlfn.XLOOKUP(B37,'Limite de crédito'!C:C,'Limite de crédito'!L:L,),0)</f>
        <v>0</v>
      </c>
      <c r="D37" s="127"/>
      <c r="E37" s="18">
        <f>_xlfn.XLOOKUP(B37,'Limite de crédito'!C:C,'Limite de crédito'!G:G,0)</f>
        <v>0</v>
      </c>
      <c r="F37" s="121">
        <f t="shared" si="6"/>
        <v>0</v>
      </c>
      <c r="G37" s="121">
        <f t="shared" si="7"/>
        <v>0</v>
      </c>
      <c r="H37" s="122">
        <f>SUMIFS('Data Additive'!$D:$D,'Data Additive'!$P:$P,'Painel Additive'!$B37,'Data Additive'!$Q:$Q,"&gt;0",'Data Additive'!$Q:$Q,"&lt;=30")</f>
        <v>0</v>
      </c>
      <c r="I37" s="122">
        <f>SUMIFS('Data Additive'!$D:$D,'Data Additive'!$P:$P,'Painel Additive'!$B37,'Data Additive'!$Q:$Q,"&gt;30",'Data Additive'!$Q:$Q,"&lt;=60")</f>
        <v>0</v>
      </c>
      <c r="J37" s="122">
        <f>SUMIFS('Data Additive'!$D:$D,'Data Additive'!$P:$P,'Painel Additive'!$B37,'Data Additive'!$Q:$Q,"&gt;60",'Data Additive'!$Q:$Q,"&lt;=90")</f>
        <v>0</v>
      </c>
      <c r="K37" s="122">
        <f>SUMIFS('Data Additive'!$D:$D,'Data Additive'!$P:$P,'Painel Additive'!$B37,'Data Additive'!$Q:$Q,"&gt;90",'Data Additive'!$Q:$Q,"&lt;=120")</f>
        <v>0</v>
      </c>
      <c r="L37" s="122">
        <f>SUMIFS('Data Additive'!$D:$D,'Data Additive'!$P:$P,'Painel Additive'!$B37,'Data Additive'!$Q:$Q,"&gt;120",'Data Additive'!$Q:$Q,"&lt;=180")</f>
        <v>0</v>
      </c>
      <c r="M37" s="122">
        <f>SUMIFS('Data Additive'!$D:$D,'Data Additive'!$P:$P,'Painel Additive'!$B37,'Data Additive'!$Q:$Q,"&gt;180",'Data Additive'!$Q:$Q,"&lt;=360")</f>
        <v>0</v>
      </c>
      <c r="N37" s="123">
        <f>SUMIFS('Data Additive'!$D:$D,'Data Additive'!$P:$P,'Painel Additive'!$B37,'Data Additive'!$Q:$Q,"&gt;360")</f>
        <v>0</v>
      </c>
      <c r="O37" s="122">
        <f>SUMIFS('Data Additive'!$D:$D,'Data Additive'!$P:$P,'Painel Additive'!$B37,'Data Additive'!$Q:$Q,"&gt;0")</f>
        <v>0</v>
      </c>
      <c r="P37" s="122">
        <f t="shared" si="5"/>
        <v>0</v>
      </c>
      <c r="Q37" s="122">
        <f>SUMIFS('Data Additive'!$D:$D,'Data Additive'!$P:$P,'Painel Additive'!$B37,'Data Additive'!$Q:$Q,"&lt;=0",'Data Additive'!$Q:$Q,"&gt;=-30")</f>
        <v>0</v>
      </c>
      <c r="R37" s="122">
        <f>SUMIFS('Data Additive'!$D:$D,'Data Additive'!$P:$P,'Painel Additive'!$B37,'Data Additive'!$Q:$Q,"&lt;=-31",'Data Additive'!$Q:$Q,"&gt;=-60")</f>
        <v>0</v>
      </c>
      <c r="S37" s="122">
        <f>SUMIFS('Data Additive'!$D:$D,'Data Additive'!$P:$P,'Painel Additive'!$B37,'Data Additive'!$Q:$Q,"&lt;=-61",'Data Additive'!$Q:$Q,"&gt;=-90")</f>
        <v>0</v>
      </c>
      <c r="T37" s="122">
        <f>SUMIFS('Data Additive'!$D:$D,'Data Additive'!$P:$P,'Painel Additive'!$B37,'Data Additive'!$Q:$Q,"&lt;=-91",'Data Additive'!$Q:$Q,"&gt;=-120")</f>
        <v>0</v>
      </c>
      <c r="U37" s="122">
        <f>SUMIFS('Data Additive'!$D:$D,'Data Additive'!$P:$P,'Painel Additive'!$B37,'Data Additive'!$Q:$Q,"&lt;=-121",'Data Additive'!$Q:$Q,"&gt;=-180")</f>
        <v>0</v>
      </c>
      <c r="V37" s="122">
        <f>SUMIFS('Data Additive'!$D:$D,'Data Additive'!$P:$P,'Painel Additive'!$B37,'Data Additive'!$Q:$Q,"&lt;=-181",'Data Additive'!$Q:$Q,"&gt;=-360")</f>
        <v>0</v>
      </c>
      <c r="W37" s="123">
        <f>SUMIFS('Data Additive'!$D:$D,'Data Additive'!$P:$P,'Painel Additive'!$B37,'Data Additive'!$Q:$Q,"&lt;-360")</f>
        <v>0</v>
      </c>
      <c r="X37" s="19">
        <f>SUMIFS('Bad Debt Provision'!AB:AB,'Bad Debt Provision'!B:B,'Painel Additive'!B37)</f>
        <v>0</v>
      </c>
      <c r="Y37" s="124"/>
      <c r="Z37" s="124"/>
      <c r="AA37" s="19">
        <f>IFERROR(_xlfn.XLOOKUP(B37,'Limite de crédito'!C:C,'Limite de crédito'!O:O,),0)</f>
        <v>0</v>
      </c>
      <c r="AB37" s="122"/>
      <c r="AC37" s="125"/>
      <c r="AD37" s="126"/>
      <c r="AE37" s="126"/>
      <c r="AF37" s="124">
        <f>AF38+AF39</f>
        <v>0</v>
      </c>
      <c r="AG37" s="105">
        <f>AA37-G37</f>
        <v>0</v>
      </c>
      <c r="AH37" s="124">
        <f>AH38+AH39</f>
        <v>0</v>
      </c>
    </row>
    <row r="38" spans="2:34" s="119" customFormat="1" x14ac:dyDescent="0.25">
      <c r="B38" s="120" t="s">
        <v>154</v>
      </c>
      <c r="C38" s="224">
        <f>IFERROR(_xlfn.XLOOKUP(B38,'Limite de crédito'!C:C,'Limite de crédito'!L:L,),0)</f>
        <v>0</v>
      </c>
      <c r="D38" s="127"/>
      <c r="E38" s="18">
        <f>_xlfn.XLOOKUP(B38,'Limite de crédito'!C:C,'Limite de crédito'!G:G,0)</f>
        <v>0</v>
      </c>
      <c r="F38" s="121">
        <f t="shared" si="6"/>
        <v>0</v>
      </c>
      <c r="G38" s="121">
        <f t="shared" si="7"/>
        <v>0</v>
      </c>
      <c r="H38" s="122">
        <f>SUMIFS('Data Additive'!$D:$D,'Data Additive'!$P:$P,'Painel Additive'!$B38,'Data Additive'!$Q:$Q,"&gt;0",'Data Additive'!$Q:$Q,"&lt;=30")</f>
        <v>0</v>
      </c>
      <c r="I38" s="122">
        <f>SUMIFS('Data Additive'!$D:$D,'Data Additive'!$P:$P,'Painel Additive'!$B38,'Data Additive'!$Q:$Q,"&gt;30",'Data Additive'!$Q:$Q,"&lt;=60")</f>
        <v>0</v>
      </c>
      <c r="J38" s="122">
        <f>SUMIFS('Data Additive'!$D:$D,'Data Additive'!$P:$P,'Painel Additive'!$B38,'Data Additive'!$Q:$Q,"&gt;60",'Data Additive'!$Q:$Q,"&lt;=90")</f>
        <v>0</v>
      </c>
      <c r="K38" s="122">
        <f>SUMIFS('Data Additive'!$D:$D,'Data Additive'!$P:$P,'Painel Additive'!$B38,'Data Additive'!$Q:$Q,"&gt;90",'Data Additive'!$Q:$Q,"&lt;=120")</f>
        <v>0</v>
      </c>
      <c r="L38" s="122">
        <f>SUMIFS('Data Additive'!$D:$D,'Data Additive'!$P:$P,'Painel Additive'!$B38,'Data Additive'!$Q:$Q,"&gt;120",'Data Additive'!$Q:$Q,"&lt;=180")</f>
        <v>0</v>
      </c>
      <c r="M38" s="122">
        <f>SUMIFS('Data Additive'!$D:$D,'Data Additive'!$P:$P,'Painel Additive'!$B38,'Data Additive'!$Q:$Q,"&gt;180",'Data Additive'!$Q:$Q,"&lt;=360")</f>
        <v>0</v>
      </c>
      <c r="N38" s="123">
        <f>SUMIFS('Data Additive'!$D:$D,'Data Additive'!$P:$P,'Painel Additive'!$B38,'Data Additive'!$Q:$Q,"&gt;360")</f>
        <v>0</v>
      </c>
      <c r="O38" s="122">
        <f>SUMIFS('Data Additive'!$D:$D,'Data Additive'!$P:$P,'Painel Additive'!$B38,'Data Additive'!$Q:$Q,"&gt;0")</f>
        <v>0</v>
      </c>
      <c r="P38" s="122">
        <f t="shared" si="5"/>
        <v>0</v>
      </c>
      <c r="Q38" s="122">
        <f>SUMIFS('Data Additive'!$D:$D,'Data Additive'!$P:$P,'Painel Additive'!$B38,'Data Additive'!$Q:$Q,"&lt;=0",'Data Additive'!$Q:$Q,"&gt;=-30")</f>
        <v>0</v>
      </c>
      <c r="R38" s="122">
        <f>SUMIFS('Data Additive'!$D:$D,'Data Additive'!$P:$P,'Painel Additive'!$B38,'Data Additive'!$Q:$Q,"&lt;=-31",'Data Additive'!$Q:$Q,"&gt;=-60")</f>
        <v>0</v>
      </c>
      <c r="S38" s="122">
        <f>SUMIFS('Data Additive'!$D:$D,'Data Additive'!$P:$P,'Painel Additive'!$B38,'Data Additive'!$Q:$Q,"&lt;=-61",'Data Additive'!$Q:$Q,"&gt;=-90")</f>
        <v>0</v>
      </c>
      <c r="T38" s="122">
        <f>SUMIFS('Data Additive'!$D:$D,'Data Additive'!$P:$P,'Painel Additive'!$B38,'Data Additive'!$Q:$Q,"&lt;=-91",'Data Additive'!$Q:$Q,"&gt;=-120")</f>
        <v>0</v>
      </c>
      <c r="U38" s="122">
        <f>SUMIFS('Data Additive'!$D:$D,'Data Additive'!$P:$P,'Painel Additive'!$B38,'Data Additive'!$Q:$Q,"&lt;=-121",'Data Additive'!$Q:$Q,"&gt;=-180")</f>
        <v>0</v>
      </c>
      <c r="V38" s="122">
        <f>SUMIFS('Data Additive'!$D:$D,'Data Additive'!$P:$P,'Painel Additive'!$B38,'Data Additive'!$Q:$Q,"&lt;=-181",'Data Additive'!$Q:$Q,"&gt;=-360")</f>
        <v>0</v>
      </c>
      <c r="W38" s="123">
        <f>SUMIFS('Data Additive'!$D:$D,'Data Additive'!$P:$P,'Painel Additive'!$B38,'Data Additive'!$Q:$Q,"&lt;-360")</f>
        <v>0</v>
      </c>
      <c r="X38" s="19">
        <f>SUMIFS('Bad Debt Provision'!AB:AB,'Bad Debt Provision'!B:B,'Painel Additive'!B38)</f>
        <v>0</v>
      </c>
      <c r="Y38" s="124"/>
      <c r="Z38" s="124"/>
      <c r="AA38" s="19">
        <f>IFERROR(_xlfn.XLOOKUP(B38,'Limite de crédito'!C:C,'Limite de crédito'!O:O,),0)</f>
        <v>0</v>
      </c>
      <c r="AB38" s="122"/>
      <c r="AC38" s="125"/>
      <c r="AD38" s="126"/>
      <c r="AE38" s="126"/>
      <c r="AF38" s="124"/>
      <c r="AG38" s="105">
        <f t="shared" si="2"/>
        <v>0</v>
      </c>
      <c r="AH38" s="124"/>
    </row>
    <row r="39" spans="2:34" s="119" customFormat="1" x14ac:dyDescent="0.25">
      <c r="B39" s="120" t="s">
        <v>144</v>
      </c>
      <c r="C39" s="224">
        <f>IFERROR(_xlfn.XLOOKUP(B39,'Limite de crédito'!C:C,'Limite de crédito'!L:L,),0)</f>
        <v>0</v>
      </c>
      <c r="D39" s="127"/>
      <c r="E39" s="18">
        <f>_xlfn.XLOOKUP(B39,'Limite de crédito'!C:C,'Limite de crédito'!G:G,0)</f>
        <v>0</v>
      </c>
      <c r="F39" s="121">
        <f t="shared" si="6"/>
        <v>0</v>
      </c>
      <c r="G39" s="121">
        <f t="shared" si="7"/>
        <v>0</v>
      </c>
      <c r="H39" s="122">
        <f>SUMIFS('Data Additive'!$D:$D,'Data Additive'!$P:$P,'Painel Additive'!$B39,'Data Additive'!$Q:$Q,"&gt;0",'Data Additive'!$Q:$Q,"&lt;=30")</f>
        <v>0</v>
      </c>
      <c r="I39" s="122">
        <f>SUMIFS('Data Additive'!$D:$D,'Data Additive'!$P:$P,'Painel Additive'!$B39,'Data Additive'!$Q:$Q,"&gt;30",'Data Additive'!$Q:$Q,"&lt;=60")</f>
        <v>0</v>
      </c>
      <c r="J39" s="122">
        <f>SUMIFS('Data Additive'!$D:$D,'Data Additive'!$P:$P,'Painel Additive'!$B39,'Data Additive'!$Q:$Q,"&gt;60",'Data Additive'!$Q:$Q,"&lt;=90")</f>
        <v>0</v>
      </c>
      <c r="K39" s="122">
        <f>SUMIFS('Data Additive'!$D:$D,'Data Additive'!$P:$P,'Painel Additive'!$B39,'Data Additive'!$Q:$Q,"&gt;90",'Data Additive'!$Q:$Q,"&lt;=120")</f>
        <v>0</v>
      </c>
      <c r="L39" s="122">
        <f>SUMIFS('Data Additive'!$D:$D,'Data Additive'!$P:$P,'Painel Additive'!$B39,'Data Additive'!$Q:$Q,"&gt;120",'Data Additive'!$Q:$Q,"&lt;=180")</f>
        <v>0</v>
      </c>
      <c r="M39" s="122">
        <f>SUMIFS('Data Additive'!$D:$D,'Data Additive'!$P:$P,'Painel Additive'!$B39,'Data Additive'!$Q:$Q,"&gt;180",'Data Additive'!$Q:$Q,"&lt;=360")</f>
        <v>0</v>
      </c>
      <c r="N39" s="123">
        <f>SUMIFS('Data Additive'!$D:$D,'Data Additive'!$P:$P,'Painel Additive'!$B39,'Data Additive'!$Q:$Q,"&gt;360")</f>
        <v>0</v>
      </c>
      <c r="O39" s="122">
        <f>SUMIFS('Data Additive'!$D:$D,'Data Additive'!$P:$P,'Painel Additive'!$B39,'Data Additive'!$Q:$Q,"&gt;0")</f>
        <v>0</v>
      </c>
      <c r="P39" s="122">
        <f t="shared" si="5"/>
        <v>0</v>
      </c>
      <c r="Q39" s="122">
        <f>SUMIFS('Data Additive'!$D:$D,'Data Additive'!$P:$P,'Painel Additive'!$B39,'Data Additive'!$Q:$Q,"&lt;=0",'Data Additive'!$Q:$Q,"&gt;=-30")</f>
        <v>0</v>
      </c>
      <c r="R39" s="122">
        <f>SUMIFS('Data Additive'!$D:$D,'Data Additive'!$P:$P,'Painel Additive'!$B39,'Data Additive'!$Q:$Q,"&lt;=-31",'Data Additive'!$Q:$Q,"&gt;=-60")</f>
        <v>0</v>
      </c>
      <c r="S39" s="122">
        <f>SUMIFS('Data Additive'!$D:$D,'Data Additive'!$P:$P,'Painel Additive'!$B39,'Data Additive'!$Q:$Q,"&lt;=-61",'Data Additive'!$Q:$Q,"&gt;=-90")</f>
        <v>0</v>
      </c>
      <c r="T39" s="122">
        <f>SUMIFS('Data Additive'!$D:$D,'Data Additive'!$P:$P,'Painel Additive'!$B39,'Data Additive'!$Q:$Q,"&lt;=-91",'Data Additive'!$Q:$Q,"&gt;=-120")</f>
        <v>0</v>
      </c>
      <c r="U39" s="122">
        <f>SUMIFS('Data Additive'!$D:$D,'Data Additive'!$P:$P,'Painel Additive'!$B39,'Data Additive'!$Q:$Q,"&lt;=-121",'Data Additive'!$Q:$Q,"&gt;=-180")</f>
        <v>0</v>
      </c>
      <c r="V39" s="122">
        <f>SUMIFS('Data Additive'!$D:$D,'Data Additive'!$P:$P,'Painel Additive'!$B39,'Data Additive'!$Q:$Q,"&lt;=-181",'Data Additive'!$Q:$Q,"&gt;=-360")</f>
        <v>0</v>
      </c>
      <c r="W39" s="123">
        <f>SUMIFS('Data Additive'!$D:$D,'Data Additive'!$P:$P,'Painel Additive'!$B39,'Data Additive'!$Q:$Q,"&lt;-360")</f>
        <v>0</v>
      </c>
      <c r="X39" s="19">
        <f>SUMIFS('Bad Debt Provision'!AB:AB,'Bad Debt Provision'!B:B,'Painel Additive'!B39)</f>
        <v>0</v>
      </c>
      <c r="Y39" s="124"/>
      <c r="Z39" s="124"/>
      <c r="AA39" s="19">
        <f>IFERROR(_xlfn.XLOOKUP(B39,'Limite de crédito'!C:C,'Limite de crédito'!O:O,),0)</f>
        <v>0</v>
      </c>
      <c r="AB39" s="122"/>
      <c r="AC39" s="125"/>
      <c r="AD39" s="126"/>
      <c r="AE39" s="126"/>
      <c r="AF39" s="124"/>
      <c r="AG39" s="105">
        <f t="shared" si="2"/>
        <v>0</v>
      </c>
      <c r="AH39" s="124"/>
    </row>
    <row r="40" spans="2:34" s="119" customFormat="1" x14ac:dyDescent="0.25">
      <c r="B40" s="120" t="s">
        <v>174</v>
      </c>
      <c r="C40" s="224">
        <f>IFERROR(_xlfn.XLOOKUP(B40,'Limite de crédito'!C:C,'Limite de crédito'!L:L,),0)</f>
        <v>0</v>
      </c>
      <c r="D40" s="127"/>
      <c r="E40" s="18">
        <f>_xlfn.XLOOKUP(B40,'Limite de crédito'!C:C,'Limite de crédito'!G:G,0)</f>
        <v>0</v>
      </c>
      <c r="F40" s="121">
        <f t="shared" si="6"/>
        <v>0</v>
      </c>
      <c r="G40" s="121">
        <f t="shared" si="7"/>
        <v>0</v>
      </c>
      <c r="H40" s="122">
        <f>SUMIFS('Data Additive'!$D:$D,'Data Additive'!$P:$P,'Painel Additive'!$B40,'Data Additive'!$Q:$Q,"&gt;0",'Data Additive'!$Q:$Q,"&lt;=30")</f>
        <v>0</v>
      </c>
      <c r="I40" s="122">
        <f>SUMIFS('Data Additive'!$D:$D,'Data Additive'!$P:$P,'Painel Additive'!$B40,'Data Additive'!$Q:$Q,"&gt;30",'Data Additive'!$Q:$Q,"&lt;=60")</f>
        <v>0</v>
      </c>
      <c r="J40" s="122">
        <f>SUMIFS('Data Additive'!$D:$D,'Data Additive'!$P:$P,'Painel Additive'!$B40,'Data Additive'!$Q:$Q,"&gt;60",'Data Additive'!$Q:$Q,"&lt;=90")</f>
        <v>0</v>
      </c>
      <c r="K40" s="122">
        <f>SUMIFS('Data Additive'!$D:$D,'Data Additive'!$P:$P,'Painel Additive'!$B40,'Data Additive'!$Q:$Q,"&gt;90",'Data Additive'!$Q:$Q,"&lt;=120")</f>
        <v>0</v>
      </c>
      <c r="L40" s="122">
        <f>SUMIFS('Data Additive'!$D:$D,'Data Additive'!$P:$P,'Painel Additive'!$B40,'Data Additive'!$Q:$Q,"&gt;120",'Data Additive'!$Q:$Q,"&lt;=180")</f>
        <v>0</v>
      </c>
      <c r="M40" s="122">
        <f>SUMIFS('Data Additive'!$D:$D,'Data Additive'!$P:$P,'Painel Additive'!$B40,'Data Additive'!$Q:$Q,"&gt;180",'Data Additive'!$Q:$Q,"&lt;=360")</f>
        <v>0</v>
      </c>
      <c r="N40" s="123">
        <f>SUMIFS('Data Additive'!$D:$D,'Data Additive'!$P:$P,'Painel Additive'!$B40,'Data Additive'!$Q:$Q,"&gt;360")</f>
        <v>0</v>
      </c>
      <c r="O40" s="122">
        <f>SUMIFS('Data Additive'!$D:$D,'Data Additive'!$P:$P,'Painel Additive'!$B40,'Data Additive'!$Q:$Q,"&gt;0")</f>
        <v>0</v>
      </c>
      <c r="P40" s="122">
        <f t="shared" si="5"/>
        <v>0</v>
      </c>
      <c r="Q40" s="122">
        <f>SUMIFS('Data Additive'!$D:$D,'Data Additive'!$P:$P,'Painel Additive'!$B40,'Data Additive'!$Q:$Q,"&lt;=0",'Data Additive'!$Q:$Q,"&gt;=-30")</f>
        <v>0</v>
      </c>
      <c r="R40" s="122">
        <f>SUMIFS('Data Additive'!$D:$D,'Data Additive'!$P:$P,'Painel Additive'!$B40,'Data Additive'!$Q:$Q,"&lt;=-31",'Data Additive'!$Q:$Q,"&gt;=-60")</f>
        <v>0</v>
      </c>
      <c r="S40" s="122">
        <f>SUMIFS('Data Additive'!$D:$D,'Data Additive'!$P:$P,'Painel Additive'!$B40,'Data Additive'!$Q:$Q,"&lt;=-61",'Data Additive'!$Q:$Q,"&gt;=-90")</f>
        <v>0</v>
      </c>
      <c r="T40" s="122">
        <f>SUMIFS('Data Additive'!$D:$D,'Data Additive'!$P:$P,'Painel Additive'!$B40,'Data Additive'!$Q:$Q,"&lt;=-91",'Data Additive'!$Q:$Q,"&gt;=-120")</f>
        <v>0</v>
      </c>
      <c r="U40" s="122">
        <f>SUMIFS('Data Additive'!$D:$D,'Data Additive'!$P:$P,'Painel Additive'!$B40,'Data Additive'!$Q:$Q,"&lt;=-121",'Data Additive'!$Q:$Q,"&gt;=-180")</f>
        <v>0</v>
      </c>
      <c r="V40" s="122">
        <f>SUMIFS('Data Additive'!$D:$D,'Data Additive'!$P:$P,'Painel Additive'!$B40,'Data Additive'!$Q:$Q,"&lt;=-181",'Data Additive'!$Q:$Q,"&gt;=-360")</f>
        <v>0</v>
      </c>
      <c r="W40" s="123">
        <f>SUMIFS('Data Additive'!$D:$D,'Data Additive'!$P:$P,'Painel Additive'!$B40,'Data Additive'!$Q:$Q,"&lt;-360")</f>
        <v>0</v>
      </c>
      <c r="X40" s="19">
        <f>SUMIFS('Bad Debt Provision'!AB:AB,'Bad Debt Provision'!B:B,'Painel Additive'!B40)</f>
        <v>0</v>
      </c>
      <c r="Y40" s="124"/>
      <c r="Z40" s="124"/>
      <c r="AA40" s="19">
        <f>IFERROR(_xlfn.XLOOKUP(B40,'Limite de crédito'!C:C,'Limite de crédito'!O:O,),0)</f>
        <v>0</v>
      </c>
      <c r="AB40" s="122"/>
      <c r="AC40" s="125"/>
      <c r="AD40" s="126"/>
      <c r="AE40" s="126"/>
      <c r="AF40" s="124"/>
      <c r="AG40" s="105">
        <f t="shared" si="2"/>
        <v>0</v>
      </c>
      <c r="AH40" s="124"/>
    </row>
    <row r="41" spans="2:34" s="119" customFormat="1" x14ac:dyDescent="0.25">
      <c r="B41" s="120" t="s">
        <v>272</v>
      </c>
      <c r="C41" s="224">
        <f>IFERROR(_xlfn.XLOOKUP(B41,'Limite de crédito'!C:C,'Limite de crédito'!L:L,),0)</f>
        <v>0</v>
      </c>
      <c r="D41" s="127"/>
      <c r="E41" s="18">
        <f>_xlfn.XLOOKUP(B41,'Limite de crédito'!C:C,'Limite de crédito'!G:G,0)</f>
        <v>0</v>
      </c>
      <c r="F41" s="121">
        <f t="shared" si="6"/>
        <v>0</v>
      </c>
      <c r="G41" s="121">
        <f t="shared" si="7"/>
        <v>0</v>
      </c>
      <c r="H41" s="122">
        <f>SUMIFS('Data Additive'!$D:$D,'Data Additive'!$P:$P,'Painel Additive'!$B41,'Data Additive'!$Q:$Q,"&gt;0",'Data Additive'!$Q:$Q,"&lt;=30")</f>
        <v>0</v>
      </c>
      <c r="I41" s="122">
        <f>SUMIFS('Data Additive'!$D:$D,'Data Additive'!$P:$P,'Painel Additive'!$B41,'Data Additive'!$Q:$Q,"&gt;30",'Data Additive'!$Q:$Q,"&lt;=60")</f>
        <v>0</v>
      </c>
      <c r="J41" s="122">
        <f>SUMIFS('Data Additive'!$D:$D,'Data Additive'!$P:$P,'Painel Additive'!$B41,'Data Additive'!$Q:$Q,"&gt;60",'Data Additive'!$Q:$Q,"&lt;=90")</f>
        <v>0</v>
      </c>
      <c r="K41" s="122">
        <f>SUMIFS('Data Additive'!$D:$D,'Data Additive'!$P:$P,'Painel Additive'!$B41,'Data Additive'!$Q:$Q,"&gt;90",'Data Additive'!$Q:$Q,"&lt;=120")</f>
        <v>0</v>
      </c>
      <c r="L41" s="122">
        <f>SUMIFS('Data Additive'!$D:$D,'Data Additive'!$P:$P,'Painel Additive'!$B41,'Data Additive'!$Q:$Q,"&gt;120",'Data Additive'!$Q:$Q,"&lt;=180")</f>
        <v>0</v>
      </c>
      <c r="M41" s="122">
        <f>SUMIFS('Data Additive'!$D:$D,'Data Additive'!$P:$P,'Painel Additive'!$B41,'Data Additive'!$Q:$Q,"&gt;180",'Data Additive'!$Q:$Q,"&lt;=360")</f>
        <v>0</v>
      </c>
      <c r="N41" s="123">
        <f>SUMIFS('Data Additive'!$D:$D,'Data Additive'!$P:$P,'Painel Additive'!$B41,'Data Additive'!$Q:$Q,"&gt;360")</f>
        <v>0</v>
      </c>
      <c r="O41" s="122">
        <f>SUMIFS('Data Additive'!$D:$D,'Data Additive'!$P:$P,'Painel Additive'!$B41,'Data Additive'!$Q:$Q,"&gt;0")</f>
        <v>0</v>
      </c>
      <c r="P41" s="122">
        <f t="shared" si="5"/>
        <v>0</v>
      </c>
      <c r="Q41" s="122">
        <f>SUMIFS('Data Additive'!$D:$D,'Data Additive'!$P:$P,'Painel Additive'!$B41,'Data Additive'!$Q:$Q,"&lt;=0",'Data Additive'!$Q:$Q,"&gt;=-30")</f>
        <v>0</v>
      </c>
      <c r="R41" s="122">
        <f>SUMIFS('Data Additive'!$D:$D,'Data Additive'!$P:$P,'Painel Additive'!$B41,'Data Additive'!$Q:$Q,"&lt;=-31",'Data Additive'!$Q:$Q,"&gt;=-60")</f>
        <v>0</v>
      </c>
      <c r="S41" s="122">
        <f>SUMIFS('Data Additive'!$D:$D,'Data Additive'!$P:$P,'Painel Additive'!$B41,'Data Additive'!$Q:$Q,"&lt;=-61",'Data Additive'!$Q:$Q,"&gt;=-90")</f>
        <v>0</v>
      </c>
      <c r="T41" s="122">
        <f>SUMIFS('Data Additive'!$D:$D,'Data Additive'!$P:$P,'Painel Additive'!$B41,'Data Additive'!$Q:$Q,"&lt;=-91",'Data Additive'!$Q:$Q,"&gt;=-120")</f>
        <v>0</v>
      </c>
      <c r="U41" s="122">
        <f>SUMIFS('Data Additive'!$D:$D,'Data Additive'!$P:$P,'Painel Additive'!$B41,'Data Additive'!$Q:$Q,"&lt;=-121",'Data Additive'!$Q:$Q,"&gt;=-180")</f>
        <v>0</v>
      </c>
      <c r="V41" s="122">
        <f>SUMIFS('Data Additive'!$D:$D,'Data Additive'!$P:$P,'Painel Additive'!$B41,'Data Additive'!$Q:$Q,"&lt;=-181",'Data Additive'!$Q:$Q,"&gt;=-360")</f>
        <v>0</v>
      </c>
      <c r="W41" s="123">
        <f>SUMIFS('Data Additive'!$D:$D,'Data Additive'!$P:$P,'Painel Additive'!$B41,'Data Additive'!$Q:$Q,"&lt;-360")</f>
        <v>0</v>
      </c>
      <c r="X41" s="19">
        <f>SUMIFS('Bad Debt Provision'!AB:AB,'Bad Debt Provision'!B:B,'Painel Additive'!B41)</f>
        <v>0</v>
      </c>
      <c r="Y41" s="124"/>
      <c r="Z41" s="124"/>
      <c r="AA41" s="19">
        <f>IFERROR(_xlfn.XLOOKUP(B41,'Limite de crédito'!C:C,'Limite de crédito'!O:O,),0)</f>
        <v>0</v>
      </c>
      <c r="AB41" s="122"/>
      <c r="AC41" s="125"/>
      <c r="AD41" s="126"/>
      <c r="AE41" s="126"/>
      <c r="AF41" s="124"/>
      <c r="AG41" s="105">
        <f t="shared" si="2"/>
        <v>0</v>
      </c>
    </row>
    <row r="42" spans="2:34" s="119" customFormat="1" x14ac:dyDescent="0.25">
      <c r="B42" s="120" t="s">
        <v>382</v>
      </c>
      <c r="C42" s="224">
        <f>IFERROR(_xlfn.XLOOKUP(B42,'Limite de crédito'!C:C,'Limite de crédito'!L:L,),0)</f>
        <v>0</v>
      </c>
      <c r="D42" s="127"/>
      <c r="E42" s="18">
        <f>_xlfn.XLOOKUP(B42,'Limite de crédito'!C:C,'Limite de crédito'!G:G,0)</f>
        <v>0</v>
      </c>
      <c r="F42" s="121">
        <f>E42-G42</f>
        <v>-300</v>
      </c>
      <c r="G42" s="121">
        <f>P42+O42</f>
        <v>300</v>
      </c>
      <c r="H42" s="122">
        <f>SUMIFS('Data Additive'!$D:$D,'Data Additive'!$P:$P,'Painel Additive'!$B42,'Data Additive'!$Q:$Q,"&gt;0",'Data Additive'!$Q:$Q,"&lt;=30")</f>
        <v>0</v>
      </c>
      <c r="I42" s="122">
        <f>SUMIFS('Data Additive'!$D:$D,'Data Additive'!$P:$P,'Painel Additive'!$B42,'Data Additive'!$Q:$Q,"&gt;30",'Data Additive'!$Q:$Q,"&lt;=60")</f>
        <v>0</v>
      </c>
      <c r="J42" s="122">
        <f>SUMIFS('Data Additive'!$D:$D,'Data Additive'!$P:$P,'Painel Additive'!$B42,'Data Additive'!$Q:$Q,"&gt;60",'Data Additive'!$Q:$Q,"&lt;=90")</f>
        <v>0</v>
      </c>
      <c r="K42" s="122">
        <f>SUMIFS('Data Additive'!$D:$D,'Data Additive'!$P:$P,'Painel Additive'!$B42,'Data Additive'!$Q:$Q,"&gt;90",'Data Additive'!$Q:$Q,"&lt;=120")</f>
        <v>0</v>
      </c>
      <c r="L42" s="122">
        <f>SUMIFS('Data Additive'!$D:$D,'Data Additive'!$P:$P,'Painel Additive'!$B42,'Data Additive'!$Q:$Q,"&gt;120",'Data Additive'!$Q:$Q,"&lt;=180")</f>
        <v>0</v>
      </c>
      <c r="M42" s="122">
        <f>SUMIFS('Data Additive'!$D:$D,'Data Additive'!$P:$P,'Painel Additive'!$B42,'Data Additive'!$Q:$Q,"&gt;180",'Data Additive'!$Q:$Q,"&lt;=360")</f>
        <v>0</v>
      </c>
      <c r="N42" s="123">
        <f>SUMIFS('Data Additive'!$D:$D,'Data Additive'!$P:$P,'Painel Additive'!$B42,'Data Additive'!$Q:$Q,"&gt;360")</f>
        <v>300</v>
      </c>
      <c r="O42" s="122">
        <f>SUMIFS('Data Additive'!$D:$D,'Data Additive'!$P:$P,'Painel Additive'!$B42,'Data Additive'!$Q:$Q,"&gt;0")</f>
        <v>300</v>
      </c>
      <c r="P42" s="122">
        <f t="shared" si="5"/>
        <v>0</v>
      </c>
      <c r="Q42" s="122">
        <f>SUMIFS('Data Additive'!$D:$D,'Data Additive'!$P:$P,'Painel Additive'!$B42,'Data Additive'!$Q:$Q,"&lt;=0",'Data Additive'!$Q:$Q,"&gt;=-30")</f>
        <v>0</v>
      </c>
      <c r="R42" s="122">
        <f>SUMIFS('Data Additive'!$D:$D,'Data Additive'!$P:$P,'Painel Additive'!$B42,'Data Additive'!$Q:$Q,"&lt;=-31",'Data Additive'!$Q:$Q,"&gt;=-60")</f>
        <v>0</v>
      </c>
      <c r="S42" s="122">
        <f>SUMIFS('Data Additive'!$D:$D,'Data Additive'!$P:$P,'Painel Additive'!$B42,'Data Additive'!$Q:$Q,"&lt;=-61",'Data Additive'!$Q:$Q,"&gt;=-90")</f>
        <v>0</v>
      </c>
      <c r="T42" s="122">
        <f>SUMIFS('Data Additive'!$D:$D,'Data Additive'!$P:$P,'Painel Additive'!$B42,'Data Additive'!$Q:$Q,"&lt;=-91",'Data Additive'!$Q:$Q,"&gt;=-120")</f>
        <v>0</v>
      </c>
      <c r="U42" s="122">
        <f>SUMIFS('Data Additive'!$D:$D,'Data Additive'!$P:$P,'Painel Additive'!$B42,'Data Additive'!$Q:$Q,"&lt;=-121",'Data Additive'!$Q:$Q,"&gt;=-180")</f>
        <v>0</v>
      </c>
      <c r="V42" s="122">
        <f>SUMIFS('Data Additive'!$D:$D,'Data Additive'!$P:$P,'Painel Additive'!$B42,'Data Additive'!$Q:$Q,"&lt;=-181",'Data Additive'!$Q:$Q,"&gt;=-360")</f>
        <v>0</v>
      </c>
      <c r="W42" s="123">
        <f>SUMIFS('Data Additive'!$D:$D,'Data Additive'!$P:$P,'Painel Additive'!$B42,'Data Additive'!$Q:$Q,"&lt;-360")</f>
        <v>0</v>
      </c>
      <c r="X42" s="19">
        <f>SUMIFS('Bad Debt Provision'!AB:AB,'Bad Debt Provision'!B:B,'Painel Additive'!B42)</f>
        <v>300</v>
      </c>
      <c r="Y42" s="124"/>
      <c r="Z42" s="124"/>
      <c r="AA42" s="19">
        <f>IFERROR(_xlfn.XLOOKUP(B42,'Limite de crédito'!C:C,'Limite de crédito'!O:O,),0)</f>
        <v>0</v>
      </c>
      <c r="AB42" s="122"/>
      <c r="AC42" s="125"/>
      <c r="AD42" s="126"/>
      <c r="AE42" s="126"/>
      <c r="AF42" s="124"/>
      <c r="AG42" s="105">
        <f t="shared" si="2"/>
        <v>-300</v>
      </c>
    </row>
    <row r="43" spans="2:34" s="119" customFormat="1" x14ac:dyDescent="0.25">
      <c r="B43" s="120" t="s">
        <v>136</v>
      </c>
      <c r="C43" s="224">
        <f>IFERROR(_xlfn.XLOOKUP(B43,'Limite de crédito'!C:C,'Limite de crédito'!L:L,),0)</f>
        <v>0</v>
      </c>
      <c r="D43" s="127"/>
      <c r="E43" s="18">
        <f>_xlfn.XLOOKUP(B43,'Limite de crédito'!C:C,'Limite de crédito'!G:G,0)</f>
        <v>0</v>
      </c>
      <c r="F43" s="121">
        <f t="shared" si="6"/>
        <v>0</v>
      </c>
      <c r="G43" s="121">
        <f t="shared" si="7"/>
        <v>0</v>
      </c>
      <c r="H43" s="122">
        <f>SUMIFS('Data Additive'!$D:$D,'Data Additive'!$P:$P,'Painel Additive'!$B43,'Data Additive'!$Q:$Q,"&gt;0",'Data Additive'!$Q:$Q,"&lt;=30")</f>
        <v>0</v>
      </c>
      <c r="I43" s="122">
        <f>SUMIFS('Data Additive'!$D:$D,'Data Additive'!$P:$P,'Painel Additive'!$B43,'Data Additive'!$Q:$Q,"&gt;30",'Data Additive'!$Q:$Q,"&lt;=60")</f>
        <v>0</v>
      </c>
      <c r="J43" s="122">
        <f>SUMIFS('Data Additive'!$D:$D,'Data Additive'!$P:$P,'Painel Additive'!$B43,'Data Additive'!$Q:$Q,"&gt;60",'Data Additive'!$Q:$Q,"&lt;=90")</f>
        <v>0</v>
      </c>
      <c r="K43" s="122">
        <f>SUMIFS('Data Additive'!$D:$D,'Data Additive'!$P:$P,'Painel Additive'!$B43,'Data Additive'!$Q:$Q,"&gt;90",'Data Additive'!$Q:$Q,"&lt;=120")</f>
        <v>0</v>
      </c>
      <c r="L43" s="122">
        <f>SUMIFS('Data Additive'!$D:$D,'Data Additive'!$P:$P,'Painel Additive'!$B43,'Data Additive'!$Q:$Q,"&gt;120",'Data Additive'!$Q:$Q,"&lt;=180")</f>
        <v>0</v>
      </c>
      <c r="M43" s="122">
        <f>SUMIFS('Data Additive'!$D:$D,'Data Additive'!$P:$P,'Painel Additive'!$B43,'Data Additive'!$Q:$Q,"&gt;180",'Data Additive'!$Q:$Q,"&lt;=360")</f>
        <v>0</v>
      </c>
      <c r="N43" s="123">
        <f>SUMIFS('Data Additive'!$D:$D,'Data Additive'!$P:$P,'Painel Additive'!$B43,'Data Additive'!$Q:$Q,"&gt;360")</f>
        <v>0</v>
      </c>
      <c r="O43" s="122">
        <f>SUMIFS('Data Additive'!$D:$D,'Data Additive'!$P:$P,'Painel Additive'!$B43,'Data Additive'!$Q:$Q,"&gt;0")</f>
        <v>0</v>
      </c>
      <c r="P43" s="122">
        <f t="shared" si="5"/>
        <v>0</v>
      </c>
      <c r="Q43" s="122">
        <f>SUMIFS('Data Additive'!$D:$D,'Data Additive'!$P:$P,'Painel Additive'!$B43,'Data Additive'!$Q:$Q,"&lt;=0",'Data Additive'!$Q:$Q,"&gt;=-30")</f>
        <v>0</v>
      </c>
      <c r="R43" s="122">
        <f>SUMIFS('Data Additive'!$D:$D,'Data Additive'!$P:$P,'Painel Additive'!$B43,'Data Additive'!$Q:$Q,"&lt;=-31",'Data Additive'!$Q:$Q,"&gt;=-60")</f>
        <v>0</v>
      </c>
      <c r="S43" s="122">
        <f>SUMIFS('Data Additive'!$D:$D,'Data Additive'!$P:$P,'Painel Additive'!$B43,'Data Additive'!$Q:$Q,"&lt;=-61",'Data Additive'!$Q:$Q,"&gt;=-90")</f>
        <v>0</v>
      </c>
      <c r="T43" s="122">
        <f>SUMIFS('Data Additive'!$D:$D,'Data Additive'!$P:$P,'Painel Additive'!$B43,'Data Additive'!$Q:$Q,"&lt;=-91",'Data Additive'!$Q:$Q,"&gt;=-120")</f>
        <v>0</v>
      </c>
      <c r="U43" s="122">
        <f>SUMIFS('Data Additive'!$D:$D,'Data Additive'!$P:$P,'Painel Additive'!$B43,'Data Additive'!$Q:$Q,"&lt;=-121",'Data Additive'!$Q:$Q,"&gt;=-180")</f>
        <v>0</v>
      </c>
      <c r="V43" s="122">
        <f>SUMIFS('Data Additive'!$D:$D,'Data Additive'!$P:$P,'Painel Additive'!$B43,'Data Additive'!$Q:$Q,"&lt;=-181",'Data Additive'!$Q:$Q,"&gt;=-360")</f>
        <v>0</v>
      </c>
      <c r="W43" s="123">
        <f>SUMIFS('Data Additive'!$D:$D,'Data Additive'!$P:$P,'Painel Additive'!$B43,'Data Additive'!$Q:$Q,"&lt;-360")</f>
        <v>0</v>
      </c>
      <c r="X43" s="19">
        <f>SUMIFS('Bad Debt Provision'!AB:AB,'Bad Debt Provision'!B:B,'Painel Additive'!B43)</f>
        <v>0</v>
      </c>
      <c r="Y43" s="124"/>
      <c r="Z43" s="124"/>
      <c r="AA43" s="19">
        <f>IFERROR(_xlfn.XLOOKUP(B43,'Limite de crédito'!C:C,'Limite de crédito'!O:O,),0)</f>
        <v>0</v>
      </c>
      <c r="AB43" s="122"/>
      <c r="AC43" s="125"/>
      <c r="AD43" s="126"/>
      <c r="AE43" s="126"/>
      <c r="AF43" s="124"/>
      <c r="AG43" s="105">
        <f t="shared" si="2"/>
        <v>0</v>
      </c>
      <c r="AH43" s="124"/>
    </row>
    <row r="44" spans="2:34" s="119" customFormat="1" x14ac:dyDescent="0.25">
      <c r="B44" s="120" t="s">
        <v>264</v>
      </c>
      <c r="C44" s="224">
        <f>IFERROR(_xlfn.XLOOKUP(B44,'Limite de crédito'!C:C,'Limite de crédito'!L:L,),0)</f>
        <v>0</v>
      </c>
      <c r="D44" s="127"/>
      <c r="E44" s="18">
        <f>_xlfn.XLOOKUP(B44,'Limite de crédito'!C:C,'Limite de crédito'!G:G,0)</f>
        <v>0</v>
      </c>
      <c r="F44" s="121">
        <f t="shared" si="6"/>
        <v>-100</v>
      </c>
      <c r="G44" s="121">
        <f t="shared" si="7"/>
        <v>100</v>
      </c>
      <c r="H44" s="122">
        <f>SUMIFS('Data Additive'!$D:$D,'Data Additive'!$P:$P,'Painel Additive'!$B44,'Data Additive'!$Q:$Q,"&gt;0",'Data Additive'!$Q:$Q,"&lt;=30")</f>
        <v>0</v>
      </c>
      <c r="I44" s="122">
        <f>SUMIFS('Data Additive'!$D:$D,'Data Additive'!$P:$P,'Painel Additive'!$B44,'Data Additive'!$Q:$Q,"&gt;30",'Data Additive'!$Q:$Q,"&lt;=60")</f>
        <v>0</v>
      </c>
      <c r="J44" s="122">
        <f>SUMIFS('Data Additive'!$D:$D,'Data Additive'!$P:$P,'Painel Additive'!$B44,'Data Additive'!$Q:$Q,"&gt;60",'Data Additive'!$Q:$Q,"&lt;=90")</f>
        <v>0</v>
      </c>
      <c r="K44" s="122">
        <f>SUMIFS('Data Additive'!$D:$D,'Data Additive'!$P:$P,'Painel Additive'!$B44,'Data Additive'!$Q:$Q,"&gt;90",'Data Additive'!$Q:$Q,"&lt;=120")</f>
        <v>0</v>
      </c>
      <c r="L44" s="122">
        <f>SUMIFS('Data Additive'!$D:$D,'Data Additive'!$P:$P,'Painel Additive'!$B44,'Data Additive'!$Q:$Q,"&gt;120",'Data Additive'!$Q:$Q,"&lt;=180")</f>
        <v>0</v>
      </c>
      <c r="M44" s="122">
        <f>SUMIFS('Data Additive'!$D:$D,'Data Additive'!$P:$P,'Painel Additive'!$B44,'Data Additive'!$Q:$Q,"&gt;180",'Data Additive'!$Q:$Q,"&lt;=360")</f>
        <v>0</v>
      </c>
      <c r="N44" s="123">
        <f>SUMIFS('Data Additive'!$D:$D,'Data Additive'!$P:$P,'Painel Additive'!$B44,'Data Additive'!$Q:$Q,"&gt;360")</f>
        <v>100</v>
      </c>
      <c r="O44" s="122">
        <f>SUMIFS('Data Additive'!$D:$D,'Data Additive'!$P:$P,'Painel Additive'!$B44,'Data Additive'!$Q:$Q,"&gt;0")</f>
        <v>100</v>
      </c>
      <c r="P44" s="122">
        <f t="shared" si="5"/>
        <v>0</v>
      </c>
      <c r="Q44" s="122">
        <f>SUMIFS('Data Additive'!$D:$D,'Data Additive'!$P:$P,'Painel Additive'!$B44,'Data Additive'!$Q:$Q,"&lt;=0",'Data Additive'!$Q:$Q,"&gt;=-30")</f>
        <v>0</v>
      </c>
      <c r="R44" s="122">
        <f>SUMIFS('Data Additive'!$D:$D,'Data Additive'!$P:$P,'Painel Additive'!$B44,'Data Additive'!$Q:$Q,"&lt;=-31",'Data Additive'!$Q:$Q,"&gt;=-60")</f>
        <v>0</v>
      </c>
      <c r="S44" s="122">
        <f>SUMIFS('Data Additive'!$D:$D,'Data Additive'!$P:$P,'Painel Additive'!$B44,'Data Additive'!$Q:$Q,"&lt;=-61",'Data Additive'!$Q:$Q,"&gt;=-90")</f>
        <v>0</v>
      </c>
      <c r="T44" s="122">
        <f>SUMIFS('Data Additive'!$D:$D,'Data Additive'!$P:$P,'Painel Additive'!$B44,'Data Additive'!$Q:$Q,"&lt;=-91",'Data Additive'!$Q:$Q,"&gt;=-120")</f>
        <v>0</v>
      </c>
      <c r="U44" s="122">
        <f>SUMIFS('Data Additive'!$D:$D,'Data Additive'!$P:$P,'Painel Additive'!$B44,'Data Additive'!$Q:$Q,"&lt;=-121",'Data Additive'!$Q:$Q,"&gt;=-180")</f>
        <v>0</v>
      </c>
      <c r="V44" s="122">
        <f>SUMIFS('Data Additive'!$D:$D,'Data Additive'!$P:$P,'Painel Additive'!$B44,'Data Additive'!$Q:$Q,"&lt;=-181",'Data Additive'!$Q:$Q,"&gt;=-360")</f>
        <v>0</v>
      </c>
      <c r="W44" s="123">
        <f>SUMIFS('Data Additive'!$D:$D,'Data Additive'!$P:$P,'Painel Additive'!$B44,'Data Additive'!$Q:$Q,"&lt;-360")</f>
        <v>0</v>
      </c>
      <c r="X44" s="19">
        <f>SUMIFS('Bad Debt Provision'!AB:AB,'Bad Debt Provision'!B:B,'Painel Additive'!B44)</f>
        <v>100</v>
      </c>
      <c r="Y44" s="124"/>
      <c r="Z44" s="124"/>
      <c r="AA44" s="19">
        <f>IFERROR(_xlfn.XLOOKUP(B44,'Limite de crédito'!C:C,'Limite de crédito'!O:O,),0)</f>
        <v>0</v>
      </c>
      <c r="AB44" s="122"/>
      <c r="AC44" s="125"/>
      <c r="AD44" s="126"/>
      <c r="AE44" s="126"/>
      <c r="AF44" s="124"/>
      <c r="AG44" s="105">
        <f t="shared" si="2"/>
        <v>-100</v>
      </c>
    </row>
    <row r="45" spans="2:34" s="119" customFormat="1" ht="13.95" customHeight="1" x14ac:dyDescent="0.25">
      <c r="B45" s="120" t="s">
        <v>308</v>
      </c>
      <c r="C45" s="224">
        <f>IFERROR(_xlfn.XLOOKUP(B45,'Limite de crédito'!C:C,'Limite de crédito'!L:L,),0)</f>
        <v>0</v>
      </c>
      <c r="D45" s="127"/>
      <c r="E45" s="18">
        <f>_xlfn.XLOOKUP(B45,'Limite de crédito'!C:C,'Limite de crédito'!G:G,0)</f>
        <v>0</v>
      </c>
      <c r="F45" s="121">
        <f t="shared" si="6"/>
        <v>-50</v>
      </c>
      <c r="G45" s="121">
        <f t="shared" si="7"/>
        <v>50</v>
      </c>
      <c r="H45" s="122">
        <f>SUMIFS('Data Additive'!$D:$D,'Data Additive'!$P:$P,'Painel Additive'!$B45,'Data Additive'!$Q:$Q,"&gt;0",'Data Additive'!$Q:$Q,"&lt;=30")</f>
        <v>0</v>
      </c>
      <c r="I45" s="122">
        <f>SUMIFS('Data Additive'!$D:$D,'Data Additive'!$P:$P,'Painel Additive'!$B45,'Data Additive'!$Q:$Q,"&gt;30",'Data Additive'!$Q:$Q,"&lt;=60")</f>
        <v>0</v>
      </c>
      <c r="J45" s="122">
        <f>SUMIFS('Data Additive'!$D:$D,'Data Additive'!$P:$P,'Painel Additive'!$B45,'Data Additive'!$Q:$Q,"&gt;60",'Data Additive'!$Q:$Q,"&lt;=90")</f>
        <v>0</v>
      </c>
      <c r="K45" s="122">
        <f>SUMIFS('Data Additive'!$D:$D,'Data Additive'!$P:$P,'Painel Additive'!$B45,'Data Additive'!$Q:$Q,"&gt;90",'Data Additive'!$Q:$Q,"&lt;=120")</f>
        <v>0</v>
      </c>
      <c r="L45" s="122">
        <f>SUMIFS('Data Additive'!$D:$D,'Data Additive'!$P:$P,'Painel Additive'!$B45,'Data Additive'!$Q:$Q,"&gt;120",'Data Additive'!$Q:$Q,"&lt;=180")</f>
        <v>0</v>
      </c>
      <c r="M45" s="122">
        <f>SUMIFS('Data Additive'!$D:$D,'Data Additive'!$P:$P,'Painel Additive'!$B45,'Data Additive'!$Q:$Q,"&gt;180",'Data Additive'!$Q:$Q,"&lt;=360")</f>
        <v>0</v>
      </c>
      <c r="N45" s="123">
        <f>SUMIFS('Data Additive'!$D:$D,'Data Additive'!$P:$P,'Painel Additive'!$B45,'Data Additive'!$Q:$Q,"&gt;360")</f>
        <v>50</v>
      </c>
      <c r="O45" s="122">
        <f>SUMIFS('Data Additive'!$D:$D,'Data Additive'!$P:$P,'Painel Additive'!$B45,'Data Additive'!$Q:$Q,"&gt;0")</f>
        <v>50</v>
      </c>
      <c r="P45" s="122">
        <f t="shared" si="5"/>
        <v>0</v>
      </c>
      <c r="Q45" s="122">
        <f>SUMIFS('Data Additive'!$D:$D,'Data Additive'!$P:$P,'Painel Additive'!$B45,'Data Additive'!$Q:$Q,"&lt;=0",'Data Additive'!$Q:$Q,"&gt;=-30")</f>
        <v>0</v>
      </c>
      <c r="R45" s="122">
        <f>SUMIFS('Data Additive'!$D:$D,'Data Additive'!$P:$P,'Painel Additive'!$B45,'Data Additive'!$Q:$Q,"&lt;=-31",'Data Additive'!$Q:$Q,"&gt;=-60")</f>
        <v>0</v>
      </c>
      <c r="S45" s="122">
        <f>SUMIFS('Data Additive'!$D:$D,'Data Additive'!$P:$P,'Painel Additive'!$B45,'Data Additive'!$Q:$Q,"&lt;=-61",'Data Additive'!$Q:$Q,"&gt;=-90")</f>
        <v>0</v>
      </c>
      <c r="T45" s="122">
        <f>SUMIFS('Data Additive'!$D:$D,'Data Additive'!$P:$P,'Painel Additive'!$B45,'Data Additive'!$Q:$Q,"&lt;=-91",'Data Additive'!$Q:$Q,"&gt;=-120")</f>
        <v>0</v>
      </c>
      <c r="U45" s="122">
        <f>SUMIFS('Data Additive'!$D:$D,'Data Additive'!$P:$P,'Painel Additive'!$B45,'Data Additive'!$Q:$Q,"&lt;=-121",'Data Additive'!$Q:$Q,"&gt;=-180")</f>
        <v>0</v>
      </c>
      <c r="V45" s="122">
        <f>SUMIFS('Data Additive'!$D:$D,'Data Additive'!$P:$P,'Painel Additive'!$B45,'Data Additive'!$Q:$Q,"&lt;=-181",'Data Additive'!$Q:$Q,"&gt;=-360")</f>
        <v>0</v>
      </c>
      <c r="W45" s="123">
        <f>SUMIFS('Data Additive'!$D:$D,'Data Additive'!$P:$P,'Painel Additive'!$B45,'Data Additive'!$Q:$Q,"&lt;-360")</f>
        <v>0</v>
      </c>
      <c r="X45" s="19">
        <f>SUMIFS('Bad Debt Provision'!AB:AB,'Bad Debt Provision'!B:B,'Painel Additive'!B45)</f>
        <v>50</v>
      </c>
      <c r="Y45" s="124"/>
      <c r="Z45" s="124"/>
      <c r="AA45" s="19">
        <f>IFERROR(_xlfn.XLOOKUP(B45,'Limite de crédito'!C:C,'Limite de crédito'!O:O,),0)</f>
        <v>0</v>
      </c>
      <c r="AB45" s="122"/>
      <c r="AC45" s="125"/>
      <c r="AD45" s="126"/>
      <c r="AE45" s="126"/>
      <c r="AF45" s="124"/>
      <c r="AG45" s="105">
        <f t="shared" si="2"/>
        <v>-50</v>
      </c>
    </row>
    <row r="46" spans="2:34" x14ac:dyDescent="0.25">
      <c r="B46" s="17" t="s">
        <v>40</v>
      </c>
      <c r="C46" s="224" t="str">
        <f>IFERROR(_xlfn.XLOOKUP(B46,'Limite de crédito'!C:C,'Limite de crédito'!L:L,),0)</f>
        <v>B</v>
      </c>
      <c r="D46" s="93"/>
      <c r="E46" s="18">
        <f>_xlfn.XLOOKUP(B46,'Limite de crédito'!C:C,'Limite de crédito'!G:G,0)</f>
        <v>3000000</v>
      </c>
      <c r="F46" s="18">
        <f t="shared" si="6"/>
        <v>3000000</v>
      </c>
      <c r="G46" s="18">
        <f t="shared" si="7"/>
        <v>0</v>
      </c>
      <c r="H46" s="19">
        <f>SUMIFS('Data Additive'!$D:$D,'Data Additive'!$P:$P,'Painel Additive'!$B46,'Data Additive'!$Q:$Q,"&gt;0",'Data Additive'!$Q:$Q,"&lt;=30")</f>
        <v>0</v>
      </c>
      <c r="I46" s="19">
        <f>SUMIFS('Data Additive'!$D:$D,'Data Additive'!$P:$P,'Painel Additive'!$B46,'Data Additive'!$Q:$Q,"&gt;30",'Data Additive'!$Q:$Q,"&lt;=60")</f>
        <v>0</v>
      </c>
      <c r="J46" s="19">
        <f>SUMIFS('Data Additive'!$D:$D,'Data Additive'!$P:$P,'Painel Additive'!$B46,'Data Additive'!$Q:$Q,"&gt;60",'Data Additive'!$Q:$Q,"&lt;=90")</f>
        <v>0</v>
      </c>
      <c r="K46" s="19">
        <f>SUMIFS('Data Additive'!$D:$D,'Data Additive'!$P:$P,'Painel Additive'!$B46,'Data Additive'!$Q:$Q,"&gt;90",'Data Additive'!$Q:$Q,"&lt;=120")</f>
        <v>0</v>
      </c>
      <c r="L46" s="19">
        <f>SUMIFS('Data Additive'!$D:$D,'Data Additive'!$P:$P,'Painel Additive'!$B46,'Data Additive'!$Q:$Q,"&gt;120",'Data Additive'!$Q:$Q,"&lt;=180")</f>
        <v>0</v>
      </c>
      <c r="M46" s="19">
        <f>SUMIFS('Data Additive'!$D:$D,'Data Additive'!$P:$P,'Painel Additive'!$B46,'Data Additive'!$Q:$Q,"&gt;180",'Data Additive'!$Q:$Q,"&lt;=360")</f>
        <v>0</v>
      </c>
      <c r="N46" s="23">
        <f>SUMIFS('Data Additive'!$D:$D,'Data Additive'!$P:$P,'Painel Additive'!$B46,'Data Additive'!$Q:$Q,"&gt;360")</f>
        <v>0</v>
      </c>
      <c r="O46" s="122">
        <f>SUMIFS('Data Additive'!$D:$D,'Data Additive'!$P:$P,'Painel Additive'!$B46,'Data Additive'!$Q:$Q,"&gt;0")</f>
        <v>0</v>
      </c>
      <c r="P46" s="19">
        <f t="shared" si="5"/>
        <v>0</v>
      </c>
      <c r="Q46" s="19">
        <f>SUMIFS('Data Additive'!$D:$D,'Data Additive'!$P:$P,'Painel Additive'!$B46,'Data Additive'!$Q:$Q,"&lt;=0",'Data Additive'!$Q:$Q,"&gt;=-30")</f>
        <v>0</v>
      </c>
      <c r="R46" s="19">
        <f>SUMIFS('Data Additive'!$D:$D,'Data Additive'!$P:$P,'Painel Additive'!$B46,'Data Additive'!$Q:$Q,"&lt;=-31",'Data Additive'!$Q:$Q,"&gt;=-60")</f>
        <v>0</v>
      </c>
      <c r="S46" s="19">
        <f>SUMIFS('Data Additive'!$D:$D,'Data Additive'!$P:$P,'Painel Additive'!$B46,'Data Additive'!$Q:$Q,"&lt;=-61",'Data Additive'!$Q:$Q,"&gt;=-90")</f>
        <v>0</v>
      </c>
      <c r="T46" s="19">
        <f>SUMIFS('Data Additive'!$D:$D,'Data Additive'!$P:$P,'Painel Additive'!$B46,'Data Additive'!$Q:$Q,"&lt;=-91",'Data Additive'!$Q:$Q,"&gt;=-120")</f>
        <v>0</v>
      </c>
      <c r="U46" s="19">
        <f>SUMIFS('Data Additive'!$D:$D,'Data Additive'!$P:$P,'Painel Additive'!$B46,'Data Additive'!$Q:$Q,"&lt;=-121",'Data Additive'!$Q:$Q,"&gt;=-180")</f>
        <v>0</v>
      </c>
      <c r="V46" s="19">
        <f>SUMIFS('Data Additive'!$D:$D,'Data Additive'!$P:$P,'Painel Additive'!$B46,'Data Additive'!$Q:$Q,"&lt;=-181",'Data Additive'!$Q:$Q,"&gt;=-360")</f>
        <v>0</v>
      </c>
      <c r="W46" s="23">
        <f>SUMIFS('Data Additive'!$D:$D,'Data Additive'!$P:$P,'Painel Additive'!$B46,'Data Additive'!$Q:$Q,"&lt;-360")</f>
        <v>0</v>
      </c>
      <c r="X46" s="19">
        <f>SUMIFS('Bad Debt Provision'!AB:AB,'Bad Debt Provision'!B:B,'Painel Additive'!B46)</f>
        <v>0</v>
      </c>
      <c r="Y46" s="5"/>
      <c r="Z46" s="5"/>
      <c r="AA46" s="19">
        <f>IFERROR(_xlfn.XLOOKUP(B46,'Limite de crédito'!C:C,'Limite de crédito'!O:O,),0)</f>
        <v>3000000</v>
      </c>
      <c r="AB46" s="19"/>
      <c r="AC46" s="20"/>
      <c r="AD46" s="22"/>
      <c r="AE46" s="22"/>
      <c r="AF46" s="5"/>
      <c r="AG46" s="105">
        <f t="shared" si="2"/>
        <v>3000000</v>
      </c>
      <c r="AH46" s="5"/>
    </row>
    <row r="47" spans="2:34" x14ac:dyDescent="0.25">
      <c r="B47" s="17" t="s">
        <v>119</v>
      </c>
      <c r="C47" s="224">
        <f>IFERROR(_xlfn.XLOOKUP(B47,'Limite de crédito'!C:C,'Limite de crédito'!L:L,),0)</f>
        <v>0</v>
      </c>
      <c r="D47" s="93"/>
      <c r="E47" s="18">
        <f>_xlfn.XLOOKUP(B47,'Limite de crédito'!C:C,'Limite de crédito'!G:G,0)</f>
        <v>0</v>
      </c>
      <c r="F47" s="18">
        <f t="shared" ref="F47" si="8">E47-G47</f>
        <v>-793811.7</v>
      </c>
      <c r="G47" s="18">
        <f t="shared" ref="G47" si="9">P47+O47</f>
        <v>793811.7</v>
      </c>
      <c r="H47" s="19">
        <f>SUMIFS('Data Additive'!$D:$D,'Data Additive'!$P:$P,'Painel Additive'!$B47,'Data Additive'!$Q:$Q,"&gt;0",'Data Additive'!$Q:$Q,"&lt;=30")</f>
        <v>315971.7</v>
      </c>
      <c r="I47" s="19">
        <f>SUMIFS('Data Additive'!$D:$D,'Data Additive'!$P:$P,'Painel Additive'!$B47,'Data Additive'!$Q:$Q,"&gt;30",'Data Additive'!$Q:$Q,"&lt;=60")</f>
        <v>0</v>
      </c>
      <c r="J47" s="19">
        <f>SUMIFS('Data Additive'!$D:$D,'Data Additive'!$P:$P,'Painel Additive'!$B47,'Data Additive'!$Q:$Q,"&gt;60",'Data Additive'!$Q:$Q,"&lt;=90")</f>
        <v>0</v>
      </c>
      <c r="K47" s="19">
        <f>SUMIFS('Data Additive'!$D:$D,'Data Additive'!$P:$P,'Painel Additive'!$B47,'Data Additive'!$Q:$Q,"&gt;90",'Data Additive'!$Q:$Q,"&lt;=120")</f>
        <v>0</v>
      </c>
      <c r="L47" s="19">
        <f>SUMIFS('Data Additive'!$D:$D,'Data Additive'!$P:$P,'Painel Additive'!$B47,'Data Additive'!$Q:$Q,"&gt;120",'Data Additive'!$Q:$Q,"&lt;=180")</f>
        <v>0</v>
      </c>
      <c r="M47" s="19">
        <f>SUMIFS('Data Additive'!$D:$D,'Data Additive'!$P:$P,'Painel Additive'!$B47,'Data Additive'!$Q:$Q,"&gt;180",'Data Additive'!$Q:$Q,"&lt;=360")</f>
        <v>0</v>
      </c>
      <c r="N47" s="23">
        <f>SUMIFS('Data Additive'!$D:$D,'Data Additive'!$P:$P,'Painel Additive'!$B47,'Data Additive'!$Q:$Q,"&gt;360")</f>
        <v>0</v>
      </c>
      <c r="O47" s="122">
        <f>SUMIFS('Data Additive'!$D:$D,'Data Additive'!$P:$P,'Painel Additive'!$B47,'Data Additive'!$Q:$Q,"&gt;0")</f>
        <v>315971.7</v>
      </c>
      <c r="P47" s="19">
        <f t="shared" si="5"/>
        <v>477840</v>
      </c>
      <c r="Q47" s="19">
        <f>SUMIFS('Data Additive'!$D:$D,'Data Additive'!$P:$P,'Painel Additive'!$B47,'Data Additive'!$Q:$Q,"&lt;=0",'Data Additive'!$Q:$Q,"&gt;=-30")</f>
        <v>477840</v>
      </c>
      <c r="R47" s="19">
        <f>SUMIFS('Data Additive'!$D:$D,'Data Additive'!$P:$P,'Painel Additive'!$B47,'Data Additive'!$Q:$Q,"&lt;=-31",'Data Additive'!$Q:$Q,"&gt;=-60")</f>
        <v>0</v>
      </c>
      <c r="S47" s="19">
        <f>SUMIFS('Data Additive'!$D:$D,'Data Additive'!$P:$P,'Painel Additive'!$B47,'Data Additive'!$Q:$Q,"&lt;=-61",'Data Additive'!$Q:$Q,"&gt;=-90")</f>
        <v>0</v>
      </c>
      <c r="T47" s="19">
        <f>SUMIFS('Data Additive'!$D:$D,'Data Additive'!$P:$P,'Painel Additive'!$B47,'Data Additive'!$Q:$Q,"&lt;=-91",'Data Additive'!$Q:$Q,"&gt;=-120")</f>
        <v>0</v>
      </c>
      <c r="U47" s="19">
        <f>SUMIFS('Data Additive'!$D:$D,'Data Additive'!$P:$P,'Painel Additive'!$B47,'Data Additive'!$Q:$Q,"&lt;=-121",'Data Additive'!$Q:$Q,"&gt;=-180")</f>
        <v>0</v>
      </c>
      <c r="V47" s="19">
        <f>SUMIFS('Data Additive'!$D:$D,'Data Additive'!$P:$P,'Painel Additive'!$B47,'Data Additive'!$Q:$Q,"&lt;=-181",'Data Additive'!$Q:$Q,"&gt;=-360")</f>
        <v>0</v>
      </c>
      <c r="W47" s="23">
        <f>SUMIFS('Data Additive'!$D:$D,'Data Additive'!$P:$P,'Painel Additive'!$B47,'Data Additive'!$Q:$Q,"&lt;-360")</f>
        <v>0</v>
      </c>
      <c r="X47" s="19">
        <f>SUMIFS('Bad Debt Provision'!AB:AB,'Bad Debt Provision'!B:B,'Painel Additive'!B47)</f>
        <v>0</v>
      </c>
      <c r="Y47" s="5"/>
      <c r="Z47" s="5"/>
      <c r="AA47" s="19">
        <f>IFERROR(_xlfn.XLOOKUP(B47,'Limite de crédito'!C:C,'Limite de crédito'!O:O,),0)</f>
        <v>0</v>
      </c>
      <c r="AB47" s="19"/>
      <c r="AC47" s="20"/>
      <c r="AD47" s="22"/>
      <c r="AE47" s="22"/>
      <c r="AF47" s="5"/>
      <c r="AG47" s="105">
        <f t="shared" si="2"/>
        <v>-793811.7</v>
      </c>
      <c r="AH47" s="5"/>
    </row>
    <row r="48" spans="2:34" x14ac:dyDescent="0.25">
      <c r="B48" s="41" t="s">
        <v>487</v>
      </c>
      <c r="C48" s="224">
        <f>IFERROR(_xlfn.XLOOKUP(B48,'Limite de crédito'!C:C,'Limite de crédito'!L:L,),0)</f>
        <v>0</v>
      </c>
      <c r="D48" s="93"/>
      <c r="E48" s="18">
        <f>_xlfn.XLOOKUP(B48,'Limite de crédito'!C:C,'Limite de crédito'!G:G,0)</f>
        <v>0</v>
      </c>
      <c r="F48" s="18">
        <f t="shared" ref="F48:F49" si="10">E48-G48</f>
        <v>0</v>
      </c>
      <c r="G48" s="18">
        <f t="shared" ref="G48:G49" si="11">P48+O48</f>
        <v>0</v>
      </c>
      <c r="H48" s="19">
        <f>SUMIFS('Data Additive'!$D:$D,'Data Additive'!$P:$P,'Painel Additive'!$B48,'Data Additive'!$Q:$Q,"&gt;0",'Data Additive'!$Q:$Q,"&lt;=30")</f>
        <v>0</v>
      </c>
      <c r="I48" s="19">
        <f>SUMIFS('Data Additive'!$D:$D,'Data Additive'!$P:$P,'Painel Additive'!$B48,'Data Additive'!$Q:$Q,"&gt;30",'Data Additive'!$Q:$Q,"&lt;=60")</f>
        <v>0</v>
      </c>
      <c r="J48" s="19">
        <f>SUMIFS('Data Additive'!$D:$D,'Data Additive'!$P:$P,'Painel Additive'!$B48,'Data Additive'!$Q:$Q,"&gt;60",'Data Additive'!$Q:$Q,"&lt;=90")</f>
        <v>0</v>
      </c>
      <c r="K48" s="19">
        <f>SUMIFS('Data Additive'!$D:$D,'Data Additive'!$P:$P,'Painel Additive'!$B48,'Data Additive'!$Q:$Q,"&gt;90",'Data Additive'!$Q:$Q,"&lt;=120")</f>
        <v>0</v>
      </c>
      <c r="L48" s="19">
        <f>SUMIFS('Data Additive'!$D:$D,'Data Additive'!$P:$P,'Painel Additive'!$B48,'Data Additive'!$Q:$Q,"&gt;120",'Data Additive'!$Q:$Q,"&lt;=180")</f>
        <v>0</v>
      </c>
      <c r="M48" s="19">
        <f>SUMIFS('Data Additive'!$D:$D,'Data Additive'!$P:$P,'Painel Additive'!$B48,'Data Additive'!$Q:$Q,"&gt;180",'Data Additive'!$Q:$Q,"&lt;=360")</f>
        <v>0</v>
      </c>
      <c r="N48" s="23">
        <f>SUMIFS('Data Additive'!$D:$D,'Data Additive'!$P:$P,'Painel Additive'!$B48,'Data Additive'!$Q:$Q,"&gt;360")</f>
        <v>0</v>
      </c>
      <c r="O48" s="122">
        <f>SUMIFS('Data Additive'!$D:$D,'Data Additive'!$P:$P,'Painel Additive'!$B48,'Data Additive'!$Q:$Q,"&gt;0")</f>
        <v>0</v>
      </c>
      <c r="P48" s="19">
        <f t="shared" si="5"/>
        <v>0</v>
      </c>
      <c r="Q48" s="19">
        <f>SUMIFS('Data Additive'!$D:$D,'Data Additive'!$P:$P,'Painel Additive'!$B48,'Data Additive'!$Q:$Q,"&lt;=0",'Data Additive'!$Q:$Q,"&gt;=-30")</f>
        <v>0</v>
      </c>
      <c r="R48" s="19">
        <f>SUMIFS('Data Additive'!$D:$D,'Data Additive'!$P:$P,'Painel Additive'!$B48,'Data Additive'!$Q:$Q,"&lt;=-31",'Data Additive'!$Q:$Q,"&gt;=-60")</f>
        <v>0</v>
      </c>
      <c r="S48" s="19">
        <f>SUMIFS('Data Additive'!$D:$D,'Data Additive'!$P:$P,'Painel Additive'!$B48,'Data Additive'!$Q:$Q,"&lt;=-61",'Data Additive'!$Q:$Q,"&gt;=-90")</f>
        <v>0</v>
      </c>
      <c r="T48" s="19">
        <f>SUMIFS('Data Additive'!$D:$D,'Data Additive'!$P:$P,'Painel Additive'!$B48,'Data Additive'!$Q:$Q,"&lt;=-91",'Data Additive'!$Q:$Q,"&gt;=-120")</f>
        <v>0</v>
      </c>
      <c r="U48" s="19">
        <f>SUMIFS('Data Additive'!$D:$D,'Data Additive'!$P:$P,'Painel Additive'!$B48,'Data Additive'!$Q:$Q,"&lt;=-121",'Data Additive'!$Q:$Q,"&gt;=-180")</f>
        <v>0</v>
      </c>
      <c r="V48" s="19">
        <f>SUMIFS('Data Additive'!$D:$D,'Data Additive'!$P:$P,'Painel Additive'!$B48,'Data Additive'!$Q:$Q,"&lt;=-181",'Data Additive'!$Q:$Q,"&gt;=-360")</f>
        <v>0</v>
      </c>
      <c r="W48" s="23">
        <f>SUMIFS('Data Additive'!$D:$D,'Data Additive'!$P:$P,'Painel Additive'!$B48,'Data Additive'!$Q:$Q,"&lt;-360")</f>
        <v>0</v>
      </c>
      <c r="X48" s="19">
        <f>SUMIFS('Bad Debt Provision'!AB:AB,'Bad Debt Provision'!B:B,'Painel Additive'!B48)</f>
        <v>0</v>
      </c>
      <c r="Y48" s="5"/>
      <c r="Z48" s="5"/>
      <c r="AA48" s="19">
        <f>IFERROR(_xlfn.XLOOKUP(B48,'Limite de crédito'!C:C,'Limite de crédito'!O:O,),0)</f>
        <v>0</v>
      </c>
      <c r="AB48" s="19"/>
      <c r="AC48" s="20"/>
      <c r="AD48" s="22"/>
      <c r="AE48" s="22"/>
      <c r="AF48" s="5"/>
      <c r="AG48" s="105">
        <f t="shared" si="2"/>
        <v>0</v>
      </c>
    </row>
    <row r="49" spans="2:33" x14ac:dyDescent="0.25">
      <c r="B49" s="41" t="s">
        <v>493</v>
      </c>
      <c r="C49" s="224" t="str">
        <f>IFERROR(_xlfn.XLOOKUP(B49,'Limite de crédito'!C:C,'Limite de crédito'!L:L,),0)</f>
        <v>B</v>
      </c>
      <c r="D49" s="93"/>
      <c r="E49" s="18">
        <f>_xlfn.XLOOKUP(B49,'Limite de crédito'!C:C,'Limite de crédito'!G:G,0)</f>
        <v>200000</v>
      </c>
      <c r="F49" s="18">
        <f t="shared" si="10"/>
        <v>200000</v>
      </c>
      <c r="G49" s="18">
        <f t="shared" si="11"/>
        <v>0</v>
      </c>
      <c r="H49" s="19">
        <f>SUMIFS('Data Additive'!$D:$D,'Data Additive'!$P:$P,'Painel Additive'!$B49,'Data Additive'!$Q:$Q,"&gt;0",'Data Additive'!$Q:$Q,"&lt;=30")</f>
        <v>0</v>
      </c>
      <c r="I49" s="19">
        <f>SUMIFS('Data Additive'!$D:$D,'Data Additive'!$P:$P,'Painel Additive'!$B49,'Data Additive'!$Q:$Q,"&gt;30",'Data Additive'!$Q:$Q,"&lt;=60")</f>
        <v>0</v>
      </c>
      <c r="J49" s="19">
        <f>SUMIFS('Data Additive'!$D:$D,'Data Additive'!$P:$P,'Painel Additive'!$B49,'Data Additive'!$Q:$Q,"&gt;60",'Data Additive'!$Q:$Q,"&lt;=90")</f>
        <v>0</v>
      </c>
      <c r="K49" s="19">
        <f>SUMIFS('Data Additive'!$D:$D,'Data Additive'!$P:$P,'Painel Additive'!$B49,'Data Additive'!$Q:$Q,"&gt;90",'Data Additive'!$Q:$Q,"&lt;=120")</f>
        <v>0</v>
      </c>
      <c r="L49" s="19">
        <f>SUMIFS('Data Additive'!$D:$D,'Data Additive'!$P:$P,'Painel Additive'!$B49,'Data Additive'!$Q:$Q,"&gt;120",'Data Additive'!$Q:$Q,"&lt;=180")</f>
        <v>0</v>
      </c>
      <c r="M49" s="19">
        <f>SUMIFS('Data Additive'!$D:$D,'Data Additive'!$P:$P,'Painel Additive'!$B49,'Data Additive'!$Q:$Q,"&gt;180",'Data Additive'!$Q:$Q,"&lt;=360")</f>
        <v>0</v>
      </c>
      <c r="N49" s="23">
        <f>SUMIFS('Data Additive'!$D:$D,'Data Additive'!$P:$P,'Painel Additive'!$B49,'Data Additive'!$Q:$Q,"&gt;360")</f>
        <v>0</v>
      </c>
      <c r="O49" s="122">
        <f>SUMIFS('Data Additive'!$D:$D,'Data Additive'!$P:$P,'Painel Additive'!$B49,'Data Additive'!$Q:$Q,"&gt;0")</f>
        <v>0</v>
      </c>
      <c r="P49" s="19">
        <f t="shared" si="5"/>
        <v>0</v>
      </c>
      <c r="Q49" s="19">
        <f>SUMIFS('Data Additive'!$D:$D,'Data Additive'!$P:$P,'Painel Additive'!$B49,'Data Additive'!$Q:$Q,"&lt;=0",'Data Additive'!$Q:$Q,"&gt;=-30")</f>
        <v>0</v>
      </c>
      <c r="R49" s="19">
        <f>SUMIFS('Data Additive'!$D:$D,'Data Additive'!$P:$P,'Painel Additive'!$B49,'Data Additive'!$Q:$Q,"&lt;=-31",'Data Additive'!$Q:$Q,"&gt;=-60")</f>
        <v>0</v>
      </c>
      <c r="S49" s="19">
        <f>SUMIFS('Data Additive'!$D:$D,'Data Additive'!$P:$P,'Painel Additive'!$B49,'Data Additive'!$Q:$Q,"&lt;=-61",'Data Additive'!$Q:$Q,"&gt;=-90")</f>
        <v>0</v>
      </c>
      <c r="T49" s="19">
        <f>SUMIFS('Data Additive'!$D:$D,'Data Additive'!$P:$P,'Painel Additive'!$B49,'Data Additive'!$Q:$Q,"&lt;=-91",'Data Additive'!$Q:$Q,"&gt;=-120")</f>
        <v>0</v>
      </c>
      <c r="U49" s="19">
        <f>SUMIFS('Data Additive'!$D:$D,'Data Additive'!$P:$P,'Painel Additive'!$B49,'Data Additive'!$Q:$Q,"&lt;=-121",'Data Additive'!$Q:$Q,"&gt;=-180")</f>
        <v>0</v>
      </c>
      <c r="V49" s="19">
        <f>SUMIFS('Data Additive'!$D:$D,'Data Additive'!$P:$P,'Painel Additive'!$B49,'Data Additive'!$Q:$Q,"&lt;=-181",'Data Additive'!$Q:$Q,"&gt;=-360")</f>
        <v>0</v>
      </c>
      <c r="W49" s="23">
        <f>SUMIFS('Data Additive'!$D:$D,'Data Additive'!$P:$P,'Painel Additive'!$B49,'Data Additive'!$Q:$Q,"&lt;-360")</f>
        <v>0</v>
      </c>
      <c r="X49" s="19">
        <f>SUMIFS('Bad Debt Provision'!AB:AB,'Bad Debt Provision'!B:B,'Painel Additive'!B49)</f>
        <v>0</v>
      </c>
      <c r="Y49" s="5"/>
      <c r="Z49" s="5"/>
      <c r="AA49" s="19">
        <f>IFERROR(_xlfn.XLOOKUP(B49,'Limite de crédito'!C:C,'Limite de crédito'!O:O,),0)</f>
        <v>200000</v>
      </c>
      <c r="AB49" s="19"/>
      <c r="AC49" s="20"/>
      <c r="AD49" s="22"/>
      <c r="AE49" s="22"/>
      <c r="AF49" s="5"/>
      <c r="AG49" s="105">
        <f t="shared" si="2"/>
        <v>200000</v>
      </c>
    </row>
    <row r="50" spans="2:33" x14ac:dyDescent="0.25">
      <c r="B50" s="41" t="s">
        <v>99</v>
      </c>
      <c r="C50" s="224">
        <f>IFERROR(_xlfn.XLOOKUP(B50,'Limite de crédito'!C:C,'Limite de crédito'!L:L,),0)</f>
        <v>0</v>
      </c>
      <c r="D50" s="93"/>
      <c r="E50" s="18">
        <f>_xlfn.XLOOKUP(B50,'Limite de crédito'!C:C,'Limite de crédito'!G:G,0)</f>
        <v>0</v>
      </c>
      <c r="F50" s="18">
        <f t="shared" ref="F50" si="12">E50-G50</f>
        <v>0</v>
      </c>
      <c r="G50" s="18">
        <f t="shared" ref="G50" si="13">P50+O50</f>
        <v>0</v>
      </c>
      <c r="H50" s="19">
        <f>SUMIFS('Data Additive'!$D:$D,'Data Additive'!$P:$P,'Painel Additive'!$B50,'Data Additive'!$Q:$Q,"&gt;0",'Data Additive'!$Q:$Q,"&lt;=30")</f>
        <v>0</v>
      </c>
      <c r="I50" s="19">
        <f>SUMIFS('Data Additive'!$D:$D,'Data Additive'!$P:$P,'Painel Additive'!$B50,'Data Additive'!$Q:$Q,"&gt;30",'Data Additive'!$Q:$Q,"&lt;=60")</f>
        <v>0</v>
      </c>
      <c r="J50" s="19">
        <f>SUMIFS('Data Additive'!$D:$D,'Data Additive'!$P:$P,'Painel Additive'!$B50,'Data Additive'!$Q:$Q,"&gt;60",'Data Additive'!$Q:$Q,"&lt;=90")</f>
        <v>0</v>
      </c>
      <c r="K50" s="19">
        <f>SUMIFS('Data Additive'!$D:$D,'Data Additive'!$P:$P,'Painel Additive'!$B50,'Data Additive'!$Q:$Q,"&gt;90",'Data Additive'!$Q:$Q,"&lt;=120")</f>
        <v>0</v>
      </c>
      <c r="L50" s="19">
        <f>SUMIFS('Data Additive'!$D:$D,'Data Additive'!$P:$P,'Painel Additive'!$B50,'Data Additive'!$Q:$Q,"&gt;120",'Data Additive'!$Q:$Q,"&lt;=180")</f>
        <v>0</v>
      </c>
      <c r="M50" s="19">
        <f>SUMIFS('Data Additive'!$D:$D,'Data Additive'!$P:$P,'Painel Additive'!$B50,'Data Additive'!$Q:$Q,"&gt;180",'Data Additive'!$Q:$Q,"&lt;=360")</f>
        <v>0</v>
      </c>
      <c r="N50" s="23">
        <f>SUMIFS('Data Additive'!$D:$D,'Data Additive'!$P:$P,'Painel Additive'!$B50,'Data Additive'!$Q:$Q,"&gt;360")</f>
        <v>0</v>
      </c>
      <c r="O50" s="122">
        <f>SUMIFS('Data Additive'!$D:$D,'Data Additive'!$P:$P,'Painel Additive'!$B50,'Data Additive'!$Q:$Q,"&gt;0")</f>
        <v>0</v>
      </c>
      <c r="P50" s="19">
        <f t="shared" si="5"/>
        <v>0</v>
      </c>
      <c r="Q50" s="19">
        <f>SUMIFS('Data Additive'!$D:$D,'Data Additive'!$P:$P,'Painel Additive'!$B50,'Data Additive'!$Q:$Q,"&lt;=0",'Data Additive'!$Q:$Q,"&gt;=-30")</f>
        <v>0</v>
      </c>
      <c r="R50" s="19">
        <f>SUMIFS('Data Additive'!$D:$D,'Data Additive'!$P:$P,'Painel Additive'!$B50,'Data Additive'!$Q:$Q,"&lt;=-31",'Data Additive'!$Q:$Q,"&gt;=-60")</f>
        <v>0</v>
      </c>
      <c r="S50" s="19">
        <f>SUMIFS('Data Additive'!$D:$D,'Data Additive'!$P:$P,'Painel Additive'!$B50,'Data Additive'!$Q:$Q,"&lt;=-61",'Data Additive'!$Q:$Q,"&gt;=-90")</f>
        <v>0</v>
      </c>
      <c r="T50" s="19">
        <f>SUMIFS('Data Additive'!$D:$D,'Data Additive'!$P:$P,'Painel Additive'!$B50,'Data Additive'!$Q:$Q,"&lt;=-91",'Data Additive'!$Q:$Q,"&gt;=-120")</f>
        <v>0</v>
      </c>
      <c r="U50" s="19">
        <f>SUMIFS('Data Additive'!$D:$D,'Data Additive'!$P:$P,'Painel Additive'!$B50,'Data Additive'!$Q:$Q,"&lt;=-121",'Data Additive'!$Q:$Q,"&gt;=-180")</f>
        <v>0</v>
      </c>
      <c r="V50" s="19">
        <f>SUMIFS('Data Additive'!$D:$D,'Data Additive'!$P:$P,'Painel Additive'!$B50,'Data Additive'!$Q:$Q,"&lt;=-181",'Data Additive'!$Q:$Q,"&gt;=-360")</f>
        <v>0</v>
      </c>
      <c r="W50" s="23">
        <f>SUMIFS('Data Additive'!$D:$D,'Data Additive'!$P:$P,'Painel Additive'!$B50,'Data Additive'!$Q:$Q,"&lt;-360")</f>
        <v>0</v>
      </c>
      <c r="X50" s="19">
        <f>SUMIFS('Bad Debt Provision'!AB:AB,'Bad Debt Provision'!B:B,'Painel Additive'!B50)</f>
        <v>0</v>
      </c>
      <c r="Y50" s="5"/>
      <c r="Z50" s="5"/>
      <c r="AA50" s="19">
        <f>IFERROR(_xlfn.XLOOKUP(B50,'Limite de crédito'!C:C,'Limite de crédito'!O:O,),0)</f>
        <v>0</v>
      </c>
      <c r="AB50" s="19"/>
      <c r="AC50" s="20"/>
      <c r="AD50" s="22"/>
      <c r="AE50" s="22"/>
      <c r="AF50" s="5"/>
      <c r="AG50" s="105">
        <f t="shared" si="2"/>
        <v>0</v>
      </c>
    </row>
    <row r="51" spans="2:33" x14ac:dyDescent="0.25">
      <c r="B51" s="41" t="s">
        <v>528</v>
      </c>
      <c r="C51" s="224">
        <f>IFERROR(_xlfn.XLOOKUP(B51,'Limite de crédito'!C:C,'Limite de crédito'!L:L,),0)</f>
        <v>0</v>
      </c>
      <c r="D51" s="93"/>
      <c r="E51" s="18">
        <f>_xlfn.XLOOKUP(B51,'Limite de crédito'!C:C,'Limite de crédito'!G:G,0)</f>
        <v>0</v>
      </c>
      <c r="F51" s="18">
        <f t="shared" ref="F51" si="14">E51-G51</f>
        <v>-409551.4</v>
      </c>
      <c r="G51" s="18">
        <f t="shared" ref="G51" si="15">P51+O51</f>
        <v>409551.4</v>
      </c>
      <c r="H51" s="19">
        <f>SUMIFS('Data Additive'!$D:$D,'Data Additive'!$P:$P,'Painel Additive'!$B51,'Data Additive'!$Q:$Q,"&gt;0",'Data Additive'!$Q:$Q,"&lt;=30")</f>
        <v>0</v>
      </c>
      <c r="I51" s="19">
        <f>SUMIFS('Data Additive'!$D:$D,'Data Additive'!$P:$P,'Painel Additive'!$B51,'Data Additive'!$Q:$Q,"&gt;30",'Data Additive'!$Q:$Q,"&lt;=60")</f>
        <v>0</v>
      </c>
      <c r="J51" s="19">
        <f>SUMIFS('Data Additive'!$D:$D,'Data Additive'!$P:$P,'Painel Additive'!$B51,'Data Additive'!$Q:$Q,"&gt;60",'Data Additive'!$Q:$Q,"&lt;=90")</f>
        <v>0</v>
      </c>
      <c r="K51" s="19">
        <f>SUMIFS('Data Additive'!$D:$D,'Data Additive'!$P:$P,'Painel Additive'!$B51,'Data Additive'!$Q:$Q,"&gt;90",'Data Additive'!$Q:$Q,"&lt;=120")</f>
        <v>0</v>
      </c>
      <c r="L51" s="19">
        <f>SUMIFS('Data Additive'!$D:$D,'Data Additive'!$P:$P,'Painel Additive'!$B51,'Data Additive'!$Q:$Q,"&gt;120",'Data Additive'!$Q:$Q,"&lt;=180")</f>
        <v>0</v>
      </c>
      <c r="M51" s="19">
        <f>SUMIFS('Data Additive'!$D:$D,'Data Additive'!$P:$P,'Painel Additive'!$B51,'Data Additive'!$Q:$Q,"&gt;180",'Data Additive'!$Q:$Q,"&lt;=360")</f>
        <v>0</v>
      </c>
      <c r="N51" s="23">
        <f>SUMIFS('Data Additive'!$D:$D,'Data Additive'!$P:$P,'Painel Additive'!$B51,'Data Additive'!$Q:$Q,"&gt;360")</f>
        <v>0</v>
      </c>
      <c r="O51" s="122">
        <f>SUMIFS('Data Additive'!$D:$D,'Data Additive'!$P:$P,'Painel Additive'!$B51,'Data Additive'!$Q:$Q,"&gt;0")</f>
        <v>0</v>
      </c>
      <c r="P51" s="19">
        <f t="shared" si="5"/>
        <v>409551.4</v>
      </c>
      <c r="Q51" s="19">
        <f>SUMIFS('Data Additive'!$D:$D,'Data Additive'!$P:$P,'Painel Additive'!$B51,'Data Additive'!$Q:$Q,"&lt;=0",'Data Additive'!$Q:$Q,"&gt;=-30")</f>
        <v>0</v>
      </c>
      <c r="R51" s="19">
        <f>SUMIFS('Data Additive'!$D:$D,'Data Additive'!$P:$P,'Painel Additive'!$B51,'Data Additive'!$Q:$Q,"&lt;=-31",'Data Additive'!$Q:$Q,"&gt;=-60")</f>
        <v>409551.4</v>
      </c>
      <c r="S51" s="19">
        <f>SUMIFS('Data Additive'!$D:$D,'Data Additive'!$P:$P,'Painel Additive'!$B51,'Data Additive'!$Q:$Q,"&lt;=-61",'Data Additive'!$Q:$Q,"&gt;=-90")</f>
        <v>0</v>
      </c>
      <c r="T51" s="19">
        <f>SUMIFS('Data Additive'!$D:$D,'Data Additive'!$P:$P,'Painel Additive'!$B51,'Data Additive'!$Q:$Q,"&lt;=-91",'Data Additive'!$Q:$Q,"&gt;=-120")</f>
        <v>0</v>
      </c>
      <c r="U51" s="19">
        <f>SUMIFS('Data Additive'!$D:$D,'Data Additive'!$P:$P,'Painel Additive'!$B51,'Data Additive'!$Q:$Q,"&lt;=-121",'Data Additive'!$Q:$Q,"&gt;=-180")</f>
        <v>0</v>
      </c>
      <c r="V51" s="19">
        <f>SUMIFS('Data Additive'!$D:$D,'Data Additive'!$P:$P,'Painel Additive'!$B51,'Data Additive'!$Q:$Q,"&lt;=-181",'Data Additive'!$Q:$Q,"&gt;=-360")</f>
        <v>0</v>
      </c>
      <c r="W51" s="23">
        <f>SUMIFS('Data Additive'!$D:$D,'Data Additive'!$P:$P,'Painel Additive'!$B51,'Data Additive'!$Q:$Q,"&lt;-360")</f>
        <v>0</v>
      </c>
      <c r="X51" s="19">
        <f>SUMIFS('Bad Debt Provision'!AB:AB,'Bad Debt Provision'!B:B,'Painel Additive'!B51)</f>
        <v>0</v>
      </c>
      <c r="Y51" s="5"/>
      <c r="Z51" s="5"/>
      <c r="AA51" s="19">
        <f>IFERROR(_xlfn.XLOOKUP(B51,'Limite de crédito'!C:C,'Limite de crédito'!O:O,),0)</f>
        <v>0</v>
      </c>
      <c r="AB51" s="19"/>
      <c r="AC51" s="20"/>
      <c r="AD51" s="22"/>
      <c r="AE51" s="22"/>
      <c r="AF51" s="5"/>
      <c r="AG51" s="105">
        <f t="shared" si="2"/>
        <v>-409551.4</v>
      </c>
    </row>
    <row r="52" spans="2:33" ht="13.95" customHeight="1" x14ac:dyDescent="0.25">
      <c r="B52" s="41" t="s">
        <v>526</v>
      </c>
      <c r="C52" s="224">
        <f>IFERROR(_xlfn.XLOOKUP(B52,'Limite de crédito'!C:C,'Limite de crédito'!L:L,),0)</f>
        <v>0</v>
      </c>
      <c r="D52" s="93"/>
      <c r="E52" s="18">
        <f>_xlfn.XLOOKUP(B52,'Limite de crédito'!C:C,'Limite de crédito'!G:G,0)</f>
        <v>0</v>
      </c>
      <c r="F52" s="18">
        <f t="shared" ref="F52" si="16">E52-G52</f>
        <v>-248897.61</v>
      </c>
      <c r="G52" s="18">
        <f t="shared" ref="G52" si="17">P52+O52</f>
        <v>248897.61</v>
      </c>
      <c r="H52" s="19">
        <f>SUMIFS('Data Additive'!$D:$D,'Data Additive'!$P:$P,'Painel Additive'!$B52,'Data Additive'!$Q:$Q,"&gt;0",'Data Additive'!$Q:$Q,"&lt;=30")</f>
        <v>0</v>
      </c>
      <c r="I52" s="19">
        <f>SUMIFS('Data Additive'!$D:$D,'Data Additive'!$P:$P,'Painel Additive'!$B52,'Data Additive'!$Q:$Q,"&gt;30",'Data Additive'!$Q:$Q,"&lt;=60")</f>
        <v>0</v>
      </c>
      <c r="J52" s="19">
        <f>SUMIFS('Data Additive'!$D:$D,'Data Additive'!$P:$P,'Painel Additive'!$B52,'Data Additive'!$Q:$Q,"&gt;60",'Data Additive'!$Q:$Q,"&lt;=90")</f>
        <v>0</v>
      </c>
      <c r="K52" s="19">
        <f>SUMIFS('Data Additive'!$D:$D,'Data Additive'!$P:$P,'Painel Additive'!$B52,'Data Additive'!$Q:$Q,"&gt;90",'Data Additive'!$Q:$Q,"&lt;=120")</f>
        <v>0</v>
      </c>
      <c r="L52" s="19">
        <f>SUMIFS('Data Additive'!$D:$D,'Data Additive'!$P:$P,'Painel Additive'!$B52,'Data Additive'!$Q:$Q,"&gt;120",'Data Additive'!$Q:$Q,"&lt;=180")</f>
        <v>0</v>
      </c>
      <c r="M52" s="19">
        <f>SUMIFS('Data Additive'!$D:$D,'Data Additive'!$P:$P,'Painel Additive'!$B52,'Data Additive'!$Q:$Q,"&gt;180",'Data Additive'!$Q:$Q,"&lt;=360")</f>
        <v>0</v>
      </c>
      <c r="N52" s="23">
        <f>SUMIFS('Data Additive'!$D:$D,'Data Additive'!$P:$P,'Painel Additive'!$B52,'Data Additive'!$Q:$Q,"&gt;360")</f>
        <v>0</v>
      </c>
      <c r="O52" s="122">
        <f>SUMIFS('Data Additive'!$D:$D,'Data Additive'!$P:$P,'Painel Additive'!$B52,'Data Additive'!$Q:$Q,"&gt;0")</f>
        <v>0</v>
      </c>
      <c r="P52" s="19">
        <f t="shared" si="5"/>
        <v>248897.61</v>
      </c>
      <c r="Q52" s="19">
        <f>SUMIFS('Data Additive'!$D:$D,'Data Additive'!$P:$P,'Painel Additive'!$B52,'Data Additive'!$Q:$Q,"&lt;=0",'Data Additive'!$Q:$Q,"&gt;=-30")</f>
        <v>152127.6</v>
      </c>
      <c r="R52" s="19">
        <f>SUMIFS('Data Additive'!$D:$D,'Data Additive'!$P:$P,'Painel Additive'!$B52,'Data Additive'!$Q:$Q,"&lt;=-31",'Data Additive'!$Q:$Q,"&gt;=-60")</f>
        <v>0</v>
      </c>
      <c r="S52" s="19">
        <f>SUMIFS('Data Additive'!$D:$D,'Data Additive'!$P:$P,'Painel Additive'!$B52,'Data Additive'!$Q:$Q,"&lt;=-61",'Data Additive'!$Q:$Q,"&gt;=-90")</f>
        <v>0</v>
      </c>
      <c r="T52" s="19">
        <f>SUMIFS('Data Additive'!$D:$D,'Data Additive'!$P:$P,'Painel Additive'!$B52,'Data Additive'!$Q:$Q,"&lt;=-91",'Data Additive'!$Q:$Q,"&gt;=-120")</f>
        <v>0</v>
      </c>
      <c r="U52" s="19">
        <f>SUMIFS('Data Additive'!$D:$D,'Data Additive'!$P:$P,'Painel Additive'!$B52,'Data Additive'!$Q:$Q,"&lt;=-121",'Data Additive'!$Q:$Q,"&gt;=-180")</f>
        <v>0</v>
      </c>
      <c r="V52" s="19">
        <f>SUMIFS('Data Additive'!$D:$D,'Data Additive'!$P:$P,'Painel Additive'!$B52,'Data Additive'!$Q:$Q,"&lt;=-181",'Data Additive'!$Q:$Q,"&gt;=-360")</f>
        <v>0</v>
      </c>
      <c r="W52" s="23">
        <f>SUMIFS('Data Additive'!$D:$D,'Data Additive'!$P:$P,'Painel Additive'!$B52,'Data Additive'!$Q:$Q,"&lt;-360")</f>
        <v>96770.01</v>
      </c>
      <c r="X52" s="19">
        <f>SUMIFS('Bad Debt Provision'!AB:AB,'Bad Debt Provision'!B:B,'Painel Additive'!B52)</f>
        <v>0</v>
      </c>
      <c r="Y52" s="5"/>
      <c r="Z52" s="5"/>
      <c r="AA52" s="19">
        <f>IFERROR(_xlfn.XLOOKUP(B52,'Limite de crédito'!C:C,'Limite de crédito'!O:O,),0)</f>
        <v>0</v>
      </c>
      <c r="AB52" s="19"/>
      <c r="AC52" s="20"/>
      <c r="AD52" s="22"/>
      <c r="AE52" s="22"/>
      <c r="AF52" s="5"/>
      <c r="AG52" s="105">
        <f t="shared" si="2"/>
        <v>-248897.61</v>
      </c>
    </row>
    <row r="53" spans="2:33" ht="13.95" customHeight="1" x14ac:dyDescent="0.25">
      <c r="B53" s="41" t="s">
        <v>527</v>
      </c>
      <c r="C53" s="224" t="str">
        <f>IFERROR(_xlfn.XLOOKUP(B53,'Limite de crédito'!C:C,'Limite de crédito'!L:L,),0)</f>
        <v>B</v>
      </c>
      <c r="D53" s="93"/>
      <c r="E53" s="18">
        <f>_xlfn.XLOOKUP(B53,'Limite de crédito'!C:C,'Limite de crédito'!G:G,0)</f>
        <v>10000000</v>
      </c>
      <c r="F53" s="18">
        <f t="shared" ref="F53" si="18">E53-G53</f>
        <v>3234990.1000000006</v>
      </c>
      <c r="G53" s="18">
        <f t="shared" ref="G53" si="19">P53+O53</f>
        <v>6765009.8999999994</v>
      </c>
      <c r="H53" s="19">
        <f>SUMIFS('Data Additive'!$D:$D,'Data Additive'!$P:$P,'Painel Additive'!$B53,'Data Additive'!$Q:$Q,"&gt;0",'Data Additive'!$Q:$Q,"&lt;=30")</f>
        <v>0</v>
      </c>
      <c r="I53" s="19">
        <f>SUMIFS('Data Additive'!$D:$D,'Data Additive'!$P:$P,'Painel Additive'!$B53,'Data Additive'!$Q:$Q,"&gt;30",'Data Additive'!$Q:$Q,"&lt;=60")</f>
        <v>0</v>
      </c>
      <c r="J53" s="19">
        <f>SUMIFS('Data Additive'!$D:$D,'Data Additive'!$P:$P,'Painel Additive'!$B53,'Data Additive'!$Q:$Q,"&gt;60",'Data Additive'!$Q:$Q,"&lt;=90")</f>
        <v>0</v>
      </c>
      <c r="K53" s="19">
        <f>SUMIFS('Data Additive'!$D:$D,'Data Additive'!$P:$P,'Painel Additive'!$B53,'Data Additive'!$Q:$Q,"&gt;90",'Data Additive'!$Q:$Q,"&lt;=120")</f>
        <v>0</v>
      </c>
      <c r="L53" s="19">
        <f>SUMIFS('Data Additive'!$D:$D,'Data Additive'!$P:$P,'Painel Additive'!$B53,'Data Additive'!$Q:$Q,"&gt;120",'Data Additive'!$Q:$Q,"&lt;=180")</f>
        <v>0</v>
      </c>
      <c r="M53" s="19">
        <f>SUMIFS('Data Additive'!$D:$D,'Data Additive'!$P:$P,'Painel Additive'!$B53,'Data Additive'!$Q:$Q,"&gt;180",'Data Additive'!$Q:$Q,"&lt;=360")</f>
        <v>0</v>
      </c>
      <c r="N53" s="23">
        <f>SUMIFS('Data Additive'!$D:$D,'Data Additive'!$P:$P,'Painel Additive'!$B53,'Data Additive'!$Q:$Q,"&gt;360")</f>
        <v>0</v>
      </c>
      <c r="O53" s="122">
        <f>SUMIFS('Data Additive'!$D:$D,'Data Additive'!$P:$P,'Painel Additive'!$B53,'Data Additive'!$Q:$Q,"&gt;0")</f>
        <v>0</v>
      </c>
      <c r="P53" s="19">
        <f t="shared" si="5"/>
        <v>6765009.8999999994</v>
      </c>
      <c r="Q53" s="19">
        <f>SUMIFS('Data Additive'!$D:$D,'Data Additive'!$P:$P,'Painel Additive'!$B53,'Data Additive'!$Q:$Q,"&lt;=0",'Data Additive'!$Q:$Q,"&gt;=-30")</f>
        <v>1136498.7</v>
      </c>
      <c r="R53" s="19">
        <f>SUMIFS('Data Additive'!$D:$D,'Data Additive'!$P:$P,'Painel Additive'!$B53,'Data Additive'!$Q:$Q,"&lt;=-31",'Data Additive'!$Q:$Q,"&gt;=-60")</f>
        <v>3096134.6999999993</v>
      </c>
      <c r="S53" s="19">
        <f>SUMIFS('Data Additive'!$D:$D,'Data Additive'!$P:$P,'Painel Additive'!$B53,'Data Additive'!$Q:$Q,"&lt;=-61",'Data Additive'!$Q:$Q,"&gt;=-90")</f>
        <v>2532376.5</v>
      </c>
      <c r="T53" s="19">
        <f>SUMIFS('Data Additive'!$D:$D,'Data Additive'!$P:$P,'Painel Additive'!$B53,'Data Additive'!$Q:$Q,"&lt;=-91",'Data Additive'!$Q:$Q,"&gt;=-120")</f>
        <v>0</v>
      </c>
      <c r="U53" s="19">
        <f>SUMIFS('Data Additive'!$D:$D,'Data Additive'!$P:$P,'Painel Additive'!$B53,'Data Additive'!$Q:$Q,"&lt;=-121",'Data Additive'!$Q:$Q,"&gt;=-180")</f>
        <v>0</v>
      </c>
      <c r="V53" s="19">
        <f>SUMIFS('Data Additive'!$D:$D,'Data Additive'!$P:$P,'Painel Additive'!$B53,'Data Additive'!$Q:$Q,"&lt;=-181",'Data Additive'!$Q:$Q,"&gt;=-360")</f>
        <v>0</v>
      </c>
      <c r="W53" s="23">
        <f>SUMIFS('Data Additive'!$D:$D,'Data Additive'!$P:$P,'Painel Additive'!$B53,'Data Additive'!$Q:$Q,"&lt;-360")</f>
        <v>0</v>
      </c>
      <c r="X53" s="19">
        <f>SUMIFS('Bad Debt Provision'!AB:AB,'Bad Debt Provision'!B:B,'Painel Additive'!B53)</f>
        <v>16500</v>
      </c>
      <c r="Y53" s="5"/>
      <c r="Z53" s="5"/>
      <c r="AA53" s="19">
        <f>IFERROR(_xlfn.XLOOKUP(B53,'Limite de crédito'!C:C,'Limite de crédito'!O:O,),0)</f>
        <v>10000000</v>
      </c>
      <c r="AB53" s="19"/>
      <c r="AC53" s="20"/>
      <c r="AD53" s="22"/>
      <c r="AE53" s="22"/>
      <c r="AF53" s="5"/>
      <c r="AG53" s="105">
        <f t="shared" si="2"/>
        <v>3234990.1000000006</v>
      </c>
    </row>
    <row r="54" spans="2:33" ht="13.95" customHeight="1" x14ac:dyDescent="0.25">
      <c r="B54" s="41" t="s">
        <v>88</v>
      </c>
      <c r="C54" s="224" t="str">
        <f>IFERROR(_xlfn.XLOOKUP(B54,'Limite de crédito'!C:C,'Limite de crédito'!L:L,),0)</f>
        <v>B</v>
      </c>
      <c r="D54" s="93"/>
      <c r="E54" s="18">
        <f>_xlfn.XLOOKUP(B54,'Limite de crédito'!C:C,'Limite de crédito'!G:G,0)</f>
        <v>200000</v>
      </c>
      <c r="F54" s="18">
        <f t="shared" ref="F54" si="20">E54-G54</f>
        <v>155081</v>
      </c>
      <c r="G54" s="18">
        <f t="shared" ref="G54" si="21">P54+O54</f>
        <v>44919</v>
      </c>
      <c r="H54" s="19">
        <f>SUMIFS('Data Additive'!$D:$D,'Data Additive'!$P:$P,'Painel Additive'!$B54,'Data Additive'!$Q:$Q,"&gt;0",'Data Additive'!$Q:$Q,"&lt;=30")</f>
        <v>0</v>
      </c>
      <c r="I54" s="19">
        <f>SUMIFS('Data Additive'!$D:$D,'Data Additive'!$P:$P,'Painel Additive'!$B54,'Data Additive'!$Q:$Q,"&gt;30",'Data Additive'!$Q:$Q,"&lt;=60")</f>
        <v>0</v>
      </c>
      <c r="J54" s="19">
        <f>SUMIFS('Data Additive'!$D:$D,'Data Additive'!$P:$P,'Painel Additive'!$B54,'Data Additive'!$Q:$Q,"&gt;60",'Data Additive'!$Q:$Q,"&lt;=90")</f>
        <v>0</v>
      </c>
      <c r="K54" s="19">
        <f>SUMIFS('Data Additive'!$D:$D,'Data Additive'!$P:$P,'Painel Additive'!$B54,'Data Additive'!$Q:$Q,"&gt;90",'Data Additive'!$Q:$Q,"&lt;=120")</f>
        <v>0</v>
      </c>
      <c r="L54" s="19">
        <f>SUMIFS('Data Additive'!$D:$D,'Data Additive'!$P:$P,'Painel Additive'!$B54,'Data Additive'!$Q:$Q,"&gt;120",'Data Additive'!$Q:$Q,"&lt;=180")</f>
        <v>0</v>
      </c>
      <c r="M54" s="19">
        <f>SUMIFS('Data Additive'!$D:$D,'Data Additive'!$P:$P,'Painel Additive'!$B54,'Data Additive'!$Q:$Q,"&gt;180",'Data Additive'!$Q:$Q,"&lt;=360")</f>
        <v>0</v>
      </c>
      <c r="N54" s="23">
        <f>SUMIFS('Data Additive'!$D:$D,'Data Additive'!$P:$P,'Painel Additive'!$B54,'Data Additive'!$Q:$Q,"&gt;360")</f>
        <v>0</v>
      </c>
      <c r="O54" s="122">
        <f>SUMIFS('Data Additive'!$D:$D,'Data Additive'!$P:$P,'Painel Additive'!$B54,'Data Additive'!$Q:$Q,"&gt;0")</f>
        <v>0</v>
      </c>
      <c r="P54" s="19">
        <f t="shared" si="5"/>
        <v>44919</v>
      </c>
      <c r="Q54" s="19">
        <f>SUMIFS('Data Additive'!$D:$D,'Data Additive'!$P:$P,'Painel Additive'!$B54,'Data Additive'!$Q:$Q,"&lt;=0",'Data Additive'!$Q:$Q,"&gt;=-30")</f>
        <v>44919</v>
      </c>
      <c r="R54" s="19">
        <f>SUMIFS('Data Additive'!$D:$D,'Data Additive'!$P:$P,'Painel Additive'!$B54,'Data Additive'!$Q:$Q,"&lt;=-31",'Data Additive'!$Q:$Q,"&gt;=-60")</f>
        <v>0</v>
      </c>
      <c r="S54" s="19">
        <f>SUMIFS('Data Additive'!$D:$D,'Data Additive'!$P:$P,'Painel Additive'!$B54,'Data Additive'!$Q:$Q,"&lt;=-61",'Data Additive'!$Q:$Q,"&gt;=-90")</f>
        <v>0</v>
      </c>
      <c r="T54" s="19">
        <f>SUMIFS('Data Additive'!$D:$D,'Data Additive'!$P:$P,'Painel Additive'!$B54,'Data Additive'!$Q:$Q,"&lt;=-91",'Data Additive'!$Q:$Q,"&gt;=-120")</f>
        <v>0</v>
      </c>
      <c r="U54" s="19">
        <f>SUMIFS('Data Additive'!$D:$D,'Data Additive'!$P:$P,'Painel Additive'!$B54,'Data Additive'!$Q:$Q,"&lt;=-121",'Data Additive'!$Q:$Q,"&gt;=-180")</f>
        <v>0</v>
      </c>
      <c r="V54" s="19">
        <f>SUMIFS('Data Additive'!$D:$D,'Data Additive'!$P:$P,'Painel Additive'!$B54,'Data Additive'!$Q:$Q,"&lt;=-181",'Data Additive'!$Q:$Q,"&gt;=-360")</f>
        <v>0</v>
      </c>
      <c r="W54" s="23">
        <f>SUMIFS('Data Additive'!$D:$D,'Data Additive'!$P:$P,'Painel Additive'!$B54,'Data Additive'!$Q:$Q,"&lt;-360")</f>
        <v>0</v>
      </c>
      <c r="X54" s="19">
        <f>SUMIFS('Bad Debt Provision'!AB:AB,'Bad Debt Provision'!B:B,'Painel Additive'!B54)</f>
        <v>0</v>
      </c>
      <c r="Y54" s="5"/>
      <c r="Z54" s="5"/>
      <c r="AA54" s="19">
        <f>IFERROR(_xlfn.XLOOKUP(B54,'Limite de crédito'!C:C,'Limite de crédito'!O:O,),0)</f>
        <v>200000</v>
      </c>
      <c r="AB54" s="19"/>
      <c r="AC54" s="20"/>
      <c r="AD54" s="22"/>
      <c r="AE54" s="22"/>
      <c r="AF54" s="5"/>
      <c r="AG54" s="105">
        <f t="shared" si="2"/>
        <v>155081</v>
      </c>
    </row>
    <row r="55" spans="2:33" ht="13.95" customHeight="1" x14ac:dyDescent="0.25">
      <c r="B55" s="41" t="s">
        <v>165</v>
      </c>
      <c r="C55" s="224">
        <f>IFERROR(_xlfn.XLOOKUP(B55,'Limite de crédito'!C:C,'Limite de crédito'!L:L,),0)</f>
        <v>0</v>
      </c>
      <c r="D55" s="93"/>
      <c r="E55" s="18">
        <f>_xlfn.XLOOKUP(B55,'Limite de crédito'!C:C,'Limite de crédito'!G:G,0)</f>
        <v>0</v>
      </c>
      <c r="F55" s="18">
        <f t="shared" ref="F55:F58" si="22">E55-G55</f>
        <v>0</v>
      </c>
      <c r="G55" s="18">
        <f t="shared" ref="G55:G58" si="23">P55+O55</f>
        <v>0</v>
      </c>
      <c r="H55" s="19">
        <f>SUMIFS('Data Additive'!$D:$D,'Data Additive'!$P:$P,'Painel Additive'!$B55,'Data Additive'!$Q:$Q,"&gt;0",'Data Additive'!$Q:$Q,"&lt;=30")</f>
        <v>0</v>
      </c>
      <c r="I55" s="19">
        <f>SUMIFS('Data Additive'!$D:$D,'Data Additive'!$P:$P,'Painel Additive'!$B55,'Data Additive'!$Q:$Q,"&gt;30",'Data Additive'!$Q:$Q,"&lt;=60")</f>
        <v>0</v>
      </c>
      <c r="J55" s="19">
        <f>SUMIFS('Data Additive'!$D:$D,'Data Additive'!$P:$P,'Painel Additive'!$B55,'Data Additive'!$Q:$Q,"&gt;60",'Data Additive'!$Q:$Q,"&lt;=90")</f>
        <v>0</v>
      </c>
      <c r="K55" s="19">
        <f>SUMIFS('Data Additive'!$D:$D,'Data Additive'!$P:$P,'Painel Additive'!$B55,'Data Additive'!$Q:$Q,"&gt;90",'Data Additive'!$Q:$Q,"&lt;=120")</f>
        <v>0</v>
      </c>
      <c r="L55" s="19">
        <f>SUMIFS('Data Additive'!$D:$D,'Data Additive'!$P:$P,'Painel Additive'!$B55,'Data Additive'!$Q:$Q,"&gt;120",'Data Additive'!$Q:$Q,"&lt;=180")</f>
        <v>0</v>
      </c>
      <c r="M55" s="19">
        <f>SUMIFS('Data Additive'!$D:$D,'Data Additive'!$P:$P,'Painel Additive'!$B55,'Data Additive'!$Q:$Q,"&gt;180",'Data Additive'!$Q:$Q,"&lt;=360")</f>
        <v>0</v>
      </c>
      <c r="N55" s="23">
        <f>SUMIFS('Data Additive'!$D:$D,'Data Additive'!$P:$P,'Painel Additive'!$B55,'Data Additive'!$Q:$Q,"&gt;360")</f>
        <v>0</v>
      </c>
      <c r="O55" s="122">
        <f>SUMIFS('Data Additive'!$D:$D,'Data Additive'!$P:$P,'Painel Additive'!$B55,'Data Additive'!$Q:$Q,"&gt;0")</f>
        <v>0</v>
      </c>
      <c r="P55" s="19">
        <f t="shared" ref="P55:P58" si="24">SUM(Q55:W55)</f>
        <v>0</v>
      </c>
      <c r="Q55" s="19">
        <f>SUMIFS('Data Additive'!$D:$D,'Data Additive'!$P:$P,'Painel Additive'!$B55,'Data Additive'!$Q:$Q,"&lt;=0",'Data Additive'!$Q:$Q,"&gt;=-30")</f>
        <v>0</v>
      </c>
      <c r="R55" s="19">
        <f>SUMIFS('Data Additive'!$D:$D,'Data Additive'!$P:$P,'Painel Additive'!$B55,'Data Additive'!$Q:$Q,"&lt;=-31",'Data Additive'!$Q:$Q,"&gt;=-60")</f>
        <v>0</v>
      </c>
      <c r="S55" s="19">
        <f>SUMIFS('Data Additive'!$D:$D,'Data Additive'!$P:$P,'Painel Additive'!$B55,'Data Additive'!$Q:$Q,"&lt;=-61",'Data Additive'!$Q:$Q,"&gt;=-90")</f>
        <v>0</v>
      </c>
      <c r="T55" s="19">
        <f>SUMIFS('Data Additive'!$D:$D,'Data Additive'!$P:$P,'Painel Additive'!$B55,'Data Additive'!$Q:$Q,"&lt;=-91",'Data Additive'!$Q:$Q,"&gt;=-120")</f>
        <v>0</v>
      </c>
      <c r="U55" s="19">
        <f>SUMIFS('Data Additive'!$D:$D,'Data Additive'!$P:$P,'Painel Additive'!$B55,'Data Additive'!$Q:$Q,"&lt;=-121",'Data Additive'!$Q:$Q,"&gt;=-180")</f>
        <v>0</v>
      </c>
      <c r="V55" s="19">
        <f>SUMIFS('Data Additive'!$D:$D,'Data Additive'!$P:$P,'Painel Additive'!$B55,'Data Additive'!$Q:$Q,"&lt;=-181",'Data Additive'!$Q:$Q,"&gt;=-360")</f>
        <v>0</v>
      </c>
      <c r="W55" s="23">
        <f>SUMIFS('Data Additive'!$D:$D,'Data Additive'!$P:$P,'Painel Additive'!$B55,'Data Additive'!$Q:$Q,"&lt;-360")</f>
        <v>0</v>
      </c>
      <c r="X55" s="19">
        <f>SUMIFS('Bad Debt Provision'!AB:AB,'Bad Debt Provision'!B:B,'Painel Additive'!B55)</f>
        <v>0</v>
      </c>
      <c r="Y55" s="5"/>
      <c r="Z55" s="5"/>
      <c r="AA55" s="19">
        <f>IFERROR(_xlfn.XLOOKUP(B55,'Limite de crédito'!C:C,'Limite de crédito'!O:O,),0)</f>
        <v>0</v>
      </c>
      <c r="AB55" s="19"/>
      <c r="AC55" s="20"/>
      <c r="AD55" s="22"/>
      <c r="AE55" s="22"/>
      <c r="AF55" s="5"/>
      <c r="AG55" s="105">
        <f t="shared" si="2"/>
        <v>0</v>
      </c>
    </row>
    <row r="56" spans="2:33" ht="13.95" customHeight="1" x14ac:dyDescent="0.25">
      <c r="B56" s="41" t="s">
        <v>302</v>
      </c>
      <c r="C56" s="224" t="str">
        <f>IFERROR(_xlfn.XLOOKUP(B56,'Limite de crédito'!C:C,'Limite de crédito'!L:L,),0)</f>
        <v>B</v>
      </c>
      <c r="D56" s="93"/>
      <c r="E56" s="18">
        <f>_xlfn.XLOOKUP(B56,'Limite de crédito'!C:C,'Limite de crédito'!G:G,0)</f>
        <v>300000</v>
      </c>
      <c r="F56" s="18">
        <f t="shared" si="22"/>
        <v>256430.25</v>
      </c>
      <c r="G56" s="18">
        <f t="shared" si="23"/>
        <v>43569.75</v>
      </c>
      <c r="H56" s="19">
        <f>SUMIFS('Data Additive'!$D:$D,'Data Additive'!$P:$P,'Painel Additive'!$B56,'Data Additive'!$Q:$Q,"&gt;0",'Data Additive'!$Q:$Q,"&lt;=30")</f>
        <v>0</v>
      </c>
      <c r="I56" s="19">
        <f>SUMIFS('Data Additive'!$D:$D,'Data Additive'!$P:$P,'Painel Additive'!$B56,'Data Additive'!$Q:$Q,"&gt;30",'Data Additive'!$Q:$Q,"&lt;=60")</f>
        <v>0</v>
      </c>
      <c r="J56" s="19">
        <f>SUMIFS('Data Additive'!$D:$D,'Data Additive'!$P:$P,'Painel Additive'!$B56,'Data Additive'!$Q:$Q,"&gt;60",'Data Additive'!$Q:$Q,"&lt;=90")</f>
        <v>0</v>
      </c>
      <c r="K56" s="19">
        <f>SUMIFS('Data Additive'!$D:$D,'Data Additive'!$P:$P,'Painel Additive'!$B56,'Data Additive'!$Q:$Q,"&gt;90",'Data Additive'!$Q:$Q,"&lt;=120")</f>
        <v>0</v>
      </c>
      <c r="L56" s="19">
        <f>SUMIFS('Data Additive'!$D:$D,'Data Additive'!$P:$P,'Painel Additive'!$B56,'Data Additive'!$Q:$Q,"&gt;120",'Data Additive'!$Q:$Q,"&lt;=180")</f>
        <v>0</v>
      </c>
      <c r="M56" s="19">
        <f>SUMIFS('Data Additive'!$D:$D,'Data Additive'!$P:$P,'Painel Additive'!$B56,'Data Additive'!$Q:$Q,"&gt;180",'Data Additive'!$Q:$Q,"&lt;=360")</f>
        <v>0</v>
      </c>
      <c r="N56" s="23">
        <f>SUMIFS('Data Additive'!$D:$D,'Data Additive'!$P:$P,'Painel Additive'!$B56,'Data Additive'!$Q:$Q,"&gt;360")</f>
        <v>0</v>
      </c>
      <c r="O56" s="122">
        <f>SUMIFS('Data Additive'!$D:$D,'Data Additive'!$P:$P,'Painel Additive'!$B56,'Data Additive'!$Q:$Q,"&gt;0")</f>
        <v>0</v>
      </c>
      <c r="P56" s="19">
        <f t="shared" si="24"/>
        <v>43569.75</v>
      </c>
      <c r="Q56" s="19">
        <f>SUMIFS('Data Additive'!$D:$D,'Data Additive'!$P:$P,'Painel Additive'!$B56,'Data Additive'!$Q:$Q,"&lt;=0",'Data Additive'!$Q:$Q,"&gt;=-30")</f>
        <v>0</v>
      </c>
      <c r="R56" s="19">
        <f>SUMIFS('Data Additive'!$D:$D,'Data Additive'!$P:$P,'Painel Additive'!$B56,'Data Additive'!$Q:$Q,"&lt;=-31",'Data Additive'!$Q:$Q,"&gt;=-60")</f>
        <v>43569.75</v>
      </c>
      <c r="S56" s="19">
        <f>SUMIFS('Data Additive'!$D:$D,'Data Additive'!$P:$P,'Painel Additive'!$B56,'Data Additive'!$Q:$Q,"&lt;=-61",'Data Additive'!$Q:$Q,"&gt;=-90")</f>
        <v>0</v>
      </c>
      <c r="T56" s="19">
        <f>SUMIFS('Data Additive'!$D:$D,'Data Additive'!$P:$P,'Painel Additive'!$B56,'Data Additive'!$Q:$Q,"&lt;=-91",'Data Additive'!$Q:$Q,"&gt;=-120")</f>
        <v>0</v>
      </c>
      <c r="U56" s="19">
        <f>SUMIFS('Data Additive'!$D:$D,'Data Additive'!$P:$P,'Painel Additive'!$B56,'Data Additive'!$Q:$Q,"&lt;=-121",'Data Additive'!$Q:$Q,"&gt;=-180")</f>
        <v>0</v>
      </c>
      <c r="V56" s="19">
        <f>SUMIFS('Data Additive'!$D:$D,'Data Additive'!$P:$P,'Painel Additive'!$B56,'Data Additive'!$Q:$Q,"&lt;=-181",'Data Additive'!$Q:$Q,"&gt;=-360")</f>
        <v>0</v>
      </c>
      <c r="W56" s="23">
        <f>SUMIFS('Data Additive'!$D:$D,'Data Additive'!$P:$P,'Painel Additive'!$B56,'Data Additive'!$Q:$Q,"&lt;-360")</f>
        <v>0</v>
      </c>
      <c r="X56" s="19">
        <f>SUMIFS('Bad Debt Provision'!AB:AB,'Bad Debt Provision'!B:B,'Painel Additive'!B56)</f>
        <v>0</v>
      </c>
      <c r="Y56" s="5"/>
      <c r="Z56" s="5"/>
      <c r="AA56" s="19">
        <f>IFERROR(_xlfn.XLOOKUP(B56,'Limite de crédito'!C:C,'Limite de crédito'!O:O,),0)</f>
        <v>300000</v>
      </c>
      <c r="AB56" s="19"/>
      <c r="AC56" s="20"/>
      <c r="AD56" s="22"/>
      <c r="AE56" s="22"/>
      <c r="AF56" s="5"/>
      <c r="AG56" s="105">
        <f t="shared" si="2"/>
        <v>256430.25</v>
      </c>
    </row>
    <row r="57" spans="2:33" ht="13.95" customHeight="1" x14ac:dyDescent="0.25">
      <c r="B57" s="41" t="s">
        <v>251</v>
      </c>
      <c r="C57" s="224">
        <f>IFERROR(_xlfn.XLOOKUP(B57,'Limite de crédito'!C:C,'Limite de crédito'!L:L,),0)</f>
        <v>0</v>
      </c>
      <c r="D57" s="93"/>
      <c r="E57" s="18">
        <f>_xlfn.XLOOKUP(B57,'Limite de crédito'!C:C,'Limite de crédito'!G:G,0)</f>
        <v>0</v>
      </c>
      <c r="F57" s="18">
        <f t="shared" si="22"/>
        <v>0</v>
      </c>
      <c r="G57" s="18">
        <f t="shared" si="23"/>
        <v>0</v>
      </c>
      <c r="H57" s="19">
        <f>SUMIFS('Data Additive'!$D:$D,'Data Additive'!$P:$P,'Painel Additive'!$B57,'Data Additive'!$Q:$Q,"&gt;0",'Data Additive'!$Q:$Q,"&lt;=30")</f>
        <v>0</v>
      </c>
      <c r="I57" s="19">
        <f>SUMIFS('Data Additive'!$D:$D,'Data Additive'!$P:$P,'Painel Additive'!$B57,'Data Additive'!$Q:$Q,"&gt;30",'Data Additive'!$Q:$Q,"&lt;=60")</f>
        <v>0</v>
      </c>
      <c r="J57" s="19">
        <f>SUMIFS('Data Additive'!$D:$D,'Data Additive'!$P:$P,'Painel Additive'!$B57,'Data Additive'!$Q:$Q,"&gt;60",'Data Additive'!$Q:$Q,"&lt;=90")</f>
        <v>0</v>
      </c>
      <c r="K57" s="19">
        <f>SUMIFS('Data Additive'!$D:$D,'Data Additive'!$P:$P,'Painel Additive'!$B57,'Data Additive'!$Q:$Q,"&gt;90",'Data Additive'!$Q:$Q,"&lt;=120")</f>
        <v>0</v>
      </c>
      <c r="L57" s="19">
        <f>SUMIFS('Data Additive'!$D:$D,'Data Additive'!$P:$P,'Painel Additive'!$B57,'Data Additive'!$Q:$Q,"&gt;120",'Data Additive'!$Q:$Q,"&lt;=180")</f>
        <v>0</v>
      </c>
      <c r="M57" s="19">
        <f>SUMIFS('Data Additive'!$D:$D,'Data Additive'!$P:$P,'Painel Additive'!$B57,'Data Additive'!$Q:$Q,"&gt;180",'Data Additive'!$Q:$Q,"&lt;=360")</f>
        <v>0</v>
      </c>
      <c r="N57" s="23">
        <f>SUMIFS('Data Additive'!$D:$D,'Data Additive'!$P:$P,'Painel Additive'!$B57,'Data Additive'!$Q:$Q,"&gt;360")</f>
        <v>0</v>
      </c>
      <c r="O57" s="122">
        <f>SUMIFS('Data Additive'!$D:$D,'Data Additive'!$P:$P,'Painel Additive'!$B57,'Data Additive'!$Q:$Q,"&gt;0")</f>
        <v>0</v>
      </c>
      <c r="P57" s="19">
        <f t="shared" si="24"/>
        <v>0</v>
      </c>
      <c r="Q57" s="19">
        <f>SUMIFS('Data Additive'!$D:$D,'Data Additive'!$P:$P,'Painel Additive'!$B57,'Data Additive'!$Q:$Q,"&lt;=0",'Data Additive'!$Q:$Q,"&gt;=-30")</f>
        <v>0</v>
      </c>
      <c r="R57" s="19">
        <f>SUMIFS('Data Additive'!$D:$D,'Data Additive'!$P:$P,'Painel Additive'!$B57,'Data Additive'!$Q:$Q,"&lt;=-31",'Data Additive'!$Q:$Q,"&gt;=-60")</f>
        <v>0</v>
      </c>
      <c r="S57" s="19">
        <f>SUMIFS('Data Additive'!$D:$D,'Data Additive'!$P:$P,'Painel Additive'!$B57,'Data Additive'!$Q:$Q,"&lt;=-61",'Data Additive'!$Q:$Q,"&gt;=-90")</f>
        <v>0</v>
      </c>
      <c r="T57" s="19">
        <f>SUMIFS('Data Additive'!$D:$D,'Data Additive'!$P:$P,'Painel Additive'!$B57,'Data Additive'!$Q:$Q,"&lt;=-91",'Data Additive'!$Q:$Q,"&gt;=-120")</f>
        <v>0</v>
      </c>
      <c r="U57" s="19">
        <f>SUMIFS('Data Additive'!$D:$D,'Data Additive'!$P:$P,'Painel Additive'!$B57,'Data Additive'!$Q:$Q,"&lt;=-121",'Data Additive'!$Q:$Q,"&gt;=-180")</f>
        <v>0</v>
      </c>
      <c r="V57" s="19">
        <f>SUMIFS('Data Additive'!$D:$D,'Data Additive'!$P:$P,'Painel Additive'!$B57,'Data Additive'!$Q:$Q,"&lt;=-181",'Data Additive'!$Q:$Q,"&gt;=-360")</f>
        <v>0</v>
      </c>
      <c r="W57" s="23">
        <f>SUMIFS('Data Additive'!$D:$D,'Data Additive'!$P:$P,'Painel Additive'!$B57,'Data Additive'!$Q:$Q,"&lt;-360")</f>
        <v>0</v>
      </c>
      <c r="X57" s="19">
        <f>SUMIFS('Bad Debt Provision'!AB:AB,'Bad Debt Provision'!B:B,'Painel Additive'!B57)</f>
        <v>0</v>
      </c>
      <c r="Y57" s="5"/>
      <c r="Z57" s="5"/>
      <c r="AA57" s="19">
        <f>IFERROR(_xlfn.XLOOKUP(B57,'Limite de crédito'!C:C,'Limite de crédito'!O:O,),0)</f>
        <v>0</v>
      </c>
      <c r="AB57" s="19"/>
      <c r="AC57" s="20"/>
      <c r="AD57" s="22"/>
      <c r="AE57" s="22"/>
      <c r="AF57" s="5"/>
      <c r="AG57" s="105">
        <f t="shared" si="2"/>
        <v>0</v>
      </c>
    </row>
    <row r="58" spans="2:33" ht="13.95" customHeight="1" x14ac:dyDescent="0.25">
      <c r="B58" s="41" t="s">
        <v>533</v>
      </c>
      <c r="C58" s="224">
        <f>IFERROR(_xlfn.XLOOKUP(B58,'Limite de crédito'!C:C,'Limite de crédito'!L:L,),0)</f>
        <v>0</v>
      </c>
      <c r="D58" s="93"/>
      <c r="E58" s="18">
        <f>_xlfn.XLOOKUP(B58,'Limite de crédito'!C:C,'Limite de crédito'!G:G,0)</f>
        <v>0</v>
      </c>
      <c r="F58" s="18">
        <f t="shared" si="22"/>
        <v>-100</v>
      </c>
      <c r="G58" s="18">
        <f t="shared" si="23"/>
        <v>100</v>
      </c>
      <c r="H58" s="19">
        <f>SUMIFS('Data Additive'!$D:$D,'Data Additive'!$P:$P,'Painel Additive'!$B58,'Data Additive'!$Q:$Q,"&gt;0",'Data Additive'!$Q:$Q,"&lt;=30")</f>
        <v>100</v>
      </c>
      <c r="I58" s="19">
        <f>SUMIFS('Data Additive'!$D:$D,'Data Additive'!$P:$P,'Painel Additive'!$B58,'Data Additive'!$Q:$Q,"&gt;30",'Data Additive'!$Q:$Q,"&lt;=60")</f>
        <v>0</v>
      </c>
      <c r="J58" s="19">
        <f>SUMIFS('Data Additive'!$D:$D,'Data Additive'!$P:$P,'Painel Additive'!$B58,'Data Additive'!$Q:$Q,"&gt;60",'Data Additive'!$Q:$Q,"&lt;=90")</f>
        <v>0</v>
      </c>
      <c r="K58" s="19">
        <f>SUMIFS('Data Additive'!$D:$D,'Data Additive'!$P:$P,'Painel Additive'!$B58,'Data Additive'!$Q:$Q,"&gt;90",'Data Additive'!$Q:$Q,"&lt;=120")</f>
        <v>0</v>
      </c>
      <c r="L58" s="19">
        <f>SUMIFS('Data Additive'!$D:$D,'Data Additive'!$P:$P,'Painel Additive'!$B58,'Data Additive'!$Q:$Q,"&gt;120",'Data Additive'!$Q:$Q,"&lt;=180")</f>
        <v>0</v>
      </c>
      <c r="M58" s="19">
        <f>SUMIFS('Data Additive'!$D:$D,'Data Additive'!$P:$P,'Painel Additive'!$B58,'Data Additive'!$Q:$Q,"&gt;180",'Data Additive'!$Q:$Q,"&lt;=360")</f>
        <v>0</v>
      </c>
      <c r="N58" s="23">
        <f>SUMIFS('Data Additive'!$D:$D,'Data Additive'!$P:$P,'Painel Additive'!$B58,'Data Additive'!$Q:$Q,"&gt;360")</f>
        <v>0</v>
      </c>
      <c r="O58" s="122">
        <f>SUMIFS('Data Additive'!$D:$D,'Data Additive'!$P:$P,'Painel Additive'!$B58,'Data Additive'!$Q:$Q,"&gt;0")</f>
        <v>100</v>
      </c>
      <c r="P58" s="19">
        <f t="shared" si="24"/>
        <v>0</v>
      </c>
      <c r="Q58" s="19">
        <f>SUMIFS('Data Additive'!$D:$D,'Data Additive'!$P:$P,'Painel Additive'!$B58,'Data Additive'!$Q:$Q,"&lt;=0",'Data Additive'!$Q:$Q,"&gt;=-30")</f>
        <v>0</v>
      </c>
      <c r="R58" s="19">
        <f>SUMIFS('Data Additive'!$D:$D,'Data Additive'!$P:$P,'Painel Additive'!$B58,'Data Additive'!$Q:$Q,"&lt;=-31",'Data Additive'!$Q:$Q,"&gt;=-60")</f>
        <v>0</v>
      </c>
      <c r="S58" s="19">
        <f>SUMIFS('Data Additive'!$D:$D,'Data Additive'!$P:$P,'Painel Additive'!$B58,'Data Additive'!$Q:$Q,"&lt;=-61",'Data Additive'!$Q:$Q,"&gt;=-90")</f>
        <v>0</v>
      </c>
      <c r="T58" s="19">
        <f>SUMIFS('Data Additive'!$D:$D,'Data Additive'!$P:$P,'Painel Additive'!$B58,'Data Additive'!$Q:$Q,"&lt;=-91",'Data Additive'!$Q:$Q,"&gt;=-120")</f>
        <v>0</v>
      </c>
      <c r="U58" s="19">
        <f>SUMIFS('Data Additive'!$D:$D,'Data Additive'!$P:$P,'Painel Additive'!$B58,'Data Additive'!$Q:$Q,"&lt;=-121",'Data Additive'!$Q:$Q,"&gt;=-180")</f>
        <v>0</v>
      </c>
      <c r="V58" s="19">
        <f>SUMIFS('Data Additive'!$D:$D,'Data Additive'!$P:$P,'Painel Additive'!$B58,'Data Additive'!$Q:$Q,"&lt;=-181",'Data Additive'!$Q:$Q,"&gt;=-360")</f>
        <v>0</v>
      </c>
      <c r="W58" s="23">
        <f>SUMIFS('Data Additive'!$D:$D,'Data Additive'!$P:$P,'Painel Additive'!$B58,'Data Additive'!$Q:$Q,"&lt;-360")</f>
        <v>0</v>
      </c>
      <c r="X58" s="19">
        <f>SUMIFS('Bad Debt Provision'!AB:AB,'Bad Debt Provision'!B:B,'Painel Additive'!B58)</f>
        <v>0</v>
      </c>
      <c r="Y58" s="5"/>
      <c r="Z58" s="5"/>
      <c r="AA58" s="19">
        <f>IFERROR(_xlfn.XLOOKUP(B58,'Limite de crédito'!C:C,'Limite de crédito'!O:O,),0)</f>
        <v>0</v>
      </c>
      <c r="AB58" s="19"/>
      <c r="AC58" s="20"/>
      <c r="AD58" s="22"/>
      <c r="AE58" s="22"/>
      <c r="AF58" s="5"/>
      <c r="AG58" s="105">
        <f t="shared" si="2"/>
        <v>-100</v>
      </c>
    </row>
    <row r="59" spans="2:33" ht="13.95" customHeight="1" x14ac:dyDescent="0.25">
      <c r="B59" s="41" t="s">
        <v>546</v>
      </c>
      <c r="C59" s="224" t="str">
        <f>IFERROR(_xlfn.XLOOKUP(B59,'Limite de crédito'!C:C,'Limite de crédito'!L:L,),0)</f>
        <v>B</v>
      </c>
      <c r="D59" s="93"/>
      <c r="E59" s="18">
        <f>_xlfn.XLOOKUP(B59,'Limite de crédito'!C:C,'Limite de crédito'!G:G,0)</f>
        <v>200000</v>
      </c>
      <c r="F59" s="18">
        <f t="shared" ref="F59" si="25">E59-G59</f>
        <v>-15702.859999999986</v>
      </c>
      <c r="G59" s="18">
        <f t="shared" ref="G59" si="26">P59+O59</f>
        <v>215702.86</v>
      </c>
      <c r="H59" s="19">
        <f>SUMIFS('Data Additive'!$D:$D,'Data Additive'!$P:$P,'Painel Additive'!$B59,'Data Additive'!$Q:$Q,"&gt;0",'Data Additive'!$Q:$Q,"&lt;=30")</f>
        <v>0</v>
      </c>
      <c r="I59" s="19">
        <f>SUMIFS('Data Additive'!$D:$D,'Data Additive'!$P:$P,'Painel Additive'!$B59,'Data Additive'!$Q:$Q,"&gt;30",'Data Additive'!$Q:$Q,"&lt;=60")</f>
        <v>0</v>
      </c>
      <c r="J59" s="19">
        <f>SUMIFS('Data Additive'!$D:$D,'Data Additive'!$P:$P,'Painel Additive'!$B59,'Data Additive'!$Q:$Q,"&gt;60",'Data Additive'!$Q:$Q,"&lt;=90")</f>
        <v>0</v>
      </c>
      <c r="K59" s="19">
        <f>SUMIFS('Data Additive'!$D:$D,'Data Additive'!$P:$P,'Painel Additive'!$B59,'Data Additive'!$Q:$Q,"&gt;90",'Data Additive'!$Q:$Q,"&lt;=120")</f>
        <v>0</v>
      </c>
      <c r="L59" s="19">
        <f>SUMIFS('Data Additive'!$D:$D,'Data Additive'!$P:$P,'Painel Additive'!$B59,'Data Additive'!$Q:$Q,"&gt;120",'Data Additive'!$Q:$Q,"&lt;=180")</f>
        <v>0</v>
      </c>
      <c r="M59" s="19">
        <f>SUMIFS('Data Additive'!$D:$D,'Data Additive'!$P:$P,'Painel Additive'!$B59,'Data Additive'!$Q:$Q,"&gt;180",'Data Additive'!$Q:$Q,"&lt;=360")</f>
        <v>0</v>
      </c>
      <c r="N59" s="23">
        <f>SUMIFS('Data Additive'!$D:$D,'Data Additive'!$P:$P,'Painel Additive'!$B59,'Data Additive'!$Q:$Q,"&gt;360")</f>
        <v>0</v>
      </c>
      <c r="O59" s="122">
        <f>SUMIFS('Data Additive'!$D:$D,'Data Additive'!$P:$P,'Painel Additive'!$B59,'Data Additive'!$Q:$Q,"&gt;0")</f>
        <v>0</v>
      </c>
      <c r="P59" s="19">
        <f t="shared" ref="P59" si="27">SUM(Q59:W59)</f>
        <v>215702.86</v>
      </c>
      <c r="Q59" s="19">
        <f>SUMIFS('Data Additive'!$D:$D,'Data Additive'!$P:$P,'Painel Additive'!$B59,'Data Additive'!$Q:$Q,"&lt;=0",'Data Additive'!$Q:$Q,"&gt;=-30")</f>
        <v>107851.43</v>
      </c>
      <c r="R59" s="19">
        <f>SUMIFS('Data Additive'!$D:$D,'Data Additive'!$P:$P,'Painel Additive'!$B59,'Data Additive'!$Q:$Q,"&lt;=-31",'Data Additive'!$Q:$Q,"&gt;=-60")</f>
        <v>107851.43</v>
      </c>
      <c r="S59" s="19">
        <f>SUMIFS('Data Additive'!$D:$D,'Data Additive'!$P:$P,'Painel Additive'!$B59,'Data Additive'!$Q:$Q,"&lt;=-61",'Data Additive'!$Q:$Q,"&gt;=-90")</f>
        <v>0</v>
      </c>
      <c r="T59" s="19">
        <f>SUMIFS('Data Additive'!$D:$D,'Data Additive'!$P:$P,'Painel Additive'!$B59,'Data Additive'!$Q:$Q,"&lt;=-91",'Data Additive'!$Q:$Q,"&gt;=-120")</f>
        <v>0</v>
      </c>
      <c r="U59" s="19">
        <f>SUMIFS('Data Additive'!$D:$D,'Data Additive'!$P:$P,'Painel Additive'!$B59,'Data Additive'!$Q:$Q,"&lt;=-121",'Data Additive'!$Q:$Q,"&gt;=-180")</f>
        <v>0</v>
      </c>
      <c r="V59" s="19">
        <f>SUMIFS('Data Additive'!$D:$D,'Data Additive'!$P:$P,'Painel Additive'!$B59,'Data Additive'!$Q:$Q,"&lt;=-181",'Data Additive'!$Q:$Q,"&gt;=-360")</f>
        <v>0</v>
      </c>
      <c r="W59" s="23">
        <f>SUMIFS('Data Additive'!$D:$D,'Data Additive'!$P:$P,'Painel Additive'!$B59,'Data Additive'!$Q:$Q,"&lt;-360")</f>
        <v>0</v>
      </c>
      <c r="X59" s="19">
        <f>SUMIFS('Bad Debt Provision'!AB:AB,'Bad Debt Provision'!B:B,'Painel Additive'!B59)</f>
        <v>0</v>
      </c>
      <c r="Y59" s="5"/>
      <c r="Z59" s="5"/>
      <c r="AA59" s="19">
        <f>IFERROR(_xlfn.XLOOKUP(B59,'Limite de crédito'!C:C,'Limite de crédito'!O:O,),0)</f>
        <v>200000</v>
      </c>
      <c r="AB59" s="19"/>
      <c r="AC59" s="20"/>
      <c r="AD59" s="22"/>
      <c r="AE59" s="22"/>
      <c r="AF59" s="5"/>
      <c r="AG59" s="105">
        <f t="shared" si="2"/>
        <v>-15702.859999999986</v>
      </c>
    </row>
    <row r="60" spans="2:33" ht="13.95" customHeight="1" x14ac:dyDescent="0.25">
      <c r="B60" s="41" t="s">
        <v>105</v>
      </c>
      <c r="C60" s="224">
        <f>IFERROR(_xlfn.XLOOKUP(B60,'Limite de crédito'!C:C,'Limite de crédito'!L:L,),0)</f>
        <v>0</v>
      </c>
      <c r="D60" s="93"/>
      <c r="E60" s="18">
        <f>_xlfn.XLOOKUP(B60,'Limite de crédito'!C:C,'Limite de crédito'!G:G,0)</f>
        <v>0</v>
      </c>
      <c r="F60" s="18">
        <f t="shared" ref="F60" si="28">E60-G60</f>
        <v>0</v>
      </c>
      <c r="G60" s="18">
        <f t="shared" ref="G60" si="29">P60+O60</f>
        <v>0</v>
      </c>
      <c r="H60" s="19">
        <f>SUMIFS('Data Additive'!$D:$D,'Data Additive'!$P:$P,'Painel Additive'!$B60,'Data Additive'!$Q:$Q,"&gt;0",'Data Additive'!$Q:$Q,"&lt;=30")</f>
        <v>0</v>
      </c>
      <c r="I60" s="19">
        <f>SUMIFS('Data Additive'!$D:$D,'Data Additive'!$P:$P,'Painel Additive'!$B60,'Data Additive'!$Q:$Q,"&gt;30",'Data Additive'!$Q:$Q,"&lt;=60")</f>
        <v>0</v>
      </c>
      <c r="J60" s="19">
        <f>SUMIFS('Data Additive'!$D:$D,'Data Additive'!$P:$P,'Painel Additive'!$B60,'Data Additive'!$Q:$Q,"&gt;60",'Data Additive'!$Q:$Q,"&lt;=90")</f>
        <v>0</v>
      </c>
      <c r="K60" s="19">
        <f>SUMIFS('Data Additive'!$D:$D,'Data Additive'!$P:$P,'Painel Additive'!$B60,'Data Additive'!$Q:$Q,"&gt;90",'Data Additive'!$Q:$Q,"&lt;=120")</f>
        <v>0</v>
      </c>
      <c r="L60" s="19">
        <f>SUMIFS('Data Additive'!$D:$D,'Data Additive'!$P:$P,'Painel Additive'!$B60,'Data Additive'!$Q:$Q,"&gt;120",'Data Additive'!$Q:$Q,"&lt;=180")</f>
        <v>0</v>
      </c>
      <c r="M60" s="19">
        <f>SUMIFS('Data Additive'!$D:$D,'Data Additive'!$P:$P,'Painel Additive'!$B60,'Data Additive'!$Q:$Q,"&gt;180",'Data Additive'!$Q:$Q,"&lt;=360")</f>
        <v>0</v>
      </c>
      <c r="N60" s="23">
        <f>SUMIFS('Data Additive'!$D:$D,'Data Additive'!$P:$P,'Painel Additive'!$B60,'Data Additive'!$Q:$Q,"&gt;360")</f>
        <v>0</v>
      </c>
      <c r="O60" s="122">
        <f>SUMIFS('Data Additive'!$D:$D,'Data Additive'!$P:$P,'Painel Additive'!$B60,'Data Additive'!$Q:$Q,"&gt;0")</f>
        <v>0</v>
      </c>
      <c r="P60" s="19">
        <f t="shared" ref="P60" si="30">SUM(Q60:W60)</f>
        <v>0</v>
      </c>
      <c r="Q60" s="19">
        <f>SUMIFS('Data Additive'!$D:$D,'Data Additive'!$P:$P,'Painel Additive'!$B60,'Data Additive'!$Q:$Q,"&lt;=0",'Data Additive'!$Q:$Q,"&gt;=-30")</f>
        <v>0</v>
      </c>
      <c r="R60" s="19">
        <f>SUMIFS('Data Additive'!$D:$D,'Data Additive'!$P:$P,'Painel Additive'!$B60,'Data Additive'!$Q:$Q,"&lt;=-31",'Data Additive'!$Q:$Q,"&gt;=-60")</f>
        <v>0</v>
      </c>
      <c r="S60" s="19">
        <f>SUMIFS('Data Additive'!$D:$D,'Data Additive'!$P:$P,'Painel Additive'!$B60,'Data Additive'!$Q:$Q,"&lt;=-61",'Data Additive'!$Q:$Q,"&gt;=-90")</f>
        <v>0</v>
      </c>
      <c r="T60" s="19">
        <f>SUMIFS('Data Additive'!$D:$D,'Data Additive'!$P:$P,'Painel Additive'!$B60,'Data Additive'!$Q:$Q,"&lt;=-91",'Data Additive'!$Q:$Q,"&gt;=-120")</f>
        <v>0</v>
      </c>
      <c r="U60" s="19">
        <f>SUMIFS('Data Additive'!$D:$D,'Data Additive'!$P:$P,'Painel Additive'!$B60,'Data Additive'!$Q:$Q,"&lt;=-121",'Data Additive'!$Q:$Q,"&gt;=-180")</f>
        <v>0</v>
      </c>
      <c r="V60" s="19">
        <f>SUMIFS('Data Additive'!$D:$D,'Data Additive'!$P:$P,'Painel Additive'!$B60,'Data Additive'!$Q:$Q,"&lt;=-181",'Data Additive'!$Q:$Q,"&gt;=-360")</f>
        <v>0</v>
      </c>
      <c r="W60" s="23">
        <f>SUMIFS('Data Additive'!$D:$D,'Data Additive'!$P:$P,'Painel Additive'!$B60,'Data Additive'!$Q:$Q,"&lt;-360")</f>
        <v>0</v>
      </c>
      <c r="X60" s="19">
        <f>SUMIFS('Bad Debt Provision'!AB:AB,'Bad Debt Provision'!B:B,'Painel Additive'!B60)</f>
        <v>0</v>
      </c>
      <c r="Y60" s="5"/>
      <c r="Z60" s="5"/>
      <c r="AA60" s="19">
        <f>IFERROR(_xlfn.XLOOKUP(B60,'Limite de crédito'!C:C,'Limite de crédito'!O:O,),0)</f>
        <v>0</v>
      </c>
      <c r="AB60" s="19"/>
      <c r="AC60" s="20"/>
      <c r="AD60" s="22"/>
      <c r="AE60" s="22"/>
      <c r="AF60" s="5"/>
      <c r="AG60" s="105">
        <f t="shared" si="2"/>
        <v>0</v>
      </c>
    </row>
    <row r="61" spans="2:33" x14ac:dyDescent="0.25">
      <c r="B61" s="41" t="s">
        <v>301</v>
      </c>
      <c r="C61" s="224">
        <f>IFERROR(_xlfn.XLOOKUP(B61,'Limite de crédito'!C:C,'Limite de crédito'!L:L,),0)</f>
        <v>0</v>
      </c>
      <c r="D61" s="93"/>
      <c r="E61" s="18">
        <f>_xlfn.XLOOKUP(B61,'Limite de crédito'!C:C,'Limite de crédito'!G:G,0)</f>
        <v>0</v>
      </c>
      <c r="F61" s="18">
        <f t="shared" ref="F61" si="31">E61-G61</f>
        <v>0</v>
      </c>
      <c r="G61" s="18">
        <f t="shared" ref="G61" si="32">P61+O61</f>
        <v>0</v>
      </c>
      <c r="H61" s="19">
        <f>SUMIFS('Data Additive'!$D:$D,'Data Additive'!$P:$P,'Painel Additive'!$B61,'Data Additive'!$Q:$Q,"&gt;0",'Data Additive'!$Q:$Q,"&lt;=30")</f>
        <v>0</v>
      </c>
      <c r="I61" s="19">
        <f>SUMIFS('Data Additive'!$D:$D,'Data Additive'!$P:$P,'Painel Additive'!$B61,'Data Additive'!$Q:$Q,"&gt;30",'Data Additive'!$Q:$Q,"&lt;=60")</f>
        <v>0</v>
      </c>
      <c r="J61" s="19">
        <f>SUMIFS('Data Additive'!$D:$D,'Data Additive'!$P:$P,'Painel Additive'!$B61,'Data Additive'!$Q:$Q,"&gt;60",'Data Additive'!$Q:$Q,"&lt;=90")</f>
        <v>0</v>
      </c>
      <c r="K61" s="19">
        <f>SUMIFS('Data Additive'!$D:$D,'Data Additive'!$P:$P,'Painel Additive'!$B61,'Data Additive'!$Q:$Q,"&gt;90",'Data Additive'!$Q:$Q,"&lt;=120")</f>
        <v>0</v>
      </c>
      <c r="L61" s="19">
        <f>SUMIFS('Data Additive'!$D:$D,'Data Additive'!$P:$P,'Painel Additive'!$B61,'Data Additive'!$Q:$Q,"&gt;120",'Data Additive'!$Q:$Q,"&lt;=180")</f>
        <v>0</v>
      </c>
      <c r="M61" s="19">
        <f>SUMIFS('Data Additive'!$D:$D,'Data Additive'!$P:$P,'Painel Additive'!$B61,'Data Additive'!$Q:$Q,"&gt;180",'Data Additive'!$Q:$Q,"&lt;=360")</f>
        <v>0</v>
      </c>
      <c r="N61" s="23">
        <f>SUMIFS('Data Additive'!$D:$D,'Data Additive'!$P:$P,'Painel Additive'!$B61,'Data Additive'!$Q:$Q,"&gt;360")</f>
        <v>0</v>
      </c>
      <c r="O61" s="122">
        <f>SUMIFS('Data Additive'!$D:$D,'Data Additive'!$P:$P,'Painel Additive'!$B61,'Data Additive'!$Q:$Q,"&gt;0")</f>
        <v>0</v>
      </c>
      <c r="P61" s="19">
        <f t="shared" ref="P61" si="33">SUM(Q61:W61)</f>
        <v>0</v>
      </c>
      <c r="Q61" s="19">
        <f>SUMIFS('Data Additive'!$D:$D,'Data Additive'!$P:$P,'Painel Additive'!$B61,'Data Additive'!$Q:$Q,"&lt;=0",'Data Additive'!$Q:$Q,"&gt;=-30")</f>
        <v>0</v>
      </c>
      <c r="R61" s="19">
        <f>SUMIFS('Data Additive'!$D:$D,'Data Additive'!$P:$P,'Painel Additive'!$B61,'Data Additive'!$Q:$Q,"&lt;=-31",'Data Additive'!$Q:$Q,"&gt;=-60")</f>
        <v>0</v>
      </c>
      <c r="S61" s="19">
        <f>SUMIFS('Data Additive'!$D:$D,'Data Additive'!$P:$P,'Painel Additive'!$B61,'Data Additive'!$Q:$Q,"&lt;=-61",'Data Additive'!$Q:$Q,"&gt;=-90")</f>
        <v>0</v>
      </c>
      <c r="T61" s="19">
        <f>SUMIFS('Data Additive'!$D:$D,'Data Additive'!$P:$P,'Painel Additive'!$B61,'Data Additive'!$Q:$Q,"&lt;=-91",'Data Additive'!$Q:$Q,"&gt;=-120")</f>
        <v>0</v>
      </c>
      <c r="U61" s="19">
        <f>SUMIFS('Data Additive'!$D:$D,'Data Additive'!$P:$P,'Painel Additive'!$B61,'Data Additive'!$Q:$Q,"&lt;=-121",'Data Additive'!$Q:$Q,"&gt;=-180")</f>
        <v>0</v>
      </c>
      <c r="V61" s="19">
        <f>SUMIFS('Data Additive'!$D:$D,'Data Additive'!$P:$P,'Painel Additive'!$B61,'Data Additive'!$Q:$Q,"&lt;=-181",'Data Additive'!$Q:$Q,"&gt;=-360")</f>
        <v>0</v>
      </c>
      <c r="W61" s="23">
        <f>SUMIFS('Data Additive'!$D:$D,'Data Additive'!$P:$P,'Painel Additive'!$B61,'Data Additive'!$Q:$Q,"&lt;-360")</f>
        <v>0</v>
      </c>
      <c r="X61" s="19">
        <f>SUMIFS('Bad Debt Provision'!AB:AB,'Bad Debt Provision'!B:B,'Painel Additive'!B61)</f>
        <v>0</v>
      </c>
      <c r="Y61" s="5"/>
      <c r="Z61" s="5"/>
      <c r="AA61" s="19">
        <f>IFERROR(_xlfn.XLOOKUP(B61,'Limite de crédito'!C:C,'Limite de crédito'!O:O,),0)</f>
        <v>0</v>
      </c>
      <c r="AB61" s="19"/>
      <c r="AC61" s="20"/>
      <c r="AD61" s="22"/>
      <c r="AE61" s="22"/>
      <c r="AF61" s="5"/>
      <c r="AG61" s="105">
        <f t="shared" si="2"/>
        <v>0</v>
      </c>
    </row>
    <row r="62" spans="2:33" x14ac:dyDescent="0.25">
      <c r="B62" s="41" t="s">
        <v>271</v>
      </c>
      <c r="C62" s="224">
        <f>IFERROR(_xlfn.XLOOKUP(B62,'Limite de crédito'!C:C,'Limite de crédito'!L:L,),0)</f>
        <v>0</v>
      </c>
      <c r="D62" s="93"/>
      <c r="E62" s="18">
        <f>_xlfn.XLOOKUP(B62,'Limite de crédito'!C:C,'Limite de crédito'!G:G,0)</f>
        <v>300000</v>
      </c>
      <c r="F62" s="18">
        <f t="shared" ref="F62" si="34">E62-G62</f>
        <v>300000</v>
      </c>
      <c r="G62" s="18">
        <f t="shared" ref="G62" si="35">P62+O62</f>
        <v>0</v>
      </c>
      <c r="H62" s="19">
        <f>SUMIFS('Data Additive'!$D:$D,'Data Additive'!$P:$P,'Painel Additive'!$B62,'Data Additive'!$Q:$Q,"&gt;0",'Data Additive'!$Q:$Q,"&lt;=30")</f>
        <v>0</v>
      </c>
      <c r="I62" s="19">
        <f>SUMIFS('Data Additive'!$D:$D,'Data Additive'!$P:$P,'Painel Additive'!$B62,'Data Additive'!$Q:$Q,"&gt;30",'Data Additive'!$Q:$Q,"&lt;=60")</f>
        <v>0</v>
      </c>
      <c r="J62" s="19">
        <f>SUMIFS('Data Additive'!$D:$D,'Data Additive'!$P:$P,'Painel Additive'!$B62,'Data Additive'!$Q:$Q,"&gt;60",'Data Additive'!$Q:$Q,"&lt;=90")</f>
        <v>0</v>
      </c>
      <c r="K62" s="19">
        <f>SUMIFS('Data Additive'!$D:$D,'Data Additive'!$P:$P,'Painel Additive'!$B62,'Data Additive'!$Q:$Q,"&gt;90",'Data Additive'!$Q:$Q,"&lt;=120")</f>
        <v>0</v>
      </c>
      <c r="L62" s="19">
        <f>SUMIFS('Data Additive'!$D:$D,'Data Additive'!$P:$P,'Painel Additive'!$B62,'Data Additive'!$Q:$Q,"&gt;120",'Data Additive'!$Q:$Q,"&lt;=180")</f>
        <v>0</v>
      </c>
      <c r="M62" s="19">
        <f>SUMIFS('Data Additive'!$D:$D,'Data Additive'!$P:$P,'Painel Additive'!$B62,'Data Additive'!$Q:$Q,"&gt;180",'Data Additive'!$Q:$Q,"&lt;=360")</f>
        <v>0</v>
      </c>
      <c r="N62" s="23">
        <f>SUMIFS('Data Additive'!$D:$D,'Data Additive'!$P:$P,'Painel Additive'!$B62,'Data Additive'!$Q:$Q,"&gt;360")</f>
        <v>0</v>
      </c>
      <c r="O62" s="122">
        <f>SUMIFS('Data Additive'!$D:$D,'Data Additive'!$P:$P,'Painel Additive'!$B62,'Data Additive'!$Q:$Q,"&gt;0")</f>
        <v>0</v>
      </c>
      <c r="P62" s="19">
        <f t="shared" ref="P62" si="36">SUM(Q62:W62)</f>
        <v>0</v>
      </c>
      <c r="Q62" s="19">
        <f>SUMIFS('Data Additive'!$D:$D,'Data Additive'!$P:$P,'Painel Additive'!$B62,'Data Additive'!$Q:$Q,"&lt;=0",'Data Additive'!$Q:$Q,"&gt;=-30")</f>
        <v>0</v>
      </c>
      <c r="R62" s="19">
        <f>SUMIFS('Data Additive'!$D:$D,'Data Additive'!$P:$P,'Painel Additive'!$B62,'Data Additive'!$Q:$Q,"&lt;=-31",'Data Additive'!$Q:$Q,"&gt;=-60")</f>
        <v>0</v>
      </c>
      <c r="S62" s="19">
        <f>SUMIFS('Data Additive'!$D:$D,'Data Additive'!$P:$P,'Painel Additive'!$B62,'Data Additive'!$Q:$Q,"&lt;=-61",'Data Additive'!$Q:$Q,"&gt;=-90")</f>
        <v>0</v>
      </c>
      <c r="T62" s="19">
        <f>SUMIFS('Data Additive'!$D:$D,'Data Additive'!$P:$P,'Painel Additive'!$B62,'Data Additive'!$Q:$Q,"&lt;=-91",'Data Additive'!$Q:$Q,"&gt;=-120")</f>
        <v>0</v>
      </c>
      <c r="U62" s="19">
        <f>SUMIFS('Data Additive'!$D:$D,'Data Additive'!$P:$P,'Painel Additive'!$B62,'Data Additive'!$Q:$Q,"&lt;=-121",'Data Additive'!$Q:$Q,"&gt;=-180")</f>
        <v>0</v>
      </c>
      <c r="V62" s="19">
        <f>SUMIFS('Data Additive'!$D:$D,'Data Additive'!$P:$P,'Painel Additive'!$B62,'Data Additive'!$Q:$Q,"&lt;=-181",'Data Additive'!$Q:$Q,"&gt;=-360")</f>
        <v>0</v>
      </c>
      <c r="W62" s="23">
        <f>SUMIFS('Data Additive'!$D:$D,'Data Additive'!$P:$P,'Painel Additive'!$B62,'Data Additive'!$Q:$Q,"&lt;-360")</f>
        <v>0</v>
      </c>
      <c r="X62" s="19">
        <f>SUMIFS('Bad Debt Provision'!AB:AB,'Bad Debt Provision'!B:B,'Painel Additive'!B62)</f>
        <v>0</v>
      </c>
      <c r="Y62" s="5"/>
      <c r="Z62" s="5"/>
      <c r="AA62" s="19">
        <f>IFERROR(_xlfn.XLOOKUP(B62,'Limite de crédito'!C:C,'Limite de crédito'!O:O,),0)</f>
        <v>300000</v>
      </c>
      <c r="AB62" s="19"/>
      <c r="AC62" s="20"/>
      <c r="AD62" s="22"/>
      <c r="AE62" s="22"/>
      <c r="AF62" s="5"/>
      <c r="AG62" s="105">
        <f t="shared" si="2"/>
        <v>300000</v>
      </c>
    </row>
    <row r="63" spans="2:33" x14ac:dyDescent="0.25">
      <c r="B63" s="41" t="s">
        <v>551</v>
      </c>
      <c r="C63" s="224">
        <f>IFERROR(_xlfn.XLOOKUP(B63,'Limite de crédito'!C:C,'Limite de crédito'!L:L,),0)</f>
        <v>0</v>
      </c>
      <c r="D63" s="93"/>
      <c r="E63" s="18">
        <f>_xlfn.XLOOKUP(B63,'Limite de crédito'!C:C,'Limite de crédito'!G:G,0)</f>
        <v>1000000</v>
      </c>
      <c r="F63" s="18">
        <f t="shared" ref="F63" si="37">E63-G63</f>
        <v>1000000</v>
      </c>
      <c r="G63" s="18">
        <f t="shared" ref="G63" si="38">P63+O63</f>
        <v>0</v>
      </c>
      <c r="H63" s="19">
        <f>SUMIFS('Data Additive'!$D:$D,'Data Additive'!$P:$P,'Painel Additive'!$B63,'Data Additive'!$Q:$Q,"&gt;0",'Data Additive'!$Q:$Q,"&lt;=30")</f>
        <v>0</v>
      </c>
      <c r="I63" s="19">
        <f>SUMIFS('Data Additive'!$D:$D,'Data Additive'!$P:$P,'Painel Additive'!$B63,'Data Additive'!$Q:$Q,"&gt;30",'Data Additive'!$Q:$Q,"&lt;=60")</f>
        <v>0</v>
      </c>
      <c r="J63" s="19">
        <f>SUMIFS('Data Additive'!$D:$D,'Data Additive'!$P:$P,'Painel Additive'!$B63,'Data Additive'!$Q:$Q,"&gt;60",'Data Additive'!$Q:$Q,"&lt;=90")</f>
        <v>0</v>
      </c>
      <c r="K63" s="19">
        <f>SUMIFS('Data Additive'!$D:$D,'Data Additive'!$P:$P,'Painel Additive'!$B63,'Data Additive'!$Q:$Q,"&gt;90",'Data Additive'!$Q:$Q,"&lt;=120")</f>
        <v>0</v>
      </c>
      <c r="L63" s="19">
        <f>SUMIFS('Data Additive'!$D:$D,'Data Additive'!$P:$P,'Painel Additive'!$B63,'Data Additive'!$Q:$Q,"&gt;120",'Data Additive'!$Q:$Q,"&lt;=180")</f>
        <v>0</v>
      </c>
      <c r="M63" s="19">
        <f>SUMIFS('Data Additive'!$D:$D,'Data Additive'!$P:$P,'Painel Additive'!$B63,'Data Additive'!$Q:$Q,"&gt;180",'Data Additive'!$Q:$Q,"&lt;=360")</f>
        <v>0</v>
      </c>
      <c r="N63" s="23">
        <f>SUMIFS('Data Additive'!$D:$D,'Data Additive'!$P:$P,'Painel Additive'!$B63,'Data Additive'!$Q:$Q,"&gt;360")</f>
        <v>0</v>
      </c>
      <c r="O63" s="122">
        <f>SUMIFS('Data Additive'!$D:$D,'Data Additive'!$P:$P,'Painel Additive'!$B63,'Data Additive'!$Q:$Q,"&gt;0")</f>
        <v>0</v>
      </c>
      <c r="P63" s="19">
        <f t="shared" ref="P63" si="39">SUM(Q63:W63)</f>
        <v>0</v>
      </c>
      <c r="Q63" s="19">
        <f>SUMIFS('Data Additive'!$D:$D,'Data Additive'!$P:$P,'Painel Additive'!$B63,'Data Additive'!$Q:$Q,"&lt;=0",'Data Additive'!$Q:$Q,"&gt;=-30")</f>
        <v>0</v>
      </c>
      <c r="R63" s="19">
        <f>SUMIFS('Data Additive'!$D:$D,'Data Additive'!$P:$P,'Painel Additive'!$B63,'Data Additive'!$Q:$Q,"&lt;=-31",'Data Additive'!$Q:$Q,"&gt;=-60")</f>
        <v>0</v>
      </c>
      <c r="S63" s="19">
        <f>SUMIFS('Data Additive'!$D:$D,'Data Additive'!$P:$P,'Painel Additive'!$B63,'Data Additive'!$Q:$Q,"&lt;=-61",'Data Additive'!$Q:$Q,"&gt;=-90")</f>
        <v>0</v>
      </c>
      <c r="T63" s="19">
        <f>SUMIFS('Data Additive'!$D:$D,'Data Additive'!$P:$P,'Painel Additive'!$B63,'Data Additive'!$Q:$Q,"&lt;=-91",'Data Additive'!$Q:$Q,"&gt;=-120")</f>
        <v>0</v>
      </c>
      <c r="U63" s="19">
        <f>SUMIFS('Data Additive'!$D:$D,'Data Additive'!$P:$P,'Painel Additive'!$B63,'Data Additive'!$Q:$Q,"&lt;=-121",'Data Additive'!$Q:$Q,"&gt;=-180")</f>
        <v>0</v>
      </c>
      <c r="V63" s="19">
        <f>SUMIFS('Data Additive'!$D:$D,'Data Additive'!$P:$P,'Painel Additive'!$B63,'Data Additive'!$Q:$Q,"&lt;=-181",'Data Additive'!$Q:$Q,"&gt;=-360")</f>
        <v>0</v>
      </c>
      <c r="W63" s="23">
        <f>SUMIFS('Data Additive'!$D:$D,'Data Additive'!$P:$P,'Painel Additive'!$B63,'Data Additive'!$Q:$Q,"&lt;-360")</f>
        <v>0</v>
      </c>
      <c r="X63" s="19">
        <f>SUMIFS('Bad Debt Provision'!AB:AB,'Bad Debt Provision'!B:B,'Painel Additive'!B63)</f>
        <v>0</v>
      </c>
      <c r="Y63" s="5"/>
      <c r="Z63" s="5"/>
      <c r="AA63" s="19">
        <f>IFERROR(_xlfn.XLOOKUP(B63,'Limite de crédito'!C:C,'Limite de crédito'!O:O,),0)</f>
        <v>1000000</v>
      </c>
      <c r="AB63" s="19"/>
      <c r="AC63" s="20"/>
      <c r="AD63" s="22"/>
      <c r="AE63" s="22"/>
      <c r="AF63" s="5"/>
      <c r="AG63" s="105">
        <f t="shared" si="2"/>
        <v>1000000</v>
      </c>
    </row>
    <row r="64" spans="2:33" x14ac:dyDescent="0.25">
      <c r="B64" s="41" t="s">
        <v>175</v>
      </c>
      <c r="C64" s="224" t="str">
        <f>IFERROR(_xlfn.XLOOKUP(B64,'Limite de crédito'!C:C,'Limite de crédito'!L:L,),0)</f>
        <v>B</v>
      </c>
      <c r="D64" s="93"/>
      <c r="E64" s="18">
        <f>_xlfn.XLOOKUP(B64,'Limite de crédito'!C:C,'Limite de crédito'!G:G,0)</f>
        <v>600000</v>
      </c>
      <c r="F64" s="18">
        <f t="shared" ref="F64:F67" si="40">E64-G64</f>
        <v>600000</v>
      </c>
      <c r="G64" s="18">
        <f t="shared" ref="G64:G67" si="41">P64+O64</f>
        <v>0</v>
      </c>
      <c r="H64" s="19">
        <f>SUMIFS('Data Additive'!$D:$D,'Data Additive'!$P:$P,'Painel Additive'!$B64,'Data Additive'!$Q:$Q,"&gt;0",'Data Additive'!$Q:$Q,"&lt;=30")</f>
        <v>0</v>
      </c>
      <c r="I64" s="19">
        <f>SUMIFS('Data Additive'!$D:$D,'Data Additive'!$P:$P,'Painel Additive'!$B64,'Data Additive'!$Q:$Q,"&gt;30",'Data Additive'!$Q:$Q,"&lt;=60")</f>
        <v>0</v>
      </c>
      <c r="J64" s="19">
        <f>SUMIFS('Data Additive'!$D:$D,'Data Additive'!$P:$P,'Painel Additive'!$B64,'Data Additive'!$Q:$Q,"&gt;60",'Data Additive'!$Q:$Q,"&lt;=90")</f>
        <v>0</v>
      </c>
      <c r="K64" s="19">
        <f>SUMIFS('Data Additive'!$D:$D,'Data Additive'!$P:$P,'Painel Additive'!$B64,'Data Additive'!$Q:$Q,"&gt;90",'Data Additive'!$Q:$Q,"&lt;=120")</f>
        <v>0</v>
      </c>
      <c r="L64" s="19">
        <f>SUMIFS('Data Additive'!$D:$D,'Data Additive'!$P:$P,'Painel Additive'!$B64,'Data Additive'!$Q:$Q,"&gt;120",'Data Additive'!$Q:$Q,"&lt;=180")</f>
        <v>0</v>
      </c>
      <c r="M64" s="19">
        <f>SUMIFS('Data Additive'!$D:$D,'Data Additive'!$P:$P,'Painel Additive'!$B64,'Data Additive'!$Q:$Q,"&gt;180",'Data Additive'!$Q:$Q,"&lt;=360")</f>
        <v>0</v>
      </c>
      <c r="N64" s="23">
        <f>SUMIFS('Data Additive'!$D:$D,'Data Additive'!$P:$P,'Painel Additive'!$B64,'Data Additive'!$Q:$Q,"&gt;360")</f>
        <v>0</v>
      </c>
      <c r="O64" s="122">
        <f>SUMIFS('Data Additive'!$D:$D,'Data Additive'!$P:$P,'Painel Additive'!$B64,'Data Additive'!$Q:$Q,"&gt;0")</f>
        <v>0</v>
      </c>
      <c r="P64" s="19">
        <f t="shared" ref="P64:P67" si="42">SUM(Q64:W64)</f>
        <v>0</v>
      </c>
      <c r="Q64" s="19">
        <f>SUMIFS('Data Additive'!$D:$D,'Data Additive'!$P:$P,'Painel Additive'!$B64,'Data Additive'!$Q:$Q,"&lt;=0",'Data Additive'!$Q:$Q,"&gt;=-30")</f>
        <v>0</v>
      </c>
      <c r="R64" s="19">
        <f>SUMIFS('Data Additive'!$D:$D,'Data Additive'!$P:$P,'Painel Additive'!$B64,'Data Additive'!$Q:$Q,"&lt;=-31",'Data Additive'!$Q:$Q,"&gt;=-60")</f>
        <v>0</v>
      </c>
      <c r="S64" s="19">
        <f>SUMIFS('Data Additive'!$D:$D,'Data Additive'!$P:$P,'Painel Additive'!$B64,'Data Additive'!$Q:$Q,"&lt;=-61",'Data Additive'!$Q:$Q,"&gt;=-90")</f>
        <v>0</v>
      </c>
      <c r="T64" s="19">
        <f>SUMIFS('Data Additive'!$D:$D,'Data Additive'!$P:$P,'Painel Additive'!$B64,'Data Additive'!$Q:$Q,"&lt;=-91",'Data Additive'!$Q:$Q,"&gt;=-120")</f>
        <v>0</v>
      </c>
      <c r="U64" s="19">
        <f>SUMIFS('Data Additive'!$D:$D,'Data Additive'!$P:$P,'Painel Additive'!$B64,'Data Additive'!$Q:$Q,"&lt;=-121",'Data Additive'!$Q:$Q,"&gt;=-180")</f>
        <v>0</v>
      </c>
      <c r="V64" s="19">
        <f>SUMIFS('Data Additive'!$D:$D,'Data Additive'!$P:$P,'Painel Additive'!$B64,'Data Additive'!$Q:$Q,"&lt;=-181",'Data Additive'!$Q:$Q,"&gt;=-360")</f>
        <v>0</v>
      </c>
      <c r="W64" s="23">
        <f>SUMIFS('Data Additive'!$D:$D,'Data Additive'!$P:$P,'Painel Additive'!$B64,'Data Additive'!$Q:$Q,"&lt;-360")</f>
        <v>0</v>
      </c>
      <c r="X64" s="19">
        <f>SUMIFS('Bad Debt Provision'!AB:AB,'Bad Debt Provision'!B:B,'Painel Additive'!B64)</f>
        <v>0</v>
      </c>
      <c r="Y64" s="5"/>
      <c r="Z64" s="5"/>
      <c r="AA64" s="19">
        <f>IFERROR(_xlfn.XLOOKUP(B64,'Limite de crédito'!C:C,'Limite de crédito'!O:O,),0)</f>
        <v>600000</v>
      </c>
      <c r="AB64" s="19"/>
      <c r="AC64" s="20"/>
      <c r="AD64" s="22"/>
      <c r="AE64" s="22"/>
      <c r="AF64" s="5"/>
      <c r="AG64" s="105">
        <f t="shared" si="2"/>
        <v>600000</v>
      </c>
    </row>
    <row r="65" spans="2:33" x14ac:dyDescent="0.25">
      <c r="B65" s="41" t="s">
        <v>564</v>
      </c>
      <c r="C65" s="224">
        <f>IFERROR(_xlfn.XLOOKUP(B65,'Limite de crédito'!C:C,'Limite de crédito'!L:L,),0)</f>
        <v>0</v>
      </c>
      <c r="D65" s="93"/>
      <c r="E65" s="18">
        <f>_xlfn.XLOOKUP(B65,'Limite de crédito'!C:C,'Limite de crédito'!G:G,0)</f>
        <v>0</v>
      </c>
      <c r="F65" s="18">
        <f t="shared" si="40"/>
        <v>0</v>
      </c>
      <c r="G65" s="18">
        <f t="shared" si="41"/>
        <v>0</v>
      </c>
      <c r="H65" s="19">
        <f>SUMIFS('Data Additive'!$D:$D,'Data Additive'!$P:$P,'Painel Additive'!$B65,'Data Additive'!$Q:$Q,"&gt;0",'Data Additive'!$Q:$Q,"&lt;=30")</f>
        <v>0</v>
      </c>
      <c r="I65" s="19">
        <f>SUMIFS('Data Additive'!$D:$D,'Data Additive'!$P:$P,'Painel Additive'!$B65,'Data Additive'!$Q:$Q,"&gt;30",'Data Additive'!$Q:$Q,"&lt;=60")</f>
        <v>0</v>
      </c>
      <c r="J65" s="19">
        <f>SUMIFS('Data Additive'!$D:$D,'Data Additive'!$P:$P,'Painel Additive'!$B65,'Data Additive'!$Q:$Q,"&gt;60",'Data Additive'!$Q:$Q,"&lt;=90")</f>
        <v>0</v>
      </c>
      <c r="K65" s="19">
        <f>SUMIFS('Data Additive'!$D:$D,'Data Additive'!$P:$P,'Painel Additive'!$B65,'Data Additive'!$Q:$Q,"&gt;90",'Data Additive'!$Q:$Q,"&lt;=120")</f>
        <v>0</v>
      </c>
      <c r="L65" s="19">
        <f>SUMIFS('Data Additive'!$D:$D,'Data Additive'!$P:$P,'Painel Additive'!$B65,'Data Additive'!$Q:$Q,"&gt;120",'Data Additive'!$Q:$Q,"&lt;=180")</f>
        <v>0</v>
      </c>
      <c r="M65" s="19">
        <f>SUMIFS('Data Additive'!$D:$D,'Data Additive'!$P:$P,'Painel Additive'!$B65,'Data Additive'!$Q:$Q,"&gt;180",'Data Additive'!$Q:$Q,"&lt;=360")</f>
        <v>0</v>
      </c>
      <c r="N65" s="23">
        <f>SUMIFS('Data Additive'!$D:$D,'Data Additive'!$P:$P,'Painel Additive'!$B65,'Data Additive'!$Q:$Q,"&gt;360")</f>
        <v>0</v>
      </c>
      <c r="O65" s="122">
        <f>SUMIFS('Data Additive'!$D:$D,'Data Additive'!$P:$P,'Painel Additive'!$B65,'Data Additive'!$Q:$Q,"&gt;0")</f>
        <v>0</v>
      </c>
      <c r="P65" s="19">
        <f t="shared" si="42"/>
        <v>0</v>
      </c>
      <c r="Q65" s="19">
        <f>SUMIFS('Data Additive'!$D:$D,'Data Additive'!$P:$P,'Painel Additive'!$B65,'Data Additive'!$Q:$Q,"&lt;=0",'Data Additive'!$Q:$Q,"&gt;=-30")</f>
        <v>0</v>
      </c>
      <c r="R65" s="19">
        <f>SUMIFS('Data Additive'!$D:$D,'Data Additive'!$P:$P,'Painel Additive'!$B65,'Data Additive'!$Q:$Q,"&lt;=-31",'Data Additive'!$Q:$Q,"&gt;=-60")</f>
        <v>0</v>
      </c>
      <c r="S65" s="19">
        <f>SUMIFS('Data Additive'!$D:$D,'Data Additive'!$P:$P,'Painel Additive'!$B65,'Data Additive'!$Q:$Q,"&lt;=-61",'Data Additive'!$Q:$Q,"&gt;=-90")</f>
        <v>0</v>
      </c>
      <c r="T65" s="19">
        <f>SUMIFS('Data Additive'!$D:$D,'Data Additive'!$P:$P,'Painel Additive'!$B65,'Data Additive'!$Q:$Q,"&lt;=-91",'Data Additive'!$Q:$Q,"&gt;=-120")</f>
        <v>0</v>
      </c>
      <c r="U65" s="19">
        <f>SUMIFS('Data Additive'!$D:$D,'Data Additive'!$P:$P,'Painel Additive'!$B65,'Data Additive'!$Q:$Q,"&lt;=-121",'Data Additive'!$Q:$Q,"&gt;=-180")</f>
        <v>0</v>
      </c>
      <c r="V65" s="19">
        <f>SUMIFS('Data Additive'!$D:$D,'Data Additive'!$P:$P,'Painel Additive'!$B65,'Data Additive'!$Q:$Q,"&lt;=-181",'Data Additive'!$Q:$Q,"&gt;=-360")</f>
        <v>0</v>
      </c>
      <c r="W65" s="23">
        <f>SUMIFS('Data Additive'!$D:$D,'Data Additive'!$P:$P,'Painel Additive'!$B65,'Data Additive'!$Q:$Q,"&lt;-360")</f>
        <v>0</v>
      </c>
      <c r="X65" s="19">
        <f>SUMIFS('Bad Debt Provision'!AB:AB,'Bad Debt Provision'!B:B,'Painel Additive'!B65)</f>
        <v>0</v>
      </c>
      <c r="Y65" s="5"/>
      <c r="Z65" s="5"/>
      <c r="AA65" s="19">
        <f>IFERROR(_xlfn.XLOOKUP(B65,'Limite de crédito'!C:C,'Limite de crédito'!O:O,),0)</f>
        <v>0</v>
      </c>
      <c r="AB65" s="19"/>
      <c r="AC65" s="20"/>
      <c r="AD65" s="22"/>
      <c r="AE65" s="22"/>
      <c r="AF65" s="5"/>
      <c r="AG65" s="105">
        <f t="shared" si="2"/>
        <v>0</v>
      </c>
    </row>
    <row r="66" spans="2:33" x14ac:dyDescent="0.25">
      <c r="B66" s="41" t="s">
        <v>568</v>
      </c>
      <c r="C66" s="224" t="str">
        <f>IFERROR(_xlfn.XLOOKUP(B66,'Limite de crédito'!C:C,'Limite de crédito'!L:L,),0)</f>
        <v>B</v>
      </c>
      <c r="D66" s="93"/>
      <c r="E66" s="18">
        <f>_xlfn.XLOOKUP(B66,'Limite de crédito'!C:C,'Limite de crédito'!G:G,0)</f>
        <v>500000</v>
      </c>
      <c r="F66" s="18">
        <f t="shared" si="40"/>
        <v>500000</v>
      </c>
      <c r="G66" s="18">
        <f t="shared" si="41"/>
        <v>0</v>
      </c>
      <c r="H66" s="19">
        <f>SUMIFS('Data Additive'!$D:$D,'Data Additive'!$P:$P,'Painel Additive'!$B66,'Data Additive'!$Q:$Q,"&gt;0",'Data Additive'!$Q:$Q,"&lt;=30")</f>
        <v>0</v>
      </c>
      <c r="I66" s="19">
        <f>SUMIFS('Data Additive'!$D:$D,'Data Additive'!$P:$P,'Painel Additive'!$B66,'Data Additive'!$Q:$Q,"&gt;30",'Data Additive'!$Q:$Q,"&lt;=60")</f>
        <v>0</v>
      </c>
      <c r="J66" s="19">
        <f>SUMIFS('Data Additive'!$D:$D,'Data Additive'!$P:$P,'Painel Additive'!$B66,'Data Additive'!$Q:$Q,"&gt;60",'Data Additive'!$Q:$Q,"&lt;=90")</f>
        <v>0</v>
      </c>
      <c r="K66" s="19">
        <f>SUMIFS('Data Additive'!$D:$D,'Data Additive'!$P:$P,'Painel Additive'!$B66,'Data Additive'!$Q:$Q,"&gt;90",'Data Additive'!$Q:$Q,"&lt;=120")</f>
        <v>0</v>
      </c>
      <c r="L66" s="19">
        <f>SUMIFS('Data Additive'!$D:$D,'Data Additive'!$P:$P,'Painel Additive'!$B66,'Data Additive'!$Q:$Q,"&gt;120",'Data Additive'!$Q:$Q,"&lt;=180")</f>
        <v>0</v>
      </c>
      <c r="M66" s="19">
        <f>SUMIFS('Data Additive'!$D:$D,'Data Additive'!$P:$P,'Painel Additive'!$B66,'Data Additive'!$Q:$Q,"&gt;180",'Data Additive'!$Q:$Q,"&lt;=360")</f>
        <v>0</v>
      </c>
      <c r="N66" s="23">
        <f>SUMIFS('Data Additive'!$D:$D,'Data Additive'!$P:$P,'Painel Additive'!$B66,'Data Additive'!$Q:$Q,"&gt;360")</f>
        <v>0</v>
      </c>
      <c r="O66" s="122">
        <f>SUMIFS('Data Additive'!$D:$D,'Data Additive'!$P:$P,'Painel Additive'!$B66,'Data Additive'!$Q:$Q,"&gt;0")</f>
        <v>0</v>
      </c>
      <c r="P66" s="19">
        <f t="shared" si="42"/>
        <v>0</v>
      </c>
      <c r="Q66" s="19">
        <f>SUMIFS('Data Additive'!$D:$D,'Data Additive'!$P:$P,'Painel Additive'!$B66,'Data Additive'!$Q:$Q,"&lt;=0",'Data Additive'!$Q:$Q,"&gt;=-30")</f>
        <v>0</v>
      </c>
      <c r="R66" s="19">
        <f>SUMIFS('Data Additive'!$D:$D,'Data Additive'!$P:$P,'Painel Additive'!$B66,'Data Additive'!$Q:$Q,"&lt;=-31",'Data Additive'!$Q:$Q,"&gt;=-60")</f>
        <v>0</v>
      </c>
      <c r="S66" s="19">
        <f>SUMIFS('Data Additive'!$D:$D,'Data Additive'!$P:$P,'Painel Additive'!$B66,'Data Additive'!$Q:$Q,"&lt;=-61",'Data Additive'!$Q:$Q,"&gt;=-90")</f>
        <v>0</v>
      </c>
      <c r="T66" s="19">
        <f>SUMIFS('Data Additive'!$D:$D,'Data Additive'!$P:$P,'Painel Additive'!$B66,'Data Additive'!$Q:$Q,"&lt;=-91",'Data Additive'!$Q:$Q,"&gt;=-120")</f>
        <v>0</v>
      </c>
      <c r="U66" s="19">
        <f>SUMIFS('Data Additive'!$D:$D,'Data Additive'!$P:$P,'Painel Additive'!$B66,'Data Additive'!$Q:$Q,"&lt;=-121",'Data Additive'!$Q:$Q,"&gt;=-180")</f>
        <v>0</v>
      </c>
      <c r="V66" s="19">
        <f>SUMIFS('Data Additive'!$D:$D,'Data Additive'!$P:$P,'Painel Additive'!$B66,'Data Additive'!$Q:$Q,"&lt;=-181",'Data Additive'!$Q:$Q,"&gt;=-360")</f>
        <v>0</v>
      </c>
      <c r="W66" s="23">
        <f>SUMIFS('Data Additive'!$D:$D,'Data Additive'!$P:$P,'Painel Additive'!$B66,'Data Additive'!$Q:$Q,"&lt;-360")</f>
        <v>0</v>
      </c>
      <c r="X66" s="19">
        <f>SUMIFS('Bad Debt Provision'!AB:AB,'Bad Debt Provision'!B:B,'Painel Additive'!B66)</f>
        <v>0</v>
      </c>
      <c r="Y66" s="5"/>
      <c r="Z66" s="5"/>
      <c r="AA66" s="19">
        <f>IFERROR(_xlfn.XLOOKUP(B66,'Limite de crédito'!C:C,'Limite de crédito'!O:O,),0)</f>
        <v>500000</v>
      </c>
      <c r="AB66" s="19"/>
      <c r="AC66" s="20"/>
      <c r="AD66" s="22"/>
      <c r="AE66" s="22"/>
      <c r="AF66" s="5"/>
      <c r="AG66" s="105">
        <f t="shared" si="2"/>
        <v>500000</v>
      </c>
    </row>
    <row r="67" spans="2:33" x14ac:dyDescent="0.25">
      <c r="B67" s="41" t="s">
        <v>569</v>
      </c>
      <c r="C67" s="224">
        <f>IFERROR(_xlfn.XLOOKUP(B67,'Limite de crédito'!C:C,'Limite de crédito'!L:L,),0)</f>
        <v>0</v>
      </c>
      <c r="D67" s="93"/>
      <c r="E67" s="18">
        <f>_xlfn.XLOOKUP(B67,'Limite de crédito'!C:C,'Limite de crédito'!G:G,0)</f>
        <v>0</v>
      </c>
      <c r="F67" s="18">
        <f t="shared" si="40"/>
        <v>0</v>
      </c>
      <c r="G67" s="18">
        <f t="shared" si="41"/>
        <v>0</v>
      </c>
      <c r="H67" s="19">
        <f>SUMIFS('Data Additive'!$D:$D,'Data Additive'!$P:$P,'Painel Additive'!$B67,'Data Additive'!$Q:$Q,"&gt;0",'Data Additive'!$Q:$Q,"&lt;=30")</f>
        <v>0</v>
      </c>
      <c r="I67" s="19">
        <f>SUMIFS('Data Additive'!$D:$D,'Data Additive'!$P:$P,'Painel Additive'!$B67,'Data Additive'!$Q:$Q,"&gt;30",'Data Additive'!$Q:$Q,"&lt;=60")</f>
        <v>0</v>
      </c>
      <c r="J67" s="19">
        <f>SUMIFS('Data Additive'!$D:$D,'Data Additive'!$P:$P,'Painel Additive'!$B67,'Data Additive'!$Q:$Q,"&gt;60",'Data Additive'!$Q:$Q,"&lt;=90")</f>
        <v>0</v>
      </c>
      <c r="K67" s="19">
        <f>SUMIFS('Data Additive'!$D:$D,'Data Additive'!$P:$P,'Painel Additive'!$B67,'Data Additive'!$Q:$Q,"&gt;90",'Data Additive'!$Q:$Q,"&lt;=120")</f>
        <v>0</v>
      </c>
      <c r="L67" s="19">
        <f>SUMIFS('Data Additive'!$D:$D,'Data Additive'!$P:$P,'Painel Additive'!$B67,'Data Additive'!$Q:$Q,"&gt;120",'Data Additive'!$Q:$Q,"&lt;=180")</f>
        <v>0</v>
      </c>
      <c r="M67" s="19">
        <f>SUMIFS('Data Additive'!$D:$D,'Data Additive'!$P:$P,'Painel Additive'!$B67,'Data Additive'!$Q:$Q,"&gt;180",'Data Additive'!$Q:$Q,"&lt;=360")</f>
        <v>0</v>
      </c>
      <c r="N67" s="23">
        <f>SUMIFS('Data Additive'!$D:$D,'Data Additive'!$P:$P,'Painel Additive'!$B67,'Data Additive'!$Q:$Q,"&gt;360")</f>
        <v>0</v>
      </c>
      <c r="O67" s="122">
        <f>SUMIFS('Data Additive'!$D:$D,'Data Additive'!$P:$P,'Painel Additive'!$B67,'Data Additive'!$Q:$Q,"&gt;0")</f>
        <v>0</v>
      </c>
      <c r="P67" s="19">
        <f t="shared" si="42"/>
        <v>0</v>
      </c>
      <c r="Q67" s="19">
        <f>SUMIFS('Data Additive'!$D:$D,'Data Additive'!$P:$P,'Painel Additive'!$B67,'Data Additive'!$Q:$Q,"&lt;=0",'Data Additive'!$Q:$Q,"&gt;=-30")</f>
        <v>0</v>
      </c>
      <c r="R67" s="19">
        <f>SUMIFS('Data Additive'!$D:$D,'Data Additive'!$P:$P,'Painel Additive'!$B67,'Data Additive'!$Q:$Q,"&lt;=-31",'Data Additive'!$Q:$Q,"&gt;=-60")</f>
        <v>0</v>
      </c>
      <c r="S67" s="19">
        <f>SUMIFS('Data Additive'!$D:$D,'Data Additive'!$P:$P,'Painel Additive'!$B67,'Data Additive'!$Q:$Q,"&lt;=-61",'Data Additive'!$Q:$Q,"&gt;=-90")</f>
        <v>0</v>
      </c>
      <c r="T67" s="19">
        <f>SUMIFS('Data Additive'!$D:$D,'Data Additive'!$P:$P,'Painel Additive'!$B67,'Data Additive'!$Q:$Q,"&lt;=-91",'Data Additive'!$Q:$Q,"&gt;=-120")</f>
        <v>0</v>
      </c>
      <c r="U67" s="19">
        <f>SUMIFS('Data Additive'!$D:$D,'Data Additive'!$P:$P,'Painel Additive'!$B67,'Data Additive'!$Q:$Q,"&lt;=-121",'Data Additive'!$Q:$Q,"&gt;=-180")</f>
        <v>0</v>
      </c>
      <c r="V67" s="19">
        <f>SUMIFS('Data Additive'!$D:$D,'Data Additive'!$P:$P,'Painel Additive'!$B67,'Data Additive'!$Q:$Q,"&lt;=-181",'Data Additive'!$Q:$Q,"&gt;=-360")</f>
        <v>0</v>
      </c>
      <c r="W67" s="23">
        <f>SUMIFS('Data Additive'!$D:$D,'Data Additive'!$P:$P,'Painel Additive'!$B67,'Data Additive'!$Q:$Q,"&lt;-360")</f>
        <v>0</v>
      </c>
      <c r="X67" s="19">
        <f>SUMIFS('Bad Debt Provision'!AB:AB,'Bad Debt Provision'!B:B,'Painel Additive'!B67)</f>
        <v>0</v>
      </c>
      <c r="Y67" s="5"/>
      <c r="Z67" s="5"/>
      <c r="AA67" s="19">
        <f>IFERROR(_xlfn.XLOOKUP(B67,'Limite de crédito'!C:C,'Limite de crédito'!O:O,),0)</f>
        <v>0</v>
      </c>
      <c r="AB67" s="19"/>
      <c r="AC67" s="20"/>
      <c r="AD67" s="22"/>
      <c r="AE67" s="22"/>
      <c r="AF67" s="5"/>
      <c r="AG67" s="105">
        <f t="shared" si="2"/>
        <v>0</v>
      </c>
    </row>
    <row r="68" spans="2:33" x14ac:dyDescent="0.25">
      <c r="B68" s="41" t="s">
        <v>573</v>
      </c>
      <c r="C68" s="224" t="str">
        <f>IFERROR(_xlfn.XLOOKUP(B68,'Limite de crédito'!C:C,'Limite de crédito'!L:L,),0)</f>
        <v>B</v>
      </c>
      <c r="D68" s="93"/>
      <c r="E68" s="18">
        <f>_xlfn.XLOOKUP(B68,'Limite de crédito'!C:C,'Limite de crédito'!G:G,0)</f>
        <v>3000000</v>
      </c>
      <c r="F68" s="18">
        <f t="shared" ref="F68" si="43">E68-G68</f>
        <v>2345464.27</v>
      </c>
      <c r="G68" s="18">
        <f t="shared" ref="G68" si="44">P68+O68</f>
        <v>654535.73</v>
      </c>
      <c r="H68" s="19">
        <f>SUMIFS('Data Additive'!$D:$D,'Data Additive'!$P:$P,'Painel Additive'!$B68,'Data Additive'!$Q:$Q,"&gt;0",'Data Additive'!$Q:$Q,"&lt;=30")</f>
        <v>0</v>
      </c>
      <c r="I68" s="19">
        <f>SUMIFS('Data Additive'!$D:$D,'Data Additive'!$P:$P,'Painel Additive'!$B68,'Data Additive'!$Q:$Q,"&gt;30",'Data Additive'!$Q:$Q,"&lt;=60")</f>
        <v>0</v>
      </c>
      <c r="J68" s="19">
        <f>SUMIFS('Data Additive'!$D:$D,'Data Additive'!$P:$P,'Painel Additive'!$B68,'Data Additive'!$Q:$Q,"&gt;60",'Data Additive'!$Q:$Q,"&lt;=90")</f>
        <v>0</v>
      </c>
      <c r="K68" s="19">
        <f>SUMIFS('Data Additive'!$D:$D,'Data Additive'!$P:$P,'Painel Additive'!$B68,'Data Additive'!$Q:$Q,"&gt;90",'Data Additive'!$Q:$Q,"&lt;=120")</f>
        <v>0</v>
      </c>
      <c r="L68" s="19">
        <f>SUMIFS('Data Additive'!$D:$D,'Data Additive'!$P:$P,'Painel Additive'!$B68,'Data Additive'!$Q:$Q,"&gt;120",'Data Additive'!$Q:$Q,"&lt;=180")</f>
        <v>0</v>
      </c>
      <c r="M68" s="19">
        <f>SUMIFS('Data Additive'!$D:$D,'Data Additive'!$P:$P,'Painel Additive'!$B68,'Data Additive'!$Q:$Q,"&gt;180",'Data Additive'!$Q:$Q,"&lt;=360")</f>
        <v>0</v>
      </c>
      <c r="N68" s="23">
        <f>SUMIFS('Data Additive'!$D:$D,'Data Additive'!$P:$P,'Painel Additive'!$B68,'Data Additive'!$Q:$Q,"&gt;360")</f>
        <v>0</v>
      </c>
      <c r="O68" s="122">
        <f>SUMIFS('Data Additive'!$D:$D,'Data Additive'!$P:$P,'Painel Additive'!$B68,'Data Additive'!$Q:$Q,"&gt;0")</f>
        <v>0</v>
      </c>
      <c r="P68" s="19">
        <f t="shared" ref="P68" si="45">SUM(Q68:W68)</f>
        <v>654535.73</v>
      </c>
      <c r="Q68" s="19">
        <f>SUMIFS('Data Additive'!$D:$D,'Data Additive'!$P:$P,'Painel Additive'!$B68,'Data Additive'!$Q:$Q,"&lt;=0",'Data Additive'!$Q:$Q,"&gt;=-30")</f>
        <v>654535.73</v>
      </c>
      <c r="R68" s="19">
        <f>SUMIFS('Data Additive'!$D:$D,'Data Additive'!$P:$P,'Painel Additive'!$B68,'Data Additive'!$Q:$Q,"&lt;=-31",'Data Additive'!$Q:$Q,"&gt;=-60")</f>
        <v>0</v>
      </c>
      <c r="S68" s="19">
        <f>SUMIFS('Data Additive'!$D:$D,'Data Additive'!$P:$P,'Painel Additive'!$B68,'Data Additive'!$Q:$Q,"&lt;=-61",'Data Additive'!$Q:$Q,"&gt;=-90")</f>
        <v>0</v>
      </c>
      <c r="T68" s="19">
        <f>SUMIFS('Data Additive'!$D:$D,'Data Additive'!$P:$P,'Painel Additive'!$B68,'Data Additive'!$Q:$Q,"&lt;=-91",'Data Additive'!$Q:$Q,"&gt;=-120")</f>
        <v>0</v>
      </c>
      <c r="U68" s="19">
        <f>SUMIFS('Data Additive'!$D:$D,'Data Additive'!$P:$P,'Painel Additive'!$B68,'Data Additive'!$Q:$Q,"&lt;=-121",'Data Additive'!$Q:$Q,"&gt;=-180")</f>
        <v>0</v>
      </c>
      <c r="V68" s="19">
        <f>SUMIFS('Data Additive'!$D:$D,'Data Additive'!$P:$P,'Painel Additive'!$B68,'Data Additive'!$Q:$Q,"&lt;=-181",'Data Additive'!$Q:$Q,"&gt;=-360")</f>
        <v>0</v>
      </c>
      <c r="W68" s="23">
        <f>SUMIFS('Data Additive'!$D:$D,'Data Additive'!$P:$P,'Painel Additive'!$B68,'Data Additive'!$Q:$Q,"&lt;-360")</f>
        <v>0</v>
      </c>
      <c r="X68" s="19">
        <f>SUMIFS('Bad Debt Provision'!AB:AB,'Bad Debt Provision'!B:B,'Painel Additive'!B68)</f>
        <v>0</v>
      </c>
      <c r="Y68" s="5"/>
      <c r="Z68" s="5"/>
      <c r="AA68" s="19">
        <f>IFERROR(_xlfn.XLOOKUP(B68,'Limite de crédito'!C:C,'Limite de crédito'!O:O,),0)</f>
        <v>3000000</v>
      </c>
      <c r="AB68" s="19"/>
      <c r="AC68" s="20"/>
      <c r="AD68" s="22"/>
      <c r="AE68" s="22"/>
      <c r="AF68" s="5"/>
      <c r="AG68" s="105">
        <f t="shared" ref="AG68:AG80" si="46">AA68-G68</f>
        <v>2345464.27</v>
      </c>
    </row>
    <row r="69" spans="2:33" x14ac:dyDescent="0.25">
      <c r="B69" s="41" t="s">
        <v>572</v>
      </c>
      <c r="C69" s="224" t="str">
        <f>IFERROR(_xlfn.XLOOKUP(B69,'Limite de crédito'!C:C,'Limite de crédito'!L:L,),0)</f>
        <v>B</v>
      </c>
      <c r="D69" s="93"/>
      <c r="E69" s="18">
        <f>_xlfn.XLOOKUP(B69,'Limite de crédito'!C:C,'Limite de crédito'!G:G,0)</f>
        <v>1500000</v>
      </c>
      <c r="F69" s="18">
        <f t="shared" ref="F69" si="47">E69-G69</f>
        <v>1256487</v>
      </c>
      <c r="G69" s="18">
        <f t="shared" ref="G69" si="48">P69+O69</f>
        <v>243513</v>
      </c>
      <c r="H69" s="19">
        <f>SUMIFS('Data Additive'!$D:$D,'Data Additive'!$P:$P,'Painel Additive'!$B69,'Data Additive'!$Q:$Q,"&gt;0",'Data Additive'!$Q:$Q,"&lt;=30")</f>
        <v>0</v>
      </c>
      <c r="I69" s="19">
        <f>SUMIFS('Data Additive'!$D:$D,'Data Additive'!$P:$P,'Painel Additive'!$B69,'Data Additive'!$Q:$Q,"&gt;30",'Data Additive'!$Q:$Q,"&lt;=60")</f>
        <v>0</v>
      </c>
      <c r="J69" s="19">
        <f>SUMIFS('Data Additive'!$D:$D,'Data Additive'!$P:$P,'Painel Additive'!$B69,'Data Additive'!$Q:$Q,"&gt;60",'Data Additive'!$Q:$Q,"&lt;=90")</f>
        <v>0</v>
      </c>
      <c r="K69" s="19">
        <f>SUMIFS('Data Additive'!$D:$D,'Data Additive'!$P:$P,'Painel Additive'!$B69,'Data Additive'!$Q:$Q,"&gt;90",'Data Additive'!$Q:$Q,"&lt;=120")</f>
        <v>0</v>
      </c>
      <c r="L69" s="19">
        <f>SUMIFS('Data Additive'!$D:$D,'Data Additive'!$P:$P,'Painel Additive'!$B69,'Data Additive'!$Q:$Q,"&gt;120",'Data Additive'!$Q:$Q,"&lt;=180")</f>
        <v>0</v>
      </c>
      <c r="M69" s="19">
        <f>SUMIFS('Data Additive'!$D:$D,'Data Additive'!$P:$P,'Painel Additive'!$B69,'Data Additive'!$Q:$Q,"&gt;180",'Data Additive'!$Q:$Q,"&lt;=360")</f>
        <v>0</v>
      </c>
      <c r="N69" s="23">
        <f>SUMIFS('Data Additive'!$D:$D,'Data Additive'!$P:$P,'Painel Additive'!$B69,'Data Additive'!$Q:$Q,"&gt;360")</f>
        <v>0</v>
      </c>
      <c r="O69" s="122">
        <f>SUMIFS('Data Additive'!$D:$D,'Data Additive'!$P:$P,'Painel Additive'!$B69,'Data Additive'!$Q:$Q,"&gt;0")</f>
        <v>0</v>
      </c>
      <c r="P69" s="19">
        <f t="shared" ref="P69" si="49">SUM(Q69:W69)</f>
        <v>243513</v>
      </c>
      <c r="Q69" s="19">
        <f>SUMIFS('Data Additive'!$D:$D,'Data Additive'!$P:$P,'Painel Additive'!$B69,'Data Additive'!$Q:$Q,"&lt;=0",'Data Additive'!$Q:$Q,"&gt;=-30")</f>
        <v>243513</v>
      </c>
      <c r="R69" s="19">
        <f>SUMIFS('Data Additive'!$D:$D,'Data Additive'!$P:$P,'Painel Additive'!$B69,'Data Additive'!$Q:$Q,"&lt;=-31",'Data Additive'!$Q:$Q,"&gt;=-60")</f>
        <v>0</v>
      </c>
      <c r="S69" s="19">
        <f>SUMIFS('Data Additive'!$D:$D,'Data Additive'!$P:$P,'Painel Additive'!$B69,'Data Additive'!$Q:$Q,"&lt;=-61",'Data Additive'!$Q:$Q,"&gt;=-90")</f>
        <v>0</v>
      </c>
      <c r="T69" s="19">
        <f>SUMIFS('Data Additive'!$D:$D,'Data Additive'!$P:$P,'Painel Additive'!$B69,'Data Additive'!$Q:$Q,"&lt;=-91",'Data Additive'!$Q:$Q,"&gt;=-120")</f>
        <v>0</v>
      </c>
      <c r="U69" s="19">
        <f>SUMIFS('Data Additive'!$D:$D,'Data Additive'!$P:$P,'Painel Additive'!$B69,'Data Additive'!$Q:$Q,"&lt;=-121",'Data Additive'!$Q:$Q,"&gt;=-180")</f>
        <v>0</v>
      </c>
      <c r="V69" s="19">
        <f>SUMIFS('Data Additive'!$D:$D,'Data Additive'!$P:$P,'Painel Additive'!$B69,'Data Additive'!$Q:$Q,"&lt;=-181",'Data Additive'!$Q:$Q,"&gt;=-360")</f>
        <v>0</v>
      </c>
      <c r="W69" s="23">
        <f>SUMIFS('Data Additive'!$D:$D,'Data Additive'!$P:$P,'Painel Additive'!$B69,'Data Additive'!$Q:$Q,"&lt;-360")</f>
        <v>0</v>
      </c>
      <c r="X69" s="19">
        <f>SUMIFS('Bad Debt Provision'!AB:AB,'Bad Debt Provision'!B:B,'Painel Additive'!B69)</f>
        <v>0</v>
      </c>
      <c r="Y69" s="5"/>
      <c r="Z69" s="5"/>
      <c r="AA69" s="19">
        <f>IFERROR(_xlfn.XLOOKUP(B69,'Limite de crédito'!C:C,'Limite de crédito'!O:O,),0)</f>
        <v>1500000</v>
      </c>
      <c r="AB69" s="19"/>
      <c r="AC69" s="20"/>
      <c r="AD69" s="22"/>
      <c r="AE69" s="22"/>
      <c r="AF69" s="5"/>
      <c r="AG69" s="105">
        <f t="shared" si="46"/>
        <v>1256487</v>
      </c>
    </row>
    <row r="70" spans="2:33" x14ac:dyDescent="0.25">
      <c r="B70" s="41" t="s">
        <v>574</v>
      </c>
      <c r="C70" s="224" t="str">
        <f>IFERROR(_xlfn.XLOOKUP(B70,'Limite de crédito'!C:C,'Limite de crédito'!L:L,),0)</f>
        <v>B</v>
      </c>
      <c r="D70" s="93"/>
      <c r="E70" s="18">
        <f>_xlfn.XLOOKUP(B70,'Limite de crédito'!C:C,'Limite de crédito'!G:G,0)</f>
        <v>1472000</v>
      </c>
      <c r="F70" s="18">
        <f t="shared" ref="F70" si="50">E70-G70</f>
        <v>1472000</v>
      </c>
      <c r="G70" s="18">
        <f t="shared" ref="G70" si="51">P70+O70</f>
        <v>0</v>
      </c>
      <c r="H70" s="19">
        <f>SUMIFS('Data Additive'!$D:$D,'Data Additive'!$P:$P,'Painel Additive'!$B70,'Data Additive'!$Q:$Q,"&gt;0",'Data Additive'!$Q:$Q,"&lt;=30")</f>
        <v>0</v>
      </c>
      <c r="I70" s="19">
        <f>SUMIFS('Data Additive'!$D:$D,'Data Additive'!$P:$P,'Painel Additive'!$B70,'Data Additive'!$Q:$Q,"&gt;30",'Data Additive'!$Q:$Q,"&lt;=60")</f>
        <v>0</v>
      </c>
      <c r="J70" s="19">
        <f>SUMIFS('Data Additive'!$D:$D,'Data Additive'!$P:$P,'Painel Additive'!$B70,'Data Additive'!$Q:$Q,"&gt;60",'Data Additive'!$Q:$Q,"&lt;=90")</f>
        <v>0</v>
      </c>
      <c r="K70" s="19">
        <f>SUMIFS('Data Additive'!$D:$D,'Data Additive'!$P:$P,'Painel Additive'!$B70,'Data Additive'!$Q:$Q,"&gt;90",'Data Additive'!$Q:$Q,"&lt;=120")</f>
        <v>0</v>
      </c>
      <c r="L70" s="19">
        <f>SUMIFS('Data Additive'!$D:$D,'Data Additive'!$P:$P,'Painel Additive'!$B70,'Data Additive'!$Q:$Q,"&gt;120",'Data Additive'!$Q:$Q,"&lt;=180")</f>
        <v>0</v>
      </c>
      <c r="M70" s="19">
        <f>SUMIFS('Data Additive'!$D:$D,'Data Additive'!$P:$P,'Painel Additive'!$B70,'Data Additive'!$Q:$Q,"&gt;180",'Data Additive'!$Q:$Q,"&lt;=360")</f>
        <v>0</v>
      </c>
      <c r="N70" s="23">
        <f>SUMIFS('Data Additive'!$D:$D,'Data Additive'!$P:$P,'Painel Additive'!$B70,'Data Additive'!$Q:$Q,"&gt;360")</f>
        <v>0</v>
      </c>
      <c r="O70" s="122">
        <f>SUMIFS('Data Additive'!$D:$D,'Data Additive'!$P:$P,'Painel Additive'!$B70,'Data Additive'!$Q:$Q,"&gt;0")</f>
        <v>0</v>
      </c>
      <c r="P70" s="19">
        <f t="shared" ref="P70" si="52">SUM(Q70:W70)</f>
        <v>0</v>
      </c>
      <c r="Q70" s="19">
        <f>SUMIFS('Data Additive'!$D:$D,'Data Additive'!$P:$P,'Painel Additive'!$B70,'Data Additive'!$Q:$Q,"&lt;=0",'Data Additive'!$Q:$Q,"&gt;=-30")</f>
        <v>0</v>
      </c>
      <c r="R70" s="19">
        <f>SUMIFS('Data Additive'!$D:$D,'Data Additive'!$P:$P,'Painel Additive'!$B70,'Data Additive'!$Q:$Q,"&lt;=-31",'Data Additive'!$Q:$Q,"&gt;=-60")</f>
        <v>0</v>
      </c>
      <c r="S70" s="19">
        <f>SUMIFS('Data Additive'!$D:$D,'Data Additive'!$P:$P,'Painel Additive'!$B70,'Data Additive'!$Q:$Q,"&lt;=-61",'Data Additive'!$Q:$Q,"&gt;=-90")</f>
        <v>0</v>
      </c>
      <c r="T70" s="19">
        <f>SUMIFS('Data Additive'!$D:$D,'Data Additive'!$P:$P,'Painel Additive'!$B70,'Data Additive'!$Q:$Q,"&lt;=-91",'Data Additive'!$Q:$Q,"&gt;=-120")</f>
        <v>0</v>
      </c>
      <c r="U70" s="19">
        <f>SUMIFS('Data Additive'!$D:$D,'Data Additive'!$P:$P,'Painel Additive'!$B70,'Data Additive'!$Q:$Q,"&lt;=-121",'Data Additive'!$Q:$Q,"&gt;=-180")</f>
        <v>0</v>
      </c>
      <c r="V70" s="19">
        <f>SUMIFS('Data Additive'!$D:$D,'Data Additive'!$P:$P,'Painel Additive'!$B70,'Data Additive'!$Q:$Q,"&lt;=-181",'Data Additive'!$Q:$Q,"&gt;=-360")</f>
        <v>0</v>
      </c>
      <c r="W70" s="23">
        <f>SUMIFS('Data Additive'!$D:$D,'Data Additive'!$P:$P,'Painel Additive'!$B70,'Data Additive'!$Q:$Q,"&lt;-360")</f>
        <v>0</v>
      </c>
      <c r="X70" s="19">
        <f>SUMIFS('Bad Debt Provision'!AB:AB,'Bad Debt Provision'!B:B,'Painel Additive'!B70)</f>
        <v>1800</v>
      </c>
      <c r="Y70" s="5"/>
      <c r="Z70" s="5"/>
      <c r="AA70" s="19">
        <f>IFERROR(_xlfn.XLOOKUP(B70,'Limite de crédito'!C:C,'Limite de crédito'!O:O,),0)</f>
        <v>1472000</v>
      </c>
      <c r="AB70" s="19"/>
      <c r="AC70" s="20"/>
      <c r="AD70" s="22"/>
      <c r="AE70" s="22"/>
      <c r="AF70" s="5"/>
      <c r="AG70" s="105">
        <f t="shared" si="46"/>
        <v>1472000</v>
      </c>
    </row>
    <row r="71" spans="2:33" x14ac:dyDescent="0.25">
      <c r="B71" s="41" t="s">
        <v>575</v>
      </c>
      <c r="C71" s="224">
        <f>IFERROR(_xlfn.XLOOKUP(B71,'Limite de crédito'!C:C,'Limite de crédito'!L:L,),0)</f>
        <v>0</v>
      </c>
      <c r="D71" s="93"/>
      <c r="E71" s="18">
        <f>_xlfn.XLOOKUP(B71,'Limite de crédito'!C:C,'Limite de crédito'!G:G,0)</f>
        <v>0</v>
      </c>
      <c r="F71" s="18">
        <f t="shared" ref="F71:F72" si="53">E71-G71</f>
        <v>0</v>
      </c>
      <c r="G71" s="18">
        <f t="shared" ref="G71:G72" si="54">P71+O71</f>
        <v>0</v>
      </c>
      <c r="H71" s="19">
        <f>SUMIFS('Data Additive'!$D:$D,'Data Additive'!$P:$P,'Painel Additive'!$B71,'Data Additive'!$Q:$Q,"&gt;0",'Data Additive'!$Q:$Q,"&lt;=30")</f>
        <v>0</v>
      </c>
      <c r="I71" s="19">
        <f>SUMIFS('Data Additive'!$D:$D,'Data Additive'!$P:$P,'Painel Additive'!$B71,'Data Additive'!$Q:$Q,"&gt;30",'Data Additive'!$Q:$Q,"&lt;=60")</f>
        <v>0</v>
      </c>
      <c r="J71" s="19">
        <f>SUMIFS('Data Additive'!$D:$D,'Data Additive'!$P:$P,'Painel Additive'!$B71,'Data Additive'!$Q:$Q,"&gt;60",'Data Additive'!$Q:$Q,"&lt;=90")</f>
        <v>0</v>
      </c>
      <c r="K71" s="19">
        <f>SUMIFS('Data Additive'!$D:$D,'Data Additive'!$P:$P,'Painel Additive'!$B71,'Data Additive'!$Q:$Q,"&gt;90",'Data Additive'!$Q:$Q,"&lt;=120")</f>
        <v>0</v>
      </c>
      <c r="L71" s="19">
        <f>SUMIFS('Data Additive'!$D:$D,'Data Additive'!$P:$P,'Painel Additive'!$B71,'Data Additive'!$Q:$Q,"&gt;120",'Data Additive'!$Q:$Q,"&lt;=180")</f>
        <v>0</v>
      </c>
      <c r="M71" s="19">
        <f>SUMIFS('Data Additive'!$D:$D,'Data Additive'!$P:$P,'Painel Additive'!$B71,'Data Additive'!$Q:$Q,"&gt;180",'Data Additive'!$Q:$Q,"&lt;=360")</f>
        <v>0</v>
      </c>
      <c r="N71" s="23">
        <f>SUMIFS('Data Additive'!$D:$D,'Data Additive'!$P:$P,'Painel Additive'!$B71,'Data Additive'!$Q:$Q,"&gt;360")</f>
        <v>0</v>
      </c>
      <c r="O71" s="122">
        <f>SUMIFS('Data Additive'!$D:$D,'Data Additive'!$P:$P,'Painel Additive'!$B71,'Data Additive'!$Q:$Q,"&gt;0")</f>
        <v>0</v>
      </c>
      <c r="P71" s="19">
        <f t="shared" ref="P71:P72" si="55">SUM(Q71:W71)</f>
        <v>0</v>
      </c>
      <c r="Q71" s="19">
        <f>SUMIFS('Data Additive'!$D:$D,'Data Additive'!$P:$P,'Painel Additive'!$B71,'Data Additive'!$Q:$Q,"&lt;=0",'Data Additive'!$Q:$Q,"&gt;=-30")</f>
        <v>0</v>
      </c>
      <c r="R71" s="19">
        <f>SUMIFS('Data Additive'!$D:$D,'Data Additive'!$P:$P,'Painel Additive'!$B71,'Data Additive'!$Q:$Q,"&lt;=-31",'Data Additive'!$Q:$Q,"&gt;=-60")</f>
        <v>0</v>
      </c>
      <c r="S71" s="19">
        <f>SUMIFS('Data Additive'!$D:$D,'Data Additive'!$P:$P,'Painel Additive'!$B71,'Data Additive'!$Q:$Q,"&lt;=-61",'Data Additive'!$Q:$Q,"&gt;=-90")</f>
        <v>0</v>
      </c>
      <c r="T71" s="19">
        <f>SUMIFS('Data Additive'!$D:$D,'Data Additive'!$P:$P,'Painel Additive'!$B71,'Data Additive'!$Q:$Q,"&lt;=-91",'Data Additive'!$Q:$Q,"&gt;=-120")</f>
        <v>0</v>
      </c>
      <c r="U71" s="19">
        <f>SUMIFS('Data Additive'!$D:$D,'Data Additive'!$P:$P,'Painel Additive'!$B71,'Data Additive'!$Q:$Q,"&lt;=-121",'Data Additive'!$Q:$Q,"&gt;=-180")</f>
        <v>0</v>
      </c>
      <c r="V71" s="19">
        <f>SUMIFS('Data Additive'!$D:$D,'Data Additive'!$P:$P,'Painel Additive'!$B71,'Data Additive'!$Q:$Q,"&lt;=-181",'Data Additive'!$Q:$Q,"&gt;=-360")</f>
        <v>0</v>
      </c>
      <c r="W71" s="23">
        <f>SUMIFS('Data Additive'!$D:$D,'Data Additive'!$P:$P,'Painel Additive'!$B71,'Data Additive'!$Q:$Q,"&lt;-360")</f>
        <v>0</v>
      </c>
      <c r="X71" s="19">
        <f>SUMIFS('Bad Debt Provision'!AB:AB,'Bad Debt Provision'!B:B,'Painel Additive'!B71)</f>
        <v>0</v>
      </c>
      <c r="Y71" s="5"/>
      <c r="Z71" s="5"/>
      <c r="AA71" s="19">
        <f>IFERROR(_xlfn.XLOOKUP(B71,'Limite de crédito'!C:C,'Limite de crédito'!O:O,),0)</f>
        <v>0</v>
      </c>
      <c r="AB71" s="19"/>
      <c r="AC71" s="20"/>
      <c r="AD71" s="22"/>
      <c r="AE71" s="22"/>
      <c r="AF71" s="5"/>
      <c r="AG71" s="105">
        <f t="shared" si="46"/>
        <v>0</v>
      </c>
    </row>
    <row r="72" spans="2:33" x14ac:dyDescent="0.25">
      <c r="B72" s="41" t="s">
        <v>576</v>
      </c>
      <c r="C72" s="224" t="str">
        <f>IFERROR(_xlfn.XLOOKUP(B72,'Limite de crédito'!C:C,'Limite de crédito'!L:L,),0)</f>
        <v>B</v>
      </c>
      <c r="D72" s="93"/>
      <c r="E72" s="18">
        <f>_xlfn.XLOOKUP(B72,'Limite de crédito'!C:C,'Limite de crédito'!G:G,0)</f>
        <v>100000</v>
      </c>
      <c r="F72" s="18">
        <f t="shared" si="53"/>
        <v>100000</v>
      </c>
      <c r="G72" s="18">
        <f t="shared" si="54"/>
        <v>0</v>
      </c>
      <c r="H72" s="19">
        <f>SUMIFS('Data Additive'!$D:$D,'Data Additive'!$P:$P,'Painel Additive'!$B72,'Data Additive'!$Q:$Q,"&gt;0",'Data Additive'!$Q:$Q,"&lt;=30")</f>
        <v>0</v>
      </c>
      <c r="I72" s="19">
        <f>SUMIFS('Data Additive'!$D:$D,'Data Additive'!$P:$P,'Painel Additive'!$B72,'Data Additive'!$Q:$Q,"&gt;30",'Data Additive'!$Q:$Q,"&lt;=60")</f>
        <v>0</v>
      </c>
      <c r="J72" s="19">
        <f>SUMIFS('Data Additive'!$D:$D,'Data Additive'!$P:$P,'Painel Additive'!$B72,'Data Additive'!$Q:$Q,"&gt;60",'Data Additive'!$Q:$Q,"&lt;=90")</f>
        <v>0</v>
      </c>
      <c r="K72" s="19">
        <f>SUMIFS('Data Additive'!$D:$D,'Data Additive'!$P:$P,'Painel Additive'!$B72,'Data Additive'!$Q:$Q,"&gt;90",'Data Additive'!$Q:$Q,"&lt;=120")</f>
        <v>0</v>
      </c>
      <c r="L72" s="19">
        <f>SUMIFS('Data Additive'!$D:$D,'Data Additive'!$P:$P,'Painel Additive'!$B72,'Data Additive'!$Q:$Q,"&gt;120",'Data Additive'!$Q:$Q,"&lt;=180")</f>
        <v>0</v>
      </c>
      <c r="M72" s="19">
        <f>SUMIFS('Data Additive'!$D:$D,'Data Additive'!$P:$P,'Painel Additive'!$B72,'Data Additive'!$Q:$Q,"&gt;180",'Data Additive'!$Q:$Q,"&lt;=360")</f>
        <v>0</v>
      </c>
      <c r="N72" s="23">
        <f>SUMIFS('Data Additive'!$D:$D,'Data Additive'!$P:$P,'Painel Additive'!$B72,'Data Additive'!$Q:$Q,"&gt;360")</f>
        <v>0</v>
      </c>
      <c r="O72" s="122">
        <f>SUMIFS('Data Additive'!$D:$D,'Data Additive'!$P:$P,'Painel Additive'!$B72,'Data Additive'!$Q:$Q,"&gt;0")</f>
        <v>0</v>
      </c>
      <c r="P72" s="19">
        <f t="shared" si="55"/>
        <v>0</v>
      </c>
      <c r="Q72" s="19">
        <f>SUMIFS('Data Additive'!$D:$D,'Data Additive'!$P:$P,'Painel Additive'!$B72,'Data Additive'!$Q:$Q,"&lt;=0",'Data Additive'!$Q:$Q,"&gt;=-30")</f>
        <v>0</v>
      </c>
      <c r="R72" s="19">
        <f>SUMIFS('Data Additive'!$D:$D,'Data Additive'!$P:$P,'Painel Additive'!$B72,'Data Additive'!$Q:$Q,"&lt;=-31",'Data Additive'!$Q:$Q,"&gt;=-60")</f>
        <v>0</v>
      </c>
      <c r="S72" s="19">
        <f>SUMIFS('Data Additive'!$D:$D,'Data Additive'!$P:$P,'Painel Additive'!$B72,'Data Additive'!$Q:$Q,"&lt;=-61",'Data Additive'!$Q:$Q,"&gt;=-90")</f>
        <v>0</v>
      </c>
      <c r="T72" s="19">
        <f>SUMIFS('Data Additive'!$D:$D,'Data Additive'!$P:$P,'Painel Additive'!$B72,'Data Additive'!$Q:$Q,"&lt;=-91",'Data Additive'!$Q:$Q,"&gt;=-120")</f>
        <v>0</v>
      </c>
      <c r="U72" s="19">
        <f>SUMIFS('Data Additive'!$D:$D,'Data Additive'!$P:$P,'Painel Additive'!$B72,'Data Additive'!$Q:$Q,"&lt;=-121",'Data Additive'!$Q:$Q,"&gt;=-180")</f>
        <v>0</v>
      </c>
      <c r="V72" s="19">
        <f>SUMIFS('Data Additive'!$D:$D,'Data Additive'!$P:$P,'Painel Additive'!$B72,'Data Additive'!$Q:$Q,"&lt;=-181",'Data Additive'!$Q:$Q,"&gt;=-360")</f>
        <v>0</v>
      </c>
      <c r="W72" s="23">
        <f>SUMIFS('Data Additive'!$D:$D,'Data Additive'!$P:$P,'Painel Additive'!$B72,'Data Additive'!$Q:$Q,"&lt;-360")</f>
        <v>0</v>
      </c>
      <c r="X72" s="19">
        <f>SUMIFS('Bad Debt Provision'!AB:AB,'Bad Debt Provision'!B:B,'Painel Additive'!B72)</f>
        <v>0</v>
      </c>
      <c r="Y72" s="5"/>
      <c r="Z72" s="5"/>
      <c r="AA72" s="19">
        <f>IFERROR(_xlfn.XLOOKUP(B72,'Limite de crédito'!C:C,'Limite de crédito'!O:O,),0)</f>
        <v>100000</v>
      </c>
      <c r="AB72" s="19"/>
      <c r="AC72" s="20"/>
      <c r="AD72" s="22"/>
      <c r="AE72" s="22"/>
      <c r="AF72" s="5"/>
      <c r="AG72" s="105">
        <f t="shared" si="46"/>
        <v>100000</v>
      </c>
    </row>
    <row r="73" spans="2:33" x14ac:dyDescent="0.25">
      <c r="B73" s="41" t="s">
        <v>610</v>
      </c>
      <c r="C73" s="224">
        <f>IFERROR(_xlfn.XLOOKUP(B73,'Limite de crédito'!C:C,'Limite de crédito'!L:L,),0)</f>
        <v>0</v>
      </c>
      <c r="D73" s="93"/>
      <c r="E73" s="18">
        <f>_xlfn.XLOOKUP(B73,'Limite de crédito'!C:C,'Limite de crédito'!G:G,0)</f>
        <v>0</v>
      </c>
      <c r="F73" s="18">
        <f t="shared" ref="F73" si="56">E73-G73</f>
        <v>0</v>
      </c>
      <c r="G73" s="18">
        <f t="shared" ref="G73" si="57">P73+O73</f>
        <v>0</v>
      </c>
      <c r="H73" s="19">
        <f>SUMIFS('Data Additive'!$D:$D,'Data Additive'!$P:$P,'Painel Additive'!$B73,'Data Additive'!$Q:$Q,"&gt;0",'Data Additive'!$Q:$Q,"&lt;=30")</f>
        <v>0</v>
      </c>
      <c r="I73" s="19">
        <f>SUMIFS('Data Additive'!$D:$D,'Data Additive'!$P:$P,'Painel Additive'!$B73,'Data Additive'!$Q:$Q,"&gt;30",'Data Additive'!$Q:$Q,"&lt;=60")</f>
        <v>0</v>
      </c>
      <c r="J73" s="19">
        <f>SUMIFS('Data Additive'!$D:$D,'Data Additive'!$P:$P,'Painel Additive'!$B73,'Data Additive'!$Q:$Q,"&gt;60",'Data Additive'!$Q:$Q,"&lt;=90")</f>
        <v>0</v>
      </c>
      <c r="K73" s="19">
        <f>SUMIFS('Data Additive'!$D:$D,'Data Additive'!$P:$P,'Painel Additive'!$B73,'Data Additive'!$Q:$Q,"&gt;90",'Data Additive'!$Q:$Q,"&lt;=120")</f>
        <v>0</v>
      </c>
      <c r="L73" s="19">
        <f>SUMIFS('Data Additive'!$D:$D,'Data Additive'!$P:$P,'Painel Additive'!$B73,'Data Additive'!$Q:$Q,"&gt;120",'Data Additive'!$Q:$Q,"&lt;=180")</f>
        <v>0</v>
      </c>
      <c r="M73" s="19">
        <f>SUMIFS('Data Additive'!$D:$D,'Data Additive'!$P:$P,'Painel Additive'!$B73,'Data Additive'!$Q:$Q,"&gt;180",'Data Additive'!$Q:$Q,"&lt;=360")</f>
        <v>0</v>
      </c>
      <c r="N73" s="23">
        <f>SUMIFS('Data Additive'!$D:$D,'Data Additive'!$P:$P,'Painel Additive'!$B73,'Data Additive'!$Q:$Q,"&gt;360")</f>
        <v>0</v>
      </c>
      <c r="O73" s="122">
        <f>SUMIFS('Data Additive'!$D:$D,'Data Additive'!$P:$P,'Painel Additive'!$B73,'Data Additive'!$Q:$Q,"&gt;0")</f>
        <v>0</v>
      </c>
      <c r="P73" s="19">
        <f t="shared" ref="P73" si="58">SUM(Q73:W73)</f>
        <v>0</v>
      </c>
      <c r="Q73" s="19">
        <f>SUMIFS('Data Additive'!$D:$D,'Data Additive'!$P:$P,'Painel Additive'!$B73,'Data Additive'!$Q:$Q,"&lt;=0",'Data Additive'!$Q:$Q,"&gt;=-30")</f>
        <v>0</v>
      </c>
      <c r="R73" s="19">
        <f>SUMIFS('Data Additive'!$D:$D,'Data Additive'!$P:$P,'Painel Additive'!$B73,'Data Additive'!$Q:$Q,"&lt;=-31",'Data Additive'!$Q:$Q,"&gt;=-60")</f>
        <v>0</v>
      </c>
      <c r="S73" s="19">
        <f>SUMIFS('Data Additive'!$D:$D,'Data Additive'!$P:$P,'Painel Additive'!$B73,'Data Additive'!$Q:$Q,"&lt;=-61",'Data Additive'!$Q:$Q,"&gt;=-90")</f>
        <v>0</v>
      </c>
      <c r="T73" s="19">
        <f>SUMIFS('Data Additive'!$D:$D,'Data Additive'!$P:$P,'Painel Additive'!$B73,'Data Additive'!$Q:$Q,"&lt;=-91",'Data Additive'!$Q:$Q,"&gt;=-120")</f>
        <v>0</v>
      </c>
      <c r="U73" s="19">
        <f>SUMIFS('Data Additive'!$D:$D,'Data Additive'!$P:$P,'Painel Additive'!$B73,'Data Additive'!$Q:$Q,"&lt;=-121",'Data Additive'!$Q:$Q,"&gt;=-180")</f>
        <v>0</v>
      </c>
      <c r="V73" s="19">
        <f>SUMIFS('Data Additive'!$D:$D,'Data Additive'!$P:$P,'Painel Additive'!$B73,'Data Additive'!$Q:$Q,"&lt;=-181",'Data Additive'!$Q:$Q,"&gt;=-360")</f>
        <v>0</v>
      </c>
      <c r="W73" s="23">
        <f>SUMIFS('Data Additive'!$D:$D,'Data Additive'!$P:$P,'Painel Additive'!$B73,'Data Additive'!$Q:$Q,"&lt;-360")</f>
        <v>0</v>
      </c>
      <c r="X73" s="19">
        <f>SUMIFS('Bad Debt Provision'!AB:AB,'Bad Debt Provision'!B:B,'Painel Additive'!B73)</f>
        <v>0</v>
      </c>
      <c r="Y73" s="5"/>
      <c r="Z73" s="5"/>
      <c r="AA73" s="19">
        <f>IFERROR(_xlfn.XLOOKUP(B73,'Limite de crédito'!C:C,'Limite de crédito'!O:O,),0)</f>
        <v>0</v>
      </c>
      <c r="AB73" s="19"/>
      <c r="AC73" s="20"/>
      <c r="AD73" s="22"/>
      <c r="AE73" s="22"/>
      <c r="AF73" s="5"/>
      <c r="AG73" s="105">
        <f t="shared" si="46"/>
        <v>0</v>
      </c>
    </row>
    <row r="74" spans="2:33" x14ac:dyDescent="0.25">
      <c r="B74" s="41" t="s">
        <v>257</v>
      </c>
      <c r="C74" s="224" t="str">
        <f>IFERROR(_xlfn.XLOOKUP(B74,'Limite de crédito'!C:C,'Limite de crédito'!L:L,),0)</f>
        <v>B</v>
      </c>
      <c r="D74" s="93"/>
      <c r="E74" s="18">
        <f>_xlfn.XLOOKUP(B74,'Limite de crédito'!C:C,'Limite de crédito'!G:G,0)</f>
        <v>400000</v>
      </c>
      <c r="F74" s="18">
        <f t="shared" ref="F74" si="59">E74-G74</f>
        <v>400000</v>
      </c>
      <c r="G74" s="18">
        <f t="shared" ref="G74" si="60">P74+O74</f>
        <v>0</v>
      </c>
      <c r="H74" s="19">
        <f>SUMIFS('Data Additive'!$D:$D,'Data Additive'!$P:$P,'Painel Additive'!$B74,'Data Additive'!$Q:$Q,"&gt;0",'Data Additive'!$Q:$Q,"&lt;=30")</f>
        <v>0</v>
      </c>
      <c r="I74" s="19">
        <f>SUMIFS('Data Additive'!$D:$D,'Data Additive'!$P:$P,'Painel Additive'!$B74,'Data Additive'!$Q:$Q,"&gt;30",'Data Additive'!$Q:$Q,"&lt;=60")</f>
        <v>0</v>
      </c>
      <c r="J74" s="19">
        <f>SUMIFS('Data Additive'!$D:$D,'Data Additive'!$P:$P,'Painel Additive'!$B74,'Data Additive'!$Q:$Q,"&gt;60",'Data Additive'!$Q:$Q,"&lt;=90")</f>
        <v>0</v>
      </c>
      <c r="K74" s="19">
        <f>SUMIFS('Data Additive'!$D:$D,'Data Additive'!$P:$P,'Painel Additive'!$B74,'Data Additive'!$Q:$Q,"&gt;90",'Data Additive'!$Q:$Q,"&lt;=120")</f>
        <v>0</v>
      </c>
      <c r="L74" s="19">
        <f>SUMIFS('Data Additive'!$D:$D,'Data Additive'!$P:$P,'Painel Additive'!$B74,'Data Additive'!$Q:$Q,"&gt;120",'Data Additive'!$Q:$Q,"&lt;=180")</f>
        <v>0</v>
      </c>
      <c r="M74" s="19">
        <f>SUMIFS('Data Additive'!$D:$D,'Data Additive'!$P:$P,'Painel Additive'!$B74,'Data Additive'!$Q:$Q,"&gt;180",'Data Additive'!$Q:$Q,"&lt;=360")</f>
        <v>0</v>
      </c>
      <c r="N74" s="23">
        <f>SUMIFS('Data Additive'!$D:$D,'Data Additive'!$P:$P,'Painel Additive'!$B74,'Data Additive'!$Q:$Q,"&gt;360")</f>
        <v>0</v>
      </c>
      <c r="O74" s="122">
        <f>SUMIFS('Data Additive'!$D:$D,'Data Additive'!$P:$P,'Painel Additive'!$B74,'Data Additive'!$Q:$Q,"&gt;0")</f>
        <v>0</v>
      </c>
      <c r="P74" s="19">
        <f t="shared" ref="P74" si="61">SUM(Q74:W74)</f>
        <v>0</v>
      </c>
      <c r="Q74" s="19">
        <f>SUMIFS('Data Additive'!$D:$D,'Data Additive'!$P:$P,'Painel Additive'!$B74,'Data Additive'!$Q:$Q,"&lt;=0",'Data Additive'!$Q:$Q,"&gt;=-30")</f>
        <v>0</v>
      </c>
      <c r="R74" s="19">
        <f>SUMIFS('Data Additive'!$D:$D,'Data Additive'!$P:$P,'Painel Additive'!$B74,'Data Additive'!$Q:$Q,"&lt;=-31",'Data Additive'!$Q:$Q,"&gt;=-60")</f>
        <v>0</v>
      </c>
      <c r="S74" s="19">
        <f>SUMIFS('Data Additive'!$D:$D,'Data Additive'!$P:$P,'Painel Additive'!$B74,'Data Additive'!$Q:$Q,"&lt;=-61",'Data Additive'!$Q:$Q,"&gt;=-90")</f>
        <v>0</v>
      </c>
      <c r="T74" s="19">
        <f>SUMIFS('Data Additive'!$D:$D,'Data Additive'!$P:$P,'Painel Additive'!$B74,'Data Additive'!$Q:$Q,"&lt;=-91",'Data Additive'!$Q:$Q,"&gt;=-120")</f>
        <v>0</v>
      </c>
      <c r="U74" s="19">
        <f>SUMIFS('Data Additive'!$D:$D,'Data Additive'!$P:$P,'Painel Additive'!$B74,'Data Additive'!$Q:$Q,"&lt;=-121",'Data Additive'!$Q:$Q,"&gt;=-180")</f>
        <v>0</v>
      </c>
      <c r="V74" s="19">
        <f>SUMIFS('Data Additive'!$D:$D,'Data Additive'!$P:$P,'Painel Additive'!$B74,'Data Additive'!$Q:$Q,"&lt;=-181",'Data Additive'!$Q:$Q,"&gt;=-360")</f>
        <v>0</v>
      </c>
      <c r="W74" s="23">
        <f>SUMIFS('Data Additive'!$D:$D,'Data Additive'!$P:$P,'Painel Additive'!$B74,'Data Additive'!$Q:$Q,"&lt;-360")</f>
        <v>0</v>
      </c>
      <c r="X74" s="19">
        <f>SUMIFS('Bad Debt Provision'!AB:AB,'Bad Debt Provision'!B:B,'Painel Additive'!B74)</f>
        <v>0</v>
      </c>
      <c r="Y74" s="5"/>
      <c r="Z74" s="5"/>
      <c r="AA74" s="19">
        <f>IFERROR(_xlfn.XLOOKUP(B74,'Limite de crédito'!C:C,'Limite de crédito'!O:O,),0)</f>
        <v>400000</v>
      </c>
      <c r="AB74" s="19"/>
      <c r="AC74" s="20"/>
      <c r="AD74" s="22"/>
      <c r="AE74" s="22"/>
      <c r="AF74" s="5"/>
      <c r="AG74" s="105">
        <f t="shared" si="46"/>
        <v>400000</v>
      </c>
    </row>
    <row r="75" spans="2:33" x14ac:dyDescent="0.25">
      <c r="B75" s="41" t="s">
        <v>611</v>
      </c>
      <c r="C75" s="224" t="str">
        <f>IFERROR(_xlfn.XLOOKUP(B75,'Limite de crédito'!C:C,'Limite de crédito'!L:L,),0)</f>
        <v>B</v>
      </c>
      <c r="D75" s="93"/>
      <c r="E75" s="18">
        <f>_xlfn.XLOOKUP(B75,'Limite de crédito'!C:C,'Limite de crédito'!G:G,0)</f>
        <v>700000</v>
      </c>
      <c r="F75" s="18">
        <f t="shared" ref="F75" si="62">E75-G75</f>
        <v>304735</v>
      </c>
      <c r="G75" s="18">
        <f t="shared" ref="G75" si="63">P75+O75</f>
        <v>395265</v>
      </c>
      <c r="H75" s="19">
        <f>SUMIFS('Data Additive'!$D:$D,'Data Additive'!$P:$P,'Painel Additive'!$B75,'Data Additive'!$Q:$Q,"&gt;0",'Data Additive'!$Q:$Q,"&lt;=30")</f>
        <v>0</v>
      </c>
      <c r="I75" s="19">
        <f>SUMIFS('Data Additive'!$D:$D,'Data Additive'!$P:$P,'Painel Additive'!$B75,'Data Additive'!$Q:$Q,"&gt;30",'Data Additive'!$Q:$Q,"&lt;=60")</f>
        <v>0</v>
      </c>
      <c r="J75" s="19">
        <f>SUMIFS('Data Additive'!$D:$D,'Data Additive'!$P:$P,'Painel Additive'!$B75,'Data Additive'!$Q:$Q,"&gt;60",'Data Additive'!$Q:$Q,"&lt;=90")</f>
        <v>0</v>
      </c>
      <c r="K75" s="19">
        <f>SUMIFS('Data Additive'!$D:$D,'Data Additive'!$P:$P,'Painel Additive'!$B75,'Data Additive'!$Q:$Q,"&gt;90",'Data Additive'!$Q:$Q,"&lt;=120")</f>
        <v>0</v>
      </c>
      <c r="L75" s="19">
        <f>SUMIFS('Data Additive'!$D:$D,'Data Additive'!$P:$P,'Painel Additive'!$B75,'Data Additive'!$Q:$Q,"&gt;120",'Data Additive'!$Q:$Q,"&lt;=180")</f>
        <v>0</v>
      </c>
      <c r="M75" s="19">
        <f>SUMIFS('Data Additive'!$D:$D,'Data Additive'!$P:$P,'Painel Additive'!$B75,'Data Additive'!$Q:$Q,"&gt;180",'Data Additive'!$Q:$Q,"&lt;=360")</f>
        <v>0</v>
      </c>
      <c r="N75" s="23">
        <f>SUMIFS('Data Additive'!$D:$D,'Data Additive'!$P:$P,'Painel Additive'!$B75,'Data Additive'!$Q:$Q,"&gt;360")</f>
        <v>0</v>
      </c>
      <c r="O75" s="122">
        <f>SUMIFS('Data Additive'!$D:$D,'Data Additive'!$P:$P,'Painel Additive'!$B75,'Data Additive'!$Q:$Q,"&gt;0")</f>
        <v>0</v>
      </c>
      <c r="P75" s="19">
        <f t="shared" ref="P75" si="64">SUM(Q75:W75)</f>
        <v>395265</v>
      </c>
      <c r="Q75" s="19">
        <f>SUMIFS('Data Additive'!$D:$D,'Data Additive'!$P:$P,'Painel Additive'!$B75,'Data Additive'!$Q:$Q,"&lt;=0",'Data Additive'!$Q:$Q,"&gt;=-30")</f>
        <v>134855</v>
      </c>
      <c r="R75" s="19">
        <f>SUMIFS('Data Additive'!$D:$D,'Data Additive'!$P:$P,'Painel Additive'!$B75,'Data Additive'!$Q:$Q,"&lt;=-31",'Data Additive'!$Q:$Q,"&gt;=-60")</f>
        <v>168735</v>
      </c>
      <c r="S75" s="19">
        <f>SUMIFS('Data Additive'!$D:$D,'Data Additive'!$P:$P,'Painel Additive'!$B75,'Data Additive'!$Q:$Q,"&lt;=-61",'Data Additive'!$Q:$Q,"&gt;=-90")</f>
        <v>91675</v>
      </c>
      <c r="T75" s="19">
        <f>SUMIFS('Data Additive'!$D:$D,'Data Additive'!$P:$P,'Painel Additive'!$B75,'Data Additive'!$Q:$Q,"&lt;=-91",'Data Additive'!$Q:$Q,"&gt;=-120")</f>
        <v>0</v>
      </c>
      <c r="U75" s="19">
        <f>SUMIFS('Data Additive'!$D:$D,'Data Additive'!$P:$P,'Painel Additive'!$B75,'Data Additive'!$Q:$Q,"&lt;=-121",'Data Additive'!$Q:$Q,"&gt;=-180")</f>
        <v>0</v>
      </c>
      <c r="V75" s="19">
        <f>SUMIFS('Data Additive'!$D:$D,'Data Additive'!$P:$P,'Painel Additive'!$B75,'Data Additive'!$Q:$Q,"&lt;=-181",'Data Additive'!$Q:$Q,"&gt;=-360")</f>
        <v>0</v>
      </c>
      <c r="W75" s="23">
        <f>SUMIFS('Data Additive'!$D:$D,'Data Additive'!$P:$P,'Painel Additive'!$B75,'Data Additive'!$Q:$Q,"&lt;-360")</f>
        <v>0</v>
      </c>
      <c r="X75" s="19">
        <f>SUMIFS('Bad Debt Provision'!AB:AB,'Bad Debt Provision'!B:B,'Painel Additive'!B75)</f>
        <v>0</v>
      </c>
      <c r="Y75" s="5"/>
      <c r="Z75" s="5"/>
      <c r="AA75" s="19">
        <f>IFERROR(_xlfn.XLOOKUP(B75,'Limite de crédito'!C:C,'Limite de crédito'!O:O,),0)</f>
        <v>700000</v>
      </c>
      <c r="AB75" s="19"/>
      <c r="AC75" s="20"/>
      <c r="AD75" s="22"/>
      <c r="AE75" s="22"/>
      <c r="AF75" s="5"/>
      <c r="AG75" s="105">
        <f t="shared" si="46"/>
        <v>304735</v>
      </c>
    </row>
    <row r="76" spans="2:33" x14ac:dyDescent="0.25">
      <c r="B76" s="41" t="s">
        <v>598</v>
      </c>
      <c r="C76" s="224" t="str">
        <f>IFERROR(_xlfn.XLOOKUP(B76,'Limite de crédito'!C:C,'Limite de crédito'!L:L,),0)</f>
        <v>B</v>
      </c>
      <c r="D76" s="93"/>
      <c r="E76" s="18">
        <f>_xlfn.XLOOKUP(B76,'Limite de crédito'!C:C,'Limite de crédito'!G:G,0)</f>
        <v>1500000</v>
      </c>
      <c r="F76" s="18">
        <f t="shared" ref="F76" si="65">E76-G76</f>
        <v>1500000</v>
      </c>
      <c r="G76" s="18">
        <f t="shared" ref="G76" si="66">P76+O76</f>
        <v>0</v>
      </c>
      <c r="H76" s="19">
        <f>SUMIFS('Data Additive'!$D:$D,'Data Additive'!$P:$P,'Painel Additive'!$B76,'Data Additive'!$Q:$Q,"&gt;0",'Data Additive'!$Q:$Q,"&lt;=30")</f>
        <v>0</v>
      </c>
      <c r="I76" s="19">
        <f>SUMIFS('Data Additive'!$D:$D,'Data Additive'!$P:$P,'Painel Additive'!$B76,'Data Additive'!$Q:$Q,"&gt;30",'Data Additive'!$Q:$Q,"&lt;=60")</f>
        <v>0</v>
      </c>
      <c r="J76" s="19">
        <f>SUMIFS('Data Additive'!$D:$D,'Data Additive'!$P:$P,'Painel Additive'!$B76,'Data Additive'!$Q:$Q,"&gt;60",'Data Additive'!$Q:$Q,"&lt;=90")</f>
        <v>0</v>
      </c>
      <c r="K76" s="19">
        <f>SUMIFS('Data Additive'!$D:$D,'Data Additive'!$P:$P,'Painel Additive'!$B76,'Data Additive'!$Q:$Q,"&gt;90",'Data Additive'!$Q:$Q,"&lt;=120")</f>
        <v>0</v>
      </c>
      <c r="L76" s="19">
        <f>SUMIFS('Data Additive'!$D:$D,'Data Additive'!$P:$P,'Painel Additive'!$B76,'Data Additive'!$Q:$Q,"&gt;120",'Data Additive'!$Q:$Q,"&lt;=180")</f>
        <v>0</v>
      </c>
      <c r="M76" s="19">
        <f>SUMIFS('Data Additive'!$D:$D,'Data Additive'!$P:$P,'Painel Additive'!$B76,'Data Additive'!$Q:$Q,"&gt;180",'Data Additive'!$Q:$Q,"&lt;=360")</f>
        <v>0</v>
      </c>
      <c r="N76" s="23">
        <f>SUMIFS('Data Additive'!$D:$D,'Data Additive'!$P:$P,'Painel Additive'!$B76,'Data Additive'!$Q:$Q,"&gt;360")</f>
        <v>0</v>
      </c>
      <c r="O76" s="122">
        <f>SUMIFS('Data Additive'!$D:$D,'Data Additive'!$P:$P,'Painel Additive'!$B76,'Data Additive'!$Q:$Q,"&gt;0")</f>
        <v>0</v>
      </c>
      <c r="P76" s="19">
        <f t="shared" ref="P76" si="67">SUM(Q76:W76)</f>
        <v>0</v>
      </c>
      <c r="Q76" s="19">
        <f>SUMIFS('Data Additive'!$D:$D,'Data Additive'!$P:$P,'Painel Additive'!$B76,'Data Additive'!$Q:$Q,"&lt;=0",'Data Additive'!$Q:$Q,"&gt;=-30")</f>
        <v>0</v>
      </c>
      <c r="R76" s="19">
        <f>SUMIFS('Data Additive'!$D:$D,'Data Additive'!$P:$P,'Painel Additive'!$B76,'Data Additive'!$Q:$Q,"&lt;=-31",'Data Additive'!$Q:$Q,"&gt;=-60")</f>
        <v>0</v>
      </c>
      <c r="S76" s="19">
        <f>SUMIFS('Data Additive'!$D:$D,'Data Additive'!$P:$P,'Painel Additive'!$B76,'Data Additive'!$Q:$Q,"&lt;=-61",'Data Additive'!$Q:$Q,"&gt;=-90")</f>
        <v>0</v>
      </c>
      <c r="T76" s="19">
        <f>SUMIFS('Data Additive'!$D:$D,'Data Additive'!$P:$P,'Painel Additive'!$B76,'Data Additive'!$Q:$Q,"&lt;=-91",'Data Additive'!$Q:$Q,"&gt;=-120")</f>
        <v>0</v>
      </c>
      <c r="U76" s="19">
        <f>SUMIFS('Data Additive'!$D:$D,'Data Additive'!$P:$P,'Painel Additive'!$B76,'Data Additive'!$Q:$Q,"&lt;=-121",'Data Additive'!$Q:$Q,"&gt;=-180")</f>
        <v>0</v>
      </c>
      <c r="V76" s="19">
        <f>SUMIFS('Data Additive'!$D:$D,'Data Additive'!$P:$P,'Painel Additive'!$B76,'Data Additive'!$Q:$Q,"&lt;=-181",'Data Additive'!$Q:$Q,"&gt;=-360")</f>
        <v>0</v>
      </c>
      <c r="W76" s="23">
        <f>SUMIFS('Data Additive'!$D:$D,'Data Additive'!$P:$P,'Painel Additive'!$B76,'Data Additive'!$Q:$Q,"&lt;-360")</f>
        <v>0</v>
      </c>
      <c r="X76" s="19">
        <f>SUMIFS('Bad Debt Provision'!AB:AB,'Bad Debt Provision'!B:B,'Painel Additive'!B76)</f>
        <v>0</v>
      </c>
      <c r="Y76" s="5"/>
      <c r="Z76" s="5"/>
      <c r="AA76" s="19">
        <f>IFERROR(_xlfn.XLOOKUP(B76,'Limite de crédito'!C:C,'Limite de crédito'!O:O,),0)</f>
        <v>1500000</v>
      </c>
      <c r="AB76" s="19"/>
      <c r="AC76" s="20"/>
      <c r="AD76" s="22"/>
      <c r="AE76" s="22"/>
      <c r="AF76" s="5"/>
      <c r="AG76" s="105">
        <f t="shared" si="46"/>
        <v>1500000</v>
      </c>
    </row>
    <row r="77" spans="2:33" x14ac:dyDescent="0.25">
      <c r="B77" s="41" t="s">
        <v>295</v>
      </c>
      <c r="C77" s="224" t="str">
        <f>IFERROR(_xlfn.XLOOKUP(B77,'Limite de crédito'!C:C,'Limite de crédito'!L:L,),0)</f>
        <v>B</v>
      </c>
      <c r="D77" s="93"/>
      <c r="E77" s="18">
        <f>_xlfn.XLOOKUP(B77,'Limite de crédito'!C:C,'Limite de crédito'!G:G,0)</f>
        <v>800000</v>
      </c>
      <c r="F77" s="18">
        <f t="shared" ref="F77" si="68">E77-G77</f>
        <v>800000</v>
      </c>
      <c r="G77" s="18">
        <f t="shared" ref="G77" si="69">P77+O77</f>
        <v>0</v>
      </c>
      <c r="H77" s="19">
        <f>SUMIFS('Data Additive'!$D:$D,'Data Additive'!$P:$P,'Painel Additive'!$B77,'Data Additive'!$Q:$Q,"&gt;0",'Data Additive'!$Q:$Q,"&lt;=30")</f>
        <v>0</v>
      </c>
      <c r="I77" s="19">
        <f>SUMIFS('Data Additive'!$D:$D,'Data Additive'!$P:$P,'Painel Additive'!$B77,'Data Additive'!$Q:$Q,"&gt;30",'Data Additive'!$Q:$Q,"&lt;=60")</f>
        <v>0</v>
      </c>
      <c r="J77" s="19">
        <f>SUMIFS('Data Additive'!$D:$D,'Data Additive'!$P:$P,'Painel Additive'!$B77,'Data Additive'!$Q:$Q,"&gt;60",'Data Additive'!$Q:$Q,"&lt;=90")</f>
        <v>0</v>
      </c>
      <c r="K77" s="19">
        <f>SUMIFS('Data Additive'!$D:$D,'Data Additive'!$P:$P,'Painel Additive'!$B77,'Data Additive'!$Q:$Q,"&gt;90",'Data Additive'!$Q:$Q,"&lt;=120")</f>
        <v>0</v>
      </c>
      <c r="L77" s="19">
        <f>SUMIFS('Data Additive'!$D:$D,'Data Additive'!$P:$P,'Painel Additive'!$B77,'Data Additive'!$Q:$Q,"&gt;120",'Data Additive'!$Q:$Q,"&lt;=180")</f>
        <v>0</v>
      </c>
      <c r="M77" s="19">
        <f>SUMIFS('Data Additive'!$D:$D,'Data Additive'!$P:$P,'Painel Additive'!$B77,'Data Additive'!$Q:$Q,"&gt;180",'Data Additive'!$Q:$Q,"&lt;=360")</f>
        <v>0</v>
      </c>
      <c r="N77" s="23">
        <f>SUMIFS('Data Additive'!$D:$D,'Data Additive'!$P:$P,'Painel Additive'!$B77,'Data Additive'!$Q:$Q,"&gt;360")</f>
        <v>0</v>
      </c>
      <c r="O77" s="122">
        <f>SUMIFS('Data Additive'!$D:$D,'Data Additive'!$P:$P,'Painel Additive'!$B77,'Data Additive'!$Q:$Q,"&gt;0")</f>
        <v>0</v>
      </c>
      <c r="P77" s="19">
        <f t="shared" ref="P77" si="70">SUM(Q77:W77)</f>
        <v>0</v>
      </c>
      <c r="Q77" s="19">
        <f>SUMIFS('Data Additive'!$D:$D,'Data Additive'!$P:$P,'Painel Additive'!$B77,'Data Additive'!$Q:$Q,"&lt;=0",'Data Additive'!$Q:$Q,"&gt;=-30")</f>
        <v>0</v>
      </c>
      <c r="R77" s="19">
        <f>SUMIFS('Data Additive'!$D:$D,'Data Additive'!$P:$P,'Painel Additive'!$B77,'Data Additive'!$Q:$Q,"&lt;=-31",'Data Additive'!$Q:$Q,"&gt;=-60")</f>
        <v>0</v>
      </c>
      <c r="S77" s="19">
        <f>SUMIFS('Data Additive'!$D:$D,'Data Additive'!$P:$P,'Painel Additive'!$B77,'Data Additive'!$Q:$Q,"&lt;=-61",'Data Additive'!$Q:$Q,"&gt;=-90")</f>
        <v>0</v>
      </c>
      <c r="T77" s="19">
        <f>SUMIFS('Data Additive'!$D:$D,'Data Additive'!$P:$P,'Painel Additive'!$B77,'Data Additive'!$Q:$Q,"&lt;=-91",'Data Additive'!$Q:$Q,"&gt;=-120")</f>
        <v>0</v>
      </c>
      <c r="U77" s="19">
        <f>SUMIFS('Data Additive'!$D:$D,'Data Additive'!$P:$P,'Painel Additive'!$B77,'Data Additive'!$Q:$Q,"&lt;=-121",'Data Additive'!$Q:$Q,"&gt;=-180")</f>
        <v>0</v>
      </c>
      <c r="V77" s="19">
        <f>SUMIFS('Data Additive'!$D:$D,'Data Additive'!$P:$P,'Painel Additive'!$B77,'Data Additive'!$Q:$Q,"&lt;=-181",'Data Additive'!$Q:$Q,"&gt;=-360")</f>
        <v>0</v>
      </c>
      <c r="W77" s="23">
        <f>SUMIFS('Data Additive'!$D:$D,'Data Additive'!$P:$P,'Painel Additive'!$B77,'Data Additive'!$Q:$Q,"&lt;-360")</f>
        <v>0</v>
      </c>
      <c r="X77" s="19">
        <f>SUMIFS('Bad Debt Provision'!AB:AB,'Bad Debt Provision'!B:B,'Painel Additive'!B77)</f>
        <v>0</v>
      </c>
      <c r="Y77" s="5"/>
      <c r="Z77" s="5"/>
      <c r="AA77" s="19">
        <f>IFERROR(_xlfn.XLOOKUP(B77,'Limite de crédito'!C:C,'Limite de crédito'!O:O,),0)</f>
        <v>800000</v>
      </c>
      <c r="AB77" s="19"/>
      <c r="AC77" s="20"/>
      <c r="AD77" s="22"/>
      <c r="AE77" s="22"/>
      <c r="AF77" s="5"/>
      <c r="AG77" s="105">
        <f t="shared" si="46"/>
        <v>800000</v>
      </c>
    </row>
    <row r="78" spans="2:33" x14ac:dyDescent="0.25">
      <c r="B78" s="41" t="s">
        <v>613</v>
      </c>
      <c r="C78" s="224" t="str">
        <f>IFERROR(_xlfn.XLOOKUP(B78,'Limite de crédito'!C:C,'Limite de crédito'!L:L,),0)</f>
        <v>B</v>
      </c>
      <c r="D78" s="93"/>
      <c r="E78" s="18">
        <f>_xlfn.XLOOKUP(B78,'Limite de crédito'!C:C,'Limite de crédito'!G:G,0)</f>
        <v>500000</v>
      </c>
      <c r="F78" s="18">
        <f t="shared" ref="F78" si="71">E78-G78</f>
        <v>500000</v>
      </c>
      <c r="G78" s="18">
        <f t="shared" ref="G78" si="72">P78+O78</f>
        <v>0</v>
      </c>
      <c r="H78" s="19">
        <f>SUMIFS('Data Additive'!$D:$D,'Data Additive'!$P:$P,'Painel Additive'!$B78,'Data Additive'!$Q:$Q,"&gt;0",'Data Additive'!$Q:$Q,"&lt;=30")</f>
        <v>0</v>
      </c>
      <c r="I78" s="19">
        <f>SUMIFS('Data Additive'!$D:$D,'Data Additive'!$P:$P,'Painel Additive'!$B78,'Data Additive'!$Q:$Q,"&gt;30",'Data Additive'!$Q:$Q,"&lt;=60")</f>
        <v>0</v>
      </c>
      <c r="J78" s="19">
        <f>SUMIFS('Data Additive'!$D:$D,'Data Additive'!$P:$P,'Painel Additive'!$B78,'Data Additive'!$Q:$Q,"&gt;60",'Data Additive'!$Q:$Q,"&lt;=90")</f>
        <v>0</v>
      </c>
      <c r="K78" s="19">
        <f>SUMIFS('Data Additive'!$D:$D,'Data Additive'!$P:$P,'Painel Additive'!$B78,'Data Additive'!$Q:$Q,"&gt;90",'Data Additive'!$Q:$Q,"&lt;=120")</f>
        <v>0</v>
      </c>
      <c r="L78" s="19">
        <f>SUMIFS('Data Additive'!$D:$D,'Data Additive'!$P:$P,'Painel Additive'!$B78,'Data Additive'!$Q:$Q,"&gt;120",'Data Additive'!$Q:$Q,"&lt;=180")</f>
        <v>0</v>
      </c>
      <c r="M78" s="19">
        <f>SUMIFS('Data Additive'!$D:$D,'Data Additive'!$P:$P,'Painel Additive'!$B78,'Data Additive'!$Q:$Q,"&gt;180",'Data Additive'!$Q:$Q,"&lt;=360")</f>
        <v>0</v>
      </c>
      <c r="N78" s="23">
        <f>SUMIFS('Data Additive'!$D:$D,'Data Additive'!$P:$P,'Painel Additive'!$B78,'Data Additive'!$Q:$Q,"&gt;360")</f>
        <v>0</v>
      </c>
      <c r="O78" s="122">
        <f>SUMIFS('Data Additive'!$D:$D,'Data Additive'!$P:$P,'Painel Additive'!$B78,'Data Additive'!$Q:$Q,"&gt;0")</f>
        <v>0</v>
      </c>
      <c r="P78" s="19">
        <f t="shared" ref="P78" si="73">SUM(Q78:W78)</f>
        <v>0</v>
      </c>
      <c r="Q78" s="19">
        <f>SUMIFS('Data Additive'!$D:$D,'Data Additive'!$P:$P,'Painel Additive'!$B78,'Data Additive'!$Q:$Q,"&lt;=0",'Data Additive'!$Q:$Q,"&gt;=-30")</f>
        <v>0</v>
      </c>
      <c r="R78" s="19">
        <f>SUMIFS('Data Additive'!$D:$D,'Data Additive'!$P:$P,'Painel Additive'!$B78,'Data Additive'!$Q:$Q,"&lt;=-31",'Data Additive'!$Q:$Q,"&gt;=-60")</f>
        <v>0</v>
      </c>
      <c r="S78" s="19">
        <f>SUMIFS('Data Additive'!$D:$D,'Data Additive'!$P:$P,'Painel Additive'!$B78,'Data Additive'!$Q:$Q,"&lt;=-61",'Data Additive'!$Q:$Q,"&gt;=-90")</f>
        <v>0</v>
      </c>
      <c r="T78" s="19">
        <f>SUMIFS('Data Additive'!$D:$D,'Data Additive'!$P:$P,'Painel Additive'!$B78,'Data Additive'!$Q:$Q,"&lt;=-91",'Data Additive'!$Q:$Q,"&gt;=-120")</f>
        <v>0</v>
      </c>
      <c r="U78" s="19">
        <f>SUMIFS('Data Additive'!$D:$D,'Data Additive'!$P:$P,'Painel Additive'!$B78,'Data Additive'!$Q:$Q,"&lt;=-121",'Data Additive'!$Q:$Q,"&gt;=-180")</f>
        <v>0</v>
      </c>
      <c r="V78" s="19">
        <f>SUMIFS('Data Additive'!$D:$D,'Data Additive'!$P:$P,'Painel Additive'!$B78,'Data Additive'!$Q:$Q,"&lt;=-181",'Data Additive'!$Q:$Q,"&gt;=-360")</f>
        <v>0</v>
      </c>
      <c r="W78" s="23">
        <f>SUMIFS('Data Additive'!$D:$D,'Data Additive'!$P:$P,'Painel Additive'!$B78,'Data Additive'!$Q:$Q,"&lt;-360")</f>
        <v>0</v>
      </c>
      <c r="X78" s="19">
        <f>SUMIFS('Bad Debt Provision'!AB:AB,'Bad Debt Provision'!B:B,'Painel Additive'!B78)</f>
        <v>0</v>
      </c>
      <c r="Y78" s="5"/>
      <c r="Z78" s="5"/>
      <c r="AA78" s="19">
        <f>IFERROR(_xlfn.XLOOKUP(B78,'Limite de crédito'!C:C,'Limite de crédito'!O:O,),0)</f>
        <v>500000</v>
      </c>
      <c r="AB78" s="19"/>
      <c r="AC78" s="20"/>
      <c r="AD78" s="22"/>
      <c r="AE78" s="22"/>
      <c r="AF78" s="5"/>
      <c r="AG78" s="105">
        <f t="shared" si="46"/>
        <v>500000</v>
      </c>
    </row>
    <row r="79" spans="2:33" x14ac:dyDescent="0.25">
      <c r="B79" s="41" t="s">
        <v>614</v>
      </c>
      <c r="C79" s="224">
        <f>IFERROR(_xlfn.XLOOKUP(B79,'Limite de crédito'!C:C,'Limite de crédito'!L:L,),0)</f>
        <v>0</v>
      </c>
      <c r="D79" s="93"/>
      <c r="E79" s="18">
        <f>_xlfn.XLOOKUP(B79,'Limite de crédito'!C:C,'Limite de crédito'!G:G,0)</f>
        <v>300000</v>
      </c>
      <c r="F79" s="18">
        <f t="shared" ref="F79" si="74">E79-G79</f>
        <v>300000</v>
      </c>
      <c r="G79" s="18">
        <f t="shared" ref="G79" si="75">P79+O79</f>
        <v>0</v>
      </c>
      <c r="H79" s="19">
        <f>SUMIFS('Data Additive'!$D:$D,'Data Additive'!$P:$P,'Painel Additive'!$B79,'Data Additive'!$Q:$Q,"&gt;0",'Data Additive'!$Q:$Q,"&lt;=30")</f>
        <v>0</v>
      </c>
      <c r="I79" s="19">
        <f>SUMIFS('Data Additive'!$D:$D,'Data Additive'!$P:$P,'Painel Additive'!$B79,'Data Additive'!$Q:$Q,"&gt;30",'Data Additive'!$Q:$Q,"&lt;=60")</f>
        <v>0</v>
      </c>
      <c r="J79" s="19">
        <f>SUMIFS('Data Additive'!$D:$D,'Data Additive'!$P:$P,'Painel Additive'!$B79,'Data Additive'!$Q:$Q,"&gt;60",'Data Additive'!$Q:$Q,"&lt;=90")</f>
        <v>0</v>
      </c>
      <c r="K79" s="19">
        <f>SUMIFS('Data Additive'!$D:$D,'Data Additive'!$P:$P,'Painel Additive'!$B79,'Data Additive'!$Q:$Q,"&gt;90",'Data Additive'!$Q:$Q,"&lt;=120")</f>
        <v>0</v>
      </c>
      <c r="L79" s="19">
        <f>SUMIFS('Data Additive'!$D:$D,'Data Additive'!$P:$P,'Painel Additive'!$B79,'Data Additive'!$Q:$Q,"&gt;120",'Data Additive'!$Q:$Q,"&lt;=180")</f>
        <v>0</v>
      </c>
      <c r="M79" s="19">
        <f>SUMIFS('Data Additive'!$D:$D,'Data Additive'!$P:$P,'Painel Additive'!$B79,'Data Additive'!$Q:$Q,"&gt;180",'Data Additive'!$Q:$Q,"&lt;=360")</f>
        <v>0</v>
      </c>
      <c r="N79" s="23">
        <f>SUMIFS('Data Additive'!$D:$D,'Data Additive'!$P:$P,'Painel Additive'!$B79,'Data Additive'!$Q:$Q,"&gt;360")</f>
        <v>0</v>
      </c>
      <c r="O79" s="122">
        <f>SUMIFS('Data Additive'!$D:$D,'Data Additive'!$P:$P,'Painel Additive'!$B79,'Data Additive'!$Q:$Q,"&gt;0")</f>
        <v>0</v>
      </c>
      <c r="P79" s="19">
        <f t="shared" ref="P79" si="76">SUM(Q79:W79)</f>
        <v>0</v>
      </c>
      <c r="Q79" s="19">
        <f>SUMIFS('Data Additive'!$D:$D,'Data Additive'!$P:$P,'Painel Additive'!$B79,'Data Additive'!$Q:$Q,"&lt;=0",'Data Additive'!$Q:$Q,"&gt;=-30")</f>
        <v>0</v>
      </c>
      <c r="R79" s="19">
        <f>SUMIFS('Data Additive'!$D:$D,'Data Additive'!$P:$P,'Painel Additive'!$B79,'Data Additive'!$Q:$Q,"&lt;=-31",'Data Additive'!$Q:$Q,"&gt;=-60")</f>
        <v>0</v>
      </c>
      <c r="S79" s="19">
        <f>SUMIFS('Data Additive'!$D:$D,'Data Additive'!$P:$P,'Painel Additive'!$B79,'Data Additive'!$Q:$Q,"&lt;=-61",'Data Additive'!$Q:$Q,"&gt;=-90")</f>
        <v>0</v>
      </c>
      <c r="T79" s="19">
        <f>SUMIFS('Data Additive'!$D:$D,'Data Additive'!$P:$P,'Painel Additive'!$B79,'Data Additive'!$Q:$Q,"&lt;=-91",'Data Additive'!$Q:$Q,"&gt;=-120")</f>
        <v>0</v>
      </c>
      <c r="U79" s="19">
        <f>SUMIFS('Data Additive'!$D:$D,'Data Additive'!$P:$P,'Painel Additive'!$B79,'Data Additive'!$Q:$Q,"&lt;=-121",'Data Additive'!$Q:$Q,"&gt;=-180")</f>
        <v>0</v>
      </c>
      <c r="V79" s="19">
        <f>SUMIFS('Data Additive'!$D:$D,'Data Additive'!$P:$P,'Painel Additive'!$B79,'Data Additive'!$Q:$Q,"&lt;=-181",'Data Additive'!$Q:$Q,"&gt;=-360")</f>
        <v>0</v>
      </c>
      <c r="W79" s="23">
        <f>SUMIFS('Data Additive'!$D:$D,'Data Additive'!$P:$P,'Painel Additive'!$B79,'Data Additive'!$Q:$Q,"&lt;-360")</f>
        <v>0</v>
      </c>
      <c r="X79" s="19">
        <f>SUMIFS('Bad Debt Provision'!AB:AB,'Bad Debt Provision'!B:B,'Painel Additive'!B79)</f>
        <v>0</v>
      </c>
      <c r="Y79" s="5"/>
      <c r="Z79" s="5"/>
      <c r="AA79" s="19">
        <f>IFERROR(_xlfn.XLOOKUP(B79,'Limite de crédito'!C:C,'Limite de crédito'!O:O,),0)</f>
        <v>300000</v>
      </c>
      <c r="AB79" s="19"/>
      <c r="AC79" s="20"/>
      <c r="AD79" s="22"/>
      <c r="AE79" s="22"/>
      <c r="AF79" s="5"/>
      <c r="AG79" s="105">
        <f t="shared" si="46"/>
        <v>300000</v>
      </c>
    </row>
    <row r="80" spans="2:33" x14ac:dyDescent="0.25">
      <c r="B80" s="41" t="s">
        <v>429</v>
      </c>
      <c r="C80" s="224" t="str">
        <f>IFERROR(_xlfn.XLOOKUP(B80,'Limite de crédito'!C:C,'Limite de crédito'!L:L,),0)</f>
        <v>B</v>
      </c>
      <c r="D80" s="93"/>
      <c r="E80" s="18">
        <f>_xlfn.XLOOKUP(B80,'Limite de crédito'!C:C,'Limite de crédito'!G:G,0)</f>
        <v>1000000</v>
      </c>
      <c r="F80" s="18">
        <f t="shared" ref="F80" si="77">E80-G80</f>
        <v>814960</v>
      </c>
      <c r="G80" s="18">
        <f t="shared" ref="G80" si="78">P80+O80</f>
        <v>185040</v>
      </c>
      <c r="H80" s="19">
        <f>SUMIFS('Data Additive'!$D:$D,'Data Additive'!$P:$P,'Painel Additive'!$B80,'Data Additive'!$Q:$Q,"&gt;0",'Data Additive'!$Q:$Q,"&lt;=30")</f>
        <v>0</v>
      </c>
      <c r="I80" s="19">
        <f>SUMIFS('Data Additive'!$D:$D,'Data Additive'!$P:$P,'Painel Additive'!$B80,'Data Additive'!$Q:$Q,"&gt;30",'Data Additive'!$Q:$Q,"&lt;=60")</f>
        <v>0</v>
      </c>
      <c r="J80" s="19">
        <f>SUMIFS('Data Additive'!$D:$D,'Data Additive'!$P:$P,'Painel Additive'!$B80,'Data Additive'!$Q:$Q,"&gt;60",'Data Additive'!$Q:$Q,"&lt;=90")</f>
        <v>0</v>
      </c>
      <c r="K80" s="19">
        <f>SUMIFS('Data Additive'!$D:$D,'Data Additive'!$P:$P,'Painel Additive'!$B80,'Data Additive'!$Q:$Q,"&gt;90",'Data Additive'!$Q:$Q,"&lt;=120")</f>
        <v>0</v>
      </c>
      <c r="L80" s="19">
        <f>SUMIFS('Data Additive'!$D:$D,'Data Additive'!$P:$P,'Painel Additive'!$B80,'Data Additive'!$Q:$Q,"&gt;120",'Data Additive'!$Q:$Q,"&lt;=180")</f>
        <v>0</v>
      </c>
      <c r="M80" s="19">
        <f>SUMIFS('Data Additive'!$D:$D,'Data Additive'!$P:$P,'Painel Additive'!$B80,'Data Additive'!$Q:$Q,"&gt;180",'Data Additive'!$Q:$Q,"&lt;=360")</f>
        <v>0</v>
      </c>
      <c r="N80" s="23">
        <f>SUMIFS('Data Additive'!$D:$D,'Data Additive'!$P:$P,'Painel Additive'!$B80,'Data Additive'!$Q:$Q,"&gt;360")</f>
        <v>0</v>
      </c>
      <c r="O80" s="122">
        <f>SUMIFS('Data Additive'!$D:$D,'Data Additive'!$P:$P,'Painel Additive'!$B80,'Data Additive'!$Q:$Q,"&gt;0")</f>
        <v>0</v>
      </c>
      <c r="P80" s="19">
        <f t="shared" ref="P80" si="79">SUM(Q80:W80)</f>
        <v>185040</v>
      </c>
      <c r="Q80" s="19">
        <f>SUMIFS('Data Additive'!$D:$D,'Data Additive'!$P:$P,'Painel Additive'!$B80,'Data Additive'!$Q:$Q,"&lt;=0",'Data Additive'!$Q:$Q,"&gt;=-30")</f>
        <v>0</v>
      </c>
      <c r="R80" s="19">
        <f>SUMIFS('Data Additive'!$D:$D,'Data Additive'!$P:$P,'Painel Additive'!$B80,'Data Additive'!$Q:$Q,"&lt;=-31",'Data Additive'!$Q:$Q,"&gt;=-60")</f>
        <v>0</v>
      </c>
      <c r="S80" s="19">
        <f>SUMIFS('Data Additive'!$D:$D,'Data Additive'!$P:$P,'Painel Additive'!$B80,'Data Additive'!$Q:$Q,"&lt;=-61",'Data Additive'!$Q:$Q,"&gt;=-90")</f>
        <v>185040</v>
      </c>
      <c r="T80" s="19">
        <f>SUMIFS('Data Additive'!$D:$D,'Data Additive'!$P:$P,'Painel Additive'!$B80,'Data Additive'!$Q:$Q,"&lt;=-91",'Data Additive'!$Q:$Q,"&gt;=-120")</f>
        <v>0</v>
      </c>
      <c r="U80" s="19">
        <f>SUMIFS('Data Additive'!$D:$D,'Data Additive'!$P:$P,'Painel Additive'!$B80,'Data Additive'!$Q:$Q,"&lt;=-121",'Data Additive'!$Q:$Q,"&gt;=-180")</f>
        <v>0</v>
      </c>
      <c r="V80" s="19">
        <f>SUMIFS('Data Additive'!$D:$D,'Data Additive'!$P:$P,'Painel Additive'!$B80,'Data Additive'!$Q:$Q,"&lt;=-181",'Data Additive'!$Q:$Q,"&gt;=-360")</f>
        <v>0</v>
      </c>
      <c r="W80" s="23">
        <f>SUMIFS('Data Additive'!$D:$D,'Data Additive'!$P:$P,'Painel Additive'!$B80,'Data Additive'!$Q:$Q,"&lt;-360")</f>
        <v>0</v>
      </c>
      <c r="X80" s="19">
        <f>SUMIFS('Bad Debt Provision'!AB:AB,'Bad Debt Provision'!B:B,'Painel Additive'!B80)</f>
        <v>0</v>
      </c>
      <c r="Y80" s="5"/>
      <c r="Z80" s="5"/>
      <c r="AA80" s="19">
        <f>IFERROR(_xlfn.XLOOKUP(B80,'Limite de crédito'!C:C,'Limite de crédito'!O:O,),0)</f>
        <v>1000000</v>
      </c>
      <c r="AB80" s="19"/>
      <c r="AC80" s="20"/>
      <c r="AD80" s="22"/>
      <c r="AE80" s="22"/>
      <c r="AF80" s="5"/>
      <c r="AG80" s="105">
        <f t="shared" si="46"/>
        <v>814960</v>
      </c>
    </row>
    <row r="81" spans="2:33" x14ac:dyDescent="0.25">
      <c r="B81" s="41" t="s">
        <v>462</v>
      </c>
      <c r="C81" s="224" t="str">
        <f>IFERROR(_xlfn.XLOOKUP(B81,'Limite de crédito'!C:C,'Limite de crédito'!L:L,),0)</f>
        <v>O</v>
      </c>
      <c r="D81" s="93"/>
      <c r="E81" s="18">
        <f>_xlfn.XLOOKUP(B81,'Limite de crédito'!C:C,'Limite de crédito'!G:G,0)</f>
        <v>100000</v>
      </c>
      <c r="F81" s="18">
        <f t="shared" ref="F81" si="80">E81-G81</f>
        <v>100000</v>
      </c>
      <c r="G81" s="18">
        <f t="shared" ref="G81" si="81">P81+O81</f>
        <v>0</v>
      </c>
      <c r="H81" s="19">
        <f>SUMIFS('Data Additive'!$D:$D,'Data Additive'!$P:$P,'Painel Additive'!$B81,'Data Additive'!$Q:$Q,"&gt;0",'Data Additive'!$Q:$Q,"&lt;=30")</f>
        <v>0</v>
      </c>
      <c r="I81" s="19">
        <f>SUMIFS('Data Additive'!$D:$D,'Data Additive'!$P:$P,'Painel Additive'!$B81,'Data Additive'!$Q:$Q,"&gt;30",'Data Additive'!$Q:$Q,"&lt;=60")</f>
        <v>0</v>
      </c>
      <c r="J81" s="19">
        <f>SUMIFS('Data Additive'!$D:$D,'Data Additive'!$P:$P,'Painel Additive'!$B81,'Data Additive'!$Q:$Q,"&gt;60",'Data Additive'!$Q:$Q,"&lt;=90")</f>
        <v>0</v>
      </c>
      <c r="K81" s="19">
        <f>SUMIFS('Data Additive'!$D:$D,'Data Additive'!$P:$P,'Painel Additive'!$B81,'Data Additive'!$Q:$Q,"&gt;90",'Data Additive'!$Q:$Q,"&lt;=120")</f>
        <v>0</v>
      </c>
      <c r="L81" s="19">
        <f>SUMIFS('Data Additive'!$D:$D,'Data Additive'!$P:$P,'Painel Additive'!$B81,'Data Additive'!$Q:$Q,"&gt;120",'Data Additive'!$Q:$Q,"&lt;=180")</f>
        <v>0</v>
      </c>
      <c r="M81" s="19">
        <f>SUMIFS('Data Additive'!$D:$D,'Data Additive'!$P:$P,'Painel Additive'!$B81,'Data Additive'!$Q:$Q,"&gt;180",'Data Additive'!$Q:$Q,"&lt;=360")</f>
        <v>0</v>
      </c>
      <c r="N81" s="23">
        <f>SUMIFS('Data Additive'!$D:$D,'Data Additive'!$P:$P,'Painel Additive'!$B81,'Data Additive'!$Q:$Q,"&gt;360")</f>
        <v>0</v>
      </c>
      <c r="O81" s="122">
        <f>SUMIFS('Data Additive'!$D:$D,'Data Additive'!$P:$P,'Painel Additive'!$B81,'Data Additive'!$Q:$Q,"&gt;0")</f>
        <v>0</v>
      </c>
      <c r="P81" s="19">
        <f t="shared" ref="P81" si="82">SUM(Q81:W81)</f>
        <v>0</v>
      </c>
      <c r="Q81" s="19">
        <f>SUMIFS('Data Additive'!$D:$D,'Data Additive'!$P:$P,'Painel Additive'!$B81,'Data Additive'!$Q:$Q,"&lt;=0",'Data Additive'!$Q:$Q,"&gt;=-30")</f>
        <v>0</v>
      </c>
      <c r="R81" s="19">
        <f>SUMIFS('Data Additive'!$D:$D,'Data Additive'!$P:$P,'Painel Additive'!$B81,'Data Additive'!$Q:$Q,"&lt;=-31",'Data Additive'!$Q:$Q,"&gt;=-60")</f>
        <v>0</v>
      </c>
      <c r="S81" s="19">
        <f>SUMIFS('Data Additive'!$D:$D,'Data Additive'!$P:$P,'Painel Additive'!$B81,'Data Additive'!$Q:$Q,"&lt;=-61",'Data Additive'!$Q:$Q,"&gt;=-90")</f>
        <v>0</v>
      </c>
      <c r="T81" s="19">
        <f>SUMIFS('Data Additive'!$D:$D,'Data Additive'!$P:$P,'Painel Additive'!$B81,'Data Additive'!$Q:$Q,"&lt;=-91",'Data Additive'!$Q:$Q,"&gt;=-120")</f>
        <v>0</v>
      </c>
      <c r="U81" s="19">
        <f>SUMIFS('Data Additive'!$D:$D,'Data Additive'!$P:$P,'Painel Additive'!$B81,'Data Additive'!$Q:$Q,"&lt;=-121",'Data Additive'!$Q:$Q,"&gt;=-180")</f>
        <v>0</v>
      </c>
      <c r="V81" s="19">
        <f>SUMIFS('Data Additive'!$D:$D,'Data Additive'!$P:$P,'Painel Additive'!$B81,'Data Additive'!$Q:$Q,"&lt;=-181",'Data Additive'!$Q:$Q,"&gt;=-360")</f>
        <v>0</v>
      </c>
      <c r="W81" s="23">
        <f>SUMIFS('Data Additive'!$D:$D,'Data Additive'!$P:$P,'Painel Additive'!$B81,'Data Additive'!$Q:$Q,"&lt;-360")</f>
        <v>0</v>
      </c>
      <c r="X81" s="19">
        <f>SUMIFS('Bad Debt Provision'!AB:AB,'Bad Debt Provision'!B:B,'Painel Additive'!B81)</f>
        <v>0</v>
      </c>
      <c r="Y81" s="5"/>
      <c r="Z81" s="5"/>
      <c r="AA81" s="19">
        <f>IFERROR(_xlfn.XLOOKUP(B81,'Limite de crédito'!C:C,'Limite de crédito'!O:O,),0)</f>
        <v>0</v>
      </c>
      <c r="AB81" s="19"/>
      <c r="AC81" s="20"/>
      <c r="AD81" s="22"/>
      <c r="AE81" s="22"/>
      <c r="AF81" s="5"/>
      <c r="AG81" s="105">
        <f t="shared" ref="AG81:AG86" si="83">AA81-G81</f>
        <v>0</v>
      </c>
    </row>
    <row r="82" spans="2:33" x14ac:dyDescent="0.25">
      <c r="B82" s="41" t="s">
        <v>648</v>
      </c>
      <c r="C82" s="224">
        <f>IFERROR(_xlfn.XLOOKUP(B82,'Limite de crédito'!C:C,'Limite de crédito'!L:L,),0)</f>
        <v>0</v>
      </c>
      <c r="D82" s="93"/>
      <c r="E82" s="18">
        <f>_xlfn.XLOOKUP(B82,'Limite de crédito'!C:C,'Limite de crédito'!G:G,0)</f>
        <v>0</v>
      </c>
      <c r="F82" s="18">
        <f t="shared" ref="F82" si="84">E82-G82</f>
        <v>0</v>
      </c>
      <c r="G82" s="18">
        <f t="shared" ref="G82" si="85">P82+O82</f>
        <v>0</v>
      </c>
      <c r="H82" s="19">
        <f>SUMIFS('Data Additive'!$D:$D,'Data Additive'!$P:$P,'Painel Additive'!$B82,'Data Additive'!$Q:$Q,"&gt;0",'Data Additive'!$Q:$Q,"&lt;=30")</f>
        <v>0</v>
      </c>
      <c r="I82" s="19">
        <f>SUMIFS('Data Additive'!$D:$D,'Data Additive'!$P:$P,'Painel Additive'!$B82,'Data Additive'!$Q:$Q,"&gt;30",'Data Additive'!$Q:$Q,"&lt;=60")</f>
        <v>0</v>
      </c>
      <c r="J82" s="19">
        <f>SUMIFS('Data Additive'!$D:$D,'Data Additive'!$P:$P,'Painel Additive'!$B82,'Data Additive'!$Q:$Q,"&gt;60",'Data Additive'!$Q:$Q,"&lt;=90")</f>
        <v>0</v>
      </c>
      <c r="K82" s="19">
        <f>SUMIFS('Data Additive'!$D:$D,'Data Additive'!$P:$P,'Painel Additive'!$B82,'Data Additive'!$Q:$Q,"&gt;90",'Data Additive'!$Q:$Q,"&lt;=120")</f>
        <v>0</v>
      </c>
      <c r="L82" s="19">
        <f>SUMIFS('Data Additive'!$D:$D,'Data Additive'!$P:$P,'Painel Additive'!$B82,'Data Additive'!$Q:$Q,"&gt;120",'Data Additive'!$Q:$Q,"&lt;=180")</f>
        <v>0</v>
      </c>
      <c r="M82" s="19">
        <f>SUMIFS('Data Additive'!$D:$D,'Data Additive'!$P:$P,'Painel Additive'!$B82,'Data Additive'!$Q:$Q,"&gt;180",'Data Additive'!$Q:$Q,"&lt;=360")</f>
        <v>0</v>
      </c>
      <c r="N82" s="23">
        <f>SUMIFS('Data Additive'!$D:$D,'Data Additive'!$P:$P,'Painel Additive'!$B82,'Data Additive'!$Q:$Q,"&gt;360")</f>
        <v>0</v>
      </c>
      <c r="O82" s="122">
        <f>SUMIFS('Data Additive'!$D:$D,'Data Additive'!$P:$P,'Painel Additive'!$B82,'Data Additive'!$Q:$Q,"&gt;0")</f>
        <v>0</v>
      </c>
      <c r="P82" s="19">
        <f t="shared" ref="P82" si="86">SUM(Q82:W82)</f>
        <v>0</v>
      </c>
      <c r="Q82" s="19">
        <f>SUMIFS('Data Additive'!$D:$D,'Data Additive'!$P:$P,'Painel Additive'!$B82,'Data Additive'!$Q:$Q,"&lt;=0",'Data Additive'!$Q:$Q,"&gt;=-30")</f>
        <v>0</v>
      </c>
      <c r="R82" s="19">
        <f>SUMIFS('Data Additive'!$D:$D,'Data Additive'!$P:$P,'Painel Additive'!$B82,'Data Additive'!$Q:$Q,"&lt;=-31",'Data Additive'!$Q:$Q,"&gt;=-60")</f>
        <v>0</v>
      </c>
      <c r="S82" s="19">
        <f>SUMIFS('Data Additive'!$D:$D,'Data Additive'!$P:$P,'Painel Additive'!$B82,'Data Additive'!$Q:$Q,"&lt;=-61",'Data Additive'!$Q:$Q,"&gt;=-90")</f>
        <v>0</v>
      </c>
      <c r="T82" s="19">
        <f>SUMIFS('Data Additive'!$D:$D,'Data Additive'!$P:$P,'Painel Additive'!$B82,'Data Additive'!$Q:$Q,"&lt;=-91",'Data Additive'!$Q:$Q,"&gt;=-120")</f>
        <v>0</v>
      </c>
      <c r="U82" s="19">
        <f>SUMIFS('Data Additive'!$D:$D,'Data Additive'!$P:$P,'Painel Additive'!$B82,'Data Additive'!$Q:$Q,"&lt;=-121",'Data Additive'!$Q:$Q,"&gt;=-180")</f>
        <v>0</v>
      </c>
      <c r="V82" s="19">
        <f>SUMIFS('Data Additive'!$D:$D,'Data Additive'!$P:$P,'Painel Additive'!$B82,'Data Additive'!$Q:$Q,"&lt;=-181",'Data Additive'!$Q:$Q,"&gt;=-360")</f>
        <v>0</v>
      </c>
      <c r="W82" s="23">
        <f>SUMIFS('Data Additive'!$D:$D,'Data Additive'!$P:$P,'Painel Additive'!$B82,'Data Additive'!$Q:$Q,"&lt;-360")</f>
        <v>0</v>
      </c>
      <c r="X82" s="19">
        <f>SUMIFS('Bad Debt Provision'!AB:AB,'Bad Debt Provision'!B:B,'Painel Additive'!B82)</f>
        <v>0</v>
      </c>
      <c r="Y82" s="5"/>
      <c r="Z82" s="5"/>
      <c r="AA82" s="19">
        <f>IFERROR(_xlfn.XLOOKUP(B82,'Limite de crédito'!C:C,'Limite de crédito'!O:O,),0)</f>
        <v>0</v>
      </c>
      <c r="AB82" s="19"/>
      <c r="AC82" s="20"/>
      <c r="AD82" s="22"/>
      <c r="AE82" s="22"/>
      <c r="AF82" s="5"/>
      <c r="AG82" s="105">
        <f t="shared" si="83"/>
        <v>0</v>
      </c>
    </row>
    <row r="83" spans="2:33" x14ac:dyDescent="0.25">
      <c r="B83" s="41" t="s">
        <v>650</v>
      </c>
      <c r="C83" s="224" t="str">
        <f>IFERROR(_xlfn.XLOOKUP(B83,'Limite de crédito'!C:C,'Limite de crédito'!L:L,),0)</f>
        <v>B</v>
      </c>
      <c r="D83" s="93"/>
      <c r="E83" s="18">
        <f>_xlfn.XLOOKUP(B83,'Limite de crédito'!C:C,'Limite de crédito'!G:G,0)</f>
        <v>1000000</v>
      </c>
      <c r="F83" s="18">
        <f t="shared" ref="F83" si="87">E83-G83</f>
        <v>1000000</v>
      </c>
      <c r="G83" s="18">
        <f t="shared" ref="G83" si="88">P83+O83</f>
        <v>0</v>
      </c>
      <c r="H83" s="19">
        <f>SUMIFS('Data Additive'!$D:$D,'Data Additive'!$P:$P,'Painel Additive'!$B83,'Data Additive'!$Q:$Q,"&gt;0",'Data Additive'!$Q:$Q,"&lt;=30")</f>
        <v>0</v>
      </c>
      <c r="I83" s="19">
        <f>SUMIFS('Data Additive'!$D:$D,'Data Additive'!$P:$P,'Painel Additive'!$B83,'Data Additive'!$Q:$Q,"&gt;30",'Data Additive'!$Q:$Q,"&lt;=60")</f>
        <v>0</v>
      </c>
      <c r="J83" s="19">
        <f>SUMIFS('Data Additive'!$D:$D,'Data Additive'!$P:$P,'Painel Additive'!$B83,'Data Additive'!$Q:$Q,"&gt;60",'Data Additive'!$Q:$Q,"&lt;=90")</f>
        <v>0</v>
      </c>
      <c r="K83" s="19">
        <f>SUMIFS('Data Additive'!$D:$D,'Data Additive'!$P:$P,'Painel Additive'!$B83,'Data Additive'!$Q:$Q,"&gt;90",'Data Additive'!$Q:$Q,"&lt;=120")</f>
        <v>0</v>
      </c>
      <c r="L83" s="19">
        <f>SUMIFS('Data Additive'!$D:$D,'Data Additive'!$P:$P,'Painel Additive'!$B83,'Data Additive'!$Q:$Q,"&gt;120",'Data Additive'!$Q:$Q,"&lt;=180")</f>
        <v>0</v>
      </c>
      <c r="M83" s="19">
        <f>SUMIFS('Data Additive'!$D:$D,'Data Additive'!$P:$P,'Painel Additive'!$B83,'Data Additive'!$Q:$Q,"&gt;180",'Data Additive'!$Q:$Q,"&lt;=360")</f>
        <v>0</v>
      </c>
      <c r="N83" s="23">
        <f>SUMIFS('Data Additive'!$D:$D,'Data Additive'!$P:$P,'Painel Additive'!$B83,'Data Additive'!$Q:$Q,"&gt;360")</f>
        <v>0</v>
      </c>
      <c r="O83" s="122">
        <f>SUMIFS('Data Additive'!$D:$D,'Data Additive'!$P:$P,'Painel Additive'!$B83,'Data Additive'!$Q:$Q,"&gt;0")</f>
        <v>0</v>
      </c>
      <c r="P83" s="19">
        <f t="shared" ref="P83" si="89">SUM(Q83:W83)</f>
        <v>0</v>
      </c>
      <c r="Q83" s="19">
        <f>SUMIFS('Data Additive'!$D:$D,'Data Additive'!$P:$P,'Painel Additive'!$B83,'Data Additive'!$Q:$Q,"&lt;=0",'Data Additive'!$Q:$Q,"&gt;=-30")</f>
        <v>0</v>
      </c>
      <c r="R83" s="19">
        <f>SUMIFS('Data Additive'!$D:$D,'Data Additive'!$P:$P,'Painel Additive'!$B83,'Data Additive'!$Q:$Q,"&lt;=-31",'Data Additive'!$Q:$Q,"&gt;=-60")</f>
        <v>0</v>
      </c>
      <c r="S83" s="19">
        <f>SUMIFS('Data Additive'!$D:$D,'Data Additive'!$P:$P,'Painel Additive'!$B83,'Data Additive'!$Q:$Q,"&lt;=-61",'Data Additive'!$Q:$Q,"&gt;=-90")</f>
        <v>0</v>
      </c>
      <c r="T83" s="19">
        <f>SUMIFS('Data Additive'!$D:$D,'Data Additive'!$P:$P,'Painel Additive'!$B83,'Data Additive'!$Q:$Q,"&lt;=-91",'Data Additive'!$Q:$Q,"&gt;=-120")</f>
        <v>0</v>
      </c>
      <c r="U83" s="19">
        <f>SUMIFS('Data Additive'!$D:$D,'Data Additive'!$P:$P,'Painel Additive'!$B83,'Data Additive'!$Q:$Q,"&lt;=-121",'Data Additive'!$Q:$Q,"&gt;=-180")</f>
        <v>0</v>
      </c>
      <c r="V83" s="19">
        <f>SUMIFS('Data Additive'!$D:$D,'Data Additive'!$P:$P,'Painel Additive'!$B83,'Data Additive'!$Q:$Q,"&lt;=-181",'Data Additive'!$Q:$Q,"&gt;=-360")</f>
        <v>0</v>
      </c>
      <c r="W83" s="23">
        <f>SUMIFS('Data Additive'!$D:$D,'Data Additive'!$P:$P,'Painel Additive'!$B83,'Data Additive'!$Q:$Q,"&lt;-360")</f>
        <v>0</v>
      </c>
      <c r="X83" s="19">
        <f>SUMIFS('Bad Debt Provision'!AB:AB,'Bad Debt Provision'!B:B,'Painel Additive'!B83)</f>
        <v>0</v>
      </c>
      <c r="Y83" s="5"/>
      <c r="Z83" s="5"/>
      <c r="AA83" s="19">
        <f>IFERROR(_xlfn.XLOOKUP(B83,'Limite de crédito'!C:C,'Limite de crédito'!O:O,),0)</f>
        <v>1500000</v>
      </c>
      <c r="AB83" s="19"/>
      <c r="AC83" s="20"/>
      <c r="AD83" s="22"/>
      <c r="AE83" s="22"/>
      <c r="AF83" s="5"/>
      <c r="AG83" s="105">
        <f t="shared" si="83"/>
        <v>1500000</v>
      </c>
    </row>
    <row r="84" spans="2:33" x14ac:dyDescent="0.25">
      <c r="B84" s="41" t="s">
        <v>93</v>
      </c>
      <c r="C84" s="224" t="str">
        <f>IFERROR(_xlfn.XLOOKUP(B84,'Limite de crédito'!C:C,'Limite de crédito'!L:L,),0)</f>
        <v>B</v>
      </c>
      <c r="D84" s="93"/>
      <c r="E84" s="18">
        <f>_xlfn.XLOOKUP(B84,'Limite de crédito'!C:C,'Limite de crédito'!G:G,0)</f>
        <v>100000</v>
      </c>
      <c r="F84" s="18">
        <f t="shared" ref="F84" si="90">E84-G84</f>
        <v>100000</v>
      </c>
      <c r="G84" s="18">
        <f t="shared" ref="G84" si="91">P84+O84</f>
        <v>0</v>
      </c>
      <c r="H84" s="19">
        <f>SUMIFS('Data Additive'!$D:$D,'Data Additive'!$P:$P,'Painel Additive'!$B84,'Data Additive'!$Q:$Q,"&gt;0",'Data Additive'!$Q:$Q,"&lt;=30")</f>
        <v>0</v>
      </c>
      <c r="I84" s="19">
        <f>SUMIFS('Data Additive'!$D:$D,'Data Additive'!$P:$P,'Painel Additive'!$B84,'Data Additive'!$Q:$Q,"&gt;30",'Data Additive'!$Q:$Q,"&lt;=60")</f>
        <v>0</v>
      </c>
      <c r="J84" s="19">
        <f>SUMIFS('Data Additive'!$D:$D,'Data Additive'!$P:$P,'Painel Additive'!$B84,'Data Additive'!$Q:$Q,"&gt;60",'Data Additive'!$Q:$Q,"&lt;=90")</f>
        <v>0</v>
      </c>
      <c r="K84" s="19">
        <f>SUMIFS('Data Additive'!$D:$D,'Data Additive'!$P:$P,'Painel Additive'!$B84,'Data Additive'!$Q:$Q,"&gt;90",'Data Additive'!$Q:$Q,"&lt;=120")</f>
        <v>0</v>
      </c>
      <c r="L84" s="19">
        <f>SUMIFS('Data Additive'!$D:$D,'Data Additive'!$P:$P,'Painel Additive'!$B84,'Data Additive'!$Q:$Q,"&gt;120",'Data Additive'!$Q:$Q,"&lt;=180")</f>
        <v>0</v>
      </c>
      <c r="M84" s="19">
        <f>SUMIFS('Data Additive'!$D:$D,'Data Additive'!$P:$P,'Painel Additive'!$B84,'Data Additive'!$Q:$Q,"&gt;180",'Data Additive'!$Q:$Q,"&lt;=360")</f>
        <v>0</v>
      </c>
      <c r="N84" s="23">
        <f>SUMIFS('Data Additive'!$D:$D,'Data Additive'!$P:$P,'Painel Additive'!$B84,'Data Additive'!$Q:$Q,"&gt;360")</f>
        <v>0</v>
      </c>
      <c r="O84" s="122">
        <f>SUMIFS('Data Additive'!$D:$D,'Data Additive'!$P:$P,'Painel Additive'!$B84,'Data Additive'!$Q:$Q,"&gt;0")</f>
        <v>0</v>
      </c>
      <c r="P84" s="19">
        <f t="shared" ref="P84" si="92">SUM(Q84:W84)</f>
        <v>0</v>
      </c>
      <c r="Q84" s="19">
        <f>SUMIFS('Data Additive'!$D:$D,'Data Additive'!$P:$P,'Painel Additive'!$B84,'Data Additive'!$Q:$Q,"&lt;=0",'Data Additive'!$Q:$Q,"&gt;=-30")</f>
        <v>0</v>
      </c>
      <c r="R84" s="19">
        <f>SUMIFS('Data Additive'!$D:$D,'Data Additive'!$P:$P,'Painel Additive'!$B84,'Data Additive'!$Q:$Q,"&lt;=-31",'Data Additive'!$Q:$Q,"&gt;=-60")</f>
        <v>0</v>
      </c>
      <c r="S84" s="19">
        <f>SUMIFS('Data Additive'!$D:$D,'Data Additive'!$P:$P,'Painel Additive'!$B84,'Data Additive'!$Q:$Q,"&lt;=-61",'Data Additive'!$Q:$Q,"&gt;=-90")</f>
        <v>0</v>
      </c>
      <c r="T84" s="19">
        <f>SUMIFS('Data Additive'!$D:$D,'Data Additive'!$P:$P,'Painel Additive'!$B84,'Data Additive'!$Q:$Q,"&lt;=-91",'Data Additive'!$Q:$Q,"&gt;=-120")</f>
        <v>0</v>
      </c>
      <c r="U84" s="19">
        <f>SUMIFS('Data Additive'!$D:$D,'Data Additive'!$P:$P,'Painel Additive'!$B84,'Data Additive'!$Q:$Q,"&lt;=-121",'Data Additive'!$Q:$Q,"&gt;=-180")</f>
        <v>0</v>
      </c>
      <c r="V84" s="19">
        <f>SUMIFS('Data Additive'!$D:$D,'Data Additive'!$P:$P,'Painel Additive'!$B84,'Data Additive'!$Q:$Q,"&lt;=-181",'Data Additive'!$Q:$Q,"&gt;=-360")</f>
        <v>0</v>
      </c>
      <c r="W84" s="23">
        <f>SUMIFS('Data Additive'!$D:$D,'Data Additive'!$P:$P,'Painel Additive'!$B84,'Data Additive'!$Q:$Q,"&lt;-360")</f>
        <v>0</v>
      </c>
      <c r="X84" s="19">
        <f>SUMIFS('Bad Debt Provision'!AB:AB,'Bad Debt Provision'!B:B,'Painel Additive'!B84)</f>
        <v>0</v>
      </c>
      <c r="Y84" s="5"/>
      <c r="Z84" s="5"/>
      <c r="AA84" s="19">
        <f>IFERROR(_xlfn.XLOOKUP(B84,'Limite de crédito'!C:C,'Limite de crédito'!O:O,),0)</f>
        <v>100000</v>
      </c>
      <c r="AB84" s="19"/>
      <c r="AC84" s="20"/>
      <c r="AD84" s="22"/>
      <c r="AE84" s="22"/>
      <c r="AF84" s="5"/>
      <c r="AG84" s="105">
        <f t="shared" si="83"/>
        <v>100000</v>
      </c>
    </row>
    <row r="85" spans="2:33" x14ac:dyDescent="0.25">
      <c r="B85" s="41" t="s">
        <v>649</v>
      </c>
      <c r="C85" s="224">
        <f>IFERROR(_xlfn.XLOOKUP(B85,'Limite de crédito'!C:C,'Limite de crédito'!L:L,),0)</f>
        <v>0</v>
      </c>
      <c r="D85" s="93"/>
      <c r="E85" s="18">
        <f>_xlfn.XLOOKUP(B85,'Limite de crédito'!C:C,'Limite de crédito'!G:G,0)</f>
        <v>0</v>
      </c>
      <c r="F85" s="18">
        <f t="shared" ref="F85" si="93">E85-G85</f>
        <v>0</v>
      </c>
      <c r="G85" s="18">
        <f t="shared" ref="G85" si="94">P85+O85</f>
        <v>0</v>
      </c>
      <c r="H85" s="19">
        <f>SUMIFS('Data Additive'!$D:$D,'Data Additive'!$P:$P,'Painel Additive'!$B85,'Data Additive'!$Q:$Q,"&gt;0",'Data Additive'!$Q:$Q,"&lt;=30")</f>
        <v>0</v>
      </c>
      <c r="I85" s="19">
        <f>SUMIFS('Data Additive'!$D:$D,'Data Additive'!$P:$P,'Painel Additive'!$B85,'Data Additive'!$Q:$Q,"&gt;30",'Data Additive'!$Q:$Q,"&lt;=60")</f>
        <v>0</v>
      </c>
      <c r="J85" s="19">
        <f>SUMIFS('Data Additive'!$D:$D,'Data Additive'!$P:$P,'Painel Additive'!$B85,'Data Additive'!$Q:$Q,"&gt;60",'Data Additive'!$Q:$Q,"&lt;=90")</f>
        <v>0</v>
      </c>
      <c r="K85" s="19">
        <f>SUMIFS('Data Additive'!$D:$D,'Data Additive'!$P:$P,'Painel Additive'!$B85,'Data Additive'!$Q:$Q,"&gt;90",'Data Additive'!$Q:$Q,"&lt;=120")</f>
        <v>0</v>
      </c>
      <c r="L85" s="19">
        <f>SUMIFS('Data Additive'!$D:$D,'Data Additive'!$P:$P,'Painel Additive'!$B85,'Data Additive'!$Q:$Q,"&gt;120",'Data Additive'!$Q:$Q,"&lt;=180")</f>
        <v>0</v>
      </c>
      <c r="M85" s="19">
        <f>SUMIFS('Data Additive'!$D:$D,'Data Additive'!$P:$P,'Painel Additive'!$B85,'Data Additive'!$Q:$Q,"&gt;180",'Data Additive'!$Q:$Q,"&lt;=360")</f>
        <v>0</v>
      </c>
      <c r="N85" s="23">
        <f>SUMIFS('Data Additive'!$D:$D,'Data Additive'!$P:$P,'Painel Additive'!$B85,'Data Additive'!$Q:$Q,"&gt;360")</f>
        <v>0</v>
      </c>
      <c r="O85" s="122">
        <f>SUMIFS('Data Additive'!$D:$D,'Data Additive'!$P:$P,'Painel Additive'!$B85,'Data Additive'!$Q:$Q,"&gt;0")</f>
        <v>0</v>
      </c>
      <c r="P85" s="19">
        <f t="shared" ref="P85" si="95">SUM(Q85:W85)</f>
        <v>0</v>
      </c>
      <c r="Q85" s="19">
        <f>SUMIFS('Data Additive'!$D:$D,'Data Additive'!$P:$P,'Painel Additive'!$B85,'Data Additive'!$Q:$Q,"&lt;=0",'Data Additive'!$Q:$Q,"&gt;=-30")</f>
        <v>0</v>
      </c>
      <c r="R85" s="19">
        <f>SUMIFS('Data Additive'!$D:$D,'Data Additive'!$P:$P,'Painel Additive'!$B85,'Data Additive'!$Q:$Q,"&lt;=-31",'Data Additive'!$Q:$Q,"&gt;=-60")</f>
        <v>0</v>
      </c>
      <c r="S85" s="19">
        <f>SUMIFS('Data Additive'!$D:$D,'Data Additive'!$P:$P,'Painel Additive'!$B85,'Data Additive'!$Q:$Q,"&lt;=-61",'Data Additive'!$Q:$Q,"&gt;=-90")</f>
        <v>0</v>
      </c>
      <c r="T85" s="19">
        <f>SUMIFS('Data Additive'!$D:$D,'Data Additive'!$P:$P,'Painel Additive'!$B85,'Data Additive'!$Q:$Q,"&lt;=-91",'Data Additive'!$Q:$Q,"&gt;=-120")</f>
        <v>0</v>
      </c>
      <c r="U85" s="19">
        <f>SUMIFS('Data Additive'!$D:$D,'Data Additive'!$P:$P,'Painel Additive'!$B85,'Data Additive'!$Q:$Q,"&lt;=-121",'Data Additive'!$Q:$Q,"&gt;=-180")</f>
        <v>0</v>
      </c>
      <c r="V85" s="19">
        <f>SUMIFS('Data Additive'!$D:$D,'Data Additive'!$P:$P,'Painel Additive'!$B85,'Data Additive'!$Q:$Q,"&lt;=-181",'Data Additive'!$Q:$Q,"&gt;=-360")</f>
        <v>0</v>
      </c>
      <c r="W85" s="23">
        <f>SUMIFS('Data Additive'!$D:$D,'Data Additive'!$P:$P,'Painel Additive'!$B85,'Data Additive'!$Q:$Q,"&lt;-360")</f>
        <v>0</v>
      </c>
      <c r="X85" s="19">
        <f>SUMIFS('Bad Debt Provision'!AB:AB,'Bad Debt Provision'!B:B,'Painel Additive'!B85)</f>
        <v>0</v>
      </c>
      <c r="Y85" s="5"/>
      <c r="Z85" s="5"/>
      <c r="AA85" s="19">
        <f>IFERROR(_xlfn.XLOOKUP(B85,'Limite de crédito'!C:C,'Limite de crédito'!O:O,),0)</f>
        <v>0</v>
      </c>
      <c r="AB85" s="19"/>
      <c r="AC85" s="20"/>
      <c r="AD85" s="22"/>
      <c r="AE85" s="22"/>
      <c r="AF85" s="5"/>
      <c r="AG85" s="105">
        <f t="shared" si="83"/>
        <v>0</v>
      </c>
    </row>
    <row r="86" spans="2:33" x14ac:dyDescent="0.25">
      <c r="B86" s="41" t="s">
        <v>94</v>
      </c>
      <c r="C86" s="224">
        <f>IFERROR(_xlfn.XLOOKUP(B86,'Limite de crédito'!C:C,'Limite de crédito'!L:L,),0)</f>
        <v>0</v>
      </c>
      <c r="D86" s="93"/>
      <c r="E86" s="18">
        <f>_xlfn.XLOOKUP(B86,'Limite de crédito'!C:C,'Limite de crédito'!G:G,0)</f>
        <v>0</v>
      </c>
      <c r="F86" s="18">
        <f t="shared" ref="F86" si="96">E86-G86</f>
        <v>0</v>
      </c>
      <c r="G86" s="18">
        <f t="shared" ref="G86" si="97">P86+O86</f>
        <v>0</v>
      </c>
      <c r="H86" s="19">
        <f>SUMIFS('Data Additive'!$D:$D,'Data Additive'!$P:$P,'Painel Additive'!$B86,'Data Additive'!$Q:$Q,"&gt;0",'Data Additive'!$Q:$Q,"&lt;=30")</f>
        <v>0</v>
      </c>
      <c r="I86" s="19">
        <f>SUMIFS('Data Additive'!$D:$D,'Data Additive'!$P:$P,'Painel Additive'!$B86,'Data Additive'!$Q:$Q,"&gt;30",'Data Additive'!$Q:$Q,"&lt;=60")</f>
        <v>0</v>
      </c>
      <c r="J86" s="19">
        <f>SUMIFS('Data Additive'!$D:$D,'Data Additive'!$P:$P,'Painel Additive'!$B86,'Data Additive'!$Q:$Q,"&gt;60",'Data Additive'!$Q:$Q,"&lt;=90")</f>
        <v>0</v>
      </c>
      <c r="K86" s="19">
        <f>SUMIFS('Data Additive'!$D:$D,'Data Additive'!$P:$P,'Painel Additive'!$B86,'Data Additive'!$Q:$Q,"&gt;90",'Data Additive'!$Q:$Q,"&lt;=120")</f>
        <v>0</v>
      </c>
      <c r="L86" s="19">
        <f>SUMIFS('Data Additive'!$D:$D,'Data Additive'!$P:$P,'Painel Additive'!$B86,'Data Additive'!$Q:$Q,"&gt;120",'Data Additive'!$Q:$Q,"&lt;=180")</f>
        <v>0</v>
      </c>
      <c r="M86" s="19">
        <f>SUMIFS('Data Additive'!$D:$D,'Data Additive'!$P:$P,'Painel Additive'!$B86,'Data Additive'!$Q:$Q,"&gt;180",'Data Additive'!$Q:$Q,"&lt;=360")</f>
        <v>0</v>
      </c>
      <c r="N86" s="23">
        <f>SUMIFS('Data Additive'!$D:$D,'Data Additive'!$P:$P,'Painel Additive'!$B86,'Data Additive'!$Q:$Q,"&gt;360")</f>
        <v>0</v>
      </c>
      <c r="O86" s="122">
        <f>SUMIFS('Data Additive'!$D:$D,'Data Additive'!$P:$P,'Painel Additive'!$B86,'Data Additive'!$Q:$Q,"&gt;0")</f>
        <v>0</v>
      </c>
      <c r="P86" s="19">
        <f t="shared" ref="P86" si="98">SUM(Q86:W86)</f>
        <v>0</v>
      </c>
      <c r="Q86" s="19">
        <f>SUMIFS('Data Additive'!$D:$D,'Data Additive'!$P:$P,'Painel Additive'!$B86,'Data Additive'!$Q:$Q,"&lt;=0",'Data Additive'!$Q:$Q,"&gt;=-30")</f>
        <v>0</v>
      </c>
      <c r="R86" s="19">
        <f>SUMIFS('Data Additive'!$D:$D,'Data Additive'!$P:$P,'Painel Additive'!$B86,'Data Additive'!$Q:$Q,"&lt;=-31",'Data Additive'!$Q:$Q,"&gt;=-60")</f>
        <v>0</v>
      </c>
      <c r="S86" s="19">
        <f>SUMIFS('Data Additive'!$D:$D,'Data Additive'!$P:$P,'Painel Additive'!$B86,'Data Additive'!$Q:$Q,"&lt;=-61",'Data Additive'!$Q:$Q,"&gt;=-90")</f>
        <v>0</v>
      </c>
      <c r="T86" s="19">
        <f>SUMIFS('Data Additive'!$D:$D,'Data Additive'!$P:$P,'Painel Additive'!$B86,'Data Additive'!$Q:$Q,"&lt;=-91",'Data Additive'!$Q:$Q,"&gt;=-120")</f>
        <v>0</v>
      </c>
      <c r="U86" s="19">
        <f>SUMIFS('Data Additive'!$D:$D,'Data Additive'!$P:$P,'Painel Additive'!$B86,'Data Additive'!$Q:$Q,"&lt;=-121",'Data Additive'!$Q:$Q,"&gt;=-180")</f>
        <v>0</v>
      </c>
      <c r="V86" s="19">
        <f>SUMIFS('Data Additive'!$D:$D,'Data Additive'!$P:$P,'Painel Additive'!$B86,'Data Additive'!$Q:$Q,"&lt;=-181",'Data Additive'!$Q:$Q,"&gt;=-360")</f>
        <v>0</v>
      </c>
      <c r="W86" s="23">
        <f>SUMIFS('Data Additive'!$D:$D,'Data Additive'!$P:$P,'Painel Additive'!$B86,'Data Additive'!$Q:$Q,"&lt;-360")</f>
        <v>0</v>
      </c>
      <c r="X86" s="19">
        <f>SUMIFS('Bad Debt Provision'!AB:AB,'Bad Debt Provision'!B:B,'Painel Additive'!B86)</f>
        <v>0</v>
      </c>
      <c r="Y86" s="5"/>
      <c r="Z86" s="5"/>
      <c r="AA86" s="19">
        <f>IFERROR(_xlfn.XLOOKUP(B86,'Limite de crédito'!C:C,'Limite de crédito'!O:O,),0)</f>
        <v>0</v>
      </c>
      <c r="AB86" s="19"/>
      <c r="AC86" s="20"/>
      <c r="AD86" s="22"/>
      <c r="AE86" s="22"/>
      <c r="AF86" s="5"/>
      <c r="AG86" s="105">
        <f t="shared" si="83"/>
        <v>0</v>
      </c>
    </row>
    <row r="87" spans="2:33" x14ac:dyDescent="0.25">
      <c r="B87" s="41" t="s">
        <v>599</v>
      </c>
      <c r="C87" s="224" t="str">
        <f>IFERROR(_xlfn.XLOOKUP(B87,'Limite de crédito'!C:C,'Limite de crédito'!L:L,),0)</f>
        <v>B</v>
      </c>
      <c r="D87" s="93"/>
      <c r="E87" s="18">
        <f>_xlfn.XLOOKUP(B87,'Limite de crédito'!C:C,'Limite de crédito'!G:G,0)</f>
        <v>500000</v>
      </c>
      <c r="F87" s="18">
        <f t="shared" ref="F87" si="99">E87-G87</f>
        <v>500000</v>
      </c>
      <c r="G87" s="18">
        <f t="shared" ref="G87" si="100">P87+O87</f>
        <v>0</v>
      </c>
      <c r="H87" s="19">
        <f>SUMIFS('Data Additive'!$D:$D,'Data Additive'!$P:$P,'Painel Additive'!$B87,'Data Additive'!$Q:$Q,"&gt;0",'Data Additive'!$Q:$Q,"&lt;=30")</f>
        <v>0</v>
      </c>
      <c r="I87" s="19">
        <f>SUMIFS('Data Additive'!$D:$D,'Data Additive'!$P:$P,'Painel Additive'!$B87,'Data Additive'!$Q:$Q,"&gt;30",'Data Additive'!$Q:$Q,"&lt;=60")</f>
        <v>0</v>
      </c>
      <c r="J87" s="19">
        <f>SUMIFS('Data Additive'!$D:$D,'Data Additive'!$P:$P,'Painel Additive'!$B87,'Data Additive'!$Q:$Q,"&gt;60",'Data Additive'!$Q:$Q,"&lt;=90")</f>
        <v>0</v>
      </c>
      <c r="K87" s="19">
        <f>SUMIFS('Data Additive'!$D:$D,'Data Additive'!$P:$P,'Painel Additive'!$B87,'Data Additive'!$Q:$Q,"&gt;90",'Data Additive'!$Q:$Q,"&lt;=120")</f>
        <v>0</v>
      </c>
      <c r="L87" s="19">
        <f>SUMIFS('Data Additive'!$D:$D,'Data Additive'!$P:$P,'Painel Additive'!$B87,'Data Additive'!$Q:$Q,"&gt;120",'Data Additive'!$Q:$Q,"&lt;=180")</f>
        <v>0</v>
      </c>
      <c r="M87" s="19">
        <f>SUMIFS('Data Additive'!$D:$D,'Data Additive'!$P:$P,'Painel Additive'!$B87,'Data Additive'!$Q:$Q,"&gt;180",'Data Additive'!$Q:$Q,"&lt;=360")</f>
        <v>0</v>
      </c>
      <c r="N87" s="23">
        <f>SUMIFS('Data Additive'!$D:$D,'Data Additive'!$P:$P,'Painel Additive'!$B87,'Data Additive'!$Q:$Q,"&gt;360")</f>
        <v>0</v>
      </c>
      <c r="O87" s="122">
        <f>SUMIFS('Data Additive'!$D:$D,'Data Additive'!$P:$P,'Painel Additive'!$B87,'Data Additive'!$Q:$Q,"&gt;0")</f>
        <v>0</v>
      </c>
      <c r="P87" s="19">
        <f t="shared" ref="P87" si="101">SUM(Q87:W87)</f>
        <v>0</v>
      </c>
      <c r="Q87" s="19">
        <f>SUMIFS('Data Additive'!$D:$D,'Data Additive'!$P:$P,'Painel Additive'!$B87,'Data Additive'!$Q:$Q,"&lt;=0",'Data Additive'!$Q:$Q,"&gt;=-30")</f>
        <v>0</v>
      </c>
      <c r="R87" s="19">
        <f>SUMIFS('Data Additive'!$D:$D,'Data Additive'!$P:$P,'Painel Additive'!$B87,'Data Additive'!$Q:$Q,"&lt;=-31",'Data Additive'!$Q:$Q,"&gt;=-60")</f>
        <v>0</v>
      </c>
      <c r="S87" s="19">
        <f>SUMIFS('Data Additive'!$D:$D,'Data Additive'!$P:$P,'Painel Additive'!$B87,'Data Additive'!$Q:$Q,"&lt;=-61",'Data Additive'!$Q:$Q,"&gt;=-90")</f>
        <v>0</v>
      </c>
      <c r="T87" s="19">
        <f>SUMIFS('Data Additive'!$D:$D,'Data Additive'!$P:$P,'Painel Additive'!$B87,'Data Additive'!$Q:$Q,"&lt;=-91",'Data Additive'!$Q:$Q,"&gt;=-120")</f>
        <v>0</v>
      </c>
      <c r="U87" s="19">
        <f>SUMIFS('Data Additive'!$D:$D,'Data Additive'!$P:$P,'Painel Additive'!$B87,'Data Additive'!$Q:$Q,"&lt;=-121",'Data Additive'!$Q:$Q,"&gt;=-180")</f>
        <v>0</v>
      </c>
      <c r="V87" s="19">
        <f>SUMIFS('Data Additive'!$D:$D,'Data Additive'!$P:$P,'Painel Additive'!$B87,'Data Additive'!$Q:$Q,"&lt;=-181",'Data Additive'!$Q:$Q,"&gt;=-360")</f>
        <v>0</v>
      </c>
      <c r="W87" s="23">
        <f>SUMIFS('Data Additive'!$D:$D,'Data Additive'!$P:$P,'Painel Additive'!$B87,'Data Additive'!$Q:$Q,"&lt;-360")</f>
        <v>0</v>
      </c>
      <c r="X87" s="19">
        <f>SUMIFS('Bad Debt Provision'!AB:AB,'Bad Debt Provision'!B:B,'Painel Additive'!B87)</f>
        <v>0</v>
      </c>
      <c r="Y87" s="5"/>
      <c r="Z87" s="5"/>
      <c r="AA87" s="19">
        <f>IFERROR(_xlfn.XLOOKUP(B87,'Limite de crédito'!C:C,'Limite de crédito'!O:O,),0)</f>
        <v>500000</v>
      </c>
      <c r="AB87" s="19"/>
      <c r="AC87" s="20"/>
      <c r="AD87" s="22"/>
      <c r="AE87" s="22"/>
      <c r="AF87" s="5"/>
      <c r="AG87" s="105">
        <f t="shared" ref="AG87" si="102">AA87-G87</f>
        <v>500000</v>
      </c>
    </row>
    <row r="88" spans="2:33" x14ac:dyDescent="0.25">
      <c r="B88" s="41" t="s">
        <v>591</v>
      </c>
      <c r="C88" s="224" t="str">
        <f>IFERROR(_xlfn.XLOOKUP(B88,'Limite de crédito'!C:C,'Limite de crédito'!L:L,),0)</f>
        <v>B</v>
      </c>
      <c r="D88" s="93"/>
      <c r="E88" s="18">
        <f>_xlfn.XLOOKUP(B88,'Limite de crédito'!C:C,'Limite de crédito'!G:G,0)</f>
        <v>1300000</v>
      </c>
      <c r="F88" s="18">
        <f t="shared" ref="F88" si="103">E88-G88</f>
        <v>1300000</v>
      </c>
      <c r="G88" s="18">
        <f t="shared" ref="G88" si="104">P88+O88</f>
        <v>0</v>
      </c>
      <c r="H88" s="19">
        <f>SUMIFS('Data Additive'!$D:$D,'Data Additive'!$P:$P,'Painel Additive'!$B88,'Data Additive'!$Q:$Q,"&gt;0",'Data Additive'!$Q:$Q,"&lt;=30")</f>
        <v>0</v>
      </c>
      <c r="I88" s="19">
        <f>SUMIFS('Data Additive'!$D:$D,'Data Additive'!$P:$P,'Painel Additive'!$B88,'Data Additive'!$Q:$Q,"&gt;30",'Data Additive'!$Q:$Q,"&lt;=60")</f>
        <v>0</v>
      </c>
      <c r="J88" s="19">
        <f>SUMIFS('Data Additive'!$D:$D,'Data Additive'!$P:$P,'Painel Additive'!$B88,'Data Additive'!$Q:$Q,"&gt;60",'Data Additive'!$Q:$Q,"&lt;=90")</f>
        <v>0</v>
      </c>
      <c r="K88" s="19">
        <f>SUMIFS('Data Additive'!$D:$D,'Data Additive'!$P:$P,'Painel Additive'!$B88,'Data Additive'!$Q:$Q,"&gt;90",'Data Additive'!$Q:$Q,"&lt;=120")</f>
        <v>0</v>
      </c>
      <c r="L88" s="19">
        <f>SUMIFS('Data Additive'!$D:$D,'Data Additive'!$P:$P,'Painel Additive'!$B88,'Data Additive'!$Q:$Q,"&gt;120",'Data Additive'!$Q:$Q,"&lt;=180")</f>
        <v>0</v>
      </c>
      <c r="M88" s="19">
        <f>SUMIFS('Data Additive'!$D:$D,'Data Additive'!$P:$P,'Painel Additive'!$B88,'Data Additive'!$Q:$Q,"&gt;180",'Data Additive'!$Q:$Q,"&lt;=360")</f>
        <v>0</v>
      </c>
      <c r="N88" s="23">
        <f>SUMIFS('Data Additive'!$D:$D,'Data Additive'!$P:$P,'Painel Additive'!$B88,'Data Additive'!$Q:$Q,"&gt;360")</f>
        <v>0</v>
      </c>
      <c r="O88" s="122">
        <f>SUMIFS('Data Additive'!$D:$D,'Data Additive'!$P:$P,'Painel Additive'!$B88,'Data Additive'!$Q:$Q,"&gt;0")</f>
        <v>0</v>
      </c>
      <c r="P88" s="19">
        <f t="shared" ref="P88" si="105">SUM(Q88:W88)</f>
        <v>0</v>
      </c>
      <c r="Q88" s="19">
        <f>SUMIFS('Data Additive'!$D:$D,'Data Additive'!$P:$P,'Painel Additive'!$B88,'Data Additive'!$Q:$Q,"&lt;=0",'Data Additive'!$Q:$Q,"&gt;=-30")</f>
        <v>0</v>
      </c>
      <c r="R88" s="19">
        <f>SUMIFS('Data Additive'!$D:$D,'Data Additive'!$P:$P,'Painel Additive'!$B88,'Data Additive'!$Q:$Q,"&lt;=-31",'Data Additive'!$Q:$Q,"&gt;=-60")</f>
        <v>0</v>
      </c>
      <c r="S88" s="19">
        <f>SUMIFS('Data Additive'!$D:$D,'Data Additive'!$P:$P,'Painel Additive'!$B88,'Data Additive'!$Q:$Q,"&lt;=-61",'Data Additive'!$Q:$Q,"&gt;=-90")</f>
        <v>0</v>
      </c>
      <c r="T88" s="19">
        <f>SUMIFS('Data Additive'!$D:$D,'Data Additive'!$P:$P,'Painel Additive'!$B88,'Data Additive'!$Q:$Q,"&lt;=-91",'Data Additive'!$Q:$Q,"&gt;=-120")</f>
        <v>0</v>
      </c>
      <c r="U88" s="19">
        <f>SUMIFS('Data Additive'!$D:$D,'Data Additive'!$P:$P,'Painel Additive'!$B88,'Data Additive'!$Q:$Q,"&lt;=-121",'Data Additive'!$Q:$Q,"&gt;=-180")</f>
        <v>0</v>
      </c>
      <c r="V88" s="19">
        <f>SUMIFS('Data Additive'!$D:$D,'Data Additive'!$P:$P,'Painel Additive'!$B88,'Data Additive'!$Q:$Q,"&lt;=-181",'Data Additive'!$Q:$Q,"&gt;=-360")</f>
        <v>0</v>
      </c>
      <c r="W88" s="23">
        <f>SUMIFS('Data Additive'!$D:$D,'Data Additive'!$P:$P,'Painel Additive'!$B88,'Data Additive'!$Q:$Q,"&lt;-360")</f>
        <v>0</v>
      </c>
      <c r="X88" s="19">
        <f>SUMIFS('Bad Debt Provision'!AB:AB,'Bad Debt Provision'!B:B,'Painel Additive'!B88)</f>
        <v>0</v>
      </c>
      <c r="Y88" s="5"/>
      <c r="Z88" s="5"/>
      <c r="AA88" s="19">
        <f>IFERROR(_xlfn.XLOOKUP(B88,'Limite de crédito'!C:C,'Limite de crédito'!O:O,),0)</f>
        <v>1300000</v>
      </c>
      <c r="AB88" s="19"/>
      <c r="AC88" s="20"/>
      <c r="AD88" s="22"/>
      <c r="AE88" s="22"/>
      <c r="AF88" s="5"/>
      <c r="AG88" s="105">
        <f t="shared" ref="AG88" si="106">AA88-G88</f>
        <v>1300000</v>
      </c>
    </row>
    <row r="89" spans="2:33" x14ac:dyDescent="0.25">
      <c r="B89" s="41" t="s">
        <v>674</v>
      </c>
      <c r="C89" s="224" t="str">
        <f>IFERROR(_xlfn.XLOOKUP(B89,'Limite de crédito'!C:C,'Limite de crédito'!L:L,),0)</f>
        <v>B</v>
      </c>
      <c r="D89" s="93"/>
      <c r="E89" s="18">
        <f>_xlfn.XLOOKUP(B89,'Limite de crédito'!C:C,'Limite de crédito'!G:G,0)</f>
        <v>1500000</v>
      </c>
      <c r="F89" s="18">
        <f t="shared" ref="F89" si="107">E89-G89</f>
        <v>983388.60000000009</v>
      </c>
      <c r="G89" s="18">
        <f t="shared" ref="G89" si="108">P89+O89</f>
        <v>516611.39999999997</v>
      </c>
      <c r="H89" s="19">
        <f>SUMIFS('Data Additive'!$D:$D,'Data Additive'!$P:$P,'Painel Additive'!$B89,'Data Additive'!$Q:$Q,"&gt;0",'Data Additive'!$Q:$Q,"&lt;=30")</f>
        <v>0</v>
      </c>
      <c r="I89" s="19">
        <f>SUMIFS('Data Additive'!$D:$D,'Data Additive'!$P:$P,'Painel Additive'!$B89,'Data Additive'!$Q:$Q,"&gt;30",'Data Additive'!$Q:$Q,"&lt;=60")</f>
        <v>0</v>
      </c>
      <c r="J89" s="19">
        <f>SUMIFS('Data Additive'!$D:$D,'Data Additive'!$P:$P,'Painel Additive'!$B89,'Data Additive'!$Q:$Q,"&gt;60",'Data Additive'!$Q:$Q,"&lt;=90")</f>
        <v>0</v>
      </c>
      <c r="K89" s="19">
        <f>SUMIFS('Data Additive'!$D:$D,'Data Additive'!$P:$P,'Painel Additive'!$B89,'Data Additive'!$Q:$Q,"&gt;90",'Data Additive'!$Q:$Q,"&lt;=120")</f>
        <v>0</v>
      </c>
      <c r="L89" s="19">
        <f>SUMIFS('Data Additive'!$D:$D,'Data Additive'!$P:$P,'Painel Additive'!$B89,'Data Additive'!$Q:$Q,"&gt;120",'Data Additive'!$Q:$Q,"&lt;=180")</f>
        <v>0</v>
      </c>
      <c r="M89" s="19">
        <f>SUMIFS('Data Additive'!$D:$D,'Data Additive'!$P:$P,'Painel Additive'!$B89,'Data Additive'!$Q:$Q,"&gt;180",'Data Additive'!$Q:$Q,"&lt;=360")</f>
        <v>0</v>
      </c>
      <c r="N89" s="23">
        <f>SUMIFS('Data Additive'!$D:$D,'Data Additive'!$P:$P,'Painel Additive'!$B89,'Data Additive'!$Q:$Q,"&gt;360")</f>
        <v>0</v>
      </c>
      <c r="O89" s="122">
        <f>SUMIFS('Data Additive'!$D:$D,'Data Additive'!$P:$P,'Painel Additive'!$B89,'Data Additive'!$Q:$Q,"&gt;0")</f>
        <v>0</v>
      </c>
      <c r="P89" s="19">
        <f t="shared" ref="P89" si="109">SUM(Q89:W89)</f>
        <v>516611.39999999997</v>
      </c>
      <c r="Q89" s="19">
        <f>SUMIFS('Data Additive'!$D:$D,'Data Additive'!$P:$P,'Painel Additive'!$B89,'Data Additive'!$Q:$Q,"&lt;=0",'Data Additive'!$Q:$Q,"&gt;=-30")</f>
        <v>516611.39999999997</v>
      </c>
      <c r="R89" s="19">
        <f>SUMIFS('Data Additive'!$D:$D,'Data Additive'!$P:$P,'Painel Additive'!$B89,'Data Additive'!$Q:$Q,"&lt;=-31",'Data Additive'!$Q:$Q,"&gt;=-60")</f>
        <v>0</v>
      </c>
      <c r="S89" s="19">
        <f>SUMIFS('Data Additive'!$D:$D,'Data Additive'!$P:$P,'Painel Additive'!$B89,'Data Additive'!$Q:$Q,"&lt;=-61",'Data Additive'!$Q:$Q,"&gt;=-90")</f>
        <v>0</v>
      </c>
      <c r="T89" s="19">
        <f>SUMIFS('Data Additive'!$D:$D,'Data Additive'!$P:$P,'Painel Additive'!$B89,'Data Additive'!$Q:$Q,"&lt;=-91",'Data Additive'!$Q:$Q,"&gt;=-120")</f>
        <v>0</v>
      </c>
      <c r="U89" s="19">
        <f>SUMIFS('Data Additive'!$D:$D,'Data Additive'!$P:$P,'Painel Additive'!$B89,'Data Additive'!$Q:$Q,"&lt;=-121",'Data Additive'!$Q:$Q,"&gt;=-180")</f>
        <v>0</v>
      </c>
      <c r="V89" s="19">
        <f>SUMIFS('Data Additive'!$D:$D,'Data Additive'!$P:$P,'Painel Additive'!$B89,'Data Additive'!$Q:$Q,"&lt;=-181",'Data Additive'!$Q:$Q,"&gt;=-360")</f>
        <v>0</v>
      </c>
      <c r="W89" s="23">
        <f>SUMIFS('Data Additive'!$D:$D,'Data Additive'!$P:$P,'Painel Additive'!$B89,'Data Additive'!$Q:$Q,"&lt;-360")</f>
        <v>0</v>
      </c>
      <c r="X89" s="19">
        <f>SUMIFS('Bad Debt Provision'!AB:AB,'Bad Debt Provision'!B:B,'Painel Additive'!B89)</f>
        <v>0</v>
      </c>
      <c r="Y89" s="5"/>
      <c r="Z89" s="5"/>
      <c r="AA89" s="19">
        <f>IFERROR(_xlfn.XLOOKUP(B89,'Limite de crédito'!C:C,'Limite de crédito'!O:O,),0)</f>
        <v>1500000</v>
      </c>
      <c r="AB89" s="19"/>
      <c r="AC89" s="20"/>
      <c r="AD89" s="22"/>
      <c r="AE89" s="22"/>
      <c r="AF89" s="5"/>
      <c r="AG89" s="105">
        <f t="shared" ref="AG89" si="110">AA89-G89</f>
        <v>983388.60000000009</v>
      </c>
    </row>
    <row r="90" spans="2:33" x14ac:dyDescent="0.25">
      <c r="B90" s="41" t="s">
        <v>679</v>
      </c>
      <c r="C90" s="224">
        <f>IFERROR(_xlfn.XLOOKUP(B90,'Limite de crédito'!C:C,'Limite de crédito'!L:L,),0)</f>
        <v>0</v>
      </c>
      <c r="D90" s="93"/>
      <c r="E90" s="18">
        <f>_xlfn.XLOOKUP(B90,'Limite de crédito'!C:C,'Limite de crédito'!G:G,0)</f>
        <v>0</v>
      </c>
      <c r="F90" s="18">
        <f t="shared" ref="F90" si="111">E90-G90</f>
        <v>0</v>
      </c>
      <c r="G90" s="18">
        <f t="shared" ref="G90" si="112">P90+O90</f>
        <v>0</v>
      </c>
      <c r="H90" s="19">
        <f>SUMIFS('Data Additive'!$D:$D,'Data Additive'!$P:$P,'Painel Additive'!$B90,'Data Additive'!$Q:$Q,"&gt;0",'Data Additive'!$Q:$Q,"&lt;=30")</f>
        <v>0</v>
      </c>
      <c r="I90" s="19">
        <f>SUMIFS('Data Additive'!$D:$D,'Data Additive'!$P:$P,'Painel Additive'!$B90,'Data Additive'!$Q:$Q,"&gt;30",'Data Additive'!$Q:$Q,"&lt;=60")</f>
        <v>0</v>
      </c>
      <c r="J90" s="19">
        <f>SUMIFS('Data Additive'!$D:$D,'Data Additive'!$P:$P,'Painel Additive'!$B90,'Data Additive'!$Q:$Q,"&gt;60",'Data Additive'!$Q:$Q,"&lt;=90")</f>
        <v>0</v>
      </c>
      <c r="K90" s="19">
        <f>SUMIFS('Data Additive'!$D:$D,'Data Additive'!$P:$P,'Painel Additive'!$B90,'Data Additive'!$Q:$Q,"&gt;90",'Data Additive'!$Q:$Q,"&lt;=120")</f>
        <v>0</v>
      </c>
      <c r="L90" s="19">
        <f>SUMIFS('Data Additive'!$D:$D,'Data Additive'!$P:$P,'Painel Additive'!$B90,'Data Additive'!$Q:$Q,"&gt;120",'Data Additive'!$Q:$Q,"&lt;=180")</f>
        <v>0</v>
      </c>
      <c r="M90" s="19">
        <f>SUMIFS('Data Additive'!$D:$D,'Data Additive'!$P:$P,'Painel Additive'!$B90,'Data Additive'!$Q:$Q,"&gt;180",'Data Additive'!$Q:$Q,"&lt;=360")</f>
        <v>0</v>
      </c>
      <c r="N90" s="23">
        <f>SUMIFS('Data Additive'!$D:$D,'Data Additive'!$P:$P,'Painel Additive'!$B90,'Data Additive'!$Q:$Q,"&gt;360")</f>
        <v>0</v>
      </c>
      <c r="O90" s="122">
        <f>SUMIFS('Data Additive'!$D:$D,'Data Additive'!$P:$P,'Painel Additive'!$B90,'Data Additive'!$Q:$Q,"&gt;0")</f>
        <v>0</v>
      </c>
      <c r="P90" s="19">
        <f t="shared" ref="P90" si="113">SUM(Q90:W90)</f>
        <v>0</v>
      </c>
      <c r="Q90" s="19">
        <f>SUMIFS('Data Additive'!$D:$D,'Data Additive'!$P:$P,'Painel Additive'!$B90,'Data Additive'!$Q:$Q,"&lt;=0",'Data Additive'!$Q:$Q,"&gt;=-30")</f>
        <v>0</v>
      </c>
      <c r="R90" s="19">
        <f>SUMIFS('Data Additive'!$D:$D,'Data Additive'!$P:$P,'Painel Additive'!$B90,'Data Additive'!$Q:$Q,"&lt;=-31",'Data Additive'!$Q:$Q,"&gt;=-60")</f>
        <v>0</v>
      </c>
      <c r="S90" s="19">
        <f>SUMIFS('Data Additive'!$D:$D,'Data Additive'!$P:$P,'Painel Additive'!$B90,'Data Additive'!$Q:$Q,"&lt;=-61",'Data Additive'!$Q:$Q,"&gt;=-90")</f>
        <v>0</v>
      </c>
      <c r="T90" s="19">
        <f>SUMIFS('Data Additive'!$D:$D,'Data Additive'!$P:$P,'Painel Additive'!$B90,'Data Additive'!$Q:$Q,"&lt;=-91",'Data Additive'!$Q:$Q,"&gt;=-120")</f>
        <v>0</v>
      </c>
      <c r="U90" s="19">
        <f>SUMIFS('Data Additive'!$D:$D,'Data Additive'!$P:$P,'Painel Additive'!$B90,'Data Additive'!$Q:$Q,"&lt;=-121",'Data Additive'!$Q:$Q,"&gt;=-180")</f>
        <v>0</v>
      </c>
      <c r="V90" s="19">
        <f>SUMIFS('Data Additive'!$D:$D,'Data Additive'!$P:$P,'Painel Additive'!$B90,'Data Additive'!$Q:$Q,"&lt;=-181",'Data Additive'!$Q:$Q,"&gt;=-360")</f>
        <v>0</v>
      </c>
      <c r="W90" s="23">
        <f>SUMIFS('Data Additive'!$D:$D,'Data Additive'!$P:$P,'Painel Additive'!$B90,'Data Additive'!$Q:$Q,"&lt;-360")</f>
        <v>0</v>
      </c>
      <c r="X90" s="19">
        <f>SUMIFS('Bad Debt Provision'!AB:AB,'Bad Debt Provision'!B:B,'Painel Additive'!B90)</f>
        <v>0</v>
      </c>
      <c r="Y90" s="5"/>
      <c r="Z90" s="5"/>
      <c r="AA90" s="19">
        <f>IFERROR(_xlfn.XLOOKUP(B90,'Limite de crédito'!C:C,'Limite de crédito'!O:O,),0)</f>
        <v>0</v>
      </c>
      <c r="AB90" s="19"/>
      <c r="AC90" s="20"/>
      <c r="AD90" s="22"/>
      <c r="AE90" s="22"/>
      <c r="AF90" s="5"/>
      <c r="AG90" s="105">
        <f t="shared" ref="AG90" si="114">AA90-G90</f>
        <v>0</v>
      </c>
    </row>
    <row r="91" spans="2:33" x14ac:dyDescent="0.25">
      <c r="B91" s="41" t="s">
        <v>322</v>
      </c>
      <c r="C91" s="224">
        <f>IFERROR(_xlfn.XLOOKUP(B91,'Limite de crédito'!C:C,'Limite de crédito'!L:L,),0)</f>
        <v>0</v>
      </c>
      <c r="D91" s="93"/>
      <c r="E91" s="18">
        <f>_xlfn.XLOOKUP(B91,'Limite de crédito'!C:C,'Limite de crédito'!G:G,0)</f>
        <v>0</v>
      </c>
      <c r="F91" s="18">
        <f t="shared" ref="F91" si="115">E91-G91</f>
        <v>0</v>
      </c>
      <c r="G91" s="18">
        <f t="shared" ref="G91" si="116">P91+O91</f>
        <v>0</v>
      </c>
      <c r="H91" s="19">
        <f>SUMIFS('Data Additive'!$D:$D,'Data Additive'!$P:$P,'Painel Additive'!$B91,'Data Additive'!$Q:$Q,"&gt;0",'Data Additive'!$Q:$Q,"&lt;=30")</f>
        <v>0</v>
      </c>
      <c r="I91" s="19">
        <f>SUMIFS('Data Additive'!$D:$D,'Data Additive'!$P:$P,'Painel Additive'!$B91,'Data Additive'!$Q:$Q,"&gt;30",'Data Additive'!$Q:$Q,"&lt;=60")</f>
        <v>0</v>
      </c>
      <c r="J91" s="19">
        <f>SUMIFS('Data Additive'!$D:$D,'Data Additive'!$P:$P,'Painel Additive'!$B91,'Data Additive'!$Q:$Q,"&gt;60",'Data Additive'!$Q:$Q,"&lt;=90")</f>
        <v>0</v>
      </c>
      <c r="K91" s="19">
        <f>SUMIFS('Data Additive'!$D:$D,'Data Additive'!$P:$P,'Painel Additive'!$B91,'Data Additive'!$Q:$Q,"&gt;90",'Data Additive'!$Q:$Q,"&lt;=120")</f>
        <v>0</v>
      </c>
      <c r="L91" s="19">
        <f>SUMIFS('Data Additive'!$D:$D,'Data Additive'!$P:$P,'Painel Additive'!$B91,'Data Additive'!$Q:$Q,"&gt;120",'Data Additive'!$Q:$Q,"&lt;=180")</f>
        <v>0</v>
      </c>
      <c r="M91" s="19">
        <f>SUMIFS('Data Additive'!$D:$D,'Data Additive'!$P:$P,'Painel Additive'!$B91,'Data Additive'!$Q:$Q,"&gt;180",'Data Additive'!$Q:$Q,"&lt;=360")</f>
        <v>0</v>
      </c>
      <c r="N91" s="23">
        <f>SUMIFS('Data Additive'!$D:$D,'Data Additive'!$P:$P,'Painel Additive'!$B91,'Data Additive'!$Q:$Q,"&gt;360")</f>
        <v>0</v>
      </c>
      <c r="O91" s="122">
        <f>SUMIFS('Data Additive'!$D:$D,'Data Additive'!$P:$P,'Painel Additive'!$B91,'Data Additive'!$Q:$Q,"&gt;0")</f>
        <v>0</v>
      </c>
      <c r="P91" s="19">
        <f t="shared" ref="P91" si="117">SUM(Q91:W91)</f>
        <v>0</v>
      </c>
      <c r="Q91" s="19">
        <f>SUMIFS('Data Additive'!$D:$D,'Data Additive'!$P:$P,'Painel Additive'!$B91,'Data Additive'!$Q:$Q,"&lt;=0",'Data Additive'!$Q:$Q,"&gt;=-30")</f>
        <v>0</v>
      </c>
      <c r="R91" s="19">
        <f>SUMIFS('Data Additive'!$D:$D,'Data Additive'!$P:$P,'Painel Additive'!$B91,'Data Additive'!$Q:$Q,"&lt;=-31",'Data Additive'!$Q:$Q,"&gt;=-60")</f>
        <v>0</v>
      </c>
      <c r="S91" s="19">
        <f>SUMIFS('Data Additive'!$D:$D,'Data Additive'!$P:$P,'Painel Additive'!$B91,'Data Additive'!$Q:$Q,"&lt;=-61",'Data Additive'!$Q:$Q,"&gt;=-90")</f>
        <v>0</v>
      </c>
      <c r="T91" s="19">
        <f>SUMIFS('Data Additive'!$D:$D,'Data Additive'!$P:$P,'Painel Additive'!$B91,'Data Additive'!$Q:$Q,"&lt;=-91",'Data Additive'!$Q:$Q,"&gt;=-120")</f>
        <v>0</v>
      </c>
      <c r="U91" s="19">
        <f>SUMIFS('Data Additive'!$D:$D,'Data Additive'!$P:$P,'Painel Additive'!$B91,'Data Additive'!$Q:$Q,"&lt;=-121",'Data Additive'!$Q:$Q,"&gt;=-180")</f>
        <v>0</v>
      </c>
      <c r="V91" s="19">
        <f>SUMIFS('Data Additive'!$D:$D,'Data Additive'!$P:$P,'Painel Additive'!$B91,'Data Additive'!$Q:$Q,"&lt;=-181",'Data Additive'!$Q:$Q,"&gt;=-360")</f>
        <v>0</v>
      </c>
      <c r="W91" s="23">
        <f>SUMIFS('Data Additive'!$D:$D,'Data Additive'!$P:$P,'Painel Additive'!$B91,'Data Additive'!$Q:$Q,"&lt;-360")</f>
        <v>0</v>
      </c>
      <c r="X91" s="19">
        <f>SUMIFS('Bad Debt Provision'!AB:AB,'Bad Debt Provision'!B:B,'Painel Additive'!B91)</f>
        <v>0</v>
      </c>
      <c r="Y91" s="5"/>
      <c r="Z91" s="5"/>
      <c r="AA91" s="19">
        <f>IFERROR(_xlfn.XLOOKUP(B91,'Limite de crédito'!C:C,'Limite de crédito'!O:O,),0)</f>
        <v>0</v>
      </c>
      <c r="AB91" s="19"/>
      <c r="AC91" s="20"/>
      <c r="AD91" s="22"/>
      <c r="AE91" s="22"/>
      <c r="AF91" s="5"/>
      <c r="AG91" s="105">
        <f t="shared" ref="AG91" si="118">AA91-G91</f>
        <v>0</v>
      </c>
    </row>
    <row r="92" spans="2:33" x14ac:dyDescent="0.25">
      <c r="B92" s="41" t="s">
        <v>332</v>
      </c>
      <c r="C92" s="224">
        <f>IFERROR(_xlfn.XLOOKUP(B92,'Limite de crédito'!C:C,'Limite de crédito'!L:L,),0)</f>
        <v>0</v>
      </c>
      <c r="D92" s="93"/>
      <c r="E92" s="18">
        <f>_xlfn.XLOOKUP(B92,'Limite de crédito'!C:C,'Limite de crédito'!G:G,0)</f>
        <v>100000</v>
      </c>
      <c r="F92" s="18">
        <f t="shared" ref="F92" si="119">E92-G92</f>
        <v>100000</v>
      </c>
      <c r="G92" s="18">
        <f t="shared" ref="G92" si="120">P92+O92</f>
        <v>0</v>
      </c>
      <c r="H92" s="19">
        <f>SUMIFS('Data Additive'!$D:$D,'Data Additive'!$P:$P,'Painel Additive'!$B92,'Data Additive'!$Q:$Q,"&gt;0",'Data Additive'!$Q:$Q,"&lt;=30")</f>
        <v>0</v>
      </c>
      <c r="I92" s="19">
        <f>SUMIFS('Data Additive'!$D:$D,'Data Additive'!$P:$P,'Painel Additive'!$B92,'Data Additive'!$Q:$Q,"&gt;30",'Data Additive'!$Q:$Q,"&lt;=60")</f>
        <v>0</v>
      </c>
      <c r="J92" s="19">
        <f>SUMIFS('Data Additive'!$D:$D,'Data Additive'!$P:$P,'Painel Additive'!$B92,'Data Additive'!$Q:$Q,"&gt;60",'Data Additive'!$Q:$Q,"&lt;=90")</f>
        <v>0</v>
      </c>
      <c r="K92" s="19">
        <f>SUMIFS('Data Additive'!$D:$D,'Data Additive'!$P:$P,'Painel Additive'!$B92,'Data Additive'!$Q:$Q,"&gt;90",'Data Additive'!$Q:$Q,"&lt;=120")</f>
        <v>0</v>
      </c>
      <c r="L92" s="19">
        <f>SUMIFS('Data Additive'!$D:$D,'Data Additive'!$P:$P,'Painel Additive'!$B92,'Data Additive'!$Q:$Q,"&gt;120",'Data Additive'!$Q:$Q,"&lt;=180")</f>
        <v>0</v>
      </c>
      <c r="M92" s="19">
        <f>SUMIFS('Data Additive'!$D:$D,'Data Additive'!$P:$P,'Painel Additive'!$B92,'Data Additive'!$Q:$Q,"&gt;180",'Data Additive'!$Q:$Q,"&lt;=360")</f>
        <v>0</v>
      </c>
      <c r="N92" s="23">
        <f>SUMIFS('Data Additive'!$D:$D,'Data Additive'!$P:$P,'Painel Additive'!$B92,'Data Additive'!$Q:$Q,"&gt;360")</f>
        <v>0</v>
      </c>
      <c r="O92" s="122">
        <f>SUMIFS('Data Additive'!$D:$D,'Data Additive'!$P:$P,'Painel Additive'!$B92,'Data Additive'!$Q:$Q,"&gt;0")</f>
        <v>0</v>
      </c>
      <c r="P92" s="19">
        <f t="shared" ref="P92" si="121">SUM(Q92:W92)</f>
        <v>0</v>
      </c>
      <c r="Q92" s="19">
        <f>SUMIFS('Data Additive'!$D:$D,'Data Additive'!$P:$P,'Painel Additive'!$B92,'Data Additive'!$Q:$Q,"&lt;=0",'Data Additive'!$Q:$Q,"&gt;=-30")</f>
        <v>0</v>
      </c>
      <c r="R92" s="19">
        <f>SUMIFS('Data Additive'!$D:$D,'Data Additive'!$P:$P,'Painel Additive'!$B92,'Data Additive'!$Q:$Q,"&lt;=-31",'Data Additive'!$Q:$Q,"&gt;=-60")</f>
        <v>0</v>
      </c>
      <c r="S92" s="19">
        <f>SUMIFS('Data Additive'!$D:$D,'Data Additive'!$P:$P,'Painel Additive'!$B92,'Data Additive'!$Q:$Q,"&lt;=-61",'Data Additive'!$Q:$Q,"&gt;=-90")</f>
        <v>0</v>
      </c>
      <c r="T92" s="19">
        <f>SUMIFS('Data Additive'!$D:$D,'Data Additive'!$P:$P,'Painel Additive'!$B92,'Data Additive'!$Q:$Q,"&lt;=-91",'Data Additive'!$Q:$Q,"&gt;=-120")</f>
        <v>0</v>
      </c>
      <c r="U92" s="19">
        <f>SUMIFS('Data Additive'!$D:$D,'Data Additive'!$P:$P,'Painel Additive'!$B92,'Data Additive'!$Q:$Q,"&lt;=-121",'Data Additive'!$Q:$Q,"&gt;=-180")</f>
        <v>0</v>
      </c>
      <c r="V92" s="19">
        <f>SUMIFS('Data Additive'!$D:$D,'Data Additive'!$P:$P,'Painel Additive'!$B92,'Data Additive'!$Q:$Q,"&lt;=-181",'Data Additive'!$Q:$Q,"&gt;=-360")</f>
        <v>0</v>
      </c>
      <c r="W92" s="23">
        <f>SUMIFS('Data Additive'!$D:$D,'Data Additive'!$P:$P,'Painel Additive'!$B92,'Data Additive'!$Q:$Q,"&lt;-360")</f>
        <v>0</v>
      </c>
      <c r="X92" s="19">
        <f>SUMIFS('Bad Debt Provision'!AB:AB,'Bad Debt Provision'!B:B,'Painel Additive'!B92)</f>
        <v>0</v>
      </c>
      <c r="Y92" s="5"/>
      <c r="Z92" s="5"/>
      <c r="AA92" s="19">
        <f>IFERROR(_xlfn.XLOOKUP(B92,'Limite de crédito'!C:C,'Limite de crédito'!O:O,),0)</f>
        <v>100000</v>
      </c>
      <c r="AB92" s="19"/>
      <c r="AC92" s="20"/>
      <c r="AD92" s="22"/>
      <c r="AE92" s="22"/>
      <c r="AF92" s="5"/>
      <c r="AG92" s="105">
        <f>AA92-G92</f>
        <v>100000</v>
      </c>
    </row>
    <row r="93" spans="2:33" x14ac:dyDescent="0.25">
      <c r="B93" s="41" t="s">
        <v>691</v>
      </c>
      <c r="C93" s="224">
        <f>IFERROR(_xlfn.XLOOKUP(B93,'Limite de crédito'!C:C,'Limite de crédito'!L:L,),0)</f>
        <v>0</v>
      </c>
      <c r="D93" s="93"/>
      <c r="E93" s="18">
        <f>_xlfn.XLOOKUP(B93,'Limite de crédito'!C:C,'Limite de crédito'!G:G,0)</f>
        <v>0</v>
      </c>
      <c r="F93" s="18">
        <f t="shared" ref="F93:F94" si="122">E93-G93</f>
        <v>0</v>
      </c>
      <c r="G93" s="18">
        <f t="shared" ref="G93:G94" si="123">P93+O93</f>
        <v>0</v>
      </c>
      <c r="H93" s="19">
        <f>SUMIFS('Data Additive'!$D:$D,'Data Additive'!$P:$P,'Painel Additive'!$B93,'Data Additive'!$Q:$Q,"&gt;0",'Data Additive'!$Q:$Q,"&lt;=30")</f>
        <v>0</v>
      </c>
      <c r="I93" s="19">
        <f>SUMIFS('Data Additive'!$D:$D,'Data Additive'!$P:$P,'Painel Additive'!$B93,'Data Additive'!$Q:$Q,"&gt;30",'Data Additive'!$Q:$Q,"&lt;=60")</f>
        <v>0</v>
      </c>
      <c r="J93" s="19">
        <f>SUMIFS('Data Additive'!$D:$D,'Data Additive'!$P:$P,'Painel Additive'!$B93,'Data Additive'!$Q:$Q,"&gt;60",'Data Additive'!$Q:$Q,"&lt;=90")</f>
        <v>0</v>
      </c>
      <c r="K93" s="19">
        <f>SUMIFS('Data Additive'!$D:$D,'Data Additive'!$P:$P,'Painel Additive'!$B93,'Data Additive'!$Q:$Q,"&gt;90",'Data Additive'!$Q:$Q,"&lt;=120")</f>
        <v>0</v>
      </c>
      <c r="L93" s="19">
        <f>SUMIFS('Data Additive'!$D:$D,'Data Additive'!$P:$P,'Painel Additive'!$B93,'Data Additive'!$Q:$Q,"&gt;120",'Data Additive'!$Q:$Q,"&lt;=180")</f>
        <v>0</v>
      </c>
      <c r="M93" s="19">
        <f>SUMIFS('Data Additive'!$D:$D,'Data Additive'!$P:$P,'Painel Additive'!$B93,'Data Additive'!$Q:$Q,"&gt;180",'Data Additive'!$Q:$Q,"&lt;=360")</f>
        <v>0</v>
      </c>
      <c r="N93" s="23">
        <f>SUMIFS('Data Additive'!$D:$D,'Data Additive'!$P:$P,'Painel Additive'!$B93,'Data Additive'!$Q:$Q,"&gt;360")</f>
        <v>0</v>
      </c>
      <c r="O93" s="122">
        <f>SUMIFS('Data Additive'!$D:$D,'Data Additive'!$P:$P,'Painel Additive'!$B93,'Data Additive'!$Q:$Q,"&gt;0")</f>
        <v>0</v>
      </c>
      <c r="P93" s="19">
        <f t="shared" ref="P93:P94" si="124">SUM(Q93:W93)</f>
        <v>0</v>
      </c>
      <c r="Q93" s="19">
        <f>SUMIFS('Data Additive'!$D:$D,'Data Additive'!$P:$P,'Painel Additive'!$B93,'Data Additive'!$Q:$Q,"&lt;=0",'Data Additive'!$Q:$Q,"&gt;=-30")</f>
        <v>0</v>
      </c>
      <c r="R93" s="19">
        <f>SUMIFS('Data Additive'!$D:$D,'Data Additive'!$P:$P,'Painel Additive'!$B93,'Data Additive'!$Q:$Q,"&lt;=-31",'Data Additive'!$Q:$Q,"&gt;=-60")</f>
        <v>0</v>
      </c>
      <c r="S93" s="19">
        <f>SUMIFS('Data Additive'!$D:$D,'Data Additive'!$P:$P,'Painel Additive'!$B93,'Data Additive'!$Q:$Q,"&lt;=-61",'Data Additive'!$Q:$Q,"&gt;=-90")</f>
        <v>0</v>
      </c>
      <c r="T93" s="19">
        <f>SUMIFS('Data Additive'!$D:$D,'Data Additive'!$P:$P,'Painel Additive'!$B93,'Data Additive'!$Q:$Q,"&lt;=-91",'Data Additive'!$Q:$Q,"&gt;=-120")</f>
        <v>0</v>
      </c>
      <c r="U93" s="19">
        <f>SUMIFS('Data Additive'!$D:$D,'Data Additive'!$P:$P,'Painel Additive'!$B93,'Data Additive'!$Q:$Q,"&lt;=-121",'Data Additive'!$Q:$Q,"&gt;=-180")</f>
        <v>0</v>
      </c>
      <c r="V93" s="19">
        <f>SUMIFS('Data Additive'!$D:$D,'Data Additive'!$P:$P,'Painel Additive'!$B93,'Data Additive'!$Q:$Q,"&lt;=-181",'Data Additive'!$Q:$Q,"&gt;=-360")</f>
        <v>0</v>
      </c>
      <c r="W93" s="23">
        <f>SUMIFS('Data Additive'!$D:$D,'Data Additive'!$P:$P,'Painel Additive'!$B93,'Data Additive'!$Q:$Q,"&lt;-360")</f>
        <v>0</v>
      </c>
      <c r="X93" s="19">
        <f>SUMIFS('Bad Debt Provision'!AB:AB,'Bad Debt Provision'!B:B,'Painel Additive'!B93)</f>
        <v>0</v>
      </c>
      <c r="Y93" s="5"/>
      <c r="Z93" s="5"/>
      <c r="AA93" s="19">
        <f>IFERROR(_xlfn.XLOOKUP(B93,'Limite de crédito'!C:C,'Limite de crédito'!O:O,),0)</f>
        <v>0</v>
      </c>
      <c r="AB93" s="19"/>
      <c r="AC93" s="20"/>
      <c r="AD93" s="22"/>
      <c r="AE93" s="22"/>
      <c r="AF93" s="5"/>
      <c r="AG93" s="105">
        <f t="shared" ref="AG93:AG94" si="125">AA93-G93</f>
        <v>0</v>
      </c>
    </row>
    <row r="94" spans="2:33" x14ac:dyDescent="0.25">
      <c r="B94" s="41" t="s">
        <v>693</v>
      </c>
      <c r="C94" s="224">
        <f>IFERROR(_xlfn.XLOOKUP(B94,'Limite de crédito'!C:C,'Limite de crédito'!L:L,),0)</f>
        <v>0</v>
      </c>
      <c r="D94" s="93"/>
      <c r="E94" s="18">
        <f>_xlfn.XLOOKUP(B94,'Limite de crédito'!C:C,'Limite de crédito'!G:G,0)</f>
        <v>0</v>
      </c>
      <c r="F94" s="18">
        <f t="shared" si="122"/>
        <v>0</v>
      </c>
      <c r="G94" s="18">
        <f t="shared" si="123"/>
        <v>0</v>
      </c>
      <c r="H94" s="19">
        <f>SUMIFS('Data Additive'!$D:$D,'Data Additive'!$P:$P,'Painel Additive'!$B94,'Data Additive'!$Q:$Q,"&gt;0",'Data Additive'!$Q:$Q,"&lt;=30")</f>
        <v>0</v>
      </c>
      <c r="I94" s="19">
        <f>SUMIFS('Data Additive'!$D:$D,'Data Additive'!$P:$P,'Painel Additive'!$B94,'Data Additive'!$Q:$Q,"&gt;30",'Data Additive'!$Q:$Q,"&lt;=60")</f>
        <v>0</v>
      </c>
      <c r="J94" s="19">
        <f>SUMIFS('Data Additive'!$D:$D,'Data Additive'!$P:$P,'Painel Additive'!$B94,'Data Additive'!$Q:$Q,"&gt;60",'Data Additive'!$Q:$Q,"&lt;=90")</f>
        <v>0</v>
      </c>
      <c r="K94" s="19">
        <f>SUMIFS('Data Additive'!$D:$D,'Data Additive'!$P:$P,'Painel Additive'!$B94,'Data Additive'!$Q:$Q,"&gt;90",'Data Additive'!$Q:$Q,"&lt;=120")</f>
        <v>0</v>
      </c>
      <c r="L94" s="19">
        <f>SUMIFS('Data Additive'!$D:$D,'Data Additive'!$P:$P,'Painel Additive'!$B94,'Data Additive'!$Q:$Q,"&gt;120",'Data Additive'!$Q:$Q,"&lt;=180")</f>
        <v>0</v>
      </c>
      <c r="M94" s="19">
        <f>SUMIFS('Data Additive'!$D:$D,'Data Additive'!$P:$P,'Painel Additive'!$B94,'Data Additive'!$Q:$Q,"&gt;180",'Data Additive'!$Q:$Q,"&lt;=360")</f>
        <v>0</v>
      </c>
      <c r="N94" s="23">
        <f>SUMIFS('Data Additive'!$D:$D,'Data Additive'!$P:$P,'Painel Additive'!$B94,'Data Additive'!$Q:$Q,"&gt;360")</f>
        <v>0</v>
      </c>
      <c r="O94" s="122">
        <f>SUMIFS('Data Additive'!$D:$D,'Data Additive'!$P:$P,'Painel Additive'!$B94,'Data Additive'!$Q:$Q,"&gt;0")</f>
        <v>0</v>
      </c>
      <c r="P94" s="19">
        <f t="shared" si="124"/>
        <v>0</v>
      </c>
      <c r="Q94" s="19">
        <f>SUMIFS('Data Additive'!$D:$D,'Data Additive'!$P:$P,'Painel Additive'!$B94,'Data Additive'!$Q:$Q,"&lt;=0",'Data Additive'!$Q:$Q,"&gt;=-30")</f>
        <v>0</v>
      </c>
      <c r="R94" s="19">
        <f>SUMIFS('Data Additive'!$D:$D,'Data Additive'!$P:$P,'Painel Additive'!$B94,'Data Additive'!$Q:$Q,"&lt;=-31",'Data Additive'!$Q:$Q,"&gt;=-60")</f>
        <v>0</v>
      </c>
      <c r="S94" s="19">
        <f>SUMIFS('Data Additive'!$D:$D,'Data Additive'!$P:$P,'Painel Additive'!$B94,'Data Additive'!$Q:$Q,"&lt;=-61",'Data Additive'!$Q:$Q,"&gt;=-90")</f>
        <v>0</v>
      </c>
      <c r="T94" s="19">
        <f>SUMIFS('Data Additive'!$D:$D,'Data Additive'!$P:$P,'Painel Additive'!$B94,'Data Additive'!$Q:$Q,"&lt;=-91",'Data Additive'!$Q:$Q,"&gt;=-120")</f>
        <v>0</v>
      </c>
      <c r="U94" s="19">
        <f>SUMIFS('Data Additive'!$D:$D,'Data Additive'!$P:$P,'Painel Additive'!$B94,'Data Additive'!$Q:$Q,"&lt;=-121",'Data Additive'!$Q:$Q,"&gt;=-180")</f>
        <v>0</v>
      </c>
      <c r="V94" s="19">
        <f>SUMIFS('Data Additive'!$D:$D,'Data Additive'!$P:$P,'Painel Additive'!$B94,'Data Additive'!$Q:$Q,"&lt;=-181",'Data Additive'!$Q:$Q,"&gt;=-360")</f>
        <v>0</v>
      </c>
      <c r="W94" s="23">
        <f>SUMIFS('Data Additive'!$D:$D,'Data Additive'!$P:$P,'Painel Additive'!$B94,'Data Additive'!$Q:$Q,"&lt;-360")</f>
        <v>0</v>
      </c>
      <c r="X94" s="19">
        <f>SUMIFS('Bad Debt Provision'!AB:AB,'Bad Debt Provision'!B:B,'Painel Additive'!B94)</f>
        <v>0</v>
      </c>
      <c r="Y94" s="5"/>
      <c r="Z94" s="5"/>
      <c r="AA94" s="19">
        <f>IFERROR(_xlfn.XLOOKUP(B94,'Limite de crédito'!C:C,'Limite de crédito'!O:O,),0)</f>
        <v>0</v>
      </c>
      <c r="AB94" s="19"/>
      <c r="AC94" s="20"/>
      <c r="AD94" s="22"/>
      <c r="AE94" s="22"/>
      <c r="AF94" s="5"/>
      <c r="AG94" s="105">
        <f t="shared" si="125"/>
        <v>0</v>
      </c>
    </row>
    <row r="95" spans="2:33" x14ac:dyDescent="0.25">
      <c r="B95" s="41" t="s">
        <v>414</v>
      </c>
      <c r="C95" s="224">
        <f>IFERROR(_xlfn.XLOOKUP(B95,'Limite de crédito'!C:C,'Limite de crédito'!L:L,),0)</f>
        <v>0</v>
      </c>
      <c r="D95" s="93"/>
      <c r="E95" s="18">
        <f>_xlfn.XLOOKUP(B95,'Limite de crédito'!C:C,'Limite de crédito'!G:G,0)</f>
        <v>0</v>
      </c>
      <c r="F95" s="18">
        <f t="shared" ref="F95:F97" si="126">E95-G95</f>
        <v>0</v>
      </c>
      <c r="G95" s="18">
        <f t="shared" ref="G95:G97" si="127">P95+O95</f>
        <v>0</v>
      </c>
      <c r="H95" s="19">
        <f>SUMIFS('Data Additive'!$D:$D,'Data Additive'!$P:$P,'Painel Additive'!$B95,'Data Additive'!$Q:$Q,"&gt;0",'Data Additive'!$Q:$Q,"&lt;=30")</f>
        <v>0</v>
      </c>
      <c r="I95" s="19">
        <f>SUMIFS('Data Additive'!$D:$D,'Data Additive'!$P:$P,'Painel Additive'!$B95,'Data Additive'!$Q:$Q,"&gt;30",'Data Additive'!$Q:$Q,"&lt;=60")</f>
        <v>0</v>
      </c>
      <c r="J95" s="19">
        <f>SUMIFS('Data Additive'!$D:$D,'Data Additive'!$P:$P,'Painel Additive'!$B95,'Data Additive'!$Q:$Q,"&gt;60",'Data Additive'!$Q:$Q,"&lt;=90")</f>
        <v>0</v>
      </c>
      <c r="K95" s="19">
        <f>SUMIFS('Data Additive'!$D:$D,'Data Additive'!$P:$P,'Painel Additive'!$B95,'Data Additive'!$Q:$Q,"&gt;90",'Data Additive'!$Q:$Q,"&lt;=120")</f>
        <v>0</v>
      </c>
      <c r="L95" s="19">
        <f>SUMIFS('Data Additive'!$D:$D,'Data Additive'!$P:$P,'Painel Additive'!$B95,'Data Additive'!$Q:$Q,"&gt;120",'Data Additive'!$Q:$Q,"&lt;=180")</f>
        <v>0</v>
      </c>
      <c r="M95" s="19">
        <f>SUMIFS('Data Additive'!$D:$D,'Data Additive'!$P:$P,'Painel Additive'!$B95,'Data Additive'!$Q:$Q,"&gt;180",'Data Additive'!$Q:$Q,"&lt;=360")</f>
        <v>0</v>
      </c>
      <c r="N95" s="23">
        <f>SUMIFS('Data Additive'!$D:$D,'Data Additive'!$P:$P,'Painel Additive'!$B95,'Data Additive'!$Q:$Q,"&gt;360")</f>
        <v>0</v>
      </c>
      <c r="O95" s="122">
        <f>SUMIFS('Data Additive'!$D:$D,'Data Additive'!$P:$P,'Painel Additive'!$B95,'Data Additive'!$Q:$Q,"&gt;0")</f>
        <v>0</v>
      </c>
      <c r="P95" s="19">
        <f t="shared" ref="P95:P97" si="128">SUM(Q95:W95)</f>
        <v>0</v>
      </c>
      <c r="Q95" s="19">
        <f>SUMIFS('Data Additive'!$D:$D,'Data Additive'!$P:$P,'Painel Additive'!$B95,'Data Additive'!$Q:$Q,"&lt;=0",'Data Additive'!$Q:$Q,"&gt;=-30")</f>
        <v>0</v>
      </c>
      <c r="R95" s="19">
        <f>SUMIFS('Data Additive'!$D:$D,'Data Additive'!$P:$P,'Painel Additive'!$B95,'Data Additive'!$Q:$Q,"&lt;=-31",'Data Additive'!$Q:$Q,"&gt;=-60")</f>
        <v>0</v>
      </c>
      <c r="S95" s="19">
        <f>SUMIFS('Data Additive'!$D:$D,'Data Additive'!$P:$P,'Painel Additive'!$B95,'Data Additive'!$Q:$Q,"&lt;=-61",'Data Additive'!$Q:$Q,"&gt;=-90")</f>
        <v>0</v>
      </c>
      <c r="T95" s="19">
        <f>SUMIFS('Data Additive'!$D:$D,'Data Additive'!$P:$P,'Painel Additive'!$B95,'Data Additive'!$Q:$Q,"&lt;=-91",'Data Additive'!$Q:$Q,"&gt;=-120")</f>
        <v>0</v>
      </c>
      <c r="U95" s="19">
        <f>SUMIFS('Data Additive'!$D:$D,'Data Additive'!$P:$P,'Painel Additive'!$B95,'Data Additive'!$Q:$Q,"&lt;=-121",'Data Additive'!$Q:$Q,"&gt;=-180")</f>
        <v>0</v>
      </c>
      <c r="V95" s="19">
        <f>SUMIFS('Data Additive'!$D:$D,'Data Additive'!$P:$P,'Painel Additive'!$B95,'Data Additive'!$Q:$Q,"&lt;=-181",'Data Additive'!$Q:$Q,"&gt;=-360")</f>
        <v>0</v>
      </c>
      <c r="W95" s="23">
        <f>SUMIFS('Data Additive'!$D:$D,'Data Additive'!$P:$P,'Painel Additive'!$B95,'Data Additive'!$Q:$Q,"&lt;-360")</f>
        <v>0</v>
      </c>
      <c r="X95" s="19">
        <f>SUMIFS('Bad Debt Provision'!AB:AB,'Bad Debt Provision'!B:B,'Painel Additive'!B95)</f>
        <v>0</v>
      </c>
      <c r="Y95" s="5"/>
      <c r="Z95" s="5"/>
      <c r="AA95" s="19">
        <f>IFERROR(_xlfn.XLOOKUP(B95,'Limite de crédito'!C:C,'Limite de crédito'!O:O,),0)</f>
        <v>0</v>
      </c>
      <c r="AB95" s="19"/>
      <c r="AC95" s="20"/>
      <c r="AD95" s="22"/>
      <c r="AE95" s="22"/>
      <c r="AF95" s="5"/>
      <c r="AG95" s="105">
        <f t="shared" ref="AG95:AG97" si="129">AA95-G95</f>
        <v>0</v>
      </c>
    </row>
    <row r="96" spans="2:33" x14ac:dyDescent="0.25">
      <c r="B96" s="41" t="s">
        <v>358</v>
      </c>
      <c r="C96" s="224" t="str">
        <f>IFERROR(_xlfn.XLOOKUP(B96,'Limite de crédito'!C:C,'Limite de crédito'!L:L,),0)</f>
        <v>B</v>
      </c>
      <c r="D96" s="93"/>
      <c r="E96" s="18">
        <f>_xlfn.XLOOKUP(B96,'Limite de crédito'!C:C,'Limite de crédito'!G:G,0)</f>
        <v>250000</v>
      </c>
      <c r="F96" s="18">
        <f t="shared" si="126"/>
        <v>250000</v>
      </c>
      <c r="G96" s="18">
        <f t="shared" si="127"/>
        <v>0</v>
      </c>
      <c r="H96" s="19">
        <f>SUMIFS('Data Additive'!$D:$D,'Data Additive'!$P:$P,'Painel Additive'!$B96,'Data Additive'!$Q:$Q,"&gt;0",'Data Additive'!$Q:$Q,"&lt;=30")</f>
        <v>0</v>
      </c>
      <c r="I96" s="19">
        <f>SUMIFS('Data Additive'!$D:$D,'Data Additive'!$P:$P,'Painel Additive'!$B96,'Data Additive'!$Q:$Q,"&gt;30",'Data Additive'!$Q:$Q,"&lt;=60")</f>
        <v>0</v>
      </c>
      <c r="J96" s="19">
        <f>SUMIFS('Data Additive'!$D:$D,'Data Additive'!$P:$P,'Painel Additive'!$B96,'Data Additive'!$Q:$Q,"&gt;60",'Data Additive'!$Q:$Q,"&lt;=90")</f>
        <v>0</v>
      </c>
      <c r="K96" s="19">
        <f>SUMIFS('Data Additive'!$D:$D,'Data Additive'!$P:$P,'Painel Additive'!$B96,'Data Additive'!$Q:$Q,"&gt;90",'Data Additive'!$Q:$Q,"&lt;=120")</f>
        <v>0</v>
      </c>
      <c r="L96" s="19">
        <f>SUMIFS('Data Additive'!$D:$D,'Data Additive'!$P:$P,'Painel Additive'!$B96,'Data Additive'!$Q:$Q,"&gt;120",'Data Additive'!$Q:$Q,"&lt;=180")</f>
        <v>0</v>
      </c>
      <c r="M96" s="19">
        <f>SUMIFS('Data Additive'!$D:$D,'Data Additive'!$P:$P,'Painel Additive'!$B96,'Data Additive'!$Q:$Q,"&gt;180",'Data Additive'!$Q:$Q,"&lt;=360")</f>
        <v>0</v>
      </c>
      <c r="N96" s="23">
        <f>SUMIFS('Data Additive'!$D:$D,'Data Additive'!$P:$P,'Painel Additive'!$B96,'Data Additive'!$Q:$Q,"&gt;360")</f>
        <v>0</v>
      </c>
      <c r="O96" s="122">
        <f>SUMIFS('Data Additive'!$D:$D,'Data Additive'!$P:$P,'Painel Additive'!$B96,'Data Additive'!$Q:$Q,"&gt;0")</f>
        <v>0</v>
      </c>
      <c r="P96" s="19">
        <f t="shared" si="128"/>
        <v>0</v>
      </c>
      <c r="Q96" s="19">
        <f>SUMIFS('Data Additive'!$D:$D,'Data Additive'!$P:$P,'Painel Additive'!$B96,'Data Additive'!$Q:$Q,"&lt;=0",'Data Additive'!$Q:$Q,"&gt;=-30")</f>
        <v>0</v>
      </c>
      <c r="R96" s="19">
        <f>SUMIFS('Data Additive'!$D:$D,'Data Additive'!$P:$P,'Painel Additive'!$B96,'Data Additive'!$Q:$Q,"&lt;=-31",'Data Additive'!$Q:$Q,"&gt;=-60")</f>
        <v>0</v>
      </c>
      <c r="S96" s="19">
        <f>SUMIFS('Data Additive'!$D:$D,'Data Additive'!$P:$P,'Painel Additive'!$B96,'Data Additive'!$Q:$Q,"&lt;=-61",'Data Additive'!$Q:$Q,"&gt;=-90")</f>
        <v>0</v>
      </c>
      <c r="T96" s="19">
        <f>SUMIFS('Data Additive'!$D:$D,'Data Additive'!$P:$P,'Painel Additive'!$B96,'Data Additive'!$Q:$Q,"&lt;=-91",'Data Additive'!$Q:$Q,"&gt;=-120")</f>
        <v>0</v>
      </c>
      <c r="U96" s="19">
        <f>SUMIFS('Data Additive'!$D:$D,'Data Additive'!$P:$P,'Painel Additive'!$B96,'Data Additive'!$Q:$Q,"&lt;=-121",'Data Additive'!$Q:$Q,"&gt;=-180")</f>
        <v>0</v>
      </c>
      <c r="V96" s="19">
        <f>SUMIFS('Data Additive'!$D:$D,'Data Additive'!$P:$P,'Painel Additive'!$B96,'Data Additive'!$Q:$Q,"&lt;=-181",'Data Additive'!$Q:$Q,"&gt;=-360")</f>
        <v>0</v>
      </c>
      <c r="W96" s="23">
        <f>SUMIFS('Data Additive'!$D:$D,'Data Additive'!$P:$P,'Painel Additive'!$B96,'Data Additive'!$Q:$Q,"&lt;-360")</f>
        <v>0</v>
      </c>
      <c r="X96" s="19">
        <f>SUMIFS('Bad Debt Provision'!AB:AB,'Bad Debt Provision'!B:B,'Painel Additive'!B96)</f>
        <v>0</v>
      </c>
      <c r="Y96" s="5"/>
      <c r="Z96" s="5"/>
      <c r="AA96" s="19">
        <f>IFERROR(_xlfn.XLOOKUP(B96,'Limite de crédito'!C:C,'Limite de crédito'!O:O,),0)</f>
        <v>250000</v>
      </c>
      <c r="AB96" s="19"/>
      <c r="AC96" s="20"/>
      <c r="AD96" s="22"/>
      <c r="AE96" s="22"/>
      <c r="AF96" s="5"/>
      <c r="AG96" s="105">
        <f t="shared" si="129"/>
        <v>250000</v>
      </c>
    </row>
    <row r="97" spans="2:33" x14ac:dyDescent="0.25">
      <c r="B97" s="41" t="s">
        <v>116</v>
      </c>
      <c r="C97" s="224">
        <f>IFERROR(_xlfn.XLOOKUP(B97,'Limite de crédito'!C:C,'Limite de crédito'!L:L,),0)</f>
        <v>0</v>
      </c>
      <c r="D97" s="93"/>
      <c r="E97" s="18">
        <f>_xlfn.XLOOKUP(B97,'Limite de crédito'!C:C,'Limite de crédito'!G:G,0)</f>
        <v>0</v>
      </c>
      <c r="F97" s="18">
        <f t="shared" si="126"/>
        <v>0</v>
      </c>
      <c r="G97" s="18">
        <f t="shared" si="127"/>
        <v>0</v>
      </c>
      <c r="H97" s="19">
        <f>SUMIFS('Data Additive'!$D:$D,'Data Additive'!$P:$P,'Painel Additive'!$B97,'Data Additive'!$Q:$Q,"&gt;0",'Data Additive'!$Q:$Q,"&lt;=30")</f>
        <v>0</v>
      </c>
      <c r="I97" s="19">
        <f>SUMIFS('Data Additive'!$D:$D,'Data Additive'!$P:$P,'Painel Additive'!$B97,'Data Additive'!$Q:$Q,"&gt;30",'Data Additive'!$Q:$Q,"&lt;=60")</f>
        <v>0</v>
      </c>
      <c r="J97" s="19">
        <f>SUMIFS('Data Additive'!$D:$D,'Data Additive'!$P:$P,'Painel Additive'!$B97,'Data Additive'!$Q:$Q,"&gt;60",'Data Additive'!$Q:$Q,"&lt;=90")</f>
        <v>0</v>
      </c>
      <c r="K97" s="19">
        <f>SUMIFS('Data Additive'!$D:$D,'Data Additive'!$P:$P,'Painel Additive'!$B97,'Data Additive'!$Q:$Q,"&gt;90",'Data Additive'!$Q:$Q,"&lt;=120")</f>
        <v>0</v>
      </c>
      <c r="L97" s="19">
        <f>SUMIFS('Data Additive'!$D:$D,'Data Additive'!$P:$P,'Painel Additive'!$B97,'Data Additive'!$Q:$Q,"&gt;120",'Data Additive'!$Q:$Q,"&lt;=180")</f>
        <v>0</v>
      </c>
      <c r="M97" s="19">
        <f>SUMIFS('Data Additive'!$D:$D,'Data Additive'!$P:$P,'Painel Additive'!$B97,'Data Additive'!$Q:$Q,"&gt;180",'Data Additive'!$Q:$Q,"&lt;=360")</f>
        <v>0</v>
      </c>
      <c r="N97" s="23">
        <f>SUMIFS('Data Additive'!$D:$D,'Data Additive'!$P:$P,'Painel Additive'!$B97,'Data Additive'!$Q:$Q,"&gt;360")</f>
        <v>0</v>
      </c>
      <c r="O97" s="122">
        <f>SUMIFS('Data Additive'!$D:$D,'Data Additive'!$P:$P,'Painel Additive'!$B97,'Data Additive'!$Q:$Q,"&gt;0")</f>
        <v>0</v>
      </c>
      <c r="P97" s="19">
        <f t="shared" si="128"/>
        <v>0</v>
      </c>
      <c r="Q97" s="19">
        <f>SUMIFS('Data Additive'!$D:$D,'Data Additive'!$P:$P,'Painel Additive'!$B97,'Data Additive'!$Q:$Q,"&lt;=0",'Data Additive'!$Q:$Q,"&gt;=-30")</f>
        <v>0</v>
      </c>
      <c r="R97" s="19">
        <f>SUMIFS('Data Additive'!$D:$D,'Data Additive'!$P:$P,'Painel Additive'!$B97,'Data Additive'!$Q:$Q,"&lt;=-31",'Data Additive'!$Q:$Q,"&gt;=-60")</f>
        <v>0</v>
      </c>
      <c r="S97" s="19">
        <f>SUMIFS('Data Additive'!$D:$D,'Data Additive'!$P:$P,'Painel Additive'!$B97,'Data Additive'!$Q:$Q,"&lt;=-61",'Data Additive'!$Q:$Q,"&gt;=-90")</f>
        <v>0</v>
      </c>
      <c r="T97" s="19">
        <f>SUMIFS('Data Additive'!$D:$D,'Data Additive'!$P:$P,'Painel Additive'!$B97,'Data Additive'!$Q:$Q,"&lt;=-91",'Data Additive'!$Q:$Q,"&gt;=-120")</f>
        <v>0</v>
      </c>
      <c r="U97" s="19">
        <f>SUMIFS('Data Additive'!$D:$D,'Data Additive'!$P:$P,'Painel Additive'!$B97,'Data Additive'!$Q:$Q,"&lt;=-121",'Data Additive'!$Q:$Q,"&gt;=-180")</f>
        <v>0</v>
      </c>
      <c r="V97" s="19">
        <f>SUMIFS('Data Additive'!$D:$D,'Data Additive'!$P:$P,'Painel Additive'!$B97,'Data Additive'!$Q:$Q,"&lt;=-181",'Data Additive'!$Q:$Q,"&gt;=-360")</f>
        <v>0</v>
      </c>
      <c r="W97" s="23">
        <f>SUMIFS('Data Additive'!$D:$D,'Data Additive'!$P:$P,'Painel Additive'!$B97,'Data Additive'!$Q:$Q,"&lt;-360")</f>
        <v>0</v>
      </c>
      <c r="X97" s="19">
        <f>SUMIFS('Bad Debt Provision'!AB:AB,'Bad Debt Provision'!B:B,'Painel Additive'!B97)</f>
        <v>0</v>
      </c>
      <c r="Y97" s="5"/>
      <c r="Z97" s="5"/>
      <c r="AA97" s="19">
        <f>IFERROR(_xlfn.XLOOKUP(B97,'Limite de crédito'!C:C,'Limite de crédito'!O:O,),0)</f>
        <v>0</v>
      </c>
      <c r="AB97" s="19"/>
      <c r="AC97" s="20"/>
      <c r="AD97" s="22"/>
      <c r="AE97" s="22"/>
      <c r="AF97" s="5"/>
      <c r="AG97" s="105">
        <f t="shared" si="129"/>
        <v>0</v>
      </c>
    </row>
    <row r="98" spans="2:33" x14ac:dyDescent="0.25">
      <c r="B98" s="41" t="s">
        <v>702</v>
      </c>
      <c r="C98" s="224">
        <f>IFERROR(_xlfn.XLOOKUP(B98,'Limite de crédito'!C:C,'Limite de crédito'!L:L,),0)</f>
        <v>0</v>
      </c>
      <c r="D98" s="93"/>
      <c r="E98" s="18">
        <f>_xlfn.XLOOKUP(B98,'Limite de crédito'!C:C,'Limite de crédito'!G:G,0)</f>
        <v>0</v>
      </c>
      <c r="F98" s="18">
        <f t="shared" ref="F98" si="130">E98-G98</f>
        <v>0</v>
      </c>
      <c r="G98" s="18">
        <f t="shared" ref="G98" si="131">P98+O98</f>
        <v>0</v>
      </c>
      <c r="H98" s="19">
        <f>SUMIFS('Data Additive'!$D:$D,'Data Additive'!$P:$P,'Painel Additive'!$B98,'Data Additive'!$Q:$Q,"&gt;0",'Data Additive'!$Q:$Q,"&lt;=30")</f>
        <v>0</v>
      </c>
      <c r="I98" s="19">
        <f>SUMIFS('Data Additive'!$D:$D,'Data Additive'!$P:$P,'Painel Additive'!$B98,'Data Additive'!$Q:$Q,"&gt;30",'Data Additive'!$Q:$Q,"&lt;=60")</f>
        <v>0</v>
      </c>
      <c r="J98" s="19">
        <f>SUMIFS('Data Additive'!$D:$D,'Data Additive'!$P:$P,'Painel Additive'!$B98,'Data Additive'!$Q:$Q,"&gt;60",'Data Additive'!$Q:$Q,"&lt;=90")</f>
        <v>0</v>
      </c>
      <c r="K98" s="19">
        <f>SUMIFS('Data Additive'!$D:$D,'Data Additive'!$P:$P,'Painel Additive'!$B98,'Data Additive'!$Q:$Q,"&gt;90",'Data Additive'!$Q:$Q,"&lt;=120")</f>
        <v>0</v>
      </c>
      <c r="L98" s="19">
        <f>SUMIFS('Data Additive'!$D:$D,'Data Additive'!$P:$P,'Painel Additive'!$B98,'Data Additive'!$Q:$Q,"&gt;120",'Data Additive'!$Q:$Q,"&lt;=180")</f>
        <v>0</v>
      </c>
      <c r="M98" s="19">
        <f>SUMIFS('Data Additive'!$D:$D,'Data Additive'!$P:$P,'Painel Additive'!$B98,'Data Additive'!$Q:$Q,"&gt;180",'Data Additive'!$Q:$Q,"&lt;=360")</f>
        <v>0</v>
      </c>
      <c r="N98" s="23">
        <f>SUMIFS('Data Additive'!$D:$D,'Data Additive'!$P:$P,'Painel Additive'!$B98,'Data Additive'!$Q:$Q,"&gt;360")</f>
        <v>0</v>
      </c>
      <c r="O98" s="122">
        <f>SUMIFS('Data Additive'!$D:$D,'Data Additive'!$P:$P,'Painel Additive'!$B98,'Data Additive'!$Q:$Q,"&gt;0")</f>
        <v>0</v>
      </c>
      <c r="P98" s="19">
        <f t="shared" ref="P98" si="132">SUM(Q98:W98)</f>
        <v>0</v>
      </c>
      <c r="Q98" s="19">
        <f>SUMIFS('Data Additive'!$D:$D,'Data Additive'!$P:$P,'Painel Additive'!$B98,'Data Additive'!$Q:$Q,"&lt;=0",'Data Additive'!$Q:$Q,"&gt;=-30")</f>
        <v>0</v>
      </c>
      <c r="R98" s="19">
        <f>SUMIFS('Data Additive'!$D:$D,'Data Additive'!$P:$P,'Painel Additive'!$B98,'Data Additive'!$Q:$Q,"&lt;=-31",'Data Additive'!$Q:$Q,"&gt;=-60")</f>
        <v>0</v>
      </c>
      <c r="S98" s="19">
        <f>SUMIFS('Data Additive'!$D:$D,'Data Additive'!$P:$P,'Painel Additive'!$B98,'Data Additive'!$Q:$Q,"&lt;=-61",'Data Additive'!$Q:$Q,"&gt;=-90")</f>
        <v>0</v>
      </c>
      <c r="T98" s="19">
        <f>SUMIFS('Data Additive'!$D:$D,'Data Additive'!$P:$P,'Painel Additive'!$B98,'Data Additive'!$Q:$Q,"&lt;=-91",'Data Additive'!$Q:$Q,"&gt;=-120")</f>
        <v>0</v>
      </c>
      <c r="U98" s="19">
        <f>SUMIFS('Data Additive'!$D:$D,'Data Additive'!$P:$P,'Painel Additive'!$B98,'Data Additive'!$Q:$Q,"&lt;=-121",'Data Additive'!$Q:$Q,"&gt;=-180")</f>
        <v>0</v>
      </c>
      <c r="V98" s="19">
        <f>SUMIFS('Data Additive'!$D:$D,'Data Additive'!$P:$P,'Painel Additive'!$B98,'Data Additive'!$Q:$Q,"&lt;=-181",'Data Additive'!$Q:$Q,"&gt;=-360")</f>
        <v>0</v>
      </c>
      <c r="W98" s="23">
        <f>SUMIFS('Data Additive'!$D:$D,'Data Additive'!$P:$P,'Painel Additive'!$B98,'Data Additive'!$Q:$Q,"&lt;-360")</f>
        <v>0</v>
      </c>
      <c r="X98" s="19">
        <f>SUMIFS('Bad Debt Provision'!AB:AB,'Bad Debt Provision'!B:B,'Painel Additive'!B98)</f>
        <v>0</v>
      </c>
      <c r="Y98" s="5"/>
      <c r="Z98" s="5"/>
      <c r="AA98" s="19">
        <f>IFERROR(_xlfn.XLOOKUP(B98,'Limite de crédito'!C:C,'Limite de crédito'!O:O,),0)</f>
        <v>0</v>
      </c>
      <c r="AB98" s="19"/>
      <c r="AC98" s="20"/>
      <c r="AD98" s="22"/>
      <c r="AE98" s="22"/>
      <c r="AF98" s="5"/>
      <c r="AG98" s="105">
        <f t="shared" ref="AG98" si="133">AA98-G98</f>
        <v>0</v>
      </c>
    </row>
    <row r="99" spans="2:33" x14ac:dyDescent="0.25">
      <c r="B99" s="41" t="s">
        <v>704</v>
      </c>
      <c r="C99" s="224">
        <f>IFERROR(_xlfn.XLOOKUP(B99,'Limite de crédito'!C:C,'Limite de crédito'!L:L,),0)</f>
        <v>0</v>
      </c>
      <c r="D99" s="93"/>
      <c r="E99" s="18">
        <f>_xlfn.XLOOKUP(B99,'Limite de crédito'!C:C,'Limite de crédito'!G:G,0)</f>
        <v>0</v>
      </c>
      <c r="F99" s="18">
        <f t="shared" ref="F99" si="134">E99-G99</f>
        <v>0</v>
      </c>
      <c r="G99" s="18">
        <f t="shared" ref="G99" si="135">P99+O99</f>
        <v>0</v>
      </c>
      <c r="H99" s="19">
        <f>SUMIFS('Data Additive'!$D:$D,'Data Additive'!$P:$P,'Painel Additive'!$B99,'Data Additive'!$Q:$Q,"&gt;0",'Data Additive'!$Q:$Q,"&lt;=30")</f>
        <v>0</v>
      </c>
      <c r="I99" s="19">
        <f>SUMIFS('Data Additive'!$D:$D,'Data Additive'!$P:$P,'Painel Additive'!$B99,'Data Additive'!$Q:$Q,"&gt;30",'Data Additive'!$Q:$Q,"&lt;=60")</f>
        <v>0</v>
      </c>
      <c r="J99" s="19">
        <f>SUMIFS('Data Additive'!$D:$D,'Data Additive'!$P:$P,'Painel Additive'!$B99,'Data Additive'!$Q:$Q,"&gt;60",'Data Additive'!$Q:$Q,"&lt;=90")</f>
        <v>0</v>
      </c>
      <c r="K99" s="19">
        <f>SUMIFS('Data Additive'!$D:$D,'Data Additive'!$P:$P,'Painel Additive'!$B99,'Data Additive'!$Q:$Q,"&gt;90",'Data Additive'!$Q:$Q,"&lt;=120")</f>
        <v>0</v>
      </c>
      <c r="L99" s="19">
        <f>SUMIFS('Data Additive'!$D:$D,'Data Additive'!$P:$P,'Painel Additive'!$B99,'Data Additive'!$Q:$Q,"&gt;120",'Data Additive'!$Q:$Q,"&lt;=180")</f>
        <v>0</v>
      </c>
      <c r="M99" s="19">
        <f>SUMIFS('Data Additive'!$D:$D,'Data Additive'!$P:$P,'Painel Additive'!$B99,'Data Additive'!$Q:$Q,"&gt;180",'Data Additive'!$Q:$Q,"&lt;=360")</f>
        <v>0</v>
      </c>
      <c r="N99" s="23">
        <f>SUMIFS('Data Additive'!$D:$D,'Data Additive'!$P:$P,'Painel Additive'!$B99,'Data Additive'!$Q:$Q,"&gt;360")</f>
        <v>0</v>
      </c>
      <c r="O99" s="122">
        <f>SUMIFS('Data Additive'!$D:$D,'Data Additive'!$P:$P,'Painel Additive'!$B99,'Data Additive'!$Q:$Q,"&gt;0")</f>
        <v>0</v>
      </c>
      <c r="P99" s="19">
        <f t="shared" ref="P99" si="136">SUM(Q99:W99)</f>
        <v>0</v>
      </c>
      <c r="Q99" s="19">
        <f>SUMIFS('Data Additive'!$D:$D,'Data Additive'!$P:$P,'Painel Additive'!$B99,'Data Additive'!$Q:$Q,"&lt;=0",'Data Additive'!$Q:$Q,"&gt;=-30")</f>
        <v>0</v>
      </c>
      <c r="R99" s="19">
        <f>SUMIFS('Data Additive'!$D:$D,'Data Additive'!$P:$P,'Painel Additive'!$B99,'Data Additive'!$Q:$Q,"&lt;=-31",'Data Additive'!$Q:$Q,"&gt;=-60")</f>
        <v>0</v>
      </c>
      <c r="S99" s="19">
        <f>SUMIFS('Data Additive'!$D:$D,'Data Additive'!$P:$P,'Painel Additive'!$B99,'Data Additive'!$Q:$Q,"&lt;=-61",'Data Additive'!$Q:$Q,"&gt;=-90")</f>
        <v>0</v>
      </c>
      <c r="T99" s="19">
        <f>SUMIFS('Data Additive'!$D:$D,'Data Additive'!$P:$P,'Painel Additive'!$B99,'Data Additive'!$Q:$Q,"&lt;=-91",'Data Additive'!$Q:$Q,"&gt;=-120")</f>
        <v>0</v>
      </c>
      <c r="U99" s="19">
        <f>SUMIFS('Data Additive'!$D:$D,'Data Additive'!$P:$P,'Painel Additive'!$B99,'Data Additive'!$Q:$Q,"&lt;=-121",'Data Additive'!$Q:$Q,"&gt;=-180")</f>
        <v>0</v>
      </c>
      <c r="V99" s="19">
        <f>SUMIFS('Data Additive'!$D:$D,'Data Additive'!$P:$P,'Painel Additive'!$B99,'Data Additive'!$Q:$Q,"&lt;=-181",'Data Additive'!$Q:$Q,"&gt;=-360")</f>
        <v>0</v>
      </c>
      <c r="W99" s="23">
        <f>SUMIFS('Data Additive'!$D:$D,'Data Additive'!$P:$P,'Painel Additive'!$B99,'Data Additive'!$Q:$Q,"&lt;-360")</f>
        <v>0</v>
      </c>
      <c r="X99" s="19">
        <f>SUMIFS('Bad Debt Provision'!AB:AB,'Bad Debt Provision'!B:B,'Painel Additive'!B99)</f>
        <v>0</v>
      </c>
      <c r="Y99" s="5"/>
      <c r="Z99" s="5"/>
      <c r="AA99" s="19">
        <f>IFERROR(_xlfn.XLOOKUP(B99,'Limite de crédito'!C:C,'Limite de crédito'!O:O,),0)</f>
        <v>0</v>
      </c>
      <c r="AB99" s="19"/>
      <c r="AC99" s="20"/>
      <c r="AD99" s="22"/>
      <c r="AE99" s="22"/>
      <c r="AF99" s="5"/>
      <c r="AG99" s="105">
        <f t="shared" ref="AG99" si="137">AA99-G99</f>
        <v>0</v>
      </c>
    </row>
    <row r="100" spans="2:33" x14ac:dyDescent="0.25">
      <c r="B100" s="41" t="s">
        <v>712</v>
      </c>
      <c r="C100" s="224" t="str">
        <f>IFERROR(_xlfn.XLOOKUP(B100,'Limite de crédito'!C:C,'Limite de crédito'!L:L,),0)</f>
        <v>B</v>
      </c>
      <c r="D100" s="93"/>
      <c r="E100" s="18">
        <f>_xlfn.XLOOKUP(B100,'Limite de crédito'!C:C,'Limite de crédito'!G:G,0)</f>
        <v>3500000</v>
      </c>
      <c r="F100" s="18">
        <f t="shared" ref="F100" si="138">E100-G100</f>
        <v>3394170.6</v>
      </c>
      <c r="G100" s="18">
        <f t="shared" ref="G100" si="139">P100+O100</f>
        <v>105829.4</v>
      </c>
      <c r="H100" s="19">
        <f>SUMIFS('Data Additive'!$D:$D,'Data Additive'!$P:$P,'Painel Additive'!$B100,'Data Additive'!$Q:$Q,"&gt;0",'Data Additive'!$Q:$Q,"&lt;=30")</f>
        <v>0</v>
      </c>
      <c r="I100" s="19">
        <f>SUMIFS('Data Additive'!$D:$D,'Data Additive'!$P:$P,'Painel Additive'!$B100,'Data Additive'!$Q:$Q,"&gt;30",'Data Additive'!$Q:$Q,"&lt;=60")</f>
        <v>0</v>
      </c>
      <c r="J100" s="19">
        <f>SUMIFS('Data Additive'!$D:$D,'Data Additive'!$P:$P,'Painel Additive'!$B100,'Data Additive'!$Q:$Q,"&gt;60",'Data Additive'!$Q:$Q,"&lt;=90")</f>
        <v>0</v>
      </c>
      <c r="K100" s="19">
        <f>SUMIFS('Data Additive'!$D:$D,'Data Additive'!$P:$P,'Painel Additive'!$B100,'Data Additive'!$Q:$Q,"&gt;90",'Data Additive'!$Q:$Q,"&lt;=120")</f>
        <v>0</v>
      </c>
      <c r="L100" s="19">
        <f>SUMIFS('Data Additive'!$D:$D,'Data Additive'!$P:$P,'Painel Additive'!$B100,'Data Additive'!$Q:$Q,"&gt;120",'Data Additive'!$Q:$Q,"&lt;=180")</f>
        <v>0</v>
      </c>
      <c r="M100" s="19">
        <f>SUMIFS('Data Additive'!$D:$D,'Data Additive'!$P:$P,'Painel Additive'!$B100,'Data Additive'!$Q:$Q,"&gt;180",'Data Additive'!$Q:$Q,"&lt;=360")</f>
        <v>0</v>
      </c>
      <c r="N100" s="23">
        <f>SUMIFS('Data Additive'!$D:$D,'Data Additive'!$P:$P,'Painel Additive'!$B100,'Data Additive'!$Q:$Q,"&gt;360")</f>
        <v>0</v>
      </c>
      <c r="O100" s="122">
        <f>SUMIFS('Data Additive'!$D:$D,'Data Additive'!$P:$P,'Painel Additive'!$B100,'Data Additive'!$Q:$Q,"&gt;0")</f>
        <v>0</v>
      </c>
      <c r="P100" s="19">
        <f t="shared" ref="P100" si="140">SUM(Q100:W100)</f>
        <v>105829.4</v>
      </c>
      <c r="Q100" s="19">
        <f>SUMIFS('Data Additive'!$D:$D,'Data Additive'!$P:$P,'Painel Additive'!$B100,'Data Additive'!$Q:$Q,"&lt;=0",'Data Additive'!$Q:$Q,"&gt;=-30")</f>
        <v>105829.4</v>
      </c>
      <c r="R100" s="19">
        <f>SUMIFS('Data Additive'!$D:$D,'Data Additive'!$P:$P,'Painel Additive'!$B100,'Data Additive'!$Q:$Q,"&lt;=-31",'Data Additive'!$Q:$Q,"&gt;=-60")</f>
        <v>0</v>
      </c>
      <c r="S100" s="19">
        <f>SUMIFS('Data Additive'!$D:$D,'Data Additive'!$P:$P,'Painel Additive'!$B100,'Data Additive'!$Q:$Q,"&lt;=-61",'Data Additive'!$Q:$Q,"&gt;=-90")</f>
        <v>0</v>
      </c>
      <c r="T100" s="19">
        <f>SUMIFS('Data Additive'!$D:$D,'Data Additive'!$P:$P,'Painel Additive'!$B100,'Data Additive'!$Q:$Q,"&lt;=-91",'Data Additive'!$Q:$Q,"&gt;=-120")</f>
        <v>0</v>
      </c>
      <c r="U100" s="19">
        <f>SUMIFS('Data Additive'!$D:$D,'Data Additive'!$P:$P,'Painel Additive'!$B100,'Data Additive'!$Q:$Q,"&lt;=-121",'Data Additive'!$Q:$Q,"&gt;=-180")</f>
        <v>0</v>
      </c>
      <c r="V100" s="19">
        <f>SUMIFS('Data Additive'!$D:$D,'Data Additive'!$P:$P,'Painel Additive'!$B100,'Data Additive'!$Q:$Q,"&lt;=-181",'Data Additive'!$Q:$Q,"&gt;=-360")</f>
        <v>0</v>
      </c>
      <c r="W100" s="23">
        <f>SUMIFS('Data Additive'!$D:$D,'Data Additive'!$P:$P,'Painel Additive'!$B100,'Data Additive'!$Q:$Q,"&lt;-360")</f>
        <v>0</v>
      </c>
      <c r="X100" s="19">
        <f>SUMIFS('Bad Debt Provision'!AB:AB,'Bad Debt Provision'!B:B,'Painel Additive'!B100)</f>
        <v>0</v>
      </c>
      <c r="Y100" s="5"/>
      <c r="Z100" s="5"/>
      <c r="AA100" s="19">
        <f>IFERROR(_xlfn.XLOOKUP(B100,'Limite de crédito'!C:C,'Limite de crédito'!O:O,),0)</f>
        <v>3500000</v>
      </c>
      <c r="AB100" s="19"/>
      <c r="AC100" s="20"/>
      <c r="AD100" s="22"/>
      <c r="AE100" s="22"/>
      <c r="AF100" s="5"/>
      <c r="AG100" s="105">
        <f t="shared" ref="AG100" si="141">AA100-G100</f>
        <v>3394170.6</v>
      </c>
    </row>
    <row r="101" spans="2:33" x14ac:dyDescent="0.25">
      <c r="B101" s="41" t="s">
        <v>713</v>
      </c>
      <c r="C101" s="224">
        <f>IFERROR(_xlfn.XLOOKUP(B101,'Limite de crédito'!C:C,'Limite de crédito'!L:L,),0)</f>
        <v>0</v>
      </c>
      <c r="D101" s="93"/>
      <c r="E101" s="18">
        <f>_xlfn.XLOOKUP(B101,'Limite de crédito'!C:C,'Limite de crédito'!G:G,0)</f>
        <v>0</v>
      </c>
      <c r="F101" s="18">
        <f t="shared" ref="F101" si="142">E101-G101</f>
        <v>0</v>
      </c>
      <c r="G101" s="18">
        <f t="shared" ref="G101" si="143">P101+O101</f>
        <v>0</v>
      </c>
      <c r="H101" s="19">
        <f>SUMIFS('Data Additive'!$D:$D,'Data Additive'!$P:$P,'Painel Additive'!$B101,'Data Additive'!$Q:$Q,"&gt;0",'Data Additive'!$Q:$Q,"&lt;=30")</f>
        <v>0</v>
      </c>
      <c r="I101" s="19">
        <f>SUMIFS('Data Additive'!$D:$D,'Data Additive'!$P:$P,'Painel Additive'!$B101,'Data Additive'!$Q:$Q,"&gt;30",'Data Additive'!$Q:$Q,"&lt;=60")</f>
        <v>0</v>
      </c>
      <c r="J101" s="19">
        <f>SUMIFS('Data Additive'!$D:$D,'Data Additive'!$P:$P,'Painel Additive'!$B101,'Data Additive'!$Q:$Q,"&gt;60",'Data Additive'!$Q:$Q,"&lt;=90")</f>
        <v>0</v>
      </c>
      <c r="K101" s="19">
        <f>SUMIFS('Data Additive'!$D:$D,'Data Additive'!$P:$P,'Painel Additive'!$B101,'Data Additive'!$Q:$Q,"&gt;90",'Data Additive'!$Q:$Q,"&lt;=120")</f>
        <v>0</v>
      </c>
      <c r="L101" s="19">
        <f>SUMIFS('Data Additive'!$D:$D,'Data Additive'!$P:$P,'Painel Additive'!$B101,'Data Additive'!$Q:$Q,"&gt;120",'Data Additive'!$Q:$Q,"&lt;=180")</f>
        <v>0</v>
      </c>
      <c r="M101" s="19">
        <f>SUMIFS('Data Additive'!$D:$D,'Data Additive'!$P:$P,'Painel Additive'!$B101,'Data Additive'!$Q:$Q,"&gt;180",'Data Additive'!$Q:$Q,"&lt;=360")</f>
        <v>0</v>
      </c>
      <c r="N101" s="23">
        <f>SUMIFS('Data Additive'!$D:$D,'Data Additive'!$P:$P,'Painel Additive'!$B101,'Data Additive'!$Q:$Q,"&gt;360")</f>
        <v>0</v>
      </c>
      <c r="O101" s="122">
        <f>SUMIFS('Data Additive'!$D:$D,'Data Additive'!$P:$P,'Painel Additive'!$B101,'Data Additive'!$Q:$Q,"&gt;0")</f>
        <v>0</v>
      </c>
      <c r="P101" s="19">
        <f t="shared" ref="P101" si="144">SUM(Q101:W101)</f>
        <v>0</v>
      </c>
      <c r="Q101" s="19">
        <f>SUMIFS('Data Additive'!$D:$D,'Data Additive'!$P:$P,'Painel Additive'!$B101,'Data Additive'!$Q:$Q,"&lt;=0",'Data Additive'!$Q:$Q,"&gt;=-30")</f>
        <v>0</v>
      </c>
      <c r="R101" s="19">
        <f>SUMIFS('Data Additive'!$D:$D,'Data Additive'!$P:$P,'Painel Additive'!$B101,'Data Additive'!$Q:$Q,"&lt;=-31",'Data Additive'!$Q:$Q,"&gt;=-60")</f>
        <v>0</v>
      </c>
      <c r="S101" s="19">
        <f>SUMIFS('Data Additive'!$D:$D,'Data Additive'!$P:$P,'Painel Additive'!$B101,'Data Additive'!$Q:$Q,"&lt;=-61",'Data Additive'!$Q:$Q,"&gt;=-90")</f>
        <v>0</v>
      </c>
      <c r="T101" s="19">
        <f>SUMIFS('Data Additive'!$D:$D,'Data Additive'!$P:$P,'Painel Additive'!$B101,'Data Additive'!$Q:$Q,"&lt;=-91",'Data Additive'!$Q:$Q,"&gt;=-120")</f>
        <v>0</v>
      </c>
      <c r="U101" s="19">
        <f>SUMIFS('Data Additive'!$D:$D,'Data Additive'!$P:$P,'Painel Additive'!$B101,'Data Additive'!$Q:$Q,"&lt;=-121",'Data Additive'!$Q:$Q,"&gt;=-180")</f>
        <v>0</v>
      </c>
      <c r="V101" s="19">
        <f>SUMIFS('Data Additive'!$D:$D,'Data Additive'!$P:$P,'Painel Additive'!$B101,'Data Additive'!$Q:$Q,"&lt;=-181",'Data Additive'!$Q:$Q,"&gt;=-360")</f>
        <v>0</v>
      </c>
      <c r="W101" s="23">
        <f>SUMIFS('Data Additive'!$D:$D,'Data Additive'!$P:$P,'Painel Additive'!$B101,'Data Additive'!$Q:$Q,"&lt;-360")</f>
        <v>0</v>
      </c>
      <c r="X101" s="19">
        <f>SUMIFS('Bad Debt Provision'!AB:AB,'Bad Debt Provision'!B:B,'Painel Additive'!B101)</f>
        <v>0</v>
      </c>
      <c r="Y101" s="5"/>
      <c r="Z101" s="5"/>
      <c r="AA101" s="19">
        <f>IFERROR(_xlfn.XLOOKUP(B101,'Limite de crédito'!C:C,'Limite de crédito'!O:O,),0)</f>
        <v>0</v>
      </c>
      <c r="AB101" s="19"/>
      <c r="AC101" s="20"/>
      <c r="AD101" s="22"/>
      <c r="AE101" s="22"/>
      <c r="AF101" s="5"/>
      <c r="AG101" s="105">
        <f t="shared" ref="AG101" si="145">AA101-G101</f>
        <v>0</v>
      </c>
    </row>
    <row r="102" spans="2:33" x14ac:dyDescent="0.25">
      <c r="B102" s="41" t="s">
        <v>50</v>
      </c>
      <c r="C102" s="224" t="str">
        <f>IFERROR(_xlfn.XLOOKUP(B102,'Limite de crédito'!C:C,'Limite de crédito'!L:L,),0)</f>
        <v>B</v>
      </c>
      <c r="D102" s="93"/>
      <c r="E102" s="18">
        <f>_xlfn.XLOOKUP(B102,'Limite de crédito'!C:C,'Limite de crédito'!G:G,0)</f>
        <v>150000</v>
      </c>
      <c r="F102" s="18">
        <f t="shared" ref="F102:F104" si="146">E102-G102</f>
        <v>150000</v>
      </c>
      <c r="G102" s="18">
        <f t="shared" ref="G102:G104" si="147">P102+O102</f>
        <v>0</v>
      </c>
      <c r="H102" s="19">
        <f>SUMIFS('Data Additive'!$D:$D,'Data Additive'!$P:$P,'Painel Additive'!$B102,'Data Additive'!$Q:$Q,"&gt;0",'Data Additive'!$Q:$Q,"&lt;=30")</f>
        <v>0</v>
      </c>
      <c r="I102" s="19">
        <f>SUMIFS('Data Additive'!$D:$D,'Data Additive'!$P:$P,'Painel Additive'!$B102,'Data Additive'!$Q:$Q,"&gt;30",'Data Additive'!$Q:$Q,"&lt;=60")</f>
        <v>0</v>
      </c>
      <c r="J102" s="19">
        <f>SUMIFS('Data Additive'!$D:$D,'Data Additive'!$P:$P,'Painel Additive'!$B102,'Data Additive'!$Q:$Q,"&gt;60",'Data Additive'!$Q:$Q,"&lt;=90")</f>
        <v>0</v>
      </c>
      <c r="K102" s="19">
        <f>SUMIFS('Data Additive'!$D:$D,'Data Additive'!$P:$P,'Painel Additive'!$B102,'Data Additive'!$Q:$Q,"&gt;90",'Data Additive'!$Q:$Q,"&lt;=120")</f>
        <v>0</v>
      </c>
      <c r="L102" s="19">
        <f>SUMIFS('Data Additive'!$D:$D,'Data Additive'!$P:$P,'Painel Additive'!$B102,'Data Additive'!$Q:$Q,"&gt;120",'Data Additive'!$Q:$Q,"&lt;=180")</f>
        <v>0</v>
      </c>
      <c r="M102" s="19">
        <f>SUMIFS('Data Additive'!$D:$D,'Data Additive'!$P:$P,'Painel Additive'!$B102,'Data Additive'!$Q:$Q,"&gt;180",'Data Additive'!$Q:$Q,"&lt;=360")</f>
        <v>0</v>
      </c>
      <c r="N102" s="23">
        <f>SUMIFS('Data Additive'!$D:$D,'Data Additive'!$P:$P,'Painel Additive'!$B102,'Data Additive'!$Q:$Q,"&gt;360")</f>
        <v>0</v>
      </c>
      <c r="O102" s="122">
        <f>SUMIFS('Data Additive'!$D:$D,'Data Additive'!$P:$P,'Painel Additive'!$B102,'Data Additive'!$Q:$Q,"&gt;0")</f>
        <v>0</v>
      </c>
      <c r="P102" s="19">
        <f t="shared" ref="P102:P104" si="148">SUM(Q102:W102)</f>
        <v>0</v>
      </c>
      <c r="Q102" s="19">
        <f>SUMIFS('Data Additive'!$D:$D,'Data Additive'!$P:$P,'Painel Additive'!$B102,'Data Additive'!$Q:$Q,"&lt;=0",'Data Additive'!$Q:$Q,"&gt;=-30")</f>
        <v>0</v>
      </c>
      <c r="R102" s="19">
        <f>SUMIFS('Data Additive'!$D:$D,'Data Additive'!$P:$P,'Painel Additive'!$B102,'Data Additive'!$Q:$Q,"&lt;=-31",'Data Additive'!$Q:$Q,"&gt;=-60")</f>
        <v>0</v>
      </c>
      <c r="S102" s="19">
        <f>SUMIFS('Data Additive'!$D:$D,'Data Additive'!$P:$P,'Painel Additive'!$B102,'Data Additive'!$Q:$Q,"&lt;=-61",'Data Additive'!$Q:$Q,"&gt;=-90")</f>
        <v>0</v>
      </c>
      <c r="T102" s="19">
        <f>SUMIFS('Data Additive'!$D:$D,'Data Additive'!$P:$P,'Painel Additive'!$B102,'Data Additive'!$Q:$Q,"&lt;=-91",'Data Additive'!$Q:$Q,"&gt;=-120")</f>
        <v>0</v>
      </c>
      <c r="U102" s="19">
        <f>SUMIFS('Data Additive'!$D:$D,'Data Additive'!$P:$P,'Painel Additive'!$B102,'Data Additive'!$Q:$Q,"&lt;=-121",'Data Additive'!$Q:$Q,"&gt;=-180")</f>
        <v>0</v>
      </c>
      <c r="V102" s="19">
        <f>SUMIFS('Data Additive'!$D:$D,'Data Additive'!$P:$P,'Painel Additive'!$B102,'Data Additive'!$Q:$Q,"&lt;=-181",'Data Additive'!$Q:$Q,"&gt;=-360")</f>
        <v>0</v>
      </c>
      <c r="W102" s="23">
        <f>SUMIFS('Data Additive'!$D:$D,'Data Additive'!$P:$P,'Painel Additive'!$B102,'Data Additive'!$Q:$Q,"&lt;-360")</f>
        <v>0</v>
      </c>
      <c r="X102" s="19">
        <f>SUMIFS('Bad Debt Provision'!AB:AB,'Bad Debt Provision'!B:B,'Painel Additive'!B102)</f>
        <v>0</v>
      </c>
      <c r="Y102" s="5"/>
      <c r="Z102" s="5"/>
      <c r="AA102" s="19">
        <f>IFERROR(_xlfn.XLOOKUP(B102,'Limite de crédito'!C:C,'Limite de crédito'!O:O,),0)</f>
        <v>150000</v>
      </c>
      <c r="AB102" s="19"/>
      <c r="AC102" s="20"/>
      <c r="AD102" s="22"/>
      <c r="AE102" s="22"/>
      <c r="AF102" s="5"/>
      <c r="AG102" s="105">
        <f t="shared" ref="AG102:AG104" si="149">AA102-G102</f>
        <v>150000</v>
      </c>
    </row>
    <row r="103" spans="2:33" x14ac:dyDescent="0.25">
      <c r="B103" s="41" t="s">
        <v>716</v>
      </c>
      <c r="C103" s="224">
        <f>IFERROR(_xlfn.XLOOKUP(B103,'Limite de crédito'!C:C,'Limite de crédito'!L:L,),0)</f>
        <v>0</v>
      </c>
      <c r="D103" s="93"/>
      <c r="E103" s="18">
        <f>_xlfn.XLOOKUP(B103,'Limite de crédito'!C:C,'Limite de crédito'!G:G,0)</f>
        <v>0</v>
      </c>
      <c r="F103" s="18">
        <f t="shared" si="146"/>
        <v>0</v>
      </c>
      <c r="G103" s="18">
        <f t="shared" si="147"/>
        <v>0</v>
      </c>
      <c r="H103" s="19">
        <f>SUMIFS('Data Additive'!$D:$D,'Data Additive'!$P:$P,'Painel Additive'!$B103,'Data Additive'!$Q:$Q,"&gt;0",'Data Additive'!$Q:$Q,"&lt;=30")</f>
        <v>0</v>
      </c>
      <c r="I103" s="19">
        <f>SUMIFS('Data Additive'!$D:$D,'Data Additive'!$P:$P,'Painel Additive'!$B103,'Data Additive'!$Q:$Q,"&gt;30",'Data Additive'!$Q:$Q,"&lt;=60")</f>
        <v>0</v>
      </c>
      <c r="J103" s="19">
        <f>SUMIFS('Data Additive'!$D:$D,'Data Additive'!$P:$P,'Painel Additive'!$B103,'Data Additive'!$Q:$Q,"&gt;60",'Data Additive'!$Q:$Q,"&lt;=90")</f>
        <v>0</v>
      </c>
      <c r="K103" s="19">
        <f>SUMIFS('Data Additive'!$D:$D,'Data Additive'!$P:$P,'Painel Additive'!$B103,'Data Additive'!$Q:$Q,"&gt;90",'Data Additive'!$Q:$Q,"&lt;=120")</f>
        <v>0</v>
      </c>
      <c r="L103" s="19">
        <f>SUMIFS('Data Additive'!$D:$D,'Data Additive'!$P:$P,'Painel Additive'!$B103,'Data Additive'!$Q:$Q,"&gt;120",'Data Additive'!$Q:$Q,"&lt;=180")</f>
        <v>0</v>
      </c>
      <c r="M103" s="19">
        <f>SUMIFS('Data Additive'!$D:$D,'Data Additive'!$P:$P,'Painel Additive'!$B103,'Data Additive'!$Q:$Q,"&gt;180",'Data Additive'!$Q:$Q,"&lt;=360")</f>
        <v>0</v>
      </c>
      <c r="N103" s="23">
        <f>SUMIFS('Data Additive'!$D:$D,'Data Additive'!$P:$P,'Painel Additive'!$B103,'Data Additive'!$Q:$Q,"&gt;360")</f>
        <v>0</v>
      </c>
      <c r="O103" s="122">
        <f>SUMIFS('Data Additive'!$D:$D,'Data Additive'!$P:$P,'Painel Additive'!$B103,'Data Additive'!$Q:$Q,"&gt;0")</f>
        <v>0</v>
      </c>
      <c r="P103" s="19">
        <f t="shared" si="148"/>
        <v>0</v>
      </c>
      <c r="Q103" s="19">
        <f>SUMIFS('Data Additive'!$D:$D,'Data Additive'!$P:$P,'Painel Additive'!$B103,'Data Additive'!$Q:$Q,"&lt;=0",'Data Additive'!$Q:$Q,"&gt;=-30")</f>
        <v>0</v>
      </c>
      <c r="R103" s="19">
        <f>SUMIFS('Data Additive'!$D:$D,'Data Additive'!$P:$P,'Painel Additive'!$B103,'Data Additive'!$Q:$Q,"&lt;=-31",'Data Additive'!$Q:$Q,"&gt;=-60")</f>
        <v>0</v>
      </c>
      <c r="S103" s="19">
        <f>SUMIFS('Data Additive'!$D:$D,'Data Additive'!$P:$P,'Painel Additive'!$B103,'Data Additive'!$Q:$Q,"&lt;=-61",'Data Additive'!$Q:$Q,"&gt;=-90")</f>
        <v>0</v>
      </c>
      <c r="T103" s="19">
        <f>SUMIFS('Data Additive'!$D:$D,'Data Additive'!$P:$P,'Painel Additive'!$B103,'Data Additive'!$Q:$Q,"&lt;=-91",'Data Additive'!$Q:$Q,"&gt;=-120")</f>
        <v>0</v>
      </c>
      <c r="U103" s="19">
        <f>SUMIFS('Data Additive'!$D:$D,'Data Additive'!$P:$P,'Painel Additive'!$B103,'Data Additive'!$Q:$Q,"&lt;=-121",'Data Additive'!$Q:$Q,"&gt;=-180")</f>
        <v>0</v>
      </c>
      <c r="V103" s="19">
        <f>SUMIFS('Data Additive'!$D:$D,'Data Additive'!$P:$P,'Painel Additive'!$B103,'Data Additive'!$Q:$Q,"&lt;=-181",'Data Additive'!$Q:$Q,"&gt;=-360")</f>
        <v>0</v>
      </c>
      <c r="W103" s="23">
        <f>SUMIFS('Data Additive'!$D:$D,'Data Additive'!$P:$P,'Painel Additive'!$B103,'Data Additive'!$Q:$Q,"&lt;-360")</f>
        <v>0</v>
      </c>
      <c r="X103" s="19">
        <f>SUMIFS('Bad Debt Provision'!AB:AB,'Bad Debt Provision'!B:B,'Painel Additive'!B103)</f>
        <v>0</v>
      </c>
      <c r="Y103" s="5"/>
      <c r="Z103" s="5"/>
      <c r="AA103" s="19">
        <f>IFERROR(_xlfn.XLOOKUP(B103,'Limite de crédito'!C:C,'Limite de crédito'!O:O,),0)</f>
        <v>0</v>
      </c>
      <c r="AB103" s="19"/>
      <c r="AC103" s="20"/>
      <c r="AD103" s="22"/>
      <c r="AE103" s="22"/>
      <c r="AF103" s="5"/>
      <c r="AG103" s="105">
        <f t="shared" si="149"/>
        <v>0</v>
      </c>
    </row>
    <row r="104" spans="2:33" x14ac:dyDescent="0.25">
      <c r="B104" s="41" t="s">
        <v>721</v>
      </c>
      <c r="C104" s="224">
        <f>IFERROR(_xlfn.XLOOKUP(B104,'Limite de crédito'!C:C,'Limite de crédito'!L:L,),0)</f>
        <v>0</v>
      </c>
      <c r="D104" s="93"/>
      <c r="E104" s="18">
        <f>_xlfn.XLOOKUP(B104,'Limite de crédito'!C:C,'Limite de crédito'!G:G,0)</f>
        <v>0</v>
      </c>
      <c r="F104" s="18">
        <f t="shared" si="146"/>
        <v>-290220</v>
      </c>
      <c r="G104" s="18">
        <f t="shared" si="147"/>
        <v>290220</v>
      </c>
      <c r="H104" s="19">
        <f>SUMIFS('Data Additive'!$D:$D,'Data Additive'!$P:$P,'Painel Additive'!$B104,'Data Additive'!$Q:$Q,"&gt;0",'Data Additive'!$Q:$Q,"&lt;=30")</f>
        <v>0</v>
      </c>
      <c r="I104" s="19">
        <f>SUMIFS('Data Additive'!$D:$D,'Data Additive'!$P:$P,'Painel Additive'!$B104,'Data Additive'!$Q:$Q,"&gt;30",'Data Additive'!$Q:$Q,"&lt;=60")</f>
        <v>0</v>
      </c>
      <c r="J104" s="19">
        <f>SUMIFS('Data Additive'!$D:$D,'Data Additive'!$P:$P,'Painel Additive'!$B104,'Data Additive'!$Q:$Q,"&gt;60",'Data Additive'!$Q:$Q,"&lt;=90")</f>
        <v>0</v>
      </c>
      <c r="K104" s="19">
        <f>SUMIFS('Data Additive'!$D:$D,'Data Additive'!$P:$P,'Painel Additive'!$B104,'Data Additive'!$Q:$Q,"&gt;90",'Data Additive'!$Q:$Q,"&lt;=120")</f>
        <v>0</v>
      </c>
      <c r="L104" s="19">
        <f>SUMIFS('Data Additive'!$D:$D,'Data Additive'!$P:$P,'Painel Additive'!$B104,'Data Additive'!$Q:$Q,"&gt;120",'Data Additive'!$Q:$Q,"&lt;=180")</f>
        <v>0</v>
      </c>
      <c r="M104" s="19">
        <f>SUMIFS('Data Additive'!$D:$D,'Data Additive'!$P:$P,'Painel Additive'!$B104,'Data Additive'!$Q:$Q,"&gt;180",'Data Additive'!$Q:$Q,"&lt;=360")</f>
        <v>0</v>
      </c>
      <c r="N104" s="23">
        <f>SUMIFS('Data Additive'!$D:$D,'Data Additive'!$P:$P,'Painel Additive'!$B104,'Data Additive'!$Q:$Q,"&gt;360")</f>
        <v>0</v>
      </c>
      <c r="O104" s="122">
        <f>SUMIFS('Data Additive'!$D:$D,'Data Additive'!$P:$P,'Painel Additive'!$B104,'Data Additive'!$Q:$Q,"&gt;0")</f>
        <v>0</v>
      </c>
      <c r="P104" s="19">
        <f t="shared" si="148"/>
        <v>290220</v>
      </c>
      <c r="Q104" s="19">
        <f>SUMIFS('Data Additive'!$D:$D,'Data Additive'!$P:$P,'Painel Additive'!$B104,'Data Additive'!$Q:$Q,"&lt;=0",'Data Additive'!$Q:$Q,"&gt;=-30")</f>
        <v>290220</v>
      </c>
      <c r="R104" s="19">
        <f>SUMIFS('Data Additive'!$D:$D,'Data Additive'!$P:$P,'Painel Additive'!$B104,'Data Additive'!$Q:$Q,"&lt;=-31",'Data Additive'!$Q:$Q,"&gt;=-60")</f>
        <v>0</v>
      </c>
      <c r="S104" s="19">
        <f>SUMIFS('Data Additive'!$D:$D,'Data Additive'!$P:$P,'Painel Additive'!$B104,'Data Additive'!$Q:$Q,"&lt;=-61",'Data Additive'!$Q:$Q,"&gt;=-90")</f>
        <v>0</v>
      </c>
      <c r="T104" s="19">
        <f>SUMIFS('Data Additive'!$D:$D,'Data Additive'!$P:$P,'Painel Additive'!$B104,'Data Additive'!$Q:$Q,"&lt;=-91",'Data Additive'!$Q:$Q,"&gt;=-120")</f>
        <v>0</v>
      </c>
      <c r="U104" s="19">
        <f>SUMIFS('Data Additive'!$D:$D,'Data Additive'!$P:$P,'Painel Additive'!$B104,'Data Additive'!$Q:$Q,"&lt;=-121",'Data Additive'!$Q:$Q,"&gt;=-180")</f>
        <v>0</v>
      </c>
      <c r="V104" s="19">
        <f>SUMIFS('Data Additive'!$D:$D,'Data Additive'!$P:$P,'Painel Additive'!$B104,'Data Additive'!$Q:$Q,"&lt;=-181",'Data Additive'!$Q:$Q,"&gt;=-360")</f>
        <v>0</v>
      </c>
      <c r="W104" s="23">
        <f>SUMIFS('Data Additive'!$D:$D,'Data Additive'!$P:$P,'Painel Additive'!$B104,'Data Additive'!$Q:$Q,"&lt;-360")</f>
        <v>0</v>
      </c>
      <c r="X104" s="19">
        <f>SUMIFS('Bad Debt Provision'!AB:AB,'Bad Debt Provision'!B:B,'Painel Additive'!B104)</f>
        <v>0</v>
      </c>
      <c r="Y104" s="5"/>
      <c r="Z104" s="5"/>
      <c r="AA104" s="19">
        <f>IFERROR(_xlfn.XLOOKUP(B104,'Limite de crédito'!C:C,'Limite de crédito'!O:O,),0)</f>
        <v>0</v>
      </c>
      <c r="AB104" s="19"/>
      <c r="AC104" s="20"/>
      <c r="AD104" s="22"/>
      <c r="AE104" s="22"/>
      <c r="AF104" s="5"/>
      <c r="AG104" s="105">
        <f t="shared" si="149"/>
        <v>-290220</v>
      </c>
    </row>
    <row r="105" spans="2:33" x14ac:dyDescent="0.25">
      <c r="B105" s="41" t="s">
        <v>717</v>
      </c>
      <c r="C105" s="224">
        <f>IFERROR(_xlfn.XLOOKUP(B105,'Limite de crédito'!C:C,'Limite de crédito'!L:L,),0)</f>
        <v>0</v>
      </c>
      <c r="D105" s="93"/>
      <c r="E105" s="18">
        <f>_xlfn.XLOOKUP(B105,'Limite de crédito'!C:C,'Limite de crédito'!G:G,0)</f>
        <v>0</v>
      </c>
      <c r="F105" s="18">
        <f t="shared" ref="F105" si="150">E105-G105</f>
        <v>0</v>
      </c>
      <c r="G105" s="18">
        <f t="shared" ref="G105" si="151">P105+O105</f>
        <v>0</v>
      </c>
      <c r="H105" s="19">
        <f>SUMIFS('Data Additive'!$D:$D,'Data Additive'!$P:$P,'Painel Additive'!$B105,'Data Additive'!$Q:$Q,"&gt;0",'Data Additive'!$Q:$Q,"&lt;=30")</f>
        <v>0</v>
      </c>
      <c r="I105" s="19">
        <f>SUMIFS('Data Additive'!$D:$D,'Data Additive'!$P:$P,'Painel Additive'!$B105,'Data Additive'!$Q:$Q,"&gt;30",'Data Additive'!$Q:$Q,"&lt;=60")</f>
        <v>0</v>
      </c>
      <c r="J105" s="19">
        <f>SUMIFS('Data Additive'!$D:$D,'Data Additive'!$P:$P,'Painel Additive'!$B105,'Data Additive'!$Q:$Q,"&gt;60",'Data Additive'!$Q:$Q,"&lt;=90")</f>
        <v>0</v>
      </c>
      <c r="K105" s="19">
        <f>SUMIFS('Data Additive'!$D:$D,'Data Additive'!$P:$P,'Painel Additive'!$B105,'Data Additive'!$Q:$Q,"&gt;90",'Data Additive'!$Q:$Q,"&lt;=120")</f>
        <v>0</v>
      </c>
      <c r="L105" s="19">
        <f>SUMIFS('Data Additive'!$D:$D,'Data Additive'!$P:$P,'Painel Additive'!$B105,'Data Additive'!$Q:$Q,"&gt;120",'Data Additive'!$Q:$Q,"&lt;=180")</f>
        <v>0</v>
      </c>
      <c r="M105" s="19">
        <f>SUMIFS('Data Additive'!$D:$D,'Data Additive'!$P:$P,'Painel Additive'!$B105,'Data Additive'!$Q:$Q,"&gt;180",'Data Additive'!$Q:$Q,"&lt;=360")</f>
        <v>0</v>
      </c>
      <c r="N105" s="23">
        <f>SUMIFS('Data Additive'!$D:$D,'Data Additive'!$P:$P,'Painel Additive'!$B105,'Data Additive'!$Q:$Q,"&gt;360")</f>
        <v>0</v>
      </c>
      <c r="O105" s="122">
        <f>SUMIFS('Data Additive'!$D:$D,'Data Additive'!$P:$P,'Painel Additive'!$B105,'Data Additive'!$Q:$Q,"&gt;0")</f>
        <v>0</v>
      </c>
      <c r="P105" s="19">
        <f t="shared" ref="P105" si="152">SUM(Q105:W105)</f>
        <v>0</v>
      </c>
      <c r="Q105" s="19">
        <f>SUMIFS('Data Additive'!$D:$D,'Data Additive'!$P:$P,'Painel Additive'!$B105,'Data Additive'!$Q:$Q,"&lt;=0",'Data Additive'!$Q:$Q,"&gt;=-30")</f>
        <v>0</v>
      </c>
      <c r="R105" s="19">
        <f>SUMIFS('Data Additive'!$D:$D,'Data Additive'!$P:$P,'Painel Additive'!$B105,'Data Additive'!$Q:$Q,"&lt;=-31",'Data Additive'!$Q:$Q,"&gt;=-60")</f>
        <v>0</v>
      </c>
      <c r="S105" s="19">
        <f>SUMIFS('Data Additive'!$D:$D,'Data Additive'!$P:$P,'Painel Additive'!$B105,'Data Additive'!$Q:$Q,"&lt;=-61",'Data Additive'!$Q:$Q,"&gt;=-90")</f>
        <v>0</v>
      </c>
      <c r="T105" s="19">
        <f>SUMIFS('Data Additive'!$D:$D,'Data Additive'!$P:$P,'Painel Additive'!$B105,'Data Additive'!$Q:$Q,"&lt;=-91",'Data Additive'!$Q:$Q,"&gt;=-120")</f>
        <v>0</v>
      </c>
      <c r="U105" s="19">
        <f>SUMIFS('Data Additive'!$D:$D,'Data Additive'!$P:$P,'Painel Additive'!$B105,'Data Additive'!$Q:$Q,"&lt;=-121",'Data Additive'!$Q:$Q,"&gt;=-180")</f>
        <v>0</v>
      </c>
      <c r="V105" s="19">
        <f>SUMIFS('Data Additive'!$D:$D,'Data Additive'!$P:$P,'Painel Additive'!$B105,'Data Additive'!$Q:$Q,"&lt;=-181",'Data Additive'!$Q:$Q,"&gt;=-360")</f>
        <v>0</v>
      </c>
      <c r="W105" s="23">
        <f>SUMIFS('Data Additive'!$D:$D,'Data Additive'!$P:$P,'Painel Additive'!$B105,'Data Additive'!$Q:$Q,"&lt;-360")</f>
        <v>0</v>
      </c>
      <c r="X105" s="19">
        <f>SUMIFS('Bad Debt Provision'!AB:AB,'Bad Debt Provision'!B:B,'Painel Additive'!B105)</f>
        <v>0</v>
      </c>
      <c r="Y105" s="5"/>
      <c r="Z105" s="5"/>
      <c r="AA105" s="19">
        <f>IFERROR(_xlfn.XLOOKUP(B105,'Limite de crédito'!C:C,'Limite de crédito'!O:O,),0)</f>
        <v>0</v>
      </c>
      <c r="AB105" s="19"/>
      <c r="AC105" s="20"/>
      <c r="AD105" s="22"/>
      <c r="AE105" s="22"/>
      <c r="AF105" s="5"/>
      <c r="AG105" s="105">
        <f t="shared" ref="AG105" si="153">AA105-G105</f>
        <v>0</v>
      </c>
    </row>
    <row r="106" spans="2:33" x14ac:dyDescent="0.25">
      <c r="B106" s="41" t="s">
        <v>720</v>
      </c>
      <c r="C106" s="224">
        <f>IFERROR(_xlfn.XLOOKUP(B106,'Limite de crédito'!C:C,'Limite de crédito'!L:L,),0)</f>
        <v>0</v>
      </c>
      <c r="D106" s="93"/>
      <c r="E106" s="18">
        <f>_xlfn.XLOOKUP(B106,'Limite de crédito'!C:C,'Limite de crédito'!G:G,0)</f>
        <v>0</v>
      </c>
      <c r="F106" s="18">
        <f t="shared" ref="F106" si="154">E106-G106</f>
        <v>0</v>
      </c>
      <c r="G106" s="18">
        <f t="shared" ref="G106" si="155">P106+O106</f>
        <v>0</v>
      </c>
      <c r="H106" s="19">
        <f>SUMIFS('Data Additive'!$D:$D,'Data Additive'!$P:$P,'Painel Additive'!$B106,'Data Additive'!$Q:$Q,"&gt;0",'Data Additive'!$Q:$Q,"&lt;=30")</f>
        <v>0</v>
      </c>
      <c r="I106" s="19">
        <f>SUMIFS('Data Additive'!$D:$D,'Data Additive'!$P:$P,'Painel Additive'!$B106,'Data Additive'!$Q:$Q,"&gt;30",'Data Additive'!$Q:$Q,"&lt;=60")</f>
        <v>0</v>
      </c>
      <c r="J106" s="19">
        <f>SUMIFS('Data Additive'!$D:$D,'Data Additive'!$P:$P,'Painel Additive'!$B106,'Data Additive'!$Q:$Q,"&gt;60",'Data Additive'!$Q:$Q,"&lt;=90")</f>
        <v>0</v>
      </c>
      <c r="K106" s="19">
        <f>SUMIFS('Data Additive'!$D:$D,'Data Additive'!$P:$P,'Painel Additive'!$B106,'Data Additive'!$Q:$Q,"&gt;90",'Data Additive'!$Q:$Q,"&lt;=120")</f>
        <v>0</v>
      </c>
      <c r="L106" s="19">
        <f>SUMIFS('Data Additive'!$D:$D,'Data Additive'!$P:$P,'Painel Additive'!$B106,'Data Additive'!$Q:$Q,"&gt;120",'Data Additive'!$Q:$Q,"&lt;=180")</f>
        <v>0</v>
      </c>
      <c r="M106" s="19">
        <f>SUMIFS('Data Additive'!$D:$D,'Data Additive'!$P:$P,'Painel Additive'!$B106,'Data Additive'!$Q:$Q,"&gt;180",'Data Additive'!$Q:$Q,"&lt;=360")</f>
        <v>0</v>
      </c>
      <c r="N106" s="23">
        <f>SUMIFS('Data Additive'!$D:$D,'Data Additive'!$P:$P,'Painel Additive'!$B106,'Data Additive'!$Q:$Q,"&gt;360")</f>
        <v>0</v>
      </c>
      <c r="O106" s="122">
        <f>SUMIFS('Data Additive'!$D:$D,'Data Additive'!$P:$P,'Painel Additive'!$B106,'Data Additive'!$Q:$Q,"&gt;0")</f>
        <v>0</v>
      </c>
      <c r="P106" s="19">
        <f t="shared" ref="P106" si="156">SUM(Q106:W106)</f>
        <v>0</v>
      </c>
      <c r="Q106" s="19">
        <f>SUMIFS('Data Additive'!$D:$D,'Data Additive'!$P:$P,'Painel Additive'!$B106,'Data Additive'!$Q:$Q,"&lt;=0",'Data Additive'!$Q:$Q,"&gt;=-30")</f>
        <v>0</v>
      </c>
      <c r="R106" s="19">
        <f>SUMIFS('Data Additive'!$D:$D,'Data Additive'!$P:$P,'Painel Additive'!$B106,'Data Additive'!$Q:$Q,"&lt;=-31",'Data Additive'!$Q:$Q,"&gt;=-60")</f>
        <v>0</v>
      </c>
      <c r="S106" s="19">
        <f>SUMIFS('Data Additive'!$D:$D,'Data Additive'!$P:$P,'Painel Additive'!$B106,'Data Additive'!$Q:$Q,"&lt;=-61",'Data Additive'!$Q:$Q,"&gt;=-90")</f>
        <v>0</v>
      </c>
      <c r="T106" s="19">
        <f>SUMIFS('Data Additive'!$D:$D,'Data Additive'!$P:$P,'Painel Additive'!$B106,'Data Additive'!$Q:$Q,"&lt;=-91",'Data Additive'!$Q:$Q,"&gt;=-120")</f>
        <v>0</v>
      </c>
      <c r="U106" s="19">
        <f>SUMIFS('Data Additive'!$D:$D,'Data Additive'!$P:$P,'Painel Additive'!$B106,'Data Additive'!$Q:$Q,"&lt;=-121",'Data Additive'!$Q:$Q,"&gt;=-180")</f>
        <v>0</v>
      </c>
      <c r="V106" s="19">
        <f>SUMIFS('Data Additive'!$D:$D,'Data Additive'!$P:$P,'Painel Additive'!$B106,'Data Additive'!$Q:$Q,"&lt;=-181",'Data Additive'!$Q:$Q,"&gt;=-360")</f>
        <v>0</v>
      </c>
      <c r="W106" s="23">
        <f>SUMIFS('Data Additive'!$D:$D,'Data Additive'!$P:$P,'Painel Additive'!$B106,'Data Additive'!$Q:$Q,"&lt;-360")</f>
        <v>0</v>
      </c>
      <c r="X106" s="19">
        <f>SUMIFS('Bad Debt Provision'!AB:AB,'Bad Debt Provision'!B:B,'Painel Additive'!B106)</f>
        <v>0</v>
      </c>
      <c r="Y106" s="5"/>
      <c r="Z106" s="5"/>
      <c r="AA106" s="19">
        <f>IFERROR(_xlfn.XLOOKUP(B106,'Limite de crédito'!C:C,'Limite de crédito'!O:O,),0)</f>
        <v>0</v>
      </c>
      <c r="AB106" s="19"/>
      <c r="AC106" s="20"/>
      <c r="AD106" s="22"/>
      <c r="AE106" s="22"/>
      <c r="AF106" s="5"/>
      <c r="AG106" s="105">
        <f t="shared" ref="AG106" si="157">AA106-G106</f>
        <v>0</v>
      </c>
    </row>
    <row r="107" spans="2:33" x14ac:dyDescent="0.25">
      <c r="B107" s="41" t="s">
        <v>722</v>
      </c>
      <c r="C107" s="224">
        <f>IFERROR(_xlfn.XLOOKUP(B107,'Limite de crédito'!C:C,'Limite de crédito'!L:L,),0)</f>
        <v>0</v>
      </c>
      <c r="D107" s="93"/>
      <c r="E107" s="18">
        <f>_xlfn.XLOOKUP(B107,'Limite de crédito'!C:C,'Limite de crédito'!G:G,0)</f>
        <v>0</v>
      </c>
      <c r="F107" s="18">
        <f t="shared" ref="F107" si="158">E107-G107</f>
        <v>0</v>
      </c>
      <c r="G107" s="18">
        <f t="shared" ref="G107" si="159">P107+O107</f>
        <v>0</v>
      </c>
      <c r="H107" s="19">
        <f>SUMIFS('Data Additive'!$D:$D,'Data Additive'!$P:$P,'Painel Additive'!$B107,'Data Additive'!$Q:$Q,"&gt;0",'Data Additive'!$Q:$Q,"&lt;=30")</f>
        <v>0</v>
      </c>
      <c r="I107" s="19">
        <f>SUMIFS('Data Additive'!$D:$D,'Data Additive'!$P:$P,'Painel Additive'!$B107,'Data Additive'!$Q:$Q,"&gt;30",'Data Additive'!$Q:$Q,"&lt;=60")</f>
        <v>0</v>
      </c>
      <c r="J107" s="19">
        <f>SUMIFS('Data Additive'!$D:$D,'Data Additive'!$P:$P,'Painel Additive'!$B107,'Data Additive'!$Q:$Q,"&gt;60",'Data Additive'!$Q:$Q,"&lt;=90")</f>
        <v>0</v>
      </c>
      <c r="K107" s="19">
        <f>SUMIFS('Data Additive'!$D:$D,'Data Additive'!$P:$P,'Painel Additive'!$B107,'Data Additive'!$Q:$Q,"&gt;90",'Data Additive'!$Q:$Q,"&lt;=120")</f>
        <v>0</v>
      </c>
      <c r="L107" s="19">
        <f>SUMIFS('Data Additive'!$D:$D,'Data Additive'!$P:$P,'Painel Additive'!$B107,'Data Additive'!$Q:$Q,"&gt;120",'Data Additive'!$Q:$Q,"&lt;=180")</f>
        <v>0</v>
      </c>
      <c r="M107" s="19">
        <f>SUMIFS('Data Additive'!$D:$D,'Data Additive'!$P:$P,'Painel Additive'!$B107,'Data Additive'!$Q:$Q,"&gt;180",'Data Additive'!$Q:$Q,"&lt;=360")</f>
        <v>0</v>
      </c>
      <c r="N107" s="23">
        <f>SUMIFS('Data Additive'!$D:$D,'Data Additive'!$P:$P,'Painel Additive'!$B107,'Data Additive'!$Q:$Q,"&gt;360")</f>
        <v>0</v>
      </c>
      <c r="O107" s="122">
        <f>SUMIFS('Data Additive'!$D:$D,'Data Additive'!$P:$P,'Painel Additive'!$B107,'Data Additive'!$Q:$Q,"&gt;0")</f>
        <v>0</v>
      </c>
      <c r="P107" s="19">
        <f t="shared" ref="P107" si="160">SUM(Q107:W107)</f>
        <v>0</v>
      </c>
      <c r="Q107" s="19">
        <f>SUMIFS('Data Additive'!$D:$D,'Data Additive'!$P:$P,'Painel Additive'!$B107,'Data Additive'!$Q:$Q,"&lt;=0",'Data Additive'!$Q:$Q,"&gt;=-30")</f>
        <v>0</v>
      </c>
      <c r="R107" s="19">
        <f>SUMIFS('Data Additive'!$D:$D,'Data Additive'!$P:$P,'Painel Additive'!$B107,'Data Additive'!$Q:$Q,"&lt;=-31",'Data Additive'!$Q:$Q,"&gt;=-60")</f>
        <v>0</v>
      </c>
      <c r="S107" s="19">
        <f>SUMIFS('Data Additive'!$D:$D,'Data Additive'!$P:$P,'Painel Additive'!$B107,'Data Additive'!$Q:$Q,"&lt;=-61",'Data Additive'!$Q:$Q,"&gt;=-90")</f>
        <v>0</v>
      </c>
      <c r="T107" s="19">
        <f>SUMIFS('Data Additive'!$D:$D,'Data Additive'!$P:$P,'Painel Additive'!$B107,'Data Additive'!$Q:$Q,"&lt;=-91",'Data Additive'!$Q:$Q,"&gt;=-120")</f>
        <v>0</v>
      </c>
      <c r="U107" s="19">
        <f>SUMIFS('Data Additive'!$D:$D,'Data Additive'!$P:$P,'Painel Additive'!$B107,'Data Additive'!$Q:$Q,"&lt;=-121",'Data Additive'!$Q:$Q,"&gt;=-180")</f>
        <v>0</v>
      </c>
      <c r="V107" s="19">
        <f>SUMIFS('Data Additive'!$D:$D,'Data Additive'!$P:$P,'Painel Additive'!$B107,'Data Additive'!$Q:$Q,"&lt;=-181",'Data Additive'!$Q:$Q,"&gt;=-360")</f>
        <v>0</v>
      </c>
      <c r="W107" s="23">
        <f>SUMIFS('Data Additive'!$D:$D,'Data Additive'!$P:$P,'Painel Additive'!$B107,'Data Additive'!$Q:$Q,"&lt;-360")</f>
        <v>0</v>
      </c>
      <c r="X107" s="19">
        <f>SUMIFS('Bad Debt Provision'!AB:AB,'Bad Debt Provision'!B:B,'Painel Additive'!B107)</f>
        <v>0</v>
      </c>
      <c r="Y107" s="5"/>
      <c r="Z107" s="5"/>
      <c r="AA107" s="19">
        <f>IFERROR(_xlfn.XLOOKUP(B107,'Limite de crédito'!C:C,'Limite de crédito'!O:O,),0)</f>
        <v>0</v>
      </c>
      <c r="AB107" s="19"/>
      <c r="AC107" s="20"/>
      <c r="AD107" s="22"/>
      <c r="AE107" s="22"/>
      <c r="AF107" s="5"/>
      <c r="AG107" s="105">
        <f t="shared" ref="AG107" si="161">AA107-G107</f>
        <v>0</v>
      </c>
    </row>
    <row r="108" spans="2:33" x14ac:dyDescent="0.25">
      <c r="B108" s="41" t="s">
        <v>723</v>
      </c>
      <c r="C108" s="224">
        <f>IFERROR(_xlfn.XLOOKUP(B108,'Limite de crédito'!C:C,'Limite de crédito'!L:L,),0)</f>
        <v>0</v>
      </c>
      <c r="D108" s="93"/>
      <c r="E108" s="18">
        <f>_xlfn.XLOOKUP(B108,'Limite de crédito'!C:C,'Limite de crédito'!G:G,0)</f>
        <v>0</v>
      </c>
      <c r="F108" s="18">
        <f t="shared" ref="F108" si="162">E108-G108</f>
        <v>0</v>
      </c>
      <c r="G108" s="18">
        <f t="shared" ref="G108" si="163">P108+O108</f>
        <v>0</v>
      </c>
      <c r="H108" s="19">
        <f>SUMIFS('Data Additive'!$D:$D,'Data Additive'!$P:$P,'Painel Additive'!$B108,'Data Additive'!$Q:$Q,"&gt;0",'Data Additive'!$Q:$Q,"&lt;=30")</f>
        <v>0</v>
      </c>
      <c r="I108" s="19">
        <f>SUMIFS('Data Additive'!$D:$D,'Data Additive'!$P:$P,'Painel Additive'!$B108,'Data Additive'!$Q:$Q,"&gt;30",'Data Additive'!$Q:$Q,"&lt;=60")</f>
        <v>0</v>
      </c>
      <c r="J108" s="19">
        <f>SUMIFS('Data Additive'!$D:$D,'Data Additive'!$P:$P,'Painel Additive'!$B108,'Data Additive'!$Q:$Q,"&gt;60",'Data Additive'!$Q:$Q,"&lt;=90")</f>
        <v>0</v>
      </c>
      <c r="K108" s="19">
        <f>SUMIFS('Data Additive'!$D:$D,'Data Additive'!$P:$P,'Painel Additive'!$B108,'Data Additive'!$Q:$Q,"&gt;90",'Data Additive'!$Q:$Q,"&lt;=120")</f>
        <v>0</v>
      </c>
      <c r="L108" s="19">
        <f>SUMIFS('Data Additive'!$D:$D,'Data Additive'!$P:$P,'Painel Additive'!$B108,'Data Additive'!$Q:$Q,"&gt;120",'Data Additive'!$Q:$Q,"&lt;=180")</f>
        <v>0</v>
      </c>
      <c r="M108" s="19">
        <f>SUMIFS('Data Additive'!$D:$D,'Data Additive'!$P:$P,'Painel Additive'!$B108,'Data Additive'!$Q:$Q,"&gt;180",'Data Additive'!$Q:$Q,"&lt;=360")</f>
        <v>0</v>
      </c>
      <c r="N108" s="23">
        <f>SUMIFS('Data Additive'!$D:$D,'Data Additive'!$P:$P,'Painel Additive'!$B108,'Data Additive'!$Q:$Q,"&gt;360")</f>
        <v>0</v>
      </c>
      <c r="O108" s="122">
        <f>SUMIFS('Data Additive'!$D:$D,'Data Additive'!$P:$P,'Painel Additive'!$B108,'Data Additive'!$Q:$Q,"&gt;0")</f>
        <v>0</v>
      </c>
      <c r="P108" s="19">
        <f t="shared" ref="P108" si="164">SUM(Q108:W108)</f>
        <v>0</v>
      </c>
      <c r="Q108" s="19">
        <f>SUMIFS('Data Additive'!$D:$D,'Data Additive'!$P:$P,'Painel Additive'!$B108,'Data Additive'!$Q:$Q,"&lt;=0",'Data Additive'!$Q:$Q,"&gt;=-30")</f>
        <v>0</v>
      </c>
      <c r="R108" s="19">
        <f>SUMIFS('Data Additive'!$D:$D,'Data Additive'!$P:$P,'Painel Additive'!$B108,'Data Additive'!$Q:$Q,"&lt;=-31",'Data Additive'!$Q:$Q,"&gt;=-60")</f>
        <v>0</v>
      </c>
      <c r="S108" s="19">
        <f>SUMIFS('Data Additive'!$D:$D,'Data Additive'!$P:$P,'Painel Additive'!$B108,'Data Additive'!$Q:$Q,"&lt;=-61",'Data Additive'!$Q:$Q,"&gt;=-90")</f>
        <v>0</v>
      </c>
      <c r="T108" s="19">
        <f>SUMIFS('Data Additive'!$D:$D,'Data Additive'!$P:$P,'Painel Additive'!$B108,'Data Additive'!$Q:$Q,"&lt;=-91",'Data Additive'!$Q:$Q,"&gt;=-120")</f>
        <v>0</v>
      </c>
      <c r="U108" s="19">
        <f>SUMIFS('Data Additive'!$D:$D,'Data Additive'!$P:$P,'Painel Additive'!$B108,'Data Additive'!$Q:$Q,"&lt;=-121",'Data Additive'!$Q:$Q,"&gt;=-180")</f>
        <v>0</v>
      </c>
      <c r="V108" s="19">
        <f>SUMIFS('Data Additive'!$D:$D,'Data Additive'!$P:$P,'Painel Additive'!$B108,'Data Additive'!$Q:$Q,"&lt;=-181",'Data Additive'!$Q:$Q,"&gt;=-360")</f>
        <v>0</v>
      </c>
      <c r="W108" s="23">
        <f>SUMIFS('Data Additive'!$D:$D,'Data Additive'!$P:$P,'Painel Additive'!$B108,'Data Additive'!$Q:$Q,"&lt;-360")</f>
        <v>0</v>
      </c>
      <c r="X108" s="19">
        <f>SUMIFS('Bad Debt Provision'!AB:AB,'Bad Debt Provision'!B:B,'Painel Additive'!B108)</f>
        <v>0</v>
      </c>
      <c r="Y108" s="5"/>
      <c r="Z108" s="5"/>
      <c r="AA108" s="19">
        <f>IFERROR(_xlfn.XLOOKUP(B108,'Limite de crédito'!C:C,'Limite de crédito'!O:O,),0)</f>
        <v>0</v>
      </c>
      <c r="AB108" s="19"/>
      <c r="AC108" s="20"/>
      <c r="AD108" s="22"/>
      <c r="AE108" s="22"/>
      <c r="AF108" s="5"/>
      <c r="AG108" s="105">
        <f t="shared" ref="AG108" si="165">AA108-G108</f>
        <v>0</v>
      </c>
    </row>
    <row r="109" spans="2:33" x14ac:dyDescent="0.25">
      <c r="B109" s="41" t="s">
        <v>725</v>
      </c>
      <c r="C109" s="224">
        <f>IFERROR(_xlfn.XLOOKUP(B109,'Limite de crédito'!C:C,'Limite de crédito'!L:L,),0)</f>
        <v>0</v>
      </c>
      <c r="D109" s="93"/>
      <c r="E109" s="18">
        <f>_xlfn.XLOOKUP(B109,'Limite de crédito'!C:C,'Limite de crédito'!G:G,0)</f>
        <v>0</v>
      </c>
      <c r="F109" s="18">
        <f t="shared" ref="F109" si="166">E109-G109</f>
        <v>0</v>
      </c>
      <c r="G109" s="18">
        <f t="shared" ref="G109" si="167">P109+O109</f>
        <v>0</v>
      </c>
      <c r="H109" s="19">
        <f>SUMIFS('Data Additive'!$D:$D,'Data Additive'!$P:$P,'Painel Additive'!$B109,'Data Additive'!$Q:$Q,"&gt;0",'Data Additive'!$Q:$Q,"&lt;=30")</f>
        <v>0</v>
      </c>
      <c r="I109" s="19">
        <f>SUMIFS('Data Additive'!$D:$D,'Data Additive'!$P:$P,'Painel Additive'!$B109,'Data Additive'!$Q:$Q,"&gt;30",'Data Additive'!$Q:$Q,"&lt;=60")</f>
        <v>0</v>
      </c>
      <c r="J109" s="19">
        <f>SUMIFS('Data Additive'!$D:$D,'Data Additive'!$P:$P,'Painel Additive'!$B109,'Data Additive'!$Q:$Q,"&gt;60",'Data Additive'!$Q:$Q,"&lt;=90")</f>
        <v>0</v>
      </c>
      <c r="K109" s="19">
        <f>SUMIFS('Data Additive'!$D:$D,'Data Additive'!$P:$P,'Painel Additive'!$B109,'Data Additive'!$Q:$Q,"&gt;90",'Data Additive'!$Q:$Q,"&lt;=120")</f>
        <v>0</v>
      </c>
      <c r="L109" s="19">
        <f>SUMIFS('Data Additive'!$D:$D,'Data Additive'!$P:$P,'Painel Additive'!$B109,'Data Additive'!$Q:$Q,"&gt;120",'Data Additive'!$Q:$Q,"&lt;=180")</f>
        <v>0</v>
      </c>
      <c r="M109" s="19">
        <f>SUMIFS('Data Additive'!$D:$D,'Data Additive'!$P:$P,'Painel Additive'!$B109,'Data Additive'!$Q:$Q,"&gt;180",'Data Additive'!$Q:$Q,"&lt;=360")</f>
        <v>0</v>
      </c>
      <c r="N109" s="23">
        <f>SUMIFS('Data Additive'!$D:$D,'Data Additive'!$P:$P,'Painel Additive'!$B109,'Data Additive'!$Q:$Q,"&gt;360")</f>
        <v>0</v>
      </c>
      <c r="O109" s="122">
        <f>SUMIFS('Data Additive'!$D:$D,'Data Additive'!$P:$P,'Painel Additive'!$B109,'Data Additive'!$Q:$Q,"&gt;0")</f>
        <v>0</v>
      </c>
      <c r="P109" s="19">
        <f t="shared" ref="P109" si="168">SUM(Q109:W109)</f>
        <v>0</v>
      </c>
      <c r="Q109" s="19">
        <f>SUMIFS('Data Additive'!$D:$D,'Data Additive'!$P:$P,'Painel Additive'!$B109,'Data Additive'!$Q:$Q,"&lt;=0",'Data Additive'!$Q:$Q,"&gt;=-30")</f>
        <v>0</v>
      </c>
      <c r="R109" s="19">
        <f>SUMIFS('Data Additive'!$D:$D,'Data Additive'!$P:$P,'Painel Additive'!$B109,'Data Additive'!$Q:$Q,"&lt;=-31",'Data Additive'!$Q:$Q,"&gt;=-60")</f>
        <v>0</v>
      </c>
      <c r="S109" s="19">
        <f>SUMIFS('Data Additive'!$D:$D,'Data Additive'!$P:$P,'Painel Additive'!$B109,'Data Additive'!$Q:$Q,"&lt;=-61",'Data Additive'!$Q:$Q,"&gt;=-90")</f>
        <v>0</v>
      </c>
      <c r="T109" s="19">
        <f>SUMIFS('Data Additive'!$D:$D,'Data Additive'!$P:$P,'Painel Additive'!$B109,'Data Additive'!$Q:$Q,"&lt;=-91",'Data Additive'!$Q:$Q,"&gt;=-120")</f>
        <v>0</v>
      </c>
      <c r="U109" s="19">
        <f>SUMIFS('Data Additive'!$D:$D,'Data Additive'!$P:$P,'Painel Additive'!$B109,'Data Additive'!$Q:$Q,"&lt;=-121",'Data Additive'!$Q:$Q,"&gt;=-180")</f>
        <v>0</v>
      </c>
      <c r="V109" s="19">
        <f>SUMIFS('Data Additive'!$D:$D,'Data Additive'!$P:$P,'Painel Additive'!$B109,'Data Additive'!$Q:$Q,"&lt;=-181",'Data Additive'!$Q:$Q,"&gt;=-360")</f>
        <v>0</v>
      </c>
      <c r="W109" s="23">
        <f>SUMIFS('Data Additive'!$D:$D,'Data Additive'!$P:$P,'Painel Additive'!$B109,'Data Additive'!$Q:$Q,"&lt;-360")</f>
        <v>0</v>
      </c>
      <c r="X109" s="19">
        <f>SUMIFS('Bad Debt Provision'!AB:AB,'Bad Debt Provision'!B:B,'Painel Additive'!B109)</f>
        <v>0</v>
      </c>
      <c r="Y109" s="5"/>
      <c r="Z109" s="5"/>
      <c r="AA109" s="19">
        <f>IFERROR(_xlfn.XLOOKUP(B109,'Limite de crédito'!C:C,'Limite de crédito'!O:O,),0)</f>
        <v>0</v>
      </c>
      <c r="AB109" s="19"/>
      <c r="AC109" s="20"/>
      <c r="AD109" s="22"/>
      <c r="AE109" s="22"/>
      <c r="AF109" s="5"/>
      <c r="AG109" s="105">
        <f t="shared" ref="AG109" si="169">AA109-G109</f>
        <v>0</v>
      </c>
    </row>
    <row r="110" spans="2:33" x14ac:dyDescent="0.25">
      <c r="B110" s="41" t="s">
        <v>728</v>
      </c>
      <c r="C110" s="224">
        <f>IFERROR(_xlfn.XLOOKUP(B110,'Limite de crédito'!C:C,'Limite de crédito'!L:L,),0)</f>
        <v>0</v>
      </c>
      <c r="D110" s="93"/>
      <c r="E110" s="18">
        <f>_xlfn.XLOOKUP(B110,'Limite de crédito'!C:C,'Limite de crédito'!G:G,0)</f>
        <v>0</v>
      </c>
      <c r="F110" s="18">
        <f t="shared" ref="F110:F113" si="170">E110-G110</f>
        <v>0</v>
      </c>
      <c r="G110" s="18">
        <f t="shared" ref="G110:G113" si="171">P110+O110</f>
        <v>0</v>
      </c>
      <c r="H110" s="19">
        <f>SUMIFS('Data Additive'!$D:$D,'Data Additive'!$P:$P,'Painel Additive'!$B110,'Data Additive'!$Q:$Q,"&gt;0",'Data Additive'!$Q:$Q,"&lt;=30")</f>
        <v>0</v>
      </c>
      <c r="I110" s="19">
        <f>SUMIFS('Data Additive'!$D:$D,'Data Additive'!$P:$P,'Painel Additive'!$B110,'Data Additive'!$Q:$Q,"&gt;30",'Data Additive'!$Q:$Q,"&lt;=60")</f>
        <v>0</v>
      </c>
      <c r="J110" s="19">
        <f>SUMIFS('Data Additive'!$D:$D,'Data Additive'!$P:$P,'Painel Additive'!$B110,'Data Additive'!$Q:$Q,"&gt;60",'Data Additive'!$Q:$Q,"&lt;=90")</f>
        <v>0</v>
      </c>
      <c r="K110" s="19">
        <f>SUMIFS('Data Additive'!$D:$D,'Data Additive'!$P:$P,'Painel Additive'!$B110,'Data Additive'!$Q:$Q,"&gt;90",'Data Additive'!$Q:$Q,"&lt;=120")</f>
        <v>0</v>
      </c>
      <c r="L110" s="19">
        <f>SUMIFS('Data Additive'!$D:$D,'Data Additive'!$P:$P,'Painel Additive'!$B110,'Data Additive'!$Q:$Q,"&gt;120",'Data Additive'!$Q:$Q,"&lt;=180")</f>
        <v>0</v>
      </c>
      <c r="M110" s="19">
        <f>SUMIFS('Data Additive'!$D:$D,'Data Additive'!$P:$P,'Painel Additive'!$B110,'Data Additive'!$Q:$Q,"&gt;180",'Data Additive'!$Q:$Q,"&lt;=360")</f>
        <v>0</v>
      </c>
      <c r="N110" s="23">
        <f>SUMIFS('Data Additive'!$D:$D,'Data Additive'!$P:$P,'Painel Additive'!$B110,'Data Additive'!$Q:$Q,"&gt;360")</f>
        <v>0</v>
      </c>
      <c r="O110" s="122">
        <f>SUMIFS('Data Additive'!$D:$D,'Data Additive'!$P:$P,'Painel Additive'!$B110,'Data Additive'!$Q:$Q,"&gt;0")</f>
        <v>0</v>
      </c>
      <c r="P110" s="19">
        <f t="shared" ref="P110:P113" si="172">SUM(Q110:W110)</f>
        <v>0</v>
      </c>
      <c r="Q110" s="19">
        <f>SUMIFS('Data Additive'!$D:$D,'Data Additive'!$P:$P,'Painel Additive'!$B110,'Data Additive'!$Q:$Q,"&lt;=0",'Data Additive'!$Q:$Q,"&gt;=-30")</f>
        <v>0</v>
      </c>
      <c r="R110" s="19">
        <f>SUMIFS('Data Additive'!$D:$D,'Data Additive'!$P:$P,'Painel Additive'!$B110,'Data Additive'!$Q:$Q,"&lt;=-31",'Data Additive'!$Q:$Q,"&gt;=-60")</f>
        <v>0</v>
      </c>
      <c r="S110" s="19">
        <f>SUMIFS('Data Additive'!$D:$D,'Data Additive'!$P:$P,'Painel Additive'!$B110,'Data Additive'!$Q:$Q,"&lt;=-61",'Data Additive'!$Q:$Q,"&gt;=-90")</f>
        <v>0</v>
      </c>
      <c r="T110" s="19">
        <f>SUMIFS('Data Additive'!$D:$D,'Data Additive'!$P:$P,'Painel Additive'!$B110,'Data Additive'!$Q:$Q,"&lt;=-91",'Data Additive'!$Q:$Q,"&gt;=-120")</f>
        <v>0</v>
      </c>
      <c r="U110" s="19">
        <f>SUMIFS('Data Additive'!$D:$D,'Data Additive'!$P:$P,'Painel Additive'!$B110,'Data Additive'!$Q:$Q,"&lt;=-121",'Data Additive'!$Q:$Q,"&gt;=-180")</f>
        <v>0</v>
      </c>
      <c r="V110" s="19">
        <f>SUMIFS('Data Additive'!$D:$D,'Data Additive'!$P:$P,'Painel Additive'!$B110,'Data Additive'!$Q:$Q,"&lt;=-181",'Data Additive'!$Q:$Q,"&gt;=-360")</f>
        <v>0</v>
      </c>
      <c r="W110" s="23">
        <f>SUMIFS('Data Additive'!$D:$D,'Data Additive'!$P:$P,'Painel Additive'!$B110,'Data Additive'!$Q:$Q,"&lt;-360")</f>
        <v>0</v>
      </c>
      <c r="X110" s="19">
        <f>SUMIFS('Bad Debt Provision'!AB:AB,'Bad Debt Provision'!B:B,'Painel Additive'!B110)</f>
        <v>0</v>
      </c>
      <c r="Y110" s="5"/>
      <c r="Z110" s="5"/>
      <c r="AA110" s="19">
        <f>IFERROR(_xlfn.XLOOKUP(B110,'Limite de crédito'!C:C,'Limite de crédito'!O:O,),0)</f>
        <v>0</v>
      </c>
      <c r="AB110" s="19"/>
      <c r="AC110" s="20"/>
      <c r="AD110" s="22"/>
      <c r="AE110" s="22"/>
      <c r="AF110" s="5"/>
      <c r="AG110" s="105">
        <f t="shared" ref="AG110:AG113" si="173">AA110-G110</f>
        <v>0</v>
      </c>
    </row>
    <row r="111" spans="2:33" x14ac:dyDescent="0.25">
      <c r="B111" s="41" t="s">
        <v>729</v>
      </c>
      <c r="C111" s="224" t="str">
        <f>IFERROR(_xlfn.XLOOKUP(B111,'Limite de crédito'!C:C,'Limite de crédito'!L:L,),0)</f>
        <v>B</v>
      </c>
      <c r="D111" s="93"/>
      <c r="E111" s="18">
        <f>_xlfn.XLOOKUP(B111,'Limite de crédito'!C:C,'Limite de crédito'!G:G,0)</f>
        <v>850000</v>
      </c>
      <c r="F111" s="18">
        <f t="shared" si="170"/>
        <v>605968</v>
      </c>
      <c r="G111" s="18">
        <f t="shared" si="171"/>
        <v>244032</v>
      </c>
      <c r="H111" s="19">
        <f>SUMIFS('Data Additive'!$D:$D,'Data Additive'!$P:$P,'Painel Additive'!$B111,'Data Additive'!$Q:$Q,"&gt;0",'Data Additive'!$Q:$Q,"&lt;=30")</f>
        <v>0</v>
      </c>
      <c r="I111" s="19">
        <f>SUMIFS('Data Additive'!$D:$D,'Data Additive'!$P:$P,'Painel Additive'!$B111,'Data Additive'!$Q:$Q,"&gt;30",'Data Additive'!$Q:$Q,"&lt;=60")</f>
        <v>0</v>
      </c>
      <c r="J111" s="19">
        <f>SUMIFS('Data Additive'!$D:$D,'Data Additive'!$P:$P,'Painel Additive'!$B111,'Data Additive'!$Q:$Q,"&gt;60",'Data Additive'!$Q:$Q,"&lt;=90")</f>
        <v>0</v>
      </c>
      <c r="K111" s="19">
        <f>SUMIFS('Data Additive'!$D:$D,'Data Additive'!$P:$P,'Painel Additive'!$B111,'Data Additive'!$Q:$Q,"&gt;90",'Data Additive'!$Q:$Q,"&lt;=120")</f>
        <v>0</v>
      </c>
      <c r="L111" s="19">
        <f>SUMIFS('Data Additive'!$D:$D,'Data Additive'!$P:$P,'Painel Additive'!$B111,'Data Additive'!$Q:$Q,"&gt;120",'Data Additive'!$Q:$Q,"&lt;=180")</f>
        <v>0</v>
      </c>
      <c r="M111" s="19">
        <f>SUMIFS('Data Additive'!$D:$D,'Data Additive'!$P:$P,'Painel Additive'!$B111,'Data Additive'!$Q:$Q,"&gt;180",'Data Additive'!$Q:$Q,"&lt;=360")</f>
        <v>0</v>
      </c>
      <c r="N111" s="23">
        <f>SUMIFS('Data Additive'!$D:$D,'Data Additive'!$P:$P,'Painel Additive'!$B111,'Data Additive'!$Q:$Q,"&gt;360")</f>
        <v>0</v>
      </c>
      <c r="O111" s="122">
        <f>SUMIFS('Data Additive'!$D:$D,'Data Additive'!$P:$P,'Painel Additive'!$B111,'Data Additive'!$Q:$Q,"&gt;0")</f>
        <v>0</v>
      </c>
      <c r="P111" s="19">
        <f t="shared" si="172"/>
        <v>244032</v>
      </c>
      <c r="Q111" s="19">
        <f>SUMIFS('Data Additive'!$D:$D,'Data Additive'!$P:$P,'Painel Additive'!$B111,'Data Additive'!$Q:$Q,"&lt;=0",'Data Additive'!$Q:$Q,"&gt;=-30")</f>
        <v>121852</v>
      </c>
      <c r="R111" s="19">
        <f>SUMIFS('Data Additive'!$D:$D,'Data Additive'!$P:$P,'Painel Additive'!$B111,'Data Additive'!$Q:$Q,"&lt;=-31",'Data Additive'!$Q:$Q,"&gt;=-60")</f>
        <v>122180</v>
      </c>
      <c r="S111" s="19">
        <f>SUMIFS('Data Additive'!$D:$D,'Data Additive'!$P:$P,'Painel Additive'!$B111,'Data Additive'!$Q:$Q,"&lt;=-61",'Data Additive'!$Q:$Q,"&gt;=-90")</f>
        <v>0</v>
      </c>
      <c r="T111" s="19">
        <f>SUMIFS('Data Additive'!$D:$D,'Data Additive'!$P:$P,'Painel Additive'!$B111,'Data Additive'!$Q:$Q,"&lt;=-91",'Data Additive'!$Q:$Q,"&gt;=-120")</f>
        <v>0</v>
      </c>
      <c r="U111" s="19">
        <f>SUMIFS('Data Additive'!$D:$D,'Data Additive'!$P:$P,'Painel Additive'!$B111,'Data Additive'!$Q:$Q,"&lt;=-121",'Data Additive'!$Q:$Q,"&gt;=-180")</f>
        <v>0</v>
      </c>
      <c r="V111" s="19">
        <f>SUMIFS('Data Additive'!$D:$D,'Data Additive'!$P:$P,'Painel Additive'!$B111,'Data Additive'!$Q:$Q,"&lt;=-181",'Data Additive'!$Q:$Q,"&gt;=-360")</f>
        <v>0</v>
      </c>
      <c r="W111" s="23">
        <f>SUMIFS('Data Additive'!$D:$D,'Data Additive'!$P:$P,'Painel Additive'!$B111,'Data Additive'!$Q:$Q,"&lt;-360")</f>
        <v>0</v>
      </c>
      <c r="X111" s="19">
        <f>SUMIFS('Bad Debt Provision'!AB:AB,'Bad Debt Provision'!B:B,'Painel Additive'!B111)</f>
        <v>0</v>
      </c>
      <c r="Y111" s="5"/>
      <c r="Z111" s="5"/>
      <c r="AA111" s="19">
        <f>IFERROR(_xlfn.XLOOKUP(B111,'Limite de crédito'!C:C,'Limite de crédito'!O:O,),0)</f>
        <v>850000</v>
      </c>
      <c r="AB111" s="19"/>
      <c r="AC111" s="20"/>
      <c r="AD111" s="22"/>
      <c r="AE111" s="22"/>
      <c r="AF111" s="5"/>
      <c r="AG111" s="105">
        <f t="shared" si="173"/>
        <v>605968</v>
      </c>
    </row>
    <row r="112" spans="2:33" x14ac:dyDescent="0.25">
      <c r="B112" s="41" t="s">
        <v>726</v>
      </c>
      <c r="C112" s="224">
        <f>IFERROR(_xlfn.XLOOKUP(B112,'Limite de crédito'!C:C,'Limite de crédito'!L:L,),0)</f>
        <v>0</v>
      </c>
      <c r="D112" s="93"/>
      <c r="E112" s="18">
        <f>_xlfn.XLOOKUP(B112,'Limite de crédito'!C:C,'Limite de crédito'!G:G,0)</f>
        <v>0</v>
      </c>
      <c r="F112" s="18">
        <f t="shared" si="170"/>
        <v>0</v>
      </c>
      <c r="G112" s="18">
        <f t="shared" si="171"/>
        <v>0</v>
      </c>
      <c r="H112" s="19">
        <f>SUMIFS('Data Additive'!$D:$D,'Data Additive'!$P:$P,'Painel Additive'!$B112,'Data Additive'!$Q:$Q,"&gt;0",'Data Additive'!$Q:$Q,"&lt;=30")</f>
        <v>0</v>
      </c>
      <c r="I112" s="19">
        <f>SUMIFS('Data Additive'!$D:$D,'Data Additive'!$P:$P,'Painel Additive'!$B112,'Data Additive'!$Q:$Q,"&gt;30",'Data Additive'!$Q:$Q,"&lt;=60")</f>
        <v>0</v>
      </c>
      <c r="J112" s="19">
        <f>SUMIFS('Data Additive'!$D:$D,'Data Additive'!$P:$P,'Painel Additive'!$B112,'Data Additive'!$Q:$Q,"&gt;60",'Data Additive'!$Q:$Q,"&lt;=90")</f>
        <v>0</v>
      </c>
      <c r="K112" s="19">
        <f>SUMIFS('Data Additive'!$D:$D,'Data Additive'!$P:$P,'Painel Additive'!$B112,'Data Additive'!$Q:$Q,"&gt;90",'Data Additive'!$Q:$Q,"&lt;=120")</f>
        <v>0</v>
      </c>
      <c r="L112" s="19">
        <f>SUMIFS('Data Additive'!$D:$D,'Data Additive'!$P:$P,'Painel Additive'!$B112,'Data Additive'!$Q:$Q,"&gt;120",'Data Additive'!$Q:$Q,"&lt;=180")</f>
        <v>0</v>
      </c>
      <c r="M112" s="19">
        <f>SUMIFS('Data Additive'!$D:$D,'Data Additive'!$P:$P,'Painel Additive'!$B112,'Data Additive'!$Q:$Q,"&gt;180",'Data Additive'!$Q:$Q,"&lt;=360")</f>
        <v>0</v>
      </c>
      <c r="N112" s="23">
        <f>SUMIFS('Data Additive'!$D:$D,'Data Additive'!$P:$P,'Painel Additive'!$B112,'Data Additive'!$Q:$Q,"&gt;360")</f>
        <v>0</v>
      </c>
      <c r="O112" s="122">
        <f>SUMIFS('Data Additive'!$D:$D,'Data Additive'!$P:$P,'Painel Additive'!$B112,'Data Additive'!$Q:$Q,"&gt;0")</f>
        <v>0</v>
      </c>
      <c r="P112" s="19">
        <f t="shared" si="172"/>
        <v>0</v>
      </c>
      <c r="Q112" s="19">
        <f>SUMIFS('Data Additive'!$D:$D,'Data Additive'!$P:$P,'Painel Additive'!$B112,'Data Additive'!$Q:$Q,"&lt;=0",'Data Additive'!$Q:$Q,"&gt;=-30")</f>
        <v>0</v>
      </c>
      <c r="R112" s="19">
        <f>SUMIFS('Data Additive'!$D:$D,'Data Additive'!$P:$P,'Painel Additive'!$B112,'Data Additive'!$Q:$Q,"&lt;=-31",'Data Additive'!$Q:$Q,"&gt;=-60")</f>
        <v>0</v>
      </c>
      <c r="S112" s="19">
        <f>SUMIFS('Data Additive'!$D:$D,'Data Additive'!$P:$P,'Painel Additive'!$B112,'Data Additive'!$Q:$Q,"&lt;=-61",'Data Additive'!$Q:$Q,"&gt;=-90")</f>
        <v>0</v>
      </c>
      <c r="T112" s="19">
        <f>SUMIFS('Data Additive'!$D:$D,'Data Additive'!$P:$P,'Painel Additive'!$B112,'Data Additive'!$Q:$Q,"&lt;=-91",'Data Additive'!$Q:$Q,"&gt;=-120")</f>
        <v>0</v>
      </c>
      <c r="U112" s="19">
        <f>SUMIFS('Data Additive'!$D:$D,'Data Additive'!$P:$P,'Painel Additive'!$B112,'Data Additive'!$Q:$Q,"&lt;=-121",'Data Additive'!$Q:$Q,"&gt;=-180")</f>
        <v>0</v>
      </c>
      <c r="V112" s="19">
        <f>SUMIFS('Data Additive'!$D:$D,'Data Additive'!$P:$P,'Painel Additive'!$B112,'Data Additive'!$Q:$Q,"&lt;=-181",'Data Additive'!$Q:$Q,"&gt;=-360")</f>
        <v>0</v>
      </c>
      <c r="W112" s="23">
        <f>SUMIFS('Data Additive'!$D:$D,'Data Additive'!$P:$P,'Painel Additive'!$B112,'Data Additive'!$Q:$Q,"&lt;-360")</f>
        <v>0</v>
      </c>
      <c r="X112" s="19">
        <f>SUMIFS('Bad Debt Provision'!AB:AB,'Bad Debt Provision'!B:B,'Painel Additive'!B112)</f>
        <v>0</v>
      </c>
      <c r="Y112" s="5"/>
      <c r="Z112" s="5"/>
      <c r="AA112" s="19">
        <f>IFERROR(_xlfn.XLOOKUP(B112,'Limite de crédito'!C:C,'Limite de crédito'!O:O,),0)</f>
        <v>0</v>
      </c>
      <c r="AB112" s="19"/>
      <c r="AC112" s="20"/>
      <c r="AD112" s="22"/>
      <c r="AE112" s="22"/>
      <c r="AF112" s="5"/>
      <c r="AG112" s="105">
        <f t="shared" si="173"/>
        <v>0</v>
      </c>
    </row>
    <row r="113" spans="2:33" x14ac:dyDescent="0.25">
      <c r="B113" s="41" t="s">
        <v>732</v>
      </c>
      <c r="C113" s="224">
        <f>IFERROR(_xlfn.XLOOKUP(B113,'Limite de crédito'!C:C,'Limite de crédito'!L:L,),0)</f>
        <v>0</v>
      </c>
      <c r="D113" s="93"/>
      <c r="E113" s="18">
        <f>_xlfn.XLOOKUP(B113,'Limite de crédito'!C:C,'Limite de crédito'!G:G,0)</f>
        <v>650000</v>
      </c>
      <c r="F113" s="18">
        <f t="shared" si="170"/>
        <v>650000</v>
      </c>
      <c r="G113" s="18">
        <f t="shared" si="171"/>
        <v>0</v>
      </c>
      <c r="H113" s="19">
        <f>SUMIFS('Data Additive'!$D:$D,'Data Additive'!$P:$P,'Painel Additive'!$B113,'Data Additive'!$Q:$Q,"&gt;0",'Data Additive'!$Q:$Q,"&lt;=30")</f>
        <v>0</v>
      </c>
      <c r="I113" s="19">
        <f>SUMIFS('Data Additive'!$D:$D,'Data Additive'!$P:$P,'Painel Additive'!$B113,'Data Additive'!$Q:$Q,"&gt;30",'Data Additive'!$Q:$Q,"&lt;=60")</f>
        <v>0</v>
      </c>
      <c r="J113" s="19">
        <f>SUMIFS('Data Additive'!$D:$D,'Data Additive'!$P:$P,'Painel Additive'!$B113,'Data Additive'!$Q:$Q,"&gt;60",'Data Additive'!$Q:$Q,"&lt;=90")</f>
        <v>0</v>
      </c>
      <c r="K113" s="19">
        <f>SUMIFS('Data Additive'!$D:$D,'Data Additive'!$P:$P,'Painel Additive'!$B113,'Data Additive'!$Q:$Q,"&gt;90",'Data Additive'!$Q:$Q,"&lt;=120")</f>
        <v>0</v>
      </c>
      <c r="L113" s="19">
        <f>SUMIFS('Data Additive'!$D:$D,'Data Additive'!$P:$P,'Painel Additive'!$B113,'Data Additive'!$Q:$Q,"&gt;120",'Data Additive'!$Q:$Q,"&lt;=180")</f>
        <v>0</v>
      </c>
      <c r="M113" s="19">
        <f>SUMIFS('Data Additive'!$D:$D,'Data Additive'!$P:$P,'Painel Additive'!$B113,'Data Additive'!$Q:$Q,"&gt;180",'Data Additive'!$Q:$Q,"&lt;=360")</f>
        <v>0</v>
      </c>
      <c r="N113" s="23">
        <f>SUMIFS('Data Additive'!$D:$D,'Data Additive'!$P:$P,'Painel Additive'!$B113,'Data Additive'!$Q:$Q,"&gt;360")</f>
        <v>0</v>
      </c>
      <c r="O113" s="122">
        <f>SUMIFS('Data Additive'!$D:$D,'Data Additive'!$P:$P,'Painel Additive'!$B113,'Data Additive'!$Q:$Q,"&gt;0")</f>
        <v>0</v>
      </c>
      <c r="P113" s="19">
        <f t="shared" si="172"/>
        <v>0</v>
      </c>
      <c r="Q113" s="19">
        <f>SUMIFS('Data Additive'!$D:$D,'Data Additive'!$P:$P,'Painel Additive'!$B113,'Data Additive'!$Q:$Q,"&lt;=0",'Data Additive'!$Q:$Q,"&gt;=-30")</f>
        <v>0</v>
      </c>
      <c r="R113" s="19">
        <f>SUMIFS('Data Additive'!$D:$D,'Data Additive'!$P:$P,'Painel Additive'!$B113,'Data Additive'!$Q:$Q,"&lt;=-31",'Data Additive'!$Q:$Q,"&gt;=-60")</f>
        <v>0</v>
      </c>
      <c r="S113" s="19">
        <f>SUMIFS('Data Additive'!$D:$D,'Data Additive'!$P:$P,'Painel Additive'!$B113,'Data Additive'!$Q:$Q,"&lt;=-61",'Data Additive'!$Q:$Q,"&gt;=-90")</f>
        <v>0</v>
      </c>
      <c r="T113" s="19">
        <f>SUMIFS('Data Additive'!$D:$D,'Data Additive'!$P:$P,'Painel Additive'!$B113,'Data Additive'!$Q:$Q,"&lt;=-91",'Data Additive'!$Q:$Q,"&gt;=-120")</f>
        <v>0</v>
      </c>
      <c r="U113" s="19">
        <f>SUMIFS('Data Additive'!$D:$D,'Data Additive'!$P:$P,'Painel Additive'!$B113,'Data Additive'!$Q:$Q,"&lt;=-121",'Data Additive'!$Q:$Q,"&gt;=-180")</f>
        <v>0</v>
      </c>
      <c r="V113" s="19">
        <f>SUMIFS('Data Additive'!$D:$D,'Data Additive'!$P:$P,'Painel Additive'!$B113,'Data Additive'!$Q:$Q,"&lt;=-181",'Data Additive'!$Q:$Q,"&gt;=-360")</f>
        <v>0</v>
      </c>
      <c r="W113" s="23">
        <f>SUMIFS('Data Additive'!$D:$D,'Data Additive'!$P:$P,'Painel Additive'!$B113,'Data Additive'!$Q:$Q,"&lt;-360")</f>
        <v>0</v>
      </c>
      <c r="X113" s="19">
        <f>SUMIFS('Bad Debt Provision'!AB:AB,'Bad Debt Provision'!B:B,'Painel Additive'!B113)</f>
        <v>0</v>
      </c>
      <c r="Y113" s="5"/>
      <c r="Z113" s="5"/>
      <c r="AA113" s="19">
        <f>IFERROR(_xlfn.XLOOKUP(B113,'Limite de crédito'!C:C,'Limite de crédito'!O:O,),0)</f>
        <v>650000</v>
      </c>
      <c r="AB113" s="19"/>
      <c r="AC113" s="20"/>
      <c r="AD113" s="22"/>
      <c r="AE113" s="22"/>
      <c r="AF113" s="5"/>
      <c r="AG113" s="105">
        <f t="shared" si="173"/>
        <v>650000</v>
      </c>
    </row>
    <row r="114" spans="2:33" x14ac:dyDescent="0.25">
      <c r="B114" s="41" t="s">
        <v>727</v>
      </c>
      <c r="C114" s="224">
        <f>IFERROR(_xlfn.XLOOKUP(B114,'Limite de crédito'!C:C,'Limite de crédito'!L:L,),0)</f>
        <v>0</v>
      </c>
      <c r="D114" s="93"/>
      <c r="E114" s="18">
        <f>_xlfn.XLOOKUP(B114,'Limite de crédito'!C:C,'Limite de crédito'!G:G,0)</f>
        <v>0</v>
      </c>
      <c r="F114" s="18">
        <f t="shared" ref="F114" si="174">E114-G114</f>
        <v>0</v>
      </c>
      <c r="G114" s="18">
        <f t="shared" ref="G114" si="175">P114+O114</f>
        <v>0</v>
      </c>
      <c r="H114" s="19">
        <f>SUMIFS('Data Additive'!$D:$D,'Data Additive'!$P:$P,'Painel Additive'!$B114,'Data Additive'!$Q:$Q,"&gt;0",'Data Additive'!$Q:$Q,"&lt;=30")</f>
        <v>0</v>
      </c>
      <c r="I114" s="19">
        <f>SUMIFS('Data Additive'!$D:$D,'Data Additive'!$P:$P,'Painel Additive'!$B114,'Data Additive'!$Q:$Q,"&gt;30",'Data Additive'!$Q:$Q,"&lt;=60")</f>
        <v>0</v>
      </c>
      <c r="J114" s="19">
        <f>SUMIFS('Data Additive'!$D:$D,'Data Additive'!$P:$P,'Painel Additive'!$B114,'Data Additive'!$Q:$Q,"&gt;60",'Data Additive'!$Q:$Q,"&lt;=90")</f>
        <v>0</v>
      </c>
      <c r="K114" s="19">
        <f>SUMIFS('Data Additive'!$D:$D,'Data Additive'!$P:$P,'Painel Additive'!$B114,'Data Additive'!$Q:$Q,"&gt;90",'Data Additive'!$Q:$Q,"&lt;=120")</f>
        <v>0</v>
      </c>
      <c r="L114" s="19">
        <f>SUMIFS('Data Additive'!$D:$D,'Data Additive'!$P:$P,'Painel Additive'!$B114,'Data Additive'!$Q:$Q,"&gt;120",'Data Additive'!$Q:$Q,"&lt;=180")</f>
        <v>0</v>
      </c>
      <c r="M114" s="19">
        <f>SUMIFS('Data Additive'!$D:$D,'Data Additive'!$P:$P,'Painel Additive'!$B114,'Data Additive'!$Q:$Q,"&gt;180",'Data Additive'!$Q:$Q,"&lt;=360")</f>
        <v>0</v>
      </c>
      <c r="N114" s="23">
        <f>SUMIFS('Data Additive'!$D:$D,'Data Additive'!$P:$P,'Painel Additive'!$B114,'Data Additive'!$Q:$Q,"&gt;360")</f>
        <v>0</v>
      </c>
      <c r="O114" s="122">
        <f>SUMIFS('Data Additive'!$D:$D,'Data Additive'!$P:$P,'Painel Additive'!$B114,'Data Additive'!$Q:$Q,"&gt;0")</f>
        <v>0</v>
      </c>
      <c r="P114" s="19">
        <f t="shared" ref="P114" si="176">SUM(Q114:W114)</f>
        <v>0</v>
      </c>
      <c r="Q114" s="19">
        <f>SUMIFS('Data Additive'!$D:$D,'Data Additive'!$P:$P,'Painel Additive'!$B114,'Data Additive'!$Q:$Q,"&lt;=0",'Data Additive'!$Q:$Q,"&gt;=-30")</f>
        <v>0</v>
      </c>
      <c r="R114" s="19">
        <f>SUMIFS('Data Additive'!$D:$D,'Data Additive'!$P:$P,'Painel Additive'!$B114,'Data Additive'!$Q:$Q,"&lt;=-31",'Data Additive'!$Q:$Q,"&gt;=-60")</f>
        <v>0</v>
      </c>
      <c r="S114" s="19">
        <f>SUMIFS('Data Additive'!$D:$D,'Data Additive'!$P:$P,'Painel Additive'!$B114,'Data Additive'!$Q:$Q,"&lt;=-61",'Data Additive'!$Q:$Q,"&gt;=-90")</f>
        <v>0</v>
      </c>
      <c r="T114" s="19">
        <f>SUMIFS('Data Additive'!$D:$D,'Data Additive'!$P:$P,'Painel Additive'!$B114,'Data Additive'!$Q:$Q,"&lt;=-91",'Data Additive'!$Q:$Q,"&gt;=-120")</f>
        <v>0</v>
      </c>
      <c r="U114" s="19">
        <f>SUMIFS('Data Additive'!$D:$D,'Data Additive'!$P:$P,'Painel Additive'!$B114,'Data Additive'!$Q:$Q,"&lt;=-121",'Data Additive'!$Q:$Q,"&gt;=-180")</f>
        <v>0</v>
      </c>
      <c r="V114" s="19">
        <f>SUMIFS('Data Additive'!$D:$D,'Data Additive'!$P:$P,'Painel Additive'!$B114,'Data Additive'!$Q:$Q,"&lt;=-181",'Data Additive'!$Q:$Q,"&gt;=-360")</f>
        <v>0</v>
      </c>
      <c r="W114" s="23">
        <f>SUMIFS('Data Additive'!$D:$D,'Data Additive'!$P:$P,'Painel Additive'!$B114,'Data Additive'!$Q:$Q,"&lt;-360")</f>
        <v>0</v>
      </c>
      <c r="X114" s="19">
        <f>SUMIFS('Bad Debt Provision'!AB:AB,'Bad Debt Provision'!B:B,'Painel Additive'!B114)</f>
        <v>0</v>
      </c>
      <c r="Y114" s="5"/>
      <c r="Z114" s="5"/>
      <c r="AA114" s="19">
        <f>IFERROR(_xlfn.XLOOKUP(B114,'Limite de crédito'!C:C,'Limite de crédito'!O:O,),0)</f>
        <v>0</v>
      </c>
      <c r="AB114" s="19"/>
      <c r="AC114" s="20"/>
      <c r="AD114" s="22"/>
      <c r="AE114" s="22"/>
      <c r="AF114" s="5"/>
      <c r="AG114" s="105">
        <f t="shared" ref="AG114" si="177">AA114-G114</f>
        <v>0</v>
      </c>
    </row>
    <row r="115" spans="2:33" x14ac:dyDescent="0.25">
      <c r="B115" s="41" t="s">
        <v>774</v>
      </c>
      <c r="C115" s="224" t="str">
        <f>IFERROR(_xlfn.XLOOKUP(B115,'Limite de crédito'!C:C,'Limite de crédito'!L:L,),0)</f>
        <v>A</v>
      </c>
      <c r="D115" s="93"/>
      <c r="E115" s="18">
        <f>_xlfn.XLOOKUP(B115,'Limite de crédito'!C:C,'Limite de crédito'!G:G,0)</f>
        <v>1500000</v>
      </c>
      <c r="F115" s="18">
        <f t="shared" ref="F115" si="178">E115-G115</f>
        <v>792448.4</v>
      </c>
      <c r="G115" s="18">
        <f t="shared" ref="G115" si="179">P115+O115</f>
        <v>707551.6</v>
      </c>
      <c r="H115" s="19">
        <f>SUMIFS('Data Additive'!$D:$D,'Data Additive'!$P:$P,'Painel Additive'!$B115,'Data Additive'!$Q:$Q,"&gt;0",'Data Additive'!$Q:$Q,"&lt;=30")</f>
        <v>0</v>
      </c>
      <c r="I115" s="19">
        <f>SUMIFS('Data Additive'!$D:$D,'Data Additive'!$P:$P,'Painel Additive'!$B115,'Data Additive'!$Q:$Q,"&gt;30",'Data Additive'!$Q:$Q,"&lt;=60")</f>
        <v>0</v>
      </c>
      <c r="J115" s="19">
        <f>SUMIFS('Data Additive'!$D:$D,'Data Additive'!$P:$P,'Painel Additive'!$B115,'Data Additive'!$Q:$Q,"&gt;60",'Data Additive'!$Q:$Q,"&lt;=90")</f>
        <v>0</v>
      </c>
      <c r="K115" s="19">
        <f>SUMIFS('Data Additive'!$D:$D,'Data Additive'!$P:$P,'Painel Additive'!$B115,'Data Additive'!$Q:$Q,"&gt;90",'Data Additive'!$Q:$Q,"&lt;=120")</f>
        <v>0</v>
      </c>
      <c r="L115" s="19">
        <f>SUMIFS('Data Additive'!$D:$D,'Data Additive'!$P:$P,'Painel Additive'!$B115,'Data Additive'!$Q:$Q,"&gt;120",'Data Additive'!$Q:$Q,"&lt;=180")</f>
        <v>0</v>
      </c>
      <c r="M115" s="19">
        <f>SUMIFS('Data Additive'!$D:$D,'Data Additive'!$P:$P,'Painel Additive'!$B115,'Data Additive'!$Q:$Q,"&gt;180",'Data Additive'!$Q:$Q,"&lt;=360")</f>
        <v>0</v>
      </c>
      <c r="N115" s="23">
        <f>SUMIFS('Data Additive'!$D:$D,'Data Additive'!$P:$P,'Painel Additive'!$B115,'Data Additive'!$Q:$Q,"&gt;360")</f>
        <v>0</v>
      </c>
      <c r="O115" s="122">
        <f>SUMIFS('Data Additive'!$D:$D,'Data Additive'!$P:$P,'Painel Additive'!$B115,'Data Additive'!$Q:$Q,"&gt;0")</f>
        <v>0</v>
      </c>
      <c r="P115" s="19">
        <f t="shared" ref="P115" si="180">SUM(Q115:W115)</f>
        <v>707551.6</v>
      </c>
      <c r="Q115" s="19">
        <f>SUMIFS('Data Additive'!$D:$D,'Data Additive'!$P:$P,'Painel Additive'!$B115,'Data Additive'!$Q:$Q,"&lt;=0",'Data Additive'!$Q:$Q,"&gt;=-30")</f>
        <v>70705.600000000006</v>
      </c>
      <c r="R115" s="19">
        <f>SUMIFS('Data Additive'!$D:$D,'Data Additive'!$P:$P,'Painel Additive'!$B115,'Data Additive'!$Q:$Q,"&lt;=-31",'Data Additive'!$Q:$Q,"&gt;=-60")</f>
        <v>141600</v>
      </c>
      <c r="S115" s="19">
        <f>SUMIFS('Data Additive'!$D:$D,'Data Additive'!$P:$P,'Painel Additive'!$B115,'Data Additive'!$Q:$Q,"&lt;=-61",'Data Additive'!$Q:$Q,"&gt;=-90")</f>
        <v>495246</v>
      </c>
      <c r="T115" s="19">
        <f>SUMIFS('Data Additive'!$D:$D,'Data Additive'!$P:$P,'Painel Additive'!$B115,'Data Additive'!$Q:$Q,"&lt;=-91",'Data Additive'!$Q:$Q,"&gt;=-120")</f>
        <v>0</v>
      </c>
      <c r="U115" s="19">
        <f>SUMIFS('Data Additive'!$D:$D,'Data Additive'!$P:$P,'Painel Additive'!$B115,'Data Additive'!$Q:$Q,"&lt;=-121",'Data Additive'!$Q:$Q,"&gt;=-180")</f>
        <v>0</v>
      </c>
      <c r="V115" s="19">
        <f>SUMIFS('Data Additive'!$D:$D,'Data Additive'!$P:$P,'Painel Additive'!$B115,'Data Additive'!$Q:$Q,"&lt;=-181",'Data Additive'!$Q:$Q,"&gt;=-360")</f>
        <v>0</v>
      </c>
      <c r="W115" s="23">
        <f>SUMIFS('Data Additive'!$D:$D,'Data Additive'!$P:$P,'Painel Additive'!$B115,'Data Additive'!$Q:$Q,"&lt;-360")</f>
        <v>0</v>
      </c>
      <c r="X115" s="19">
        <f>SUMIFS('Bad Debt Provision'!AB:AB,'Bad Debt Provision'!B:B,'Painel Additive'!B115)</f>
        <v>1800</v>
      </c>
      <c r="Y115" s="5"/>
      <c r="Z115" s="5"/>
      <c r="AA115" s="19">
        <f>IFERROR(_xlfn.XLOOKUP(B115,'Limite de crédito'!C:C,'Limite de crédito'!O:O,),0)</f>
        <v>1500000</v>
      </c>
      <c r="AB115" s="19"/>
      <c r="AC115" s="20"/>
      <c r="AD115" s="22"/>
      <c r="AE115" s="22"/>
      <c r="AF115" s="5"/>
      <c r="AG115" s="105">
        <f t="shared" ref="AG115" si="181">AA115-G115</f>
        <v>792448.4</v>
      </c>
    </row>
    <row r="116" spans="2:33" x14ac:dyDescent="0.25">
      <c r="B116" s="41" t="s">
        <v>776</v>
      </c>
      <c r="C116" s="224">
        <f>IFERROR(_xlfn.XLOOKUP(B116,'Limite de crédito'!C:C,'Limite de crédito'!L:L,),0)</f>
        <v>0</v>
      </c>
      <c r="D116" s="93"/>
      <c r="E116" s="18">
        <f>_xlfn.XLOOKUP(B116,'Limite de crédito'!C:C,'Limite de crédito'!G:G,0)</f>
        <v>0</v>
      </c>
      <c r="F116" s="18">
        <f t="shared" ref="F116" si="182">E116-G116</f>
        <v>0</v>
      </c>
      <c r="G116" s="18">
        <f t="shared" ref="G116" si="183">P116+O116</f>
        <v>0</v>
      </c>
      <c r="H116" s="19">
        <f>SUMIFS('Data Additive'!$D:$D,'Data Additive'!$P:$P,'Painel Additive'!$B116,'Data Additive'!$Q:$Q,"&gt;0",'Data Additive'!$Q:$Q,"&lt;=30")</f>
        <v>0</v>
      </c>
      <c r="I116" s="19">
        <f>SUMIFS('Data Additive'!$D:$D,'Data Additive'!$P:$P,'Painel Additive'!$B116,'Data Additive'!$Q:$Q,"&gt;30",'Data Additive'!$Q:$Q,"&lt;=60")</f>
        <v>0</v>
      </c>
      <c r="J116" s="19">
        <f>SUMIFS('Data Additive'!$D:$D,'Data Additive'!$P:$P,'Painel Additive'!$B116,'Data Additive'!$Q:$Q,"&gt;60",'Data Additive'!$Q:$Q,"&lt;=90")</f>
        <v>0</v>
      </c>
      <c r="K116" s="19">
        <f>SUMIFS('Data Additive'!$D:$D,'Data Additive'!$P:$P,'Painel Additive'!$B116,'Data Additive'!$Q:$Q,"&gt;90",'Data Additive'!$Q:$Q,"&lt;=120")</f>
        <v>0</v>
      </c>
      <c r="L116" s="19">
        <f>SUMIFS('Data Additive'!$D:$D,'Data Additive'!$P:$P,'Painel Additive'!$B116,'Data Additive'!$Q:$Q,"&gt;120",'Data Additive'!$Q:$Q,"&lt;=180")</f>
        <v>0</v>
      </c>
      <c r="M116" s="19">
        <f>SUMIFS('Data Additive'!$D:$D,'Data Additive'!$P:$P,'Painel Additive'!$B116,'Data Additive'!$Q:$Q,"&gt;180",'Data Additive'!$Q:$Q,"&lt;=360")</f>
        <v>0</v>
      </c>
      <c r="N116" s="23">
        <f>SUMIFS('Data Additive'!$D:$D,'Data Additive'!$P:$P,'Painel Additive'!$B116,'Data Additive'!$Q:$Q,"&gt;360")</f>
        <v>0</v>
      </c>
      <c r="O116" s="122">
        <f>SUMIFS('Data Additive'!$D:$D,'Data Additive'!$P:$P,'Painel Additive'!$B116,'Data Additive'!$Q:$Q,"&gt;0")</f>
        <v>0</v>
      </c>
      <c r="P116" s="19">
        <f t="shared" ref="P116" si="184">SUM(Q116:W116)</f>
        <v>0</v>
      </c>
      <c r="Q116" s="19">
        <f>SUMIFS('Data Additive'!$D:$D,'Data Additive'!$P:$P,'Painel Additive'!$B116,'Data Additive'!$Q:$Q,"&lt;=0",'Data Additive'!$Q:$Q,"&gt;=-30")</f>
        <v>0</v>
      </c>
      <c r="R116" s="19">
        <f>SUMIFS('Data Additive'!$D:$D,'Data Additive'!$P:$P,'Painel Additive'!$B116,'Data Additive'!$Q:$Q,"&lt;=-31",'Data Additive'!$Q:$Q,"&gt;=-60")</f>
        <v>0</v>
      </c>
      <c r="S116" s="19">
        <f>SUMIFS('Data Additive'!$D:$D,'Data Additive'!$P:$P,'Painel Additive'!$B116,'Data Additive'!$Q:$Q,"&lt;=-61",'Data Additive'!$Q:$Q,"&gt;=-90")</f>
        <v>0</v>
      </c>
      <c r="T116" s="19">
        <f>SUMIFS('Data Additive'!$D:$D,'Data Additive'!$P:$P,'Painel Additive'!$B116,'Data Additive'!$Q:$Q,"&lt;=-91",'Data Additive'!$Q:$Q,"&gt;=-120")</f>
        <v>0</v>
      </c>
      <c r="U116" s="19">
        <f>SUMIFS('Data Additive'!$D:$D,'Data Additive'!$P:$P,'Painel Additive'!$B116,'Data Additive'!$Q:$Q,"&lt;=-121",'Data Additive'!$Q:$Q,"&gt;=-180")</f>
        <v>0</v>
      </c>
      <c r="V116" s="19">
        <f>SUMIFS('Data Additive'!$D:$D,'Data Additive'!$P:$P,'Painel Additive'!$B116,'Data Additive'!$Q:$Q,"&lt;=-181",'Data Additive'!$Q:$Q,"&gt;=-360")</f>
        <v>0</v>
      </c>
      <c r="W116" s="23">
        <f>SUMIFS('Data Additive'!$D:$D,'Data Additive'!$P:$P,'Painel Additive'!$B116,'Data Additive'!$Q:$Q,"&lt;-360")</f>
        <v>0</v>
      </c>
      <c r="X116" s="19">
        <f>SUMIFS('Bad Debt Provision'!AB:AB,'Bad Debt Provision'!B:B,'Painel Additive'!B116)</f>
        <v>0</v>
      </c>
      <c r="Y116" s="5"/>
      <c r="Z116" s="5"/>
      <c r="AA116" s="19">
        <f>IFERROR(_xlfn.XLOOKUP(B116,'Limite de crédito'!C:C,'Limite de crédito'!O:O,),0)</f>
        <v>0</v>
      </c>
      <c r="AB116" s="19"/>
      <c r="AC116" s="20"/>
      <c r="AD116" s="22"/>
      <c r="AE116" s="22"/>
      <c r="AF116" s="5"/>
      <c r="AG116" s="105">
        <f t="shared" ref="AG116" si="185">AA116-G116</f>
        <v>0</v>
      </c>
    </row>
    <row r="117" spans="2:33" x14ac:dyDescent="0.25">
      <c r="B117" s="41" t="s">
        <v>782</v>
      </c>
      <c r="C117" s="224" t="str">
        <f>IFERROR(_xlfn.XLOOKUP(B117,'Limite de crédito'!C:C,'Limite de crédito'!L:L,),0)</f>
        <v>B</v>
      </c>
      <c r="D117" s="93"/>
      <c r="E117" s="18">
        <f>_xlfn.XLOOKUP(B117,'Limite de crédito'!C:C,'Limite de crédito'!G:G,0)</f>
        <v>50000</v>
      </c>
      <c r="F117" s="18">
        <f t="shared" ref="F117" si="186">E117-G117</f>
        <v>50000</v>
      </c>
      <c r="G117" s="18">
        <f t="shared" ref="G117" si="187">P117+O117</f>
        <v>0</v>
      </c>
      <c r="H117" s="19">
        <f>SUMIFS('Data Additive'!$D:$D,'Data Additive'!$P:$P,'Painel Additive'!$B117,'Data Additive'!$Q:$Q,"&gt;0",'Data Additive'!$Q:$Q,"&lt;=30")</f>
        <v>0</v>
      </c>
      <c r="I117" s="19">
        <f>SUMIFS('Data Additive'!$D:$D,'Data Additive'!$P:$P,'Painel Additive'!$B117,'Data Additive'!$Q:$Q,"&gt;30",'Data Additive'!$Q:$Q,"&lt;=60")</f>
        <v>0</v>
      </c>
      <c r="J117" s="19">
        <f>SUMIFS('Data Additive'!$D:$D,'Data Additive'!$P:$P,'Painel Additive'!$B117,'Data Additive'!$Q:$Q,"&gt;60",'Data Additive'!$Q:$Q,"&lt;=90")</f>
        <v>0</v>
      </c>
      <c r="K117" s="19">
        <f>SUMIFS('Data Additive'!$D:$D,'Data Additive'!$P:$P,'Painel Additive'!$B117,'Data Additive'!$Q:$Q,"&gt;90",'Data Additive'!$Q:$Q,"&lt;=120")</f>
        <v>0</v>
      </c>
      <c r="L117" s="19">
        <f>SUMIFS('Data Additive'!$D:$D,'Data Additive'!$P:$P,'Painel Additive'!$B117,'Data Additive'!$Q:$Q,"&gt;120",'Data Additive'!$Q:$Q,"&lt;=180")</f>
        <v>0</v>
      </c>
      <c r="M117" s="19">
        <f>SUMIFS('Data Additive'!$D:$D,'Data Additive'!$P:$P,'Painel Additive'!$B117,'Data Additive'!$Q:$Q,"&gt;180",'Data Additive'!$Q:$Q,"&lt;=360")</f>
        <v>0</v>
      </c>
      <c r="N117" s="23">
        <f>SUMIFS('Data Additive'!$D:$D,'Data Additive'!$P:$P,'Painel Additive'!$B117,'Data Additive'!$Q:$Q,"&gt;360")</f>
        <v>0</v>
      </c>
      <c r="O117" s="122">
        <f>SUMIFS('Data Additive'!$D:$D,'Data Additive'!$P:$P,'Painel Additive'!$B117,'Data Additive'!$Q:$Q,"&gt;0")</f>
        <v>0</v>
      </c>
      <c r="P117" s="19">
        <f t="shared" ref="P117" si="188">SUM(Q117:W117)</f>
        <v>0</v>
      </c>
      <c r="Q117" s="19">
        <f>SUMIFS('Data Additive'!$D:$D,'Data Additive'!$P:$P,'Painel Additive'!$B117,'Data Additive'!$Q:$Q,"&lt;=0",'Data Additive'!$Q:$Q,"&gt;=-30")</f>
        <v>0</v>
      </c>
      <c r="R117" s="19">
        <f>SUMIFS('Data Additive'!$D:$D,'Data Additive'!$P:$P,'Painel Additive'!$B117,'Data Additive'!$Q:$Q,"&lt;=-31",'Data Additive'!$Q:$Q,"&gt;=-60")</f>
        <v>0</v>
      </c>
      <c r="S117" s="19">
        <f>SUMIFS('Data Additive'!$D:$D,'Data Additive'!$P:$P,'Painel Additive'!$B117,'Data Additive'!$Q:$Q,"&lt;=-61",'Data Additive'!$Q:$Q,"&gt;=-90")</f>
        <v>0</v>
      </c>
      <c r="T117" s="19">
        <f>SUMIFS('Data Additive'!$D:$D,'Data Additive'!$P:$P,'Painel Additive'!$B117,'Data Additive'!$Q:$Q,"&lt;=-91",'Data Additive'!$Q:$Q,"&gt;=-120")</f>
        <v>0</v>
      </c>
      <c r="U117" s="19">
        <f>SUMIFS('Data Additive'!$D:$D,'Data Additive'!$P:$P,'Painel Additive'!$B117,'Data Additive'!$Q:$Q,"&lt;=-121",'Data Additive'!$Q:$Q,"&gt;=-180")</f>
        <v>0</v>
      </c>
      <c r="V117" s="19">
        <f>SUMIFS('Data Additive'!$D:$D,'Data Additive'!$P:$P,'Painel Additive'!$B117,'Data Additive'!$Q:$Q,"&lt;=-181",'Data Additive'!$Q:$Q,"&gt;=-360")</f>
        <v>0</v>
      </c>
      <c r="W117" s="23">
        <f>SUMIFS('Data Additive'!$D:$D,'Data Additive'!$P:$P,'Painel Additive'!$B117,'Data Additive'!$Q:$Q,"&lt;-360")</f>
        <v>0</v>
      </c>
      <c r="X117" s="19">
        <f>SUMIFS('Bad Debt Provision'!AB:AB,'Bad Debt Provision'!B:B,'Painel Additive'!B117)</f>
        <v>0</v>
      </c>
      <c r="Y117" s="5"/>
      <c r="Z117" s="5"/>
      <c r="AA117" s="19">
        <f>IFERROR(_xlfn.XLOOKUP(B117,'Limite de crédito'!C:C,'Limite de crédito'!O:O,),0)</f>
        <v>50000</v>
      </c>
      <c r="AB117" s="19"/>
      <c r="AC117" s="20"/>
      <c r="AD117" s="22"/>
      <c r="AE117" s="22"/>
      <c r="AF117" s="5"/>
      <c r="AG117" s="105">
        <f t="shared" ref="AG117" si="189">AA117-G117</f>
        <v>50000</v>
      </c>
    </row>
    <row r="118" spans="2:33" x14ac:dyDescent="0.25">
      <c r="B118" s="41" t="s">
        <v>784</v>
      </c>
      <c r="C118" s="224">
        <f>IFERROR(_xlfn.XLOOKUP(B118,'Limite de crédito'!C:C,'Limite de crédito'!L:L,),0)</f>
        <v>0</v>
      </c>
      <c r="D118" s="93"/>
      <c r="E118" s="18">
        <f>_xlfn.XLOOKUP(B118,'Limite de crédito'!C:C,'Limite de crédito'!G:G,0)</f>
        <v>0</v>
      </c>
      <c r="F118" s="18">
        <f t="shared" ref="F118:F123" si="190">E118-G118</f>
        <v>0</v>
      </c>
      <c r="G118" s="18">
        <f t="shared" ref="G118:G123" si="191">P118+O118</f>
        <v>0</v>
      </c>
      <c r="H118" s="19">
        <f>SUMIFS('Data Additive'!$D:$D,'Data Additive'!$P:$P,'Painel Additive'!$B118,'Data Additive'!$Q:$Q,"&gt;0",'Data Additive'!$Q:$Q,"&lt;=30")</f>
        <v>0</v>
      </c>
      <c r="I118" s="19">
        <f>SUMIFS('Data Additive'!$D:$D,'Data Additive'!$P:$P,'Painel Additive'!$B118,'Data Additive'!$Q:$Q,"&gt;30",'Data Additive'!$Q:$Q,"&lt;=60")</f>
        <v>0</v>
      </c>
      <c r="J118" s="19">
        <f>SUMIFS('Data Additive'!$D:$D,'Data Additive'!$P:$P,'Painel Additive'!$B118,'Data Additive'!$Q:$Q,"&gt;60",'Data Additive'!$Q:$Q,"&lt;=90")</f>
        <v>0</v>
      </c>
      <c r="K118" s="19">
        <f>SUMIFS('Data Additive'!$D:$D,'Data Additive'!$P:$P,'Painel Additive'!$B118,'Data Additive'!$Q:$Q,"&gt;90",'Data Additive'!$Q:$Q,"&lt;=120")</f>
        <v>0</v>
      </c>
      <c r="L118" s="19">
        <f>SUMIFS('Data Additive'!$D:$D,'Data Additive'!$P:$P,'Painel Additive'!$B118,'Data Additive'!$Q:$Q,"&gt;120",'Data Additive'!$Q:$Q,"&lt;=180")</f>
        <v>0</v>
      </c>
      <c r="M118" s="19">
        <f>SUMIFS('Data Additive'!$D:$D,'Data Additive'!$P:$P,'Painel Additive'!$B118,'Data Additive'!$Q:$Q,"&gt;180",'Data Additive'!$Q:$Q,"&lt;=360")</f>
        <v>0</v>
      </c>
      <c r="N118" s="23">
        <f>SUMIFS('Data Additive'!$D:$D,'Data Additive'!$P:$P,'Painel Additive'!$B118,'Data Additive'!$Q:$Q,"&gt;360")</f>
        <v>0</v>
      </c>
      <c r="O118" s="122">
        <f>SUMIFS('Data Additive'!$D:$D,'Data Additive'!$P:$P,'Painel Additive'!$B118,'Data Additive'!$Q:$Q,"&gt;0")</f>
        <v>0</v>
      </c>
      <c r="P118" s="19">
        <f t="shared" ref="P118:P123" si="192">SUM(Q118:W118)</f>
        <v>0</v>
      </c>
      <c r="Q118" s="19">
        <f>SUMIFS('Data Additive'!$D:$D,'Data Additive'!$P:$P,'Painel Additive'!$B118,'Data Additive'!$Q:$Q,"&lt;=0",'Data Additive'!$Q:$Q,"&gt;=-30")</f>
        <v>0</v>
      </c>
      <c r="R118" s="19">
        <f>SUMIFS('Data Additive'!$D:$D,'Data Additive'!$P:$P,'Painel Additive'!$B118,'Data Additive'!$Q:$Q,"&lt;=-31",'Data Additive'!$Q:$Q,"&gt;=-60")</f>
        <v>0</v>
      </c>
      <c r="S118" s="19">
        <f>SUMIFS('Data Additive'!$D:$D,'Data Additive'!$P:$P,'Painel Additive'!$B118,'Data Additive'!$Q:$Q,"&lt;=-61",'Data Additive'!$Q:$Q,"&gt;=-90")</f>
        <v>0</v>
      </c>
      <c r="T118" s="19">
        <f>SUMIFS('Data Additive'!$D:$D,'Data Additive'!$P:$P,'Painel Additive'!$B118,'Data Additive'!$Q:$Q,"&lt;=-91",'Data Additive'!$Q:$Q,"&gt;=-120")</f>
        <v>0</v>
      </c>
      <c r="U118" s="19">
        <f>SUMIFS('Data Additive'!$D:$D,'Data Additive'!$P:$P,'Painel Additive'!$B118,'Data Additive'!$Q:$Q,"&lt;=-121",'Data Additive'!$Q:$Q,"&gt;=-180")</f>
        <v>0</v>
      </c>
      <c r="V118" s="19">
        <f>SUMIFS('Data Additive'!$D:$D,'Data Additive'!$P:$P,'Painel Additive'!$B118,'Data Additive'!$Q:$Q,"&lt;=-181",'Data Additive'!$Q:$Q,"&gt;=-360")</f>
        <v>0</v>
      </c>
      <c r="W118" s="23">
        <f>SUMIFS('Data Additive'!$D:$D,'Data Additive'!$P:$P,'Painel Additive'!$B118,'Data Additive'!$Q:$Q,"&lt;-360")</f>
        <v>0</v>
      </c>
      <c r="X118" s="19">
        <f>SUMIFS('Bad Debt Provision'!AB:AB,'Bad Debt Provision'!B:B,'Painel Additive'!B118)</f>
        <v>0</v>
      </c>
      <c r="Y118" s="5"/>
      <c r="Z118" s="5"/>
      <c r="AA118" s="19">
        <f>IFERROR(_xlfn.XLOOKUP(B118,'Limite de crédito'!C:C,'Limite de crédito'!O:O,),0)</f>
        <v>0</v>
      </c>
      <c r="AB118" s="19"/>
      <c r="AC118" s="20"/>
      <c r="AD118" s="22"/>
      <c r="AE118" s="22"/>
      <c r="AF118" s="5"/>
      <c r="AG118" s="105">
        <f t="shared" ref="AG118:AG123" si="193">AA118-G118</f>
        <v>0</v>
      </c>
    </row>
    <row r="119" spans="2:33" x14ac:dyDescent="0.25">
      <c r="B119" s="41" t="s">
        <v>783</v>
      </c>
      <c r="C119" s="224">
        <f>IFERROR(_xlfn.XLOOKUP(B119,'Limite de crédito'!C:C,'Limite de crédito'!L:L,),0)</f>
        <v>0</v>
      </c>
      <c r="D119" s="93"/>
      <c r="E119" s="18">
        <f>_xlfn.XLOOKUP(B119,'Limite de crédito'!C:C,'Limite de crédito'!G:G,0)</f>
        <v>0</v>
      </c>
      <c r="F119" s="18">
        <f t="shared" si="190"/>
        <v>0</v>
      </c>
      <c r="G119" s="18">
        <f t="shared" si="191"/>
        <v>0</v>
      </c>
      <c r="H119" s="19">
        <f>SUMIFS('Data Additive'!$D:$D,'Data Additive'!$P:$P,'Painel Additive'!$B119,'Data Additive'!$Q:$Q,"&gt;0",'Data Additive'!$Q:$Q,"&lt;=30")</f>
        <v>0</v>
      </c>
      <c r="I119" s="19">
        <f>SUMIFS('Data Additive'!$D:$D,'Data Additive'!$P:$P,'Painel Additive'!$B119,'Data Additive'!$Q:$Q,"&gt;30",'Data Additive'!$Q:$Q,"&lt;=60")</f>
        <v>0</v>
      </c>
      <c r="J119" s="19">
        <f>SUMIFS('Data Additive'!$D:$D,'Data Additive'!$P:$P,'Painel Additive'!$B119,'Data Additive'!$Q:$Q,"&gt;60",'Data Additive'!$Q:$Q,"&lt;=90")</f>
        <v>0</v>
      </c>
      <c r="K119" s="19">
        <f>SUMIFS('Data Additive'!$D:$D,'Data Additive'!$P:$P,'Painel Additive'!$B119,'Data Additive'!$Q:$Q,"&gt;90",'Data Additive'!$Q:$Q,"&lt;=120")</f>
        <v>0</v>
      </c>
      <c r="L119" s="19">
        <f>SUMIFS('Data Additive'!$D:$D,'Data Additive'!$P:$P,'Painel Additive'!$B119,'Data Additive'!$Q:$Q,"&gt;120",'Data Additive'!$Q:$Q,"&lt;=180")</f>
        <v>0</v>
      </c>
      <c r="M119" s="19">
        <f>SUMIFS('Data Additive'!$D:$D,'Data Additive'!$P:$P,'Painel Additive'!$B119,'Data Additive'!$Q:$Q,"&gt;180",'Data Additive'!$Q:$Q,"&lt;=360")</f>
        <v>0</v>
      </c>
      <c r="N119" s="23">
        <f>SUMIFS('Data Additive'!$D:$D,'Data Additive'!$P:$P,'Painel Additive'!$B119,'Data Additive'!$Q:$Q,"&gt;360")</f>
        <v>0</v>
      </c>
      <c r="O119" s="122">
        <f>SUMIFS('Data Additive'!$D:$D,'Data Additive'!$P:$P,'Painel Additive'!$B119,'Data Additive'!$Q:$Q,"&gt;0")</f>
        <v>0</v>
      </c>
      <c r="P119" s="19">
        <f t="shared" si="192"/>
        <v>0</v>
      </c>
      <c r="Q119" s="19">
        <f>SUMIFS('Data Additive'!$D:$D,'Data Additive'!$P:$P,'Painel Additive'!$B119,'Data Additive'!$Q:$Q,"&lt;=0",'Data Additive'!$Q:$Q,"&gt;=-30")</f>
        <v>0</v>
      </c>
      <c r="R119" s="19">
        <f>SUMIFS('Data Additive'!$D:$D,'Data Additive'!$P:$P,'Painel Additive'!$B119,'Data Additive'!$Q:$Q,"&lt;=-31",'Data Additive'!$Q:$Q,"&gt;=-60")</f>
        <v>0</v>
      </c>
      <c r="S119" s="19">
        <f>SUMIFS('Data Additive'!$D:$D,'Data Additive'!$P:$P,'Painel Additive'!$B119,'Data Additive'!$Q:$Q,"&lt;=-61",'Data Additive'!$Q:$Q,"&gt;=-90")</f>
        <v>0</v>
      </c>
      <c r="T119" s="19">
        <f>SUMIFS('Data Additive'!$D:$D,'Data Additive'!$P:$P,'Painel Additive'!$B119,'Data Additive'!$Q:$Q,"&lt;=-91",'Data Additive'!$Q:$Q,"&gt;=-120")</f>
        <v>0</v>
      </c>
      <c r="U119" s="19">
        <f>SUMIFS('Data Additive'!$D:$D,'Data Additive'!$P:$P,'Painel Additive'!$B119,'Data Additive'!$Q:$Q,"&lt;=-121",'Data Additive'!$Q:$Q,"&gt;=-180")</f>
        <v>0</v>
      </c>
      <c r="V119" s="19">
        <f>SUMIFS('Data Additive'!$D:$D,'Data Additive'!$P:$P,'Painel Additive'!$B119,'Data Additive'!$Q:$Q,"&lt;=-181",'Data Additive'!$Q:$Q,"&gt;=-360")</f>
        <v>0</v>
      </c>
      <c r="W119" s="23">
        <f>SUMIFS('Data Additive'!$D:$D,'Data Additive'!$P:$P,'Painel Additive'!$B119,'Data Additive'!$Q:$Q,"&lt;-360")</f>
        <v>0</v>
      </c>
      <c r="X119" s="19">
        <f>SUMIFS('Bad Debt Provision'!AB:AB,'Bad Debt Provision'!B:B,'Painel Additive'!B119)</f>
        <v>0</v>
      </c>
      <c r="Y119" s="5"/>
      <c r="Z119" s="5"/>
      <c r="AA119" s="19">
        <f>IFERROR(_xlfn.XLOOKUP(B119,'Limite de crédito'!C:C,'Limite de crédito'!O:O,),0)</f>
        <v>0</v>
      </c>
      <c r="AB119" s="19"/>
      <c r="AC119" s="20"/>
      <c r="AD119" s="22"/>
      <c r="AE119" s="22"/>
      <c r="AF119" s="5"/>
      <c r="AG119" s="105">
        <f t="shared" si="193"/>
        <v>0</v>
      </c>
    </row>
    <row r="120" spans="2:33" x14ac:dyDescent="0.25">
      <c r="B120" s="41" t="s">
        <v>794</v>
      </c>
      <c r="C120" s="224">
        <f>IFERROR(_xlfn.XLOOKUP(B120,'Limite de crédito'!C:C,'Limite de crédito'!L:L,),0)</f>
        <v>0</v>
      </c>
      <c r="D120" s="93"/>
      <c r="E120" s="18">
        <f>_xlfn.XLOOKUP(B120,'Limite de crédito'!C:C,'Limite de crédito'!G:G,0)</f>
        <v>0</v>
      </c>
      <c r="F120" s="18">
        <f t="shared" si="190"/>
        <v>0</v>
      </c>
      <c r="G120" s="18">
        <f t="shared" si="191"/>
        <v>0</v>
      </c>
      <c r="H120" s="19">
        <f>SUMIFS('Data Additive'!$D:$D,'Data Additive'!$P:$P,'Painel Additive'!$B120,'Data Additive'!$Q:$Q,"&gt;0",'Data Additive'!$Q:$Q,"&lt;=30")</f>
        <v>0</v>
      </c>
      <c r="I120" s="19">
        <f>SUMIFS('Data Additive'!$D:$D,'Data Additive'!$P:$P,'Painel Additive'!$B120,'Data Additive'!$Q:$Q,"&gt;30",'Data Additive'!$Q:$Q,"&lt;=60")</f>
        <v>0</v>
      </c>
      <c r="J120" s="19">
        <f>SUMIFS('Data Additive'!$D:$D,'Data Additive'!$P:$P,'Painel Additive'!$B120,'Data Additive'!$Q:$Q,"&gt;60",'Data Additive'!$Q:$Q,"&lt;=90")</f>
        <v>0</v>
      </c>
      <c r="K120" s="19">
        <f>SUMIFS('Data Additive'!$D:$D,'Data Additive'!$P:$P,'Painel Additive'!$B120,'Data Additive'!$Q:$Q,"&gt;90",'Data Additive'!$Q:$Q,"&lt;=120")</f>
        <v>0</v>
      </c>
      <c r="L120" s="19">
        <f>SUMIFS('Data Additive'!$D:$D,'Data Additive'!$P:$P,'Painel Additive'!$B120,'Data Additive'!$Q:$Q,"&gt;120",'Data Additive'!$Q:$Q,"&lt;=180")</f>
        <v>0</v>
      </c>
      <c r="M120" s="19">
        <f>SUMIFS('Data Additive'!$D:$D,'Data Additive'!$P:$P,'Painel Additive'!$B120,'Data Additive'!$Q:$Q,"&gt;180",'Data Additive'!$Q:$Q,"&lt;=360")</f>
        <v>0</v>
      </c>
      <c r="N120" s="23">
        <f>SUMIFS('Data Additive'!$D:$D,'Data Additive'!$P:$P,'Painel Additive'!$B120,'Data Additive'!$Q:$Q,"&gt;360")</f>
        <v>0</v>
      </c>
      <c r="O120" s="122">
        <f>SUMIFS('Data Additive'!$D:$D,'Data Additive'!$P:$P,'Painel Additive'!$B120,'Data Additive'!$Q:$Q,"&gt;0")</f>
        <v>0</v>
      </c>
      <c r="P120" s="19">
        <f t="shared" si="192"/>
        <v>0</v>
      </c>
      <c r="Q120" s="19">
        <f>SUMIFS('Data Additive'!$D:$D,'Data Additive'!$P:$P,'Painel Additive'!$B120,'Data Additive'!$Q:$Q,"&lt;=0",'Data Additive'!$Q:$Q,"&gt;=-30")</f>
        <v>0</v>
      </c>
      <c r="R120" s="19">
        <f>SUMIFS('Data Additive'!$D:$D,'Data Additive'!$P:$P,'Painel Additive'!$B120,'Data Additive'!$Q:$Q,"&lt;=-31",'Data Additive'!$Q:$Q,"&gt;=-60")</f>
        <v>0</v>
      </c>
      <c r="S120" s="19">
        <f>SUMIFS('Data Additive'!$D:$D,'Data Additive'!$P:$P,'Painel Additive'!$B120,'Data Additive'!$Q:$Q,"&lt;=-61",'Data Additive'!$Q:$Q,"&gt;=-90")</f>
        <v>0</v>
      </c>
      <c r="T120" s="19">
        <f>SUMIFS('Data Additive'!$D:$D,'Data Additive'!$P:$P,'Painel Additive'!$B120,'Data Additive'!$Q:$Q,"&lt;=-91",'Data Additive'!$Q:$Q,"&gt;=-120")</f>
        <v>0</v>
      </c>
      <c r="U120" s="19">
        <f>SUMIFS('Data Additive'!$D:$D,'Data Additive'!$P:$P,'Painel Additive'!$B120,'Data Additive'!$Q:$Q,"&lt;=-121",'Data Additive'!$Q:$Q,"&gt;=-180")</f>
        <v>0</v>
      </c>
      <c r="V120" s="19">
        <f>SUMIFS('Data Additive'!$D:$D,'Data Additive'!$P:$P,'Painel Additive'!$B120,'Data Additive'!$Q:$Q,"&lt;=-181",'Data Additive'!$Q:$Q,"&gt;=-360")</f>
        <v>0</v>
      </c>
      <c r="W120" s="23">
        <f>SUMIFS('Data Additive'!$D:$D,'Data Additive'!$P:$P,'Painel Additive'!$B120,'Data Additive'!$Q:$Q,"&lt;-360")</f>
        <v>0</v>
      </c>
      <c r="X120" s="19">
        <f>SUMIFS('Bad Debt Provision'!AB:AB,'Bad Debt Provision'!B:B,'Painel Additive'!B120)</f>
        <v>0</v>
      </c>
      <c r="Y120" s="5"/>
      <c r="Z120" s="5"/>
      <c r="AA120" s="19">
        <f>IFERROR(_xlfn.XLOOKUP(B120,'Limite de crédito'!C:C,'Limite de crédito'!O:O,),0)</f>
        <v>0</v>
      </c>
      <c r="AB120" s="19"/>
      <c r="AC120" s="20"/>
      <c r="AD120" s="22"/>
      <c r="AE120" s="22"/>
      <c r="AF120" s="5"/>
      <c r="AG120" s="105">
        <f t="shared" si="193"/>
        <v>0</v>
      </c>
    </row>
    <row r="121" spans="2:33" x14ac:dyDescent="0.25">
      <c r="B121" s="41" t="s">
        <v>795</v>
      </c>
      <c r="C121" s="224">
        <f>IFERROR(_xlfn.XLOOKUP(B121,'Limite de crédito'!C:C,'Limite de crédito'!L:L,),0)</f>
        <v>0</v>
      </c>
      <c r="D121" s="93"/>
      <c r="E121" s="18">
        <f>_xlfn.XLOOKUP(B121,'Limite de crédito'!C:C,'Limite de crédito'!G:G,0)</f>
        <v>0</v>
      </c>
      <c r="F121" s="18">
        <f t="shared" si="190"/>
        <v>0</v>
      </c>
      <c r="G121" s="18">
        <f t="shared" si="191"/>
        <v>0</v>
      </c>
      <c r="H121" s="19">
        <f>SUMIFS('Data Additive'!$D:$D,'Data Additive'!$P:$P,'Painel Additive'!$B121,'Data Additive'!$Q:$Q,"&gt;0",'Data Additive'!$Q:$Q,"&lt;=30")</f>
        <v>0</v>
      </c>
      <c r="I121" s="19">
        <f>SUMIFS('Data Additive'!$D:$D,'Data Additive'!$P:$P,'Painel Additive'!$B121,'Data Additive'!$Q:$Q,"&gt;30",'Data Additive'!$Q:$Q,"&lt;=60")</f>
        <v>0</v>
      </c>
      <c r="J121" s="19">
        <f>SUMIFS('Data Additive'!$D:$D,'Data Additive'!$P:$P,'Painel Additive'!$B121,'Data Additive'!$Q:$Q,"&gt;60",'Data Additive'!$Q:$Q,"&lt;=90")</f>
        <v>0</v>
      </c>
      <c r="K121" s="19">
        <f>SUMIFS('Data Additive'!$D:$D,'Data Additive'!$P:$P,'Painel Additive'!$B121,'Data Additive'!$Q:$Q,"&gt;90",'Data Additive'!$Q:$Q,"&lt;=120")</f>
        <v>0</v>
      </c>
      <c r="L121" s="19">
        <f>SUMIFS('Data Additive'!$D:$D,'Data Additive'!$P:$P,'Painel Additive'!$B121,'Data Additive'!$Q:$Q,"&gt;120",'Data Additive'!$Q:$Q,"&lt;=180")</f>
        <v>0</v>
      </c>
      <c r="M121" s="19">
        <f>SUMIFS('Data Additive'!$D:$D,'Data Additive'!$P:$P,'Painel Additive'!$B121,'Data Additive'!$Q:$Q,"&gt;180",'Data Additive'!$Q:$Q,"&lt;=360")</f>
        <v>0</v>
      </c>
      <c r="N121" s="23">
        <f>SUMIFS('Data Additive'!$D:$D,'Data Additive'!$P:$P,'Painel Additive'!$B121,'Data Additive'!$Q:$Q,"&gt;360")</f>
        <v>0</v>
      </c>
      <c r="O121" s="122">
        <f>SUMIFS('Data Additive'!$D:$D,'Data Additive'!$P:$P,'Painel Additive'!$B121,'Data Additive'!$Q:$Q,"&gt;0")</f>
        <v>0</v>
      </c>
      <c r="P121" s="19">
        <f t="shared" si="192"/>
        <v>0</v>
      </c>
      <c r="Q121" s="19">
        <f>SUMIFS('Data Additive'!$D:$D,'Data Additive'!$P:$P,'Painel Additive'!$B121,'Data Additive'!$Q:$Q,"&lt;=0",'Data Additive'!$Q:$Q,"&gt;=-30")</f>
        <v>0</v>
      </c>
      <c r="R121" s="19">
        <f>SUMIFS('Data Additive'!$D:$D,'Data Additive'!$P:$P,'Painel Additive'!$B121,'Data Additive'!$Q:$Q,"&lt;=-31",'Data Additive'!$Q:$Q,"&gt;=-60")</f>
        <v>0</v>
      </c>
      <c r="S121" s="19">
        <f>SUMIFS('Data Additive'!$D:$D,'Data Additive'!$P:$P,'Painel Additive'!$B121,'Data Additive'!$Q:$Q,"&lt;=-61",'Data Additive'!$Q:$Q,"&gt;=-90")</f>
        <v>0</v>
      </c>
      <c r="T121" s="19">
        <f>SUMIFS('Data Additive'!$D:$D,'Data Additive'!$P:$P,'Painel Additive'!$B121,'Data Additive'!$Q:$Q,"&lt;=-91",'Data Additive'!$Q:$Q,"&gt;=-120")</f>
        <v>0</v>
      </c>
      <c r="U121" s="19">
        <f>SUMIFS('Data Additive'!$D:$D,'Data Additive'!$P:$P,'Painel Additive'!$B121,'Data Additive'!$Q:$Q,"&lt;=-121",'Data Additive'!$Q:$Q,"&gt;=-180")</f>
        <v>0</v>
      </c>
      <c r="V121" s="19">
        <f>SUMIFS('Data Additive'!$D:$D,'Data Additive'!$P:$P,'Painel Additive'!$B121,'Data Additive'!$Q:$Q,"&lt;=-181",'Data Additive'!$Q:$Q,"&gt;=-360")</f>
        <v>0</v>
      </c>
      <c r="W121" s="23">
        <f>SUMIFS('Data Additive'!$D:$D,'Data Additive'!$P:$P,'Painel Additive'!$B121,'Data Additive'!$Q:$Q,"&lt;-360")</f>
        <v>0</v>
      </c>
      <c r="X121" s="19">
        <f>SUMIFS('Bad Debt Provision'!AB:AB,'Bad Debt Provision'!B:B,'Painel Additive'!B121)</f>
        <v>0</v>
      </c>
      <c r="Y121" s="5"/>
      <c r="Z121" s="5"/>
      <c r="AA121" s="19">
        <f>IFERROR(_xlfn.XLOOKUP(B121,'Limite de crédito'!C:C,'Limite de crédito'!O:O,),0)</f>
        <v>0</v>
      </c>
      <c r="AB121" s="19"/>
      <c r="AC121" s="20"/>
      <c r="AD121" s="22"/>
      <c r="AE121" s="22"/>
      <c r="AF121" s="5"/>
      <c r="AG121" s="105">
        <f t="shared" si="193"/>
        <v>0</v>
      </c>
    </row>
    <row r="122" spans="2:33" x14ac:dyDescent="0.25">
      <c r="B122" s="41" t="s">
        <v>796</v>
      </c>
      <c r="C122" s="224">
        <f>IFERROR(_xlfn.XLOOKUP(B122,'Limite de crédito'!C:C,'Limite de crédito'!L:L,),0)</f>
        <v>0</v>
      </c>
      <c r="D122" s="93"/>
      <c r="E122" s="18">
        <f>_xlfn.XLOOKUP(B122,'Limite de crédito'!C:C,'Limite de crédito'!G:G,0)</f>
        <v>0</v>
      </c>
      <c r="F122" s="18">
        <f t="shared" si="190"/>
        <v>0</v>
      </c>
      <c r="G122" s="18">
        <f t="shared" si="191"/>
        <v>0</v>
      </c>
      <c r="H122" s="19">
        <f>SUMIFS('Data Additive'!$D:$D,'Data Additive'!$P:$P,'Painel Additive'!$B122,'Data Additive'!$Q:$Q,"&gt;0",'Data Additive'!$Q:$Q,"&lt;=30")</f>
        <v>0</v>
      </c>
      <c r="I122" s="19">
        <f>SUMIFS('Data Additive'!$D:$D,'Data Additive'!$P:$P,'Painel Additive'!$B122,'Data Additive'!$Q:$Q,"&gt;30",'Data Additive'!$Q:$Q,"&lt;=60")</f>
        <v>0</v>
      </c>
      <c r="J122" s="19">
        <f>SUMIFS('Data Additive'!$D:$D,'Data Additive'!$P:$P,'Painel Additive'!$B122,'Data Additive'!$Q:$Q,"&gt;60",'Data Additive'!$Q:$Q,"&lt;=90")</f>
        <v>0</v>
      </c>
      <c r="K122" s="19">
        <f>SUMIFS('Data Additive'!$D:$D,'Data Additive'!$P:$P,'Painel Additive'!$B122,'Data Additive'!$Q:$Q,"&gt;90",'Data Additive'!$Q:$Q,"&lt;=120")</f>
        <v>0</v>
      </c>
      <c r="L122" s="19">
        <f>SUMIFS('Data Additive'!$D:$D,'Data Additive'!$P:$P,'Painel Additive'!$B122,'Data Additive'!$Q:$Q,"&gt;120",'Data Additive'!$Q:$Q,"&lt;=180")</f>
        <v>0</v>
      </c>
      <c r="M122" s="19">
        <f>SUMIFS('Data Additive'!$D:$D,'Data Additive'!$P:$P,'Painel Additive'!$B122,'Data Additive'!$Q:$Q,"&gt;180",'Data Additive'!$Q:$Q,"&lt;=360")</f>
        <v>0</v>
      </c>
      <c r="N122" s="23">
        <f>SUMIFS('Data Additive'!$D:$D,'Data Additive'!$P:$P,'Painel Additive'!$B122,'Data Additive'!$Q:$Q,"&gt;360")</f>
        <v>0</v>
      </c>
      <c r="O122" s="122">
        <f>SUMIFS('Data Additive'!$D:$D,'Data Additive'!$P:$P,'Painel Additive'!$B122,'Data Additive'!$Q:$Q,"&gt;0")</f>
        <v>0</v>
      </c>
      <c r="P122" s="19">
        <f t="shared" si="192"/>
        <v>0</v>
      </c>
      <c r="Q122" s="19">
        <f>SUMIFS('Data Additive'!$D:$D,'Data Additive'!$P:$P,'Painel Additive'!$B122,'Data Additive'!$Q:$Q,"&lt;=0",'Data Additive'!$Q:$Q,"&gt;=-30")</f>
        <v>0</v>
      </c>
      <c r="R122" s="19">
        <f>SUMIFS('Data Additive'!$D:$D,'Data Additive'!$P:$P,'Painel Additive'!$B122,'Data Additive'!$Q:$Q,"&lt;=-31",'Data Additive'!$Q:$Q,"&gt;=-60")</f>
        <v>0</v>
      </c>
      <c r="S122" s="19">
        <f>SUMIFS('Data Additive'!$D:$D,'Data Additive'!$P:$P,'Painel Additive'!$B122,'Data Additive'!$Q:$Q,"&lt;=-61",'Data Additive'!$Q:$Q,"&gt;=-90")</f>
        <v>0</v>
      </c>
      <c r="T122" s="19">
        <f>SUMIFS('Data Additive'!$D:$D,'Data Additive'!$P:$P,'Painel Additive'!$B122,'Data Additive'!$Q:$Q,"&lt;=-91",'Data Additive'!$Q:$Q,"&gt;=-120")</f>
        <v>0</v>
      </c>
      <c r="U122" s="19">
        <f>SUMIFS('Data Additive'!$D:$D,'Data Additive'!$P:$P,'Painel Additive'!$B122,'Data Additive'!$Q:$Q,"&lt;=-121",'Data Additive'!$Q:$Q,"&gt;=-180")</f>
        <v>0</v>
      </c>
      <c r="V122" s="19">
        <f>SUMIFS('Data Additive'!$D:$D,'Data Additive'!$P:$P,'Painel Additive'!$B122,'Data Additive'!$Q:$Q,"&lt;=-181",'Data Additive'!$Q:$Q,"&gt;=-360")</f>
        <v>0</v>
      </c>
      <c r="W122" s="23">
        <f>SUMIFS('Data Additive'!$D:$D,'Data Additive'!$P:$P,'Painel Additive'!$B122,'Data Additive'!$Q:$Q,"&lt;-360")</f>
        <v>0</v>
      </c>
      <c r="X122" s="19">
        <f>SUMIFS('Bad Debt Provision'!AB:AB,'Bad Debt Provision'!B:B,'Painel Additive'!B122)</f>
        <v>0</v>
      </c>
      <c r="Y122" s="5"/>
      <c r="Z122" s="5"/>
      <c r="AA122" s="19">
        <f>IFERROR(_xlfn.XLOOKUP(B122,'Limite de crédito'!C:C,'Limite de crédito'!O:O,),0)</f>
        <v>0</v>
      </c>
      <c r="AB122" s="19"/>
      <c r="AC122" s="20"/>
      <c r="AD122" s="22"/>
      <c r="AE122" s="22"/>
      <c r="AF122" s="5"/>
      <c r="AG122" s="105">
        <f t="shared" si="193"/>
        <v>0</v>
      </c>
    </row>
    <row r="123" spans="2:33" x14ac:dyDescent="0.25">
      <c r="B123" s="41" t="s">
        <v>135</v>
      </c>
      <c r="C123" s="224">
        <f>IFERROR(_xlfn.XLOOKUP(B123,'Limite de crédito'!C:C,'Limite de crédito'!L:L,),0)</f>
        <v>0</v>
      </c>
      <c r="D123" s="93"/>
      <c r="E123" s="18">
        <f>_xlfn.XLOOKUP(B123,'Limite de crédito'!C:C,'Limite de crédito'!G:G,0)</f>
        <v>0</v>
      </c>
      <c r="F123" s="18">
        <f t="shared" si="190"/>
        <v>0</v>
      </c>
      <c r="G123" s="18">
        <f t="shared" si="191"/>
        <v>0</v>
      </c>
      <c r="H123" s="19">
        <f>SUMIFS('Data Additive'!$D:$D,'Data Additive'!$P:$P,'Painel Additive'!$B123,'Data Additive'!$Q:$Q,"&gt;0",'Data Additive'!$Q:$Q,"&lt;=30")</f>
        <v>0</v>
      </c>
      <c r="I123" s="19">
        <f>SUMIFS('Data Additive'!$D:$D,'Data Additive'!$P:$P,'Painel Additive'!$B123,'Data Additive'!$Q:$Q,"&gt;30",'Data Additive'!$Q:$Q,"&lt;=60")</f>
        <v>0</v>
      </c>
      <c r="J123" s="19">
        <f>SUMIFS('Data Additive'!$D:$D,'Data Additive'!$P:$P,'Painel Additive'!$B123,'Data Additive'!$Q:$Q,"&gt;60",'Data Additive'!$Q:$Q,"&lt;=90")</f>
        <v>0</v>
      </c>
      <c r="K123" s="19">
        <f>SUMIFS('Data Additive'!$D:$D,'Data Additive'!$P:$P,'Painel Additive'!$B123,'Data Additive'!$Q:$Q,"&gt;90",'Data Additive'!$Q:$Q,"&lt;=120")</f>
        <v>0</v>
      </c>
      <c r="L123" s="19">
        <f>SUMIFS('Data Additive'!$D:$D,'Data Additive'!$P:$P,'Painel Additive'!$B123,'Data Additive'!$Q:$Q,"&gt;120",'Data Additive'!$Q:$Q,"&lt;=180")</f>
        <v>0</v>
      </c>
      <c r="M123" s="19">
        <f>SUMIFS('Data Additive'!$D:$D,'Data Additive'!$P:$P,'Painel Additive'!$B123,'Data Additive'!$Q:$Q,"&gt;180",'Data Additive'!$Q:$Q,"&lt;=360")</f>
        <v>0</v>
      </c>
      <c r="N123" s="23">
        <f>SUMIFS('Data Additive'!$D:$D,'Data Additive'!$P:$P,'Painel Additive'!$B123,'Data Additive'!$Q:$Q,"&gt;360")</f>
        <v>0</v>
      </c>
      <c r="O123" s="122">
        <f>SUMIFS('Data Additive'!$D:$D,'Data Additive'!$P:$P,'Painel Additive'!$B123,'Data Additive'!$Q:$Q,"&gt;0")</f>
        <v>0</v>
      </c>
      <c r="P123" s="19">
        <f t="shared" si="192"/>
        <v>0</v>
      </c>
      <c r="Q123" s="19">
        <f>SUMIFS('Data Additive'!$D:$D,'Data Additive'!$P:$P,'Painel Additive'!$B123,'Data Additive'!$Q:$Q,"&lt;=0",'Data Additive'!$Q:$Q,"&gt;=-30")</f>
        <v>0</v>
      </c>
      <c r="R123" s="19">
        <f>SUMIFS('Data Additive'!$D:$D,'Data Additive'!$P:$P,'Painel Additive'!$B123,'Data Additive'!$Q:$Q,"&lt;=-31",'Data Additive'!$Q:$Q,"&gt;=-60")</f>
        <v>0</v>
      </c>
      <c r="S123" s="19">
        <f>SUMIFS('Data Additive'!$D:$D,'Data Additive'!$P:$P,'Painel Additive'!$B123,'Data Additive'!$Q:$Q,"&lt;=-61",'Data Additive'!$Q:$Q,"&gt;=-90")</f>
        <v>0</v>
      </c>
      <c r="T123" s="19">
        <f>SUMIFS('Data Additive'!$D:$D,'Data Additive'!$P:$P,'Painel Additive'!$B123,'Data Additive'!$Q:$Q,"&lt;=-91",'Data Additive'!$Q:$Q,"&gt;=-120")</f>
        <v>0</v>
      </c>
      <c r="U123" s="19">
        <f>SUMIFS('Data Additive'!$D:$D,'Data Additive'!$P:$P,'Painel Additive'!$B123,'Data Additive'!$Q:$Q,"&lt;=-121",'Data Additive'!$Q:$Q,"&gt;=-180")</f>
        <v>0</v>
      </c>
      <c r="V123" s="19">
        <f>SUMIFS('Data Additive'!$D:$D,'Data Additive'!$P:$P,'Painel Additive'!$B123,'Data Additive'!$Q:$Q,"&lt;=-181",'Data Additive'!$Q:$Q,"&gt;=-360")</f>
        <v>0</v>
      </c>
      <c r="W123" s="23">
        <f>SUMIFS('Data Additive'!$D:$D,'Data Additive'!$P:$P,'Painel Additive'!$B123,'Data Additive'!$Q:$Q,"&lt;-360")</f>
        <v>0</v>
      </c>
      <c r="X123" s="19">
        <f>SUMIFS('Bad Debt Provision'!AB:AB,'Bad Debt Provision'!B:B,'Painel Additive'!B123)</f>
        <v>0</v>
      </c>
      <c r="Y123" s="5"/>
      <c r="Z123" s="5"/>
      <c r="AA123" s="19">
        <f>IFERROR(_xlfn.XLOOKUP(B123,'Limite de crédito'!C:C,'Limite de crédito'!O:O,),0)</f>
        <v>0</v>
      </c>
      <c r="AB123" s="19"/>
      <c r="AC123" s="20"/>
      <c r="AD123" s="22"/>
      <c r="AE123" s="22"/>
      <c r="AF123" s="5"/>
      <c r="AG123" s="105">
        <f t="shared" si="193"/>
        <v>0</v>
      </c>
    </row>
    <row r="124" spans="2:33" x14ac:dyDescent="0.25">
      <c r="B124" s="41" t="s">
        <v>797</v>
      </c>
      <c r="C124" s="224">
        <f>IFERROR(_xlfn.XLOOKUP(B124,'Limite de crédito'!C:C,'Limite de crédito'!L:L,),0)</f>
        <v>0</v>
      </c>
      <c r="D124" s="93"/>
      <c r="E124" s="18">
        <f>_xlfn.XLOOKUP(B124,'Limite de crédito'!C:C,'Limite de crédito'!G:G,0)</f>
        <v>250000</v>
      </c>
      <c r="F124" s="18">
        <f t="shared" ref="F124:F125" si="194">E124-G124</f>
        <v>250000</v>
      </c>
      <c r="G124" s="18">
        <f t="shared" ref="G124:G125" si="195">P124+O124</f>
        <v>0</v>
      </c>
      <c r="H124" s="19">
        <f>SUMIFS('Data Additive'!$D:$D,'Data Additive'!$P:$P,'Painel Additive'!$B124,'Data Additive'!$Q:$Q,"&gt;0",'Data Additive'!$Q:$Q,"&lt;=30")</f>
        <v>0</v>
      </c>
      <c r="I124" s="19">
        <f>SUMIFS('Data Additive'!$D:$D,'Data Additive'!$P:$P,'Painel Additive'!$B124,'Data Additive'!$Q:$Q,"&gt;30",'Data Additive'!$Q:$Q,"&lt;=60")</f>
        <v>0</v>
      </c>
      <c r="J124" s="19">
        <f>SUMIFS('Data Additive'!$D:$D,'Data Additive'!$P:$P,'Painel Additive'!$B124,'Data Additive'!$Q:$Q,"&gt;60",'Data Additive'!$Q:$Q,"&lt;=90")</f>
        <v>0</v>
      </c>
      <c r="K124" s="19">
        <f>SUMIFS('Data Additive'!$D:$D,'Data Additive'!$P:$P,'Painel Additive'!$B124,'Data Additive'!$Q:$Q,"&gt;90",'Data Additive'!$Q:$Q,"&lt;=120")</f>
        <v>0</v>
      </c>
      <c r="L124" s="19">
        <f>SUMIFS('Data Additive'!$D:$D,'Data Additive'!$P:$P,'Painel Additive'!$B124,'Data Additive'!$Q:$Q,"&gt;120",'Data Additive'!$Q:$Q,"&lt;=180")</f>
        <v>0</v>
      </c>
      <c r="M124" s="19">
        <f>SUMIFS('Data Additive'!$D:$D,'Data Additive'!$P:$P,'Painel Additive'!$B124,'Data Additive'!$Q:$Q,"&gt;180",'Data Additive'!$Q:$Q,"&lt;=360")</f>
        <v>0</v>
      </c>
      <c r="N124" s="23">
        <f>SUMIFS('Data Additive'!$D:$D,'Data Additive'!$P:$P,'Painel Additive'!$B124,'Data Additive'!$Q:$Q,"&gt;360")</f>
        <v>0</v>
      </c>
      <c r="O124" s="122">
        <f>SUMIFS('Data Additive'!$D:$D,'Data Additive'!$P:$P,'Painel Additive'!$B124,'Data Additive'!$Q:$Q,"&gt;0")</f>
        <v>0</v>
      </c>
      <c r="P124" s="19">
        <f t="shared" ref="P124:P125" si="196">SUM(Q124:W124)</f>
        <v>0</v>
      </c>
      <c r="Q124" s="19">
        <f>SUMIFS('Data Additive'!$D:$D,'Data Additive'!$P:$P,'Painel Additive'!$B124,'Data Additive'!$Q:$Q,"&lt;=0",'Data Additive'!$Q:$Q,"&gt;=-30")</f>
        <v>0</v>
      </c>
      <c r="R124" s="19">
        <f>SUMIFS('Data Additive'!$D:$D,'Data Additive'!$P:$P,'Painel Additive'!$B124,'Data Additive'!$Q:$Q,"&lt;=-31",'Data Additive'!$Q:$Q,"&gt;=-60")</f>
        <v>0</v>
      </c>
      <c r="S124" s="19">
        <f>SUMIFS('Data Additive'!$D:$D,'Data Additive'!$P:$P,'Painel Additive'!$B124,'Data Additive'!$Q:$Q,"&lt;=-61",'Data Additive'!$Q:$Q,"&gt;=-90")</f>
        <v>0</v>
      </c>
      <c r="T124" s="19">
        <f>SUMIFS('Data Additive'!$D:$D,'Data Additive'!$P:$P,'Painel Additive'!$B124,'Data Additive'!$Q:$Q,"&lt;=-91",'Data Additive'!$Q:$Q,"&gt;=-120")</f>
        <v>0</v>
      </c>
      <c r="U124" s="19">
        <f>SUMIFS('Data Additive'!$D:$D,'Data Additive'!$P:$P,'Painel Additive'!$B124,'Data Additive'!$Q:$Q,"&lt;=-121",'Data Additive'!$Q:$Q,"&gt;=-180")</f>
        <v>0</v>
      </c>
      <c r="V124" s="19">
        <f>SUMIFS('Data Additive'!$D:$D,'Data Additive'!$P:$P,'Painel Additive'!$B124,'Data Additive'!$Q:$Q,"&lt;=-181",'Data Additive'!$Q:$Q,"&gt;=-360")</f>
        <v>0</v>
      </c>
      <c r="W124" s="23">
        <f>SUMIFS('Data Additive'!$D:$D,'Data Additive'!$P:$P,'Painel Additive'!$B124,'Data Additive'!$Q:$Q,"&lt;-360")</f>
        <v>0</v>
      </c>
      <c r="X124" s="19">
        <f>SUMIFS('Bad Debt Provision'!AB:AB,'Bad Debt Provision'!B:B,'Painel Additive'!B124)</f>
        <v>0</v>
      </c>
      <c r="Y124" s="5"/>
      <c r="Z124" s="5"/>
      <c r="AA124" s="19">
        <f>IFERROR(_xlfn.XLOOKUP(B124,'Limite de crédito'!C:C,'Limite de crédito'!O:O,),0)</f>
        <v>0</v>
      </c>
      <c r="AB124" s="19"/>
      <c r="AC124" s="20"/>
      <c r="AD124" s="22"/>
      <c r="AE124" s="22"/>
      <c r="AF124" s="5"/>
      <c r="AG124" s="105">
        <f t="shared" ref="AG124:AG125" si="197">AA124-G124</f>
        <v>0</v>
      </c>
    </row>
    <row r="125" spans="2:33" x14ac:dyDescent="0.25">
      <c r="B125" s="41" t="s">
        <v>78</v>
      </c>
      <c r="C125" s="224" t="str">
        <f>IFERROR(_xlfn.XLOOKUP(B125,'Limite de crédito'!C:C,'Limite de crédito'!L:L,),0)</f>
        <v>B</v>
      </c>
      <c r="D125" s="93"/>
      <c r="E125" s="18">
        <f>_xlfn.XLOOKUP(B125,'Limite de crédito'!C:C,'Limite de crédito'!G:G,0)</f>
        <v>500000</v>
      </c>
      <c r="F125" s="18">
        <f t="shared" si="194"/>
        <v>500000</v>
      </c>
      <c r="G125" s="18">
        <f t="shared" si="195"/>
        <v>0</v>
      </c>
      <c r="H125" s="19">
        <f>SUMIFS('Data Additive'!$D:$D,'Data Additive'!$P:$P,'Painel Additive'!$B125,'Data Additive'!$Q:$Q,"&gt;0",'Data Additive'!$Q:$Q,"&lt;=30")</f>
        <v>0</v>
      </c>
      <c r="I125" s="19">
        <f>SUMIFS('Data Additive'!$D:$D,'Data Additive'!$P:$P,'Painel Additive'!$B125,'Data Additive'!$Q:$Q,"&gt;30",'Data Additive'!$Q:$Q,"&lt;=60")</f>
        <v>0</v>
      </c>
      <c r="J125" s="19">
        <f>SUMIFS('Data Additive'!$D:$D,'Data Additive'!$P:$P,'Painel Additive'!$B125,'Data Additive'!$Q:$Q,"&gt;60",'Data Additive'!$Q:$Q,"&lt;=90")</f>
        <v>0</v>
      </c>
      <c r="K125" s="19">
        <f>SUMIFS('Data Additive'!$D:$D,'Data Additive'!$P:$P,'Painel Additive'!$B125,'Data Additive'!$Q:$Q,"&gt;90",'Data Additive'!$Q:$Q,"&lt;=120")</f>
        <v>0</v>
      </c>
      <c r="L125" s="19">
        <f>SUMIFS('Data Additive'!$D:$D,'Data Additive'!$P:$P,'Painel Additive'!$B125,'Data Additive'!$Q:$Q,"&gt;120",'Data Additive'!$Q:$Q,"&lt;=180")</f>
        <v>0</v>
      </c>
      <c r="M125" s="19">
        <f>SUMIFS('Data Additive'!$D:$D,'Data Additive'!$P:$P,'Painel Additive'!$B125,'Data Additive'!$Q:$Q,"&gt;180",'Data Additive'!$Q:$Q,"&lt;=360")</f>
        <v>0</v>
      </c>
      <c r="N125" s="23">
        <f>SUMIFS('Data Additive'!$D:$D,'Data Additive'!$P:$P,'Painel Additive'!$B125,'Data Additive'!$Q:$Q,"&gt;360")</f>
        <v>0</v>
      </c>
      <c r="O125" s="122">
        <f>SUMIFS('Data Additive'!$D:$D,'Data Additive'!$P:$P,'Painel Additive'!$B125,'Data Additive'!$Q:$Q,"&gt;0")</f>
        <v>0</v>
      </c>
      <c r="P125" s="19">
        <f t="shared" si="196"/>
        <v>0</v>
      </c>
      <c r="Q125" s="19">
        <f>SUMIFS('Data Additive'!$D:$D,'Data Additive'!$P:$P,'Painel Additive'!$B125,'Data Additive'!$Q:$Q,"&lt;=0",'Data Additive'!$Q:$Q,"&gt;=-30")</f>
        <v>0</v>
      </c>
      <c r="R125" s="19">
        <f>SUMIFS('Data Additive'!$D:$D,'Data Additive'!$P:$P,'Painel Additive'!$B125,'Data Additive'!$Q:$Q,"&lt;=-31",'Data Additive'!$Q:$Q,"&gt;=-60")</f>
        <v>0</v>
      </c>
      <c r="S125" s="19">
        <f>SUMIFS('Data Additive'!$D:$D,'Data Additive'!$P:$P,'Painel Additive'!$B125,'Data Additive'!$Q:$Q,"&lt;=-61",'Data Additive'!$Q:$Q,"&gt;=-90")</f>
        <v>0</v>
      </c>
      <c r="T125" s="19">
        <f>SUMIFS('Data Additive'!$D:$D,'Data Additive'!$P:$P,'Painel Additive'!$B125,'Data Additive'!$Q:$Q,"&lt;=-91",'Data Additive'!$Q:$Q,"&gt;=-120")</f>
        <v>0</v>
      </c>
      <c r="U125" s="19">
        <f>SUMIFS('Data Additive'!$D:$D,'Data Additive'!$P:$P,'Painel Additive'!$B125,'Data Additive'!$Q:$Q,"&lt;=-121",'Data Additive'!$Q:$Q,"&gt;=-180")</f>
        <v>0</v>
      </c>
      <c r="V125" s="19">
        <f>SUMIFS('Data Additive'!$D:$D,'Data Additive'!$P:$P,'Painel Additive'!$B125,'Data Additive'!$Q:$Q,"&lt;=-181",'Data Additive'!$Q:$Q,"&gt;=-360")</f>
        <v>0</v>
      </c>
      <c r="W125" s="23">
        <f>SUMIFS('Data Additive'!$D:$D,'Data Additive'!$P:$P,'Painel Additive'!$B125,'Data Additive'!$Q:$Q,"&lt;-360")</f>
        <v>0</v>
      </c>
      <c r="X125" s="19">
        <f>SUMIFS('Bad Debt Provision'!AB:AB,'Bad Debt Provision'!B:B,'Painel Additive'!B125)</f>
        <v>0</v>
      </c>
      <c r="Y125" s="5"/>
      <c r="Z125" s="5"/>
      <c r="AA125" s="19">
        <f>IFERROR(_xlfn.XLOOKUP(B125,'Limite de crédito'!C:C,'Limite de crédito'!O:O,),0)</f>
        <v>500000</v>
      </c>
      <c r="AB125" s="19"/>
      <c r="AC125" s="20"/>
      <c r="AD125" s="22"/>
      <c r="AE125" s="22"/>
      <c r="AF125" s="5"/>
      <c r="AG125" s="105">
        <f t="shared" si="197"/>
        <v>500000</v>
      </c>
    </row>
    <row r="126" spans="2:33" x14ac:dyDescent="0.25">
      <c r="B126" s="41" t="s">
        <v>798</v>
      </c>
      <c r="C126" s="224">
        <f>IFERROR(_xlfn.XLOOKUP(B126,'Limite de crédito'!C:C,'Limite de crédito'!L:L,),0)</f>
        <v>0</v>
      </c>
      <c r="D126" s="93"/>
      <c r="E126" s="18">
        <f>_xlfn.XLOOKUP(B126,'Limite de crédito'!C:C,'Limite de crédito'!G:G,0)</f>
        <v>0</v>
      </c>
      <c r="F126" s="18">
        <f t="shared" ref="F126" si="198">E126-G126</f>
        <v>0</v>
      </c>
      <c r="G126" s="18">
        <f t="shared" ref="G126" si="199">P126+O126</f>
        <v>0</v>
      </c>
      <c r="H126" s="19">
        <f>SUMIFS('Data Additive'!$D:$D,'Data Additive'!$P:$P,'Painel Additive'!$B126,'Data Additive'!$Q:$Q,"&gt;0",'Data Additive'!$Q:$Q,"&lt;=30")</f>
        <v>0</v>
      </c>
      <c r="I126" s="19">
        <f>SUMIFS('Data Additive'!$D:$D,'Data Additive'!$P:$P,'Painel Additive'!$B126,'Data Additive'!$Q:$Q,"&gt;30",'Data Additive'!$Q:$Q,"&lt;=60")</f>
        <v>0</v>
      </c>
      <c r="J126" s="19">
        <f>SUMIFS('Data Additive'!$D:$D,'Data Additive'!$P:$P,'Painel Additive'!$B126,'Data Additive'!$Q:$Q,"&gt;60",'Data Additive'!$Q:$Q,"&lt;=90")</f>
        <v>0</v>
      </c>
      <c r="K126" s="19">
        <f>SUMIFS('Data Additive'!$D:$D,'Data Additive'!$P:$P,'Painel Additive'!$B126,'Data Additive'!$Q:$Q,"&gt;90",'Data Additive'!$Q:$Q,"&lt;=120")</f>
        <v>0</v>
      </c>
      <c r="L126" s="19">
        <f>SUMIFS('Data Additive'!$D:$D,'Data Additive'!$P:$P,'Painel Additive'!$B126,'Data Additive'!$Q:$Q,"&gt;120",'Data Additive'!$Q:$Q,"&lt;=180")</f>
        <v>0</v>
      </c>
      <c r="M126" s="19">
        <f>SUMIFS('Data Additive'!$D:$D,'Data Additive'!$P:$P,'Painel Additive'!$B126,'Data Additive'!$Q:$Q,"&gt;180",'Data Additive'!$Q:$Q,"&lt;=360")</f>
        <v>0</v>
      </c>
      <c r="N126" s="23">
        <f>SUMIFS('Data Additive'!$D:$D,'Data Additive'!$P:$P,'Painel Additive'!$B126,'Data Additive'!$Q:$Q,"&gt;360")</f>
        <v>0</v>
      </c>
      <c r="O126" s="122">
        <f>SUMIFS('Data Additive'!$D:$D,'Data Additive'!$P:$P,'Painel Additive'!$B126,'Data Additive'!$Q:$Q,"&gt;0")</f>
        <v>0</v>
      </c>
      <c r="P126" s="19">
        <f t="shared" ref="P126" si="200">SUM(Q126:W126)</f>
        <v>0</v>
      </c>
      <c r="Q126" s="19">
        <f>SUMIFS('Data Additive'!$D:$D,'Data Additive'!$P:$P,'Painel Additive'!$B126,'Data Additive'!$Q:$Q,"&lt;=0",'Data Additive'!$Q:$Q,"&gt;=-30")</f>
        <v>0</v>
      </c>
      <c r="R126" s="19">
        <f>SUMIFS('Data Additive'!$D:$D,'Data Additive'!$P:$P,'Painel Additive'!$B126,'Data Additive'!$Q:$Q,"&lt;=-31",'Data Additive'!$Q:$Q,"&gt;=-60")</f>
        <v>0</v>
      </c>
      <c r="S126" s="19">
        <f>SUMIFS('Data Additive'!$D:$D,'Data Additive'!$P:$P,'Painel Additive'!$B126,'Data Additive'!$Q:$Q,"&lt;=-61",'Data Additive'!$Q:$Q,"&gt;=-90")</f>
        <v>0</v>
      </c>
      <c r="T126" s="19">
        <f>SUMIFS('Data Additive'!$D:$D,'Data Additive'!$P:$P,'Painel Additive'!$B126,'Data Additive'!$Q:$Q,"&lt;=-91",'Data Additive'!$Q:$Q,"&gt;=-120")</f>
        <v>0</v>
      </c>
      <c r="U126" s="19">
        <f>SUMIFS('Data Additive'!$D:$D,'Data Additive'!$P:$P,'Painel Additive'!$B126,'Data Additive'!$Q:$Q,"&lt;=-121",'Data Additive'!$Q:$Q,"&gt;=-180")</f>
        <v>0</v>
      </c>
      <c r="V126" s="19">
        <f>SUMIFS('Data Additive'!$D:$D,'Data Additive'!$P:$P,'Painel Additive'!$B126,'Data Additive'!$Q:$Q,"&lt;=-181",'Data Additive'!$Q:$Q,"&gt;=-360")</f>
        <v>0</v>
      </c>
      <c r="W126" s="23">
        <f>SUMIFS('Data Additive'!$D:$D,'Data Additive'!$P:$P,'Painel Additive'!$B126,'Data Additive'!$Q:$Q,"&lt;-360")</f>
        <v>0</v>
      </c>
      <c r="X126" s="19">
        <f>SUMIFS('Bad Debt Provision'!AB:AB,'Bad Debt Provision'!B:B,'Painel Additive'!B126)</f>
        <v>0</v>
      </c>
      <c r="Y126" s="5"/>
      <c r="Z126" s="5"/>
      <c r="AA126" s="19">
        <f>IFERROR(_xlfn.XLOOKUP(B126,'Limite de crédito'!C:C,'Limite de crédito'!O:O,),0)</f>
        <v>0</v>
      </c>
      <c r="AB126" s="19"/>
      <c r="AC126" s="20"/>
      <c r="AD126" s="22"/>
      <c r="AE126" s="22"/>
      <c r="AF126" s="5"/>
      <c r="AG126" s="105">
        <f t="shared" ref="AG126" si="201">AA126-G126</f>
        <v>0</v>
      </c>
    </row>
    <row r="127" spans="2:33" x14ac:dyDescent="0.25">
      <c r="B127" s="41" t="s">
        <v>800</v>
      </c>
      <c r="C127" s="224" t="str">
        <f>IFERROR(_xlfn.XLOOKUP(B127,'Limite de crédito'!C:C,'Limite de crédito'!L:L,),0)</f>
        <v>B</v>
      </c>
      <c r="D127" s="93"/>
      <c r="E127" s="18">
        <f>_xlfn.XLOOKUP(B127,'Limite de crédito'!C:C,'Limite de crédito'!G:G,0)</f>
        <v>200000</v>
      </c>
      <c r="F127" s="18">
        <f t="shared" ref="F127" si="202">E127-G127</f>
        <v>200000</v>
      </c>
      <c r="G127" s="18">
        <f t="shared" ref="G127" si="203">P127+O127</f>
        <v>0</v>
      </c>
      <c r="H127" s="19">
        <f>SUMIFS('Data Additive'!$D:$D,'Data Additive'!$P:$P,'Painel Additive'!$B127,'Data Additive'!$Q:$Q,"&gt;0",'Data Additive'!$Q:$Q,"&lt;=30")</f>
        <v>0</v>
      </c>
      <c r="I127" s="19">
        <f>SUMIFS('Data Additive'!$D:$D,'Data Additive'!$P:$P,'Painel Additive'!$B127,'Data Additive'!$Q:$Q,"&gt;30",'Data Additive'!$Q:$Q,"&lt;=60")</f>
        <v>0</v>
      </c>
      <c r="J127" s="19">
        <f>SUMIFS('Data Additive'!$D:$D,'Data Additive'!$P:$P,'Painel Additive'!$B127,'Data Additive'!$Q:$Q,"&gt;60",'Data Additive'!$Q:$Q,"&lt;=90")</f>
        <v>0</v>
      </c>
      <c r="K127" s="19">
        <f>SUMIFS('Data Additive'!$D:$D,'Data Additive'!$P:$P,'Painel Additive'!$B127,'Data Additive'!$Q:$Q,"&gt;90",'Data Additive'!$Q:$Q,"&lt;=120")</f>
        <v>0</v>
      </c>
      <c r="L127" s="19">
        <f>SUMIFS('Data Additive'!$D:$D,'Data Additive'!$P:$P,'Painel Additive'!$B127,'Data Additive'!$Q:$Q,"&gt;120",'Data Additive'!$Q:$Q,"&lt;=180")</f>
        <v>0</v>
      </c>
      <c r="M127" s="19">
        <f>SUMIFS('Data Additive'!$D:$D,'Data Additive'!$P:$P,'Painel Additive'!$B127,'Data Additive'!$Q:$Q,"&gt;180",'Data Additive'!$Q:$Q,"&lt;=360")</f>
        <v>0</v>
      </c>
      <c r="N127" s="23">
        <f>SUMIFS('Data Additive'!$D:$D,'Data Additive'!$P:$P,'Painel Additive'!$B127,'Data Additive'!$Q:$Q,"&gt;360")</f>
        <v>0</v>
      </c>
      <c r="O127" s="122">
        <f>SUMIFS('Data Additive'!$D:$D,'Data Additive'!$P:$P,'Painel Additive'!$B127,'Data Additive'!$Q:$Q,"&gt;0")</f>
        <v>0</v>
      </c>
      <c r="P127" s="19">
        <f t="shared" ref="P127" si="204">SUM(Q127:W127)</f>
        <v>0</v>
      </c>
      <c r="Q127" s="19">
        <f>SUMIFS('Data Additive'!$D:$D,'Data Additive'!$P:$P,'Painel Additive'!$B127,'Data Additive'!$Q:$Q,"&lt;=0",'Data Additive'!$Q:$Q,"&gt;=-30")</f>
        <v>0</v>
      </c>
      <c r="R127" s="19">
        <f>SUMIFS('Data Additive'!$D:$D,'Data Additive'!$P:$P,'Painel Additive'!$B127,'Data Additive'!$Q:$Q,"&lt;=-31",'Data Additive'!$Q:$Q,"&gt;=-60")</f>
        <v>0</v>
      </c>
      <c r="S127" s="19">
        <f>SUMIFS('Data Additive'!$D:$D,'Data Additive'!$P:$P,'Painel Additive'!$B127,'Data Additive'!$Q:$Q,"&lt;=-61",'Data Additive'!$Q:$Q,"&gt;=-90")</f>
        <v>0</v>
      </c>
      <c r="T127" s="19">
        <f>SUMIFS('Data Additive'!$D:$D,'Data Additive'!$P:$P,'Painel Additive'!$B127,'Data Additive'!$Q:$Q,"&lt;=-91",'Data Additive'!$Q:$Q,"&gt;=-120")</f>
        <v>0</v>
      </c>
      <c r="U127" s="19">
        <f>SUMIFS('Data Additive'!$D:$D,'Data Additive'!$P:$P,'Painel Additive'!$B127,'Data Additive'!$Q:$Q,"&lt;=-121",'Data Additive'!$Q:$Q,"&gt;=-180")</f>
        <v>0</v>
      </c>
      <c r="V127" s="19">
        <f>SUMIFS('Data Additive'!$D:$D,'Data Additive'!$P:$P,'Painel Additive'!$B127,'Data Additive'!$Q:$Q,"&lt;=-181",'Data Additive'!$Q:$Q,"&gt;=-360")</f>
        <v>0</v>
      </c>
      <c r="W127" s="23">
        <f>SUMIFS('Data Additive'!$D:$D,'Data Additive'!$P:$P,'Painel Additive'!$B127,'Data Additive'!$Q:$Q,"&lt;-360")</f>
        <v>0</v>
      </c>
      <c r="X127" s="19">
        <f>SUMIFS('Bad Debt Provision'!AB:AB,'Bad Debt Provision'!B:B,'Painel Additive'!B127)</f>
        <v>0</v>
      </c>
      <c r="Y127" s="5"/>
      <c r="Z127" s="5"/>
      <c r="AA127" s="19">
        <f>IFERROR(_xlfn.XLOOKUP(B127,'Limite de crédito'!C:C,'Limite de crédito'!O:O,),0)</f>
        <v>200000</v>
      </c>
      <c r="AB127" s="19"/>
      <c r="AC127" s="20"/>
      <c r="AD127" s="22"/>
      <c r="AE127" s="22"/>
      <c r="AF127" s="5"/>
      <c r="AG127" s="105">
        <f t="shared" ref="AG127" si="205">AA127-G127</f>
        <v>200000</v>
      </c>
    </row>
    <row r="128" spans="2:33" x14ac:dyDescent="0.25">
      <c r="B128" s="41" t="s">
        <v>801</v>
      </c>
      <c r="C128" s="224" t="str">
        <f>IFERROR(_xlfn.XLOOKUP(B128,'Limite de crédito'!C:C,'Limite de crédito'!L:L,),0)</f>
        <v>C</v>
      </c>
      <c r="D128" s="93"/>
      <c r="E128" s="18">
        <f>_xlfn.XLOOKUP(B128,'Limite de crédito'!C:C,'Limite de crédito'!G:G,0)</f>
        <v>550000</v>
      </c>
      <c r="F128" s="18">
        <f t="shared" ref="F128" si="206">E128-G128</f>
        <v>550000</v>
      </c>
      <c r="G128" s="18">
        <f t="shared" ref="G128" si="207">P128+O128</f>
        <v>0</v>
      </c>
      <c r="H128" s="19">
        <f>SUMIFS('Data Additive'!$D:$D,'Data Additive'!$P:$P,'Painel Additive'!$B128,'Data Additive'!$Q:$Q,"&gt;0",'Data Additive'!$Q:$Q,"&lt;=30")</f>
        <v>0</v>
      </c>
      <c r="I128" s="19">
        <f>SUMIFS('Data Additive'!$D:$D,'Data Additive'!$P:$P,'Painel Additive'!$B128,'Data Additive'!$Q:$Q,"&gt;30",'Data Additive'!$Q:$Q,"&lt;=60")</f>
        <v>0</v>
      </c>
      <c r="J128" s="19">
        <f>SUMIFS('Data Additive'!$D:$D,'Data Additive'!$P:$P,'Painel Additive'!$B128,'Data Additive'!$Q:$Q,"&gt;60",'Data Additive'!$Q:$Q,"&lt;=90")</f>
        <v>0</v>
      </c>
      <c r="K128" s="19">
        <f>SUMIFS('Data Additive'!$D:$D,'Data Additive'!$P:$P,'Painel Additive'!$B128,'Data Additive'!$Q:$Q,"&gt;90",'Data Additive'!$Q:$Q,"&lt;=120")</f>
        <v>0</v>
      </c>
      <c r="L128" s="19">
        <f>SUMIFS('Data Additive'!$D:$D,'Data Additive'!$P:$P,'Painel Additive'!$B128,'Data Additive'!$Q:$Q,"&gt;120",'Data Additive'!$Q:$Q,"&lt;=180")</f>
        <v>0</v>
      </c>
      <c r="M128" s="19">
        <f>SUMIFS('Data Additive'!$D:$D,'Data Additive'!$P:$P,'Painel Additive'!$B128,'Data Additive'!$Q:$Q,"&gt;180",'Data Additive'!$Q:$Q,"&lt;=360")</f>
        <v>0</v>
      </c>
      <c r="N128" s="23">
        <f>SUMIFS('Data Additive'!$D:$D,'Data Additive'!$P:$P,'Painel Additive'!$B128,'Data Additive'!$Q:$Q,"&gt;360")</f>
        <v>0</v>
      </c>
      <c r="O128" s="122">
        <f>SUMIFS('Data Additive'!$D:$D,'Data Additive'!$P:$P,'Painel Additive'!$B128,'Data Additive'!$Q:$Q,"&gt;0")</f>
        <v>0</v>
      </c>
      <c r="P128" s="19">
        <f t="shared" ref="P128" si="208">SUM(Q128:W128)</f>
        <v>0</v>
      </c>
      <c r="Q128" s="19">
        <f>SUMIFS('Data Additive'!$D:$D,'Data Additive'!$P:$P,'Painel Additive'!$B128,'Data Additive'!$Q:$Q,"&lt;=0",'Data Additive'!$Q:$Q,"&gt;=-30")</f>
        <v>0</v>
      </c>
      <c r="R128" s="19">
        <f>SUMIFS('Data Additive'!$D:$D,'Data Additive'!$P:$P,'Painel Additive'!$B128,'Data Additive'!$Q:$Q,"&lt;=-31",'Data Additive'!$Q:$Q,"&gt;=-60")</f>
        <v>0</v>
      </c>
      <c r="S128" s="19">
        <f>SUMIFS('Data Additive'!$D:$D,'Data Additive'!$P:$P,'Painel Additive'!$B128,'Data Additive'!$Q:$Q,"&lt;=-61",'Data Additive'!$Q:$Q,"&gt;=-90")</f>
        <v>0</v>
      </c>
      <c r="T128" s="19">
        <f>SUMIFS('Data Additive'!$D:$D,'Data Additive'!$P:$P,'Painel Additive'!$B128,'Data Additive'!$Q:$Q,"&lt;=-91",'Data Additive'!$Q:$Q,"&gt;=-120")</f>
        <v>0</v>
      </c>
      <c r="U128" s="19">
        <f>SUMIFS('Data Additive'!$D:$D,'Data Additive'!$P:$P,'Painel Additive'!$B128,'Data Additive'!$Q:$Q,"&lt;=-121",'Data Additive'!$Q:$Q,"&gt;=-180")</f>
        <v>0</v>
      </c>
      <c r="V128" s="19">
        <f>SUMIFS('Data Additive'!$D:$D,'Data Additive'!$P:$P,'Painel Additive'!$B128,'Data Additive'!$Q:$Q,"&lt;=-181",'Data Additive'!$Q:$Q,"&gt;=-360")</f>
        <v>0</v>
      </c>
      <c r="W128" s="23">
        <f>SUMIFS('Data Additive'!$D:$D,'Data Additive'!$P:$P,'Painel Additive'!$B128,'Data Additive'!$Q:$Q,"&lt;-360")</f>
        <v>0</v>
      </c>
      <c r="X128" s="19">
        <f>SUMIFS('Bad Debt Provision'!AB:AB,'Bad Debt Provision'!B:B,'Painel Additive'!B128)</f>
        <v>0</v>
      </c>
      <c r="Y128" s="5"/>
      <c r="Z128" s="5"/>
      <c r="AA128" s="19">
        <f>IFERROR(_xlfn.XLOOKUP(B128,'Limite de crédito'!C:C,'Limite de crédito'!O:O,),0)</f>
        <v>550000</v>
      </c>
      <c r="AB128" s="19"/>
      <c r="AC128" s="20"/>
      <c r="AD128" s="22"/>
      <c r="AE128" s="22"/>
      <c r="AF128" s="5"/>
      <c r="AG128" s="105">
        <f t="shared" ref="AG128" si="209">AA128-G128</f>
        <v>550000</v>
      </c>
    </row>
    <row r="129" spans="2:33" x14ac:dyDescent="0.25">
      <c r="B129" s="41" t="s">
        <v>685</v>
      </c>
      <c r="C129" s="224" t="str">
        <f>IFERROR(_xlfn.XLOOKUP(B129,'Limite de crédito'!C:C,'Limite de crédito'!L:L,),0)</f>
        <v>B</v>
      </c>
      <c r="D129" s="93"/>
      <c r="E129" s="18">
        <f>_xlfn.XLOOKUP(B129,'Limite de crédito'!C:C,'Limite de crédito'!G:G,0)</f>
        <v>1000000</v>
      </c>
      <c r="F129" s="18">
        <f t="shared" ref="F129" si="210">E129-G129</f>
        <v>1000000</v>
      </c>
      <c r="G129" s="18">
        <f t="shared" ref="G129" si="211">P129+O129</f>
        <v>0</v>
      </c>
      <c r="H129" s="19">
        <f>SUMIFS('Data Additive'!$D:$D,'Data Additive'!$P:$P,'Painel Additive'!$B129,'Data Additive'!$Q:$Q,"&gt;0",'Data Additive'!$Q:$Q,"&lt;=30")</f>
        <v>0</v>
      </c>
      <c r="I129" s="19">
        <f>SUMIFS('Data Additive'!$D:$D,'Data Additive'!$P:$P,'Painel Additive'!$B129,'Data Additive'!$Q:$Q,"&gt;30",'Data Additive'!$Q:$Q,"&lt;=60")</f>
        <v>0</v>
      </c>
      <c r="J129" s="19">
        <f>SUMIFS('Data Additive'!$D:$D,'Data Additive'!$P:$P,'Painel Additive'!$B129,'Data Additive'!$Q:$Q,"&gt;60",'Data Additive'!$Q:$Q,"&lt;=90")</f>
        <v>0</v>
      </c>
      <c r="K129" s="19">
        <f>SUMIFS('Data Additive'!$D:$D,'Data Additive'!$P:$P,'Painel Additive'!$B129,'Data Additive'!$Q:$Q,"&gt;90",'Data Additive'!$Q:$Q,"&lt;=120")</f>
        <v>0</v>
      </c>
      <c r="L129" s="19">
        <f>SUMIFS('Data Additive'!$D:$D,'Data Additive'!$P:$P,'Painel Additive'!$B129,'Data Additive'!$Q:$Q,"&gt;120",'Data Additive'!$Q:$Q,"&lt;=180")</f>
        <v>0</v>
      </c>
      <c r="M129" s="19">
        <f>SUMIFS('Data Additive'!$D:$D,'Data Additive'!$P:$P,'Painel Additive'!$B129,'Data Additive'!$Q:$Q,"&gt;180",'Data Additive'!$Q:$Q,"&lt;=360")</f>
        <v>0</v>
      </c>
      <c r="N129" s="23">
        <f>SUMIFS('Data Additive'!$D:$D,'Data Additive'!$P:$P,'Painel Additive'!$B129,'Data Additive'!$Q:$Q,"&gt;360")</f>
        <v>0</v>
      </c>
      <c r="O129" s="122">
        <f>SUMIFS('Data Additive'!$D:$D,'Data Additive'!$P:$P,'Painel Additive'!$B129,'Data Additive'!$Q:$Q,"&gt;0")</f>
        <v>0</v>
      </c>
      <c r="P129" s="19">
        <f t="shared" ref="P129" si="212">SUM(Q129:W129)</f>
        <v>0</v>
      </c>
      <c r="Q129" s="19">
        <f>SUMIFS('Data Additive'!$D:$D,'Data Additive'!$P:$P,'Painel Additive'!$B129,'Data Additive'!$Q:$Q,"&lt;=0",'Data Additive'!$Q:$Q,"&gt;=-30")</f>
        <v>0</v>
      </c>
      <c r="R129" s="19">
        <f>SUMIFS('Data Additive'!$D:$D,'Data Additive'!$P:$P,'Painel Additive'!$B129,'Data Additive'!$Q:$Q,"&lt;=-31",'Data Additive'!$Q:$Q,"&gt;=-60")</f>
        <v>0</v>
      </c>
      <c r="S129" s="19">
        <f>SUMIFS('Data Additive'!$D:$D,'Data Additive'!$P:$P,'Painel Additive'!$B129,'Data Additive'!$Q:$Q,"&lt;=-61",'Data Additive'!$Q:$Q,"&gt;=-90")</f>
        <v>0</v>
      </c>
      <c r="T129" s="19">
        <f>SUMIFS('Data Additive'!$D:$D,'Data Additive'!$P:$P,'Painel Additive'!$B129,'Data Additive'!$Q:$Q,"&lt;=-91",'Data Additive'!$Q:$Q,"&gt;=-120")</f>
        <v>0</v>
      </c>
      <c r="U129" s="19">
        <f>SUMIFS('Data Additive'!$D:$D,'Data Additive'!$P:$P,'Painel Additive'!$B129,'Data Additive'!$Q:$Q,"&lt;=-121",'Data Additive'!$Q:$Q,"&gt;=-180")</f>
        <v>0</v>
      </c>
      <c r="V129" s="19">
        <f>SUMIFS('Data Additive'!$D:$D,'Data Additive'!$P:$P,'Painel Additive'!$B129,'Data Additive'!$Q:$Q,"&lt;=-181",'Data Additive'!$Q:$Q,"&gt;=-360")</f>
        <v>0</v>
      </c>
      <c r="W129" s="23">
        <f>SUMIFS('Data Additive'!$D:$D,'Data Additive'!$P:$P,'Painel Additive'!$B129,'Data Additive'!$Q:$Q,"&lt;-360")</f>
        <v>0</v>
      </c>
      <c r="X129" s="19">
        <f>SUMIFS('Bad Debt Provision'!AB:AB,'Bad Debt Provision'!B:B,'Painel Additive'!B129)</f>
        <v>0</v>
      </c>
      <c r="Y129" s="5"/>
      <c r="Z129" s="5"/>
      <c r="AA129" s="19">
        <f>IFERROR(_xlfn.XLOOKUP(B129,'Limite de crédito'!C:C,'Limite de crédito'!O:O,),0)</f>
        <v>1000000</v>
      </c>
      <c r="AB129" s="19"/>
      <c r="AC129" s="20"/>
      <c r="AD129" s="22"/>
      <c r="AE129" s="22"/>
      <c r="AF129" s="5"/>
      <c r="AG129" s="105">
        <f t="shared" ref="AG129" si="213">AA129-G129</f>
        <v>1000000</v>
      </c>
    </row>
    <row r="130" spans="2:33" x14ac:dyDescent="0.25">
      <c r="B130" s="41" t="s">
        <v>819</v>
      </c>
      <c r="C130" s="224">
        <f>IFERROR(_xlfn.XLOOKUP(B130,'Limite de crédito'!C:C,'Limite de crédito'!L:L,),0)</f>
        <v>0</v>
      </c>
      <c r="D130" s="93"/>
      <c r="E130" s="18">
        <f>_xlfn.XLOOKUP(B130,'Limite de crédito'!C:C,'Limite de crédito'!G:G,0)</f>
        <v>0</v>
      </c>
      <c r="F130" s="18">
        <f t="shared" ref="F130" si="214">E130-G130</f>
        <v>-49440</v>
      </c>
      <c r="G130" s="18">
        <f t="shared" ref="G130" si="215">P130+O130</f>
        <v>49440</v>
      </c>
      <c r="H130" s="19">
        <f>SUMIFS('Data Additive'!$D:$D,'Data Additive'!$P:$P,'Painel Additive'!$B130,'Data Additive'!$Q:$Q,"&gt;0",'Data Additive'!$Q:$Q,"&lt;=30")</f>
        <v>0</v>
      </c>
      <c r="I130" s="19">
        <f>SUMIFS('Data Additive'!$D:$D,'Data Additive'!$P:$P,'Painel Additive'!$B130,'Data Additive'!$Q:$Q,"&gt;30",'Data Additive'!$Q:$Q,"&lt;=60")</f>
        <v>49440</v>
      </c>
      <c r="J130" s="19">
        <f>SUMIFS('Data Additive'!$D:$D,'Data Additive'!$P:$P,'Painel Additive'!$B130,'Data Additive'!$Q:$Q,"&gt;60",'Data Additive'!$Q:$Q,"&lt;=90")</f>
        <v>0</v>
      </c>
      <c r="K130" s="19">
        <f>SUMIFS('Data Additive'!$D:$D,'Data Additive'!$P:$P,'Painel Additive'!$B130,'Data Additive'!$Q:$Q,"&gt;90",'Data Additive'!$Q:$Q,"&lt;=120")</f>
        <v>0</v>
      </c>
      <c r="L130" s="19">
        <f>SUMIFS('Data Additive'!$D:$D,'Data Additive'!$P:$P,'Painel Additive'!$B130,'Data Additive'!$Q:$Q,"&gt;120",'Data Additive'!$Q:$Q,"&lt;=180")</f>
        <v>0</v>
      </c>
      <c r="M130" s="19">
        <f>SUMIFS('Data Additive'!$D:$D,'Data Additive'!$P:$P,'Painel Additive'!$B130,'Data Additive'!$Q:$Q,"&gt;180",'Data Additive'!$Q:$Q,"&lt;=360")</f>
        <v>0</v>
      </c>
      <c r="N130" s="23">
        <f>SUMIFS('Data Additive'!$D:$D,'Data Additive'!$P:$P,'Painel Additive'!$B130,'Data Additive'!$Q:$Q,"&gt;360")</f>
        <v>0</v>
      </c>
      <c r="O130" s="122">
        <f>SUMIFS('Data Additive'!$D:$D,'Data Additive'!$P:$P,'Painel Additive'!$B130,'Data Additive'!$Q:$Q,"&gt;0")</f>
        <v>49440</v>
      </c>
      <c r="P130" s="19">
        <f t="shared" ref="P130" si="216">SUM(Q130:W130)</f>
        <v>0</v>
      </c>
      <c r="Q130" s="19">
        <f>SUMIFS('Data Additive'!$D:$D,'Data Additive'!$P:$P,'Painel Additive'!$B130,'Data Additive'!$Q:$Q,"&lt;=0",'Data Additive'!$Q:$Q,"&gt;=-30")</f>
        <v>0</v>
      </c>
      <c r="R130" s="19">
        <f>SUMIFS('Data Additive'!$D:$D,'Data Additive'!$P:$P,'Painel Additive'!$B130,'Data Additive'!$Q:$Q,"&lt;=-31",'Data Additive'!$Q:$Q,"&gt;=-60")</f>
        <v>0</v>
      </c>
      <c r="S130" s="19">
        <f>SUMIFS('Data Additive'!$D:$D,'Data Additive'!$P:$P,'Painel Additive'!$B130,'Data Additive'!$Q:$Q,"&lt;=-61",'Data Additive'!$Q:$Q,"&gt;=-90")</f>
        <v>0</v>
      </c>
      <c r="T130" s="19">
        <f>SUMIFS('Data Additive'!$D:$D,'Data Additive'!$P:$P,'Painel Additive'!$B130,'Data Additive'!$Q:$Q,"&lt;=-91",'Data Additive'!$Q:$Q,"&gt;=-120")</f>
        <v>0</v>
      </c>
      <c r="U130" s="19">
        <f>SUMIFS('Data Additive'!$D:$D,'Data Additive'!$P:$P,'Painel Additive'!$B130,'Data Additive'!$Q:$Q,"&lt;=-121",'Data Additive'!$Q:$Q,"&gt;=-180")</f>
        <v>0</v>
      </c>
      <c r="V130" s="19">
        <f>SUMIFS('Data Additive'!$D:$D,'Data Additive'!$P:$P,'Painel Additive'!$B130,'Data Additive'!$Q:$Q,"&lt;=-181",'Data Additive'!$Q:$Q,"&gt;=-360")</f>
        <v>0</v>
      </c>
      <c r="W130" s="23">
        <f>SUMIFS('Data Additive'!$D:$D,'Data Additive'!$P:$P,'Painel Additive'!$B130,'Data Additive'!$Q:$Q,"&lt;-360")</f>
        <v>0</v>
      </c>
      <c r="X130" s="19">
        <f>SUMIFS('Bad Debt Provision'!AB:AB,'Bad Debt Provision'!B:B,'Painel Additive'!B130)</f>
        <v>0</v>
      </c>
      <c r="Y130" s="5"/>
      <c r="Z130" s="5"/>
      <c r="AA130" s="19">
        <f>IFERROR(_xlfn.XLOOKUP(B130,'Limite de crédito'!C:C,'Limite de crédito'!O:O,),0)</f>
        <v>0</v>
      </c>
      <c r="AB130" s="19"/>
      <c r="AC130" s="20"/>
      <c r="AD130" s="22"/>
      <c r="AE130" s="22"/>
      <c r="AF130" s="5"/>
      <c r="AG130" s="105">
        <f t="shared" ref="AG130" si="217">AA130-G130</f>
        <v>-49440</v>
      </c>
    </row>
    <row r="131" spans="2:33" x14ac:dyDescent="0.25">
      <c r="B131" s="41" t="s">
        <v>823</v>
      </c>
      <c r="C131" s="224">
        <f>IFERROR(_xlfn.XLOOKUP(B131,'Limite de crédito'!C:C,'Limite de crédito'!L:L,),0)</f>
        <v>0</v>
      </c>
      <c r="D131" s="93"/>
      <c r="E131" s="18">
        <f>_xlfn.XLOOKUP(B131,'Limite de crédito'!C:C,'Limite de crédito'!G:G,0)</f>
        <v>0</v>
      </c>
      <c r="F131" s="18">
        <f t="shared" ref="F131" si="218">E131-G131</f>
        <v>0</v>
      </c>
      <c r="G131" s="18">
        <f t="shared" ref="G131" si="219">P131+O131</f>
        <v>0</v>
      </c>
      <c r="H131" s="19">
        <f>SUMIFS('Data Additive'!$D:$D,'Data Additive'!$P:$P,'Painel Additive'!$B131,'Data Additive'!$Q:$Q,"&gt;0",'Data Additive'!$Q:$Q,"&lt;=30")</f>
        <v>0</v>
      </c>
      <c r="I131" s="19">
        <f>SUMIFS('Data Additive'!$D:$D,'Data Additive'!$P:$P,'Painel Additive'!$B131,'Data Additive'!$Q:$Q,"&gt;30",'Data Additive'!$Q:$Q,"&lt;=60")</f>
        <v>0</v>
      </c>
      <c r="J131" s="19">
        <f>SUMIFS('Data Additive'!$D:$D,'Data Additive'!$P:$P,'Painel Additive'!$B131,'Data Additive'!$Q:$Q,"&gt;60",'Data Additive'!$Q:$Q,"&lt;=90")</f>
        <v>0</v>
      </c>
      <c r="K131" s="19">
        <f>SUMIFS('Data Additive'!$D:$D,'Data Additive'!$P:$P,'Painel Additive'!$B131,'Data Additive'!$Q:$Q,"&gt;90",'Data Additive'!$Q:$Q,"&lt;=120")</f>
        <v>0</v>
      </c>
      <c r="L131" s="19">
        <f>SUMIFS('Data Additive'!$D:$D,'Data Additive'!$P:$P,'Painel Additive'!$B131,'Data Additive'!$Q:$Q,"&gt;120",'Data Additive'!$Q:$Q,"&lt;=180")</f>
        <v>0</v>
      </c>
      <c r="M131" s="19">
        <f>SUMIFS('Data Additive'!$D:$D,'Data Additive'!$P:$P,'Painel Additive'!$B131,'Data Additive'!$Q:$Q,"&gt;180",'Data Additive'!$Q:$Q,"&lt;=360")</f>
        <v>0</v>
      </c>
      <c r="N131" s="23">
        <f>SUMIFS('Data Additive'!$D:$D,'Data Additive'!$P:$P,'Painel Additive'!$B131,'Data Additive'!$Q:$Q,"&gt;360")</f>
        <v>0</v>
      </c>
      <c r="O131" s="122">
        <f>SUMIFS('Data Additive'!$D:$D,'Data Additive'!$P:$P,'Painel Additive'!$B131,'Data Additive'!$Q:$Q,"&gt;0")</f>
        <v>0</v>
      </c>
      <c r="P131" s="19">
        <f t="shared" ref="P131" si="220">SUM(Q131:W131)</f>
        <v>0</v>
      </c>
      <c r="Q131" s="19">
        <f>SUMIFS('Data Additive'!$D:$D,'Data Additive'!$P:$P,'Painel Additive'!$B131,'Data Additive'!$Q:$Q,"&lt;=0",'Data Additive'!$Q:$Q,"&gt;=-30")</f>
        <v>0</v>
      </c>
      <c r="R131" s="19">
        <f>SUMIFS('Data Additive'!$D:$D,'Data Additive'!$P:$P,'Painel Additive'!$B131,'Data Additive'!$Q:$Q,"&lt;=-31",'Data Additive'!$Q:$Q,"&gt;=-60")</f>
        <v>0</v>
      </c>
      <c r="S131" s="19">
        <f>SUMIFS('Data Additive'!$D:$D,'Data Additive'!$P:$P,'Painel Additive'!$B131,'Data Additive'!$Q:$Q,"&lt;=-61",'Data Additive'!$Q:$Q,"&gt;=-90")</f>
        <v>0</v>
      </c>
      <c r="T131" s="19">
        <f>SUMIFS('Data Additive'!$D:$D,'Data Additive'!$P:$P,'Painel Additive'!$B131,'Data Additive'!$Q:$Q,"&lt;=-91",'Data Additive'!$Q:$Q,"&gt;=-120")</f>
        <v>0</v>
      </c>
      <c r="U131" s="19">
        <f>SUMIFS('Data Additive'!$D:$D,'Data Additive'!$P:$P,'Painel Additive'!$B131,'Data Additive'!$Q:$Q,"&lt;=-121",'Data Additive'!$Q:$Q,"&gt;=-180")</f>
        <v>0</v>
      </c>
      <c r="V131" s="19">
        <f>SUMIFS('Data Additive'!$D:$D,'Data Additive'!$P:$P,'Painel Additive'!$B131,'Data Additive'!$Q:$Q,"&lt;=-181",'Data Additive'!$Q:$Q,"&gt;=-360")</f>
        <v>0</v>
      </c>
      <c r="W131" s="23">
        <f>SUMIFS('Data Additive'!$D:$D,'Data Additive'!$P:$P,'Painel Additive'!$B131,'Data Additive'!$Q:$Q,"&lt;-360")</f>
        <v>0</v>
      </c>
      <c r="X131" s="19">
        <f>SUMIFS('Bad Debt Provision'!AB:AB,'Bad Debt Provision'!B:B,'Painel Additive'!B131)</f>
        <v>0</v>
      </c>
      <c r="Y131" s="5"/>
      <c r="Z131" s="5"/>
      <c r="AA131" s="19">
        <f>IFERROR(_xlfn.XLOOKUP(B131,'Limite de crédito'!C:C,'Limite de crédito'!O:O,),0)</f>
        <v>0</v>
      </c>
      <c r="AB131" s="19"/>
      <c r="AC131" s="20"/>
      <c r="AD131" s="22"/>
      <c r="AE131" s="22"/>
      <c r="AF131" s="5"/>
      <c r="AG131" s="105">
        <f t="shared" ref="AG131" si="221">AA131-G131</f>
        <v>0</v>
      </c>
    </row>
    <row r="132" spans="2:33" x14ac:dyDescent="0.25">
      <c r="B132" s="41" t="s">
        <v>258</v>
      </c>
      <c r="C132" s="224" t="str">
        <f>IFERROR(_xlfn.XLOOKUP(B132,'Limite de crédito'!C:C,'Limite de crédito'!L:L,),0)</f>
        <v>B</v>
      </c>
      <c r="D132" s="93"/>
      <c r="E132" s="18">
        <f>_xlfn.XLOOKUP(B132,'Limite de crédito'!C:C,'Limite de crédito'!G:G,0)</f>
        <v>1000000</v>
      </c>
      <c r="F132" s="18">
        <f t="shared" ref="F132" si="222">E132-G132</f>
        <v>1000000</v>
      </c>
      <c r="G132" s="18">
        <f t="shared" ref="G132" si="223">P132+O132</f>
        <v>0</v>
      </c>
      <c r="H132" s="19">
        <f>SUMIFS('Data Additive'!$D:$D,'Data Additive'!$P:$P,'Painel Additive'!$B132,'Data Additive'!$Q:$Q,"&gt;0",'Data Additive'!$Q:$Q,"&lt;=30")</f>
        <v>0</v>
      </c>
      <c r="I132" s="19">
        <f>SUMIFS('Data Additive'!$D:$D,'Data Additive'!$P:$P,'Painel Additive'!$B132,'Data Additive'!$Q:$Q,"&gt;30",'Data Additive'!$Q:$Q,"&lt;=60")</f>
        <v>0</v>
      </c>
      <c r="J132" s="19">
        <f>SUMIFS('Data Additive'!$D:$D,'Data Additive'!$P:$P,'Painel Additive'!$B132,'Data Additive'!$Q:$Q,"&gt;60",'Data Additive'!$Q:$Q,"&lt;=90")</f>
        <v>0</v>
      </c>
      <c r="K132" s="19">
        <f>SUMIFS('Data Additive'!$D:$D,'Data Additive'!$P:$P,'Painel Additive'!$B132,'Data Additive'!$Q:$Q,"&gt;90",'Data Additive'!$Q:$Q,"&lt;=120")</f>
        <v>0</v>
      </c>
      <c r="L132" s="19">
        <f>SUMIFS('Data Additive'!$D:$D,'Data Additive'!$P:$P,'Painel Additive'!$B132,'Data Additive'!$Q:$Q,"&gt;120",'Data Additive'!$Q:$Q,"&lt;=180")</f>
        <v>0</v>
      </c>
      <c r="M132" s="19">
        <f>SUMIFS('Data Additive'!$D:$D,'Data Additive'!$P:$P,'Painel Additive'!$B132,'Data Additive'!$Q:$Q,"&gt;180",'Data Additive'!$Q:$Q,"&lt;=360")</f>
        <v>0</v>
      </c>
      <c r="N132" s="23">
        <f>SUMIFS('Data Additive'!$D:$D,'Data Additive'!$P:$P,'Painel Additive'!$B132,'Data Additive'!$Q:$Q,"&gt;360")</f>
        <v>0</v>
      </c>
      <c r="O132" s="122">
        <f>SUMIFS('Data Additive'!$D:$D,'Data Additive'!$P:$P,'Painel Additive'!$B132,'Data Additive'!$Q:$Q,"&gt;0")</f>
        <v>0</v>
      </c>
      <c r="P132" s="19">
        <f t="shared" ref="P132" si="224">SUM(Q132:W132)</f>
        <v>0</v>
      </c>
      <c r="Q132" s="19">
        <f>SUMIFS('Data Additive'!$D:$D,'Data Additive'!$P:$P,'Painel Additive'!$B132,'Data Additive'!$Q:$Q,"&lt;=0",'Data Additive'!$Q:$Q,"&gt;=-30")</f>
        <v>0</v>
      </c>
      <c r="R132" s="19">
        <f>SUMIFS('Data Additive'!$D:$D,'Data Additive'!$P:$P,'Painel Additive'!$B132,'Data Additive'!$Q:$Q,"&lt;=-31",'Data Additive'!$Q:$Q,"&gt;=-60")</f>
        <v>0</v>
      </c>
      <c r="S132" s="19">
        <f>SUMIFS('Data Additive'!$D:$D,'Data Additive'!$P:$P,'Painel Additive'!$B132,'Data Additive'!$Q:$Q,"&lt;=-61",'Data Additive'!$Q:$Q,"&gt;=-90")</f>
        <v>0</v>
      </c>
      <c r="T132" s="19">
        <f>SUMIFS('Data Additive'!$D:$D,'Data Additive'!$P:$P,'Painel Additive'!$B132,'Data Additive'!$Q:$Q,"&lt;=-91",'Data Additive'!$Q:$Q,"&gt;=-120")</f>
        <v>0</v>
      </c>
      <c r="U132" s="19">
        <f>SUMIFS('Data Additive'!$D:$D,'Data Additive'!$P:$P,'Painel Additive'!$B132,'Data Additive'!$Q:$Q,"&lt;=-121",'Data Additive'!$Q:$Q,"&gt;=-180")</f>
        <v>0</v>
      </c>
      <c r="V132" s="19">
        <f>SUMIFS('Data Additive'!$D:$D,'Data Additive'!$P:$P,'Painel Additive'!$B132,'Data Additive'!$Q:$Q,"&lt;=-181",'Data Additive'!$Q:$Q,"&gt;=-360")</f>
        <v>0</v>
      </c>
      <c r="W132" s="23">
        <f>SUMIFS('Data Additive'!$D:$D,'Data Additive'!$P:$P,'Painel Additive'!$B132,'Data Additive'!$Q:$Q,"&lt;-360")</f>
        <v>0</v>
      </c>
      <c r="X132" s="19">
        <f>SUMIFS('Bad Debt Provision'!AB:AB,'Bad Debt Provision'!B:B,'Painel Additive'!B132)</f>
        <v>0</v>
      </c>
      <c r="Y132" s="5"/>
      <c r="Z132" s="5"/>
      <c r="AA132" s="19">
        <f>IFERROR(_xlfn.XLOOKUP(B132,'Limite de crédito'!C:C,'Limite de crédito'!O:O,),0)</f>
        <v>1000000</v>
      </c>
      <c r="AB132" s="19"/>
      <c r="AC132" s="20"/>
      <c r="AD132" s="22"/>
      <c r="AE132" s="22"/>
      <c r="AF132" s="5"/>
      <c r="AG132" s="105">
        <f t="shared" ref="AG132" si="225">AA132-G132</f>
        <v>1000000</v>
      </c>
    </row>
    <row r="133" spans="2:33" x14ac:dyDescent="0.25">
      <c r="B133" s="41" t="s">
        <v>828</v>
      </c>
      <c r="C133" s="224">
        <f>IFERROR(_xlfn.XLOOKUP(B133,'Limite de crédito'!C:C,'Limite de crédito'!L:L,),0)</f>
        <v>0</v>
      </c>
      <c r="D133" s="93"/>
      <c r="E133" s="18">
        <f>_xlfn.XLOOKUP(B133,'Limite de crédito'!C:C,'Limite de crédito'!G:G,0)</f>
        <v>0</v>
      </c>
      <c r="F133" s="18">
        <f t="shared" ref="F133" si="226">E133-G133</f>
        <v>-583.34</v>
      </c>
      <c r="G133" s="18">
        <f t="shared" ref="G133" si="227">P133+O133</f>
        <v>583.34</v>
      </c>
      <c r="H133" s="19">
        <f>SUMIFS('Data Additive'!$D:$D,'Data Additive'!$P:$P,'Painel Additive'!$B133,'Data Additive'!$Q:$Q,"&gt;0",'Data Additive'!$Q:$Q,"&lt;=30")</f>
        <v>0</v>
      </c>
      <c r="I133" s="19">
        <f>SUMIFS('Data Additive'!$D:$D,'Data Additive'!$P:$P,'Painel Additive'!$B133,'Data Additive'!$Q:$Q,"&gt;30",'Data Additive'!$Q:$Q,"&lt;=60")</f>
        <v>0</v>
      </c>
      <c r="J133" s="19">
        <f>SUMIFS('Data Additive'!$D:$D,'Data Additive'!$P:$P,'Painel Additive'!$B133,'Data Additive'!$Q:$Q,"&gt;60",'Data Additive'!$Q:$Q,"&lt;=90")</f>
        <v>0</v>
      </c>
      <c r="K133" s="19">
        <f>SUMIFS('Data Additive'!$D:$D,'Data Additive'!$P:$P,'Painel Additive'!$B133,'Data Additive'!$Q:$Q,"&gt;90",'Data Additive'!$Q:$Q,"&lt;=120")</f>
        <v>0</v>
      </c>
      <c r="L133" s="19">
        <f>SUMIFS('Data Additive'!$D:$D,'Data Additive'!$P:$P,'Painel Additive'!$B133,'Data Additive'!$Q:$Q,"&gt;120",'Data Additive'!$Q:$Q,"&lt;=180")</f>
        <v>0</v>
      </c>
      <c r="M133" s="19">
        <f>SUMIFS('Data Additive'!$D:$D,'Data Additive'!$P:$P,'Painel Additive'!$B133,'Data Additive'!$Q:$Q,"&gt;180",'Data Additive'!$Q:$Q,"&lt;=360")</f>
        <v>0</v>
      </c>
      <c r="N133" s="23">
        <f>SUMIFS('Data Additive'!$D:$D,'Data Additive'!$P:$P,'Painel Additive'!$B133,'Data Additive'!$Q:$Q,"&gt;360")</f>
        <v>0</v>
      </c>
      <c r="O133" s="122">
        <f>SUMIFS('Data Additive'!$D:$D,'Data Additive'!$P:$P,'Painel Additive'!$B133,'Data Additive'!$Q:$Q,"&gt;0")</f>
        <v>0</v>
      </c>
      <c r="P133" s="19">
        <f t="shared" ref="P133" si="228">SUM(Q133:W133)</f>
        <v>583.34</v>
      </c>
      <c r="Q133" s="19">
        <f>SUMIFS('Data Additive'!$D:$D,'Data Additive'!$P:$P,'Painel Additive'!$B133,'Data Additive'!$Q:$Q,"&lt;=0",'Data Additive'!$Q:$Q,"&gt;=-30")</f>
        <v>583.34</v>
      </c>
      <c r="R133" s="19">
        <f>SUMIFS('Data Additive'!$D:$D,'Data Additive'!$P:$P,'Painel Additive'!$B133,'Data Additive'!$Q:$Q,"&lt;=-31",'Data Additive'!$Q:$Q,"&gt;=-60")</f>
        <v>0</v>
      </c>
      <c r="S133" s="19">
        <f>SUMIFS('Data Additive'!$D:$D,'Data Additive'!$P:$P,'Painel Additive'!$B133,'Data Additive'!$Q:$Q,"&lt;=-61",'Data Additive'!$Q:$Q,"&gt;=-90")</f>
        <v>0</v>
      </c>
      <c r="T133" s="19">
        <f>SUMIFS('Data Additive'!$D:$D,'Data Additive'!$P:$P,'Painel Additive'!$B133,'Data Additive'!$Q:$Q,"&lt;=-91",'Data Additive'!$Q:$Q,"&gt;=-120")</f>
        <v>0</v>
      </c>
      <c r="U133" s="19">
        <f>SUMIFS('Data Additive'!$D:$D,'Data Additive'!$P:$P,'Painel Additive'!$B133,'Data Additive'!$Q:$Q,"&lt;=-121",'Data Additive'!$Q:$Q,"&gt;=-180")</f>
        <v>0</v>
      </c>
      <c r="V133" s="19">
        <f>SUMIFS('Data Additive'!$D:$D,'Data Additive'!$P:$P,'Painel Additive'!$B133,'Data Additive'!$Q:$Q,"&lt;=-181",'Data Additive'!$Q:$Q,"&gt;=-360")</f>
        <v>0</v>
      </c>
      <c r="W133" s="23">
        <f>SUMIFS('Data Additive'!$D:$D,'Data Additive'!$P:$P,'Painel Additive'!$B133,'Data Additive'!$Q:$Q,"&lt;-360")</f>
        <v>0</v>
      </c>
      <c r="X133" s="19">
        <f>SUMIFS('Bad Debt Provision'!AB:AB,'Bad Debt Provision'!B:B,'Painel Additive'!B133)</f>
        <v>0</v>
      </c>
      <c r="Y133" s="5"/>
      <c r="Z133" s="5"/>
      <c r="AA133" s="19">
        <f>IFERROR(_xlfn.XLOOKUP(B133,'Limite de crédito'!C:C,'Limite de crédito'!O:O,),0)</f>
        <v>0</v>
      </c>
      <c r="AB133" s="19"/>
      <c r="AC133" s="20"/>
      <c r="AD133" s="22"/>
      <c r="AE133" s="22"/>
      <c r="AF133" s="5"/>
      <c r="AG133" s="105">
        <f t="shared" ref="AG133" si="229">AA133-G133</f>
        <v>-583.34</v>
      </c>
    </row>
    <row r="134" spans="2:33" x14ac:dyDescent="0.25">
      <c r="B134" s="41" t="s">
        <v>846</v>
      </c>
      <c r="C134" s="224">
        <f>IFERROR(_xlfn.XLOOKUP(B134,'Limite de crédito'!C:C,'Limite de crédito'!L:L,),0)</f>
        <v>0</v>
      </c>
      <c r="D134" s="93"/>
      <c r="E134" s="18">
        <f>_xlfn.XLOOKUP(B134,'Limite de crédito'!C:C,'Limite de crédito'!G:G,0)</f>
        <v>0</v>
      </c>
      <c r="F134" s="18">
        <f t="shared" ref="F134" si="230">E134-G134</f>
        <v>-331</v>
      </c>
      <c r="G134" s="18">
        <f t="shared" ref="G134" si="231">P134+O134</f>
        <v>331</v>
      </c>
      <c r="H134" s="19">
        <f>SUMIFS('Data Additive'!$D:$D,'Data Additive'!$P:$P,'Painel Additive'!$B134,'Data Additive'!$Q:$Q,"&gt;0",'Data Additive'!$Q:$Q,"&lt;=30")</f>
        <v>0</v>
      </c>
      <c r="I134" s="19">
        <f>SUMIFS('Data Additive'!$D:$D,'Data Additive'!$P:$P,'Painel Additive'!$B134,'Data Additive'!$Q:$Q,"&gt;30",'Data Additive'!$Q:$Q,"&lt;=60")</f>
        <v>0</v>
      </c>
      <c r="J134" s="19">
        <f>SUMIFS('Data Additive'!$D:$D,'Data Additive'!$P:$P,'Painel Additive'!$B134,'Data Additive'!$Q:$Q,"&gt;60",'Data Additive'!$Q:$Q,"&lt;=90")</f>
        <v>0</v>
      </c>
      <c r="K134" s="19">
        <f>SUMIFS('Data Additive'!$D:$D,'Data Additive'!$P:$P,'Painel Additive'!$B134,'Data Additive'!$Q:$Q,"&gt;90",'Data Additive'!$Q:$Q,"&lt;=120")</f>
        <v>0</v>
      </c>
      <c r="L134" s="19">
        <f>SUMIFS('Data Additive'!$D:$D,'Data Additive'!$P:$P,'Painel Additive'!$B134,'Data Additive'!$Q:$Q,"&gt;120",'Data Additive'!$Q:$Q,"&lt;=180")</f>
        <v>0</v>
      </c>
      <c r="M134" s="19">
        <f>SUMIFS('Data Additive'!$D:$D,'Data Additive'!$P:$P,'Painel Additive'!$B134,'Data Additive'!$Q:$Q,"&gt;180",'Data Additive'!$Q:$Q,"&lt;=360")</f>
        <v>0</v>
      </c>
      <c r="N134" s="23">
        <f>SUMIFS('Data Additive'!$D:$D,'Data Additive'!$P:$P,'Painel Additive'!$B134,'Data Additive'!$Q:$Q,"&gt;360")</f>
        <v>0</v>
      </c>
      <c r="O134" s="122">
        <f>SUMIFS('Data Additive'!$D:$D,'Data Additive'!$P:$P,'Painel Additive'!$B134,'Data Additive'!$Q:$Q,"&gt;0")</f>
        <v>0</v>
      </c>
      <c r="P134" s="19">
        <f t="shared" ref="P134" si="232">SUM(Q134:W134)</f>
        <v>331</v>
      </c>
      <c r="Q134" s="19">
        <f>SUMIFS('Data Additive'!$D:$D,'Data Additive'!$P:$P,'Painel Additive'!$B134,'Data Additive'!$Q:$Q,"&lt;=0",'Data Additive'!$Q:$Q,"&gt;=-30")</f>
        <v>0</v>
      </c>
      <c r="R134" s="19">
        <f>SUMIFS('Data Additive'!$D:$D,'Data Additive'!$P:$P,'Painel Additive'!$B134,'Data Additive'!$Q:$Q,"&lt;=-31",'Data Additive'!$Q:$Q,"&gt;=-60")</f>
        <v>331</v>
      </c>
      <c r="S134" s="19">
        <f>SUMIFS('Data Additive'!$D:$D,'Data Additive'!$P:$P,'Painel Additive'!$B134,'Data Additive'!$Q:$Q,"&lt;=-61",'Data Additive'!$Q:$Q,"&gt;=-90")</f>
        <v>0</v>
      </c>
      <c r="T134" s="19">
        <f>SUMIFS('Data Additive'!$D:$D,'Data Additive'!$P:$P,'Painel Additive'!$B134,'Data Additive'!$Q:$Q,"&lt;=-91",'Data Additive'!$Q:$Q,"&gt;=-120")</f>
        <v>0</v>
      </c>
      <c r="U134" s="19">
        <f>SUMIFS('Data Additive'!$D:$D,'Data Additive'!$P:$P,'Painel Additive'!$B134,'Data Additive'!$Q:$Q,"&lt;=-121",'Data Additive'!$Q:$Q,"&gt;=-180")</f>
        <v>0</v>
      </c>
      <c r="V134" s="19">
        <f>SUMIFS('Data Additive'!$D:$D,'Data Additive'!$P:$P,'Painel Additive'!$B134,'Data Additive'!$Q:$Q,"&lt;=-181",'Data Additive'!$Q:$Q,"&gt;=-360")</f>
        <v>0</v>
      </c>
      <c r="W134" s="23">
        <f>SUMIFS('Data Additive'!$D:$D,'Data Additive'!$P:$P,'Painel Additive'!$B134,'Data Additive'!$Q:$Q,"&lt;-360")</f>
        <v>0</v>
      </c>
      <c r="X134" s="19">
        <f>SUMIFS('Bad Debt Provision'!AB:AB,'Bad Debt Provision'!B:B,'Painel Additive'!B134)</f>
        <v>0</v>
      </c>
      <c r="Y134" s="5"/>
      <c r="Z134" s="5"/>
      <c r="AA134" s="19">
        <f>IFERROR(_xlfn.XLOOKUP(B134,'Limite de crédito'!C:C,'Limite de crédito'!O:O,),0)</f>
        <v>0</v>
      </c>
      <c r="AB134" s="19"/>
      <c r="AC134" s="20"/>
      <c r="AD134" s="22"/>
      <c r="AE134" s="22"/>
      <c r="AF134" s="5"/>
      <c r="AG134" s="105">
        <f t="shared" ref="AG134" si="233">AA134-G134</f>
        <v>-331</v>
      </c>
    </row>
    <row r="135" spans="2:33" x14ac:dyDescent="0.25">
      <c r="B135" s="41" t="s">
        <v>848</v>
      </c>
      <c r="C135" s="224">
        <f>IFERROR(_xlfn.XLOOKUP(B135,'Limite de crédito'!C:C,'Limite de crédito'!L:L,),0)</f>
        <v>0</v>
      </c>
      <c r="D135" s="93"/>
      <c r="E135" s="18">
        <f>_xlfn.XLOOKUP(B135,'Limite de crédito'!C:C,'Limite de crédito'!G:G,0)</f>
        <v>0</v>
      </c>
      <c r="F135" s="18">
        <f>E135-G135</f>
        <v>0</v>
      </c>
      <c r="G135" s="18">
        <f>P135+O135</f>
        <v>0</v>
      </c>
      <c r="H135" s="19">
        <f>SUMIFS('Data Additive'!$D:$D,'Data Additive'!$P:$P,'Painel Additive'!$B135,'Data Additive'!$Q:$Q,"&gt;0",'Data Additive'!$Q:$Q,"&lt;=30")</f>
        <v>0</v>
      </c>
      <c r="I135" s="19">
        <f>SUMIFS('Data Additive'!$D:$D,'Data Additive'!$P:$P,'Painel Additive'!$B135,'Data Additive'!$Q:$Q,"&gt;30",'Data Additive'!$Q:$Q,"&lt;=60")</f>
        <v>0</v>
      </c>
      <c r="J135" s="19">
        <f>SUMIFS('Data Additive'!$D:$D,'Data Additive'!$P:$P,'Painel Additive'!$B135,'Data Additive'!$Q:$Q,"&gt;60",'Data Additive'!$Q:$Q,"&lt;=90")</f>
        <v>0</v>
      </c>
      <c r="K135" s="19">
        <f>SUMIFS('Data Additive'!$D:$D,'Data Additive'!$P:$P,'Painel Additive'!$B135,'Data Additive'!$Q:$Q,"&gt;90",'Data Additive'!$Q:$Q,"&lt;=120")</f>
        <v>0</v>
      </c>
      <c r="L135" s="19">
        <f>SUMIFS('Data Additive'!$D:$D,'Data Additive'!$P:$P,'Painel Additive'!$B135,'Data Additive'!$Q:$Q,"&gt;120",'Data Additive'!$Q:$Q,"&lt;=180")</f>
        <v>0</v>
      </c>
      <c r="M135" s="19">
        <f>SUMIFS('Data Additive'!$D:$D,'Data Additive'!$P:$P,'Painel Additive'!$B135,'Data Additive'!$Q:$Q,"&gt;180",'Data Additive'!$Q:$Q,"&lt;=360")</f>
        <v>0</v>
      </c>
      <c r="N135" s="23">
        <f>SUMIFS('Data Additive'!$D:$D,'Data Additive'!$P:$P,'Painel Additive'!$B135,'Data Additive'!$Q:$Q,"&gt;360")</f>
        <v>0</v>
      </c>
      <c r="O135" s="122">
        <f>SUMIFS('Data Additive'!$D:$D,'Data Additive'!$P:$P,'Painel Additive'!$B135,'Data Additive'!$Q:$Q,"&gt;0")</f>
        <v>0</v>
      </c>
      <c r="P135" s="19">
        <f>SUM(Q135:W135)</f>
        <v>0</v>
      </c>
      <c r="Q135" s="19">
        <f>SUMIFS('Data Additive'!$D:$D,'Data Additive'!$P:$P,'Painel Additive'!$B135,'Data Additive'!$Q:$Q,"&lt;=0",'Data Additive'!$Q:$Q,"&gt;=-30")</f>
        <v>0</v>
      </c>
      <c r="R135" s="19">
        <f>SUMIFS('Data Additive'!$D:$D,'Data Additive'!$P:$P,'Painel Additive'!$B135,'Data Additive'!$Q:$Q,"&lt;=-31",'Data Additive'!$Q:$Q,"&gt;=-60")</f>
        <v>0</v>
      </c>
      <c r="S135" s="19">
        <f>SUMIFS('Data Additive'!$D:$D,'Data Additive'!$P:$P,'Painel Additive'!$B135,'Data Additive'!$Q:$Q,"&lt;=-61",'Data Additive'!$Q:$Q,"&gt;=-90")</f>
        <v>0</v>
      </c>
      <c r="T135" s="19">
        <f>SUMIFS('Data Additive'!$D:$D,'Data Additive'!$P:$P,'Painel Additive'!$B135,'Data Additive'!$Q:$Q,"&lt;=-91",'Data Additive'!$Q:$Q,"&gt;=-120")</f>
        <v>0</v>
      </c>
      <c r="U135" s="19">
        <f>SUMIFS('Data Additive'!$D:$D,'Data Additive'!$P:$P,'Painel Additive'!$B135,'Data Additive'!$Q:$Q,"&lt;=-121",'Data Additive'!$Q:$Q,"&gt;=-180")</f>
        <v>0</v>
      </c>
      <c r="V135" s="19">
        <f>SUMIFS('Data Additive'!$D:$D,'Data Additive'!$P:$P,'Painel Additive'!$B135,'Data Additive'!$Q:$Q,"&lt;=-181",'Data Additive'!$Q:$Q,"&gt;=-360")</f>
        <v>0</v>
      </c>
      <c r="W135" s="23">
        <f>SUMIFS('Data Additive'!$D:$D,'Data Additive'!$P:$P,'Painel Additive'!$B135,'Data Additive'!$Q:$Q,"&lt;-360")</f>
        <v>0</v>
      </c>
      <c r="X135" s="19">
        <f>SUMIFS('Bad Debt Provision'!AB:AB,'Bad Debt Provision'!B:B,'Painel Additive'!B135)</f>
        <v>0</v>
      </c>
      <c r="Y135" s="5"/>
      <c r="Z135" s="5"/>
      <c r="AA135" s="19">
        <f>IFERROR(_xlfn.XLOOKUP(B135,'Limite de crédito'!C:C,'Limite de crédito'!O:O,),0)</f>
        <v>0</v>
      </c>
      <c r="AB135" s="19"/>
      <c r="AC135" s="20"/>
      <c r="AD135" s="22"/>
      <c r="AE135" s="22"/>
      <c r="AF135" s="5"/>
      <c r="AG135" s="105">
        <f>AA135-G135</f>
        <v>0</v>
      </c>
    </row>
    <row r="136" spans="2:33" x14ac:dyDescent="0.25">
      <c r="B136" s="41" t="s">
        <v>885</v>
      </c>
      <c r="C136" s="224">
        <f>IFERROR(_xlfn.XLOOKUP(B136,'Limite de crédito'!C:C,'Limite de crédito'!L:L,),0)</f>
        <v>0</v>
      </c>
      <c r="D136" s="93"/>
      <c r="E136" s="18">
        <f>_xlfn.XLOOKUP(B136,'Limite de crédito'!C:C,'Limite de crédito'!G:G,0)</f>
        <v>0</v>
      </c>
      <c r="F136" s="18">
        <f>E136-G136</f>
        <v>0</v>
      </c>
      <c r="G136" s="18">
        <f>P136+O136</f>
        <v>0</v>
      </c>
      <c r="H136" s="19">
        <f>SUMIFS('Data Additive'!$D:$D,'Data Additive'!$P:$P,'Painel Additive'!$B136,'Data Additive'!$Q:$Q,"&gt;0",'Data Additive'!$Q:$Q,"&lt;=30")</f>
        <v>0</v>
      </c>
      <c r="I136" s="19">
        <f>SUMIFS('Data Additive'!$D:$D,'Data Additive'!$P:$P,'Painel Additive'!$B136,'Data Additive'!$Q:$Q,"&gt;30",'Data Additive'!$Q:$Q,"&lt;=60")</f>
        <v>0</v>
      </c>
      <c r="J136" s="19">
        <f>SUMIFS('Data Additive'!$D:$D,'Data Additive'!$P:$P,'Painel Additive'!$B136,'Data Additive'!$Q:$Q,"&gt;60",'Data Additive'!$Q:$Q,"&lt;=90")</f>
        <v>0</v>
      </c>
      <c r="K136" s="19">
        <f>SUMIFS('Data Additive'!$D:$D,'Data Additive'!$P:$P,'Painel Additive'!$B136,'Data Additive'!$Q:$Q,"&gt;90",'Data Additive'!$Q:$Q,"&lt;=120")</f>
        <v>0</v>
      </c>
      <c r="L136" s="19">
        <f>SUMIFS('Data Additive'!$D:$D,'Data Additive'!$P:$P,'Painel Additive'!$B136,'Data Additive'!$Q:$Q,"&gt;120",'Data Additive'!$Q:$Q,"&lt;=180")</f>
        <v>0</v>
      </c>
      <c r="M136" s="19">
        <f>SUMIFS('Data Additive'!$D:$D,'Data Additive'!$P:$P,'Painel Additive'!$B136,'Data Additive'!$Q:$Q,"&gt;180",'Data Additive'!$Q:$Q,"&lt;=360")</f>
        <v>0</v>
      </c>
      <c r="N136" s="23">
        <f>SUMIFS('Data Additive'!$D:$D,'Data Additive'!$P:$P,'Painel Additive'!$B136,'Data Additive'!$Q:$Q,"&gt;360")</f>
        <v>0</v>
      </c>
      <c r="O136" s="122">
        <f>SUMIFS('Data Additive'!$D:$D,'Data Additive'!$P:$P,'Painel Additive'!$B136,'Data Additive'!$Q:$Q,"&gt;0")</f>
        <v>0</v>
      </c>
      <c r="P136" s="19">
        <f>SUM(Q136:W136)</f>
        <v>0</v>
      </c>
      <c r="Q136" s="19">
        <f>SUMIFS('Data Additive'!$D:$D,'Data Additive'!$P:$P,'Painel Additive'!$B136,'Data Additive'!$Q:$Q,"&lt;=0",'Data Additive'!$Q:$Q,"&gt;=-30")</f>
        <v>0</v>
      </c>
      <c r="R136" s="19">
        <f>SUMIFS('Data Additive'!$D:$D,'Data Additive'!$P:$P,'Painel Additive'!$B136,'Data Additive'!$Q:$Q,"&lt;=-31",'Data Additive'!$Q:$Q,"&gt;=-60")</f>
        <v>0</v>
      </c>
      <c r="S136" s="19">
        <f>SUMIFS('Data Additive'!$D:$D,'Data Additive'!$P:$P,'Painel Additive'!$B136,'Data Additive'!$Q:$Q,"&lt;=-61",'Data Additive'!$Q:$Q,"&gt;=-90")</f>
        <v>0</v>
      </c>
      <c r="T136" s="19">
        <f>SUMIFS('Data Additive'!$D:$D,'Data Additive'!$P:$P,'Painel Additive'!$B136,'Data Additive'!$Q:$Q,"&lt;=-91",'Data Additive'!$Q:$Q,"&gt;=-120")</f>
        <v>0</v>
      </c>
      <c r="U136" s="19">
        <f>SUMIFS('Data Additive'!$D:$D,'Data Additive'!$P:$P,'Painel Additive'!$B136,'Data Additive'!$Q:$Q,"&lt;=-121",'Data Additive'!$Q:$Q,"&gt;=-180")</f>
        <v>0</v>
      </c>
      <c r="V136" s="19">
        <f>SUMIFS('Data Additive'!$D:$D,'Data Additive'!$P:$P,'Painel Additive'!$B136,'Data Additive'!$Q:$Q,"&lt;=-181",'Data Additive'!$Q:$Q,"&gt;=-360")</f>
        <v>0</v>
      </c>
      <c r="W136" s="23">
        <f>SUMIFS('Data Additive'!$D:$D,'Data Additive'!$P:$P,'Painel Additive'!$B136,'Data Additive'!$Q:$Q,"&lt;-360")</f>
        <v>0</v>
      </c>
      <c r="X136" s="19">
        <f>SUMIFS('Bad Debt Provision'!AB:AB,'Bad Debt Provision'!B:B,'Painel Additive'!B136)</f>
        <v>0</v>
      </c>
      <c r="Y136" s="5"/>
      <c r="Z136" s="5"/>
      <c r="AA136" s="19">
        <f>IFERROR(_xlfn.XLOOKUP(B136,'Limite de crédito'!C:C,'Limite de crédito'!O:O,),0)</f>
        <v>0</v>
      </c>
      <c r="AB136" s="19"/>
      <c r="AC136" s="20"/>
      <c r="AD136" s="22"/>
      <c r="AE136" s="22"/>
      <c r="AF136" s="5"/>
      <c r="AG136" s="105">
        <f>AA136-G136</f>
        <v>0</v>
      </c>
    </row>
    <row r="137" spans="2:33" x14ac:dyDescent="0.25">
      <c r="B137" s="41" t="s">
        <v>890</v>
      </c>
      <c r="C137" s="224">
        <f>IFERROR(_xlfn.XLOOKUP(B137,'Limite de crédito'!C:C,'Limite de crédito'!L:L,),0)</f>
        <v>0</v>
      </c>
      <c r="D137" s="93"/>
      <c r="E137" s="18">
        <f>_xlfn.XLOOKUP(B137,'Limite de crédito'!C:C,'Limite de crédito'!G:G,0)</f>
        <v>0</v>
      </c>
      <c r="F137" s="18">
        <f>E137-G137</f>
        <v>-1743</v>
      </c>
      <c r="G137" s="18">
        <f>P137+O137</f>
        <v>1743</v>
      </c>
      <c r="H137" s="19">
        <f>SUMIFS('Data Additive'!$D:$D,'Data Additive'!$P:$P,'Painel Additive'!$B137,'Data Additive'!$Q:$Q,"&gt;0",'Data Additive'!$Q:$Q,"&lt;=30")</f>
        <v>0</v>
      </c>
      <c r="I137" s="19">
        <f>SUMIFS('Data Additive'!$D:$D,'Data Additive'!$P:$P,'Painel Additive'!$B137,'Data Additive'!$Q:$Q,"&gt;30",'Data Additive'!$Q:$Q,"&lt;=60")</f>
        <v>0</v>
      </c>
      <c r="J137" s="19">
        <f>SUMIFS('Data Additive'!$D:$D,'Data Additive'!$P:$P,'Painel Additive'!$B137,'Data Additive'!$Q:$Q,"&gt;60",'Data Additive'!$Q:$Q,"&lt;=90")</f>
        <v>0</v>
      </c>
      <c r="K137" s="19">
        <f>SUMIFS('Data Additive'!$D:$D,'Data Additive'!$P:$P,'Painel Additive'!$B137,'Data Additive'!$Q:$Q,"&gt;90",'Data Additive'!$Q:$Q,"&lt;=120")</f>
        <v>0</v>
      </c>
      <c r="L137" s="19">
        <f>SUMIFS('Data Additive'!$D:$D,'Data Additive'!$P:$P,'Painel Additive'!$B137,'Data Additive'!$Q:$Q,"&gt;120",'Data Additive'!$Q:$Q,"&lt;=180")</f>
        <v>0</v>
      </c>
      <c r="M137" s="19">
        <f>SUMIFS('Data Additive'!$D:$D,'Data Additive'!$P:$P,'Painel Additive'!$B137,'Data Additive'!$Q:$Q,"&gt;180",'Data Additive'!$Q:$Q,"&lt;=360")</f>
        <v>0</v>
      </c>
      <c r="N137" s="23">
        <f>SUMIFS('Data Additive'!$D:$D,'Data Additive'!$P:$P,'Painel Additive'!$B137,'Data Additive'!$Q:$Q,"&gt;360")</f>
        <v>0</v>
      </c>
      <c r="O137" s="122">
        <f>SUMIFS('Data Additive'!$D:$D,'Data Additive'!$P:$P,'Painel Additive'!$B137,'Data Additive'!$Q:$Q,"&gt;0")</f>
        <v>0</v>
      </c>
      <c r="P137" s="19">
        <f>SUM(Q137:W137)</f>
        <v>1743</v>
      </c>
      <c r="Q137" s="19">
        <f>SUMIFS('Data Additive'!$D:$D,'Data Additive'!$P:$P,'Painel Additive'!$B137,'Data Additive'!$Q:$Q,"&lt;=0",'Data Additive'!$Q:$Q,"&gt;=-30")</f>
        <v>581</v>
      </c>
      <c r="R137" s="19">
        <f>SUMIFS('Data Additive'!$D:$D,'Data Additive'!$P:$P,'Painel Additive'!$B137,'Data Additive'!$Q:$Q,"&lt;=-31",'Data Additive'!$Q:$Q,"&gt;=-60")</f>
        <v>581</v>
      </c>
      <c r="S137" s="19">
        <f>SUMIFS('Data Additive'!$D:$D,'Data Additive'!$P:$P,'Painel Additive'!$B137,'Data Additive'!$Q:$Q,"&lt;=-61",'Data Additive'!$Q:$Q,"&gt;=-90")</f>
        <v>581</v>
      </c>
      <c r="T137" s="19">
        <f>SUMIFS('Data Additive'!$D:$D,'Data Additive'!$P:$P,'Painel Additive'!$B137,'Data Additive'!$Q:$Q,"&lt;=-91",'Data Additive'!$Q:$Q,"&gt;=-120")</f>
        <v>0</v>
      </c>
      <c r="U137" s="19">
        <f>SUMIFS('Data Additive'!$D:$D,'Data Additive'!$P:$P,'Painel Additive'!$B137,'Data Additive'!$Q:$Q,"&lt;=-121",'Data Additive'!$Q:$Q,"&gt;=-180")</f>
        <v>0</v>
      </c>
      <c r="V137" s="19">
        <f>SUMIFS('Data Additive'!$D:$D,'Data Additive'!$P:$P,'Painel Additive'!$B137,'Data Additive'!$Q:$Q,"&lt;=-181",'Data Additive'!$Q:$Q,"&gt;=-360")</f>
        <v>0</v>
      </c>
      <c r="W137" s="23">
        <f>SUMIFS('Data Additive'!$D:$D,'Data Additive'!$P:$P,'Painel Additive'!$B137,'Data Additive'!$Q:$Q,"&lt;-360")</f>
        <v>0</v>
      </c>
      <c r="X137" s="19">
        <f>SUMIFS('Bad Debt Provision'!AB:AB,'Bad Debt Provision'!B:B,'Painel Additive'!B137)</f>
        <v>0</v>
      </c>
      <c r="Y137" s="5"/>
      <c r="Z137" s="5"/>
      <c r="AA137" s="19">
        <f>IFERROR(_xlfn.XLOOKUP(B137,'Limite de crédito'!C:C,'Limite de crédito'!O:O,),0)</f>
        <v>0</v>
      </c>
      <c r="AB137" s="19"/>
      <c r="AC137" s="20"/>
      <c r="AD137" s="22"/>
      <c r="AE137" s="22"/>
      <c r="AF137" s="5"/>
      <c r="AG137" s="105">
        <f>AA137-G137</f>
        <v>-1743</v>
      </c>
    </row>
  </sheetData>
  <autoFilter ref="A3:AK135" xr:uid="{8425CF93-5C5C-4FF0-82A9-E9478886963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863FC-9796-447F-B76F-A494F594C433}">
  <dimension ref="A1:AK62"/>
  <sheetViews>
    <sheetView showGridLines="0" zoomScale="80" zoomScaleNormal="80" workbookViewId="0">
      <pane xSplit="2" ySplit="3" topLeftCell="C19" activePane="bottomRight" state="frozen"/>
      <selection activeCell="C125" sqref="C125"/>
      <selection pane="topRight" activeCell="C125" sqref="C125"/>
      <selection pane="bottomLeft" activeCell="C125" sqref="C125"/>
      <selection pane="bottomRight" activeCell="B4" sqref="B4:AA62"/>
    </sheetView>
  </sheetViews>
  <sheetFormatPr defaultRowHeight="13.2" outlineLevelCol="1" x14ac:dyDescent="0.25"/>
  <cols>
    <col min="1" max="1" width="3.109375" customWidth="1"/>
    <col min="2" max="2" width="47.109375" bestFit="1" customWidth="1"/>
    <col min="3" max="3" width="10.88671875" style="16" customWidth="1"/>
    <col min="4" max="4" width="13.33203125" style="16" customWidth="1"/>
    <col min="5" max="5" width="20.44140625" style="100" bestFit="1" customWidth="1"/>
    <col min="6" max="6" width="15.44140625" customWidth="1"/>
    <col min="7" max="7" width="15.33203125" customWidth="1"/>
    <col min="8" max="8" width="10.4414062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5.5546875" hidden="1" customWidth="1" outlineLevel="1"/>
    <col min="18" max="18" width="11.5546875" hidden="1" customWidth="1" outlineLevel="1"/>
    <col min="19" max="19" width="16.6640625" hidden="1" customWidth="1" outlineLevel="1"/>
    <col min="20" max="20" width="12.6640625" hidden="1" customWidth="1" outlineLevel="1"/>
    <col min="21" max="22" width="13.88671875" hidden="1" customWidth="1" outlineLevel="1"/>
    <col min="23" max="23" width="16.6640625" hidden="1" customWidth="1" outlineLevel="1"/>
    <col min="24" max="24" width="18.44140625" customWidth="1" collapsed="1"/>
    <col min="25" max="26" width="1.6640625" customWidth="1"/>
    <col min="27" max="27" width="23.33203125" style="169" bestFit="1" customWidth="1"/>
    <col min="28" max="28" width="23.6640625" bestFit="1" customWidth="1"/>
    <col min="29" max="29" width="11.33203125" bestFit="1" customWidth="1"/>
    <col min="30" max="30" width="15.44140625" style="7" bestFit="1" customWidth="1"/>
    <col min="31" max="31" width="12.44140625" style="16" customWidth="1"/>
    <col min="32" max="32" width="1.6640625" customWidth="1"/>
    <col min="33" max="33" width="16.5546875" style="29" customWidth="1"/>
    <col min="34" max="34" width="1.6640625" customWidth="1"/>
    <col min="35" max="35" width="14.5546875" bestFit="1" customWidth="1"/>
    <col min="36" max="36" width="14.6640625" customWidth="1"/>
    <col min="37" max="37" width="12.6640625" customWidth="1"/>
  </cols>
  <sheetData>
    <row r="1" spans="1:37" s="9" customFormat="1" ht="12" x14ac:dyDescent="0.25">
      <c r="B1" s="96">
        <v>46135</v>
      </c>
      <c r="C1" s="99"/>
      <c r="D1" s="99"/>
      <c r="E1" s="101">
        <f>SUBTOTAL(9,E4:E40)</f>
        <v>19233000</v>
      </c>
      <c r="F1" s="11"/>
      <c r="G1" s="9">
        <f t="shared" ref="G1:P1" si="0">SUBTOTAL(9,G4:G158)</f>
        <v>26625653.259999994</v>
      </c>
      <c r="H1" s="9">
        <f t="shared" si="0"/>
        <v>184217.94</v>
      </c>
      <c r="I1" s="9">
        <f t="shared" si="0"/>
        <v>0</v>
      </c>
      <c r="J1" s="9">
        <f t="shared" si="0"/>
        <v>0</v>
      </c>
      <c r="K1" s="9">
        <f t="shared" si="0"/>
        <v>0</v>
      </c>
      <c r="L1" s="9">
        <f t="shared" si="0"/>
        <v>0</v>
      </c>
      <c r="M1" s="9">
        <f t="shared" si="0"/>
        <v>462720</v>
      </c>
      <c r="N1" s="9">
        <f t="shared" si="0"/>
        <v>21392108.589999996</v>
      </c>
      <c r="O1" s="9">
        <f t="shared" si="0"/>
        <v>22039046.529999997</v>
      </c>
      <c r="P1" s="9">
        <f t="shared" si="0"/>
        <v>4586606.7300000004</v>
      </c>
      <c r="Q1" s="9">
        <f t="shared" ref="Q1:W1" si="1">SUM(Q4:Q159)</f>
        <v>1750303.5599999998</v>
      </c>
      <c r="R1" s="9">
        <f t="shared" si="1"/>
        <v>662365.68000000005</v>
      </c>
      <c r="S1" s="9">
        <f t="shared" si="1"/>
        <v>72587.789999999994</v>
      </c>
      <c r="T1" s="9">
        <f t="shared" si="1"/>
        <v>5030.5</v>
      </c>
      <c r="U1" s="9">
        <f t="shared" si="1"/>
        <v>1796677.12</v>
      </c>
      <c r="V1" s="9">
        <f t="shared" si="1"/>
        <v>299642.08</v>
      </c>
      <c r="W1" s="9">
        <f t="shared" si="1"/>
        <v>0</v>
      </c>
      <c r="X1" s="9">
        <f>SUBTOTAL(9,X4:X158)</f>
        <v>10476408.59</v>
      </c>
      <c r="Y1" s="10"/>
      <c r="Z1" s="10"/>
      <c r="AA1" s="189">
        <f>SUBTOTAL(9,AA4:AA279)</f>
        <v>24943000</v>
      </c>
      <c r="AD1" s="10"/>
      <c r="AE1" s="14"/>
      <c r="AF1" s="10"/>
      <c r="AG1" s="27">
        <f>SUBTOTAL(9,AG12:AG319)</f>
        <v>18946359.969999999</v>
      </c>
      <c r="AH1" s="10"/>
      <c r="AJ1" s="233">
        <f>O1/G1</f>
        <v>0.82773730712964311</v>
      </c>
    </row>
    <row r="2" spans="1:37" ht="14.4" customHeight="1" thickBot="1" x14ac:dyDescent="0.3">
      <c r="B2" s="8"/>
      <c r="C2" s="8"/>
      <c r="D2" s="8"/>
      <c r="E2" s="102"/>
      <c r="F2" s="8"/>
      <c r="G2" s="8"/>
      <c r="H2" s="443" t="s">
        <v>26</v>
      </c>
      <c r="I2" s="443"/>
      <c r="J2" s="443"/>
      <c r="K2" s="443"/>
      <c r="L2" s="443"/>
      <c r="M2" s="443"/>
      <c r="N2" s="443"/>
      <c r="O2" s="33"/>
      <c r="P2" s="33"/>
      <c r="Q2" s="443" t="s">
        <v>16</v>
      </c>
      <c r="R2" s="443"/>
      <c r="S2" s="443"/>
      <c r="T2" s="443"/>
      <c r="U2" s="443"/>
      <c r="V2" s="443"/>
      <c r="W2" s="443"/>
      <c r="X2" s="8"/>
      <c r="Y2" s="6"/>
      <c r="Z2" s="6"/>
      <c r="AA2" s="243"/>
      <c r="AB2" s="46"/>
      <c r="AC2" s="46"/>
      <c r="AD2" s="46"/>
      <c r="AE2" s="46"/>
      <c r="AF2" s="6"/>
      <c r="AG2" s="37"/>
      <c r="AH2" s="6"/>
      <c r="AI2" s="444" t="s">
        <v>479</v>
      </c>
      <c r="AJ2" s="444"/>
      <c r="AK2" s="444"/>
    </row>
    <row r="3" spans="1:37" ht="28.8" thickTop="1" thickBot="1" x14ac:dyDescent="0.3">
      <c r="A3" t="s">
        <v>224</v>
      </c>
      <c r="B3" s="8" t="s">
        <v>22</v>
      </c>
      <c r="C3" s="95" t="s">
        <v>435</v>
      </c>
      <c r="D3" s="95" t="s">
        <v>491</v>
      </c>
      <c r="E3" s="103" t="s">
        <v>475</v>
      </c>
      <c r="F3" s="95" t="s">
        <v>476</v>
      </c>
      <c r="G3" s="12" t="s">
        <v>17</v>
      </c>
      <c r="H3" s="43" t="s">
        <v>9</v>
      </c>
      <c r="I3" s="43" t="s">
        <v>10</v>
      </c>
      <c r="J3" s="43" t="s">
        <v>11</v>
      </c>
      <c r="K3" s="43" t="s">
        <v>12</v>
      </c>
      <c r="L3" s="43" t="s">
        <v>13</v>
      </c>
      <c r="M3" s="43" t="s">
        <v>14</v>
      </c>
      <c r="N3" s="44" t="s">
        <v>15</v>
      </c>
      <c r="O3" s="12" t="s">
        <v>27</v>
      </c>
      <c r="P3" s="12" t="s">
        <v>8</v>
      </c>
      <c r="Q3" s="43" t="s">
        <v>9</v>
      </c>
      <c r="R3" s="43" t="s">
        <v>10</v>
      </c>
      <c r="S3" s="43" t="s">
        <v>11</v>
      </c>
      <c r="T3" s="43" t="s">
        <v>12</v>
      </c>
      <c r="U3" s="43" t="s">
        <v>13</v>
      </c>
      <c r="V3" s="43" t="s">
        <v>14</v>
      </c>
      <c r="W3" s="44" t="s">
        <v>15</v>
      </c>
      <c r="X3" s="114" t="s">
        <v>297</v>
      </c>
      <c r="Y3" s="6" t="s">
        <v>224</v>
      </c>
      <c r="Z3" s="6" t="s">
        <v>224</v>
      </c>
      <c r="AA3" s="12" t="s">
        <v>477</v>
      </c>
      <c r="AB3" s="12" t="s">
        <v>483</v>
      </c>
      <c r="AC3" s="13" t="s">
        <v>20</v>
      </c>
      <c r="AD3" s="13" t="s">
        <v>19</v>
      </c>
      <c r="AE3" s="15" t="s">
        <v>23</v>
      </c>
      <c r="AF3" s="6" t="s">
        <v>224</v>
      </c>
      <c r="AG3" s="37" t="s">
        <v>478</v>
      </c>
      <c r="AH3" s="6" t="s">
        <v>224</v>
      </c>
      <c r="AI3" s="112" t="s">
        <v>480</v>
      </c>
      <c r="AJ3" s="113" t="s">
        <v>481</v>
      </c>
      <c r="AK3" s="113" t="s">
        <v>482</v>
      </c>
    </row>
    <row r="4" spans="1:37" s="234" customFormat="1" ht="15.75" customHeight="1" thickTop="1" x14ac:dyDescent="0.25">
      <c r="B4" s="235" t="s">
        <v>176</v>
      </c>
      <c r="C4" s="244">
        <f>IFERROR(_xlfn.XLOOKUP(B4,'Limite de crédito'!C:C,'Limite de crédito'!L:L),0)</f>
        <v>0</v>
      </c>
      <c r="D4" s="245"/>
      <c r="E4" s="246">
        <f>_xlfn.XLOOKUP(B4,'Limite de crédito'!C:C,'Limite de crédito'!G:G,0)</f>
        <v>0</v>
      </c>
      <c r="F4" s="237">
        <f>E4-G4</f>
        <v>-7560727.799999997</v>
      </c>
      <c r="G4" s="236">
        <f>P4+O4</f>
        <v>7560727.799999997</v>
      </c>
      <c r="H4" s="237">
        <f>SUMIFS('Data Fertilizers'!$D:$D,'Data Fertilizers'!$P:$P,$B4,'Data Fertilizers'!$Q:$Q,"&gt;0",'Data Fertilizers'!$Q:$Q,"&lt;=30")</f>
        <v>0</v>
      </c>
      <c r="I4" s="237">
        <f>SUMIFS('Data Fertilizers'!$D:$D,'Data Fertilizers'!$P:$P,$B4,'Data Fertilizers'!$Q:$Q,"&gt;30",'Data Fertilizers'!$Q:$Q,"&lt;=60")</f>
        <v>0</v>
      </c>
      <c r="J4" s="237">
        <f>SUMIFS('Data Fertilizers'!$D:$D,'Data Fertilizers'!$P:$P,$B4,'Data Fertilizers'!$Q:$Q,"&gt;60",'Data Fertilizers'!$Q:$Q,"&lt;=90")</f>
        <v>0</v>
      </c>
      <c r="K4" s="237">
        <f>SUMIFS('Data Fertilizers'!$D:$D,'Data Fertilizers'!$P:$P,$B4,'Data Fertilizers'!$Q:$Q,"&gt;90",'Data Fertilizers'!$Q:$Q,"&lt;=120")</f>
        <v>0</v>
      </c>
      <c r="L4" s="237">
        <f>SUMIFS('Data Fertilizers'!$D:$D,'Data Fertilizers'!$P:$P,$B4,'Data Fertilizers'!$Q:$Q,"&gt;120",'Data Fertilizers'!$Q:$Q,"&lt;=180")</f>
        <v>0</v>
      </c>
      <c r="M4" s="237">
        <f>SUMIFS('Data Fertilizers'!$D:$D,'Data Fertilizers'!$P:$P,$B4,'Data Fertilizers'!$Q:$Q,"&gt;180",'Data Fertilizers'!$Q:$Q,"&lt;=360")</f>
        <v>0</v>
      </c>
      <c r="N4" s="241">
        <f>SUMIFS('Data Fertilizers'!$D:$D,'Data Fertilizers'!$P:$P,$B4,'Data Fertilizers'!$Q:$Q,"&gt;360")</f>
        <v>7560727.799999997</v>
      </c>
      <c r="O4" s="237">
        <f>SUMIFS('Data Fertilizers'!$D:$D,'Data Fertilizers'!$P:$P,$B4,'Data Fertilizers'!$Q:$Q,"&gt;0")</f>
        <v>7560727.799999997</v>
      </c>
      <c r="P4" s="237">
        <f>SUM(Q4:W4)</f>
        <v>0</v>
      </c>
      <c r="Q4" s="237">
        <f>SUMIFS('Data Fertilizers'!$D:$D,'Data Fertilizers'!$P:$P,$B4,'Data Fertilizers'!$Q:$Q,"&lt;=0",'Data Fertilizers'!$Q:$Q,"&gt;=-30")</f>
        <v>0</v>
      </c>
      <c r="R4" s="237">
        <f>SUMIFS('Data Fertilizers'!$D:$D,'Data Fertilizers'!$P:$P,$B4,'Data Fertilizers'!$Q:$Q,"&lt;=-31",'Data Fertilizers'!$Q:$Q,"&gt;=-60")</f>
        <v>0</v>
      </c>
      <c r="S4" s="237">
        <f>SUMIFS('Data Fertilizers'!$D:$D,'Data Fertilizers'!$P:$P,$B4,'Data Fertilizers'!$Q:$Q,"&lt;=-61",'Data Fertilizers'!$Q:$Q,"&gt;=-90")</f>
        <v>0</v>
      </c>
      <c r="T4" s="237">
        <f>SUMIFS('Data Fertilizers'!$D:$D,'Data Fertilizers'!$P:$P,$B4,'Data Fertilizers'!$Q:$Q,"&lt;=-91",'Data Fertilizers'!$Q:$Q,"&gt;=-120")</f>
        <v>0</v>
      </c>
      <c r="U4" s="237">
        <f>SUMIFS('Data Fertilizers'!$D:$D,'Data Fertilizers'!$P:$P,$B4,'Data Fertilizers'!$Q:$Q,"&lt;=-121",'Data Fertilizers'!$Q:$Q,"&gt;=-180")</f>
        <v>0</v>
      </c>
      <c r="V4" s="237">
        <f>SUMIFS('Data Fertilizers'!$D:$D,'Data Fertilizers'!$P:$P,$B4,'Data Fertilizers'!$Q:$Q,"&lt;=-181",'Data Fertilizers'!$Q:$Q,"&gt;=-360")</f>
        <v>0</v>
      </c>
      <c r="W4" s="241">
        <f>SUMIFS('Data Fertilizers'!$D:$D,'Data Fertilizers'!$P:$P,$B4,'Data Fertilizers'!$Q:$Q,"&lt;-360")</f>
        <v>0</v>
      </c>
      <c r="X4" s="237">
        <f>SUMIFS('Bad Debt Provision'!AB:AB,'Bad Debt Provision'!B:B,'Painel Fertilizers'!B4)</f>
        <v>0</v>
      </c>
      <c r="Y4" s="238"/>
      <c r="Z4" s="238"/>
      <c r="AA4" s="182">
        <f>_xlfn.XLOOKUP(B4,'Limite de crédito'!C:C,'Limite de crédito'!O:O,0)</f>
        <v>0</v>
      </c>
      <c r="AB4" s="237"/>
      <c r="AC4" s="239"/>
      <c r="AD4" s="240"/>
      <c r="AE4" s="240"/>
      <c r="AF4" s="238"/>
      <c r="AG4" s="237">
        <f t="shared" ref="AG4:AG32" si="2">AA4-G4</f>
        <v>-7560727.799999997</v>
      </c>
      <c r="AH4" s="238"/>
      <c r="AI4" s="247">
        <v>7560727.799999997</v>
      </c>
    </row>
    <row r="5" spans="1:37" s="234" customFormat="1" ht="15.75" customHeight="1" x14ac:dyDescent="0.25">
      <c r="B5" s="235" t="s">
        <v>428</v>
      </c>
      <c r="C5" s="244">
        <f>IFERROR(_xlfn.XLOOKUP(B5,'Limite de crédito'!C:C,'Limite de crédito'!L:L),0)</f>
        <v>0</v>
      </c>
      <c r="D5" s="245"/>
      <c r="E5" s="246">
        <f>_xlfn.XLOOKUP(B5,'Limite de crédito'!C:C,'Limite de crédito'!G:G,0)</f>
        <v>0</v>
      </c>
      <c r="F5" s="236">
        <f t="shared" ref="F5:F32" si="3">E5-G5</f>
        <v>-3088531.0700000003</v>
      </c>
      <c r="G5" s="236">
        <f t="shared" ref="G5:G32" si="4">P5+O5</f>
        <v>3088531.0700000003</v>
      </c>
      <c r="H5" s="237">
        <f>SUMIFS('Data Fertilizers'!$D:$D,'Data Fertilizers'!$P:$P,$B5,'Data Fertilizers'!$Q:$Q,"&gt;0",'Data Fertilizers'!$Q:$Q,"&lt;=30")</f>
        <v>0</v>
      </c>
      <c r="I5" s="237">
        <f>SUMIFS('Data Fertilizers'!$D:$D,'Data Fertilizers'!$P:$P,$B5,'Data Fertilizers'!$Q:$Q,"&gt;30",'Data Fertilizers'!$Q:$Q,"&lt;=60")</f>
        <v>0</v>
      </c>
      <c r="J5" s="237">
        <f>SUMIFS('Data Fertilizers'!$D:$D,'Data Fertilizers'!$P:$P,$B5,'Data Fertilizers'!$Q:$Q,"&gt;60",'Data Fertilizers'!$Q:$Q,"&lt;=90")</f>
        <v>0</v>
      </c>
      <c r="K5" s="237">
        <f>SUMIFS('Data Fertilizers'!$D:$D,'Data Fertilizers'!$P:$P,$B5,'Data Fertilizers'!$Q:$Q,"&gt;90",'Data Fertilizers'!$Q:$Q,"&lt;=120")</f>
        <v>0</v>
      </c>
      <c r="L5" s="237">
        <f>SUMIFS('Data Fertilizers'!$D:$D,'Data Fertilizers'!$P:$P,$B5,'Data Fertilizers'!$Q:$Q,"&gt;120",'Data Fertilizers'!$Q:$Q,"&lt;=180")</f>
        <v>0</v>
      </c>
      <c r="M5" s="237">
        <f>SUMIFS('Data Fertilizers'!$D:$D,'Data Fertilizers'!$P:$P,$B5,'Data Fertilizers'!$Q:$Q,"&gt;180",'Data Fertilizers'!$Q:$Q,"&lt;=360")</f>
        <v>0</v>
      </c>
      <c r="N5" s="241">
        <f>SUMIFS('Data Fertilizers'!$D:$D,'Data Fertilizers'!$P:$P,$B5,'Data Fertilizers'!$Q:$Q,"&gt;360")</f>
        <v>3088531.0700000003</v>
      </c>
      <c r="O5" s="237">
        <f>SUMIFS('Data Fertilizers'!$D:$D,'Data Fertilizers'!$P:$P,$B5,'Data Fertilizers'!$Q:$Q,"&gt;0")</f>
        <v>3088531.0700000003</v>
      </c>
      <c r="P5" s="237">
        <f t="shared" ref="P5:P44" si="5">SUM(Q5:W5)</f>
        <v>0</v>
      </c>
      <c r="Q5" s="237">
        <f>SUMIFS('Data Fertilizers'!$D:$D,'Data Fertilizers'!$P:$P,$B5,'Data Fertilizers'!$Q:$Q,"&lt;=0",'Data Fertilizers'!$Q:$Q,"&gt;=-30")</f>
        <v>0</v>
      </c>
      <c r="R5" s="237">
        <f>SUMIFS('Data Fertilizers'!$D:$D,'Data Fertilizers'!$P:$P,$B5,'Data Fertilizers'!$Q:$Q,"&lt;=-31",'Data Fertilizers'!$Q:$Q,"&gt;=-60")</f>
        <v>0</v>
      </c>
      <c r="S5" s="237">
        <f>SUMIFS('Data Fertilizers'!$D:$D,'Data Fertilizers'!$P:$P,$B5,'Data Fertilizers'!$Q:$Q,"&lt;=-61",'Data Fertilizers'!$Q:$Q,"&gt;=-90")</f>
        <v>0</v>
      </c>
      <c r="T5" s="237">
        <f>SUMIFS('Data Fertilizers'!$D:$D,'Data Fertilizers'!$P:$P,$B5,'Data Fertilizers'!$Q:$Q,"&lt;=-91",'Data Fertilizers'!$Q:$Q,"&gt;=-120")</f>
        <v>0</v>
      </c>
      <c r="U5" s="237">
        <f>SUMIFS('Data Fertilizers'!$D:$D,'Data Fertilizers'!$P:$P,$B5,'Data Fertilizers'!$Q:$Q,"&lt;=-121",'Data Fertilizers'!$Q:$Q,"&gt;=-180")</f>
        <v>0</v>
      </c>
      <c r="V5" s="237">
        <f>SUMIFS('Data Fertilizers'!$D:$D,'Data Fertilizers'!$P:$P,$B5,'Data Fertilizers'!$Q:$Q,"&lt;=-181",'Data Fertilizers'!$Q:$Q,"&gt;=-360")</f>
        <v>0</v>
      </c>
      <c r="W5" s="241">
        <f>SUMIFS('Data Fertilizers'!$D:$D,'Data Fertilizers'!$P:$P,$B5,'Data Fertilizers'!$Q:$Q,"&lt;-360")</f>
        <v>0</v>
      </c>
      <c r="X5" s="237">
        <f>SUMIFS('Bad Debt Provision'!AB:AB,'Bad Debt Provision'!B:B,'Painel Fertilizers'!B5)</f>
        <v>3088531.0700000008</v>
      </c>
      <c r="Z5" s="238"/>
      <c r="AA5" s="182">
        <f>_xlfn.XLOOKUP(B5,'Limite de crédito'!C:C,'Limite de crédito'!O:O,0)</f>
        <v>0</v>
      </c>
      <c r="AB5" s="237"/>
      <c r="AC5" s="239"/>
      <c r="AD5" s="240"/>
      <c r="AE5" s="240"/>
      <c r="AF5" s="238"/>
      <c r="AG5" s="237">
        <f t="shared" si="2"/>
        <v>-3088531.0700000003</v>
      </c>
      <c r="AI5" s="247">
        <v>3088531.0700000008</v>
      </c>
    </row>
    <row r="6" spans="1:37" s="234" customFormat="1" ht="15.75" customHeight="1" x14ac:dyDescent="0.25">
      <c r="B6" s="235" t="s">
        <v>209</v>
      </c>
      <c r="C6" s="244">
        <f>IFERROR(_xlfn.XLOOKUP(B6,'Limite de crédito'!C:C,'Limite de crédito'!L:L),0)</f>
        <v>0</v>
      </c>
      <c r="D6" s="245"/>
      <c r="E6" s="246">
        <f>_xlfn.XLOOKUP(B6,'Limite de crédito'!C:C,'Limite de crédito'!G:G,0)</f>
        <v>0</v>
      </c>
      <c r="F6" s="236">
        <f t="shared" si="3"/>
        <v>-3044850.9199999995</v>
      </c>
      <c r="G6" s="236">
        <f t="shared" si="4"/>
        <v>3044850.9199999995</v>
      </c>
      <c r="H6" s="237">
        <f>SUMIFS('Data Fertilizers'!$D:$D,'Data Fertilizers'!$P:$P,$B6,'Data Fertilizers'!$Q:$Q,"&gt;0",'Data Fertilizers'!$Q:$Q,"&lt;=30")</f>
        <v>0</v>
      </c>
      <c r="I6" s="237">
        <f>SUMIFS('Data Fertilizers'!$D:$D,'Data Fertilizers'!$P:$P,$B6,'Data Fertilizers'!$Q:$Q,"&gt;30",'Data Fertilizers'!$Q:$Q,"&lt;=60")</f>
        <v>0</v>
      </c>
      <c r="J6" s="237">
        <f>SUMIFS('Data Fertilizers'!$D:$D,'Data Fertilizers'!$P:$P,$B6,'Data Fertilizers'!$Q:$Q,"&gt;60",'Data Fertilizers'!$Q:$Q,"&lt;=90")</f>
        <v>0</v>
      </c>
      <c r="K6" s="237">
        <f>SUMIFS('Data Fertilizers'!$D:$D,'Data Fertilizers'!$P:$P,$B6,'Data Fertilizers'!$Q:$Q,"&gt;90",'Data Fertilizers'!$Q:$Q,"&lt;=120")</f>
        <v>0</v>
      </c>
      <c r="L6" s="237">
        <f>SUMIFS('Data Fertilizers'!$D:$D,'Data Fertilizers'!$P:$P,$B6,'Data Fertilizers'!$Q:$Q,"&gt;120",'Data Fertilizers'!$Q:$Q,"&lt;=180")</f>
        <v>0</v>
      </c>
      <c r="M6" s="237">
        <f>SUMIFS('Data Fertilizers'!$D:$D,'Data Fertilizers'!$P:$P,$B6,'Data Fertilizers'!$Q:$Q,"&gt;180",'Data Fertilizers'!$Q:$Q,"&lt;=360")</f>
        <v>0</v>
      </c>
      <c r="N6" s="241">
        <f>SUMIFS('Data Fertilizers'!$D:$D,'Data Fertilizers'!$P:$P,$B6,'Data Fertilizers'!$Q:$Q,"&gt;360")</f>
        <v>3044850.9199999995</v>
      </c>
      <c r="O6" s="237">
        <f>SUMIFS('Data Fertilizers'!$D:$D,'Data Fertilizers'!$P:$P,$B6,'Data Fertilizers'!$Q:$Q,"&gt;0")</f>
        <v>3044850.9199999995</v>
      </c>
      <c r="P6" s="237">
        <f t="shared" si="5"/>
        <v>0</v>
      </c>
      <c r="Q6" s="237">
        <f>SUMIFS('Data Fertilizers'!$D:$D,'Data Fertilizers'!$P:$P,$B6,'Data Fertilizers'!$Q:$Q,"&lt;=0",'Data Fertilizers'!$Q:$Q,"&gt;=-30")</f>
        <v>0</v>
      </c>
      <c r="R6" s="237">
        <f>SUMIFS('Data Fertilizers'!$D:$D,'Data Fertilizers'!$P:$P,$B6,'Data Fertilizers'!$Q:$Q,"&lt;=-31",'Data Fertilizers'!$Q:$Q,"&gt;=-60")</f>
        <v>0</v>
      </c>
      <c r="S6" s="237">
        <f>SUMIFS('Data Fertilizers'!$D:$D,'Data Fertilizers'!$P:$P,$B6,'Data Fertilizers'!$Q:$Q,"&lt;=-61",'Data Fertilizers'!$Q:$Q,"&gt;=-90")</f>
        <v>0</v>
      </c>
      <c r="T6" s="237">
        <f>SUMIFS('Data Fertilizers'!$D:$D,'Data Fertilizers'!$P:$P,$B6,'Data Fertilizers'!$Q:$Q,"&lt;=-91",'Data Fertilizers'!$Q:$Q,"&gt;=-120")</f>
        <v>0</v>
      </c>
      <c r="U6" s="237">
        <f>SUMIFS('Data Fertilizers'!$D:$D,'Data Fertilizers'!$P:$P,$B6,'Data Fertilizers'!$Q:$Q,"&lt;=-121",'Data Fertilizers'!$Q:$Q,"&gt;=-180")</f>
        <v>0</v>
      </c>
      <c r="V6" s="237">
        <f>SUMIFS('Data Fertilizers'!$D:$D,'Data Fertilizers'!$P:$P,$B6,'Data Fertilizers'!$Q:$Q,"&lt;=-181",'Data Fertilizers'!$Q:$Q,"&gt;=-360")</f>
        <v>0</v>
      </c>
      <c r="W6" s="241">
        <f>SUMIFS('Data Fertilizers'!$D:$D,'Data Fertilizers'!$P:$P,$B6,'Data Fertilizers'!$Q:$Q,"&lt;-360")</f>
        <v>0</v>
      </c>
      <c r="X6" s="237">
        <f>SUMIFS('Bad Debt Provision'!AB:AB,'Bad Debt Provision'!B:B,'Painel Fertilizers'!B6)</f>
        <v>3044850.9199999995</v>
      </c>
      <c r="Y6" s="238"/>
      <c r="Z6" s="238"/>
      <c r="AA6" s="182">
        <f>_xlfn.XLOOKUP(B6,'Limite de crédito'!C:C,'Limite de crédito'!O:O,0)</f>
        <v>0</v>
      </c>
      <c r="AB6" s="237"/>
      <c r="AC6" s="239"/>
      <c r="AD6" s="240"/>
      <c r="AE6" s="240"/>
      <c r="AF6" s="238"/>
      <c r="AG6" s="237">
        <f t="shared" si="2"/>
        <v>-3044850.9199999995</v>
      </c>
      <c r="AH6" s="238"/>
      <c r="AI6" s="247">
        <v>3044850.9199999995</v>
      </c>
    </row>
    <row r="7" spans="1:37" s="234" customFormat="1" ht="15.75" customHeight="1" x14ac:dyDescent="0.25">
      <c r="B7" s="235" t="s">
        <v>186</v>
      </c>
      <c r="C7" s="244">
        <f>IFERROR(_xlfn.XLOOKUP(B7,'Limite de crédito'!C:C,'Limite de crédito'!L:L),0)</f>
        <v>0</v>
      </c>
      <c r="D7" s="245"/>
      <c r="E7" s="246">
        <f>_xlfn.XLOOKUP(B7,'Limite de crédito'!C:C,'Limite de crédito'!G:G,0)</f>
        <v>0</v>
      </c>
      <c r="F7" s="236">
        <f t="shared" si="3"/>
        <v>-2492842.0500000003</v>
      </c>
      <c r="G7" s="236">
        <f t="shared" si="4"/>
        <v>2492842.0500000003</v>
      </c>
      <c r="H7" s="237">
        <f>SUMIFS('Data Fertilizers'!$D:$D,'Data Fertilizers'!$P:$P,$B7,'Data Fertilizers'!$Q:$Q,"&gt;0",'Data Fertilizers'!$Q:$Q,"&lt;=30")</f>
        <v>0</v>
      </c>
      <c r="I7" s="237">
        <f>SUMIFS('Data Fertilizers'!$D:$D,'Data Fertilizers'!$P:$P,$B7,'Data Fertilizers'!$Q:$Q,"&gt;30",'Data Fertilizers'!$Q:$Q,"&lt;=60")</f>
        <v>0</v>
      </c>
      <c r="J7" s="237">
        <f>SUMIFS('Data Fertilizers'!$D:$D,'Data Fertilizers'!$P:$P,$B7,'Data Fertilizers'!$Q:$Q,"&gt;60",'Data Fertilizers'!$Q:$Q,"&lt;=90")</f>
        <v>0</v>
      </c>
      <c r="K7" s="237">
        <f>SUMIFS('Data Fertilizers'!$D:$D,'Data Fertilizers'!$P:$P,$B7,'Data Fertilizers'!$Q:$Q,"&gt;90",'Data Fertilizers'!$Q:$Q,"&lt;=120")</f>
        <v>0</v>
      </c>
      <c r="L7" s="237">
        <f>SUMIFS('Data Fertilizers'!$D:$D,'Data Fertilizers'!$P:$P,$B7,'Data Fertilizers'!$Q:$Q,"&gt;120",'Data Fertilizers'!$Q:$Q,"&lt;=180")</f>
        <v>0</v>
      </c>
      <c r="M7" s="237">
        <f>SUMIFS('Data Fertilizers'!$D:$D,'Data Fertilizers'!$P:$P,$B7,'Data Fertilizers'!$Q:$Q,"&gt;180",'Data Fertilizers'!$Q:$Q,"&lt;=360")</f>
        <v>0</v>
      </c>
      <c r="N7" s="241">
        <f>SUMIFS('Data Fertilizers'!$D:$D,'Data Fertilizers'!$P:$P,$B7,'Data Fertilizers'!$Q:$Q,"&gt;360")</f>
        <v>2492842.0500000003</v>
      </c>
      <c r="O7" s="237">
        <f>SUMIFS('Data Fertilizers'!$D:$D,'Data Fertilizers'!$P:$P,$B7,'Data Fertilizers'!$Q:$Q,"&gt;0")</f>
        <v>2492842.0500000003</v>
      </c>
      <c r="P7" s="237">
        <f t="shared" si="5"/>
        <v>0</v>
      </c>
      <c r="Q7" s="237">
        <f>SUMIFS('Data Fertilizers'!$D:$D,'Data Fertilizers'!$P:$P,$B7,'Data Fertilizers'!$Q:$Q,"&lt;=0",'Data Fertilizers'!$Q:$Q,"&gt;=-30")</f>
        <v>0</v>
      </c>
      <c r="R7" s="237">
        <f>SUMIFS('Data Fertilizers'!$D:$D,'Data Fertilizers'!$P:$P,$B7,'Data Fertilizers'!$Q:$Q,"&lt;=-31",'Data Fertilizers'!$Q:$Q,"&gt;=-60")</f>
        <v>0</v>
      </c>
      <c r="S7" s="237">
        <f>SUMIFS('Data Fertilizers'!$D:$D,'Data Fertilizers'!$P:$P,$B7,'Data Fertilizers'!$Q:$Q,"&lt;=-61",'Data Fertilizers'!$Q:$Q,"&gt;=-90")</f>
        <v>0</v>
      </c>
      <c r="T7" s="237">
        <f>SUMIFS('Data Fertilizers'!$D:$D,'Data Fertilizers'!$P:$P,$B7,'Data Fertilizers'!$Q:$Q,"&lt;=-91",'Data Fertilizers'!$Q:$Q,"&gt;=-120")</f>
        <v>0</v>
      </c>
      <c r="U7" s="237">
        <f>SUMIFS('Data Fertilizers'!$D:$D,'Data Fertilizers'!$P:$P,$B7,'Data Fertilizers'!$Q:$Q,"&lt;=-121",'Data Fertilizers'!$Q:$Q,"&gt;=-180")</f>
        <v>0</v>
      </c>
      <c r="V7" s="237">
        <f>SUMIFS('Data Fertilizers'!$D:$D,'Data Fertilizers'!$P:$P,$B7,'Data Fertilizers'!$Q:$Q,"&lt;=-181",'Data Fertilizers'!$Q:$Q,"&gt;=-360")</f>
        <v>0</v>
      </c>
      <c r="W7" s="241">
        <f>SUMIFS('Data Fertilizers'!$D:$D,'Data Fertilizers'!$P:$P,$B7,'Data Fertilizers'!$Q:$Q,"&lt;-360")</f>
        <v>0</v>
      </c>
      <c r="X7" s="237">
        <f>SUMIFS('Bad Debt Provision'!AB:AB,'Bad Debt Provision'!B:B,'Painel Fertilizers'!B7)</f>
        <v>0</v>
      </c>
      <c r="Y7" s="238"/>
      <c r="Z7" s="238"/>
      <c r="AA7" s="182">
        <f>_xlfn.XLOOKUP(B7,'Limite de crédito'!C:C,'Limite de crédito'!O:O,0)</f>
        <v>0</v>
      </c>
      <c r="AB7" s="237"/>
      <c r="AC7" s="239"/>
      <c r="AD7" s="240"/>
      <c r="AE7" s="240"/>
      <c r="AF7" s="238"/>
      <c r="AG7" s="237">
        <f t="shared" si="2"/>
        <v>-2492842.0500000003</v>
      </c>
      <c r="AH7" s="238"/>
      <c r="AI7" s="247">
        <v>2971789.89</v>
      </c>
    </row>
    <row r="8" spans="1:37" s="234" customFormat="1" ht="15.75" customHeight="1" x14ac:dyDescent="0.25">
      <c r="B8" s="235" t="s">
        <v>194</v>
      </c>
      <c r="C8" s="244">
        <f>IFERROR(_xlfn.XLOOKUP(B8,'Limite de crédito'!C:C,'Limite de crédito'!L:L),0)</f>
        <v>0</v>
      </c>
      <c r="D8" s="245"/>
      <c r="E8" s="246">
        <f>_xlfn.XLOOKUP(B8,'Limite de crédito'!C:C,'Limite de crédito'!G:G,0)</f>
        <v>0</v>
      </c>
      <c r="F8" s="248">
        <f t="shared" si="3"/>
        <v>-1863200.9</v>
      </c>
      <c r="G8" s="236">
        <f t="shared" si="4"/>
        <v>1863200.9</v>
      </c>
      <c r="H8" s="237">
        <f>SUMIFS('Data Fertilizers'!$D:$D,'Data Fertilizers'!$P:$P,$B8,'Data Fertilizers'!$Q:$Q,"&gt;0",'Data Fertilizers'!$Q:$Q,"&lt;=30")</f>
        <v>0</v>
      </c>
      <c r="I8" s="237">
        <f>SUMIFS('Data Fertilizers'!$D:$D,'Data Fertilizers'!$P:$P,$B8,'Data Fertilizers'!$Q:$Q,"&gt;30",'Data Fertilizers'!$Q:$Q,"&lt;=60")</f>
        <v>0</v>
      </c>
      <c r="J8" s="237">
        <f>SUMIFS('Data Fertilizers'!$D:$D,'Data Fertilizers'!$P:$P,$B8,'Data Fertilizers'!$Q:$Q,"&gt;60",'Data Fertilizers'!$Q:$Q,"&lt;=90")</f>
        <v>0</v>
      </c>
      <c r="K8" s="237">
        <f>SUMIFS('Data Fertilizers'!$D:$D,'Data Fertilizers'!$P:$P,$B8,'Data Fertilizers'!$Q:$Q,"&gt;90",'Data Fertilizers'!$Q:$Q,"&lt;=120")</f>
        <v>0</v>
      </c>
      <c r="L8" s="237">
        <f>SUMIFS('Data Fertilizers'!$D:$D,'Data Fertilizers'!$P:$P,$B8,'Data Fertilizers'!$Q:$Q,"&gt;120",'Data Fertilizers'!$Q:$Q,"&lt;=180")</f>
        <v>0</v>
      </c>
      <c r="M8" s="237">
        <f>SUMIFS('Data Fertilizers'!$D:$D,'Data Fertilizers'!$P:$P,$B8,'Data Fertilizers'!$Q:$Q,"&gt;180",'Data Fertilizers'!$Q:$Q,"&lt;=360")</f>
        <v>0</v>
      </c>
      <c r="N8" s="241">
        <f>SUMIFS('Data Fertilizers'!$D:$D,'Data Fertilizers'!$P:$P,$B8,'Data Fertilizers'!$Q:$Q,"&gt;360")</f>
        <v>1863200.9</v>
      </c>
      <c r="O8" s="237">
        <f>SUMIFS('Data Fertilizers'!$D:$D,'Data Fertilizers'!$P:$P,$B8,'Data Fertilizers'!$Q:$Q,"&gt;0")</f>
        <v>1863200.9</v>
      </c>
      <c r="P8" s="237">
        <f t="shared" si="5"/>
        <v>0</v>
      </c>
      <c r="Q8" s="237">
        <f>SUMIFS('Data Fertilizers'!$D:$D,'Data Fertilizers'!$P:$P,$B8,'Data Fertilizers'!$Q:$Q,"&lt;=0",'Data Fertilizers'!$Q:$Q,"&gt;=-30")</f>
        <v>0</v>
      </c>
      <c r="R8" s="237">
        <f>SUMIFS('Data Fertilizers'!$D:$D,'Data Fertilizers'!$P:$P,$B8,'Data Fertilizers'!$Q:$Q,"&lt;=-31",'Data Fertilizers'!$Q:$Q,"&gt;=-60")</f>
        <v>0</v>
      </c>
      <c r="S8" s="237">
        <f>SUMIFS('Data Fertilizers'!$D:$D,'Data Fertilizers'!$P:$P,$B8,'Data Fertilizers'!$Q:$Q,"&lt;=-61",'Data Fertilizers'!$Q:$Q,"&gt;=-90")</f>
        <v>0</v>
      </c>
      <c r="T8" s="237">
        <f>SUMIFS('Data Fertilizers'!$D:$D,'Data Fertilizers'!$P:$P,$B8,'Data Fertilizers'!$Q:$Q,"&lt;=-91",'Data Fertilizers'!$Q:$Q,"&gt;=-120")</f>
        <v>0</v>
      </c>
      <c r="U8" s="237">
        <f>SUMIFS('Data Fertilizers'!$D:$D,'Data Fertilizers'!$P:$P,$B8,'Data Fertilizers'!$Q:$Q,"&lt;=-121",'Data Fertilizers'!$Q:$Q,"&gt;=-180")</f>
        <v>0</v>
      </c>
      <c r="V8" s="237">
        <f>SUMIFS('Data Fertilizers'!$D:$D,'Data Fertilizers'!$P:$P,$B8,'Data Fertilizers'!$Q:$Q,"&lt;=-181",'Data Fertilizers'!$Q:$Q,"&gt;=-360")</f>
        <v>0</v>
      </c>
      <c r="W8" s="241">
        <f>SUMIFS('Data Fertilizers'!$D:$D,'Data Fertilizers'!$P:$P,$B8,'Data Fertilizers'!$Q:$Q,"&lt;-360")</f>
        <v>0</v>
      </c>
      <c r="X8" s="237">
        <f>SUMIFS('Bad Debt Provision'!AB:AB,'Bad Debt Provision'!B:B,'Painel Fertilizers'!B8)</f>
        <v>1863200.9</v>
      </c>
      <c r="Y8" s="238"/>
      <c r="Z8" s="238"/>
      <c r="AA8" s="182">
        <f>_xlfn.XLOOKUP(B8,'Limite de crédito'!C:C,'Limite de crédito'!O:O,0)</f>
        <v>0</v>
      </c>
      <c r="AB8" s="237"/>
      <c r="AC8" s="239"/>
      <c r="AD8" s="240"/>
      <c r="AE8" s="240"/>
      <c r="AF8" s="238"/>
      <c r="AG8" s="237">
        <f t="shared" si="2"/>
        <v>-1863200.9</v>
      </c>
      <c r="AH8" s="238"/>
    </row>
    <row r="9" spans="1:37" s="234" customFormat="1" ht="15.75" customHeight="1" x14ac:dyDescent="0.25">
      <c r="B9" s="235" t="s">
        <v>198</v>
      </c>
      <c r="C9" s="244">
        <f>IFERROR(_xlfn.XLOOKUP(B9,'Limite de crédito'!C:C,'Limite de crédito'!L:L),0)</f>
        <v>0</v>
      </c>
      <c r="D9" s="245"/>
      <c r="E9" s="246">
        <f>_xlfn.XLOOKUP(B9,'Limite de crédito'!C:C,'Limite de crédito'!G:G,0)</f>
        <v>0</v>
      </c>
      <c r="F9" s="236">
        <f t="shared" si="3"/>
        <v>-1702848.7400000002</v>
      </c>
      <c r="G9" s="236">
        <f t="shared" si="4"/>
        <v>1702848.7400000002</v>
      </c>
      <c r="H9" s="237">
        <f>SUMIFS('Data Fertilizers'!$D:$D,'Data Fertilizers'!$P:$P,$B9,'Data Fertilizers'!$Q:$Q,"&gt;0",'Data Fertilizers'!$Q:$Q,"&lt;=30")</f>
        <v>0</v>
      </c>
      <c r="I9" s="237">
        <f>SUMIFS('Data Fertilizers'!$D:$D,'Data Fertilizers'!$P:$P,$B9,'Data Fertilizers'!$Q:$Q,"&gt;30",'Data Fertilizers'!$Q:$Q,"&lt;=60")</f>
        <v>0</v>
      </c>
      <c r="J9" s="237">
        <f>SUMIFS('Data Fertilizers'!$D:$D,'Data Fertilizers'!$P:$P,$B9,'Data Fertilizers'!$Q:$Q,"&gt;60",'Data Fertilizers'!$Q:$Q,"&lt;=90")</f>
        <v>0</v>
      </c>
      <c r="K9" s="237">
        <f>SUMIFS('Data Fertilizers'!$D:$D,'Data Fertilizers'!$P:$P,$B9,'Data Fertilizers'!$Q:$Q,"&gt;90",'Data Fertilizers'!$Q:$Q,"&lt;=120")</f>
        <v>0</v>
      </c>
      <c r="L9" s="237">
        <f>SUMIFS('Data Fertilizers'!$D:$D,'Data Fertilizers'!$P:$P,$B9,'Data Fertilizers'!$Q:$Q,"&gt;120",'Data Fertilizers'!$Q:$Q,"&lt;=180")</f>
        <v>0</v>
      </c>
      <c r="M9" s="237">
        <f>SUMIFS('Data Fertilizers'!$D:$D,'Data Fertilizers'!$P:$P,$B9,'Data Fertilizers'!$Q:$Q,"&gt;180",'Data Fertilizers'!$Q:$Q,"&lt;=360")</f>
        <v>0</v>
      </c>
      <c r="N9" s="241">
        <f>SUMIFS('Data Fertilizers'!$D:$D,'Data Fertilizers'!$P:$P,$B9,'Data Fertilizers'!$Q:$Q,"&gt;360")</f>
        <v>1702848.7400000002</v>
      </c>
      <c r="O9" s="237">
        <f>SUMIFS('Data Fertilizers'!$D:$D,'Data Fertilizers'!$P:$P,$B9,'Data Fertilizers'!$Q:$Q,"&gt;0")</f>
        <v>1702848.7400000002</v>
      </c>
      <c r="P9" s="237">
        <f t="shared" si="5"/>
        <v>0</v>
      </c>
      <c r="Q9" s="237">
        <f>SUMIFS('Data Fertilizers'!$D:$D,'Data Fertilizers'!$P:$P,$B9,'Data Fertilizers'!$Q:$Q,"&lt;=0",'Data Fertilizers'!$Q:$Q,"&gt;=-30")</f>
        <v>0</v>
      </c>
      <c r="R9" s="237">
        <f>SUMIFS('Data Fertilizers'!$D:$D,'Data Fertilizers'!$P:$P,$B9,'Data Fertilizers'!$Q:$Q,"&lt;=-31",'Data Fertilizers'!$Q:$Q,"&gt;=-60")</f>
        <v>0</v>
      </c>
      <c r="S9" s="237">
        <f>SUMIFS('Data Fertilizers'!$D:$D,'Data Fertilizers'!$P:$P,$B9,'Data Fertilizers'!$Q:$Q,"&lt;=-61",'Data Fertilizers'!$Q:$Q,"&gt;=-90")</f>
        <v>0</v>
      </c>
      <c r="T9" s="237">
        <f>SUMIFS('Data Fertilizers'!$D:$D,'Data Fertilizers'!$P:$P,$B9,'Data Fertilizers'!$Q:$Q,"&lt;=-91",'Data Fertilizers'!$Q:$Q,"&gt;=-120")</f>
        <v>0</v>
      </c>
      <c r="U9" s="237">
        <f>SUMIFS('Data Fertilizers'!$D:$D,'Data Fertilizers'!$P:$P,$B9,'Data Fertilizers'!$Q:$Q,"&lt;=-121",'Data Fertilizers'!$Q:$Q,"&gt;=-180")</f>
        <v>0</v>
      </c>
      <c r="V9" s="237">
        <f>SUMIFS('Data Fertilizers'!$D:$D,'Data Fertilizers'!$P:$P,$B9,'Data Fertilizers'!$Q:$Q,"&lt;=-181",'Data Fertilizers'!$Q:$Q,"&gt;=-360")</f>
        <v>0</v>
      </c>
      <c r="W9" s="241">
        <f>SUMIFS('Data Fertilizers'!$D:$D,'Data Fertilizers'!$P:$P,$B9,'Data Fertilizers'!$Q:$Q,"&lt;-360")</f>
        <v>0</v>
      </c>
      <c r="X9" s="237">
        <f>SUMIFS('Bad Debt Provision'!AB:AB,'Bad Debt Provision'!B:B,'Painel Fertilizers'!B9)</f>
        <v>1702848.7400000002</v>
      </c>
      <c r="Y9" s="238"/>
      <c r="Z9" s="238"/>
      <c r="AA9" s="182">
        <f>_xlfn.XLOOKUP(B9,'Limite de crédito'!C:C,'Limite de crédito'!O:O,0)</f>
        <v>0</v>
      </c>
      <c r="AB9" s="237"/>
      <c r="AC9" s="239"/>
      <c r="AD9" s="240"/>
      <c r="AE9" s="240"/>
      <c r="AF9" s="238"/>
      <c r="AG9" s="237">
        <f t="shared" si="2"/>
        <v>-1702848.7400000002</v>
      </c>
      <c r="AH9" s="238"/>
      <c r="AI9" s="247">
        <v>1716645.3400000003</v>
      </c>
    </row>
    <row r="10" spans="1:37" s="234" customFormat="1" ht="15.75" customHeight="1" x14ac:dyDescent="0.25">
      <c r="B10" s="235" t="s">
        <v>206</v>
      </c>
      <c r="C10" s="244">
        <f>IFERROR(_xlfn.XLOOKUP(B10,'Limite de crédito'!C:C,'Limite de crédito'!L:L),0)</f>
        <v>0</v>
      </c>
      <c r="D10" s="245"/>
      <c r="E10" s="246">
        <f>_xlfn.XLOOKUP(B10,'Limite de crédito'!C:C,'Limite de crédito'!G:G,0)</f>
        <v>0</v>
      </c>
      <c r="F10" s="236">
        <f t="shared" si="3"/>
        <v>-876011.75</v>
      </c>
      <c r="G10" s="236">
        <f t="shared" si="4"/>
        <v>876011.75</v>
      </c>
      <c r="H10" s="237">
        <f>SUMIFS('Data Fertilizers'!$D:$D,'Data Fertilizers'!$P:$P,$B10,'Data Fertilizers'!$Q:$Q,"&gt;0",'Data Fertilizers'!$Q:$Q,"&lt;=30")</f>
        <v>0</v>
      </c>
      <c r="I10" s="237">
        <f>SUMIFS('Data Fertilizers'!$D:$D,'Data Fertilizers'!$P:$P,$B10,'Data Fertilizers'!$Q:$Q,"&gt;30",'Data Fertilizers'!$Q:$Q,"&lt;=60")</f>
        <v>0</v>
      </c>
      <c r="J10" s="237">
        <f>SUMIFS('Data Fertilizers'!$D:$D,'Data Fertilizers'!$P:$P,$B10,'Data Fertilizers'!$Q:$Q,"&gt;60",'Data Fertilizers'!$Q:$Q,"&lt;=90")</f>
        <v>0</v>
      </c>
      <c r="K10" s="237">
        <f>SUMIFS('Data Fertilizers'!$D:$D,'Data Fertilizers'!$P:$P,$B10,'Data Fertilizers'!$Q:$Q,"&gt;90",'Data Fertilizers'!$Q:$Q,"&lt;=120")</f>
        <v>0</v>
      </c>
      <c r="L10" s="237">
        <f>SUMIFS('Data Fertilizers'!$D:$D,'Data Fertilizers'!$P:$P,$B10,'Data Fertilizers'!$Q:$Q,"&gt;120",'Data Fertilizers'!$Q:$Q,"&lt;=180")</f>
        <v>0</v>
      </c>
      <c r="M10" s="237">
        <f>SUMIFS('Data Fertilizers'!$D:$D,'Data Fertilizers'!$P:$P,$B10,'Data Fertilizers'!$Q:$Q,"&gt;180",'Data Fertilizers'!$Q:$Q,"&lt;=360")</f>
        <v>0</v>
      </c>
      <c r="N10" s="241">
        <f>SUMIFS('Data Fertilizers'!$D:$D,'Data Fertilizers'!$P:$P,$B10,'Data Fertilizers'!$Q:$Q,"&gt;360")</f>
        <v>876011.75</v>
      </c>
      <c r="O10" s="237">
        <f>SUMIFS('Data Fertilizers'!$D:$D,'Data Fertilizers'!$P:$P,$B10,'Data Fertilizers'!$Q:$Q,"&gt;0")</f>
        <v>876011.75</v>
      </c>
      <c r="P10" s="237">
        <f t="shared" si="5"/>
        <v>0</v>
      </c>
      <c r="Q10" s="237">
        <f>SUMIFS('Data Fertilizers'!$D:$D,'Data Fertilizers'!$P:$P,$B10,'Data Fertilizers'!$Q:$Q,"&lt;=0",'Data Fertilizers'!$Q:$Q,"&gt;=-30")</f>
        <v>0</v>
      </c>
      <c r="R10" s="237">
        <f>SUMIFS('Data Fertilizers'!$D:$D,'Data Fertilizers'!$P:$P,$B10,'Data Fertilizers'!$Q:$Q,"&lt;=-31",'Data Fertilizers'!$Q:$Q,"&gt;=-60")</f>
        <v>0</v>
      </c>
      <c r="S10" s="237">
        <f>SUMIFS('Data Fertilizers'!$D:$D,'Data Fertilizers'!$P:$P,$B10,'Data Fertilizers'!$Q:$Q,"&lt;=-61",'Data Fertilizers'!$Q:$Q,"&gt;=-90")</f>
        <v>0</v>
      </c>
      <c r="T10" s="237">
        <f>SUMIFS('Data Fertilizers'!$D:$D,'Data Fertilizers'!$P:$P,$B10,'Data Fertilizers'!$Q:$Q,"&lt;=-91",'Data Fertilizers'!$Q:$Q,"&gt;=-120")</f>
        <v>0</v>
      </c>
      <c r="U10" s="237">
        <f>SUMIFS('Data Fertilizers'!$D:$D,'Data Fertilizers'!$P:$P,$B10,'Data Fertilizers'!$Q:$Q,"&lt;=-121",'Data Fertilizers'!$Q:$Q,"&gt;=-180")</f>
        <v>0</v>
      </c>
      <c r="V10" s="237">
        <f>SUMIFS('Data Fertilizers'!$D:$D,'Data Fertilizers'!$P:$P,$B10,'Data Fertilizers'!$Q:$Q,"&lt;=-181",'Data Fertilizers'!$Q:$Q,"&gt;=-360")</f>
        <v>0</v>
      </c>
      <c r="W10" s="241">
        <f>SUMIFS('Data Fertilizers'!$D:$D,'Data Fertilizers'!$P:$P,$B10,'Data Fertilizers'!$Q:$Q,"&lt;-360")</f>
        <v>0</v>
      </c>
      <c r="X10" s="237">
        <f>SUMIFS('Bad Debt Provision'!AB:AB,'Bad Debt Provision'!B:B,'Painel Fertilizers'!B10)</f>
        <v>0</v>
      </c>
      <c r="Y10" s="238"/>
      <c r="Z10" s="238"/>
      <c r="AA10" s="182">
        <f>_xlfn.XLOOKUP(B10,'Limite de crédito'!C:C,'Limite de crédito'!O:O,0)</f>
        <v>0</v>
      </c>
      <c r="AB10" s="237"/>
      <c r="AC10" s="239"/>
      <c r="AD10" s="240"/>
      <c r="AE10" s="240"/>
      <c r="AF10" s="238"/>
      <c r="AG10" s="237">
        <f t="shared" si="2"/>
        <v>-876011.75</v>
      </c>
      <c r="AH10" s="238"/>
      <c r="AI10" s="247">
        <v>1076345</v>
      </c>
    </row>
    <row r="11" spans="1:37" s="234" customFormat="1" ht="15.75" customHeight="1" x14ac:dyDescent="0.25">
      <c r="B11" s="235" t="s">
        <v>156</v>
      </c>
      <c r="C11" s="244">
        <f>IFERROR(_xlfn.XLOOKUP(B11,'Limite de crédito'!C:C,'Limite de crédito'!L:L),0)</f>
        <v>0</v>
      </c>
      <c r="D11" s="245"/>
      <c r="E11" s="246">
        <f>_xlfn.XLOOKUP(B11,'Limite de crédito'!C:C,'Limite de crédito'!G:G,0)</f>
        <v>0</v>
      </c>
      <c r="F11" s="236">
        <f t="shared" si="3"/>
        <v>0</v>
      </c>
      <c r="G11" s="236">
        <f t="shared" si="4"/>
        <v>0</v>
      </c>
      <c r="H11" s="237">
        <f>SUMIFS('Data Fertilizers'!$D:$D,'Data Fertilizers'!$P:$P,$B11,'Data Fertilizers'!$Q:$Q,"&gt;0",'Data Fertilizers'!$Q:$Q,"&lt;=30")</f>
        <v>0</v>
      </c>
      <c r="I11" s="237">
        <f>SUMIFS('Data Fertilizers'!$D:$D,'Data Fertilizers'!$P:$P,$B11,'Data Fertilizers'!$Q:$Q,"&gt;30",'Data Fertilizers'!$Q:$Q,"&lt;=60")</f>
        <v>0</v>
      </c>
      <c r="J11" s="237">
        <f>SUMIFS('Data Fertilizers'!$D:$D,'Data Fertilizers'!$P:$P,$B11,'Data Fertilizers'!$Q:$Q,"&gt;60",'Data Fertilizers'!$Q:$Q,"&lt;=90")</f>
        <v>0</v>
      </c>
      <c r="K11" s="237">
        <f>SUMIFS('Data Fertilizers'!$D:$D,'Data Fertilizers'!$P:$P,$B11,'Data Fertilizers'!$Q:$Q,"&gt;90",'Data Fertilizers'!$Q:$Q,"&lt;=120")</f>
        <v>0</v>
      </c>
      <c r="L11" s="237">
        <f>SUMIFS('Data Fertilizers'!$D:$D,'Data Fertilizers'!$P:$P,$B11,'Data Fertilizers'!$Q:$Q,"&gt;120",'Data Fertilizers'!$Q:$Q,"&lt;=180")</f>
        <v>0</v>
      </c>
      <c r="M11" s="237">
        <f>SUMIFS('Data Fertilizers'!$D:$D,'Data Fertilizers'!$P:$P,$B11,'Data Fertilizers'!$Q:$Q,"&gt;180",'Data Fertilizers'!$Q:$Q,"&lt;=360")</f>
        <v>0</v>
      </c>
      <c r="N11" s="241">
        <f>SUMIFS('Data Fertilizers'!$D:$D,'Data Fertilizers'!$P:$P,$B11,'Data Fertilizers'!$Q:$Q,"&gt;360")</f>
        <v>0</v>
      </c>
      <c r="O11" s="237">
        <f>SUMIFS('Data Fertilizers'!$D:$D,'Data Fertilizers'!$P:$P,$B11,'Data Fertilizers'!$Q:$Q,"&gt;0")</f>
        <v>0</v>
      </c>
      <c r="P11" s="237">
        <f t="shared" si="5"/>
        <v>0</v>
      </c>
      <c r="Q11" s="237">
        <f>SUMIFS('Data Fertilizers'!$D:$D,'Data Fertilizers'!$P:$P,$B11,'Data Fertilizers'!$Q:$Q,"&lt;=0",'Data Fertilizers'!$Q:$Q,"&gt;=-30")</f>
        <v>0</v>
      </c>
      <c r="R11" s="237">
        <f>SUMIFS('Data Fertilizers'!$D:$D,'Data Fertilizers'!$P:$P,$B11,'Data Fertilizers'!$Q:$Q,"&lt;=-31",'Data Fertilizers'!$Q:$Q,"&gt;=-60")</f>
        <v>0</v>
      </c>
      <c r="S11" s="237">
        <f>SUMIFS('Data Fertilizers'!$D:$D,'Data Fertilizers'!$P:$P,$B11,'Data Fertilizers'!$Q:$Q,"&lt;=-61",'Data Fertilizers'!$Q:$Q,"&gt;=-90")</f>
        <v>0</v>
      </c>
      <c r="T11" s="237">
        <f>SUMIFS('Data Fertilizers'!$D:$D,'Data Fertilizers'!$P:$P,$B11,'Data Fertilizers'!$Q:$Q,"&lt;=-91",'Data Fertilizers'!$Q:$Q,"&gt;=-120")</f>
        <v>0</v>
      </c>
      <c r="U11" s="237">
        <f>SUMIFS('Data Fertilizers'!$D:$D,'Data Fertilizers'!$P:$P,$B11,'Data Fertilizers'!$Q:$Q,"&lt;=-121",'Data Fertilizers'!$Q:$Q,"&gt;=-180")</f>
        <v>0</v>
      </c>
      <c r="V11" s="237">
        <f>SUMIFS('Data Fertilizers'!$D:$D,'Data Fertilizers'!$P:$P,$B11,'Data Fertilizers'!$Q:$Q,"&lt;=-181",'Data Fertilizers'!$Q:$Q,"&gt;=-360")</f>
        <v>0</v>
      </c>
      <c r="W11" s="241">
        <f>SUMIFS('Data Fertilizers'!$D:$D,'Data Fertilizers'!$P:$P,$B11,'Data Fertilizers'!$Q:$Q,"&lt;-360")</f>
        <v>0</v>
      </c>
      <c r="X11" s="237">
        <f>SUMIFS('Bad Debt Provision'!AB:AB,'Bad Debt Provision'!B:B,'Painel Fertilizers'!B11)</f>
        <v>0</v>
      </c>
      <c r="Y11" s="238"/>
      <c r="Z11" s="238"/>
      <c r="AA11" s="182">
        <f>_xlfn.XLOOKUP(B11,'Limite de crédito'!C:C,'Limite de crédito'!O:O,0)</f>
        <v>0</v>
      </c>
      <c r="AB11" s="237"/>
      <c r="AC11" s="239"/>
      <c r="AD11" s="240"/>
      <c r="AE11" s="240"/>
      <c r="AF11" s="238"/>
      <c r="AG11" s="237">
        <f t="shared" si="2"/>
        <v>0</v>
      </c>
      <c r="AH11" s="238"/>
    </row>
    <row r="12" spans="1:37" s="169" customFormat="1" ht="15.75" customHeight="1" x14ac:dyDescent="0.25">
      <c r="B12" s="168" t="s">
        <v>431</v>
      </c>
      <c r="C12" s="242" t="str">
        <f>IFERROR(_xlfn.XLOOKUP(B12,'Limite de crédito'!C:C,'Limite de crédito'!L:L),0)</f>
        <v>B</v>
      </c>
      <c r="D12" s="186">
        <v>270</v>
      </c>
      <c r="E12" s="232">
        <f>_xlfn.XLOOKUP(B12,'Limite de crédito'!C:C,'Limite de crédito'!G:G,0)</f>
        <v>1500000</v>
      </c>
      <c r="F12" s="181">
        <f t="shared" si="3"/>
        <v>1193272.8799999999</v>
      </c>
      <c r="G12" s="181">
        <f t="shared" si="4"/>
        <v>306727.12</v>
      </c>
      <c r="H12" s="182">
        <f>SUMIFS('Data Fertilizers'!$D:$D,'Data Fertilizers'!$P:$P,$B12,'Data Fertilizers'!$Q:$Q,"&gt;0",'Data Fertilizers'!$Q:$Q,"&lt;=30")</f>
        <v>0</v>
      </c>
      <c r="I12" s="182">
        <f>SUMIFS('Data Fertilizers'!$D:$D,'Data Fertilizers'!$P:$P,$B12,'Data Fertilizers'!$Q:$Q,"&gt;30",'Data Fertilizers'!$Q:$Q,"&lt;=60")</f>
        <v>0</v>
      </c>
      <c r="J12" s="182">
        <f>SUMIFS('Data Fertilizers'!$D:$D,'Data Fertilizers'!$P:$P,$B12,'Data Fertilizers'!$Q:$Q,"&gt;60",'Data Fertilizers'!$Q:$Q,"&lt;=90")</f>
        <v>0</v>
      </c>
      <c r="K12" s="182">
        <f>SUMIFS('Data Fertilizers'!$D:$D,'Data Fertilizers'!$P:$P,$B12,'Data Fertilizers'!$Q:$Q,"&gt;90",'Data Fertilizers'!$Q:$Q,"&lt;=120")</f>
        <v>0</v>
      </c>
      <c r="L12" s="182">
        <f>SUMIFS('Data Fertilizers'!$D:$D,'Data Fertilizers'!$P:$P,$B12,'Data Fertilizers'!$Q:$Q,"&gt;120",'Data Fertilizers'!$Q:$Q,"&lt;=180")</f>
        <v>0</v>
      </c>
      <c r="M12" s="182">
        <f>SUMIFS('Data Fertilizers'!$D:$D,'Data Fertilizers'!$P:$P,$B12,'Data Fertilizers'!$Q:$Q,"&gt;180",'Data Fertilizers'!$Q:$Q,"&lt;=360")</f>
        <v>0</v>
      </c>
      <c r="N12" s="187">
        <f>SUMIFS('Data Fertilizers'!$D:$D,'Data Fertilizers'!$P:$P,$B12,'Data Fertilizers'!$Q:$Q,"&gt;360")</f>
        <v>0</v>
      </c>
      <c r="O12" s="182">
        <f>SUMIFS('Data Fertilizers'!$D:$D,'Data Fertilizers'!$P:$P,$B12,'Data Fertilizers'!$Q:$Q,"&gt;0")</f>
        <v>0</v>
      </c>
      <c r="P12" s="182">
        <f t="shared" si="5"/>
        <v>306727.12</v>
      </c>
      <c r="Q12" s="182">
        <f>SUMIFS('Data Fertilizers'!$D:$D,'Data Fertilizers'!$P:$P,$B12,'Data Fertilizers'!$Q:$Q,"&lt;=0",'Data Fertilizers'!$Q:$Q,"&gt;=-30")</f>
        <v>306727.12</v>
      </c>
      <c r="R12" s="182">
        <f>SUMIFS('Data Fertilizers'!$D:$D,'Data Fertilizers'!$P:$P,$B12,'Data Fertilizers'!$Q:$Q,"&lt;=-31",'Data Fertilizers'!$Q:$Q,"&gt;=-60")</f>
        <v>0</v>
      </c>
      <c r="S12" s="182">
        <f>SUMIFS('Data Fertilizers'!$D:$D,'Data Fertilizers'!$P:$P,$B12,'Data Fertilizers'!$Q:$Q,"&lt;=-61",'Data Fertilizers'!$Q:$Q,"&gt;=-90")</f>
        <v>0</v>
      </c>
      <c r="T12" s="182">
        <f>SUMIFS('Data Fertilizers'!$D:$D,'Data Fertilizers'!$P:$P,$B12,'Data Fertilizers'!$Q:$Q,"&lt;=-91",'Data Fertilizers'!$Q:$Q,"&gt;=-120")</f>
        <v>0</v>
      </c>
      <c r="U12" s="182">
        <f>SUMIFS('Data Fertilizers'!$D:$D,'Data Fertilizers'!$P:$P,$B12,'Data Fertilizers'!$Q:$Q,"&lt;=-121",'Data Fertilizers'!$Q:$Q,"&gt;=-180")</f>
        <v>0</v>
      </c>
      <c r="V12" s="182">
        <f>SUMIFS('Data Fertilizers'!$D:$D,'Data Fertilizers'!$P:$P,$B12,'Data Fertilizers'!$Q:$Q,"&lt;=-181",'Data Fertilizers'!$Q:$Q,"&gt;=-360")</f>
        <v>0</v>
      </c>
      <c r="W12" s="187">
        <f>SUMIFS('Data Fertilizers'!$D:$D,'Data Fertilizers'!$P:$P,$B12,'Data Fertilizers'!$Q:$Q,"&lt;-360")</f>
        <v>0</v>
      </c>
      <c r="X12" s="237">
        <f>SUMIFS('Bad Debt Provision'!AB:AB,'Bad Debt Provision'!B:B,'Painel Fertilizers'!B12)</f>
        <v>0</v>
      </c>
      <c r="Z12" s="183"/>
      <c r="AA12" s="182">
        <f>_xlfn.XLOOKUP(B12,'Limite de crédito'!C:C,'Limite de crédito'!O:O,0)</f>
        <v>1000000</v>
      </c>
      <c r="AB12" s="182"/>
      <c r="AC12" s="184"/>
      <c r="AD12" s="185"/>
      <c r="AE12" s="185"/>
      <c r="AF12" s="183"/>
      <c r="AG12" s="182">
        <f t="shared" si="2"/>
        <v>693272.88</v>
      </c>
    </row>
    <row r="13" spans="1:37" s="169" customFormat="1" ht="15.75" customHeight="1" x14ac:dyDescent="0.25">
      <c r="B13" s="168" t="s">
        <v>196</v>
      </c>
      <c r="C13" s="242">
        <f>IFERROR(_xlfn.XLOOKUP(B13,'Limite de crédito'!C:C,'Limite de crédito'!L:L),0)</f>
        <v>0</v>
      </c>
      <c r="D13" s="186">
        <v>360</v>
      </c>
      <c r="E13" s="232">
        <f>_xlfn.XLOOKUP(B13,'Limite de crédito'!C:C,'Limite de crédito'!G:G,0)</f>
        <v>1500000</v>
      </c>
      <c r="F13" s="181">
        <f t="shared" si="3"/>
        <v>1368320</v>
      </c>
      <c r="G13" s="181">
        <f t="shared" si="4"/>
        <v>131680</v>
      </c>
      <c r="H13" s="182">
        <f>SUMIFS('Data Fertilizers'!$D:$D,'Data Fertilizers'!$P:$P,$B13,'Data Fertilizers'!$Q:$Q,"&gt;0",'Data Fertilizers'!$Q:$Q,"&lt;=30")</f>
        <v>0</v>
      </c>
      <c r="I13" s="182">
        <f>SUMIFS('Data Fertilizers'!$D:$D,'Data Fertilizers'!$P:$P,$B13,'Data Fertilizers'!$Q:$Q,"&gt;30",'Data Fertilizers'!$Q:$Q,"&lt;=60")</f>
        <v>0</v>
      </c>
      <c r="J13" s="182">
        <f>SUMIFS('Data Fertilizers'!$D:$D,'Data Fertilizers'!$P:$P,$B13,'Data Fertilizers'!$Q:$Q,"&gt;60",'Data Fertilizers'!$Q:$Q,"&lt;=90")</f>
        <v>0</v>
      </c>
      <c r="K13" s="182">
        <f>SUMIFS('Data Fertilizers'!$D:$D,'Data Fertilizers'!$P:$P,$B13,'Data Fertilizers'!$Q:$Q,"&gt;90",'Data Fertilizers'!$Q:$Q,"&lt;=120")</f>
        <v>0</v>
      </c>
      <c r="L13" s="182">
        <f>SUMIFS('Data Fertilizers'!$D:$D,'Data Fertilizers'!$P:$P,$B13,'Data Fertilizers'!$Q:$Q,"&gt;120",'Data Fertilizers'!$Q:$Q,"&lt;=180")</f>
        <v>0</v>
      </c>
      <c r="M13" s="182">
        <f>SUMIFS('Data Fertilizers'!$D:$D,'Data Fertilizers'!$P:$P,$B13,'Data Fertilizers'!$Q:$Q,"&gt;180",'Data Fertilizers'!$Q:$Q,"&lt;=360")</f>
        <v>0</v>
      </c>
      <c r="N13" s="187">
        <f>SUMIFS('Data Fertilizers'!$D:$D,'Data Fertilizers'!$P:$P,$B13,'Data Fertilizers'!$Q:$Q,"&gt;360")</f>
        <v>0</v>
      </c>
      <c r="O13" s="182">
        <f>SUMIFS('Data Fertilizers'!$D:$D,'Data Fertilizers'!$P:$P,$B13,'Data Fertilizers'!$Q:$Q,"&gt;0")</f>
        <v>0</v>
      </c>
      <c r="P13" s="182">
        <f t="shared" si="5"/>
        <v>131680</v>
      </c>
      <c r="Q13" s="182">
        <f>SUMIFS('Data Fertilizers'!$D:$D,'Data Fertilizers'!$P:$P,$B13,'Data Fertilizers'!$Q:$Q,"&lt;=0",'Data Fertilizers'!$Q:$Q,"&gt;=-30")</f>
        <v>0</v>
      </c>
      <c r="R13" s="182">
        <f>SUMIFS('Data Fertilizers'!$D:$D,'Data Fertilizers'!$P:$P,$B13,'Data Fertilizers'!$Q:$Q,"&lt;=-31",'Data Fertilizers'!$Q:$Q,"&gt;=-60")</f>
        <v>0</v>
      </c>
      <c r="S13" s="182">
        <f>SUMIFS('Data Fertilizers'!$D:$D,'Data Fertilizers'!$P:$P,$B13,'Data Fertilizers'!$Q:$Q,"&lt;=-61",'Data Fertilizers'!$Q:$Q,"&gt;=-90")</f>
        <v>0</v>
      </c>
      <c r="T13" s="182">
        <f>SUMIFS('Data Fertilizers'!$D:$D,'Data Fertilizers'!$P:$P,$B13,'Data Fertilizers'!$Q:$Q,"&lt;=-91",'Data Fertilizers'!$Q:$Q,"&gt;=-120")</f>
        <v>0</v>
      </c>
      <c r="U13" s="182">
        <f>SUMIFS('Data Fertilizers'!$D:$D,'Data Fertilizers'!$P:$P,$B13,'Data Fertilizers'!$Q:$Q,"&lt;=-121",'Data Fertilizers'!$Q:$Q,"&gt;=-180")</f>
        <v>131680</v>
      </c>
      <c r="V13" s="182">
        <f>SUMIFS('Data Fertilizers'!$D:$D,'Data Fertilizers'!$P:$P,$B13,'Data Fertilizers'!$Q:$Q,"&lt;=-181",'Data Fertilizers'!$Q:$Q,"&gt;=-360")</f>
        <v>0</v>
      </c>
      <c r="W13" s="187">
        <f>SUMIFS('Data Fertilizers'!$D:$D,'Data Fertilizers'!$P:$P,$B13,'Data Fertilizers'!$Q:$Q,"&lt;-360")</f>
        <v>0</v>
      </c>
      <c r="X13" s="237">
        <f>SUMIFS('Bad Debt Provision'!AB:AB,'Bad Debt Provision'!B:B,'Painel Fertilizers'!B13)</f>
        <v>0</v>
      </c>
      <c r="Y13" s="183"/>
      <c r="Z13" s="183"/>
      <c r="AA13" s="182">
        <f>_xlfn.XLOOKUP(B13,'Limite de crédito'!C:C,'Limite de crédito'!O:O,0)</f>
        <v>660000</v>
      </c>
      <c r="AB13" s="182"/>
      <c r="AC13" s="184"/>
      <c r="AD13" s="185"/>
      <c r="AE13" s="185"/>
      <c r="AF13" s="183"/>
      <c r="AG13" s="182">
        <f t="shared" si="2"/>
        <v>528320</v>
      </c>
      <c r="AH13" s="183"/>
    </row>
    <row r="14" spans="1:37" s="169" customFormat="1" ht="15.75" customHeight="1" x14ac:dyDescent="0.25">
      <c r="B14" s="168" t="s">
        <v>205</v>
      </c>
      <c r="C14" s="242">
        <f>IFERROR(_xlfn.XLOOKUP(B14,'Limite de crédito'!C:C,'Limite de crédito'!L:L),0)</f>
        <v>0</v>
      </c>
      <c r="D14" s="186">
        <v>270</v>
      </c>
      <c r="E14" s="232">
        <f>_xlfn.XLOOKUP(B14,'Limite de crédito'!C:C,'Limite de crédito'!G:G,0)</f>
        <v>0</v>
      </c>
      <c r="F14" s="181">
        <f t="shared" si="3"/>
        <v>0</v>
      </c>
      <c r="G14" s="181">
        <f t="shared" si="4"/>
        <v>0</v>
      </c>
      <c r="H14" s="182">
        <f>SUMIFS('Data Fertilizers'!$D:$D,'Data Fertilizers'!$P:$P,$B14,'Data Fertilizers'!$Q:$Q,"&gt;0",'Data Fertilizers'!$Q:$Q,"&lt;=30")</f>
        <v>0</v>
      </c>
      <c r="I14" s="182">
        <f>SUMIFS('Data Fertilizers'!$D:$D,'Data Fertilizers'!$P:$P,$B14,'Data Fertilizers'!$Q:$Q,"&gt;30",'Data Fertilizers'!$Q:$Q,"&lt;=60")</f>
        <v>0</v>
      </c>
      <c r="J14" s="182">
        <f>SUMIFS('Data Fertilizers'!$D:$D,'Data Fertilizers'!$P:$P,$B14,'Data Fertilizers'!$Q:$Q,"&gt;60",'Data Fertilizers'!$Q:$Q,"&lt;=90")</f>
        <v>0</v>
      </c>
      <c r="K14" s="182">
        <f>SUMIFS('Data Fertilizers'!$D:$D,'Data Fertilizers'!$P:$P,$B14,'Data Fertilizers'!$Q:$Q,"&gt;90",'Data Fertilizers'!$Q:$Q,"&lt;=120")</f>
        <v>0</v>
      </c>
      <c r="L14" s="182">
        <f>SUMIFS('Data Fertilizers'!$D:$D,'Data Fertilizers'!$P:$P,$B14,'Data Fertilizers'!$Q:$Q,"&gt;120",'Data Fertilizers'!$Q:$Q,"&lt;=180")</f>
        <v>0</v>
      </c>
      <c r="M14" s="182">
        <f>SUMIFS('Data Fertilizers'!$D:$D,'Data Fertilizers'!$P:$P,$B14,'Data Fertilizers'!$Q:$Q,"&gt;180",'Data Fertilizers'!$Q:$Q,"&lt;=360")</f>
        <v>0</v>
      </c>
      <c r="N14" s="187">
        <f>SUMIFS('Data Fertilizers'!$D:$D,'Data Fertilizers'!$P:$P,$B14,'Data Fertilizers'!$Q:$Q,"&gt;360")</f>
        <v>0</v>
      </c>
      <c r="O14" s="182">
        <f>SUMIFS('Data Fertilizers'!$D:$D,'Data Fertilizers'!$P:$P,$B14,'Data Fertilizers'!$Q:$Q,"&gt;0")</f>
        <v>0</v>
      </c>
      <c r="P14" s="182">
        <f t="shared" si="5"/>
        <v>0</v>
      </c>
      <c r="Q14" s="182">
        <f>SUMIFS('Data Fertilizers'!$D:$D,'Data Fertilizers'!$P:$P,$B14,'Data Fertilizers'!$Q:$Q,"&lt;=0",'Data Fertilizers'!$Q:$Q,"&gt;=-30")</f>
        <v>0</v>
      </c>
      <c r="R14" s="182">
        <f>SUMIFS('Data Fertilizers'!$D:$D,'Data Fertilizers'!$P:$P,$B14,'Data Fertilizers'!$Q:$Q,"&lt;=-31",'Data Fertilizers'!$Q:$Q,"&gt;=-60")</f>
        <v>0</v>
      </c>
      <c r="S14" s="182">
        <f>SUMIFS('Data Fertilizers'!$D:$D,'Data Fertilizers'!$P:$P,$B14,'Data Fertilizers'!$Q:$Q,"&lt;=-61",'Data Fertilizers'!$Q:$Q,"&gt;=-90")</f>
        <v>0</v>
      </c>
      <c r="T14" s="182">
        <f>SUMIFS('Data Fertilizers'!$D:$D,'Data Fertilizers'!$P:$P,$B14,'Data Fertilizers'!$Q:$Q,"&lt;=-91",'Data Fertilizers'!$Q:$Q,"&gt;=-120")</f>
        <v>0</v>
      </c>
      <c r="U14" s="182">
        <f>SUMIFS('Data Fertilizers'!$D:$D,'Data Fertilizers'!$P:$P,$B14,'Data Fertilizers'!$Q:$Q,"&lt;=-121",'Data Fertilizers'!$Q:$Q,"&gt;=-180")</f>
        <v>0</v>
      </c>
      <c r="V14" s="182">
        <f>SUMIFS('Data Fertilizers'!$D:$D,'Data Fertilizers'!$P:$P,$B14,'Data Fertilizers'!$Q:$Q,"&lt;=-181",'Data Fertilizers'!$Q:$Q,"&gt;=-360")</f>
        <v>0</v>
      </c>
      <c r="W14" s="187">
        <f>SUMIFS('Data Fertilizers'!$D:$D,'Data Fertilizers'!$P:$P,$B14,'Data Fertilizers'!$Q:$Q,"&lt;-360")</f>
        <v>0</v>
      </c>
      <c r="X14" s="237">
        <f>SUMIFS('Bad Debt Provision'!AB:AB,'Bad Debt Provision'!B:B,'Painel Fertilizers'!B14)</f>
        <v>0</v>
      </c>
      <c r="Y14" s="183"/>
      <c r="Z14" s="183"/>
      <c r="AA14" s="182">
        <f>_xlfn.XLOOKUP(B14,'Limite de crédito'!C:C,'Limite de crédito'!O:O,0)</f>
        <v>0</v>
      </c>
      <c r="AB14" s="182"/>
      <c r="AC14" s="184"/>
      <c r="AD14" s="185"/>
      <c r="AE14" s="185"/>
      <c r="AF14" s="183"/>
      <c r="AG14" s="182">
        <f t="shared" si="2"/>
        <v>0</v>
      </c>
      <c r="AH14" s="183"/>
    </row>
    <row r="15" spans="1:37" s="169" customFormat="1" ht="15.75" customHeight="1" x14ac:dyDescent="0.25">
      <c r="B15" s="168" t="s">
        <v>334</v>
      </c>
      <c r="C15" s="242" t="str">
        <f>IFERROR(_xlfn.XLOOKUP(B15,'Limite de crédito'!C:C,'Limite de crédito'!L:L),0)</f>
        <v>C</v>
      </c>
      <c r="D15" s="186"/>
      <c r="E15" s="232">
        <f>_xlfn.XLOOKUP(B15,'Limite de crédito'!C:C,'Limite de crédito'!G:G,0)</f>
        <v>500000</v>
      </c>
      <c r="F15" s="181">
        <f t="shared" si="3"/>
        <v>17011</v>
      </c>
      <c r="G15" s="181">
        <f t="shared" si="4"/>
        <v>482989</v>
      </c>
      <c r="H15" s="182">
        <f>SUMIFS('Data Fertilizers'!$D:$D,'Data Fertilizers'!$P:$P,$B15,'Data Fertilizers'!$Q:$Q,"&gt;0",'Data Fertilizers'!$Q:$Q,"&lt;=30")</f>
        <v>0</v>
      </c>
      <c r="I15" s="182">
        <f>SUMIFS('Data Fertilizers'!$D:$D,'Data Fertilizers'!$P:$P,$B15,'Data Fertilizers'!$Q:$Q,"&gt;30",'Data Fertilizers'!$Q:$Q,"&lt;=60")</f>
        <v>0</v>
      </c>
      <c r="J15" s="182">
        <f>SUMIFS('Data Fertilizers'!$D:$D,'Data Fertilizers'!$P:$P,$B15,'Data Fertilizers'!$Q:$Q,"&gt;60",'Data Fertilizers'!$Q:$Q,"&lt;=90")</f>
        <v>0</v>
      </c>
      <c r="K15" s="182">
        <f>SUMIFS('Data Fertilizers'!$D:$D,'Data Fertilizers'!$P:$P,$B15,'Data Fertilizers'!$Q:$Q,"&gt;90",'Data Fertilizers'!$Q:$Q,"&lt;=120")</f>
        <v>0</v>
      </c>
      <c r="L15" s="182">
        <f>SUMIFS('Data Fertilizers'!$D:$D,'Data Fertilizers'!$P:$P,$B15,'Data Fertilizers'!$Q:$Q,"&gt;120",'Data Fertilizers'!$Q:$Q,"&lt;=180")</f>
        <v>0</v>
      </c>
      <c r="M15" s="182">
        <f>SUMIFS('Data Fertilizers'!$D:$D,'Data Fertilizers'!$P:$P,$B15,'Data Fertilizers'!$Q:$Q,"&gt;180",'Data Fertilizers'!$Q:$Q,"&lt;=360")</f>
        <v>0</v>
      </c>
      <c r="N15" s="187">
        <f>SUMIFS('Data Fertilizers'!$D:$D,'Data Fertilizers'!$P:$P,$B15,'Data Fertilizers'!$Q:$Q,"&gt;360")</f>
        <v>0</v>
      </c>
      <c r="O15" s="182">
        <f>SUMIFS('Data Fertilizers'!$D:$D,'Data Fertilizers'!$P:$P,$B15,'Data Fertilizers'!$Q:$Q,"&gt;0")</f>
        <v>0</v>
      </c>
      <c r="P15" s="182">
        <f t="shared" si="5"/>
        <v>482989</v>
      </c>
      <c r="Q15" s="182">
        <f>SUMIFS('Data Fertilizers'!$D:$D,'Data Fertilizers'!$P:$P,$B15,'Data Fertilizers'!$Q:$Q,"&lt;=0",'Data Fertilizers'!$Q:$Q,"&gt;=-30")</f>
        <v>482989</v>
      </c>
      <c r="R15" s="182">
        <f>SUMIFS('Data Fertilizers'!$D:$D,'Data Fertilizers'!$P:$P,$B15,'Data Fertilizers'!$Q:$Q,"&lt;=-31",'Data Fertilizers'!$Q:$Q,"&gt;=-60")</f>
        <v>0</v>
      </c>
      <c r="S15" s="182">
        <f>SUMIFS('Data Fertilizers'!$D:$D,'Data Fertilizers'!$P:$P,$B15,'Data Fertilizers'!$Q:$Q,"&lt;=-61",'Data Fertilizers'!$Q:$Q,"&gt;=-90")</f>
        <v>0</v>
      </c>
      <c r="T15" s="182">
        <f>SUMIFS('Data Fertilizers'!$D:$D,'Data Fertilizers'!$P:$P,$B15,'Data Fertilizers'!$Q:$Q,"&lt;=-91",'Data Fertilizers'!$Q:$Q,"&gt;=-120")</f>
        <v>0</v>
      </c>
      <c r="U15" s="182">
        <f>SUMIFS('Data Fertilizers'!$D:$D,'Data Fertilizers'!$P:$P,$B15,'Data Fertilizers'!$Q:$Q,"&lt;=-121",'Data Fertilizers'!$Q:$Q,"&gt;=-180")</f>
        <v>0</v>
      </c>
      <c r="V15" s="182">
        <f>SUMIFS('Data Fertilizers'!$D:$D,'Data Fertilizers'!$P:$P,$B15,'Data Fertilizers'!$Q:$Q,"&lt;=-181",'Data Fertilizers'!$Q:$Q,"&gt;=-360")</f>
        <v>0</v>
      </c>
      <c r="W15" s="187">
        <f>SUMIFS('Data Fertilizers'!$D:$D,'Data Fertilizers'!$P:$P,$B15,'Data Fertilizers'!$Q:$Q,"&lt;-360")</f>
        <v>0</v>
      </c>
      <c r="X15" s="237">
        <f>SUMIFS('Bad Debt Provision'!AB:AB,'Bad Debt Provision'!B:B,'Painel Fertilizers'!B15)</f>
        <v>0</v>
      </c>
      <c r="Y15" s="183"/>
      <c r="Z15" s="183"/>
      <c r="AA15" s="182">
        <f>_xlfn.XLOOKUP(B15,'Limite de crédito'!C:C,'Limite de crédito'!O:O,0)</f>
        <v>500000</v>
      </c>
      <c r="AB15" s="182"/>
      <c r="AC15" s="184"/>
      <c r="AD15" s="185"/>
      <c r="AE15" s="185"/>
      <c r="AF15" s="183"/>
      <c r="AG15" s="182">
        <f t="shared" si="2"/>
        <v>17011</v>
      </c>
    </row>
    <row r="16" spans="1:37" s="169" customFormat="1" ht="15.75" customHeight="1" x14ac:dyDescent="0.25">
      <c r="B16" s="168" t="s">
        <v>181</v>
      </c>
      <c r="C16" s="242" t="str">
        <f>IFERROR(_xlfn.XLOOKUP(B16,'Limite de crédito'!C:C,'Limite de crédito'!L:L),0)</f>
        <v>B</v>
      </c>
      <c r="D16" s="186"/>
      <c r="E16" s="232">
        <f>_xlfn.XLOOKUP(B16,'Limite de crédito'!C:C,'Limite de crédito'!G:G,0)</f>
        <v>1800000</v>
      </c>
      <c r="F16" s="181">
        <f t="shared" si="3"/>
        <v>599809.58000000007</v>
      </c>
      <c r="G16" s="181">
        <f t="shared" si="4"/>
        <v>1200190.42</v>
      </c>
      <c r="H16" s="182">
        <f>SUMIFS('Data Fertilizers'!$D:$D,'Data Fertilizers'!$P:$P,$B16,'Data Fertilizers'!$Q:$Q,"&gt;0",'Data Fertilizers'!$Q:$Q,"&lt;=30")</f>
        <v>0</v>
      </c>
      <c r="I16" s="182">
        <f>SUMIFS('Data Fertilizers'!$D:$D,'Data Fertilizers'!$P:$P,$B16,'Data Fertilizers'!$Q:$Q,"&gt;30",'Data Fertilizers'!$Q:$Q,"&lt;=60")</f>
        <v>0</v>
      </c>
      <c r="J16" s="182">
        <f>SUMIFS('Data Fertilizers'!$D:$D,'Data Fertilizers'!$P:$P,$B16,'Data Fertilizers'!$Q:$Q,"&gt;60",'Data Fertilizers'!$Q:$Q,"&lt;=90")</f>
        <v>0</v>
      </c>
      <c r="K16" s="182">
        <f>SUMIFS('Data Fertilizers'!$D:$D,'Data Fertilizers'!$P:$P,$B16,'Data Fertilizers'!$Q:$Q,"&gt;90",'Data Fertilizers'!$Q:$Q,"&lt;=120")</f>
        <v>0</v>
      </c>
      <c r="L16" s="182">
        <f>SUMIFS('Data Fertilizers'!$D:$D,'Data Fertilizers'!$P:$P,$B16,'Data Fertilizers'!$Q:$Q,"&gt;120",'Data Fertilizers'!$Q:$Q,"&lt;=180")</f>
        <v>0</v>
      </c>
      <c r="M16" s="182">
        <f>SUMIFS('Data Fertilizers'!$D:$D,'Data Fertilizers'!$P:$P,$B16,'Data Fertilizers'!$Q:$Q,"&gt;180",'Data Fertilizers'!$Q:$Q,"&lt;=360")</f>
        <v>0</v>
      </c>
      <c r="N16" s="187">
        <f>SUMIFS('Data Fertilizers'!$D:$D,'Data Fertilizers'!$P:$P,$B16,'Data Fertilizers'!$Q:$Q,"&gt;360")</f>
        <v>0</v>
      </c>
      <c r="O16" s="182">
        <f>SUMIFS('Data Fertilizers'!$D:$D,'Data Fertilizers'!$P:$P,$B16,'Data Fertilizers'!$Q:$Q,"&gt;0")</f>
        <v>0</v>
      </c>
      <c r="P16" s="182">
        <f t="shared" si="5"/>
        <v>1200190.42</v>
      </c>
      <c r="Q16" s="182">
        <f>SUMIFS('Data Fertilizers'!$D:$D,'Data Fertilizers'!$P:$P,$B16,'Data Fertilizers'!$Q:$Q,"&lt;=0",'Data Fertilizers'!$Q:$Q,"&gt;=-30")</f>
        <v>274733.36</v>
      </c>
      <c r="R16" s="182">
        <f>SUMIFS('Data Fertilizers'!$D:$D,'Data Fertilizers'!$P:$P,$B16,'Data Fertilizers'!$Q:$Q,"&lt;=-31",'Data Fertilizers'!$Q:$Q,"&gt;=-60")</f>
        <v>0</v>
      </c>
      <c r="S16" s="182">
        <f>SUMIFS('Data Fertilizers'!$D:$D,'Data Fertilizers'!$P:$P,$B16,'Data Fertilizers'!$Q:$Q,"&lt;=-61",'Data Fertilizers'!$Q:$Q,"&gt;=-90")</f>
        <v>0</v>
      </c>
      <c r="T16" s="182">
        <f>SUMIFS('Data Fertilizers'!$D:$D,'Data Fertilizers'!$P:$P,$B16,'Data Fertilizers'!$Q:$Q,"&lt;=-91",'Data Fertilizers'!$Q:$Q,"&gt;=-120")</f>
        <v>0</v>
      </c>
      <c r="U16" s="182">
        <f>SUMIFS('Data Fertilizers'!$D:$D,'Data Fertilizers'!$P:$P,$B16,'Data Fertilizers'!$Q:$Q,"&lt;=-121",'Data Fertilizers'!$Q:$Q,"&gt;=-180")</f>
        <v>925457.05999999994</v>
      </c>
      <c r="V16" s="182">
        <f>SUMIFS('Data Fertilizers'!$D:$D,'Data Fertilizers'!$P:$P,$B16,'Data Fertilizers'!$Q:$Q,"&lt;=-181",'Data Fertilizers'!$Q:$Q,"&gt;=-360")</f>
        <v>0</v>
      </c>
      <c r="W16" s="187">
        <f>SUMIFS('Data Fertilizers'!$D:$D,'Data Fertilizers'!$P:$P,$B16,'Data Fertilizers'!$Q:$Q,"&lt;-360")</f>
        <v>0</v>
      </c>
      <c r="X16" s="237">
        <f>SUMIFS('Bad Debt Provision'!AB:AB,'Bad Debt Provision'!B:B,'Painel Fertilizers'!B16)</f>
        <v>0</v>
      </c>
      <c r="Y16" s="183"/>
      <c r="Z16" s="183"/>
      <c r="AA16" s="182">
        <f>_xlfn.XLOOKUP(B16,'Limite de crédito'!C:C,'Limite de crédito'!O:O,0)</f>
        <v>500000</v>
      </c>
      <c r="AB16" s="182"/>
      <c r="AC16" s="184"/>
      <c r="AD16" s="185"/>
      <c r="AE16" s="185"/>
      <c r="AF16" s="183"/>
      <c r="AG16" s="182">
        <f t="shared" si="2"/>
        <v>-700190.41999999993</v>
      </c>
      <c r="AH16" s="183"/>
    </row>
    <row r="17" spans="2:37" s="169" customFormat="1" ht="15.75" customHeight="1" x14ac:dyDescent="0.25">
      <c r="B17" s="168" t="s">
        <v>212</v>
      </c>
      <c r="C17" s="242">
        <f>IFERROR(_xlfn.XLOOKUP(B17,'Limite de crédito'!C:C,'Limite de crédito'!L:L),0)</f>
        <v>0</v>
      </c>
      <c r="D17" s="186"/>
      <c r="E17" s="232">
        <f>_xlfn.XLOOKUP(B17,'Limite de crédito'!C:C,'Limite de crédito'!G:G,0)</f>
        <v>0</v>
      </c>
      <c r="F17" s="181">
        <f t="shared" si="3"/>
        <v>0</v>
      </c>
      <c r="G17" s="181">
        <f t="shared" si="4"/>
        <v>0</v>
      </c>
      <c r="H17" s="182">
        <f>SUMIFS('Data Fertilizers'!$D:$D,'Data Fertilizers'!$P:$P,$B17,'Data Fertilizers'!$Q:$Q,"&gt;0",'Data Fertilizers'!$Q:$Q,"&lt;=30")</f>
        <v>0</v>
      </c>
      <c r="I17" s="182">
        <f>SUMIFS('Data Fertilizers'!$D:$D,'Data Fertilizers'!$P:$P,$B17,'Data Fertilizers'!$Q:$Q,"&gt;30",'Data Fertilizers'!$Q:$Q,"&lt;=60")</f>
        <v>0</v>
      </c>
      <c r="J17" s="182">
        <f>SUMIFS('Data Fertilizers'!$D:$D,'Data Fertilizers'!$P:$P,$B17,'Data Fertilizers'!$Q:$Q,"&gt;60",'Data Fertilizers'!$Q:$Q,"&lt;=90")</f>
        <v>0</v>
      </c>
      <c r="K17" s="182">
        <f>SUMIFS('Data Fertilizers'!$D:$D,'Data Fertilizers'!$P:$P,$B17,'Data Fertilizers'!$Q:$Q,"&gt;90",'Data Fertilizers'!$Q:$Q,"&lt;=120")</f>
        <v>0</v>
      </c>
      <c r="L17" s="182">
        <f>SUMIFS('Data Fertilizers'!$D:$D,'Data Fertilizers'!$P:$P,$B17,'Data Fertilizers'!$Q:$Q,"&gt;120",'Data Fertilizers'!$Q:$Q,"&lt;=180")</f>
        <v>0</v>
      </c>
      <c r="M17" s="182">
        <f>SUMIFS('Data Fertilizers'!$D:$D,'Data Fertilizers'!$P:$P,$B17,'Data Fertilizers'!$Q:$Q,"&gt;180",'Data Fertilizers'!$Q:$Q,"&lt;=360")</f>
        <v>0</v>
      </c>
      <c r="N17" s="187">
        <f>SUMIFS('Data Fertilizers'!$D:$D,'Data Fertilizers'!$P:$P,$B17,'Data Fertilizers'!$Q:$Q,"&gt;360")</f>
        <v>0</v>
      </c>
      <c r="O17" s="182">
        <f>SUMIFS('Data Fertilizers'!$D:$D,'Data Fertilizers'!$P:$P,$B17,'Data Fertilizers'!$Q:$Q,"&gt;0")</f>
        <v>0</v>
      </c>
      <c r="P17" s="182">
        <f t="shared" si="5"/>
        <v>0</v>
      </c>
      <c r="Q17" s="182">
        <f>SUMIFS('Data Fertilizers'!$D:$D,'Data Fertilizers'!$P:$P,$B17,'Data Fertilizers'!$Q:$Q,"&lt;=0",'Data Fertilizers'!$Q:$Q,"&gt;=-30")</f>
        <v>0</v>
      </c>
      <c r="R17" s="182">
        <f>SUMIFS('Data Fertilizers'!$D:$D,'Data Fertilizers'!$P:$P,$B17,'Data Fertilizers'!$Q:$Q,"&lt;=-31",'Data Fertilizers'!$Q:$Q,"&gt;=-60")</f>
        <v>0</v>
      </c>
      <c r="S17" s="182">
        <f>SUMIFS('Data Fertilizers'!$D:$D,'Data Fertilizers'!$P:$P,$B17,'Data Fertilizers'!$Q:$Q,"&lt;=-61",'Data Fertilizers'!$Q:$Q,"&gt;=-90")</f>
        <v>0</v>
      </c>
      <c r="T17" s="182">
        <f>SUMIFS('Data Fertilizers'!$D:$D,'Data Fertilizers'!$P:$P,$B17,'Data Fertilizers'!$Q:$Q,"&lt;=-91",'Data Fertilizers'!$Q:$Q,"&gt;=-120")</f>
        <v>0</v>
      </c>
      <c r="U17" s="182">
        <f>SUMIFS('Data Fertilizers'!$D:$D,'Data Fertilizers'!$P:$P,$B17,'Data Fertilizers'!$Q:$Q,"&lt;=-121",'Data Fertilizers'!$Q:$Q,"&gt;=-180")</f>
        <v>0</v>
      </c>
      <c r="V17" s="182">
        <f>SUMIFS('Data Fertilizers'!$D:$D,'Data Fertilizers'!$P:$P,$B17,'Data Fertilizers'!$Q:$Q,"&lt;=-181",'Data Fertilizers'!$Q:$Q,"&gt;=-360")</f>
        <v>0</v>
      </c>
      <c r="W17" s="187">
        <f>SUMIFS('Data Fertilizers'!$D:$D,'Data Fertilizers'!$P:$P,$B17,'Data Fertilizers'!$Q:$Q,"&lt;-360")</f>
        <v>0</v>
      </c>
      <c r="X17" s="237">
        <f>SUMIFS('Bad Debt Provision'!AB:AB,'Bad Debt Provision'!B:B,'Painel Fertilizers'!B17)</f>
        <v>0</v>
      </c>
      <c r="Y17" s="183"/>
      <c r="Z17" s="183"/>
      <c r="AA17" s="182">
        <f>_xlfn.XLOOKUP(B17,'Limite de crédito'!C:C,'Limite de crédito'!O:O,0)</f>
        <v>0</v>
      </c>
      <c r="AB17" s="182"/>
      <c r="AC17" s="184"/>
      <c r="AD17" s="185"/>
      <c r="AE17" s="185"/>
      <c r="AF17" s="183"/>
      <c r="AG17" s="182">
        <f t="shared" si="2"/>
        <v>0</v>
      </c>
      <c r="AH17" s="183"/>
    </row>
    <row r="18" spans="2:37" s="234" customFormat="1" ht="15.75" customHeight="1" x14ac:dyDescent="0.25">
      <c r="B18" s="235" t="s">
        <v>423</v>
      </c>
      <c r="C18" s="244">
        <f>IFERROR(_xlfn.XLOOKUP(B18,'Limite de crédito'!C:C,'Limite de crédito'!L:L),0)</f>
        <v>0</v>
      </c>
      <c r="D18" s="245">
        <v>360</v>
      </c>
      <c r="E18" s="246">
        <f>_xlfn.XLOOKUP(B18,'Limite de crédito'!C:C,'Limite de crédito'!G:G,0)</f>
        <v>0</v>
      </c>
      <c r="F18" s="236">
        <f t="shared" si="3"/>
        <v>0</v>
      </c>
      <c r="G18" s="236">
        <f t="shared" si="4"/>
        <v>0</v>
      </c>
      <c r="H18" s="237">
        <f>SUMIFS('Data Fertilizers'!$D:$D,'Data Fertilizers'!$P:$P,$B18,'Data Fertilizers'!$Q:$Q,"&gt;0",'Data Fertilizers'!$Q:$Q,"&lt;=30")</f>
        <v>0</v>
      </c>
      <c r="I18" s="237">
        <f>SUMIFS('Data Fertilizers'!$D:$D,'Data Fertilizers'!$P:$P,$B18,'Data Fertilizers'!$Q:$Q,"&gt;30",'Data Fertilizers'!$Q:$Q,"&lt;=60")</f>
        <v>0</v>
      </c>
      <c r="J18" s="237">
        <f>SUMIFS('Data Fertilizers'!$D:$D,'Data Fertilizers'!$P:$P,$B18,'Data Fertilizers'!$Q:$Q,"&gt;60",'Data Fertilizers'!$Q:$Q,"&lt;=90")</f>
        <v>0</v>
      </c>
      <c r="K18" s="237">
        <f>SUMIFS('Data Fertilizers'!$D:$D,'Data Fertilizers'!$P:$P,$B18,'Data Fertilizers'!$Q:$Q,"&gt;90",'Data Fertilizers'!$Q:$Q,"&lt;=120")</f>
        <v>0</v>
      </c>
      <c r="L18" s="237">
        <f>SUMIFS('Data Fertilizers'!$D:$D,'Data Fertilizers'!$P:$P,$B18,'Data Fertilizers'!$Q:$Q,"&gt;120",'Data Fertilizers'!$Q:$Q,"&lt;=180")</f>
        <v>0</v>
      </c>
      <c r="M18" s="237">
        <f>SUMIFS('Data Fertilizers'!$D:$D,'Data Fertilizers'!$P:$P,$B18,'Data Fertilizers'!$Q:$Q,"&gt;180",'Data Fertilizers'!$Q:$Q,"&lt;=360")</f>
        <v>0</v>
      </c>
      <c r="N18" s="241">
        <f>SUMIFS('Data Fertilizers'!$D:$D,'Data Fertilizers'!$P:$P,$B18,'Data Fertilizers'!$Q:$Q,"&gt;360")</f>
        <v>0</v>
      </c>
      <c r="O18" s="237">
        <f>SUMIFS('Data Fertilizers'!$D:$D,'Data Fertilizers'!$P:$P,$B18,'Data Fertilizers'!$Q:$Q,"&gt;0")</f>
        <v>0</v>
      </c>
      <c r="P18" s="237">
        <f t="shared" si="5"/>
        <v>0</v>
      </c>
      <c r="Q18" s="237">
        <f>SUMIFS('Data Fertilizers'!$D:$D,'Data Fertilizers'!$P:$P,$B18,'Data Fertilizers'!$Q:$Q,"&lt;=0",'Data Fertilizers'!$Q:$Q,"&gt;=-30")</f>
        <v>0</v>
      </c>
      <c r="R18" s="237">
        <f>SUMIFS('Data Fertilizers'!$D:$D,'Data Fertilizers'!$P:$P,$B18,'Data Fertilizers'!$Q:$Q,"&lt;=-31",'Data Fertilizers'!$Q:$Q,"&gt;=-60")</f>
        <v>0</v>
      </c>
      <c r="S18" s="237">
        <f>SUMIFS('Data Fertilizers'!$D:$D,'Data Fertilizers'!$P:$P,$B18,'Data Fertilizers'!$Q:$Q,"&lt;=-61",'Data Fertilizers'!$Q:$Q,"&gt;=-90")</f>
        <v>0</v>
      </c>
      <c r="T18" s="237">
        <f>SUMIFS('Data Fertilizers'!$D:$D,'Data Fertilizers'!$P:$P,$B18,'Data Fertilizers'!$Q:$Q,"&lt;=-91",'Data Fertilizers'!$Q:$Q,"&gt;=-120")</f>
        <v>0</v>
      </c>
      <c r="U18" s="237">
        <f>SUMIFS('Data Fertilizers'!$D:$D,'Data Fertilizers'!$P:$P,$B18,'Data Fertilizers'!$Q:$Q,"&lt;=-121",'Data Fertilizers'!$Q:$Q,"&gt;=-180")</f>
        <v>0</v>
      </c>
      <c r="V18" s="237">
        <f>SUMIFS('Data Fertilizers'!$D:$D,'Data Fertilizers'!$P:$P,$B18,'Data Fertilizers'!$Q:$Q,"&lt;=-181",'Data Fertilizers'!$Q:$Q,"&gt;=-360")</f>
        <v>0</v>
      </c>
      <c r="W18" s="241">
        <f>SUMIFS('Data Fertilizers'!$D:$D,'Data Fertilizers'!$P:$P,$B18,'Data Fertilizers'!$Q:$Q,"&lt;-360")</f>
        <v>0</v>
      </c>
      <c r="X18" s="237">
        <f>SUMIFS('Bad Debt Provision'!AB:AB,'Bad Debt Provision'!B:B,'Painel Fertilizers'!B18)</f>
        <v>0</v>
      </c>
      <c r="Z18" s="238"/>
      <c r="AA18" s="182">
        <f>_xlfn.XLOOKUP(B18,'Limite de crédito'!C:C,'Limite de crédito'!O:O,0)</f>
        <v>0</v>
      </c>
      <c r="AB18" s="237"/>
      <c r="AC18" s="239"/>
      <c r="AD18" s="240"/>
      <c r="AE18" s="240"/>
      <c r="AF18" s="238"/>
      <c r="AG18" s="237">
        <f t="shared" si="2"/>
        <v>0</v>
      </c>
    </row>
    <row r="19" spans="2:37" s="169" customFormat="1" ht="15.75" customHeight="1" x14ac:dyDescent="0.25">
      <c r="B19" s="168" t="s">
        <v>456</v>
      </c>
      <c r="C19" s="242" t="str">
        <f>IFERROR(_xlfn.XLOOKUP(B19,'Limite de crédito'!C:C,'Limite de crédito'!L:L),0)</f>
        <v>B</v>
      </c>
      <c r="D19" s="186"/>
      <c r="E19" s="232">
        <f>_xlfn.XLOOKUP(B19,'Limite de crédito'!C:C,'Limite de crédito'!G:G,0)</f>
        <v>1300000</v>
      </c>
      <c r="F19" s="181">
        <f t="shared" si="3"/>
        <v>1300000</v>
      </c>
      <c r="G19" s="181">
        <f t="shared" si="4"/>
        <v>0</v>
      </c>
      <c r="H19" s="182">
        <f>SUMIFS('Data Fertilizers'!$D:$D,'Data Fertilizers'!$P:$P,$B19,'Data Fertilizers'!$Q:$Q,"&gt;0",'Data Fertilizers'!$Q:$Q,"&lt;=30")</f>
        <v>0</v>
      </c>
      <c r="I19" s="182">
        <f>SUMIFS('Data Fertilizers'!$D:$D,'Data Fertilizers'!$P:$P,$B19,'Data Fertilizers'!$Q:$Q,"&gt;30",'Data Fertilizers'!$Q:$Q,"&lt;=60")</f>
        <v>0</v>
      </c>
      <c r="J19" s="182">
        <f>SUMIFS('Data Fertilizers'!$D:$D,'Data Fertilizers'!$P:$P,$B19,'Data Fertilizers'!$Q:$Q,"&gt;60",'Data Fertilizers'!$Q:$Q,"&lt;=90")</f>
        <v>0</v>
      </c>
      <c r="K19" s="182">
        <f>SUMIFS('Data Fertilizers'!$D:$D,'Data Fertilizers'!$P:$P,$B19,'Data Fertilizers'!$Q:$Q,"&gt;90",'Data Fertilizers'!$Q:$Q,"&lt;=120")</f>
        <v>0</v>
      </c>
      <c r="L19" s="182">
        <f>SUMIFS('Data Fertilizers'!$D:$D,'Data Fertilizers'!$P:$P,$B19,'Data Fertilizers'!$Q:$Q,"&gt;120",'Data Fertilizers'!$Q:$Q,"&lt;=180")</f>
        <v>0</v>
      </c>
      <c r="M19" s="182">
        <f>SUMIFS('Data Fertilizers'!$D:$D,'Data Fertilizers'!$P:$P,$B19,'Data Fertilizers'!$Q:$Q,"&gt;180",'Data Fertilizers'!$Q:$Q,"&lt;=360")</f>
        <v>0</v>
      </c>
      <c r="N19" s="187">
        <f>SUMIFS('Data Fertilizers'!$D:$D,'Data Fertilizers'!$P:$P,$B19,'Data Fertilizers'!$Q:$Q,"&gt;360")</f>
        <v>0</v>
      </c>
      <c r="O19" s="182">
        <f>SUMIFS('Data Fertilizers'!$D:$D,'Data Fertilizers'!$P:$P,$B19,'Data Fertilizers'!$Q:$Q,"&gt;0")</f>
        <v>0</v>
      </c>
      <c r="P19" s="182">
        <f t="shared" si="5"/>
        <v>0</v>
      </c>
      <c r="Q19" s="182">
        <f>SUMIFS('Data Fertilizers'!$D:$D,'Data Fertilizers'!$P:$P,$B19,'Data Fertilizers'!$Q:$Q,"&lt;=0",'Data Fertilizers'!$Q:$Q,"&gt;=-30")</f>
        <v>0</v>
      </c>
      <c r="R19" s="182">
        <f>SUMIFS('Data Fertilizers'!$D:$D,'Data Fertilizers'!$P:$P,$B19,'Data Fertilizers'!$Q:$Q,"&lt;=-31",'Data Fertilizers'!$Q:$Q,"&gt;=-60")</f>
        <v>0</v>
      </c>
      <c r="S19" s="182">
        <f>SUMIFS('Data Fertilizers'!$D:$D,'Data Fertilizers'!$P:$P,$B19,'Data Fertilizers'!$Q:$Q,"&lt;=-61",'Data Fertilizers'!$Q:$Q,"&gt;=-90")</f>
        <v>0</v>
      </c>
      <c r="T19" s="182">
        <f>SUMIFS('Data Fertilizers'!$D:$D,'Data Fertilizers'!$P:$P,$B19,'Data Fertilizers'!$Q:$Q,"&lt;=-91",'Data Fertilizers'!$Q:$Q,"&gt;=-120")</f>
        <v>0</v>
      </c>
      <c r="U19" s="182">
        <f>SUMIFS('Data Fertilizers'!$D:$D,'Data Fertilizers'!$P:$P,$B19,'Data Fertilizers'!$Q:$Q,"&lt;=-121",'Data Fertilizers'!$Q:$Q,"&gt;=-180")</f>
        <v>0</v>
      </c>
      <c r="V19" s="182">
        <f>SUMIFS('Data Fertilizers'!$D:$D,'Data Fertilizers'!$P:$P,$B19,'Data Fertilizers'!$Q:$Q,"&lt;=-181",'Data Fertilizers'!$Q:$Q,"&gt;=-360")</f>
        <v>0</v>
      </c>
      <c r="W19" s="187">
        <f>SUMIFS('Data Fertilizers'!$D:$D,'Data Fertilizers'!$P:$P,$B19,'Data Fertilizers'!$Q:$Q,"&lt;-360")</f>
        <v>0</v>
      </c>
      <c r="X19" s="237">
        <f>SUMIFS('Bad Debt Provision'!AB:AB,'Bad Debt Provision'!B:B,'Painel Fertilizers'!B19)</f>
        <v>0</v>
      </c>
      <c r="Z19" s="183"/>
      <c r="AA19" s="182">
        <f>_xlfn.XLOOKUP(B19,'Limite de crédito'!C:C,'Limite de crédito'!O:O,0)</f>
        <v>1400000</v>
      </c>
      <c r="AB19" s="182"/>
      <c r="AC19" s="184"/>
      <c r="AD19" s="185"/>
      <c r="AE19" s="185"/>
      <c r="AF19" s="183"/>
      <c r="AG19" s="182">
        <f t="shared" si="2"/>
        <v>1400000</v>
      </c>
    </row>
    <row r="20" spans="2:37" s="169" customFormat="1" ht="13.95" customHeight="1" x14ac:dyDescent="0.25">
      <c r="B20" s="168" t="s">
        <v>432</v>
      </c>
      <c r="C20" s="242">
        <f>IFERROR(_xlfn.XLOOKUP(B20,'Limite de crédito'!C:C,'Limite de crédito'!L:L),0)</f>
        <v>0</v>
      </c>
      <c r="E20" s="232">
        <f>_xlfn.XLOOKUP(B20,'Limite de crédito'!C:C,'Limite de crédito'!G:G,0)</f>
        <v>1000000</v>
      </c>
      <c r="F20" s="181">
        <f t="shared" si="3"/>
        <v>866282</v>
      </c>
      <c r="G20" s="181">
        <f t="shared" si="4"/>
        <v>133718</v>
      </c>
      <c r="H20" s="182">
        <f>SUMIFS('Data Fertilizers'!$D:$D,'Data Fertilizers'!$P:$P,$B20,'Data Fertilizers'!$Q:$Q,"&gt;0",'Data Fertilizers'!$Q:$Q,"&lt;=30")</f>
        <v>0</v>
      </c>
      <c r="I20" s="182">
        <f>SUMIFS('Data Fertilizers'!$D:$D,'Data Fertilizers'!$P:$P,$B20,'Data Fertilizers'!$Q:$Q,"&gt;30",'Data Fertilizers'!$Q:$Q,"&lt;=60")</f>
        <v>0</v>
      </c>
      <c r="J20" s="182">
        <f>SUMIFS('Data Fertilizers'!$D:$D,'Data Fertilizers'!$P:$P,$B20,'Data Fertilizers'!$Q:$Q,"&gt;60",'Data Fertilizers'!$Q:$Q,"&lt;=90")</f>
        <v>0</v>
      </c>
      <c r="K20" s="182">
        <f>SUMIFS('Data Fertilizers'!$D:$D,'Data Fertilizers'!$P:$P,$B20,'Data Fertilizers'!$Q:$Q,"&gt;90",'Data Fertilizers'!$Q:$Q,"&lt;=120")</f>
        <v>0</v>
      </c>
      <c r="L20" s="182">
        <f>SUMIFS('Data Fertilizers'!$D:$D,'Data Fertilizers'!$P:$P,$B20,'Data Fertilizers'!$Q:$Q,"&gt;120",'Data Fertilizers'!$Q:$Q,"&lt;=180")</f>
        <v>0</v>
      </c>
      <c r="M20" s="182">
        <f>SUMIFS('Data Fertilizers'!$D:$D,'Data Fertilizers'!$P:$P,$B20,'Data Fertilizers'!$Q:$Q,"&gt;180",'Data Fertilizers'!$Q:$Q,"&lt;=360")</f>
        <v>0</v>
      </c>
      <c r="N20" s="187">
        <f>SUMIFS('Data Fertilizers'!$D:$D,'Data Fertilizers'!$P:$P,$B20,'Data Fertilizers'!$Q:$Q,"&gt;360")</f>
        <v>0</v>
      </c>
      <c r="O20" s="182">
        <f>SUMIFS('Data Fertilizers'!$D:$D,'Data Fertilizers'!$P:$P,$B20,'Data Fertilizers'!$Q:$Q,"&gt;0")</f>
        <v>0</v>
      </c>
      <c r="P20" s="182">
        <f t="shared" si="5"/>
        <v>133718</v>
      </c>
      <c r="Q20" s="182">
        <f>SUMIFS('Data Fertilizers'!$D:$D,'Data Fertilizers'!$P:$P,$B20,'Data Fertilizers'!$Q:$Q,"&lt;=0",'Data Fertilizers'!$Q:$Q,"&gt;=-30")</f>
        <v>133718</v>
      </c>
      <c r="R20" s="182">
        <f>SUMIFS('Data Fertilizers'!$D:$D,'Data Fertilizers'!$P:$P,$B20,'Data Fertilizers'!$Q:$Q,"&lt;=-31",'Data Fertilizers'!$Q:$Q,"&gt;=-60")</f>
        <v>0</v>
      </c>
      <c r="S20" s="182">
        <f>SUMIFS('Data Fertilizers'!$D:$D,'Data Fertilizers'!$P:$P,$B20,'Data Fertilizers'!$Q:$Q,"&lt;=-61",'Data Fertilizers'!$Q:$Q,"&gt;=-90")</f>
        <v>0</v>
      </c>
      <c r="T20" s="182">
        <f>SUMIFS('Data Fertilizers'!$D:$D,'Data Fertilizers'!$P:$P,$B20,'Data Fertilizers'!$Q:$Q,"&lt;=-91",'Data Fertilizers'!$Q:$Q,"&gt;=-120")</f>
        <v>0</v>
      </c>
      <c r="U20" s="182">
        <f>SUMIFS('Data Fertilizers'!$D:$D,'Data Fertilizers'!$P:$P,$B20,'Data Fertilizers'!$Q:$Q,"&lt;=-121",'Data Fertilizers'!$Q:$Q,"&gt;=-180")</f>
        <v>0</v>
      </c>
      <c r="V20" s="182">
        <f>SUMIFS('Data Fertilizers'!$D:$D,'Data Fertilizers'!$P:$P,$B20,'Data Fertilizers'!$Q:$Q,"&lt;=-181",'Data Fertilizers'!$Q:$Q,"&gt;=-360")</f>
        <v>0</v>
      </c>
      <c r="W20" s="187">
        <f>SUMIFS('Data Fertilizers'!$D:$D,'Data Fertilizers'!$P:$P,$B20,'Data Fertilizers'!$Q:$Q,"&lt;-360")</f>
        <v>0</v>
      </c>
      <c r="X20" s="237">
        <f>SUMIFS('Bad Debt Provision'!AB:AB,'Bad Debt Provision'!B:B,'Painel Fertilizers'!B20)</f>
        <v>0</v>
      </c>
      <c r="Z20" s="183"/>
      <c r="AA20" s="182">
        <f>_xlfn.XLOOKUP(B20,'Limite de crédito'!C:C,'Limite de crédito'!O:O,0)</f>
        <v>1000000</v>
      </c>
      <c r="AB20" s="182"/>
      <c r="AC20" s="184"/>
      <c r="AD20" s="185"/>
      <c r="AE20" s="185"/>
      <c r="AF20" s="183"/>
      <c r="AG20" s="182">
        <f t="shared" si="2"/>
        <v>866282</v>
      </c>
    </row>
    <row r="21" spans="2:37" s="234" customFormat="1" ht="15.75" customHeight="1" x14ac:dyDescent="0.25">
      <c r="B21" s="235" t="s">
        <v>269</v>
      </c>
      <c r="C21" s="244">
        <f>IFERROR(_xlfn.XLOOKUP(B21,'Limite de crédito'!C:C,'Limite de crédito'!L:L),0)</f>
        <v>0</v>
      </c>
      <c r="D21" s="245"/>
      <c r="E21" s="246">
        <f>_xlfn.XLOOKUP(B21,'Limite de crédito'!C:C,'Limite de crédito'!G:G,0)</f>
        <v>0</v>
      </c>
      <c r="F21" s="236">
        <f t="shared" si="3"/>
        <v>-988506.24</v>
      </c>
      <c r="G21" s="236">
        <f t="shared" si="4"/>
        <v>988506.24</v>
      </c>
      <c r="H21" s="237">
        <f>SUMIFS('Data Fertilizers'!$D:$D,'Data Fertilizers'!$P:$P,$B21,'Data Fertilizers'!$Q:$Q,"&gt;0",'Data Fertilizers'!$Q:$Q,"&lt;=30")</f>
        <v>0</v>
      </c>
      <c r="I21" s="237">
        <f>SUMIFS('Data Fertilizers'!$D:$D,'Data Fertilizers'!$P:$P,$B21,'Data Fertilizers'!$Q:$Q,"&gt;30",'Data Fertilizers'!$Q:$Q,"&lt;=60")</f>
        <v>0</v>
      </c>
      <c r="J21" s="237">
        <f>SUMIFS('Data Fertilizers'!$D:$D,'Data Fertilizers'!$P:$P,$B21,'Data Fertilizers'!$Q:$Q,"&gt;60",'Data Fertilizers'!$Q:$Q,"&lt;=90")</f>
        <v>0</v>
      </c>
      <c r="K21" s="237">
        <f>SUMIFS('Data Fertilizers'!$D:$D,'Data Fertilizers'!$P:$P,$B21,'Data Fertilizers'!$Q:$Q,"&gt;90",'Data Fertilizers'!$Q:$Q,"&lt;=120")</f>
        <v>0</v>
      </c>
      <c r="L21" s="237">
        <f>SUMIFS('Data Fertilizers'!$D:$D,'Data Fertilizers'!$P:$P,$B21,'Data Fertilizers'!$Q:$Q,"&gt;120",'Data Fertilizers'!$Q:$Q,"&lt;=180")</f>
        <v>0</v>
      </c>
      <c r="M21" s="237">
        <f>SUMIFS('Data Fertilizers'!$D:$D,'Data Fertilizers'!$P:$P,$B21,'Data Fertilizers'!$Q:$Q,"&gt;180",'Data Fertilizers'!$Q:$Q,"&lt;=360")</f>
        <v>462720</v>
      </c>
      <c r="N21" s="241">
        <f>SUMIFS('Data Fertilizers'!$D:$D,'Data Fertilizers'!$P:$P,$B21,'Data Fertilizers'!$Q:$Q,"&gt;360")</f>
        <v>525786.24</v>
      </c>
      <c r="O21" s="237">
        <f>SUMIFS('Data Fertilizers'!$D:$D,'Data Fertilizers'!$P:$P,$B21,'Data Fertilizers'!$Q:$Q,"&gt;0")</f>
        <v>988506.24</v>
      </c>
      <c r="P21" s="237">
        <f t="shared" si="5"/>
        <v>0</v>
      </c>
      <c r="Q21" s="237">
        <f>SUMIFS('Data Fertilizers'!$D:$D,'Data Fertilizers'!$P:$P,$B21,'Data Fertilizers'!$Q:$Q,"&lt;=0",'Data Fertilizers'!$Q:$Q,"&gt;=-30")</f>
        <v>0</v>
      </c>
      <c r="R21" s="237">
        <f>SUMIFS('Data Fertilizers'!$D:$D,'Data Fertilizers'!$P:$P,$B21,'Data Fertilizers'!$Q:$Q,"&lt;=-31",'Data Fertilizers'!$Q:$Q,"&gt;=-60")</f>
        <v>0</v>
      </c>
      <c r="S21" s="237">
        <f>SUMIFS('Data Fertilizers'!$D:$D,'Data Fertilizers'!$P:$P,$B21,'Data Fertilizers'!$Q:$Q,"&lt;=-61",'Data Fertilizers'!$Q:$Q,"&gt;=-90")</f>
        <v>0</v>
      </c>
      <c r="T21" s="237">
        <f>SUMIFS('Data Fertilizers'!$D:$D,'Data Fertilizers'!$P:$P,$B21,'Data Fertilizers'!$Q:$Q,"&lt;=-91",'Data Fertilizers'!$Q:$Q,"&gt;=-120")</f>
        <v>0</v>
      </c>
      <c r="U21" s="237">
        <f>SUMIFS('Data Fertilizers'!$D:$D,'Data Fertilizers'!$P:$P,$B21,'Data Fertilizers'!$Q:$Q,"&lt;=-121",'Data Fertilizers'!$Q:$Q,"&gt;=-180")</f>
        <v>0</v>
      </c>
      <c r="V21" s="237">
        <f>SUMIFS('Data Fertilizers'!$D:$D,'Data Fertilizers'!$P:$P,$B21,'Data Fertilizers'!$Q:$Q,"&lt;=-181",'Data Fertilizers'!$Q:$Q,"&gt;=-360")</f>
        <v>0</v>
      </c>
      <c r="W21" s="241">
        <f>SUMIFS('Data Fertilizers'!$D:$D,'Data Fertilizers'!$P:$P,$B21,'Data Fertilizers'!$Q:$Q,"&lt;-360")</f>
        <v>0</v>
      </c>
      <c r="X21" s="237">
        <f>SUMIFS('Bad Debt Provision'!AB:AB,'Bad Debt Provision'!B:B,'Painel Fertilizers'!B21)</f>
        <v>539667.84000000008</v>
      </c>
      <c r="Y21" s="238"/>
      <c r="Z21" s="238"/>
      <c r="AA21" s="182">
        <f>_xlfn.XLOOKUP(B21,'Limite de crédito'!C:C,'Limite de crédito'!O:O,0)</f>
        <v>0</v>
      </c>
      <c r="AB21" s="237"/>
      <c r="AC21" s="239"/>
      <c r="AD21" s="240"/>
      <c r="AE21" s="240"/>
      <c r="AF21" s="238"/>
      <c r="AG21" s="237">
        <f t="shared" si="2"/>
        <v>-988506.24</v>
      </c>
    </row>
    <row r="22" spans="2:37" s="169" customFormat="1" x14ac:dyDescent="0.25">
      <c r="B22" s="168" t="s">
        <v>211</v>
      </c>
      <c r="C22" s="242">
        <f>IFERROR(_xlfn.XLOOKUP(B22,'Limite de crédito'!C:C,'Limite de crédito'!L:L),0)</f>
        <v>0</v>
      </c>
      <c r="D22" s="186"/>
      <c r="E22" s="232">
        <f>_xlfn.XLOOKUP(B22,'Limite de crédito'!C:C,'Limite de crédito'!G:G,0)</f>
        <v>0</v>
      </c>
      <c r="F22" s="181">
        <f t="shared" si="3"/>
        <v>0</v>
      </c>
      <c r="G22" s="181">
        <f t="shared" si="4"/>
        <v>0</v>
      </c>
      <c r="H22" s="182">
        <f>SUMIFS('Data Fertilizers'!$D:$D,'Data Fertilizers'!$P:$P,$B22,'Data Fertilizers'!$Q:$Q,"&gt;0",'Data Fertilizers'!$Q:$Q,"&lt;=30")</f>
        <v>0</v>
      </c>
      <c r="I22" s="182">
        <f>SUMIFS('Data Fertilizers'!$D:$D,'Data Fertilizers'!$P:$P,$B22,'Data Fertilizers'!$Q:$Q,"&gt;30",'Data Fertilizers'!$Q:$Q,"&lt;=60")</f>
        <v>0</v>
      </c>
      <c r="J22" s="182">
        <f>SUMIFS('Data Fertilizers'!$D:$D,'Data Fertilizers'!$P:$P,$B22,'Data Fertilizers'!$Q:$Q,"&gt;60",'Data Fertilizers'!$Q:$Q,"&lt;=90")</f>
        <v>0</v>
      </c>
      <c r="K22" s="182">
        <f>SUMIFS('Data Fertilizers'!$D:$D,'Data Fertilizers'!$P:$P,$B22,'Data Fertilizers'!$Q:$Q,"&gt;90",'Data Fertilizers'!$Q:$Q,"&lt;=120")</f>
        <v>0</v>
      </c>
      <c r="L22" s="182">
        <f>SUMIFS('Data Fertilizers'!$D:$D,'Data Fertilizers'!$P:$P,$B22,'Data Fertilizers'!$Q:$Q,"&gt;120",'Data Fertilizers'!$Q:$Q,"&lt;=180")</f>
        <v>0</v>
      </c>
      <c r="M22" s="182">
        <f>SUMIFS('Data Fertilizers'!$D:$D,'Data Fertilizers'!$P:$P,$B22,'Data Fertilizers'!$Q:$Q,"&gt;180",'Data Fertilizers'!$Q:$Q,"&lt;=360")</f>
        <v>0</v>
      </c>
      <c r="N22" s="187">
        <f>SUMIFS('Data Fertilizers'!$D:$D,'Data Fertilizers'!$P:$P,$B22,'Data Fertilizers'!$Q:$Q,"&gt;360")</f>
        <v>0</v>
      </c>
      <c r="O22" s="182">
        <f>SUMIFS('Data Fertilizers'!$D:$D,'Data Fertilizers'!$P:$P,$B22,'Data Fertilizers'!$Q:$Q,"&gt;0")</f>
        <v>0</v>
      </c>
      <c r="P22" s="182">
        <f t="shared" si="5"/>
        <v>0</v>
      </c>
      <c r="Q22" s="182">
        <f>SUMIFS('Data Fertilizers'!$D:$D,'Data Fertilizers'!$P:$P,$B22,'Data Fertilizers'!$Q:$Q,"&lt;=0",'Data Fertilizers'!$Q:$Q,"&gt;=-30")</f>
        <v>0</v>
      </c>
      <c r="R22" s="182">
        <f>SUMIFS('Data Fertilizers'!$D:$D,'Data Fertilizers'!$P:$P,$B22,'Data Fertilizers'!$Q:$Q,"&lt;=-31",'Data Fertilizers'!$Q:$Q,"&gt;=-60")</f>
        <v>0</v>
      </c>
      <c r="S22" s="182">
        <f>SUMIFS('Data Fertilizers'!$D:$D,'Data Fertilizers'!$P:$P,$B22,'Data Fertilizers'!$Q:$Q,"&lt;=-61",'Data Fertilizers'!$Q:$Q,"&gt;=-90")</f>
        <v>0</v>
      </c>
      <c r="T22" s="182">
        <f>SUMIFS('Data Fertilizers'!$D:$D,'Data Fertilizers'!$P:$P,$B22,'Data Fertilizers'!$Q:$Q,"&lt;=-91",'Data Fertilizers'!$Q:$Q,"&gt;=-120")</f>
        <v>0</v>
      </c>
      <c r="U22" s="182">
        <f>SUMIFS('Data Fertilizers'!$D:$D,'Data Fertilizers'!$P:$P,$B22,'Data Fertilizers'!$Q:$Q,"&lt;=-121",'Data Fertilizers'!$Q:$Q,"&gt;=-180")</f>
        <v>0</v>
      </c>
      <c r="V22" s="182">
        <f>SUMIFS('Data Fertilizers'!$D:$D,'Data Fertilizers'!$P:$P,$B22,'Data Fertilizers'!$Q:$Q,"&lt;=-181",'Data Fertilizers'!$Q:$Q,"&gt;=-360")</f>
        <v>0</v>
      </c>
      <c r="W22" s="187">
        <f>SUMIFS('Data Fertilizers'!$D:$D,'Data Fertilizers'!$P:$P,$B22,'Data Fertilizers'!$Q:$Q,"&lt;-360")</f>
        <v>0</v>
      </c>
      <c r="X22" s="237">
        <f>SUMIFS('Bad Debt Provision'!AB:AB,'Bad Debt Provision'!B:B,'Painel Fertilizers'!B22)</f>
        <v>0</v>
      </c>
      <c r="Y22" s="183"/>
      <c r="Z22" s="183"/>
      <c r="AA22" s="182">
        <f>_xlfn.XLOOKUP(B22,'Limite de crédito'!C:C,'Limite de crédito'!O:O,0)</f>
        <v>0</v>
      </c>
      <c r="AB22" s="182"/>
      <c r="AC22" s="184"/>
      <c r="AD22" s="185"/>
      <c r="AE22" s="185"/>
      <c r="AF22" s="183"/>
      <c r="AG22" s="182">
        <f t="shared" si="2"/>
        <v>0</v>
      </c>
      <c r="AH22" s="183"/>
    </row>
    <row r="23" spans="2:37" s="169" customFormat="1" x14ac:dyDescent="0.25">
      <c r="B23" s="168" t="s">
        <v>313</v>
      </c>
      <c r="C23" s="242">
        <f>IFERROR(_xlfn.XLOOKUP(B23,'Limite de crédito'!C:C,'Limite de crédito'!L:L),0)</f>
        <v>0</v>
      </c>
      <c r="D23" s="186">
        <v>230</v>
      </c>
      <c r="E23" s="232">
        <f>_xlfn.XLOOKUP(B23,'Limite de crédito'!C:C,'Limite de crédito'!G:G,0)</f>
        <v>0</v>
      </c>
      <c r="F23" s="181">
        <f t="shared" si="3"/>
        <v>0</v>
      </c>
      <c r="G23" s="181">
        <f t="shared" si="4"/>
        <v>0</v>
      </c>
      <c r="H23" s="182">
        <f>SUMIFS('Data Fertilizers'!$D:$D,'Data Fertilizers'!$P:$P,$B23,'Data Fertilizers'!$Q:$Q,"&gt;0",'Data Fertilizers'!$Q:$Q,"&lt;=30")</f>
        <v>0</v>
      </c>
      <c r="I23" s="182">
        <f>SUMIFS('Data Fertilizers'!$D:$D,'Data Fertilizers'!$P:$P,$B23,'Data Fertilizers'!$Q:$Q,"&gt;30",'Data Fertilizers'!$Q:$Q,"&lt;=60")</f>
        <v>0</v>
      </c>
      <c r="J23" s="182">
        <f>SUMIFS('Data Fertilizers'!$D:$D,'Data Fertilizers'!$P:$P,$B23,'Data Fertilizers'!$Q:$Q,"&gt;60",'Data Fertilizers'!$Q:$Q,"&lt;=90")</f>
        <v>0</v>
      </c>
      <c r="K23" s="182">
        <f>SUMIFS('Data Fertilizers'!$D:$D,'Data Fertilizers'!$P:$P,$B23,'Data Fertilizers'!$Q:$Q,"&gt;90",'Data Fertilizers'!$Q:$Q,"&lt;=120")</f>
        <v>0</v>
      </c>
      <c r="L23" s="182">
        <f>SUMIFS('Data Fertilizers'!$D:$D,'Data Fertilizers'!$P:$P,$B23,'Data Fertilizers'!$Q:$Q,"&gt;120",'Data Fertilizers'!$Q:$Q,"&lt;=180")</f>
        <v>0</v>
      </c>
      <c r="M23" s="182">
        <f>SUMIFS('Data Fertilizers'!$D:$D,'Data Fertilizers'!$P:$P,$B23,'Data Fertilizers'!$Q:$Q,"&gt;180",'Data Fertilizers'!$Q:$Q,"&lt;=360")</f>
        <v>0</v>
      </c>
      <c r="N23" s="187">
        <f>SUMIFS('Data Fertilizers'!$D:$D,'Data Fertilizers'!$P:$P,$B23,'Data Fertilizers'!$Q:$Q,"&gt;360")</f>
        <v>0</v>
      </c>
      <c r="O23" s="182">
        <f>SUMIFS('Data Fertilizers'!$D:$D,'Data Fertilizers'!$P:$P,$B23,'Data Fertilizers'!$Q:$Q,"&gt;0")</f>
        <v>0</v>
      </c>
      <c r="P23" s="182">
        <f t="shared" si="5"/>
        <v>0</v>
      </c>
      <c r="Q23" s="182">
        <f>SUMIFS('Data Fertilizers'!$D:$D,'Data Fertilizers'!$P:$P,$B23,'Data Fertilizers'!$Q:$Q,"&lt;=0",'Data Fertilizers'!$Q:$Q,"&gt;=-30")</f>
        <v>0</v>
      </c>
      <c r="R23" s="182">
        <f>SUMIFS('Data Fertilizers'!$D:$D,'Data Fertilizers'!$P:$P,$B23,'Data Fertilizers'!$Q:$Q,"&lt;=-31",'Data Fertilizers'!$Q:$Q,"&gt;=-60")</f>
        <v>0</v>
      </c>
      <c r="S23" s="182">
        <f>SUMIFS('Data Fertilizers'!$D:$D,'Data Fertilizers'!$P:$P,$B23,'Data Fertilizers'!$Q:$Q,"&lt;=-61",'Data Fertilizers'!$Q:$Q,"&gt;=-90")</f>
        <v>0</v>
      </c>
      <c r="T23" s="182">
        <f>SUMIFS('Data Fertilizers'!$D:$D,'Data Fertilizers'!$P:$P,$B23,'Data Fertilizers'!$Q:$Q,"&lt;=-91",'Data Fertilizers'!$Q:$Q,"&gt;=-120")</f>
        <v>0</v>
      </c>
      <c r="U23" s="182">
        <f>SUMIFS('Data Fertilizers'!$D:$D,'Data Fertilizers'!$P:$P,$B23,'Data Fertilizers'!$Q:$Q,"&lt;=-121",'Data Fertilizers'!$Q:$Q,"&gt;=-180")</f>
        <v>0</v>
      </c>
      <c r="V23" s="182">
        <f>SUMIFS('Data Fertilizers'!$D:$D,'Data Fertilizers'!$P:$P,$B23,'Data Fertilizers'!$Q:$Q,"&lt;=-181",'Data Fertilizers'!$Q:$Q,"&gt;=-360")</f>
        <v>0</v>
      </c>
      <c r="W23" s="187">
        <f>SUMIFS('Data Fertilizers'!$D:$D,'Data Fertilizers'!$P:$P,$B23,'Data Fertilizers'!$Q:$Q,"&lt;-360")</f>
        <v>0</v>
      </c>
      <c r="X23" s="237">
        <f>SUMIFS('Bad Debt Provision'!AB:AB,'Bad Debt Provision'!B:B,'Painel Fertilizers'!B23)</f>
        <v>0</v>
      </c>
      <c r="Y23" s="183"/>
      <c r="Z23" s="183"/>
      <c r="AA23" s="182">
        <f>_xlfn.XLOOKUP(B23,'Limite de crédito'!C:C,'Limite de crédito'!O:O,0)</f>
        <v>0</v>
      </c>
      <c r="AB23" s="182"/>
      <c r="AC23" s="184"/>
      <c r="AD23" s="185"/>
      <c r="AE23" s="185"/>
      <c r="AF23" s="183"/>
      <c r="AG23" s="182">
        <f t="shared" si="2"/>
        <v>0</v>
      </c>
    </row>
    <row r="24" spans="2:37" s="234" customFormat="1" x14ac:dyDescent="0.25">
      <c r="B24" s="235" t="s">
        <v>426</v>
      </c>
      <c r="C24" s="244">
        <f>IFERROR(_xlfn.XLOOKUP(B24,'Limite de crédito'!C:C,'Limite de crédito'!L:L),0)</f>
        <v>0</v>
      </c>
      <c r="D24" s="245"/>
      <c r="E24" s="246">
        <f>_xlfn.XLOOKUP(B24,'Limite de crédito'!C:C,'Limite de crédito'!G:G,0)</f>
        <v>0</v>
      </c>
      <c r="F24" s="236">
        <f>E24-G24</f>
        <v>-237309.12</v>
      </c>
      <c r="G24" s="236">
        <f>P24+O24</f>
        <v>237309.12</v>
      </c>
      <c r="H24" s="237">
        <f>SUMIFS('Data Fertilizers'!$D:$D,'Data Fertilizers'!$P:$P,$B24,'Data Fertilizers'!$Q:$Q,"&gt;0",'Data Fertilizers'!$Q:$Q,"&lt;=30")</f>
        <v>0</v>
      </c>
      <c r="I24" s="237">
        <f>SUMIFS('Data Fertilizers'!$D:$D,'Data Fertilizers'!$P:$P,$B24,'Data Fertilizers'!$Q:$Q,"&gt;30",'Data Fertilizers'!$Q:$Q,"&lt;=60")</f>
        <v>0</v>
      </c>
      <c r="J24" s="237">
        <f>SUMIFS('Data Fertilizers'!$D:$D,'Data Fertilizers'!$P:$P,$B24,'Data Fertilizers'!$Q:$Q,"&gt;60",'Data Fertilizers'!$Q:$Q,"&lt;=90")</f>
        <v>0</v>
      </c>
      <c r="K24" s="237">
        <f>SUMIFS('Data Fertilizers'!$D:$D,'Data Fertilizers'!$P:$P,$B24,'Data Fertilizers'!$Q:$Q,"&gt;90",'Data Fertilizers'!$Q:$Q,"&lt;=120")</f>
        <v>0</v>
      </c>
      <c r="L24" s="237">
        <f>SUMIFS('Data Fertilizers'!$D:$D,'Data Fertilizers'!$P:$P,$B24,'Data Fertilizers'!$Q:$Q,"&gt;120",'Data Fertilizers'!$Q:$Q,"&lt;=180")</f>
        <v>0</v>
      </c>
      <c r="M24" s="237">
        <f>SUMIFS('Data Fertilizers'!$D:$D,'Data Fertilizers'!$P:$P,$B24,'Data Fertilizers'!$Q:$Q,"&gt;180",'Data Fertilizers'!$Q:$Q,"&lt;=360")</f>
        <v>0</v>
      </c>
      <c r="N24" s="241">
        <f>SUMIFS('Data Fertilizers'!$D:$D,'Data Fertilizers'!$P:$P,$B24,'Data Fertilizers'!$Q:$Q,"&gt;360")</f>
        <v>237309.12</v>
      </c>
      <c r="O24" s="237">
        <f>SUMIFS('Data Fertilizers'!$D:$D,'Data Fertilizers'!$P:$P,$B24,'Data Fertilizers'!$Q:$Q,"&gt;0")</f>
        <v>237309.12</v>
      </c>
      <c r="P24" s="237">
        <f t="shared" si="5"/>
        <v>0</v>
      </c>
      <c r="Q24" s="237">
        <f>SUMIFS('Data Fertilizers'!$D:$D,'Data Fertilizers'!$P:$P,$B24,'Data Fertilizers'!$Q:$Q,"&lt;=0",'Data Fertilizers'!$Q:$Q,"&gt;=-30")</f>
        <v>0</v>
      </c>
      <c r="R24" s="237">
        <f>SUMIFS('Data Fertilizers'!$D:$D,'Data Fertilizers'!$P:$P,$B24,'Data Fertilizers'!$Q:$Q,"&lt;=-31",'Data Fertilizers'!$Q:$Q,"&gt;=-60")</f>
        <v>0</v>
      </c>
      <c r="S24" s="237">
        <f>SUMIFS('Data Fertilizers'!$D:$D,'Data Fertilizers'!$P:$P,$B24,'Data Fertilizers'!$Q:$Q,"&lt;=-61",'Data Fertilizers'!$Q:$Q,"&gt;=-90")</f>
        <v>0</v>
      </c>
      <c r="T24" s="237">
        <f>SUMIFS('Data Fertilizers'!$D:$D,'Data Fertilizers'!$P:$P,$B24,'Data Fertilizers'!$Q:$Q,"&lt;=-91",'Data Fertilizers'!$Q:$Q,"&gt;=-120")</f>
        <v>0</v>
      </c>
      <c r="U24" s="237">
        <f>SUMIFS('Data Fertilizers'!$D:$D,'Data Fertilizers'!$P:$P,$B24,'Data Fertilizers'!$Q:$Q,"&lt;=-121",'Data Fertilizers'!$Q:$Q,"&gt;=-180")</f>
        <v>0</v>
      </c>
      <c r="V24" s="237">
        <f>SUMIFS('Data Fertilizers'!$D:$D,'Data Fertilizers'!$P:$P,$B24,'Data Fertilizers'!$Q:$Q,"&lt;=-181",'Data Fertilizers'!$Q:$Q,"&gt;=-360")</f>
        <v>0</v>
      </c>
      <c r="W24" s="241">
        <f>SUMIFS('Data Fertilizers'!$D:$D,'Data Fertilizers'!$P:$P,$B24,'Data Fertilizers'!$Q:$Q,"&lt;-360")</f>
        <v>0</v>
      </c>
      <c r="X24" s="237">
        <f>SUMIFS('Bad Debt Provision'!AB:AB,'Bad Debt Provision'!B:B,'Painel Fertilizers'!B24)</f>
        <v>237309.12</v>
      </c>
      <c r="Z24" s="238"/>
      <c r="AA24" s="182">
        <f>_xlfn.XLOOKUP(B24,'Limite de crédito'!C:C,'Limite de crédito'!O:O,0)</f>
        <v>0</v>
      </c>
      <c r="AB24" s="237"/>
      <c r="AC24" s="239"/>
      <c r="AD24" s="240"/>
      <c r="AE24" s="240"/>
      <c r="AF24" s="238"/>
      <c r="AG24" s="237">
        <f t="shared" si="2"/>
        <v>-237309.12</v>
      </c>
    </row>
    <row r="25" spans="2:37" s="171" customFormat="1" x14ac:dyDescent="0.25">
      <c r="B25" s="172" t="s">
        <v>356</v>
      </c>
      <c r="C25" s="242">
        <f>IFERROR(_xlfn.XLOOKUP(B25,'Limite de crédito'!C:C,'Limite de crédito'!L:L),0)</f>
        <v>0</v>
      </c>
      <c r="D25" s="173"/>
      <c r="E25" s="232">
        <f>_xlfn.XLOOKUP(B25,'Limite de crédito'!C:C,'Limite de crédito'!G:G,0)</f>
        <v>0</v>
      </c>
      <c r="F25" s="174">
        <f t="shared" si="3"/>
        <v>0</v>
      </c>
      <c r="G25" s="174">
        <f t="shared" si="4"/>
        <v>0</v>
      </c>
      <c r="H25" s="175">
        <f>SUMIFS('Data Fertilizers'!$D:$D,'Data Fertilizers'!$P:$P,$B25,'Data Fertilizers'!$Q:$Q,"&gt;0",'Data Fertilizers'!$Q:$Q,"&lt;=30")</f>
        <v>0</v>
      </c>
      <c r="I25" s="175">
        <f>SUMIFS('Data Fertilizers'!$D:$D,'Data Fertilizers'!$P:$P,$B25,'Data Fertilizers'!$Q:$Q,"&gt;30",'Data Fertilizers'!$Q:$Q,"&lt;=60")</f>
        <v>0</v>
      </c>
      <c r="J25" s="175">
        <f>SUMIFS('Data Fertilizers'!$D:$D,'Data Fertilizers'!$P:$P,$B25,'Data Fertilizers'!$Q:$Q,"&gt;60",'Data Fertilizers'!$Q:$Q,"&lt;=90")</f>
        <v>0</v>
      </c>
      <c r="K25" s="175">
        <f>SUMIFS('Data Fertilizers'!$D:$D,'Data Fertilizers'!$P:$P,$B25,'Data Fertilizers'!$Q:$Q,"&gt;90",'Data Fertilizers'!$Q:$Q,"&lt;=120")</f>
        <v>0</v>
      </c>
      <c r="L25" s="175">
        <f>SUMIFS('Data Fertilizers'!$D:$D,'Data Fertilizers'!$P:$P,$B25,'Data Fertilizers'!$Q:$Q,"&gt;120",'Data Fertilizers'!$Q:$Q,"&lt;=180")</f>
        <v>0</v>
      </c>
      <c r="M25" s="175">
        <f>SUMIFS('Data Fertilizers'!$D:$D,'Data Fertilizers'!$P:$P,$B25,'Data Fertilizers'!$Q:$Q,"&gt;180",'Data Fertilizers'!$Q:$Q,"&lt;=360")</f>
        <v>0</v>
      </c>
      <c r="N25" s="176">
        <f>SUMIFS('Data Fertilizers'!$D:$D,'Data Fertilizers'!$P:$P,$B25,'Data Fertilizers'!$Q:$Q,"&gt;360")</f>
        <v>0</v>
      </c>
      <c r="O25" s="175">
        <f>SUMIFS('Data Fertilizers'!$D:$D,'Data Fertilizers'!$P:$P,$B25,'Data Fertilizers'!$Q:$Q,"&gt;0")</f>
        <v>0</v>
      </c>
      <c r="P25" s="175">
        <f t="shared" si="5"/>
        <v>0</v>
      </c>
      <c r="Q25" s="175">
        <f>SUMIFS('Data Fertilizers'!$D:$D,'Data Fertilizers'!$P:$P,$B25,'Data Fertilizers'!$Q:$Q,"&lt;=0",'Data Fertilizers'!$Q:$Q,"&gt;=-30")</f>
        <v>0</v>
      </c>
      <c r="R25" s="175">
        <f>SUMIFS('Data Fertilizers'!$D:$D,'Data Fertilizers'!$P:$P,$B25,'Data Fertilizers'!$Q:$Q,"&lt;=-31",'Data Fertilizers'!$Q:$Q,"&gt;=-60")</f>
        <v>0</v>
      </c>
      <c r="S25" s="175">
        <f>SUMIFS('Data Fertilizers'!$D:$D,'Data Fertilizers'!$P:$P,$B25,'Data Fertilizers'!$Q:$Q,"&lt;=-61",'Data Fertilizers'!$Q:$Q,"&gt;=-90")</f>
        <v>0</v>
      </c>
      <c r="T25" s="175">
        <f>SUMIFS('Data Fertilizers'!$D:$D,'Data Fertilizers'!$P:$P,$B25,'Data Fertilizers'!$Q:$Q,"&lt;=-91",'Data Fertilizers'!$Q:$Q,"&gt;=-120")</f>
        <v>0</v>
      </c>
      <c r="U25" s="175">
        <f>SUMIFS('Data Fertilizers'!$D:$D,'Data Fertilizers'!$P:$P,$B25,'Data Fertilizers'!$Q:$Q,"&lt;=-121",'Data Fertilizers'!$Q:$Q,"&gt;=-180")</f>
        <v>0</v>
      </c>
      <c r="V25" s="175">
        <f>SUMIFS('Data Fertilizers'!$D:$D,'Data Fertilizers'!$P:$P,$B25,'Data Fertilizers'!$Q:$Q,"&lt;=-181",'Data Fertilizers'!$Q:$Q,"&gt;=-360")</f>
        <v>0</v>
      </c>
      <c r="W25" s="176">
        <f>SUMIFS('Data Fertilizers'!$D:$D,'Data Fertilizers'!$P:$P,$B25,'Data Fertilizers'!$Q:$Q,"&lt;-360")</f>
        <v>0</v>
      </c>
      <c r="X25" s="237">
        <f>SUMIFS('Bad Debt Provision'!AB:AB,'Bad Debt Provision'!B:B,'Painel Fertilizers'!B25)</f>
        <v>0</v>
      </c>
      <c r="Y25" s="177"/>
      <c r="Z25" s="177"/>
      <c r="AA25" s="182">
        <f>_xlfn.XLOOKUP(B25,'Limite de crédito'!C:C,'Limite de crédito'!O:O,0)</f>
        <v>0</v>
      </c>
      <c r="AB25" s="175"/>
      <c r="AC25" s="178"/>
      <c r="AD25" s="179"/>
      <c r="AE25" s="179"/>
      <c r="AF25" s="177"/>
      <c r="AG25" s="175">
        <f t="shared" si="2"/>
        <v>0</v>
      </c>
    </row>
    <row r="26" spans="2:37" s="171" customFormat="1" x14ac:dyDescent="0.25">
      <c r="B26" s="172" t="s">
        <v>375</v>
      </c>
      <c r="C26" s="242">
        <f>IFERROR(_xlfn.XLOOKUP(B26,'Limite de crédito'!C:C,'Limite de crédito'!L:L),0)</f>
        <v>0</v>
      </c>
      <c r="D26" s="173"/>
      <c r="E26" s="232">
        <f>_xlfn.XLOOKUP(B26,'Limite de crédito'!C:C,'Limite de crédito'!G:G,0)</f>
        <v>0</v>
      </c>
      <c r="F26" s="174">
        <f t="shared" si="3"/>
        <v>0</v>
      </c>
      <c r="G26" s="174">
        <f t="shared" si="4"/>
        <v>0</v>
      </c>
      <c r="H26" s="175">
        <f>SUMIFS('Data Fertilizers'!$D:$D,'Data Fertilizers'!$P:$P,$B26,'Data Fertilizers'!$Q:$Q,"&gt;0",'Data Fertilizers'!$Q:$Q,"&lt;=30")</f>
        <v>0</v>
      </c>
      <c r="I26" s="175">
        <f>SUMIFS('Data Fertilizers'!$D:$D,'Data Fertilizers'!$P:$P,$B26,'Data Fertilizers'!$Q:$Q,"&gt;30",'Data Fertilizers'!$Q:$Q,"&lt;=60")</f>
        <v>0</v>
      </c>
      <c r="J26" s="175">
        <f>SUMIFS('Data Fertilizers'!$D:$D,'Data Fertilizers'!$P:$P,$B26,'Data Fertilizers'!$Q:$Q,"&gt;60",'Data Fertilizers'!$Q:$Q,"&lt;=90")</f>
        <v>0</v>
      </c>
      <c r="K26" s="175">
        <f>SUMIFS('Data Fertilizers'!$D:$D,'Data Fertilizers'!$P:$P,$B26,'Data Fertilizers'!$Q:$Q,"&gt;90",'Data Fertilizers'!$Q:$Q,"&lt;=120")</f>
        <v>0</v>
      </c>
      <c r="L26" s="175">
        <f>SUMIFS('Data Fertilizers'!$D:$D,'Data Fertilizers'!$P:$P,$B26,'Data Fertilizers'!$Q:$Q,"&gt;120",'Data Fertilizers'!$Q:$Q,"&lt;=180")</f>
        <v>0</v>
      </c>
      <c r="M26" s="175">
        <f>SUMIFS('Data Fertilizers'!$D:$D,'Data Fertilizers'!$P:$P,$B26,'Data Fertilizers'!$Q:$Q,"&gt;180",'Data Fertilizers'!$Q:$Q,"&lt;=360")</f>
        <v>0</v>
      </c>
      <c r="N26" s="176">
        <f>SUMIFS('Data Fertilizers'!$D:$D,'Data Fertilizers'!$P:$P,$B26,'Data Fertilizers'!$Q:$Q,"&gt;360")</f>
        <v>0</v>
      </c>
      <c r="O26" s="175">
        <f>SUMIFS('Data Fertilizers'!$D:$D,'Data Fertilizers'!$P:$P,$B26,'Data Fertilizers'!$Q:$Q,"&gt;0")</f>
        <v>0</v>
      </c>
      <c r="P26" s="175">
        <f t="shared" si="5"/>
        <v>0</v>
      </c>
      <c r="Q26" s="175">
        <f>SUMIFS('Data Fertilizers'!$D:$D,'Data Fertilizers'!$P:$P,$B26,'Data Fertilizers'!$Q:$Q,"&lt;=0",'Data Fertilizers'!$Q:$Q,"&gt;=-30")</f>
        <v>0</v>
      </c>
      <c r="R26" s="175">
        <f>SUMIFS('Data Fertilizers'!$D:$D,'Data Fertilizers'!$P:$P,$B26,'Data Fertilizers'!$Q:$Q,"&lt;=-31",'Data Fertilizers'!$Q:$Q,"&gt;=-60")</f>
        <v>0</v>
      </c>
      <c r="S26" s="175">
        <f>SUMIFS('Data Fertilizers'!$D:$D,'Data Fertilizers'!$P:$P,$B26,'Data Fertilizers'!$Q:$Q,"&lt;=-61",'Data Fertilizers'!$Q:$Q,"&gt;=-90")</f>
        <v>0</v>
      </c>
      <c r="T26" s="175">
        <f>SUMIFS('Data Fertilizers'!$D:$D,'Data Fertilizers'!$P:$P,$B26,'Data Fertilizers'!$Q:$Q,"&lt;=-91",'Data Fertilizers'!$Q:$Q,"&gt;=-120")</f>
        <v>0</v>
      </c>
      <c r="U26" s="175">
        <f>SUMIFS('Data Fertilizers'!$D:$D,'Data Fertilizers'!$P:$P,$B26,'Data Fertilizers'!$Q:$Q,"&lt;=-121",'Data Fertilizers'!$Q:$Q,"&gt;=-180")</f>
        <v>0</v>
      </c>
      <c r="V26" s="175">
        <f>SUMIFS('Data Fertilizers'!$D:$D,'Data Fertilizers'!$P:$P,$B26,'Data Fertilizers'!$Q:$Q,"&lt;=-181",'Data Fertilizers'!$Q:$Q,"&gt;=-360")</f>
        <v>0</v>
      </c>
      <c r="W26" s="176">
        <f>SUMIFS('Data Fertilizers'!$D:$D,'Data Fertilizers'!$P:$P,$B26,'Data Fertilizers'!$Q:$Q,"&lt;-360")</f>
        <v>0</v>
      </c>
      <c r="X26" s="237">
        <f>SUMIFS('Bad Debt Provision'!AB:AB,'Bad Debt Provision'!B:B,'Painel Fertilizers'!B26)</f>
        <v>0</v>
      </c>
      <c r="Y26" s="177"/>
      <c r="Z26" s="177"/>
      <c r="AA26" s="182">
        <f>_xlfn.XLOOKUP(B26,'Limite de crédito'!C:C,'Limite de crédito'!O:O,0)</f>
        <v>0</v>
      </c>
      <c r="AB26" s="175"/>
      <c r="AC26" s="178"/>
      <c r="AD26" s="179"/>
      <c r="AE26" s="179"/>
      <c r="AF26" s="177"/>
      <c r="AG26" s="175">
        <f t="shared" si="2"/>
        <v>0</v>
      </c>
    </row>
    <row r="27" spans="2:37" s="169" customFormat="1" ht="15.6" customHeight="1" x14ac:dyDescent="0.25">
      <c r="B27" s="168" t="s">
        <v>259</v>
      </c>
      <c r="C27" s="242" t="str">
        <f>IFERROR(_xlfn.XLOOKUP(B27,'Limite de crédito'!C:C,'Limite de crédito'!L:L),0)</f>
        <v>B</v>
      </c>
      <c r="D27" s="186">
        <v>180</v>
      </c>
      <c r="E27" s="232">
        <f>_xlfn.XLOOKUP(B27,'Limite de crédito'!C:C,'Limite de crédito'!G:G,0)</f>
        <v>7000000</v>
      </c>
      <c r="F27" s="181">
        <f t="shared" si="3"/>
        <v>7000000</v>
      </c>
      <c r="G27" s="181">
        <f t="shared" si="4"/>
        <v>0</v>
      </c>
      <c r="H27" s="182">
        <f>SUMIFS('Data Fertilizers'!$D:$D,'Data Fertilizers'!$P:$P,$B27,'Data Fertilizers'!$Q:$Q,"&gt;0",'Data Fertilizers'!$Q:$Q,"&lt;=30")</f>
        <v>0</v>
      </c>
      <c r="I27" s="182">
        <f>SUMIFS('Data Fertilizers'!$D:$D,'Data Fertilizers'!$P:$P,$B27,'Data Fertilizers'!$Q:$Q,"&gt;30",'Data Fertilizers'!$Q:$Q,"&lt;=60")</f>
        <v>0</v>
      </c>
      <c r="J27" s="182">
        <f>SUMIFS('Data Fertilizers'!$D:$D,'Data Fertilizers'!$P:$P,$B27,'Data Fertilizers'!$Q:$Q,"&gt;60",'Data Fertilizers'!$Q:$Q,"&lt;=90")</f>
        <v>0</v>
      </c>
      <c r="K27" s="182">
        <f>SUMIFS('Data Fertilizers'!$D:$D,'Data Fertilizers'!$P:$P,$B27,'Data Fertilizers'!$Q:$Q,"&gt;90",'Data Fertilizers'!$Q:$Q,"&lt;=120")</f>
        <v>0</v>
      </c>
      <c r="L27" s="182">
        <f>SUMIFS('Data Fertilizers'!$D:$D,'Data Fertilizers'!$P:$P,$B27,'Data Fertilizers'!$Q:$Q,"&gt;120",'Data Fertilizers'!$Q:$Q,"&lt;=180")</f>
        <v>0</v>
      </c>
      <c r="M27" s="182">
        <f>SUMIFS('Data Fertilizers'!$D:$D,'Data Fertilizers'!$P:$P,$B27,'Data Fertilizers'!$Q:$Q,"&gt;180",'Data Fertilizers'!$Q:$Q,"&lt;=360")</f>
        <v>0</v>
      </c>
      <c r="N27" s="187">
        <f>SUMIFS('Data Fertilizers'!$D:$D,'Data Fertilizers'!$P:$P,$B27,'Data Fertilizers'!$Q:$Q,"&gt;360")</f>
        <v>0</v>
      </c>
      <c r="O27" s="182">
        <f>SUMIFS('Data Fertilizers'!$D:$D,'Data Fertilizers'!$P:$P,$B27,'Data Fertilizers'!$Q:$Q,"&gt;0")</f>
        <v>0</v>
      </c>
      <c r="P27" s="182">
        <f t="shared" si="5"/>
        <v>0</v>
      </c>
      <c r="Q27" s="182">
        <f>SUMIFS('Data Fertilizers'!$D:$D,'Data Fertilizers'!$P:$P,$B27,'Data Fertilizers'!$Q:$Q,"&lt;=0",'Data Fertilizers'!$Q:$Q,"&gt;=-30")</f>
        <v>0</v>
      </c>
      <c r="R27" s="182">
        <f>SUMIFS('Data Fertilizers'!$D:$D,'Data Fertilizers'!$P:$P,$B27,'Data Fertilizers'!$Q:$Q,"&lt;=-31",'Data Fertilizers'!$Q:$Q,"&gt;=-60")</f>
        <v>0</v>
      </c>
      <c r="S27" s="182">
        <f>SUMIFS('Data Fertilizers'!$D:$D,'Data Fertilizers'!$P:$P,$B27,'Data Fertilizers'!$Q:$Q,"&lt;=-61",'Data Fertilizers'!$Q:$Q,"&gt;=-90")</f>
        <v>0</v>
      </c>
      <c r="T27" s="182">
        <f>SUMIFS('Data Fertilizers'!$D:$D,'Data Fertilizers'!$P:$P,$B27,'Data Fertilizers'!$Q:$Q,"&lt;=-91",'Data Fertilizers'!$Q:$Q,"&gt;=-120")</f>
        <v>0</v>
      </c>
      <c r="U27" s="182">
        <f>SUMIFS('Data Fertilizers'!$D:$D,'Data Fertilizers'!$P:$P,$B27,'Data Fertilizers'!$Q:$Q,"&lt;=-121",'Data Fertilizers'!$Q:$Q,"&gt;=-180")</f>
        <v>0</v>
      </c>
      <c r="V27" s="182">
        <f>SUMIFS('Data Fertilizers'!$D:$D,'Data Fertilizers'!$P:$P,$B27,'Data Fertilizers'!$Q:$Q,"&lt;=-181",'Data Fertilizers'!$Q:$Q,"&gt;=-360")</f>
        <v>0</v>
      </c>
      <c r="W27" s="187">
        <f>SUMIFS('Data Fertilizers'!$D:$D,'Data Fertilizers'!$P:$P,$B27,'Data Fertilizers'!$Q:$Q,"&lt;-360")</f>
        <v>0</v>
      </c>
      <c r="X27" s="237">
        <f>SUMIFS('Bad Debt Provision'!AB:AB,'Bad Debt Provision'!B:B,'Painel Fertilizers'!B27)</f>
        <v>0</v>
      </c>
      <c r="Y27" s="183"/>
      <c r="Z27" s="183"/>
      <c r="AA27" s="182">
        <f>_xlfn.XLOOKUP(B27,'Limite de crédito'!C:C,'Limite de crédito'!O:O,0)</f>
        <v>7000000</v>
      </c>
      <c r="AB27" s="182"/>
      <c r="AC27" s="184"/>
      <c r="AD27" s="185"/>
      <c r="AE27" s="185"/>
      <c r="AF27" s="183"/>
      <c r="AG27" s="182">
        <f t="shared" si="2"/>
        <v>7000000</v>
      </c>
    </row>
    <row r="28" spans="2:37" s="169" customFormat="1" x14ac:dyDescent="0.25">
      <c r="B28" s="168" t="s">
        <v>425</v>
      </c>
      <c r="C28" s="242" t="str">
        <f>IFERROR(_xlfn.XLOOKUP(B28,'Limite de crédito'!C:C,'Limite de crédito'!L:L),0)</f>
        <v>B</v>
      </c>
      <c r="D28" s="186">
        <v>360</v>
      </c>
      <c r="E28" s="232">
        <f>_xlfn.XLOOKUP(B28,'Limite de crédito'!C:C,'Limite de crédito'!G:G,0)</f>
        <v>700000</v>
      </c>
      <c r="F28" s="181">
        <f t="shared" si="3"/>
        <v>694969.5</v>
      </c>
      <c r="G28" s="181">
        <f t="shared" si="4"/>
        <v>5030.5</v>
      </c>
      <c r="H28" s="182">
        <f>SUMIFS('Data Fertilizers'!$D:$D,'Data Fertilizers'!$P:$P,$B28,'Data Fertilizers'!$Q:$Q,"&gt;0",'Data Fertilizers'!$Q:$Q,"&lt;=30")</f>
        <v>0</v>
      </c>
      <c r="I28" s="182">
        <f>SUMIFS('Data Fertilizers'!$D:$D,'Data Fertilizers'!$P:$P,$B28,'Data Fertilizers'!$Q:$Q,"&gt;30",'Data Fertilizers'!$Q:$Q,"&lt;=60")</f>
        <v>0</v>
      </c>
      <c r="J28" s="182">
        <f>SUMIFS('Data Fertilizers'!$D:$D,'Data Fertilizers'!$P:$P,$B28,'Data Fertilizers'!$Q:$Q,"&gt;60",'Data Fertilizers'!$Q:$Q,"&lt;=90")</f>
        <v>0</v>
      </c>
      <c r="K28" s="182">
        <f>SUMIFS('Data Fertilizers'!$D:$D,'Data Fertilizers'!$P:$P,$B28,'Data Fertilizers'!$Q:$Q,"&gt;90",'Data Fertilizers'!$Q:$Q,"&lt;=120")</f>
        <v>0</v>
      </c>
      <c r="L28" s="182">
        <f>SUMIFS('Data Fertilizers'!$D:$D,'Data Fertilizers'!$P:$P,$B28,'Data Fertilizers'!$Q:$Q,"&gt;120",'Data Fertilizers'!$Q:$Q,"&lt;=180")</f>
        <v>0</v>
      </c>
      <c r="M28" s="182">
        <f>SUMIFS('Data Fertilizers'!$D:$D,'Data Fertilizers'!$P:$P,$B28,'Data Fertilizers'!$Q:$Q,"&gt;180",'Data Fertilizers'!$Q:$Q,"&lt;=360")</f>
        <v>0</v>
      </c>
      <c r="N28" s="187">
        <f>SUMIFS('Data Fertilizers'!$D:$D,'Data Fertilizers'!$P:$P,$B28,'Data Fertilizers'!$Q:$Q,"&gt;360")</f>
        <v>0</v>
      </c>
      <c r="O28" s="182">
        <f>SUMIFS('Data Fertilizers'!$D:$D,'Data Fertilizers'!$P:$P,$B28,'Data Fertilizers'!$Q:$Q,"&gt;0")</f>
        <v>0</v>
      </c>
      <c r="P28" s="182">
        <f t="shared" si="5"/>
        <v>5030.5</v>
      </c>
      <c r="Q28" s="182">
        <f>SUMIFS('Data Fertilizers'!$D:$D,'Data Fertilizers'!$P:$P,$B28,'Data Fertilizers'!$Q:$Q,"&lt;=0",'Data Fertilizers'!$Q:$Q,"&gt;=-30")</f>
        <v>0</v>
      </c>
      <c r="R28" s="182">
        <f>SUMIFS('Data Fertilizers'!$D:$D,'Data Fertilizers'!$P:$P,$B28,'Data Fertilizers'!$Q:$Q,"&lt;=-31",'Data Fertilizers'!$Q:$Q,"&gt;=-60")</f>
        <v>0</v>
      </c>
      <c r="S28" s="182">
        <f>SUMIFS('Data Fertilizers'!$D:$D,'Data Fertilizers'!$P:$P,$B28,'Data Fertilizers'!$Q:$Q,"&lt;=-61",'Data Fertilizers'!$Q:$Q,"&gt;=-90")</f>
        <v>0</v>
      </c>
      <c r="T28" s="182">
        <f>SUMIFS('Data Fertilizers'!$D:$D,'Data Fertilizers'!$P:$P,$B28,'Data Fertilizers'!$Q:$Q,"&lt;=-91",'Data Fertilizers'!$Q:$Q,"&gt;=-120")</f>
        <v>5030.5</v>
      </c>
      <c r="U28" s="182">
        <f>SUMIFS('Data Fertilizers'!$D:$D,'Data Fertilizers'!$P:$P,$B28,'Data Fertilizers'!$Q:$Q,"&lt;=-121",'Data Fertilizers'!$Q:$Q,"&gt;=-180")</f>
        <v>0</v>
      </c>
      <c r="V28" s="182">
        <f>SUMIFS('Data Fertilizers'!$D:$D,'Data Fertilizers'!$P:$P,$B28,'Data Fertilizers'!$Q:$Q,"&lt;=-181",'Data Fertilizers'!$Q:$Q,"&gt;=-360")</f>
        <v>0</v>
      </c>
      <c r="W28" s="187">
        <f>SUMIFS('Data Fertilizers'!$D:$D,'Data Fertilizers'!$P:$P,$B28,'Data Fertilizers'!$Q:$Q,"&lt;-360")</f>
        <v>0</v>
      </c>
      <c r="X28" s="237">
        <f>SUMIFS('Bad Debt Provision'!AB:AB,'Bad Debt Provision'!B:B,'Painel Fertilizers'!B28)</f>
        <v>0</v>
      </c>
      <c r="Z28" s="183"/>
      <c r="AA28" s="182">
        <f>_xlfn.XLOOKUP(B28,'Limite de crédito'!C:C,'Limite de crédito'!O:O,0)</f>
        <v>700000</v>
      </c>
      <c r="AB28" s="182"/>
      <c r="AC28" s="184"/>
      <c r="AD28" s="185"/>
      <c r="AE28" s="185"/>
      <c r="AF28" s="183"/>
      <c r="AG28" s="182">
        <f t="shared" si="2"/>
        <v>694969.5</v>
      </c>
    </row>
    <row r="29" spans="2:37" s="169" customFormat="1" x14ac:dyDescent="0.25">
      <c r="B29" s="168" t="s">
        <v>121</v>
      </c>
      <c r="C29" s="242">
        <f>IFERROR(_xlfn.XLOOKUP(B29,'Limite de crédito'!C:C,'Limite de crédito'!L:L),0)</f>
        <v>0</v>
      </c>
      <c r="D29" s="186"/>
      <c r="E29" s="232">
        <f>_xlfn.XLOOKUP(B29,'Limite de crédito'!C:C,'Limite de crédito'!G:G,0)</f>
        <v>0</v>
      </c>
      <c r="F29" s="181">
        <f t="shared" si="3"/>
        <v>0</v>
      </c>
      <c r="G29" s="181">
        <f t="shared" si="4"/>
        <v>0</v>
      </c>
      <c r="H29" s="182">
        <f>SUMIFS('Data Fertilizers'!$D:$D,'Data Fertilizers'!$P:$P,$B29,'Data Fertilizers'!$Q:$Q,"&gt;0",'Data Fertilizers'!$Q:$Q,"&lt;=30")</f>
        <v>0</v>
      </c>
      <c r="I29" s="182">
        <f>SUMIFS('Data Fertilizers'!$D:$D,'Data Fertilizers'!$P:$P,$B29,'Data Fertilizers'!$Q:$Q,"&gt;30",'Data Fertilizers'!$Q:$Q,"&lt;=60")</f>
        <v>0</v>
      </c>
      <c r="J29" s="182">
        <f>SUMIFS('Data Fertilizers'!$D:$D,'Data Fertilizers'!$P:$P,$B29,'Data Fertilizers'!$Q:$Q,"&gt;60",'Data Fertilizers'!$Q:$Q,"&lt;=90")</f>
        <v>0</v>
      </c>
      <c r="K29" s="182">
        <f>SUMIFS('Data Fertilizers'!$D:$D,'Data Fertilizers'!$P:$P,$B29,'Data Fertilizers'!$Q:$Q,"&gt;90",'Data Fertilizers'!$Q:$Q,"&lt;=120")</f>
        <v>0</v>
      </c>
      <c r="L29" s="182">
        <f>SUMIFS('Data Fertilizers'!$D:$D,'Data Fertilizers'!$P:$P,$B29,'Data Fertilizers'!$Q:$Q,"&gt;120",'Data Fertilizers'!$Q:$Q,"&lt;=180")</f>
        <v>0</v>
      </c>
      <c r="M29" s="182">
        <f>SUMIFS('Data Fertilizers'!$D:$D,'Data Fertilizers'!$P:$P,$B29,'Data Fertilizers'!$Q:$Q,"&gt;180",'Data Fertilizers'!$Q:$Q,"&lt;=360")</f>
        <v>0</v>
      </c>
      <c r="N29" s="187">
        <f>SUMIFS('Data Fertilizers'!$D:$D,'Data Fertilizers'!$P:$P,$B29,'Data Fertilizers'!$Q:$Q,"&gt;360")</f>
        <v>0</v>
      </c>
      <c r="O29" s="182">
        <f>SUMIFS('Data Fertilizers'!$D:$D,'Data Fertilizers'!$P:$P,$B29,'Data Fertilizers'!$Q:$Q,"&gt;0")</f>
        <v>0</v>
      </c>
      <c r="P29" s="182">
        <f t="shared" si="5"/>
        <v>0</v>
      </c>
      <c r="Q29" s="182">
        <f>SUMIFS('Data Fertilizers'!$D:$D,'Data Fertilizers'!$P:$P,$B29,'Data Fertilizers'!$Q:$Q,"&lt;=0",'Data Fertilizers'!$Q:$Q,"&gt;=-30")</f>
        <v>0</v>
      </c>
      <c r="R29" s="182">
        <f>SUMIFS('Data Fertilizers'!$D:$D,'Data Fertilizers'!$P:$P,$B29,'Data Fertilizers'!$Q:$Q,"&lt;=-31",'Data Fertilizers'!$Q:$Q,"&gt;=-60")</f>
        <v>0</v>
      </c>
      <c r="S29" s="182">
        <f>SUMIFS('Data Fertilizers'!$D:$D,'Data Fertilizers'!$P:$P,$B29,'Data Fertilizers'!$Q:$Q,"&lt;=-61",'Data Fertilizers'!$Q:$Q,"&gt;=-90")</f>
        <v>0</v>
      </c>
      <c r="T29" s="182">
        <f>SUMIFS('Data Fertilizers'!$D:$D,'Data Fertilizers'!$P:$P,$B29,'Data Fertilizers'!$Q:$Q,"&lt;=-91",'Data Fertilizers'!$Q:$Q,"&gt;=-120")</f>
        <v>0</v>
      </c>
      <c r="U29" s="182">
        <f>SUMIFS('Data Fertilizers'!$D:$D,'Data Fertilizers'!$P:$P,$B29,'Data Fertilizers'!$Q:$Q,"&lt;=-121",'Data Fertilizers'!$Q:$Q,"&gt;=-180")</f>
        <v>0</v>
      </c>
      <c r="V29" s="182">
        <f>SUMIFS('Data Fertilizers'!$D:$D,'Data Fertilizers'!$P:$P,$B29,'Data Fertilizers'!$Q:$Q,"&lt;=-181",'Data Fertilizers'!$Q:$Q,"&gt;=-360")</f>
        <v>0</v>
      </c>
      <c r="W29" s="187">
        <f>SUMIFS('Data Fertilizers'!$D:$D,'Data Fertilizers'!$P:$P,$B29,'Data Fertilizers'!$Q:$Q,"&lt;-360")</f>
        <v>0</v>
      </c>
      <c r="X29" s="237">
        <f>SUMIFS('Bad Debt Provision'!AB:AB,'Bad Debt Provision'!B:B,'Painel Fertilizers'!B29)</f>
        <v>0</v>
      </c>
      <c r="Y29" s="183"/>
      <c r="Z29" s="183"/>
      <c r="AA29" s="182">
        <f>_xlfn.XLOOKUP(B29,'Limite de crédito'!C:C,'Limite de crédito'!O:O,0)</f>
        <v>0</v>
      </c>
      <c r="AB29" s="182"/>
      <c r="AC29" s="184"/>
      <c r="AD29" s="185"/>
      <c r="AE29" s="185"/>
      <c r="AF29" s="183"/>
      <c r="AG29" s="182">
        <f t="shared" si="2"/>
        <v>0</v>
      </c>
      <c r="AH29" s="183"/>
    </row>
    <row r="30" spans="2:37" s="169" customFormat="1" x14ac:dyDescent="0.25">
      <c r="B30" s="168" t="s">
        <v>376</v>
      </c>
      <c r="C30" s="242">
        <f>IFERROR(_xlfn.XLOOKUP(B30,'Limite de crédito'!C:C,'Limite de crédito'!L:L),0)</f>
        <v>0</v>
      </c>
      <c r="D30" s="186"/>
      <c r="E30" s="232">
        <f>_xlfn.XLOOKUP(B30,'Limite de crédito'!C:C,'Limite de crédito'!G:G,0)</f>
        <v>0</v>
      </c>
      <c r="F30" s="181">
        <f t="shared" si="3"/>
        <v>-329327.90999999997</v>
      </c>
      <c r="G30" s="181">
        <f t="shared" si="4"/>
        <v>329327.90999999997</v>
      </c>
      <c r="H30" s="182">
        <f>SUMIFS('Data Fertilizers'!$D:$D,'Data Fertilizers'!$P:$P,$B30,'Data Fertilizers'!$Q:$Q,"&gt;0",'Data Fertilizers'!$Q:$Q,"&lt;=30")</f>
        <v>0</v>
      </c>
      <c r="I30" s="182">
        <f>SUMIFS('Data Fertilizers'!$D:$D,'Data Fertilizers'!$P:$P,$B30,'Data Fertilizers'!$Q:$Q,"&gt;30",'Data Fertilizers'!$Q:$Q,"&lt;=60")</f>
        <v>0</v>
      </c>
      <c r="J30" s="182">
        <f>SUMIFS('Data Fertilizers'!$D:$D,'Data Fertilizers'!$P:$P,$B30,'Data Fertilizers'!$Q:$Q,"&gt;60",'Data Fertilizers'!$Q:$Q,"&lt;=90")</f>
        <v>0</v>
      </c>
      <c r="K30" s="182">
        <f>SUMIFS('Data Fertilizers'!$D:$D,'Data Fertilizers'!$P:$P,$B30,'Data Fertilizers'!$Q:$Q,"&gt;90",'Data Fertilizers'!$Q:$Q,"&lt;=120")</f>
        <v>0</v>
      </c>
      <c r="L30" s="182">
        <f>SUMIFS('Data Fertilizers'!$D:$D,'Data Fertilizers'!$P:$P,$B30,'Data Fertilizers'!$Q:$Q,"&gt;120",'Data Fertilizers'!$Q:$Q,"&lt;=180")</f>
        <v>0</v>
      </c>
      <c r="M30" s="182">
        <f>SUMIFS('Data Fertilizers'!$D:$D,'Data Fertilizers'!$P:$P,$B30,'Data Fertilizers'!$Q:$Q,"&gt;180",'Data Fertilizers'!$Q:$Q,"&lt;=360")</f>
        <v>0</v>
      </c>
      <c r="N30" s="187">
        <f>SUMIFS('Data Fertilizers'!$D:$D,'Data Fertilizers'!$P:$P,$B30,'Data Fertilizers'!$Q:$Q,"&gt;360")</f>
        <v>0</v>
      </c>
      <c r="O30" s="182">
        <f>SUMIFS('Data Fertilizers'!$D:$D,'Data Fertilizers'!$P:$P,$B30,'Data Fertilizers'!$Q:$Q,"&gt;0")</f>
        <v>0</v>
      </c>
      <c r="P30" s="182">
        <f t="shared" si="5"/>
        <v>329327.90999999997</v>
      </c>
      <c r="Q30" s="182">
        <f>SUMIFS('Data Fertilizers'!$D:$D,'Data Fertilizers'!$P:$P,$B30,'Data Fertilizers'!$Q:$Q,"&lt;=0",'Data Fertilizers'!$Q:$Q,"&gt;=-30")</f>
        <v>329327.90999999997</v>
      </c>
      <c r="R30" s="182">
        <f>SUMIFS('Data Fertilizers'!$D:$D,'Data Fertilizers'!$P:$P,$B30,'Data Fertilizers'!$Q:$Q,"&lt;=-31",'Data Fertilizers'!$Q:$Q,"&gt;=-60")</f>
        <v>0</v>
      </c>
      <c r="S30" s="182">
        <f>SUMIFS('Data Fertilizers'!$D:$D,'Data Fertilizers'!$P:$P,$B30,'Data Fertilizers'!$Q:$Q,"&lt;=-61",'Data Fertilizers'!$Q:$Q,"&gt;=-90")</f>
        <v>0</v>
      </c>
      <c r="T30" s="182">
        <f>SUMIFS('Data Fertilizers'!$D:$D,'Data Fertilizers'!$P:$P,$B30,'Data Fertilizers'!$Q:$Q,"&lt;=-91",'Data Fertilizers'!$Q:$Q,"&gt;=-120")</f>
        <v>0</v>
      </c>
      <c r="U30" s="182">
        <f>SUMIFS('Data Fertilizers'!$D:$D,'Data Fertilizers'!$P:$P,$B30,'Data Fertilizers'!$Q:$Q,"&lt;=-121",'Data Fertilizers'!$Q:$Q,"&gt;=-180")</f>
        <v>0</v>
      </c>
      <c r="V30" s="182">
        <f>SUMIFS('Data Fertilizers'!$D:$D,'Data Fertilizers'!$P:$P,$B30,'Data Fertilizers'!$Q:$Q,"&lt;=-181",'Data Fertilizers'!$Q:$Q,"&gt;=-360")</f>
        <v>0</v>
      </c>
      <c r="W30" s="187">
        <f>SUMIFS('Data Fertilizers'!$D:$D,'Data Fertilizers'!$P:$P,$B30,'Data Fertilizers'!$Q:$Q,"&lt;-360")</f>
        <v>0</v>
      </c>
      <c r="X30" s="237">
        <f>SUMIFS('Bad Debt Provision'!AB:AB,'Bad Debt Provision'!B:B,'Painel Fertilizers'!B30)</f>
        <v>0</v>
      </c>
      <c r="Y30" s="183"/>
      <c r="Z30" s="183"/>
      <c r="AA30" s="182">
        <f>_xlfn.XLOOKUP(B30,'Limite de crédito'!C:C,'Limite de crédito'!O:O,0)</f>
        <v>0</v>
      </c>
      <c r="AB30" s="182"/>
      <c r="AC30" s="184"/>
      <c r="AD30" s="185"/>
      <c r="AE30" s="185"/>
      <c r="AF30" s="183"/>
      <c r="AG30" s="182">
        <f t="shared" si="2"/>
        <v>-329327.90999999997</v>
      </c>
    </row>
    <row r="31" spans="2:37" s="169" customFormat="1" x14ac:dyDescent="0.25">
      <c r="B31" s="168" t="s">
        <v>150</v>
      </c>
      <c r="C31" s="242" t="str">
        <f>IFERROR(_xlfn.XLOOKUP(B31,'Limite de crédito'!C:C,'Limite de crédito'!L:L),0)</f>
        <v>B</v>
      </c>
      <c r="D31" s="186">
        <v>360</v>
      </c>
      <c r="E31" s="232">
        <f>_xlfn.XLOOKUP(B31,'Limite de crédito'!C:C,'Limite de crédito'!G:G,0)</f>
        <v>1000000</v>
      </c>
      <c r="F31" s="181">
        <f t="shared" si="3"/>
        <v>1000000</v>
      </c>
      <c r="G31" s="181">
        <f t="shared" si="4"/>
        <v>0</v>
      </c>
      <c r="H31" s="182">
        <f>SUMIFS('Data Fertilizers'!$D:$D,'Data Fertilizers'!$P:$P,$B31,'Data Fertilizers'!$Q:$Q,"&gt;0",'Data Fertilizers'!$Q:$Q,"&lt;=30")</f>
        <v>0</v>
      </c>
      <c r="I31" s="182">
        <f>SUMIFS('Data Fertilizers'!$D:$D,'Data Fertilizers'!$P:$P,$B31,'Data Fertilizers'!$Q:$Q,"&gt;30",'Data Fertilizers'!$Q:$Q,"&lt;=60")</f>
        <v>0</v>
      </c>
      <c r="J31" s="182">
        <f>SUMIFS('Data Fertilizers'!$D:$D,'Data Fertilizers'!$P:$P,$B31,'Data Fertilizers'!$Q:$Q,"&gt;60",'Data Fertilizers'!$Q:$Q,"&lt;=90")</f>
        <v>0</v>
      </c>
      <c r="K31" s="182">
        <f>SUMIFS('Data Fertilizers'!$D:$D,'Data Fertilizers'!$P:$P,$B31,'Data Fertilizers'!$Q:$Q,"&gt;90",'Data Fertilizers'!$Q:$Q,"&lt;=120")</f>
        <v>0</v>
      </c>
      <c r="L31" s="182">
        <f>SUMIFS('Data Fertilizers'!$D:$D,'Data Fertilizers'!$P:$P,$B31,'Data Fertilizers'!$Q:$Q,"&gt;120",'Data Fertilizers'!$Q:$Q,"&lt;=180")</f>
        <v>0</v>
      </c>
      <c r="M31" s="182">
        <f>SUMIFS('Data Fertilizers'!$D:$D,'Data Fertilizers'!$P:$P,$B31,'Data Fertilizers'!$Q:$Q,"&gt;180",'Data Fertilizers'!$Q:$Q,"&lt;=360")</f>
        <v>0</v>
      </c>
      <c r="N31" s="187">
        <f>SUMIFS('Data Fertilizers'!$D:$D,'Data Fertilizers'!$P:$P,$B31,'Data Fertilizers'!$Q:$Q,"&gt;360")</f>
        <v>0</v>
      </c>
      <c r="O31" s="182">
        <f>SUMIFS('Data Fertilizers'!$D:$D,'Data Fertilizers'!$P:$P,$B31,'Data Fertilizers'!$Q:$Q,"&gt;0")</f>
        <v>0</v>
      </c>
      <c r="P31" s="182">
        <f t="shared" si="5"/>
        <v>0</v>
      </c>
      <c r="Q31" s="182">
        <f>SUMIFS('Data Fertilizers'!$D:$D,'Data Fertilizers'!$P:$P,$B31,'Data Fertilizers'!$Q:$Q,"&lt;=0",'Data Fertilizers'!$Q:$Q,"&gt;=-30")</f>
        <v>0</v>
      </c>
      <c r="R31" s="182">
        <f>SUMIFS('Data Fertilizers'!$D:$D,'Data Fertilizers'!$P:$P,$B31,'Data Fertilizers'!$Q:$Q,"&lt;=-31",'Data Fertilizers'!$Q:$Q,"&gt;=-60")</f>
        <v>0</v>
      </c>
      <c r="S31" s="182">
        <f>SUMIFS('Data Fertilizers'!$D:$D,'Data Fertilizers'!$P:$P,$B31,'Data Fertilizers'!$Q:$Q,"&lt;=-61",'Data Fertilizers'!$Q:$Q,"&gt;=-90")</f>
        <v>0</v>
      </c>
      <c r="T31" s="182">
        <f>SUMIFS('Data Fertilizers'!$D:$D,'Data Fertilizers'!$P:$P,$B31,'Data Fertilizers'!$Q:$Q,"&lt;=-91",'Data Fertilizers'!$Q:$Q,"&gt;=-120")</f>
        <v>0</v>
      </c>
      <c r="U31" s="182">
        <f>SUMIFS('Data Fertilizers'!$D:$D,'Data Fertilizers'!$P:$P,$B31,'Data Fertilizers'!$Q:$Q,"&lt;=-121",'Data Fertilizers'!$Q:$Q,"&gt;=-180")</f>
        <v>0</v>
      </c>
      <c r="V31" s="182">
        <f>SUMIFS('Data Fertilizers'!$D:$D,'Data Fertilizers'!$P:$P,$B31,'Data Fertilizers'!$Q:$Q,"&lt;=-181",'Data Fertilizers'!$Q:$Q,"&gt;=-360")</f>
        <v>0</v>
      </c>
      <c r="W31" s="187">
        <f>SUMIFS('Data Fertilizers'!$D:$D,'Data Fertilizers'!$P:$P,$B31,'Data Fertilizers'!$Q:$Q,"&lt;-360")</f>
        <v>0</v>
      </c>
      <c r="X31" s="237">
        <f>SUMIFS('Bad Debt Provision'!AB:AB,'Bad Debt Provision'!B:B,'Painel Fertilizers'!B31)</f>
        <v>0</v>
      </c>
      <c r="Y31" s="183"/>
      <c r="Z31" s="183"/>
      <c r="AA31" s="182">
        <f>_xlfn.XLOOKUP(B31,'Limite de crédito'!C:C,'Limite de crédito'!O:O,0)</f>
        <v>1000000</v>
      </c>
      <c r="AB31" s="182"/>
      <c r="AC31" s="184"/>
      <c r="AD31" s="185"/>
      <c r="AE31" s="185"/>
      <c r="AF31" s="183"/>
      <c r="AG31" s="182">
        <f t="shared" si="2"/>
        <v>1000000</v>
      </c>
      <c r="AH31" s="183"/>
      <c r="AK31" s="188"/>
    </row>
    <row r="32" spans="2:37" s="169" customFormat="1" x14ac:dyDescent="0.25">
      <c r="B32" s="168" t="s">
        <v>374</v>
      </c>
      <c r="C32" s="242" t="str">
        <f>IFERROR(_xlfn.XLOOKUP(B32,'Limite de crédito'!C:C,'Limite de crédito'!L:L),0)</f>
        <v>B</v>
      </c>
      <c r="D32" s="186">
        <v>180</v>
      </c>
      <c r="E32" s="232">
        <f>_xlfn.XLOOKUP(B32,'Limite de crédito'!C:C,'Limite de crédito'!G:G,0)</f>
        <v>1023000</v>
      </c>
      <c r="F32" s="181">
        <f t="shared" si="3"/>
        <v>1023000</v>
      </c>
      <c r="G32" s="181">
        <f t="shared" si="4"/>
        <v>0</v>
      </c>
      <c r="H32" s="182">
        <f>SUMIFS('Data Fertilizers'!$D:$D,'Data Fertilizers'!$P:$P,$B32,'Data Fertilizers'!$Q:$Q,"&gt;0",'Data Fertilizers'!$Q:$Q,"&lt;=30")</f>
        <v>0</v>
      </c>
      <c r="I32" s="182">
        <f>SUMIFS('Data Fertilizers'!$D:$D,'Data Fertilizers'!$P:$P,$B32,'Data Fertilizers'!$Q:$Q,"&gt;30",'Data Fertilizers'!$Q:$Q,"&lt;=60")</f>
        <v>0</v>
      </c>
      <c r="J32" s="182">
        <f>SUMIFS('Data Fertilizers'!$D:$D,'Data Fertilizers'!$P:$P,$B32,'Data Fertilizers'!$Q:$Q,"&gt;60",'Data Fertilizers'!$Q:$Q,"&lt;=90")</f>
        <v>0</v>
      </c>
      <c r="K32" s="182">
        <f>SUMIFS('Data Fertilizers'!$D:$D,'Data Fertilizers'!$P:$P,$B32,'Data Fertilizers'!$Q:$Q,"&gt;90",'Data Fertilizers'!$Q:$Q,"&lt;=120")</f>
        <v>0</v>
      </c>
      <c r="L32" s="182">
        <f>SUMIFS('Data Fertilizers'!$D:$D,'Data Fertilizers'!$P:$P,$B32,'Data Fertilizers'!$Q:$Q,"&gt;120",'Data Fertilizers'!$Q:$Q,"&lt;=180")</f>
        <v>0</v>
      </c>
      <c r="M32" s="182">
        <f>SUMIFS('Data Fertilizers'!$D:$D,'Data Fertilizers'!$P:$P,$B32,'Data Fertilizers'!$Q:$Q,"&gt;180",'Data Fertilizers'!$Q:$Q,"&lt;=360")</f>
        <v>0</v>
      </c>
      <c r="N32" s="187">
        <f>SUMIFS('Data Fertilizers'!$D:$D,'Data Fertilizers'!$P:$P,$B32,'Data Fertilizers'!$Q:$Q,"&gt;360")</f>
        <v>0</v>
      </c>
      <c r="O32" s="182">
        <f>SUMIFS('Data Fertilizers'!$D:$D,'Data Fertilizers'!$P:$P,$B32,'Data Fertilizers'!$Q:$Q,"&gt;0")</f>
        <v>0</v>
      </c>
      <c r="P32" s="182">
        <f t="shared" si="5"/>
        <v>0</v>
      </c>
      <c r="Q32" s="182">
        <f>SUMIFS('Data Fertilizers'!$D:$D,'Data Fertilizers'!$P:$P,$B32,'Data Fertilizers'!$Q:$Q,"&lt;=0",'Data Fertilizers'!$Q:$Q,"&gt;=-30")</f>
        <v>0</v>
      </c>
      <c r="R32" s="182">
        <f>SUMIFS('Data Fertilizers'!$D:$D,'Data Fertilizers'!$P:$P,$B32,'Data Fertilizers'!$Q:$Q,"&lt;=-31",'Data Fertilizers'!$Q:$Q,"&gt;=-60")</f>
        <v>0</v>
      </c>
      <c r="S32" s="182">
        <f>SUMIFS('Data Fertilizers'!$D:$D,'Data Fertilizers'!$P:$P,$B32,'Data Fertilizers'!$Q:$Q,"&lt;=-61",'Data Fertilizers'!$Q:$Q,"&gt;=-90")</f>
        <v>0</v>
      </c>
      <c r="T32" s="182">
        <f>SUMIFS('Data Fertilizers'!$D:$D,'Data Fertilizers'!$P:$P,$B32,'Data Fertilizers'!$Q:$Q,"&lt;=-91",'Data Fertilizers'!$Q:$Q,"&gt;=-120")</f>
        <v>0</v>
      </c>
      <c r="U32" s="182">
        <f>SUMIFS('Data Fertilizers'!$D:$D,'Data Fertilizers'!$P:$P,$B32,'Data Fertilizers'!$Q:$Q,"&lt;=-121",'Data Fertilizers'!$Q:$Q,"&gt;=-180")</f>
        <v>0</v>
      </c>
      <c r="V32" s="182">
        <f>SUMIFS('Data Fertilizers'!$D:$D,'Data Fertilizers'!$P:$P,$B32,'Data Fertilizers'!$Q:$Q,"&lt;=-181",'Data Fertilizers'!$Q:$Q,"&gt;=-360")</f>
        <v>0</v>
      </c>
      <c r="W32" s="187">
        <f>SUMIFS('Data Fertilizers'!$D:$D,'Data Fertilizers'!$P:$P,$B32,'Data Fertilizers'!$Q:$Q,"&lt;-360")</f>
        <v>0</v>
      </c>
      <c r="X32" s="237">
        <f>SUMIFS('Bad Debt Provision'!AB:AB,'Bad Debt Provision'!B:B,'Painel Fertilizers'!B32)</f>
        <v>0</v>
      </c>
      <c r="Y32" s="183"/>
      <c r="Z32" s="183"/>
      <c r="AA32" s="182">
        <f>_xlfn.XLOOKUP(B32,'Limite de crédito'!C:C,'Limite de crédito'!O:O,0)</f>
        <v>1023000</v>
      </c>
      <c r="AB32" s="182"/>
      <c r="AC32" s="184"/>
      <c r="AD32" s="185"/>
      <c r="AE32" s="185"/>
      <c r="AF32" s="183"/>
      <c r="AG32" s="182">
        <f t="shared" si="2"/>
        <v>1023000</v>
      </c>
    </row>
    <row r="33" spans="2:34" s="169" customFormat="1" x14ac:dyDescent="0.25">
      <c r="B33" s="168" t="s">
        <v>202</v>
      </c>
      <c r="C33" s="242" t="str">
        <f>IFERROR(_xlfn.XLOOKUP(B33,'Limite de crédito'!C:C,'Limite de crédito'!L:L),0)</f>
        <v>B</v>
      </c>
      <c r="D33" s="186">
        <v>290</v>
      </c>
      <c r="E33" s="232">
        <f>_xlfn.XLOOKUP(B33,'Limite de crédito'!C:C,'Limite de crédito'!G:G,0)</f>
        <v>310000</v>
      </c>
      <c r="F33" s="181">
        <f t="shared" ref="F33:F42" si="6">E33-G33</f>
        <v>310000</v>
      </c>
      <c r="G33" s="181">
        <f t="shared" ref="G33:G42" si="7">P33+O33</f>
        <v>0</v>
      </c>
      <c r="H33" s="182">
        <f>SUMIFS('Data Fertilizers'!$D:$D,'Data Fertilizers'!$P:$P,$B33,'Data Fertilizers'!$Q:$Q,"&gt;0",'Data Fertilizers'!$Q:$Q,"&lt;=30")</f>
        <v>0</v>
      </c>
      <c r="I33" s="182">
        <f>SUMIFS('Data Fertilizers'!$D:$D,'Data Fertilizers'!$P:$P,$B33,'Data Fertilizers'!$Q:$Q,"&gt;30",'Data Fertilizers'!$Q:$Q,"&lt;=60")</f>
        <v>0</v>
      </c>
      <c r="J33" s="182">
        <f>SUMIFS('Data Fertilizers'!$D:$D,'Data Fertilizers'!$P:$P,$B33,'Data Fertilizers'!$Q:$Q,"&gt;60",'Data Fertilizers'!$Q:$Q,"&lt;=90")</f>
        <v>0</v>
      </c>
      <c r="K33" s="182">
        <f>SUMIFS('Data Fertilizers'!$D:$D,'Data Fertilizers'!$P:$P,$B33,'Data Fertilizers'!$Q:$Q,"&gt;90",'Data Fertilizers'!$Q:$Q,"&lt;=120")</f>
        <v>0</v>
      </c>
      <c r="L33" s="182">
        <f>SUMIFS('Data Fertilizers'!$D:$D,'Data Fertilizers'!$P:$P,$B33,'Data Fertilizers'!$Q:$Q,"&gt;120",'Data Fertilizers'!$Q:$Q,"&lt;=180")</f>
        <v>0</v>
      </c>
      <c r="M33" s="182">
        <f>SUMIFS('Data Fertilizers'!$D:$D,'Data Fertilizers'!$P:$P,$B33,'Data Fertilizers'!$Q:$Q,"&gt;180",'Data Fertilizers'!$Q:$Q,"&lt;=360")</f>
        <v>0</v>
      </c>
      <c r="N33" s="187">
        <f>SUMIFS('Data Fertilizers'!$D:$D,'Data Fertilizers'!$P:$P,$B33,'Data Fertilizers'!$Q:$Q,"&gt;360")</f>
        <v>0</v>
      </c>
      <c r="O33" s="182">
        <f>SUMIFS('Data Fertilizers'!$D:$D,'Data Fertilizers'!$P:$P,$B33,'Data Fertilizers'!$Q:$Q,"&gt;0")</f>
        <v>0</v>
      </c>
      <c r="P33" s="182">
        <f t="shared" si="5"/>
        <v>0</v>
      </c>
      <c r="Q33" s="182">
        <f>SUMIFS('Data Fertilizers'!$D:$D,'Data Fertilizers'!$P:$P,$B33,'Data Fertilizers'!$Q:$Q,"&lt;=0",'Data Fertilizers'!$Q:$Q,"&gt;=-30")</f>
        <v>0</v>
      </c>
      <c r="R33" s="182">
        <f>SUMIFS('Data Fertilizers'!$D:$D,'Data Fertilizers'!$P:$P,$B33,'Data Fertilizers'!$Q:$Q,"&lt;=-31",'Data Fertilizers'!$Q:$Q,"&gt;=-60")</f>
        <v>0</v>
      </c>
      <c r="S33" s="182">
        <f>SUMIFS('Data Fertilizers'!$D:$D,'Data Fertilizers'!$P:$P,$B33,'Data Fertilizers'!$Q:$Q,"&lt;=-61",'Data Fertilizers'!$Q:$Q,"&gt;=-90")</f>
        <v>0</v>
      </c>
      <c r="T33" s="182">
        <f>SUMIFS('Data Fertilizers'!$D:$D,'Data Fertilizers'!$P:$P,$B33,'Data Fertilizers'!$Q:$Q,"&lt;=-91",'Data Fertilizers'!$Q:$Q,"&gt;=-120")</f>
        <v>0</v>
      </c>
      <c r="U33" s="182">
        <f>SUMIFS('Data Fertilizers'!$D:$D,'Data Fertilizers'!$P:$P,$B33,'Data Fertilizers'!$Q:$Q,"&lt;=-121",'Data Fertilizers'!$Q:$Q,"&gt;=-180")</f>
        <v>0</v>
      </c>
      <c r="V33" s="182">
        <f>SUMIFS('Data Fertilizers'!$D:$D,'Data Fertilizers'!$P:$P,$B33,'Data Fertilizers'!$Q:$Q,"&lt;=-181",'Data Fertilizers'!$Q:$Q,"&gt;=-360")</f>
        <v>0</v>
      </c>
      <c r="W33" s="187">
        <f>SUMIFS('Data Fertilizers'!$D:$D,'Data Fertilizers'!$P:$P,$B33,'Data Fertilizers'!$Q:$Q,"&lt;-360")</f>
        <v>0</v>
      </c>
      <c r="X33" s="237">
        <f>SUMIFS('Bad Debt Provision'!AB:AB,'Bad Debt Provision'!B:B,'Painel Fertilizers'!B33)</f>
        <v>0</v>
      </c>
      <c r="Y33" s="183"/>
      <c r="Z33" s="183"/>
      <c r="AA33" s="182">
        <f>_xlfn.XLOOKUP(B33,'Limite de crédito'!C:C,'Limite de crédito'!O:O,0)</f>
        <v>310000</v>
      </c>
      <c r="AB33" s="182"/>
      <c r="AC33" s="184"/>
      <c r="AD33" s="185"/>
      <c r="AE33" s="185"/>
      <c r="AF33" s="183"/>
      <c r="AG33" s="182">
        <f t="shared" ref="AG33:AG41" si="8">AA33-G33</f>
        <v>310000</v>
      </c>
      <c r="AH33" s="183"/>
    </row>
    <row r="34" spans="2:34" s="169" customFormat="1" x14ac:dyDescent="0.25">
      <c r="B34" s="168" t="s">
        <v>192</v>
      </c>
      <c r="C34" s="242" t="str">
        <f>IFERROR(_xlfn.XLOOKUP(B34,'Limite de crédito'!C:C,'Limite de crédito'!L:L),0)</f>
        <v>B</v>
      </c>
      <c r="D34" s="186">
        <v>360</v>
      </c>
      <c r="E34" s="232">
        <f>_xlfn.XLOOKUP(B34,'Limite de crédito'!C:C,'Limite de crédito'!G:G,0)</f>
        <v>800000</v>
      </c>
      <c r="F34" s="181">
        <f t="shared" si="6"/>
        <v>800000</v>
      </c>
      <c r="G34" s="181">
        <f t="shared" si="7"/>
        <v>0</v>
      </c>
      <c r="H34" s="182">
        <f>SUMIFS('Data Fertilizers'!$D:$D,'Data Fertilizers'!$P:$P,$B34,'Data Fertilizers'!$Q:$Q,"&gt;0",'Data Fertilizers'!$Q:$Q,"&lt;=30")</f>
        <v>0</v>
      </c>
      <c r="I34" s="182">
        <f>SUMIFS('Data Fertilizers'!$D:$D,'Data Fertilizers'!$P:$P,$B34,'Data Fertilizers'!$Q:$Q,"&gt;30",'Data Fertilizers'!$Q:$Q,"&lt;=60")</f>
        <v>0</v>
      </c>
      <c r="J34" s="182">
        <f>SUMIFS('Data Fertilizers'!$D:$D,'Data Fertilizers'!$P:$P,$B34,'Data Fertilizers'!$Q:$Q,"&gt;60",'Data Fertilizers'!$Q:$Q,"&lt;=90")</f>
        <v>0</v>
      </c>
      <c r="K34" s="182">
        <f>SUMIFS('Data Fertilizers'!$D:$D,'Data Fertilizers'!$P:$P,$B34,'Data Fertilizers'!$Q:$Q,"&gt;90",'Data Fertilizers'!$Q:$Q,"&lt;=120")</f>
        <v>0</v>
      </c>
      <c r="L34" s="182">
        <f>SUMIFS('Data Fertilizers'!$D:$D,'Data Fertilizers'!$P:$P,$B34,'Data Fertilizers'!$Q:$Q,"&gt;120",'Data Fertilizers'!$Q:$Q,"&lt;=180")</f>
        <v>0</v>
      </c>
      <c r="M34" s="182">
        <f>SUMIFS('Data Fertilizers'!$D:$D,'Data Fertilizers'!$P:$P,$B34,'Data Fertilizers'!$Q:$Q,"&gt;180",'Data Fertilizers'!$Q:$Q,"&lt;=360")</f>
        <v>0</v>
      </c>
      <c r="N34" s="187">
        <f>SUMIFS('Data Fertilizers'!$D:$D,'Data Fertilizers'!$P:$P,$B34,'Data Fertilizers'!$Q:$Q,"&gt;360")</f>
        <v>0</v>
      </c>
      <c r="O34" s="182">
        <f>SUMIFS('Data Fertilizers'!$D:$D,'Data Fertilizers'!$P:$P,$B34,'Data Fertilizers'!$Q:$Q,"&gt;0")</f>
        <v>0</v>
      </c>
      <c r="P34" s="182">
        <f t="shared" si="5"/>
        <v>0</v>
      </c>
      <c r="Q34" s="182">
        <f>SUMIFS('Data Fertilizers'!$D:$D,'Data Fertilizers'!$P:$P,$B34,'Data Fertilizers'!$Q:$Q,"&lt;=0",'Data Fertilizers'!$Q:$Q,"&gt;=-30")</f>
        <v>0</v>
      </c>
      <c r="R34" s="182">
        <f>SUMIFS('Data Fertilizers'!$D:$D,'Data Fertilizers'!$P:$P,$B34,'Data Fertilizers'!$Q:$Q,"&lt;=-31",'Data Fertilizers'!$Q:$Q,"&gt;=-60")</f>
        <v>0</v>
      </c>
      <c r="S34" s="182">
        <f>SUMIFS('Data Fertilizers'!$D:$D,'Data Fertilizers'!$P:$P,$B34,'Data Fertilizers'!$Q:$Q,"&lt;=-61",'Data Fertilizers'!$Q:$Q,"&gt;=-90")</f>
        <v>0</v>
      </c>
      <c r="T34" s="182">
        <f>SUMIFS('Data Fertilizers'!$D:$D,'Data Fertilizers'!$P:$P,$B34,'Data Fertilizers'!$Q:$Q,"&lt;=-91",'Data Fertilizers'!$Q:$Q,"&gt;=-120")</f>
        <v>0</v>
      </c>
      <c r="U34" s="182">
        <f>SUMIFS('Data Fertilizers'!$D:$D,'Data Fertilizers'!$P:$P,$B34,'Data Fertilizers'!$Q:$Q,"&lt;=-121",'Data Fertilizers'!$Q:$Q,"&gt;=-180")</f>
        <v>0</v>
      </c>
      <c r="V34" s="182">
        <f>SUMIFS('Data Fertilizers'!$D:$D,'Data Fertilizers'!$P:$P,$B34,'Data Fertilizers'!$Q:$Q,"&lt;=-181",'Data Fertilizers'!$Q:$Q,"&gt;=-360")</f>
        <v>0</v>
      </c>
      <c r="W34" s="187">
        <f>SUMIFS('Data Fertilizers'!$D:$D,'Data Fertilizers'!$P:$P,$B34,'Data Fertilizers'!$Q:$Q,"&lt;-360")</f>
        <v>0</v>
      </c>
      <c r="X34" s="237">
        <f>SUMIFS('Bad Debt Provision'!AB:AB,'Bad Debt Provision'!B:B,'Painel Fertilizers'!B34)</f>
        <v>0</v>
      </c>
      <c r="Y34" s="183"/>
      <c r="Z34" s="183"/>
      <c r="AA34" s="182">
        <f>_xlfn.XLOOKUP(B34,'Limite de crédito'!C:C,'Limite de crédito'!O:O,0)</f>
        <v>800000</v>
      </c>
      <c r="AB34" s="182"/>
      <c r="AC34" s="184"/>
      <c r="AD34" s="185"/>
      <c r="AE34" s="185"/>
      <c r="AF34" s="183"/>
      <c r="AG34" s="182">
        <f t="shared" si="8"/>
        <v>800000</v>
      </c>
      <c r="AH34" s="183"/>
    </row>
    <row r="35" spans="2:34" s="169" customFormat="1" ht="15" customHeight="1" x14ac:dyDescent="0.25">
      <c r="B35" s="168" t="s">
        <v>296</v>
      </c>
      <c r="C35" s="242">
        <f>IFERROR(_xlfn.XLOOKUP(B35,'Limite de crédito'!C:C,'Limite de crédito'!L:L),0)</f>
        <v>0</v>
      </c>
      <c r="D35" s="186"/>
      <c r="E35" s="232">
        <f>_xlfn.XLOOKUP(B35,'Limite de crédito'!C:C,'Limite de crédito'!G:G,0)</f>
        <v>0</v>
      </c>
      <c r="F35" s="181">
        <f t="shared" si="6"/>
        <v>0</v>
      </c>
      <c r="G35" s="181">
        <f t="shared" si="7"/>
        <v>0</v>
      </c>
      <c r="H35" s="182">
        <f>SUMIFS('Data Fertilizers'!$D:$D,'Data Fertilizers'!$P:$P,$B35,'Data Fertilizers'!$Q:$Q,"&gt;0",'Data Fertilizers'!$Q:$Q,"&lt;=30")</f>
        <v>0</v>
      </c>
      <c r="I35" s="182">
        <f>SUMIFS('Data Fertilizers'!$D:$D,'Data Fertilizers'!$P:$P,$B35,'Data Fertilizers'!$Q:$Q,"&gt;30",'Data Fertilizers'!$Q:$Q,"&lt;=60")</f>
        <v>0</v>
      </c>
      <c r="J35" s="182">
        <f>SUMIFS('Data Fertilizers'!$D:$D,'Data Fertilizers'!$P:$P,$B35,'Data Fertilizers'!$Q:$Q,"&gt;60",'Data Fertilizers'!$Q:$Q,"&lt;=90")</f>
        <v>0</v>
      </c>
      <c r="K35" s="182">
        <f>SUMIFS('Data Fertilizers'!$D:$D,'Data Fertilizers'!$P:$P,$B35,'Data Fertilizers'!$Q:$Q,"&gt;90",'Data Fertilizers'!$Q:$Q,"&lt;=120")</f>
        <v>0</v>
      </c>
      <c r="L35" s="182">
        <f>SUMIFS('Data Fertilizers'!$D:$D,'Data Fertilizers'!$P:$P,$B35,'Data Fertilizers'!$Q:$Q,"&gt;120",'Data Fertilizers'!$Q:$Q,"&lt;=180")</f>
        <v>0</v>
      </c>
      <c r="M35" s="182">
        <f>SUMIFS('Data Fertilizers'!$D:$D,'Data Fertilizers'!$P:$P,$B35,'Data Fertilizers'!$Q:$Q,"&gt;180",'Data Fertilizers'!$Q:$Q,"&lt;=360")</f>
        <v>0</v>
      </c>
      <c r="N35" s="187">
        <f>SUMIFS('Data Fertilizers'!$D:$D,'Data Fertilizers'!$P:$P,$B35,'Data Fertilizers'!$Q:$Q,"&gt;360")</f>
        <v>0</v>
      </c>
      <c r="O35" s="182">
        <f>SUMIFS('Data Fertilizers'!$D:$D,'Data Fertilizers'!$P:$P,$B35,'Data Fertilizers'!$Q:$Q,"&gt;0")</f>
        <v>0</v>
      </c>
      <c r="P35" s="182">
        <f t="shared" si="5"/>
        <v>0</v>
      </c>
      <c r="Q35" s="182">
        <f>SUMIFS('Data Fertilizers'!$D:$D,'Data Fertilizers'!$P:$P,$B35,'Data Fertilizers'!$Q:$Q,"&lt;=0",'Data Fertilizers'!$Q:$Q,"&gt;=-30")</f>
        <v>0</v>
      </c>
      <c r="R35" s="182">
        <f>SUMIFS('Data Fertilizers'!$D:$D,'Data Fertilizers'!$P:$P,$B35,'Data Fertilizers'!$Q:$Q,"&lt;=-31",'Data Fertilizers'!$Q:$Q,"&gt;=-60")</f>
        <v>0</v>
      </c>
      <c r="S35" s="182">
        <f>SUMIFS('Data Fertilizers'!$D:$D,'Data Fertilizers'!$P:$P,$B35,'Data Fertilizers'!$Q:$Q,"&lt;=-61",'Data Fertilizers'!$Q:$Q,"&gt;=-90")</f>
        <v>0</v>
      </c>
      <c r="T35" s="182">
        <f>SUMIFS('Data Fertilizers'!$D:$D,'Data Fertilizers'!$P:$P,$B35,'Data Fertilizers'!$Q:$Q,"&lt;=-91",'Data Fertilizers'!$Q:$Q,"&gt;=-120")</f>
        <v>0</v>
      </c>
      <c r="U35" s="182">
        <f>SUMIFS('Data Fertilizers'!$D:$D,'Data Fertilizers'!$P:$P,$B35,'Data Fertilizers'!$Q:$Q,"&lt;=-121",'Data Fertilizers'!$Q:$Q,"&gt;=-180")</f>
        <v>0</v>
      </c>
      <c r="V35" s="182">
        <f>SUMIFS('Data Fertilizers'!$D:$D,'Data Fertilizers'!$P:$P,$B35,'Data Fertilizers'!$Q:$Q,"&lt;=-181",'Data Fertilizers'!$Q:$Q,"&gt;=-360")</f>
        <v>0</v>
      </c>
      <c r="W35" s="187">
        <f>SUMIFS('Data Fertilizers'!$D:$D,'Data Fertilizers'!$P:$P,$B35,'Data Fertilizers'!$Q:$Q,"&lt;-360")</f>
        <v>0</v>
      </c>
      <c r="X35" s="237">
        <f>SUMIFS('Bad Debt Provision'!AB:AB,'Bad Debt Provision'!B:B,'Painel Fertilizers'!B35)</f>
        <v>0</v>
      </c>
      <c r="Y35" s="183"/>
      <c r="Z35" s="183"/>
      <c r="AA35" s="182">
        <f>_xlfn.XLOOKUP(B35,'Limite de crédito'!C:C,'Limite de crédito'!O:O,0)</f>
        <v>0</v>
      </c>
      <c r="AB35" s="182"/>
      <c r="AC35" s="184"/>
      <c r="AD35" s="185"/>
      <c r="AE35" s="185"/>
      <c r="AF35" s="183"/>
      <c r="AG35" s="182">
        <f t="shared" si="8"/>
        <v>0</v>
      </c>
    </row>
    <row r="36" spans="2:34" s="169" customFormat="1" x14ac:dyDescent="0.25">
      <c r="B36" s="180" t="s">
        <v>492</v>
      </c>
      <c r="C36" s="242" t="str">
        <f>IFERROR(_xlfn.XLOOKUP(B36,'Limite de crédito'!C:C,'Limite de crédito'!L:L),0)</f>
        <v>B</v>
      </c>
      <c r="D36" s="186">
        <v>320</v>
      </c>
      <c r="E36" s="232">
        <f>_xlfn.XLOOKUP(B36,'Limite de crédito'!C:C,'Limite de crédito'!G:G,0)</f>
        <v>800000</v>
      </c>
      <c r="F36" s="181">
        <f t="shared" si="6"/>
        <v>800000</v>
      </c>
      <c r="G36" s="181">
        <f t="shared" si="7"/>
        <v>0</v>
      </c>
      <c r="H36" s="182">
        <f>SUMIFS('Data Fertilizers'!$D:$D,'Data Fertilizers'!$P:$P,$B36,'Data Fertilizers'!$Q:$Q,"&gt;0",'Data Fertilizers'!$Q:$Q,"&lt;=30")</f>
        <v>0</v>
      </c>
      <c r="I36" s="182">
        <f>SUMIFS('Data Fertilizers'!$D:$D,'Data Fertilizers'!$P:$P,$B36,'Data Fertilizers'!$Q:$Q,"&gt;30",'Data Fertilizers'!$Q:$Q,"&lt;=60")</f>
        <v>0</v>
      </c>
      <c r="J36" s="182">
        <f>SUMIFS('Data Fertilizers'!$D:$D,'Data Fertilizers'!$P:$P,$B36,'Data Fertilizers'!$Q:$Q,"&gt;60",'Data Fertilizers'!$Q:$Q,"&lt;=90")</f>
        <v>0</v>
      </c>
      <c r="K36" s="182">
        <f>SUMIFS('Data Fertilizers'!$D:$D,'Data Fertilizers'!$P:$P,$B36,'Data Fertilizers'!$Q:$Q,"&gt;90",'Data Fertilizers'!$Q:$Q,"&lt;=120")</f>
        <v>0</v>
      </c>
      <c r="L36" s="182">
        <f>SUMIFS('Data Fertilizers'!$D:$D,'Data Fertilizers'!$P:$P,$B36,'Data Fertilizers'!$Q:$Q,"&gt;120",'Data Fertilizers'!$Q:$Q,"&lt;=180")</f>
        <v>0</v>
      </c>
      <c r="M36" s="182">
        <f>SUMIFS('Data Fertilizers'!$D:$D,'Data Fertilizers'!$P:$P,$B36,'Data Fertilizers'!$Q:$Q,"&gt;180",'Data Fertilizers'!$Q:$Q,"&lt;=360")</f>
        <v>0</v>
      </c>
      <c r="N36" s="187">
        <f>SUMIFS('Data Fertilizers'!$D:$D,'Data Fertilizers'!$P:$P,$B36,'Data Fertilizers'!$Q:$Q,"&gt;360")</f>
        <v>0</v>
      </c>
      <c r="O36" s="182">
        <f>SUMIFS('Data Fertilizers'!$D:$D,'Data Fertilizers'!$P:$P,$B36,'Data Fertilizers'!$Q:$Q,"&gt;0")</f>
        <v>0</v>
      </c>
      <c r="P36" s="182">
        <f t="shared" si="5"/>
        <v>0</v>
      </c>
      <c r="Q36" s="182">
        <f>SUMIFS('Data Fertilizers'!$D:$D,'Data Fertilizers'!$P:$P,$B36,'Data Fertilizers'!$Q:$Q,"&lt;=0",'Data Fertilizers'!$Q:$Q,"&gt;=-30")</f>
        <v>0</v>
      </c>
      <c r="R36" s="182">
        <f>SUMIFS('Data Fertilizers'!$D:$D,'Data Fertilizers'!$P:$P,$B36,'Data Fertilizers'!$Q:$Q,"&lt;=-31",'Data Fertilizers'!$Q:$Q,"&gt;=-60")</f>
        <v>0</v>
      </c>
      <c r="S36" s="182">
        <f>SUMIFS('Data Fertilizers'!$D:$D,'Data Fertilizers'!$P:$P,$B36,'Data Fertilizers'!$Q:$Q,"&lt;=-61",'Data Fertilizers'!$Q:$Q,"&gt;=-90")</f>
        <v>0</v>
      </c>
      <c r="T36" s="182">
        <f>SUMIFS('Data Fertilizers'!$D:$D,'Data Fertilizers'!$P:$P,$B36,'Data Fertilizers'!$Q:$Q,"&lt;=-91",'Data Fertilizers'!$Q:$Q,"&gt;=-120")</f>
        <v>0</v>
      </c>
      <c r="U36" s="182">
        <f>SUMIFS('Data Fertilizers'!$D:$D,'Data Fertilizers'!$P:$P,$B36,'Data Fertilizers'!$Q:$Q,"&lt;=-121",'Data Fertilizers'!$Q:$Q,"&gt;=-180")</f>
        <v>0</v>
      </c>
      <c r="V36" s="182">
        <f>SUMIFS('Data Fertilizers'!$D:$D,'Data Fertilizers'!$P:$P,$B36,'Data Fertilizers'!$Q:$Q,"&lt;=-181",'Data Fertilizers'!$Q:$Q,"&gt;=-360")</f>
        <v>0</v>
      </c>
      <c r="W36" s="187">
        <f>SUMIFS('Data Fertilizers'!$D:$D,'Data Fertilizers'!$P:$P,$B36,'Data Fertilizers'!$Q:$Q,"&lt;-360")</f>
        <v>0</v>
      </c>
      <c r="X36" s="237">
        <f>SUMIFS('Bad Debt Provision'!AB:AB,'Bad Debt Provision'!B:B,'Painel Fertilizers'!B36)</f>
        <v>0</v>
      </c>
      <c r="Y36" s="183"/>
      <c r="Z36" s="183"/>
      <c r="AA36" s="182">
        <f>_xlfn.XLOOKUP(B36,'Limite de crédito'!C:C,'Limite de crédito'!O:O,0)</f>
        <v>800000</v>
      </c>
      <c r="AB36" s="182"/>
      <c r="AC36" s="184"/>
      <c r="AD36" s="185"/>
      <c r="AE36" s="185"/>
      <c r="AF36" s="183"/>
      <c r="AG36" s="182">
        <f t="shared" si="8"/>
        <v>800000</v>
      </c>
    </row>
    <row r="37" spans="2:34" s="169" customFormat="1" ht="15" customHeight="1" x14ac:dyDescent="0.25">
      <c r="B37" s="180" t="s">
        <v>184</v>
      </c>
      <c r="C37" s="242">
        <f>IFERROR(_xlfn.XLOOKUP(B37,'Limite de crédito'!C:C,'Limite de crédito'!L:L),0)</f>
        <v>0</v>
      </c>
      <c r="D37" s="186"/>
      <c r="E37" s="232">
        <f>_xlfn.XLOOKUP(B37,'Limite de crédito'!C:C,'Limite de crédito'!G:G,0)</f>
        <v>0</v>
      </c>
      <c r="F37" s="181">
        <f t="shared" si="6"/>
        <v>0</v>
      </c>
      <c r="G37" s="181">
        <f t="shared" si="7"/>
        <v>0</v>
      </c>
      <c r="H37" s="182">
        <f>SUMIFS('Data Fertilizers'!$D:$D,'Data Fertilizers'!$P:$P,$B37,'Data Fertilizers'!$Q:$Q,"&gt;0",'Data Fertilizers'!$Q:$Q,"&lt;=30")</f>
        <v>0</v>
      </c>
      <c r="I37" s="182">
        <f>SUMIFS('Data Fertilizers'!$D:$D,'Data Fertilizers'!$P:$P,$B37,'Data Fertilizers'!$Q:$Q,"&gt;30",'Data Fertilizers'!$Q:$Q,"&lt;=60")</f>
        <v>0</v>
      </c>
      <c r="J37" s="182">
        <f>SUMIFS('Data Fertilizers'!$D:$D,'Data Fertilizers'!$P:$P,$B37,'Data Fertilizers'!$Q:$Q,"&gt;60",'Data Fertilizers'!$Q:$Q,"&lt;=90")</f>
        <v>0</v>
      </c>
      <c r="K37" s="182">
        <f>SUMIFS('Data Fertilizers'!$D:$D,'Data Fertilizers'!$P:$P,$B37,'Data Fertilizers'!$Q:$Q,"&gt;90",'Data Fertilizers'!$Q:$Q,"&lt;=120")</f>
        <v>0</v>
      </c>
      <c r="L37" s="182">
        <f>SUMIFS('Data Fertilizers'!$D:$D,'Data Fertilizers'!$P:$P,$B37,'Data Fertilizers'!$Q:$Q,"&gt;120",'Data Fertilizers'!$Q:$Q,"&lt;=180")</f>
        <v>0</v>
      </c>
      <c r="M37" s="182">
        <f>SUMIFS('Data Fertilizers'!$D:$D,'Data Fertilizers'!$P:$P,$B37,'Data Fertilizers'!$Q:$Q,"&gt;180",'Data Fertilizers'!$Q:$Q,"&lt;=360")</f>
        <v>0</v>
      </c>
      <c r="N37" s="187">
        <f>SUMIFS('Data Fertilizers'!$D:$D,'Data Fertilizers'!$P:$P,$B37,'Data Fertilizers'!$Q:$Q,"&gt;360")</f>
        <v>0</v>
      </c>
      <c r="O37" s="182">
        <f>SUMIFS('Data Fertilizers'!$D:$D,'Data Fertilizers'!$P:$P,$B37,'Data Fertilizers'!$Q:$Q,"&gt;0")</f>
        <v>0</v>
      </c>
      <c r="P37" s="182">
        <f t="shared" si="5"/>
        <v>0</v>
      </c>
      <c r="Q37" s="182">
        <f>SUMIFS('Data Fertilizers'!$D:$D,'Data Fertilizers'!$P:$P,$B37,'Data Fertilizers'!$Q:$Q,"&lt;=0",'Data Fertilizers'!$Q:$Q,"&gt;=-30")</f>
        <v>0</v>
      </c>
      <c r="R37" s="182">
        <f>SUMIFS('Data Fertilizers'!$D:$D,'Data Fertilizers'!$P:$P,$B37,'Data Fertilizers'!$Q:$Q,"&lt;=-31",'Data Fertilizers'!$Q:$Q,"&gt;=-60")</f>
        <v>0</v>
      </c>
      <c r="S37" s="182">
        <f>SUMIFS('Data Fertilizers'!$D:$D,'Data Fertilizers'!$P:$P,$B37,'Data Fertilizers'!$Q:$Q,"&lt;=-61",'Data Fertilizers'!$Q:$Q,"&gt;=-90")</f>
        <v>0</v>
      </c>
      <c r="T37" s="182">
        <f>SUMIFS('Data Fertilizers'!$D:$D,'Data Fertilizers'!$P:$P,$B37,'Data Fertilizers'!$Q:$Q,"&lt;=-91",'Data Fertilizers'!$Q:$Q,"&gt;=-120")</f>
        <v>0</v>
      </c>
      <c r="U37" s="182">
        <f>SUMIFS('Data Fertilizers'!$D:$D,'Data Fertilizers'!$P:$P,$B37,'Data Fertilizers'!$Q:$Q,"&lt;=-121",'Data Fertilizers'!$Q:$Q,"&gt;=-180")</f>
        <v>0</v>
      </c>
      <c r="V37" s="182">
        <f>SUMIFS('Data Fertilizers'!$D:$D,'Data Fertilizers'!$P:$P,$B37,'Data Fertilizers'!$Q:$Q,"&lt;=-181",'Data Fertilizers'!$Q:$Q,"&gt;=-360")</f>
        <v>0</v>
      </c>
      <c r="W37" s="187">
        <f>SUMIFS('Data Fertilizers'!$D:$D,'Data Fertilizers'!$P:$P,$B37,'Data Fertilizers'!$Q:$Q,"&lt;-360")</f>
        <v>0</v>
      </c>
      <c r="X37" s="237">
        <f>SUMIFS('Bad Debt Provision'!AB:AB,'Bad Debt Provision'!B:B,'Painel Fertilizers'!B37)</f>
        <v>0</v>
      </c>
      <c r="Y37" s="183"/>
      <c r="Z37" s="183"/>
      <c r="AA37" s="182">
        <f>_xlfn.XLOOKUP(B37,'Limite de crédito'!C:C,'Limite de crédito'!O:O,0)</f>
        <v>0</v>
      </c>
      <c r="AB37" s="182"/>
      <c r="AC37" s="184"/>
      <c r="AD37" s="185"/>
      <c r="AE37" s="185"/>
      <c r="AF37" s="183"/>
      <c r="AG37" s="182">
        <f t="shared" si="8"/>
        <v>0</v>
      </c>
      <c r="AH37" s="183"/>
    </row>
    <row r="38" spans="2:34" s="169" customFormat="1" ht="12.6" customHeight="1" x14ac:dyDescent="0.25">
      <c r="B38" s="180" t="s">
        <v>268</v>
      </c>
      <c r="C38" s="242">
        <f>IFERROR(_xlfn.XLOOKUP(B38,'Limite de crédito'!C:C,'Limite de crédito'!L:L),0)</f>
        <v>0</v>
      </c>
      <c r="D38" s="186"/>
      <c r="E38" s="232">
        <f>_xlfn.XLOOKUP(B38,'Limite de crédito'!C:C,'Limite de crédito'!G:G,0)</f>
        <v>0</v>
      </c>
      <c r="F38" s="181">
        <f t="shared" si="6"/>
        <v>0</v>
      </c>
      <c r="G38" s="181">
        <f t="shared" si="7"/>
        <v>0</v>
      </c>
      <c r="H38" s="182">
        <f>SUMIFS('Data Fertilizers'!$D:$D,'Data Fertilizers'!$P:$P,$B38,'Data Fertilizers'!$Q:$Q,"&gt;0",'Data Fertilizers'!$Q:$Q,"&lt;=30")</f>
        <v>0</v>
      </c>
      <c r="I38" s="182">
        <f>SUMIFS('Data Fertilizers'!$D:$D,'Data Fertilizers'!$P:$P,$B38,'Data Fertilizers'!$Q:$Q,"&gt;30",'Data Fertilizers'!$Q:$Q,"&lt;=60")</f>
        <v>0</v>
      </c>
      <c r="J38" s="182">
        <f>SUMIFS('Data Fertilizers'!$D:$D,'Data Fertilizers'!$P:$P,$B38,'Data Fertilizers'!$Q:$Q,"&gt;60",'Data Fertilizers'!$Q:$Q,"&lt;=90")</f>
        <v>0</v>
      </c>
      <c r="K38" s="182">
        <f>SUMIFS('Data Fertilizers'!$D:$D,'Data Fertilizers'!$P:$P,$B38,'Data Fertilizers'!$Q:$Q,"&gt;90",'Data Fertilizers'!$Q:$Q,"&lt;=120")</f>
        <v>0</v>
      </c>
      <c r="L38" s="182">
        <f>SUMIFS('Data Fertilizers'!$D:$D,'Data Fertilizers'!$P:$P,$B38,'Data Fertilizers'!$Q:$Q,"&gt;120",'Data Fertilizers'!$Q:$Q,"&lt;=180")</f>
        <v>0</v>
      </c>
      <c r="M38" s="182">
        <f>SUMIFS('Data Fertilizers'!$D:$D,'Data Fertilizers'!$P:$P,$B38,'Data Fertilizers'!$Q:$Q,"&gt;180",'Data Fertilizers'!$Q:$Q,"&lt;=360")</f>
        <v>0</v>
      </c>
      <c r="N38" s="187">
        <f>SUMIFS('Data Fertilizers'!$D:$D,'Data Fertilizers'!$P:$P,$B38,'Data Fertilizers'!$Q:$Q,"&gt;360")</f>
        <v>0</v>
      </c>
      <c r="O38" s="182">
        <f>SUMIFS('Data Fertilizers'!$D:$D,'Data Fertilizers'!$P:$P,$B38,'Data Fertilizers'!$Q:$Q,"&gt;0")</f>
        <v>0</v>
      </c>
      <c r="P38" s="182">
        <f t="shared" si="5"/>
        <v>0</v>
      </c>
      <c r="Q38" s="182">
        <f>SUMIFS('Data Fertilizers'!$D:$D,'Data Fertilizers'!$P:$P,$B38,'Data Fertilizers'!$Q:$Q,"&lt;=0",'Data Fertilizers'!$Q:$Q,"&gt;=-30")</f>
        <v>0</v>
      </c>
      <c r="R38" s="182">
        <f>SUMIFS('Data Fertilizers'!$D:$D,'Data Fertilizers'!$P:$P,$B38,'Data Fertilizers'!$Q:$Q,"&lt;=-31",'Data Fertilizers'!$Q:$Q,"&gt;=-60")</f>
        <v>0</v>
      </c>
      <c r="S38" s="182">
        <f>SUMIFS('Data Fertilizers'!$D:$D,'Data Fertilizers'!$P:$P,$B38,'Data Fertilizers'!$Q:$Q,"&lt;=-61",'Data Fertilizers'!$Q:$Q,"&gt;=-90")</f>
        <v>0</v>
      </c>
      <c r="T38" s="182">
        <f>SUMIFS('Data Fertilizers'!$D:$D,'Data Fertilizers'!$P:$P,$B38,'Data Fertilizers'!$Q:$Q,"&lt;=-91",'Data Fertilizers'!$Q:$Q,"&gt;=-120")</f>
        <v>0</v>
      </c>
      <c r="U38" s="182">
        <f>SUMIFS('Data Fertilizers'!$D:$D,'Data Fertilizers'!$P:$P,$B38,'Data Fertilizers'!$Q:$Q,"&lt;=-121",'Data Fertilizers'!$Q:$Q,"&gt;=-180")</f>
        <v>0</v>
      </c>
      <c r="V38" s="182">
        <f>SUMIFS('Data Fertilizers'!$D:$D,'Data Fertilizers'!$P:$P,$B38,'Data Fertilizers'!$Q:$Q,"&lt;=-181",'Data Fertilizers'!$Q:$Q,"&gt;=-360")</f>
        <v>0</v>
      </c>
      <c r="W38" s="187">
        <f>SUMIFS('Data Fertilizers'!$D:$D,'Data Fertilizers'!$P:$P,$B38,'Data Fertilizers'!$Q:$Q,"&lt;-360")</f>
        <v>0</v>
      </c>
      <c r="X38" s="237">
        <f>SUMIFS('Bad Debt Provision'!AB:AB,'Bad Debt Provision'!B:B,'Painel Fertilizers'!B38)</f>
        <v>0</v>
      </c>
      <c r="Y38" s="183"/>
      <c r="Z38" s="183"/>
      <c r="AA38" s="182">
        <f>_xlfn.XLOOKUP(B38,'Limite de crédito'!C:C,'Limite de crédito'!O:O,0)</f>
        <v>0</v>
      </c>
      <c r="AB38" s="182"/>
      <c r="AC38" s="184"/>
      <c r="AD38" s="185"/>
      <c r="AE38" s="185"/>
      <c r="AF38" s="183"/>
      <c r="AG38" s="182">
        <f t="shared" si="8"/>
        <v>0</v>
      </c>
    </row>
    <row r="39" spans="2:34" s="169" customFormat="1" x14ac:dyDescent="0.25">
      <c r="B39" s="180" t="s">
        <v>327</v>
      </c>
      <c r="C39" s="242">
        <f>IFERROR(_xlfn.XLOOKUP(B39,'Limite de crédito'!C:C,'Limite de crédito'!L:L),0)</f>
        <v>0</v>
      </c>
      <c r="D39" s="186"/>
      <c r="E39" s="232">
        <f>_xlfn.XLOOKUP(B39,'Limite de crédito'!C:C,'Limite de crédito'!G:G,0)</f>
        <v>0</v>
      </c>
      <c r="F39" s="181">
        <f t="shared" si="6"/>
        <v>0</v>
      </c>
      <c r="G39" s="181">
        <f t="shared" si="7"/>
        <v>0</v>
      </c>
      <c r="H39" s="182">
        <f>SUMIFS('Data Fertilizers'!$D:$D,'Data Fertilizers'!$P:$P,$B39,'Data Fertilizers'!$Q:$Q,"&gt;0",'Data Fertilizers'!$Q:$Q,"&lt;=30")</f>
        <v>0</v>
      </c>
      <c r="I39" s="182">
        <f>SUMIFS('Data Fertilizers'!$D:$D,'Data Fertilizers'!$P:$P,$B39,'Data Fertilizers'!$Q:$Q,"&gt;30",'Data Fertilizers'!$Q:$Q,"&lt;=60")</f>
        <v>0</v>
      </c>
      <c r="J39" s="182">
        <f>SUMIFS('Data Fertilizers'!$D:$D,'Data Fertilizers'!$P:$P,$B39,'Data Fertilizers'!$Q:$Q,"&gt;60",'Data Fertilizers'!$Q:$Q,"&lt;=90")</f>
        <v>0</v>
      </c>
      <c r="K39" s="182">
        <f>SUMIFS('Data Fertilizers'!$D:$D,'Data Fertilizers'!$P:$P,$B39,'Data Fertilizers'!$Q:$Q,"&gt;90",'Data Fertilizers'!$Q:$Q,"&lt;=120")</f>
        <v>0</v>
      </c>
      <c r="L39" s="182">
        <f>SUMIFS('Data Fertilizers'!$D:$D,'Data Fertilizers'!$P:$P,$B39,'Data Fertilizers'!$Q:$Q,"&gt;120",'Data Fertilizers'!$Q:$Q,"&lt;=180")</f>
        <v>0</v>
      </c>
      <c r="M39" s="182">
        <f>SUMIFS('Data Fertilizers'!$D:$D,'Data Fertilizers'!$P:$P,$B39,'Data Fertilizers'!$Q:$Q,"&gt;180",'Data Fertilizers'!$Q:$Q,"&lt;=360")</f>
        <v>0</v>
      </c>
      <c r="N39" s="187">
        <f>SUMIFS('Data Fertilizers'!$D:$D,'Data Fertilizers'!$P:$P,$B39,'Data Fertilizers'!$Q:$Q,"&gt;360")</f>
        <v>0</v>
      </c>
      <c r="O39" s="182">
        <f>SUMIFS('Data Fertilizers'!$D:$D,'Data Fertilizers'!$P:$P,$B39,'Data Fertilizers'!$Q:$Q,"&gt;0")</f>
        <v>0</v>
      </c>
      <c r="P39" s="182">
        <f t="shared" si="5"/>
        <v>0</v>
      </c>
      <c r="Q39" s="182">
        <f>SUMIFS('Data Fertilizers'!$D:$D,'Data Fertilizers'!$P:$P,$B39,'Data Fertilizers'!$Q:$Q,"&lt;=0",'Data Fertilizers'!$Q:$Q,"&gt;=-30")</f>
        <v>0</v>
      </c>
      <c r="R39" s="182">
        <f>SUMIFS('Data Fertilizers'!$D:$D,'Data Fertilizers'!$P:$P,$B39,'Data Fertilizers'!$Q:$Q,"&lt;=-31",'Data Fertilizers'!$Q:$Q,"&gt;=-60")</f>
        <v>0</v>
      </c>
      <c r="S39" s="182">
        <f>SUMIFS('Data Fertilizers'!$D:$D,'Data Fertilizers'!$P:$P,$B39,'Data Fertilizers'!$Q:$Q,"&lt;=-61",'Data Fertilizers'!$Q:$Q,"&gt;=-90")</f>
        <v>0</v>
      </c>
      <c r="T39" s="182">
        <f>SUMIFS('Data Fertilizers'!$D:$D,'Data Fertilizers'!$P:$P,$B39,'Data Fertilizers'!$Q:$Q,"&lt;=-91",'Data Fertilizers'!$Q:$Q,"&gt;=-120")</f>
        <v>0</v>
      </c>
      <c r="U39" s="182">
        <f>SUMIFS('Data Fertilizers'!$D:$D,'Data Fertilizers'!$P:$P,$B39,'Data Fertilizers'!$Q:$Q,"&lt;=-121",'Data Fertilizers'!$Q:$Q,"&gt;=-180")</f>
        <v>0</v>
      </c>
      <c r="V39" s="182">
        <f>SUMIFS('Data Fertilizers'!$D:$D,'Data Fertilizers'!$P:$P,$B39,'Data Fertilizers'!$Q:$Q,"&lt;=-181",'Data Fertilizers'!$Q:$Q,"&gt;=-360")</f>
        <v>0</v>
      </c>
      <c r="W39" s="187">
        <f>SUMIFS('Data Fertilizers'!$D:$D,'Data Fertilizers'!$P:$P,$B39,'Data Fertilizers'!$Q:$Q,"&lt;-360")</f>
        <v>0</v>
      </c>
      <c r="X39" s="237">
        <f>SUMIFS('Bad Debt Provision'!AB:AB,'Bad Debt Provision'!B:B,'Painel Fertilizers'!B39)</f>
        <v>0</v>
      </c>
      <c r="Y39" s="183"/>
      <c r="Z39" s="183"/>
      <c r="AA39" s="182">
        <f>_xlfn.XLOOKUP(B39,'Limite de crédito'!C:C,'Limite de crédito'!O:O,0)</f>
        <v>0</v>
      </c>
      <c r="AB39" s="182"/>
      <c r="AC39" s="184"/>
      <c r="AD39" s="185"/>
      <c r="AE39" s="185"/>
      <c r="AF39" s="183"/>
      <c r="AG39" s="182">
        <f t="shared" si="8"/>
        <v>0</v>
      </c>
    </row>
    <row r="40" spans="2:34" s="169" customFormat="1" x14ac:dyDescent="0.25">
      <c r="B40" s="180" t="s">
        <v>395</v>
      </c>
      <c r="C40" s="242">
        <f>IFERROR(_xlfn.XLOOKUP(B40,'Limite de crédito'!C:C,'Limite de crédito'!L:L),0)</f>
        <v>0</v>
      </c>
      <c r="D40" s="186"/>
      <c r="E40" s="232">
        <f>_xlfn.XLOOKUP(B40,'Limite de crédito'!C:C,'Limite de crédito'!G:G,0)</f>
        <v>0</v>
      </c>
      <c r="F40" s="181">
        <f t="shared" si="6"/>
        <v>0</v>
      </c>
      <c r="G40" s="181">
        <f t="shared" si="7"/>
        <v>0</v>
      </c>
      <c r="H40" s="182">
        <f>SUMIFS('Data Fertilizers'!$D:$D,'Data Fertilizers'!$P:$P,$B40,'Data Fertilizers'!$Q:$Q,"&gt;0",'Data Fertilizers'!$Q:$Q,"&lt;=30")</f>
        <v>0</v>
      </c>
      <c r="I40" s="182">
        <f>SUMIFS('Data Fertilizers'!$D:$D,'Data Fertilizers'!$P:$P,$B40,'Data Fertilizers'!$Q:$Q,"&gt;30",'Data Fertilizers'!$Q:$Q,"&lt;=60")</f>
        <v>0</v>
      </c>
      <c r="J40" s="182">
        <f>SUMIFS('Data Fertilizers'!$D:$D,'Data Fertilizers'!$P:$P,$B40,'Data Fertilizers'!$Q:$Q,"&gt;60",'Data Fertilizers'!$Q:$Q,"&lt;=90")</f>
        <v>0</v>
      </c>
      <c r="K40" s="182">
        <f>SUMIFS('Data Fertilizers'!$D:$D,'Data Fertilizers'!$P:$P,$B40,'Data Fertilizers'!$Q:$Q,"&gt;90",'Data Fertilizers'!$Q:$Q,"&lt;=120")</f>
        <v>0</v>
      </c>
      <c r="L40" s="182">
        <f>SUMIFS('Data Fertilizers'!$D:$D,'Data Fertilizers'!$P:$P,$B40,'Data Fertilizers'!$Q:$Q,"&gt;120",'Data Fertilizers'!$Q:$Q,"&lt;=180")</f>
        <v>0</v>
      </c>
      <c r="M40" s="182">
        <f>SUMIFS('Data Fertilizers'!$D:$D,'Data Fertilizers'!$P:$P,$B40,'Data Fertilizers'!$Q:$Q,"&gt;180",'Data Fertilizers'!$Q:$Q,"&lt;=360")</f>
        <v>0</v>
      </c>
      <c r="N40" s="187">
        <f>SUMIFS('Data Fertilizers'!$D:$D,'Data Fertilizers'!$P:$P,$B40,'Data Fertilizers'!$Q:$Q,"&gt;360")</f>
        <v>0</v>
      </c>
      <c r="O40" s="182">
        <f>SUMIFS('Data Fertilizers'!$D:$D,'Data Fertilizers'!$P:$P,$B40,'Data Fertilizers'!$Q:$Q,"&gt;0")</f>
        <v>0</v>
      </c>
      <c r="P40" s="182">
        <f t="shared" si="5"/>
        <v>0</v>
      </c>
      <c r="Q40" s="182">
        <f>SUMIFS('Data Fertilizers'!$D:$D,'Data Fertilizers'!$P:$P,$B40,'Data Fertilizers'!$Q:$Q,"&lt;=0",'Data Fertilizers'!$Q:$Q,"&gt;=-30")</f>
        <v>0</v>
      </c>
      <c r="R40" s="182">
        <f>SUMIFS('Data Fertilizers'!$D:$D,'Data Fertilizers'!$P:$P,$B40,'Data Fertilizers'!$Q:$Q,"&lt;=-31",'Data Fertilizers'!$Q:$Q,"&gt;=-60")</f>
        <v>0</v>
      </c>
      <c r="S40" s="182">
        <f>SUMIFS('Data Fertilizers'!$D:$D,'Data Fertilizers'!$P:$P,$B40,'Data Fertilizers'!$Q:$Q,"&lt;=-61",'Data Fertilizers'!$Q:$Q,"&gt;=-90")</f>
        <v>0</v>
      </c>
      <c r="T40" s="182">
        <f>SUMIFS('Data Fertilizers'!$D:$D,'Data Fertilizers'!$P:$P,$B40,'Data Fertilizers'!$Q:$Q,"&lt;=-91",'Data Fertilizers'!$Q:$Q,"&gt;=-120")</f>
        <v>0</v>
      </c>
      <c r="U40" s="182">
        <f>SUMIFS('Data Fertilizers'!$D:$D,'Data Fertilizers'!$P:$P,$B40,'Data Fertilizers'!$Q:$Q,"&lt;=-121",'Data Fertilizers'!$Q:$Q,"&gt;=-180")</f>
        <v>0</v>
      </c>
      <c r="V40" s="182">
        <f>SUMIFS('Data Fertilizers'!$D:$D,'Data Fertilizers'!$P:$P,$B40,'Data Fertilizers'!$Q:$Q,"&lt;=-181",'Data Fertilizers'!$Q:$Q,"&gt;=-360")</f>
        <v>0</v>
      </c>
      <c r="W40" s="187">
        <f>SUMIFS('Data Fertilizers'!$D:$D,'Data Fertilizers'!$P:$P,$B40,'Data Fertilizers'!$Q:$Q,"&lt;-360")</f>
        <v>0</v>
      </c>
      <c r="X40" s="237">
        <f>SUMIFS('Bad Debt Provision'!AB:AB,'Bad Debt Provision'!B:B,'Painel Fertilizers'!B40)</f>
        <v>0</v>
      </c>
      <c r="Y40" s="183"/>
      <c r="Z40" s="183"/>
      <c r="AA40" s="182">
        <f>_xlfn.XLOOKUP(B40,'Limite de crédito'!C:C,'Limite de crédito'!O:O,0)</f>
        <v>0</v>
      </c>
      <c r="AB40" s="182"/>
      <c r="AC40" s="184"/>
      <c r="AD40" s="185"/>
      <c r="AE40" s="185"/>
      <c r="AF40" s="183"/>
      <c r="AG40" s="182">
        <f t="shared" si="8"/>
        <v>0</v>
      </c>
    </row>
    <row r="41" spans="2:34" s="169" customFormat="1" ht="12.6" customHeight="1" x14ac:dyDescent="0.25">
      <c r="B41" s="180" t="s">
        <v>323</v>
      </c>
      <c r="C41" s="242">
        <f>IFERROR(_xlfn.XLOOKUP(B41,'Limite de crédito'!C:C,'Limite de crédito'!L:L),0)</f>
        <v>0</v>
      </c>
      <c r="D41" s="186"/>
      <c r="E41" s="232">
        <f>_xlfn.XLOOKUP(B41,'Limite de crédito'!C:C,'Limite de crédito'!G:G,0)</f>
        <v>1500000</v>
      </c>
      <c r="F41" s="181">
        <f t="shared" si="6"/>
        <v>1500000</v>
      </c>
      <c r="G41" s="181">
        <f t="shared" si="7"/>
        <v>0</v>
      </c>
      <c r="H41" s="182">
        <f>SUMIFS('Data Fertilizers'!$D:$D,'Data Fertilizers'!$P:$P,$B41,'Data Fertilizers'!$Q:$Q,"&gt;0",'Data Fertilizers'!$Q:$Q,"&lt;=30")</f>
        <v>0</v>
      </c>
      <c r="I41" s="182">
        <f>SUMIFS('Data Fertilizers'!$D:$D,'Data Fertilizers'!$P:$P,$B41,'Data Fertilizers'!$Q:$Q,"&gt;30",'Data Fertilizers'!$Q:$Q,"&lt;=60")</f>
        <v>0</v>
      </c>
      <c r="J41" s="182">
        <f>SUMIFS('Data Fertilizers'!$D:$D,'Data Fertilizers'!$P:$P,$B41,'Data Fertilizers'!$Q:$Q,"&gt;60",'Data Fertilizers'!$Q:$Q,"&lt;=90")</f>
        <v>0</v>
      </c>
      <c r="K41" s="182">
        <f>SUMIFS('Data Fertilizers'!$D:$D,'Data Fertilizers'!$P:$P,$B41,'Data Fertilizers'!$Q:$Q,"&gt;90",'Data Fertilizers'!$Q:$Q,"&lt;=120")</f>
        <v>0</v>
      </c>
      <c r="L41" s="182">
        <f>SUMIFS('Data Fertilizers'!$D:$D,'Data Fertilizers'!$P:$P,$B41,'Data Fertilizers'!$Q:$Q,"&gt;120",'Data Fertilizers'!$Q:$Q,"&lt;=180")</f>
        <v>0</v>
      </c>
      <c r="M41" s="182">
        <f>SUMIFS('Data Fertilizers'!$D:$D,'Data Fertilizers'!$P:$P,$B41,'Data Fertilizers'!$Q:$Q,"&gt;180",'Data Fertilizers'!$Q:$Q,"&lt;=360")</f>
        <v>0</v>
      </c>
      <c r="N41" s="187">
        <f>SUMIFS('Data Fertilizers'!$D:$D,'Data Fertilizers'!$P:$P,$B41,'Data Fertilizers'!$Q:$Q,"&gt;360")</f>
        <v>0</v>
      </c>
      <c r="O41" s="182">
        <f>SUMIFS('Data Fertilizers'!$D:$D,'Data Fertilizers'!$P:$P,$B41,'Data Fertilizers'!$Q:$Q,"&gt;0")</f>
        <v>0</v>
      </c>
      <c r="P41" s="182">
        <f t="shared" si="5"/>
        <v>0</v>
      </c>
      <c r="Q41" s="182">
        <f>SUMIFS('Data Fertilizers'!$D:$D,'Data Fertilizers'!$P:$P,$B41,'Data Fertilizers'!$Q:$Q,"&lt;=0",'Data Fertilizers'!$Q:$Q,"&gt;=-30")</f>
        <v>0</v>
      </c>
      <c r="R41" s="182">
        <f>SUMIFS('Data Fertilizers'!$D:$D,'Data Fertilizers'!$P:$P,$B41,'Data Fertilizers'!$Q:$Q,"&lt;=-31",'Data Fertilizers'!$Q:$Q,"&gt;=-60")</f>
        <v>0</v>
      </c>
      <c r="S41" s="182">
        <f>SUMIFS('Data Fertilizers'!$D:$D,'Data Fertilizers'!$P:$P,$B41,'Data Fertilizers'!$Q:$Q,"&lt;=-61",'Data Fertilizers'!$Q:$Q,"&gt;=-90")</f>
        <v>0</v>
      </c>
      <c r="T41" s="182">
        <f>SUMIFS('Data Fertilizers'!$D:$D,'Data Fertilizers'!$P:$P,$B41,'Data Fertilizers'!$Q:$Q,"&lt;=-91",'Data Fertilizers'!$Q:$Q,"&gt;=-120")</f>
        <v>0</v>
      </c>
      <c r="U41" s="182">
        <f>SUMIFS('Data Fertilizers'!$D:$D,'Data Fertilizers'!$P:$P,$B41,'Data Fertilizers'!$Q:$Q,"&lt;=-121",'Data Fertilizers'!$Q:$Q,"&gt;=-180")</f>
        <v>0</v>
      </c>
      <c r="V41" s="182">
        <f>SUMIFS('Data Fertilizers'!$D:$D,'Data Fertilizers'!$P:$P,$B41,'Data Fertilizers'!$Q:$Q,"&lt;=-181",'Data Fertilizers'!$Q:$Q,"&gt;=-360")</f>
        <v>0</v>
      </c>
      <c r="W41" s="187">
        <f>SUMIFS('Data Fertilizers'!$D:$D,'Data Fertilizers'!$P:$P,$B41,'Data Fertilizers'!$Q:$Q,"&lt;-360")</f>
        <v>0</v>
      </c>
      <c r="X41" s="237">
        <f>SUMIFS('Bad Debt Provision'!AB:AB,'Bad Debt Provision'!B:B,'Painel Fertilizers'!B41)</f>
        <v>0</v>
      </c>
      <c r="Y41" s="183"/>
      <c r="Z41" s="183"/>
      <c r="AA41" s="182">
        <f>_xlfn.XLOOKUP(B41,'Limite de crédito'!C:C,'Limite de crédito'!O:O,0)</f>
        <v>1500000</v>
      </c>
      <c r="AB41" s="182"/>
      <c r="AC41" s="184"/>
      <c r="AD41" s="185"/>
      <c r="AE41" s="185"/>
      <c r="AF41" s="183"/>
      <c r="AG41" s="182">
        <f t="shared" si="8"/>
        <v>1500000</v>
      </c>
    </row>
    <row r="42" spans="2:34" s="169" customFormat="1" x14ac:dyDescent="0.25">
      <c r="B42" s="180" t="s">
        <v>453</v>
      </c>
      <c r="C42" s="242">
        <f>IFERROR(_xlfn.XLOOKUP(B42,'Limite de crédito'!C:C,'Limite de crédito'!L:L),0)</f>
        <v>0</v>
      </c>
      <c r="D42" s="186">
        <v>180</v>
      </c>
      <c r="E42" s="232">
        <f>_xlfn.XLOOKUP(B42,'Limite de crédito'!C:C,'Limite de crédito'!G:G,0)</f>
        <v>350000</v>
      </c>
      <c r="F42" s="181">
        <f t="shared" si="6"/>
        <v>350000</v>
      </c>
      <c r="G42" s="181">
        <f t="shared" si="7"/>
        <v>0</v>
      </c>
      <c r="H42" s="182">
        <f>SUMIFS('Data Fertilizers'!$D:$D,'Data Fertilizers'!$P:$P,$B42,'Data Fertilizers'!$Q:$Q,"&gt;0",'Data Fertilizers'!$Q:$Q,"&lt;=30")</f>
        <v>0</v>
      </c>
      <c r="I42" s="182">
        <f>SUMIFS('Data Fertilizers'!$D:$D,'Data Fertilizers'!$P:$P,$B42,'Data Fertilizers'!$Q:$Q,"&gt;30",'Data Fertilizers'!$Q:$Q,"&lt;=60")</f>
        <v>0</v>
      </c>
      <c r="J42" s="182">
        <f>SUMIFS('Data Fertilizers'!$D:$D,'Data Fertilizers'!$P:$P,$B42,'Data Fertilizers'!$Q:$Q,"&gt;60",'Data Fertilizers'!$Q:$Q,"&lt;=90")</f>
        <v>0</v>
      </c>
      <c r="K42" s="182">
        <f>SUMIFS('Data Fertilizers'!$D:$D,'Data Fertilizers'!$P:$P,$B42,'Data Fertilizers'!$Q:$Q,"&gt;90",'Data Fertilizers'!$Q:$Q,"&lt;=120")</f>
        <v>0</v>
      </c>
      <c r="L42" s="182">
        <f>SUMIFS('Data Fertilizers'!$D:$D,'Data Fertilizers'!$P:$P,$B42,'Data Fertilizers'!$Q:$Q,"&gt;120",'Data Fertilizers'!$Q:$Q,"&lt;=180")</f>
        <v>0</v>
      </c>
      <c r="M42" s="182">
        <f>SUMIFS('Data Fertilizers'!$D:$D,'Data Fertilizers'!$P:$P,$B42,'Data Fertilizers'!$Q:$Q,"&gt;180",'Data Fertilizers'!$Q:$Q,"&lt;=360")</f>
        <v>0</v>
      </c>
      <c r="N42" s="187">
        <f>SUMIFS('Data Fertilizers'!$D:$D,'Data Fertilizers'!$P:$P,$B42,'Data Fertilizers'!$Q:$Q,"&gt;360")</f>
        <v>0</v>
      </c>
      <c r="O42" s="182">
        <f>SUMIFS('Data Fertilizers'!$D:$D,'Data Fertilizers'!$P:$P,$B42,'Data Fertilizers'!$Q:$Q,"&gt;0")</f>
        <v>0</v>
      </c>
      <c r="P42" s="182">
        <f t="shared" si="5"/>
        <v>0</v>
      </c>
      <c r="Q42" s="182">
        <f>SUMIFS('Data Fertilizers'!$D:$D,'Data Fertilizers'!$P:$P,$B42,'Data Fertilizers'!$Q:$Q,"&lt;=0",'Data Fertilizers'!$Q:$Q,"&gt;=-30")</f>
        <v>0</v>
      </c>
      <c r="R42" s="182">
        <f>SUMIFS('Data Fertilizers'!$D:$D,'Data Fertilizers'!$P:$P,$B42,'Data Fertilizers'!$Q:$Q,"&lt;=-31",'Data Fertilizers'!$Q:$Q,"&gt;=-60")</f>
        <v>0</v>
      </c>
      <c r="S42" s="182">
        <f>SUMIFS('Data Fertilizers'!$D:$D,'Data Fertilizers'!$P:$P,$B42,'Data Fertilizers'!$Q:$Q,"&lt;=-61",'Data Fertilizers'!$Q:$Q,"&gt;=-90")</f>
        <v>0</v>
      </c>
      <c r="T42" s="182">
        <f>SUMIFS('Data Fertilizers'!$D:$D,'Data Fertilizers'!$P:$P,$B42,'Data Fertilizers'!$Q:$Q,"&lt;=-91",'Data Fertilizers'!$Q:$Q,"&gt;=-120")</f>
        <v>0</v>
      </c>
      <c r="U42" s="182">
        <f>SUMIFS('Data Fertilizers'!$D:$D,'Data Fertilizers'!$P:$P,$B42,'Data Fertilizers'!$Q:$Q,"&lt;=-121",'Data Fertilizers'!$Q:$Q,"&gt;=-180")</f>
        <v>0</v>
      </c>
      <c r="V42" s="182">
        <f>SUMIFS('Data Fertilizers'!$D:$D,'Data Fertilizers'!$P:$P,$B42,'Data Fertilizers'!$Q:$Q,"&lt;=-181",'Data Fertilizers'!$Q:$Q,"&gt;=-360")</f>
        <v>0</v>
      </c>
      <c r="W42" s="187">
        <f>SUMIFS('Data Fertilizers'!$D:$D,'Data Fertilizers'!$P:$P,$B42,'Data Fertilizers'!$Q:$Q,"&lt;-360")</f>
        <v>0</v>
      </c>
      <c r="X42" s="237">
        <f>SUMIFS('Bad Debt Provision'!AB:AB,'Bad Debt Provision'!B:B,'Painel Fertilizers'!B42)</f>
        <v>0</v>
      </c>
      <c r="Y42" s="183"/>
      <c r="Z42" s="183"/>
      <c r="AA42" s="182">
        <f>_xlfn.XLOOKUP(B42,'Limite de crédito'!C:C,'Limite de crédito'!O:O,0)</f>
        <v>350000</v>
      </c>
      <c r="AB42" s="182"/>
      <c r="AC42" s="184"/>
      <c r="AD42" s="185"/>
      <c r="AE42" s="185"/>
      <c r="AF42" s="183"/>
      <c r="AG42" s="182">
        <f t="shared" ref="AG42" si="9">AA42-G42</f>
        <v>350000</v>
      </c>
    </row>
    <row r="43" spans="2:34" s="169" customFormat="1" ht="12.6" customHeight="1" x14ac:dyDescent="0.25">
      <c r="B43" s="180" t="s">
        <v>497</v>
      </c>
      <c r="C43" s="242">
        <f>IFERROR(_xlfn.XLOOKUP(B43,'Limite de crédito'!C:C,'Limite de crédito'!L:L),0)</f>
        <v>0</v>
      </c>
      <c r="D43" s="186">
        <v>180</v>
      </c>
      <c r="E43" s="232">
        <f>_xlfn.XLOOKUP(B43,'Limite de crédito'!C:C,'Limite de crédito'!G:G,0)</f>
        <v>0</v>
      </c>
      <c r="F43" s="181">
        <f t="shared" ref="F43" si="10">E43-G43</f>
        <v>0</v>
      </c>
      <c r="G43" s="181">
        <f t="shared" ref="G43" si="11">P43+O43</f>
        <v>0</v>
      </c>
      <c r="H43" s="182">
        <f>SUMIFS('Data Fertilizers'!$D:$D,'Data Fertilizers'!$P:$P,$B43,'Data Fertilizers'!$Q:$Q,"&gt;0",'Data Fertilizers'!$Q:$Q,"&lt;=30")</f>
        <v>0</v>
      </c>
      <c r="I43" s="182">
        <f>SUMIFS('Data Fertilizers'!$D:$D,'Data Fertilizers'!$P:$P,$B43,'Data Fertilizers'!$Q:$Q,"&gt;30",'Data Fertilizers'!$Q:$Q,"&lt;=60")</f>
        <v>0</v>
      </c>
      <c r="J43" s="182">
        <f>SUMIFS('Data Fertilizers'!$D:$D,'Data Fertilizers'!$P:$P,$B43,'Data Fertilizers'!$Q:$Q,"&gt;60",'Data Fertilizers'!$Q:$Q,"&lt;=90")</f>
        <v>0</v>
      </c>
      <c r="K43" s="182">
        <f>SUMIFS('Data Fertilizers'!$D:$D,'Data Fertilizers'!$P:$P,$B43,'Data Fertilizers'!$Q:$Q,"&gt;90",'Data Fertilizers'!$Q:$Q,"&lt;=120")</f>
        <v>0</v>
      </c>
      <c r="L43" s="182">
        <f>SUMIFS('Data Fertilizers'!$D:$D,'Data Fertilizers'!$P:$P,$B43,'Data Fertilizers'!$Q:$Q,"&gt;120",'Data Fertilizers'!$Q:$Q,"&lt;=180")</f>
        <v>0</v>
      </c>
      <c r="M43" s="182">
        <f>SUMIFS('Data Fertilizers'!$D:$D,'Data Fertilizers'!$P:$P,$B43,'Data Fertilizers'!$Q:$Q,"&gt;180",'Data Fertilizers'!$Q:$Q,"&lt;=360")</f>
        <v>0</v>
      </c>
      <c r="N43" s="187">
        <f>SUMIFS('Data Fertilizers'!$D:$D,'Data Fertilizers'!$P:$P,$B43,'Data Fertilizers'!$Q:$Q,"&gt;360")</f>
        <v>0</v>
      </c>
      <c r="O43" s="182">
        <f>SUMIFS('Data Fertilizers'!$D:$D,'Data Fertilizers'!$P:$P,$B43,'Data Fertilizers'!$Q:$Q,"&gt;0")</f>
        <v>0</v>
      </c>
      <c r="P43" s="182">
        <f t="shared" si="5"/>
        <v>0</v>
      </c>
      <c r="Q43" s="182">
        <f>SUMIFS('Data Fertilizers'!$D:$D,'Data Fertilizers'!$P:$P,$B43,'Data Fertilizers'!$Q:$Q,"&lt;=0",'Data Fertilizers'!$Q:$Q,"&gt;=-30")</f>
        <v>0</v>
      </c>
      <c r="R43" s="182">
        <f>SUMIFS('Data Fertilizers'!$D:$D,'Data Fertilizers'!$P:$P,$B43,'Data Fertilizers'!$Q:$Q,"&lt;=-31",'Data Fertilizers'!$Q:$Q,"&gt;=-60")</f>
        <v>0</v>
      </c>
      <c r="S43" s="182">
        <f>SUMIFS('Data Fertilizers'!$D:$D,'Data Fertilizers'!$P:$P,$B43,'Data Fertilizers'!$Q:$Q,"&lt;=-61",'Data Fertilizers'!$Q:$Q,"&gt;=-90")</f>
        <v>0</v>
      </c>
      <c r="T43" s="182">
        <f>SUMIFS('Data Fertilizers'!$D:$D,'Data Fertilizers'!$P:$P,$B43,'Data Fertilizers'!$Q:$Q,"&lt;=-91",'Data Fertilizers'!$Q:$Q,"&gt;=-120")</f>
        <v>0</v>
      </c>
      <c r="U43" s="182">
        <f>SUMIFS('Data Fertilizers'!$D:$D,'Data Fertilizers'!$P:$P,$B43,'Data Fertilizers'!$Q:$Q,"&lt;=-121",'Data Fertilizers'!$Q:$Q,"&gt;=-180")</f>
        <v>0</v>
      </c>
      <c r="V43" s="182">
        <f>SUMIFS('Data Fertilizers'!$D:$D,'Data Fertilizers'!$P:$P,$B43,'Data Fertilizers'!$Q:$Q,"&lt;=-181",'Data Fertilizers'!$Q:$Q,"&gt;=-360")</f>
        <v>0</v>
      </c>
      <c r="W43" s="187">
        <f>SUMIFS('Data Fertilizers'!$D:$D,'Data Fertilizers'!$P:$P,$B43,'Data Fertilizers'!$Q:$Q,"&lt;-360")</f>
        <v>0</v>
      </c>
      <c r="X43" s="237">
        <f>SUMIFS('Bad Debt Provision'!AB:AB,'Bad Debt Provision'!B:B,'Painel Fertilizers'!B43)</f>
        <v>0</v>
      </c>
      <c r="Y43" s="183"/>
      <c r="Z43" s="183"/>
      <c r="AA43" s="182">
        <f>_xlfn.XLOOKUP(B43,'Limite de crédito'!C:C,'Limite de crédito'!O:O,0)</f>
        <v>0</v>
      </c>
      <c r="AB43" s="182"/>
      <c r="AC43" s="184"/>
      <c r="AD43" s="185"/>
      <c r="AE43" s="185"/>
      <c r="AF43" s="183"/>
      <c r="AG43" s="182">
        <f t="shared" ref="AG43" si="12">AA43-G43</f>
        <v>0</v>
      </c>
    </row>
    <row r="44" spans="2:34" s="169" customFormat="1" ht="12.6" customHeight="1" x14ac:dyDescent="0.25">
      <c r="B44" s="180" t="s">
        <v>451</v>
      </c>
      <c r="C44" s="242">
        <f>IFERROR(_xlfn.XLOOKUP(B44,'Limite de crédito'!C:C,'Limite de crédito'!L:L),0)</f>
        <v>0</v>
      </c>
      <c r="D44" s="186">
        <v>180</v>
      </c>
      <c r="E44" s="232">
        <f>_xlfn.XLOOKUP(B44,'Limite de crédito'!C:C,'Limite de crédito'!G:G,0)</f>
        <v>0</v>
      </c>
      <c r="F44" s="181">
        <f t="shared" ref="F44" si="13">E44-G44</f>
        <v>0</v>
      </c>
      <c r="G44" s="181">
        <f t="shared" ref="G44" si="14">P44+O44</f>
        <v>0</v>
      </c>
      <c r="H44" s="182">
        <f>SUMIFS('Data Fertilizers'!$D:$D,'Data Fertilizers'!$P:$P,$B44,'Data Fertilizers'!$Q:$Q,"&gt;0",'Data Fertilizers'!$Q:$Q,"&lt;=30")</f>
        <v>0</v>
      </c>
      <c r="I44" s="182">
        <f>SUMIFS('Data Fertilizers'!$D:$D,'Data Fertilizers'!$P:$P,$B44,'Data Fertilizers'!$Q:$Q,"&gt;30",'Data Fertilizers'!$Q:$Q,"&lt;=60")</f>
        <v>0</v>
      </c>
      <c r="J44" s="182">
        <f>SUMIFS('Data Fertilizers'!$D:$D,'Data Fertilizers'!$P:$P,$B44,'Data Fertilizers'!$Q:$Q,"&gt;60",'Data Fertilizers'!$Q:$Q,"&lt;=90")</f>
        <v>0</v>
      </c>
      <c r="K44" s="182">
        <f>SUMIFS('Data Fertilizers'!$D:$D,'Data Fertilizers'!$P:$P,$B44,'Data Fertilizers'!$Q:$Q,"&gt;90",'Data Fertilizers'!$Q:$Q,"&lt;=120")</f>
        <v>0</v>
      </c>
      <c r="L44" s="182">
        <f>SUMIFS('Data Fertilizers'!$D:$D,'Data Fertilizers'!$P:$P,$B44,'Data Fertilizers'!$Q:$Q,"&gt;120",'Data Fertilizers'!$Q:$Q,"&lt;=180")</f>
        <v>0</v>
      </c>
      <c r="M44" s="182">
        <f>SUMIFS('Data Fertilizers'!$D:$D,'Data Fertilizers'!$P:$P,$B44,'Data Fertilizers'!$Q:$Q,"&gt;180",'Data Fertilizers'!$Q:$Q,"&lt;=360")</f>
        <v>0</v>
      </c>
      <c r="N44" s="187">
        <f>SUMIFS('Data Fertilizers'!$D:$D,'Data Fertilizers'!$P:$P,$B44,'Data Fertilizers'!$Q:$Q,"&gt;360")</f>
        <v>0</v>
      </c>
      <c r="O44" s="182">
        <f>SUMIFS('Data Fertilizers'!$D:$D,'Data Fertilizers'!$P:$P,$B44,'Data Fertilizers'!$Q:$Q,"&gt;0")</f>
        <v>0</v>
      </c>
      <c r="P44" s="182">
        <f t="shared" si="5"/>
        <v>0</v>
      </c>
      <c r="Q44" s="182">
        <f>SUMIFS('Data Fertilizers'!$D:$D,'Data Fertilizers'!$P:$P,$B44,'Data Fertilizers'!$Q:$Q,"&lt;=0",'Data Fertilizers'!$Q:$Q,"&gt;=-30")</f>
        <v>0</v>
      </c>
      <c r="R44" s="182">
        <f>SUMIFS('Data Fertilizers'!$D:$D,'Data Fertilizers'!$P:$P,$B44,'Data Fertilizers'!$Q:$Q,"&lt;=-31",'Data Fertilizers'!$Q:$Q,"&gt;=-60")</f>
        <v>0</v>
      </c>
      <c r="S44" s="182">
        <f>SUMIFS('Data Fertilizers'!$D:$D,'Data Fertilizers'!$P:$P,$B44,'Data Fertilizers'!$Q:$Q,"&lt;=-61",'Data Fertilizers'!$Q:$Q,"&gt;=-90")</f>
        <v>0</v>
      </c>
      <c r="T44" s="182">
        <f>SUMIFS('Data Fertilizers'!$D:$D,'Data Fertilizers'!$P:$P,$B44,'Data Fertilizers'!$Q:$Q,"&lt;=-91",'Data Fertilizers'!$Q:$Q,"&gt;=-120")</f>
        <v>0</v>
      </c>
      <c r="U44" s="182">
        <f>SUMIFS('Data Fertilizers'!$D:$D,'Data Fertilizers'!$P:$P,$B44,'Data Fertilizers'!$Q:$Q,"&lt;=-121",'Data Fertilizers'!$Q:$Q,"&gt;=-180")</f>
        <v>0</v>
      </c>
      <c r="V44" s="182">
        <f>SUMIFS('Data Fertilizers'!$D:$D,'Data Fertilizers'!$P:$P,$B44,'Data Fertilizers'!$Q:$Q,"&lt;=-181",'Data Fertilizers'!$Q:$Q,"&gt;=-360")</f>
        <v>0</v>
      </c>
      <c r="W44" s="187">
        <f>SUMIFS('Data Fertilizers'!$D:$D,'Data Fertilizers'!$P:$P,$B44,'Data Fertilizers'!$Q:$Q,"&lt;-360")</f>
        <v>0</v>
      </c>
      <c r="X44" s="237">
        <f>SUMIFS('Bad Debt Provision'!AB:AB,'Bad Debt Provision'!B:B,'Painel Fertilizers'!B44)</f>
        <v>0</v>
      </c>
      <c r="Y44" s="183"/>
      <c r="Z44" s="183"/>
      <c r="AA44" s="182">
        <f>_xlfn.XLOOKUP(B44,'Limite de crédito'!C:C,'Limite de crédito'!O:O,0)</f>
        <v>0</v>
      </c>
      <c r="AB44" s="182"/>
      <c r="AC44" s="184"/>
      <c r="AD44" s="185"/>
      <c r="AE44" s="185"/>
      <c r="AF44" s="183"/>
      <c r="AG44" s="182">
        <f t="shared" ref="AG44" si="15">AA44-G44</f>
        <v>0</v>
      </c>
    </row>
    <row r="45" spans="2:34" s="169" customFormat="1" ht="12.6" customHeight="1" x14ac:dyDescent="0.25">
      <c r="B45" s="180" t="s">
        <v>549</v>
      </c>
      <c r="C45" s="242" t="str">
        <f>IFERROR(_xlfn.XLOOKUP(B45,'Limite de crédito'!C:C,'Limite de crédito'!L:L),0)</f>
        <v>B</v>
      </c>
      <c r="D45" s="186">
        <v>180</v>
      </c>
      <c r="E45" s="232">
        <f>_xlfn.XLOOKUP(B45,'Limite de crédito'!C:C,'Limite de crédito'!G:G,0)</f>
        <v>4000000</v>
      </c>
      <c r="F45" s="181">
        <f t="shared" ref="F45" si="16">E45-G45</f>
        <v>3700357.92</v>
      </c>
      <c r="G45" s="181">
        <f t="shared" ref="G45" si="17">P45+O45</f>
        <v>299642.08</v>
      </c>
      <c r="H45" s="182">
        <f>SUMIFS('Data Fertilizers'!$D:$D,'Data Fertilizers'!$P:$P,$B45,'Data Fertilizers'!$Q:$Q,"&gt;0",'Data Fertilizers'!$Q:$Q,"&lt;=30")</f>
        <v>0</v>
      </c>
      <c r="I45" s="182">
        <f>SUMIFS('Data Fertilizers'!$D:$D,'Data Fertilizers'!$P:$P,$B45,'Data Fertilizers'!$Q:$Q,"&gt;30",'Data Fertilizers'!$Q:$Q,"&lt;=60")</f>
        <v>0</v>
      </c>
      <c r="J45" s="182">
        <f>SUMIFS('Data Fertilizers'!$D:$D,'Data Fertilizers'!$P:$P,$B45,'Data Fertilizers'!$Q:$Q,"&gt;60",'Data Fertilizers'!$Q:$Q,"&lt;=90")</f>
        <v>0</v>
      </c>
      <c r="K45" s="182">
        <f>SUMIFS('Data Fertilizers'!$D:$D,'Data Fertilizers'!$P:$P,$B45,'Data Fertilizers'!$Q:$Q,"&gt;90",'Data Fertilizers'!$Q:$Q,"&lt;=120")</f>
        <v>0</v>
      </c>
      <c r="L45" s="182">
        <f>SUMIFS('Data Fertilizers'!$D:$D,'Data Fertilizers'!$P:$P,$B45,'Data Fertilizers'!$Q:$Q,"&gt;120",'Data Fertilizers'!$Q:$Q,"&lt;=180")</f>
        <v>0</v>
      </c>
      <c r="M45" s="182">
        <f>SUMIFS('Data Fertilizers'!$D:$D,'Data Fertilizers'!$P:$P,$B45,'Data Fertilizers'!$Q:$Q,"&gt;180",'Data Fertilizers'!$Q:$Q,"&lt;=360")</f>
        <v>0</v>
      </c>
      <c r="N45" s="187">
        <f>SUMIFS('Data Fertilizers'!$D:$D,'Data Fertilizers'!$P:$P,$B45,'Data Fertilizers'!$Q:$Q,"&gt;360")</f>
        <v>0</v>
      </c>
      <c r="O45" s="182">
        <f>SUMIFS('Data Fertilizers'!$D:$D,'Data Fertilizers'!$P:$P,$B45,'Data Fertilizers'!$Q:$Q,"&gt;0")</f>
        <v>0</v>
      </c>
      <c r="P45" s="182">
        <f t="shared" ref="P45" si="18">SUM(Q45:W45)</f>
        <v>299642.08</v>
      </c>
      <c r="Q45" s="182">
        <f>SUMIFS('Data Fertilizers'!$D:$D,'Data Fertilizers'!$P:$P,$B45,'Data Fertilizers'!$Q:$Q,"&lt;=0",'Data Fertilizers'!$Q:$Q,"&gt;=-30")</f>
        <v>0</v>
      </c>
      <c r="R45" s="182">
        <f>SUMIFS('Data Fertilizers'!$D:$D,'Data Fertilizers'!$P:$P,$B45,'Data Fertilizers'!$Q:$Q,"&lt;=-31",'Data Fertilizers'!$Q:$Q,"&gt;=-60")</f>
        <v>0</v>
      </c>
      <c r="S45" s="182">
        <f>SUMIFS('Data Fertilizers'!$D:$D,'Data Fertilizers'!$P:$P,$B45,'Data Fertilizers'!$Q:$Q,"&lt;=-61",'Data Fertilizers'!$Q:$Q,"&gt;=-90")</f>
        <v>0</v>
      </c>
      <c r="T45" s="182">
        <f>SUMIFS('Data Fertilizers'!$D:$D,'Data Fertilizers'!$P:$P,$B45,'Data Fertilizers'!$Q:$Q,"&lt;=-91",'Data Fertilizers'!$Q:$Q,"&gt;=-120")</f>
        <v>0</v>
      </c>
      <c r="U45" s="182">
        <f>SUMIFS('Data Fertilizers'!$D:$D,'Data Fertilizers'!$P:$P,$B45,'Data Fertilizers'!$Q:$Q,"&lt;=-121",'Data Fertilizers'!$Q:$Q,"&gt;=-180")</f>
        <v>0</v>
      </c>
      <c r="V45" s="182">
        <f>SUMIFS('Data Fertilizers'!$D:$D,'Data Fertilizers'!$P:$P,$B45,'Data Fertilizers'!$Q:$Q,"&lt;=-181",'Data Fertilizers'!$Q:$Q,"&gt;=-360")</f>
        <v>299642.08</v>
      </c>
      <c r="W45" s="187">
        <f>SUMIFS('Data Fertilizers'!$D:$D,'Data Fertilizers'!$P:$P,$B45,'Data Fertilizers'!$Q:$Q,"&lt;-360")</f>
        <v>0</v>
      </c>
      <c r="X45" s="237">
        <f>SUMIFS('Bad Debt Provision'!AB:AB,'Bad Debt Provision'!B:B,'Painel Fertilizers'!B45)</f>
        <v>0</v>
      </c>
      <c r="Y45" s="183"/>
      <c r="Z45" s="183"/>
      <c r="AA45" s="182">
        <f>_xlfn.XLOOKUP(B45,'Limite de crédito'!C:C,'Limite de crédito'!O:O,0)</f>
        <v>1000000</v>
      </c>
      <c r="AB45" s="182"/>
      <c r="AC45" s="184"/>
      <c r="AD45" s="185"/>
      <c r="AE45" s="185"/>
      <c r="AF45" s="183"/>
      <c r="AG45" s="182">
        <f>AA45-G45</f>
        <v>700357.91999999993</v>
      </c>
    </row>
    <row r="46" spans="2:34" s="169" customFormat="1" ht="12.6" customHeight="1" x14ac:dyDescent="0.25">
      <c r="B46" s="180" t="s">
        <v>377</v>
      </c>
      <c r="C46" s="242" t="str">
        <f>IFERROR(_xlfn.XLOOKUP(B46,'Limite de crédito'!C:C,'Limite de crédito'!L:L),0)</f>
        <v>B</v>
      </c>
      <c r="D46" s="186">
        <v>180</v>
      </c>
      <c r="E46" s="232">
        <f>_xlfn.XLOOKUP(B46,'Limite de crédito'!C:C,'Limite de crédito'!G:G,0)</f>
        <v>500000</v>
      </c>
      <c r="F46" s="181">
        <f t="shared" ref="F46" si="19">E46-G46</f>
        <v>277191.82999999996</v>
      </c>
      <c r="G46" s="181">
        <f t="shared" ref="G46" si="20">P46+O46</f>
        <v>222808.17</v>
      </c>
      <c r="H46" s="182">
        <f>SUMIFS('Data Fertilizers'!$D:$D,'Data Fertilizers'!$P:$P,$B46,'Data Fertilizers'!$Q:$Q,"&gt;0",'Data Fertilizers'!$Q:$Q,"&lt;=30")</f>
        <v>0</v>
      </c>
      <c r="I46" s="182">
        <f>SUMIFS('Data Fertilizers'!$D:$D,'Data Fertilizers'!$P:$P,$B46,'Data Fertilizers'!$Q:$Q,"&gt;30",'Data Fertilizers'!$Q:$Q,"&lt;=60")</f>
        <v>0</v>
      </c>
      <c r="J46" s="182">
        <f>SUMIFS('Data Fertilizers'!$D:$D,'Data Fertilizers'!$P:$P,$B46,'Data Fertilizers'!$Q:$Q,"&gt;60",'Data Fertilizers'!$Q:$Q,"&lt;=90")</f>
        <v>0</v>
      </c>
      <c r="K46" s="182">
        <f>SUMIFS('Data Fertilizers'!$D:$D,'Data Fertilizers'!$P:$P,$B46,'Data Fertilizers'!$Q:$Q,"&gt;90",'Data Fertilizers'!$Q:$Q,"&lt;=120")</f>
        <v>0</v>
      </c>
      <c r="L46" s="182">
        <f>SUMIFS('Data Fertilizers'!$D:$D,'Data Fertilizers'!$P:$P,$B46,'Data Fertilizers'!$Q:$Q,"&gt;120",'Data Fertilizers'!$Q:$Q,"&lt;=180")</f>
        <v>0</v>
      </c>
      <c r="M46" s="182">
        <f>SUMIFS('Data Fertilizers'!$D:$D,'Data Fertilizers'!$P:$P,$B46,'Data Fertilizers'!$Q:$Q,"&gt;180",'Data Fertilizers'!$Q:$Q,"&lt;=360")</f>
        <v>0</v>
      </c>
      <c r="N46" s="187">
        <f>SUMIFS('Data Fertilizers'!$D:$D,'Data Fertilizers'!$P:$P,$B46,'Data Fertilizers'!$Q:$Q,"&gt;360")</f>
        <v>0</v>
      </c>
      <c r="O46" s="182">
        <f>SUMIFS('Data Fertilizers'!$D:$D,'Data Fertilizers'!$P:$P,$B46,'Data Fertilizers'!$Q:$Q,"&gt;0")</f>
        <v>0</v>
      </c>
      <c r="P46" s="182">
        <f t="shared" ref="P46" si="21">SUM(Q46:W46)</f>
        <v>222808.17</v>
      </c>
      <c r="Q46" s="182">
        <f>SUMIFS('Data Fertilizers'!$D:$D,'Data Fertilizers'!$P:$P,$B46,'Data Fertilizers'!$Q:$Q,"&lt;=0",'Data Fertilizers'!$Q:$Q,"&gt;=-30")</f>
        <v>222808.17</v>
      </c>
      <c r="R46" s="182">
        <f>SUMIFS('Data Fertilizers'!$D:$D,'Data Fertilizers'!$P:$P,$B46,'Data Fertilizers'!$Q:$Q,"&lt;=-31",'Data Fertilizers'!$Q:$Q,"&gt;=-60")</f>
        <v>0</v>
      </c>
      <c r="S46" s="182">
        <f>SUMIFS('Data Fertilizers'!$D:$D,'Data Fertilizers'!$P:$P,$B46,'Data Fertilizers'!$Q:$Q,"&lt;=-61",'Data Fertilizers'!$Q:$Q,"&gt;=-90")</f>
        <v>0</v>
      </c>
      <c r="T46" s="182">
        <f>SUMIFS('Data Fertilizers'!$D:$D,'Data Fertilizers'!$P:$P,$B46,'Data Fertilizers'!$Q:$Q,"&lt;=-91",'Data Fertilizers'!$Q:$Q,"&gt;=-120")</f>
        <v>0</v>
      </c>
      <c r="U46" s="182">
        <f>SUMIFS('Data Fertilizers'!$D:$D,'Data Fertilizers'!$P:$P,$B46,'Data Fertilizers'!$Q:$Q,"&lt;=-121",'Data Fertilizers'!$Q:$Q,"&gt;=-180")</f>
        <v>0</v>
      </c>
      <c r="V46" s="182">
        <f>SUMIFS('Data Fertilizers'!$D:$D,'Data Fertilizers'!$P:$P,$B46,'Data Fertilizers'!$Q:$Q,"&lt;=-181",'Data Fertilizers'!$Q:$Q,"&gt;=-360")</f>
        <v>0</v>
      </c>
      <c r="W46" s="187">
        <f>SUMIFS('Data Fertilizers'!$D:$D,'Data Fertilizers'!$P:$P,$B46,'Data Fertilizers'!$Q:$Q,"&lt;-360")</f>
        <v>0</v>
      </c>
      <c r="X46" s="237">
        <f>SUMIFS('Bad Debt Provision'!AB:AB,'Bad Debt Provision'!B:B,'Painel Fertilizers'!B46)</f>
        <v>0</v>
      </c>
      <c r="Y46" s="183"/>
      <c r="Z46" s="183"/>
      <c r="AA46" s="182">
        <f>_xlfn.XLOOKUP(B46,'Limite de crédito'!C:C,'Limite de crédito'!O:O,0)</f>
        <v>300000</v>
      </c>
      <c r="AB46" s="182"/>
      <c r="AC46" s="184"/>
      <c r="AD46" s="185"/>
      <c r="AE46" s="185"/>
      <c r="AF46" s="183"/>
      <c r="AG46" s="182">
        <f>AA46-G46</f>
        <v>77191.829999999987</v>
      </c>
    </row>
    <row r="47" spans="2:34" s="169" customFormat="1" ht="13.2" customHeight="1" x14ac:dyDescent="0.25">
      <c r="B47" s="180" t="s">
        <v>379</v>
      </c>
      <c r="C47" s="242">
        <f>IFERROR(_xlfn.XLOOKUP(B47,'Limite de crédito'!C:C,'Limite de crédito'!L:L),0)</f>
        <v>0</v>
      </c>
      <c r="D47" s="186">
        <v>180</v>
      </c>
      <c r="E47" s="232">
        <f>_xlfn.XLOOKUP(B47,'Limite de crédito'!C:C,'Limite de crédito'!G:G,0)</f>
        <v>0</v>
      </c>
      <c r="F47" s="181">
        <f t="shared" ref="F47" si="22">E47-G47</f>
        <v>-184217.94</v>
      </c>
      <c r="G47" s="181">
        <f t="shared" ref="G47" si="23">P47+O47</f>
        <v>184217.94</v>
      </c>
      <c r="H47" s="182">
        <f>SUMIFS('Data Fertilizers'!$D:$D,'Data Fertilizers'!$P:$P,$B47,'Data Fertilizers'!$Q:$Q,"&gt;0",'Data Fertilizers'!$Q:$Q,"&lt;=30")</f>
        <v>184217.94</v>
      </c>
      <c r="I47" s="182">
        <f>SUMIFS('Data Fertilizers'!$D:$D,'Data Fertilizers'!$P:$P,$B47,'Data Fertilizers'!$Q:$Q,"&gt;30",'Data Fertilizers'!$Q:$Q,"&lt;=60")</f>
        <v>0</v>
      </c>
      <c r="J47" s="182">
        <f>SUMIFS('Data Fertilizers'!$D:$D,'Data Fertilizers'!$P:$P,$B47,'Data Fertilizers'!$Q:$Q,"&gt;60",'Data Fertilizers'!$Q:$Q,"&lt;=90")</f>
        <v>0</v>
      </c>
      <c r="K47" s="182">
        <f>SUMIFS('Data Fertilizers'!$D:$D,'Data Fertilizers'!$P:$P,$B47,'Data Fertilizers'!$Q:$Q,"&gt;90",'Data Fertilizers'!$Q:$Q,"&lt;=120")</f>
        <v>0</v>
      </c>
      <c r="L47" s="182">
        <f>SUMIFS('Data Fertilizers'!$D:$D,'Data Fertilizers'!$P:$P,$B47,'Data Fertilizers'!$Q:$Q,"&gt;120",'Data Fertilizers'!$Q:$Q,"&lt;=180")</f>
        <v>0</v>
      </c>
      <c r="M47" s="182">
        <f>SUMIFS('Data Fertilizers'!$D:$D,'Data Fertilizers'!$P:$P,$B47,'Data Fertilizers'!$Q:$Q,"&gt;180",'Data Fertilizers'!$Q:$Q,"&lt;=360")</f>
        <v>0</v>
      </c>
      <c r="N47" s="187">
        <f>SUMIFS('Data Fertilizers'!$D:$D,'Data Fertilizers'!$P:$P,$B47,'Data Fertilizers'!$Q:$Q,"&gt;360")</f>
        <v>0</v>
      </c>
      <c r="O47" s="182">
        <f>SUMIFS('Data Fertilizers'!$D:$D,'Data Fertilizers'!$P:$P,$B47,'Data Fertilizers'!$Q:$Q,"&gt;0")</f>
        <v>184217.94</v>
      </c>
      <c r="P47" s="182">
        <f t="shared" ref="P47" si="24">SUM(Q47:W47)</f>
        <v>0</v>
      </c>
      <c r="Q47" s="182">
        <f>SUMIFS('Data Fertilizers'!$D:$D,'Data Fertilizers'!$P:$P,$B47,'Data Fertilizers'!$Q:$Q,"&lt;=0",'Data Fertilizers'!$Q:$Q,"&gt;=-30")</f>
        <v>0</v>
      </c>
      <c r="R47" s="182">
        <f>SUMIFS('Data Fertilizers'!$D:$D,'Data Fertilizers'!$P:$P,$B47,'Data Fertilizers'!$Q:$Q,"&lt;=-31",'Data Fertilizers'!$Q:$Q,"&gt;=-60")</f>
        <v>0</v>
      </c>
      <c r="S47" s="182">
        <f>SUMIFS('Data Fertilizers'!$D:$D,'Data Fertilizers'!$P:$P,$B47,'Data Fertilizers'!$Q:$Q,"&lt;=-61",'Data Fertilizers'!$Q:$Q,"&gt;=-90")</f>
        <v>0</v>
      </c>
      <c r="T47" s="182">
        <f>SUMIFS('Data Fertilizers'!$D:$D,'Data Fertilizers'!$P:$P,$B47,'Data Fertilizers'!$Q:$Q,"&lt;=-91",'Data Fertilizers'!$Q:$Q,"&gt;=-120")</f>
        <v>0</v>
      </c>
      <c r="U47" s="182">
        <f>SUMIFS('Data Fertilizers'!$D:$D,'Data Fertilizers'!$P:$P,$B47,'Data Fertilizers'!$Q:$Q,"&lt;=-121",'Data Fertilizers'!$Q:$Q,"&gt;=-180")</f>
        <v>0</v>
      </c>
      <c r="V47" s="182">
        <f>SUMIFS('Data Fertilizers'!$D:$D,'Data Fertilizers'!$P:$P,$B47,'Data Fertilizers'!$Q:$Q,"&lt;=-181",'Data Fertilizers'!$Q:$Q,"&gt;=-360")</f>
        <v>0</v>
      </c>
      <c r="W47" s="187">
        <f>SUMIFS('Data Fertilizers'!$D:$D,'Data Fertilizers'!$P:$P,$B47,'Data Fertilizers'!$Q:$Q,"&lt;-360")</f>
        <v>0</v>
      </c>
      <c r="X47" s="237">
        <f>SUMIFS('Bad Debt Provision'!AB:AB,'Bad Debt Provision'!B:B,'Painel Fertilizers'!B47)</f>
        <v>0</v>
      </c>
      <c r="Y47" s="183"/>
      <c r="Z47" s="183"/>
      <c r="AA47" s="182">
        <f>_xlfn.XLOOKUP(B47,'Limite de crédito'!C:C,'Limite de crédito'!O:O,0)</f>
        <v>0</v>
      </c>
      <c r="AB47" s="182"/>
      <c r="AC47" s="184"/>
      <c r="AD47" s="185"/>
      <c r="AE47" s="185"/>
      <c r="AF47" s="183"/>
      <c r="AG47" s="182">
        <f>AA47-G47</f>
        <v>-184217.94</v>
      </c>
    </row>
    <row r="48" spans="2:34" s="169" customFormat="1" ht="12.6" customHeight="1" x14ac:dyDescent="0.25">
      <c r="B48" s="180" t="s">
        <v>577</v>
      </c>
      <c r="C48" s="242">
        <f>IFERROR(_xlfn.XLOOKUP(B48,'Limite de crédito'!C:C,'Limite de crédito'!L:L),0)</f>
        <v>0</v>
      </c>
      <c r="D48" s="186">
        <v>180</v>
      </c>
      <c r="E48" s="232">
        <f>_xlfn.XLOOKUP(B48,'Limite de crédito'!C:C,'Limite de crédito'!G:G,0)</f>
        <v>0</v>
      </c>
      <c r="F48" s="181">
        <f t="shared" ref="F48" si="25">E48-G48</f>
        <v>-739540.06</v>
      </c>
      <c r="G48" s="181">
        <f t="shared" ref="G48" si="26">P48+O48</f>
        <v>739540.06</v>
      </c>
      <c r="H48" s="182">
        <f>SUMIFS('Data Fertilizers'!$D:$D,'Data Fertilizers'!$P:$P,$B48,'Data Fertilizers'!$Q:$Q,"&gt;0",'Data Fertilizers'!$Q:$Q,"&lt;=30")</f>
        <v>0</v>
      </c>
      <c r="I48" s="182">
        <f>SUMIFS('Data Fertilizers'!$D:$D,'Data Fertilizers'!$P:$P,$B48,'Data Fertilizers'!$Q:$Q,"&gt;30",'Data Fertilizers'!$Q:$Q,"&lt;=60")</f>
        <v>0</v>
      </c>
      <c r="J48" s="182">
        <f>SUMIFS('Data Fertilizers'!$D:$D,'Data Fertilizers'!$P:$P,$B48,'Data Fertilizers'!$Q:$Q,"&gt;60",'Data Fertilizers'!$Q:$Q,"&lt;=90")</f>
        <v>0</v>
      </c>
      <c r="K48" s="182">
        <f>SUMIFS('Data Fertilizers'!$D:$D,'Data Fertilizers'!$P:$P,$B48,'Data Fertilizers'!$Q:$Q,"&gt;90",'Data Fertilizers'!$Q:$Q,"&lt;=120")</f>
        <v>0</v>
      </c>
      <c r="L48" s="182">
        <f>SUMIFS('Data Fertilizers'!$D:$D,'Data Fertilizers'!$P:$P,$B48,'Data Fertilizers'!$Q:$Q,"&gt;120",'Data Fertilizers'!$Q:$Q,"&lt;=180")</f>
        <v>0</v>
      </c>
      <c r="M48" s="182">
        <f>SUMIFS('Data Fertilizers'!$D:$D,'Data Fertilizers'!$P:$P,$B48,'Data Fertilizers'!$Q:$Q,"&gt;180",'Data Fertilizers'!$Q:$Q,"&lt;=360")</f>
        <v>0</v>
      </c>
      <c r="N48" s="187">
        <f>SUMIFS('Data Fertilizers'!$D:$D,'Data Fertilizers'!$P:$P,$B48,'Data Fertilizers'!$Q:$Q,"&gt;360")</f>
        <v>0</v>
      </c>
      <c r="O48" s="182">
        <f>SUMIFS('Data Fertilizers'!$D:$D,'Data Fertilizers'!$P:$P,$B48,'Data Fertilizers'!$Q:$Q,"&gt;0")</f>
        <v>0</v>
      </c>
      <c r="P48" s="182">
        <f t="shared" ref="P48" si="27">SUM(Q48:W48)</f>
        <v>739540.06</v>
      </c>
      <c r="Q48" s="182">
        <f>SUMIFS('Data Fertilizers'!$D:$D,'Data Fertilizers'!$P:$P,$B48,'Data Fertilizers'!$Q:$Q,"&lt;=0",'Data Fertilizers'!$Q:$Q,"&gt;=-30")</f>
        <v>0</v>
      </c>
      <c r="R48" s="182">
        <f>SUMIFS('Data Fertilizers'!$D:$D,'Data Fertilizers'!$P:$P,$B48,'Data Fertilizers'!$Q:$Q,"&lt;=-31",'Data Fertilizers'!$Q:$Q,"&gt;=-60")</f>
        <v>0</v>
      </c>
      <c r="S48" s="182">
        <f>SUMIFS('Data Fertilizers'!$D:$D,'Data Fertilizers'!$P:$P,$B48,'Data Fertilizers'!$Q:$Q,"&lt;=-61",'Data Fertilizers'!$Q:$Q,"&gt;=-90")</f>
        <v>0</v>
      </c>
      <c r="T48" s="182">
        <f>SUMIFS('Data Fertilizers'!$D:$D,'Data Fertilizers'!$P:$P,$B48,'Data Fertilizers'!$Q:$Q,"&lt;=-91",'Data Fertilizers'!$Q:$Q,"&gt;=-120")</f>
        <v>0</v>
      </c>
      <c r="U48" s="182">
        <f>SUMIFS('Data Fertilizers'!$D:$D,'Data Fertilizers'!$P:$P,$B48,'Data Fertilizers'!$Q:$Q,"&lt;=-121",'Data Fertilizers'!$Q:$Q,"&gt;=-180")</f>
        <v>739540.06</v>
      </c>
      <c r="V48" s="182">
        <f>SUMIFS('Data Fertilizers'!$D:$D,'Data Fertilizers'!$P:$P,$B48,'Data Fertilizers'!$Q:$Q,"&lt;=-181",'Data Fertilizers'!$Q:$Q,"&gt;=-360")</f>
        <v>0</v>
      </c>
      <c r="W48" s="187">
        <f>SUMIFS('Data Fertilizers'!$D:$D,'Data Fertilizers'!$P:$P,$B48,'Data Fertilizers'!$Q:$Q,"&lt;-360")</f>
        <v>0</v>
      </c>
      <c r="X48" s="237">
        <f>SUMIFS('Bad Debt Provision'!AB:AB,'Bad Debt Provision'!B:B,'Painel Fertilizers'!B48)</f>
        <v>0</v>
      </c>
      <c r="Y48" s="183"/>
      <c r="Z48" s="183"/>
      <c r="AA48" s="182">
        <f>_xlfn.XLOOKUP(B48,'Limite de crédito'!C:C,'Limite de crédito'!O:O,0)</f>
        <v>0</v>
      </c>
      <c r="AB48" s="182"/>
      <c r="AC48" s="184"/>
      <c r="AD48" s="185"/>
      <c r="AE48" s="185"/>
      <c r="AF48" s="183"/>
      <c r="AG48" s="182">
        <f t="shared" ref="AG48" si="28">AA48-G48</f>
        <v>-739540.06</v>
      </c>
    </row>
    <row r="49" spans="2:33" s="169" customFormat="1" ht="12.6" customHeight="1" x14ac:dyDescent="0.25">
      <c r="B49" s="180" t="s">
        <v>639</v>
      </c>
      <c r="C49" s="242">
        <f>IFERROR(_xlfn.XLOOKUP(B49,'Limite de crédito'!C:C,'Limite de crédito'!L:L),0)</f>
        <v>0</v>
      </c>
      <c r="D49" s="186">
        <v>180</v>
      </c>
      <c r="E49" s="232">
        <f>_xlfn.XLOOKUP(B49,'Limite de crédito'!C:C,'Limite de crédito'!G:G,0)</f>
        <v>0</v>
      </c>
      <c r="F49" s="181">
        <f t="shared" ref="F49" si="29">E49-G49</f>
        <v>0</v>
      </c>
      <c r="G49" s="181">
        <f t="shared" ref="G49" si="30">P49+O49</f>
        <v>0</v>
      </c>
      <c r="H49" s="182">
        <f>SUMIFS('Data Fertilizers'!$D:$D,'Data Fertilizers'!$P:$P,$B49,'Data Fertilizers'!$Q:$Q,"&gt;0",'Data Fertilizers'!$Q:$Q,"&lt;=30")</f>
        <v>0</v>
      </c>
      <c r="I49" s="182">
        <f>SUMIFS('Data Fertilizers'!$D:$D,'Data Fertilizers'!$P:$P,$B49,'Data Fertilizers'!$Q:$Q,"&gt;30",'Data Fertilizers'!$Q:$Q,"&lt;=60")</f>
        <v>0</v>
      </c>
      <c r="J49" s="182">
        <f>SUMIFS('Data Fertilizers'!$D:$D,'Data Fertilizers'!$P:$P,$B49,'Data Fertilizers'!$Q:$Q,"&gt;60",'Data Fertilizers'!$Q:$Q,"&lt;=90")</f>
        <v>0</v>
      </c>
      <c r="K49" s="182">
        <f>SUMIFS('Data Fertilizers'!$D:$D,'Data Fertilizers'!$P:$P,$B49,'Data Fertilizers'!$Q:$Q,"&gt;90",'Data Fertilizers'!$Q:$Q,"&lt;=120")</f>
        <v>0</v>
      </c>
      <c r="L49" s="182">
        <f>SUMIFS('Data Fertilizers'!$D:$D,'Data Fertilizers'!$P:$P,$B49,'Data Fertilizers'!$Q:$Q,"&gt;120",'Data Fertilizers'!$Q:$Q,"&lt;=180")</f>
        <v>0</v>
      </c>
      <c r="M49" s="182">
        <f>SUMIFS('Data Fertilizers'!$D:$D,'Data Fertilizers'!$P:$P,$B49,'Data Fertilizers'!$Q:$Q,"&gt;180",'Data Fertilizers'!$Q:$Q,"&lt;=360")</f>
        <v>0</v>
      </c>
      <c r="N49" s="187">
        <f>SUMIFS('Data Fertilizers'!$D:$D,'Data Fertilizers'!$P:$P,$B49,'Data Fertilizers'!$Q:$Q,"&gt;360")</f>
        <v>0</v>
      </c>
      <c r="O49" s="182">
        <f>SUMIFS('Data Fertilizers'!$D:$D,'Data Fertilizers'!$P:$P,$B49,'Data Fertilizers'!$Q:$Q,"&gt;0")</f>
        <v>0</v>
      </c>
      <c r="P49" s="182">
        <f t="shared" ref="P49" si="31">SUM(Q49:W49)</f>
        <v>0</v>
      </c>
      <c r="Q49" s="182">
        <f>SUMIFS('Data Fertilizers'!$D:$D,'Data Fertilizers'!$P:$P,$B49,'Data Fertilizers'!$Q:$Q,"&lt;=0",'Data Fertilizers'!$Q:$Q,"&gt;=-30")</f>
        <v>0</v>
      </c>
      <c r="R49" s="182">
        <f>SUMIFS('Data Fertilizers'!$D:$D,'Data Fertilizers'!$P:$P,$B49,'Data Fertilizers'!$Q:$Q,"&lt;=-31",'Data Fertilizers'!$Q:$Q,"&gt;=-60")</f>
        <v>0</v>
      </c>
      <c r="S49" s="182">
        <f>SUMIFS('Data Fertilizers'!$D:$D,'Data Fertilizers'!$P:$P,$B49,'Data Fertilizers'!$Q:$Q,"&lt;=-61",'Data Fertilizers'!$Q:$Q,"&gt;=-90")</f>
        <v>0</v>
      </c>
      <c r="T49" s="182">
        <f>SUMIFS('Data Fertilizers'!$D:$D,'Data Fertilizers'!$P:$P,$B49,'Data Fertilizers'!$Q:$Q,"&lt;=-91",'Data Fertilizers'!$Q:$Q,"&gt;=-120")</f>
        <v>0</v>
      </c>
      <c r="U49" s="182">
        <f>SUMIFS('Data Fertilizers'!$D:$D,'Data Fertilizers'!$P:$P,$B49,'Data Fertilizers'!$Q:$Q,"&lt;=-121",'Data Fertilizers'!$Q:$Q,"&gt;=-180")</f>
        <v>0</v>
      </c>
      <c r="V49" s="182">
        <f>SUMIFS('Data Fertilizers'!$D:$D,'Data Fertilizers'!$P:$P,$B49,'Data Fertilizers'!$Q:$Q,"&lt;=-181",'Data Fertilizers'!$Q:$Q,"&gt;=-360")</f>
        <v>0</v>
      </c>
      <c r="W49" s="187">
        <f>SUMIFS('Data Fertilizers'!$D:$D,'Data Fertilizers'!$P:$P,$B49,'Data Fertilizers'!$Q:$Q,"&lt;-360")</f>
        <v>0</v>
      </c>
      <c r="X49" s="237">
        <f>SUMIFS('Bad Debt Provision'!AB:AB,'Bad Debt Provision'!B:B,'Painel Fertilizers'!B49)</f>
        <v>0</v>
      </c>
      <c r="Y49" s="183"/>
      <c r="Z49" s="183"/>
      <c r="AA49" s="182">
        <f>_xlfn.XLOOKUP(B49,'Limite de crédito'!C:C,'Limite de crédito'!O:O,0)</f>
        <v>0</v>
      </c>
      <c r="AB49" s="182"/>
      <c r="AC49" s="184"/>
      <c r="AD49" s="185"/>
      <c r="AE49" s="185"/>
      <c r="AF49" s="183"/>
      <c r="AG49" s="182">
        <f t="shared" ref="AG49" si="32">AA49-G49</f>
        <v>0</v>
      </c>
    </row>
    <row r="50" spans="2:33" s="169" customFormat="1" ht="12.6" customHeight="1" x14ac:dyDescent="0.25">
      <c r="B50" s="180" t="s">
        <v>622</v>
      </c>
      <c r="C50" s="242" t="str">
        <f>IFERROR(_xlfn.XLOOKUP(B50,'Limite de crédito'!C:C,'Limite de crédito'!L:L),0)</f>
        <v>B</v>
      </c>
      <c r="D50" s="186">
        <v>180</v>
      </c>
      <c r="E50" s="232">
        <f>_xlfn.XLOOKUP(B50,'Limite de crédito'!C:C,'Limite de crédito'!G:G,0)</f>
        <v>750000</v>
      </c>
      <c r="F50" s="181">
        <f t="shared" ref="F50:F55" si="33">E50-G50</f>
        <v>750000</v>
      </c>
      <c r="G50" s="181">
        <f t="shared" ref="G50:G55" si="34">P50+O50</f>
        <v>0</v>
      </c>
      <c r="H50" s="182">
        <f>SUMIFS('Data Fertilizers'!$D:$D,'Data Fertilizers'!$P:$P,$B50,'Data Fertilizers'!$Q:$Q,"&gt;0",'Data Fertilizers'!$Q:$Q,"&lt;=30")</f>
        <v>0</v>
      </c>
      <c r="I50" s="182">
        <f>SUMIFS('Data Fertilizers'!$D:$D,'Data Fertilizers'!$P:$P,$B50,'Data Fertilizers'!$Q:$Q,"&gt;30",'Data Fertilizers'!$Q:$Q,"&lt;=60")</f>
        <v>0</v>
      </c>
      <c r="J50" s="182">
        <f>SUMIFS('Data Fertilizers'!$D:$D,'Data Fertilizers'!$P:$P,$B50,'Data Fertilizers'!$Q:$Q,"&gt;60",'Data Fertilizers'!$Q:$Q,"&lt;=90")</f>
        <v>0</v>
      </c>
      <c r="K50" s="182">
        <f>SUMIFS('Data Fertilizers'!$D:$D,'Data Fertilizers'!$P:$P,$B50,'Data Fertilizers'!$Q:$Q,"&gt;90",'Data Fertilizers'!$Q:$Q,"&lt;=120")</f>
        <v>0</v>
      </c>
      <c r="L50" s="182">
        <f>SUMIFS('Data Fertilizers'!$D:$D,'Data Fertilizers'!$P:$P,$B50,'Data Fertilizers'!$Q:$Q,"&gt;120",'Data Fertilizers'!$Q:$Q,"&lt;=180")</f>
        <v>0</v>
      </c>
      <c r="M50" s="182">
        <f>SUMIFS('Data Fertilizers'!$D:$D,'Data Fertilizers'!$P:$P,$B50,'Data Fertilizers'!$Q:$Q,"&gt;180",'Data Fertilizers'!$Q:$Q,"&lt;=360")</f>
        <v>0</v>
      </c>
      <c r="N50" s="187">
        <f>SUMIFS('Data Fertilizers'!$D:$D,'Data Fertilizers'!$P:$P,$B50,'Data Fertilizers'!$Q:$Q,"&gt;360")</f>
        <v>0</v>
      </c>
      <c r="O50" s="182">
        <f>SUMIFS('Data Fertilizers'!$D:$D,'Data Fertilizers'!$P:$P,$B50,'Data Fertilizers'!$Q:$Q,"&gt;0")</f>
        <v>0</v>
      </c>
      <c r="P50" s="182">
        <f t="shared" ref="P50:P55" si="35">SUM(Q50:W50)</f>
        <v>0</v>
      </c>
      <c r="Q50" s="182">
        <f>SUMIFS('Data Fertilizers'!$D:$D,'Data Fertilizers'!$P:$P,$B50,'Data Fertilizers'!$Q:$Q,"&lt;=0",'Data Fertilizers'!$Q:$Q,"&gt;=-30")</f>
        <v>0</v>
      </c>
      <c r="R50" s="182">
        <f>SUMIFS('Data Fertilizers'!$D:$D,'Data Fertilizers'!$P:$P,$B50,'Data Fertilizers'!$Q:$Q,"&lt;=-31",'Data Fertilizers'!$Q:$Q,"&gt;=-60")</f>
        <v>0</v>
      </c>
      <c r="S50" s="182">
        <f>SUMIFS('Data Fertilizers'!$D:$D,'Data Fertilizers'!$P:$P,$B50,'Data Fertilizers'!$Q:$Q,"&lt;=-61",'Data Fertilizers'!$Q:$Q,"&gt;=-90")</f>
        <v>0</v>
      </c>
      <c r="T50" s="182">
        <f>SUMIFS('Data Fertilizers'!$D:$D,'Data Fertilizers'!$P:$P,$B50,'Data Fertilizers'!$Q:$Q,"&lt;=-91",'Data Fertilizers'!$Q:$Q,"&gt;=-120")</f>
        <v>0</v>
      </c>
      <c r="U50" s="182">
        <f>SUMIFS('Data Fertilizers'!$D:$D,'Data Fertilizers'!$P:$P,$B50,'Data Fertilizers'!$Q:$Q,"&lt;=-121",'Data Fertilizers'!$Q:$Q,"&gt;=-180")</f>
        <v>0</v>
      </c>
      <c r="V50" s="182">
        <f>SUMIFS('Data Fertilizers'!$D:$D,'Data Fertilizers'!$P:$P,$B50,'Data Fertilizers'!$Q:$Q,"&lt;=-181",'Data Fertilizers'!$Q:$Q,"&gt;=-360")</f>
        <v>0</v>
      </c>
      <c r="W50" s="187">
        <f>SUMIFS('Data Fertilizers'!$D:$D,'Data Fertilizers'!$P:$P,$B50,'Data Fertilizers'!$Q:$Q,"&lt;-360")</f>
        <v>0</v>
      </c>
      <c r="X50" s="237">
        <f>SUMIFS('Bad Debt Provision'!AB:AB,'Bad Debt Provision'!B:B,'Painel Fertilizers'!B50)</f>
        <v>0</v>
      </c>
      <c r="Y50" s="183"/>
      <c r="Z50" s="183"/>
      <c r="AA50" s="182">
        <f>_xlfn.XLOOKUP(B50,'Limite de crédito'!C:C,'Limite de crédito'!O:O,0)</f>
        <v>750000</v>
      </c>
      <c r="AB50" s="182"/>
      <c r="AC50" s="184"/>
      <c r="AD50" s="185"/>
      <c r="AE50" s="185"/>
      <c r="AF50" s="183"/>
      <c r="AG50" s="182">
        <f t="shared" ref="AG50:AG55" si="36">AA50-G50</f>
        <v>750000</v>
      </c>
    </row>
    <row r="51" spans="2:33" s="169" customFormat="1" ht="12.6" customHeight="1" x14ac:dyDescent="0.25">
      <c r="B51" s="180" t="s">
        <v>645</v>
      </c>
      <c r="C51" s="242">
        <f>IFERROR(_xlfn.XLOOKUP(B51,'Limite de crédito'!C:C,'Limite de crédito'!L:L),0)</f>
        <v>0</v>
      </c>
      <c r="D51" s="186">
        <v>180</v>
      </c>
      <c r="E51" s="232">
        <f>_xlfn.XLOOKUP(B51,'Limite de crédito'!C:C,'Limite de crédito'!G:G,0)</f>
        <v>0</v>
      </c>
      <c r="F51" s="181">
        <f t="shared" si="33"/>
        <v>0</v>
      </c>
      <c r="G51" s="181">
        <f t="shared" si="34"/>
        <v>0</v>
      </c>
      <c r="H51" s="182">
        <f>SUMIFS('Data Fertilizers'!$D:$D,'Data Fertilizers'!$P:$P,$B51,'Data Fertilizers'!$Q:$Q,"&gt;0",'Data Fertilizers'!$Q:$Q,"&lt;=30")</f>
        <v>0</v>
      </c>
      <c r="I51" s="182">
        <f>SUMIFS('Data Fertilizers'!$D:$D,'Data Fertilizers'!$P:$P,$B51,'Data Fertilizers'!$Q:$Q,"&gt;30",'Data Fertilizers'!$Q:$Q,"&lt;=60")</f>
        <v>0</v>
      </c>
      <c r="J51" s="182">
        <f>SUMIFS('Data Fertilizers'!$D:$D,'Data Fertilizers'!$P:$P,$B51,'Data Fertilizers'!$Q:$Q,"&gt;60",'Data Fertilizers'!$Q:$Q,"&lt;=90")</f>
        <v>0</v>
      </c>
      <c r="K51" s="182">
        <f>SUMIFS('Data Fertilizers'!$D:$D,'Data Fertilizers'!$P:$P,$B51,'Data Fertilizers'!$Q:$Q,"&gt;90",'Data Fertilizers'!$Q:$Q,"&lt;=120")</f>
        <v>0</v>
      </c>
      <c r="L51" s="182">
        <f>SUMIFS('Data Fertilizers'!$D:$D,'Data Fertilizers'!$P:$P,$B51,'Data Fertilizers'!$Q:$Q,"&gt;120",'Data Fertilizers'!$Q:$Q,"&lt;=180")</f>
        <v>0</v>
      </c>
      <c r="M51" s="182">
        <f>SUMIFS('Data Fertilizers'!$D:$D,'Data Fertilizers'!$P:$P,$B51,'Data Fertilizers'!$Q:$Q,"&gt;180",'Data Fertilizers'!$Q:$Q,"&lt;=360")</f>
        <v>0</v>
      </c>
      <c r="N51" s="187">
        <f>SUMIFS('Data Fertilizers'!$D:$D,'Data Fertilizers'!$P:$P,$B51,'Data Fertilizers'!$Q:$Q,"&gt;360")</f>
        <v>0</v>
      </c>
      <c r="O51" s="182">
        <f>SUMIFS('Data Fertilizers'!$D:$D,'Data Fertilizers'!$P:$P,$B51,'Data Fertilizers'!$Q:$Q,"&gt;0")</f>
        <v>0</v>
      </c>
      <c r="P51" s="182">
        <f t="shared" si="35"/>
        <v>0</v>
      </c>
      <c r="Q51" s="182">
        <f>SUMIFS('Data Fertilizers'!$D:$D,'Data Fertilizers'!$P:$P,$B51,'Data Fertilizers'!$Q:$Q,"&lt;=0",'Data Fertilizers'!$Q:$Q,"&gt;=-30")</f>
        <v>0</v>
      </c>
      <c r="R51" s="182">
        <f>SUMIFS('Data Fertilizers'!$D:$D,'Data Fertilizers'!$P:$P,$B51,'Data Fertilizers'!$Q:$Q,"&lt;=-31",'Data Fertilizers'!$Q:$Q,"&gt;=-60")</f>
        <v>0</v>
      </c>
      <c r="S51" s="182">
        <f>SUMIFS('Data Fertilizers'!$D:$D,'Data Fertilizers'!$P:$P,$B51,'Data Fertilizers'!$Q:$Q,"&lt;=-61",'Data Fertilizers'!$Q:$Q,"&gt;=-90")</f>
        <v>0</v>
      </c>
      <c r="T51" s="182">
        <f>SUMIFS('Data Fertilizers'!$D:$D,'Data Fertilizers'!$P:$P,$B51,'Data Fertilizers'!$Q:$Q,"&lt;=-91",'Data Fertilizers'!$Q:$Q,"&gt;=-120")</f>
        <v>0</v>
      </c>
      <c r="U51" s="182">
        <f>SUMIFS('Data Fertilizers'!$D:$D,'Data Fertilizers'!$P:$P,$B51,'Data Fertilizers'!$Q:$Q,"&lt;=-121",'Data Fertilizers'!$Q:$Q,"&gt;=-180")</f>
        <v>0</v>
      </c>
      <c r="V51" s="182">
        <f>SUMIFS('Data Fertilizers'!$D:$D,'Data Fertilizers'!$P:$P,$B51,'Data Fertilizers'!$Q:$Q,"&lt;=-181",'Data Fertilizers'!$Q:$Q,"&gt;=-360")</f>
        <v>0</v>
      </c>
      <c r="W51" s="187">
        <f>SUMIFS('Data Fertilizers'!$D:$D,'Data Fertilizers'!$P:$P,$B51,'Data Fertilizers'!$Q:$Q,"&lt;-360")</f>
        <v>0</v>
      </c>
      <c r="X51" s="237">
        <f>SUMIFS('Bad Debt Provision'!AB:AB,'Bad Debt Provision'!B:B,'Painel Fertilizers'!B51)</f>
        <v>0</v>
      </c>
      <c r="Y51" s="183"/>
      <c r="Z51" s="183"/>
      <c r="AA51" s="182">
        <f>_xlfn.XLOOKUP(B51,'Limite de crédito'!C:C,'Limite de crédito'!O:O,0)</f>
        <v>0</v>
      </c>
      <c r="AB51" s="182"/>
      <c r="AC51" s="184"/>
      <c r="AD51" s="185"/>
      <c r="AE51" s="185"/>
      <c r="AF51" s="183"/>
      <c r="AG51" s="182">
        <f t="shared" si="36"/>
        <v>0</v>
      </c>
    </row>
    <row r="52" spans="2:33" s="169" customFormat="1" ht="12.6" customHeight="1" x14ac:dyDescent="0.25">
      <c r="B52" s="180" t="s">
        <v>652</v>
      </c>
      <c r="C52" s="242" t="str">
        <f>IFERROR(_xlfn.XLOOKUP(B52,'Limite de crédito'!C:C,'Limite de crédito'!L:L),0)</f>
        <v>B</v>
      </c>
      <c r="D52" s="186">
        <v>180</v>
      </c>
      <c r="E52" s="232">
        <f>_xlfn.XLOOKUP(B52,'Limite de crédito'!C:C,'Limite de crédito'!G:G,0)</f>
        <v>50000</v>
      </c>
      <c r="F52" s="181">
        <f t="shared" si="33"/>
        <v>50000</v>
      </c>
      <c r="G52" s="181">
        <f t="shared" si="34"/>
        <v>0</v>
      </c>
      <c r="H52" s="182">
        <f>SUMIFS('Data Fertilizers'!$D:$D,'Data Fertilizers'!$P:$P,$B52,'Data Fertilizers'!$Q:$Q,"&gt;0",'Data Fertilizers'!$Q:$Q,"&lt;=30")</f>
        <v>0</v>
      </c>
      <c r="I52" s="182">
        <f>SUMIFS('Data Fertilizers'!$D:$D,'Data Fertilizers'!$P:$P,$B52,'Data Fertilizers'!$Q:$Q,"&gt;30",'Data Fertilizers'!$Q:$Q,"&lt;=60")</f>
        <v>0</v>
      </c>
      <c r="J52" s="182">
        <f>SUMIFS('Data Fertilizers'!$D:$D,'Data Fertilizers'!$P:$P,$B52,'Data Fertilizers'!$Q:$Q,"&gt;60",'Data Fertilizers'!$Q:$Q,"&lt;=90")</f>
        <v>0</v>
      </c>
      <c r="K52" s="182">
        <f>SUMIFS('Data Fertilizers'!$D:$D,'Data Fertilizers'!$P:$P,$B52,'Data Fertilizers'!$Q:$Q,"&gt;90",'Data Fertilizers'!$Q:$Q,"&lt;=120")</f>
        <v>0</v>
      </c>
      <c r="L52" s="182">
        <f>SUMIFS('Data Fertilizers'!$D:$D,'Data Fertilizers'!$P:$P,$B52,'Data Fertilizers'!$Q:$Q,"&gt;120",'Data Fertilizers'!$Q:$Q,"&lt;=180")</f>
        <v>0</v>
      </c>
      <c r="M52" s="182">
        <f>SUMIFS('Data Fertilizers'!$D:$D,'Data Fertilizers'!$P:$P,$B52,'Data Fertilizers'!$Q:$Q,"&gt;180",'Data Fertilizers'!$Q:$Q,"&lt;=360")</f>
        <v>0</v>
      </c>
      <c r="N52" s="187">
        <f>SUMIFS('Data Fertilizers'!$D:$D,'Data Fertilizers'!$P:$P,$B52,'Data Fertilizers'!$Q:$Q,"&gt;360")</f>
        <v>0</v>
      </c>
      <c r="O52" s="182">
        <f>SUMIFS('Data Fertilizers'!$D:$D,'Data Fertilizers'!$P:$P,$B52,'Data Fertilizers'!$Q:$Q,"&gt;0")</f>
        <v>0</v>
      </c>
      <c r="P52" s="182">
        <f t="shared" si="35"/>
        <v>0</v>
      </c>
      <c r="Q52" s="182">
        <f>SUMIFS('Data Fertilizers'!$D:$D,'Data Fertilizers'!$P:$P,$B52,'Data Fertilizers'!$Q:$Q,"&lt;=0",'Data Fertilizers'!$Q:$Q,"&gt;=-30")</f>
        <v>0</v>
      </c>
      <c r="R52" s="182">
        <f>SUMIFS('Data Fertilizers'!$D:$D,'Data Fertilizers'!$P:$P,$B52,'Data Fertilizers'!$Q:$Q,"&lt;=-31",'Data Fertilizers'!$Q:$Q,"&gt;=-60")</f>
        <v>0</v>
      </c>
      <c r="S52" s="182">
        <f>SUMIFS('Data Fertilizers'!$D:$D,'Data Fertilizers'!$P:$P,$B52,'Data Fertilizers'!$Q:$Q,"&lt;=-61",'Data Fertilizers'!$Q:$Q,"&gt;=-90")</f>
        <v>0</v>
      </c>
      <c r="T52" s="182">
        <f>SUMIFS('Data Fertilizers'!$D:$D,'Data Fertilizers'!$P:$P,$B52,'Data Fertilizers'!$Q:$Q,"&lt;=-91",'Data Fertilizers'!$Q:$Q,"&gt;=-120")</f>
        <v>0</v>
      </c>
      <c r="U52" s="182">
        <f>SUMIFS('Data Fertilizers'!$D:$D,'Data Fertilizers'!$P:$P,$B52,'Data Fertilizers'!$Q:$Q,"&lt;=-121",'Data Fertilizers'!$Q:$Q,"&gt;=-180")</f>
        <v>0</v>
      </c>
      <c r="V52" s="182">
        <f>SUMIFS('Data Fertilizers'!$D:$D,'Data Fertilizers'!$P:$P,$B52,'Data Fertilizers'!$Q:$Q,"&lt;=-181",'Data Fertilizers'!$Q:$Q,"&gt;=-360")</f>
        <v>0</v>
      </c>
      <c r="W52" s="187">
        <f>SUMIFS('Data Fertilizers'!$D:$D,'Data Fertilizers'!$P:$P,$B52,'Data Fertilizers'!$Q:$Q,"&lt;-360")</f>
        <v>0</v>
      </c>
      <c r="X52" s="237">
        <f>SUMIFS('Bad Debt Provision'!AB:AB,'Bad Debt Provision'!B:B,'Painel Fertilizers'!B52)</f>
        <v>0</v>
      </c>
      <c r="Y52" s="183"/>
      <c r="Z52" s="183"/>
      <c r="AA52" s="182">
        <f>_xlfn.XLOOKUP(B52,'Limite de crédito'!C:C,'Limite de crédito'!O:O,0)</f>
        <v>50000</v>
      </c>
      <c r="AB52" s="182"/>
      <c r="AC52" s="184"/>
      <c r="AD52" s="185"/>
      <c r="AE52" s="185"/>
      <c r="AF52" s="183"/>
      <c r="AG52" s="182">
        <f t="shared" si="36"/>
        <v>50000</v>
      </c>
    </row>
    <row r="53" spans="2:33" s="169" customFormat="1" ht="12.6" customHeight="1" x14ac:dyDescent="0.25">
      <c r="B53" s="180" t="s">
        <v>667</v>
      </c>
      <c r="C53" s="242">
        <f>IFERROR(_xlfn.XLOOKUP(B53,'Limite de crédito'!C:C,'Limite de crédito'!L:L),0)</f>
        <v>0</v>
      </c>
      <c r="D53" s="186">
        <v>180</v>
      </c>
      <c r="E53" s="232">
        <f>_xlfn.XLOOKUP(B53,'Limite de crédito'!C:C,'Limite de crédito'!G:G,0)</f>
        <v>0</v>
      </c>
      <c r="F53" s="181">
        <f t="shared" si="33"/>
        <v>0</v>
      </c>
      <c r="G53" s="181">
        <f t="shared" si="34"/>
        <v>0</v>
      </c>
      <c r="H53" s="182">
        <f>SUMIFS('Data Fertilizers'!$D:$D,'Data Fertilizers'!$P:$P,$B53,'Data Fertilizers'!$Q:$Q,"&gt;0",'Data Fertilizers'!$Q:$Q,"&lt;=30")</f>
        <v>0</v>
      </c>
      <c r="I53" s="182">
        <f>SUMIFS('Data Fertilizers'!$D:$D,'Data Fertilizers'!$P:$P,$B53,'Data Fertilizers'!$Q:$Q,"&gt;30",'Data Fertilizers'!$Q:$Q,"&lt;=60")</f>
        <v>0</v>
      </c>
      <c r="J53" s="182">
        <f>SUMIFS('Data Fertilizers'!$D:$D,'Data Fertilizers'!$P:$P,$B53,'Data Fertilizers'!$Q:$Q,"&gt;60",'Data Fertilizers'!$Q:$Q,"&lt;=90")</f>
        <v>0</v>
      </c>
      <c r="K53" s="182">
        <f>SUMIFS('Data Fertilizers'!$D:$D,'Data Fertilizers'!$P:$P,$B53,'Data Fertilizers'!$Q:$Q,"&gt;90",'Data Fertilizers'!$Q:$Q,"&lt;=120")</f>
        <v>0</v>
      </c>
      <c r="L53" s="182">
        <f>SUMIFS('Data Fertilizers'!$D:$D,'Data Fertilizers'!$P:$P,$B53,'Data Fertilizers'!$Q:$Q,"&gt;120",'Data Fertilizers'!$Q:$Q,"&lt;=180")</f>
        <v>0</v>
      </c>
      <c r="M53" s="182">
        <f>SUMIFS('Data Fertilizers'!$D:$D,'Data Fertilizers'!$P:$P,$B53,'Data Fertilizers'!$Q:$Q,"&gt;180",'Data Fertilizers'!$Q:$Q,"&lt;=360")</f>
        <v>0</v>
      </c>
      <c r="N53" s="187">
        <f>SUMIFS('Data Fertilizers'!$D:$D,'Data Fertilizers'!$P:$P,$B53,'Data Fertilizers'!$Q:$Q,"&gt;360")</f>
        <v>0</v>
      </c>
      <c r="O53" s="182">
        <f>SUMIFS('Data Fertilizers'!$D:$D,'Data Fertilizers'!$P:$P,$B53,'Data Fertilizers'!$Q:$Q,"&gt;0")</f>
        <v>0</v>
      </c>
      <c r="P53" s="182">
        <f t="shared" si="35"/>
        <v>0</v>
      </c>
      <c r="Q53" s="182">
        <f>SUMIFS('Data Fertilizers'!$D:$D,'Data Fertilizers'!$P:$P,$B53,'Data Fertilizers'!$Q:$Q,"&lt;=0",'Data Fertilizers'!$Q:$Q,"&gt;=-30")</f>
        <v>0</v>
      </c>
      <c r="R53" s="182">
        <f>SUMIFS('Data Fertilizers'!$D:$D,'Data Fertilizers'!$P:$P,$B53,'Data Fertilizers'!$Q:$Q,"&lt;=-31",'Data Fertilizers'!$Q:$Q,"&gt;=-60")</f>
        <v>0</v>
      </c>
      <c r="S53" s="182">
        <f>SUMIFS('Data Fertilizers'!$D:$D,'Data Fertilizers'!$P:$P,$B53,'Data Fertilizers'!$Q:$Q,"&lt;=-61",'Data Fertilizers'!$Q:$Q,"&gt;=-90")</f>
        <v>0</v>
      </c>
      <c r="T53" s="182">
        <f>SUMIFS('Data Fertilizers'!$D:$D,'Data Fertilizers'!$P:$P,$B53,'Data Fertilizers'!$Q:$Q,"&lt;=-91",'Data Fertilizers'!$Q:$Q,"&gt;=-120")</f>
        <v>0</v>
      </c>
      <c r="U53" s="182">
        <f>SUMIFS('Data Fertilizers'!$D:$D,'Data Fertilizers'!$P:$P,$B53,'Data Fertilizers'!$Q:$Q,"&lt;=-121",'Data Fertilizers'!$Q:$Q,"&gt;=-180")</f>
        <v>0</v>
      </c>
      <c r="V53" s="182">
        <f>SUMIFS('Data Fertilizers'!$D:$D,'Data Fertilizers'!$P:$P,$B53,'Data Fertilizers'!$Q:$Q,"&lt;=-181",'Data Fertilizers'!$Q:$Q,"&gt;=-360")</f>
        <v>0</v>
      </c>
      <c r="W53" s="187">
        <f>SUMIFS('Data Fertilizers'!$D:$D,'Data Fertilizers'!$P:$P,$B53,'Data Fertilizers'!$Q:$Q,"&lt;-360")</f>
        <v>0</v>
      </c>
      <c r="X53" s="237">
        <f>SUMIFS('Bad Debt Provision'!AB:AB,'Bad Debt Provision'!B:B,'Painel Fertilizers'!B53)</f>
        <v>0</v>
      </c>
      <c r="Y53" s="183"/>
      <c r="Z53" s="183"/>
      <c r="AA53" s="182">
        <f>_xlfn.XLOOKUP(B53,'Limite de crédito'!C:C,'Limite de crédito'!O:O,0)</f>
        <v>0</v>
      </c>
      <c r="AB53" s="182"/>
      <c r="AC53" s="184"/>
      <c r="AD53" s="185"/>
      <c r="AE53" s="185"/>
      <c r="AF53" s="183"/>
      <c r="AG53" s="182">
        <f t="shared" si="36"/>
        <v>0</v>
      </c>
    </row>
    <row r="54" spans="2:33" s="169" customFormat="1" ht="12.6" customHeight="1" x14ac:dyDescent="0.25">
      <c r="B54" s="180" t="s">
        <v>662</v>
      </c>
      <c r="C54" s="242" t="str">
        <f>IFERROR(_xlfn.XLOOKUP(B54,'Limite de crédito'!C:C,'Limite de crédito'!L:L),0)</f>
        <v>B</v>
      </c>
      <c r="D54" s="186">
        <v>180</v>
      </c>
      <c r="E54" s="232">
        <f>_xlfn.XLOOKUP(B54,'Limite de crédito'!C:C,'Limite de crédito'!G:G,0)</f>
        <v>1200000</v>
      </c>
      <c r="F54" s="181">
        <f t="shared" si="33"/>
        <v>1200000</v>
      </c>
      <c r="G54" s="181">
        <f t="shared" si="34"/>
        <v>0</v>
      </c>
      <c r="H54" s="182">
        <f>SUMIFS('Data Fertilizers'!$D:$D,'Data Fertilizers'!$P:$P,$B54,'Data Fertilizers'!$Q:$Q,"&gt;0",'Data Fertilizers'!$Q:$Q,"&lt;=30")</f>
        <v>0</v>
      </c>
      <c r="I54" s="182">
        <f>SUMIFS('Data Fertilizers'!$D:$D,'Data Fertilizers'!$P:$P,$B54,'Data Fertilizers'!$Q:$Q,"&gt;30",'Data Fertilizers'!$Q:$Q,"&lt;=60")</f>
        <v>0</v>
      </c>
      <c r="J54" s="182">
        <f>SUMIFS('Data Fertilizers'!$D:$D,'Data Fertilizers'!$P:$P,$B54,'Data Fertilizers'!$Q:$Q,"&gt;60",'Data Fertilizers'!$Q:$Q,"&lt;=90")</f>
        <v>0</v>
      </c>
      <c r="K54" s="182">
        <f>SUMIFS('Data Fertilizers'!$D:$D,'Data Fertilizers'!$P:$P,$B54,'Data Fertilizers'!$Q:$Q,"&gt;90",'Data Fertilizers'!$Q:$Q,"&lt;=120")</f>
        <v>0</v>
      </c>
      <c r="L54" s="182">
        <f>SUMIFS('Data Fertilizers'!$D:$D,'Data Fertilizers'!$P:$P,$B54,'Data Fertilizers'!$Q:$Q,"&gt;120",'Data Fertilizers'!$Q:$Q,"&lt;=180")</f>
        <v>0</v>
      </c>
      <c r="M54" s="182">
        <f>SUMIFS('Data Fertilizers'!$D:$D,'Data Fertilizers'!$P:$P,$B54,'Data Fertilizers'!$Q:$Q,"&gt;180",'Data Fertilizers'!$Q:$Q,"&lt;=360")</f>
        <v>0</v>
      </c>
      <c r="N54" s="187">
        <f>SUMIFS('Data Fertilizers'!$D:$D,'Data Fertilizers'!$P:$P,$B54,'Data Fertilizers'!$Q:$Q,"&gt;360")</f>
        <v>0</v>
      </c>
      <c r="O54" s="182">
        <f>SUMIFS('Data Fertilizers'!$D:$D,'Data Fertilizers'!$P:$P,$B54,'Data Fertilizers'!$Q:$Q,"&gt;0")</f>
        <v>0</v>
      </c>
      <c r="P54" s="182">
        <f t="shared" si="35"/>
        <v>0</v>
      </c>
      <c r="Q54" s="182">
        <f>SUMIFS('Data Fertilizers'!$D:$D,'Data Fertilizers'!$P:$P,$B54,'Data Fertilizers'!$Q:$Q,"&lt;=0",'Data Fertilizers'!$Q:$Q,"&gt;=-30")</f>
        <v>0</v>
      </c>
      <c r="R54" s="182">
        <f>SUMIFS('Data Fertilizers'!$D:$D,'Data Fertilizers'!$P:$P,$B54,'Data Fertilizers'!$Q:$Q,"&lt;=-31",'Data Fertilizers'!$Q:$Q,"&gt;=-60")</f>
        <v>0</v>
      </c>
      <c r="S54" s="182">
        <f>SUMIFS('Data Fertilizers'!$D:$D,'Data Fertilizers'!$P:$P,$B54,'Data Fertilizers'!$Q:$Q,"&lt;=-61",'Data Fertilizers'!$Q:$Q,"&gt;=-90")</f>
        <v>0</v>
      </c>
      <c r="T54" s="182">
        <f>SUMIFS('Data Fertilizers'!$D:$D,'Data Fertilizers'!$P:$P,$B54,'Data Fertilizers'!$Q:$Q,"&lt;=-91",'Data Fertilizers'!$Q:$Q,"&gt;=-120")</f>
        <v>0</v>
      </c>
      <c r="U54" s="182">
        <f>SUMIFS('Data Fertilizers'!$D:$D,'Data Fertilizers'!$P:$P,$B54,'Data Fertilizers'!$Q:$Q,"&lt;=-121",'Data Fertilizers'!$Q:$Q,"&gt;=-180")</f>
        <v>0</v>
      </c>
      <c r="V54" s="182">
        <f>SUMIFS('Data Fertilizers'!$D:$D,'Data Fertilizers'!$P:$P,$B54,'Data Fertilizers'!$Q:$Q,"&lt;=-181",'Data Fertilizers'!$Q:$Q,"&gt;=-360")</f>
        <v>0</v>
      </c>
      <c r="W54" s="187">
        <f>SUMIFS('Data Fertilizers'!$D:$D,'Data Fertilizers'!$P:$P,$B54,'Data Fertilizers'!$Q:$Q,"&lt;-360")</f>
        <v>0</v>
      </c>
      <c r="X54" s="237">
        <f>SUMIFS('Bad Debt Provision'!AB:AB,'Bad Debt Provision'!B:B,'Painel Fertilizers'!B54)</f>
        <v>0</v>
      </c>
      <c r="Y54" s="183"/>
      <c r="Z54" s="183"/>
      <c r="AA54" s="182">
        <f>_xlfn.XLOOKUP(B54,'Limite de crédito'!C:C,'Limite de crédito'!O:O,0)</f>
        <v>500000</v>
      </c>
      <c r="AB54" s="182"/>
      <c r="AC54" s="184"/>
      <c r="AD54" s="185"/>
      <c r="AE54" s="185"/>
      <c r="AF54" s="183"/>
      <c r="AG54" s="182">
        <f t="shared" si="36"/>
        <v>500000</v>
      </c>
    </row>
    <row r="55" spans="2:33" s="169" customFormat="1" ht="12.6" customHeight="1" x14ac:dyDescent="0.25">
      <c r="B55" s="180" t="s">
        <v>905</v>
      </c>
      <c r="C55" s="242" t="str">
        <f>IFERROR(_xlfn.XLOOKUP(B55,'Limite de crédito'!C:C,'Limite de crédito'!L:L),0)</f>
        <v>B</v>
      </c>
      <c r="D55" s="186">
        <v>180</v>
      </c>
      <c r="E55" s="232">
        <f>_xlfn.XLOOKUP(B55,'Limite de crédito'!C:C,'Limite de crédito'!G:G,0)</f>
        <v>3000000</v>
      </c>
      <c r="F55" s="181">
        <f t="shared" si="33"/>
        <v>2265046.5299999998</v>
      </c>
      <c r="G55" s="181">
        <f t="shared" si="34"/>
        <v>734953.47000000009</v>
      </c>
      <c r="H55" s="182">
        <f>SUMIFS('Data Fertilizers'!$D:$D,'Data Fertilizers'!$P:$P,$B55,'Data Fertilizers'!$Q:$Q,"&gt;0",'Data Fertilizers'!$Q:$Q,"&lt;=30")</f>
        <v>0</v>
      </c>
      <c r="I55" s="182">
        <f>SUMIFS('Data Fertilizers'!$D:$D,'Data Fertilizers'!$P:$P,$B55,'Data Fertilizers'!$Q:$Q,"&gt;30",'Data Fertilizers'!$Q:$Q,"&lt;=60")</f>
        <v>0</v>
      </c>
      <c r="J55" s="182">
        <f>SUMIFS('Data Fertilizers'!$D:$D,'Data Fertilizers'!$P:$P,$B55,'Data Fertilizers'!$Q:$Q,"&gt;60",'Data Fertilizers'!$Q:$Q,"&lt;=90")</f>
        <v>0</v>
      </c>
      <c r="K55" s="182">
        <f>SUMIFS('Data Fertilizers'!$D:$D,'Data Fertilizers'!$P:$P,$B55,'Data Fertilizers'!$Q:$Q,"&gt;90",'Data Fertilizers'!$Q:$Q,"&lt;=120")</f>
        <v>0</v>
      </c>
      <c r="L55" s="182">
        <f>SUMIFS('Data Fertilizers'!$D:$D,'Data Fertilizers'!$P:$P,$B55,'Data Fertilizers'!$Q:$Q,"&gt;120",'Data Fertilizers'!$Q:$Q,"&lt;=180")</f>
        <v>0</v>
      </c>
      <c r="M55" s="182">
        <f>SUMIFS('Data Fertilizers'!$D:$D,'Data Fertilizers'!$P:$P,$B55,'Data Fertilizers'!$Q:$Q,"&gt;180",'Data Fertilizers'!$Q:$Q,"&lt;=360")</f>
        <v>0</v>
      </c>
      <c r="N55" s="187">
        <f>SUMIFS('Data Fertilizers'!$D:$D,'Data Fertilizers'!$P:$P,$B55,'Data Fertilizers'!$Q:$Q,"&gt;360")</f>
        <v>0</v>
      </c>
      <c r="O55" s="182">
        <f>SUMIFS('Data Fertilizers'!$D:$D,'Data Fertilizers'!$P:$P,$B55,'Data Fertilizers'!$Q:$Q,"&gt;0")</f>
        <v>0</v>
      </c>
      <c r="P55" s="182">
        <f t="shared" si="35"/>
        <v>734953.47000000009</v>
      </c>
      <c r="Q55" s="182">
        <f>SUMIFS('Data Fertilizers'!$D:$D,'Data Fertilizers'!$P:$P,$B55,'Data Fertilizers'!$Q:$Q,"&lt;=0",'Data Fertilizers'!$Q:$Q,"&gt;=-30")</f>
        <v>0</v>
      </c>
      <c r="R55" s="182">
        <f>SUMIFS('Data Fertilizers'!$D:$D,'Data Fertilizers'!$P:$P,$B55,'Data Fertilizers'!$Q:$Q,"&lt;=-31",'Data Fertilizers'!$Q:$Q,"&gt;=-60")</f>
        <v>662365.68000000005</v>
      </c>
      <c r="S55" s="182">
        <f>SUMIFS('Data Fertilizers'!$D:$D,'Data Fertilizers'!$P:$P,$B55,'Data Fertilizers'!$Q:$Q,"&lt;=-61",'Data Fertilizers'!$Q:$Q,"&gt;=-90")</f>
        <v>72587.789999999994</v>
      </c>
      <c r="T55" s="182">
        <f>SUMIFS('Data Fertilizers'!$D:$D,'Data Fertilizers'!$P:$P,$B55,'Data Fertilizers'!$Q:$Q,"&lt;=-91",'Data Fertilizers'!$Q:$Q,"&gt;=-120")</f>
        <v>0</v>
      </c>
      <c r="U55" s="182">
        <f>SUMIFS('Data Fertilizers'!$D:$D,'Data Fertilizers'!$P:$P,$B55,'Data Fertilizers'!$Q:$Q,"&lt;=-121",'Data Fertilizers'!$Q:$Q,"&gt;=-180")</f>
        <v>0</v>
      </c>
      <c r="V55" s="182">
        <f>SUMIFS('Data Fertilizers'!$D:$D,'Data Fertilizers'!$P:$P,$B55,'Data Fertilizers'!$Q:$Q,"&lt;=-181",'Data Fertilizers'!$Q:$Q,"&gt;=-360")</f>
        <v>0</v>
      </c>
      <c r="W55" s="187">
        <f>SUMIFS('Data Fertilizers'!$D:$D,'Data Fertilizers'!$P:$P,$B55,'Data Fertilizers'!$Q:$Q,"&lt;-360")</f>
        <v>0</v>
      </c>
      <c r="X55" s="237">
        <f>SUMIFS('Bad Debt Provision'!AB:AB,'Bad Debt Provision'!B:B,'Painel Fertilizers'!B55)</f>
        <v>0</v>
      </c>
      <c r="Y55" s="183"/>
      <c r="Z55" s="183"/>
      <c r="AA55" s="182">
        <f>_xlfn.XLOOKUP(B55,'Limite de crédito'!C:C,'Limite de crédito'!O:O,0)</f>
        <v>3000000</v>
      </c>
      <c r="AB55" s="182"/>
      <c r="AC55" s="184"/>
      <c r="AD55" s="185"/>
      <c r="AE55" s="185"/>
      <c r="AF55" s="183"/>
      <c r="AG55" s="182">
        <f t="shared" si="36"/>
        <v>2265046.5299999998</v>
      </c>
    </row>
    <row r="56" spans="2:33" s="169" customFormat="1" ht="12.6" customHeight="1" x14ac:dyDescent="0.25">
      <c r="B56" s="180" t="s">
        <v>705</v>
      </c>
      <c r="C56" s="242">
        <f>IFERROR(_xlfn.XLOOKUP(B56,'Limite de crédito'!C:C,'Limite de crédito'!L:L),0)</f>
        <v>0</v>
      </c>
      <c r="D56" s="186">
        <v>180</v>
      </c>
      <c r="E56" s="232">
        <f>_xlfn.XLOOKUP(B56,'Limite de crédito'!C:C,'Limite de crédito'!G:G,0)</f>
        <v>0</v>
      </c>
      <c r="F56" s="181">
        <f t="shared" ref="F56" si="37">E56-G56</f>
        <v>0</v>
      </c>
      <c r="G56" s="181">
        <f t="shared" ref="G56" si="38">P56+O56</f>
        <v>0</v>
      </c>
      <c r="H56" s="182">
        <f>SUMIFS('Data Fertilizers'!$D:$D,'Data Fertilizers'!$P:$P,$B56,'Data Fertilizers'!$Q:$Q,"&gt;0",'Data Fertilizers'!$Q:$Q,"&lt;=30")</f>
        <v>0</v>
      </c>
      <c r="I56" s="182">
        <f>SUMIFS('Data Fertilizers'!$D:$D,'Data Fertilizers'!$P:$P,$B56,'Data Fertilizers'!$Q:$Q,"&gt;30",'Data Fertilizers'!$Q:$Q,"&lt;=60")</f>
        <v>0</v>
      </c>
      <c r="J56" s="182">
        <f>SUMIFS('Data Fertilizers'!$D:$D,'Data Fertilizers'!$P:$P,$B56,'Data Fertilizers'!$Q:$Q,"&gt;60",'Data Fertilizers'!$Q:$Q,"&lt;=90")</f>
        <v>0</v>
      </c>
      <c r="K56" s="182">
        <f>SUMIFS('Data Fertilizers'!$D:$D,'Data Fertilizers'!$P:$P,$B56,'Data Fertilizers'!$Q:$Q,"&gt;90",'Data Fertilizers'!$Q:$Q,"&lt;=120")</f>
        <v>0</v>
      </c>
      <c r="L56" s="182">
        <f>SUMIFS('Data Fertilizers'!$D:$D,'Data Fertilizers'!$P:$P,$B56,'Data Fertilizers'!$Q:$Q,"&gt;120",'Data Fertilizers'!$Q:$Q,"&lt;=180")</f>
        <v>0</v>
      </c>
      <c r="M56" s="182">
        <f>SUMIFS('Data Fertilizers'!$D:$D,'Data Fertilizers'!$P:$P,$B56,'Data Fertilizers'!$Q:$Q,"&gt;180",'Data Fertilizers'!$Q:$Q,"&lt;=360")</f>
        <v>0</v>
      </c>
      <c r="N56" s="187">
        <f>SUMIFS('Data Fertilizers'!$D:$D,'Data Fertilizers'!$P:$P,$B56,'Data Fertilizers'!$Q:$Q,"&gt;360")</f>
        <v>0</v>
      </c>
      <c r="O56" s="182">
        <f>SUMIFS('Data Fertilizers'!$D:$D,'Data Fertilizers'!$P:$P,$B56,'Data Fertilizers'!$Q:$Q,"&gt;0")</f>
        <v>0</v>
      </c>
      <c r="P56" s="182">
        <f t="shared" ref="P56" si="39">SUM(Q56:W56)</f>
        <v>0</v>
      </c>
      <c r="Q56" s="182">
        <f>SUMIFS('Data Fertilizers'!$D:$D,'Data Fertilizers'!$P:$P,$B56,'Data Fertilizers'!$Q:$Q,"&lt;=0",'Data Fertilizers'!$Q:$Q,"&gt;=-30")</f>
        <v>0</v>
      </c>
      <c r="R56" s="182">
        <f>SUMIFS('Data Fertilizers'!$D:$D,'Data Fertilizers'!$P:$P,$B56,'Data Fertilizers'!$Q:$Q,"&lt;=-31",'Data Fertilizers'!$Q:$Q,"&gt;=-60")</f>
        <v>0</v>
      </c>
      <c r="S56" s="182">
        <f>SUMIFS('Data Fertilizers'!$D:$D,'Data Fertilizers'!$P:$P,$B56,'Data Fertilizers'!$Q:$Q,"&lt;=-61",'Data Fertilizers'!$Q:$Q,"&gt;=-90")</f>
        <v>0</v>
      </c>
      <c r="T56" s="182">
        <f>SUMIFS('Data Fertilizers'!$D:$D,'Data Fertilizers'!$P:$P,$B56,'Data Fertilizers'!$Q:$Q,"&lt;=-91",'Data Fertilizers'!$Q:$Q,"&gt;=-120")</f>
        <v>0</v>
      </c>
      <c r="U56" s="182">
        <f>SUMIFS('Data Fertilizers'!$D:$D,'Data Fertilizers'!$P:$P,$B56,'Data Fertilizers'!$Q:$Q,"&lt;=-121",'Data Fertilizers'!$Q:$Q,"&gt;=-180")</f>
        <v>0</v>
      </c>
      <c r="V56" s="182">
        <f>SUMIFS('Data Fertilizers'!$D:$D,'Data Fertilizers'!$P:$P,$B56,'Data Fertilizers'!$Q:$Q,"&lt;=-181",'Data Fertilizers'!$Q:$Q,"&gt;=-360")</f>
        <v>0</v>
      </c>
      <c r="W56" s="187">
        <f>SUMIFS('Data Fertilizers'!$D:$D,'Data Fertilizers'!$P:$P,$B56,'Data Fertilizers'!$Q:$Q,"&lt;-360")</f>
        <v>0</v>
      </c>
      <c r="X56" s="237">
        <f>SUMIFS('Bad Debt Provision'!AB:AB,'Bad Debt Provision'!B:B,'Painel Fertilizers'!B56)</f>
        <v>0</v>
      </c>
      <c r="Y56" s="183"/>
      <c r="Z56" s="183"/>
      <c r="AA56" s="182">
        <f>_xlfn.XLOOKUP(B56,'Limite de crédito'!C:C,'Limite de crédito'!O:O,0)</f>
        <v>0</v>
      </c>
      <c r="AB56" s="182"/>
      <c r="AC56" s="184"/>
      <c r="AD56" s="185"/>
      <c r="AE56" s="185"/>
      <c r="AF56" s="183"/>
      <c r="AG56" s="182">
        <f t="shared" ref="AG56" si="40">AA56-G56</f>
        <v>0</v>
      </c>
    </row>
    <row r="57" spans="2:33" s="169" customFormat="1" ht="12.6" customHeight="1" x14ac:dyDescent="0.25">
      <c r="B57" s="180" t="s">
        <v>718</v>
      </c>
      <c r="C57" s="242">
        <f>IFERROR(_xlfn.XLOOKUP(B57,'Limite de crédito'!C:C,'Limite de crédito'!L:L),0)</f>
        <v>0</v>
      </c>
      <c r="D57" s="186">
        <v>180</v>
      </c>
      <c r="E57" s="232">
        <f>_xlfn.XLOOKUP(B57,'Limite de crédito'!C:C,'Limite de crédito'!G:G,0)</f>
        <v>0</v>
      </c>
      <c r="F57" s="181">
        <f t="shared" ref="F57" si="41">E57-G57</f>
        <v>0</v>
      </c>
      <c r="G57" s="181">
        <f t="shared" ref="G57" si="42">P57+O57</f>
        <v>0</v>
      </c>
      <c r="H57" s="182">
        <f>SUMIFS('Data Fertilizers'!$D:$D,'Data Fertilizers'!$P:$P,$B57,'Data Fertilizers'!$Q:$Q,"&gt;0",'Data Fertilizers'!$Q:$Q,"&lt;=30")</f>
        <v>0</v>
      </c>
      <c r="I57" s="182">
        <f>SUMIFS('Data Fertilizers'!$D:$D,'Data Fertilizers'!$P:$P,$B57,'Data Fertilizers'!$Q:$Q,"&gt;30",'Data Fertilizers'!$Q:$Q,"&lt;=60")</f>
        <v>0</v>
      </c>
      <c r="J57" s="182">
        <f>SUMIFS('Data Fertilizers'!$D:$D,'Data Fertilizers'!$P:$P,$B57,'Data Fertilizers'!$Q:$Q,"&gt;60",'Data Fertilizers'!$Q:$Q,"&lt;=90")</f>
        <v>0</v>
      </c>
      <c r="K57" s="182">
        <f>SUMIFS('Data Fertilizers'!$D:$D,'Data Fertilizers'!$P:$P,$B57,'Data Fertilizers'!$Q:$Q,"&gt;90",'Data Fertilizers'!$Q:$Q,"&lt;=120")</f>
        <v>0</v>
      </c>
      <c r="L57" s="182">
        <f>SUMIFS('Data Fertilizers'!$D:$D,'Data Fertilizers'!$P:$P,$B57,'Data Fertilizers'!$Q:$Q,"&gt;120",'Data Fertilizers'!$Q:$Q,"&lt;=180")</f>
        <v>0</v>
      </c>
      <c r="M57" s="182">
        <f>SUMIFS('Data Fertilizers'!$D:$D,'Data Fertilizers'!$P:$P,$B57,'Data Fertilizers'!$Q:$Q,"&gt;180",'Data Fertilizers'!$Q:$Q,"&lt;=360")</f>
        <v>0</v>
      </c>
      <c r="N57" s="187">
        <f>SUMIFS('Data Fertilizers'!$D:$D,'Data Fertilizers'!$P:$P,$B57,'Data Fertilizers'!$Q:$Q,"&gt;360")</f>
        <v>0</v>
      </c>
      <c r="O57" s="182">
        <f>SUMIFS('Data Fertilizers'!$D:$D,'Data Fertilizers'!$P:$P,$B57,'Data Fertilizers'!$Q:$Q,"&gt;0")</f>
        <v>0</v>
      </c>
      <c r="P57" s="182">
        <f t="shared" ref="P57" si="43">SUM(Q57:W57)</f>
        <v>0</v>
      </c>
      <c r="Q57" s="182">
        <f>SUMIFS('Data Fertilizers'!$D:$D,'Data Fertilizers'!$P:$P,$B57,'Data Fertilizers'!$Q:$Q,"&lt;=0",'Data Fertilizers'!$Q:$Q,"&gt;=-30")</f>
        <v>0</v>
      </c>
      <c r="R57" s="182">
        <f>SUMIFS('Data Fertilizers'!$D:$D,'Data Fertilizers'!$P:$P,$B57,'Data Fertilizers'!$Q:$Q,"&lt;=-31",'Data Fertilizers'!$Q:$Q,"&gt;=-60")</f>
        <v>0</v>
      </c>
      <c r="S57" s="182">
        <f>SUMIFS('Data Fertilizers'!$D:$D,'Data Fertilizers'!$P:$P,$B57,'Data Fertilizers'!$Q:$Q,"&lt;=-61",'Data Fertilizers'!$Q:$Q,"&gt;=-90")</f>
        <v>0</v>
      </c>
      <c r="T57" s="182">
        <f>SUMIFS('Data Fertilizers'!$D:$D,'Data Fertilizers'!$P:$P,$B57,'Data Fertilizers'!$Q:$Q,"&lt;=-91",'Data Fertilizers'!$Q:$Q,"&gt;=-120")</f>
        <v>0</v>
      </c>
      <c r="U57" s="182">
        <f>SUMIFS('Data Fertilizers'!$D:$D,'Data Fertilizers'!$P:$P,$B57,'Data Fertilizers'!$Q:$Q,"&lt;=-121",'Data Fertilizers'!$Q:$Q,"&gt;=-180")</f>
        <v>0</v>
      </c>
      <c r="V57" s="182">
        <f>SUMIFS('Data Fertilizers'!$D:$D,'Data Fertilizers'!$P:$P,$B57,'Data Fertilizers'!$Q:$Q,"&lt;=-181",'Data Fertilizers'!$Q:$Q,"&gt;=-360")</f>
        <v>0</v>
      </c>
      <c r="W57" s="187">
        <f>SUMIFS('Data Fertilizers'!$D:$D,'Data Fertilizers'!$P:$P,$B57,'Data Fertilizers'!$Q:$Q,"&lt;-360")</f>
        <v>0</v>
      </c>
      <c r="X57" s="237">
        <f>SUMIFS('Bad Debt Provision'!AB:AB,'Bad Debt Provision'!B:B,'Painel Fertilizers'!B57)</f>
        <v>0</v>
      </c>
      <c r="Y57" s="183"/>
      <c r="Z57" s="183"/>
      <c r="AA57" s="182">
        <f>_xlfn.XLOOKUP(B57,'Limite de crédito'!C:C,'Limite de crédito'!O:O,0)</f>
        <v>0</v>
      </c>
      <c r="AB57" s="182"/>
      <c r="AC57" s="184"/>
      <c r="AD57" s="185"/>
      <c r="AE57" s="185"/>
      <c r="AF57" s="183"/>
      <c r="AG57" s="182">
        <f t="shared" ref="AG57" si="44">AA57-G57</f>
        <v>0</v>
      </c>
    </row>
    <row r="58" spans="2:33" s="169" customFormat="1" ht="12.6" customHeight="1" x14ac:dyDescent="0.25">
      <c r="B58" s="180" t="s">
        <v>493</v>
      </c>
      <c r="C58" s="242" t="str">
        <f>IFERROR(_xlfn.XLOOKUP(B58,'Limite de crédito'!C:C,'Limite de crédito'!L:L),0)</f>
        <v>B</v>
      </c>
      <c r="D58" s="186">
        <v>180</v>
      </c>
      <c r="E58" s="232">
        <f>_xlfn.XLOOKUP(B58,'Limite de crédito'!C:C,'Limite de crédito'!G:G,0)</f>
        <v>200000</v>
      </c>
      <c r="F58" s="181">
        <f t="shared" ref="F58" si="45">E58-G58</f>
        <v>200000</v>
      </c>
      <c r="G58" s="181">
        <f t="shared" ref="G58" si="46">P58+O58</f>
        <v>0</v>
      </c>
      <c r="H58" s="182">
        <f>SUMIFS('Data Fertilizers'!$D:$D,'Data Fertilizers'!$P:$P,$B58,'Data Fertilizers'!$Q:$Q,"&gt;0",'Data Fertilizers'!$Q:$Q,"&lt;=30")</f>
        <v>0</v>
      </c>
      <c r="I58" s="182">
        <f>SUMIFS('Data Fertilizers'!$D:$D,'Data Fertilizers'!$P:$P,$B58,'Data Fertilizers'!$Q:$Q,"&gt;30",'Data Fertilizers'!$Q:$Q,"&lt;=60")</f>
        <v>0</v>
      </c>
      <c r="J58" s="182">
        <f>SUMIFS('Data Fertilizers'!$D:$D,'Data Fertilizers'!$P:$P,$B58,'Data Fertilizers'!$Q:$Q,"&gt;60",'Data Fertilizers'!$Q:$Q,"&lt;=90")</f>
        <v>0</v>
      </c>
      <c r="K58" s="182">
        <f>SUMIFS('Data Fertilizers'!$D:$D,'Data Fertilizers'!$P:$P,$B58,'Data Fertilizers'!$Q:$Q,"&gt;90",'Data Fertilizers'!$Q:$Q,"&lt;=120")</f>
        <v>0</v>
      </c>
      <c r="L58" s="182">
        <f>SUMIFS('Data Fertilizers'!$D:$D,'Data Fertilizers'!$P:$P,$B58,'Data Fertilizers'!$Q:$Q,"&gt;120",'Data Fertilizers'!$Q:$Q,"&lt;=180")</f>
        <v>0</v>
      </c>
      <c r="M58" s="182">
        <f>SUMIFS('Data Fertilizers'!$D:$D,'Data Fertilizers'!$P:$P,$B58,'Data Fertilizers'!$Q:$Q,"&gt;180",'Data Fertilizers'!$Q:$Q,"&lt;=360")</f>
        <v>0</v>
      </c>
      <c r="N58" s="187">
        <f>SUMIFS('Data Fertilizers'!$D:$D,'Data Fertilizers'!$P:$P,$B58,'Data Fertilizers'!$Q:$Q,"&gt;360")</f>
        <v>0</v>
      </c>
      <c r="O58" s="182">
        <f>SUMIFS('Data Fertilizers'!$D:$D,'Data Fertilizers'!$P:$P,$B58,'Data Fertilizers'!$Q:$Q,"&gt;0")</f>
        <v>0</v>
      </c>
      <c r="P58" s="182">
        <f t="shared" ref="P58" si="47">SUM(Q58:W58)</f>
        <v>0</v>
      </c>
      <c r="Q58" s="182">
        <f>SUMIFS('Data Fertilizers'!$D:$D,'Data Fertilizers'!$P:$P,$B58,'Data Fertilizers'!$Q:$Q,"&lt;=0",'Data Fertilizers'!$Q:$Q,"&gt;=-30")</f>
        <v>0</v>
      </c>
      <c r="R58" s="182">
        <f>SUMIFS('Data Fertilizers'!$D:$D,'Data Fertilizers'!$P:$P,$B58,'Data Fertilizers'!$Q:$Q,"&lt;=-31",'Data Fertilizers'!$Q:$Q,"&gt;=-60")</f>
        <v>0</v>
      </c>
      <c r="S58" s="182">
        <f>SUMIFS('Data Fertilizers'!$D:$D,'Data Fertilizers'!$P:$P,$B58,'Data Fertilizers'!$Q:$Q,"&lt;=-61",'Data Fertilizers'!$Q:$Q,"&gt;=-90")</f>
        <v>0</v>
      </c>
      <c r="T58" s="182">
        <f>SUMIFS('Data Fertilizers'!$D:$D,'Data Fertilizers'!$P:$P,$B58,'Data Fertilizers'!$Q:$Q,"&lt;=-91",'Data Fertilizers'!$Q:$Q,"&gt;=-120")</f>
        <v>0</v>
      </c>
      <c r="U58" s="182">
        <f>SUMIFS('Data Fertilizers'!$D:$D,'Data Fertilizers'!$P:$P,$B58,'Data Fertilizers'!$Q:$Q,"&lt;=-121",'Data Fertilizers'!$Q:$Q,"&gt;=-180")</f>
        <v>0</v>
      </c>
      <c r="V58" s="182">
        <f>SUMIFS('Data Fertilizers'!$D:$D,'Data Fertilizers'!$P:$P,$B58,'Data Fertilizers'!$Q:$Q,"&lt;=-181",'Data Fertilizers'!$Q:$Q,"&gt;=-360")</f>
        <v>0</v>
      </c>
      <c r="W58" s="187">
        <f>SUMIFS('Data Fertilizers'!$D:$D,'Data Fertilizers'!$P:$P,$B58,'Data Fertilizers'!$Q:$Q,"&lt;-360")</f>
        <v>0</v>
      </c>
      <c r="X58" s="237">
        <f>SUMIFS('Bad Debt Provision'!AB:AB,'Bad Debt Provision'!B:B,'Painel Fertilizers'!B58)</f>
        <v>0</v>
      </c>
      <c r="Y58" s="183"/>
      <c r="Z58" s="183"/>
      <c r="AA58" s="182">
        <f>_xlfn.XLOOKUP(B58,'Limite de crédito'!C:C,'Limite de crédito'!O:O,0)</f>
        <v>200000</v>
      </c>
      <c r="AB58" s="182"/>
      <c r="AC58" s="184"/>
      <c r="AD58" s="185"/>
      <c r="AE58" s="185"/>
      <c r="AF58" s="183"/>
      <c r="AG58" s="182">
        <f t="shared" ref="AG58" si="48">AA58-G58</f>
        <v>200000</v>
      </c>
    </row>
    <row r="59" spans="2:33" s="169" customFormat="1" ht="12.6" customHeight="1" x14ac:dyDescent="0.25">
      <c r="B59" s="180" t="s">
        <v>719</v>
      </c>
      <c r="C59" s="242">
        <f>IFERROR(_xlfn.XLOOKUP(B59,'Limite de crédito'!C:C,'Limite de crédito'!L:L),0)</f>
        <v>0</v>
      </c>
      <c r="D59" s="186">
        <v>180</v>
      </c>
      <c r="E59" s="232">
        <f>_xlfn.XLOOKUP(B59,'Limite de crédito'!C:C,'Limite de crédito'!G:G,0)</f>
        <v>0</v>
      </c>
      <c r="F59" s="181">
        <f t="shared" ref="F59" si="49">E59-G59</f>
        <v>0</v>
      </c>
      <c r="G59" s="181">
        <f t="shared" ref="G59" si="50">P59+O59</f>
        <v>0</v>
      </c>
      <c r="H59" s="182">
        <f>SUMIFS('Data Fertilizers'!$D:$D,'Data Fertilizers'!$P:$P,$B59,'Data Fertilizers'!$Q:$Q,"&gt;0",'Data Fertilizers'!$Q:$Q,"&lt;=30")</f>
        <v>0</v>
      </c>
      <c r="I59" s="182">
        <f>SUMIFS('Data Fertilizers'!$D:$D,'Data Fertilizers'!$P:$P,$B59,'Data Fertilizers'!$Q:$Q,"&gt;30",'Data Fertilizers'!$Q:$Q,"&lt;=60")</f>
        <v>0</v>
      </c>
      <c r="J59" s="182">
        <f>SUMIFS('Data Fertilizers'!$D:$D,'Data Fertilizers'!$P:$P,$B59,'Data Fertilizers'!$Q:$Q,"&gt;60",'Data Fertilizers'!$Q:$Q,"&lt;=90")</f>
        <v>0</v>
      </c>
      <c r="K59" s="182">
        <f>SUMIFS('Data Fertilizers'!$D:$D,'Data Fertilizers'!$P:$P,$B59,'Data Fertilizers'!$Q:$Q,"&gt;90",'Data Fertilizers'!$Q:$Q,"&lt;=120")</f>
        <v>0</v>
      </c>
      <c r="L59" s="182">
        <f>SUMIFS('Data Fertilizers'!$D:$D,'Data Fertilizers'!$P:$P,$B59,'Data Fertilizers'!$Q:$Q,"&gt;120",'Data Fertilizers'!$Q:$Q,"&lt;=180")</f>
        <v>0</v>
      </c>
      <c r="M59" s="182">
        <f>SUMIFS('Data Fertilizers'!$D:$D,'Data Fertilizers'!$P:$P,$B59,'Data Fertilizers'!$Q:$Q,"&gt;180",'Data Fertilizers'!$Q:$Q,"&lt;=360")</f>
        <v>0</v>
      </c>
      <c r="N59" s="187">
        <f>SUMIFS('Data Fertilizers'!$D:$D,'Data Fertilizers'!$P:$P,$B59,'Data Fertilizers'!$Q:$Q,"&gt;360")</f>
        <v>0</v>
      </c>
      <c r="O59" s="182">
        <f>SUMIFS('Data Fertilizers'!$D:$D,'Data Fertilizers'!$P:$P,$B59,'Data Fertilizers'!$Q:$Q,"&gt;0")</f>
        <v>0</v>
      </c>
      <c r="P59" s="182">
        <f t="shared" ref="P59" si="51">SUM(Q59:W59)</f>
        <v>0</v>
      </c>
      <c r="Q59" s="182">
        <f>SUMIFS('Data Fertilizers'!$D:$D,'Data Fertilizers'!$P:$P,$B59,'Data Fertilizers'!$Q:$Q,"&lt;=0",'Data Fertilizers'!$Q:$Q,"&gt;=-30")</f>
        <v>0</v>
      </c>
      <c r="R59" s="182">
        <f>SUMIFS('Data Fertilizers'!$D:$D,'Data Fertilizers'!$P:$P,$B59,'Data Fertilizers'!$Q:$Q,"&lt;=-31",'Data Fertilizers'!$Q:$Q,"&gt;=-60")</f>
        <v>0</v>
      </c>
      <c r="S59" s="182">
        <f>SUMIFS('Data Fertilizers'!$D:$D,'Data Fertilizers'!$P:$P,$B59,'Data Fertilizers'!$Q:$Q,"&lt;=-61",'Data Fertilizers'!$Q:$Q,"&gt;=-90")</f>
        <v>0</v>
      </c>
      <c r="T59" s="182">
        <f>SUMIFS('Data Fertilizers'!$D:$D,'Data Fertilizers'!$P:$P,$B59,'Data Fertilizers'!$Q:$Q,"&lt;=-91",'Data Fertilizers'!$Q:$Q,"&gt;=-120")</f>
        <v>0</v>
      </c>
      <c r="U59" s="182">
        <f>SUMIFS('Data Fertilizers'!$D:$D,'Data Fertilizers'!$P:$P,$B59,'Data Fertilizers'!$Q:$Q,"&lt;=-121",'Data Fertilizers'!$Q:$Q,"&gt;=-180")</f>
        <v>0</v>
      </c>
      <c r="V59" s="182">
        <f>SUMIFS('Data Fertilizers'!$D:$D,'Data Fertilizers'!$P:$P,$B59,'Data Fertilizers'!$Q:$Q,"&lt;=-181",'Data Fertilizers'!$Q:$Q,"&gt;=-360")</f>
        <v>0</v>
      </c>
      <c r="W59" s="187">
        <f>SUMIFS('Data Fertilizers'!$D:$D,'Data Fertilizers'!$P:$P,$B59,'Data Fertilizers'!$Q:$Q,"&lt;-360")</f>
        <v>0</v>
      </c>
      <c r="X59" s="237">
        <f>SUMIFS('Bad Debt Provision'!AB:AB,'Bad Debt Provision'!B:B,'Painel Fertilizers'!B59)</f>
        <v>0</v>
      </c>
      <c r="Y59" s="183"/>
      <c r="Z59" s="183"/>
      <c r="AA59" s="182">
        <f>_xlfn.XLOOKUP(B59,'Limite de crédito'!C:C,'Limite de crédito'!O:O,0)</f>
        <v>0</v>
      </c>
      <c r="AB59" s="182"/>
      <c r="AC59" s="184"/>
      <c r="AD59" s="185"/>
      <c r="AE59" s="185"/>
      <c r="AF59" s="183"/>
      <c r="AG59" s="182">
        <f t="shared" ref="AG59" si="52">AA59-G59</f>
        <v>0</v>
      </c>
    </row>
    <row r="60" spans="2:33" s="169" customFormat="1" ht="12.6" customHeight="1" x14ac:dyDescent="0.25">
      <c r="B60" s="180" t="s">
        <v>298</v>
      </c>
      <c r="C60" s="242" t="str">
        <f>IFERROR(_xlfn.XLOOKUP(B60,'Limite de crédito'!C:C,'Limite de crédito'!L:L),0)</f>
        <v>B</v>
      </c>
      <c r="D60" s="186">
        <v>180</v>
      </c>
      <c r="E60" s="232">
        <f>_xlfn.XLOOKUP(B60,'Limite de crédito'!C:C,'Limite de crédito'!G:G,0)</f>
        <v>750000</v>
      </c>
      <c r="F60" s="181">
        <f t="shared" ref="F60" si="53">E60-G60</f>
        <v>750000</v>
      </c>
      <c r="G60" s="181">
        <f t="shared" ref="G60" si="54">P60+O60</f>
        <v>0</v>
      </c>
      <c r="H60" s="182">
        <f>SUMIFS('Data Fertilizers'!$D:$D,'Data Fertilizers'!$P:$P,$B60,'Data Fertilizers'!$Q:$Q,"&gt;0",'Data Fertilizers'!$Q:$Q,"&lt;=30")</f>
        <v>0</v>
      </c>
      <c r="I60" s="182">
        <f>SUMIFS('Data Fertilizers'!$D:$D,'Data Fertilizers'!$P:$P,$B60,'Data Fertilizers'!$Q:$Q,"&gt;30",'Data Fertilizers'!$Q:$Q,"&lt;=60")</f>
        <v>0</v>
      </c>
      <c r="J60" s="182">
        <f>SUMIFS('Data Fertilizers'!$D:$D,'Data Fertilizers'!$P:$P,$B60,'Data Fertilizers'!$Q:$Q,"&gt;60",'Data Fertilizers'!$Q:$Q,"&lt;=90")</f>
        <v>0</v>
      </c>
      <c r="K60" s="182">
        <f>SUMIFS('Data Fertilizers'!$D:$D,'Data Fertilizers'!$P:$P,$B60,'Data Fertilizers'!$Q:$Q,"&gt;90",'Data Fertilizers'!$Q:$Q,"&lt;=120")</f>
        <v>0</v>
      </c>
      <c r="L60" s="182">
        <f>SUMIFS('Data Fertilizers'!$D:$D,'Data Fertilizers'!$P:$P,$B60,'Data Fertilizers'!$Q:$Q,"&gt;120",'Data Fertilizers'!$Q:$Q,"&lt;=180")</f>
        <v>0</v>
      </c>
      <c r="M60" s="182">
        <f>SUMIFS('Data Fertilizers'!$D:$D,'Data Fertilizers'!$P:$P,$B60,'Data Fertilizers'!$Q:$Q,"&gt;180",'Data Fertilizers'!$Q:$Q,"&lt;=360")</f>
        <v>0</v>
      </c>
      <c r="N60" s="187">
        <f>SUMIFS('Data Fertilizers'!$D:$D,'Data Fertilizers'!$P:$P,$B60,'Data Fertilizers'!$Q:$Q,"&gt;360")</f>
        <v>0</v>
      </c>
      <c r="O60" s="182">
        <f>SUMIFS('Data Fertilizers'!$D:$D,'Data Fertilizers'!$P:$P,$B60,'Data Fertilizers'!$Q:$Q,"&gt;0")</f>
        <v>0</v>
      </c>
      <c r="P60" s="182">
        <f t="shared" ref="P60" si="55">SUM(Q60:W60)</f>
        <v>0</v>
      </c>
      <c r="Q60" s="182">
        <f>SUMIFS('Data Fertilizers'!$D:$D,'Data Fertilizers'!$P:$P,$B60,'Data Fertilizers'!$Q:$Q,"&lt;=0",'Data Fertilizers'!$Q:$Q,"&gt;=-30")</f>
        <v>0</v>
      </c>
      <c r="R60" s="182">
        <f>SUMIFS('Data Fertilizers'!$D:$D,'Data Fertilizers'!$P:$P,$B60,'Data Fertilizers'!$Q:$Q,"&lt;=-31",'Data Fertilizers'!$Q:$Q,"&gt;=-60")</f>
        <v>0</v>
      </c>
      <c r="S60" s="182">
        <f>SUMIFS('Data Fertilizers'!$D:$D,'Data Fertilizers'!$P:$P,$B60,'Data Fertilizers'!$Q:$Q,"&lt;=-61",'Data Fertilizers'!$Q:$Q,"&gt;=-90")</f>
        <v>0</v>
      </c>
      <c r="T60" s="182">
        <f>SUMIFS('Data Fertilizers'!$D:$D,'Data Fertilizers'!$P:$P,$B60,'Data Fertilizers'!$Q:$Q,"&lt;=-91",'Data Fertilizers'!$Q:$Q,"&gt;=-120")</f>
        <v>0</v>
      </c>
      <c r="U60" s="182">
        <f>SUMIFS('Data Fertilizers'!$D:$D,'Data Fertilizers'!$P:$P,$B60,'Data Fertilizers'!$Q:$Q,"&lt;=-121",'Data Fertilizers'!$Q:$Q,"&gt;=-180")</f>
        <v>0</v>
      </c>
      <c r="V60" s="182">
        <f>SUMIFS('Data Fertilizers'!$D:$D,'Data Fertilizers'!$P:$P,$B60,'Data Fertilizers'!$Q:$Q,"&lt;=-181",'Data Fertilizers'!$Q:$Q,"&gt;=-360")</f>
        <v>0</v>
      </c>
      <c r="W60" s="187">
        <f>SUMIFS('Data Fertilizers'!$D:$D,'Data Fertilizers'!$P:$P,$B60,'Data Fertilizers'!$Q:$Q,"&lt;-360")</f>
        <v>0</v>
      </c>
      <c r="X60" s="237">
        <f>SUMIFS('Bad Debt Provision'!AB:AB,'Bad Debt Provision'!B:B,'Painel Fertilizers'!B60)</f>
        <v>0</v>
      </c>
      <c r="Y60" s="183"/>
      <c r="Z60" s="183"/>
      <c r="AA60" s="182">
        <f>_xlfn.XLOOKUP(B60,'Limite de crédito'!C:C,'Limite de crédito'!O:O,0)</f>
        <v>100000</v>
      </c>
      <c r="AB60" s="182"/>
      <c r="AC60" s="184"/>
      <c r="AD60" s="185"/>
      <c r="AE60" s="185"/>
      <c r="AF60" s="183"/>
      <c r="AG60" s="182">
        <f t="shared" ref="AG60" si="56">AA60-G60</f>
        <v>100000</v>
      </c>
    </row>
    <row r="61" spans="2:33" s="169" customFormat="1" ht="12.6" customHeight="1" x14ac:dyDescent="0.25">
      <c r="B61" s="180" t="s">
        <v>750</v>
      </c>
      <c r="C61" s="242" t="str">
        <f>IFERROR(_xlfn.XLOOKUP(B61,'Limite de crédito'!C:C,'Limite de crédito'!L:L),0)</f>
        <v>B</v>
      </c>
      <c r="D61" s="186">
        <v>180</v>
      </c>
      <c r="E61" s="232">
        <f>_xlfn.XLOOKUP(B61,'Limite de crédito'!C:C,'Limite de crédito'!G:G,0)</f>
        <v>200000</v>
      </c>
      <c r="F61" s="181">
        <f t="shared" ref="F61:F62" si="57">E61-G61</f>
        <v>200000</v>
      </c>
      <c r="G61" s="181">
        <f t="shared" ref="G61:G62" si="58">P61+O61</f>
        <v>0</v>
      </c>
      <c r="H61" s="182">
        <f>SUMIFS('Data Fertilizers'!$D:$D,'Data Fertilizers'!$P:$P,$B61,'Data Fertilizers'!$Q:$Q,"&gt;0",'Data Fertilizers'!$Q:$Q,"&lt;=30")</f>
        <v>0</v>
      </c>
      <c r="I61" s="182">
        <f>SUMIFS('Data Fertilizers'!$D:$D,'Data Fertilizers'!$P:$P,$B61,'Data Fertilizers'!$Q:$Q,"&gt;30",'Data Fertilizers'!$Q:$Q,"&lt;=60")</f>
        <v>0</v>
      </c>
      <c r="J61" s="182">
        <f>SUMIFS('Data Fertilizers'!$D:$D,'Data Fertilizers'!$P:$P,$B61,'Data Fertilizers'!$Q:$Q,"&gt;60",'Data Fertilizers'!$Q:$Q,"&lt;=90")</f>
        <v>0</v>
      </c>
      <c r="K61" s="182">
        <f>SUMIFS('Data Fertilizers'!$D:$D,'Data Fertilizers'!$P:$P,$B61,'Data Fertilizers'!$Q:$Q,"&gt;90",'Data Fertilizers'!$Q:$Q,"&lt;=120")</f>
        <v>0</v>
      </c>
      <c r="L61" s="182">
        <f>SUMIFS('Data Fertilizers'!$D:$D,'Data Fertilizers'!$P:$P,$B61,'Data Fertilizers'!$Q:$Q,"&gt;120",'Data Fertilizers'!$Q:$Q,"&lt;=180")</f>
        <v>0</v>
      </c>
      <c r="M61" s="182">
        <f>SUMIFS('Data Fertilizers'!$D:$D,'Data Fertilizers'!$P:$P,$B61,'Data Fertilizers'!$Q:$Q,"&gt;180",'Data Fertilizers'!$Q:$Q,"&lt;=360")</f>
        <v>0</v>
      </c>
      <c r="N61" s="187">
        <f>SUMIFS('Data Fertilizers'!$D:$D,'Data Fertilizers'!$P:$P,$B61,'Data Fertilizers'!$Q:$Q,"&gt;360")</f>
        <v>0</v>
      </c>
      <c r="O61" s="182">
        <f>SUMIFS('Data Fertilizers'!$D:$D,'Data Fertilizers'!$P:$P,$B61,'Data Fertilizers'!$Q:$Q,"&gt;0")</f>
        <v>0</v>
      </c>
      <c r="P61" s="182">
        <f t="shared" ref="P61:P62" si="59">SUM(Q61:W61)</f>
        <v>0</v>
      </c>
      <c r="Q61" s="182">
        <f>SUMIFS('Data Fertilizers'!$D:$D,'Data Fertilizers'!$P:$P,$B61,'Data Fertilizers'!$Q:$Q,"&lt;=0",'Data Fertilizers'!$Q:$Q,"&gt;=-30")</f>
        <v>0</v>
      </c>
      <c r="R61" s="182">
        <f>SUMIFS('Data Fertilizers'!$D:$D,'Data Fertilizers'!$P:$P,$B61,'Data Fertilizers'!$Q:$Q,"&lt;=-31",'Data Fertilizers'!$Q:$Q,"&gt;=-60")</f>
        <v>0</v>
      </c>
      <c r="S61" s="182">
        <f>SUMIFS('Data Fertilizers'!$D:$D,'Data Fertilizers'!$P:$P,$B61,'Data Fertilizers'!$Q:$Q,"&lt;=-61",'Data Fertilizers'!$Q:$Q,"&gt;=-90")</f>
        <v>0</v>
      </c>
      <c r="T61" s="182">
        <f>SUMIFS('Data Fertilizers'!$D:$D,'Data Fertilizers'!$P:$P,$B61,'Data Fertilizers'!$Q:$Q,"&lt;=-91",'Data Fertilizers'!$Q:$Q,"&gt;=-120")</f>
        <v>0</v>
      </c>
      <c r="U61" s="182">
        <f>SUMIFS('Data Fertilizers'!$D:$D,'Data Fertilizers'!$P:$P,$B61,'Data Fertilizers'!$Q:$Q,"&lt;=-121",'Data Fertilizers'!$Q:$Q,"&gt;=-180")</f>
        <v>0</v>
      </c>
      <c r="V61" s="182">
        <f>SUMIFS('Data Fertilizers'!$D:$D,'Data Fertilizers'!$P:$P,$B61,'Data Fertilizers'!$Q:$Q,"&lt;=-181",'Data Fertilizers'!$Q:$Q,"&gt;=-360")</f>
        <v>0</v>
      </c>
      <c r="W61" s="187">
        <f>SUMIFS('Data Fertilizers'!$D:$D,'Data Fertilizers'!$P:$P,$B61,'Data Fertilizers'!$Q:$Q,"&lt;-360")</f>
        <v>0</v>
      </c>
      <c r="X61" s="237">
        <f>SUMIFS('Bad Debt Provision'!AB:AB,'Bad Debt Provision'!B:B,'Painel Fertilizers'!B61)</f>
        <v>0</v>
      </c>
      <c r="Y61" s="183"/>
      <c r="Z61" s="183"/>
      <c r="AA61" s="182">
        <f>_xlfn.XLOOKUP(B61,'Limite de crédito'!C:C,'Limite de crédito'!O:O,0)</f>
        <v>200000</v>
      </c>
      <c r="AB61" s="182"/>
      <c r="AC61" s="184"/>
      <c r="AD61" s="185"/>
      <c r="AE61" s="185"/>
      <c r="AF61" s="183"/>
      <c r="AG61" s="182">
        <f t="shared" ref="AG61:AG62" si="60">AA61-G61</f>
        <v>200000</v>
      </c>
    </row>
    <row r="62" spans="2:33" s="169" customFormat="1" ht="12.6" customHeight="1" x14ac:dyDescent="0.25">
      <c r="B62" s="180" t="s">
        <v>835</v>
      </c>
      <c r="C62" s="242" t="str">
        <f>IFERROR(_xlfn.XLOOKUP(B62,'Limite de crédito'!C:C,'Limite de crédito'!L:L),0)</f>
        <v>B</v>
      </c>
      <c r="D62" s="186">
        <v>180</v>
      </c>
      <c r="E62" s="232">
        <f>_xlfn.XLOOKUP(B62,'Limite de crédito'!C:C,'Limite de crédito'!G:G,0)</f>
        <v>300000</v>
      </c>
      <c r="F62" s="181">
        <f t="shared" si="57"/>
        <v>300000</v>
      </c>
      <c r="G62" s="181">
        <f t="shared" si="58"/>
        <v>0</v>
      </c>
      <c r="H62" s="182">
        <f>SUMIFS('Data Fertilizers'!$D:$D,'Data Fertilizers'!$P:$P,$B62,'Data Fertilizers'!$Q:$Q,"&gt;0",'Data Fertilizers'!$Q:$Q,"&lt;=30")</f>
        <v>0</v>
      </c>
      <c r="I62" s="182">
        <f>SUMIFS('Data Fertilizers'!$D:$D,'Data Fertilizers'!$P:$P,$B62,'Data Fertilizers'!$Q:$Q,"&gt;30",'Data Fertilizers'!$Q:$Q,"&lt;=60")</f>
        <v>0</v>
      </c>
      <c r="J62" s="182">
        <f>SUMIFS('Data Fertilizers'!$D:$D,'Data Fertilizers'!$P:$P,$B62,'Data Fertilizers'!$Q:$Q,"&gt;60",'Data Fertilizers'!$Q:$Q,"&lt;=90")</f>
        <v>0</v>
      </c>
      <c r="K62" s="182">
        <f>SUMIFS('Data Fertilizers'!$D:$D,'Data Fertilizers'!$P:$P,$B62,'Data Fertilizers'!$Q:$Q,"&gt;90",'Data Fertilizers'!$Q:$Q,"&lt;=120")</f>
        <v>0</v>
      </c>
      <c r="L62" s="182">
        <f>SUMIFS('Data Fertilizers'!$D:$D,'Data Fertilizers'!$P:$P,$B62,'Data Fertilizers'!$Q:$Q,"&gt;120",'Data Fertilizers'!$Q:$Q,"&lt;=180")</f>
        <v>0</v>
      </c>
      <c r="M62" s="182">
        <f>SUMIFS('Data Fertilizers'!$D:$D,'Data Fertilizers'!$P:$P,$B62,'Data Fertilizers'!$Q:$Q,"&gt;180",'Data Fertilizers'!$Q:$Q,"&lt;=360")</f>
        <v>0</v>
      </c>
      <c r="N62" s="187">
        <f>SUMIFS('Data Fertilizers'!$D:$D,'Data Fertilizers'!$P:$P,$B62,'Data Fertilizers'!$Q:$Q,"&gt;360")</f>
        <v>0</v>
      </c>
      <c r="O62" s="182">
        <f>SUMIFS('Data Fertilizers'!$D:$D,'Data Fertilizers'!$P:$P,$B62,'Data Fertilizers'!$Q:$Q,"&gt;0")</f>
        <v>0</v>
      </c>
      <c r="P62" s="182">
        <f t="shared" si="59"/>
        <v>0</v>
      </c>
      <c r="Q62" s="182">
        <f>SUMIFS('Data Fertilizers'!$D:$D,'Data Fertilizers'!$P:$P,$B62,'Data Fertilizers'!$Q:$Q,"&lt;=0",'Data Fertilizers'!$Q:$Q,"&gt;=-30")</f>
        <v>0</v>
      </c>
      <c r="R62" s="182">
        <f>SUMIFS('Data Fertilizers'!$D:$D,'Data Fertilizers'!$P:$P,$B62,'Data Fertilizers'!$Q:$Q,"&lt;=-31",'Data Fertilizers'!$Q:$Q,"&gt;=-60")</f>
        <v>0</v>
      </c>
      <c r="S62" s="182">
        <f>SUMIFS('Data Fertilizers'!$D:$D,'Data Fertilizers'!$P:$P,$B62,'Data Fertilizers'!$Q:$Q,"&lt;=-61",'Data Fertilizers'!$Q:$Q,"&gt;=-90")</f>
        <v>0</v>
      </c>
      <c r="T62" s="182">
        <f>SUMIFS('Data Fertilizers'!$D:$D,'Data Fertilizers'!$P:$P,$B62,'Data Fertilizers'!$Q:$Q,"&lt;=-91",'Data Fertilizers'!$Q:$Q,"&gt;=-120")</f>
        <v>0</v>
      </c>
      <c r="U62" s="182">
        <f>SUMIFS('Data Fertilizers'!$D:$D,'Data Fertilizers'!$P:$P,$B62,'Data Fertilizers'!$Q:$Q,"&lt;=-121",'Data Fertilizers'!$Q:$Q,"&gt;=-180")</f>
        <v>0</v>
      </c>
      <c r="V62" s="182">
        <f>SUMIFS('Data Fertilizers'!$D:$D,'Data Fertilizers'!$P:$P,$B62,'Data Fertilizers'!$Q:$Q,"&lt;=-181",'Data Fertilizers'!$Q:$Q,"&gt;=-360")</f>
        <v>0</v>
      </c>
      <c r="W62" s="187">
        <f>SUMIFS('Data Fertilizers'!$D:$D,'Data Fertilizers'!$P:$P,$B62,'Data Fertilizers'!$Q:$Q,"&lt;-360")</f>
        <v>0</v>
      </c>
      <c r="X62" s="237">
        <f>SUMIFS('Bad Debt Provision'!AB:AB,'Bad Debt Provision'!B:B,'Painel Fertilizers'!B62)</f>
        <v>0</v>
      </c>
      <c r="Y62" s="183"/>
      <c r="Z62" s="183"/>
      <c r="AA62" s="182">
        <f>_xlfn.XLOOKUP(B62,'Limite de crédito'!C:C,'Limite de crédito'!O:O,0)</f>
        <v>300000</v>
      </c>
      <c r="AB62" s="182"/>
      <c r="AC62" s="184"/>
      <c r="AD62" s="185"/>
      <c r="AE62" s="185"/>
      <c r="AF62" s="183"/>
      <c r="AG62" s="182">
        <f t="shared" si="60"/>
        <v>300000</v>
      </c>
    </row>
  </sheetData>
  <autoFilter ref="A3:AK62" xr:uid="{117863FC-9796-447F-B76F-A494F594C433}"/>
  <mergeCells count="3">
    <mergeCell ref="H2:N2"/>
    <mergeCell ref="Q2:W2"/>
    <mergeCell ref="AI2:AK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03081-5D89-42A4-AC0D-C73617B1B79A}">
  <sheetPr>
    <tabColor theme="4"/>
  </sheetPr>
  <dimension ref="A1:AL173"/>
  <sheetViews>
    <sheetView showGridLines="0" zoomScale="80" zoomScaleNormal="80" workbookViewId="0">
      <pane xSplit="2" ySplit="3" topLeftCell="C4" activePane="bottomRight" state="frozen"/>
      <selection sqref="A1:XFD1048576"/>
      <selection pane="topRight" sqref="A1:XFD1048576"/>
      <selection pane="bottomLeft" sqref="A1:XFD1048576"/>
      <selection pane="bottomRight" activeCell="E4" sqref="E4"/>
    </sheetView>
  </sheetViews>
  <sheetFormatPr defaultRowHeight="13.2" outlineLevelCol="1" x14ac:dyDescent="0.25"/>
  <cols>
    <col min="1" max="1" width="3.109375" customWidth="1"/>
    <col min="2" max="2" width="43.5546875" customWidth="1"/>
    <col min="3" max="3" width="9.6640625" customWidth="1"/>
    <col min="4" max="4" width="11.88671875" customWidth="1"/>
    <col min="5" max="5" width="12.6640625" customWidth="1"/>
    <col min="6" max="6" width="15.33203125" customWidth="1"/>
    <col min="7" max="7" width="16.5546875" hidden="1" customWidth="1" outlineLevel="1"/>
    <col min="8" max="9" width="11.5546875" hidden="1" customWidth="1" outlineLevel="1"/>
    <col min="10" max="10" width="12.6640625" hidden="1" customWidth="1" outlineLevel="1"/>
    <col min="11" max="12" width="13.88671875" hidden="1" customWidth="1" outlineLevel="1"/>
    <col min="13" max="13" width="16.6640625" hidden="1" customWidth="1" outlineLevel="1"/>
    <col min="14" max="14" width="14.88671875" bestFit="1" customWidth="1" collapsed="1"/>
    <col min="15" max="15" width="14.88671875" customWidth="1"/>
    <col min="16" max="16" width="10.44140625" hidden="1" customWidth="1" outlineLevel="1"/>
    <col min="17" max="18" width="11.5546875" hidden="1" customWidth="1" outlineLevel="1"/>
    <col min="19" max="19" width="12.6640625" hidden="1" customWidth="1" outlineLevel="1"/>
    <col min="20" max="21" width="13.88671875" hidden="1" customWidth="1" outlineLevel="1"/>
    <col min="22" max="22" width="16.6640625" hidden="1" customWidth="1" outlineLevel="1"/>
    <col min="23" max="23" width="14.88671875" bestFit="1" customWidth="1" collapsed="1"/>
    <col min="24" max="24" width="1.6640625" customWidth="1"/>
    <col min="25" max="25" width="10.44140625" bestFit="1" customWidth="1"/>
    <col min="26" max="26" width="13.33203125" customWidth="1"/>
    <col min="27" max="27" width="13.33203125" style="16" customWidth="1"/>
    <col min="28" max="28" width="1.6640625" customWidth="1"/>
    <col min="29" max="29" width="10.6640625" customWidth="1"/>
    <col min="30" max="30" width="12.33203125" customWidth="1"/>
    <col min="31" max="31" width="10" style="7" customWidth="1"/>
    <col min="32" max="32" width="7.5546875" style="16" customWidth="1"/>
    <col min="33" max="33" width="1.6640625" customWidth="1"/>
    <col min="34" max="34" width="16.5546875" style="29" customWidth="1"/>
    <col min="35" max="35" width="1.6640625" customWidth="1"/>
    <col min="36" max="36" width="23.5546875" customWidth="1"/>
  </cols>
  <sheetData>
    <row r="1" spans="1:38" s="9" customFormat="1" ht="12" x14ac:dyDescent="0.25">
      <c r="B1" s="96">
        <v>45307</v>
      </c>
      <c r="C1" s="11"/>
      <c r="D1" s="11"/>
      <c r="E1" s="11"/>
      <c r="F1" s="9">
        <f t="shared" ref="F1:N1" si="0">SUBTOTAL(9,F4:F246)</f>
        <v>14856156.559999997</v>
      </c>
      <c r="G1" s="9">
        <f t="shared" si="0"/>
        <v>353463.2</v>
      </c>
      <c r="H1" s="9">
        <f t="shared" si="0"/>
        <v>0</v>
      </c>
      <c r="I1" s="9">
        <f t="shared" si="0"/>
        <v>0</v>
      </c>
      <c r="J1" s="9">
        <f t="shared" si="0"/>
        <v>0</v>
      </c>
      <c r="K1" s="9">
        <f t="shared" si="0"/>
        <v>0</v>
      </c>
      <c r="L1" s="9">
        <f t="shared" si="0"/>
        <v>64.2</v>
      </c>
      <c r="M1" s="9">
        <f t="shared" si="0"/>
        <v>483754.64</v>
      </c>
      <c r="N1" s="9">
        <f t="shared" si="0"/>
        <v>837282.04</v>
      </c>
      <c r="O1" s="9">
        <f t="shared" ref="O1:W1" si="1">SUM(O4:O247)</f>
        <v>14018874.519999998</v>
      </c>
      <c r="P1" s="9">
        <f t="shared" si="1"/>
        <v>9835762.0199999996</v>
      </c>
      <c r="Q1" s="9">
        <f t="shared" si="1"/>
        <v>3175151.3</v>
      </c>
      <c r="R1" s="9">
        <f t="shared" si="1"/>
        <v>826730.20000000007</v>
      </c>
      <c r="S1" s="9">
        <f t="shared" si="1"/>
        <v>181231</v>
      </c>
      <c r="T1" s="9">
        <f t="shared" si="1"/>
        <v>0</v>
      </c>
      <c r="U1" s="9">
        <f t="shared" si="1"/>
        <v>0</v>
      </c>
      <c r="V1" s="9">
        <f t="shared" si="1"/>
        <v>0</v>
      </c>
      <c r="W1" s="9" t="e">
        <f t="shared" si="1"/>
        <v>#REF!</v>
      </c>
      <c r="X1" s="10"/>
      <c r="Y1" s="42">
        <f>N1/F1</f>
        <v>5.6359263354451364E-2</v>
      </c>
      <c r="Z1" s="10"/>
      <c r="AA1" s="14"/>
      <c r="AB1" s="10"/>
      <c r="AE1" s="10"/>
      <c r="AF1" s="14"/>
      <c r="AG1" s="10"/>
      <c r="AH1" s="27"/>
      <c r="AI1" s="10"/>
    </row>
    <row r="2" spans="1:38" ht="18.600000000000001" customHeight="1" thickBot="1" x14ac:dyDescent="0.3">
      <c r="B2" s="8"/>
      <c r="C2" s="95"/>
      <c r="D2" s="95"/>
      <c r="E2" s="95"/>
      <c r="F2" s="8"/>
      <c r="G2" s="45" t="s">
        <v>26</v>
      </c>
      <c r="H2" s="45"/>
      <c r="I2" s="45"/>
      <c r="J2" s="45"/>
      <c r="K2" s="45"/>
      <c r="L2" s="45"/>
      <c r="M2" s="45"/>
      <c r="N2" s="33"/>
      <c r="O2" s="33"/>
      <c r="P2" s="45" t="s">
        <v>16</v>
      </c>
      <c r="Q2" s="45"/>
      <c r="R2" s="45"/>
      <c r="S2" s="45"/>
      <c r="T2" s="45"/>
      <c r="U2" s="45"/>
      <c r="V2" s="45"/>
      <c r="W2" s="8"/>
      <c r="X2" s="6"/>
      <c r="Y2" s="46" t="s">
        <v>158</v>
      </c>
      <c r="Z2" s="46"/>
      <c r="AA2" s="46"/>
      <c r="AB2" s="6"/>
      <c r="AC2" s="46" t="s">
        <v>7</v>
      </c>
      <c r="AD2" s="46"/>
      <c r="AE2" s="46"/>
      <c r="AF2" s="46"/>
      <c r="AG2" s="6"/>
      <c r="AH2" s="37" t="s">
        <v>25</v>
      </c>
      <c r="AI2" s="6"/>
      <c r="AJ2" s="39" t="s">
        <v>24</v>
      </c>
      <c r="AK2" s="24"/>
      <c r="AL2" s="24"/>
    </row>
    <row r="3" spans="1:38" ht="15" thickTop="1" thickBot="1" x14ac:dyDescent="0.3">
      <c r="A3" t="s">
        <v>224</v>
      </c>
      <c r="B3" s="8" t="s">
        <v>22</v>
      </c>
      <c r="C3" s="95" t="s">
        <v>435</v>
      </c>
      <c r="D3" s="103" t="s">
        <v>467</v>
      </c>
      <c r="E3" s="95" t="s">
        <v>436</v>
      </c>
      <c r="F3" s="12" t="s">
        <v>17</v>
      </c>
      <c r="G3" s="43" t="s">
        <v>9</v>
      </c>
      <c r="H3" s="43" t="s">
        <v>10</v>
      </c>
      <c r="I3" s="43" t="s">
        <v>11</v>
      </c>
      <c r="J3" s="43" t="s">
        <v>12</v>
      </c>
      <c r="K3" s="43" t="s">
        <v>13</v>
      </c>
      <c r="L3" s="43" t="s">
        <v>14</v>
      </c>
      <c r="M3" s="44" t="s">
        <v>15</v>
      </c>
      <c r="N3" s="12" t="s">
        <v>27</v>
      </c>
      <c r="O3" s="12" t="s">
        <v>8</v>
      </c>
      <c r="P3" s="43" t="s">
        <v>9</v>
      </c>
      <c r="Q3" s="43" t="s">
        <v>10</v>
      </c>
      <c r="R3" s="43" t="s">
        <v>11</v>
      </c>
      <c r="S3" s="43" t="s">
        <v>12</v>
      </c>
      <c r="T3" s="43" t="s">
        <v>13</v>
      </c>
      <c r="U3" s="43" t="s">
        <v>14</v>
      </c>
      <c r="V3" s="44" t="s">
        <v>15</v>
      </c>
      <c r="W3" s="12" t="s">
        <v>297</v>
      </c>
      <c r="X3" s="6" t="s">
        <v>224</v>
      </c>
      <c r="Y3" s="12" t="s">
        <v>18</v>
      </c>
      <c r="Z3" s="13" t="s">
        <v>20</v>
      </c>
      <c r="AA3" s="15" t="s">
        <v>21</v>
      </c>
      <c r="AB3" s="6" t="s">
        <v>224</v>
      </c>
      <c r="AC3" s="12" t="s">
        <v>18</v>
      </c>
      <c r="AD3" s="13" t="s">
        <v>20</v>
      </c>
      <c r="AE3" s="13" t="s">
        <v>19</v>
      </c>
      <c r="AF3" s="15" t="s">
        <v>23</v>
      </c>
      <c r="AG3" s="6" t="s">
        <v>224</v>
      </c>
      <c r="AH3" s="38"/>
      <c r="AI3" s="6" t="s">
        <v>224</v>
      </c>
      <c r="AJ3" s="40"/>
      <c r="AK3" s="24" t="s">
        <v>224</v>
      </c>
      <c r="AL3" s="24"/>
    </row>
    <row r="4" spans="1:38" ht="15.75" customHeight="1" thickTop="1" x14ac:dyDescent="0.25">
      <c r="B4" s="41" t="s">
        <v>412</v>
      </c>
      <c r="C4" s="94" t="s">
        <v>466</v>
      </c>
      <c r="D4" s="18" cm="1">
        <f t="array" ref="D4">IFERROR(INDEX('Limite de crédito'!$F:$F, MATCH(MAX(IF('Limite de crédito'!$C:$C=$B4, 'Limite de crédito'!$A:$A)), 'Limite de crédito'!$A:$A, 0)),0)</f>
        <v>0</v>
      </c>
      <c r="E4" s="18">
        <f t="shared" ref="E4:E35" si="2">D4-F4</f>
        <v>0</v>
      </c>
      <c r="F4" s="18">
        <f t="shared" ref="F4:F35" si="3">O4+N4</f>
        <v>0</v>
      </c>
      <c r="G4" s="19">
        <f>SUMIFS('Data Additive'!$D:$D,'Data Additive'!$P:$P,'Painel Additive'!#REF!,'Data Additive'!$Q:$Q,"&gt;0",'Data Additive'!$Q:$Q,"&lt;=30")</f>
        <v>0</v>
      </c>
      <c r="H4" s="19">
        <f>SUMIFS('Data Additive'!$D:$D,'Data Additive'!$P:$P,'Painel Additive'!#REF!,'Data Additive'!$Q:$Q,"&gt;30",'Data Additive'!$Q:$Q,"&lt;=60")</f>
        <v>0</v>
      </c>
      <c r="I4" s="19">
        <f>SUMIFS('Data Additive'!$D:$D,'Data Additive'!$P:$P,'Painel Additive'!#REF!,'Data Additive'!$Q:$Q,"&gt;60",'Data Additive'!$Q:$Q,"&lt;=90")</f>
        <v>0</v>
      </c>
      <c r="J4" s="19">
        <f>SUMIFS('Data Additive'!$D:$D,'Data Additive'!$P:$P,'Painel Additive'!#REF!,'Data Additive'!$Q:$Q,"&gt;90",'Data Additive'!$Q:$Q,"&lt;=120")</f>
        <v>0</v>
      </c>
      <c r="K4" s="19">
        <f>SUMIFS('Data Additive'!$D:$D,'Data Additive'!$P:$P,'Painel Additive'!#REF!,'Data Additive'!$Q:$Q,"&gt;120",'Data Additive'!$Q:$Q,"&lt;=180")</f>
        <v>0</v>
      </c>
      <c r="L4" s="19">
        <f>SUMIFS('Data Additive'!$D:$D,'Data Additive'!$P:$P,'Painel Additive'!#REF!,'Data Additive'!$Q:$Q,"&gt;180",'Data Additive'!$Q:$Q,"&lt;=360")</f>
        <v>0</v>
      </c>
      <c r="M4" s="23">
        <f>SUMIFS('Data Additive'!$D:$D,'Data Additive'!$P:$P,'Painel Additive'!#REF!,'Data Additive'!$Q:$Q,"&gt;360")</f>
        <v>0</v>
      </c>
      <c r="N4" s="19">
        <f>SUMIFS('Data Additive'!$D:$D,'Data Additive'!$P:$P,'Painel Additive'!#REF!,'Data Additive'!$Q:$Q,"&gt;0")</f>
        <v>0</v>
      </c>
      <c r="O4" s="19">
        <f t="shared" ref="O4:O35" si="4">SUBTOTAL(9,P4:V4)</f>
        <v>0</v>
      </c>
      <c r="P4" s="19">
        <f>SUMIFS('Data Additive'!$D:$D,'Data Additive'!$P:$P,'Painel Additive'!#REF!,'Data Additive'!$Q:$Q,"&lt;=0",'Data Additive'!$Q:$Q,"&gt;=-30")</f>
        <v>0</v>
      </c>
      <c r="Q4" s="19">
        <f>SUMIFS('Data Additive'!$D:$D,'Data Additive'!$P:$P,'Painel Additive'!#REF!,'Data Additive'!$Q:$Q,"&lt;=-31",'Data Additive'!$Q:$Q,"&gt;=-60")</f>
        <v>0</v>
      </c>
      <c r="R4" s="19">
        <f>SUMIFS('Data Additive'!$D:$D,'Data Additive'!$P:$P,'Painel Additive'!#REF!,'Data Additive'!$Q:$Q,"&lt;=-61",'Data Additive'!$Q:$Q,"&gt;=-90")</f>
        <v>0</v>
      </c>
      <c r="S4" s="19">
        <f>SUMIFS('Data Additive'!$D:$D,'Data Additive'!$P:$P,'Painel Additive'!#REF!,'Data Additive'!$Q:$Q,"&lt;=-91",'Data Additive'!$Q:$Q,"&gt;=-120")</f>
        <v>0</v>
      </c>
      <c r="T4" s="19">
        <f>SUMIFS('Data Additive'!$D:$D,'Data Additive'!$P:$P,'Painel Additive'!#REF!,'Data Additive'!$Q:$Q,"&lt;=-121",'Data Additive'!$Q:$Q,"&gt;=-180")</f>
        <v>0</v>
      </c>
      <c r="U4" s="19">
        <f>SUMIFS('Data Additive'!$D:$D,'Data Additive'!$P:$P,'Painel Additive'!#REF!,'Data Additive'!$Q:$Q,"&lt;=-181",'Data Additive'!$Q:$Q,"&gt;=-360")</f>
        <v>0</v>
      </c>
      <c r="V4" s="23">
        <f>SUMIFS('Data Additive'!$D:$D,'Data Additive'!$P:$P,'Painel Additive'!#REF!,'Data Additive'!$Q:$Q,"&lt;-360")</f>
        <v>0</v>
      </c>
      <c r="W4" s="19" t="e">
        <f>SUMIFS('Bad Debt Provision'!#REF!,'Bad Debt Provision'!#REF!,'Painel Additive'!#REF!)</f>
        <v>#REF!</v>
      </c>
      <c r="X4" s="5"/>
      <c r="Y4" s="20"/>
      <c r="Z4" s="20"/>
      <c r="AA4" s="21"/>
      <c r="AB4" s="5"/>
      <c r="AC4" s="19"/>
      <c r="AD4" s="20"/>
      <c r="AE4" s="22"/>
      <c r="AF4" s="22"/>
      <c r="AG4" s="5"/>
      <c r="AH4" s="28">
        <f t="shared" ref="AH4:AH35" si="5">AC4-F4</f>
        <v>0</v>
      </c>
    </row>
    <row r="5" spans="1:38" ht="15.75" customHeight="1" x14ac:dyDescent="0.25">
      <c r="B5" s="41" t="s">
        <v>411</v>
      </c>
      <c r="C5" s="94" t="s">
        <v>466</v>
      </c>
      <c r="D5" s="18" cm="1">
        <f t="array" ref="D5">IFERROR(INDEX('Limite de crédito'!$F:$F, MATCH(MAX(IF('Limite de crédito'!$C:$C=$B5, 'Limite de crédito'!$A:$A)), 'Limite de crédito'!$A:$A, 0)),0)</f>
        <v>0</v>
      </c>
      <c r="E5" s="18">
        <f t="shared" si="2"/>
        <v>0</v>
      </c>
      <c r="F5" s="18">
        <f t="shared" si="3"/>
        <v>0</v>
      </c>
      <c r="G5" s="19">
        <f>SUMIFS('Data Additive'!$D:$D,'Data Additive'!$P:$P,'Painel Additive'!#REF!,'Data Additive'!$Q:$Q,"&gt;0",'Data Additive'!$Q:$Q,"&lt;=30")</f>
        <v>0</v>
      </c>
      <c r="H5" s="19">
        <f>SUMIFS('Data Additive'!$D:$D,'Data Additive'!$P:$P,'Painel Additive'!#REF!,'Data Additive'!$Q:$Q,"&gt;30",'Data Additive'!$Q:$Q,"&lt;=60")</f>
        <v>0</v>
      </c>
      <c r="I5" s="19">
        <f>SUMIFS('Data Additive'!$D:$D,'Data Additive'!$P:$P,'Painel Additive'!#REF!,'Data Additive'!$Q:$Q,"&gt;60",'Data Additive'!$Q:$Q,"&lt;=90")</f>
        <v>0</v>
      </c>
      <c r="J5" s="19">
        <f>SUMIFS('Data Additive'!$D:$D,'Data Additive'!$P:$P,'Painel Additive'!#REF!,'Data Additive'!$Q:$Q,"&gt;90",'Data Additive'!$Q:$Q,"&lt;=120")</f>
        <v>0</v>
      </c>
      <c r="K5" s="19">
        <f>SUMIFS('Data Additive'!$D:$D,'Data Additive'!$P:$P,'Painel Additive'!#REF!,'Data Additive'!$Q:$Q,"&gt;120",'Data Additive'!$Q:$Q,"&lt;=180")</f>
        <v>0</v>
      </c>
      <c r="L5" s="19">
        <f>SUMIFS('Data Additive'!$D:$D,'Data Additive'!$P:$P,'Painel Additive'!#REF!,'Data Additive'!$Q:$Q,"&gt;180",'Data Additive'!$Q:$Q,"&lt;=360")</f>
        <v>0</v>
      </c>
      <c r="M5" s="23">
        <f>SUMIFS('Data Additive'!$D:$D,'Data Additive'!$P:$P,'Painel Additive'!#REF!,'Data Additive'!$Q:$Q,"&gt;360")</f>
        <v>0</v>
      </c>
      <c r="N5" s="19">
        <f>SUMIFS('Data Additive'!$D:$D,'Data Additive'!$P:$P,'Painel Additive'!#REF!,'Data Additive'!$Q:$Q,"&gt;0")</f>
        <v>0</v>
      </c>
      <c r="O5" s="19">
        <f t="shared" si="4"/>
        <v>0</v>
      </c>
      <c r="P5" s="19">
        <f>SUMIFS('Data Additive'!$D:$D,'Data Additive'!$P:$P,'Painel Additive'!#REF!,'Data Additive'!$Q:$Q,"&lt;=0",'Data Additive'!$Q:$Q,"&gt;=-30")</f>
        <v>0</v>
      </c>
      <c r="Q5" s="19">
        <f>SUMIFS('Data Additive'!$D:$D,'Data Additive'!$P:$P,'Painel Additive'!#REF!,'Data Additive'!$Q:$Q,"&lt;=-31",'Data Additive'!$Q:$Q,"&gt;=-60")</f>
        <v>0</v>
      </c>
      <c r="R5" s="19">
        <f>SUMIFS('Data Additive'!$D:$D,'Data Additive'!$P:$P,'Painel Additive'!#REF!,'Data Additive'!$Q:$Q,"&lt;=-61",'Data Additive'!$Q:$Q,"&gt;=-90")</f>
        <v>0</v>
      </c>
      <c r="S5" s="19">
        <f>SUMIFS('Data Additive'!$D:$D,'Data Additive'!$P:$P,'Painel Additive'!#REF!,'Data Additive'!$Q:$Q,"&lt;=-91",'Data Additive'!$Q:$Q,"&gt;=-120")</f>
        <v>0</v>
      </c>
      <c r="T5" s="19">
        <f>SUMIFS('Data Additive'!$D:$D,'Data Additive'!$P:$P,'Painel Additive'!#REF!,'Data Additive'!$Q:$Q,"&lt;=-121",'Data Additive'!$Q:$Q,"&gt;=-180")</f>
        <v>0</v>
      </c>
      <c r="U5" s="19">
        <f>SUMIFS('Data Additive'!$D:$D,'Data Additive'!$P:$P,'Painel Additive'!#REF!,'Data Additive'!$Q:$Q,"&lt;=-181",'Data Additive'!$Q:$Q,"&gt;=-360")</f>
        <v>0</v>
      </c>
      <c r="V5" s="23">
        <f>SUMIFS('Data Additive'!$D:$D,'Data Additive'!$P:$P,'Painel Additive'!#REF!,'Data Additive'!$Q:$Q,"&lt;-360")</f>
        <v>0</v>
      </c>
      <c r="W5" s="19" t="e">
        <f>SUMIFS('Bad Debt Provision'!#REF!,'Bad Debt Provision'!#REF!,'Painel Additive'!#REF!)</f>
        <v>#REF!</v>
      </c>
      <c r="X5" s="5"/>
      <c r="Y5" s="20"/>
      <c r="Z5" s="20"/>
      <c r="AA5" s="21"/>
      <c r="AB5" s="5"/>
      <c r="AC5" s="19"/>
      <c r="AD5" s="20"/>
      <c r="AE5" s="22"/>
      <c r="AF5" s="22"/>
      <c r="AG5" s="5"/>
      <c r="AH5" s="28">
        <f t="shared" si="5"/>
        <v>0</v>
      </c>
    </row>
    <row r="6" spans="1:38" ht="15.75" customHeight="1" x14ac:dyDescent="0.25">
      <c r="B6" s="41" t="s">
        <v>419</v>
      </c>
      <c r="C6" s="109" cm="1">
        <f t="array" ref="C6">IFERROR(INDEX('Limite de crédito'!$D:$D, MATCH(MAX(IF('Limite de crédito'!$C:$C=$B6, 'Limite de crédito'!$A:$A)), 'Limite de crédito'!$A:$A, 0)),"")</f>
        <v>45994</v>
      </c>
      <c r="D6" s="18" t="str" cm="1">
        <f t="array" ref="D6">IFERROR(INDEX('Limite de crédito'!$F:$F, MATCH(MAX(IF('Limite de crédito'!$C:$C=$B6, 'Limite de crédito'!$A:$A)), 'Limite de crédito'!$A:$A, 0)),0)</f>
        <v>Sim</v>
      </c>
      <c r="E6" s="18" t="e">
        <f t="shared" si="2"/>
        <v>#VALUE!</v>
      </c>
      <c r="F6" s="18">
        <f t="shared" si="3"/>
        <v>0</v>
      </c>
      <c r="G6" s="19">
        <f>SUMIFS('Data Additive'!$D:$D,'Data Additive'!$P:$P,'Painel Additive'!#REF!,'Data Additive'!$Q:$Q,"&gt;0",'Data Additive'!$Q:$Q,"&lt;=30")</f>
        <v>0</v>
      </c>
      <c r="H6" s="19">
        <f>SUMIFS('Data Additive'!$D:$D,'Data Additive'!$P:$P,'Painel Additive'!#REF!,'Data Additive'!$Q:$Q,"&gt;30",'Data Additive'!$Q:$Q,"&lt;=60")</f>
        <v>0</v>
      </c>
      <c r="I6" s="19">
        <f>SUMIFS('Data Additive'!$D:$D,'Data Additive'!$P:$P,'Painel Additive'!#REF!,'Data Additive'!$Q:$Q,"&gt;60",'Data Additive'!$Q:$Q,"&lt;=90")</f>
        <v>0</v>
      </c>
      <c r="J6" s="19">
        <f>SUMIFS('Data Additive'!$D:$D,'Data Additive'!$P:$P,'Painel Additive'!#REF!,'Data Additive'!$Q:$Q,"&gt;90",'Data Additive'!$Q:$Q,"&lt;=120")</f>
        <v>0</v>
      </c>
      <c r="K6" s="19">
        <f>SUMIFS('Data Additive'!$D:$D,'Data Additive'!$P:$P,'Painel Additive'!#REF!,'Data Additive'!$Q:$Q,"&gt;120",'Data Additive'!$Q:$Q,"&lt;=180")</f>
        <v>0</v>
      </c>
      <c r="L6" s="19">
        <f>SUMIFS('Data Additive'!$D:$D,'Data Additive'!$P:$P,'Painel Additive'!#REF!,'Data Additive'!$Q:$Q,"&gt;180",'Data Additive'!$Q:$Q,"&lt;=360")</f>
        <v>0</v>
      </c>
      <c r="M6" s="23">
        <f>SUMIFS('Data Additive'!$D:$D,'Data Additive'!$P:$P,'Painel Additive'!#REF!,'Data Additive'!$Q:$Q,"&gt;360")</f>
        <v>0</v>
      </c>
      <c r="N6" s="19">
        <f>SUMIFS('Data Additive'!$D:$D,'Data Additive'!$P:$P,'Painel Additive'!#REF!,'Data Additive'!$Q:$Q,"&gt;0")</f>
        <v>0</v>
      </c>
      <c r="O6" s="19">
        <f t="shared" si="4"/>
        <v>0</v>
      </c>
      <c r="P6" s="19">
        <f>SUMIFS('Data Additive'!$D:$D,'Data Additive'!$P:$P,'Painel Additive'!#REF!,'Data Additive'!$Q:$Q,"&lt;=0",'Data Additive'!$Q:$Q,"&gt;=-30")</f>
        <v>0</v>
      </c>
      <c r="Q6" s="19">
        <f>SUMIFS('Data Additive'!$D:$D,'Data Additive'!$P:$P,'Painel Additive'!#REF!,'Data Additive'!$Q:$Q,"&lt;=-31",'Data Additive'!$Q:$Q,"&gt;=-60")</f>
        <v>0</v>
      </c>
      <c r="R6" s="19">
        <f>SUMIFS('Data Additive'!$D:$D,'Data Additive'!$P:$P,'Painel Additive'!#REF!,'Data Additive'!$Q:$Q,"&lt;=-61",'Data Additive'!$Q:$Q,"&gt;=-90")</f>
        <v>0</v>
      </c>
      <c r="S6" s="19">
        <f>SUMIFS('Data Additive'!$D:$D,'Data Additive'!$P:$P,'Painel Additive'!#REF!,'Data Additive'!$Q:$Q,"&lt;=-91",'Data Additive'!$Q:$Q,"&gt;=-120")</f>
        <v>0</v>
      </c>
      <c r="T6" s="19">
        <f>SUMIFS('Data Additive'!$D:$D,'Data Additive'!$P:$P,'Painel Additive'!#REF!,'Data Additive'!$Q:$Q,"&lt;=-121",'Data Additive'!$Q:$Q,"&gt;=-180")</f>
        <v>0</v>
      </c>
      <c r="U6" s="19">
        <f>SUMIFS('Data Additive'!$D:$D,'Data Additive'!$P:$P,'Painel Additive'!#REF!,'Data Additive'!$Q:$Q,"&lt;=-181",'Data Additive'!$Q:$Q,"&gt;=-360")</f>
        <v>0</v>
      </c>
      <c r="V6" s="23">
        <f>SUMIFS('Data Additive'!$D:$D,'Data Additive'!$P:$P,'Painel Additive'!#REF!,'Data Additive'!$Q:$Q,"&lt;-360")</f>
        <v>0</v>
      </c>
      <c r="W6" s="19" t="e">
        <f>SUMIFS('Bad Debt Provision'!#REF!,'Bad Debt Provision'!#REF!,'Painel Additive'!#REF!)</f>
        <v>#REF!</v>
      </c>
      <c r="X6" s="5"/>
      <c r="Y6" s="20"/>
      <c r="Z6" s="20"/>
      <c r="AA6" s="21"/>
      <c r="AB6" s="5"/>
      <c r="AC6" s="19"/>
      <c r="AD6" s="20"/>
      <c r="AE6" s="22"/>
      <c r="AF6" s="22"/>
      <c r="AG6" s="5"/>
      <c r="AH6" s="28">
        <f t="shared" si="5"/>
        <v>0</v>
      </c>
    </row>
    <row r="7" spans="1:38" ht="15.75" customHeight="1" x14ac:dyDescent="0.25">
      <c r="B7" s="41" t="s">
        <v>418</v>
      </c>
      <c r="C7" s="94" t="s">
        <v>466</v>
      </c>
      <c r="D7" s="18" t="str" cm="1">
        <f t="array" ref="D7">IFERROR(INDEX('Limite de crédito'!$F:$F, MATCH(MAX(IF('Limite de crédito'!$C:$C=$B7, 'Limite de crédito'!$A:$A)), 'Limite de crédito'!$A:$A, 0)),0)</f>
        <v>Sim</v>
      </c>
      <c r="E7" s="18" t="e">
        <f t="shared" si="2"/>
        <v>#VALUE!</v>
      </c>
      <c r="F7" s="18">
        <f t="shared" si="3"/>
        <v>0</v>
      </c>
      <c r="G7" s="19">
        <f>SUMIFS('Data Additive'!$D:$D,'Data Additive'!$P:$P,'Painel Additive'!#REF!,'Data Additive'!$Q:$Q,"&gt;0",'Data Additive'!$Q:$Q,"&lt;=30")</f>
        <v>0</v>
      </c>
      <c r="H7" s="19">
        <f>SUMIFS('Data Additive'!$D:$D,'Data Additive'!$P:$P,'Painel Additive'!#REF!,'Data Additive'!$Q:$Q,"&gt;30",'Data Additive'!$Q:$Q,"&lt;=60")</f>
        <v>0</v>
      </c>
      <c r="I7" s="19">
        <f>SUMIFS('Data Additive'!$D:$D,'Data Additive'!$P:$P,'Painel Additive'!#REF!,'Data Additive'!$Q:$Q,"&gt;60",'Data Additive'!$Q:$Q,"&lt;=90")</f>
        <v>0</v>
      </c>
      <c r="J7" s="19">
        <f>SUMIFS('Data Additive'!$D:$D,'Data Additive'!$P:$P,'Painel Additive'!#REF!,'Data Additive'!$Q:$Q,"&gt;90",'Data Additive'!$Q:$Q,"&lt;=120")</f>
        <v>0</v>
      </c>
      <c r="K7" s="19">
        <f>SUMIFS('Data Additive'!$D:$D,'Data Additive'!$P:$P,'Painel Additive'!#REF!,'Data Additive'!$Q:$Q,"&gt;120",'Data Additive'!$Q:$Q,"&lt;=180")</f>
        <v>0</v>
      </c>
      <c r="L7" s="19">
        <f>SUMIFS('Data Additive'!$D:$D,'Data Additive'!$P:$P,'Painel Additive'!#REF!,'Data Additive'!$Q:$Q,"&gt;180",'Data Additive'!$Q:$Q,"&lt;=360")</f>
        <v>0</v>
      </c>
      <c r="M7" s="23">
        <f>SUMIFS('Data Additive'!$D:$D,'Data Additive'!$P:$P,'Painel Additive'!#REF!,'Data Additive'!$Q:$Q,"&gt;360")</f>
        <v>0</v>
      </c>
      <c r="N7" s="19">
        <f>SUMIFS('Data Additive'!$D:$D,'Data Additive'!$P:$P,'Painel Additive'!#REF!,'Data Additive'!$Q:$Q,"&gt;0")</f>
        <v>0</v>
      </c>
      <c r="O7" s="19">
        <f t="shared" si="4"/>
        <v>0</v>
      </c>
      <c r="P7" s="19">
        <f>SUMIFS('Data Additive'!$D:$D,'Data Additive'!$P:$P,'Painel Additive'!#REF!,'Data Additive'!$Q:$Q,"&lt;=0",'Data Additive'!$Q:$Q,"&gt;=-30")</f>
        <v>0</v>
      </c>
      <c r="Q7" s="19">
        <f>SUMIFS('Data Additive'!$D:$D,'Data Additive'!$P:$P,'Painel Additive'!#REF!,'Data Additive'!$Q:$Q,"&lt;=-31",'Data Additive'!$Q:$Q,"&gt;=-60")</f>
        <v>0</v>
      </c>
      <c r="R7" s="19">
        <f>SUMIFS('Data Additive'!$D:$D,'Data Additive'!$P:$P,'Painel Additive'!#REF!,'Data Additive'!$Q:$Q,"&lt;=-61",'Data Additive'!$Q:$Q,"&gt;=-90")</f>
        <v>0</v>
      </c>
      <c r="S7" s="19">
        <f>SUMIFS('Data Additive'!$D:$D,'Data Additive'!$P:$P,'Painel Additive'!#REF!,'Data Additive'!$Q:$Q,"&lt;=-91",'Data Additive'!$Q:$Q,"&gt;=-120")</f>
        <v>0</v>
      </c>
      <c r="T7" s="19">
        <f>SUMIFS('Data Additive'!$D:$D,'Data Additive'!$P:$P,'Painel Additive'!#REF!,'Data Additive'!$Q:$Q,"&lt;=-121",'Data Additive'!$Q:$Q,"&gt;=-180")</f>
        <v>0</v>
      </c>
      <c r="U7" s="19">
        <f>SUMIFS('Data Additive'!$D:$D,'Data Additive'!$P:$P,'Painel Additive'!#REF!,'Data Additive'!$Q:$Q,"&lt;=-181",'Data Additive'!$Q:$Q,"&gt;=-360")</f>
        <v>0</v>
      </c>
      <c r="V7" s="23">
        <f>SUMIFS('Data Additive'!$D:$D,'Data Additive'!$P:$P,'Painel Additive'!#REF!,'Data Additive'!$Q:$Q,"&lt;-360")</f>
        <v>0</v>
      </c>
      <c r="W7" s="19" t="e">
        <f>SUMIFS('Bad Debt Provision'!#REF!,'Bad Debt Provision'!#REF!,'Painel Additive'!#REF!)</f>
        <v>#REF!</v>
      </c>
      <c r="X7" s="5"/>
      <c r="Y7" s="20"/>
      <c r="Z7" s="20"/>
      <c r="AA7" s="21"/>
      <c r="AB7" s="5"/>
      <c r="AC7" s="19"/>
      <c r="AD7" s="20"/>
      <c r="AE7" s="22"/>
      <c r="AF7" s="22"/>
      <c r="AG7" s="5"/>
      <c r="AH7" s="28">
        <f t="shared" si="5"/>
        <v>0</v>
      </c>
    </row>
    <row r="8" spans="1:38" ht="15.75" customHeight="1" x14ac:dyDescent="0.25">
      <c r="B8" s="41" t="s">
        <v>427</v>
      </c>
      <c r="C8" s="94" t="str" cm="1">
        <f t="array" ref="C8">IFERROR(INDEX('Limite de crédito'!$D:$D, MATCH(MAX(IF('Limite de crédito'!$C:$C=$B8, 'Limite de crédito'!$A:$A)), 'Limite de crédito'!$A:$A, 0)),"")</f>
        <v/>
      </c>
      <c r="D8" s="18" cm="1">
        <f t="array" ref="D8">IFERROR(INDEX('Limite de crédito'!$F:$F, MATCH(MAX(IF('Limite de crédito'!$C:$C=$B8, 'Limite de crédito'!$A:$A)), 'Limite de crédito'!$A:$A, 0)),0)</f>
        <v>0</v>
      </c>
      <c r="E8" s="18">
        <f t="shared" si="2"/>
        <v>0</v>
      </c>
      <c r="F8" s="18">
        <f t="shared" si="3"/>
        <v>0</v>
      </c>
      <c r="G8" s="19">
        <f>SUMIFS('Data Additive'!$D:$D,'Data Additive'!$P:$P,'Painel Additive'!#REF!,'Data Additive'!$Q:$Q,"&gt;0",'Data Additive'!$Q:$Q,"&lt;=30")</f>
        <v>0</v>
      </c>
      <c r="H8" s="19">
        <f>SUMIFS('Data Additive'!$D:$D,'Data Additive'!$P:$P,'Painel Additive'!#REF!,'Data Additive'!$Q:$Q,"&gt;30",'Data Additive'!$Q:$Q,"&lt;=60")</f>
        <v>0</v>
      </c>
      <c r="I8" s="19">
        <f>SUMIFS('Data Additive'!$D:$D,'Data Additive'!$P:$P,'Painel Additive'!#REF!,'Data Additive'!$Q:$Q,"&gt;60",'Data Additive'!$Q:$Q,"&lt;=90")</f>
        <v>0</v>
      </c>
      <c r="J8" s="19">
        <f>SUMIFS('Data Additive'!$D:$D,'Data Additive'!$P:$P,'Painel Additive'!#REF!,'Data Additive'!$Q:$Q,"&gt;90",'Data Additive'!$Q:$Q,"&lt;=120")</f>
        <v>0</v>
      </c>
      <c r="K8" s="19">
        <f>SUMIFS('Data Additive'!$D:$D,'Data Additive'!$P:$P,'Painel Additive'!#REF!,'Data Additive'!$Q:$Q,"&gt;120",'Data Additive'!$Q:$Q,"&lt;=180")</f>
        <v>0</v>
      </c>
      <c r="L8" s="19">
        <f>SUMIFS('Data Additive'!$D:$D,'Data Additive'!$P:$P,'Painel Additive'!#REF!,'Data Additive'!$Q:$Q,"&gt;180",'Data Additive'!$Q:$Q,"&lt;=360")</f>
        <v>0</v>
      </c>
      <c r="M8" s="23">
        <f>SUMIFS('Data Additive'!$D:$D,'Data Additive'!$P:$P,'Painel Additive'!#REF!,'Data Additive'!$Q:$Q,"&gt;360")</f>
        <v>0</v>
      </c>
      <c r="N8" s="19">
        <f>SUMIFS('Data Additive'!$D:$D,'Data Additive'!$P:$P,'Painel Additive'!#REF!,'Data Additive'!$Q:$Q,"&gt;0")</f>
        <v>0</v>
      </c>
      <c r="O8" s="19">
        <f t="shared" si="4"/>
        <v>0</v>
      </c>
      <c r="P8" s="19">
        <f>SUMIFS('Data Additive'!$D:$D,'Data Additive'!$P:$P,'Painel Additive'!#REF!,'Data Additive'!$Q:$Q,"&lt;=0",'Data Additive'!$Q:$Q,"&gt;=-30")</f>
        <v>0</v>
      </c>
      <c r="Q8" s="19">
        <f>SUMIFS('Data Additive'!$D:$D,'Data Additive'!$P:$P,'Painel Additive'!#REF!,'Data Additive'!$Q:$Q,"&lt;=-31",'Data Additive'!$Q:$Q,"&gt;=-60")</f>
        <v>0</v>
      </c>
      <c r="R8" s="19">
        <f>SUMIFS('Data Additive'!$D:$D,'Data Additive'!$P:$P,'Painel Additive'!#REF!,'Data Additive'!$Q:$Q,"&lt;=-61",'Data Additive'!$Q:$Q,"&gt;=-90")</f>
        <v>0</v>
      </c>
      <c r="S8" s="19">
        <f>SUMIFS('Data Additive'!$D:$D,'Data Additive'!$P:$P,'Painel Additive'!#REF!,'Data Additive'!$Q:$Q,"&lt;=-91",'Data Additive'!$Q:$Q,"&gt;=-120")</f>
        <v>0</v>
      </c>
      <c r="T8" s="19">
        <f>SUMIFS('Data Additive'!$D:$D,'Data Additive'!$P:$P,'Painel Additive'!#REF!,'Data Additive'!$Q:$Q,"&lt;=-121",'Data Additive'!$Q:$Q,"&gt;=-180")</f>
        <v>0</v>
      </c>
      <c r="U8" s="19">
        <f>SUMIFS('Data Additive'!$D:$D,'Data Additive'!$P:$P,'Painel Additive'!#REF!,'Data Additive'!$Q:$Q,"&lt;=-181",'Data Additive'!$Q:$Q,"&gt;=-360")</f>
        <v>0</v>
      </c>
      <c r="V8" s="23">
        <f>SUMIFS('Data Additive'!$D:$D,'Data Additive'!$P:$P,'Painel Additive'!#REF!,'Data Additive'!$Q:$Q,"&lt;-360")</f>
        <v>0</v>
      </c>
      <c r="W8" s="19" t="e">
        <f>SUMIFS('Bad Debt Provision'!#REF!,'Bad Debt Provision'!#REF!,'Painel Additive'!#REF!)</f>
        <v>#REF!</v>
      </c>
      <c r="X8" s="5"/>
      <c r="Y8" s="20"/>
      <c r="Z8" s="20"/>
      <c r="AA8" s="21"/>
      <c r="AB8" s="5"/>
      <c r="AC8" s="19"/>
      <c r="AD8" s="20"/>
      <c r="AE8" s="22"/>
      <c r="AF8" s="22"/>
      <c r="AG8" s="5"/>
      <c r="AH8" s="28">
        <f t="shared" si="5"/>
        <v>0</v>
      </c>
    </row>
    <row r="9" spans="1:38" ht="15.75" customHeight="1" x14ac:dyDescent="0.25">
      <c r="B9" s="41" t="s">
        <v>416</v>
      </c>
      <c r="C9" s="94" t="s">
        <v>466</v>
      </c>
      <c r="D9" s="18" t="str" cm="1">
        <f t="array" ref="D9">IFERROR(INDEX('Limite de crédito'!$F:$F, MATCH(MAX(IF('Limite de crédito'!$C:$C=$B9, 'Limite de crédito'!$A:$A)), 'Limite de crédito'!$A:$A, 0)),0)</f>
        <v>Sim</v>
      </c>
      <c r="E9" s="18" t="e">
        <f t="shared" si="2"/>
        <v>#VALUE!</v>
      </c>
      <c r="F9" s="18">
        <f t="shared" si="3"/>
        <v>0</v>
      </c>
      <c r="G9" s="19">
        <f>SUMIFS('Data Additive'!$D:$D,'Data Additive'!$P:$P,'Painel Additive'!#REF!,'Data Additive'!$Q:$Q,"&gt;0",'Data Additive'!$Q:$Q,"&lt;=30")</f>
        <v>0</v>
      </c>
      <c r="H9" s="19">
        <f>SUMIFS('Data Additive'!$D:$D,'Data Additive'!$P:$P,'Painel Additive'!#REF!,'Data Additive'!$Q:$Q,"&gt;30",'Data Additive'!$Q:$Q,"&lt;=60")</f>
        <v>0</v>
      </c>
      <c r="I9" s="19">
        <f>SUMIFS('Data Additive'!$D:$D,'Data Additive'!$P:$P,'Painel Additive'!#REF!,'Data Additive'!$Q:$Q,"&gt;60",'Data Additive'!$Q:$Q,"&lt;=90")</f>
        <v>0</v>
      </c>
      <c r="J9" s="19">
        <f>SUMIFS('Data Additive'!$D:$D,'Data Additive'!$P:$P,'Painel Additive'!#REF!,'Data Additive'!$Q:$Q,"&gt;90",'Data Additive'!$Q:$Q,"&lt;=120")</f>
        <v>0</v>
      </c>
      <c r="K9" s="19">
        <f>SUMIFS('Data Additive'!$D:$D,'Data Additive'!$P:$P,'Painel Additive'!#REF!,'Data Additive'!$Q:$Q,"&gt;120",'Data Additive'!$Q:$Q,"&lt;=180")</f>
        <v>0</v>
      </c>
      <c r="L9" s="19">
        <f>SUMIFS('Data Additive'!$D:$D,'Data Additive'!$P:$P,'Painel Additive'!#REF!,'Data Additive'!$Q:$Q,"&gt;180",'Data Additive'!$Q:$Q,"&lt;=360")</f>
        <v>0</v>
      </c>
      <c r="M9" s="23">
        <f>SUMIFS('Data Additive'!$D:$D,'Data Additive'!$P:$P,'Painel Additive'!#REF!,'Data Additive'!$Q:$Q,"&gt;360")</f>
        <v>0</v>
      </c>
      <c r="N9" s="19">
        <f>SUMIFS('Data Additive'!$D:$D,'Data Additive'!$P:$P,'Painel Additive'!#REF!,'Data Additive'!$Q:$Q,"&gt;0")</f>
        <v>0</v>
      </c>
      <c r="O9" s="19">
        <f t="shared" si="4"/>
        <v>0</v>
      </c>
      <c r="P9" s="19">
        <f>SUMIFS('Data Additive'!$D:$D,'Data Additive'!$P:$P,'Painel Additive'!#REF!,'Data Additive'!$Q:$Q,"&lt;=0",'Data Additive'!$Q:$Q,"&gt;=-30")</f>
        <v>0</v>
      </c>
      <c r="Q9" s="19">
        <f>SUMIFS('Data Additive'!$D:$D,'Data Additive'!$P:$P,'Painel Additive'!#REF!,'Data Additive'!$Q:$Q,"&lt;=-31",'Data Additive'!$Q:$Q,"&gt;=-60")</f>
        <v>0</v>
      </c>
      <c r="R9" s="19">
        <f>SUMIFS('Data Additive'!$D:$D,'Data Additive'!$P:$P,'Painel Additive'!#REF!,'Data Additive'!$Q:$Q,"&lt;=-61",'Data Additive'!$Q:$Q,"&gt;=-90")</f>
        <v>0</v>
      </c>
      <c r="S9" s="19">
        <f>SUMIFS('Data Additive'!$D:$D,'Data Additive'!$P:$P,'Painel Additive'!#REF!,'Data Additive'!$Q:$Q,"&lt;=-91",'Data Additive'!$Q:$Q,"&gt;=-120")</f>
        <v>0</v>
      </c>
      <c r="T9" s="19">
        <f>SUMIFS('Data Additive'!$D:$D,'Data Additive'!$P:$P,'Painel Additive'!#REF!,'Data Additive'!$Q:$Q,"&lt;=-121",'Data Additive'!$Q:$Q,"&gt;=-180")</f>
        <v>0</v>
      </c>
      <c r="U9" s="19">
        <f>SUMIFS('Data Additive'!$D:$D,'Data Additive'!$P:$P,'Painel Additive'!#REF!,'Data Additive'!$Q:$Q,"&lt;=-181",'Data Additive'!$Q:$Q,"&gt;=-360")</f>
        <v>0</v>
      </c>
      <c r="V9" s="23">
        <f>SUMIFS('Data Additive'!$D:$D,'Data Additive'!$P:$P,'Painel Additive'!#REF!,'Data Additive'!$Q:$Q,"&lt;-360")</f>
        <v>0</v>
      </c>
      <c r="W9" s="19" t="e">
        <f>SUMIFS('Bad Debt Provision'!#REF!,'Bad Debt Provision'!#REF!,'Painel Additive'!#REF!)</f>
        <v>#REF!</v>
      </c>
      <c r="X9" s="5"/>
      <c r="Y9" s="20"/>
      <c r="Z9" s="20"/>
      <c r="AA9" s="21"/>
      <c r="AB9" s="5"/>
      <c r="AC9" s="19"/>
      <c r="AD9" s="20"/>
      <c r="AE9" s="22"/>
      <c r="AF9" s="22"/>
      <c r="AG9" s="5"/>
      <c r="AH9" s="28">
        <f t="shared" si="5"/>
        <v>0</v>
      </c>
    </row>
    <row r="10" spans="1:38" ht="15.75" customHeight="1" x14ac:dyDescent="0.25">
      <c r="B10" s="41" t="s">
        <v>415</v>
      </c>
      <c r="C10" s="94" t="s">
        <v>466</v>
      </c>
      <c r="D10" s="18" t="str" cm="1">
        <f t="array" ref="D10">IFERROR(INDEX('Limite de crédito'!$F:$F, MATCH(MAX(IF('Limite de crédito'!$C:$C=$B10, 'Limite de crédito'!$A:$A)), 'Limite de crédito'!$A:$A, 0)),0)</f>
        <v>Não</v>
      </c>
      <c r="E10" s="18" t="e">
        <f t="shared" si="2"/>
        <v>#VALUE!</v>
      </c>
      <c r="F10" s="18">
        <f t="shared" si="3"/>
        <v>0</v>
      </c>
      <c r="G10" s="19">
        <f>SUMIFS('Data Additive'!$D:$D,'Data Additive'!$P:$P,'Painel Additive'!#REF!,'Data Additive'!$Q:$Q,"&gt;0",'Data Additive'!$Q:$Q,"&lt;=30")</f>
        <v>0</v>
      </c>
      <c r="H10" s="19">
        <f>SUMIFS('Data Additive'!$D:$D,'Data Additive'!$P:$P,'Painel Additive'!#REF!,'Data Additive'!$Q:$Q,"&gt;30",'Data Additive'!$Q:$Q,"&lt;=60")</f>
        <v>0</v>
      </c>
      <c r="I10" s="19">
        <f>SUMIFS('Data Additive'!$D:$D,'Data Additive'!$P:$P,'Painel Additive'!#REF!,'Data Additive'!$Q:$Q,"&gt;60",'Data Additive'!$Q:$Q,"&lt;=90")</f>
        <v>0</v>
      </c>
      <c r="J10" s="19">
        <f>SUMIFS('Data Additive'!$D:$D,'Data Additive'!$P:$P,'Painel Additive'!#REF!,'Data Additive'!$Q:$Q,"&gt;90",'Data Additive'!$Q:$Q,"&lt;=120")</f>
        <v>0</v>
      </c>
      <c r="K10" s="19">
        <f>SUMIFS('Data Additive'!$D:$D,'Data Additive'!$P:$P,'Painel Additive'!#REF!,'Data Additive'!$Q:$Q,"&gt;120",'Data Additive'!$Q:$Q,"&lt;=180")</f>
        <v>0</v>
      </c>
      <c r="L10" s="19">
        <f>SUMIFS('Data Additive'!$D:$D,'Data Additive'!$P:$P,'Painel Additive'!#REF!,'Data Additive'!$Q:$Q,"&gt;180",'Data Additive'!$Q:$Q,"&lt;=360")</f>
        <v>0</v>
      </c>
      <c r="M10" s="23">
        <f>SUMIFS('Data Additive'!$D:$D,'Data Additive'!$P:$P,'Painel Additive'!#REF!,'Data Additive'!$Q:$Q,"&gt;360")</f>
        <v>0</v>
      </c>
      <c r="N10" s="19">
        <f>SUMIFS('Data Additive'!$D:$D,'Data Additive'!$P:$P,'Painel Additive'!#REF!,'Data Additive'!$Q:$Q,"&gt;0")</f>
        <v>0</v>
      </c>
      <c r="O10" s="19">
        <f t="shared" si="4"/>
        <v>0</v>
      </c>
      <c r="P10" s="19">
        <f>SUMIFS('Data Additive'!$D:$D,'Data Additive'!$P:$P,'Painel Additive'!#REF!,'Data Additive'!$Q:$Q,"&lt;=0",'Data Additive'!$Q:$Q,"&gt;=-30")</f>
        <v>0</v>
      </c>
      <c r="Q10" s="19">
        <f>SUMIFS('Data Additive'!$D:$D,'Data Additive'!$P:$P,'Painel Additive'!#REF!,'Data Additive'!$Q:$Q,"&lt;=-31",'Data Additive'!$Q:$Q,"&gt;=-60")</f>
        <v>0</v>
      </c>
      <c r="R10" s="19">
        <f>SUMIFS('Data Additive'!$D:$D,'Data Additive'!$P:$P,'Painel Additive'!#REF!,'Data Additive'!$Q:$Q,"&lt;=-61",'Data Additive'!$Q:$Q,"&gt;=-90")</f>
        <v>0</v>
      </c>
      <c r="S10" s="19">
        <f>SUMIFS('Data Additive'!$D:$D,'Data Additive'!$P:$P,'Painel Additive'!#REF!,'Data Additive'!$Q:$Q,"&lt;=-91",'Data Additive'!$Q:$Q,"&gt;=-120")</f>
        <v>0</v>
      </c>
      <c r="T10" s="19">
        <f>SUMIFS('Data Additive'!$D:$D,'Data Additive'!$P:$P,'Painel Additive'!#REF!,'Data Additive'!$Q:$Q,"&lt;=-121",'Data Additive'!$Q:$Q,"&gt;=-180")</f>
        <v>0</v>
      </c>
      <c r="U10" s="19">
        <f>SUMIFS('Data Additive'!$D:$D,'Data Additive'!$P:$P,'Painel Additive'!#REF!,'Data Additive'!$Q:$Q,"&lt;=-181",'Data Additive'!$Q:$Q,"&gt;=-360")</f>
        <v>0</v>
      </c>
      <c r="V10" s="23">
        <f>SUMIFS('Data Additive'!$D:$D,'Data Additive'!$P:$P,'Painel Additive'!#REF!,'Data Additive'!$Q:$Q,"&lt;-360")</f>
        <v>0</v>
      </c>
      <c r="W10" s="19" t="e">
        <f>SUMIFS('Bad Debt Provision'!#REF!,'Bad Debt Provision'!#REF!,'Painel Additive'!#REF!)</f>
        <v>#REF!</v>
      </c>
      <c r="X10" s="5"/>
      <c r="Y10" s="20"/>
      <c r="Z10" s="20"/>
      <c r="AA10" s="21"/>
      <c r="AB10" s="5"/>
      <c r="AC10" s="19"/>
      <c r="AD10" s="20"/>
      <c r="AE10" s="22"/>
      <c r="AF10" s="22"/>
      <c r="AG10" s="5"/>
      <c r="AH10" s="28">
        <f t="shared" si="5"/>
        <v>0</v>
      </c>
    </row>
    <row r="11" spans="1:38" ht="15.75" customHeight="1" x14ac:dyDescent="0.25">
      <c r="B11" s="41" t="s">
        <v>333</v>
      </c>
      <c r="C11" s="94" t="str" cm="1">
        <f t="array" ref="C11">IFERROR(INDEX('Limite de crédito'!$D:$D, MATCH(MAX(IF('Limite de crédito'!$C:$C=$B11, 'Limite de crédito'!$A:$A)), 'Limite de crédito'!$A:$A, 0)),"")</f>
        <v/>
      </c>
      <c r="D11" s="18" cm="1">
        <f t="array" ref="D11">IFERROR(INDEX('Limite de crédito'!$F:$F, MATCH(MAX(IF('Limite de crédito'!$C:$C=$B11, 'Limite de crédito'!$A:$A)), 'Limite de crédito'!$A:$A, 0)),0)</f>
        <v>0</v>
      </c>
      <c r="E11" s="18">
        <f t="shared" si="2"/>
        <v>0</v>
      </c>
      <c r="F11" s="18">
        <f t="shared" si="3"/>
        <v>0</v>
      </c>
      <c r="G11" s="19">
        <f>SUMIFS('Data Additive'!$D:$D,'Data Additive'!$P:$P,'Painel Additive'!#REF!,'Data Additive'!$Q:$Q,"&gt;0",'Data Additive'!$Q:$Q,"&lt;=30")</f>
        <v>0</v>
      </c>
      <c r="H11" s="19">
        <f>SUMIFS('Data Additive'!$D:$D,'Data Additive'!$P:$P,'Painel Additive'!#REF!,'Data Additive'!$Q:$Q,"&gt;30",'Data Additive'!$Q:$Q,"&lt;=60")</f>
        <v>0</v>
      </c>
      <c r="I11" s="19">
        <f>SUMIFS('Data Additive'!$D:$D,'Data Additive'!$P:$P,'Painel Additive'!#REF!,'Data Additive'!$Q:$Q,"&gt;60",'Data Additive'!$Q:$Q,"&lt;=90")</f>
        <v>0</v>
      </c>
      <c r="J11" s="19">
        <f>SUMIFS('Data Additive'!$D:$D,'Data Additive'!$P:$P,'Painel Additive'!#REF!,'Data Additive'!$Q:$Q,"&gt;90",'Data Additive'!$Q:$Q,"&lt;=120")</f>
        <v>0</v>
      </c>
      <c r="K11" s="19">
        <f>SUMIFS('Data Additive'!$D:$D,'Data Additive'!$P:$P,'Painel Additive'!#REF!,'Data Additive'!$Q:$Q,"&gt;120",'Data Additive'!$Q:$Q,"&lt;=180")</f>
        <v>0</v>
      </c>
      <c r="L11" s="19">
        <f>SUMIFS('Data Additive'!$D:$D,'Data Additive'!$P:$P,'Painel Additive'!#REF!,'Data Additive'!$Q:$Q,"&gt;180",'Data Additive'!$Q:$Q,"&lt;=360")</f>
        <v>0</v>
      </c>
      <c r="M11" s="23">
        <f>SUMIFS('Data Additive'!$D:$D,'Data Additive'!$P:$P,'Painel Additive'!#REF!,'Data Additive'!$Q:$Q,"&gt;360")</f>
        <v>0</v>
      </c>
      <c r="N11" s="19">
        <f>SUMIFS('Data Additive'!$D:$D,'Data Additive'!$P:$P,'Painel Additive'!#REF!,'Data Additive'!$Q:$Q,"&gt;0")</f>
        <v>0</v>
      </c>
      <c r="O11" s="19">
        <f t="shared" si="4"/>
        <v>0</v>
      </c>
      <c r="P11" s="19">
        <f>SUMIFS('Data Additive'!$D:$D,'Data Additive'!$P:$P,'Painel Additive'!#REF!,'Data Additive'!$Q:$Q,"&lt;=0",'Data Additive'!$Q:$Q,"&gt;=-30")</f>
        <v>0</v>
      </c>
      <c r="Q11" s="19">
        <f>SUMIFS('Data Additive'!$D:$D,'Data Additive'!$P:$P,'Painel Additive'!#REF!,'Data Additive'!$Q:$Q,"&lt;=-31",'Data Additive'!$Q:$Q,"&gt;=-60")</f>
        <v>0</v>
      </c>
      <c r="R11" s="19">
        <f>SUMIFS('Data Additive'!$D:$D,'Data Additive'!$P:$P,'Painel Additive'!#REF!,'Data Additive'!$Q:$Q,"&lt;=-61",'Data Additive'!$Q:$Q,"&gt;=-90")</f>
        <v>0</v>
      </c>
      <c r="S11" s="19">
        <f>SUMIFS('Data Additive'!$D:$D,'Data Additive'!$P:$P,'Painel Additive'!#REF!,'Data Additive'!$Q:$Q,"&lt;=-91",'Data Additive'!$Q:$Q,"&gt;=-120")</f>
        <v>0</v>
      </c>
      <c r="T11" s="19">
        <f>SUMIFS('Data Additive'!$D:$D,'Data Additive'!$P:$P,'Painel Additive'!#REF!,'Data Additive'!$Q:$Q,"&lt;=-121",'Data Additive'!$Q:$Q,"&gt;=-180")</f>
        <v>0</v>
      </c>
      <c r="U11" s="19">
        <f>SUMIFS('Data Additive'!$D:$D,'Data Additive'!$P:$P,'Painel Additive'!#REF!,'Data Additive'!$Q:$Q,"&lt;=-181",'Data Additive'!$Q:$Q,"&gt;=-360")</f>
        <v>0</v>
      </c>
      <c r="V11" s="23">
        <f>SUMIFS('Data Additive'!$D:$D,'Data Additive'!$P:$P,'Painel Additive'!#REF!,'Data Additive'!$Q:$Q,"&lt;-360")</f>
        <v>0</v>
      </c>
      <c r="W11" s="19" t="e">
        <f>SUMIFS('Bad Debt Provision'!#REF!,'Bad Debt Provision'!#REF!,'Painel Additive'!#REF!)</f>
        <v>#REF!</v>
      </c>
      <c r="X11" s="5"/>
      <c r="Y11" s="20"/>
      <c r="Z11" s="20"/>
      <c r="AA11" s="21"/>
      <c r="AB11" s="5"/>
      <c r="AC11" s="19"/>
      <c r="AD11" s="20"/>
      <c r="AE11" s="22"/>
      <c r="AF11" s="22"/>
      <c r="AG11" s="5"/>
      <c r="AH11" s="28">
        <f t="shared" si="5"/>
        <v>0</v>
      </c>
    </row>
    <row r="12" spans="1:38" ht="15.75" customHeight="1" x14ac:dyDescent="0.25">
      <c r="B12" s="17" t="s">
        <v>77</v>
      </c>
      <c r="C12" s="93" t="str" cm="1">
        <f t="array" ref="C12">IFERROR(INDEX('Limite de crédito'!$D:$D, MATCH(MAX(IF('Limite de crédito'!$C:$C=$B12, 'Limite de crédito'!$A:$A)), 'Limite de crédito'!$A:$A, 0)),"")</f>
        <v/>
      </c>
      <c r="D12" s="18" cm="1">
        <f t="array" ref="D12">IFERROR(INDEX('Limite de crédito'!$F:$F, MATCH(MAX(IF('Limite de crédito'!$C:$C=$B12, 'Limite de crédito'!$A:$A)), 'Limite de crédito'!$A:$A, 0)),0)</f>
        <v>0</v>
      </c>
      <c r="E12" s="18">
        <f t="shared" si="2"/>
        <v>-3756608.9000000004</v>
      </c>
      <c r="F12" s="18">
        <f t="shared" si="3"/>
        <v>3756608.9000000004</v>
      </c>
      <c r="G12" s="19">
        <f>SUMIFS('Data Additive'!$D:$D,'Data Additive'!$P:$P,'Painel Additive'!$B9,'Data Additive'!$Q:$Q,"&gt;0",'Data Additive'!$Q:$Q,"&lt;=30")</f>
        <v>0</v>
      </c>
      <c r="H12" s="19">
        <f>SUMIFS('Data Additive'!$D:$D,'Data Additive'!$P:$P,'Painel Additive'!$B9,'Data Additive'!$Q:$Q,"&gt;30",'Data Additive'!$Q:$Q,"&lt;=60")</f>
        <v>0</v>
      </c>
      <c r="I12" s="19">
        <f>SUMIFS('Data Additive'!$D:$D,'Data Additive'!$P:$P,'Painel Additive'!$B9,'Data Additive'!$Q:$Q,"&gt;60",'Data Additive'!$Q:$Q,"&lt;=90")</f>
        <v>0</v>
      </c>
      <c r="J12" s="19">
        <f>SUMIFS('Data Additive'!$D:$D,'Data Additive'!$P:$P,'Painel Additive'!$B9,'Data Additive'!$Q:$Q,"&gt;90",'Data Additive'!$Q:$Q,"&lt;=120")</f>
        <v>0</v>
      </c>
      <c r="K12" s="19">
        <f>SUMIFS('Data Additive'!$D:$D,'Data Additive'!$P:$P,'Painel Additive'!$B9,'Data Additive'!$Q:$Q,"&gt;120",'Data Additive'!$Q:$Q,"&lt;=180")</f>
        <v>0</v>
      </c>
      <c r="L12" s="19">
        <f>SUMIFS('Data Additive'!$D:$D,'Data Additive'!$P:$P,'Painel Additive'!$B9,'Data Additive'!$Q:$Q,"&gt;180",'Data Additive'!$Q:$Q,"&lt;=360")</f>
        <v>0</v>
      </c>
      <c r="M12" s="23">
        <f>SUMIFS('Data Additive'!$D:$D,'Data Additive'!$P:$P,'Painel Additive'!$B9,'Data Additive'!$Q:$Q,"&gt;360")</f>
        <v>0</v>
      </c>
      <c r="N12" s="19">
        <f>SUMIFS('Data Additive'!$D:$D,'Data Additive'!$P:$P,'Painel Additive'!$B9,'Data Additive'!$Q:$Q,"&gt;0")</f>
        <v>0</v>
      </c>
      <c r="O12" s="19">
        <f t="shared" si="4"/>
        <v>3756608.9000000004</v>
      </c>
      <c r="P12" s="19">
        <f>SUMIFS('Data Additive'!$D:$D,'Data Additive'!$P:$P,'Painel Additive'!$B9,'Data Additive'!$Q:$Q,"&lt;=0",'Data Additive'!$Q:$Q,"&gt;=-30")</f>
        <v>3756608.9000000004</v>
      </c>
      <c r="Q12" s="19">
        <f>SUMIFS('Data Additive'!$D:$D,'Data Additive'!$P:$P,'Painel Additive'!$B9,'Data Additive'!$Q:$Q,"&lt;=-31",'Data Additive'!$Q:$Q,"&gt;=-60")</f>
        <v>0</v>
      </c>
      <c r="R12" s="19">
        <f>SUMIFS('Data Additive'!$D:$D,'Data Additive'!$P:$P,'Painel Additive'!$B9,'Data Additive'!$Q:$Q,"&lt;=-61",'Data Additive'!$Q:$Q,"&gt;=-90")</f>
        <v>0</v>
      </c>
      <c r="S12" s="19">
        <f>SUMIFS('Data Additive'!$D:$D,'Data Additive'!$P:$P,'Painel Additive'!$B9,'Data Additive'!$Q:$Q,"&lt;=-91",'Data Additive'!$Q:$Q,"&gt;=-120")</f>
        <v>0</v>
      </c>
      <c r="T12" s="19">
        <f>SUMIFS('Data Additive'!$D:$D,'Data Additive'!$P:$P,'Painel Additive'!$B9,'Data Additive'!$Q:$Q,"&lt;=-121",'Data Additive'!$Q:$Q,"&gt;=-180")</f>
        <v>0</v>
      </c>
      <c r="U12" s="19">
        <f>SUMIFS('Data Additive'!$D:$D,'Data Additive'!$P:$P,'Painel Additive'!$B9,'Data Additive'!$Q:$Q,"&lt;=-181",'Data Additive'!$Q:$Q,"&gt;=-360")</f>
        <v>0</v>
      </c>
      <c r="V12" s="23">
        <f>SUMIFS('Data Additive'!$D:$D,'Data Additive'!$P:$P,'Painel Additive'!$B9,'Data Additive'!$Q:$Q,"&lt;-360")</f>
        <v>0</v>
      </c>
      <c r="W12" s="19" t="e">
        <f>SUMIFS('Bad Debt Provision'!#REF!,'Bad Debt Provision'!#REF!,'Painel Additive'!$B9)</f>
        <v>#REF!</v>
      </c>
      <c r="X12" s="5"/>
      <c r="Y12" s="20"/>
      <c r="Z12" s="20"/>
      <c r="AA12" s="21"/>
      <c r="AB12" s="5"/>
      <c r="AC12" s="19"/>
      <c r="AD12" s="20"/>
      <c r="AE12" s="22"/>
      <c r="AF12" s="22"/>
      <c r="AG12" s="5"/>
      <c r="AH12" s="28">
        <f t="shared" si="5"/>
        <v>-3756608.9000000004</v>
      </c>
      <c r="AI12" s="5"/>
    </row>
    <row r="13" spans="1:38" ht="15.75" customHeight="1" x14ac:dyDescent="0.25">
      <c r="B13" s="17" t="s">
        <v>30</v>
      </c>
      <c r="C13" s="93" cm="1">
        <f t="array" ref="C13">IFERROR(INDEX('Limite de crédito'!$D:$D, MATCH(MAX(IF('Limite de crédito'!$C:$C=$B13, 'Limite de crédito'!$A:$A)), 'Limite de crédito'!$A:$A, 0)),"")</f>
        <v>45995</v>
      </c>
      <c r="D13" s="18" t="str" cm="1">
        <f t="array" ref="D13">IFERROR(INDEX('Limite de crédito'!$F:$F, MATCH(MAX(IF('Limite de crédito'!$C:$C=$B13, 'Limite de crédito'!$A:$A)), 'Limite de crédito'!$A:$A, 0)),0)</f>
        <v>Sim</v>
      </c>
      <c r="E13" s="18" t="e">
        <f t="shared" si="2"/>
        <v>#VALUE!</v>
      </c>
      <c r="F13" s="18">
        <f t="shared" si="3"/>
        <v>0</v>
      </c>
      <c r="G13" s="19">
        <f>SUMIFS('Data Additive'!$D:$D,'Data Additive'!$P:$P,'Painel Additive'!$B37,'Data Additive'!$Q:$Q,"&gt;0",'Data Additive'!$Q:$Q,"&lt;=30")</f>
        <v>0</v>
      </c>
      <c r="H13" s="19">
        <f>SUMIFS('Data Additive'!$D:$D,'Data Additive'!$P:$P,'Painel Additive'!$B37,'Data Additive'!$Q:$Q,"&gt;30",'Data Additive'!$Q:$Q,"&lt;=60")</f>
        <v>0</v>
      </c>
      <c r="I13" s="19">
        <f>SUMIFS('Data Additive'!$D:$D,'Data Additive'!$P:$P,'Painel Additive'!$B37,'Data Additive'!$Q:$Q,"&gt;60",'Data Additive'!$Q:$Q,"&lt;=90")</f>
        <v>0</v>
      </c>
      <c r="J13" s="19">
        <f>SUMIFS('Data Additive'!$D:$D,'Data Additive'!$P:$P,'Painel Additive'!$B37,'Data Additive'!$Q:$Q,"&gt;90",'Data Additive'!$Q:$Q,"&lt;=120")</f>
        <v>0</v>
      </c>
      <c r="K13" s="19">
        <f>SUMIFS('Data Additive'!$D:$D,'Data Additive'!$P:$P,'Painel Additive'!$B37,'Data Additive'!$Q:$Q,"&gt;120",'Data Additive'!$Q:$Q,"&lt;=180")</f>
        <v>0</v>
      </c>
      <c r="L13" s="19">
        <f>SUMIFS('Data Additive'!$D:$D,'Data Additive'!$P:$P,'Painel Additive'!$B37,'Data Additive'!$Q:$Q,"&gt;180",'Data Additive'!$Q:$Q,"&lt;=360")</f>
        <v>0</v>
      </c>
      <c r="M13" s="23">
        <f>SUMIFS('Data Additive'!$D:$D,'Data Additive'!$P:$P,'Painel Additive'!$B37,'Data Additive'!$Q:$Q,"&gt;360")</f>
        <v>0</v>
      </c>
      <c r="N13" s="19">
        <f>SUMIFS('Data Additive'!$D:$D,'Data Additive'!$P:$P,'Painel Additive'!$B37,'Data Additive'!$Q:$Q,"&gt;0")</f>
        <v>0</v>
      </c>
      <c r="O13" s="19">
        <f t="shared" si="4"/>
        <v>0</v>
      </c>
      <c r="P13" s="19">
        <f>SUMIFS('Data Additive'!$D:$D,'Data Additive'!$P:$P,'Painel Additive'!$B37,'Data Additive'!$Q:$Q,"&lt;=0",'Data Additive'!$Q:$Q,"&gt;=-30")</f>
        <v>0</v>
      </c>
      <c r="Q13" s="19">
        <f>SUMIFS('Data Additive'!$D:$D,'Data Additive'!$P:$P,'Painel Additive'!$B37,'Data Additive'!$Q:$Q,"&lt;=-31",'Data Additive'!$Q:$Q,"&gt;=-60")</f>
        <v>0</v>
      </c>
      <c r="R13" s="19">
        <f>SUMIFS('Data Additive'!$D:$D,'Data Additive'!$P:$P,'Painel Additive'!$B37,'Data Additive'!$Q:$Q,"&lt;=-61",'Data Additive'!$Q:$Q,"&gt;=-90")</f>
        <v>0</v>
      </c>
      <c r="S13" s="19">
        <f>SUMIFS('Data Additive'!$D:$D,'Data Additive'!$P:$P,'Painel Additive'!$B37,'Data Additive'!$Q:$Q,"&lt;=-91",'Data Additive'!$Q:$Q,"&gt;=-120")</f>
        <v>0</v>
      </c>
      <c r="T13" s="19">
        <f>SUMIFS('Data Additive'!$D:$D,'Data Additive'!$P:$P,'Painel Additive'!$B37,'Data Additive'!$Q:$Q,"&lt;=-121",'Data Additive'!$Q:$Q,"&gt;=-180")</f>
        <v>0</v>
      </c>
      <c r="U13" s="19">
        <f>SUMIFS('Data Additive'!$D:$D,'Data Additive'!$P:$P,'Painel Additive'!$B37,'Data Additive'!$Q:$Q,"&lt;=-181",'Data Additive'!$Q:$Q,"&gt;=-360")</f>
        <v>0</v>
      </c>
      <c r="V13" s="23">
        <f>SUMIFS('Data Additive'!$D:$D,'Data Additive'!$P:$P,'Painel Additive'!$B37,'Data Additive'!$Q:$Q,"&lt;-360")</f>
        <v>0</v>
      </c>
      <c r="W13" s="19" t="e">
        <f>SUMIFS('Bad Debt Provision'!#REF!,'Bad Debt Provision'!#REF!,'Painel Additive'!$B37)</f>
        <v>#REF!</v>
      </c>
      <c r="X13" s="5"/>
      <c r="Y13" s="20"/>
      <c r="Z13" s="20"/>
      <c r="AA13" s="21"/>
      <c r="AB13" s="5"/>
      <c r="AC13" s="19"/>
      <c r="AD13" s="20"/>
      <c r="AE13" s="22"/>
      <c r="AF13" s="22"/>
      <c r="AG13" s="5"/>
      <c r="AH13" s="28">
        <f t="shared" si="5"/>
        <v>0</v>
      </c>
      <c r="AI13" s="5"/>
    </row>
    <row r="14" spans="1:38" ht="15.75" customHeight="1" x14ac:dyDescent="0.25">
      <c r="B14" s="17" t="s">
        <v>83</v>
      </c>
      <c r="C14" s="93" cm="1">
        <f t="array" ref="C14">IFERROR(INDEX('Limite de crédito'!$D:$D, MATCH(MAX(IF('Limite de crédito'!$C:$C=$B14, 'Limite de crédito'!$A:$A)), 'Limite de crédito'!$A:$A, 0)),"")</f>
        <v>46100</v>
      </c>
      <c r="D14" s="18" t="str" cm="1">
        <f t="array" ref="D14">IFERROR(INDEX('Limite de crédito'!$F:$F, MATCH(MAX(IF('Limite de crédito'!$C:$C=$B14, 'Limite de crédito'!$A:$A)), 'Limite de crédito'!$A:$A, 0)),0)</f>
        <v>Sim</v>
      </c>
      <c r="E14" s="18" t="e">
        <f t="shared" si="2"/>
        <v>#VALUE!</v>
      </c>
      <c r="F14" s="18">
        <f t="shared" si="3"/>
        <v>20940</v>
      </c>
      <c r="G14" s="19">
        <f>SUMIFS('Data Additive'!$D:$D,'Data Additive'!$P:$P,'Painel Additive'!$B32,'Data Additive'!$Q:$Q,"&gt;0",'Data Additive'!$Q:$Q,"&lt;=30")</f>
        <v>0</v>
      </c>
      <c r="H14" s="19">
        <f>SUMIFS('Data Additive'!$D:$D,'Data Additive'!$P:$P,'Painel Additive'!$B32,'Data Additive'!$Q:$Q,"&gt;30",'Data Additive'!$Q:$Q,"&lt;=60")</f>
        <v>0</v>
      </c>
      <c r="I14" s="19">
        <f>SUMIFS('Data Additive'!$D:$D,'Data Additive'!$P:$P,'Painel Additive'!$B32,'Data Additive'!$Q:$Q,"&gt;60",'Data Additive'!$Q:$Q,"&lt;=90")</f>
        <v>0</v>
      </c>
      <c r="J14" s="19">
        <f>SUMIFS('Data Additive'!$D:$D,'Data Additive'!$P:$P,'Painel Additive'!$B32,'Data Additive'!$Q:$Q,"&gt;90",'Data Additive'!$Q:$Q,"&lt;=120")</f>
        <v>0</v>
      </c>
      <c r="K14" s="19">
        <f>SUMIFS('Data Additive'!$D:$D,'Data Additive'!$P:$P,'Painel Additive'!$B32,'Data Additive'!$Q:$Q,"&gt;120",'Data Additive'!$Q:$Q,"&lt;=180")</f>
        <v>0</v>
      </c>
      <c r="L14" s="19">
        <f>SUMIFS('Data Additive'!$D:$D,'Data Additive'!$P:$P,'Painel Additive'!$B32,'Data Additive'!$Q:$Q,"&gt;180",'Data Additive'!$Q:$Q,"&lt;=360")</f>
        <v>0</v>
      </c>
      <c r="M14" s="23">
        <f>SUMIFS('Data Additive'!$D:$D,'Data Additive'!$P:$P,'Painel Additive'!$B32,'Data Additive'!$Q:$Q,"&gt;360")</f>
        <v>20940</v>
      </c>
      <c r="N14" s="19">
        <f>SUMIFS('Data Additive'!$D:$D,'Data Additive'!$P:$P,'Painel Additive'!$B32,'Data Additive'!$Q:$Q,"&gt;0")</f>
        <v>20940</v>
      </c>
      <c r="O14" s="19">
        <f t="shared" si="4"/>
        <v>0</v>
      </c>
      <c r="P14" s="19">
        <f>SUMIFS('Data Additive'!$D:$D,'Data Additive'!$P:$P,'Painel Additive'!$B32,'Data Additive'!$Q:$Q,"&lt;=0",'Data Additive'!$Q:$Q,"&gt;=-30")</f>
        <v>0</v>
      </c>
      <c r="Q14" s="19">
        <f>SUMIFS('Data Additive'!$D:$D,'Data Additive'!$P:$P,'Painel Additive'!$B32,'Data Additive'!$Q:$Q,"&lt;=-31",'Data Additive'!$Q:$Q,"&gt;=-60")</f>
        <v>0</v>
      </c>
      <c r="R14" s="19">
        <f>SUMIFS('Data Additive'!$D:$D,'Data Additive'!$P:$P,'Painel Additive'!$B32,'Data Additive'!$Q:$Q,"&lt;=-61",'Data Additive'!$Q:$Q,"&gt;=-90")</f>
        <v>0</v>
      </c>
      <c r="S14" s="19">
        <f>SUMIFS('Data Additive'!$D:$D,'Data Additive'!$P:$P,'Painel Additive'!$B32,'Data Additive'!$Q:$Q,"&lt;=-91",'Data Additive'!$Q:$Q,"&gt;=-120")</f>
        <v>0</v>
      </c>
      <c r="T14" s="19">
        <f>SUMIFS('Data Additive'!$D:$D,'Data Additive'!$P:$P,'Painel Additive'!$B32,'Data Additive'!$Q:$Q,"&lt;=-121",'Data Additive'!$Q:$Q,"&gt;=-180")</f>
        <v>0</v>
      </c>
      <c r="U14" s="19">
        <f>SUMIFS('Data Additive'!$D:$D,'Data Additive'!$P:$P,'Painel Additive'!$B32,'Data Additive'!$Q:$Q,"&lt;=-181",'Data Additive'!$Q:$Q,"&gt;=-360")</f>
        <v>0</v>
      </c>
      <c r="V14" s="23">
        <f>SUMIFS('Data Additive'!$D:$D,'Data Additive'!$P:$P,'Painel Additive'!$B32,'Data Additive'!$Q:$Q,"&lt;-360")</f>
        <v>0</v>
      </c>
      <c r="W14" s="19" t="e">
        <f>SUMIFS('Bad Debt Provision'!#REF!,'Bad Debt Provision'!#REF!,'Painel Additive'!$B32)</f>
        <v>#REF!</v>
      </c>
      <c r="X14" s="5"/>
      <c r="Y14" s="20"/>
      <c r="Z14" s="20"/>
      <c r="AA14" s="21"/>
      <c r="AB14" s="5"/>
      <c r="AC14" s="19"/>
      <c r="AD14" s="20"/>
      <c r="AE14" s="22"/>
      <c r="AF14" s="22"/>
      <c r="AG14" s="5"/>
      <c r="AH14" s="28">
        <f t="shared" si="5"/>
        <v>-20940</v>
      </c>
      <c r="AI14" s="5"/>
    </row>
    <row r="15" spans="1:38" ht="15.75" customHeight="1" x14ac:dyDescent="0.25">
      <c r="B15" s="41" t="s">
        <v>424</v>
      </c>
      <c r="C15" s="94" cm="1">
        <f t="array" ref="C15">IFERROR(INDEX('Limite de crédito'!$D:$D, MATCH(MAX(IF('Limite de crédito'!$C:$C=$B15, 'Limite de crédito'!$A:$A)), 'Limite de crédito'!$A:$A, 0)),"")</f>
        <v>45992</v>
      </c>
      <c r="D15" s="18" t="str" cm="1">
        <f t="array" ref="D15">IFERROR(INDEX('Limite de crédito'!$F:$F, MATCH(MAX(IF('Limite de crédito'!$C:$C=$B15, 'Limite de crédito'!$A:$A)), 'Limite de crédito'!$A:$A, 0)),0)</f>
        <v>Sim</v>
      </c>
      <c r="E15" s="18" t="e">
        <f t="shared" si="2"/>
        <v>#VALUE!</v>
      </c>
      <c r="F15" s="18">
        <f t="shared" si="3"/>
        <v>0</v>
      </c>
      <c r="G15" s="19">
        <f>SUMIFS('Data Additive'!$D:$D,'Data Additive'!$P:$P,'Painel Additive'!#REF!,'Data Additive'!$Q:$Q,"&gt;0",'Data Additive'!$Q:$Q,"&lt;=30")</f>
        <v>0</v>
      </c>
      <c r="H15" s="19">
        <f>SUMIFS('Data Additive'!$D:$D,'Data Additive'!$P:$P,'Painel Additive'!#REF!,'Data Additive'!$Q:$Q,"&gt;30",'Data Additive'!$Q:$Q,"&lt;=60")</f>
        <v>0</v>
      </c>
      <c r="I15" s="19">
        <f>SUMIFS('Data Additive'!$D:$D,'Data Additive'!$P:$P,'Painel Additive'!#REF!,'Data Additive'!$Q:$Q,"&gt;60",'Data Additive'!$Q:$Q,"&lt;=90")</f>
        <v>0</v>
      </c>
      <c r="J15" s="19">
        <f>SUMIFS('Data Additive'!$D:$D,'Data Additive'!$P:$P,'Painel Additive'!#REF!,'Data Additive'!$Q:$Q,"&gt;90",'Data Additive'!$Q:$Q,"&lt;=120")</f>
        <v>0</v>
      </c>
      <c r="K15" s="19">
        <f>SUMIFS('Data Additive'!$D:$D,'Data Additive'!$P:$P,'Painel Additive'!#REF!,'Data Additive'!$Q:$Q,"&gt;120",'Data Additive'!$Q:$Q,"&lt;=180")</f>
        <v>0</v>
      </c>
      <c r="L15" s="19">
        <f>SUMIFS('Data Additive'!$D:$D,'Data Additive'!$P:$P,'Painel Additive'!#REF!,'Data Additive'!$Q:$Q,"&gt;180",'Data Additive'!$Q:$Q,"&lt;=360")</f>
        <v>0</v>
      </c>
      <c r="M15" s="23">
        <f>SUMIFS('Data Additive'!$D:$D,'Data Additive'!$P:$P,'Painel Additive'!#REF!,'Data Additive'!$Q:$Q,"&gt;360")</f>
        <v>0</v>
      </c>
      <c r="N15" s="19">
        <f>SUMIFS('Data Additive'!$D:$D,'Data Additive'!$P:$P,'Painel Additive'!#REF!,'Data Additive'!$Q:$Q,"&gt;0")</f>
        <v>0</v>
      </c>
      <c r="O15" s="19">
        <f t="shared" si="4"/>
        <v>0</v>
      </c>
      <c r="P15" s="19">
        <f>SUMIFS('Data Additive'!$D:$D,'Data Additive'!$P:$P,'Painel Additive'!#REF!,'Data Additive'!$Q:$Q,"&lt;=0",'Data Additive'!$Q:$Q,"&gt;=-30")</f>
        <v>0</v>
      </c>
      <c r="Q15" s="19">
        <f>SUMIFS('Data Additive'!$D:$D,'Data Additive'!$P:$P,'Painel Additive'!#REF!,'Data Additive'!$Q:$Q,"&lt;=-31",'Data Additive'!$Q:$Q,"&gt;=-60")</f>
        <v>0</v>
      </c>
      <c r="R15" s="19">
        <f>SUMIFS('Data Additive'!$D:$D,'Data Additive'!$P:$P,'Painel Additive'!#REF!,'Data Additive'!$Q:$Q,"&lt;=-61",'Data Additive'!$Q:$Q,"&gt;=-90")</f>
        <v>0</v>
      </c>
      <c r="S15" s="19">
        <f>SUMIFS('Data Additive'!$D:$D,'Data Additive'!$P:$P,'Painel Additive'!#REF!,'Data Additive'!$Q:$Q,"&lt;=-91",'Data Additive'!$Q:$Q,"&gt;=-120")</f>
        <v>0</v>
      </c>
      <c r="T15" s="19">
        <f>SUMIFS('Data Additive'!$D:$D,'Data Additive'!$P:$P,'Painel Additive'!#REF!,'Data Additive'!$Q:$Q,"&lt;=-121",'Data Additive'!$Q:$Q,"&gt;=-180")</f>
        <v>0</v>
      </c>
      <c r="U15" s="19">
        <f>SUMIFS('Data Additive'!$D:$D,'Data Additive'!$P:$P,'Painel Additive'!#REF!,'Data Additive'!$Q:$Q,"&lt;=-181",'Data Additive'!$Q:$Q,"&gt;=-360")</f>
        <v>0</v>
      </c>
      <c r="V15" s="23">
        <f>SUMIFS('Data Additive'!$D:$D,'Data Additive'!$P:$P,'Painel Additive'!#REF!,'Data Additive'!$Q:$Q,"&lt;-360")</f>
        <v>0</v>
      </c>
      <c r="W15" s="19" t="e">
        <f>SUMIFS('Bad Debt Provision'!#REF!,'Bad Debt Provision'!#REF!,'Painel Additive'!#REF!)</f>
        <v>#REF!</v>
      </c>
      <c r="X15" s="5"/>
      <c r="Y15" s="20"/>
      <c r="Z15" s="20"/>
      <c r="AA15" s="21"/>
      <c r="AB15" s="5"/>
      <c r="AC15" s="19"/>
      <c r="AD15" s="20"/>
      <c r="AE15" s="22"/>
      <c r="AF15" s="22"/>
      <c r="AG15" s="5"/>
      <c r="AH15" s="28">
        <f t="shared" si="5"/>
        <v>0</v>
      </c>
    </row>
    <row r="16" spans="1:38" ht="15.75" customHeight="1" x14ac:dyDescent="0.25">
      <c r="B16" s="17" t="s">
        <v>65</v>
      </c>
      <c r="C16" s="93" t="str" cm="1">
        <f t="array" ref="C16">IFERROR(INDEX('Limite de crédito'!$D:$D, MATCH(MAX(IF('Limite de crédito'!$C:$C=$B16, 'Limite de crédito'!$A:$A)), 'Limite de crédito'!$A:$A, 0)),"")</f>
        <v/>
      </c>
      <c r="D16" s="18" cm="1">
        <f t="array" ref="D16">IFERROR(INDEX('Limite de crédito'!$F:$F, MATCH(MAX(IF('Limite de crédito'!$C:$C=$B16, 'Limite de crédito'!$A:$A)), 'Limite de crédito'!$A:$A, 0)),0)</f>
        <v>0</v>
      </c>
      <c r="E16" s="18">
        <f t="shared" si="2"/>
        <v>-153263.79999999999</v>
      </c>
      <c r="F16" s="18">
        <f t="shared" si="3"/>
        <v>153263.79999999999</v>
      </c>
      <c r="G16" s="19">
        <f>SUMIFS('Data Additive'!$D:$D,'Data Additive'!$P:$P,'Painel Additive'!$B8,'Data Additive'!$Q:$Q,"&gt;0",'Data Additive'!$Q:$Q,"&lt;=30")</f>
        <v>0</v>
      </c>
      <c r="H16" s="19">
        <f>SUMIFS('Data Additive'!$D:$D,'Data Additive'!$P:$P,'Painel Additive'!$B8,'Data Additive'!$Q:$Q,"&gt;30",'Data Additive'!$Q:$Q,"&lt;=60")</f>
        <v>0</v>
      </c>
      <c r="I16" s="19">
        <f>SUMIFS('Data Additive'!$D:$D,'Data Additive'!$P:$P,'Painel Additive'!$B8,'Data Additive'!$Q:$Q,"&gt;60",'Data Additive'!$Q:$Q,"&lt;=90")</f>
        <v>0</v>
      </c>
      <c r="J16" s="19">
        <f>SUMIFS('Data Additive'!$D:$D,'Data Additive'!$P:$P,'Painel Additive'!$B8,'Data Additive'!$Q:$Q,"&gt;90",'Data Additive'!$Q:$Q,"&lt;=120")</f>
        <v>0</v>
      </c>
      <c r="K16" s="19">
        <f>SUMIFS('Data Additive'!$D:$D,'Data Additive'!$P:$P,'Painel Additive'!$B8,'Data Additive'!$Q:$Q,"&gt;120",'Data Additive'!$Q:$Q,"&lt;=180")</f>
        <v>0</v>
      </c>
      <c r="L16" s="19">
        <f>SUMIFS('Data Additive'!$D:$D,'Data Additive'!$P:$P,'Painel Additive'!$B8,'Data Additive'!$Q:$Q,"&gt;180",'Data Additive'!$Q:$Q,"&lt;=360")</f>
        <v>0</v>
      </c>
      <c r="M16" s="23">
        <f>SUMIFS('Data Additive'!$D:$D,'Data Additive'!$P:$P,'Painel Additive'!$B8,'Data Additive'!$Q:$Q,"&gt;360")</f>
        <v>0</v>
      </c>
      <c r="N16" s="19">
        <f>SUMIFS('Data Additive'!$D:$D,'Data Additive'!$P:$P,'Painel Additive'!$B8,'Data Additive'!$Q:$Q,"&gt;0")</f>
        <v>0</v>
      </c>
      <c r="O16" s="19">
        <f t="shared" si="4"/>
        <v>153263.79999999999</v>
      </c>
      <c r="P16" s="19">
        <f>SUMIFS('Data Additive'!$D:$D,'Data Additive'!$P:$P,'Painel Additive'!$B8,'Data Additive'!$Q:$Q,"&lt;=0",'Data Additive'!$Q:$Q,"&gt;=-30")</f>
        <v>58917.8</v>
      </c>
      <c r="Q16" s="19">
        <f>SUMIFS('Data Additive'!$D:$D,'Data Additive'!$P:$P,'Painel Additive'!$B8,'Data Additive'!$Q:$Q,"&lt;=-31",'Data Additive'!$Q:$Q,"&gt;=-60")</f>
        <v>94346</v>
      </c>
      <c r="R16" s="19">
        <f>SUMIFS('Data Additive'!$D:$D,'Data Additive'!$P:$P,'Painel Additive'!$B8,'Data Additive'!$Q:$Q,"&lt;=-61",'Data Additive'!$Q:$Q,"&gt;=-90")</f>
        <v>0</v>
      </c>
      <c r="S16" s="19">
        <f>SUMIFS('Data Additive'!$D:$D,'Data Additive'!$P:$P,'Painel Additive'!$B8,'Data Additive'!$Q:$Q,"&lt;=-91",'Data Additive'!$Q:$Q,"&gt;=-120")</f>
        <v>0</v>
      </c>
      <c r="T16" s="19">
        <f>SUMIFS('Data Additive'!$D:$D,'Data Additive'!$P:$P,'Painel Additive'!$B8,'Data Additive'!$Q:$Q,"&lt;=-121",'Data Additive'!$Q:$Q,"&gt;=-180")</f>
        <v>0</v>
      </c>
      <c r="U16" s="19">
        <f>SUMIFS('Data Additive'!$D:$D,'Data Additive'!$P:$P,'Painel Additive'!$B8,'Data Additive'!$Q:$Q,"&lt;=-181",'Data Additive'!$Q:$Q,"&gt;=-360")</f>
        <v>0</v>
      </c>
      <c r="V16" s="23">
        <f>SUMIFS('Data Additive'!$D:$D,'Data Additive'!$P:$P,'Painel Additive'!$B8,'Data Additive'!$Q:$Q,"&lt;-360")</f>
        <v>0</v>
      </c>
      <c r="W16" s="19" t="e">
        <f>SUMIFS('Bad Debt Provision'!#REF!,'Bad Debt Provision'!#REF!,'Painel Additive'!$B8)</f>
        <v>#REF!</v>
      </c>
      <c r="X16" s="5"/>
      <c r="Y16" s="20"/>
      <c r="Z16" s="20"/>
      <c r="AA16" s="21"/>
      <c r="AB16" s="5"/>
      <c r="AC16" s="19"/>
      <c r="AD16" s="20"/>
      <c r="AE16" s="22"/>
      <c r="AF16" s="22"/>
      <c r="AG16" s="5"/>
      <c r="AH16" s="28">
        <f t="shared" si="5"/>
        <v>-153263.79999999999</v>
      </c>
      <c r="AI16" s="5"/>
    </row>
    <row r="17" spans="2:35" ht="15.75" customHeight="1" x14ac:dyDescent="0.25">
      <c r="B17" s="41" t="s">
        <v>414</v>
      </c>
      <c r="C17" s="94" t="str" cm="1">
        <f t="array" ref="C17">IFERROR(INDEX('Limite de crédito'!$D:$D, MATCH(MAX(IF('Limite de crédito'!$C:$C=$B17, 'Limite de crédito'!$A:$A)), 'Limite de crédito'!$A:$A, 0)),"")</f>
        <v/>
      </c>
      <c r="D17" s="18" cm="1">
        <f t="array" ref="D17">IFERROR(INDEX('Limite de crédito'!$F:$F, MATCH(MAX(IF('Limite de crédito'!$C:$C=$B17, 'Limite de crédito'!$A:$A)), 'Limite de crédito'!$A:$A, 0)),0)</f>
        <v>0</v>
      </c>
      <c r="E17" s="18">
        <f t="shared" si="2"/>
        <v>0</v>
      </c>
      <c r="F17" s="18">
        <f t="shared" si="3"/>
        <v>0</v>
      </c>
      <c r="G17" s="19">
        <f>SUMIFS('Data Additive'!$D:$D,'Data Additive'!$P:$P,'Painel Additive'!#REF!,'Data Additive'!$Q:$Q,"&gt;0",'Data Additive'!$Q:$Q,"&lt;=30")</f>
        <v>0</v>
      </c>
      <c r="H17" s="19">
        <f>SUMIFS('Data Additive'!$D:$D,'Data Additive'!$P:$P,'Painel Additive'!#REF!,'Data Additive'!$Q:$Q,"&gt;30",'Data Additive'!$Q:$Q,"&lt;=60")</f>
        <v>0</v>
      </c>
      <c r="I17" s="19">
        <f>SUMIFS('Data Additive'!$D:$D,'Data Additive'!$P:$P,'Painel Additive'!#REF!,'Data Additive'!$Q:$Q,"&gt;60",'Data Additive'!$Q:$Q,"&lt;=90")</f>
        <v>0</v>
      </c>
      <c r="J17" s="19">
        <f>SUMIFS('Data Additive'!$D:$D,'Data Additive'!$P:$P,'Painel Additive'!#REF!,'Data Additive'!$Q:$Q,"&gt;90",'Data Additive'!$Q:$Q,"&lt;=120")</f>
        <v>0</v>
      </c>
      <c r="K17" s="19">
        <f>SUMIFS('Data Additive'!$D:$D,'Data Additive'!$P:$P,'Painel Additive'!#REF!,'Data Additive'!$Q:$Q,"&gt;120",'Data Additive'!$Q:$Q,"&lt;=180")</f>
        <v>0</v>
      </c>
      <c r="L17" s="19">
        <f>SUMIFS('Data Additive'!$D:$D,'Data Additive'!$P:$P,'Painel Additive'!#REF!,'Data Additive'!$Q:$Q,"&gt;180",'Data Additive'!$Q:$Q,"&lt;=360")</f>
        <v>0</v>
      </c>
      <c r="M17" s="23">
        <f>SUMIFS('Data Additive'!$D:$D,'Data Additive'!$P:$P,'Painel Additive'!#REF!,'Data Additive'!$Q:$Q,"&gt;360")</f>
        <v>0</v>
      </c>
      <c r="N17" s="19">
        <f>SUMIFS('Data Additive'!$D:$D,'Data Additive'!$P:$P,'Painel Additive'!#REF!,'Data Additive'!$Q:$Q,"&gt;0")</f>
        <v>0</v>
      </c>
      <c r="O17" s="19">
        <f t="shared" si="4"/>
        <v>0</v>
      </c>
      <c r="P17" s="19">
        <f>SUMIFS('Data Additive'!$D:$D,'Data Additive'!$P:$P,'Painel Additive'!#REF!,'Data Additive'!$Q:$Q,"&lt;=0",'Data Additive'!$Q:$Q,"&gt;=-30")</f>
        <v>0</v>
      </c>
      <c r="Q17" s="19">
        <f>SUMIFS('Data Additive'!$D:$D,'Data Additive'!$P:$P,'Painel Additive'!#REF!,'Data Additive'!$Q:$Q,"&lt;=-31",'Data Additive'!$Q:$Q,"&gt;=-60")</f>
        <v>0</v>
      </c>
      <c r="R17" s="19">
        <f>SUMIFS('Data Additive'!$D:$D,'Data Additive'!$P:$P,'Painel Additive'!#REF!,'Data Additive'!$Q:$Q,"&lt;=-61",'Data Additive'!$Q:$Q,"&gt;=-90")</f>
        <v>0</v>
      </c>
      <c r="S17" s="19">
        <f>SUMIFS('Data Additive'!$D:$D,'Data Additive'!$P:$P,'Painel Additive'!#REF!,'Data Additive'!$Q:$Q,"&lt;=-91",'Data Additive'!$Q:$Q,"&gt;=-120")</f>
        <v>0</v>
      </c>
      <c r="T17" s="19">
        <f>SUMIFS('Data Additive'!$D:$D,'Data Additive'!$P:$P,'Painel Additive'!#REF!,'Data Additive'!$Q:$Q,"&lt;=-121",'Data Additive'!$Q:$Q,"&gt;=-180")</f>
        <v>0</v>
      </c>
      <c r="U17" s="19">
        <f>SUMIFS('Data Additive'!$D:$D,'Data Additive'!$P:$P,'Painel Additive'!#REF!,'Data Additive'!$Q:$Q,"&lt;=-181",'Data Additive'!$Q:$Q,"&gt;=-360")</f>
        <v>0</v>
      </c>
      <c r="V17" s="23">
        <f>SUMIFS('Data Additive'!$D:$D,'Data Additive'!$P:$P,'Painel Additive'!#REF!,'Data Additive'!$Q:$Q,"&lt;-360")</f>
        <v>0</v>
      </c>
      <c r="W17" s="19" t="e">
        <f>SUMIFS('Bad Debt Provision'!#REF!,'Bad Debt Provision'!#REF!,'Painel Additive'!#REF!)</f>
        <v>#REF!</v>
      </c>
      <c r="X17" s="5"/>
      <c r="Y17" s="20"/>
      <c r="Z17" s="20"/>
      <c r="AA17" s="21"/>
      <c r="AB17" s="5"/>
      <c r="AC17" s="19"/>
      <c r="AD17" s="20"/>
      <c r="AE17" s="22"/>
      <c r="AF17" s="22"/>
      <c r="AG17" s="5"/>
      <c r="AH17" s="28">
        <f t="shared" si="5"/>
        <v>0</v>
      </c>
    </row>
    <row r="18" spans="2:35" ht="15.75" customHeight="1" x14ac:dyDescent="0.25">
      <c r="B18" s="41" t="s">
        <v>410</v>
      </c>
      <c r="C18" s="94" t="s">
        <v>466</v>
      </c>
      <c r="D18" s="18" cm="1">
        <f t="array" ref="D18">IFERROR(INDEX('Limite de crédito'!$F:$F, MATCH(MAX(IF('Limite de crédito'!$C:$C=$B18, 'Limite de crédito'!$A:$A)), 'Limite de crédito'!$A:$A, 0)),0)</f>
        <v>0</v>
      </c>
      <c r="E18" s="18">
        <f t="shared" si="2"/>
        <v>0</v>
      </c>
      <c r="F18" s="18">
        <f t="shared" si="3"/>
        <v>0</v>
      </c>
      <c r="G18" s="19">
        <f>SUMIFS('Data Additive'!$D:$D,'Data Additive'!$P:$P,'Painel Additive'!#REF!,'Data Additive'!$Q:$Q,"&gt;0",'Data Additive'!$Q:$Q,"&lt;=30")</f>
        <v>0</v>
      </c>
      <c r="H18" s="19">
        <f>SUMIFS('Data Additive'!$D:$D,'Data Additive'!$P:$P,'Painel Additive'!#REF!,'Data Additive'!$Q:$Q,"&gt;30",'Data Additive'!$Q:$Q,"&lt;=60")</f>
        <v>0</v>
      </c>
      <c r="I18" s="19">
        <f>SUMIFS('Data Additive'!$D:$D,'Data Additive'!$P:$P,'Painel Additive'!#REF!,'Data Additive'!$Q:$Q,"&gt;60",'Data Additive'!$Q:$Q,"&lt;=90")</f>
        <v>0</v>
      </c>
      <c r="J18" s="19">
        <f>SUMIFS('Data Additive'!$D:$D,'Data Additive'!$P:$P,'Painel Additive'!#REF!,'Data Additive'!$Q:$Q,"&gt;90",'Data Additive'!$Q:$Q,"&lt;=120")</f>
        <v>0</v>
      </c>
      <c r="K18" s="19">
        <f>SUMIFS('Data Additive'!$D:$D,'Data Additive'!$P:$P,'Painel Additive'!#REF!,'Data Additive'!$Q:$Q,"&gt;120",'Data Additive'!$Q:$Q,"&lt;=180")</f>
        <v>0</v>
      </c>
      <c r="L18" s="19">
        <f>SUMIFS('Data Additive'!$D:$D,'Data Additive'!$P:$P,'Painel Additive'!#REF!,'Data Additive'!$Q:$Q,"&gt;180",'Data Additive'!$Q:$Q,"&lt;=360")</f>
        <v>0</v>
      </c>
      <c r="M18" s="23">
        <f>SUMIFS('Data Additive'!$D:$D,'Data Additive'!$P:$P,'Painel Additive'!#REF!,'Data Additive'!$Q:$Q,"&gt;360")</f>
        <v>0</v>
      </c>
      <c r="N18" s="19">
        <f>SUMIFS('Data Additive'!$D:$D,'Data Additive'!$P:$P,'Painel Additive'!#REF!,'Data Additive'!$Q:$Q,"&gt;0")</f>
        <v>0</v>
      </c>
      <c r="O18" s="19">
        <f t="shared" si="4"/>
        <v>0</v>
      </c>
      <c r="P18" s="19">
        <f>SUMIFS('Data Additive'!$D:$D,'Data Additive'!$P:$P,'Painel Additive'!#REF!,'Data Additive'!$Q:$Q,"&lt;=0",'Data Additive'!$Q:$Q,"&gt;=-30")</f>
        <v>0</v>
      </c>
      <c r="Q18" s="19">
        <f>SUMIFS('Data Additive'!$D:$D,'Data Additive'!$P:$P,'Painel Additive'!#REF!,'Data Additive'!$Q:$Q,"&lt;=-31",'Data Additive'!$Q:$Q,"&gt;=-60")</f>
        <v>0</v>
      </c>
      <c r="R18" s="19">
        <f>SUMIFS('Data Additive'!$D:$D,'Data Additive'!$P:$P,'Painel Additive'!#REF!,'Data Additive'!$Q:$Q,"&lt;=-61",'Data Additive'!$Q:$Q,"&gt;=-90")</f>
        <v>0</v>
      </c>
      <c r="S18" s="19">
        <f>SUMIFS('Data Additive'!$D:$D,'Data Additive'!$P:$P,'Painel Additive'!#REF!,'Data Additive'!$Q:$Q,"&lt;=-91",'Data Additive'!$Q:$Q,"&gt;=-120")</f>
        <v>0</v>
      </c>
      <c r="T18" s="19">
        <f>SUMIFS('Data Additive'!$D:$D,'Data Additive'!$P:$P,'Painel Additive'!#REF!,'Data Additive'!$Q:$Q,"&lt;=-121",'Data Additive'!$Q:$Q,"&gt;=-180")</f>
        <v>0</v>
      </c>
      <c r="U18" s="19">
        <f>SUMIFS('Data Additive'!$D:$D,'Data Additive'!$P:$P,'Painel Additive'!#REF!,'Data Additive'!$Q:$Q,"&lt;=-181",'Data Additive'!$Q:$Q,"&gt;=-360")</f>
        <v>0</v>
      </c>
      <c r="V18" s="23">
        <f>SUMIFS('Data Additive'!$D:$D,'Data Additive'!$P:$P,'Painel Additive'!#REF!,'Data Additive'!$Q:$Q,"&lt;-360")</f>
        <v>0</v>
      </c>
      <c r="W18" s="19" t="e">
        <f>SUMIFS('Bad Debt Provision'!#REF!,'Bad Debt Provision'!#REF!,'Painel Additive'!#REF!)</f>
        <v>#REF!</v>
      </c>
      <c r="X18" s="5"/>
      <c r="Y18" s="20"/>
      <c r="Z18" s="20"/>
      <c r="AA18" s="21"/>
      <c r="AB18" s="5"/>
      <c r="AC18" s="19"/>
      <c r="AD18" s="20"/>
      <c r="AE18" s="22"/>
      <c r="AF18" s="22"/>
      <c r="AG18" s="5"/>
      <c r="AH18" s="28">
        <f t="shared" si="5"/>
        <v>0</v>
      </c>
    </row>
    <row r="19" spans="2:35" ht="15.75" customHeight="1" x14ac:dyDescent="0.25">
      <c r="B19" s="17" t="s">
        <v>89</v>
      </c>
      <c r="C19" s="93" cm="1">
        <f t="array" ref="C19">IFERROR(INDEX('Limite de crédito'!$D:$D, MATCH(MAX(IF('Limite de crédito'!$C:$C=$B19, 'Limite de crédito'!$A:$A)), 'Limite de crédito'!$A:$A, 0)),"")</f>
        <v>45804</v>
      </c>
      <c r="D19" s="18" t="str" cm="1">
        <f t="array" ref="D19">IFERROR(INDEX('Limite de crédito'!$F:$F, MATCH(MAX(IF('Limite de crédito'!$C:$C=$B19, 'Limite de crédito'!$A:$A)), 'Limite de crédito'!$A:$A, 0)),0)</f>
        <v>Sim</v>
      </c>
      <c r="E19" s="18" t="e">
        <f t="shared" si="2"/>
        <v>#VALUE!</v>
      </c>
      <c r="F19" s="18">
        <f t="shared" si="3"/>
        <v>0</v>
      </c>
      <c r="G19" s="19">
        <f>SUMIFS('Data Additive'!$D:$D,'Data Additive'!$P:$P,'Painel Additive'!$B26,'Data Additive'!$Q:$Q,"&gt;0",'Data Additive'!$Q:$Q,"&lt;=30")</f>
        <v>0</v>
      </c>
      <c r="H19" s="19">
        <f>SUMIFS('Data Additive'!$D:$D,'Data Additive'!$P:$P,'Painel Additive'!$B26,'Data Additive'!$Q:$Q,"&gt;30",'Data Additive'!$Q:$Q,"&lt;=60")</f>
        <v>0</v>
      </c>
      <c r="I19" s="19">
        <f>SUMIFS('Data Additive'!$D:$D,'Data Additive'!$P:$P,'Painel Additive'!$B26,'Data Additive'!$Q:$Q,"&gt;60",'Data Additive'!$Q:$Q,"&lt;=90")</f>
        <v>0</v>
      </c>
      <c r="J19" s="19">
        <f>SUMIFS('Data Additive'!$D:$D,'Data Additive'!$P:$P,'Painel Additive'!$B26,'Data Additive'!$Q:$Q,"&gt;90",'Data Additive'!$Q:$Q,"&lt;=120")</f>
        <v>0</v>
      </c>
      <c r="K19" s="19">
        <f>SUMIFS('Data Additive'!$D:$D,'Data Additive'!$P:$P,'Painel Additive'!$B26,'Data Additive'!$Q:$Q,"&gt;120",'Data Additive'!$Q:$Q,"&lt;=180")</f>
        <v>0</v>
      </c>
      <c r="L19" s="19">
        <f>SUMIFS('Data Additive'!$D:$D,'Data Additive'!$P:$P,'Painel Additive'!$B26,'Data Additive'!$Q:$Q,"&gt;180",'Data Additive'!$Q:$Q,"&lt;=360")</f>
        <v>0</v>
      </c>
      <c r="M19" s="23">
        <f>SUMIFS('Data Additive'!$D:$D,'Data Additive'!$P:$P,'Painel Additive'!$B26,'Data Additive'!$Q:$Q,"&gt;360")</f>
        <v>0</v>
      </c>
      <c r="N19" s="19">
        <f>SUMIFS('Data Additive'!$D:$D,'Data Additive'!$P:$P,'Painel Additive'!$B26,'Data Additive'!$Q:$Q,"&gt;0")</f>
        <v>0</v>
      </c>
      <c r="O19" s="19">
        <f t="shared" si="4"/>
        <v>0</v>
      </c>
      <c r="P19" s="19">
        <f>SUMIFS('Data Additive'!$D:$D,'Data Additive'!$P:$P,'Painel Additive'!$B26,'Data Additive'!$Q:$Q,"&lt;=0",'Data Additive'!$Q:$Q,"&gt;=-30")</f>
        <v>0</v>
      </c>
      <c r="Q19" s="19">
        <f>SUMIFS('Data Additive'!$D:$D,'Data Additive'!$P:$P,'Painel Additive'!$B26,'Data Additive'!$Q:$Q,"&lt;=-31",'Data Additive'!$Q:$Q,"&gt;=-60")</f>
        <v>0</v>
      </c>
      <c r="R19" s="19">
        <f>SUMIFS('Data Additive'!$D:$D,'Data Additive'!$P:$P,'Painel Additive'!$B26,'Data Additive'!$Q:$Q,"&lt;=-61",'Data Additive'!$Q:$Q,"&gt;=-90")</f>
        <v>0</v>
      </c>
      <c r="S19" s="19">
        <f>SUMIFS('Data Additive'!$D:$D,'Data Additive'!$P:$P,'Painel Additive'!$B26,'Data Additive'!$Q:$Q,"&lt;=-91",'Data Additive'!$Q:$Q,"&gt;=-120")</f>
        <v>0</v>
      </c>
      <c r="T19" s="19">
        <f>SUMIFS('Data Additive'!$D:$D,'Data Additive'!$P:$P,'Painel Additive'!$B26,'Data Additive'!$Q:$Q,"&lt;=-121",'Data Additive'!$Q:$Q,"&gt;=-180")</f>
        <v>0</v>
      </c>
      <c r="U19" s="19">
        <f>SUMIFS('Data Additive'!$D:$D,'Data Additive'!$P:$P,'Painel Additive'!$B26,'Data Additive'!$Q:$Q,"&lt;=-181",'Data Additive'!$Q:$Q,"&gt;=-360")</f>
        <v>0</v>
      </c>
      <c r="V19" s="23">
        <f>SUMIFS('Data Additive'!$D:$D,'Data Additive'!$P:$P,'Painel Additive'!$B26,'Data Additive'!$Q:$Q,"&lt;-360")</f>
        <v>0</v>
      </c>
      <c r="W19" s="19" t="e">
        <f>SUMIFS('Bad Debt Provision'!#REF!,'Bad Debt Provision'!#REF!,'Painel Additive'!$B26)</f>
        <v>#REF!</v>
      </c>
      <c r="X19" s="5"/>
      <c r="Y19" s="20"/>
      <c r="Z19" s="20"/>
      <c r="AA19" s="21"/>
      <c r="AB19" s="5"/>
      <c r="AC19" s="19"/>
      <c r="AD19" s="20"/>
      <c r="AE19" s="22"/>
      <c r="AF19" s="22"/>
      <c r="AG19" s="5"/>
      <c r="AH19" s="28">
        <f t="shared" si="5"/>
        <v>0</v>
      </c>
      <c r="AI19" s="5"/>
    </row>
    <row r="20" spans="2:35" ht="15.75" customHeight="1" x14ac:dyDescent="0.25">
      <c r="B20" s="17" t="s">
        <v>78</v>
      </c>
      <c r="C20" s="93" cm="1">
        <f t="array" ref="C20">IFERROR(INDEX('Limite de crédito'!$D:$D, MATCH(MAX(IF('Limite de crédito'!$C:$C=$B20, 'Limite de crédito'!$A:$A)), 'Limite de crédito'!$A:$A, 0)),"")</f>
        <v>46023</v>
      </c>
      <c r="D20" s="18" t="str" cm="1">
        <f t="array" ref="D20">IFERROR(INDEX('Limite de crédito'!$F:$F, MATCH(MAX(IF('Limite de crédito'!$C:$C=$B20, 'Limite de crédito'!$A:$A)), 'Limite de crédito'!$A:$A, 0)),0)</f>
        <v>Sim</v>
      </c>
      <c r="E20" s="18" t="e">
        <f t="shared" si="2"/>
        <v>#VALUE!</v>
      </c>
      <c r="F20" s="18">
        <f t="shared" si="3"/>
        <v>13431</v>
      </c>
      <c r="G20" s="19">
        <f>SUMIFS('Data Additive'!$D:$D,'Data Additive'!$P:$P,'Painel Additive'!$B28,'Data Additive'!$Q:$Q,"&gt;0",'Data Additive'!$Q:$Q,"&lt;=30")</f>
        <v>0</v>
      </c>
      <c r="H20" s="19">
        <f>SUMIFS('Data Additive'!$D:$D,'Data Additive'!$P:$P,'Painel Additive'!$B28,'Data Additive'!$Q:$Q,"&gt;30",'Data Additive'!$Q:$Q,"&lt;=60")</f>
        <v>0</v>
      </c>
      <c r="I20" s="19">
        <f>SUMIFS('Data Additive'!$D:$D,'Data Additive'!$P:$P,'Painel Additive'!$B28,'Data Additive'!$Q:$Q,"&gt;60",'Data Additive'!$Q:$Q,"&lt;=90")</f>
        <v>0</v>
      </c>
      <c r="J20" s="19">
        <f>SUMIFS('Data Additive'!$D:$D,'Data Additive'!$P:$P,'Painel Additive'!$B28,'Data Additive'!$Q:$Q,"&gt;90",'Data Additive'!$Q:$Q,"&lt;=120")</f>
        <v>0</v>
      </c>
      <c r="K20" s="19">
        <f>SUMIFS('Data Additive'!$D:$D,'Data Additive'!$P:$P,'Painel Additive'!$B28,'Data Additive'!$Q:$Q,"&gt;120",'Data Additive'!$Q:$Q,"&lt;=180")</f>
        <v>0</v>
      </c>
      <c r="L20" s="19">
        <f>SUMIFS('Data Additive'!$D:$D,'Data Additive'!$P:$P,'Painel Additive'!$B28,'Data Additive'!$Q:$Q,"&gt;180",'Data Additive'!$Q:$Q,"&lt;=360")</f>
        <v>0</v>
      </c>
      <c r="M20" s="23">
        <f>SUMIFS('Data Additive'!$D:$D,'Data Additive'!$P:$P,'Painel Additive'!$B28,'Data Additive'!$Q:$Q,"&gt;360")</f>
        <v>0</v>
      </c>
      <c r="N20" s="19">
        <f>SUMIFS('Data Additive'!$D:$D,'Data Additive'!$P:$P,'Painel Additive'!$B28,'Data Additive'!$Q:$Q,"&gt;0")</f>
        <v>0</v>
      </c>
      <c r="O20" s="19">
        <f t="shared" si="4"/>
        <v>13431</v>
      </c>
      <c r="P20" s="19">
        <f>SUMIFS('Data Additive'!$D:$D,'Data Additive'!$P:$P,'Painel Additive'!$B28,'Data Additive'!$Q:$Q,"&lt;=0",'Data Additive'!$Q:$Q,"&gt;=-30")</f>
        <v>13431</v>
      </c>
      <c r="Q20" s="19">
        <f>SUMIFS('Data Additive'!$D:$D,'Data Additive'!$P:$P,'Painel Additive'!$B28,'Data Additive'!$Q:$Q,"&lt;=-31",'Data Additive'!$Q:$Q,"&gt;=-60")</f>
        <v>0</v>
      </c>
      <c r="R20" s="19">
        <f>SUMIFS('Data Additive'!$D:$D,'Data Additive'!$P:$P,'Painel Additive'!$B28,'Data Additive'!$Q:$Q,"&lt;=-61",'Data Additive'!$Q:$Q,"&gt;=-90")</f>
        <v>0</v>
      </c>
      <c r="S20" s="19">
        <f>SUMIFS('Data Additive'!$D:$D,'Data Additive'!$P:$P,'Painel Additive'!$B28,'Data Additive'!$Q:$Q,"&lt;=-91",'Data Additive'!$Q:$Q,"&gt;=-120")</f>
        <v>0</v>
      </c>
      <c r="T20" s="19">
        <f>SUMIFS('Data Additive'!$D:$D,'Data Additive'!$P:$P,'Painel Additive'!$B28,'Data Additive'!$Q:$Q,"&lt;=-121",'Data Additive'!$Q:$Q,"&gt;=-180")</f>
        <v>0</v>
      </c>
      <c r="U20" s="19">
        <f>SUMIFS('Data Additive'!$D:$D,'Data Additive'!$P:$P,'Painel Additive'!$B28,'Data Additive'!$Q:$Q,"&lt;=-181",'Data Additive'!$Q:$Q,"&gt;=-360")</f>
        <v>0</v>
      </c>
      <c r="V20" s="23">
        <f>SUMIFS('Data Additive'!$D:$D,'Data Additive'!$P:$P,'Painel Additive'!$B28,'Data Additive'!$Q:$Q,"&lt;-360")</f>
        <v>0</v>
      </c>
      <c r="W20" s="19" t="e">
        <f>SUMIFS('Bad Debt Provision'!#REF!,'Bad Debt Provision'!#REF!,'Painel Additive'!$B28)</f>
        <v>#REF!</v>
      </c>
      <c r="X20" s="5"/>
      <c r="Y20" s="20"/>
      <c r="Z20" s="20"/>
      <c r="AA20" s="21"/>
      <c r="AB20" s="5"/>
      <c r="AC20" s="19"/>
      <c r="AD20" s="20"/>
      <c r="AE20" s="22"/>
      <c r="AF20" s="22"/>
      <c r="AG20" s="5"/>
      <c r="AH20" s="28">
        <f t="shared" si="5"/>
        <v>-13431</v>
      </c>
      <c r="AI20" s="5"/>
    </row>
    <row r="21" spans="2:35" ht="15.75" customHeight="1" x14ac:dyDescent="0.25">
      <c r="B21" s="17" t="s">
        <v>53</v>
      </c>
      <c r="C21" s="93" t="str" cm="1">
        <f t="array" ref="C21">IFERROR(INDEX('Limite de crédito'!$D:$D, MATCH(MAX(IF('Limite de crédito'!$C:$C=$B21, 'Limite de crédito'!$A:$A)), 'Limite de crédito'!$A:$A, 0)),"")</f>
        <v/>
      </c>
      <c r="D21" s="18" cm="1">
        <f t="array" ref="D21">IFERROR(INDEX('Limite de crédito'!$F:$F, MATCH(MAX(IF('Limite de crédito'!$C:$C=$B21, 'Limite de crédito'!$A:$A)), 'Limite de crédito'!$A:$A, 0)),0)</f>
        <v>0</v>
      </c>
      <c r="E21" s="18">
        <f t="shared" si="2"/>
        <v>-4089718.4999999995</v>
      </c>
      <c r="F21" s="18">
        <f t="shared" si="3"/>
        <v>4089718.4999999995</v>
      </c>
      <c r="G21" s="19">
        <f>SUMIFS('Data Additive'!$D:$D,'Data Additive'!$P:$P,'Painel Additive'!$B6,'Data Additive'!$Q:$Q,"&gt;0",'Data Additive'!$Q:$Q,"&lt;=30")</f>
        <v>0</v>
      </c>
      <c r="H21" s="19">
        <f>SUMIFS('Data Additive'!$D:$D,'Data Additive'!$P:$P,'Painel Additive'!$B6,'Data Additive'!$Q:$Q,"&gt;30",'Data Additive'!$Q:$Q,"&lt;=60")</f>
        <v>0</v>
      </c>
      <c r="I21" s="19">
        <f>SUMIFS('Data Additive'!$D:$D,'Data Additive'!$P:$P,'Painel Additive'!$B6,'Data Additive'!$Q:$Q,"&gt;60",'Data Additive'!$Q:$Q,"&lt;=90")</f>
        <v>0</v>
      </c>
      <c r="J21" s="19">
        <f>SUMIFS('Data Additive'!$D:$D,'Data Additive'!$P:$P,'Painel Additive'!$B6,'Data Additive'!$Q:$Q,"&gt;90",'Data Additive'!$Q:$Q,"&lt;=120")</f>
        <v>0</v>
      </c>
      <c r="K21" s="19">
        <f>SUMIFS('Data Additive'!$D:$D,'Data Additive'!$P:$P,'Painel Additive'!$B6,'Data Additive'!$Q:$Q,"&gt;120",'Data Additive'!$Q:$Q,"&lt;=180")</f>
        <v>0</v>
      </c>
      <c r="L21" s="19">
        <f>SUMIFS('Data Additive'!$D:$D,'Data Additive'!$P:$P,'Painel Additive'!$B6,'Data Additive'!$Q:$Q,"&gt;180",'Data Additive'!$Q:$Q,"&lt;=360")</f>
        <v>0</v>
      </c>
      <c r="M21" s="23">
        <f>SUMIFS('Data Additive'!$D:$D,'Data Additive'!$P:$P,'Painel Additive'!$B6,'Data Additive'!$Q:$Q,"&gt;360")</f>
        <v>5626.32</v>
      </c>
      <c r="N21" s="19">
        <f>SUMIFS('Data Additive'!$D:$D,'Data Additive'!$P:$P,'Painel Additive'!$B6,'Data Additive'!$Q:$Q,"&gt;0")</f>
        <v>5626.32</v>
      </c>
      <c r="O21" s="19">
        <f t="shared" si="4"/>
        <v>4084092.1799999997</v>
      </c>
      <c r="P21" s="19">
        <f>SUMIFS('Data Additive'!$D:$D,'Data Additive'!$P:$P,'Painel Additive'!$B6,'Data Additive'!$Q:$Q,"&lt;=0",'Data Additive'!$Q:$Q,"&gt;=-30")</f>
        <v>2439848.4</v>
      </c>
      <c r="Q21" s="19">
        <f>SUMIFS('Data Additive'!$D:$D,'Data Additive'!$P:$P,'Painel Additive'!$B6,'Data Additive'!$Q:$Q,"&lt;=-31",'Data Additive'!$Q:$Q,"&gt;=-60")</f>
        <v>1644243.7799999998</v>
      </c>
      <c r="R21" s="19">
        <f>SUMIFS('Data Additive'!$D:$D,'Data Additive'!$P:$P,'Painel Additive'!$B6,'Data Additive'!$Q:$Q,"&lt;=-61",'Data Additive'!$Q:$Q,"&gt;=-90")</f>
        <v>0</v>
      </c>
      <c r="S21" s="19">
        <f>SUMIFS('Data Additive'!$D:$D,'Data Additive'!$P:$P,'Painel Additive'!$B6,'Data Additive'!$Q:$Q,"&lt;=-91",'Data Additive'!$Q:$Q,"&gt;=-120")</f>
        <v>0</v>
      </c>
      <c r="T21" s="19">
        <f>SUMIFS('Data Additive'!$D:$D,'Data Additive'!$P:$P,'Painel Additive'!$B6,'Data Additive'!$Q:$Q,"&lt;=-121",'Data Additive'!$Q:$Q,"&gt;=-180")</f>
        <v>0</v>
      </c>
      <c r="U21" s="19">
        <f>SUMIFS('Data Additive'!$D:$D,'Data Additive'!$P:$P,'Painel Additive'!$B6,'Data Additive'!$Q:$Q,"&lt;=-181",'Data Additive'!$Q:$Q,"&gt;=-360")</f>
        <v>0</v>
      </c>
      <c r="V21" s="23">
        <f>SUMIFS('Data Additive'!$D:$D,'Data Additive'!$P:$P,'Painel Additive'!$B6,'Data Additive'!$Q:$Q,"&lt;-360")</f>
        <v>0</v>
      </c>
      <c r="W21" s="19" t="e">
        <f>SUMIFS('Bad Debt Provision'!#REF!,'Bad Debt Provision'!#REF!,'Painel Additive'!$B6)</f>
        <v>#REF!</v>
      </c>
      <c r="X21" s="5"/>
      <c r="Y21" s="20"/>
      <c r="Z21" s="20"/>
      <c r="AA21" s="21"/>
      <c r="AB21" s="5"/>
      <c r="AC21" s="19"/>
      <c r="AD21" s="20"/>
      <c r="AE21" s="22"/>
      <c r="AF21" s="22"/>
      <c r="AG21" s="5"/>
      <c r="AH21" s="28">
        <f t="shared" si="5"/>
        <v>-4089718.4999999995</v>
      </c>
      <c r="AI21" s="5"/>
    </row>
    <row r="22" spans="2:35" ht="15.75" customHeight="1" x14ac:dyDescent="0.25">
      <c r="B22" s="17" t="s">
        <v>293</v>
      </c>
      <c r="C22" s="110" t="str" cm="1">
        <f t="array" ref="C22">IFERROR(INDEX('Limite de crédito'!$D:$D, MATCH(MAX(IF('Limite de crédito'!$C:$C=$B22, 'Limite de crédito'!$A:$A)), 'Limite de crédito'!$A:$A, 0)),"")</f>
        <v/>
      </c>
      <c r="D22" s="18" cm="1">
        <f t="array" ref="D22">IFERROR(INDEX('Limite de crédito'!$F:$F, MATCH(MAX(IF('Limite de crédito'!$C:$C=$B22, 'Limite de crédito'!$A:$A)), 'Limite de crédito'!$A:$A, 0)),0)</f>
        <v>0</v>
      </c>
      <c r="E22" s="18">
        <f t="shared" si="2"/>
        <v>-793811.7</v>
      </c>
      <c r="F22" s="18">
        <f t="shared" si="3"/>
        <v>793811.7</v>
      </c>
      <c r="G22" s="19">
        <f>SUMIFS('Data Additive'!$D:$D,'Data Additive'!$P:$P,'Painel Additive'!$B47,'Data Additive'!$Q:$Q,"&gt;0",'Data Additive'!$Q:$Q,"&lt;=30")</f>
        <v>315971.7</v>
      </c>
      <c r="H22" s="19">
        <f>SUMIFS('Data Additive'!$D:$D,'Data Additive'!$P:$P,'Painel Additive'!$B47,'Data Additive'!$Q:$Q,"&gt;30",'Data Additive'!$Q:$Q,"&lt;=60")</f>
        <v>0</v>
      </c>
      <c r="I22" s="19">
        <f>SUMIFS('Data Additive'!$D:$D,'Data Additive'!$P:$P,'Painel Additive'!$B47,'Data Additive'!$Q:$Q,"&gt;60",'Data Additive'!$Q:$Q,"&lt;=90")</f>
        <v>0</v>
      </c>
      <c r="J22" s="19">
        <f>SUMIFS('Data Additive'!$D:$D,'Data Additive'!$P:$P,'Painel Additive'!$B47,'Data Additive'!$Q:$Q,"&gt;90",'Data Additive'!$Q:$Q,"&lt;=120")</f>
        <v>0</v>
      </c>
      <c r="K22" s="19">
        <f>SUMIFS('Data Additive'!$D:$D,'Data Additive'!$P:$P,'Painel Additive'!$B47,'Data Additive'!$Q:$Q,"&gt;120",'Data Additive'!$Q:$Q,"&lt;=180")</f>
        <v>0</v>
      </c>
      <c r="L22" s="19">
        <f>SUMIFS('Data Additive'!$D:$D,'Data Additive'!$P:$P,'Painel Additive'!$B47,'Data Additive'!$Q:$Q,"&gt;180",'Data Additive'!$Q:$Q,"&lt;=360")</f>
        <v>0</v>
      </c>
      <c r="M22" s="23">
        <f>SUMIFS('Data Additive'!$D:$D,'Data Additive'!$P:$P,'Painel Additive'!$B47,'Data Additive'!$Q:$Q,"&gt;360")</f>
        <v>0</v>
      </c>
      <c r="N22" s="19">
        <f>SUMIFS('Data Additive'!$D:$D,'Data Additive'!$P:$P,'Painel Additive'!$B47,'Data Additive'!$Q:$Q,"&gt;0")</f>
        <v>315971.7</v>
      </c>
      <c r="O22" s="19">
        <f t="shared" si="4"/>
        <v>477840</v>
      </c>
      <c r="P22" s="19">
        <f>SUMIFS('Data Additive'!$D:$D,'Data Additive'!$P:$P,'Painel Additive'!$B47,'Data Additive'!$Q:$Q,"&lt;=0",'Data Additive'!$Q:$Q,"&gt;=-30")</f>
        <v>477840</v>
      </c>
      <c r="Q22" s="19">
        <f>SUMIFS('Data Additive'!$D:$D,'Data Additive'!$P:$P,'Painel Additive'!$B47,'Data Additive'!$Q:$Q,"&lt;=-31",'Data Additive'!$Q:$Q,"&gt;=-60")</f>
        <v>0</v>
      </c>
      <c r="R22" s="19">
        <f>SUMIFS('Data Additive'!$D:$D,'Data Additive'!$P:$P,'Painel Additive'!$B47,'Data Additive'!$Q:$Q,"&lt;=-61",'Data Additive'!$Q:$Q,"&gt;=-90")</f>
        <v>0</v>
      </c>
      <c r="S22" s="19">
        <f>SUMIFS('Data Additive'!$D:$D,'Data Additive'!$P:$P,'Painel Additive'!$B47,'Data Additive'!$Q:$Q,"&lt;=-91",'Data Additive'!$Q:$Q,"&gt;=-120")</f>
        <v>0</v>
      </c>
      <c r="T22" s="19">
        <f>SUMIFS('Data Additive'!$D:$D,'Data Additive'!$P:$P,'Painel Additive'!$B47,'Data Additive'!$Q:$Q,"&lt;=-121",'Data Additive'!$Q:$Q,"&gt;=-180")</f>
        <v>0</v>
      </c>
      <c r="U22" s="19">
        <f>SUMIFS('Data Additive'!$D:$D,'Data Additive'!$P:$P,'Painel Additive'!$B47,'Data Additive'!$Q:$Q,"&lt;=-181",'Data Additive'!$Q:$Q,"&gt;=-360")</f>
        <v>0</v>
      </c>
      <c r="V22" s="23">
        <f>SUMIFS('Data Additive'!$D:$D,'Data Additive'!$P:$P,'Painel Additive'!$B47,'Data Additive'!$Q:$Q,"&lt;-360")</f>
        <v>0</v>
      </c>
      <c r="W22" s="19" t="e">
        <f>SUMIFS('Bad Debt Provision'!#REF!,'Bad Debt Provision'!#REF!,'Painel Additive'!$B47)</f>
        <v>#REF!</v>
      </c>
      <c r="X22" s="5"/>
      <c r="Y22" s="20"/>
      <c r="Z22" s="20"/>
      <c r="AA22" s="21"/>
      <c r="AB22" s="5"/>
      <c r="AC22" s="19"/>
      <c r="AD22" s="20"/>
      <c r="AE22" s="22"/>
      <c r="AF22" s="22"/>
      <c r="AG22" s="5"/>
      <c r="AH22" s="28">
        <f t="shared" si="5"/>
        <v>-793811.7</v>
      </c>
    </row>
    <row r="23" spans="2:35" ht="15.75" customHeight="1" x14ac:dyDescent="0.25">
      <c r="B23" s="41" t="s">
        <v>429</v>
      </c>
      <c r="C23" s="94" cm="1">
        <f t="array" ref="C23">IFERROR(INDEX('Limite de crédito'!$D:$D, MATCH(MAX(IF('Limite de crédito'!$C:$C=$B23, 'Limite de crédito'!$A:$A)), 'Limite de crédito'!$A:$A, 0)),"")</f>
        <v>45834</v>
      </c>
      <c r="D23" s="18" t="str" cm="1">
        <f t="array" ref="D23">IFERROR(INDEX('Limite de crédito'!$F:$F, MATCH(MAX(IF('Limite de crédito'!$C:$C=$B23, 'Limite de crédito'!$A:$A)), 'Limite de crédito'!$A:$A, 0)),0)</f>
        <v>Sim</v>
      </c>
      <c r="E23" s="18" t="e">
        <f t="shared" si="2"/>
        <v>#VALUE!</v>
      </c>
      <c r="F23" s="18">
        <f t="shared" si="3"/>
        <v>0</v>
      </c>
      <c r="G23" s="19">
        <f>SUMIFS('Data Additive'!$D:$D,'Data Additive'!$P:$P,'Painel Additive'!#REF!,'Data Additive'!$Q:$Q,"&gt;0",'Data Additive'!$Q:$Q,"&lt;=30")</f>
        <v>0</v>
      </c>
      <c r="H23" s="19">
        <f>SUMIFS('Data Additive'!$D:$D,'Data Additive'!$P:$P,'Painel Additive'!#REF!,'Data Additive'!$Q:$Q,"&gt;30",'Data Additive'!$Q:$Q,"&lt;=60")</f>
        <v>0</v>
      </c>
      <c r="I23" s="19">
        <f>SUMIFS('Data Additive'!$D:$D,'Data Additive'!$P:$P,'Painel Additive'!#REF!,'Data Additive'!$Q:$Q,"&gt;60",'Data Additive'!$Q:$Q,"&lt;=90")</f>
        <v>0</v>
      </c>
      <c r="J23" s="19">
        <f>SUMIFS('Data Additive'!$D:$D,'Data Additive'!$P:$P,'Painel Additive'!#REF!,'Data Additive'!$Q:$Q,"&gt;90",'Data Additive'!$Q:$Q,"&lt;=120")</f>
        <v>0</v>
      </c>
      <c r="K23" s="19">
        <f>SUMIFS('Data Additive'!$D:$D,'Data Additive'!$P:$P,'Painel Additive'!#REF!,'Data Additive'!$Q:$Q,"&gt;120",'Data Additive'!$Q:$Q,"&lt;=180")</f>
        <v>0</v>
      </c>
      <c r="L23" s="19">
        <f>SUMIFS('Data Additive'!$D:$D,'Data Additive'!$P:$P,'Painel Additive'!#REF!,'Data Additive'!$Q:$Q,"&gt;180",'Data Additive'!$Q:$Q,"&lt;=360")</f>
        <v>0</v>
      </c>
      <c r="M23" s="23">
        <f>SUMIFS('Data Additive'!$D:$D,'Data Additive'!$P:$P,'Painel Additive'!#REF!,'Data Additive'!$Q:$Q,"&gt;360")</f>
        <v>0</v>
      </c>
      <c r="N23" s="19">
        <f>SUMIFS('Data Additive'!$D:$D,'Data Additive'!$P:$P,'Painel Additive'!#REF!,'Data Additive'!$Q:$Q,"&gt;0")</f>
        <v>0</v>
      </c>
      <c r="O23" s="19">
        <f t="shared" si="4"/>
        <v>0</v>
      </c>
      <c r="P23" s="19">
        <f>SUMIFS('Data Additive'!$D:$D,'Data Additive'!$P:$P,'Painel Additive'!#REF!,'Data Additive'!$Q:$Q,"&lt;=0",'Data Additive'!$Q:$Q,"&gt;=-30")</f>
        <v>0</v>
      </c>
      <c r="Q23" s="19">
        <f>SUMIFS('Data Additive'!$D:$D,'Data Additive'!$P:$P,'Painel Additive'!#REF!,'Data Additive'!$Q:$Q,"&lt;=-31",'Data Additive'!$Q:$Q,"&gt;=-60")</f>
        <v>0</v>
      </c>
      <c r="R23" s="19">
        <f>SUMIFS('Data Additive'!$D:$D,'Data Additive'!$P:$P,'Painel Additive'!#REF!,'Data Additive'!$Q:$Q,"&lt;=-61",'Data Additive'!$Q:$Q,"&gt;=-90")</f>
        <v>0</v>
      </c>
      <c r="S23" s="19">
        <f>SUMIFS('Data Additive'!$D:$D,'Data Additive'!$P:$P,'Painel Additive'!#REF!,'Data Additive'!$Q:$Q,"&lt;=-91",'Data Additive'!$Q:$Q,"&gt;=-120")</f>
        <v>0</v>
      </c>
      <c r="T23" s="19">
        <f>SUMIFS('Data Additive'!$D:$D,'Data Additive'!$P:$P,'Painel Additive'!#REF!,'Data Additive'!$Q:$Q,"&lt;=-121",'Data Additive'!$Q:$Q,"&gt;=-180")</f>
        <v>0</v>
      </c>
      <c r="U23" s="19">
        <f>SUMIFS('Data Additive'!$D:$D,'Data Additive'!$P:$P,'Painel Additive'!#REF!,'Data Additive'!$Q:$Q,"&lt;=-181",'Data Additive'!$Q:$Q,"&gt;=-360")</f>
        <v>0</v>
      </c>
      <c r="V23" s="23">
        <f>SUMIFS('Data Additive'!$D:$D,'Data Additive'!$P:$P,'Painel Additive'!#REF!,'Data Additive'!$Q:$Q,"&lt;-360")</f>
        <v>0</v>
      </c>
      <c r="W23" s="19" t="e">
        <f>SUMIFS('Bad Debt Provision'!#REF!,'Bad Debt Provision'!#REF!,'Painel Additive'!#REF!)</f>
        <v>#REF!</v>
      </c>
      <c r="X23" s="5"/>
      <c r="Y23" s="20"/>
      <c r="Z23" s="20"/>
      <c r="AA23" s="21"/>
      <c r="AB23" s="5"/>
      <c r="AC23" s="19"/>
      <c r="AD23" s="20"/>
      <c r="AE23" s="22"/>
      <c r="AF23" s="22"/>
      <c r="AG23" s="5"/>
      <c r="AH23" s="28">
        <f t="shared" si="5"/>
        <v>0</v>
      </c>
    </row>
    <row r="24" spans="2:35" x14ac:dyDescent="0.25">
      <c r="B24" s="41" t="s">
        <v>413</v>
      </c>
      <c r="C24" s="94" cm="1">
        <f t="array" ref="C24">IFERROR(INDEX('Limite de crédito'!$D:$D, MATCH(MAX(IF('Limite de crédito'!$C:$C=$B24, 'Limite de crédito'!$A:$A)), 'Limite de crédito'!$A:$A, 0)),"")</f>
        <v>45803</v>
      </c>
      <c r="D24" s="18" t="str" cm="1">
        <f t="array" ref="D24">IFERROR(INDEX('Limite de crédito'!$F:$F, MATCH(MAX(IF('Limite de crédito'!$C:$C=$B24, 'Limite de crédito'!$A:$A)), 'Limite de crédito'!$A:$A, 0)),0)</f>
        <v>Sim</v>
      </c>
      <c r="E24" s="18" t="e">
        <f t="shared" si="2"/>
        <v>#VALUE!</v>
      </c>
      <c r="F24" s="18">
        <f t="shared" si="3"/>
        <v>0</v>
      </c>
      <c r="G24" s="19">
        <f>SUMIFS('Data Additive'!$D:$D,'Data Additive'!$P:$P,'Painel Additive'!#REF!,'Data Additive'!$Q:$Q,"&gt;0",'Data Additive'!$Q:$Q,"&lt;=30")</f>
        <v>0</v>
      </c>
      <c r="H24" s="19">
        <f>SUMIFS('Data Additive'!$D:$D,'Data Additive'!$P:$P,'Painel Additive'!#REF!,'Data Additive'!$Q:$Q,"&gt;30",'Data Additive'!$Q:$Q,"&lt;=60")</f>
        <v>0</v>
      </c>
      <c r="I24" s="19">
        <f>SUMIFS('Data Additive'!$D:$D,'Data Additive'!$P:$P,'Painel Additive'!#REF!,'Data Additive'!$Q:$Q,"&gt;60",'Data Additive'!$Q:$Q,"&lt;=90")</f>
        <v>0</v>
      </c>
      <c r="J24" s="19">
        <f>SUMIFS('Data Additive'!$D:$D,'Data Additive'!$P:$P,'Painel Additive'!#REF!,'Data Additive'!$Q:$Q,"&gt;90",'Data Additive'!$Q:$Q,"&lt;=120")</f>
        <v>0</v>
      </c>
      <c r="K24" s="19">
        <f>SUMIFS('Data Additive'!$D:$D,'Data Additive'!$P:$P,'Painel Additive'!#REF!,'Data Additive'!$Q:$Q,"&gt;120",'Data Additive'!$Q:$Q,"&lt;=180")</f>
        <v>0</v>
      </c>
      <c r="L24" s="19">
        <f>SUMIFS('Data Additive'!$D:$D,'Data Additive'!$P:$P,'Painel Additive'!#REF!,'Data Additive'!$Q:$Q,"&gt;180",'Data Additive'!$Q:$Q,"&lt;=360")</f>
        <v>0</v>
      </c>
      <c r="M24" s="23">
        <f>SUMIFS('Data Additive'!$D:$D,'Data Additive'!$P:$P,'Painel Additive'!#REF!,'Data Additive'!$Q:$Q,"&gt;360")</f>
        <v>0</v>
      </c>
      <c r="N24" s="19">
        <f>SUMIFS('Data Additive'!$D:$D,'Data Additive'!$P:$P,'Painel Additive'!#REF!,'Data Additive'!$Q:$Q,"&gt;0")</f>
        <v>0</v>
      </c>
      <c r="O24" s="19">
        <f t="shared" si="4"/>
        <v>0</v>
      </c>
      <c r="P24" s="19">
        <f>SUMIFS('Data Additive'!$D:$D,'Data Additive'!$P:$P,'Painel Additive'!#REF!,'Data Additive'!$Q:$Q,"&lt;=0",'Data Additive'!$Q:$Q,"&gt;=-30")</f>
        <v>0</v>
      </c>
      <c r="Q24" s="19">
        <f>SUMIFS('Data Additive'!$D:$D,'Data Additive'!$P:$P,'Painel Additive'!#REF!,'Data Additive'!$Q:$Q,"&lt;=-31",'Data Additive'!$Q:$Q,"&gt;=-60")</f>
        <v>0</v>
      </c>
      <c r="R24" s="19">
        <f>SUMIFS('Data Additive'!$D:$D,'Data Additive'!$P:$P,'Painel Additive'!#REF!,'Data Additive'!$Q:$Q,"&lt;=-61",'Data Additive'!$Q:$Q,"&gt;=-90")</f>
        <v>0</v>
      </c>
      <c r="S24" s="19">
        <f>SUMIFS('Data Additive'!$D:$D,'Data Additive'!$P:$P,'Painel Additive'!#REF!,'Data Additive'!$Q:$Q,"&lt;=-91",'Data Additive'!$Q:$Q,"&gt;=-120")</f>
        <v>0</v>
      </c>
      <c r="T24" s="19">
        <f>SUMIFS('Data Additive'!$D:$D,'Data Additive'!$P:$P,'Painel Additive'!#REF!,'Data Additive'!$Q:$Q,"&lt;=-121",'Data Additive'!$Q:$Q,"&gt;=-180")</f>
        <v>0</v>
      </c>
      <c r="U24" s="19">
        <f>SUMIFS('Data Additive'!$D:$D,'Data Additive'!$P:$P,'Painel Additive'!#REF!,'Data Additive'!$Q:$Q,"&lt;=-181",'Data Additive'!$Q:$Q,"&gt;=-360")</f>
        <v>0</v>
      </c>
      <c r="V24" s="23">
        <f>SUMIFS('Data Additive'!$D:$D,'Data Additive'!$P:$P,'Painel Additive'!#REF!,'Data Additive'!$Q:$Q,"&lt;-360")</f>
        <v>0</v>
      </c>
      <c r="W24" s="19" t="e">
        <f>SUMIFS('Bad Debt Provision'!#REF!,'Bad Debt Provision'!#REF!,'Painel Additive'!#REF!)</f>
        <v>#REF!</v>
      </c>
      <c r="X24" s="5"/>
      <c r="Y24" s="20"/>
      <c r="Z24" s="20"/>
      <c r="AA24" s="21"/>
      <c r="AB24" s="5"/>
      <c r="AC24" s="19"/>
      <c r="AD24" s="20"/>
      <c r="AE24" s="22"/>
      <c r="AF24" s="22"/>
      <c r="AG24" s="5"/>
      <c r="AH24" s="28">
        <f t="shared" si="5"/>
        <v>0</v>
      </c>
    </row>
    <row r="25" spans="2:35" x14ac:dyDescent="0.25">
      <c r="B25" s="17" t="s">
        <v>155</v>
      </c>
      <c r="C25" s="93" t="str" cm="1">
        <f t="array" ref="C25">IFERROR(INDEX('Limite de crédito'!$D:$D, MATCH(MAX(IF('Limite de crédito'!$C:$C=$B25, 'Limite de crédito'!$A:$A)), 'Limite de crédito'!$A:$A, 0)),"")</f>
        <v/>
      </c>
      <c r="D25" s="18" cm="1">
        <f t="array" ref="D25">IFERROR(INDEX('Limite de crédito'!$F:$F, MATCH(MAX(IF('Limite de crédito'!$C:$C=$B25, 'Limite de crédito'!$A:$A)), 'Limite de crédito'!$A:$A, 0)),0)</f>
        <v>0</v>
      </c>
      <c r="E25" s="18">
        <f t="shared" si="2"/>
        <v>0</v>
      </c>
      <c r="F25" s="18">
        <f t="shared" si="3"/>
        <v>0</v>
      </c>
      <c r="G25" s="19">
        <f>SUMIFS('Data Additive'!$D:$D,'Data Additive'!$P:$P,'Painel Additive'!#REF!,'Data Additive'!$Q:$Q,"&gt;0",'Data Additive'!$Q:$Q,"&lt;=30")</f>
        <v>0</v>
      </c>
      <c r="H25" s="19">
        <f>SUMIFS('Data Additive'!$D:$D,'Data Additive'!$P:$P,'Painel Additive'!#REF!,'Data Additive'!$Q:$Q,"&gt;30",'Data Additive'!$Q:$Q,"&lt;=60")</f>
        <v>0</v>
      </c>
      <c r="I25" s="19">
        <f>SUMIFS('Data Additive'!$D:$D,'Data Additive'!$P:$P,'Painel Additive'!#REF!,'Data Additive'!$Q:$Q,"&gt;60",'Data Additive'!$Q:$Q,"&lt;=90")</f>
        <v>0</v>
      </c>
      <c r="J25" s="19">
        <f>SUMIFS('Data Additive'!$D:$D,'Data Additive'!$P:$P,'Painel Additive'!#REF!,'Data Additive'!$Q:$Q,"&gt;90",'Data Additive'!$Q:$Q,"&lt;=120")</f>
        <v>0</v>
      </c>
      <c r="K25" s="19">
        <f>SUMIFS('Data Additive'!$D:$D,'Data Additive'!$P:$P,'Painel Additive'!#REF!,'Data Additive'!$Q:$Q,"&gt;120",'Data Additive'!$Q:$Q,"&lt;=180")</f>
        <v>0</v>
      </c>
      <c r="L25" s="19">
        <f>SUMIFS('Data Additive'!$D:$D,'Data Additive'!$P:$P,'Painel Additive'!#REF!,'Data Additive'!$Q:$Q,"&gt;180",'Data Additive'!$Q:$Q,"&lt;=360")</f>
        <v>0</v>
      </c>
      <c r="M25" s="23">
        <f>SUMIFS('Data Additive'!$D:$D,'Data Additive'!$P:$P,'Painel Additive'!#REF!,'Data Additive'!$Q:$Q,"&gt;360")</f>
        <v>0</v>
      </c>
      <c r="N25" s="19">
        <f>SUMIFS('Data Additive'!$D:$D,'Data Additive'!$P:$P,'Painel Additive'!#REF!,'Data Additive'!$Q:$Q,"&gt;0")</f>
        <v>0</v>
      </c>
      <c r="O25" s="19">
        <f t="shared" si="4"/>
        <v>0</v>
      </c>
      <c r="P25" s="19">
        <f>SUMIFS('Data Additive'!$D:$D,'Data Additive'!$P:$P,'Painel Additive'!#REF!,'Data Additive'!$Q:$Q,"&lt;=0",'Data Additive'!$Q:$Q,"&gt;=-30")</f>
        <v>0</v>
      </c>
      <c r="Q25" s="19">
        <f>SUMIFS('Data Additive'!$D:$D,'Data Additive'!$P:$P,'Painel Additive'!#REF!,'Data Additive'!$Q:$Q,"&lt;=-31",'Data Additive'!$Q:$Q,"&gt;=-60")</f>
        <v>0</v>
      </c>
      <c r="R25" s="19">
        <f>SUMIFS('Data Additive'!$D:$D,'Data Additive'!$P:$P,'Painel Additive'!#REF!,'Data Additive'!$Q:$Q,"&lt;=-61",'Data Additive'!$Q:$Q,"&gt;=-90")</f>
        <v>0</v>
      </c>
      <c r="S25" s="19">
        <f>SUMIFS('Data Additive'!$D:$D,'Data Additive'!$P:$P,'Painel Additive'!#REF!,'Data Additive'!$Q:$Q,"&lt;=-91",'Data Additive'!$Q:$Q,"&gt;=-120")</f>
        <v>0</v>
      </c>
      <c r="T25" s="19">
        <f>SUMIFS('Data Additive'!$D:$D,'Data Additive'!$P:$P,'Painel Additive'!#REF!,'Data Additive'!$Q:$Q,"&lt;=-121",'Data Additive'!$Q:$Q,"&gt;=-180")</f>
        <v>0</v>
      </c>
      <c r="U25" s="19">
        <f>SUMIFS('Data Additive'!$D:$D,'Data Additive'!$P:$P,'Painel Additive'!#REF!,'Data Additive'!$Q:$Q,"&lt;=-181",'Data Additive'!$Q:$Q,"&gt;=-360")</f>
        <v>0</v>
      </c>
      <c r="V25" s="23">
        <f>SUMIFS('Data Additive'!$D:$D,'Data Additive'!$P:$P,'Painel Additive'!#REF!,'Data Additive'!$Q:$Q,"&lt;-360")</f>
        <v>0</v>
      </c>
      <c r="W25" s="19" t="e">
        <f>SUMIFS('Bad Debt Provision'!#REF!,'Bad Debt Provision'!#REF!,'Painel Additive'!#REF!)</f>
        <v>#REF!</v>
      </c>
      <c r="X25" s="5"/>
      <c r="Y25" s="20"/>
      <c r="Z25" s="20"/>
      <c r="AA25" s="21"/>
      <c r="AB25" s="5"/>
      <c r="AC25" s="19"/>
      <c r="AD25" s="20"/>
      <c r="AE25" s="22"/>
      <c r="AF25" s="22"/>
      <c r="AG25" s="5"/>
      <c r="AH25" s="28">
        <f t="shared" si="5"/>
        <v>0</v>
      </c>
      <c r="AI25" s="5"/>
    </row>
    <row r="26" spans="2:35" x14ac:dyDescent="0.25">
      <c r="B26" s="17" t="s">
        <v>258</v>
      </c>
      <c r="C26" s="93" cm="1">
        <f t="array" ref="C26">IFERROR(INDEX('Limite de crédito'!$D:$D, MATCH(MAX(IF('Limite de crédito'!$C:$C=$B26, 'Limite de crédito'!$A:$A)), 'Limite de crédito'!$A:$A, 0)),"")</f>
        <v>45869</v>
      </c>
      <c r="D26" s="18" t="str" cm="1">
        <f t="array" ref="D26">IFERROR(INDEX('Limite de crédito'!$F:$F, MATCH(MAX(IF('Limite de crédito'!$C:$C=$B26, 'Limite de crédito'!$A:$A)), 'Limite de crédito'!$A:$A, 0)),0)</f>
        <v>Sim</v>
      </c>
      <c r="E26" s="18" t="e">
        <f t="shared" si="2"/>
        <v>#VALUE!</v>
      </c>
      <c r="F26" s="18">
        <f t="shared" si="3"/>
        <v>0</v>
      </c>
      <c r="G26" s="19">
        <f>SUMIFS('Data Additive'!$D:$D,'Data Additive'!$P:$P,'Painel Additive'!#REF!,'Data Additive'!$Q:$Q,"&gt;0",'Data Additive'!$Q:$Q,"&lt;=30")</f>
        <v>0</v>
      </c>
      <c r="H26" s="19">
        <f>SUMIFS('Data Additive'!$D:$D,'Data Additive'!$P:$P,'Painel Additive'!#REF!,'Data Additive'!$Q:$Q,"&gt;30",'Data Additive'!$Q:$Q,"&lt;=60")</f>
        <v>0</v>
      </c>
      <c r="I26" s="19">
        <f>SUMIFS('Data Additive'!$D:$D,'Data Additive'!$P:$P,'Painel Additive'!#REF!,'Data Additive'!$Q:$Q,"&gt;60",'Data Additive'!$Q:$Q,"&lt;=90")</f>
        <v>0</v>
      </c>
      <c r="J26" s="19">
        <f>SUMIFS('Data Additive'!$D:$D,'Data Additive'!$P:$P,'Painel Additive'!#REF!,'Data Additive'!$Q:$Q,"&gt;90",'Data Additive'!$Q:$Q,"&lt;=120")</f>
        <v>0</v>
      </c>
      <c r="K26" s="19">
        <f>SUMIFS('Data Additive'!$D:$D,'Data Additive'!$P:$P,'Painel Additive'!#REF!,'Data Additive'!$Q:$Q,"&gt;120",'Data Additive'!$Q:$Q,"&lt;=180")</f>
        <v>0</v>
      </c>
      <c r="L26" s="19">
        <f>SUMIFS('Data Additive'!$D:$D,'Data Additive'!$P:$P,'Painel Additive'!#REF!,'Data Additive'!$Q:$Q,"&gt;180",'Data Additive'!$Q:$Q,"&lt;=360")</f>
        <v>0</v>
      </c>
      <c r="M26" s="23">
        <f>SUMIFS('Data Additive'!$D:$D,'Data Additive'!$P:$P,'Painel Additive'!#REF!,'Data Additive'!$Q:$Q,"&gt;360")</f>
        <v>0</v>
      </c>
      <c r="N26" s="19">
        <f>SUMIFS('Data Additive'!$D:$D,'Data Additive'!$P:$P,'Painel Additive'!#REF!,'Data Additive'!$Q:$Q,"&gt;0")</f>
        <v>0</v>
      </c>
      <c r="O26" s="19">
        <f t="shared" si="4"/>
        <v>0</v>
      </c>
      <c r="P26" s="19">
        <f>SUMIFS('Data Additive'!$D:$D,'Data Additive'!$P:$P,'Painel Additive'!#REF!,'Data Additive'!$Q:$Q,"&lt;=0",'Data Additive'!$Q:$Q,"&gt;=-30")</f>
        <v>0</v>
      </c>
      <c r="Q26" s="19">
        <f>SUMIFS('Data Additive'!$D:$D,'Data Additive'!$P:$P,'Painel Additive'!#REF!,'Data Additive'!$Q:$Q,"&lt;=-31",'Data Additive'!$Q:$Q,"&gt;=-60")</f>
        <v>0</v>
      </c>
      <c r="R26" s="19">
        <f>SUMIFS('Data Additive'!$D:$D,'Data Additive'!$P:$P,'Painel Additive'!#REF!,'Data Additive'!$Q:$Q,"&lt;=-61",'Data Additive'!$Q:$Q,"&gt;=-90")</f>
        <v>0</v>
      </c>
      <c r="S26" s="19">
        <f>SUMIFS('Data Additive'!$D:$D,'Data Additive'!$P:$P,'Painel Additive'!#REF!,'Data Additive'!$Q:$Q,"&lt;=-91",'Data Additive'!$Q:$Q,"&gt;=-120")</f>
        <v>0</v>
      </c>
      <c r="T26" s="19">
        <f>SUMIFS('Data Additive'!$D:$D,'Data Additive'!$P:$P,'Painel Additive'!#REF!,'Data Additive'!$Q:$Q,"&lt;=-121",'Data Additive'!$Q:$Q,"&gt;=-180")</f>
        <v>0</v>
      </c>
      <c r="U26" s="19">
        <f>SUMIFS('Data Additive'!$D:$D,'Data Additive'!$P:$P,'Painel Additive'!#REF!,'Data Additive'!$Q:$Q,"&lt;=-181",'Data Additive'!$Q:$Q,"&gt;=-360")</f>
        <v>0</v>
      </c>
      <c r="V26" s="23">
        <f>SUMIFS('Data Additive'!$D:$D,'Data Additive'!$P:$P,'Painel Additive'!#REF!,'Data Additive'!$Q:$Q,"&lt;-360")</f>
        <v>0</v>
      </c>
      <c r="W26" s="19" t="e">
        <f>SUMIFS('Bad Debt Provision'!#REF!,'Bad Debt Provision'!#REF!,'Painel Additive'!#REF!)</f>
        <v>#REF!</v>
      </c>
      <c r="X26" s="5"/>
      <c r="Y26" s="20"/>
      <c r="Z26" s="20"/>
      <c r="AA26" s="21"/>
      <c r="AB26" s="5"/>
      <c r="AC26" s="19"/>
      <c r="AD26" s="20"/>
      <c r="AE26" s="22"/>
      <c r="AF26" s="22"/>
      <c r="AG26" s="5"/>
      <c r="AH26" s="28">
        <f t="shared" si="5"/>
        <v>0</v>
      </c>
    </row>
    <row r="27" spans="2:35" x14ac:dyDescent="0.25">
      <c r="B27" s="41" t="s">
        <v>421</v>
      </c>
      <c r="C27" s="94" t="str" cm="1">
        <f t="array" ref="C27">IFERROR(INDEX('Limite de crédito'!$D:$D, MATCH(MAX(IF('Limite de crédito'!$C:$C=$B27, 'Limite de crédito'!$A:$A)), 'Limite de crédito'!$A:$A, 0)),"")</f>
        <v/>
      </c>
      <c r="D27" s="18" cm="1">
        <f t="array" ref="D27">IFERROR(INDEX('Limite de crédito'!$F:$F, MATCH(MAX(IF('Limite de crédito'!$C:$C=$B27, 'Limite de crédito'!$A:$A)), 'Limite de crédito'!$A:$A, 0)),0)</f>
        <v>0</v>
      </c>
      <c r="E27" s="18">
        <f t="shared" si="2"/>
        <v>0</v>
      </c>
      <c r="F27" s="18">
        <f t="shared" si="3"/>
        <v>0</v>
      </c>
      <c r="G27" s="19">
        <f>SUMIFS('Data Additive'!$D:$D,'Data Additive'!$P:$P,'Painel Additive'!#REF!,'Data Additive'!$Q:$Q,"&gt;0",'Data Additive'!$Q:$Q,"&lt;=30")</f>
        <v>0</v>
      </c>
      <c r="H27" s="19">
        <f>SUMIFS('Data Additive'!$D:$D,'Data Additive'!$P:$P,'Painel Additive'!#REF!,'Data Additive'!$Q:$Q,"&gt;30",'Data Additive'!$Q:$Q,"&lt;=60")</f>
        <v>0</v>
      </c>
      <c r="I27" s="19">
        <f>SUMIFS('Data Additive'!$D:$D,'Data Additive'!$P:$P,'Painel Additive'!#REF!,'Data Additive'!$Q:$Q,"&gt;60",'Data Additive'!$Q:$Q,"&lt;=90")</f>
        <v>0</v>
      </c>
      <c r="J27" s="19">
        <f>SUMIFS('Data Additive'!$D:$D,'Data Additive'!$P:$P,'Painel Additive'!#REF!,'Data Additive'!$Q:$Q,"&gt;90",'Data Additive'!$Q:$Q,"&lt;=120")</f>
        <v>0</v>
      </c>
      <c r="K27" s="19">
        <f>SUMIFS('Data Additive'!$D:$D,'Data Additive'!$P:$P,'Painel Additive'!#REF!,'Data Additive'!$Q:$Q,"&gt;120",'Data Additive'!$Q:$Q,"&lt;=180")</f>
        <v>0</v>
      </c>
      <c r="L27" s="19">
        <f>SUMIFS('Data Additive'!$D:$D,'Data Additive'!$P:$P,'Painel Additive'!#REF!,'Data Additive'!$Q:$Q,"&gt;180",'Data Additive'!$Q:$Q,"&lt;=360")</f>
        <v>0</v>
      </c>
      <c r="M27" s="23">
        <f>SUMIFS('Data Additive'!$D:$D,'Data Additive'!$P:$P,'Painel Additive'!#REF!,'Data Additive'!$Q:$Q,"&gt;360")</f>
        <v>0</v>
      </c>
      <c r="N27" s="19">
        <f>SUMIFS('Data Additive'!$D:$D,'Data Additive'!$P:$P,'Painel Additive'!#REF!,'Data Additive'!$Q:$Q,"&gt;0")</f>
        <v>0</v>
      </c>
      <c r="O27" s="19">
        <f t="shared" si="4"/>
        <v>0</v>
      </c>
      <c r="P27" s="19">
        <f>SUMIFS('Data Additive'!$D:$D,'Data Additive'!$P:$P,'Painel Additive'!#REF!,'Data Additive'!$Q:$Q,"&lt;=0",'Data Additive'!$Q:$Q,"&gt;=-30")</f>
        <v>0</v>
      </c>
      <c r="Q27" s="19">
        <f>SUMIFS('Data Additive'!$D:$D,'Data Additive'!$P:$P,'Painel Additive'!#REF!,'Data Additive'!$Q:$Q,"&lt;=-31",'Data Additive'!$Q:$Q,"&gt;=-60")</f>
        <v>0</v>
      </c>
      <c r="R27" s="19">
        <f>SUMIFS('Data Additive'!$D:$D,'Data Additive'!$P:$P,'Painel Additive'!#REF!,'Data Additive'!$Q:$Q,"&lt;=-61",'Data Additive'!$Q:$Q,"&gt;=-90")</f>
        <v>0</v>
      </c>
      <c r="S27" s="19">
        <f>SUMIFS('Data Additive'!$D:$D,'Data Additive'!$P:$P,'Painel Additive'!#REF!,'Data Additive'!$Q:$Q,"&lt;=-91",'Data Additive'!$Q:$Q,"&gt;=-120")</f>
        <v>0</v>
      </c>
      <c r="T27" s="19">
        <f>SUMIFS('Data Additive'!$D:$D,'Data Additive'!$P:$P,'Painel Additive'!#REF!,'Data Additive'!$Q:$Q,"&lt;=-121",'Data Additive'!$Q:$Q,"&gt;=-180")</f>
        <v>0</v>
      </c>
      <c r="U27" s="19">
        <f>SUMIFS('Data Additive'!$D:$D,'Data Additive'!$P:$P,'Painel Additive'!#REF!,'Data Additive'!$Q:$Q,"&lt;=-181",'Data Additive'!$Q:$Q,"&gt;=-360")</f>
        <v>0</v>
      </c>
      <c r="V27" s="23">
        <f>SUMIFS('Data Additive'!$D:$D,'Data Additive'!$P:$P,'Painel Additive'!#REF!,'Data Additive'!$Q:$Q,"&lt;-360")</f>
        <v>0</v>
      </c>
      <c r="W27" s="19" t="e">
        <f>SUMIFS('Bad Debt Provision'!#REF!,'Bad Debt Provision'!#REF!,'Painel Additive'!#REF!)</f>
        <v>#REF!</v>
      </c>
      <c r="X27" s="5"/>
      <c r="Y27" s="20"/>
      <c r="Z27" s="20"/>
      <c r="AA27" s="21"/>
      <c r="AB27" s="5"/>
      <c r="AC27" s="19"/>
      <c r="AD27" s="20"/>
      <c r="AE27" s="22"/>
      <c r="AF27" s="22"/>
      <c r="AG27" s="5"/>
      <c r="AH27" s="28">
        <f t="shared" si="5"/>
        <v>0</v>
      </c>
    </row>
    <row r="28" spans="2:35" x14ac:dyDescent="0.25">
      <c r="B28" s="17" t="s">
        <v>262</v>
      </c>
      <c r="C28" s="93" cm="1">
        <f t="array" ref="C28">IFERROR(INDEX('Limite de crédito'!$D:$D, MATCH(MAX(IF('Limite de crédito'!$C:$C=$B28, 'Limite de crédito'!$A:$A)), 'Limite de crédito'!$A:$A, 0)),"")</f>
        <v>45980</v>
      </c>
      <c r="D28" s="18" t="str" cm="1">
        <f t="array" ref="D28">IFERROR(INDEX('Limite de crédito'!$F:$F, MATCH(MAX(IF('Limite de crédito'!$C:$C=$B28, 'Limite de crédito'!$A:$A)), 'Limite de crédito'!$A:$A, 0)),0)</f>
        <v>Sim</v>
      </c>
      <c r="E28" s="18" t="e">
        <f t="shared" si="2"/>
        <v>#VALUE!</v>
      </c>
      <c r="F28" s="18">
        <f t="shared" si="3"/>
        <v>0</v>
      </c>
      <c r="G28" s="19">
        <f>SUMIFS('Data Additive'!$D:$D,'Data Additive'!$P:$P,'Painel Additive'!#REF!,'Data Additive'!$Q:$Q,"&gt;0",'Data Additive'!$Q:$Q,"&lt;=30")</f>
        <v>0</v>
      </c>
      <c r="H28" s="19">
        <f>SUMIFS('Data Additive'!$D:$D,'Data Additive'!$P:$P,'Painel Additive'!#REF!,'Data Additive'!$Q:$Q,"&gt;30",'Data Additive'!$Q:$Q,"&lt;=60")</f>
        <v>0</v>
      </c>
      <c r="I28" s="19">
        <f>SUMIFS('Data Additive'!$D:$D,'Data Additive'!$P:$P,'Painel Additive'!#REF!,'Data Additive'!$Q:$Q,"&gt;60",'Data Additive'!$Q:$Q,"&lt;=90")</f>
        <v>0</v>
      </c>
      <c r="J28" s="19">
        <f>SUMIFS('Data Additive'!$D:$D,'Data Additive'!$P:$P,'Painel Additive'!#REF!,'Data Additive'!$Q:$Q,"&gt;90",'Data Additive'!$Q:$Q,"&lt;=120")</f>
        <v>0</v>
      </c>
      <c r="K28" s="19">
        <f>SUMIFS('Data Additive'!$D:$D,'Data Additive'!$P:$P,'Painel Additive'!#REF!,'Data Additive'!$Q:$Q,"&gt;120",'Data Additive'!$Q:$Q,"&lt;=180")</f>
        <v>0</v>
      </c>
      <c r="L28" s="19">
        <f>SUMIFS('Data Additive'!$D:$D,'Data Additive'!$P:$P,'Painel Additive'!#REF!,'Data Additive'!$Q:$Q,"&gt;180",'Data Additive'!$Q:$Q,"&lt;=360")</f>
        <v>0</v>
      </c>
      <c r="M28" s="23">
        <f>SUMIFS('Data Additive'!$D:$D,'Data Additive'!$P:$P,'Painel Additive'!#REF!,'Data Additive'!$Q:$Q,"&gt;360")</f>
        <v>0</v>
      </c>
      <c r="N28" s="19">
        <f>SUMIFS('Data Additive'!$D:$D,'Data Additive'!$P:$P,'Painel Additive'!#REF!,'Data Additive'!$Q:$Q,"&gt;0")</f>
        <v>0</v>
      </c>
      <c r="O28" s="19">
        <f t="shared" si="4"/>
        <v>0</v>
      </c>
      <c r="P28" s="19">
        <f>SUMIFS('Data Additive'!$D:$D,'Data Additive'!$P:$P,'Painel Additive'!#REF!,'Data Additive'!$Q:$Q,"&lt;=0",'Data Additive'!$Q:$Q,"&gt;=-30")</f>
        <v>0</v>
      </c>
      <c r="Q28" s="19">
        <f>SUMIFS('Data Additive'!$D:$D,'Data Additive'!$P:$P,'Painel Additive'!#REF!,'Data Additive'!$Q:$Q,"&lt;=-31",'Data Additive'!$Q:$Q,"&gt;=-60")</f>
        <v>0</v>
      </c>
      <c r="R28" s="19">
        <f>SUMIFS('Data Additive'!$D:$D,'Data Additive'!$P:$P,'Painel Additive'!#REF!,'Data Additive'!$Q:$Q,"&lt;=-61",'Data Additive'!$Q:$Q,"&gt;=-90")</f>
        <v>0</v>
      </c>
      <c r="S28" s="19">
        <f>SUMIFS('Data Additive'!$D:$D,'Data Additive'!$P:$P,'Painel Additive'!#REF!,'Data Additive'!$Q:$Q,"&lt;=-91",'Data Additive'!$Q:$Q,"&gt;=-120")</f>
        <v>0</v>
      </c>
      <c r="T28" s="19">
        <f>SUMIFS('Data Additive'!$D:$D,'Data Additive'!$P:$P,'Painel Additive'!#REF!,'Data Additive'!$Q:$Q,"&lt;=-121",'Data Additive'!$Q:$Q,"&gt;=-180")</f>
        <v>0</v>
      </c>
      <c r="U28" s="19">
        <f>SUMIFS('Data Additive'!$D:$D,'Data Additive'!$P:$P,'Painel Additive'!#REF!,'Data Additive'!$Q:$Q,"&lt;=-181",'Data Additive'!$Q:$Q,"&gt;=-360")</f>
        <v>0</v>
      </c>
      <c r="V28" s="23">
        <f>SUMIFS('Data Additive'!$D:$D,'Data Additive'!$P:$P,'Painel Additive'!#REF!,'Data Additive'!$Q:$Q,"&lt;-360")</f>
        <v>0</v>
      </c>
      <c r="W28" s="19" t="e">
        <f>SUMIFS('Bad Debt Provision'!#REF!,'Bad Debt Provision'!#REF!,'Painel Additive'!#REF!)</f>
        <v>#REF!</v>
      </c>
      <c r="X28" s="5"/>
      <c r="Y28" s="20"/>
      <c r="Z28" s="20"/>
      <c r="AA28" s="21"/>
      <c r="AB28" s="5"/>
      <c r="AC28" s="19"/>
      <c r="AD28" s="20"/>
      <c r="AE28" s="22"/>
      <c r="AF28" s="22"/>
      <c r="AG28" s="5"/>
      <c r="AH28" s="28">
        <f t="shared" si="5"/>
        <v>0</v>
      </c>
    </row>
    <row r="29" spans="2:35" x14ac:dyDescent="0.25">
      <c r="B29" s="41" t="s">
        <v>422</v>
      </c>
      <c r="C29" s="94" t="str" cm="1">
        <f t="array" ref="C29">IFERROR(INDEX('Limite de crédito'!$D:$D, MATCH(MAX(IF('Limite de crédito'!$C:$C=$B29, 'Limite de crédito'!$A:$A)), 'Limite de crédito'!$A:$A, 0)),"")</f>
        <v/>
      </c>
      <c r="D29" s="18" cm="1">
        <f t="array" ref="D29">IFERROR(INDEX('Limite de crédito'!$F:$F, MATCH(MAX(IF('Limite de crédito'!$C:$C=$B29, 'Limite de crédito'!$A:$A)), 'Limite de crédito'!$A:$A, 0)),0)</f>
        <v>0</v>
      </c>
      <c r="E29" s="18">
        <f t="shared" si="2"/>
        <v>0</v>
      </c>
      <c r="F29" s="18">
        <f t="shared" si="3"/>
        <v>0</v>
      </c>
      <c r="G29" s="19">
        <f>SUMIFS('Data Additive'!$D:$D,'Data Additive'!$P:$P,'Painel Additive'!#REF!,'Data Additive'!$Q:$Q,"&gt;0",'Data Additive'!$Q:$Q,"&lt;=30")</f>
        <v>0</v>
      </c>
      <c r="H29" s="19">
        <f>SUMIFS('Data Additive'!$D:$D,'Data Additive'!$P:$P,'Painel Additive'!#REF!,'Data Additive'!$Q:$Q,"&gt;30",'Data Additive'!$Q:$Q,"&lt;=60")</f>
        <v>0</v>
      </c>
      <c r="I29" s="19">
        <f>SUMIFS('Data Additive'!$D:$D,'Data Additive'!$P:$P,'Painel Additive'!#REF!,'Data Additive'!$Q:$Q,"&gt;60",'Data Additive'!$Q:$Q,"&lt;=90")</f>
        <v>0</v>
      </c>
      <c r="J29" s="19">
        <f>SUMIFS('Data Additive'!$D:$D,'Data Additive'!$P:$P,'Painel Additive'!#REF!,'Data Additive'!$Q:$Q,"&gt;90",'Data Additive'!$Q:$Q,"&lt;=120")</f>
        <v>0</v>
      </c>
      <c r="K29" s="19">
        <f>SUMIFS('Data Additive'!$D:$D,'Data Additive'!$P:$P,'Painel Additive'!#REF!,'Data Additive'!$Q:$Q,"&gt;120",'Data Additive'!$Q:$Q,"&lt;=180")</f>
        <v>0</v>
      </c>
      <c r="L29" s="19">
        <f>SUMIFS('Data Additive'!$D:$D,'Data Additive'!$P:$P,'Painel Additive'!#REF!,'Data Additive'!$Q:$Q,"&gt;180",'Data Additive'!$Q:$Q,"&lt;=360")</f>
        <v>0</v>
      </c>
      <c r="M29" s="23">
        <f>SUMIFS('Data Additive'!$D:$D,'Data Additive'!$P:$P,'Painel Additive'!#REF!,'Data Additive'!$Q:$Q,"&gt;360")</f>
        <v>0</v>
      </c>
      <c r="N29" s="19">
        <f>SUMIFS('Data Additive'!$D:$D,'Data Additive'!$P:$P,'Painel Additive'!#REF!,'Data Additive'!$Q:$Q,"&gt;0")</f>
        <v>0</v>
      </c>
      <c r="O29" s="19">
        <f t="shared" si="4"/>
        <v>0</v>
      </c>
      <c r="P29" s="19">
        <f>SUMIFS('Data Additive'!$D:$D,'Data Additive'!$P:$P,'Painel Additive'!#REF!,'Data Additive'!$Q:$Q,"&lt;=0",'Data Additive'!$Q:$Q,"&gt;=-30")</f>
        <v>0</v>
      </c>
      <c r="Q29" s="19">
        <f>SUMIFS('Data Additive'!$D:$D,'Data Additive'!$P:$P,'Painel Additive'!#REF!,'Data Additive'!$Q:$Q,"&lt;=-31",'Data Additive'!$Q:$Q,"&gt;=-60")</f>
        <v>0</v>
      </c>
      <c r="R29" s="19">
        <f>SUMIFS('Data Additive'!$D:$D,'Data Additive'!$P:$P,'Painel Additive'!#REF!,'Data Additive'!$Q:$Q,"&lt;=-61",'Data Additive'!$Q:$Q,"&gt;=-90")</f>
        <v>0</v>
      </c>
      <c r="S29" s="19">
        <f>SUMIFS('Data Additive'!$D:$D,'Data Additive'!$P:$P,'Painel Additive'!#REF!,'Data Additive'!$Q:$Q,"&lt;=-91",'Data Additive'!$Q:$Q,"&gt;=-120")</f>
        <v>0</v>
      </c>
      <c r="T29" s="19">
        <f>SUMIFS('Data Additive'!$D:$D,'Data Additive'!$P:$P,'Painel Additive'!#REF!,'Data Additive'!$Q:$Q,"&lt;=-121",'Data Additive'!$Q:$Q,"&gt;=-180")</f>
        <v>0</v>
      </c>
      <c r="U29" s="19">
        <f>SUMIFS('Data Additive'!$D:$D,'Data Additive'!$P:$P,'Painel Additive'!#REF!,'Data Additive'!$Q:$Q,"&lt;=-181",'Data Additive'!$Q:$Q,"&gt;=-360")</f>
        <v>0</v>
      </c>
      <c r="V29" s="23">
        <f>SUMIFS('Data Additive'!$D:$D,'Data Additive'!$P:$P,'Painel Additive'!#REF!,'Data Additive'!$Q:$Q,"&lt;-360")</f>
        <v>0</v>
      </c>
      <c r="W29" s="19" t="e">
        <f>SUMIFS('Bad Debt Provision'!#REF!,'Bad Debt Provision'!#REF!,'Painel Additive'!#REF!)</f>
        <v>#REF!</v>
      </c>
      <c r="X29" s="5"/>
      <c r="Y29" s="20"/>
      <c r="Z29" s="20"/>
      <c r="AA29" s="21"/>
      <c r="AB29" s="5"/>
      <c r="AC29" s="19"/>
      <c r="AD29" s="20"/>
      <c r="AE29" s="22"/>
      <c r="AF29" s="22"/>
      <c r="AG29" s="5"/>
      <c r="AH29" s="28">
        <f t="shared" si="5"/>
        <v>0</v>
      </c>
    </row>
    <row r="30" spans="2:35" x14ac:dyDescent="0.25">
      <c r="B30" s="41" t="s">
        <v>417</v>
      </c>
      <c r="C30" s="94" cm="1">
        <f t="array" ref="C30">IFERROR(INDEX('Limite de crédito'!$D:$D, MATCH(MAX(IF('Limite de crédito'!$C:$C=$B30, 'Limite de crédito'!$A:$A)), 'Limite de crédito'!$A:$A, 0)),"")</f>
        <v>45803</v>
      </c>
      <c r="D30" s="18" t="str" cm="1">
        <f t="array" ref="D30">IFERROR(INDEX('Limite de crédito'!$F:$F, MATCH(MAX(IF('Limite de crédito'!$C:$C=$B30, 'Limite de crédito'!$A:$A)), 'Limite de crédito'!$A:$A, 0)),0)</f>
        <v>Sim</v>
      </c>
      <c r="E30" s="18" t="e">
        <f t="shared" si="2"/>
        <v>#VALUE!</v>
      </c>
      <c r="F30" s="18">
        <f t="shared" si="3"/>
        <v>0</v>
      </c>
      <c r="G30" s="19">
        <f>SUMIFS('Data Additive'!$D:$D,'Data Additive'!$P:$P,'Painel Additive'!#REF!,'Data Additive'!$Q:$Q,"&gt;0",'Data Additive'!$Q:$Q,"&lt;=30")</f>
        <v>0</v>
      </c>
      <c r="H30" s="19">
        <f>SUMIFS('Data Additive'!$D:$D,'Data Additive'!$P:$P,'Painel Additive'!#REF!,'Data Additive'!$Q:$Q,"&gt;30",'Data Additive'!$Q:$Q,"&lt;=60")</f>
        <v>0</v>
      </c>
      <c r="I30" s="19">
        <f>SUMIFS('Data Additive'!$D:$D,'Data Additive'!$P:$P,'Painel Additive'!#REF!,'Data Additive'!$Q:$Q,"&gt;60",'Data Additive'!$Q:$Q,"&lt;=90")</f>
        <v>0</v>
      </c>
      <c r="J30" s="19">
        <f>SUMIFS('Data Additive'!$D:$D,'Data Additive'!$P:$P,'Painel Additive'!#REF!,'Data Additive'!$Q:$Q,"&gt;90",'Data Additive'!$Q:$Q,"&lt;=120")</f>
        <v>0</v>
      </c>
      <c r="K30" s="19">
        <f>SUMIFS('Data Additive'!$D:$D,'Data Additive'!$P:$P,'Painel Additive'!#REF!,'Data Additive'!$Q:$Q,"&gt;120",'Data Additive'!$Q:$Q,"&lt;=180")</f>
        <v>0</v>
      </c>
      <c r="L30" s="19">
        <f>SUMIFS('Data Additive'!$D:$D,'Data Additive'!$P:$P,'Painel Additive'!#REF!,'Data Additive'!$Q:$Q,"&gt;180",'Data Additive'!$Q:$Q,"&lt;=360")</f>
        <v>0</v>
      </c>
      <c r="M30" s="23">
        <f>SUMIFS('Data Additive'!$D:$D,'Data Additive'!$P:$P,'Painel Additive'!#REF!,'Data Additive'!$Q:$Q,"&gt;360")</f>
        <v>0</v>
      </c>
      <c r="N30" s="19">
        <f>SUMIFS('Data Additive'!$D:$D,'Data Additive'!$P:$P,'Painel Additive'!#REF!,'Data Additive'!$Q:$Q,"&gt;0")</f>
        <v>0</v>
      </c>
      <c r="O30" s="19">
        <f t="shared" si="4"/>
        <v>0</v>
      </c>
      <c r="P30" s="19">
        <f>SUMIFS('Data Additive'!$D:$D,'Data Additive'!$P:$P,'Painel Additive'!#REF!,'Data Additive'!$Q:$Q,"&lt;=0",'Data Additive'!$Q:$Q,"&gt;=-30")</f>
        <v>0</v>
      </c>
      <c r="Q30" s="19">
        <f>SUMIFS('Data Additive'!$D:$D,'Data Additive'!$P:$P,'Painel Additive'!#REF!,'Data Additive'!$Q:$Q,"&lt;=-31",'Data Additive'!$Q:$Q,"&gt;=-60")</f>
        <v>0</v>
      </c>
      <c r="R30" s="19">
        <f>SUMIFS('Data Additive'!$D:$D,'Data Additive'!$P:$P,'Painel Additive'!#REF!,'Data Additive'!$Q:$Q,"&lt;=-61",'Data Additive'!$Q:$Q,"&gt;=-90")</f>
        <v>0</v>
      </c>
      <c r="S30" s="19">
        <f>SUMIFS('Data Additive'!$D:$D,'Data Additive'!$P:$P,'Painel Additive'!#REF!,'Data Additive'!$Q:$Q,"&lt;=-91",'Data Additive'!$Q:$Q,"&gt;=-120")</f>
        <v>0</v>
      </c>
      <c r="T30" s="19">
        <f>SUMIFS('Data Additive'!$D:$D,'Data Additive'!$P:$P,'Painel Additive'!#REF!,'Data Additive'!$Q:$Q,"&lt;=-121",'Data Additive'!$Q:$Q,"&gt;=-180")</f>
        <v>0</v>
      </c>
      <c r="U30" s="19">
        <f>SUMIFS('Data Additive'!$D:$D,'Data Additive'!$P:$P,'Painel Additive'!#REF!,'Data Additive'!$Q:$Q,"&lt;=-181",'Data Additive'!$Q:$Q,"&gt;=-360")</f>
        <v>0</v>
      </c>
      <c r="V30" s="23">
        <f>SUMIFS('Data Additive'!$D:$D,'Data Additive'!$P:$P,'Painel Additive'!#REF!,'Data Additive'!$Q:$Q,"&lt;-360")</f>
        <v>0</v>
      </c>
      <c r="W30" s="19" t="e">
        <f>SUMIFS('Bad Debt Provision'!#REF!,'Bad Debt Provision'!#REF!,'Painel Additive'!#REF!)</f>
        <v>#REF!</v>
      </c>
      <c r="X30" s="5"/>
      <c r="Y30" s="20"/>
      <c r="Z30" s="20"/>
      <c r="AA30" s="21"/>
      <c r="AB30" s="5"/>
      <c r="AC30" s="19"/>
      <c r="AD30" s="20"/>
      <c r="AE30" s="22"/>
      <c r="AF30" s="22"/>
      <c r="AG30" s="5"/>
      <c r="AH30" s="28">
        <f t="shared" si="5"/>
        <v>0</v>
      </c>
    </row>
    <row r="31" spans="2:35" x14ac:dyDescent="0.25">
      <c r="B31" s="41" t="s">
        <v>390</v>
      </c>
      <c r="C31" s="94" cm="1">
        <f t="array" ref="C31">IFERROR(INDEX('Limite de crédito'!$D:$D, MATCH(MAX(IF('Limite de crédito'!$C:$C=$B31, 'Limite de crédito'!$A:$A)), 'Limite de crédito'!$A:$A, 0)),"")</f>
        <v>45804</v>
      </c>
      <c r="D31" s="18" t="str" cm="1">
        <f t="array" ref="D31">IFERROR(INDEX('Limite de crédito'!$F:$F, MATCH(MAX(IF('Limite de crédito'!$C:$C=$B31, 'Limite de crédito'!$A:$A)), 'Limite de crédito'!$A:$A, 0)),0)</f>
        <v>Sim</v>
      </c>
      <c r="E31" s="18" t="e">
        <f t="shared" si="2"/>
        <v>#VALUE!</v>
      </c>
      <c r="F31" s="18">
        <f t="shared" si="3"/>
        <v>0</v>
      </c>
      <c r="G31" s="19">
        <f>SUMIFS('Data Additive'!$D:$D,'Data Additive'!$P:$P,'Painel Additive'!#REF!,'Data Additive'!$Q:$Q,"&gt;0",'Data Additive'!$Q:$Q,"&lt;=30")</f>
        <v>0</v>
      </c>
      <c r="H31" s="19">
        <f>SUMIFS('Data Additive'!$D:$D,'Data Additive'!$P:$P,'Painel Additive'!#REF!,'Data Additive'!$Q:$Q,"&gt;30",'Data Additive'!$Q:$Q,"&lt;=60")</f>
        <v>0</v>
      </c>
      <c r="I31" s="19">
        <f>SUMIFS('Data Additive'!$D:$D,'Data Additive'!$P:$P,'Painel Additive'!#REF!,'Data Additive'!$Q:$Q,"&gt;60",'Data Additive'!$Q:$Q,"&lt;=90")</f>
        <v>0</v>
      </c>
      <c r="J31" s="19">
        <f>SUMIFS('Data Additive'!$D:$D,'Data Additive'!$P:$P,'Painel Additive'!#REF!,'Data Additive'!$Q:$Q,"&gt;90",'Data Additive'!$Q:$Q,"&lt;=120")</f>
        <v>0</v>
      </c>
      <c r="K31" s="19">
        <f>SUMIFS('Data Additive'!$D:$D,'Data Additive'!$P:$P,'Painel Additive'!#REF!,'Data Additive'!$Q:$Q,"&gt;120",'Data Additive'!$Q:$Q,"&lt;=180")</f>
        <v>0</v>
      </c>
      <c r="L31" s="19">
        <f>SUMIFS('Data Additive'!$D:$D,'Data Additive'!$P:$P,'Painel Additive'!#REF!,'Data Additive'!$Q:$Q,"&gt;180",'Data Additive'!$Q:$Q,"&lt;=360")</f>
        <v>0</v>
      </c>
      <c r="M31" s="23">
        <f>SUMIFS('Data Additive'!$D:$D,'Data Additive'!$P:$P,'Painel Additive'!#REF!,'Data Additive'!$Q:$Q,"&gt;360")</f>
        <v>0</v>
      </c>
      <c r="N31" s="19">
        <f>SUMIFS('Data Additive'!$D:$D,'Data Additive'!$P:$P,'Painel Additive'!#REF!,'Data Additive'!$Q:$Q,"&gt;0")</f>
        <v>0</v>
      </c>
      <c r="O31" s="19">
        <f t="shared" si="4"/>
        <v>0</v>
      </c>
      <c r="P31" s="19">
        <f>SUMIFS('Data Additive'!$D:$D,'Data Additive'!$P:$P,'Painel Additive'!#REF!,'Data Additive'!$Q:$Q,"&lt;=0",'Data Additive'!$Q:$Q,"&gt;=-30")</f>
        <v>0</v>
      </c>
      <c r="Q31" s="19">
        <f>SUMIFS('Data Additive'!$D:$D,'Data Additive'!$P:$P,'Painel Additive'!#REF!,'Data Additive'!$Q:$Q,"&lt;=-31",'Data Additive'!$Q:$Q,"&gt;=-60")</f>
        <v>0</v>
      </c>
      <c r="R31" s="19">
        <f>SUMIFS('Data Additive'!$D:$D,'Data Additive'!$P:$P,'Painel Additive'!#REF!,'Data Additive'!$Q:$Q,"&lt;=-61",'Data Additive'!$Q:$Q,"&gt;=-90")</f>
        <v>0</v>
      </c>
      <c r="S31" s="19">
        <f>SUMIFS('Data Additive'!$D:$D,'Data Additive'!$P:$P,'Painel Additive'!#REF!,'Data Additive'!$Q:$Q,"&lt;=-91",'Data Additive'!$Q:$Q,"&gt;=-120")</f>
        <v>0</v>
      </c>
      <c r="T31" s="19">
        <f>SUMIFS('Data Additive'!$D:$D,'Data Additive'!$P:$P,'Painel Additive'!#REF!,'Data Additive'!$Q:$Q,"&lt;=-121",'Data Additive'!$Q:$Q,"&gt;=-180")</f>
        <v>0</v>
      </c>
      <c r="U31" s="19">
        <f>SUMIFS('Data Additive'!$D:$D,'Data Additive'!$P:$P,'Painel Additive'!#REF!,'Data Additive'!$Q:$Q,"&lt;=-181",'Data Additive'!$Q:$Q,"&gt;=-360")</f>
        <v>0</v>
      </c>
      <c r="V31" s="23">
        <f>SUMIFS('Data Additive'!$D:$D,'Data Additive'!$P:$P,'Painel Additive'!#REF!,'Data Additive'!$Q:$Q,"&lt;-360")</f>
        <v>0</v>
      </c>
      <c r="W31" s="19" t="e">
        <f>SUMIFS('Bad Debt Provision'!#REF!,'Bad Debt Provision'!#REF!,'Painel Additive'!#REF!)</f>
        <v>#REF!</v>
      </c>
      <c r="X31" s="5"/>
      <c r="Y31" s="20"/>
      <c r="Z31" s="20"/>
      <c r="AA31" s="21"/>
      <c r="AB31" s="5"/>
      <c r="AC31" s="19"/>
      <c r="AD31" s="20"/>
      <c r="AE31" s="22"/>
      <c r="AF31" s="22"/>
      <c r="AG31" s="5"/>
      <c r="AH31" s="28">
        <f t="shared" si="5"/>
        <v>0</v>
      </c>
    </row>
    <row r="32" spans="2:35" x14ac:dyDescent="0.25">
      <c r="B32" s="17" t="s">
        <v>149</v>
      </c>
      <c r="C32" s="93" t="str" cm="1">
        <f t="array" ref="C32">IFERROR(INDEX('Limite de crédito'!$D:$D, MATCH(MAX(IF('Limite de crédito'!$C:$C=$B32, 'Limite de crédito'!$A:$A)), 'Limite de crédito'!$A:$A, 0)),"")</f>
        <v/>
      </c>
      <c r="D32" s="18" cm="1">
        <f t="array" ref="D32">IFERROR(INDEX('Limite de crédito'!$F:$F, MATCH(MAX(IF('Limite de crédito'!$C:$C=$B32, 'Limite de crédito'!$A:$A)), 'Limite de crédito'!$A:$A, 0)),0)</f>
        <v>0</v>
      </c>
      <c r="E32" s="18">
        <f t="shared" si="2"/>
        <v>0</v>
      </c>
      <c r="F32" s="18">
        <f t="shared" si="3"/>
        <v>0</v>
      </c>
      <c r="G32" s="19">
        <f>SUMIFS('Data Additive'!$D:$D,'Data Additive'!$P:$P,'Painel Additive'!$B33,'Data Additive'!$Q:$Q,"&gt;0",'Data Additive'!$Q:$Q,"&lt;=30")</f>
        <v>0</v>
      </c>
      <c r="H32" s="19">
        <f>SUMIFS('Data Additive'!$D:$D,'Data Additive'!$P:$P,'Painel Additive'!$B33,'Data Additive'!$Q:$Q,"&gt;30",'Data Additive'!$Q:$Q,"&lt;=60")</f>
        <v>0</v>
      </c>
      <c r="I32" s="19">
        <f>SUMIFS('Data Additive'!$D:$D,'Data Additive'!$P:$P,'Painel Additive'!$B33,'Data Additive'!$Q:$Q,"&gt;60",'Data Additive'!$Q:$Q,"&lt;=90")</f>
        <v>0</v>
      </c>
      <c r="J32" s="19">
        <f>SUMIFS('Data Additive'!$D:$D,'Data Additive'!$P:$P,'Painel Additive'!$B33,'Data Additive'!$Q:$Q,"&gt;90",'Data Additive'!$Q:$Q,"&lt;=120")</f>
        <v>0</v>
      </c>
      <c r="K32" s="19">
        <f>SUMIFS('Data Additive'!$D:$D,'Data Additive'!$P:$P,'Painel Additive'!$B33,'Data Additive'!$Q:$Q,"&gt;120",'Data Additive'!$Q:$Q,"&lt;=180")</f>
        <v>0</v>
      </c>
      <c r="L32" s="19">
        <f>SUMIFS('Data Additive'!$D:$D,'Data Additive'!$P:$P,'Painel Additive'!$B33,'Data Additive'!$Q:$Q,"&gt;180",'Data Additive'!$Q:$Q,"&lt;=360")</f>
        <v>0</v>
      </c>
      <c r="M32" s="23">
        <f>SUMIFS('Data Additive'!$D:$D,'Data Additive'!$P:$P,'Painel Additive'!$B33,'Data Additive'!$Q:$Q,"&gt;360")</f>
        <v>0</v>
      </c>
      <c r="N32" s="19">
        <f>SUMIFS('Data Additive'!$D:$D,'Data Additive'!$P:$P,'Painel Additive'!$B33,'Data Additive'!$Q:$Q,"&gt;0")</f>
        <v>0</v>
      </c>
      <c r="O32" s="19">
        <f t="shared" si="4"/>
        <v>0</v>
      </c>
      <c r="P32" s="19">
        <f>SUMIFS('Data Additive'!$D:$D,'Data Additive'!$P:$P,'Painel Additive'!$B33,'Data Additive'!$Q:$Q,"&lt;=0",'Data Additive'!$Q:$Q,"&gt;=-30")</f>
        <v>0</v>
      </c>
      <c r="Q32" s="19">
        <f>SUMIFS('Data Additive'!$D:$D,'Data Additive'!$P:$P,'Painel Additive'!$B33,'Data Additive'!$Q:$Q,"&lt;=-31",'Data Additive'!$Q:$Q,"&gt;=-60")</f>
        <v>0</v>
      </c>
      <c r="R32" s="19">
        <f>SUMIFS('Data Additive'!$D:$D,'Data Additive'!$P:$P,'Painel Additive'!$B33,'Data Additive'!$Q:$Q,"&lt;=-61",'Data Additive'!$Q:$Q,"&gt;=-90")</f>
        <v>0</v>
      </c>
      <c r="S32" s="19">
        <f>SUMIFS('Data Additive'!$D:$D,'Data Additive'!$P:$P,'Painel Additive'!$B33,'Data Additive'!$Q:$Q,"&lt;=-91",'Data Additive'!$Q:$Q,"&gt;=-120")</f>
        <v>0</v>
      </c>
      <c r="T32" s="19">
        <f>SUMIFS('Data Additive'!$D:$D,'Data Additive'!$P:$P,'Painel Additive'!$B33,'Data Additive'!$Q:$Q,"&lt;=-121",'Data Additive'!$Q:$Q,"&gt;=-180")</f>
        <v>0</v>
      </c>
      <c r="U32" s="19">
        <f>SUMIFS('Data Additive'!$D:$D,'Data Additive'!$P:$P,'Painel Additive'!$B33,'Data Additive'!$Q:$Q,"&lt;=-181",'Data Additive'!$Q:$Q,"&gt;=-360")</f>
        <v>0</v>
      </c>
      <c r="V32" s="23">
        <f>SUMIFS('Data Additive'!$D:$D,'Data Additive'!$P:$P,'Painel Additive'!$B33,'Data Additive'!$Q:$Q,"&lt;-360")</f>
        <v>0</v>
      </c>
      <c r="W32" s="19" t="e">
        <f>SUMIFS('Bad Debt Provision'!#REF!,'Bad Debt Provision'!#REF!,'Painel Additive'!$B33)</f>
        <v>#REF!</v>
      </c>
      <c r="X32" s="5"/>
      <c r="Y32" s="20"/>
      <c r="Z32" s="20"/>
      <c r="AA32" s="21"/>
      <c r="AB32" s="5"/>
      <c r="AC32" s="19"/>
      <c r="AD32" s="20"/>
      <c r="AE32" s="22"/>
      <c r="AF32" s="22"/>
      <c r="AG32" s="5"/>
      <c r="AH32" s="28">
        <f t="shared" si="5"/>
        <v>0</v>
      </c>
      <c r="AI32" s="5"/>
    </row>
    <row r="33" spans="2:35" x14ac:dyDescent="0.25">
      <c r="B33" s="17" t="s">
        <v>291</v>
      </c>
      <c r="C33" s="93" t="str" cm="1">
        <f t="array" ref="C33">IFERROR(INDEX('Limite de crédito'!$D:$D, MATCH(MAX(IF('Limite de crédito'!$C:$C=$B33, 'Limite de crédito'!$A:$A)), 'Limite de crédito'!$A:$A, 0)),"")</f>
        <v/>
      </c>
      <c r="D33" s="18" cm="1">
        <f t="array" ref="D33">IFERROR(INDEX('Limite de crédito'!$F:$F, MATCH(MAX(IF('Limite de crédito'!$C:$C=$B33, 'Limite de crédito'!$A:$A)), 'Limite de crédito'!$A:$A, 0)),0)</f>
        <v>0</v>
      </c>
      <c r="E33" s="18">
        <f t="shared" si="2"/>
        <v>0</v>
      </c>
      <c r="F33" s="18">
        <f t="shared" si="3"/>
        <v>0</v>
      </c>
      <c r="G33" s="19">
        <f>SUMIFS('Data Additive'!$D:$D,'Data Additive'!$P:$P,'Painel Additive'!#REF!,'Data Additive'!$Q:$Q,"&gt;0",'Data Additive'!$Q:$Q,"&lt;=30")</f>
        <v>0</v>
      </c>
      <c r="H33" s="19">
        <f>SUMIFS('Data Additive'!$D:$D,'Data Additive'!$P:$P,'Painel Additive'!#REF!,'Data Additive'!$Q:$Q,"&gt;30",'Data Additive'!$Q:$Q,"&lt;=60")</f>
        <v>0</v>
      </c>
      <c r="I33" s="19">
        <f>SUMIFS('Data Additive'!$D:$D,'Data Additive'!$P:$P,'Painel Additive'!#REF!,'Data Additive'!$Q:$Q,"&gt;60",'Data Additive'!$Q:$Q,"&lt;=90")</f>
        <v>0</v>
      </c>
      <c r="J33" s="19">
        <f>SUMIFS('Data Additive'!$D:$D,'Data Additive'!$P:$P,'Painel Additive'!#REF!,'Data Additive'!$Q:$Q,"&gt;90",'Data Additive'!$Q:$Q,"&lt;=120")</f>
        <v>0</v>
      </c>
      <c r="K33" s="19">
        <f>SUMIFS('Data Additive'!$D:$D,'Data Additive'!$P:$P,'Painel Additive'!#REF!,'Data Additive'!$Q:$Q,"&gt;120",'Data Additive'!$Q:$Q,"&lt;=180")</f>
        <v>0</v>
      </c>
      <c r="L33" s="19">
        <f>SUMIFS('Data Additive'!$D:$D,'Data Additive'!$P:$P,'Painel Additive'!#REF!,'Data Additive'!$Q:$Q,"&gt;180",'Data Additive'!$Q:$Q,"&lt;=360")</f>
        <v>0</v>
      </c>
      <c r="M33" s="23">
        <f>SUMIFS('Data Additive'!$D:$D,'Data Additive'!$P:$P,'Painel Additive'!#REF!,'Data Additive'!$Q:$Q,"&gt;360")</f>
        <v>0</v>
      </c>
      <c r="N33" s="19">
        <f>SUMIFS('Data Additive'!$D:$D,'Data Additive'!$P:$P,'Painel Additive'!#REF!,'Data Additive'!$Q:$Q,"&gt;0")</f>
        <v>0</v>
      </c>
      <c r="O33" s="19">
        <f t="shared" si="4"/>
        <v>0</v>
      </c>
      <c r="P33" s="19">
        <f>SUMIFS('Data Additive'!$D:$D,'Data Additive'!$P:$P,'Painel Additive'!#REF!,'Data Additive'!$Q:$Q,"&lt;=0",'Data Additive'!$Q:$Q,"&gt;=-30")</f>
        <v>0</v>
      </c>
      <c r="Q33" s="19">
        <f>SUMIFS('Data Additive'!$D:$D,'Data Additive'!$P:$P,'Painel Additive'!#REF!,'Data Additive'!$Q:$Q,"&lt;=-31",'Data Additive'!$Q:$Q,"&gt;=-60")</f>
        <v>0</v>
      </c>
      <c r="R33" s="19">
        <f>SUMIFS('Data Additive'!$D:$D,'Data Additive'!$P:$P,'Painel Additive'!#REF!,'Data Additive'!$Q:$Q,"&lt;=-61",'Data Additive'!$Q:$Q,"&gt;=-90")</f>
        <v>0</v>
      </c>
      <c r="S33" s="19">
        <f>SUMIFS('Data Additive'!$D:$D,'Data Additive'!$P:$P,'Painel Additive'!#REF!,'Data Additive'!$Q:$Q,"&lt;=-91",'Data Additive'!$Q:$Q,"&gt;=-120")</f>
        <v>0</v>
      </c>
      <c r="T33" s="19">
        <f>SUMIFS('Data Additive'!$D:$D,'Data Additive'!$P:$P,'Painel Additive'!#REF!,'Data Additive'!$Q:$Q,"&lt;=-121",'Data Additive'!$Q:$Q,"&gt;=-180")</f>
        <v>0</v>
      </c>
      <c r="U33" s="19">
        <f>SUMIFS('Data Additive'!$D:$D,'Data Additive'!$P:$P,'Painel Additive'!#REF!,'Data Additive'!$Q:$Q,"&lt;=-181",'Data Additive'!$Q:$Q,"&gt;=-360")</f>
        <v>0</v>
      </c>
      <c r="V33" s="23">
        <f>SUMIFS('Data Additive'!$D:$D,'Data Additive'!$P:$P,'Painel Additive'!#REF!,'Data Additive'!$Q:$Q,"&lt;-360")</f>
        <v>0</v>
      </c>
      <c r="W33" s="19" t="e">
        <f>SUMIFS('Bad Debt Provision'!#REF!,'Bad Debt Provision'!#REF!,'Painel Additive'!#REF!)</f>
        <v>#REF!</v>
      </c>
      <c r="X33" s="5"/>
      <c r="Y33" s="20"/>
      <c r="Z33" s="20"/>
      <c r="AA33" s="21"/>
      <c r="AB33" s="5"/>
      <c r="AC33" s="19"/>
      <c r="AD33" s="20"/>
      <c r="AE33" s="22"/>
      <c r="AF33" s="22"/>
      <c r="AG33" s="5"/>
      <c r="AH33" s="28">
        <f t="shared" si="5"/>
        <v>0</v>
      </c>
    </row>
    <row r="34" spans="2:35" x14ac:dyDescent="0.25">
      <c r="B34" s="17" t="s">
        <v>105</v>
      </c>
      <c r="C34" s="93" t="str" cm="1">
        <f t="array" ref="C34">IFERROR(INDEX('Limite de crédito'!$D:$D, MATCH(MAX(IF('Limite de crédito'!$C:$C=$B34, 'Limite de crédito'!$A:$A)), 'Limite de crédito'!$A:$A, 0)),"")</f>
        <v/>
      </c>
      <c r="D34" s="18" cm="1">
        <f t="array" ref="D34">IFERROR(INDEX('Limite de crédito'!$F:$F, MATCH(MAX(IF('Limite de crédito'!$C:$C=$B34, 'Limite de crédito'!$A:$A)), 'Limite de crédito'!$A:$A, 0)),0)</f>
        <v>0</v>
      </c>
      <c r="E34" s="18">
        <f t="shared" si="2"/>
        <v>0</v>
      </c>
      <c r="F34" s="18">
        <f t="shared" si="3"/>
        <v>0</v>
      </c>
      <c r="G34" s="19">
        <f>SUMIFS('Data Additive'!$D:$D,'Data Additive'!$P:$P,'Painel Additive'!$B41,'Data Additive'!$Q:$Q,"&gt;0",'Data Additive'!$Q:$Q,"&lt;=30")</f>
        <v>0</v>
      </c>
      <c r="H34" s="19">
        <f>SUMIFS('Data Additive'!$D:$D,'Data Additive'!$P:$P,'Painel Additive'!$B41,'Data Additive'!$Q:$Q,"&gt;30",'Data Additive'!$Q:$Q,"&lt;=60")</f>
        <v>0</v>
      </c>
      <c r="I34" s="19">
        <f>SUMIFS('Data Additive'!$D:$D,'Data Additive'!$P:$P,'Painel Additive'!$B41,'Data Additive'!$Q:$Q,"&gt;60",'Data Additive'!$Q:$Q,"&lt;=90")</f>
        <v>0</v>
      </c>
      <c r="J34" s="19">
        <f>SUMIFS('Data Additive'!$D:$D,'Data Additive'!$P:$P,'Painel Additive'!$B41,'Data Additive'!$Q:$Q,"&gt;90",'Data Additive'!$Q:$Q,"&lt;=120")</f>
        <v>0</v>
      </c>
      <c r="K34" s="19">
        <f>SUMIFS('Data Additive'!$D:$D,'Data Additive'!$P:$P,'Painel Additive'!$B41,'Data Additive'!$Q:$Q,"&gt;120",'Data Additive'!$Q:$Q,"&lt;=180")</f>
        <v>0</v>
      </c>
      <c r="L34" s="19">
        <f>SUMIFS('Data Additive'!$D:$D,'Data Additive'!$P:$P,'Painel Additive'!$B41,'Data Additive'!$Q:$Q,"&gt;180",'Data Additive'!$Q:$Q,"&lt;=360")</f>
        <v>0</v>
      </c>
      <c r="M34" s="23">
        <f>SUMIFS('Data Additive'!$D:$D,'Data Additive'!$P:$P,'Painel Additive'!$B41,'Data Additive'!$Q:$Q,"&gt;360")</f>
        <v>0</v>
      </c>
      <c r="N34" s="19">
        <f>SUMIFS('Data Additive'!$D:$D,'Data Additive'!$P:$P,'Painel Additive'!$B41,'Data Additive'!$Q:$Q,"&gt;0")</f>
        <v>0</v>
      </c>
      <c r="O34" s="19">
        <f t="shared" si="4"/>
        <v>0</v>
      </c>
      <c r="P34" s="19">
        <f>SUMIFS('Data Additive'!$D:$D,'Data Additive'!$P:$P,'Painel Additive'!$B41,'Data Additive'!$Q:$Q,"&lt;=0",'Data Additive'!$Q:$Q,"&gt;=-30")</f>
        <v>0</v>
      </c>
      <c r="Q34" s="19">
        <f>SUMIFS('Data Additive'!$D:$D,'Data Additive'!$P:$P,'Painel Additive'!$B41,'Data Additive'!$Q:$Q,"&lt;=-31",'Data Additive'!$Q:$Q,"&gt;=-60")</f>
        <v>0</v>
      </c>
      <c r="R34" s="19">
        <f>SUMIFS('Data Additive'!$D:$D,'Data Additive'!$P:$P,'Painel Additive'!$B41,'Data Additive'!$Q:$Q,"&lt;=-61",'Data Additive'!$Q:$Q,"&gt;=-90")</f>
        <v>0</v>
      </c>
      <c r="S34" s="19">
        <f>SUMIFS('Data Additive'!$D:$D,'Data Additive'!$P:$P,'Painel Additive'!$B41,'Data Additive'!$Q:$Q,"&lt;=-91",'Data Additive'!$Q:$Q,"&gt;=-120")</f>
        <v>0</v>
      </c>
      <c r="T34" s="19">
        <f>SUMIFS('Data Additive'!$D:$D,'Data Additive'!$P:$P,'Painel Additive'!$B41,'Data Additive'!$Q:$Q,"&lt;=-121",'Data Additive'!$Q:$Q,"&gt;=-180")</f>
        <v>0</v>
      </c>
      <c r="U34" s="19">
        <f>SUMIFS('Data Additive'!$D:$D,'Data Additive'!$P:$P,'Painel Additive'!$B41,'Data Additive'!$Q:$Q,"&lt;=-181",'Data Additive'!$Q:$Q,"&gt;=-360")</f>
        <v>0</v>
      </c>
      <c r="V34" s="23">
        <f>SUMIFS('Data Additive'!$D:$D,'Data Additive'!$P:$P,'Painel Additive'!$B41,'Data Additive'!$Q:$Q,"&lt;-360")</f>
        <v>0</v>
      </c>
      <c r="W34" s="19" t="e">
        <f>SUMIFS('Bad Debt Provision'!#REF!,'Bad Debt Provision'!#REF!,'Painel Additive'!$B41)</f>
        <v>#REF!</v>
      </c>
      <c r="X34" s="5"/>
      <c r="Y34" s="20"/>
      <c r="Z34" s="20"/>
      <c r="AA34" s="21"/>
      <c r="AB34" s="5"/>
      <c r="AC34" s="19"/>
      <c r="AD34" s="20"/>
      <c r="AE34" s="22"/>
      <c r="AF34" s="22"/>
      <c r="AG34" s="5"/>
      <c r="AH34" s="28">
        <f t="shared" si="5"/>
        <v>0</v>
      </c>
      <c r="AI34" s="5"/>
    </row>
    <row r="35" spans="2:35" x14ac:dyDescent="0.25">
      <c r="B35" s="17" t="s">
        <v>271</v>
      </c>
      <c r="C35" s="93" cm="1">
        <f t="array" ref="C35">IFERROR(INDEX('Limite de crédito'!$D:$D, MATCH(MAX(IF('Limite de crédito'!$C:$C=$B35, 'Limite de crédito'!$A:$A)), 'Limite de crédito'!$A:$A, 0)),"")</f>
        <v>45799</v>
      </c>
      <c r="D35" s="18" t="str" cm="1">
        <f t="array" ref="D35">IFERROR(INDEX('Limite de crédito'!$F:$F, MATCH(MAX(IF('Limite de crédito'!$C:$C=$B35, 'Limite de crédito'!$A:$A)), 'Limite de crédito'!$A:$A, 0)),0)</f>
        <v>Sim</v>
      </c>
      <c r="E35" s="18" t="e">
        <f t="shared" si="2"/>
        <v>#VALUE!</v>
      </c>
      <c r="F35" s="18">
        <f t="shared" si="3"/>
        <v>0</v>
      </c>
      <c r="G35" s="19">
        <f>SUMIFS('Data Additive'!$D:$D,'Data Additive'!$P:$P,'Painel Additive'!#REF!,'Data Additive'!$Q:$Q,"&gt;0",'Data Additive'!$Q:$Q,"&lt;=30")</f>
        <v>0</v>
      </c>
      <c r="H35" s="19">
        <f>SUMIFS('Data Additive'!$D:$D,'Data Additive'!$P:$P,'Painel Additive'!#REF!,'Data Additive'!$Q:$Q,"&gt;30",'Data Additive'!$Q:$Q,"&lt;=60")</f>
        <v>0</v>
      </c>
      <c r="I35" s="19">
        <f>SUMIFS('Data Additive'!$D:$D,'Data Additive'!$P:$P,'Painel Additive'!#REF!,'Data Additive'!$Q:$Q,"&gt;60",'Data Additive'!$Q:$Q,"&lt;=90")</f>
        <v>0</v>
      </c>
      <c r="J35" s="19">
        <f>SUMIFS('Data Additive'!$D:$D,'Data Additive'!$P:$P,'Painel Additive'!#REF!,'Data Additive'!$Q:$Q,"&gt;90",'Data Additive'!$Q:$Q,"&lt;=120")</f>
        <v>0</v>
      </c>
      <c r="K35" s="19">
        <f>SUMIFS('Data Additive'!$D:$D,'Data Additive'!$P:$P,'Painel Additive'!#REF!,'Data Additive'!$Q:$Q,"&gt;120",'Data Additive'!$Q:$Q,"&lt;=180")</f>
        <v>0</v>
      </c>
      <c r="L35" s="19">
        <f>SUMIFS('Data Additive'!$D:$D,'Data Additive'!$P:$P,'Painel Additive'!#REF!,'Data Additive'!$Q:$Q,"&gt;180",'Data Additive'!$Q:$Q,"&lt;=360")</f>
        <v>0</v>
      </c>
      <c r="M35" s="23">
        <f>SUMIFS('Data Additive'!$D:$D,'Data Additive'!$P:$P,'Painel Additive'!#REF!,'Data Additive'!$Q:$Q,"&gt;360")</f>
        <v>0</v>
      </c>
      <c r="N35" s="19">
        <f>SUMIFS('Data Additive'!$D:$D,'Data Additive'!$P:$P,'Painel Additive'!#REF!,'Data Additive'!$Q:$Q,"&gt;0")</f>
        <v>0</v>
      </c>
      <c r="O35" s="19">
        <f t="shared" si="4"/>
        <v>0</v>
      </c>
      <c r="P35" s="19">
        <f>SUMIFS('Data Additive'!$D:$D,'Data Additive'!$P:$P,'Painel Additive'!#REF!,'Data Additive'!$Q:$Q,"&lt;=0",'Data Additive'!$Q:$Q,"&gt;=-30")</f>
        <v>0</v>
      </c>
      <c r="Q35" s="19">
        <f>SUMIFS('Data Additive'!$D:$D,'Data Additive'!$P:$P,'Painel Additive'!#REF!,'Data Additive'!$Q:$Q,"&lt;=-31",'Data Additive'!$Q:$Q,"&gt;=-60")</f>
        <v>0</v>
      </c>
      <c r="R35" s="19">
        <f>SUMIFS('Data Additive'!$D:$D,'Data Additive'!$P:$P,'Painel Additive'!#REF!,'Data Additive'!$Q:$Q,"&lt;=-61",'Data Additive'!$Q:$Q,"&gt;=-90")</f>
        <v>0</v>
      </c>
      <c r="S35" s="19">
        <f>SUMIFS('Data Additive'!$D:$D,'Data Additive'!$P:$P,'Painel Additive'!#REF!,'Data Additive'!$Q:$Q,"&lt;=-91",'Data Additive'!$Q:$Q,"&gt;=-120")</f>
        <v>0</v>
      </c>
      <c r="T35" s="19">
        <f>SUMIFS('Data Additive'!$D:$D,'Data Additive'!$P:$P,'Painel Additive'!#REF!,'Data Additive'!$Q:$Q,"&lt;=-121",'Data Additive'!$Q:$Q,"&gt;=-180")</f>
        <v>0</v>
      </c>
      <c r="U35" s="19">
        <f>SUMIFS('Data Additive'!$D:$D,'Data Additive'!$P:$P,'Painel Additive'!#REF!,'Data Additive'!$Q:$Q,"&lt;=-181",'Data Additive'!$Q:$Q,"&gt;=-360")</f>
        <v>0</v>
      </c>
      <c r="V35" s="23">
        <f>SUMIFS('Data Additive'!$D:$D,'Data Additive'!$P:$P,'Painel Additive'!#REF!,'Data Additive'!$Q:$Q,"&lt;-360")</f>
        <v>0</v>
      </c>
      <c r="W35" s="19" t="e">
        <f>SUMIFS('Bad Debt Provision'!#REF!,'Bad Debt Provision'!#REF!,'Painel Additive'!#REF!)</f>
        <v>#REF!</v>
      </c>
      <c r="X35" s="5"/>
      <c r="Y35" s="20"/>
      <c r="Z35" s="20"/>
      <c r="AA35" s="21"/>
      <c r="AB35" s="5"/>
      <c r="AC35" s="19"/>
      <c r="AD35" s="20"/>
      <c r="AE35" s="22"/>
      <c r="AF35" s="22"/>
      <c r="AG35" s="5"/>
      <c r="AH35" s="28">
        <f t="shared" si="5"/>
        <v>0</v>
      </c>
    </row>
    <row r="36" spans="2:35" x14ac:dyDescent="0.25">
      <c r="B36" s="17" t="s">
        <v>88</v>
      </c>
      <c r="C36" s="93" cm="1">
        <f t="array" ref="C36">IFERROR(INDEX('Limite de crédito'!$D:$D, MATCH(MAX(IF('Limite de crédito'!$C:$C=$B36, 'Limite de crédito'!$A:$A)), 'Limite de crédito'!$A:$A, 0)),"")</f>
        <v>46093</v>
      </c>
      <c r="D36" s="18" t="str" cm="1">
        <f t="array" ref="D36">IFERROR(INDEX('Limite de crédito'!$F:$F, MATCH(MAX(IF('Limite de crédito'!$C:$C=$B36, 'Limite de crédito'!$A:$A)), 'Limite de crédito'!$A:$A, 0)),0)</f>
        <v>Sim</v>
      </c>
      <c r="E36" s="18" t="e">
        <f t="shared" ref="E36:E67" si="6">D36-F36</f>
        <v>#VALUE!</v>
      </c>
      <c r="F36" s="18">
        <f t="shared" ref="F36:F67" si="7">O36+N36</f>
        <v>0</v>
      </c>
      <c r="G36" s="19">
        <f>SUMIFS('Data Additive'!$D:$D,'Data Additive'!$P:$P,'Painel Additive'!#REF!,'Data Additive'!$Q:$Q,"&gt;0",'Data Additive'!$Q:$Q,"&lt;=30")</f>
        <v>0</v>
      </c>
      <c r="H36" s="19">
        <f>SUMIFS('Data Additive'!$D:$D,'Data Additive'!$P:$P,'Painel Additive'!#REF!,'Data Additive'!$Q:$Q,"&gt;30",'Data Additive'!$Q:$Q,"&lt;=60")</f>
        <v>0</v>
      </c>
      <c r="I36" s="19">
        <f>SUMIFS('Data Additive'!$D:$D,'Data Additive'!$P:$P,'Painel Additive'!#REF!,'Data Additive'!$Q:$Q,"&gt;60",'Data Additive'!$Q:$Q,"&lt;=90")</f>
        <v>0</v>
      </c>
      <c r="J36" s="19">
        <f>SUMIFS('Data Additive'!$D:$D,'Data Additive'!$P:$P,'Painel Additive'!#REF!,'Data Additive'!$Q:$Q,"&gt;90",'Data Additive'!$Q:$Q,"&lt;=120")</f>
        <v>0</v>
      </c>
      <c r="K36" s="19">
        <f>SUMIFS('Data Additive'!$D:$D,'Data Additive'!$P:$P,'Painel Additive'!#REF!,'Data Additive'!$Q:$Q,"&gt;120",'Data Additive'!$Q:$Q,"&lt;=180")</f>
        <v>0</v>
      </c>
      <c r="L36" s="19">
        <f>SUMIFS('Data Additive'!$D:$D,'Data Additive'!$P:$P,'Painel Additive'!#REF!,'Data Additive'!$Q:$Q,"&gt;180",'Data Additive'!$Q:$Q,"&lt;=360")</f>
        <v>0</v>
      </c>
      <c r="M36" s="23">
        <f>SUMIFS('Data Additive'!$D:$D,'Data Additive'!$P:$P,'Painel Additive'!#REF!,'Data Additive'!$Q:$Q,"&gt;360")</f>
        <v>0</v>
      </c>
      <c r="N36" s="19">
        <f>SUMIFS('Data Additive'!$D:$D,'Data Additive'!$P:$P,'Painel Additive'!#REF!,'Data Additive'!$Q:$Q,"&gt;0")</f>
        <v>0</v>
      </c>
      <c r="O36" s="19">
        <f t="shared" ref="O36:O67" si="8">SUBTOTAL(9,P36:V36)</f>
        <v>0</v>
      </c>
      <c r="P36" s="19">
        <f>SUMIFS('Data Additive'!$D:$D,'Data Additive'!$P:$P,'Painel Additive'!#REF!,'Data Additive'!$Q:$Q,"&lt;=0",'Data Additive'!$Q:$Q,"&gt;=-30")</f>
        <v>0</v>
      </c>
      <c r="Q36" s="19">
        <f>SUMIFS('Data Additive'!$D:$D,'Data Additive'!$P:$P,'Painel Additive'!#REF!,'Data Additive'!$Q:$Q,"&lt;=-31",'Data Additive'!$Q:$Q,"&gt;=-60")</f>
        <v>0</v>
      </c>
      <c r="R36" s="19">
        <f>SUMIFS('Data Additive'!$D:$D,'Data Additive'!$P:$P,'Painel Additive'!#REF!,'Data Additive'!$Q:$Q,"&lt;=-61",'Data Additive'!$Q:$Q,"&gt;=-90")</f>
        <v>0</v>
      </c>
      <c r="S36" s="19">
        <f>SUMIFS('Data Additive'!$D:$D,'Data Additive'!$P:$P,'Painel Additive'!#REF!,'Data Additive'!$Q:$Q,"&lt;=-91",'Data Additive'!$Q:$Q,"&gt;=-120")</f>
        <v>0</v>
      </c>
      <c r="T36" s="19">
        <f>SUMIFS('Data Additive'!$D:$D,'Data Additive'!$P:$P,'Painel Additive'!#REF!,'Data Additive'!$Q:$Q,"&lt;=-121",'Data Additive'!$Q:$Q,"&gt;=-180")</f>
        <v>0</v>
      </c>
      <c r="U36" s="19">
        <f>SUMIFS('Data Additive'!$D:$D,'Data Additive'!$P:$P,'Painel Additive'!#REF!,'Data Additive'!$Q:$Q,"&lt;=-181",'Data Additive'!$Q:$Q,"&gt;=-360")</f>
        <v>0</v>
      </c>
      <c r="V36" s="23">
        <f>SUMIFS('Data Additive'!$D:$D,'Data Additive'!$P:$P,'Painel Additive'!#REF!,'Data Additive'!$Q:$Q,"&lt;-360")</f>
        <v>0</v>
      </c>
      <c r="W36" s="19" t="e">
        <f>SUMIFS('Bad Debt Provision'!#REF!,'Bad Debt Provision'!#REF!,'Painel Additive'!#REF!)</f>
        <v>#REF!</v>
      </c>
      <c r="X36" s="5"/>
      <c r="Y36" s="20"/>
      <c r="Z36" s="20"/>
      <c r="AA36" s="21"/>
      <c r="AB36" s="5"/>
      <c r="AC36" s="19"/>
      <c r="AD36" s="20"/>
      <c r="AE36" s="22"/>
      <c r="AF36" s="22"/>
      <c r="AG36" s="5"/>
      <c r="AH36" s="28">
        <f t="shared" ref="AH36:AH67" si="9">AC36-F36</f>
        <v>0</v>
      </c>
      <c r="AI36" s="5"/>
    </row>
    <row r="37" spans="2:35" x14ac:dyDescent="0.25">
      <c r="B37" s="17" t="s">
        <v>50</v>
      </c>
      <c r="C37" s="93" cm="1">
        <f t="array" ref="C37">IFERROR(INDEX('Limite de crédito'!$D:$D, MATCH(MAX(IF('Limite de crédito'!$C:$C=$B37, 'Limite de crédito'!$A:$A)), 'Limite de crédito'!$A:$A, 0)),"")</f>
        <v>45980</v>
      </c>
      <c r="D37" s="18" t="str" cm="1">
        <f t="array" ref="D37">IFERROR(INDEX('Limite de crédito'!$F:$F, MATCH(MAX(IF('Limite de crédito'!$C:$C=$B37, 'Limite de crédito'!$A:$A)), 'Limite de crédito'!$A:$A, 0)),0)</f>
        <v>Sim</v>
      </c>
      <c r="E37" s="18" t="e">
        <f t="shared" si="6"/>
        <v>#VALUE!</v>
      </c>
      <c r="F37" s="18">
        <f t="shared" si="7"/>
        <v>0</v>
      </c>
      <c r="G37" s="19">
        <f>SUMIFS('Data Additive'!$D:$D,'Data Additive'!$P:$P,'Painel Additive'!#REF!,'Data Additive'!$Q:$Q,"&gt;0",'Data Additive'!$Q:$Q,"&lt;=30")</f>
        <v>0</v>
      </c>
      <c r="H37" s="19">
        <f>SUMIFS('Data Additive'!$D:$D,'Data Additive'!$P:$P,'Painel Additive'!#REF!,'Data Additive'!$Q:$Q,"&gt;30",'Data Additive'!$Q:$Q,"&lt;=60")</f>
        <v>0</v>
      </c>
      <c r="I37" s="19">
        <f>SUMIFS('Data Additive'!$D:$D,'Data Additive'!$P:$P,'Painel Additive'!#REF!,'Data Additive'!$Q:$Q,"&gt;60",'Data Additive'!$Q:$Q,"&lt;=90")</f>
        <v>0</v>
      </c>
      <c r="J37" s="19">
        <f>SUMIFS('Data Additive'!$D:$D,'Data Additive'!$P:$P,'Painel Additive'!#REF!,'Data Additive'!$Q:$Q,"&gt;90",'Data Additive'!$Q:$Q,"&lt;=120")</f>
        <v>0</v>
      </c>
      <c r="K37" s="19">
        <f>SUMIFS('Data Additive'!$D:$D,'Data Additive'!$P:$P,'Painel Additive'!#REF!,'Data Additive'!$Q:$Q,"&gt;120",'Data Additive'!$Q:$Q,"&lt;=180")</f>
        <v>0</v>
      </c>
      <c r="L37" s="19">
        <f>SUMIFS('Data Additive'!$D:$D,'Data Additive'!$P:$P,'Painel Additive'!#REF!,'Data Additive'!$Q:$Q,"&gt;180",'Data Additive'!$Q:$Q,"&lt;=360")</f>
        <v>0</v>
      </c>
      <c r="M37" s="23">
        <f>SUMIFS('Data Additive'!$D:$D,'Data Additive'!$P:$P,'Painel Additive'!#REF!,'Data Additive'!$Q:$Q,"&gt;360")</f>
        <v>0</v>
      </c>
      <c r="N37" s="19">
        <f>SUMIFS('Data Additive'!$D:$D,'Data Additive'!$P:$P,'Painel Additive'!#REF!,'Data Additive'!$Q:$Q,"&gt;0")</f>
        <v>0</v>
      </c>
      <c r="O37" s="19">
        <f t="shared" si="8"/>
        <v>0</v>
      </c>
      <c r="P37" s="19">
        <f>SUMIFS('Data Additive'!$D:$D,'Data Additive'!$P:$P,'Painel Additive'!#REF!,'Data Additive'!$Q:$Q,"&lt;=0",'Data Additive'!$Q:$Q,"&gt;=-30")</f>
        <v>0</v>
      </c>
      <c r="Q37" s="19">
        <f>SUMIFS('Data Additive'!$D:$D,'Data Additive'!$P:$P,'Painel Additive'!#REF!,'Data Additive'!$Q:$Q,"&lt;=-31",'Data Additive'!$Q:$Q,"&gt;=-60")</f>
        <v>0</v>
      </c>
      <c r="R37" s="19">
        <f>SUMIFS('Data Additive'!$D:$D,'Data Additive'!$P:$P,'Painel Additive'!#REF!,'Data Additive'!$Q:$Q,"&lt;=-61",'Data Additive'!$Q:$Q,"&gt;=-90")</f>
        <v>0</v>
      </c>
      <c r="S37" s="19">
        <f>SUMIFS('Data Additive'!$D:$D,'Data Additive'!$P:$P,'Painel Additive'!#REF!,'Data Additive'!$Q:$Q,"&lt;=-91",'Data Additive'!$Q:$Q,"&gt;=-120")</f>
        <v>0</v>
      </c>
      <c r="T37" s="19">
        <f>SUMIFS('Data Additive'!$D:$D,'Data Additive'!$P:$P,'Painel Additive'!#REF!,'Data Additive'!$Q:$Q,"&lt;=-121",'Data Additive'!$Q:$Q,"&gt;=-180")</f>
        <v>0</v>
      </c>
      <c r="U37" s="19">
        <f>SUMIFS('Data Additive'!$D:$D,'Data Additive'!$P:$P,'Painel Additive'!#REF!,'Data Additive'!$Q:$Q,"&lt;=-181",'Data Additive'!$Q:$Q,"&gt;=-360")</f>
        <v>0</v>
      </c>
      <c r="V37" s="23">
        <f>SUMIFS('Data Additive'!$D:$D,'Data Additive'!$P:$P,'Painel Additive'!#REF!,'Data Additive'!$Q:$Q,"&lt;-360")</f>
        <v>0</v>
      </c>
      <c r="W37" s="19" t="e">
        <f>SUMIFS('Bad Debt Provision'!#REF!,'Bad Debt Provision'!#REF!,'Painel Additive'!#REF!)</f>
        <v>#REF!</v>
      </c>
      <c r="X37" s="5"/>
      <c r="Y37" s="20"/>
      <c r="Z37" s="20"/>
      <c r="AA37" s="21"/>
      <c r="AB37" s="5"/>
      <c r="AC37" s="19"/>
      <c r="AD37" s="20"/>
      <c r="AE37" s="22"/>
      <c r="AF37" s="22"/>
      <c r="AG37" s="5"/>
      <c r="AH37" s="28">
        <f t="shared" si="9"/>
        <v>0</v>
      </c>
      <c r="AI37" s="5"/>
    </row>
    <row r="38" spans="2:35" x14ac:dyDescent="0.25">
      <c r="B38" s="17" t="s">
        <v>152</v>
      </c>
      <c r="C38" s="93" t="str" cm="1">
        <f t="array" ref="C38">IFERROR(INDEX('Limite de crédito'!$D:$D, MATCH(MAX(IF('Limite de crédito'!$C:$C=$B38, 'Limite de crédito'!$A:$A)), 'Limite de crédito'!$A:$A, 0)),"")</f>
        <v/>
      </c>
      <c r="D38" s="18" cm="1">
        <f t="array" ref="D38">IFERROR(INDEX('Limite de crédito'!$F:$F, MATCH(MAX(IF('Limite de crédito'!$C:$C=$B38, 'Limite de crédito'!$A:$A)), 'Limite de crédito'!$A:$A, 0)),0)</f>
        <v>0</v>
      </c>
      <c r="E38" s="18">
        <f t="shared" si="6"/>
        <v>0</v>
      </c>
      <c r="F38" s="18">
        <f t="shared" si="7"/>
        <v>0</v>
      </c>
      <c r="G38" s="19">
        <f>SUMIFS('Data Additive'!$D:$D,'Data Additive'!$P:$P,'Painel Additive'!$B21,'Data Additive'!$Q:$Q,"&gt;0",'Data Additive'!$Q:$Q,"&lt;=30")</f>
        <v>0</v>
      </c>
      <c r="H38" s="19">
        <f>SUMIFS('Data Additive'!$D:$D,'Data Additive'!$P:$P,'Painel Additive'!$B21,'Data Additive'!$Q:$Q,"&gt;30",'Data Additive'!$Q:$Q,"&lt;=60")</f>
        <v>0</v>
      </c>
      <c r="I38" s="19">
        <f>SUMIFS('Data Additive'!$D:$D,'Data Additive'!$P:$P,'Painel Additive'!$B21,'Data Additive'!$Q:$Q,"&gt;60",'Data Additive'!$Q:$Q,"&lt;=90")</f>
        <v>0</v>
      </c>
      <c r="J38" s="19">
        <f>SUMIFS('Data Additive'!$D:$D,'Data Additive'!$P:$P,'Painel Additive'!$B21,'Data Additive'!$Q:$Q,"&gt;90",'Data Additive'!$Q:$Q,"&lt;=120")</f>
        <v>0</v>
      </c>
      <c r="K38" s="19">
        <f>SUMIFS('Data Additive'!$D:$D,'Data Additive'!$P:$P,'Painel Additive'!$B21,'Data Additive'!$Q:$Q,"&gt;120",'Data Additive'!$Q:$Q,"&lt;=180")</f>
        <v>0</v>
      </c>
      <c r="L38" s="19">
        <f>SUMIFS('Data Additive'!$D:$D,'Data Additive'!$P:$P,'Painel Additive'!$B21,'Data Additive'!$Q:$Q,"&gt;180",'Data Additive'!$Q:$Q,"&lt;=360")</f>
        <v>0</v>
      </c>
      <c r="M38" s="23">
        <f>SUMIFS('Data Additive'!$D:$D,'Data Additive'!$P:$P,'Painel Additive'!$B21,'Data Additive'!$Q:$Q,"&gt;360")</f>
        <v>0</v>
      </c>
      <c r="N38" s="19">
        <f>SUMIFS('Data Additive'!$D:$D,'Data Additive'!$P:$P,'Painel Additive'!$B21,'Data Additive'!$Q:$Q,"&gt;0")</f>
        <v>0</v>
      </c>
      <c r="O38" s="19">
        <f t="shared" si="8"/>
        <v>0</v>
      </c>
      <c r="P38" s="19">
        <f>SUMIFS('Data Additive'!$D:$D,'Data Additive'!$P:$P,'Painel Additive'!$B21,'Data Additive'!$Q:$Q,"&lt;=0",'Data Additive'!$Q:$Q,"&gt;=-30")</f>
        <v>0</v>
      </c>
      <c r="Q38" s="19">
        <f>SUMIFS('Data Additive'!$D:$D,'Data Additive'!$P:$P,'Painel Additive'!$B21,'Data Additive'!$Q:$Q,"&lt;=-31",'Data Additive'!$Q:$Q,"&gt;=-60")</f>
        <v>0</v>
      </c>
      <c r="R38" s="19">
        <f>SUMIFS('Data Additive'!$D:$D,'Data Additive'!$P:$P,'Painel Additive'!$B21,'Data Additive'!$Q:$Q,"&lt;=-61",'Data Additive'!$Q:$Q,"&gt;=-90")</f>
        <v>0</v>
      </c>
      <c r="S38" s="19">
        <f>SUMIFS('Data Additive'!$D:$D,'Data Additive'!$P:$P,'Painel Additive'!$B21,'Data Additive'!$Q:$Q,"&lt;=-91",'Data Additive'!$Q:$Q,"&gt;=-120")</f>
        <v>0</v>
      </c>
      <c r="T38" s="19">
        <f>SUMIFS('Data Additive'!$D:$D,'Data Additive'!$P:$P,'Painel Additive'!$B21,'Data Additive'!$Q:$Q,"&lt;=-121",'Data Additive'!$Q:$Q,"&gt;=-180")</f>
        <v>0</v>
      </c>
      <c r="U38" s="19">
        <f>SUMIFS('Data Additive'!$D:$D,'Data Additive'!$P:$P,'Painel Additive'!$B21,'Data Additive'!$Q:$Q,"&lt;=-181",'Data Additive'!$Q:$Q,"&gt;=-360")</f>
        <v>0</v>
      </c>
      <c r="V38" s="23">
        <f>SUMIFS('Data Additive'!$D:$D,'Data Additive'!$P:$P,'Painel Additive'!$B21,'Data Additive'!$Q:$Q,"&lt;-360")</f>
        <v>0</v>
      </c>
      <c r="W38" s="19" t="e">
        <f>SUMIFS('Bad Debt Provision'!#REF!,'Bad Debt Provision'!#REF!,'Painel Additive'!$B21)</f>
        <v>#REF!</v>
      </c>
      <c r="X38" s="5"/>
      <c r="Y38" s="20"/>
      <c r="Z38" s="20"/>
      <c r="AA38" s="21"/>
      <c r="AB38" s="5"/>
      <c r="AC38" s="19"/>
      <c r="AD38" s="20"/>
      <c r="AE38" s="22"/>
      <c r="AF38" s="22"/>
      <c r="AG38" s="5"/>
      <c r="AH38" s="28">
        <f t="shared" si="9"/>
        <v>0</v>
      </c>
      <c r="AI38" s="5"/>
    </row>
    <row r="39" spans="2:35" x14ac:dyDescent="0.25">
      <c r="B39" s="41" t="s">
        <v>332</v>
      </c>
      <c r="C39" s="94" cm="1">
        <f t="array" ref="C39">IFERROR(INDEX('Limite de crédito'!$D:$D, MATCH(MAX(IF('Limite de crédito'!$C:$C=$B39, 'Limite de crédito'!$A:$A)), 'Limite de crédito'!$A:$A, 0)),"")</f>
        <v>45919</v>
      </c>
      <c r="D39" s="18" t="str" cm="1">
        <f t="array" ref="D39">IFERROR(INDEX('Limite de crédito'!$F:$F, MATCH(MAX(IF('Limite de crédito'!$C:$C=$B39, 'Limite de crédito'!$A:$A)), 'Limite de crédito'!$A:$A, 0)),0)</f>
        <v>Sim</v>
      </c>
      <c r="E39" s="18" t="e">
        <f t="shared" si="6"/>
        <v>#VALUE!</v>
      </c>
      <c r="F39" s="18">
        <f t="shared" si="7"/>
        <v>0</v>
      </c>
      <c r="G39" s="19">
        <f>SUMIFS('Data Additive'!$D:$D,'Data Additive'!$P:$P,'Painel Additive'!#REF!,'Data Additive'!$Q:$Q,"&gt;0",'Data Additive'!$Q:$Q,"&lt;=30")</f>
        <v>0</v>
      </c>
      <c r="H39" s="19">
        <f>SUMIFS('Data Additive'!$D:$D,'Data Additive'!$P:$P,'Painel Additive'!#REF!,'Data Additive'!$Q:$Q,"&gt;30",'Data Additive'!$Q:$Q,"&lt;=60")</f>
        <v>0</v>
      </c>
      <c r="I39" s="19">
        <f>SUMIFS('Data Additive'!$D:$D,'Data Additive'!$P:$P,'Painel Additive'!#REF!,'Data Additive'!$Q:$Q,"&gt;60",'Data Additive'!$Q:$Q,"&lt;=90")</f>
        <v>0</v>
      </c>
      <c r="J39" s="19">
        <f>SUMIFS('Data Additive'!$D:$D,'Data Additive'!$P:$P,'Painel Additive'!#REF!,'Data Additive'!$Q:$Q,"&gt;90",'Data Additive'!$Q:$Q,"&lt;=120")</f>
        <v>0</v>
      </c>
      <c r="K39" s="19">
        <f>SUMIFS('Data Additive'!$D:$D,'Data Additive'!$P:$P,'Painel Additive'!#REF!,'Data Additive'!$Q:$Q,"&gt;120",'Data Additive'!$Q:$Q,"&lt;=180")</f>
        <v>0</v>
      </c>
      <c r="L39" s="19">
        <f>SUMIFS('Data Additive'!$D:$D,'Data Additive'!$P:$P,'Painel Additive'!#REF!,'Data Additive'!$Q:$Q,"&gt;180",'Data Additive'!$Q:$Q,"&lt;=360")</f>
        <v>0</v>
      </c>
      <c r="M39" s="23">
        <f>SUMIFS('Data Additive'!$D:$D,'Data Additive'!$P:$P,'Painel Additive'!#REF!,'Data Additive'!$Q:$Q,"&gt;360")</f>
        <v>0</v>
      </c>
      <c r="N39" s="19">
        <f>SUMIFS('Data Additive'!$D:$D,'Data Additive'!$P:$P,'Painel Additive'!#REF!,'Data Additive'!$Q:$Q,"&gt;0")</f>
        <v>0</v>
      </c>
      <c r="O39" s="19">
        <f t="shared" si="8"/>
        <v>0</v>
      </c>
      <c r="P39" s="19">
        <f>SUMIFS('Data Additive'!$D:$D,'Data Additive'!$P:$P,'Painel Additive'!#REF!,'Data Additive'!$Q:$Q,"&lt;=0",'Data Additive'!$Q:$Q,"&gt;=-30")</f>
        <v>0</v>
      </c>
      <c r="Q39" s="19">
        <f>SUMIFS('Data Additive'!$D:$D,'Data Additive'!$P:$P,'Painel Additive'!#REF!,'Data Additive'!$Q:$Q,"&lt;=-31",'Data Additive'!$Q:$Q,"&gt;=-60")</f>
        <v>0</v>
      </c>
      <c r="R39" s="19">
        <f>SUMIFS('Data Additive'!$D:$D,'Data Additive'!$P:$P,'Painel Additive'!#REF!,'Data Additive'!$Q:$Q,"&lt;=-61",'Data Additive'!$Q:$Q,"&gt;=-90")</f>
        <v>0</v>
      </c>
      <c r="S39" s="19">
        <f>SUMIFS('Data Additive'!$D:$D,'Data Additive'!$P:$P,'Painel Additive'!#REF!,'Data Additive'!$Q:$Q,"&lt;=-91",'Data Additive'!$Q:$Q,"&gt;=-120")</f>
        <v>0</v>
      </c>
      <c r="T39" s="19">
        <f>SUMIFS('Data Additive'!$D:$D,'Data Additive'!$P:$P,'Painel Additive'!#REF!,'Data Additive'!$Q:$Q,"&lt;=-121",'Data Additive'!$Q:$Q,"&gt;=-180")</f>
        <v>0</v>
      </c>
      <c r="U39" s="19">
        <f>SUMIFS('Data Additive'!$D:$D,'Data Additive'!$P:$P,'Painel Additive'!#REF!,'Data Additive'!$Q:$Q,"&lt;=-181",'Data Additive'!$Q:$Q,"&gt;=-360")</f>
        <v>0</v>
      </c>
      <c r="V39" s="23">
        <f>SUMIFS('Data Additive'!$D:$D,'Data Additive'!$P:$P,'Painel Additive'!#REF!,'Data Additive'!$Q:$Q,"&lt;-360")</f>
        <v>0</v>
      </c>
      <c r="W39" s="19" t="e">
        <f>SUMIFS('Bad Debt Provision'!#REF!,'Bad Debt Provision'!#REF!,'Painel Additive'!#REF!)</f>
        <v>#REF!</v>
      </c>
      <c r="X39" s="5"/>
      <c r="Y39" s="20"/>
      <c r="Z39" s="20"/>
      <c r="AA39" s="21"/>
      <c r="AB39" s="5"/>
      <c r="AC39" s="19"/>
      <c r="AD39" s="20"/>
      <c r="AE39" s="22"/>
      <c r="AF39" s="22"/>
      <c r="AG39" s="5"/>
      <c r="AH39" s="28">
        <f t="shared" si="9"/>
        <v>0</v>
      </c>
    </row>
    <row r="40" spans="2:35" x14ac:dyDescent="0.25">
      <c r="B40" s="17" t="s">
        <v>289</v>
      </c>
      <c r="C40" s="93" cm="1">
        <f t="array" ref="C40">IFERROR(INDEX('Limite de crédito'!$D:$D, MATCH(MAX(IF('Limite de crédito'!$C:$C=$B40, 'Limite de crédito'!$A:$A)), 'Limite de crédito'!$A:$A, 0)),"")</f>
        <v>45936</v>
      </c>
      <c r="D40" s="18" t="str" cm="1">
        <f t="array" ref="D40">IFERROR(INDEX('Limite de crédito'!$F:$F, MATCH(MAX(IF('Limite de crédito'!$C:$C=$B40, 'Limite de crédito'!$A:$A)), 'Limite de crédito'!$A:$A, 0)),0)</f>
        <v>Sim</v>
      </c>
      <c r="E40" s="18" t="e">
        <f t="shared" si="6"/>
        <v>#VALUE!</v>
      </c>
      <c r="F40" s="18">
        <f t="shared" si="7"/>
        <v>0</v>
      </c>
      <c r="G40" s="19">
        <f>SUMIFS('Data Additive'!$D:$D,'Data Additive'!$P:$P,'Painel Additive'!#REF!,'Data Additive'!$Q:$Q,"&gt;0",'Data Additive'!$Q:$Q,"&lt;=30")</f>
        <v>0</v>
      </c>
      <c r="H40" s="19">
        <f>SUMIFS('Data Additive'!$D:$D,'Data Additive'!$P:$P,'Painel Additive'!#REF!,'Data Additive'!$Q:$Q,"&gt;30",'Data Additive'!$Q:$Q,"&lt;=60")</f>
        <v>0</v>
      </c>
      <c r="I40" s="19">
        <f>SUMIFS('Data Additive'!$D:$D,'Data Additive'!$P:$P,'Painel Additive'!#REF!,'Data Additive'!$Q:$Q,"&gt;60",'Data Additive'!$Q:$Q,"&lt;=90")</f>
        <v>0</v>
      </c>
      <c r="J40" s="19">
        <f>SUMIFS('Data Additive'!$D:$D,'Data Additive'!$P:$P,'Painel Additive'!#REF!,'Data Additive'!$Q:$Q,"&gt;90",'Data Additive'!$Q:$Q,"&lt;=120")</f>
        <v>0</v>
      </c>
      <c r="K40" s="19">
        <f>SUMIFS('Data Additive'!$D:$D,'Data Additive'!$P:$P,'Painel Additive'!#REF!,'Data Additive'!$Q:$Q,"&gt;120",'Data Additive'!$Q:$Q,"&lt;=180")</f>
        <v>0</v>
      </c>
      <c r="L40" s="19">
        <f>SUMIFS('Data Additive'!$D:$D,'Data Additive'!$P:$P,'Painel Additive'!#REF!,'Data Additive'!$Q:$Q,"&gt;180",'Data Additive'!$Q:$Q,"&lt;=360")</f>
        <v>0</v>
      </c>
      <c r="M40" s="23">
        <f>SUMIFS('Data Additive'!$D:$D,'Data Additive'!$P:$P,'Painel Additive'!#REF!,'Data Additive'!$Q:$Q,"&gt;360")</f>
        <v>0</v>
      </c>
      <c r="N40" s="19">
        <f>SUMIFS('Data Additive'!$D:$D,'Data Additive'!$P:$P,'Painel Additive'!#REF!,'Data Additive'!$Q:$Q,"&gt;0")</f>
        <v>0</v>
      </c>
      <c r="O40" s="19">
        <f t="shared" si="8"/>
        <v>0</v>
      </c>
      <c r="P40" s="19">
        <f>SUMIFS('Data Additive'!$D:$D,'Data Additive'!$P:$P,'Painel Additive'!#REF!,'Data Additive'!$Q:$Q,"&lt;=0",'Data Additive'!$Q:$Q,"&gt;=-30")</f>
        <v>0</v>
      </c>
      <c r="Q40" s="19">
        <f>SUMIFS('Data Additive'!$D:$D,'Data Additive'!$P:$P,'Painel Additive'!#REF!,'Data Additive'!$Q:$Q,"&lt;=-31",'Data Additive'!$Q:$Q,"&gt;=-60")</f>
        <v>0</v>
      </c>
      <c r="R40" s="19">
        <f>SUMIFS('Data Additive'!$D:$D,'Data Additive'!$P:$P,'Painel Additive'!#REF!,'Data Additive'!$Q:$Q,"&lt;=-61",'Data Additive'!$Q:$Q,"&gt;=-90")</f>
        <v>0</v>
      </c>
      <c r="S40" s="19">
        <f>SUMIFS('Data Additive'!$D:$D,'Data Additive'!$P:$P,'Painel Additive'!#REF!,'Data Additive'!$Q:$Q,"&lt;=-91",'Data Additive'!$Q:$Q,"&gt;=-120")</f>
        <v>0</v>
      </c>
      <c r="T40" s="19">
        <f>SUMIFS('Data Additive'!$D:$D,'Data Additive'!$P:$P,'Painel Additive'!#REF!,'Data Additive'!$Q:$Q,"&lt;=-121",'Data Additive'!$Q:$Q,"&gt;=-180")</f>
        <v>0</v>
      </c>
      <c r="U40" s="19">
        <f>SUMIFS('Data Additive'!$D:$D,'Data Additive'!$P:$P,'Painel Additive'!#REF!,'Data Additive'!$Q:$Q,"&lt;=-181",'Data Additive'!$Q:$Q,"&gt;=-360")</f>
        <v>0</v>
      </c>
      <c r="V40" s="23">
        <f>SUMIFS('Data Additive'!$D:$D,'Data Additive'!$P:$P,'Painel Additive'!#REF!,'Data Additive'!$Q:$Q,"&lt;-360")</f>
        <v>0</v>
      </c>
      <c r="W40" s="19" t="e">
        <f>SUMIFS('Bad Debt Provision'!#REF!,'Bad Debt Provision'!#REF!,'Painel Additive'!#REF!)</f>
        <v>#REF!</v>
      </c>
      <c r="X40" s="5"/>
      <c r="Y40" s="20"/>
      <c r="Z40" s="20"/>
      <c r="AA40" s="21"/>
      <c r="AB40" s="5"/>
      <c r="AC40" s="19"/>
      <c r="AD40" s="20"/>
      <c r="AE40" s="22"/>
      <c r="AF40" s="22"/>
      <c r="AG40" s="5"/>
      <c r="AH40" s="28">
        <f t="shared" si="9"/>
        <v>0</v>
      </c>
    </row>
    <row r="41" spans="2:35" x14ac:dyDescent="0.25">
      <c r="B41" s="17" t="s">
        <v>257</v>
      </c>
      <c r="C41" s="93" cm="1">
        <f t="array" ref="C41">IFERROR(INDEX('Limite de crédito'!$D:$D, MATCH(MAX(IF('Limite de crédito'!$C:$C=$B41, 'Limite de crédito'!$A:$A)), 'Limite de crédito'!$A:$A, 0)),"")</f>
        <v>45799</v>
      </c>
      <c r="D41" s="18" t="str" cm="1">
        <f t="array" ref="D41">IFERROR(INDEX('Limite de crédito'!$F:$F, MATCH(MAX(IF('Limite de crédito'!$C:$C=$B41, 'Limite de crédito'!$A:$A)), 'Limite de crédito'!$A:$A, 0)),0)</f>
        <v>Sim</v>
      </c>
      <c r="E41" s="18" t="e">
        <f t="shared" si="6"/>
        <v>#VALUE!</v>
      </c>
      <c r="F41" s="18">
        <f t="shared" si="7"/>
        <v>0</v>
      </c>
      <c r="G41" s="19">
        <f>SUMIFS('Data Additive'!$D:$D,'Data Additive'!$P:$P,'Painel Additive'!#REF!,'Data Additive'!$Q:$Q,"&gt;0",'Data Additive'!$Q:$Q,"&lt;=30")</f>
        <v>0</v>
      </c>
      <c r="H41" s="19">
        <f>SUMIFS('Data Additive'!$D:$D,'Data Additive'!$P:$P,'Painel Additive'!#REF!,'Data Additive'!$Q:$Q,"&gt;30",'Data Additive'!$Q:$Q,"&lt;=60")</f>
        <v>0</v>
      </c>
      <c r="I41" s="19">
        <f>SUMIFS('Data Additive'!$D:$D,'Data Additive'!$P:$P,'Painel Additive'!#REF!,'Data Additive'!$Q:$Q,"&gt;60",'Data Additive'!$Q:$Q,"&lt;=90")</f>
        <v>0</v>
      </c>
      <c r="J41" s="19">
        <f>SUMIFS('Data Additive'!$D:$D,'Data Additive'!$P:$P,'Painel Additive'!#REF!,'Data Additive'!$Q:$Q,"&gt;90",'Data Additive'!$Q:$Q,"&lt;=120")</f>
        <v>0</v>
      </c>
      <c r="K41" s="19">
        <f>SUMIFS('Data Additive'!$D:$D,'Data Additive'!$P:$P,'Painel Additive'!#REF!,'Data Additive'!$Q:$Q,"&gt;120",'Data Additive'!$Q:$Q,"&lt;=180")</f>
        <v>0</v>
      </c>
      <c r="L41" s="19">
        <f>SUMIFS('Data Additive'!$D:$D,'Data Additive'!$P:$P,'Painel Additive'!#REF!,'Data Additive'!$Q:$Q,"&gt;180",'Data Additive'!$Q:$Q,"&lt;=360")</f>
        <v>0</v>
      </c>
      <c r="M41" s="23">
        <f>SUMIFS('Data Additive'!$D:$D,'Data Additive'!$P:$P,'Painel Additive'!#REF!,'Data Additive'!$Q:$Q,"&gt;360")</f>
        <v>0</v>
      </c>
      <c r="N41" s="19">
        <f>SUMIFS('Data Additive'!$D:$D,'Data Additive'!$P:$P,'Painel Additive'!#REF!,'Data Additive'!$Q:$Q,"&gt;0")</f>
        <v>0</v>
      </c>
      <c r="O41" s="19">
        <f t="shared" si="8"/>
        <v>0</v>
      </c>
      <c r="P41" s="19">
        <f>SUMIFS('Data Additive'!$D:$D,'Data Additive'!$P:$P,'Painel Additive'!#REF!,'Data Additive'!$Q:$Q,"&lt;=0",'Data Additive'!$Q:$Q,"&gt;=-30")</f>
        <v>0</v>
      </c>
      <c r="Q41" s="19">
        <f>SUMIFS('Data Additive'!$D:$D,'Data Additive'!$P:$P,'Painel Additive'!#REF!,'Data Additive'!$Q:$Q,"&lt;=-31",'Data Additive'!$Q:$Q,"&gt;=-60")</f>
        <v>0</v>
      </c>
      <c r="R41" s="19">
        <f>SUMIFS('Data Additive'!$D:$D,'Data Additive'!$P:$P,'Painel Additive'!#REF!,'Data Additive'!$Q:$Q,"&lt;=-61",'Data Additive'!$Q:$Q,"&gt;=-90")</f>
        <v>0</v>
      </c>
      <c r="S41" s="19">
        <f>SUMIFS('Data Additive'!$D:$D,'Data Additive'!$P:$P,'Painel Additive'!#REF!,'Data Additive'!$Q:$Q,"&lt;=-91",'Data Additive'!$Q:$Q,"&gt;=-120")</f>
        <v>0</v>
      </c>
      <c r="T41" s="19">
        <f>SUMIFS('Data Additive'!$D:$D,'Data Additive'!$P:$P,'Painel Additive'!#REF!,'Data Additive'!$Q:$Q,"&lt;=-121",'Data Additive'!$Q:$Q,"&gt;=-180")</f>
        <v>0</v>
      </c>
      <c r="U41" s="19">
        <f>SUMIFS('Data Additive'!$D:$D,'Data Additive'!$P:$P,'Painel Additive'!#REF!,'Data Additive'!$Q:$Q,"&lt;=-181",'Data Additive'!$Q:$Q,"&gt;=-360")</f>
        <v>0</v>
      </c>
      <c r="V41" s="23">
        <f>SUMIFS('Data Additive'!$D:$D,'Data Additive'!$P:$P,'Painel Additive'!#REF!,'Data Additive'!$Q:$Q,"&lt;-360")</f>
        <v>0</v>
      </c>
      <c r="W41" s="19" t="e">
        <f>SUMIFS('Bad Debt Provision'!#REF!,'Bad Debt Provision'!#REF!,'Painel Additive'!#REF!)</f>
        <v>#REF!</v>
      </c>
      <c r="X41" s="5"/>
      <c r="Y41" s="20"/>
      <c r="Z41" s="20"/>
      <c r="AA41" s="21"/>
      <c r="AB41" s="5"/>
      <c r="AC41" s="19"/>
      <c r="AD41" s="20"/>
      <c r="AE41" s="22"/>
      <c r="AF41" s="22"/>
      <c r="AG41" s="5"/>
      <c r="AH41" s="28">
        <f t="shared" si="9"/>
        <v>0</v>
      </c>
    </row>
    <row r="42" spans="2:35" x14ac:dyDescent="0.25">
      <c r="B42" s="17" t="s">
        <v>153</v>
      </c>
      <c r="C42" s="93" t="str" cm="1">
        <f t="array" ref="C42">IFERROR(INDEX('Limite de crédito'!$D:$D, MATCH(MAX(IF('Limite de crédito'!$C:$C=$B42, 'Limite de crédito'!$A:$A)), 'Limite de crédito'!$A:$A, 0)),"")</f>
        <v/>
      </c>
      <c r="D42" s="18" cm="1">
        <f t="array" ref="D42">IFERROR(INDEX('Limite de crédito'!$F:$F, MATCH(MAX(IF('Limite de crédito'!$C:$C=$B42, 'Limite de crédito'!$A:$A)), 'Limite de crédito'!$A:$A, 0)),0)</f>
        <v>0</v>
      </c>
      <c r="E42" s="18">
        <f t="shared" si="6"/>
        <v>0</v>
      </c>
      <c r="F42" s="18">
        <f t="shared" si="7"/>
        <v>0</v>
      </c>
      <c r="G42" s="19">
        <f>SUMIFS('Data Additive'!$D:$D,'Data Additive'!$P:$P,'Painel Additive'!#REF!,'Data Additive'!$Q:$Q,"&gt;0",'Data Additive'!$Q:$Q,"&lt;=30")</f>
        <v>0</v>
      </c>
      <c r="H42" s="19">
        <f>SUMIFS('Data Additive'!$D:$D,'Data Additive'!$P:$P,'Painel Additive'!#REF!,'Data Additive'!$Q:$Q,"&gt;30",'Data Additive'!$Q:$Q,"&lt;=60")</f>
        <v>0</v>
      </c>
      <c r="I42" s="19">
        <f>SUMIFS('Data Additive'!$D:$D,'Data Additive'!$P:$P,'Painel Additive'!#REF!,'Data Additive'!$Q:$Q,"&gt;60",'Data Additive'!$Q:$Q,"&lt;=90")</f>
        <v>0</v>
      </c>
      <c r="J42" s="19">
        <f>SUMIFS('Data Additive'!$D:$D,'Data Additive'!$P:$P,'Painel Additive'!#REF!,'Data Additive'!$Q:$Q,"&gt;90",'Data Additive'!$Q:$Q,"&lt;=120")</f>
        <v>0</v>
      </c>
      <c r="K42" s="19">
        <f>SUMIFS('Data Additive'!$D:$D,'Data Additive'!$P:$P,'Painel Additive'!#REF!,'Data Additive'!$Q:$Q,"&gt;120",'Data Additive'!$Q:$Q,"&lt;=180")</f>
        <v>0</v>
      </c>
      <c r="L42" s="19">
        <f>SUMIFS('Data Additive'!$D:$D,'Data Additive'!$P:$P,'Painel Additive'!#REF!,'Data Additive'!$Q:$Q,"&gt;180",'Data Additive'!$Q:$Q,"&lt;=360")</f>
        <v>0</v>
      </c>
      <c r="M42" s="23">
        <f>SUMIFS('Data Additive'!$D:$D,'Data Additive'!$P:$P,'Painel Additive'!#REF!,'Data Additive'!$Q:$Q,"&gt;360")</f>
        <v>0</v>
      </c>
      <c r="N42" s="19">
        <f>SUMIFS('Data Additive'!$D:$D,'Data Additive'!$P:$P,'Painel Additive'!#REF!,'Data Additive'!$Q:$Q,"&gt;0")</f>
        <v>0</v>
      </c>
      <c r="O42" s="19">
        <f t="shared" si="8"/>
        <v>0</v>
      </c>
      <c r="P42" s="19">
        <f>SUMIFS('Data Additive'!$D:$D,'Data Additive'!$P:$P,'Painel Additive'!#REF!,'Data Additive'!$Q:$Q,"&lt;=0",'Data Additive'!$Q:$Q,"&gt;=-30")</f>
        <v>0</v>
      </c>
      <c r="Q42" s="19">
        <f>SUMIFS('Data Additive'!$D:$D,'Data Additive'!$P:$P,'Painel Additive'!#REF!,'Data Additive'!$Q:$Q,"&lt;=-31",'Data Additive'!$Q:$Q,"&gt;=-60")</f>
        <v>0</v>
      </c>
      <c r="R42" s="19">
        <f>SUMIFS('Data Additive'!$D:$D,'Data Additive'!$P:$P,'Painel Additive'!#REF!,'Data Additive'!$Q:$Q,"&lt;=-61",'Data Additive'!$Q:$Q,"&gt;=-90")</f>
        <v>0</v>
      </c>
      <c r="S42" s="19">
        <f>SUMIFS('Data Additive'!$D:$D,'Data Additive'!$P:$P,'Painel Additive'!#REF!,'Data Additive'!$Q:$Q,"&lt;=-91",'Data Additive'!$Q:$Q,"&gt;=-120")</f>
        <v>0</v>
      </c>
      <c r="T42" s="19">
        <f>SUMIFS('Data Additive'!$D:$D,'Data Additive'!$P:$P,'Painel Additive'!#REF!,'Data Additive'!$Q:$Q,"&lt;=-121",'Data Additive'!$Q:$Q,"&gt;=-180")</f>
        <v>0</v>
      </c>
      <c r="U42" s="19">
        <f>SUMIFS('Data Additive'!$D:$D,'Data Additive'!$P:$P,'Painel Additive'!#REF!,'Data Additive'!$Q:$Q,"&lt;=-181",'Data Additive'!$Q:$Q,"&gt;=-360")</f>
        <v>0</v>
      </c>
      <c r="V42" s="23">
        <f>SUMIFS('Data Additive'!$D:$D,'Data Additive'!$P:$P,'Painel Additive'!#REF!,'Data Additive'!$Q:$Q,"&lt;-360")</f>
        <v>0</v>
      </c>
      <c r="W42" s="19" t="e">
        <f>SUMIFS('Bad Debt Provision'!#REF!,'Bad Debt Provision'!#REF!,'Painel Additive'!#REF!)</f>
        <v>#REF!</v>
      </c>
      <c r="X42" s="5"/>
      <c r="Y42" s="20"/>
      <c r="Z42" s="20"/>
      <c r="AA42" s="21"/>
      <c r="AB42" s="5"/>
      <c r="AC42" s="19"/>
      <c r="AD42" s="20"/>
      <c r="AE42" s="22"/>
      <c r="AF42" s="22"/>
      <c r="AG42" s="5"/>
      <c r="AH42" s="28">
        <f t="shared" si="9"/>
        <v>0</v>
      </c>
      <c r="AI42" s="5"/>
    </row>
    <row r="43" spans="2:35" x14ac:dyDescent="0.25">
      <c r="B43" s="41" t="s">
        <v>420</v>
      </c>
      <c r="C43" s="94" cm="1">
        <f t="array" ref="C43">IFERROR(INDEX('Limite de crédito'!$D:$D, MATCH(MAX(IF('Limite de crédito'!$C:$C=$B43, 'Limite de crédito'!$A:$A)), 'Limite de crédito'!$A:$A, 0)),"")</f>
        <v>45804</v>
      </c>
      <c r="D43" s="18" t="str" cm="1">
        <f t="array" ref="D43">IFERROR(INDEX('Limite de crédito'!$F:$F, MATCH(MAX(IF('Limite de crédito'!$C:$C=$B43, 'Limite de crédito'!$A:$A)), 'Limite de crédito'!$A:$A, 0)),0)</f>
        <v>Sim</v>
      </c>
      <c r="E43" s="18" t="e">
        <f t="shared" si="6"/>
        <v>#VALUE!</v>
      </c>
      <c r="F43" s="18">
        <f t="shared" si="7"/>
        <v>0</v>
      </c>
      <c r="G43" s="19">
        <f>SUMIFS('Data Additive'!$D:$D,'Data Additive'!$P:$P,'Painel Additive'!#REF!,'Data Additive'!$Q:$Q,"&gt;0",'Data Additive'!$Q:$Q,"&lt;=30")</f>
        <v>0</v>
      </c>
      <c r="H43" s="19">
        <f>SUMIFS('Data Additive'!$D:$D,'Data Additive'!$P:$P,'Painel Additive'!#REF!,'Data Additive'!$Q:$Q,"&gt;30",'Data Additive'!$Q:$Q,"&lt;=60")</f>
        <v>0</v>
      </c>
      <c r="I43" s="19">
        <f>SUMIFS('Data Additive'!$D:$D,'Data Additive'!$P:$P,'Painel Additive'!#REF!,'Data Additive'!$Q:$Q,"&gt;60",'Data Additive'!$Q:$Q,"&lt;=90")</f>
        <v>0</v>
      </c>
      <c r="J43" s="19">
        <f>SUMIFS('Data Additive'!$D:$D,'Data Additive'!$P:$P,'Painel Additive'!#REF!,'Data Additive'!$Q:$Q,"&gt;90",'Data Additive'!$Q:$Q,"&lt;=120")</f>
        <v>0</v>
      </c>
      <c r="K43" s="19">
        <f>SUMIFS('Data Additive'!$D:$D,'Data Additive'!$P:$P,'Painel Additive'!#REF!,'Data Additive'!$Q:$Q,"&gt;120",'Data Additive'!$Q:$Q,"&lt;=180")</f>
        <v>0</v>
      </c>
      <c r="L43" s="19">
        <f>SUMIFS('Data Additive'!$D:$D,'Data Additive'!$P:$P,'Painel Additive'!#REF!,'Data Additive'!$Q:$Q,"&gt;180",'Data Additive'!$Q:$Q,"&lt;=360")</f>
        <v>0</v>
      </c>
      <c r="M43" s="23">
        <f>SUMIFS('Data Additive'!$D:$D,'Data Additive'!$P:$P,'Painel Additive'!#REF!,'Data Additive'!$Q:$Q,"&gt;360")</f>
        <v>0</v>
      </c>
      <c r="N43" s="19">
        <f>SUMIFS('Data Additive'!$D:$D,'Data Additive'!$P:$P,'Painel Additive'!#REF!,'Data Additive'!$Q:$Q,"&gt;0")</f>
        <v>0</v>
      </c>
      <c r="O43" s="19">
        <f t="shared" si="8"/>
        <v>0</v>
      </c>
      <c r="P43" s="19">
        <f>SUMIFS('Data Additive'!$D:$D,'Data Additive'!$P:$P,'Painel Additive'!#REF!,'Data Additive'!$Q:$Q,"&lt;=0",'Data Additive'!$Q:$Q,"&gt;=-30")</f>
        <v>0</v>
      </c>
      <c r="Q43" s="19">
        <f>SUMIFS('Data Additive'!$D:$D,'Data Additive'!$P:$P,'Painel Additive'!#REF!,'Data Additive'!$Q:$Q,"&lt;=-31",'Data Additive'!$Q:$Q,"&gt;=-60")</f>
        <v>0</v>
      </c>
      <c r="R43" s="19">
        <f>SUMIFS('Data Additive'!$D:$D,'Data Additive'!$P:$P,'Painel Additive'!#REF!,'Data Additive'!$Q:$Q,"&lt;=-61",'Data Additive'!$Q:$Q,"&gt;=-90")</f>
        <v>0</v>
      </c>
      <c r="S43" s="19">
        <f>SUMIFS('Data Additive'!$D:$D,'Data Additive'!$P:$P,'Painel Additive'!#REF!,'Data Additive'!$Q:$Q,"&lt;=-91",'Data Additive'!$Q:$Q,"&gt;=-120")</f>
        <v>0</v>
      </c>
      <c r="T43" s="19">
        <f>SUMIFS('Data Additive'!$D:$D,'Data Additive'!$P:$P,'Painel Additive'!#REF!,'Data Additive'!$Q:$Q,"&lt;=-121",'Data Additive'!$Q:$Q,"&gt;=-180")</f>
        <v>0</v>
      </c>
      <c r="U43" s="19">
        <f>SUMIFS('Data Additive'!$D:$D,'Data Additive'!$P:$P,'Painel Additive'!#REF!,'Data Additive'!$Q:$Q,"&lt;=-181",'Data Additive'!$Q:$Q,"&gt;=-360")</f>
        <v>0</v>
      </c>
      <c r="V43" s="23">
        <f>SUMIFS('Data Additive'!$D:$D,'Data Additive'!$P:$P,'Painel Additive'!#REF!,'Data Additive'!$Q:$Q,"&lt;-360")</f>
        <v>0</v>
      </c>
      <c r="W43" s="19" t="e">
        <f>SUMIFS('Bad Debt Provision'!#REF!,'Bad Debt Provision'!#REF!,'Painel Additive'!#REF!)</f>
        <v>#REF!</v>
      </c>
      <c r="X43" s="5"/>
      <c r="Y43" s="20"/>
      <c r="Z43" s="20"/>
      <c r="AA43" s="21"/>
      <c r="AB43" s="5"/>
      <c r="AC43" s="19"/>
      <c r="AD43" s="20"/>
      <c r="AE43" s="22"/>
      <c r="AF43" s="22"/>
      <c r="AG43" s="5"/>
      <c r="AH43" s="28">
        <f t="shared" si="9"/>
        <v>0</v>
      </c>
    </row>
    <row r="44" spans="2:35" x14ac:dyDescent="0.25">
      <c r="B44" s="17" t="s">
        <v>90</v>
      </c>
      <c r="C44" s="93" t="str" cm="1">
        <f t="array" ref="C44">IFERROR(INDEX('Limite de crédito'!$D:$D, MATCH(MAX(IF('Limite de crédito'!$C:$C=$B44, 'Limite de crédito'!$A:$A)), 'Limite de crédito'!$A:$A, 0)),"")</f>
        <v/>
      </c>
      <c r="D44" s="18" cm="1">
        <f t="array" ref="D44">IFERROR(INDEX('Limite de crédito'!$F:$F, MATCH(MAX(IF('Limite de crédito'!$C:$C=$B44, 'Limite de crédito'!$A:$A)), 'Limite de crédito'!$A:$A, 0)),0)</f>
        <v>0</v>
      </c>
      <c r="E44" s="18">
        <f t="shared" si="6"/>
        <v>0</v>
      </c>
      <c r="F44" s="18">
        <f t="shared" si="7"/>
        <v>0</v>
      </c>
      <c r="G44" s="19">
        <f>SUMIFS('Data Additive'!$D:$D,'Data Additive'!$P:$P,'Painel Additive'!$B38,'Data Additive'!$Q:$Q,"&gt;0",'Data Additive'!$Q:$Q,"&lt;=30")</f>
        <v>0</v>
      </c>
      <c r="H44" s="19">
        <f>SUMIFS('Data Additive'!$D:$D,'Data Additive'!$P:$P,'Painel Additive'!$B38,'Data Additive'!$Q:$Q,"&gt;30",'Data Additive'!$Q:$Q,"&lt;=60")</f>
        <v>0</v>
      </c>
      <c r="I44" s="19">
        <f>SUMIFS('Data Additive'!$D:$D,'Data Additive'!$P:$P,'Painel Additive'!$B38,'Data Additive'!$Q:$Q,"&gt;60",'Data Additive'!$Q:$Q,"&lt;=90")</f>
        <v>0</v>
      </c>
      <c r="J44" s="19">
        <f>SUMIFS('Data Additive'!$D:$D,'Data Additive'!$P:$P,'Painel Additive'!$B38,'Data Additive'!$Q:$Q,"&gt;90",'Data Additive'!$Q:$Q,"&lt;=120")</f>
        <v>0</v>
      </c>
      <c r="K44" s="19">
        <f>SUMIFS('Data Additive'!$D:$D,'Data Additive'!$P:$P,'Painel Additive'!$B38,'Data Additive'!$Q:$Q,"&gt;120",'Data Additive'!$Q:$Q,"&lt;=180")</f>
        <v>0</v>
      </c>
      <c r="L44" s="19">
        <f>SUMIFS('Data Additive'!$D:$D,'Data Additive'!$P:$P,'Painel Additive'!$B38,'Data Additive'!$Q:$Q,"&gt;180",'Data Additive'!$Q:$Q,"&lt;=360")</f>
        <v>0</v>
      </c>
      <c r="M44" s="23">
        <f>SUMIFS('Data Additive'!$D:$D,'Data Additive'!$P:$P,'Painel Additive'!$B38,'Data Additive'!$Q:$Q,"&gt;360")</f>
        <v>0</v>
      </c>
      <c r="N44" s="19">
        <f>SUMIFS('Data Additive'!$D:$D,'Data Additive'!$P:$P,'Painel Additive'!$B38,'Data Additive'!$Q:$Q,"&gt;0")</f>
        <v>0</v>
      </c>
      <c r="O44" s="19">
        <f t="shared" si="8"/>
        <v>0</v>
      </c>
      <c r="P44" s="19">
        <f>SUMIFS('Data Additive'!$D:$D,'Data Additive'!$P:$P,'Painel Additive'!$B38,'Data Additive'!$Q:$Q,"&lt;=0",'Data Additive'!$Q:$Q,"&gt;=-30")</f>
        <v>0</v>
      </c>
      <c r="Q44" s="19">
        <f>SUMIFS('Data Additive'!$D:$D,'Data Additive'!$P:$P,'Painel Additive'!$B38,'Data Additive'!$Q:$Q,"&lt;=-31",'Data Additive'!$Q:$Q,"&gt;=-60")</f>
        <v>0</v>
      </c>
      <c r="R44" s="19">
        <f>SUMIFS('Data Additive'!$D:$D,'Data Additive'!$P:$P,'Painel Additive'!$B38,'Data Additive'!$Q:$Q,"&lt;=-61",'Data Additive'!$Q:$Q,"&gt;=-90")</f>
        <v>0</v>
      </c>
      <c r="S44" s="19">
        <f>SUMIFS('Data Additive'!$D:$D,'Data Additive'!$P:$P,'Painel Additive'!$B38,'Data Additive'!$Q:$Q,"&lt;=-91",'Data Additive'!$Q:$Q,"&gt;=-120")</f>
        <v>0</v>
      </c>
      <c r="T44" s="19">
        <f>SUMIFS('Data Additive'!$D:$D,'Data Additive'!$P:$P,'Painel Additive'!$B38,'Data Additive'!$Q:$Q,"&lt;=-121",'Data Additive'!$Q:$Q,"&gt;=-180")</f>
        <v>0</v>
      </c>
      <c r="U44" s="19">
        <f>SUMIFS('Data Additive'!$D:$D,'Data Additive'!$P:$P,'Painel Additive'!$B38,'Data Additive'!$Q:$Q,"&lt;=-181",'Data Additive'!$Q:$Q,"&gt;=-360")</f>
        <v>0</v>
      </c>
      <c r="V44" s="23">
        <f>SUMIFS('Data Additive'!$D:$D,'Data Additive'!$P:$P,'Painel Additive'!$B38,'Data Additive'!$Q:$Q,"&lt;-360")</f>
        <v>0</v>
      </c>
      <c r="W44" s="19" t="e">
        <f>SUMIFS('Bad Debt Provision'!#REF!,'Bad Debt Provision'!#REF!,'Painel Additive'!$B38)</f>
        <v>#REF!</v>
      </c>
      <c r="X44" s="5"/>
      <c r="Y44" s="20"/>
      <c r="Z44" s="20"/>
      <c r="AA44" s="21"/>
      <c r="AB44" s="5"/>
      <c r="AC44" s="19"/>
      <c r="AD44" s="20"/>
      <c r="AE44" s="22"/>
      <c r="AF44" s="22"/>
      <c r="AG44" s="5"/>
      <c r="AH44" s="28">
        <f t="shared" si="9"/>
        <v>0</v>
      </c>
      <c r="AI44" s="5"/>
    </row>
    <row r="45" spans="2:35" x14ac:dyDescent="0.25">
      <c r="B45" s="17" t="s">
        <v>85</v>
      </c>
      <c r="C45" s="93" t="str" cm="1">
        <f t="array" ref="C45">IFERROR(INDEX('Limite de crédito'!$D:$D, MATCH(MAX(IF('Limite de crédito'!$C:$C=$B45, 'Limite de crédito'!$A:$A)), 'Limite de crédito'!$A:$A, 0)),"")</f>
        <v/>
      </c>
      <c r="D45" s="18" cm="1">
        <f t="array" ref="D45">IFERROR(INDEX('Limite de crédito'!$F:$F, MATCH(MAX(IF('Limite de crédito'!$C:$C=$B45, 'Limite de crédito'!$A:$A)), 'Limite de crédito'!$A:$A, 0)),0)</f>
        <v>0</v>
      </c>
      <c r="E45" s="18">
        <f t="shared" si="6"/>
        <v>0</v>
      </c>
      <c r="F45" s="18">
        <f t="shared" si="7"/>
        <v>0</v>
      </c>
      <c r="G45" s="19">
        <f>SUMIFS('Data Additive'!$D:$D,'Data Additive'!$P:$P,'Painel Additive'!$B34,'Data Additive'!$Q:$Q,"&gt;0",'Data Additive'!$Q:$Q,"&lt;=30")</f>
        <v>0</v>
      </c>
      <c r="H45" s="19">
        <f>SUMIFS('Data Additive'!$D:$D,'Data Additive'!$P:$P,'Painel Additive'!$B34,'Data Additive'!$Q:$Q,"&gt;30",'Data Additive'!$Q:$Q,"&lt;=60")</f>
        <v>0</v>
      </c>
      <c r="I45" s="19">
        <f>SUMIFS('Data Additive'!$D:$D,'Data Additive'!$P:$P,'Painel Additive'!$B34,'Data Additive'!$Q:$Q,"&gt;60",'Data Additive'!$Q:$Q,"&lt;=90")</f>
        <v>0</v>
      </c>
      <c r="J45" s="19">
        <f>SUMIFS('Data Additive'!$D:$D,'Data Additive'!$P:$P,'Painel Additive'!$B34,'Data Additive'!$Q:$Q,"&gt;90",'Data Additive'!$Q:$Q,"&lt;=120")</f>
        <v>0</v>
      </c>
      <c r="K45" s="19">
        <f>SUMIFS('Data Additive'!$D:$D,'Data Additive'!$P:$P,'Painel Additive'!$B34,'Data Additive'!$Q:$Q,"&gt;120",'Data Additive'!$Q:$Q,"&lt;=180")</f>
        <v>0</v>
      </c>
      <c r="L45" s="19">
        <f>SUMIFS('Data Additive'!$D:$D,'Data Additive'!$P:$P,'Painel Additive'!$B34,'Data Additive'!$Q:$Q,"&gt;180",'Data Additive'!$Q:$Q,"&lt;=360")</f>
        <v>0</v>
      </c>
      <c r="M45" s="23">
        <f>SUMIFS('Data Additive'!$D:$D,'Data Additive'!$P:$P,'Painel Additive'!$B34,'Data Additive'!$Q:$Q,"&gt;360")</f>
        <v>0</v>
      </c>
      <c r="N45" s="19">
        <f>SUMIFS('Data Additive'!$D:$D,'Data Additive'!$P:$P,'Painel Additive'!$B34,'Data Additive'!$Q:$Q,"&gt;0")</f>
        <v>0</v>
      </c>
      <c r="O45" s="19">
        <f t="shared" si="8"/>
        <v>0</v>
      </c>
      <c r="P45" s="19">
        <f>SUMIFS('Data Additive'!$D:$D,'Data Additive'!$P:$P,'Painel Additive'!$B34,'Data Additive'!$Q:$Q,"&lt;=0",'Data Additive'!$Q:$Q,"&gt;=-30")</f>
        <v>0</v>
      </c>
      <c r="Q45" s="19">
        <f>SUMIFS('Data Additive'!$D:$D,'Data Additive'!$P:$P,'Painel Additive'!$B34,'Data Additive'!$Q:$Q,"&lt;=-31",'Data Additive'!$Q:$Q,"&gt;=-60")</f>
        <v>0</v>
      </c>
      <c r="R45" s="19">
        <f>SUMIFS('Data Additive'!$D:$D,'Data Additive'!$P:$P,'Painel Additive'!$B34,'Data Additive'!$Q:$Q,"&lt;=-61",'Data Additive'!$Q:$Q,"&gt;=-90")</f>
        <v>0</v>
      </c>
      <c r="S45" s="19">
        <f>SUMIFS('Data Additive'!$D:$D,'Data Additive'!$P:$P,'Painel Additive'!$B34,'Data Additive'!$Q:$Q,"&lt;=-91",'Data Additive'!$Q:$Q,"&gt;=-120")</f>
        <v>0</v>
      </c>
      <c r="T45" s="19">
        <f>SUMIFS('Data Additive'!$D:$D,'Data Additive'!$P:$P,'Painel Additive'!$B34,'Data Additive'!$Q:$Q,"&lt;=-121",'Data Additive'!$Q:$Q,"&gt;=-180")</f>
        <v>0</v>
      </c>
      <c r="U45" s="19">
        <f>SUMIFS('Data Additive'!$D:$D,'Data Additive'!$P:$P,'Painel Additive'!$B34,'Data Additive'!$Q:$Q,"&lt;=-181",'Data Additive'!$Q:$Q,"&gt;=-360")</f>
        <v>0</v>
      </c>
      <c r="V45" s="23">
        <f>SUMIFS('Data Additive'!$D:$D,'Data Additive'!$P:$P,'Painel Additive'!$B34,'Data Additive'!$Q:$Q,"&lt;-360")</f>
        <v>0</v>
      </c>
      <c r="W45" s="19" t="e">
        <f>SUMIFS('Bad Debt Provision'!#REF!,'Bad Debt Provision'!#REF!,'Painel Additive'!$B34)</f>
        <v>#REF!</v>
      </c>
      <c r="X45" s="5"/>
      <c r="Y45" s="20"/>
      <c r="Z45" s="20"/>
      <c r="AA45" s="21"/>
      <c r="AB45" s="5"/>
      <c r="AC45" s="19"/>
      <c r="AD45" s="20"/>
      <c r="AE45" s="22"/>
      <c r="AF45" s="22"/>
      <c r="AG45" s="5"/>
      <c r="AH45" s="28">
        <f t="shared" si="9"/>
        <v>0</v>
      </c>
      <c r="AI45" s="5"/>
    </row>
    <row r="46" spans="2:35" x14ac:dyDescent="0.25">
      <c r="B46" s="17" t="s">
        <v>145</v>
      </c>
      <c r="C46" s="93" t="str" cm="1">
        <f t="array" ref="C46">IFERROR(INDEX('Limite de crédito'!$D:$D, MATCH(MAX(IF('Limite de crédito'!$C:$C=$B46, 'Limite de crédito'!$A:$A)), 'Limite de crédito'!$A:$A, 0)),"")</f>
        <v/>
      </c>
      <c r="D46" s="18" cm="1">
        <f t="array" ref="D46">IFERROR(INDEX('Limite de crédito'!$F:$F, MATCH(MAX(IF('Limite de crédito'!$C:$C=$B46, 'Limite de crédito'!$A:$A)), 'Limite de crédito'!$A:$A, 0)),0)</f>
        <v>0</v>
      </c>
      <c r="E46" s="18">
        <f t="shared" si="6"/>
        <v>-100</v>
      </c>
      <c r="F46" s="18">
        <f t="shared" si="7"/>
        <v>100</v>
      </c>
      <c r="G46" s="19">
        <f>SUMIFS('Data Additive'!$D:$D,'Data Additive'!$P:$P,'Painel Additive'!$B44,'Data Additive'!$Q:$Q,"&gt;0",'Data Additive'!$Q:$Q,"&lt;=30")</f>
        <v>0</v>
      </c>
      <c r="H46" s="19">
        <f>SUMIFS('Data Additive'!$D:$D,'Data Additive'!$P:$P,'Painel Additive'!$B44,'Data Additive'!$Q:$Q,"&gt;30",'Data Additive'!$Q:$Q,"&lt;=60")</f>
        <v>0</v>
      </c>
      <c r="I46" s="19">
        <f>SUMIFS('Data Additive'!$D:$D,'Data Additive'!$P:$P,'Painel Additive'!$B44,'Data Additive'!$Q:$Q,"&gt;60",'Data Additive'!$Q:$Q,"&lt;=90")</f>
        <v>0</v>
      </c>
      <c r="J46" s="19">
        <f>SUMIFS('Data Additive'!$D:$D,'Data Additive'!$P:$P,'Painel Additive'!$B44,'Data Additive'!$Q:$Q,"&gt;90",'Data Additive'!$Q:$Q,"&lt;=120")</f>
        <v>0</v>
      </c>
      <c r="K46" s="19">
        <f>SUMIFS('Data Additive'!$D:$D,'Data Additive'!$P:$P,'Painel Additive'!$B44,'Data Additive'!$Q:$Q,"&gt;120",'Data Additive'!$Q:$Q,"&lt;=180")</f>
        <v>0</v>
      </c>
      <c r="L46" s="19">
        <f>SUMIFS('Data Additive'!$D:$D,'Data Additive'!$P:$P,'Painel Additive'!$B44,'Data Additive'!$Q:$Q,"&gt;180",'Data Additive'!$Q:$Q,"&lt;=360")</f>
        <v>0</v>
      </c>
      <c r="M46" s="23">
        <f>SUMIFS('Data Additive'!$D:$D,'Data Additive'!$P:$P,'Painel Additive'!$B44,'Data Additive'!$Q:$Q,"&gt;360")</f>
        <v>100</v>
      </c>
      <c r="N46" s="19">
        <f>SUMIFS('Data Additive'!$D:$D,'Data Additive'!$P:$P,'Painel Additive'!$B44,'Data Additive'!$Q:$Q,"&gt;0")</f>
        <v>100</v>
      </c>
      <c r="O46" s="19">
        <f t="shared" si="8"/>
        <v>0</v>
      </c>
      <c r="P46" s="19">
        <f>SUMIFS('Data Additive'!$D:$D,'Data Additive'!$P:$P,'Painel Additive'!$B44,'Data Additive'!$Q:$Q,"&lt;=0",'Data Additive'!$Q:$Q,"&gt;=-30")</f>
        <v>0</v>
      </c>
      <c r="Q46" s="19">
        <f>SUMIFS('Data Additive'!$D:$D,'Data Additive'!$P:$P,'Painel Additive'!$B44,'Data Additive'!$Q:$Q,"&lt;=-31",'Data Additive'!$Q:$Q,"&gt;=-60")</f>
        <v>0</v>
      </c>
      <c r="R46" s="19">
        <f>SUMIFS('Data Additive'!$D:$D,'Data Additive'!$P:$P,'Painel Additive'!$B44,'Data Additive'!$Q:$Q,"&lt;=-61",'Data Additive'!$Q:$Q,"&gt;=-90")</f>
        <v>0</v>
      </c>
      <c r="S46" s="19">
        <f>SUMIFS('Data Additive'!$D:$D,'Data Additive'!$P:$P,'Painel Additive'!$B44,'Data Additive'!$Q:$Q,"&lt;=-91",'Data Additive'!$Q:$Q,"&gt;=-120")</f>
        <v>0</v>
      </c>
      <c r="T46" s="19">
        <f>SUMIFS('Data Additive'!$D:$D,'Data Additive'!$P:$P,'Painel Additive'!$B44,'Data Additive'!$Q:$Q,"&lt;=-121",'Data Additive'!$Q:$Q,"&gt;=-180")</f>
        <v>0</v>
      </c>
      <c r="U46" s="19">
        <f>SUMIFS('Data Additive'!$D:$D,'Data Additive'!$P:$P,'Painel Additive'!$B44,'Data Additive'!$Q:$Q,"&lt;=-181",'Data Additive'!$Q:$Q,"&gt;=-360")</f>
        <v>0</v>
      </c>
      <c r="V46" s="23">
        <f>SUMIFS('Data Additive'!$D:$D,'Data Additive'!$P:$P,'Painel Additive'!$B44,'Data Additive'!$Q:$Q,"&lt;-360")</f>
        <v>0</v>
      </c>
      <c r="W46" s="19" t="e">
        <f>SUMIFS('Bad Debt Provision'!#REF!,'Bad Debt Provision'!#REF!,'Painel Additive'!$B44)</f>
        <v>#REF!</v>
      </c>
      <c r="X46" s="5"/>
      <c r="Y46" s="20"/>
      <c r="Z46" s="20"/>
      <c r="AA46" s="21"/>
      <c r="AB46" s="5"/>
      <c r="AC46" s="19"/>
      <c r="AD46" s="20"/>
      <c r="AE46" s="22"/>
      <c r="AF46" s="22"/>
      <c r="AG46" s="5"/>
      <c r="AH46" s="28">
        <f t="shared" si="9"/>
        <v>-100</v>
      </c>
      <c r="AI46" s="5"/>
    </row>
    <row r="47" spans="2:35" x14ac:dyDescent="0.25">
      <c r="B47" s="17" t="s">
        <v>135</v>
      </c>
      <c r="C47" s="93" t="str" cm="1">
        <f t="array" ref="C47">IFERROR(INDEX('Limite de crédito'!$D:$D, MATCH(MAX(IF('Limite de crédito'!$C:$C=$B47, 'Limite de crédito'!$A:$A)), 'Limite de crédito'!$A:$A, 0)),"")</f>
        <v/>
      </c>
      <c r="D47" s="18" cm="1">
        <f t="array" ref="D47">IFERROR(INDEX('Limite de crédito'!$F:$F, MATCH(MAX(IF('Limite de crédito'!$C:$C=$B47, 'Limite de crédito'!$A:$A)), 'Limite de crédito'!$A:$A, 0)),0)</f>
        <v>0</v>
      </c>
      <c r="E47" s="18">
        <f t="shared" si="6"/>
        <v>0</v>
      </c>
      <c r="F47" s="18">
        <f t="shared" si="7"/>
        <v>0</v>
      </c>
      <c r="G47" s="19">
        <f>SUMIFS('Data Additive'!$D:$D,'Data Additive'!$P:$P,'Painel Additive'!$B43,'Data Additive'!$Q:$Q,"&gt;0",'Data Additive'!$Q:$Q,"&lt;=30")</f>
        <v>0</v>
      </c>
      <c r="H47" s="19">
        <f>SUMIFS('Data Additive'!$D:$D,'Data Additive'!$P:$P,'Painel Additive'!$B43,'Data Additive'!$Q:$Q,"&gt;30",'Data Additive'!$Q:$Q,"&lt;=60")</f>
        <v>0</v>
      </c>
      <c r="I47" s="19">
        <f>SUMIFS('Data Additive'!$D:$D,'Data Additive'!$P:$P,'Painel Additive'!$B43,'Data Additive'!$Q:$Q,"&gt;60",'Data Additive'!$Q:$Q,"&lt;=90")</f>
        <v>0</v>
      </c>
      <c r="J47" s="19">
        <f>SUMIFS('Data Additive'!$D:$D,'Data Additive'!$P:$P,'Painel Additive'!$B43,'Data Additive'!$Q:$Q,"&gt;90",'Data Additive'!$Q:$Q,"&lt;=120")</f>
        <v>0</v>
      </c>
      <c r="K47" s="19">
        <f>SUMIFS('Data Additive'!$D:$D,'Data Additive'!$P:$P,'Painel Additive'!$B43,'Data Additive'!$Q:$Q,"&gt;120",'Data Additive'!$Q:$Q,"&lt;=180")</f>
        <v>0</v>
      </c>
      <c r="L47" s="19">
        <f>SUMIFS('Data Additive'!$D:$D,'Data Additive'!$P:$P,'Painel Additive'!$B43,'Data Additive'!$Q:$Q,"&gt;180",'Data Additive'!$Q:$Q,"&lt;=360")</f>
        <v>0</v>
      </c>
      <c r="M47" s="23">
        <f>SUMIFS('Data Additive'!$D:$D,'Data Additive'!$P:$P,'Painel Additive'!$B43,'Data Additive'!$Q:$Q,"&gt;360")</f>
        <v>0</v>
      </c>
      <c r="N47" s="19">
        <f>SUMIFS('Data Additive'!$D:$D,'Data Additive'!$P:$P,'Painel Additive'!$B43,'Data Additive'!$Q:$Q,"&gt;0")</f>
        <v>0</v>
      </c>
      <c r="O47" s="19">
        <f t="shared" si="8"/>
        <v>0</v>
      </c>
      <c r="P47" s="19">
        <f>SUMIFS('Data Additive'!$D:$D,'Data Additive'!$P:$P,'Painel Additive'!$B43,'Data Additive'!$Q:$Q,"&lt;=0",'Data Additive'!$Q:$Q,"&gt;=-30")</f>
        <v>0</v>
      </c>
      <c r="Q47" s="19">
        <f>SUMIFS('Data Additive'!$D:$D,'Data Additive'!$P:$P,'Painel Additive'!$B43,'Data Additive'!$Q:$Q,"&lt;=-31",'Data Additive'!$Q:$Q,"&gt;=-60")</f>
        <v>0</v>
      </c>
      <c r="R47" s="19">
        <f>SUMIFS('Data Additive'!$D:$D,'Data Additive'!$P:$P,'Painel Additive'!$B43,'Data Additive'!$Q:$Q,"&lt;=-61",'Data Additive'!$Q:$Q,"&gt;=-90")</f>
        <v>0</v>
      </c>
      <c r="S47" s="19">
        <f>SUMIFS('Data Additive'!$D:$D,'Data Additive'!$P:$P,'Painel Additive'!$B43,'Data Additive'!$Q:$Q,"&lt;=-91",'Data Additive'!$Q:$Q,"&gt;=-120")</f>
        <v>0</v>
      </c>
      <c r="T47" s="19">
        <f>SUMIFS('Data Additive'!$D:$D,'Data Additive'!$P:$P,'Painel Additive'!$B43,'Data Additive'!$Q:$Q,"&lt;=-121",'Data Additive'!$Q:$Q,"&gt;=-180")</f>
        <v>0</v>
      </c>
      <c r="U47" s="19">
        <f>SUMIFS('Data Additive'!$D:$D,'Data Additive'!$P:$P,'Painel Additive'!$B43,'Data Additive'!$Q:$Q,"&lt;=-181",'Data Additive'!$Q:$Q,"&gt;=-360")</f>
        <v>0</v>
      </c>
      <c r="V47" s="23">
        <f>SUMIFS('Data Additive'!$D:$D,'Data Additive'!$P:$P,'Painel Additive'!$B43,'Data Additive'!$Q:$Q,"&lt;-360")</f>
        <v>0</v>
      </c>
      <c r="W47" s="19" t="e">
        <f>SUMIFS('Bad Debt Provision'!#REF!,'Bad Debt Provision'!#REF!,'Painel Additive'!$B43)</f>
        <v>#REF!</v>
      </c>
      <c r="X47" s="5"/>
      <c r="Y47" s="20"/>
      <c r="Z47" s="20"/>
      <c r="AA47" s="21"/>
      <c r="AB47" s="5"/>
      <c r="AC47" s="19"/>
      <c r="AD47" s="20"/>
      <c r="AE47" s="22"/>
      <c r="AF47" s="22"/>
      <c r="AG47" s="5"/>
      <c r="AH47" s="28">
        <f t="shared" si="9"/>
        <v>0</v>
      </c>
      <c r="AI47" s="5"/>
    </row>
    <row r="48" spans="2:35" x14ac:dyDescent="0.25">
      <c r="B48" s="17" t="s">
        <v>142</v>
      </c>
      <c r="C48" s="93" t="str" cm="1">
        <f t="array" ref="C48">IFERROR(INDEX('Limite de crédito'!$D:$D, MATCH(MAX(IF('Limite de crédito'!$C:$C=$B48, 'Limite de crédito'!$A:$A)), 'Limite de crédito'!$A:$A, 0)),"")</f>
        <v/>
      </c>
      <c r="D48" s="18" cm="1">
        <f t="array" ref="D48">IFERROR(INDEX('Limite de crédito'!$F:$F, MATCH(MAX(IF('Limite de crédito'!$C:$C=$B48, 'Limite de crédito'!$A:$A)), 'Limite de crédito'!$A:$A, 0)),0)</f>
        <v>0</v>
      </c>
      <c r="E48" s="18">
        <f t="shared" si="6"/>
        <v>0</v>
      </c>
      <c r="F48" s="18">
        <f t="shared" si="7"/>
        <v>0</v>
      </c>
      <c r="G48" s="19">
        <f>SUMIFS('Data Additive'!$D:$D,'Data Additive'!$P:$P,'Painel Additive'!#REF!,'Data Additive'!$Q:$Q,"&gt;0",'Data Additive'!$Q:$Q,"&lt;=30")</f>
        <v>0</v>
      </c>
      <c r="H48" s="19">
        <f>SUMIFS('Data Additive'!$D:$D,'Data Additive'!$P:$P,'Painel Additive'!#REF!,'Data Additive'!$Q:$Q,"&gt;30",'Data Additive'!$Q:$Q,"&lt;=60")</f>
        <v>0</v>
      </c>
      <c r="I48" s="19">
        <f>SUMIFS('Data Additive'!$D:$D,'Data Additive'!$P:$P,'Painel Additive'!#REF!,'Data Additive'!$Q:$Q,"&gt;60",'Data Additive'!$Q:$Q,"&lt;=90")</f>
        <v>0</v>
      </c>
      <c r="J48" s="19">
        <f>SUMIFS('Data Additive'!$D:$D,'Data Additive'!$P:$P,'Painel Additive'!#REF!,'Data Additive'!$Q:$Q,"&gt;90",'Data Additive'!$Q:$Q,"&lt;=120")</f>
        <v>0</v>
      </c>
      <c r="K48" s="19">
        <f>SUMIFS('Data Additive'!$D:$D,'Data Additive'!$P:$P,'Painel Additive'!#REF!,'Data Additive'!$Q:$Q,"&gt;120",'Data Additive'!$Q:$Q,"&lt;=180")</f>
        <v>0</v>
      </c>
      <c r="L48" s="19">
        <f>SUMIFS('Data Additive'!$D:$D,'Data Additive'!$P:$P,'Painel Additive'!#REF!,'Data Additive'!$Q:$Q,"&gt;180",'Data Additive'!$Q:$Q,"&lt;=360")</f>
        <v>0</v>
      </c>
      <c r="M48" s="23">
        <f>SUMIFS('Data Additive'!$D:$D,'Data Additive'!$P:$P,'Painel Additive'!#REF!,'Data Additive'!$Q:$Q,"&gt;360")</f>
        <v>0</v>
      </c>
      <c r="N48" s="19">
        <f>SUMIFS('Data Additive'!$D:$D,'Data Additive'!$P:$P,'Painel Additive'!#REF!,'Data Additive'!$Q:$Q,"&gt;0")</f>
        <v>0</v>
      </c>
      <c r="O48" s="19">
        <f t="shared" si="8"/>
        <v>0</v>
      </c>
      <c r="P48" s="19">
        <f>SUMIFS('Data Additive'!$D:$D,'Data Additive'!$P:$P,'Painel Additive'!#REF!,'Data Additive'!$Q:$Q,"&lt;=0",'Data Additive'!$Q:$Q,"&gt;=-30")</f>
        <v>0</v>
      </c>
      <c r="Q48" s="19">
        <f>SUMIFS('Data Additive'!$D:$D,'Data Additive'!$P:$P,'Painel Additive'!#REF!,'Data Additive'!$Q:$Q,"&lt;=-31",'Data Additive'!$Q:$Q,"&gt;=-60")</f>
        <v>0</v>
      </c>
      <c r="R48" s="19">
        <f>SUMIFS('Data Additive'!$D:$D,'Data Additive'!$P:$P,'Painel Additive'!#REF!,'Data Additive'!$Q:$Q,"&lt;=-61",'Data Additive'!$Q:$Q,"&gt;=-90")</f>
        <v>0</v>
      </c>
      <c r="S48" s="19">
        <f>SUMIFS('Data Additive'!$D:$D,'Data Additive'!$P:$P,'Painel Additive'!#REF!,'Data Additive'!$Q:$Q,"&lt;=-91",'Data Additive'!$Q:$Q,"&gt;=-120")</f>
        <v>0</v>
      </c>
      <c r="T48" s="19">
        <f>SUMIFS('Data Additive'!$D:$D,'Data Additive'!$P:$P,'Painel Additive'!#REF!,'Data Additive'!$Q:$Q,"&lt;=-121",'Data Additive'!$Q:$Q,"&gt;=-180")</f>
        <v>0</v>
      </c>
      <c r="U48" s="19">
        <f>SUMIFS('Data Additive'!$D:$D,'Data Additive'!$P:$P,'Painel Additive'!#REF!,'Data Additive'!$Q:$Q,"&lt;=-181",'Data Additive'!$Q:$Q,"&gt;=-360")</f>
        <v>0</v>
      </c>
      <c r="V48" s="23">
        <f>SUMIFS('Data Additive'!$D:$D,'Data Additive'!$P:$P,'Painel Additive'!#REF!,'Data Additive'!$Q:$Q,"&lt;-360")</f>
        <v>0</v>
      </c>
      <c r="W48" s="19" t="e">
        <f>SUMIFS('Bad Debt Provision'!#REF!,'Bad Debt Provision'!#REF!,'Painel Additive'!#REF!)</f>
        <v>#REF!</v>
      </c>
      <c r="X48" s="5"/>
      <c r="Y48" s="20"/>
      <c r="Z48" s="20"/>
      <c r="AA48" s="21"/>
      <c r="AB48" s="5"/>
      <c r="AC48" s="19"/>
      <c r="AD48" s="20"/>
      <c r="AE48" s="22"/>
      <c r="AF48" s="22"/>
      <c r="AG48" s="5"/>
      <c r="AH48" s="28">
        <f t="shared" si="9"/>
        <v>0</v>
      </c>
      <c r="AI48" s="5"/>
    </row>
    <row r="49" spans="2:36" x14ac:dyDescent="0.25">
      <c r="B49" s="17" t="s">
        <v>151</v>
      </c>
      <c r="C49" s="93" t="str" cm="1">
        <f t="array" ref="C49">IFERROR(INDEX('Limite de crédito'!$D:$D, MATCH(MAX(IF('Limite de crédito'!$C:$C=$B49, 'Limite de crédito'!$A:$A)), 'Limite de crédito'!$A:$A, 0)),"")</f>
        <v/>
      </c>
      <c r="D49" s="18" cm="1">
        <f t="array" ref="D49">IFERROR(INDEX('Limite de crédito'!$F:$F, MATCH(MAX(IF('Limite de crédito'!$C:$C=$B49, 'Limite de crédito'!$A:$A)), 'Limite de crédito'!$A:$A, 0)),0)</f>
        <v>0</v>
      </c>
      <c r="E49" s="18">
        <f t="shared" si="6"/>
        <v>-300</v>
      </c>
      <c r="F49" s="18">
        <f t="shared" si="7"/>
        <v>300</v>
      </c>
      <c r="G49" s="19">
        <f>SUMIFS('Data Additive'!$D:$D,'Data Additive'!$P:$P,'Painel Additive'!$B42,'Data Additive'!$Q:$Q,"&gt;0",'Data Additive'!$Q:$Q,"&lt;=30")</f>
        <v>0</v>
      </c>
      <c r="H49" s="19">
        <f>SUMIFS('Data Additive'!$D:$D,'Data Additive'!$P:$P,'Painel Additive'!$B42,'Data Additive'!$Q:$Q,"&gt;30",'Data Additive'!$Q:$Q,"&lt;=60")</f>
        <v>0</v>
      </c>
      <c r="I49" s="19">
        <f>SUMIFS('Data Additive'!$D:$D,'Data Additive'!$P:$P,'Painel Additive'!$B42,'Data Additive'!$Q:$Q,"&gt;60",'Data Additive'!$Q:$Q,"&lt;=90")</f>
        <v>0</v>
      </c>
      <c r="J49" s="19">
        <f>SUMIFS('Data Additive'!$D:$D,'Data Additive'!$P:$P,'Painel Additive'!$B42,'Data Additive'!$Q:$Q,"&gt;90",'Data Additive'!$Q:$Q,"&lt;=120")</f>
        <v>0</v>
      </c>
      <c r="K49" s="19">
        <f>SUMIFS('Data Additive'!$D:$D,'Data Additive'!$P:$P,'Painel Additive'!$B42,'Data Additive'!$Q:$Q,"&gt;120",'Data Additive'!$Q:$Q,"&lt;=180")</f>
        <v>0</v>
      </c>
      <c r="L49" s="19">
        <f>SUMIFS('Data Additive'!$D:$D,'Data Additive'!$P:$P,'Painel Additive'!$B42,'Data Additive'!$Q:$Q,"&gt;180",'Data Additive'!$Q:$Q,"&lt;=360")</f>
        <v>0</v>
      </c>
      <c r="M49" s="23">
        <f>SUMIFS('Data Additive'!$D:$D,'Data Additive'!$P:$P,'Painel Additive'!$B42,'Data Additive'!$Q:$Q,"&gt;360")</f>
        <v>300</v>
      </c>
      <c r="N49" s="19">
        <f>SUMIFS('Data Additive'!$D:$D,'Data Additive'!$P:$P,'Painel Additive'!$B42,'Data Additive'!$Q:$Q,"&gt;0")</f>
        <v>300</v>
      </c>
      <c r="O49" s="19">
        <f t="shared" si="8"/>
        <v>0</v>
      </c>
      <c r="P49" s="19">
        <f>SUMIFS('Data Additive'!$D:$D,'Data Additive'!$P:$P,'Painel Additive'!$B42,'Data Additive'!$Q:$Q,"&lt;=0",'Data Additive'!$Q:$Q,"&gt;=-30")</f>
        <v>0</v>
      </c>
      <c r="Q49" s="19">
        <f>SUMIFS('Data Additive'!$D:$D,'Data Additive'!$P:$P,'Painel Additive'!$B42,'Data Additive'!$Q:$Q,"&lt;=-31",'Data Additive'!$Q:$Q,"&gt;=-60")</f>
        <v>0</v>
      </c>
      <c r="R49" s="19">
        <f>SUMIFS('Data Additive'!$D:$D,'Data Additive'!$P:$P,'Painel Additive'!$B42,'Data Additive'!$Q:$Q,"&lt;=-61",'Data Additive'!$Q:$Q,"&gt;=-90")</f>
        <v>0</v>
      </c>
      <c r="S49" s="19">
        <f>SUMIFS('Data Additive'!$D:$D,'Data Additive'!$P:$P,'Painel Additive'!$B42,'Data Additive'!$Q:$Q,"&lt;=-91",'Data Additive'!$Q:$Q,"&gt;=-120")</f>
        <v>0</v>
      </c>
      <c r="T49" s="19">
        <f>SUMIFS('Data Additive'!$D:$D,'Data Additive'!$P:$P,'Painel Additive'!$B42,'Data Additive'!$Q:$Q,"&lt;=-121",'Data Additive'!$Q:$Q,"&gt;=-180")</f>
        <v>0</v>
      </c>
      <c r="U49" s="19">
        <f>SUMIFS('Data Additive'!$D:$D,'Data Additive'!$P:$P,'Painel Additive'!$B42,'Data Additive'!$Q:$Q,"&lt;=-181",'Data Additive'!$Q:$Q,"&gt;=-360")</f>
        <v>0</v>
      </c>
      <c r="V49" s="23">
        <f>SUMIFS('Data Additive'!$D:$D,'Data Additive'!$P:$P,'Painel Additive'!$B42,'Data Additive'!$Q:$Q,"&lt;-360")</f>
        <v>0</v>
      </c>
      <c r="W49" s="19" t="e">
        <f>SUMIFS('Bad Debt Provision'!#REF!,'Bad Debt Provision'!#REF!,'Painel Additive'!$B42)</f>
        <v>#REF!</v>
      </c>
      <c r="X49" s="5"/>
      <c r="Y49" s="20"/>
      <c r="Z49" s="20"/>
      <c r="AA49" s="21"/>
      <c r="AB49" s="5"/>
      <c r="AC49" s="19"/>
      <c r="AD49" s="20"/>
      <c r="AE49" s="22"/>
      <c r="AF49" s="22"/>
      <c r="AG49" s="5"/>
      <c r="AH49" s="28">
        <f t="shared" si="9"/>
        <v>-300</v>
      </c>
      <c r="AI49" s="5"/>
    </row>
    <row r="50" spans="2:36" x14ac:dyDescent="0.25">
      <c r="B50" s="17" t="s">
        <v>93</v>
      </c>
      <c r="C50" s="93" cm="1">
        <f t="array" ref="C50">IFERROR(INDEX('Limite de crédito'!$D:$D, MATCH(MAX(IF('Limite de crédito'!$C:$C=$B50, 'Limite de crédito'!$A:$A)), 'Limite de crédito'!$A:$A, 0)),"")</f>
        <v>45916</v>
      </c>
      <c r="D50" s="18" t="str" cm="1">
        <f t="array" ref="D50">IFERROR(INDEX('Limite de crédito'!$F:$F, MATCH(MAX(IF('Limite de crédito'!$C:$C=$B50, 'Limite de crédito'!$A:$A)), 'Limite de crédito'!$A:$A, 0)),0)</f>
        <v>Sim</v>
      </c>
      <c r="E50" s="18" t="e">
        <f t="shared" si="6"/>
        <v>#VALUE!</v>
      </c>
      <c r="F50" s="18">
        <f t="shared" si="7"/>
        <v>0</v>
      </c>
      <c r="G50" s="19">
        <f>SUMIFS('Data Additive'!$D:$D,'Data Additive'!$P:$P,'Painel Additive'!$B36,'Data Additive'!$Q:$Q,"&gt;0",'Data Additive'!$Q:$Q,"&lt;=30")</f>
        <v>0</v>
      </c>
      <c r="H50" s="19">
        <f>SUMIFS('Data Additive'!$D:$D,'Data Additive'!$P:$P,'Painel Additive'!$B36,'Data Additive'!$Q:$Q,"&gt;30",'Data Additive'!$Q:$Q,"&lt;=60")</f>
        <v>0</v>
      </c>
      <c r="I50" s="19">
        <f>SUMIFS('Data Additive'!$D:$D,'Data Additive'!$P:$P,'Painel Additive'!$B36,'Data Additive'!$Q:$Q,"&gt;60",'Data Additive'!$Q:$Q,"&lt;=90")</f>
        <v>0</v>
      </c>
      <c r="J50" s="19">
        <f>SUMIFS('Data Additive'!$D:$D,'Data Additive'!$P:$P,'Painel Additive'!$B36,'Data Additive'!$Q:$Q,"&gt;90",'Data Additive'!$Q:$Q,"&lt;=120")</f>
        <v>0</v>
      </c>
      <c r="K50" s="19">
        <f>SUMIFS('Data Additive'!$D:$D,'Data Additive'!$P:$P,'Painel Additive'!$B36,'Data Additive'!$Q:$Q,"&gt;120",'Data Additive'!$Q:$Q,"&lt;=180")</f>
        <v>0</v>
      </c>
      <c r="L50" s="19">
        <f>SUMIFS('Data Additive'!$D:$D,'Data Additive'!$P:$P,'Painel Additive'!$B36,'Data Additive'!$Q:$Q,"&gt;180",'Data Additive'!$Q:$Q,"&lt;=360")</f>
        <v>0</v>
      </c>
      <c r="M50" s="23">
        <f>SUMIFS('Data Additive'!$D:$D,'Data Additive'!$P:$P,'Painel Additive'!$B36,'Data Additive'!$Q:$Q,"&gt;360")</f>
        <v>0</v>
      </c>
      <c r="N50" s="19">
        <f>SUMIFS('Data Additive'!$D:$D,'Data Additive'!$P:$P,'Painel Additive'!$B36,'Data Additive'!$Q:$Q,"&gt;0")</f>
        <v>0</v>
      </c>
      <c r="O50" s="19">
        <f t="shared" si="8"/>
        <v>0</v>
      </c>
      <c r="P50" s="19">
        <f>SUMIFS('Data Additive'!$D:$D,'Data Additive'!$P:$P,'Painel Additive'!$B36,'Data Additive'!$Q:$Q,"&lt;=0",'Data Additive'!$Q:$Q,"&gt;=-30")</f>
        <v>0</v>
      </c>
      <c r="Q50" s="19">
        <f>SUMIFS('Data Additive'!$D:$D,'Data Additive'!$P:$P,'Painel Additive'!$B36,'Data Additive'!$Q:$Q,"&lt;=-31",'Data Additive'!$Q:$Q,"&gt;=-60")</f>
        <v>0</v>
      </c>
      <c r="R50" s="19">
        <f>SUMIFS('Data Additive'!$D:$D,'Data Additive'!$P:$P,'Painel Additive'!$B36,'Data Additive'!$Q:$Q,"&lt;=-61",'Data Additive'!$Q:$Q,"&gt;=-90")</f>
        <v>0</v>
      </c>
      <c r="S50" s="19">
        <f>SUMIFS('Data Additive'!$D:$D,'Data Additive'!$P:$P,'Painel Additive'!$B36,'Data Additive'!$Q:$Q,"&lt;=-91",'Data Additive'!$Q:$Q,"&gt;=-120")</f>
        <v>0</v>
      </c>
      <c r="T50" s="19">
        <f>SUMIFS('Data Additive'!$D:$D,'Data Additive'!$P:$P,'Painel Additive'!$B36,'Data Additive'!$Q:$Q,"&lt;=-121",'Data Additive'!$Q:$Q,"&gt;=-180")</f>
        <v>0</v>
      </c>
      <c r="U50" s="19">
        <f>SUMIFS('Data Additive'!$D:$D,'Data Additive'!$P:$P,'Painel Additive'!$B36,'Data Additive'!$Q:$Q,"&lt;=-181",'Data Additive'!$Q:$Q,"&gt;=-360")</f>
        <v>0</v>
      </c>
      <c r="V50" s="23">
        <f>SUMIFS('Data Additive'!$D:$D,'Data Additive'!$P:$P,'Painel Additive'!$B36,'Data Additive'!$Q:$Q,"&lt;-360")</f>
        <v>0</v>
      </c>
      <c r="W50" s="19" t="e">
        <f>SUMIFS('Bad Debt Provision'!#REF!,'Bad Debt Provision'!#REF!,'Painel Additive'!$B36)</f>
        <v>#REF!</v>
      </c>
      <c r="X50" s="5"/>
      <c r="Y50" s="20"/>
      <c r="Z50" s="20"/>
      <c r="AA50" s="21"/>
      <c r="AB50" s="5"/>
      <c r="AC50" s="19"/>
      <c r="AD50" s="20"/>
      <c r="AE50" s="22"/>
      <c r="AF50" s="22"/>
      <c r="AG50" s="5"/>
      <c r="AH50" s="28">
        <f t="shared" si="9"/>
        <v>0</v>
      </c>
      <c r="AI50" s="5"/>
    </row>
    <row r="51" spans="2:36" x14ac:dyDescent="0.25">
      <c r="B51" s="17" t="s">
        <v>148</v>
      </c>
      <c r="C51" s="93" t="str" cm="1">
        <f t="array" ref="C51">IFERROR(INDEX('Limite de crédito'!$D:$D, MATCH(MAX(IF('Limite de crédito'!$C:$C=$B51, 'Limite de crédito'!$A:$A)), 'Limite de crédito'!$A:$A, 0)),"")</f>
        <v/>
      </c>
      <c r="D51" s="18" cm="1">
        <f t="array" ref="D51">IFERROR(INDEX('Limite de crédito'!$F:$F, MATCH(MAX(IF('Limite de crédito'!$C:$C=$B51, 'Limite de crédito'!$A:$A)), 'Limite de crédito'!$A:$A, 0)),0)</f>
        <v>0</v>
      </c>
      <c r="E51" s="18">
        <f t="shared" si="6"/>
        <v>-50</v>
      </c>
      <c r="F51" s="18">
        <f t="shared" si="7"/>
        <v>50</v>
      </c>
      <c r="G51" s="19">
        <f>SUMIFS('Data Additive'!$D:$D,'Data Additive'!$P:$P,'Painel Additive'!$B45,'Data Additive'!$Q:$Q,"&gt;0",'Data Additive'!$Q:$Q,"&lt;=30")</f>
        <v>0</v>
      </c>
      <c r="H51" s="19">
        <f>SUMIFS('Data Additive'!$D:$D,'Data Additive'!$P:$P,'Painel Additive'!$B45,'Data Additive'!$Q:$Q,"&gt;30",'Data Additive'!$Q:$Q,"&lt;=60")</f>
        <v>0</v>
      </c>
      <c r="I51" s="19">
        <f>SUMIFS('Data Additive'!$D:$D,'Data Additive'!$P:$P,'Painel Additive'!$B45,'Data Additive'!$Q:$Q,"&gt;60",'Data Additive'!$Q:$Q,"&lt;=90")</f>
        <v>0</v>
      </c>
      <c r="J51" s="19">
        <f>SUMIFS('Data Additive'!$D:$D,'Data Additive'!$P:$P,'Painel Additive'!$B45,'Data Additive'!$Q:$Q,"&gt;90",'Data Additive'!$Q:$Q,"&lt;=120")</f>
        <v>0</v>
      </c>
      <c r="K51" s="19">
        <f>SUMIFS('Data Additive'!$D:$D,'Data Additive'!$P:$P,'Painel Additive'!$B45,'Data Additive'!$Q:$Q,"&gt;120",'Data Additive'!$Q:$Q,"&lt;=180")</f>
        <v>0</v>
      </c>
      <c r="L51" s="19">
        <f>SUMIFS('Data Additive'!$D:$D,'Data Additive'!$P:$P,'Painel Additive'!$B45,'Data Additive'!$Q:$Q,"&gt;180",'Data Additive'!$Q:$Q,"&lt;=360")</f>
        <v>0</v>
      </c>
      <c r="M51" s="23">
        <f>SUMIFS('Data Additive'!$D:$D,'Data Additive'!$P:$P,'Painel Additive'!$B45,'Data Additive'!$Q:$Q,"&gt;360")</f>
        <v>50</v>
      </c>
      <c r="N51" s="19">
        <f>SUMIFS('Data Additive'!$D:$D,'Data Additive'!$P:$P,'Painel Additive'!$B45,'Data Additive'!$Q:$Q,"&gt;0")</f>
        <v>50</v>
      </c>
      <c r="O51" s="19">
        <f t="shared" si="8"/>
        <v>0</v>
      </c>
      <c r="P51" s="19">
        <f>SUMIFS('Data Additive'!$D:$D,'Data Additive'!$P:$P,'Painel Additive'!$B45,'Data Additive'!$Q:$Q,"&lt;=0",'Data Additive'!$Q:$Q,"&gt;=-30")</f>
        <v>0</v>
      </c>
      <c r="Q51" s="19">
        <f>SUMIFS('Data Additive'!$D:$D,'Data Additive'!$P:$P,'Painel Additive'!$B45,'Data Additive'!$Q:$Q,"&lt;=-31",'Data Additive'!$Q:$Q,"&gt;=-60")</f>
        <v>0</v>
      </c>
      <c r="R51" s="19">
        <f>SUMIFS('Data Additive'!$D:$D,'Data Additive'!$P:$P,'Painel Additive'!$B45,'Data Additive'!$Q:$Q,"&lt;=-61",'Data Additive'!$Q:$Q,"&gt;=-90")</f>
        <v>0</v>
      </c>
      <c r="S51" s="19">
        <f>SUMIFS('Data Additive'!$D:$D,'Data Additive'!$P:$P,'Painel Additive'!$B45,'Data Additive'!$Q:$Q,"&lt;=-91",'Data Additive'!$Q:$Q,"&gt;=-120")</f>
        <v>0</v>
      </c>
      <c r="T51" s="19">
        <f>SUMIFS('Data Additive'!$D:$D,'Data Additive'!$P:$P,'Painel Additive'!$B45,'Data Additive'!$Q:$Q,"&lt;=-121",'Data Additive'!$Q:$Q,"&gt;=-180")</f>
        <v>0</v>
      </c>
      <c r="U51" s="19">
        <f>SUMIFS('Data Additive'!$D:$D,'Data Additive'!$P:$P,'Painel Additive'!$B45,'Data Additive'!$Q:$Q,"&lt;=-181",'Data Additive'!$Q:$Q,"&gt;=-360")</f>
        <v>0</v>
      </c>
      <c r="V51" s="23">
        <f>SUMIFS('Data Additive'!$D:$D,'Data Additive'!$P:$P,'Painel Additive'!$B45,'Data Additive'!$Q:$Q,"&lt;-360")</f>
        <v>0</v>
      </c>
      <c r="W51" s="19" t="e">
        <f>SUMIFS('Bad Debt Provision'!#REF!,'Bad Debt Provision'!#REF!,'Painel Additive'!$B45)</f>
        <v>#REF!</v>
      </c>
      <c r="X51" s="5"/>
      <c r="Y51" s="20"/>
      <c r="Z51" s="20"/>
      <c r="AA51" s="21"/>
      <c r="AB51" s="5"/>
      <c r="AC51" s="19"/>
      <c r="AD51" s="20"/>
      <c r="AE51" s="22"/>
      <c r="AF51" s="22"/>
      <c r="AG51" s="5"/>
      <c r="AH51" s="28">
        <f t="shared" si="9"/>
        <v>-50</v>
      </c>
      <c r="AI51" s="5"/>
    </row>
    <row r="52" spans="2:36" x14ac:dyDescent="0.25">
      <c r="B52" s="17" t="s">
        <v>157</v>
      </c>
      <c r="C52" s="93" t="str" cm="1">
        <f t="array" ref="C52">IFERROR(INDEX('Limite de crédito'!$D:$D, MATCH(MAX(IF('Limite de crédito'!$C:$C=$B52, 'Limite de crédito'!$A:$A)), 'Limite de crédito'!$A:$A, 0)),"")</f>
        <v/>
      </c>
      <c r="D52" s="18" cm="1">
        <f t="array" ref="D52">IFERROR(INDEX('Limite de crédito'!$F:$F, MATCH(MAX(IF('Limite de crédito'!$C:$C=$B52, 'Limite de crédito'!$A:$A)), 'Limite de crédito'!$A:$A, 0)),0)</f>
        <v>0</v>
      </c>
      <c r="E52" s="18">
        <f t="shared" si="6"/>
        <v>0</v>
      </c>
      <c r="F52" s="18">
        <f t="shared" si="7"/>
        <v>0</v>
      </c>
      <c r="G52" s="19">
        <f>SUMIFS('Data Additive'!$D:$D,'Data Additive'!$P:$P,'Painel Additive'!#REF!,'Data Additive'!$Q:$Q,"&gt;0",'Data Additive'!$Q:$Q,"&lt;=30")</f>
        <v>0</v>
      </c>
      <c r="H52" s="19">
        <f>SUMIFS('Data Additive'!$D:$D,'Data Additive'!$P:$P,'Painel Additive'!#REF!,'Data Additive'!$Q:$Q,"&gt;30",'Data Additive'!$Q:$Q,"&lt;=60")</f>
        <v>0</v>
      </c>
      <c r="I52" s="19">
        <f>SUMIFS('Data Additive'!$D:$D,'Data Additive'!$P:$P,'Painel Additive'!#REF!,'Data Additive'!$Q:$Q,"&gt;60",'Data Additive'!$Q:$Q,"&lt;=90")</f>
        <v>0</v>
      </c>
      <c r="J52" s="19">
        <f>SUMIFS('Data Additive'!$D:$D,'Data Additive'!$P:$P,'Painel Additive'!#REF!,'Data Additive'!$Q:$Q,"&gt;90",'Data Additive'!$Q:$Q,"&lt;=120")</f>
        <v>0</v>
      </c>
      <c r="K52" s="19">
        <f>SUMIFS('Data Additive'!$D:$D,'Data Additive'!$P:$P,'Painel Additive'!#REF!,'Data Additive'!$Q:$Q,"&gt;120",'Data Additive'!$Q:$Q,"&lt;=180")</f>
        <v>0</v>
      </c>
      <c r="L52" s="19">
        <f>SUMIFS('Data Additive'!$D:$D,'Data Additive'!$P:$P,'Painel Additive'!#REF!,'Data Additive'!$Q:$Q,"&gt;180",'Data Additive'!$Q:$Q,"&lt;=360")</f>
        <v>0</v>
      </c>
      <c r="M52" s="23">
        <f>SUMIFS('Data Additive'!$D:$D,'Data Additive'!$P:$P,'Painel Additive'!#REF!,'Data Additive'!$Q:$Q,"&gt;360")</f>
        <v>0</v>
      </c>
      <c r="N52" s="19">
        <f>SUMIFS('Data Additive'!$D:$D,'Data Additive'!$P:$P,'Painel Additive'!#REF!,'Data Additive'!$Q:$Q,"&gt;0")</f>
        <v>0</v>
      </c>
      <c r="O52" s="19">
        <f t="shared" si="8"/>
        <v>0</v>
      </c>
      <c r="P52" s="19">
        <f>SUMIFS('Data Additive'!$D:$D,'Data Additive'!$P:$P,'Painel Additive'!#REF!,'Data Additive'!$Q:$Q,"&lt;=0",'Data Additive'!$Q:$Q,"&gt;=-30")</f>
        <v>0</v>
      </c>
      <c r="Q52" s="19">
        <f>SUMIFS('Data Additive'!$D:$D,'Data Additive'!$P:$P,'Painel Additive'!#REF!,'Data Additive'!$Q:$Q,"&lt;=-31",'Data Additive'!$Q:$Q,"&gt;=-60")</f>
        <v>0</v>
      </c>
      <c r="R52" s="19">
        <f>SUMIFS('Data Additive'!$D:$D,'Data Additive'!$P:$P,'Painel Additive'!#REF!,'Data Additive'!$Q:$Q,"&lt;=-61",'Data Additive'!$Q:$Q,"&gt;=-90")</f>
        <v>0</v>
      </c>
      <c r="S52" s="19">
        <f>SUMIFS('Data Additive'!$D:$D,'Data Additive'!$P:$P,'Painel Additive'!#REF!,'Data Additive'!$Q:$Q,"&lt;=-91",'Data Additive'!$Q:$Q,"&gt;=-120")</f>
        <v>0</v>
      </c>
      <c r="T52" s="19">
        <f>SUMIFS('Data Additive'!$D:$D,'Data Additive'!$P:$P,'Painel Additive'!#REF!,'Data Additive'!$Q:$Q,"&lt;=-121",'Data Additive'!$Q:$Q,"&gt;=-180")</f>
        <v>0</v>
      </c>
      <c r="U52" s="19">
        <f>SUMIFS('Data Additive'!$D:$D,'Data Additive'!$P:$P,'Painel Additive'!#REF!,'Data Additive'!$Q:$Q,"&lt;=-181",'Data Additive'!$Q:$Q,"&gt;=-360")</f>
        <v>0</v>
      </c>
      <c r="V52" s="23">
        <f>SUMIFS('Data Additive'!$D:$D,'Data Additive'!$P:$P,'Painel Additive'!#REF!,'Data Additive'!$Q:$Q,"&lt;-360")</f>
        <v>0</v>
      </c>
      <c r="W52" s="19" t="e">
        <f>SUMIFS('Bad Debt Provision'!#REF!,'Bad Debt Provision'!#REF!,'Painel Additive'!#REF!)</f>
        <v>#REF!</v>
      </c>
      <c r="X52" s="5"/>
      <c r="Y52" s="20"/>
      <c r="Z52" s="20"/>
      <c r="AA52" s="21"/>
      <c r="AB52" s="5"/>
      <c r="AC52" s="19"/>
      <c r="AD52" s="20"/>
      <c r="AE52" s="22"/>
      <c r="AF52" s="22"/>
      <c r="AG52" s="5">
        <f>AG53+AG54</f>
        <v>0</v>
      </c>
      <c r="AH52" s="28">
        <f t="shared" si="9"/>
        <v>0</v>
      </c>
      <c r="AI52" s="5">
        <f>AI53+AI54</f>
        <v>0</v>
      </c>
    </row>
    <row r="53" spans="2:36" x14ac:dyDescent="0.25">
      <c r="B53" s="17" t="s">
        <v>167</v>
      </c>
      <c r="C53" s="93" cm="1">
        <f t="array" ref="C53">IFERROR(INDEX('Limite de crédito'!$D:$D, MATCH(MAX(IF('Limite de crédito'!$C:$C=$B53, 'Limite de crédito'!$A:$A)), 'Limite de crédito'!$A:$A, 0)),"")</f>
        <v>45804</v>
      </c>
      <c r="D53" s="18" t="str" cm="1">
        <f t="array" ref="D53">IFERROR(INDEX('Limite de crédito'!$F:$F, MATCH(MAX(IF('Limite de crédito'!$C:$C=$B53, 'Limite de crédito'!$A:$A)), 'Limite de crédito'!$A:$A, 0)),0)</f>
        <v>Sim</v>
      </c>
      <c r="E53" s="18" t="e">
        <f t="shared" si="6"/>
        <v>#VALUE!</v>
      </c>
      <c r="F53" s="18">
        <f t="shared" si="7"/>
        <v>0</v>
      </c>
      <c r="G53" s="19">
        <f>SUMIFS('Data Additive'!$D:$D,'Data Additive'!$P:$P,'Painel Additive'!#REF!,'Data Additive'!$Q:$Q,"&gt;0",'Data Additive'!$Q:$Q,"&lt;=30")</f>
        <v>0</v>
      </c>
      <c r="H53" s="19">
        <f>SUMIFS('Data Additive'!$D:$D,'Data Additive'!$P:$P,'Painel Additive'!#REF!,'Data Additive'!$Q:$Q,"&gt;30",'Data Additive'!$Q:$Q,"&lt;=60")</f>
        <v>0</v>
      </c>
      <c r="I53" s="19">
        <f>SUMIFS('Data Additive'!$D:$D,'Data Additive'!$P:$P,'Painel Additive'!#REF!,'Data Additive'!$Q:$Q,"&gt;60",'Data Additive'!$Q:$Q,"&lt;=90")</f>
        <v>0</v>
      </c>
      <c r="J53" s="19">
        <f>SUMIFS('Data Additive'!$D:$D,'Data Additive'!$P:$P,'Painel Additive'!#REF!,'Data Additive'!$Q:$Q,"&gt;90",'Data Additive'!$Q:$Q,"&lt;=120")</f>
        <v>0</v>
      </c>
      <c r="K53" s="19">
        <f>SUMIFS('Data Additive'!$D:$D,'Data Additive'!$P:$P,'Painel Additive'!#REF!,'Data Additive'!$Q:$Q,"&gt;120",'Data Additive'!$Q:$Q,"&lt;=180")</f>
        <v>0</v>
      </c>
      <c r="L53" s="19">
        <f>SUMIFS('Data Additive'!$D:$D,'Data Additive'!$P:$P,'Painel Additive'!#REF!,'Data Additive'!$Q:$Q,"&gt;180",'Data Additive'!$Q:$Q,"&lt;=360")</f>
        <v>0</v>
      </c>
      <c r="M53" s="23">
        <f>SUMIFS('Data Additive'!$D:$D,'Data Additive'!$P:$P,'Painel Additive'!#REF!,'Data Additive'!$Q:$Q,"&gt;360")</f>
        <v>0</v>
      </c>
      <c r="N53" s="19">
        <f>SUMIFS('Data Additive'!$D:$D,'Data Additive'!$P:$P,'Painel Additive'!#REF!,'Data Additive'!$Q:$Q,"&gt;0")</f>
        <v>0</v>
      </c>
      <c r="O53" s="19">
        <f t="shared" si="8"/>
        <v>0</v>
      </c>
      <c r="P53" s="19">
        <f>SUMIFS('Data Additive'!$D:$D,'Data Additive'!$P:$P,'Painel Additive'!#REF!,'Data Additive'!$Q:$Q,"&lt;=0",'Data Additive'!$Q:$Q,"&gt;=-30")</f>
        <v>0</v>
      </c>
      <c r="Q53" s="19">
        <f>SUMIFS('Data Additive'!$D:$D,'Data Additive'!$P:$P,'Painel Additive'!#REF!,'Data Additive'!$Q:$Q,"&lt;=-31",'Data Additive'!$Q:$Q,"&gt;=-60")</f>
        <v>0</v>
      </c>
      <c r="R53" s="19">
        <f>SUMIFS('Data Additive'!$D:$D,'Data Additive'!$P:$P,'Painel Additive'!#REF!,'Data Additive'!$Q:$Q,"&lt;=-61",'Data Additive'!$Q:$Q,"&gt;=-90")</f>
        <v>0</v>
      </c>
      <c r="S53" s="19">
        <f>SUMIFS('Data Additive'!$D:$D,'Data Additive'!$P:$P,'Painel Additive'!#REF!,'Data Additive'!$Q:$Q,"&lt;=-91",'Data Additive'!$Q:$Q,"&gt;=-120")</f>
        <v>0</v>
      </c>
      <c r="T53" s="19">
        <f>SUMIFS('Data Additive'!$D:$D,'Data Additive'!$P:$P,'Painel Additive'!#REF!,'Data Additive'!$Q:$Q,"&lt;=-121",'Data Additive'!$Q:$Q,"&gt;=-180")</f>
        <v>0</v>
      </c>
      <c r="U53" s="19">
        <f>SUMIFS('Data Additive'!$D:$D,'Data Additive'!$P:$P,'Painel Additive'!#REF!,'Data Additive'!$Q:$Q,"&lt;=-181",'Data Additive'!$Q:$Q,"&gt;=-360")</f>
        <v>0</v>
      </c>
      <c r="V53" s="23">
        <f>SUMIFS('Data Additive'!$D:$D,'Data Additive'!$P:$P,'Painel Additive'!#REF!,'Data Additive'!$Q:$Q,"&lt;-360")</f>
        <v>0</v>
      </c>
      <c r="W53" s="19" t="e">
        <f>SUMIFS('Bad Debt Provision'!#REF!,'Bad Debt Provision'!#REF!,'Painel Additive'!#REF!)</f>
        <v>#REF!</v>
      </c>
      <c r="X53" s="5"/>
      <c r="Y53" s="20"/>
      <c r="Z53" s="20"/>
      <c r="AA53" s="21"/>
      <c r="AB53" s="5"/>
      <c r="AC53" s="19"/>
      <c r="AD53" s="20"/>
      <c r="AE53" s="22"/>
      <c r="AF53" s="22"/>
      <c r="AG53" s="5"/>
      <c r="AH53" s="28">
        <f t="shared" si="9"/>
        <v>0</v>
      </c>
      <c r="AI53" s="5"/>
    </row>
    <row r="54" spans="2:36" x14ac:dyDescent="0.25">
      <c r="B54" s="17" t="s">
        <v>154</v>
      </c>
      <c r="C54" s="93" t="str" cm="1">
        <f t="array" ref="C54">IFERROR(INDEX('Limite de crédito'!$D:$D, MATCH(MAX(IF('Limite de crédito'!$C:$C=$B54, 'Limite de crédito'!$A:$A)), 'Limite de crédito'!$A:$A, 0)),"")</f>
        <v/>
      </c>
      <c r="D54" s="18" cm="1">
        <f t="array" ref="D54">IFERROR(INDEX('Limite de crédito'!$F:$F, MATCH(MAX(IF('Limite de crédito'!$C:$C=$B54, 'Limite de crédito'!$A:$A)), 'Limite de crédito'!$A:$A, 0)),0)</f>
        <v>0</v>
      </c>
      <c r="E54" s="18">
        <f t="shared" si="6"/>
        <v>0</v>
      </c>
      <c r="F54" s="18">
        <f t="shared" si="7"/>
        <v>0</v>
      </c>
      <c r="G54" s="19">
        <f>SUMIFS('Data Additive'!$D:$D,'Data Additive'!$P:$P,'Painel Additive'!$B46,'Data Additive'!$Q:$Q,"&gt;0",'Data Additive'!$Q:$Q,"&lt;=30")</f>
        <v>0</v>
      </c>
      <c r="H54" s="19">
        <f>SUMIFS('Data Additive'!$D:$D,'Data Additive'!$P:$P,'Painel Additive'!$B46,'Data Additive'!$Q:$Q,"&gt;30",'Data Additive'!$Q:$Q,"&lt;=60")</f>
        <v>0</v>
      </c>
      <c r="I54" s="19">
        <f>SUMIFS('Data Additive'!$D:$D,'Data Additive'!$P:$P,'Painel Additive'!$B46,'Data Additive'!$Q:$Q,"&gt;60",'Data Additive'!$Q:$Q,"&lt;=90")</f>
        <v>0</v>
      </c>
      <c r="J54" s="19">
        <f>SUMIFS('Data Additive'!$D:$D,'Data Additive'!$P:$P,'Painel Additive'!$B46,'Data Additive'!$Q:$Q,"&gt;90",'Data Additive'!$Q:$Q,"&lt;=120")</f>
        <v>0</v>
      </c>
      <c r="K54" s="19">
        <f>SUMIFS('Data Additive'!$D:$D,'Data Additive'!$P:$P,'Painel Additive'!$B46,'Data Additive'!$Q:$Q,"&gt;120",'Data Additive'!$Q:$Q,"&lt;=180")</f>
        <v>0</v>
      </c>
      <c r="L54" s="19">
        <f>SUMIFS('Data Additive'!$D:$D,'Data Additive'!$P:$P,'Painel Additive'!$B46,'Data Additive'!$Q:$Q,"&gt;180",'Data Additive'!$Q:$Q,"&lt;=360")</f>
        <v>0</v>
      </c>
      <c r="M54" s="23">
        <f>SUMIFS('Data Additive'!$D:$D,'Data Additive'!$P:$P,'Painel Additive'!$B46,'Data Additive'!$Q:$Q,"&gt;360")</f>
        <v>0</v>
      </c>
      <c r="N54" s="19">
        <f>SUMIFS('Data Additive'!$D:$D,'Data Additive'!$P:$P,'Painel Additive'!$B46,'Data Additive'!$Q:$Q,"&gt;0")</f>
        <v>0</v>
      </c>
      <c r="O54" s="19">
        <f t="shared" si="8"/>
        <v>0</v>
      </c>
      <c r="P54" s="19">
        <f>SUMIFS('Data Additive'!$D:$D,'Data Additive'!$P:$P,'Painel Additive'!$B46,'Data Additive'!$Q:$Q,"&lt;=0",'Data Additive'!$Q:$Q,"&gt;=-30")</f>
        <v>0</v>
      </c>
      <c r="Q54" s="19">
        <f>SUMIFS('Data Additive'!$D:$D,'Data Additive'!$P:$P,'Painel Additive'!$B46,'Data Additive'!$Q:$Q,"&lt;=-31",'Data Additive'!$Q:$Q,"&gt;=-60")</f>
        <v>0</v>
      </c>
      <c r="R54" s="19">
        <f>SUMIFS('Data Additive'!$D:$D,'Data Additive'!$P:$P,'Painel Additive'!$B46,'Data Additive'!$Q:$Q,"&lt;=-61",'Data Additive'!$Q:$Q,"&gt;=-90")</f>
        <v>0</v>
      </c>
      <c r="S54" s="19">
        <f>SUMIFS('Data Additive'!$D:$D,'Data Additive'!$P:$P,'Painel Additive'!$B46,'Data Additive'!$Q:$Q,"&lt;=-91",'Data Additive'!$Q:$Q,"&gt;=-120")</f>
        <v>0</v>
      </c>
      <c r="T54" s="19">
        <f>SUMIFS('Data Additive'!$D:$D,'Data Additive'!$P:$P,'Painel Additive'!$B46,'Data Additive'!$Q:$Q,"&lt;=-121",'Data Additive'!$Q:$Q,"&gt;=-180")</f>
        <v>0</v>
      </c>
      <c r="U54" s="19">
        <f>SUMIFS('Data Additive'!$D:$D,'Data Additive'!$P:$P,'Painel Additive'!$B46,'Data Additive'!$Q:$Q,"&lt;=-181",'Data Additive'!$Q:$Q,"&gt;=-360")</f>
        <v>0</v>
      </c>
      <c r="V54" s="23">
        <f>SUMIFS('Data Additive'!$D:$D,'Data Additive'!$P:$P,'Painel Additive'!$B46,'Data Additive'!$Q:$Q,"&lt;-360")</f>
        <v>0</v>
      </c>
      <c r="W54" s="19" t="e">
        <f>SUMIFS('Bad Debt Provision'!#REF!,'Bad Debt Provision'!#REF!,'Painel Additive'!$B46)</f>
        <v>#REF!</v>
      </c>
      <c r="X54" s="5"/>
      <c r="Y54" s="20"/>
      <c r="Z54" s="20"/>
      <c r="AA54" s="21"/>
      <c r="AB54" s="5"/>
      <c r="AC54" s="19"/>
      <c r="AD54" s="20"/>
      <c r="AE54" s="22"/>
      <c r="AF54" s="22"/>
      <c r="AG54" s="5"/>
      <c r="AH54" s="28">
        <f t="shared" si="9"/>
        <v>0</v>
      </c>
      <c r="AI54" s="5"/>
    </row>
    <row r="55" spans="2:36" x14ac:dyDescent="0.25">
      <c r="B55" s="17" t="s">
        <v>144</v>
      </c>
      <c r="C55" s="93" t="str" cm="1">
        <f t="array" ref="C55">IFERROR(INDEX('Limite de crédito'!$D:$D, MATCH(MAX(IF('Limite de crédito'!$C:$C=$B55, 'Limite de crédito'!$A:$A)), 'Limite de crédito'!$A:$A, 0)),"")</f>
        <v/>
      </c>
      <c r="D55" s="18" cm="1">
        <f t="array" ref="D55">IFERROR(INDEX('Limite de crédito'!$F:$F, MATCH(MAX(IF('Limite de crédito'!$C:$C=$B55, 'Limite de crédito'!$A:$A)), 'Limite de crédito'!$A:$A, 0)),0)</f>
        <v>0</v>
      </c>
      <c r="E55" s="18">
        <f t="shared" si="6"/>
        <v>0</v>
      </c>
      <c r="F55" s="18">
        <f t="shared" si="7"/>
        <v>0</v>
      </c>
      <c r="G55" s="19">
        <f>SUMIFS('Data Additive'!$D:$D,'Data Additive'!$P:$P,'Painel Additive'!$B39,'Data Additive'!$Q:$Q,"&gt;0",'Data Additive'!$Q:$Q,"&lt;=30")</f>
        <v>0</v>
      </c>
      <c r="H55" s="19">
        <f>SUMIFS('Data Additive'!$D:$D,'Data Additive'!$P:$P,'Painel Additive'!$B39,'Data Additive'!$Q:$Q,"&gt;30",'Data Additive'!$Q:$Q,"&lt;=60")</f>
        <v>0</v>
      </c>
      <c r="I55" s="19">
        <f>SUMIFS('Data Additive'!$D:$D,'Data Additive'!$P:$P,'Painel Additive'!$B39,'Data Additive'!$Q:$Q,"&gt;60",'Data Additive'!$Q:$Q,"&lt;=90")</f>
        <v>0</v>
      </c>
      <c r="J55" s="19">
        <f>SUMIFS('Data Additive'!$D:$D,'Data Additive'!$P:$P,'Painel Additive'!$B39,'Data Additive'!$Q:$Q,"&gt;90",'Data Additive'!$Q:$Q,"&lt;=120")</f>
        <v>0</v>
      </c>
      <c r="K55" s="19">
        <f>SUMIFS('Data Additive'!$D:$D,'Data Additive'!$P:$P,'Painel Additive'!$B39,'Data Additive'!$Q:$Q,"&gt;120",'Data Additive'!$Q:$Q,"&lt;=180")</f>
        <v>0</v>
      </c>
      <c r="L55" s="19">
        <f>SUMIFS('Data Additive'!$D:$D,'Data Additive'!$P:$P,'Painel Additive'!$B39,'Data Additive'!$Q:$Q,"&gt;180",'Data Additive'!$Q:$Q,"&lt;=360")</f>
        <v>0</v>
      </c>
      <c r="M55" s="23">
        <f>SUMIFS('Data Additive'!$D:$D,'Data Additive'!$P:$P,'Painel Additive'!$B39,'Data Additive'!$Q:$Q,"&gt;360")</f>
        <v>0</v>
      </c>
      <c r="N55" s="19">
        <f>SUMIFS('Data Additive'!$D:$D,'Data Additive'!$P:$P,'Painel Additive'!$B39,'Data Additive'!$Q:$Q,"&gt;0")</f>
        <v>0</v>
      </c>
      <c r="O55" s="19">
        <f t="shared" si="8"/>
        <v>0</v>
      </c>
      <c r="P55" s="19">
        <f>SUMIFS('Data Additive'!$D:$D,'Data Additive'!$P:$P,'Painel Additive'!$B39,'Data Additive'!$Q:$Q,"&lt;=0",'Data Additive'!$Q:$Q,"&gt;=-30")</f>
        <v>0</v>
      </c>
      <c r="Q55" s="19">
        <f>SUMIFS('Data Additive'!$D:$D,'Data Additive'!$P:$P,'Painel Additive'!$B39,'Data Additive'!$Q:$Q,"&lt;=-31",'Data Additive'!$Q:$Q,"&gt;=-60")</f>
        <v>0</v>
      </c>
      <c r="R55" s="19">
        <f>SUMIFS('Data Additive'!$D:$D,'Data Additive'!$P:$P,'Painel Additive'!$B39,'Data Additive'!$Q:$Q,"&lt;=-61",'Data Additive'!$Q:$Q,"&gt;=-90")</f>
        <v>0</v>
      </c>
      <c r="S55" s="19">
        <f>SUMIFS('Data Additive'!$D:$D,'Data Additive'!$P:$P,'Painel Additive'!$B39,'Data Additive'!$Q:$Q,"&lt;=-91",'Data Additive'!$Q:$Q,"&gt;=-120")</f>
        <v>0</v>
      </c>
      <c r="T55" s="19">
        <f>SUMIFS('Data Additive'!$D:$D,'Data Additive'!$P:$P,'Painel Additive'!$B39,'Data Additive'!$Q:$Q,"&lt;=-121",'Data Additive'!$Q:$Q,"&gt;=-180")</f>
        <v>0</v>
      </c>
      <c r="U55" s="19">
        <f>SUMIFS('Data Additive'!$D:$D,'Data Additive'!$P:$P,'Painel Additive'!$B39,'Data Additive'!$Q:$Q,"&lt;=-181",'Data Additive'!$Q:$Q,"&gt;=-360")</f>
        <v>0</v>
      </c>
      <c r="V55" s="23">
        <f>SUMIFS('Data Additive'!$D:$D,'Data Additive'!$P:$P,'Painel Additive'!$B39,'Data Additive'!$Q:$Q,"&lt;-360")</f>
        <v>0</v>
      </c>
      <c r="W55" s="19" t="e">
        <f>SUMIFS('Bad Debt Provision'!#REF!,'Bad Debt Provision'!#REF!,'Painel Additive'!$B39)</f>
        <v>#REF!</v>
      </c>
      <c r="X55" s="5"/>
      <c r="Y55" s="20"/>
      <c r="Z55" s="20"/>
      <c r="AA55" s="21"/>
      <c r="AB55" s="5"/>
      <c r="AC55" s="19"/>
      <c r="AD55" s="20"/>
      <c r="AE55" s="22"/>
      <c r="AF55" s="22"/>
      <c r="AG55" s="5"/>
      <c r="AH55" s="28">
        <f t="shared" si="9"/>
        <v>0</v>
      </c>
      <c r="AI55" s="5"/>
    </row>
    <row r="56" spans="2:36" x14ac:dyDescent="0.25">
      <c r="B56" s="17" t="s">
        <v>174</v>
      </c>
      <c r="C56" s="93" t="str" cm="1">
        <f t="array" ref="C56">IFERROR(INDEX('Limite de crédito'!$D:$D, MATCH(MAX(IF('Limite de crédito'!$C:$C=$B56, 'Limite de crédito'!$A:$A)), 'Limite de crédito'!$A:$A, 0)),"")</f>
        <v/>
      </c>
      <c r="D56" s="18" cm="1">
        <f t="array" ref="D56">IFERROR(INDEX('Limite de crédito'!$F:$F, MATCH(MAX(IF('Limite de crédito'!$C:$C=$B56, 'Limite de crédito'!$A:$A)), 'Limite de crédito'!$A:$A, 0)),0)</f>
        <v>0</v>
      </c>
      <c r="E56" s="18">
        <f t="shared" si="6"/>
        <v>0</v>
      </c>
      <c r="F56" s="18">
        <f t="shared" si="7"/>
        <v>0</v>
      </c>
      <c r="G56" s="19">
        <f>SUMIFS('Data Additive'!$D:$D,'Data Additive'!$P:$P,'Painel Additive'!$B29,'Data Additive'!$Q:$Q,"&gt;0",'Data Additive'!$Q:$Q,"&lt;=30")</f>
        <v>0</v>
      </c>
      <c r="H56" s="19">
        <f>SUMIFS('Data Additive'!$D:$D,'Data Additive'!$P:$P,'Painel Additive'!$B29,'Data Additive'!$Q:$Q,"&gt;30",'Data Additive'!$Q:$Q,"&lt;=60")</f>
        <v>0</v>
      </c>
      <c r="I56" s="19">
        <f>SUMIFS('Data Additive'!$D:$D,'Data Additive'!$P:$P,'Painel Additive'!$B29,'Data Additive'!$Q:$Q,"&gt;60",'Data Additive'!$Q:$Q,"&lt;=90")</f>
        <v>0</v>
      </c>
      <c r="J56" s="19">
        <f>SUMIFS('Data Additive'!$D:$D,'Data Additive'!$P:$P,'Painel Additive'!$B29,'Data Additive'!$Q:$Q,"&gt;90",'Data Additive'!$Q:$Q,"&lt;=120")</f>
        <v>0</v>
      </c>
      <c r="K56" s="19">
        <f>SUMIFS('Data Additive'!$D:$D,'Data Additive'!$P:$P,'Painel Additive'!$B29,'Data Additive'!$Q:$Q,"&gt;120",'Data Additive'!$Q:$Q,"&lt;=180")</f>
        <v>0</v>
      </c>
      <c r="L56" s="19">
        <f>SUMIFS('Data Additive'!$D:$D,'Data Additive'!$P:$P,'Painel Additive'!$B29,'Data Additive'!$Q:$Q,"&gt;180",'Data Additive'!$Q:$Q,"&lt;=360")</f>
        <v>0</v>
      </c>
      <c r="M56" s="23">
        <f>SUMIFS('Data Additive'!$D:$D,'Data Additive'!$P:$P,'Painel Additive'!$B29,'Data Additive'!$Q:$Q,"&gt;360")</f>
        <v>0</v>
      </c>
      <c r="N56" s="19">
        <f>SUMIFS('Data Additive'!$D:$D,'Data Additive'!$P:$P,'Painel Additive'!$B29,'Data Additive'!$Q:$Q,"&gt;0")</f>
        <v>0</v>
      </c>
      <c r="O56" s="19">
        <f t="shared" si="8"/>
        <v>0</v>
      </c>
      <c r="P56" s="19">
        <f>SUMIFS('Data Additive'!$D:$D,'Data Additive'!$P:$P,'Painel Additive'!$B29,'Data Additive'!$Q:$Q,"&lt;=0",'Data Additive'!$Q:$Q,"&gt;=-30")</f>
        <v>0</v>
      </c>
      <c r="Q56" s="19">
        <f>SUMIFS('Data Additive'!$D:$D,'Data Additive'!$P:$P,'Painel Additive'!$B29,'Data Additive'!$Q:$Q,"&lt;=-31",'Data Additive'!$Q:$Q,"&gt;=-60")</f>
        <v>0</v>
      </c>
      <c r="R56" s="19">
        <f>SUMIFS('Data Additive'!$D:$D,'Data Additive'!$P:$P,'Painel Additive'!$B29,'Data Additive'!$Q:$Q,"&lt;=-61",'Data Additive'!$Q:$Q,"&gt;=-90")</f>
        <v>0</v>
      </c>
      <c r="S56" s="19">
        <f>SUMIFS('Data Additive'!$D:$D,'Data Additive'!$P:$P,'Painel Additive'!$B29,'Data Additive'!$Q:$Q,"&lt;=-91",'Data Additive'!$Q:$Q,"&gt;=-120")</f>
        <v>0</v>
      </c>
      <c r="T56" s="19">
        <f>SUMIFS('Data Additive'!$D:$D,'Data Additive'!$P:$P,'Painel Additive'!$B29,'Data Additive'!$Q:$Q,"&lt;=-121",'Data Additive'!$Q:$Q,"&gt;=-180")</f>
        <v>0</v>
      </c>
      <c r="U56" s="19">
        <f>SUMIFS('Data Additive'!$D:$D,'Data Additive'!$P:$P,'Painel Additive'!$B29,'Data Additive'!$Q:$Q,"&lt;=-181",'Data Additive'!$Q:$Q,"&gt;=-360")</f>
        <v>0</v>
      </c>
      <c r="V56" s="23">
        <f>SUMIFS('Data Additive'!$D:$D,'Data Additive'!$P:$P,'Painel Additive'!$B29,'Data Additive'!$Q:$Q,"&lt;-360")</f>
        <v>0</v>
      </c>
      <c r="W56" s="19" t="e">
        <f>SUMIFS('Bad Debt Provision'!#REF!,'Bad Debt Provision'!#REF!,'Painel Additive'!$B29)</f>
        <v>#REF!</v>
      </c>
      <c r="X56" s="5"/>
      <c r="Y56" s="20"/>
      <c r="Z56" s="20"/>
      <c r="AA56" s="21"/>
      <c r="AB56" s="5"/>
      <c r="AC56" s="19"/>
      <c r="AD56" s="20"/>
      <c r="AE56" s="22"/>
      <c r="AF56" s="22"/>
      <c r="AG56" s="5"/>
      <c r="AH56" s="28">
        <f t="shared" si="9"/>
        <v>0</v>
      </c>
      <c r="AI56" s="5"/>
    </row>
    <row r="57" spans="2:36" x14ac:dyDescent="0.25">
      <c r="B57" s="17" t="s">
        <v>272</v>
      </c>
      <c r="C57" s="93" t="str" cm="1">
        <f t="array" ref="C57">IFERROR(INDEX('Limite de crédito'!$D:$D, MATCH(MAX(IF('Limite de crédito'!$C:$C=$B57, 'Limite de crédito'!$A:$A)), 'Limite de crédito'!$A:$A, 0)),"")</f>
        <v/>
      </c>
      <c r="D57" s="18" cm="1">
        <f t="array" ref="D57">IFERROR(INDEX('Limite de crédito'!$F:$F, MATCH(MAX(IF('Limite de crédito'!$C:$C=$B57, 'Limite de crédito'!$A:$A)), 'Limite de crédito'!$A:$A, 0)),0)</f>
        <v>0</v>
      </c>
      <c r="E57" s="18">
        <f t="shared" si="6"/>
        <v>0</v>
      </c>
      <c r="F57" s="18">
        <f t="shared" si="7"/>
        <v>0</v>
      </c>
      <c r="G57" s="19">
        <f>SUMIFS('Data Additive'!$D:$D,'Data Additive'!$P:$P,'Painel Additive'!#REF!,'Data Additive'!$Q:$Q,"&gt;0",'Data Additive'!$Q:$Q,"&lt;=30")</f>
        <v>0</v>
      </c>
      <c r="H57" s="19">
        <f>SUMIFS('Data Additive'!$D:$D,'Data Additive'!$P:$P,'Painel Additive'!#REF!,'Data Additive'!$Q:$Q,"&gt;30",'Data Additive'!$Q:$Q,"&lt;=60")</f>
        <v>0</v>
      </c>
      <c r="I57" s="19">
        <f>SUMIFS('Data Additive'!$D:$D,'Data Additive'!$P:$P,'Painel Additive'!#REF!,'Data Additive'!$Q:$Q,"&gt;60",'Data Additive'!$Q:$Q,"&lt;=90")</f>
        <v>0</v>
      </c>
      <c r="J57" s="19">
        <f>SUMIFS('Data Additive'!$D:$D,'Data Additive'!$P:$P,'Painel Additive'!#REF!,'Data Additive'!$Q:$Q,"&gt;90",'Data Additive'!$Q:$Q,"&lt;=120")</f>
        <v>0</v>
      </c>
      <c r="K57" s="19">
        <f>SUMIFS('Data Additive'!$D:$D,'Data Additive'!$P:$P,'Painel Additive'!#REF!,'Data Additive'!$Q:$Q,"&gt;120",'Data Additive'!$Q:$Q,"&lt;=180")</f>
        <v>0</v>
      </c>
      <c r="L57" s="19">
        <f>SUMIFS('Data Additive'!$D:$D,'Data Additive'!$P:$P,'Painel Additive'!#REF!,'Data Additive'!$Q:$Q,"&gt;180",'Data Additive'!$Q:$Q,"&lt;=360")</f>
        <v>0</v>
      </c>
      <c r="M57" s="23">
        <f>SUMIFS('Data Additive'!$D:$D,'Data Additive'!$P:$P,'Painel Additive'!#REF!,'Data Additive'!$Q:$Q,"&gt;360")</f>
        <v>0</v>
      </c>
      <c r="N57" s="19">
        <f>SUMIFS('Data Additive'!$D:$D,'Data Additive'!$P:$P,'Painel Additive'!#REF!,'Data Additive'!$Q:$Q,"&gt;0")</f>
        <v>0</v>
      </c>
      <c r="O57" s="19">
        <f t="shared" si="8"/>
        <v>0</v>
      </c>
      <c r="P57" s="19">
        <f>SUMIFS('Data Additive'!$D:$D,'Data Additive'!$P:$P,'Painel Additive'!#REF!,'Data Additive'!$Q:$Q,"&lt;=0",'Data Additive'!$Q:$Q,"&gt;=-30")</f>
        <v>0</v>
      </c>
      <c r="Q57" s="19">
        <f>SUMIFS('Data Additive'!$D:$D,'Data Additive'!$P:$P,'Painel Additive'!#REF!,'Data Additive'!$Q:$Q,"&lt;=-31",'Data Additive'!$Q:$Q,"&gt;=-60")</f>
        <v>0</v>
      </c>
      <c r="R57" s="19">
        <f>SUMIFS('Data Additive'!$D:$D,'Data Additive'!$P:$P,'Painel Additive'!#REF!,'Data Additive'!$Q:$Q,"&lt;=-61",'Data Additive'!$Q:$Q,"&gt;=-90")</f>
        <v>0</v>
      </c>
      <c r="S57" s="19">
        <f>SUMIFS('Data Additive'!$D:$D,'Data Additive'!$P:$P,'Painel Additive'!#REF!,'Data Additive'!$Q:$Q,"&lt;=-91",'Data Additive'!$Q:$Q,"&gt;=-120")</f>
        <v>0</v>
      </c>
      <c r="T57" s="19">
        <f>SUMIFS('Data Additive'!$D:$D,'Data Additive'!$P:$P,'Painel Additive'!#REF!,'Data Additive'!$Q:$Q,"&lt;=-121",'Data Additive'!$Q:$Q,"&gt;=-180")</f>
        <v>0</v>
      </c>
      <c r="U57" s="19">
        <f>SUMIFS('Data Additive'!$D:$D,'Data Additive'!$P:$P,'Painel Additive'!#REF!,'Data Additive'!$Q:$Q,"&lt;=-181",'Data Additive'!$Q:$Q,"&gt;=-360")</f>
        <v>0</v>
      </c>
      <c r="V57" s="23">
        <f>SUMIFS('Data Additive'!$D:$D,'Data Additive'!$P:$P,'Painel Additive'!#REF!,'Data Additive'!$Q:$Q,"&lt;-360")</f>
        <v>0</v>
      </c>
      <c r="W57" s="19" t="e">
        <f>SUMIFS('Bad Debt Provision'!#REF!,'Bad Debt Provision'!#REF!,'Painel Additive'!#REF!)</f>
        <v>#REF!</v>
      </c>
      <c r="X57" s="5"/>
      <c r="Y57" s="20"/>
      <c r="Z57" s="20"/>
      <c r="AA57" s="21"/>
      <c r="AB57" s="5"/>
      <c r="AC57" s="19"/>
      <c r="AD57" s="20"/>
      <c r="AE57" s="22"/>
      <c r="AF57" s="22"/>
      <c r="AG57" s="5"/>
      <c r="AH57" s="28">
        <f t="shared" si="9"/>
        <v>0</v>
      </c>
    </row>
    <row r="58" spans="2:36" x14ac:dyDescent="0.25">
      <c r="B58" s="17" t="s">
        <v>290</v>
      </c>
      <c r="C58" s="93" t="str" cm="1">
        <f t="array" ref="C58">IFERROR(INDEX('Limite de crédito'!$D:$D, MATCH(MAX(IF('Limite de crédito'!$C:$C=$B58, 'Limite de crédito'!$A:$A)), 'Limite de crédito'!$A:$A, 0)),"")</f>
        <v/>
      </c>
      <c r="D58" s="18" cm="1">
        <f t="array" ref="D58">IFERROR(INDEX('Limite de crédito'!$F:$F, MATCH(MAX(IF('Limite de crédito'!$C:$C=$B58, 'Limite de crédito'!$A:$A)), 'Limite de crédito'!$A:$A, 0)),0)</f>
        <v>0</v>
      </c>
      <c r="E58" s="18">
        <f t="shared" si="6"/>
        <v>0</v>
      </c>
      <c r="F58" s="18">
        <f t="shared" si="7"/>
        <v>0</v>
      </c>
      <c r="G58" s="19">
        <f>SUMIFS('Data Additive'!$D:$D,'Data Additive'!$P:$P,'Painel Additive'!#REF!,'Data Additive'!$Q:$Q,"&gt;0",'Data Additive'!$Q:$Q,"&lt;=30")</f>
        <v>0</v>
      </c>
      <c r="H58" s="19">
        <f>SUMIFS('Data Additive'!$D:$D,'Data Additive'!$P:$P,'Painel Additive'!#REF!,'Data Additive'!$Q:$Q,"&gt;30",'Data Additive'!$Q:$Q,"&lt;=60")</f>
        <v>0</v>
      </c>
      <c r="I58" s="19">
        <f>SUMIFS('Data Additive'!$D:$D,'Data Additive'!$P:$P,'Painel Additive'!#REF!,'Data Additive'!$Q:$Q,"&gt;60",'Data Additive'!$Q:$Q,"&lt;=90")</f>
        <v>0</v>
      </c>
      <c r="J58" s="19">
        <f>SUMIFS('Data Additive'!$D:$D,'Data Additive'!$P:$P,'Painel Additive'!#REF!,'Data Additive'!$Q:$Q,"&gt;90",'Data Additive'!$Q:$Q,"&lt;=120")</f>
        <v>0</v>
      </c>
      <c r="K58" s="19">
        <f>SUMIFS('Data Additive'!$D:$D,'Data Additive'!$P:$P,'Painel Additive'!#REF!,'Data Additive'!$Q:$Q,"&gt;120",'Data Additive'!$Q:$Q,"&lt;=180")</f>
        <v>0</v>
      </c>
      <c r="L58" s="19">
        <f>SUMIFS('Data Additive'!$D:$D,'Data Additive'!$P:$P,'Painel Additive'!#REF!,'Data Additive'!$Q:$Q,"&gt;180",'Data Additive'!$Q:$Q,"&lt;=360")</f>
        <v>0</v>
      </c>
      <c r="M58" s="23">
        <f>SUMIFS('Data Additive'!$D:$D,'Data Additive'!$P:$P,'Painel Additive'!#REF!,'Data Additive'!$Q:$Q,"&gt;360")</f>
        <v>0</v>
      </c>
      <c r="N58" s="19">
        <f>SUMIFS('Data Additive'!$D:$D,'Data Additive'!$P:$P,'Painel Additive'!#REF!,'Data Additive'!$Q:$Q,"&gt;0")</f>
        <v>0</v>
      </c>
      <c r="O58" s="19">
        <f t="shared" si="8"/>
        <v>0</v>
      </c>
      <c r="P58" s="19">
        <f>SUMIFS('Data Additive'!$D:$D,'Data Additive'!$P:$P,'Painel Additive'!#REF!,'Data Additive'!$Q:$Q,"&lt;=0",'Data Additive'!$Q:$Q,"&gt;=-30")</f>
        <v>0</v>
      </c>
      <c r="Q58" s="19">
        <f>SUMIFS('Data Additive'!$D:$D,'Data Additive'!$P:$P,'Painel Additive'!#REF!,'Data Additive'!$Q:$Q,"&lt;=-31",'Data Additive'!$Q:$Q,"&gt;=-60")</f>
        <v>0</v>
      </c>
      <c r="R58" s="19">
        <f>SUMIFS('Data Additive'!$D:$D,'Data Additive'!$P:$P,'Painel Additive'!#REF!,'Data Additive'!$Q:$Q,"&lt;=-61",'Data Additive'!$Q:$Q,"&gt;=-90")</f>
        <v>0</v>
      </c>
      <c r="S58" s="19">
        <f>SUMIFS('Data Additive'!$D:$D,'Data Additive'!$P:$P,'Painel Additive'!#REF!,'Data Additive'!$Q:$Q,"&lt;=-91",'Data Additive'!$Q:$Q,"&gt;=-120")</f>
        <v>0</v>
      </c>
      <c r="T58" s="19">
        <f>SUMIFS('Data Additive'!$D:$D,'Data Additive'!$P:$P,'Painel Additive'!#REF!,'Data Additive'!$Q:$Q,"&lt;=-121",'Data Additive'!$Q:$Q,"&gt;=-180")</f>
        <v>0</v>
      </c>
      <c r="U58" s="19">
        <f>SUMIFS('Data Additive'!$D:$D,'Data Additive'!$P:$P,'Painel Additive'!#REF!,'Data Additive'!$Q:$Q,"&lt;=-181",'Data Additive'!$Q:$Q,"&gt;=-360")</f>
        <v>0</v>
      </c>
      <c r="V58" s="23">
        <f>SUMIFS('Data Additive'!$D:$D,'Data Additive'!$P:$P,'Painel Additive'!#REF!,'Data Additive'!$Q:$Q,"&lt;-360")</f>
        <v>0</v>
      </c>
      <c r="W58" s="19" t="e">
        <f>SUMIFS('Bad Debt Provision'!#REF!,'Bad Debt Provision'!#REF!,'Painel Additive'!#REF!)</f>
        <v>#REF!</v>
      </c>
      <c r="X58" s="5"/>
      <c r="Y58" s="20"/>
      <c r="Z58" s="20"/>
      <c r="AA58" s="21"/>
      <c r="AB58" s="5"/>
      <c r="AC58" s="19"/>
      <c r="AD58" s="20"/>
      <c r="AE58" s="22"/>
      <c r="AF58" s="22"/>
      <c r="AG58" s="5"/>
      <c r="AH58" s="28">
        <f t="shared" si="9"/>
        <v>0</v>
      </c>
    </row>
    <row r="59" spans="2:36" x14ac:dyDescent="0.25">
      <c r="B59" s="17" t="s">
        <v>94</v>
      </c>
      <c r="C59" s="93" t="str" cm="1">
        <f t="array" ref="C59">IFERROR(INDEX('Limite de crédito'!$D:$D, MATCH(MAX(IF('Limite de crédito'!$C:$C=$B59, 'Limite de crédito'!$A:$A)), 'Limite de crédito'!$A:$A, 0)),"")</f>
        <v/>
      </c>
      <c r="D59" s="18" cm="1">
        <f t="array" ref="D59">IFERROR(INDEX('Limite de crédito'!$F:$F, MATCH(MAX(IF('Limite de crédito'!$C:$C=$B59, 'Limite de crédito'!$A:$A)), 'Limite de crédito'!$A:$A, 0)),0)</f>
        <v>0</v>
      </c>
      <c r="E59" s="18">
        <f t="shared" si="6"/>
        <v>0</v>
      </c>
      <c r="F59" s="18">
        <f t="shared" si="7"/>
        <v>0</v>
      </c>
      <c r="G59" s="19">
        <f>SUMIFS('Data Additive'!$D:$D,'Data Additive'!$P:$P,'Painel Additive'!$B40,'Data Additive'!$Q:$Q,"&gt;0",'Data Additive'!$Q:$Q,"&lt;=30")</f>
        <v>0</v>
      </c>
      <c r="H59" s="19">
        <f>SUMIFS('Data Additive'!$D:$D,'Data Additive'!$P:$P,'Painel Additive'!$B40,'Data Additive'!$Q:$Q,"&gt;30",'Data Additive'!$Q:$Q,"&lt;=60")</f>
        <v>0</v>
      </c>
      <c r="I59" s="19">
        <f>SUMIFS('Data Additive'!$D:$D,'Data Additive'!$P:$P,'Painel Additive'!$B40,'Data Additive'!$Q:$Q,"&gt;60",'Data Additive'!$Q:$Q,"&lt;=90")</f>
        <v>0</v>
      </c>
      <c r="J59" s="19">
        <f>SUMIFS('Data Additive'!$D:$D,'Data Additive'!$P:$P,'Painel Additive'!$B40,'Data Additive'!$Q:$Q,"&gt;90",'Data Additive'!$Q:$Q,"&lt;=120")</f>
        <v>0</v>
      </c>
      <c r="K59" s="19">
        <f>SUMIFS('Data Additive'!$D:$D,'Data Additive'!$P:$P,'Painel Additive'!$B40,'Data Additive'!$Q:$Q,"&gt;120",'Data Additive'!$Q:$Q,"&lt;=180")</f>
        <v>0</v>
      </c>
      <c r="L59" s="19">
        <f>SUMIFS('Data Additive'!$D:$D,'Data Additive'!$P:$P,'Painel Additive'!$B40,'Data Additive'!$Q:$Q,"&gt;180",'Data Additive'!$Q:$Q,"&lt;=360")</f>
        <v>0</v>
      </c>
      <c r="M59" s="23">
        <f>SUMIFS('Data Additive'!$D:$D,'Data Additive'!$P:$P,'Painel Additive'!$B40,'Data Additive'!$Q:$Q,"&gt;360")</f>
        <v>0</v>
      </c>
      <c r="N59" s="19">
        <f>SUMIFS('Data Additive'!$D:$D,'Data Additive'!$P:$P,'Painel Additive'!$B40,'Data Additive'!$Q:$Q,"&gt;0")</f>
        <v>0</v>
      </c>
      <c r="O59" s="19">
        <f t="shared" si="8"/>
        <v>0</v>
      </c>
      <c r="P59" s="19">
        <f>SUMIFS('Data Additive'!$D:$D,'Data Additive'!$P:$P,'Painel Additive'!$B40,'Data Additive'!$Q:$Q,"&lt;=0",'Data Additive'!$Q:$Q,"&gt;=-30")</f>
        <v>0</v>
      </c>
      <c r="Q59" s="19">
        <f>SUMIFS('Data Additive'!$D:$D,'Data Additive'!$P:$P,'Painel Additive'!$B40,'Data Additive'!$Q:$Q,"&lt;=-31",'Data Additive'!$Q:$Q,"&gt;=-60")</f>
        <v>0</v>
      </c>
      <c r="R59" s="19">
        <f>SUMIFS('Data Additive'!$D:$D,'Data Additive'!$P:$P,'Painel Additive'!$B40,'Data Additive'!$Q:$Q,"&lt;=-61",'Data Additive'!$Q:$Q,"&gt;=-90")</f>
        <v>0</v>
      </c>
      <c r="S59" s="19">
        <f>SUMIFS('Data Additive'!$D:$D,'Data Additive'!$P:$P,'Painel Additive'!$B40,'Data Additive'!$Q:$Q,"&lt;=-91",'Data Additive'!$Q:$Q,"&gt;=-120")</f>
        <v>0</v>
      </c>
      <c r="T59" s="19">
        <f>SUMIFS('Data Additive'!$D:$D,'Data Additive'!$P:$P,'Painel Additive'!$B40,'Data Additive'!$Q:$Q,"&lt;=-121",'Data Additive'!$Q:$Q,"&gt;=-180")</f>
        <v>0</v>
      </c>
      <c r="U59" s="19">
        <f>SUMIFS('Data Additive'!$D:$D,'Data Additive'!$P:$P,'Painel Additive'!$B40,'Data Additive'!$Q:$Q,"&lt;=-181",'Data Additive'!$Q:$Q,"&gt;=-360")</f>
        <v>0</v>
      </c>
      <c r="V59" s="23">
        <f>SUMIFS('Data Additive'!$D:$D,'Data Additive'!$P:$P,'Painel Additive'!$B40,'Data Additive'!$Q:$Q,"&lt;-360")</f>
        <v>0</v>
      </c>
      <c r="W59" s="19" t="e">
        <f>SUMIFS('Bad Debt Provision'!#REF!,'Bad Debt Provision'!#REF!,'Painel Additive'!$B40)</f>
        <v>#REF!</v>
      </c>
      <c r="X59" s="5"/>
      <c r="Y59" s="20"/>
      <c r="Z59" s="20"/>
      <c r="AA59" s="21"/>
      <c r="AB59" s="5"/>
      <c r="AC59" s="19"/>
      <c r="AD59" s="20"/>
      <c r="AE59" s="22"/>
      <c r="AF59" s="22"/>
      <c r="AG59" s="5"/>
      <c r="AH59" s="28">
        <f t="shared" si="9"/>
        <v>0</v>
      </c>
      <c r="AI59" s="5"/>
    </row>
    <row r="60" spans="2:36" x14ac:dyDescent="0.25">
      <c r="B60" s="41" t="s">
        <v>364</v>
      </c>
      <c r="C60" s="94" t="str" cm="1">
        <f t="array" ref="C60">IFERROR(INDEX('Limite de crédito'!$D:$D, MATCH(MAX(IF('Limite de crédito'!$C:$C=$B60, 'Limite de crédito'!$A:$A)), 'Limite de crédito'!$A:$A, 0)),"")</f>
        <v/>
      </c>
      <c r="D60" s="18" cm="1">
        <f t="array" ref="D60">IFERROR(INDEX('Limite de crédito'!$F:$F, MATCH(MAX(IF('Limite de crédito'!$C:$C=$B60, 'Limite de crédito'!$A:$A)), 'Limite de crédito'!$A:$A, 0)),0)</f>
        <v>0</v>
      </c>
      <c r="E60" s="18">
        <f t="shared" si="6"/>
        <v>0</v>
      </c>
      <c r="F60" s="18">
        <f t="shared" si="7"/>
        <v>0</v>
      </c>
      <c r="G60" s="19">
        <f>SUMIFS('Data Additive'!$D:$D,'Data Additive'!$P:$P,'Painel Additive'!#REF!,'Data Additive'!$Q:$Q,"&gt;0",'Data Additive'!$Q:$Q,"&lt;=30")</f>
        <v>0</v>
      </c>
      <c r="H60" s="19">
        <f>SUMIFS('Data Additive'!$D:$D,'Data Additive'!$P:$P,'Painel Additive'!#REF!,'Data Additive'!$Q:$Q,"&gt;30",'Data Additive'!$Q:$Q,"&lt;=60")</f>
        <v>0</v>
      </c>
      <c r="I60" s="19">
        <f>SUMIFS('Data Additive'!$D:$D,'Data Additive'!$P:$P,'Painel Additive'!#REF!,'Data Additive'!$Q:$Q,"&gt;60",'Data Additive'!$Q:$Q,"&lt;=90")</f>
        <v>0</v>
      </c>
      <c r="J60" s="19">
        <f>SUMIFS('Data Additive'!$D:$D,'Data Additive'!$P:$P,'Painel Additive'!#REF!,'Data Additive'!$Q:$Q,"&gt;90",'Data Additive'!$Q:$Q,"&lt;=120")</f>
        <v>0</v>
      </c>
      <c r="K60" s="19">
        <f>SUMIFS('Data Additive'!$D:$D,'Data Additive'!$P:$P,'Painel Additive'!#REF!,'Data Additive'!$Q:$Q,"&gt;120",'Data Additive'!$Q:$Q,"&lt;=180")</f>
        <v>0</v>
      </c>
      <c r="L60" s="19">
        <f>SUMIFS('Data Additive'!$D:$D,'Data Additive'!$P:$P,'Painel Additive'!#REF!,'Data Additive'!$Q:$Q,"&gt;180",'Data Additive'!$Q:$Q,"&lt;=360")</f>
        <v>0</v>
      </c>
      <c r="M60" s="23">
        <f>SUMIFS('Data Additive'!$D:$D,'Data Additive'!$P:$P,'Painel Additive'!#REF!,'Data Additive'!$Q:$Q,"&gt;360")</f>
        <v>0</v>
      </c>
      <c r="N60" s="19">
        <f>SUMIFS('Data Additive'!$D:$D,'Data Additive'!$P:$P,'Painel Additive'!#REF!,'Data Additive'!$Q:$Q,"&gt;0")</f>
        <v>0</v>
      </c>
      <c r="O60" s="19">
        <f t="shared" si="8"/>
        <v>0</v>
      </c>
      <c r="P60" s="19">
        <f>SUMIFS('Data Additive'!$D:$D,'Data Additive'!$P:$P,'Painel Additive'!#REF!,'Data Additive'!$Q:$Q,"&lt;=0",'Data Additive'!$Q:$Q,"&gt;=-30")</f>
        <v>0</v>
      </c>
      <c r="Q60" s="19">
        <f>SUMIFS('Data Additive'!$D:$D,'Data Additive'!$P:$P,'Painel Additive'!#REF!,'Data Additive'!$Q:$Q,"&lt;=-31",'Data Additive'!$Q:$Q,"&gt;=-60")</f>
        <v>0</v>
      </c>
      <c r="R60" s="19">
        <f>SUMIFS('Data Additive'!$D:$D,'Data Additive'!$P:$P,'Painel Additive'!#REF!,'Data Additive'!$Q:$Q,"&lt;=-61",'Data Additive'!$Q:$Q,"&gt;=-90")</f>
        <v>0</v>
      </c>
      <c r="S60" s="19">
        <f>SUMIFS('Data Additive'!$D:$D,'Data Additive'!$P:$P,'Painel Additive'!#REF!,'Data Additive'!$Q:$Q,"&lt;=-91",'Data Additive'!$Q:$Q,"&gt;=-120")</f>
        <v>0</v>
      </c>
      <c r="T60" s="19">
        <f>SUMIFS('Data Additive'!$D:$D,'Data Additive'!$P:$P,'Painel Additive'!#REF!,'Data Additive'!$Q:$Q,"&lt;=-121",'Data Additive'!$Q:$Q,"&gt;=-180")</f>
        <v>0</v>
      </c>
      <c r="U60" s="19">
        <f>SUMIFS('Data Additive'!$D:$D,'Data Additive'!$P:$P,'Painel Additive'!#REF!,'Data Additive'!$Q:$Q,"&lt;=-181",'Data Additive'!$Q:$Q,"&gt;=-360")</f>
        <v>0</v>
      </c>
      <c r="V60" s="23">
        <f>SUMIFS('Data Additive'!$D:$D,'Data Additive'!$P:$P,'Painel Additive'!#REF!,'Data Additive'!$Q:$Q,"&lt;-360")</f>
        <v>0</v>
      </c>
      <c r="W60" s="19" t="e">
        <f>SUMIFS('Bad Debt Provision'!#REF!,'Bad Debt Provision'!#REF!,'Painel Additive'!#REF!)</f>
        <v>#REF!</v>
      </c>
      <c r="X60" s="5"/>
      <c r="Y60" s="20"/>
      <c r="Z60" s="20"/>
      <c r="AA60" s="21"/>
      <c r="AB60" s="5"/>
      <c r="AC60" s="19"/>
      <c r="AD60" s="20"/>
      <c r="AE60" s="22"/>
      <c r="AF60" s="22"/>
      <c r="AG60" s="5"/>
      <c r="AH60" s="28">
        <f t="shared" si="9"/>
        <v>0</v>
      </c>
    </row>
    <row r="61" spans="2:36" x14ac:dyDescent="0.25">
      <c r="B61" s="17" t="s">
        <v>159</v>
      </c>
      <c r="C61" s="93" t="str" cm="1">
        <f t="array" ref="C61">IFERROR(INDEX('Limite de crédito'!$D:$D, MATCH(MAX(IF('Limite de crédito'!$C:$C=$B61, 'Limite de crédito'!$A:$A)), 'Limite de crédito'!$A:$A, 0)),"")</f>
        <v/>
      </c>
      <c r="D61" s="18" cm="1">
        <f t="array" ref="D61">IFERROR(INDEX('Limite de crédito'!$F:$F, MATCH(MAX(IF('Limite de crédito'!$C:$C=$B61, 'Limite de crédito'!$A:$A)), 'Limite de crédito'!$A:$A, 0)),0)</f>
        <v>0</v>
      </c>
      <c r="E61" s="18">
        <f t="shared" si="6"/>
        <v>0</v>
      </c>
      <c r="F61" s="18">
        <f t="shared" si="7"/>
        <v>0</v>
      </c>
      <c r="G61" s="19">
        <f>SUMIFS('Data Additive'!$D:$D,'Data Additive'!$P:$P,'Painel Additive'!#REF!,'Data Additive'!$Q:$Q,"&gt;0",'Data Additive'!$Q:$Q,"&lt;=30")</f>
        <v>0</v>
      </c>
      <c r="H61" s="19">
        <f>SUMIFS('Data Additive'!$D:$D,'Data Additive'!$P:$P,'Painel Additive'!#REF!,'Data Additive'!$Q:$Q,"&gt;30",'Data Additive'!$Q:$Q,"&lt;=60")</f>
        <v>0</v>
      </c>
      <c r="I61" s="19">
        <f>SUMIFS('Data Additive'!$D:$D,'Data Additive'!$P:$P,'Painel Additive'!#REF!,'Data Additive'!$Q:$Q,"&gt;60",'Data Additive'!$Q:$Q,"&lt;=90")</f>
        <v>0</v>
      </c>
      <c r="J61" s="19">
        <f>SUMIFS('Data Additive'!$D:$D,'Data Additive'!$P:$P,'Painel Additive'!#REF!,'Data Additive'!$Q:$Q,"&gt;90",'Data Additive'!$Q:$Q,"&lt;=120")</f>
        <v>0</v>
      </c>
      <c r="K61" s="19">
        <f>SUMIFS('Data Additive'!$D:$D,'Data Additive'!$P:$P,'Painel Additive'!#REF!,'Data Additive'!$Q:$Q,"&gt;120",'Data Additive'!$Q:$Q,"&lt;=180")</f>
        <v>0</v>
      </c>
      <c r="L61" s="19">
        <f>SUMIFS('Data Additive'!$D:$D,'Data Additive'!$P:$P,'Painel Additive'!#REF!,'Data Additive'!$Q:$Q,"&gt;180",'Data Additive'!$Q:$Q,"&lt;=360")</f>
        <v>0</v>
      </c>
      <c r="M61" s="23">
        <f>SUMIFS('Data Additive'!$D:$D,'Data Additive'!$P:$P,'Painel Additive'!#REF!,'Data Additive'!$Q:$Q,"&gt;360")</f>
        <v>0</v>
      </c>
      <c r="N61" s="19">
        <f>SUMIFS('Data Additive'!$D:$D,'Data Additive'!$P:$P,'Painel Additive'!#REF!,'Data Additive'!$Q:$Q,"&gt;0")</f>
        <v>0</v>
      </c>
      <c r="O61" s="19">
        <f t="shared" si="8"/>
        <v>0</v>
      </c>
      <c r="P61" s="19">
        <f>SUMIFS('Data Additive'!$D:$D,'Data Additive'!$P:$P,'Painel Additive'!#REF!,'Data Additive'!$Q:$Q,"&lt;=0",'Data Additive'!$Q:$Q,"&gt;=-30")</f>
        <v>0</v>
      </c>
      <c r="Q61" s="19">
        <f>SUMIFS('Data Additive'!$D:$D,'Data Additive'!$P:$P,'Painel Additive'!#REF!,'Data Additive'!$Q:$Q,"&lt;=-31",'Data Additive'!$Q:$Q,"&gt;=-60")</f>
        <v>0</v>
      </c>
      <c r="R61" s="19">
        <f>SUMIFS('Data Additive'!$D:$D,'Data Additive'!$P:$P,'Painel Additive'!#REF!,'Data Additive'!$Q:$Q,"&lt;=-61",'Data Additive'!$Q:$Q,"&gt;=-90")</f>
        <v>0</v>
      </c>
      <c r="S61" s="19">
        <f>SUMIFS('Data Additive'!$D:$D,'Data Additive'!$P:$P,'Painel Additive'!#REF!,'Data Additive'!$Q:$Q,"&lt;=-91",'Data Additive'!$Q:$Q,"&gt;=-120")</f>
        <v>0</v>
      </c>
      <c r="T61" s="19">
        <f>SUMIFS('Data Additive'!$D:$D,'Data Additive'!$P:$P,'Painel Additive'!#REF!,'Data Additive'!$Q:$Q,"&lt;=-121",'Data Additive'!$Q:$Q,"&gt;=-180")</f>
        <v>0</v>
      </c>
      <c r="U61" s="19">
        <f>SUMIFS('Data Additive'!$D:$D,'Data Additive'!$P:$P,'Painel Additive'!#REF!,'Data Additive'!$Q:$Q,"&lt;=-181",'Data Additive'!$Q:$Q,"&gt;=-360")</f>
        <v>0</v>
      </c>
      <c r="V61" s="23">
        <f>SUMIFS('Data Additive'!$D:$D,'Data Additive'!$P:$P,'Painel Additive'!#REF!,'Data Additive'!$Q:$Q,"&lt;-360")</f>
        <v>0</v>
      </c>
      <c r="W61" s="19" t="e">
        <f>SUMIFS('Bad Debt Provision'!#REF!,'Bad Debt Provision'!#REF!,'Painel Additive'!#REF!)</f>
        <v>#REF!</v>
      </c>
      <c r="X61" s="5"/>
      <c r="Y61" s="20"/>
      <c r="Z61" s="20"/>
      <c r="AA61" s="21"/>
      <c r="AB61" s="5"/>
      <c r="AC61" s="19"/>
      <c r="AD61" s="20"/>
      <c r="AE61" s="22"/>
      <c r="AF61" s="22"/>
      <c r="AG61" s="5"/>
      <c r="AH61" s="28">
        <f t="shared" si="9"/>
        <v>0</v>
      </c>
      <c r="AI61" s="5"/>
    </row>
    <row r="62" spans="2:36" x14ac:dyDescent="0.25">
      <c r="B62" s="17" t="s">
        <v>43</v>
      </c>
      <c r="C62" s="93" t="str" cm="1">
        <f t="array" ref="C62">IFERROR(INDEX('Limite de crédito'!$D:$D, MATCH(MAX(IF('Limite de crédito'!$C:$C=$B62, 'Limite de crédito'!$A:$A)), 'Limite de crédito'!$A:$A, 0)),"")</f>
        <v/>
      </c>
      <c r="D62" s="18" cm="1">
        <f t="array" ref="D62">IFERROR(INDEX('Limite de crédito'!$F:$F, MATCH(MAX(IF('Limite de crédito'!$C:$C=$B62, 'Limite de crédito'!$A:$A)), 'Limite de crédito'!$A:$A, 0)),0)</f>
        <v>0</v>
      </c>
      <c r="E62" s="18">
        <f t="shared" si="6"/>
        <v>-2978434.34</v>
      </c>
      <c r="F62" s="18">
        <f t="shared" si="7"/>
        <v>2978434.34</v>
      </c>
      <c r="G62" s="19">
        <f>SUMIFS('Data Additive'!$D:$D,'Data Additive'!$P:$P,'Painel Additive'!$B4,'Data Additive'!$Q:$Q,"&gt;0",'Data Additive'!$Q:$Q,"&lt;=30")</f>
        <v>0</v>
      </c>
      <c r="H62" s="19">
        <f>SUMIFS('Data Additive'!$D:$D,'Data Additive'!$P:$P,'Painel Additive'!$B4,'Data Additive'!$Q:$Q,"&gt;30",'Data Additive'!$Q:$Q,"&lt;=60")</f>
        <v>0</v>
      </c>
      <c r="I62" s="19">
        <f>SUMIFS('Data Additive'!$D:$D,'Data Additive'!$P:$P,'Painel Additive'!$B4,'Data Additive'!$Q:$Q,"&gt;60",'Data Additive'!$Q:$Q,"&lt;=90")</f>
        <v>0</v>
      </c>
      <c r="J62" s="19">
        <f>SUMIFS('Data Additive'!$D:$D,'Data Additive'!$P:$P,'Painel Additive'!$B4,'Data Additive'!$Q:$Q,"&gt;90",'Data Additive'!$Q:$Q,"&lt;=120")</f>
        <v>0</v>
      </c>
      <c r="K62" s="19">
        <f>SUMIFS('Data Additive'!$D:$D,'Data Additive'!$P:$P,'Painel Additive'!$B4,'Data Additive'!$Q:$Q,"&gt;120",'Data Additive'!$Q:$Q,"&lt;=180")</f>
        <v>0</v>
      </c>
      <c r="L62" s="19">
        <f>SUMIFS('Data Additive'!$D:$D,'Data Additive'!$P:$P,'Painel Additive'!$B4,'Data Additive'!$Q:$Q,"&gt;180",'Data Additive'!$Q:$Q,"&lt;=360")</f>
        <v>64.2</v>
      </c>
      <c r="M62" s="23">
        <f>SUMIFS('Data Additive'!$D:$D,'Data Additive'!$P:$P,'Painel Additive'!$B4,'Data Additive'!$Q:$Q,"&gt;360")</f>
        <v>16754.72</v>
      </c>
      <c r="N62" s="19">
        <f>SUMIFS('Data Additive'!$D:$D,'Data Additive'!$P:$P,'Painel Additive'!$B4,'Data Additive'!$Q:$Q,"&gt;0")</f>
        <v>16818.920000000002</v>
      </c>
      <c r="O62" s="19">
        <f t="shared" si="8"/>
        <v>2961615.42</v>
      </c>
      <c r="P62" s="19">
        <f>SUMIFS('Data Additive'!$D:$D,'Data Additive'!$P:$P,'Painel Additive'!$B4,'Data Additive'!$Q:$Q,"&lt;=0",'Data Additive'!$Q:$Q,"&gt;=-30")</f>
        <v>1468196.92</v>
      </c>
      <c r="Q62" s="19">
        <f>SUMIFS('Data Additive'!$D:$D,'Data Additive'!$P:$P,'Painel Additive'!$B4,'Data Additive'!$Q:$Q,"&lt;=-31",'Data Additive'!$Q:$Q,"&gt;=-60")</f>
        <v>550787.30000000005</v>
      </c>
      <c r="R62" s="19">
        <f>SUMIFS('Data Additive'!$D:$D,'Data Additive'!$P:$P,'Painel Additive'!$B4,'Data Additive'!$Q:$Q,"&lt;=-61",'Data Additive'!$Q:$Q,"&gt;=-90")</f>
        <v>761400.20000000007</v>
      </c>
      <c r="S62" s="19">
        <f>SUMIFS('Data Additive'!$D:$D,'Data Additive'!$P:$P,'Painel Additive'!$B4,'Data Additive'!$Q:$Q,"&lt;=-91",'Data Additive'!$Q:$Q,"&gt;=-120")</f>
        <v>181231</v>
      </c>
      <c r="T62" s="19">
        <f>SUMIFS('Data Additive'!$D:$D,'Data Additive'!$P:$P,'Painel Additive'!$B4,'Data Additive'!$Q:$Q,"&lt;=-121",'Data Additive'!$Q:$Q,"&gt;=-180")</f>
        <v>0</v>
      </c>
      <c r="U62" s="19">
        <f>SUMIFS('Data Additive'!$D:$D,'Data Additive'!$P:$P,'Painel Additive'!$B4,'Data Additive'!$Q:$Q,"&lt;=-181",'Data Additive'!$Q:$Q,"&gt;=-360")</f>
        <v>0</v>
      </c>
      <c r="V62" s="23">
        <f>SUMIFS('Data Additive'!$D:$D,'Data Additive'!$P:$P,'Painel Additive'!$B4,'Data Additive'!$Q:$Q,"&lt;-360")</f>
        <v>0</v>
      </c>
      <c r="W62" s="19" t="e">
        <f>SUMIFS('Bad Debt Provision'!#REF!,'Bad Debt Provision'!#REF!,'Painel Additive'!$B4)</f>
        <v>#REF!</v>
      </c>
      <c r="X62" s="5"/>
      <c r="Y62" s="20"/>
      <c r="Z62" s="20"/>
      <c r="AA62" s="21"/>
      <c r="AB62" s="5"/>
      <c r="AC62" s="19"/>
      <c r="AD62" s="20"/>
      <c r="AE62" s="22"/>
      <c r="AF62" s="22"/>
      <c r="AG62" s="5"/>
      <c r="AH62" s="28">
        <f t="shared" si="9"/>
        <v>-2978434.34</v>
      </c>
      <c r="AI62" s="5"/>
      <c r="AJ62" s="26"/>
    </row>
    <row r="63" spans="2:36" x14ac:dyDescent="0.25">
      <c r="B63" s="17" t="s">
        <v>76</v>
      </c>
      <c r="C63" s="93" t="str" cm="1">
        <f t="array" ref="C63">IFERROR(INDEX('Limite de crédito'!$D:$D, MATCH(MAX(IF('Limite de crédito'!$C:$C=$B63, 'Limite de crédito'!$A:$A)), 'Limite de crédito'!$A:$A, 0)),"")</f>
        <v/>
      </c>
      <c r="D63" s="18" cm="1">
        <f t="array" ref="D63">IFERROR(INDEX('Limite de crédito'!$F:$F, MATCH(MAX(IF('Limite de crédito'!$C:$C=$B63, 'Limite de crédito'!$A:$A)), 'Limite de crédito'!$A:$A, 0)),0)</f>
        <v>0</v>
      </c>
      <c r="E63" s="18">
        <f t="shared" si="6"/>
        <v>-654015.69999999995</v>
      </c>
      <c r="F63" s="18">
        <f t="shared" si="7"/>
        <v>654015.69999999995</v>
      </c>
      <c r="G63" s="19">
        <f>SUMIFS('Data Additive'!$D:$D,'Data Additive'!$P:$P,'Painel Additive'!$B5,'Data Additive'!$Q:$Q,"&gt;0",'Data Additive'!$Q:$Q,"&lt;=30")</f>
        <v>0</v>
      </c>
      <c r="H63" s="19">
        <f>SUMIFS('Data Additive'!$D:$D,'Data Additive'!$P:$P,'Painel Additive'!$B5,'Data Additive'!$Q:$Q,"&gt;30",'Data Additive'!$Q:$Q,"&lt;=60")</f>
        <v>0</v>
      </c>
      <c r="I63" s="19">
        <f>SUMIFS('Data Additive'!$D:$D,'Data Additive'!$P:$P,'Painel Additive'!$B5,'Data Additive'!$Q:$Q,"&gt;60",'Data Additive'!$Q:$Q,"&lt;=90")</f>
        <v>0</v>
      </c>
      <c r="J63" s="19">
        <f>SUMIFS('Data Additive'!$D:$D,'Data Additive'!$P:$P,'Painel Additive'!$B5,'Data Additive'!$Q:$Q,"&gt;90",'Data Additive'!$Q:$Q,"&lt;=120")</f>
        <v>0</v>
      </c>
      <c r="K63" s="19">
        <f>SUMIFS('Data Additive'!$D:$D,'Data Additive'!$P:$P,'Painel Additive'!$B5,'Data Additive'!$Q:$Q,"&gt;120",'Data Additive'!$Q:$Q,"&lt;=180")</f>
        <v>0</v>
      </c>
      <c r="L63" s="19">
        <f>SUMIFS('Data Additive'!$D:$D,'Data Additive'!$P:$P,'Painel Additive'!$B5,'Data Additive'!$Q:$Q,"&gt;180",'Data Additive'!$Q:$Q,"&lt;=360")</f>
        <v>0</v>
      </c>
      <c r="M63" s="23">
        <f>SUMIFS('Data Additive'!$D:$D,'Data Additive'!$P:$P,'Painel Additive'!$B5,'Data Additive'!$Q:$Q,"&gt;360")</f>
        <v>0</v>
      </c>
      <c r="N63" s="19">
        <f>SUMIFS('Data Additive'!$D:$D,'Data Additive'!$P:$P,'Painel Additive'!$B5,'Data Additive'!$Q:$Q,"&gt;0")</f>
        <v>0</v>
      </c>
      <c r="O63" s="19">
        <f t="shared" si="8"/>
        <v>654015.69999999995</v>
      </c>
      <c r="P63" s="19">
        <f>SUMIFS('Data Additive'!$D:$D,'Data Additive'!$P:$P,'Painel Additive'!$B5,'Data Additive'!$Q:$Q,"&lt;=0",'Data Additive'!$Q:$Q,"&gt;=-30")</f>
        <v>654015.69999999995</v>
      </c>
      <c r="Q63" s="19">
        <f>SUMIFS('Data Additive'!$D:$D,'Data Additive'!$P:$P,'Painel Additive'!$B5,'Data Additive'!$Q:$Q,"&lt;=-31",'Data Additive'!$Q:$Q,"&gt;=-60")</f>
        <v>0</v>
      </c>
      <c r="R63" s="19">
        <f>SUMIFS('Data Additive'!$D:$D,'Data Additive'!$P:$P,'Painel Additive'!$B5,'Data Additive'!$Q:$Q,"&lt;=-61",'Data Additive'!$Q:$Q,"&gt;=-90")</f>
        <v>0</v>
      </c>
      <c r="S63" s="19">
        <f>SUMIFS('Data Additive'!$D:$D,'Data Additive'!$P:$P,'Painel Additive'!$B5,'Data Additive'!$Q:$Q,"&lt;=-91",'Data Additive'!$Q:$Q,"&gt;=-120")</f>
        <v>0</v>
      </c>
      <c r="T63" s="19">
        <f>SUMIFS('Data Additive'!$D:$D,'Data Additive'!$P:$P,'Painel Additive'!$B5,'Data Additive'!$Q:$Q,"&lt;=-121",'Data Additive'!$Q:$Q,"&gt;=-180")</f>
        <v>0</v>
      </c>
      <c r="U63" s="19">
        <f>SUMIFS('Data Additive'!$D:$D,'Data Additive'!$P:$P,'Painel Additive'!$B5,'Data Additive'!$Q:$Q,"&lt;=-181",'Data Additive'!$Q:$Q,"&gt;=-360")</f>
        <v>0</v>
      </c>
      <c r="V63" s="23">
        <f>SUMIFS('Data Additive'!$D:$D,'Data Additive'!$P:$P,'Painel Additive'!$B5,'Data Additive'!$Q:$Q,"&lt;-360")</f>
        <v>0</v>
      </c>
      <c r="W63" s="19" t="e">
        <f>SUMIFS('Bad Debt Provision'!#REF!,'Bad Debt Provision'!#REF!,'Painel Additive'!$B5)</f>
        <v>#REF!</v>
      </c>
      <c r="X63" s="5"/>
      <c r="Y63" s="20"/>
      <c r="Z63" s="20"/>
      <c r="AA63" s="21"/>
      <c r="AB63" s="5"/>
      <c r="AC63" s="19"/>
      <c r="AD63" s="20"/>
      <c r="AE63" s="22"/>
      <c r="AF63" s="22"/>
      <c r="AG63" s="5"/>
      <c r="AH63" s="28">
        <f t="shared" si="9"/>
        <v>-654015.69999999995</v>
      </c>
      <c r="AI63" s="5"/>
    </row>
    <row r="64" spans="2:36" x14ac:dyDescent="0.25">
      <c r="B64" s="17" t="s">
        <v>39</v>
      </c>
      <c r="C64" s="93" t="str" cm="1">
        <f t="array" ref="C64">IFERROR(INDEX('Limite de crédito'!$D:$D, MATCH(MAX(IF('Limite de crédito'!$C:$C=$B64, 'Limite de crédito'!$A:$A)), 'Limite de crédito'!$A:$A, 0)),"")</f>
        <v/>
      </c>
      <c r="D64" s="18" cm="1">
        <f t="array" ref="D64">IFERROR(INDEX('Limite de crédito'!$F:$F, MATCH(MAX(IF('Limite de crédito'!$C:$C=$B64, 'Limite de crédito'!$A:$A)), 'Limite de crédito'!$A:$A, 0)),0)</f>
        <v>0</v>
      </c>
      <c r="E64" s="18">
        <f t="shared" si="6"/>
        <v>0</v>
      </c>
      <c r="F64" s="18">
        <f t="shared" si="7"/>
        <v>0</v>
      </c>
      <c r="G64" s="19">
        <f>SUMIFS('Data Additive'!$D:$D,'Data Additive'!$P:$P,'Painel Additive'!#REF!,'Data Additive'!$Q:$Q,"&gt;0",'Data Additive'!$Q:$Q,"&lt;=30")</f>
        <v>0</v>
      </c>
      <c r="H64" s="19">
        <f>SUMIFS('Data Additive'!$D:$D,'Data Additive'!$P:$P,'Painel Additive'!#REF!,'Data Additive'!$Q:$Q,"&gt;30",'Data Additive'!$Q:$Q,"&lt;=60")</f>
        <v>0</v>
      </c>
      <c r="I64" s="19">
        <f>SUMIFS('Data Additive'!$D:$D,'Data Additive'!$P:$P,'Painel Additive'!#REF!,'Data Additive'!$Q:$Q,"&gt;60",'Data Additive'!$Q:$Q,"&lt;=90")</f>
        <v>0</v>
      </c>
      <c r="J64" s="19">
        <f>SUMIFS('Data Additive'!$D:$D,'Data Additive'!$P:$P,'Painel Additive'!#REF!,'Data Additive'!$Q:$Q,"&gt;90",'Data Additive'!$Q:$Q,"&lt;=120")</f>
        <v>0</v>
      </c>
      <c r="K64" s="19">
        <f>SUMIFS('Data Additive'!$D:$D,'Data Additive'!$P:$P,'Painel Additive'!#REF!,'Data Additive'!$Q:$Q,"&gt;120",'Data Additive'!$Q:$Q,"&lt;=180")</f>
        <v>0</v>
      </c>
      <c r="L64" s="19">
        <f>SUMIFS('Data Additive'!$D:$D,'Data Additive'!$P:$P,'Painel Additive'!#REF!,'Data Additive'!$Q:$Q,"&gt;180",'Data Additive'!$Q:$Q,"&lt;=360")</f>
        <v>0</v>
      </c>
      <c r="M64" s="23">
        <f>SUMIFS('Data Additive'!$D:$D,'Data Additive'!$P:$P,'Painel Additive'!#REF!,'Data Additive'!$Q:$Q,"&gt;360")</f>
        <v>0</v>
      </c>
      <c r="N64" s="19">
        <f>SUMIFS('Data Additive'!$D:$D,'Data Additive'!$P:$P,'Painel Additive'!#REF!,'Data Additive'!$Q:$Q,"&gt;0")</f>
        <v>0</v>
      </c>
      <c r="O64" s="19">
        <f t="shared" si="8"/>
        <v>0</v>
      </c>
      <c r="P64" s="19">
        <f>SUMIFS('Data Additive'!$D:$D,'Data Additive'!$P:$P,'Painel Additive'!#REF!,'Data Additive'!$Q:$Q,"&lt;=0",'Data Additive'!$Q:$Q,"&gt;=-30")</f>
        <v>0</v>
      </c>
      <c r="Q64" s="19">
        <f>SUMIFS('Data Additive'!$D:$D,'Data Additive'!$P:$P,'Painel Additive'!#REF!,'Data Additive'!$Q:$Q,"&lt;=-31",'Data Additive'!$Q:$Q,"&gt;=-60")</f>
        <v>0</v>
      </c>
      <c r="R64" s="19">
        <f>SUMIFS('Data Additive'!$D:$D,'Data Additive'!$P:$P,'Painel Additive'!#REF!,'Data Additive'!$Q:$Q,"&lt;=-61",'Data Additive'!$Q:$Q,"&gt;=-90")</f>
        <v>0</v>
      </c>
      <c r="S64" s="19">
        <f>SUMIFS('Data Additive'!$D:$D,'Data Additive'!$P:$P,'Painel Additive'!#REF!,'Data Additive'!$Q:$Q,"&lt;=-91",'Data Additive'!$Q:$Q,"&gt;=-120")</f>
        <v>0</v>
      </c>
      <c r="T64" s="19">
        <f>SUMIFS('Data Additive'!$D:$D,'Data Additive'!$P:$P,'Painel Additive'!#REF!,'Data Additive'!$Q:$Q,"&lt;=-121",'Data Additive'!$Q:$Q,"&gt;=-180")</f>
        <v>0</v>
      </c>
      <c r="U64" s="19">
        <f>SUMIFS('Data Additive'!$D:$D,'Data Additive'!$P:$P,'Painel Additive'!#REF!,'Data Additive'!$Q:$Q,"&lt;=-181",'Data Additive'!$Q:$Q,"&gt;=-360")</f>
        <v>0</v>
      </c>
      <c r="V64" s="23">
        <f>SUMIFS('Data Additive'!$D:$D,'Data Additive'!$P:$P,'Painel Additive'!#REF!,'Data Additive'!$Q:$Q,"&lt;-360")</f>
        <v>0</v>
      </c>
      <c r="W64" s="19" t="e">
        <f>SUMIFS('Bad Debt Provision'!#REF!,'Bad Debt Provision'!#REF!,'Painel Additive'!#REF!)</f>
        <v>#REF!</v>
      </c>
      <c r="X64" s="5"/>
      <c r="Y64" s="20"/>
      <c r="Z64" s="20"/>
      <c r="AA64" s="21"/>
      <c r="AB64" s="5"/>
      <c r="AC64" s="19"/>
      <c r="AD64" s="20"/>
      <c r="AE64" s="22"/>
      <c r="AF64" s="22"/>
      <c r="AG64" s="5"/>
      <c r="AH64" s="28">
        <f t="shared" si="9"/>
        <v>0</v>
      </c>
      <c r="AI64" s="5"/>
      <c r="AJ64" s="26"/>
    </row>
    <row r="65" spans="2:35" x14ac:dyDescent="0.25">
      <c r="B65" s="17" t="s">
        <v>40</v>
      </c>
      <c r="C65" s="93" cm="1">
        <f t="array" ref="C65">IFERROR(INDEX('Limite de crédito'!$D:$D, MATCH(MAX(IF('Limite de crédito'!$C:$C=$B65, 'Limite de crédito'!$A:$A)), 'Limite de crédito'!$A:$A, 0)),"")</f>
        <v>45980</v>
      </c>
      <c r="D65" s="18" t="str" cm="1">
        <f t="array" ref="D65">IFERROR(INDEX('Limite de crédito'!$F:$F, MATCH(MAX(IF('Limite de crédito'!$C:$C=$B65, 'Limite de crédito'!$A:$A)), 'Limite de crédito'!$A:$A, 0)),0)</f>
        <v>Sim</v>
      </c>
      <c r="E65" s="18" t="e">
        <f t="shared" si="6"/>
        <v>#VALUE!</v>
      </c>
      <c r="F65" s="18">
        <f t="shared" si="7"/>
        <v>65330</v>
      </c>
      <c r="G65" s="19">
        <f>SUMIFS('Data Additive'!$D:$D,'Data Additive'!$P:$P,'Painel Additive'!$B7,'Data Additive'!$Q:$Q,"&gt;0",'Data Additive'!$Q:$Q,"&lt;=30")</f>
        <v>0</v>
      </c>
      <c r="H65" s="19">
        <f>SUMIFS('Data Additive'!$D:$D,'Data Additive'!$P:$P,'Painel Additive'!$B7,'Data Additive'!$Q:$Q,"&gt;30",'Data Additive'!$Q:$Q,"&lt;=60")</f>
        <v>0</v>
      </c>
      <c r="I65" s="19">
        <f>SUMIFS('Data Additive'!$D:$D,'Data Additive'!$P:$P,'Painel Additive'!$B7,'Data Additive'!$Q:$Q,"&gt;60",'Data Additive'!$Q:$Q,"&lt;=90")</f>
        <v>0</v>
      </c>
      <c r="J65" s="19">
        <f>SUMIFS('Data Additive'!$D:$D,'Data Additive'!$P:$P,'Painel Additive'!$B7,'Data Additive'!$Q:$Q,"&gt;90",'Data Additive'!$Q:$Q,"&lt;=120")</f>
        <v>0</v>
      </c>
      <c r="K65" s="19">
        <f>SUMIFS('Data Additive'!$D:$D,'Data Additive'!$P:$P,'Painel Additive'!$B7,'Data Additive'!$Q:$Q,"&gt;120",'Data Additive'!$Q:$Q,"&lt;=180")</f>
        <v>0</v>
      </c>
      <c r="L65" s="19">
        <f>SUMIFS('Data Additive'!$D:$D,'Data Additive'!$P:$P,'Painel Additive'!$B7,'Data Additive'!$Q:$Q,"&gt;180",'Data Additive'!$Q:$Q,"&lt;=360")</f>
        <v>0</v>
      </c>
      <c r="M65" s="23">
        <f>SUMIFS('Data Additive'!$D:$D,'Data Additive'!$P:$P,'Painel Additive'!$B7,'Data Additive'!$Q:$Q,"&gt;360")</f>
        <v>0</v>
      </c>
      <c r="N65" s="19">
        <f>SUMIFS('Data Additive'!$D:$D,'Data Additive'!$P:$P,'Painel Additive'!$B7,'Data Additive'!$Q:$Q,"&gt;0")</f>
        <v>0</v>
      </c>
      <c r="O65" s="19">
        <f t="shared" si="8"/>
        <v>65330</v>
      </c>
      <c r="P65" s="19">
        <f>SUMIFS('Data Additive'!$D:$D,'Data Additive'!$P:$P,'Painel Additive'!$B7,'Data Additive'!$Q:$Q,"&lt;=0",'Data Additive'!$Q:$Q,"&gt;=-30")</f>
        <v>0</v>
      </c>
      <c r="Q65" s="19">
        <f>SUMIFS('Data Additive'!$D:$D,'Data Additive'!$P:$P,'Painel Additive'!$B7,'Data Additive'!$Q:$Q,"&lt;=-31",'Data Additive'!$Q:$Q,"&gt;=-60")</f>
        <v>0</v>
      </c>
      <c r="R65" s="19">
        <f>SUMIFS('Data Additive'!$D:$D,'Data Additive'!$P:$P,'Painel Additive'!$B7,'Data Additive'!$Q:$Q,"&lt;=-61",'Data Additive'!$Q:$Q,"&gt;=-90")</f>
        <v>65330</v>
      </c>
      <c r="S65" s="19">
        <f>SUMIFS('Data Additive'!$D:$D,'Data Additive'!$P:$P,'Painel Additive'!$B7,'Data Additive'!$Q:$Q,"&lt;=-91",'Data Additive'!$Q:$Q,"&gt;=-120")</f>
        <v>0</v>
      </c>
      <c r="T65" s="19">
        <f>SUMIFS('Data Additive'!$D:$D,'Data Additive'!$P:$P,'Painel Additive'!$B7,'Data Additive'!$Q:$Q,"&lt;=-121",'Data Additive'!$Q:$Q,"&gt;=-180")</f>
        <v>0</v>
      </c>
      <c r="U65" s="19">
        <f>SUMIFS('Data Additive'!$D:$D,'Data Additive'!$P:$P,'Painel Additive'!$B7,'Data Additive'!$Q:$Q,"&lt;=-181",'Data Additive'!$Q:$Q,"&gt;=-360")</f>
        <v>0</v>
      </c>
      <c r="V65" s="23">
        <f>SUMIFS('Data Additive'!$D:$D,'Data Additive'!$P:$P,'Painel Additive'!$B7,'Data Additive'!$Q:$Q,"&lt;-360")</f>
        <v>0</v>
      </c>
      <c r="W65" s="19" t="e">
        <f>SUMIFS('Bad Debt Provision'!#REF!,'Bad Debt Provision'!#REF!,'Painel Additive'!$B7)</f>
        <v>#REF!</v>
      </c>
      <c r="X65" s="5"/>
      <c r="Y65" s="20"/>
      <c r="Z65" s="20"/>
      <c r="AA65" s="21"/>
      <c r="AB65" s="5"/>
      <c r="AC65" s="19"/>
      <c r="AD65" s="20"/>
      <c r="AE65" s="22"/>
      <c r="AF65" s="22"/>
      <c r="AG65" s="5"/>
      <c r="AH65" s="28">
        <f t="shared" si="9"/>
        <v>-65330</v>
      </c>
      <c r="AI65" s="5"/>
    </row>
    <row r="66" spans="2:35" x14ac:dyDescent="0.25">
      <c r="B66" s="17" t="s">
        <v>64</v>
      </c>
      <c r="C66" s="93" t="str" cm="1">
        <f t="array" ref="C66">IFERROR(INDEX('Limite de crédito'!$D:$D, MATCH(MAX(IF('Limite de crédito'!$C:$C=$B66, 'Limite de crédito'!$A:$A)), 'Limite de crédito'!$A:$A, 0)),"")</f>
        <v/>
      </c>
      <c r="D66" s="18" cm="1">
        <f t="array" ref="D66">IFERROR(INDEX('Limite de crédito'!$F:$F, MATCH(MAX(IF('Limite de crédito'!$C:$C=$B66, 'Limite de crédito'!$A:$A)), 'Limite de crédito'!$A:$A, 0)),0)</f>
        <v>0</v>
      </c>
      <c r="E66" s="18">
        <f t="shared" si="6"/>
        <v>-604009.9</v>
      </c>
      <c r="F66" s="18">
        <f t="shared" si="7"/>
        <v>604009.9</v>
      </c>
      <c r="G66" s="19">
        <f>SUMIFS('Data Additive'!$D:$D,'Data Additive'!$P:$P,'Painel Additive'!$B10,'Data Additive'!$Q:$Q,"&gt;0",'Data Additive'!$Q:$Q,"&lt;=30")</f>
        <v>0</v>
      </c>
      <c r="H66" s="19">
        <f>SUMIFS('Data Additive'!$D:$D,'Data Additive'!$P:$P,'Painel Additive'!$B10,'Data Additive'!$Q:$Q,"&gt;30",'Data Additive'!$Q:$Q,"&lt;=60")</f>
        <v>0</v>
      </c>
      <c r="I66" s="19">
        <f>SUMIFS('Data Additive'!$D:$D,'Data Additive'!$P:$P,'Painel Additive'!$B10,'Data Additive'!$Q:$Q,"&gt;60",'Data Additive'!$Q:$Q,"&lt;=90")</f>
        <v>0</v>
      </c>
      <c r="J66" s="19">
        <f>SUMIFS('Data Additive'!$D:$D,'Data Additive'!$P:$P,'Painel Additive'!$B10,'Data Additive'!$Q:$Q,"&gt;90",'Data Additive'!$Q:$Q,"&lt;=120")</f>
        <v>0</v>
      </c>
      <c r="K66" s="19">
        <f>SUMIFS('Data Additive'!$D:$D,'Data Additive'!$P:$P,'Painel Additive'!$B10,'Data Additive'!$Q:$Q,"&gt;120",'Data Additive'!$Q:$Q,"&lt;=180")</f>
        <v>0</v>
      </c>
      <c r="L66" s="19">
        <f>SUMIFS('Data Additive'!$D:$D,'Data Additive'!$P:$P,'Painel Additive'!$B10,'Data Additive'!$Q:$Q,"&gt;180",'Data Additive'!$Q:$Q,"&lt;=360")</f>
        <v>0</v>
      </c>
      <c r="M66" s="23">
        <f>SUMIFS('Data Additive'!$D:$D,'Data Additive'!$P:$P,'Painel Additive'!$B10,'Data Additive'!$Q:$Q,"&gt;360")</f>
        <v>0</v>
      </c>
      <c r="N66" s="19">
        <f>SUMIFS('Data Additive'!$D:$D,'Data Additive'!$P:$P,'Painel Additive'!$B10,'Data Additive'!$Q:$Q,"&gt;0")</f>
        <v>0</v>
      </c>
      <c r="O66" s="19">
        <f t="shared" si="8"/>
        <v>604009.9</v>
      </c>
      <c r="P66" s="19">
        <f>SUMIFS('Data Additive'!$D:$D,'Data Additive'!$P:$P,'Painel Additive'!$B10,'Data Additive'!$Q:$Q,"&lt;=0",'Data Additive'!$Q:$Q,"&gt;=-30")</f>
        <v>281124</v>
      </c>
      <c r="Q66" s="19">
        <f>SUMIFS('Data Additive'!$D:$D,'Data Additive'!$P:$P,'Painel Additive'!$B10,'Data Additive'!$Q:$Q,"&lt;=-31",'Data Additive'!$Q:$Q,"&gt;=-60")</f>
        <v>322885.90000000002</v>
      </c>
      <c r="R66" s="19">
        <f>SUMIFS('Data Additive'!$D:$D,'Data Additive'!$P:$P,'Painel Additive'!$B10,'Data Additive'!$Q:$Q,"&lt;=-61",'Data Additive'!$Q:$Q,"&gt;=-90")</f>
        <v>0</v>
      </c>
      <c r="S66" s="19">
        <f>SUMIFS('Data Additive'!$D:$D,'Data Additive'!$P:$P,'Painel Additive'!$B10,'Data Additive'!$Q:$Q,"&lt;=-91",'Data Additive'!$Q:$Q,"&gt;=-120")</f>
        <v>0</v>
      </c>
      <c r="T66" s="19">
        <f>SUMIFS('Data Additive'!$D:$D,'Data Additive'!$P:$P,'Painel Additive'!$B10,'Data Additive'!$Q:$Q,"&lt;=-121",'Data Additive'!$Q:$Q,"&gt;=-180")</f>
        <v>0</v>
      </c>
      <c r="U66" s="19">
        <f>SUMIFS('Data Additive'!$D:$D,'Data Additive'!$P:$P,'Painel Additive'!$B10,'Data Additive'!$Q:$Q,"&lt;=-181",'Data Additive'!$Q:$Q,"&gt;=-360")</f>
        <v>0</v>
      </c>
      <c r="V66" s="23">
        <f>SUMIFS('Data Additive'!$D:$D,'Data Additive'!$P:$P,'Painel Additive'!$B10,'Data Additive'!$Q:$Q,"&lt;-360")</f>
        <v>0</v>
      </c>
      <c r="W66" s="19" t="e">
        <f>SUMIFS('Bad Debt Provision'!#REF!,'Bad Debt Provision'!#REF!,'Painel Additive'!$B10)</f>
        <v>#REF!</v>
      </c>
      <c r="X66" s="5"/>
      <c r="Y66" s="20"/>
      <c r="Z66" s="20"/>
      <c r="AA66" s="21"/>
      <c r="AB66" s="5"/>
      <c r="AC66" s="19"/>
      <c r="AD66" s="20"/>
      <c r="AE66" s="22"/>
      <c r="AF66" s="22"/>
      <c r="AG66" s="5"/>
      <c r="AH66" s="28">
        <f t="shared" si="9"/>
        <v>-604009.9</v>
      </c>
      <c r="AI66" s="5"/>
    </row>
    <row r="67" spans="2:35" x14ac:dyDescent="0.25">
      <c r="B67" s="17" t="s">
        <v>163</v>
      </c>
      <c r="C67" s="93" t="str" cm="1">
        <f t="array" ref="C67">IFERROR(INDEX('Limite de crédito'!$D:$D, MATCH(MAX(IF('Limite de crédito'!$C:$C=$B67, 'Limite de crédito'!$A:$A)), 'Limite de crédito'!$A:$A, 0)),"")</f>
        <v/>
      </c>
      <c r="D67" s="18" cm="1">
        <f t="array" ref="D67">IFERROR(INDEX('Limite de crédito'!$F:$F, MATCH(MAX(IF('Limite de crédito'!$C:$C=$B67, 'Limite de crédito'!$A:$A)), 'Limite de crédito'!$A:$A, 0)),0)</f>
        <v>0</v>
      </c>
      <c r="E67" s="18">
        <f t="shared" si="6"/>
        <v>0</v>
      </c>
      <c r="F67" s="18">
        <f t="shared" si="7"/>
        <v>0</v>
      </c>
      <c r="G67" s="19">
        <f>SUMIFS('Data Additive'!$D:$D,'Data Additive'!$P:$P,'Painel Additive'!$B11,'Data Additive'!$Q:$Q,"&gt;0",'Data Additive'!$Q:$Q,"&lt;=30")</f>
        <v>0</v>
      </c>
      <c r="H67" s="19">
        <f>SUMIFS('Data Additive'!$D:$D,'Data Additive'!$P:$P,'Painel Additive'!$B11,'Data Additive'!$Q:$Q,"&gt;30",'Data Additive'!$Q:$Q,"&lt;=60")</f>
        <v>0</v>
      </c>
      <c r="I67" s="19">
        <f>SUMIFS('Data Additive'!$D:$D,'Data Additive'!$P:$P,'Painel Additive'!$B11,'Data Additive'!$Q:$Q,"&gt;60",'Data Additive'!$Q:$Q,"&lt;=90")</f>
        <v>0</v>
      </c>
      <c r="J67" s="19">
        <f>SUMIFS('Data Additive'!$D:$D,'Data Additive'!$P:$P,'Painel Additive'!$B11,'Data Additive'!$Q:$Q,"&gt;90",'Data Additive'!$Q:$Q,"&lt;=120")</f>
        <v>0</v>
      </c>
      <c r="K67" s="19">
        <f>SUMIFS('Data Additive'!$D:$D,'Data Additive'!$P:$P,'Painel Additive'!$B11,'Data Additive'!$Q:$Q,"&gt;120",'Data Additive'!$Q:$Q,"&lt;=180")</f>
        <v>0</v>
      </c>
      <c r="L67" s="19">
        <f>SUMIFS('Data Additive'!$D:$D,'Data Additive'!$P:$P,'Painel Additive'!$B11,'Data Additive'!$Q:$Q,"&gt;180",'Data Additive'!$Q:$Q,"&lt;=360")</f>
        <v>0</v>
      </c>
      <c r="M67" s="23">
        <f>SUMIFS('Data Additive'!$D:$D,'Data Additive'!$P:$P,'Painel Additive'!$B11,'Data Additive'!$Q:$Q,"&gt;360")</f>
        <v>0</v>
      </c>
      <c r="N67" s="19">
        <f>SUMIFS('Data Additive'!$D:$D,'Data Additive'!$P:$P,'Painel Additive'!$B11,'Data Additive'!$Q:$Q,"&gt;0")</f>
        <v>0</v>
      </c>
      <c r="O67" s="19">
        <f t="shared" si="8"/>
        <v>0</v>
      </c>
      <c r="P67" s="19">
        <f>SUMIFS('Data Additive'!$D:$D,'Data Additive'!$P:$P,'Painel Additive'!$B11,'Data Additive'!$Q:$Q,"&lt;=0",'Data Additive'!$Q:$Q,"&gt;=-30")</f>
        <v>0</v>
      </c>
      <c r="Q67" s="19">
        <f>SUMIFS('Data Additive'!$D:$D,'Data Additive'!$P:$P,'Painel Additive'!$B11,'Data Additive'!$Q:$Q,"&lt;=-31",'Data Additive'!$Q:$Q,"&gt;=-60")</f>
        <v>0</v>
      </c>
      <c r="R67" s="19">
        <f>SUMIFS('Data Additive'!$D:$D,'Data Additive'!$P:$P,'Painel Additive'!$B11,'Data Additive'!$Q:$Q,"&lt;=-61",'Data Additive'!$Q:$Q,"&gt;=-90")</f>
        <v>0</v>
      </c>
      <c r="S67" s="19">
        <f>SUMIFS('Data Additive'!$D:$D,'Data Additive'!$P:$P,'Painel Additive'!$B11,'Data Additive'!$Q:$Q,"&lt;=-91",'Data Additive'!$Q:$Q,"&gt;=-120")</f>
        <v>0</v>
      </c>
      <c r="T67" s="19">
        <f>SUMIFS('Data Additive'!$D:$D,'Data Additive'!$P:$P,'Painel Additive'!$B11,'Data Additive'!$Q:$Q,"&lt;=-121",'Data Additive'!$Q:$Q,"&gt;=-180")</f>
        <v>0</v>
      </c>
      <c r="U67" s="19">
        <f>SUMIFS('Data Additive'!$D:$D,'Data Additive'!$P:$P,'Painel Additive'!$B11,'Data Additive'!$Q:$Q,"&lt;=-181",'Data Additive'!$Q:$Q,"&gt;=-360")</f>
        <v>0</v>
      </c>
      <c r="V67" s="23">
        <f>SUMIFS('Data Additive'!$D:$D,'Data Additive'!$P:$P,'Painel Additive'!$B11,'Data Additive'!$Q:$Q,"&lt;-360")</f>
        <v>0</v>
      </c>
      <c r="W67" s="19" t="e">
        <f>SUMIFS('Bad Debt Provision'!#REF!,'Bad Debt Provision'!#REF!,'Painel Additive'!$B11)</f>
        <v>#REF!</v>
      </c>
      <c r="X67" s="5"/>
      <c r="Y67" s="20"/>
      <c r="Z67" s="20"/>
      <c r="AA67" s="21"/>
      <c r="AB67" s="5"/>
      <c r="AC67" s="19"/>
      <c r="AD67" s="20"/>
      <c r="AE67" s="22"/>
      <c r="AF67" s="22"/>
      <c r="AG67" s="5"/>
      <c r="AH67" s="28">
        <f t="shared" si="9"/>
        <v>0</v>
      </c>
      <c r="AI67" s="5"/>
    </row>
    <row r="68" spans="2:35" x14ac:dyDescent="0.25">
      <c r="B68" s="17" t="s">
        <v>36</v>
      </c>
      <c r="C68" s="93" t="str" cm="1">
        <f t="array" ref="C68">IFERROR(INDEX('Limite de crédito'!$D:$D, MATCH(MAX(IF('Limite de crédito'!$C:$C=$B68, 'Limite de crédito'!$A:$A)), 'Limite de crédito'!$A:$A, 0)),"")</f>
        <v/>
      </c>
      <c r="D68" s="18" cm="1">
        <f t="array" ref="D68">IFERROR(INDEX('Limite de crédito'!$F:$F, MATCH(MAX(IF('Limite de crédito'!$C:$C=$B68, 'Limite de crédito'!$A:$A)), 'Limite de crédito'!$A:$A, 0)),0)</f>
        <v>0</v>
      </c>
      <c r="E68" s="18">
        <f t="shared" ref="E68:E99" si="10">D68-F68</f>
        <v>0</v>
      </c>
      <c r="F68" s="18">
        <f t="shared" ref="F68:F99" si="11">O68+N68</f>
        <v>0</v>
      </c>
      <c r="G68" s="19">
        <f>SUMIFS('Data Additive'!$D:$D,'Data Additive'!$P:$P,'Painel Additive'!$B12,'Data Additive'!$Q:$Q,"&gt;0",'Data Additive'!$Q:$Q,"&lt;=30")</f>
        <v>0</v>
      </c>
      <c r="H68" s="19">
        <f>SUMIFS('Data Additive'!$D:$D,'Data Additive'!$P:$P,'Painel Additive'!$B12,'Data Additive'!$Q:$Q,"&gt;30",'Data Additive'!$Q:$Q,"&lt;=60")</f>
        <v>0</v>
      </c>
      <c r="I68" s="19">
        <f>SUMIFS('Data Additive'!$D:$D,'Data Additive'!$P:$P,'Painel Additive'!$B12,'Data Additive'!$Q:$Q,"&gt;60",'Data Additive'!$Q:$Q,"&lt;=90")</f>
        <v>0</v>
      </c>
      <c r="J68" s="19">
        <f>SUMIFS('Data Additive'!$D:$D,'Data Additive'!$P:$P,'Painel Additive'!$B12,'Data Additive'!$Q:$Q,"&gt;90",'Data Additive'!$Q:$Q,"&lt;=120")</f>
        <v>0</v>
      </c>
      <c r="K68" s="19">
        <f>SUMIFS('Data Additive'!$D:$D,'Data Additive'!$P:$P,'Painel Additive'!$B12,'Data Additive'!$Q:$Q,"&gt;120",'Data Additive'!$Q:$Q,"&lt;=180")</f>
        <v>0</v>
      </c>
      <c r="L68" s="19">
        <f>SUMIFS('Data Additive'!$D:$D,'Data Additive'!$P:$P,'Painel Additive'!$B12,'Data Additive'!$Q:$Q,"&gt;180",'Data Additive'!$Q:$Q,"&lt;=360")</f>
        <v>0</v>
      </c>
      <c r="M68" s="23">
        <f>SUMIFS('Data Additive'!$D:$D,'Data Additive'!$P:$P,'Painel Additive'!$B12,'Data Additive'!$Q:$Q,"&gt;360")</f>
        <v>0</v>
      </c>
      <c r="N68" s="19">
        <f>SUMIFS('Data Additive'!$D:$D,'Data Additive'!$P:$P,'Painel Additive'!$B12,'Data Additive'!$Q:$Q,"&gt;0")</f>
        <v>0</v>
      </c>
      <c r="O68" s="19">
        <f t="shared" ref="O68:O99" si="12">SUBTOTAL(9,P68:V68)</f>
        <v>0</v>
      </c>
      <c r="P68" s="19">
        <f>SUMIFS('Data Additive'!$D:$D,'Data Additive'!$P:$P,'Painel Additive'!$B12,'Data Additive'!$Q:$Q,"&lt;=0",'Data Additive'!$Q:$Q,"&gt;=-30")</f>
        <v>0</v>
      </c>
      <c r="Q68" s="19">
        <f>SUMIFS('Data Additive'!$D:$D,'Data Additive'!$P:$P,'Painel Additive'!$B12,'Data Additive'!$Q:$Q,"&lt;=-31",'Data Additive'!$Q:$Q,"&gt;=-60")</f>
        <v>0</v>
      </c>
      <c r="R68" s="19">
        <f>SUMIFS('Data Additive'!$D:$D,'Data Additive'!$P:$P,'Painel Additive'!$B12,'Data Additive'!$Q:$Q,"&lt;=-61",'Data Additive'!$Q:$Q,"&gt;=-90")</f>
        <v>0</v>
      </c>
      <c r="S68" s="19">
        <f>SUMIFS('Data Additive'!$D:$D,'Data Additive'!$P:$P,'Painel Additive'!$B12,'Data Additive'!$Q:$Q,"&lt;=-91",'Data Additive'!$Q:$Q,"&gt;=-120")</f>
        <v>0</v>
      </c>
      <c r="T68" s="19">
        <f>SUMIFS('Data Additive'!$D:$D,'Data Additive'!$P:$P,'Painel Additive'!$B12,'Data Additive'!$Q:$Q,"&lt;=-121",'Data Additive'!$Q:$Q,"&gt;=-180")</f>
        <v>0</v>
      </c>
      <c r="U68" s="19">
        <f>SUMIFS('Data Additive'!$D:$D,'Data Additive'!$P:$P,'Painel Additive'!$B12,'Data Additive'!$Q:$Q,"&lt;=-181",'Data Additive'!$Q:$Q,"&gt;=-360")</f>
        <v>0</v>
      </c>
      <c r="V68" s="23">
        <f>SUMIFS('Data Additive'!$D:$D,'Data Additive'!$P:$P,'Painel Additive'!$B12,'Data Additive'!$Q:$Q,"&lt;-360")</f>
        <v>0</v>
      </c>
      <c r="W68" s="19" t="e">
        <f>SUMIFS('Bad Debt Provision'!#REF!,'Bad Debt Provision'!#REF!,'Painel Additive'!$B12)</f>
        <v>#REF!</v>
      </c>
      <c r="X68" s="5"/>
      <c r="Y68" s="20"/>
      <c r="Z68" s="20"/>
      <c r="AA68" s="21"/>
      <c r="AB68" s="5"/>
      <c r="AC68" s="19"/>
      <c r="AD68" s="20"/>
      <c r="AE68" s="22"/>
      <c r="AF68" s="22"/>
      <c r="AG68" s="5"/>
      <c r="AH68" s="28">
        <f t="shared" ref="AH68:AH99" si="13">AC68-F68</f>
        <v>0</v>
      </c>
      <c r="AI68" s="5"/>
    </row>
    <row r="69" spans="2:35" x14ac:dyDescent="0.25">
      <c r="B69" s="17" t="s">
        <v>74</v>
      </c>
      <c r="C69" s="93" t="str" cm="1">
        <f t="array" ref="C69">IFERROR(INDEX('Limite de crédito'!$D:$D, MATCH(MAX(IF('Limite de crédito'!$C:$C=$B69, 'Limite de crédito'!$A:$A)), 'Limite de crédito'!$A:$A, 0)),"")</f>
        <v/>
      </c>
      <c r="D69" s="18" cm="1">
        <f t="array" ref="D69">IFERROR(INDEX('Limite de crédito'!$F:$F, MATCH(MAX(IF('Limite de crédito'!$C:$C=$B69, 'Limite de crédito'!$A:$A)), 'Limite de crédito'!$A:$A, 0)),0)</f>
        <v>0</v>
      </c>
      <c r="E69" s="18">
        <f t="shared" si="10"/>
        <v>0</v>
      </c>
      <c r="F69" s="18">
        <f t="shared" si="11"/>
        <v>0</v>
      </c>
      <c r="G69" s="19">
        <f>SUMIFS('Data Additive'!$D:$D,'Data Additive'!$P:$P,'Painel Additive'!#REF!,'Data Additive'!$Q:$Q,"&gt;0",'Data Additive'!$Q:$Q,"&lt;=30")</f>
        <v>0</v>
      </c>
      <c r="H69" s="19">
        <f>SUMIFS('Data Additive'!$D:$D,'Data Additive'!$P:$P,'Painel Additive'!#REF!,'Data Additive'!$Q:$Q,"&gt;30",'Data Additive'!$Q:$Q,"&lt;=60")</f>
        <v>0</v>
      </c>
      <c r="I69" s="19">
        <f>SUMIFS('Data Additive'!$D:$D,'Data Additive'!$P:$P,'Painel Additive'!#REF!,'Data Additive'!$Q:$Q,"&gt;60",'Data Additive'!$Q:$Q,"&lt;=90")</f>
        <v>0</v>
      </c>
      <c r="J69" s="19">
        <f>SUMIFS('Data Additive'!$D:$D,'Data Additive'!$P:$P,'Painel Additive'!#REF!,'Data Additive'!$Q:$Q,"&gt;90",'Data Additive'!$Q:$Q,"&lt;=120")</f>
        <v>0</v>
      </c>
      <c r="K69" s="19">
        <f>SUMIFS('Data Additive'!$D:$D,'Data Additive'!$P:$P,'Painel Additive'!#REF!,'Data Additive'!$Q:$Q,"&gt;120",'Data Additive'!$Q:$Q,"&lt;=180")</f>
        <v>0</v>
      </c>
      <c r="L69" s="19">
        <f>SUMIFS('Data Additive'!$D:$D,'Data Additive'!$P:$P,'Painel Additive'!#REF!,'Data Additive'!$Q:$Q,"&gt;180",'Data Additive'!$Q:$Q,"&lt;=360")</f>
        <v>0</v>
      </c>
      <c r="M69" s="23">
        <f>SUMIFS('Data Additive'!$D:$D,'Data Additive'!$P:$P,'Painel Additive'!#REF!,'Data Additive'!$Q:$Q,"&gt;360")</f>
        <v>0</v>
      </c>
      <c r="N69" s="19">
        <f>SUMIFS('Data Additive'!$D:$D,'Data Additive'!$P:$P,'Painel Additive'!#REF!,'Data Additive'!$Q:$Q,"&gt;0")</f>
        <v>0</v>
      </c>
      <c r="O69" s="19">
        <f t="shared" si="12"/>
        <v>0</v>
      </c>
      <c r="P69" s="19">
        <f>SUMIFS('Data Additive'!$D:$D,'Data Additive'!$P:$P,'Painel Additive'!#REF!,'Data Additive'!$Q:$Q,"&lt;=0",'Data Additive'!$Q:$Q,"&gt;=-30")</f>
        <v>0</v>
      </c>
      <c r="Q69" s="19">
        <f>SUMIFS('Data Additive'!$D:$D,'Data Additive'!$P:$P,'Painel Additive'!#REF!,'Data Additive'!$Q:$Q,"&lt;=-31",'Data Additive'!$Q:$Q,"&gt;=-60")</f>
        <v>0</v>
      </c>
      <c r="R69" s="19">
        <f>SUMIFS('Data Additive'!$D:$D,'Data Additive'!$P:$P,'Painel Additive'!#REF!,'Data Additive'!$Q:$Q,"&lt;=-61",'Data Additive'!$Q:$Q,"&gt;=-90")</f>
        <v>0</v>
      </c>
      <c r="S69" s="19">
        <f>SUMIFS('Data Additive'!$D:$D,'Data Additive'!$P:$P,'Painel Additive'!#REF!,'Data Additive'!$Q:$Q,"&lt;=-91",'Data Additive'!$Q:$Q,"&gt;=-120")</f>
        <v>0</v>
      </c>
      <c r="T69" s="19">
        <f>SUMIFS('Data Additive'!$D:$D,'Data Additive'!$P:$P,'Painel Additive'!#REF!,'Data Additive'!$Q:$Q,"&lt;=-121",'Data Additive'!$Q:$Q,"&gt;=-180")</f>
        <v>0</v>
      </c>
      <c r="U69" s="19">
        <f>SUMIFS('Data Additive'!$D:$D,'Data Additive'!$P:$P,'Painel Additive'!#REF!,'Data Additive'!$Q:$Q,"&lt;=-181",'Data Additive'!$Q:$Q,"&gt;=-360")</f>
        <v>0</v>
      </c>
      <c r="V69" s="23">
        <f>SUMIFS('Data Additive'!$D:$D,'Data Additive'!$P:$P,'Painel Additive'!#REF!,'Data Additive'!$Q:$Q,"&lt;-360")</f>
        <v>0</v>
      </c>
      <c r="W69" s="19" t="e">
        <f>SUMIFS('Bad Debt Provision'!#REF!,'Bad Debt Provision'!#REF!,'Painel Additive'!#REF!)</f>
        <v>#REF!</v>
      </c>
      <c r="X69" s="5"/>
      <c r="Y69" s="20"/>
      <c r="Z69" s="20"/>
      <c r="AA69" s="21"/>
      <c r="AB69" s="5"/>
      <c r="AC69" s="19"/>
      <c r="AD69" s="20"/>
      <c r="AE69" s="22"/>
      <c r="AF69" s="22"/>
      <c r="AG69" s="5"/>
      <c r="AH69" s="28">
        <f t="shared" si="13"/>
        <v>0</v>
      </c>
      <c r="AI69" s="5"/>
    </row>
    <row r="70" spans="2:35" x14ac:dyDescent="0.25">
      <c r="B70" s="17" t="s">
        <v>44</v>
      </c>
      <c r="C70" s="93" t="str" cm="1">
        <f t="array" ref="C70">IFERROR(INDEX('Limite de crédito'!$D:$D, MATCH(MAX(IF('Limite de crédito'!$C:$C=$B70, 'Limite de crédito'!$A:$A)), 'Limite de crédito'!$A:$A, 0)),"")</f>
        <v/>
      </c>
      <c r="D70" s="18" cm="1">
        <f t="array" ref="D70">IFERROR(INDEX('Limite de crédito'!$F:$F, MATCH(MAX(IF('Limite de crédito'!$C:$C=$B70, 'Limite de crédito'!$A:$A)), 'Limite de crédito'!$A:$A, 0)),0)</f>
        <v>0</v>
      </c>
      <c r="E70" s="18">
        <f t="shared" si="10"/>
        <v>-517338.2</v>
      </c>
      <c r="F70" s="18">
        <f t="shared" si="11"/>
        <v>517338.2</v>
      </c>
      <c r="G70" s="19">
        <f>SUMIFS('Data Additive'!$D:$D,'Data Additive'!$P:$P,'Painel Additive'!$B13,'Data Additive'!$Q:$Q,"&gt;0",'Data Additive'!$Q:$Q,"&lt;=30")</f>
        <v>0</v>
      </c>
      <c r="H70" s="19">
        <f>SUMIFS('Data Additive'!$D:$D,'Data Additive'!$P:$P,'Painel Additive'!$B13,'Data Additive'!$Q:$Q,"&gt;30",'Data Additive'!$Q:$Q,"&lt;=60")</f>
        <v>0</v>
      </c>
      <c r="I70" s="19">
        <f>SUMIFS('Data Additive'!$D:$D,'Data Additive'!$P:$P,'Painel Additive'!$B13,'Data Additive'!$Q:$Q,"&gt;60",'Data Additive'!$Q:$Q,"&lt;=90")</f>
        <v>0</v>
      </c>
      <c r="J70" s="19">
        <f>SUMIFS('Data Additive'!$D:$D,'Data Additive'!$P:$P,'Painel Additive'!$B13,'Data Additive'!$Q:$Q,"&gt;90",'Data Additive'!$Q:$Q,"&lt;=120")</f>
        <v>0</v>
      </c>
      <c r="K70" s="19">
        <f>SUMIFS('Data Additive'!$D:$D,'Data Additive'!$P:$P,'Painel Additive'!$B13,'Data Additive'!$Q:$Q,"&gt;120",'Data Additive'!$Q:$Q,"&lt;=180")</f>
        <v>0</v>
      </c>
      <c r="L70" s="19">
        <f>SUMIFS('Data Additive'!$D:$D,'Data Additive'!$P:$P,'Painel Additive'!$B13,'Data Additive'!$Q:$Q,"&gt;180",'Data Additive'!$Q:$Q,"&lt;=360")</f>
        <v>0</v>
      </c>
      <c r="M70" s="23">
        <f>SUMIFS('Data Additive'!$D:$D,'Data Additive'!$P:$P,'Painel Additive'!$B13,'Data Additive'!$Q:$Q,"&gt;360")</f>
        <v>0</v>
      </c>
      <c r="N70" s="19">
        <f>SUMIFS('Data Additive'!$D:$D,'Data Additive'!$P:$P,'Painel Additive'!$B13,'Data Additive'!$Q:$Q,"&gt;0")</f>
        <v>0</v>
      </c>
      <c r="O70" s="19">
        <f t="shared" si="12"/>
        <v>517338.2</v>
      </c>
      <c r="P70" s="19">
        <f>SUMIFS('Data Additive'!$D:$D,'Data Additive'!$P:$P,'Painel Additive'!$B13,'Data Additive'!$Q:$Q,"&lt;=0",'Data Additive'!$Q:$Q,"&gt;=-30")</f>
        <v>517338.2</v>
      </c>
      <c r="Q70" s="19">
        <f>SUMIFS('Data Additive'!$D:$D,'Data Additive'!$P:$P,'Painel Additive'!$B13,'Data Additive'!$Q:$Q,"&lt;=-31",'Data Additive'!$Q:$Q,"&gt;=-60")</f>
        <v>0</v>
      </c>
      <c r="R70" s="19">
        <f>SUMIFS('Data Additive'!$D:$D,'Data Additive'!$P:$P,'Painel Additive'!$B13,'Data Additive'!$Q:$Q,"&lt;=-61",'Data Additive'!$Q:$Q,"&gt;=-90")</f>
        <v>0</v>
      </c>
      <c r="S70" s="19">
        <f>SUMIFS('Data Additive'!$D:$D,'Data Additive'!$P:$P,'Painel Additive'!$B13,'Data Additive'!$Q:$Q,"&lt;=-91",'Data Additive'!$Q:$Q,"&gt;=-120")</f>
        <v>0</v>
      </c>
      <c r="T70" s="19">
        <f>SUMIFS('Data Additive'!$D:$D,'Data Additive'!$P:$P,'Painel Additive'!$B13,'Data Additive'!$Q:$Q,"&lt;=-121",'Data Additive'!$Q:$Q,"&gt;=-180")</f>
        <v>0</v>
      </c>
      <c r="U70" s="19">
        <f>SUMIFS('Data Additive'!$D:$D,'Data Additive'!$P:$P,'Painel Additive'!$B13,'Data Additive'!$Q:$Q,"&lt;=-181",'Data Additive'!$Q:$Q,"&gt;=-360")</f>
        <v>0</v>
      </c>
      <c r="V70" s="23">
        <f>SUMIFS('Data Additive'!$D:$D,'Data Additive'!$P:$P,'Painel Additive'!$B13,'Data Additive'!$Q:$Q,"&lt;-360")</f>
        <v>0</v>
      </c>
      <c r="W70" s="19" t="e">
        <f>SUMIFS('Bad Debt Provision'!#REF!,'Bad Debt Provision'!#REF!,'Painel Additive'!$B13)</f>
        <v>#REF!</v>
      </c>
      <c r="X70" s="5"/>
      <c r="Y70" s="20"/>
      <c r="Z70" s="20"/>
      <c r="AA70" s="21"/>
      <c r="AB70" s="5"/>
      <c r="AC70" s="19"/>
      <c r="AD70" s="20"/>
      <c r="AE70" s="22"/>
      <c r="AF70" s="22"/>
      <c r="AG70" s="5"/>
      <c r="AH70" s="28">
        <f t="shared" si="13"/>
        <v>-517338.2</v>
      </c>
      <c r="AI70" s="5"/>
    </row>
    <row r="71" spans="2:35" x14ac:dyDescent="0.25">
      <c r="B71" s="17" t="s">
        <v>164</v>
      </c>
      <c r="C71" s="93" t="str" cm="1">
        <f t="array" ref="C71">IFERROR(INDEX('Limite de crédito'!$D:$D, MATCH(MAX(IF('Limite de crédito'!$C:$C=$B71, 'Limite de crédito'!$A:$A)), 'Limite de crédito'!$A:$A, 0)),"")</f>
        <v/>
      </c>
      <c r="D71" s="18" cm="1">
        <f t="array" ref="D71">IFERROR(INDEX('Limite de crédito'!$F:$F, MATCH(MAX(IF('Limite de crédito'!$C:$C=$B71, 'Limite de crédito'!$A:$A)), 'Limite de crédito'!$A:$A, 0)),0)</f>
        <v>0</v>
      </c>
      <c r="E71" s="18">
        <f t="shared" si="10"/>
        <v>0</v>
      </c>
      <c r="F71" s="18">
        <f t="shared" si="11"/>
        <v>0</v>
      </c>
      <c r="G71" s="19">
        <f>SUMIFS('Data Additive'!$D:$D,'Data Additive'!$P:$P,'Painel Additive'!#REF!,'Data Additive'!$Q:$Q,"&gt;0",'Data Additive'!$Q:$Q,"&lt;=30")</f>
        <v>0</v>
      </c>
      <c r="H71" s="19">
        <f>SUMIFS('Data Additive'!$D:$D,'Data Additive'!$P:$P,'Painel Additive'!#REF!,'Data Additive'!$Q:$Q,"&gt;30",'Data Additive'!$Q:$Q,"&lt;=60")</f>
        <v>0</v>
      </c>
      <c r="I71" s="19">
        <f>SUMIFS('Data Additive'!$D:$D,'Data Additive'!$P:$P,'Painel Additive'!#REF!,'Data Additive'!$Q:$Q,"&gt;60",'Data Additive'!$Q:$Q,"&lt;=90")</f>
        <v>0</v>
      </c>
      <c r="J71" s="19">
        <f>SUMIFS('Data Additive'!$D:$D,'Data Additive'!$P:$P,'Painel Additive'!#REF!,'Data Additive'!$Q:$Q,"&gt;90",'Data Additive'!$Q:$Q,"&lt;=120")</f>
        <v>0</v>
      </c>
      <c r="K71" s="19">
        <f>SUMIFS('Data Additive'!$D:$D,'Data Additive'!$P:$P,'Painel Additive'!#REF!,'Data Additive'!$Q:$Q,"&gt;120",'Data Additive'!$Q:$Q,"&lt;=180")</f>
        <v>0</v>
      </c>
      <c r="L71" s="19">
        <f>SUMIFS('Data Additive'!$D:$D,'Data Additive'!$P:$P,'Painel Additive'!#REF!,'Data Additive'!$Q:$Q,"&gt;180",'Data Additive'!$Q:$Q,"&lt;=360")</f>
        <v>0</v>
      </c>
      <c r="M71" s="23">
        <f>SUMIFS('Data Additive'!$D:$D,'Data Additive'!$P:$P,'Painel Additive'!#REF!,'Data Additive'!$Q:$Q,"&gt;360")</f>
        <v>0</v>
      </c>
      <c r="N71" s="19">
        <f>SUMIFS('Data Additive'!$D:$D,'Data Additive'!$P:$P,'Painel Additive'!#REF!,'Data Additive'!$Q:$Q,"&gt;0")</f>
        <v>0</v>
      </c>
      <c r="O71" s="19">
        <f t="shared" si="12"/>
        <v>0</v>
      </c>
      <c r="P71" s="19">
        <f>SUMIFS('Data Additive'!$D:$D,'Data Additive'!$P:$P,'Painel Additive'!#REF!,'Data Additive'!$Q:$Q,"&lt;=0",'Data Additive'!$Q:$Q,"&gt;=-30")</f>
        <v>0</v>
      </c>
      <c r="Q71" s="19">
        <f>SUMIFS('Data Additive'!$D:$D,'Data Additive'!$P:$P,'Painel Additive'!#REF!,'Data Additive'!$Q:$Q,"&lt;=-31",'Data Additive'!$Q:$Q,"&gt;=-60")</f>
        <v>0</v>
      </c>
      <c r="R71" s="19">
        <f>SUMIFS('Data Additive'!$D:$D,'Data Additive'!$P:$P,'Painel Additive'!#REF!,'Data Additive'!$Q:$Q,"&lt;=-61",'Data Additive'!$Q:$Q,"&gt;=-90")</f>
        <v>0</v>
      </c>
      <c r="S71" s="19">
        <f>SUMIFS('Data Additive'!$D:$D,'Data Additive'!$P:$P,'Painel Additive'!#REF!,'Data Additive'!$Q:$Q,"&lt;=-91",'Data Additive'!$Q:$Q,"&gt;=-120")</f>
        <v>0</v>
      </c>
      <c r="T71" s="19">
        <f>SUMIFS('Data Additive'!$D:$D,'Data Additive'!$P:$P,'Painel Additive'!#REF!,'Data Additive'!$Q:$Q,"&lt;=-121",'Data Additive'!$Q:$Q,"&gt;=-180")</f>
        <v>0</v>
      </c>
      <c r="U71" s="19">
        <f>SUMIFS('Data Additive'!$D:$D,'Data Additive'!$P:$P,'Painel Additive'!#REF!,'Data Additive'!$Q:$Q,"&lt;=-181",'Data Additive'!$Q:$Q,"&gt;=-360")</f>
        <v>0</v>
      </c>
      <c r="V71" s="23">
        <f>SUMIFS('Data Additive'!$D:$D,'Data Additive'!$P:$P,'Painel Additive'!#REF!,'Data Additive'!$Q:$Q,"&lt;-360")</f>
        <v>0</v>
      </c>
      <c r="W71" s="19" t="e">
        <f>SUMIFS('Bad Debt Provision'!#REF!,'Bad Debt Provision'!#REF!,'Painel Additive'!#REF!)</f>
        <v>#REF!</v>
      </c>
      <c r="X71" s="5"/>
      <c r="Y71" s="20"/>
      <c r="Z71" s="20"/>
      <c r="AA71" s="21"/>
      <c r="AB71" s="5"/>
      <c r="AC71" s="19"/>
      <c r="AD71" s="20"/>
      <c r="AE71" s="22"/>
      <c r="AF71" s="22"/>
      <c r="AG71" s="5"/>
      <c r="AH71" s="28">
        <f t="shared" si="13"/>
        <v>0</v>
      </c>
      <c r="AI71" s="5"/>
    </row>
    <row r="72" spans="2:35" x14ac:dyDescent="0.25">
      <c r="B72" s="17" t="s">
        <v>34</v>
      </c>
      <c r="C72" s="93" t="str" cm="1">
        <f t="array" ref="C72">IFERROR(INDEX('Limite de crédito'!$D:$D, MATCH(MAX(IF('Limite de crédito'!$C:$C=$B72, 'Limite de crédito'!$A:$A)), 'Limite de crédito'!$A:$A, 0)),"")</f>
        <v/>
      </c>
      <c r="D72" s="18" cm="1">
        <f t="array" ref="D72">IFERROR(INDEX('Limite de crédito'!$F:$F, MATCH(MAX(IF('Limite de crédito'!$C:$C=$B72, 'Limite de crédito'!$A:$A)), 'Limite de crédito'!$A:$A, 0)),0)</f>
        <v>0</v>
      </c>
      <c r="E72" s="18">
        <f t="shared" si="10"/>
        <v>-410856.52</v>
      </c>
      <c r="F72" s="18">
        <f t="shared" si="11"/>
        <v>410856.52</v>
      </c>
      <c r="G72" s="19">
        <f>SUMIFS('Data Additive'!$D:$D,'Data Additive'!$P:$P,'Painel Additive'!$B14,'Data Additive'!$Q:$Q,"&gt;0",'Data Additive'!$Q:$Q,"&lt;=30")</f>
        <v>0</v>
      </c>
      <c r="H72" s="19">
        <f>SUMIFS('Data Additive'!$D:$D,'Data Additive'!$P:$P,'Painel Additive'!$B14,'Data Additive'!$Q:$Q,"&gt;30",'Data Additive'!$Q:$Q,"&lt;=60")</f>
        <v>0</v>
      </c>
      <c r="I72" s="19">
        <f>SUMIFS('Data Additive'!$D:$D,'Data Additive'!$P:$P,'Painel Additive'!$B14,'Data Additive'!$Q:$Q,"&gt;60",'Data Additive'!$Q:$Q,"&lt;=90")</f>
        <v>0</v>
      </c>
      <c r="J72" s="19">
        <f>SUMIFS('Data Additive'!$D:$D,'Data Additive'!$P:$P,'Painel Additive'!$B14,'Data Additive'!$Q:$Q,"&gt;90",'Data Additive'!$Q:$Q,"&lt;=120")</f>
        <v>0</v>
      </c>
      <c r="K72" s="19">
        <f>SUMIFS('Data Additive'!$D:$D,'Data Additive'!$P:$P,'Painel Additive'!$B14,'Data Additive'!$Q:$Q,"&gt;120",'Data Additive'!$Q:$Q,"&lt;=180")</f>
        <v>0</v>
      </c>
      <c r="L72" s="19">
        <f>SUMIFS('Data Additive'!$D:$D,'Data Additive'!$P:$P,'Painel Additive'!$B14,'Data Additive'!$Q:$Q,"&gt;180",'Data Additive'!$Q:$Q,"&lt;=360")</f>
        <v>0</v>
      </c>
      <c r="M72" s="23">
        <f>SUMIFS('Data Additive'!$D:$D,'Data Additive'!$P:$P,'Painel Additive'!$B14,'Data Additive'!$Q:$Q,"&gt;360")</f>
        <v>0</v>
      </c>
      <c r="N72" s="19">
        <f>SUMIFS('Data Additive'!$D:$D,'Data Additive'!$P:$P,'Painel Additive'!$B14,'Data Additive'!$Q:$Q,"&gt;0")</f>
        <v>0</v>
      </c>
      <c r="O72" s="19">
        <f t="shared" si="12"/>
        <v>410856.52</v>
      </c>
      <c r="P72" s="19">
        <f>SUMIFS('Data Additive'!$D:$D,'Data Additive'!$P:$P,'Painel Additive'!$B14,'Data Additive'!$Q:$Q,"&lt;=0",'Data Additive'!$Q:$Q,"&gt;=-30")</f>
        <v>0</v>
      </c>
      <c r="Q72" s="19">
        <f>SUMIFS('Data Additive'!$D:$D,'Data Additive'!$P:$P,'Painel Additive'!$B14,'Data Additive'!$Q:$Q,"&lt;=-31",'Data Additive'!$Q:$Q,"&gt;=-60")</f>
        <v>410856.52</v>
      </c>
      <c r="R72" s="19">
        <f>SUMIFS('Data Additive'!$D:$D,'Data Additive'!$P:$P,'Painel Additive'!$B14,'Data Additive'!$Q:$Q,"&lt;=-61",'Data Additive'!$Q:$Q,"&gt;=-90")</f>
        <v>0</v>
      </c>
      <c r="S72" s="19">
        <f>SUMIFS('Data Additive'!$D:$D,'Data Additive'!$P:$P,'Painel Additive'!$B14,'Data Additive'!$Q:$Q,"&lt;=-91",'Data Additive'!$Q:$Q,"&gt;=-120")</f>
        <v>0</v>
      </c>
      <c r="T72" s="19">
        <f>SUMIFS('Data Additive'!$D:$D,'Data Additive'!$P:$P,'Painel Additive'!$B14,'Data Additive'!$Q:$Q,"&lt;=-121",'Data Additive'!$Q:$Q,"&gt;=-180")</f>
        <v>0</v>
      </c>
      <c r="U72" s="19">
        <f>SUMIFS('Data Additive'!$D:$D,'Data Additive'!$P:$P,'Painel Additive'!$B14,'Data Additive'!$Q:$Q,"&lt;=-181",'Data Additive'!$Q:$Q,"&gt;=-360")</f>
        <v>0</v>
      </c>
      <c r="V72" s="23">
        <f>SUMIFS('Data Additive'!$D:$D,'Data Additive'!$P:$P,'Painel Additive'!$B14,'Data Additive'!$Q:$Q,"&lt;-360")</f>
        <v>0</v>
      </c>
      <c r="W72" s="19" t="e">
        <f>SUMIFS('Bad Debt Provision'!#REF!,'Bad Debt Provision'!#REF!,'Painel Additive'!$B14)</f>
        <v>#REF!</v>
      </c>
      <c r="X72" s="5"/>
      <c r="Y72" s="20"/>
      <c r="Z72" s="20"/>
      <c r="AA72" s="21"/>
      <c r="AB72" s="5"/>
      <c r="AC72" s="19"/>
      <c r="AD72" s="20"/>
      <c r="AE72" s="22"/>
      <c r="AF72" s="22"/>
      <c r="AG72" s="5"/>
      <c r="AH72" s="28">
        <f t="shared" si="13"/>
        <v>-410856.52</v>
      </c>
      <c r="AI72" s="5"/>
    </row>
    <row r="73" spans="2:35" x14ac:dyDescent="0.25">
      <c r="B73" s="17" t="s">
        <v>41</v>
      </c>
      <c r="C73" s="93" t="str" cm="1">
        <f t="array" ref="C73">IFERROR(INDEX('Limite de crédito'!$D:$D, MATCH(MAX(IF('Limite de crédito'!$C:$C=$B73, 'Limite de crédito'!$A:$A)), 'Limite de crédito'!$A:$A, 0)),"")</f>
        <v/>
      </c>
      <c r="D73" s="18" cm="1">
        <f t="array" ref="D73">IFERROR(INDEX('Limite de crédito'!$F:$F, MATCH(MAX(IF('Limite de crédito'!$C:$C=$B73, 'Limite de crédito'!$A:$A)), 'Limite de crédito'!$A:$A, 0)),0)</f>
        <v>0</v>
      </c>
      <c r="E73" s="18">
        <f t="shared" si="10"/>
        <v>-189028.7</v>
      </c>
      <c r="F73" s="18">
        <f t="shared" si="11"/>
        <v>189028.7</v>
      </c>
      <c r="G73" s="19">
        <f>SUMIFS('Data Additive'!$D:$D,'Data Additive'!$P:$P,'Painel Additive'!$B15,'Data Additive'!$Q:$Q,"&gt;0",'Data Additive'!$Q:$Q,"&lt;=30")</f>
        <v>37491.5</v>
      </c>
      <c r="H73" s="19">
        <f>SUMIFS('Data Additive'!$D:$D,'Data Additive'!$P:$P,'Painel Additive'!$B15,'Data Additive'!$Q:$Q,"&gt;30",'Data Additive'!$Q:$Q,"&lt;=60")</f>
        <v>0</v>
      </c>
      <c r="I73" s="19">
        <f>SUMIFS('Data Additive'!$D:$D,'Data Additive'!$P:$P,'Painel Additive'!$B15,'Data Additive'!$Q:$Q,"&gt;60",'Data Additive'!$Q:$Q,"&lt;=90")</f>
        <v>0</v>
      </c>
      <c r="J73" s="19">
        <f>SUMIFS('Data Additive'!$D:$D,'Data Additive'!$P:$P,'Painel Additive'!$B15,'Data Additive'!$Q:$Q,"&gt;90",'Data Additive'!$Q:$Q,"&lt;=120")</f>
        <v>0</v>
      </c>
      <c r="K73" s="19">
        <f>SUMIFS('Data Additive'!$D:$D,'Data Additive'!$P:$P,'Painel Additive'!$B15,'Data Additive'!$Q:$Q,"&gt;120",'Data Additive'!$Q:$Q,"&lt;=180")</f>
        <v>0</v>
      </c>
      <c r="L73" s="19">
        <f>SUMIFS('Data Additive'!$D:$D,'Data Additive'!$P:$P,'Painel Additive'!$B15,'Data Additive'!$Q:$Q,"&gt;180",'Data Additive'!$Q:$Q,"&lt;=360")</f>
        <v>0</v>
      </c>
      <c r="M73" s="23">
        <f>SUMIFS('Data Additive'!$D:$D,'Data Additive'!$P:$P,'Painel Additive'!$B15,'Data Additive'!$Q:$Q,"&gt;360")</f>
        <v>0</v>
      </c>
      <c r="N73" s="19">
        <f>SUMIFS('Data Additive'!$D:$D,'Data Additive'!$P:$P,'Painel Additive'!$B15,'Data Additive'!$Q:$Q,"&gt;0")</f>
        <v>37491.5</v>
      </c>
      <c r="O73" s="19">
        <f t="shared" si="12"/>
        <v>151537.20000000001</v>
      </c>
      <c r="P73" s="19">
        <f>SUMIFS('Data Additive'!$D:$D,'Data Additive'!$P:$P,'Painel Additive'!$B15,'Data Additive'!$Q:$Q,"&lt;=0",'Data Additive'!$Q:$Q,"&gt;=-30")</f>
        <v>75216.800000000003</v>
      </c>
      <c r="Q73" s="19">
        <f>SUMIFS('Data Additive'!$D:$D,'Data Additive'!$P:$P,'Painel Additive'!$B15,'Data Additive'!$Q:$Q,"&lt;=-31",'Data Additive'!$Q:$Q,"&gt;=-60")</f>
        <v>76320.399999999994</v>
      </c>
      <c r="R73" s="19">
        <f>SUMIFS('Data Additive'!$D:$D,'Data Additive'!$P:$P,'Painel Additive'!$B15,'Data Additive'!$Q:$Q,"&lt;=-61",'Data Additive'!$Q:$Q,"&gt;=-90")</f>
        <v>0</v>
      </c>
      <c r="S73" s="19">
        <f>SUMIFS('Data Additive'!$D:$D,'Data Additive'!$P:$P,'Painel Additive'!$B15,'Data Additive'!$Q:$Q,"&lt;=-91",'Data Additive'!$Q:$Q,"&gt;=-120")</f>
        <v>0</v>
      </c>
      <c r="T73" s="19">
        <f>SUMIFS('Data Additive'!$D:$D,'Data Additive'!$P:$P,'Painel Additive'!$B15,'Data Additive'!$Q:$Q,"&lt;=-121",'Data Additive'!$Q:$Q,"&gt;=-180")</f>
        <v>0</v>
      </c>
      <c r="U73" s="19">
        <f>SUMIFS('Data Additive'!$D:$D,'Data Additive'!$P:$P,'Painel Additive'!$B15,'Data Additive'!$Q:$Q,"&lt;=-181",'Data Additive'!$Q:$Q,"&gt;=-360")</f>
        <v>0</v>
      </c>
      <c r="V73" s="23">
        <f>SUMIFS('Data Additive'!$D:$D,'Data Additive'!$P:$P,'Painel Additive'!$B15,'Data Additive'!$Q:$Q,"&lt;-360")</f>
        <v>0</v>
      </c>
      <c r="W73" s="19" t="e">
        <f>SUMIFS('Bad Debt Provision'!#REF!,'Bad Debt Provision'!#REF!,'Painel Additive'!$B15)</f>
        <v>#REF!</v>
      </c>
      <c r="X73" s="5"/>
      <c r="Y73" s="20"/>
      <c r="Z73" s="20"/>
      <c r="AA73" s="21"/>
      <c r="AB73" s="5"/>
      <c r="AC73" s="19"/>
      <c r="AD73" s="20"/>
      <c r="AE73" s="22"/>
      <c r="AF73" s="22"/>
      <c r="AG73" s="5"/>
      <c r="AH73" s="28">
        <f t="shared" si="13"/>
        <v>-189028.7</v>
      </c>
      <c r="AI73" s="5"/>
    </row>
    <row r="74" spans="2:35" x14ac:dyDescent="0.25">
      <c r="B74" s="17" t="s">
        <v>52</v>
      </c>
      <c r="C74" s="93" t="str" cm="1">
        <f t="array" ref="C74">IFERROR(INDEX('Limite de crédito'!$D:$D, MATCH(MAX(IF('Limite de crédito'!$C:$C=$B74, 'Limite de crédito'!$A:$A)), 'Limite de crédito'!$A:$A, 0)),"")</f>
        <v/>
      </c>
      <c r="D74" s="18" cm="1">
        <f t="array" ref="D74">IFERROR(INDEX('Limite de crédito'!$F:$F, MATCH(MAX(IF('Limite de crédito'!$C:$C=$B74, 'Limite de crédito'!$A:$A)), 'Limite de crédito'!$A:$A, 0)),0)</f>
        <v>0</v>
      </c>
      <c r="E74" s="18">
        <f t="shared" si="10"/>
        <v>-80079.3</v>
      </c>
      <c r="F74" s="18">
        <f t="shared" si="11"/>
        <v>80079.3</v>
      </c>
      <c r="G74" s="19">
        <f>SUMIFS('Data Additive'!$D:$D,'Data Additive'!$P:$P,'Painel Additive'!$B16,'Data Additive'!$Q:$Q,"&gt;0",'Data Additive'!$Q:$Q,"&lt;=30")</f>
        <v>0</v>
      </c>
      <c r="H74" s="19">
        <f>SUMIFS('Data Additive'!$D:$D,'Data Additive'!$P:$P,'Painel Additive'!$B16,'Data Additive'!$Q:$Q,"&gt;30",'Data Additive'!$Q:$Q,"&lt;=60")</f>
        <v>0</v>
      </c>
      <c r="I74" s="19">
        <f>SUMIFS('Data Additive'!$D:$D,'Data Additive'!$P:$P,'Painel Additive'!$B16,'Data Additive'!$Q:$Q,"&gt;60",'Data Additive'!$Q:$Q,"&lt;=90")</f>
        <v>0</v>
      </c>
      <c r="J74" s="19">
        <f>SUMIFS('Data Additive'!$D:$D,'Data Additive'!$P:$P,'Painel Additive'!$B16,'Data Additive'!$Q:$Q,"&gt;90",'Data Additive'!$Q:$Q,"&lt;=120")</f>
        <v>0</v>
      </c>
      <c r="K74" s="19">
        <f>SUMIFS('Data Additive'!$D:$D,'Data Additive'!$P:$P,'Painel Additive'!$B16,'Data Additive'!$Q:$Q,"&gt;120",'Data Additive'!$Q:$Q,"&lt;=180")</f>
        <v>0</v>
      </c>
      <c r="L74" s="19">
        <f>SUMIFS('Data Additive'!$D:$D,'Data Additive'!$P:$P,'Painel Additive'!$B16,'Data Additive'!$Q:$Q,"&gt;180",'Data Additive'!$Q:$Q,"&lt;=360")</f>
        <v>0</v>
      </c>
      <c r="M74" s="23">
        <f>SUMIFS('Data Additive'!$D:$D,'Data Additive'!$P:$P,'Painel Additive'!$B16,'Data Additive'!$Q:$Q,"&gt;360")</f>
        <v>0</v>
      </c>
      <c r="N74" s="19">
        <f>SUMIFS('Data Additive'!$D:$D,'Data Additive'!$P:$P,'Painel Additive'!$B16,'Data Additive'!$Q:$Q,"&gt;0")</f>
        <v>0</v>
      </c>
      <c r="O74" s="19">
        <f t="shared" si="12"/>
        <v>80079.3</v>
      </c>
      <c r="P74" s="19">
        <f>SUMIFS('Data Additive'!$D:$D,'Data Additive'!$P:$P,'Painel Additive'!$B16,'Data Additive'!$Q:$Q,"&lt;=0",'Data Additive'!$Q:$Q,"&gt;=-30")</f>
        <v>80079.3</v>
      </c>
      <c r="Q74" s="19">
        <f>SUMIFS('Data Additive'!$D:$D,'Data Additive'!$P:$P,'Painel Additive'!$B16,'Data Additive'!$Q:$Q,"&lt;=-31",'Data Additive'!$Q:$Q,"&gt;=-60")</f>
        <v>0</v>
      </c>
      <c r="R74" s="19">
        <f>SUMIFS('Data Additive'!$D:$D,'Data Additive'!$P:$P,'Painel Additive'!$B16,'Data Additive'!$Q:$Q,"&lt;=-61",'Data Additive'!$Q:$Q,"&gt;=-90")</f>
        <v>0</v>
      </c>
      <c r="S74" s="19">
        <f>SUMIFS('Data Additive'!$D:$D,'Data Additive'!$P:$P,'Painel Additive'!$B16,'Data Additive'!$Q:$Q,"&lt;=-91",'Data Additive'!$Q:$Q,"&gt;=-120")</f>
        <v>0</v>
      </c>
      <c r="T74" s="19">
        <f>SUMIFS('Data Additive'!$D:$D,'Data Additive'!$P:$P,'Painel Additive'!$B16,'Data Additive'!$Q:$Q,"&lt;=-121",'Data Additive'!$Q:$Q,"&gt;=-180")</f>
        <v>0</v>
      </c>
      <c r="U74" s="19">
        <f>SUMIFS('Data Additive'!$D:$D,'Data Additive'!$P:$P,'Painel Additive'!$B16,'Data Additive'!$Q:$Q,"&lt;=-181",'Data Additive'!$Q:$Q,"&gt;=-360")</f>
        <v>0</v>
      </c>
      <c r="V74" s="23">
        <f>SUMIFS('Data Additive'!$D:$D,'Data Additive'!$P:$P,'Painel Additive'!$B16,'Data Additive'!$Q:$Q,"&lt;-360")</f>
        <v>0</v>
      </c>
      <c r="W74" s="19" t="e">
        <f>SUMIFS('Bad Debt Provision'!#REF!,'Bad Debt Provision'!#REF!,'Painel Additive'!$B16)</f>
        <v>#REF!</v>
      </c>
      <c r="X74" s="5"/>
      <c r="Y74" s="20"/>
      <c r="Z74" s="20"/>
      <c r="AA74" s="21"/>
      <c r="AB74" s="5"/>
      <c r="AC74" s="19"/>
      <c r="AD74" s="20"/>
      <c r="AE74" s="22"/>
      <c r="AF74" s="22"/>
      <c r="AG74" s="5"/>
      <c r="AH74" s="28">
        <f t="shared" si="13"/>
        <v>-80079.3</v>
      </c>
      <c r="AI74" s="5"/>
    </row>
    <row r="75" spans="2:35" x14ac:dyDescent="0.25">
      <c r="B75" s="17" t="s">
        <v>59</v>
      </c>
      <c r="C75" s="93" t="str" cm="1">
        <f t="array" ref="C75">IFERROR(INDEX('Limite de crédito'!$D:$D, MATCH(MAX(IF('Limite de crédito'!$C:$C=$B75, 'Limite de crédito'!$A:$A)), 'Limite de crédito'!$A:$A, 0)),"")</f>
        <v/>
      </c>
      <c r="D75" s="18" cm="1">
        <f t="array" ref="D75">IFERROR(INDEX('Limite de crédito'!$F:$F, MATCH(MAX(IF('Limite de crédito'!$C:$C=$B75, 'Limite de crédito'!$A:$A)), 'Limite de crédito'!$A:$A, 0)),0)</f>
        <v>0</v>
      </c>
      <c r="E75" s="18">
        <f t="shared" si="10"/>
        <v>0</v>
      </c>
      <c r="F75" s="18">
        <f t="shared" si="11"/>
        <v>0</v>
      </c>
      <c r="G75" s="19">
        <f>SUMIFS('Data Additive'!$D:$D,'Data Additive'!$P:$P,'Painel Additive'!#REF!,'Data Additive'!$Q:$Q,"&gt;0",'Data Additive'!$Q:$Q,"&lt;=30")</f>
        <v>0</v>
      </c>
      <c r="H75" s="19">
        <f>SUMIFS('Data Additive'!$D:$D,'Data Additive'!$P:$P,'Painel Additive'!#REF!,'Data Additive'!$Q:$Q,"&gt;30",'Data Additive'!$Q:$Q,"&lt;=60")</f>
        <v>0</v>
      </c>
      <c r="I75" s="19">
        <f>SUMIFS('Data Additive'!$D:$D,'Data Additive'!$P:$P,'Painel Additive'!#REF!,'Data Additive'!$Q:$Q,"&gt;60",'Data Additive'!$Q:$Q,"&lt;=90")</f>
        <v>0</v>
      </c>
      <c r="J75" s="19">
        <f>SUMIFS('Data Additive'!$D:$D,'Data Additive'!$P:$P,'Painel Additive'!#REF!,'Data Additive'!$Q:$Q,"&gt;90",'Data Additive'!$Q:$Q,"&lt;=120")</f>
        <v>0</v>
      </c>
      <c r="K75" s="19">
        <f>SUMIFS('Data Additive'!$D:$D,'Data Additive'!$P:$P,'Painel Additive'!#REF!,'Data Additive'!$Q:$Q,"&gt;120",'Data Additive'!$Q:$Q,"&lt;=180")</f>
        <v>0</v>
      </c>
      <c r="L75" s="19">
        <f>SUMIFS('Data Additive'!$D:$D,'Data Additive'!$P:$P,'Painel Additive'!#REF!,'Data Additive'!$Q:$Q,"&gt;180",'Data Additive'!$Q:$Q,"&lt;=360")</f>
        <v>0</v>
      </c>
      <c r="M75" s="23">
        <f>SUMIFS('Data Additive'!$D:$D,'Data Additive'!$P:$P,'Painel Additive'!#REF!,'Data Additive'!$Q:$Q,"&gt;360")</f>
        <v>0</v>
      </c>
      <c r="N75" s="19">
        <f>SUMIFS('Data Additive'!$D:$D,'Data Additive'!$P:$P,'Painel Additive'!#REF!,'Data Additive'!$Q:$Q,"&gt;0")</f>
        <v>0</v>
      </c>
      <c r="O75" s="19">
        <f t="shared" si="12"/>
        <v>0</v>
      </c>
      <c r="P75" s="19">
        <f>SUMIFS('Data Additive'!$D:$D,'Data Additive'!$P:$P,'Painel Additive'!#REF!,'Data Additive'!$Q:$Q,"&lt;=0",'Data Additive'!$Q:$Q,"&gt;=-30")</f>
        <v>0</v>
      </c>
      <c r="Q75" s="19">
        <f>SUMIFS('Data Additive'!$D:$D,'Data Additive'!$P:$P,'Painel Additive'!#REF!,'Data Additive'!$Q:$Q,"&lt;=-31",'Data Additive'!$Q:$Q,"&gt;=-60")</f>
        <v>0</v>
      </c>
      <c r="R75" s="19">
        <f>SUMIFS('Data Additive'!$D:$D,'Data Additive'!$P:$P,'Painel Additive'!#REF!,'Data Additive'!$Q:$Q,"&lt;=-61",'Data Additive'!$Q:$Q,"&gt;=-90")</f>
        <v>0</v>
      </c>
      <c r="S75" s="19">
        <f>SUMIFS('Data Additive'!$D:$D,'Data Additive'!$P:$P,'Painel Additive'!#REF!,'Data Additive'!$Q:$Q,"&lt;=-91",'Data Additive'!$Q:$Q,"&gt;=-120")</f>
        <v>0</v>
      </c>
      <c r="T75" s="19">
        <f>SUMIFS('Data Additive'!$D:$D,'Data Additive'!$P:$P,'Painel Additive'!#REF!,'Data Additive'!$Q:$Q,"&lt;=-121",'Data Additive'!$Q:$Q,"&gt;=-180")</f>
        <v>0</v>
      </c>
      <c r="U75" s="19">
        <f>SUMIFS('Data Additive'!$D:$D,'Data Additive'!$P:$P,'Painel Additive'!#REF!,'Data Additive'!$Q:$Q,"&lt;=-181",'Data Additive'!$Q:$Q,"&gt;=-360")</f>
        <v>0</v>
      </c>
      <c r="V75" s="23">
        <f>SUMIFS('Data Additive'!$D:$D,'Data Additive'!$P:$P,'Painel Additive'!#REF!,'Data Additive'!$Q:$Q,"&lt;-360")</f>
        <v>0</v>
      </c>
      <c r="W75" s="19" t="e">
        <f>SUMIFS('Bad Debt Provision'!#REF!,'Bad Debt Provision'!#REF!,'Painel Additive'!#REF!)</f>
        <v>#REF!</v>
      </c>
      <c r="X75" s="5"/>
      <c r="Y75" s="20"/>
      <c r="Z75" s="20"/>
      <c r="AA75" s="21"/>
      <c r="AB75" s="5"/>
      <c r="AC75" s="19"/>
      <c r="AD75" s="20"/>
      <c r="AE75" s="22"/>
      <c r="AF75" s="22"/>
      <c r="AG75" s="5"/>
      <c r="AH75" s="28">
        <f t="shared" si="13"/>
        <v>0</v>
      </c>
      <c r="AI75" s="5"/>
    </row>
    <row r="76" spans="2:35" x14ac:dyDescent="0.25">
      <c r="B76" s="17" t="s">
        <v>51</v>
      </c>
      <c r="C76" s="93" cm="1">
        <f t="array" ref="C76">IFERROR(INDEX('Limite de crédito'!$D:$D, MATCH(MAX(IF('Limite de crédito'!$C:$C=$B76, 'Limite de crédito'!$A:$A)), 'Limite de crédito'!$A:$A, 0)),"")</f>
        <v>45980</v>
      </c>
      <c r="D76" s="18" t="str" cm="1">
        <f t="array" ref="D76">IFERROR(INDEX('Limite de crédito'!$F:$F, MATCH(MAX(IF('Limite de crédito'!$C:$C=$B76, 'Limite de crédito'!$A:$A)), 'Limite de crédito'!$A:$A, 0)),0)</f>
        <v>Sim</v>
      </c>
      <c r="E76" s="18" t="e">
        <f t="shared" si="10"/>
        <v>#VALUE!</v>
      </c>
      <c r="F76" s="18">
        <f t="shared" si="11"/>
        <v>226233.60000000001</v>
      </c>
      <c r="G76" s="19">
        <f>SUMIFS('Data Additive'!$D:$D,'Data Additive'!$P:$P,'Painel Additive'!$B17,'Data Additive'!$Q:$Q,"&gt;0",'Data Additive'!$Q:$Q,"&lt;=30")</f>
        <v>0</v>
      </c>
      <c r="H76" s="19">
        <f>SUMIFS('Data Additive'!$D:$D,'Data Additive'!$P:$P,'Painel Additive'!$B17,'Data Additive'!$Q:$Q,"&gt;30",'Data Additive'!$Q:$Q,"&lt;=60")</f>
        <v>0</v>
      </c>
      <c r="I76" s="19">
        <f>SUMIFS('Data Additive'!$D:$D,'Data Additive'!$P:$P,'Painel Additive'!$B17,'Data Additive'!$Q:$Q,"&gt;60",'Data Additive'!$Q:$Q,"&lt;=90")</f>
        <v>0</v>
      </c>
      <c r="J76" s="19">
        <f>SUMIFS('Data Additive'!$D:$D,'Data Additive'!$P:$P,'Painel Additive'!$B17,'Data Additive'!$Q:$Q,"&gt;90",'Data Additive'!$Q:$Q,"&lt;=120")</f>
        <v>0</v>
      </c>
      <c r="K76" s="19">
        <f>SUMIFS('Data Additive'!$D:$D,'Data Additive'!$P:$P,'Painel Additive'!$B17,'Data Additive'!$Q:$Q,"&gt;120",'Data Additive'!$Q:$Q,"&lt;=180")</f>
        <v>0</v>
      </c>
      <c r="L76" s="19">
        <f>SUMIFS('Data Additive'!$D:$D,'Data Additive'!$P:$P,'Painel Additive'!$B17,'Data Additive'!$Q:$Q,"&gt;180",'Data Additive'!$Q:$Q,"&lt;=360")</f>
        <v>0</v>
      </c>
      <c r="M76" s="23">
        <f>SUMIFS('Data Additive'!$D:$D,'Data Additive'!$P:$P,'Painel Additive'!$B17,'Data Additive'!$Q:$Q,"&gt;360")</f>
        <v>226233.60000000001</v>
      </c>
      <c r="N76" s="19">
        <f>SUMIFS('Data Additive'!$D:$D,'Data Additive'!$P:$P,'Painel Additive'!$B17,'Data Additive'!$Q:$Q,"&gt;0")</f>
        <v>226233.60000000001</v>
      </c>
      <c r="O76" s="19">
        <f t="shared" si="12"/>
        <v>0</v>
      </c>
      <c r="P76" s="19">
        <f>SUMIFS('Data Additive'!$D:$D,'Data Additive'!$P:$P,'Painel Additive'!$B17,'Data Additive'!$Q:$Q,"&lt;=0",'Data Additive'!$Q:$Q,"&gt;=-30")</f>
        <v>0</v>
      </c>
      <c r="Q76" s="19">
        <f>SUMIFS('Data Additive'!$D:$D,'Data Additive'!$P:$P,'Painel Additive'!$B17,'Data Additive'!$Q:$Q,"&lt;=-31",'Data Additive'!$Q:$Q,"&gt;=-60")</f>
        <v>0</v>
      </c>
      <c r="R76" s="19">
        <f>SUMIFS('Data Additive'!$D:$D,'Data Additive'!$P:$P,'Painel Additive'!$B17,'Data Additive'!$Q:$Q,"&lt;=-61",'Data Additive'!$Q:$Q,"&gt;=-90")</f>
        <v>0</v>
      </c>
      <c r="S76" s="19">
        <f>SUMIFS('Data Additive'!$D:$D,'Data Additive'!$P:$P,'Painel Additive'!$B17,'Data Additive'!$Q:$Q,"&lt;=-91",'Data Additive'!$Q:$Q,"&gt;=-120")</f>
        <v>0</v>
      </c>
      <c r="T76" s="19">
        <f>SUMIFS('Data Additive'!$D:$D,'Data Additive'!$P:$P,'Painel Additive'!$B17,'Data Additive'!$Q:$Q,"&lt;=-121",'Data Additive'!$Q:$Q,"&gt;=-180")</f>
        <v>0</v>
      </c>
      <c r="U76" s="19">
        <f>SUMIFS('Data Additive'!$D:$D,'Data Additive'!$P:$P,'Painel Additive'!$B17,'Data Additive'!$Q:$Q,"&lt;=-181",'Data Additive'!$Q:$Q,"&gt;=-360")</f>
        <v>0</v>
      </c>
      <c r="V76" s="23">
        <f>SUMIFS('Data Additive'!$D:$D,'Data Additive'!$P:$P,'Painel Additive'!$B17,'Data Additive'!$Q:$Q,"&lt;-360")</f>
        <v>0</v>
      </c>
      <c r="W76" s="19" t="e">
        <f>SUMIFS('Bad Debt Provision'!#REF!,'Bad Debt Provision'!#REF!,'Painel Additive'!$B17)</f>
        <v>#REF!</v>
      </c>
      <c r="X76" s="5"/>
      <c r="Y76" s="20"/>
      <c r="Z76" s="20"/>
      <c r="AA76" s="21"/>
      <c r="AB76" s="5"/>
      <c r="AC76" s="19"/>
      <c r="AD76" s="20"/>
      <c r="AE76" s="22"/>
      <c r="AF76" s="22"/>
      <c r="AG76" s="5"/>
      <c r="AH76" s="28">
        <f t="shared" si="13"/>
        <v>-226233.60000000001</v>
      </c>
      <c r="AI76" s="5"/>
    </row>
    <row r="77" spans="2:35" x14ac:dyDescent="0.25">
      <c r="B77" s="17" t="s">
        <v>49</v>
      </c>
      <c r="C77" s="93" t="str" cm="1">
        <f t="array" ref="C77">IFERROR(INDEX('Limite de crédito'!$D:$D, MATCH(MAX(IF('Limite de crédito'!$C:$C=$B77, 'Limite de crédito'!$A:$A)), 'Limite de crédito'!$A:$A, 0)),"")</f>
        <v/>
      </c>
      <c r="D77" s="18" cm="1">
        <f t="array" ref="D77">IFERROR(INDEX('Limite de crédito'!$F:$F, MATCH(MAX(IF('Limite de crédito'!$C:$C=$B77, 'Limite de crédito'!$A:$A)), 'Limite de crédito'!$A:$A, 0)),0)</f>
        <v>0</v>
      </c>
      <c r="E77" s="18">
        <f t="shared" si="10"/>
        <v>-213750</v>
      </c>
      <c r="F77" s="18">
        <f t="shared" si="11"/>
        <v>213750</v>
      </c>
      <c r="G77" s="19">
        <f>SUMIFS('Data Additive'!$D:$D,'Data Additive'!$P:$P,'Painel Additive'!$B18,'Data Additive'!$Q:$Q,"&gt;0",'Data Additive'!$Q:$Q,"&lt;=30")</f>
        <v>0</v>
      </c>
      <c r="H77" s="19">
        <f>SUMIFS('Data Additive'!$D:$D,'Data Additive'!$P:$P,'Painel Additive'!$B18,'Data Additive'!$Q:$Q,"&gt;30",'Data Additive'!$Q:$Q,"&lt;=60")</f>
        <v>0</v>
      </c>
      <c r="I77" s="19">
        <f>SUMIFS('Data Additive'!$D:$D,'Data Additive'!$P:$P,'Painel Additive'!$B18,'Data Additive'!$Q:$Q,"&gt;60",'Data Additive'!$Q:$Q,"&lt;=90")</f>
        <v>0</v>
      </c>
      <c r="J77" s="19">
        <f>SUMIFS('Data Additive'!$D:$D,'Data Additive'!$P:$P,'Painel Additive'!$B18,'Data Additive'!$Q:$Q,"&gt;90",'Data Additive'!$Q:$Q,"&lt;=120")</f>
        <v>0</v>
      </c>
      <c r="K77" s="19">
        <f>SUMIFS('Data Additive'!$D:$D,'Data Additive'!$P:$P,'Painel Additive'!$B18,'Data Additive'!$Q:$Q,"&gt;120",'Data Additive'!$Q:$Q,"&lt;=180")</f>
        <v>0</v>
      </c>
      <c r="L77" s="19">
        <f>SUMIFS('Data Additive'!$D:$D,'Data Additive'!$P:$P,'Painel Additive'!$B18,'Data Additive'!$Q:$Q,"&gt;180",'Data Additive'!$Q:$Q,"&lt;=360")</f>
        <v>0</v>
      </c>
      <c r="M77" s="23">
        <f>SUMIFS('Data Additive'!$D:$D,'Data Additive'!$P:$P,'Painel Additive'!$B18,'Data Additive'!$Q:$Q,"&gt;360")</f>
        <v>213750</v>
      </c>
      <c r="N77" s="19">
        <f>SUMIFS('Data Additive'!$D:$D,'Data Additive'!$P:$P,'Painel Additive'!$B18,'Data Additive'!$Q:$Q,"&gt;0")</f>
        <v>213750</v>
      </c>
      <c r="O77" s="19">
        <f t="shared" si="12"/>
        <v>0</v>
      </c>
      <c r="P77" s="19">
        <f>SUMIFS('Data Additive'!$D:$D,'Data Additive'!$P:$P,'Painel Additive'!$B18,'Data Additive'!$Q:$Q,"&lt;=0",'Data Additive'!$Q:$Q,"&gt;=-30")</f>
        <v>0</v>
      </c>
      <c r="Q77" s="19">
        <f>SUMIFS('Data Additive'!$D:$D,'Data Additive'!$P:$P,'Painel Additive'!$B18,'Data Additive'!$Q:$Q,"&lt;=-31",'Data Additive'!$Q:$Q,"&gt;=-60")</f>
        <v>0</v>
      </c>
      <c r="R77" s="19">
        <f>SUMIFS('Data Additive'!$D:$D,'Data Additive'!$P:$P,'Painel Additive'!$B18,'Data Additive'!$Q:$Q,"&lt;=-61",'Data Additive'!$Q:$Q,"&gt;=-90")</f>
        <v>0</v>
      </c>
      <c r="S77" s="19">
        <f>SUMIFS('Data Additive'!$D:$D,'Data Additive'!$P:$P,'Painel Additive'!$B18,'Data Additive'!$Q:$Q,"&lt;=-91",'Data Additive'!$Q:$Q,"&gt;=-120")</f>
        <v>0</v>
      </c>
      <c r="T77" s="19">
        <f>SUMIFS('Data Additive'!$D:$D,'Data Additive'!$P:$P,'Painel Additive'!$B18,'Data Additive'!$Q:$Q,"&lt;=-121",'Data Additive'!$Q:$Q,"&gt;=-180")</f>
        <v>0</v>
      </c>
      <c r="U77" s="19">
        <f>SUMIFS('Data Additive'!$D:$D,'Data Additive'!$P:$P,'Painel Additive'!$B18,'Data Additive'!$Q:$Q,"&lt;=-181",'Data Additive'!$Q:$Q,"&gt;=-360")</f>
        <v>0</v>
      </c>
      <c r="V77" s="23">
        <f>SUMIFS('Data Additive'!$D:$D,'Data Additive'!$P:$P,'Painel Additive'!$B18,'Data Additive'!$Q:$Q,"&lt;-360")</f>
        <v>0</v>
      </c>
      <c r="W77" s="19" t="e">
        <f>SUMIFS('Bad Debt Provision'!#REF!,'Bad Debt Provision'!#REF!,'Painel Additive'!$B18)</f>
        <v>#REF!</v>
      </c>
      <c r="X77" s="5"/>
      <c r="Y77" s="20"/>
      <c r="Z77" s="20"/>
      <c r="AA77" s="21"/>
      <c r="AB77" s="5"/>
      <c r="AC77" s="19"/>
      <c r="AD77" s="20"/>
      <c r="AE77" s="22"/>
      <c r="AF77" s="22"/>
      <c r="AG77" s="5"/>
      <c r="AH77" s="28">
        <f t="shared" si="13"/>
        <v>-213750</v>
      </c>
      <c r="AI77" s="5"/>
    </row>
    <row r="78" spans="2:35" x14ac:dyDescent="0.25">
      <c r="B78" s="17" t="s">
        <v>165</v>
      </c>
      <c r="C78" s="93" t="str" cm="1">
        <f t="array" ref="C78">IFERROR(INDEX('Limite de crédito'!$D:$D, MATCH(MAX(IF('Limite de crédito'!$C:$C=$B78, 'Limite de crédito'!$A:$A)), 'Limite de crédito'!$A:$A, 0)),"")</f>
        <v/>
      </c>
      <c r="D78" s="18" cm="1">
        <f t="array" ref="D78">IFERROR(INDEX('Limite de crédito'!$F:$F, MATCH(MAX(IF('Limite de crédito'!$C:$C=$B78, 'Limite de crédito'!$A:$A)), 'Limite de crédito'!$A:$A, 0)),0)</f>
        <v>0</v>
      </c>
      <c r="E78" s="18">
        <f t="shared" si="10"/>
        <v>0</v>
      </c>
      <c r="F78" s="18">
        <f t="shared" si="11"/>
        <v>0</v>
      </c>
      <c r="G78" s="19">
        <f>SUMIFS('Data Additive'!$D:$D,'Data Additive'!$P:$P,'Painel Additive'!$B19,'Data Additive'!$Q:$Q,"&gt;0",'Data Additive'!$Q:$Q,"&lt;=30")</f>
        <v>0</v>
      </c>
      <c r="H78" s="19">
        <f>SUMIFS('Data Additive'!$D:$D,'Data Additive'!$P:$P,'Painel Additive'!$B19,'Data Additive'!$Q:$Q,"&gt;30",'Data Additive'!$Q:$Q,"&lt;=60")</f>
        <v>0</v>
      </c>
      <c r="I78" s="19">
        <f>SUMIFS('Data Additive'!$D:$D,'Data Additive'!$P:$P,'Painel Additive'!$B19,'Data Additive'!$Q:$Q,"&gt;60",'Data Additive'!$Q:$Q,"&lt;=90")</f>
        <v>0</v>
      </c>
      <c r="J78" s="19">
        <f>SUMIFS('Data Additive'!$D:$D,'Data Additive'!$P:$P,'Painel Additive'!$B19,'Data Additive'!$Q:$Q,"&gt;90",'Data Additive'!$Q:$Q,"&lt;=120")</f>
        <v>0</v>
      </c>
      <c r="K78" s="19">
        <f>SUMIFS('Data Additive'!$D:$D,'Data Additive'!$P:$P,'Painel Additive'!$B19,'Data Additive'!$Q:$Q,"&gt;120",'Data Additive'!$Q:$Q,"&lt;=180")</f>
        <v>0</v>
      </c>
      <c r="L78" s="19">
        <f>SUMIFS('Data Additive'!$D:$D,'Data Additive'!$P:$P,'Painel Additive'!$B19,'Data Additive'!$Q:$Q,"&gt;180",'Data Additive'!$Q:$Q,"&lt;=360")</f>
        <v>0</v>
      </c>
      <c r="M78" s="23">
        <f>SUMIFS('Data Additive'!$D:$D,'Data Additive'!$P:$P,'Painel Additive'!$B19,'Data Additive'!$Q:$Q,"&gt;360")</f>
        <v>0</v>
      </c>
      <c r="N78" s="19">
        <f>SUMIFS('Data Additive'!$D:$D,'Data Additive'!$P:$P,'Painel Additive'!$B19,'Data Additive'!$Q:$Q,"&gt;0")</f>
        <v>0</v>
      </c>
      <c r="O78" s="19">
        <f t="shared" si="12"/>
        <v>0</v>
      </c>
      <c r="P78" s="19">
        <f>SUMIFS('Data Additive'!$D:$D,'Data Additive'!$P:$P,'Painel Additive'!$B19,'Data Additive'!$Q:$Q,"&lt;=0",'Data Additive'!$Q:$Q,"&gt;=-30")</f>
        <v>0</v>
      </c>
      <c r="Q78" s="19">
        <f>SUMIFS('Data Additive'!$D:$D,'Data Additive'!$P:$P,'Painel Additive'!$B19,'Data Additive'!$Q:$Q,"&lt;=-31",'Data Additive'!$Q:$Q,"&gt;=-60")</f>
        <v>0</v>
      </c>
      <c r="R78" s="19">
        <f>SUMIFS('Data Additive'!$D:$D,'Data Additive'!$P:$P,'Painel Additive'!$B19,'Data Additive'!$Q:$Q,"&lt;=-61",'Data Additive'!$Q:$Q,"&gt;=-90")</f>
        <v>0</v>
      </c>
      <c r="S78" s="19">
        <f>SUMIFS('Data Additive'!$D:$D,'Data Additive'!$P:$P,'Painel Additive'!$B19,'Data Additive'!$Q:$Q,"&lt;=-91",'Data Additive'!$Q:$Q,"&gt;=-120")</f>
        <v>0</v>
      </c>
      <c r="T78" s="19">
        <f>SUMIFS('Data Additive'!$D:$D,'Data Additive'!$P:$P,'Painel Additive'!$B19,'Data Additive'!$Q:$Q,"&lt;=-121",'Data Additive'!$Q:$Q,"&gt;=-180")</f>
        <v>0</v>
      </c>
      <c r="U78" s="19">
        <f>SUMIFS('Data Additive'!$D:$D,'Data Additive'!$P:$P,'Painel Additive'!$B19,'Data Additive'!$Q:$Q,"&lt;=-181",'Data Additive'!$Q:$Q,"&gt;=-360")</f>
        <v>0</v>
      </c>
      <c r="V78" s="23">
        <f>SUMIFS('Data Additive'!$D:$D,'Data Additive'!$P:$P,'Painel Additive'!$B19,'Data Additive'!$Q:$Q,"&lt;-360")</f>
        <v>0</v>
      </c>
      <c r="W78" s="19" t="e">
        <f>SUMIFS('Bad Debt Provision'!#REF!,'Bad Debt Provision'!#REF!,'Painel Additive'!$B19)</f>
        <v>#REF!</v>
      </c>
      <c r="X78" s="5"/>
      <c r="Y78" s="20"/>
      <c r="Z78" s="20"/>
      <c r="AA78" s="21"/>
      <c r="AB78" s="5"/>
      <c r="AC78" s="19"/>
      <c r="AD78" s="20"/>
      <c r="AE78" s="22"/>
      <c r="AF78" s="22"/>
      <c r="AG78" s="5"/>
      <c r="AH78" s="28">
        <f t="shared" si="13"/>
        <v>0</v>
      </c>
      <c r="AI78" s="5"/>
    </row>
    <row r="79" spans="2:35" x14ac:dyDescent="0.25">
      <c r="B79" s="17" t="s">
        <v>57</v>
      </c>
      <c r="C79" s="93" t="str" cm="1">
        <f t="array" ref="C79">IFERROR(INDEX('Limite de crédito'!$D:$D, MATCH(MAX(IF('Limite de crédito'!$C:$C=$B79, 'Limite de crédito'!$A:$A)), 'Limite de crédito'!$A:$A, 0)),"")</f>
        <v/>
      </c>
      <c r="D79" s="18" cm="1">
        <f t="array" ref="D79">IFERROR(INDEX('Limite de crédito'!$F:$F, MATCH(MAX(IF('Limite de crédito'!$C:$C=$B79, 'Limite de crédito'!$A:$A)), 'Limite de crédito'!$A:$A, 0)),0)</f>
        <v>0</v>
      </c>
      <c r="E79" s="18">
        <f t="shared" si="10"/>
        <v>-62566.400000000001</v>
      </c>
      <c r="F79" s="18">
        <f t="shared" si="11"/>
        <v>62566.400000000001</v>
      </c>
      <c r="G79" s="19">
        <f>SUMIFS('Data Additive'!$D:$D,'Data Additive'!$P:$P,'Painel Additive'!$B20,'Data Additive'!$Q:$Q,"&gt;0",'Data Additive'!$Q:$Q,"&lt;=30")</f>
        <v>0</v>
      </c>
      <c r="H79" s="19">
        <f>SUMIFS('Data Additive'!$D:$D,'Data Additive'!$P:$P,'Painel Additive'!$B20,'Data Additive'!$Q:$Q,"&gt;30",'Data Additive'!$Q:$Q,"&lt;=60")</f>
        <v>0</v>
      </c>
      <c r="I79" s="19">
        <f>SUMIFS('Data Additive'!$D:$D,'Data Additive'!$P:$P,'Painel Additive'!$B20,'Data Additive'!$Q:$Q,"&gt;60",'Data Additive'!$Q:$Q,"&lt;=90")</f>
        <v>0</v>
      </c>
      <c r="J79" s="19">
        <f>SUMIFS('Data Additive'!$D:$D,'Data Additive'!$P:$P,'Painel Additive'!$B20,'Data Additive'!$Q:$Q,"&gt;90",'Data Additive'!$Q:$Q,"&lt;=120")</f>
        <v>0</v>
      </c>
      <c r="K79" s="19">
        <f>SUMIFS('Data Additive'!$D:$D,'Data Additive'!$P:$P,'Painel Additive'!$B20,'Data Additive'!$Q:$Q,"&gt;120",'Data Additive'!$Q:$Q,"&lt;=180")</f>
        <v>0</v>
      </c>
      <c r="L79" s="19">
        <f>SUMIFS('Data Additive'!$D:$D,'Data Additive'!$P:$P,'Painel Additive'!$B20,'Data Additive'!$Q:$Q,"&gt;180",'Data Additive'!$Q:$Q,"&lt;=360")</f>
        <v>0</v>
      </c>
      <c r="M79" s="23">
        <f>SUMIFS('Data Additive'!$D:$D,'Data Additive'!$P:$P,'Painel Additive'!$B20,'Data Additive'!$Q:$Q,"&gt;360")</f>
        <v>0</v>
      </c>
      <c r="N79" s="19">
        <f>SUMIFS('Data Additive'!$D:$D,'Data Additive'!$P:$P,'Painel Additive'!$B20,'Data Additive'!$Q:$Q,"&gt;0")</f>
        <v>0</v>
      </c>
      <c r="O79" s="19">
        <f t="shared" si="12"/>
        <v>62566.400000000001</v>
      </c>
      <c r="P79" s="19">
        <f>SUMIFS('Data Additive'!$D:$D,'Data Additive'!$P:$P,'Painel Additive'!$B20,'Data Additive'!$Q:$Q,"&lt;=0",'Data Additive'!$Q:$Q,"&gt;=-30")</f>
        <v>0</v>
      </c>
      <c r="Q79" s="19">
        <f>SUMIFS('Data Additive'!$D:$D,'Data Additive'!$P:$P,'Painel Additive'!$B20,'Data Additive'!$Q:$Q,"&lt;=-31",'Data Additive'!$Q:$Q,"&gt;=-60")</f>
        <v>62566.400000000001</v>
      </c>
      <c r="R79" s="19">
        <f>SUMIFS('Data Additive'!$D:$D,'Data Additive'!$P:$P,'Painel Additive'!$B20,'Data Additive'!$Q:$Q,"&lt;=-61",'Data Additive'!$Q:$Q,"&gt;=-90")</f>
        <v>0</v>
      </c>
      <c r="S79" s="19">
        <f>SUMIFS('Data Additive'!$D:$D,'Data Additive'!$P:$P,'Painel Additive'!$B20,'Data Additive'!$Q:$Q,"&lt;=-91",'Data Additive'!$Q:$Q,"&gt;=-120")</f>
        <v>0</v>
      </c>
      <c r="T79" s="19">
        <f>SUMIFS('Data Additive'!$D:$D,'Data Additive'!$P:$P,'Painel Additive'!$B20,'Data Additive'!$Q:$Q,"&lt;=-121",'Data Additive'!$Q:$Q,"&gt;=-180")</f>
        <v>0</v>
      </c>
      <c r="U79" s="19">
        <f>SUMIFS('Data Additive'!$D:$D,'Data Additive'!$P:$P,'Painel Additive'!$B20,'Data Additive'!$Q:$Q,"&lt;=-181",'Data Additive'!$Q:$Q,"&gt;=-360")</f>
        <v>0</v>
      </c>
      <c r="V79" s="23">
        <f>SUMIFS('Data Additive'!$D:$D,'Data Additive'!$P:$P,'Painel Additive'!$B20,'Data Additive'!$Q:$Q,"&lt;-360")</f>
        <v>0</v>
      </c>
      <c r="W79" s="19" t="e">
        <f>SUMIFS('Bad Debt Provision'!#REF!,'Bad Debt Provision'!#REF!,'Painel Additive'!$B20)</f>
        <v>#REF!</v>
      </c>
      <c r="X79" s="5"/>
      <c r="Y79" s="20"/>
      <c r="Z79" s="20"/>
      <c r="AA79" s="21"/>
      <c r="AB79" s="5"/>
      <c r="AC79" s="19"/>
      <c r="AD79" s="20"/>
      <c r="AE79" s="22"/>
      <c r="AF79" s="22"/>
      <c r="AG79" s="5"/>
      <c r="AH79" s="28">
        <f t="shared" si="13"/>
        <v>-62566.400000000001</v>
      </c>
      <c r="AI79" s="5"/>
    </row>
    <row r="80" spans="2:35" x14ac:dyDescent="0.25">
      <c r="B80" s="17" t="s">
        <v>38</v>
      </c>
      <c r="C80" s="93" t="str" cm="1">
        <f t="array" ref="C80">IFERROR(INDEX('Limite de crédito'!$D:$D, MATCH(MAX(IF('Limite de crédito'!$C:$C=$B80, 'Limite de crédito'!$A:$A)), 'Limite de crédito'!$A:$A, 0)),"")</f>
        <v/>
      </c>
      <c r="D80" s="18" cm="1">
        <f t="array" ref="D80">IFERROR(INDEX('Limite de crédito'!$F:$F, MATCH(MAX(IF('Limite de crédito'!$C:$C=$B80, 'Limite de crédito'!$A:$A)), 'Limite de crédito'!$A:$A, 0)),0)</f>
        <v>0</v>
      </c>
      <c r="E80" s="18">
        <f t="shared" si="10"/>
        <v>0</v>
      </c>
      <c r="F80" s="18">
        <f t="shared" si="11"/>
        <v>0</v>
      </c>
      <c r="G80" s="19">
        <f>SUMIFS('Data Additive'!$D:$D,'Data Additive'!$P:$P,'Painel Additive'!#REF!,'Data Additive'!$Q:$Q,"&gt;0",'Data Additive'!$Q:$Q,"&lt;=30")</f>
        <v>0</v>
      </c>
      <c r="H80" s="19">
        <f>SUMIFS('Data Additive'!$D:$D,'Data Additive'!$P:$P,'Painel Additive'!#REF!,'Data Additive'!$Q:$Q,"&gt;30",'Data Additive'!$Q:$Q,"&lt;=60")</f>
        <v>0</v>
      </c>
      <c r="I80" s="19">
        <f>SUMIFS('Data Additive'!$D:$D,'Data Additive'!$P:$P,'Painel Additive'!#REF!,'Data Additive'!$Q:$Q,"&gt;60",'Data Additive'!$Q:$Q,"&lt;=90")</f>
        <v>0</v>
      </c>
      <c r="J80" s="19">
        <f>SUMIFS('Data Additive'!$D:$D,'Data Additive'!$P:$P,'Painel Additive'!#REF!,'Data Additive'!$Q:$Q,"&gt;90",'Data Additive'!$Q:$Q,"&lt;=120")</f>
        <v>0</v>
      </c>
      <c r="K80" s="19">
        <f>SUMIFS('Data Additive'!$D:$D,'Data Additive'!$P:$P,'Painel Additive'!#REF!,'Data Additive'!$Q:$Q,"&gt;120",'Data Additive'!$Q:$Q,"&lt;=180")</f>
        <v>0</v>
      </c>
      <c r="L80" s="19">
        <f>SUMIFS('Data Additive'!$D:$D,'Data Additive'!$P:$P,'Painel Additive'!#REF!,'Data Additive'!$Q:$Q,"&gt;180",'Data Additive'!$Q:$Q,"&lt;=360")</f>
        <v>0</v>
      </c>
      <c r="M80" s="23">
        <f>SUMIFS('Data Additive'!$D:$D,'Data Additive'!$P:$P,'Painel Additive'!#REF!,'Data Additive'!$Q:$Q,"&gt;360")</f>
        <v>0</v>
      </c>
      <c r="N80" s="19">
        <f>SUMIFS('Data Additive'!$D:$D,'Data Additive'!$P:$P,'Painel Additive'!#REF!,'Data Additive'!$Q:$Q,"&gt;0")</f>
        <v>0</v>
      </c>
      <c r="O80" s="19">
        <f t="shared" si="12"/>
        <v>0</v>
      </c>
      <c r="P80" s="19">
        <f>SUMIFS('Data Additive'!$D:$D,'Data Additive'!$P:$P,'Painel Additive'!#REF!,'Data Additive'!$Q:$Q,"&lt;=0",'Data Additive'!$Q:$Q,"&gt;=-30")</f>
        <v>0</v>
      </c>
      <c r="Q80" s="19">
        <f>SUMIFS('Data Additive'!$D:$D,'Data Additive'!$P:$P,'Painel Additive'!#REF!,'Data Additive'!$Q:$Q,"&lt;=-31",'Data Additive'!$Q:$Q,"&gt;=-60")</f>
        <v>0</v>
      </c>
      <c r="R80" s="19">
        <f>SUMIFS('Data Additive'!$D:$D,'Data Additive'!$P:$P,'Painel Additive'!#REF!,'Data Additive'!$Q:$Q,"&lt;=-61",'Data Additive'!$Q:$Q,"&gt;=-90")</f>
        <v>0</v>
      </c>
      <c r="S80" s="19">
        <f>SUMIFS('Data Additive'!$D:$D,'Data Additive'!$P:$P,'Painel Additive'!#REF!,'Data Additive'!$Q:$Q,"&lt;=-91",'Data Additive'!$Q:$Q,"&gt;=-120")</f>
        <v>0</v>
      </c>
      <c r="T80" s="19">
        <f>SUMIFS('Data Additive'!$D:$D,'Data Additive'!$P:$P,'Painel Additive'!#REF!,'Data Additive'!$Q:$Q,"&lt;=-121",'Data Additive'!$Q:$Q,"&gt;=-180")</f>
        <v>0</v>
      </c>
      <c r="U80" s="19">
        <f>SUMIFS('Data Additive'!$D:$D,'Data Additive'!$P:$P,'Painel Additive'!#REF!,'Data Additive'!$Q:$Q,"&lt;=-181",'Data Additive'!$Q:$Q,"&gt;=-360")</f>
        <v>0</v>
      </c>
      <c r="V80" s="23">
        <f>SUMIFS('Data Additive'!$D:$D,'Data Additive'!$P:$P,'Painel Additive'!#REF!,'Data Additive'!$Q:$Q,"&lt;-360")</f>
        <v>0</v>
      </c>
      <c r="W80" s="19" t="e">
        <f>SUMIFS('Bad Debt Provision'!#REF!,'Bad Debt Provision'!#REF!,'Painel Additive'!#REF!)</f>
        <v>#REF!</v>
      </c>
      <c r="X80" s="5"/>
      <c r="Y80" s="20"/>
      <c r="Z80" s="20"/>
      <c r="AA80" s="21"/>
      <c r="AB80" s="5"/>
      <c r="AC80" s="19"/>
      <c r="AD80" s="20"/>
      <c r="AE80" s="22"/>
      <c r="AF80" s="22"/>
      <c r="AG80" s="5"/>
      <c r="AH80" s="28">
        <f t="shared" si="13"/>
        <v>0</v>
      </c>
      <c r="AI80" s="5"/>
    </row>
    <row r="81" spans="2:35" x14ac:dyDescent="0.25">
      <c r="B81" s="17" t="s">
        <v>55</v>
      </c>
      <c r="C81" s="93" t="str" cm="1">
        <f t="array" ref="C81">IFERROR(INDEX('Limite de crédito'!$D:$D, MATCH(MAX(IF('Limite de crédito'!$C:$C=$B81, 'Limite de crédito'!$A:$A)), 'Limite de crédito'!$A:$A, 0)),"")</f>
        <v/>
      </c>
      <c r="D81" s="18" cm="1">
        <f t="array" ref="D81">IFERROR(INDEX('Limite de crédito'!$F:$F, MATCH(MAX(IF('Limite de crédito'!$C:$C=$B81, 'Limite de crédito'!$A:$A)), 'Limite de crédito'!$A:$A, 0)),0)</f>
        <v>0</v>
      </c>
      <c r="E81" s="18">
        <f t="shared" si="10"/>
        <v>0</v>
      </c>
      <c r="F81" s="18">
        <f t="shared" si="11"/>
        <v>0</v>
      </c>
      <c r="G81" s="19">
        <f>SUMIFS('Data Additive'!$D:$D,'Data Additive'!$P:$P,'Painel Additive'!$B22,'Data Additive'!$Q:$Q,"&gt;0",'Data Additive'!$Q:$Q,"&lt;=30")</f>
        <v>0</v>
      </c>
      <c r="H81" s="19">
        <f>SUMIFS('Data Additive'!$D:$D,'Data Additive'!$P:$P,'Painel Additive'!$B22,'Data Additive'!$Q:$Q,"&gt;30",'Data Additive'!$Q:$Q,"&lt;=60")</f>
        <v>0</v>
      </c>
      <c r="I81" s="19">
        <f>SUMIFS('Data Additive'!$D:$D,'Data Additive'!$P:$P,'Painel Additive'!$B22,'Data Additive'!$Q:$Q,"&gt;60",'Data Additive'!$Q:$Q,"&lt;=90")</f>
        <v>0</v>
      </c>
      <c r="J81" s="19">
        <f>SUMIFS('Data Additive'!$D:$D,'Data Additive'!$P:$P,'Painel Additive'!$B22,'Data Additive'!$Q:$Q,"&gt;90",'Data Additive'!$Q:$Q,"&lt;=120")</f>
        <v>0</v>
      </c>
      <c r="K81" s="19">
        <f>SUMIFS('Data Additive'!$D:$D,'Data Additive'!$P:$P,'Painel Additive'!$B22,'Data Additive'!$Q:$Q,"&gt;120",'Data Additive'!$Q:$Q,"&lt;=180")</f>
        <v>0</v>
      </c>
      <c r="L81" s="19">
        <f>SUMIFS('Data Additive'!$D:$D,'Data Additive'!$P:$P,'Painel Additive'!$B22,'Data Additive'!$Q:$Q,"&gt;180",'Data Additive'!$Q:$Q,"&lt;=360")</f>
        <v>0</v>
      </c>
      <c r="M81" s="23">
        <f>SUMIFS('Data Additive'!$D:$D,'Data Additive'!$P:$P,'Painel Additive'!$B22,'Data Additive'!$Q:$Q,"&gt;360")</f>
        <v>0</v>
      </c>
      <c r="N81" s="19">
        <f>SUMIFS('Data Additive'!$D:$D,'Data Additive'!$P:$P,'Painel Additive'!$B22,'Data Additive'!$Q:$Q,"&gt;0")</f>
        <v>0</v>
      </c>
      <c r="O81" s="19">
        <f t="shared" si="12"/>
        <v>0</v>
      </c>
      <c r="P81" s="19">
        <f>SUMIFS('Data Additive'!$D:$D,'Data Additive'!$P:$P,'Painel Additive'!$B22,'Data Additive'!$Q:$Q,"&lt;=0",'Data Additive'!$Q:$Q,"&gt;=-30")</f>
        <v>0</v>
      </c>
      <c r="Q81" s="19">
        <f>SUMIFS('Data Additive'!$D:$D,'Data Additive'!$P:$P,'Painel Additive'!$B22,'Data Additive'!$Q:$Q,"&lt;=-31",'Data Additive'!$Q:$Q,"&gt;=-60")</f>
        <v>0</v>
      </c>
      <c r="R81" s="19">
        <f>SUMIFS('Data Additive'!$D:$D,'Data Additive'!$P:$P,'Painel Additive'!$B22,'Data Additive'!$Q:$Q,"&lt;=-61",'Data Additive'!$Q:$Q,"&gt;=-90")</f>
        <v>0</v>
      </c>
      <c r="S81" s="19">
        <f>SUMIFS('Data Additive'!$D:$D,'Data Additive'!$P:$P,'Painel Additive'!$B22,'Data Additive'!$Q:$Q,"&lt;=-91",'Data Additive'!$Q:$Q,"&gt;=-120")</f>
        <v>0</v>
      </c>
      <c r="T81" s="19">
        <f>SUMIFS('Data Additive'!$D:$D,'Data Additive'!$P:$P,'Painel Additive'!$B22,'Data Additive'!$Q:$Q,"&lt;=-121",'Data Additive'!$Q:$Q,"&gt;=-180")</f>
        <v>0</v>
      </c>
      <c r="U81" s="19">
        <f>SUMIFS('Data Additive'!$D:$D,'Data Additive'!$P:$P,'Painel Additive'!$B22,'Data Additive'!$Q:$Q,"&lt;=-181",'Data Additive'!$Q:$Q,"&gt;=-360")</f>
        <v>0</v>
      </c>
      <c r="V81" s="23">
        <f>SUMIFS('Data Additive'!$D:$D,'Data Additive'!$P:$P,'Painel Additive'!$B22,'Data Additive'!$Q:$Q,"&lt;-360")</f>
        <v>0</v>
      </c>
      <c r="W81" s="19" t="e">
        <f>SUMIFS('Bad Debt Provision'!#REF!,'Bad Debt Provision'!#REF!,'Painel Additive'!$B22)</f>
        <v>#REF!</v>
      </c>
      <c r="X81" s="5"/>
      <c r="Y81" s="20"/>
      <c r="Z81" s="20"/>
      <c r="AA81" s="21"/>
      <c r="AB81" s="5"/>
      <c r="AC81" s="19"/>
      <c r="AD81" s="20"/>
      <c r="AE81" s="22"/>
      <c r="AF81" s="22"/>
      <c r="AG81" s="5"/>
      <c r="AH81" s="28">
        <f t="shared" si="13"/>
        <v>0</v>
      </c>
      <c r="AI81" s="5"/>
    </row>
    <row r="82" spans="2:35" x14ac:dyDescent="0.25">
      <c r="B82" s="17" t="s">
        <v>56</v>
      </c>
      <c r="C82" s="93" t="str" cm="1">
        <f t="array" ref="C82">IFERROR(INDEX('Limite de crédito'!$D:$D, MATCH(MAX(IF('Limite de crédito'!$C:$C=$B82, 'Limite de crédito'!$A:$A)), 'Limite de crédito'!$A:$A, 0)),"")</f>
        <v/>
      </c>
      <c r="D82" s="18" cm="1">
        <f t="array" ref="D82">IFERROR(INDEX('Limite de crédito'!$F:$F, MATCH(MAX(IF('Limite de crédito'!$C:$C=$B82, 'Limite de crédito'!$A:$A)), 'Limite de crédito'!$A:$A, 0)),0)</f>
        <v>0</v>
      </c>
      <c r="E82" s="18">
        <f t="shared" si="10"/>
        <v>0</v>
      </c>
      <c r="F82" s="18">
        <f t="shared" si="11"/>
        <v>0</v>
      </c>
      <c r="G82" s="19">
        <f>SUMIFS('Data Additive'!$D:$D,'Data Additive'!$P:$P,'Painel Additive'!$B23,'Data Additive'!$Q:$Q,"&gt;0",'Data Additive'!$Q:$Q,"&lt;=30")</f>
        <v>0</v>
      </c>
      <c r="H82" s="19">
        <f>SUMIFS('Data Additive'!$D:$D,'Data Additive'!$P:$P,'Painel Additive'!$B23,'Data Additive'!$Q:$Q,"&gt;30",'Data Additive'!$Q:$Q,"&lt;=60")</f>
        <v>0</v>
      </c>
      <c r="I82" s="19">
        <f>SUMIFS('Data Additive'!$D:$D,'Data Additive'!$P:$P,'Painel Additive'!$B23,'Data Additive'!$Q:$Q,"&gt;60",'Data Additive'!$Q:$Q,"&lt;=90")</f>
        <v>0</v>
      </c>
      <c r="J82" s="19">
        <f>SUMIFS('Data Additive'!$D:$D,'Data Additive'!$P:$P,'Painel Additive'!$B23,'Data Additive'!$Q:$Q,"&gt;90",'Data Additive'!$Q:$Q,"&lt;=120")</f>
        <v>0</v>
      </c>
      <c r="K82" s="19">
        <f>SUMIFS('Data Additive'!$D:$D,'Data Additive'!$P:$P,'Painel Additive'!$B23,'Data Additive'!$Q:$Q,"&gt;120",'Data Additive'!$Q:$Q,"&lt;=180")</f>
        <v>0</v>
      </c>
      <c r="L82" s="19">
        <f>SUMIFS('Data Additive'!$D:$D,'Data Additive'!$P:$P,'Painel Additive'!$B23,'Data Additive'!$Q:$Q,"&gt;180",'Data Additive'!$Q:$Q,"&lt;=360")</f>
        <v>0</v>
      </c>
      <c r="M82" s="23">
        <f>SUMIFS('Data Additive'!$D:$D,'Data Additive'!$P:$P,'Painel Additive'!$B23,'Data Additive'!$Q:$Q,"&gt;360")</f>
        <v>0</v>
      </c>
      <c r="N82" s="19">
        <f>SUMIFS('Data Additive'!$D:$D,'Data Additive'!$P:$P,'Painel Additive'!$B23,'Data Additive'!$Q:$Q,"&gt;0")</f>
        <v>0</v>
      </c>
      <c r="O82" s="19">
        <f t="shared" si="12"/>
        <v>0</v>
      </c>
      <c r="P82" s="19">
        <f>SUMIFS('Data Additive'!$D:$D,'Data Additive'!$P:$P,'Painel Additive'!$B23,'Data Additive'!$Q:$Q,"&lt;=0",'Data Additive'!$Q:$Q,"&gt;=-30")</f>
        <v>0</v>
      </c>
      <c r="Q82" s="19">
        <f>SUMIFS('Data Additive'!$D:$D,'Data Additive'!$P:$P,'Painel Additive'!$B23,'Data Additive'!$Q:$Q,"&lt;=-31",'Data Additive'!$Q:$Q,"&gt;=-60")</f>
        <v>0</v>
      </c>
      <c r="R82" s="19">
        <f>SUMIFS('Data Additive'!$D:$D,'Data Additive'!$P:$P,'Painel Additive'!$B23,'Data Additive'!$Q:$Q,"&lt;=-61",'Data Additive'!$Q:$Q,"&gt;=-90")</f>
        <v>0</v>
      </c>
      <c r="S82" s="19">
        <f>SUMIFS('Data Additive'!$D:$D,'Data Additive'!$P:$P,'Painel Additive'!$B23,'Data Additive'!$Q:$Q,"&lt;=-91",'Data Additive'!$Q:$Q,"&gt;=-120")</f>
        <v>0</v>
      </c>
      <c r="T82" s="19">
        <f>SUMIFS('Data Additive'!$D:$D,'Data Additive'!$P:$P,'Painel Additive'!$B23,'Data Additive'!$Q:$Q,"&lt;=-121",'Data Additive'!$Q:$Q,"&gt;=-180")</f>
        <v>0</v>
      </c>
      <c r="U82" s="19">
        <f>SUMIFS('Data Additive'!$D:$D,'Data Additive'!$P:$P,'Painel Additive'!$B23,'Data Additive'!$Q:$Q,"&lt;=-181",'Data Additive'!$Q:$Q,"&gt;=-360")</f>
        <v>0</v>
      </c>
      <c r="V82" s="23">
        <f>SUMIFS('Data Additive'!$D:$D,'Data Additive'!$P:$P,'Painel Additive'!$B23,'Data Additive'!$Q:$Q,"&lt;-360")</f>
        <v>0</v>
      </c>
      <c r="W82" s="19" t="e">
        <f>SUMIFS('Bad Debt Provision'!#REF!,'Bad Debt Provision'!#REF!,'Painel Additive'!$B23)</f>
        <v>#REF!</v>
      </c>
      <c r="X82" s="5"/>
      <c r="Y82" s="20"/>
      <c r="Z82" s="20"/>
      <c r="AA82" s="21"/>
      <c r="AB82" s="5"/>
      <c r="AC82" s="19"/>
      <c r="AD82" s="20"/>
      <c r="AE82" s="22"/>
      <c r="AF82" s="22"/>
      <c r="AG82" s="5"/>
      <c r="AH82" s="28">
        <f t="shared" si="13"/>
        <v>0</v>
      </c>
      <c r="AI82" s="5"/>
    </row>
    <row r="83" spans="2:35" x14ac:dyDescent="0.25">
      <c r="B83" s="17" t="s">
        <v>46</v>
      </c>
      <c r="C83" s="93" t="str" cm="1">
        <f t="array" ref="C83">IFERROR(INDEX('Limite de crédito'!$D:$D, MATCH(MAX(IF('Limite de crédito'!$C:$C=$B83, 'Limite de crédito'!$A:$A)), 'Limite de crédito'!$A:$A, 0)),"")</f>
        <v/>
      </c>
      <c r="D83" s="18" cm="1">
        <f t="array" ref="D83">IFERROR(INDEX('Limite de crédito'!$F:$F, MATCH(MAX(IF('Limite de crédito'!$C:$C=$B83, 'Limite de crédito'!$A:$A)), 'Limite de crédito'!$A:$A, 0)),0)</f>
        <v>0</v>
      </c>
      <c r="E83" s="18">
        <f t="shared" si="10"/>
        <v>0</v>
      </c>
      <c r="F83" s="18">
        <f t="shared" si="11"/>
        <v>0</v>
      </c>
      <c r="G83" s="19">
        <f>SUMIFS('Data Additive'!$D:$D,'Data Additive'!$P:$P,'Painel Additive'!$B24,'Data Additive'!$Q:$Q,"&gt;0",'Data Additive'!$Q:$Q,"&lt;=30")</f>
        <v>0</v>
      </c>
      <c r="H83" s="19">
        <f>SUMIFS('Data Additive'!$D:$D,'Data Additive'!$P:$P,'Painel Additive'!$B24,'Data Additive'!$Q:$Q,"&gt;30",'Data Additive'!$Q:$Q,"&lt;=60")</f>
        <v>0</v>
      </c>
      <c r="I83" s="19">
        <f>SUMIFS('Data Additive'!$D:$D,'Data Additive'!$P:$P,'Painel Additive'!$B24,'Data Additive'!$Q:$Q,"&gt;60",'Data Additive'!$Q:$Q,"&lt;=90")</f>
        <v>0</v>
      </c>
      <c r="J83" s="19">
        <f>SUMIFS('Data Additive'!$D:$D,'Data Additive'!$P:$P,'Painel Additive'!$B24,'Data Additive'!$Q:$Q,"&gt;90",'Data Additive'!$Q:$Q,"&lt;=120")</f>
        <v>0</v>
      </c>
      <c r="K83" s="19">
        <f>SUMIFS('Data Additive'!$D:$D,'Data Additive'!$P:$P,'Painel Additive'!$B24,'Data Additive'!$Q:$Q,"&gt;120",'Data Additive'!$Q:$Q,"&lt;=180")</f>
        <v>0</v>
      </c>
      <c r="L83" s="19">
        <f>SUMIFS('Data Additive'!$D:$D,'Data Additive'!$P:$P,'Painel Additive'!$B24,'Data Additive'!$Q:$Q,"&gt;180",'Data Additive'!$Q:$Q,"&lt;=360")</f>
        <v>0</v>
      </c>
      <c r="M83" s="23">
        <f>SUMIFS('Data Additive'!$D:$D,'Data Additive'!$P:$P,'Painel Additive'!$B24,'Data Additive'!$Q:$Q,"&gt;360")</f>
        <v>0</v>
      </c>
      <c r="N83" s="19">
        <f>SUMIFS('Data Additive'!$D:$D,'Data Additive'!$P:$P,'Painel Additive'!$B24,'Data Additive'!$Q:$Q,"&gt;0")</f>
        <v>0</v>
      </c>
      <c r="O83" s="19">
        <f t="shared" si="12"/>
        <v>0</v>
      </c>
      <c r="P83" s="19">
        <f>SUMIFS('Data Additive'!$D:$D,'Data Additive'!$P:$P,'Painel Additive'!$B24,'Data Additive'!$Q:$Q,"&lt;=0",'Data Additive'!$Q:$Q,"&gt;=-30")</f>
        <v>0</v>
      </c>
      <c r="Q83" s="19">
        <f>SUMIFS('Data Additive'!$D:$D,'Data Additive'!$P:$P,'Painel Additive'!$B24,'Data Additive'!$Q:$Q,"&lt;=-31",'Data Additive'!$Q:$Q,"&gt;=-60")</f>
        <v>0</v>
      </c>
      <c r="R83" s="19">
        <f>SUMIFS('Data Additive'!$D:$D,'Data Additive'!$P:$P,'Painel Additive'!$B24,'Data Additive'!$Q:$Q,"&lt;=-61",'Data Additive'!$Q:$Q,"&gt;=-90")</f>
        <v>0</v>
      </c>
      <c r="S83" s="19">
        <f>SUMIFS('Data Additive'!$D:$D,'Data Additive'!$P:$P,'Painel Additive'!$B24,'Data Additive'!$Q:$Q,"&lt;=-91",'Data Additive'!$Q:$Q,"&gt;=-120")</f>
        <v>0</v>
      </c>
      <c r="T83" s="19">
        <f>SUMIFS('Data Additive'!$D:$D,'Data Additive'!$P:$P,'Painel Additive'!$B24,'Data Additive'!$Q:$Q,"&lt;=-121",'Data Additive'!$Q:$Q,"&gt;=-180")</f>
        <v>0</v>
      </c>
      <c r="U83" s="19">
        <f>SUMIFS('Data Additive'!$D:$D,'Data Additive'!$P:$P,'Painel Additive'!$B24,'Data Additive'!$Q:$Q,"&lt;=-181",'Data Additive'!$Q:$Q,"&gt;=-360")</f>
        <v>0</v>
      </c>
      <c r="V83" s="23">
        <f>SUMIFS('Data Additive'!$D:$D,'Data Additive'!$P:$P,'Painel Additive'!$B24,'Data Additive'!$Q:$Q,"&lt;-360")</f>
        <v>0</v>
      </c>
      <c r="W83" s="19" t="e">
        <f>SUMIFS('Bad Debt Provision'!#REF!,'Bad Debt Provision'!#REF!,'Painel Additive'!$B24)</f>
        <v>#REF!</v>
      </c>
      <c r="X83" s="5"/>
      <c r="Y83" s="20"/>
      <c r="Z83" s="20"/>
      <c r="AA83" s="21"/>
      <c r="AB83" s="5"/>
      <c r="AC83" s="19"/>
      <c r="AD83" s="20"/>
      <c r="AE83" s="22"/>
      <c r="AF83" s="22"/>
      <c r="AG83" s="5"/>
      <c r="AH83" s="28">
        <f t="shared" si="13"/>
        <v>0</v>
      </c>
      <c r="AI83" s="5"/>
    </row>
    <row r="84" spans="2:35" x14ac:dyDescent="0.25">
      <c r="B84" s="17" t="s">
        <v>60</v>
      </c>
      <c r="C84" s="93" t="str" cm="1">
        <f t="array" ref="C84">IFERROR(INDEX('Limite de crédito'!$D:$D, MATCH(MAX(IF('Limite de crédito'!$C:$C=$B84, 'Limite de crédito'!$A:$A)), 'Limite de crédito'!$A:$A, 0)),"")</f>
        <v/>
      </c>
      <c r="D84" s="18" cm="1">
        <f t="array" ref="D84">IFERROR(INDEX('Limite de crédito'!$F:$F, MATCH(MAX(IF('Limite de crédito'!$C:$C=$B84, 'Limite de crédito'!$A:$A)), 'Limite de crédito'!$A:$A, 0)),0)</f>
        <v>0</v>
      </c>
      <c r="E84" s="18">
        <f t="shared" si="10"/>
        <v>0</v>
      </c>
      <c r="F84" s="18">
        <f t="shared" si="11"/>
        <v>0</v>
      </c>
      <c r="G84" s="19">
        <f>SUMIFS('Data Additive'!$D:$D,'Data Additive'!$P:$P,'Painel Additive'!#REF!,'Data Additive'!$Q:$Q,"&gt;0",'Data Additive'!$Q:$Q,"&lt;=30")</f>
        <v>0</v>
      </c>
      <c r="H84" s="19">
        <f>SUMIFS('Data Additive'!$D:$D,'Data Additive'!$P:$P,'Painel Additive'!#REF!,'Data Additive'!$Q:$Q,"&gt;30",'Data Additive'!$Q:$Q,"&lt;=60")</f>
        <v>0</v>
      </c>
      <c r="I84" s="19">
        <f>SUMIFS('Data Additive'!$D:$D,'Data Additive'!$P:$P,'Painel Additive'!#REF!,'Data Additive'!$Q:$Q,"&gt;60",'Data Additive'!$Q:$Q,"&lt;=90")</f>
        <v>0</v>
      </c>
      <c r="J84" s="19">
        <f>SUMIFS('Data Additive'!$D:$D,'Data Additive'!$P:$P,'Painel Additive'!#REF!,'Data Additive'!$Q:$Q,"&gt;90",'Data Additive'!$Q:$Q,"&lt;=120")</f>
        <v>0</v>
      </c>
      <c r="K84" s="19">
        <f>SUMIFS('Data Additive'!$D:$D,'Data Additive'!$P:$P,'Painel Additive'!#REF!,'Data Additive'!$Q:$Q,"&gt;120",'Data Additive'!$Q:$Q,"&lt;=180")</f>
        <v>0</v>
      </c>
      <c r="L84" s="19">
        <f>SUMIFS('Data Additive'!$D:$D,'Data Additive'!$P:$P,'Painel Additive'!#REF!,'Data Additive'!$Q:$Q,"&gt;180",'Data Additive'!$Q:$Q,"&lt;=360")</f>
        <v>0</v>
      </c>
      <c r="M84" s="23">
        <f>SUMIFS('Data Additive'!$D:$D,'Data Additive'!$P:$P,'Painel Additive'!#REF!,'Data Additive'!$Q:$Q,"&gt;360")</f>
        <v>0</v>
      </c>
      <c r="N84" s="19">
        <f>SUMIFS('Data Additive'!$D:$D,'Data Additive'!$P:$P,'Painel Additive'!#REF!,'Data Additive'!$Q:$Q,"&gt;0")</f>
        <v>0</v>
      </c>
      <c r="O84" s="19">
        <f t="shared" si="12"/>
        <v>0</v>
      </c>
      <c r="P84" s="19">
        <f>SUMIFS('Data Additive'!$D:$D,'Data Additive'!$P:$P,'Painel Additive'!#REF!,'Data Additive'!$Q:$Q,"&lt;=0",'Data Additive'!$Q:$Q,"&gt;=-30")</f>
        <v>0</v>
      </c>
      <c r="Q84" s="19">
        <f>SUMIFS('Data Additive'!$D:$D,'Data Additive'!$P:$P,'Painel Additive'!#REF!,'Data Additive'!$Q:$Q,"&lt;=-31",'Data Additive'!$Q:$Q,"&gt;=-60")</f>
        <v>0</v>
      </c>
      <c r="R84" s="19">
        <f>SUMIFS('Data Additive'!$D:$D,'Data Additive'!$P:$P,'Painel Additive'!#REF!,'Data Additive'!$Q:$Q,"&lt;=-61",'Data Additive'!$Q:$Q,"&gt;=-90")</f>
        <v>0</v>
      </c>
      <c r="S84" s="19">
        <f>SUMIFS('Data Additive'!$D:$D,'Data Additive'!$P:$P,'Painel Additive'!#REF!,'Data Additive'!$Q:$Q,"&lt;=-91",'Data Additive'!$Q:$Q,"&gt;=-120")</f>
        <v>0</v>
      </c>
      <c r="T84" s="19">
        <f>SUMIFS('Data Additive'!$D:$D,'Data Additive'!$P:$P,'Painel Additive'!#REF!,'Data Additive'!$Q:$Q,"&lt;=-121",'Data Additive'!$Q:$Q,"&gt;=-180")</f>
        <v>0</v>
      </c>
      <c r="U84" s="19">
        <f>SUMIFS('Data Additive'!$D:$D,'Data Additive'!$P:$P,'Painel Additive'!#REF!,'Data Additive'!$Q:$Q,"&lt;=-181",'Data Additive'!$Q:$Q,"&gt;=-360")</f>
        <v>0</v>
      </c>
      <c r="V84" s="23">
        <f>SUMIFS('Data Additive'!$D:$D,'Data Additive'!$P:$P,'Painel Additive'!#REF!,'Data Additive'!$Q:$Q,"&lt;-360")</f>
        <v>0</v>
      </c>
      <c r="W84" s="19" t="e">
        <f>SUMIFS('Bad Debt Provision'!#REF!,'Bad Debt Provision'!#REF!,'Painel Additive'!#REF!)</f>
        <v>#REF!</v>
      </c>
      <c r="X84" s="5"/>
      <c r="Y84" s="20"/>
      <c r="Z84" s="20"/>
      <c r="AA84" s="21"/>
      <c r="AB84" s="5"/>
      <c r="AC84" s="19"/>
      <c r="AD84" s="20"/>
      <c r="AE84" s="22"/>
      <c r="AF84" s="22"/>
      <c r="AG84" s="5"/>
      <c r="AH84" s="28">
        <f t="shared" si="13"/>
        <v>0</v>
      </c>
      <c r="AI84" s="5"/>
    </row>
    <row r="85" spans="2:35" x14ac:dyDescent="0.25">
      <c r="B85" s="17" t="s">
        <v>166</v>
      </c>
      <c r="C85" s="93" t="str" cm="1">
        <f t="array" ref="C85">IFERROR(INDEX('Limite de crédito'!$D:$D, MATCH(MAX(IF('Limite de crédito'!$C:$C=$B85, 'Limite de crédito'!$A:$A)), 'Limite de crédito'!$A:$A, 0)),"")</f>
        <v/>
      </c>
      <c r="D85" s="18" cm="1">
        <f t="array" ref="D85">IFERROR(INDEX('Limite de crédito'!$F:$F, MATCH(MAX(IF('Limite de crédito'!$C:$C=$B85, 'Limite de crédito'!$A:$A)), 'Limite de crédito'!$A:$A, 0)),0)</f>
        <v>0</v>
      </c>
      <c r="E85" s="18">
        <f t="shared" si="10"/>
        <v>0</v>
      </c>
      <c r="F85" s="18">
        <f t="shared" si="11"/>
        <v>0</v>
      </c>
      <c r="G85" s="19">
        <f>SUMIFS('Data Additive'!$D:$D,'Data Additive'!$P:$P,'Painel Additive'!#REF!,'Data Additive'!$Q:$Q,"&gt;0",'Data Additive'!$Q:$Q,"&lt;=30")</f>
        <v>0</v>
      </c>
      <c r="H85" s="19">
        <f>SUMIFS('Data Additive'!$D:$D,'Data Additive'!$P:$P,'Painel Additive'!#REF!,'Data Additive'!$Q:$Q,"&gt;30",'Data Additive'!$Q:$Q,"&lt;=60")</f>
        <v>0</v>
      </c>
      <c r="I85" s="19">
        <f>SUMIFS('Data Additive'!$D:$D,'Data Additive'!$P:$P,'Painel Additive'!#REF!,'Data Additive'!$Q:$Q,"&gt;60",'Data Additive'!$Q:$Q,"&lt;=90")</f>
        <v>0</v>
      </c>
      <c r="J85" s="19">
        <f>SUMIFS('Data Additive'!$D:$D,'Data Additive'!$P:$P,'Painel Additive'!#REF!,'Data Additive'!$Q:$Q,"&gt;90",'Data Additive'!$Q:$Q,"&lt;=120")</f>
        <v>0</v>
      </c>
      <c r="K85" s="19">
        <f>SUMIFS('Data Additive'!$D:$D,'Data Additive'!$P:$P,'Painel Additive'!#REF!,'Data Additive'!$Q:$Q,"&gt;120",'Data Additive'!$Q:$Q,"&lt;=180")</f>
        <v>0</v>
      </c>
      <c r="L85" s="19">
        <f>SUMIFS('Data Additive'!$D:$D,'Data Additive'!$P:$P,'Painel Additive'!#REF!,'Data Additive'!$Q:$Q,"&gt;180",'Data Additive'!$Q:$Q,"&lt;=360")</f>
        <v>0</v>
      </c>
      <c r="M85" s="23">
        <f>SUMIFS('Data Additive'!$D:$D,'Data Additive'!$P:$P,'Painel Additive'!#REF!,'Data Additive'!$Q:$Q,"&gt;360")</f>
        <v>0</v>
      </c>
      <c r="N85" s="19">
        <f>SUMIFS('Data Additive'!$D:$D,'Data Additive'!$P:$P,'Painel Additive'!#REF!,'Data Additive'!$Q:$Q,"&gt;0")</f>
        <v>0</v>
      </c>
      <c r="O85" s="19">
        <f t="shared" si="12"/>
        <v>0</v>
      </c>
      <c r="P85" s="19">
        <f>SUMIFS('Data Additive'!$D:$D,'Data Additive'!$P:$P,'Painel Additive'!#REF!,'Data Additive'!$Q:$Q,"&lt;=0",'Data Additive'!$Q:$Q,"&gt;=-30")</f>
        <v>0</v>
      </c>
      <c r="Q85" s="19">
        <f>SUMIFS('Data Additive'!$D:$D,'Data Additive'!$P:$P,'Painel Additive'!#REF!,'Data Additive'!$Q:$Q,"&lt;=-31",'Data Additive'!$Q:$Q,"&gt;=-60")</f>
        <v>0</v>
      </c>
      <c r="R85" s="19">
        <f>SUMIFS('Data Additive'!$D:$D,'Data Additive'!$P:$P,'Painel Additive'!#REF!,'Data Additive'!$Q:$Q,"&lt;=-61",'Data Additive'!$Q:$Q,"&gt;=-90")</f>
        <v>0</v>
      </c>
      <c r="S85" s="19">
        <f>SUMIFS('Data Additive'!$D:$D,'Data Additive'!$P:$P,'Painel Additive'!#REF!,'Data Additive'!$Q:$Q,"&lt;=-91",'Data Additive'!$Q:$Q,"&gt;=-120")</f>
        <v>0</v>
      </c>
      <c r="T85" s="19">
        <f>SUMIFS('Data Additive'!$D:$D,'Data Additive'!$P:$P,'Painel Additive'!#REF!,'Data Additive'!$Q:$Q,"&lt;=-121",'Data Additive'!$Q:$Q,"&gt;=-180")</f>
        <v>0</v>
      </c>
      <c r="U85" s="19">
        <f>SUMIFS('Data Additive'!$D:$D,'Data Additive'!$P:$P,'Painel Additive'!#REF!,'Data Additive'!$Q:$Q,"&lt;=-181",'Data Additive'!$Q:$Q,"&gt;=-360")</f>
        <v>0</v>
      </c>
      <c r="V85" s="23">
        <f>SUMIFS('Data Additive'!$D:$D,'Data Additive'!$P:$P,'Painel Additive'!#REF!,'Data Additive'!$Q:$Q,"&lt;-360")</f>
        <v>0</v>
      </c>
      <c r="W85" s="19" t="e">
        <f>SUMIFS('Bad Debt Provision'!#REF!,'Bad Debt Provision'!#REF!,'Painel Additive'!#REF!)</f>
        <v>#REF!</v>
      </c>
      <c r="X85" s="5"/>
      <c r="Y85" s="20"/>
      <c r="Z85" s="20"/>
      <c r="AA85" s="21"/>
      <c r="AB85" s="5"/>
      <c r="AC85" s="19"/>
      <c r="AD85" s="20"/>
      <c r="AE85" s="22"/>
      <c r="AF85" s="22"/>
      <c r="AG85" s="5"/>
      <c r="AH85" s="28">
        <f t="shared" si="13"/>
        <v>0</v>
      </c>
      <c r="AI85" s="5"/>
    </row>
    <row r="86" spans="2:35" x14ac:dyDescent="0.25">
      <c r="B86" s="17" t="s">
        <v>47</v>
      </c>
      <c r="C86" s="93" t="str" cm="1">
        <f t="array" ref="C86">IFERROR(INDEX('Limite de crédito'!$D:$D, MATCH(MAX(IF('Limite de crédito'!$C:$C=$B86, 'Limite de crédito'!$A:$A)), 'Limite de crédito'!$A:$A, 0)),"")</f>
        <v/>
      </c>
      <c r="D86" s="18" cm="1">
        <f t="array" ref="D86">IFERROR(INDEX('Limite de crédito'!$F:$F, MATCH(MAX(IF('Limite de crédito'!$C:$C=$B86, 'Limite de crédito'!$A:$A)), 'Limite de crédito'!$A:$A, 0)),0)</f>
        <v>0</v>
      </c>
      <c r="E86" s="18">
        <f t="shared" si="10"/>
        <v>0</v>
      </c>
      <c r="F86" s="18">
        <f t="shared" si="11"/>
        <v>0</v>
      </c>
      <c r="G86" s="19">
        <f>SUMIFS('Data Additive'!$D:$D,'Data Additive'!$P:$P,'Painel Additive'!#REF!,'Data Additive'!$Q:$Q,"&gt;0",'Data Additive'!$Q:$Q,"&lt;=30")</f>
        <v>0</v>
      </c>
      <c r="H86" s="19">
        <f>SUMIFS('Data Additive'!$D:$D,'Data Additive'!$P:$P,'Painel Additive'!#REF!,'Data Additive'!$Q:$Q,"&gt;30",'Data Additive'!$Q:$Q,"&lt;=60")</f>
        <v>0</v>
      </c>
      <c r="I86" s="19">
        <f>SUMIFS('Data Additive'!$D:$D,'Data Additive'!$P:$P,'Painel Additive'!#REF!,'Data Additive'!$Q:$Q,"&gt;60",'Data Additive'!$Q:$Q,"&lt;=90")</f>
        <v>0</v>
      </c>
      <c r="J86" s="19">
        <f>SUMIFS('Data Additive'!$D:$D,'Data Additive'!$P:$P,'Painel Additive'!#REF!,'Data Additive'!$Q:$Q,"&gt;90",'Data Additive'!$Q:$Q,"&lt;=120")</f>
        <v>0</v>
      </c>
      <c r="K86" s="19">
        <f>SUMIFS('Data Additive'!$D:$D,'Data Additive'!$P:$P,'Painel Additive'!#REF!,'Data Additive'!$Q:$Q,"&gt;120",'Data Additive'!$Q:$Q,"&lt;=180")</f>
        <v>0</v>
      </c>
      <c r="L86" s="19">
        <f>SUMIFS('Data Additive'!$D:$D,'Data Additive'!$P:$P,'Painel Additive'!#REF!,'Data Additive'!$Q:$Q,"&gt;180",'Data Additive'!$Q:$Q,"&lt;=360")</f>
        <v>0</v>
      </c>
      <c r="M86" s="23">
        <f>SUMIFS('Data Additive'!$D:$D,'Data Additive'!$P:$P,'Painel Additive'!#REF!,'Data Additive'!$Q:$Q,"&gt;360")</f>
        <v>0</v>
      </c>
      <c r="N86" s="19">
        <f>SUMIFS('Data Additive'!$D:$D,'Data Additive'!$P:$P,'Painel Additive'!#REF!,'Data Additive'!$Q:$Q,"&gt;0")</f>
        <v>0</v>
      </c>
      <c r="O86" s="19">
        <f t="shared" si="12"/>
        <v>0</v>
      </c>
      <c r="P86" s="19">
        <f>SUMIFS('Data Additive'!$D:$D,'Data Additive'!$P:$P,'Painel Additive'!#REF!,'Data Additive'!$Q:$Q,"&lt;=0",'Data Additive'!$Q:$Q,"&gt;=-30")</f>
        <v>0</v>
      </c>
      <c r="Q86" s="19">
        <f>SUMIFS('Data Additive'!$D:$D,'Data Additive'!$P:$P,'Painel Additive'!#REF!,'Data Additive'!$Q:$Q,"&lt;=-31",'Data Additive'!$Q:$Q,"&gt;=-60")</f>
        <v>0</v>
      </c>
      <c r="R86" s="19">
        <f>SUMIFS('Data Additive'!$D:$D,'Data Additive'!$P:$P,'Painel Additive'!#REF!,'Data Additive'!$Q:$Q,"&lt;=-61",'Data Additive'!$Q:$Q,"&gt;=-90")</f>
        <v>0</v>
      </c>
      <c r="S86" s="19">
        <f>SUMIFS('Data Additive'!$D:$D,'Data Additive'!$P:$P,'Painel Additive'!#REF!,'Data Additive'!$Q:$Q,"&lt;=-91",'Data Additive'!$Q:$Q,"&gt;=-120")</f>
        <v>0</v>
      </c>
      <c r="T86" s="19">
        <f>SUMIFS('Data Additive'!$D:$D,'Data Additive'!$P:$P,'Painel Additive'!#REF!,'Data Additive'!$Q:$Q,"&lt;=-121",'Data Additive'!$Q:$Q,"&gt;=-180")</f>
        <v>0</v>
      </c>
      <c r="U86" s="19">
        <f>SUMIFS('Data Additive'!$D:$D,'Data Additive'!$P:$P,'Painel Additive'!#REF!,'Data Additive'!$Q:$Q,"&lt;=-181",'Data Additive'!$Q:$Q,"&gt;=-360")</f>
        <v>0</v>
      </c>
      <c r="V86" s="23">
        <f>SUMIFS('Data Additive'!$D:$D,'Data Additive'!$P:$P,'Painel Additive'!#REF!,'Data Additive'!$Q:$Q,"&lt;-360")</f>
        <v>0</v>
      </c>
      <c r="W86" s="19" t="e">
        <f>SUMIFS('Bad Debt Provision'!#REF!,'Bad Debt Provision'!#REF!,'Painel Additive'!#REF!)</f>
        <v>#REF!</v>
      </c>
      <c r="X86" s="5"/>
      <c r="Y86" s="20"/>
      <c r="Z86" s="20"/>
      <c r="AA86" s="21"/>
      <c r="AB86" s="5"/>
      <c r="AC86" s="19"/>
      <c r="AD86" s="20"/>
      <c r="AE86" s="22"/>
      <c r="AF86" s="22"/>
      <c r="AG86" s="5"/>
      <c r="AH86" s="28">
        <f t="shared" si="13"/>
        <v>0</v>
      </c>
      <c r="AI86" s="5"/>
    </row>
    <row r="87" spans="2:35" x14ac:dyDescent="0.25">
      <c r="B87" s="17" t="s">
        <v>168</v>
      </c>
      <c r="C87" s="93" t="str" cm="1">
        <f t="array" ref="C87">IFERROR(INDEX('Limite de crédito'!$D:$D, MATCH(MAX(IF('Limite de crédito'!$C:$C=$B87, 'Limite de crédito'!$A:$A)), 'Limite de crédito'!$A:$A, 0)),"")</f>
        <v/>
      </c>
      <c r="D87" s="18" cm="1">
        <f t="array" ref="D87">IFERROR(INDEX('Limite de crédito'!$F:$F, MATCH(MAX(IF('Limite de crédito'!$C:$C=$B87, 'Limite de crédito'!$A:$A)), 'Limite de crédito'!$A:$A, 0)),0)</f>
        <v>0</v>
      </c>
      <c r="E87" s="18">
        <f t="shared" si="10"/>
        <v>0</v>
      </c>
      <c r="F87" s="18">
        <f t="shared" si="11"/>
        <v>0</v>
      </c>
      <c r="G87" s="19">
        <f>SUMIFS('Data Additive'!$D:$D,'Data Additive'!$P:$P,'Painel Additive'!#REF!,'Data Additive'!$Q:$Q,"&gt;0",'Data Additive'!$Q:$Q,"&lt;=30")</f>
        <v>0</v>
      </c>
      <c r="H87" s="19">
        <f>SUMIFS('Data Additive'!$D:$D,'Data Additive'!$P:$P,'Painel Additive'!#REF!,'Data Additive'!$Q:$Q,"&gt;30",'Data Additive'!$Q:$Q,"&lt;=60")</f>
        <v>0</v>
      </c>
      <c r="I87" s="19">
        <f>SUMIFS('Data Additive'!$D:$D,'Data Additive'!$P:$P,'Painel Additive'!#REF!,'Data Additive'!$Q:$Q,"&gt;60",'Data Additive'!$Q:$Q,"&lt;=90")</f>
        <v>0</v>
      </c>
      <c r="J87" s="19">
        <f>SUMIFS('Data Additive'!$D:$D,'Data Additive'!$P:$P,'Painel Additive'!#REF!,'Data Additive'!$Q:$Q,"&gt;90",'Data Additive'!$Q:$Q,"&lt;=120")</f>
        <v>0</v>
      </c>
      <c r="K87" s="19">
        <f>SUMIFS('Data Additive'!$D:$D,'Data Additive'!$P:$P,'Painel Additive'!#REF!,'Data Additive'!$Q:$Q,"&gt;120",'Data Additive'!$Q:$Q,"&lt;=180")</f>
        <v>0</v>
      </c>
      <c r="L87" s="19">
        <f>SUMIFS('Data Additive'!$D:$D,'Data Additive'!$P:$P,'Painel Additive'!#REF!,'Data Additive'!$Q:$Q,"&gt;180",'Data Additive'!$Q:$Q,"&lt;=360")</f>
        <v>0</v>
      </c>
      <c r="M87" s="23">
        <f>SUMIFS('Data Additive'!$D:$D,'Data Additive'!$P:$P,'Painel Additive'!#REF!,'Data Additive'!$Q:$Q,"&gt;360")</f>
        <v>0</v>
      </c>
      <c r="N87" s="19">
        <f>SUMIFS('Data Additive'!$D:$D,'Data Additive'!$P:$P,'Painel Additive'!#REF!,'Data Additive'!$Q:$Q,"&gt;0")</f>
        <v>0</v>
      </c>
      <c r="O87" s="19">
        <f t="shared" si="12"/>
        <v>0</v>
      </c>
      <c r="P87" s="19">
        <f>SUMIFS('Data Additive'!$D:$D,'Data Additive'!$P:$P,'Painel Additive'!#REF!,'Data Additive'!$Q:$Q,"&lt;=0",'Data Additive'!$Q:$Q,"&gt;=-30")</f>
        <v>0</v>
      </c>
      <c r="Q87" s="19">
        <f>SUMIFS('Data Additive'!$D:$D,'Data Additive'!$P:$P,'Painel Additive'!#REF!,'Data Additive'!$Q:$Q,"&lt;=-31",'Data Additive'!$Q:$Q,"&gt;=-60")</f>
        <v>0</v>
      </c>
      <c r="R87" s="19">
        <f>SUMIFS('Data Additive'!$D:$D,'Data Additive'!$P:$P,'Painel Additive'!#REF!,'Data Additive'!$Q:$Q,"&lt;=-61",'Data Additive'!$Q:$Q,"&gt;=-90")</f>
        <v>0</v>
      </c>
      <c r="S87" s="19">
        <f>SUMIFS('Data Additive'!$D:$D,'Data Additive'!$P:$P,'Painel Additive'!#REF!,'Data Additive'!$Q:$Q,"&lt;=-91",'Data Additive'!$Q:$Q,"&gt;=-120")</f>
        <v>0</v>
      </c>
      <c r="T87" s="19">
        <f>SUMIFS('Data Additive'!$D:$D,'Data Additive'!$P:$P,'Painel Additive'!#REF!,'Data Additive'!$Q:$Q,"&lt;=-121",'Data Additive'!$Q:$Q,"&gt;=-180")</f>
        <v>0</v>
      </c>
      <c r="U87" s="19">
        <f>SUMIFS('Data Additive'!$D:$D,'Data Additive'!$P:$P,'Painel Additive'!#REF!,'Data Additive'!$Q:$Q,"&lt;=-181",'Data Additive'!$Q:$Q,"&gt;=-360")</f>
        <v>0</v>
      </c>
      <c r="V87" s="23">
        <f>SUMIFS('Data Additive'!$D:$D,'Data Additive'!$P:$P,'Painel Additive'!#REF!,'Data Additive'!$Q:$Q,"&lt;-360")</f>
        <v>0</v>
      </c>
      <c r="W87" s="19" t="e">
        <f>SUMIFS('Bad Debt Provision'!#REF!,'Bad Debt Provision'!#REF!,'Painel Additive'!#REF!)</f>
        <v>#REF!</v>
      </c>
      <c r="X87" s="5"/>
      <c r="Y87" s="20"/>
      <c r="Z87" s="20"/>
      <c r="AA87" s="21"/>
      <c r="AB87" s="5"/>
      <c r="AC87" s="19"/>
      <c r="AD87" s="20"/>
      <c r="AE87" s="22"/>
      <c r="AF87" s="22"/>
      <c r="AG87" s="5"/>
      <c r="AH87" s="28">
        <f t="shared" si="13"/>
        <v>0</v>
      </c>
      <c r="AI87" s="5"/>
    </row>
    <row r="88" spans="2:35" x14ac:dyDescent="0.25">
      <c r="B88" s="17" t="s">
        <v>169</v>
      </c>
      <c r="C88" s="93" t="str" cm="1">
        <f t="array" ref="C88">IFERROR(INDEX('Limite de crédito'!$D:$D, MATCH(MAX(IF('Limite de crédito'!$C:$C=$B88, 'Limite de crédito'!$A:$A)), 'Limite de crédito'!$A:$A, 0)),"")</f>
        <v/>
      </c>
      <c r="D88" s="18" cm="1">
        <f t="array" ref="D88">IFERROR(INDEX('Limite de crédito'!$F:$F, MATCH(MAX(IF('Limite de crédito'!$C:$C=$B88, 'Limite de crédito'!$A:$A)), 'Limite de crédito'!$A:$A, 0)),0)</f>
        <v>0</v>
      </c>
      <c r="E88" s="18">
        <f t="shared" si="10"/>
        <v>0</v>
      </c>
      <c r="F88" s="18">
        <f t="shared" si="11"/>
        <v>0</v>
      </c>
      <c r="G88" s="19">
        <f>SUMIFS('Data Additive'!$D:$D,'Data Additive'!$P:$P,'Painel Additive'!$B25,'Data Additive'!$Q:$Q,"&gt;0",'Data Additive'!$Q:$Q,"&lt;=30")</f>
        <v>0</v>
      </c>
      <c r="H88" s="19">
        <f>SUMIFS('Data Additive'!$D:$D,'Data Additive'!$P:$P,'Painel Additive'!$B25,'Data Additive'!$Q:$Q,"&gt;30",'Data Additive'!$Q:$Q,"&lt;=60")</f>
        <v>0</v>
      </c>
      <c r="I88" s="19">
        <f>SUMIFS('Data Additive'!$D:$D,'Data Additive'!$P:$P,'Painel Additive'!$B25,'Data Additive'!$Q:$Q,"&gt;60",'Data Additive'!$Q:$Q,"&lt;=90")</f>
        <v>0</v>
      </c>
      <c r="J88" s="19">
        <f>SUMIFS('Data Additive'!$D:$D,'Data Additive'!$P:$P,'Painel Additive'!$B25,'Data Additive'!$Q:$Q,"&gt;90",'Data Additive'!$Q:$Q,"&lt;=120")</f>
        <v>0</v>
      </c>
      <c r="K88" s="19">
        <f>SUMIFS('Data Additive'!$D:$D,'Data Additive'!$P:$P,'Painel Additive'!$B25,'Data Additive'!$Q:$Q,"&gt;120",'Data Additive'!$Q:$Q,"&lt;=180")</f>
        <v>0</v>
      </c>
      <c r="L88" s="19">
        <f>SUMIFS('Data Additive'!$D:$D,'Data Additive'!$P:$P,'Painel Additive'!$B25,'Data Additive'!$Q:$Q,"&gt;180",'Data Additive'!$Q:$Q,"&lt;=360")</f>
        <v>0</v>
      </c>
      <c r="M88" s="23">
        <f>SUMIFS('Data Additive'!$D:$D,'Data Additive'!$P:$P,'Painel Additive'!$B25,'Data Additive'!$Q:$Q,"&gt;360")</f>
        <v>0</v>
      </c>
      <c r="N88" s="19">
        <f>SUMIFS('Data Additive'!$D:$D,'Data Additive'!$P:$P,'Painel Additive'!$B25,'Data Additive'!$Q:$Q,"&gt;0")</f>
        <v>0</v>
      </c>
      <c r="O88" s="19">
        <f t="shared" si="12"/>
        <v>0</v>
      </c>
      <c r="P88" s="19">
        <f>SUMIFS('Data Additive'!$D:$D,'Data Additive'!$P:$P,'Painel Additive'!$B25,'Data Additive'!$Q:$Q,"&lt;=0",'Data Additive'!$Q:$Q,"&gt;=-30")</f>
        <v>0</v>
      </c>
      <c r="Q88" s="19">
        <f>SUMIFS('Data Additive'!$D:$D,'Data Additive'!$P:$P,'Painel Additive'!$B25,'Data Additive'!$Q:$Q,"&lt;=-31",'Data Additive'!$Q:$Q,"&gt;=-60")</f>
        <v>0</v>
      </c>
      <c r="R88" s="19">
        <f>SUMIFS('Data Additive'!$D:$D,'Data Additive'!$P:$P,'Painel Additive'!$B25,'Data Additive'!$Q:$Q,"&lt;=-61",'Data Additive'!$Q:$Q,"&gt;=-90")</f>
        <v>0</v>
      </c>
      <c r="S88" s="19">
        <f>SUMIFS('Data Additive'!$D:$D,'Data Additive'!$P:$P,'Painel Additive'!$B25,'Data Additive'!$Q:$Q,"&lt;=-91",'Data Additive'!$Q:$Q,"&gt;=-120")</f>
        <v>0</v>
      </c>
      <c r="T88" s="19">
        <f>SUMIFS('Data Additive'!$D:$D,'Data Additive'!$P:$P,'Painel Additive'!$B25,'Data Additive'!$Q:$Q,"&lt;=-121",'Data Additive'!$Q:$Q,"&gt;=-180")</f>
        <v>0</v>
      </c>
      <c r="U88" s="19">
        <f>SUMIFS('Data Additive'!$D:$D,'Data Additive'!$P:$P,'Painel Additive'!$B25,'Data Additive'!$Q:$Q,"&lt;=-181",'Data Additive'!$Q:$Q,"&gt;=-360")</f>
        <v>0</v>
      </c>
      <c r="V88" s="23">
        <f>SUMIFS('Data Additive'!$D:$D,'Data Additive'!$P:$P,'Painel Additive'!$B25,'Data Additive'!$Q:$Q,"&lt;-360")</f>
        <v>0</v>
      </c>
      <c r="W88" s="19" t="e">
        <f>SUMIFS('Bad Debt Provision'!#REF!,'Bad Debt Provision'!#REF!,'Painel Additive'!$B25)</f>
        <v>#REF!</v>
      </c>
      <c r="X88" s="5"/>
      <c r="Y88" s="20"/>
      <c r="Z88" s="20"/>
      <c r="AA88" s="21"/>
      <c r="AB88" s="5"/>
      <c r="AC88" s="19"/>
      <c r="AD88" s="20"/>
      <c r="AE88" s="22"/>
      <c r="AF88" s="22"/>
      <c r="AG88" s="5"/>
      <c r="AH88" s="28">
        <f t="shared" si="13"/>
        <v>0</v>
      </c>
      <c r="AI88" s="5"/>
    </row>
    <row r="89" spans="2:35" x14ac:dyDescent="0.25">
      <c r="B89" s="17" t="s">
        <v>84</v>
      </c>
      <c r="C89" s="93" t="str" cm="1">
        <f t="array" ref="C89">IFERROR(INDEX('Limite de crédito'!$D:$D, MATCH(MAX(IF('Limite de crédito'!$C:$C=$B89, 'Limite de crédito'!$A:$A)), 'Limite de crédito'!$A:$A, 0)),"")</f>
        <v/>
      </c>
      <c r="D89" s="18" cm="1">
        <f t="array" ref="D89">IFERROR(INDEX('Limite de crédito'!$F:$F, MATCH(MAX(IF('Limite de crédito'!$C:$C=$B89, 'Limite de crédito'!$A:$A)), 'Limite de crédito'!$A:$A, 0)),0)</f>
        <v>0</v>
      </c>
      <c r="E89" s="18">
        <f t="shared" si="10"/>
        <v>0</v>
      </c>
      <c r="F89" s="18">
        <f t="shared" si="11"/>
        <v>0</v>
      </c>
      <c r="G89" s="19">
        <f>SUMIFS('Data Additive'!$D:$D,'Data Additive'!$P:$P,'Painel Additive'!#REF!,'Data Additive'!$Q:$Q,"&gt;0",'Data Additive'!$Q:$Q,"&lt;=30")</f>
        <v>0</v>
      </c>
      <c r="H89" s="19">
        <f>SUMIFS('Data Additive'!$D:$D,'Data Additive'!$P:$P,'Painel Additive'!#REF!,'Data Additive'!$Q:$Q,"&gt;30",'Data Additive'!$Q:$Q,"&lt;=60")</f>
        <v>0</v>
      </c>
      <c r="I89" s="19">
        <f>SUMIFS('Data Additive'!$D:$D,'Data Additive'!$P:$P,'Painel Additive'!#REF!,'Data Additive'!$Q:$Q,"&gt;60",'Data Additive'!$Q:$Q,"&lt;=90")</f>
        <v>0</v>
      </c>
      <c r="J89" s="19">
        <f>SUMIFS('Data Additive'!$D:$D,'Data Additive'!$P:$P,'Painel Additive'!#REF!,'Data Additive'!$Q:$Q,"&gt;90",'Data Additive'!$Q:$Q,"&lt;=120")</f>
        <v>0</v>
      </c>
      <c r="K89" s="19">
        <f>SUMIFS('Data Additive'!$D:$D,'Data Additive'!$P:$P,'Painel Additive'!#REF!,'Data Additive'!$Q:$Q,"&gt;120",'Data Additive'!$Q:$Q,"&lt;=180")</f>
        <v>0</v>
      </c>
      <c r="L89" s="19">
        <f>SUMIFS('Data Additive'!$D:$D,'Data Additive'!$P:$P,'Painel Additive'!#REF!,'Data Additive'!$Q:$Q,"&gt;180",'Data Additive'!$Q:$Q,"&lt;=360")</f>
        <v>0</v>
      </c>
      <c r="M89" s="23">
        <f>SUMIFS('Data Additive'!$D:$D,'Data Additive'!$P:$P,'Painel Additive'!#REF!,'Data Additive'!$Q:$Q,"&gt;360")</f>
        <v>0</v>
      </c>
      <c r="N89" s="19">
        <f>SUMIFS('Data Additive'!$D:$D,'Data Additive'!$P:$P,'Painel Additive'!#REF!,'Data Additive'!$Q:$Q,"&gt;0")</f>
        <v>0</v>
      </c>
      <c r="O89" s="19">
        <f t="shared" si="12"/>
        <v>0</v>
      </c>
      <c r="P89" s="19">
        <f>SUMIFS('Data Additive'!$D:$D,'Data Additive'!$P:$P,'Painel Additive'!#REF!,'Data Additive'!$Q:$Q,"&lt;=0",'Data Additive'!$Q:$Q,"&gt;=-30")</f>
        <v>0</v>
      </c>
      <c r="Q89" s="19">
        <f>SUMIFS('Data Additive'!$D:$D,'Data Additive'!$P:$P,'Painel Additive'!#REF!,'Data Additive'!$Q:$Q,"&lt;=-31",'Data Additive'!$Q:$Q,"&gt;=-60")</f>
        <v>0</v>
      </c>
      <c r="R89" s="19">
        <f>SUMIFS('Data Additive'!$D:$D,'Data Additive'!$P:$P,'Painel Additive'!#REF!,'Data Additive'!$Q:$Q,"&lt;=-61",'Data Additive'!$Q:$Q,"&gt;=-90")</f>
        <v>0</v>
      </c>
      <c r="S89" s="19">
        <f>SUMIFS('Data Additive'!$D:$D,'Data Additive'!$P:$P,'Painel Additive'!#REF!,'Data Additive'!$Q:$Q,"&lt;=-91",'Data Additive'!$Q:$Q,"&gt;=-120")</f>
        <v>0</v>
      </c>
      <c r="T89" s="19">
        <f>SUMIFS('Data Additive'!$D:$D,'Data Additive'!$P:$P,'Painel Additive'!#REF!,'Data Additive'!$Q:$Q,"&lt;=-121",'Data Additive'!$Q:$Q,"&gt;=-180")</f>
        <v>0</v>
      </c>
      <c r="U89" s="19">
        <f>SUMIFS('Data Additive'!$D:$D,'Data Additive'!$P:$P,'Painel Additive'!#REF!,'Data Additive'!$Q:$Q,"&lt;=-181",'Data Additive'!$Q:$Q,"&gt;=-360")</f>
        <v>0</v>
      </c>
      <c r="V89" s="23">
        <f>SUMIFS('Data Additive'!$D:$D,'Data Additive'!$P:$P,'Painel Additive'!#REF!,'Data Additive'!$Q:$Q,"&lt;-360")</f>
        <v>0</v>
      </c>
      <c r="W89" s="19" t="e">
        <f>SUMIFS('Bad Debt Provision'!#REF!,'Bad Debt Provision'!#REF!,'Painel Additive'!#REF!)</f>
        <v>#REF!</v>
      </c>
      <c r="X89" s="5"/>
      <c r="Y89" s="20"/>
      <c r="Z89" s="20"/>
      <c r="AA89" s="21"/>
      <c r="AB89" s="5"/>
      <c r="AC89" s="19"/>
      <c r="AD89" s="20"/>
      <c r="AE89" s="22"/>
      <c r="AF89" s="22"/>
      <c r="AG89" s="5"/>
      <c r="AH89" s="28">
        <f t="shared" si="13"/>
        <v>0</v>
      </c>
      <c r="AI89" s="5"/>
    </row>
    <row r="90" spans="2:35" x14ac:dyDescent="0.25">
      <c r="B90" s="17" t="s">
        <v>87</v>
      </c>
      <c r="C90" s="93" t="str" cm="1">
        <f t="array" ref="C90">IFERROR(INDEX('Limite de crédito'!$D:$D, MATCH(MAX(IF('Limite de crédito'!$C:$C=$B90, 'Limite de crédito'!$A:$A)), 'Limite de crédito'!$A:$A, 0)),"")</f>
        <v/>
      </c>
      <c r="D90" s="18" cm="1">
        <f t="array" ref="D90">IFERROR(INDEX('Limite de crédito'!$F:$F, MATCH(MAX(IF('Limite de crédito'!$C:$C=$B90, 'Limite de crédito'!$A:$A)), 'Limite de crédito'!$A:$A, 0)),0)</f>
        <v>0</v>
      </c>
      <c r="E90" s="18">
        <f t="shared" si="10"/>
        <v>0</v>
      </c>
      <c r="F90" s="18">
        <f t="shared" si="11"/>
        <v>0</v>
      </c>
      <c r="G90" s="19">
        <f>SUMIFS('Data Additive'!$D:$D,'Data Additive'!$P:$P,'Painel Additive'!$B27,'Data Additive'!$Q:$Q,"&gt;0",'Data Additive'!$Q:$Q,"&lt;=30")</f>
        <v>0</v>
      </c>
      <c r="H90" s="19">
        <f>SUMIFS('Data Additive'!$D:$D,'Data Additive'!$P:$P,'Painel Additive'!$B27,'Data Additive'!$Q:$Q,"&gt;30",'Data Additive'!$Q:$Q,"&lt;=60")</f>
        <v>0</v>
      </c>
      <c r="I90" s="19">
        <f>SUMIFS('Data Additive'!$D:$D,'Data Additive'!$P:$P,'Painel Additive'!$B27,'Data Additive'!$Q:$Q,"&gt;60",'Data Additive'!$Q:$Q,"&lt;=90")</f>
        <v>0</v>
      </c>
      <c r="J90" s="19">
        <f>SUMIFS('Data Additive'!$D:$D,'Data Additive'!$P:$P,'Painel Additive'!$B27,'Data Additive'!$Q:$Q,"&gt;90",'Data Additive'!$Q:$Q,"&lt;=120")</f>
        <v>0</v>
      </c>
      <c r="K90" s="19">
        <f>SUMIFS('Data Additive'!$D:$D,'Data Additive'!$P:$P,'Painel Additive'!$B27,'Data Additive'!$Q:$Q,"&gt;120",'Data Additive'!$Q:$Q,"&lt;=180")</f>
        <v>0</v>
      </c>
      <c r="L90" s="19">
        <f>SUMIFS('Data Additive'!$D:$D,'Data Additive'!$P:$P,'Painel Additive'!$B27,'Data Additive'!$Q:$Q,"&gt;180",'Data Additive'!$Q:$Q,"&lt;=360")</f>
        <v>0</v>
      </c>
      <c r="M90" s="23">
        <f>SUMIFS('Data Additive'!$D:$D,'Data Additive'!$P:$P,'Painel Additive'!$B27,'Data Additive'!$Q:$Q,"&gt;360")</f>
        <v>0</v>
      </c>
      <c r="N90" s="19">
        <f>SUMIFS('Data Additive'!$D:$D,'Data Additive'!$P:$P,'Painel Additive'!$B27,'Data Additive'!$Q:$Q,"&gt;0")</f>
        <v>0</v>
      </c>
      <c r="O90" s="19">
        <f t="shared" si="12"/>
        <v>0</v>
      </c>
      <c r="P90" s="19">
        <f>SUMIFS('Data Additive'!$D:$D,'Data Additive'!$P:$P,'Painel Additive'!$B27,'Data Additive'!$Q:$Q,"&lt;=0",'Data Additive'!$Q:$Q,"&gt;=-30")</f>
        <v>0</v>
      </c>
      <c r="Q90" s="19">
        <f>SUMIFS('Data Additive'!$D:$D,'Data Additive'!$P:$P,'Painel Additive'!$B27,'Data Additive'!$Q:$Q,"&lt;=-31",'Data Additive'!$Q:$Q,"&gt;=-60")</f>
        <v>0</v>
      </c>
      <c r="R90" s="19">
        <f>SUMIFS('Data Additive'!$D:$D,'Data Additive'!$P:$P,'Painel Additive'!$B27,'Data Additive'!$Q:$Q,"&lt;=-61",'Data Additive'!$Q:$Q,"&gt;=-90")</f>
        <v>0</v>
      </c>
      <c r="S90" s="19">
        <f>SUMIFS('Data Additive'!$D:$D,'Data Additive'!$P:$P,'Painel Additive'!$B27,'Data Additive'!$Q:$Q,"&lt;=-91",'Data Additive'!$Q:$Q,"&gt;=-120")</f>
        <v>0</v>
      </c>
      <c r="T90" s="19">
        <f>SUMIFS('Data Additive'!$D:$D,'Data Additive'!$P:$P,'Painel Additive'!$B27,'Data Additive'!$Q:$Q,"&lt;=-121",'Data Additive'!$Q:$Q,"&gt;=-180")</f>
        <v>0</v>
      </c>
      <c r="U90" s="19">
        <f>SUMIFS('Data Additive'!$D:$D,'Data Additive'!$P:$P,'Painel Additive'!$B27,'Data Additive'!$Q:$Q,"&lt;=-181",'Data Additive'!$Q:$Q,"&gt;=-360")</f>
        <v>0</v>
      </c>
      <c r="V90" s="23">
        <f>SUMIFS('Data Additive'!$D:$D,'Data Additive'!$P:$P,'Painel Additive'!$B27,'Data Additive'!$Q:$Q,"&lt;-360")</f>
        <v>0</v>
      </c>
      <c r="W90" s="19" t="e">
        <f>SUMIFS('Bad Debt Provision'!#REF!,'Bad Debt Provision'!#REF!,'Painel Additive'!$B27)</f>
        <v>#REF!</v>
      </c>
      <c r="X90" s="5"/>
      <c r="Y90" s="20"/>
      <c r="Z90" s="20"/>
      <c r="AA90" s="21"/>
      <c r="AB90" s="5"/>
      <c r="AC90" s="19"/>
      <c r="AD90" s="20"/>
      <c r="AE90" s="22"/>
      <c r="AF90" s="22"/>
      <c r="AG90" s="5"/>
      <c r="AH90" s="28">
        <f t="shared" si="13"/>
        <v>0</v>
      </c>
      <c r="AI90" s="5"/>
    </row>
    <row r="91" spans="2:35" x14ac:dyDescent="0.25">
      <c r="B91" s="17" t="s">
        <v>33</v>
      </c>
      <c r="C91" s="93" t="str" cm="1">
        <f t="array" ref="C91">IFERROR(INDEX('Limite de crédito'!$D:$D, MATCH(MAX(IF('Limite de crédito'!$C:$C=$B91, 'Limite de crédito'!$A:$A)), 'Limite de crédito'!$A:$A, 0)),"")</f>
        <v/>
      </c>
      <c r="D91" s="18" cm="1">
        <f t="array" ref="D91">IFERROR(INDEX('Limite de crédito'!$F:$F, MATCH(MAX(IF('Limite de crédito'!$C:$C=$B91, 'Limite de crédito'!$A:$A)), 'Limite de crédito'!$A:$A, 0)),0)</f>
        <v>0</v>
      </c>
      <c r="E91" s="18">
        <f t="shared" si="10"/>
        <v>0</v>
      </c>
      <c r="F91" s="18">
        <f t="shared" si="11"/>
        <v>0</v>
      </c>
      <c r="G91" s="19">
        <f>SUMIFS('Data Additive'!$D:$D,'Data Additive'!$P:$P,'Painel Additive'!$B30,'Data Additive'!$Q:$Q,"&gt;0",'Data Additive'!$Q:$Q,"&lt;=30")</f>
        <v>0</v>
      </c>
      <c r="H91" s="19">
        <f>SUMIFS('Data Additive'!$D:$D,'Data Additive'!$P:$P,'Painel Additive'!$B30,'Data Additive'!$Q:$Q,"&gt;30",'Data Additive'!$Q:$Q,"&lt;=60")</f>
        <v>0</v>
      </c>
      <c r="I91" s="19">
        <f>SUMIFS('Data Additive'!$D:$D,'Data Additive'!$P:$P,'Painel Additive'!$B30,'Data Additive'!$Q:$Q,"&gt;60",'Data Additive'!$Q:$Q,"&lt;=90")</f>
        <v>0</v>
      </c>
      <c r="J91" s="19">
        <f>SUMIFS('Data Additive'!$D:$D,'Data Additive'!$P:$P,'Painel Additive'!$B30,'Data Additive'!$Q:$Q,"&gt;90",'Data Additive'!$Q:$Q,"&lt;=120")</f>
        <v>0</v>
      </c>
      <c r="K91" s="19">
        <f>SUMIFS('Data Additive'!$D:$D,'Data Additive'!$P:$P,'Painel Additive'!$B30,'Data Additive'!$Q:$Q,"&gt;120",'Data Additive'!$Q:$Q,"&lt;=180")</f>
        <v>0</v>
      </c>
      <c r="L91" s="19">
        <f>SUMIFS('Data Additive'!$D:$D,'Data Additive'!$P:$P,'Painel Additive'!$B30,'Data Additive'!$Q:$Q,"&gt;180",'Data Additive'!$Q:$Q,"&lt;=360")</f>
        <v>0</v>
      </c>
      <c r="M91" s="23">
        <f>SUMIFS('Data Additive'!$D:$D,'Data Additive'!$P:$P,'Painel Additive'!$B30,'Data Additive'!$Q:$Q,"&gt;360")</f>
        <v>0</v>
      </c>
      <c r="N91" s="19">
        <f>SUMIFS('Data Additive'!$D:$D,'Data Additive'!$P:$P,'Painel Additive'!$B30,'Data Additive'!$Q:$Q,"&gt;0")</f>
        <v>0</v>
      </c>
      <c r="O91" s="19">
        <f t="shared" si="12"/>
        <v>0</v>
      </c>
      <c r="P91" s="19">
        <f>SUMIFS('Data Additive'!$D:$D,'Data Additive'!$P:$P,'Painel Additive'!$B30,'Data Additive'!$Q:$Q,"&lt;=0",'Data Additive'!$Q:$Q,"&gt;=-30")</f>
        <v>0</v>
      </c>
      <c r="Q91" s="19">
        <f>SUMIFS('Data Additive'!$D:$D,'Data Additive'!$P:$P,'Painel Additive'!$B30,'Data Additive'!$Q:$Q,"&lt;=-31",'Data Additive'!$Q:$Q,"&gt;=-60")</f>
        <v>0</v>
      </c>
      <c r="R91" s="19">
        <f>SUMIFS('Data Additive'!$D:$D,'Data Additive'!$P:$P,'Painel Additive'!$B30,'Data Additive'!$Q:$Q,"&lt;=-61",'Data Additive'!$Q:$Q,"&gt;=-90")</f>
        <v>0</v>
      </c>
      <c r="S91" s="19">
        <f>SUMIFS('Data Additive'!$D:$D,'Data Additive'!$P:$P,'Painel Additive'!$B30,'Data Additive'!$Q:$Q,"&lt;=-91",'Data Additive'!$Q:$Q,"&gt;=-120")</f>
        <v>0</v>
      </c>
      <c r="T91" s="19">
        <f>SUMIFS('Data Additive'!$D:$D,'Data Additive'!$P:$P,'Painel Additive'!$B30,'Data Additive'!$Q:$Q,"&lt;=-121",'Data Additive'!$Q:$Q,"&gt;=-180")</f>
        <v>0</v>
      </c>
      <c r="U91" s="19">
        <f>SUMIFS('Data Additive'!$D:$D,'Data Additive'!$P:$P,'Painel Additive'!$B30,'Data Additive'!$Q:$Q,"&lt;=-181",'Data Additive'!$Q:$Q,"&gt;=-360")</f>
        <v>0</v>
      </c>
      <c r="V91" s="23">
        <f>SUMIFS('Data Additive'!$D:$D,'Data Additive'!$P:$P,'Painel Additive'!$B30,'Data Additive'!$Q:$Q,"&lt;-360")</f>
        <v>0</v>
      </c>
      <c r="W91" s="19" t="e">
        <f>SUMIFS('Bad Debt Provision'!#REF!,'Bad Debt Provision'!#REF!,'Painel Additive'!$B30)</f>
        <v>#REF!</v>
      </c>
      <c r="X91" s="5"/>
      <c r="Y91" s="20"/>
      <c r="Z91" s="20"/>
      <c r="AA91" s="21"/>
      <c r="AB91" s="5"/>
      <c r="AC91" s="19"/>
      <c r="AD91" s="20"/>
      <c r="AE91" s="22"/>
      <c r="AF91" s="22"/>
      <c r="AG91" s="5"/>
      <c r="AH91" s="28">
        <f t="shared" si="13"/>
        <v>0</v>
      </c>
      <c r="AI91" s="5"/>
    </row>
    <row r="92" spans="2:35" x14ac:dyDescent="0.25">
      <c r="B92" s="17" t="s">
        <v>45</v>
      </c>
      <c r="C92" s="93" t="str" cm="1">
        <f t="array" ref="C92">IFERROR(INDEX('Limite de crédito'!$D:$D, MATCH(MAX(IF('Limite de crédito'!$C:$C=$B92, 'Limite de crédito'!$A:$A)), 'Limite de crédito'!$A:$A, 0)),"")</f>
        <v/>
      </c>
      <c r="D92" s="18" cm="1">
        <f t="array" ref="D92">IFERROR(INDEX('Limite de crédito'!$F:$F, MATCH(MAX(IF('Limite de crédito'!$C:$C=$B92, 'Limite de crédito'!$A:$A)), 'Limite de crédito'!$A:$A, 0)),0)</f>
        <v>0</v>
      </c>
      <c r="E92" s="18">
        <f t="shared" si="10"/>
        <v>-26290</v>
      </c>
      <c r="F92" s="18">
        <f t="shared" si="11"/>
        <v>26290</v>
      </c>
      <c r="G92" s="19">
        <f>SUMIFS('Data Additive'!$D:$D,'Data Additive'!$P:$P,'Painel Additive'!$B31,'Data Additive'!$Q:$Q,"&gt;0",'Data Additive'!$Q:$Q,"&lt;=30")</f>
        <v>0</v>
      </c>
      <c r="H92" s="19">
        <f>SUMIFS('Data Additive'!$D:$D,'Data Additive'!$P:$P,'Painel Additive'!$B31,'Data Additive'!$Q:$Q,"&gt;30",'Data Additive'!$Q:$Q,"&lt;=60")</f>
        <v>0</v>
      </c>
      <c r="I92" s="19">
        <f>SUMIFS('Data Additive'!$D:$D,'Data Additive'!$P:$P,'Painel Additive'!$B31,'Data Additive'!$Q:$Q,"&gt;60",'Data Additive'!$Q:$Q,"&lt;=90")</f>
        <v>0</v>
      </c>
      <c r="J92" s="19">
        <f>SUMIFS('Data Additive'!$D:$D,'Data Additive'!$P:$P,'Painel Additive'!$B31,'Data Additive'!$Q:$Q,"&gt;90",'Data Additive'!$Q:$Q,"&lt;=120")</f>
        <v>0</v>
      </c>
      <c r="K92" s="19">
        <f>SUMIFS('Data Additive'!$D:$D,'Data Additive'!$P:$P,'Painel Additive'!$B31,'Data Additive'!$Q:$Q,"&gt;120",'Data Additive'!$Q:$Q,"&lt;=180")</f>
        <v>0</v>
      </c>
      <c r="L92" s="19">
        <f>SUMIFS('Data Additive'!$D:$D,'Data Additive'!$P:$P,'Painel Additive'!$B31,'Data Additive'!$Q:$Q,"&gt;180",'Data Additive'!$Q:$Q,"&lt;=360")</f>
        <v>0</v>
      </c>
      <c r="M92" s="23">
        <f>SUMIFS('Data Additive'!$D:$D,'Data Additive'!$P:$P,'Painel Additive'!$B31,'Data Additive'!$Q:$Q,"&gt;360")</f>
        <v>0</v>
      </c>
      <c r="N92" s="19">
        <f>SUMIFS('Data Additive'!$D:$D,'Data Additive'!$P:$P,'Painel Additive'!$B31,'Data Additive'!$Q:$Q,"&gt;0")</f>
        <v>0</v>
      </c>
      <c r="O92" s="19">
        <f t="shared" si="12"/>
        <v>26290</v>
      </c>
      <c r="P92" s="19">
        <f>SUMIFS('Data Additive'!$D:$D,'Data Additive'!$P:$P,'Painel Additive'!$B31,'Data Additive'!$Q:$Q,"&lt;=0",'Data Additive'!$Q:$Q,"&gt;=-30")</f>
        <v>13145</v>
      </c>
      <c r="Q92" s="19">
        <f>SUMIFS('Data Additive'!$D:$D,'Data Additive'!$P:$P,'Painel Additive'!$B31,'Data Additive'!$Q:$Q,"&lt;=-31",'Data Additive'!$Q:$Q,"&gt;=-60")</f>
        <v>13145</v>
      </c>
      <c r="R92" s="19">
        <f>SUMIFS('Data Additive'!$D:$D,'Data Additive'!$P:$P,'Painel Additive'!$B31,'Data Additive'!$Q:$Q,"&lt;=-61",'Data Additive'!$Q:$Q,"&gt;=-90")</f>
        <v>0</v>
      </c>
      <c r="S92" s="19">
        <f>SUMIFS('Data Additive'!$D:$D,'Data Additive'!$P:$P,'Painel Additive'!$B31,'Data Additive'!$Q:$Q,"&lt;=-91",'Data Additive'!$Q:$Q,"&gt;=-120")</f>
        <v>0</v>
      </c>
      <c r="T92" s="19">
        <f>SUMIFS('Data Additive'!$D:$D,'Data Additive'!$P:$P,'Painel Additive'!$B31,'Data Additive'!$Q:$Q,"&lt;=-121",'Data Additive'!$Q:$Q,"&gt;=-180")</f>
        <v>0</v>
      </c>
      <c r="U92" s="19">
        <f>SUMIFS('Data Additive'!$D:$D,'Data Additive'!$P:$P,'Painel Additive'!$B31,'Data Additive'!$Q:$Q,"&lt;=-181",'Data Additive'!$Q:$Q,"&gt;=-360")</f>
        <v>0</v>
      </c>
      <c r="V92" s="23">
        <f>SUMIFS('Data Additive'!$D:$D,'Data Additive'!$P:$P,'Painel Additive'!$B31,'Data Additive'!$Q:$Q,"&lt;-360")</f>
        <v>0</v>
      </c>
      <c r="W92" s="19" t="e">
        <f>SUMIFS('Bad Debt Provision'!#REF!,'Bad Debt Provision'!#REF!,'Painel Additive'!$B31)</f>
        <v>#REF!</v>
      </c>
      <c r="X92" s="5"/>
      <c r="Y92" s="20"/>
      <c r="Z92" s="20"/>
      <c r="AA92" s="21"/>
      <c r="AB92" s="5"/>
      <c r="AC92" s="19"/>
      <c r="AD92" s="20"/>
      <c r="AE92" s="22"/>
      <c r="AF92" s="22"/>
      <c r="AG92" s="5"/>
      <c r="AH92" s="28">
        <f t="shared" si="13"/>
        <v>-26290</v>
      </c>
      <c r="AI92" s="5"/>
    </row>
    <row r="93" spans="2:35" x14ac:dyDescent="0.25">
      <c r="B93" s="17" t="s">
        <v>80</v>
      </c>
      <c r="C93" s="93" t="str" cm="1">
        <f t="array" ref="C93">IFERROR(INDEX('Limite de crédito'!$D:$D, MATCH(MAX(IF('Limite de crédito'!$C:$C=$B93, 'Limite de crédito'!$A:$A)), 'Limite de crédito'!$A:$A, 0)),"")</f>
        <v/>
      </c>
      <c r="D93" s="18" cm="1">
        <f t="array" ref="D93">IFERROR(INDEX('Limite de crédito'!$F:$F, MATCH(MAX(IF('Limite de crédito'!$C:$C=$B93, 'Limite de crédito'!$A:$A)), 'Limite de crédito'!$A:$A, 0)),0)</f>
        <v>0</v>
      </c>
      <c r="E93" s="18">
        <f t="shared" si="10"/>
        <v>0</v>
      </c>
      <c r="F93" s="18">
        <f t="shared" si="11"/>
        <v>0</v>
      </c>
      <c r="G93" s="19">
        <f>SUMIFS('Data Additive'!$D:$D,'Data Additive'!$P:$P,'Painel Additive'!#REF!,'Data Additive'!$Q:$Q,"&gt;0",'Data Additive'!$Q:$Q,"&lt;=30")</f>
        <v>0</v>
      </c>
      <c r="H93" s="19">
        <f>SUMIFS('Data Additive'!$D:$D,'Data Additive'!$P:$P,'Painel Additive'!#REF!,'Data Additive'!$Q:$Q,"&gt;30",'Data Additive'!$Q:$Q,"&lt;=60")</f>
        <v>0</v>
      </c>
      <c r="I93" s="19">
        <f>SUMIFS('Data Additive'!$D:$D,'Data Additive'!$P:$P,'Painel Additive'!#REF!,'Data Additive'!$Q:$Q,"&gt;60",'Data Additive'!$Q:$Q,"&lt;=90")</f>
        <v>0</v>
      </c>
      <c r="J93" s="19">
        <f>SUMIFS('Data Additive'!$D:$D,'Data Additive'!$P:$P,'Painel Additive'!#REF!,'Data Additive'!$Q:$Q,"&gt;90",'Data Additive'!$Q:$Q,"&lt;=120")</f>
        <v>0</v>
      </c>
      <c r="K93" s="19">
        <f>SUMIFS('Data Additive'!$D:$D,'Data Additive'!$P:$P,'Painel Additive'!#REF!,'Data Additive'!$Q:$Q,"&gt;120",'Data Additive'!$Q:$Q,"&lt;=180")</f>
        <v>0</v>
      </c>
      <c r="L93" s="19">
        <f>SUMIFS('Data Additive'!$D:$D,'Data Additive'!$P:$P,'Painel Additive'!#REF!,'Data Additive'!$Q:$Q,"&gt;180",'Data Additive'!$Q:$Q,"&lt;=360")</f>
        <v>0</v>
      </c>
      <c r="M93" s="23">
        <f>SUMIFS('Data Additive'!$D:$D,'Data Additive'!$P:$P,'Painel Additive'!#REF!,'Data Additive'!$Q:$Q,"&gt;360")</f>
        <v>0</v>
      </c>
      <c r="N93" s="19">
        <f>SUMIFS('Data Additive'!$D:$D,'Data Additive'!$P:$P,'Painel Additive'!#REF!,'Data Additive'!$Q:$Q,"&gt;0")</f>
        <v>0</v>
      </c>
      <c r="O93" s="19">
        <f t="shared" si="12"/>
        <v>0</v>
      </c>
      <c r="P93" s="19">
        <f>SUMIFS('Data Additive'!$D:$D,'Data Additive'!$P:$P,'Painel Additive'!#REF!,'Data Additive'!$Q:$Q,"&lt;=0",'Data Additive'!$Q:$Q,"&gt;=-30")</f>
        <v>0</v>
      </c>
      <c r="Q93" s="19">
        <f>SUMIFS('Data Additive'!$D:$D,'Data Additive'!$P:$P,'Painel Additive'!#REF!,'Data Additive'!$Q:$Q,"&lt;=-31",'Data Additive'!$Q:$Q,"&gt;=-60")</f>
        <v>0</v>
      </c>
      <c r="R93" s="19">
        <f>SUMIFS('Data Additive'!$D:$D,'Data Additive'!$P:$P,'Painel Additive'!#REF!,'Data Additive'!$Q:$Q,"&lt;=-61",'Data Additive'!$Q:$Q,"&gt;=-90")</f>
        <v>0</v>
      </c>
      <c r="S93" s="19">
        <f>SUMIFS('Data Additive'!$D:$D,'Data Additive'!$P:$P,'Painel Additive'!#REF!,'Data Additive'!$Q:$Q,"&lt;=-91",'Data Additive'!$Q:$Q,"&gt;=-120")</f>
        <v>0</v>
      </c>
      <c r="T93" s="19">
        <f>SUMIFS('Data Additive'!$D:$D,'Data Additive'!$P:$P,'Painel Additive'!#REF!,'Data Additive'!$Q:$Q,"&lt;=-121",'Data Additive'!$Q:$Q,"&gt;=-180")</f>
        <v>0</v>
      </c>
      <c r="U93" s="19">
        <f>SUMIFS('Data Additive'!$D:$D,'Data Additive'!$P:$P,'Painel Additive'!#REF!,'Data Additive'!$Q:$Q,"&lt;=-181",'Data Additive'!$Q:$Q,"&gt;=-360")</f>
        <v>0</v>
      </c>
      <c r="V93" s="23">
        <f>SUMIFS('Data Additive'!$D:$D,'Data Additive'!$P:$P,'Painel Additive'!#REF!,'Data Additive'!$Q:$Q,"&lt;-360")</f>
        <v>0</v>
      </c>
      <c r="W93" s="19" t="e">
        <f>SUMIFS('Bad Debt Provision'!#REF!,'Bad Debt Provision'!#REF!,'Painel Additive'!#REF!)</f>
        <v>#REF!</v>
      </c>
      <c r="X93" s="5"/>
      <c r="Y93" s="20"/>
      <c r="Z93" s="20"/>
      <c r="AA93" s="21"/>
      <c r="AB93" s="5"/>
      <c r="AC93" s="19"/>
      <c r="AD93" s="20"/>
      <c r="AE93" s="22"/>
      <c r="AF93" s="22"/>
      <c r="AG93" s="5"/>
      <c r="AH93" s="28">
        <f t="shared" si="13"/>
        <v>0</v>
      </c>
      <c r="AI93" s="5"/>
    </row>
    <row r="94" spans="2:35" x14ac:dyDescent="0.25">
      <c r="B94" s="17" t="s">
        <v>175</v>
      </c>
      <c r="C94" s="93" cm="1">
        <f t="array" ref="C94">IFERROR(INDEX('Limite de crédito'!$D:$D, MATCH(MAX(IF('Limite de crédito'!$C:$C=$B94, 'Limite de crédito'!$A:$A)), 'Limite de crédito'!$A:$A, 0)),"")</f>
        <v>46132</v>
      </c>
      <c r="D94" s="18" t="str" cm="1">
        <f t="array" ref="D94">IFERROR(INDEX('Limite de crédito'!$F:$F, MATCH(MAX(IF('Limite de crédito'!$C:$C=$B94, 'Limite de crédito'!$A:$A)), 'Limite de crédito'!$A:$A, 0)),0)</f>
        <v>Sim</v>
      </c>
      <c r="E94" s="18" t="e">
        <f t="shared" si="10"/>
        <v>#VALUE!</v>
      </c>
      <c r="F94" s="18">
        <f t="shared" si="11"/>
        <v>0</v>
      </c>
      <c r="G94" s="19">
        <f>SUMIFS('Data Additive'!$D:$D,'Data Additive'!$P:$P,'Painel Additive'!$B35,'Data Additive'!$Q:$Q,"&gt;0",'Data Additive'!$Q:$Q,"&lt;=30")</f>
        <v>0</v>
      </c>
      <c r="H94" s="19">
        <f>SUMIFS('Data Additive'!$D:$D,'Data Additive'!$P:$P,'Painel Additive'!$B35,'Data Additive'!$Q:$Q,"&gt;30",'Data Additive'!$Q:$Q,"&lt;=60")</f>
        <v>0</v>
      </c>
      <c r="I94" s="19">
        <f>SUMIFS('Data Additive'!$D:$D,'Data Additive'!$P:$P,'Painel Additive'!$B35,'Data Additive'!$Q:$Q,"&gt;60",'Data Additive'!$Q:$Q,"&lt;=90")</f>
        <v>0</v>
      </c>
      <c r="J94" s="19">
        <f>SUMIFS('Data Additive'!$D:$D,'Data Additive'!$P:$P,'Painel Additive'!$B35,'Data Additive'!$Q:$Q,"&gt;90",'Data Additive'!$Q:$Q,"&lt;=120")</f>
        <v>0</v>
      </c>
      <c r="K94" s="19">
        <f>SUMIFS('Data Additive'!$D:$D,'Data Additive'!$P:$P,'Painel Additive'!$B35,'Data Additive'!$Q:$Q,"&gt;120",'Data Additive'!$Q:$Q,"&lt;=180")</f>
        <v>0</v>
      </c>
      <c r="L94" s="19">
        <f>SUMIFS('Data Additive'!$D:$D,'Data Additive'!$P:$P,'Painel Additive'!$B35,'Data Additive'!$Q:$Q,"&gt;180",'Data Additive'!$Q:$Q,"&lt;=360")</f>
        <v>0</v>
      </c>
      <c r="M94" s="23">
        <f>SUMIFS('Data Additive'!$D:$D,'Data Additive'!$P:$P,'Painel Additive'!$B35,'Data Additive'!$Q:$Q,"&gt;360")</f>
        <v>0</v>
      </c>
      <c r="N94" s="19">
        <f>SUMIFS('Data Additive'!$D:$D,'Data Additive'!$P:$P,'Painel Additive'!$B35,'Data Additive'!$Q:$Q,"&gt;0")</f>
        <v>0</v>
      </c>
      <c r="O94" s="19">
        <f t="shared" si="12"/>
        <v>0</v>
      </c>
      <c r="P94" s="19">
        <f>SUMIFS('Data Additive'!$D:$D,'Data Additive'!$P:$P,'Painel Additive'!$B35,'Data Additive'!$Q:$Q,"&lt;=0",'Data Additive'!$Q:$Q,"&gt;=-30")</f>
        <v>0</v>
      </c>
      <c r="Q94" s="19">
        <f>SUMIFS('Data Additive'!$D:$D,'Data Additive'!$P:$P,'Painel Additive'!$B35,'Data Additive'!$Q:$Q,"&lt;=-31",'Data Additive'!$Q:$Q,"&gt;=-60")</f>
        <v>0</v>
      </c>
      <c r="R94" s="19">
        <f>SUMIFS('Data Additive'!$D:$D,'Data Additive'!$P:$P,'Painel Additive'!$B35,'Data Additive'!$Q:$Q,"&lt;=-61",'Data Additive'!$Q:$Q,"&gt;=-90")</f>
        <v>0</v>
      </c>
      <c r="S94" s="19">
        <f>SUMIFS('Data Additive'!$D:$D,'Data Additive'!$P:$P,'Painel Additive'!$B35,'Data Additive'!$Q:$Q,"&lt;=-91",'Data Additive'!$Q:$Q,"&gt;=-120")</f>
        <v>0</v>
      </c>
      <c r="T94" s="19">
        <f>SUMIFS('Data Additive'!$D:$D,'Data Additive'!$P:$P,'Painel Additive'!$B35,'Data Additive'!$Q:$Q,"&lt;=-121",'Data Additive'!$Q:$Q,"&gt;=-180")</f>
        <v>0</v>
      </c>
      <c r="U94" s="19">
        <f>SUMIFS('Data Additive'!$D:$D,'Data Additive'!$P:$P,'Painel Additive'!$B35,'Data Additive'!$Q:$Q,"&lt;=-181",'Data Additive'!$Q:$Q,"&gt;=-360")</f>
        <v>0</v>
      </c>
      <c r="V94" s="23">
        <f>SUMIFS('Data Additive'!$D:$D,'Data Additive'!$P:$P,'Painel Additive'!$B35,'Data Additive'!$Q:$Q,"&lt;-360")</f>
        <v>0</v>
      </c>
      <c r="W94" s="19" t="e">
        <f>SUMIFS('Bad Debt Provision'!#REF!,'Bad Debt Provision'!#REF!,'Painel Additive'!$B35)</f>
        <v>#REF!</v>
      </c>
      <c r="X94" s="5"/>
      <c r="Y94" s="20"/>
      <c r="Z94" s="20"/>
      <c r="AA94" s="21"/>
      <c r="AB94" s="5"/>
      <c r="AC94" s="19"/>
      <c r="AD94" s="20"/>
      <c r="AE94" s="22"/>
      <c r="AF94" s="22"/>
      <c r="AG94" s="5"/>
      <c r="AH94" s="28">
        <f t="shared" si="13"/>
        <v>0</v>
      </c>
      <c r="AI94" s="5"/>
    </row>
    <row r="95" spans="2:35" x14ac:dyDescent="0.25">
      <c r="B95" s="17" t="s">
        <v>92</v>
      </c>
      <c r="C95" s="93" t="str" cm="1">
        <f t="array" ref="C95">IFERROR(INDEX('Limite de crédito'!$D:$D, MATCH(MAX(IF('Limite de crédito'!$C:$C=$B95, 'Limite de crédito'!$A:$A)), 'Limite de crédito'!$A:$A, 0)),"")</f>
        <v/>
      </c>
      <c r="D95" s="18" cm="1">
        <f t="array" ref="D95">IFERROR(INDEX('Limite de crédito'!$F:$F, MATCH(MAX(IF('Limite de crédito'!$C:$C=$B95, 'Limite de crédito'!$A:$A)), 'Limite de crédito'!$A:$A, 0)),0)</f>
        <v>0</v>
      </c>
      <c r="E95" s="18">
        <f t="shared" si="10"/>
        <v>0</v>
      </c>
      <c r="F95" s="18">
        <f t="shared" si="11"/>
        <v>0</v>
      </c>
      <c r="G95" s="19">
        <f>SUMIFS('Data Additive'!$D:$D,'Data Additive'!$P:$P,'Painel Additive'!#REF!,'Data Additive'!$Q:$Q,"&gt;0",'Data Additive'!$Q:$Q,"&lt;=30")</f>
        <v>0</v>
      </c>
      <c r="H95" s="19">
        <f>SUMIFS('Data Additive'!$D:$D,'Data Additive'!$P:$P,'Painel Additive'!#REF!,'Data Additive'!$Q:$Q,"&gt;30",'Data Additive'!$Q:$Q,"&lt;=60")</f>
        <v>0</v>
      </c>
      <c r="I95" s="19">
        <f>SUMIFS('Data Additive'!$D:$D,'Data Additive'!$P:$P,'Painel Additive'!#REF!,'Data Additive'!$Q:$Q,"&gt;60",'Data Additive'!$Q:$Q,"&lt;=90")</f>
        <v>0</v>
      </c>
      <c r="J95" s="19">
        <f>SUMIFS('Data Additive'!$D:$D,'Data Additive'!$P:$P,'Painel Additive'!#REF!,'Data Additive'!$Q:$Q,"&gt;90",'Data Additive'!$Q:$Q,"&lt;=120")</f>
        <v>0</v>
      </c>
      <c r="K95" s="19">
        <f>SUMIFS('Data Additive'!$D:$D,'Data Additive'!$P:$P,'Painel Additive'!#REF!,'Data Additive'!$Q:$Q,"&gt;120",'Data Additive'!$Q:$Q,"&lt;=180")</f>
        <v>0</v>
      </c>
      <c r="L95" s="19">
        <f>SUMIFS('Data Additive'!$D:$D,'Data Additive'!$P:$P,'Painel Additive'!#REF!,'Data Additive'!$Q:$Q,"&gt;180",'Data Additive'!$Q:$Q,"&lt;=360")</f>
        <v>0</v>
      </c>
      <c r="M95" s="23">
        <f>SUMIFS('Data Additive'!$D:$D,'Data Additive'!$P:$P,'Painel Additive'!#REF!,'Data Additive'!$Q:$Q,"&gt;360")</f>
        <v>0</v>
      </c>
      <c r="N95" s="19">
        <f>SUMIFS('Data Additive'!$D:$D,'Data Additive'!$P:$P,'Painel Additive'!#REF!,'Data Additive'!$Q:$Q,"&gt;0")</f>
        <v>0</v>
      </c>
      <c r="O95" s="19">
        <f t="shared" si="12"/>
        <v>0</v>
      </c>
      <c r="P95" s="19">
        <f>SUMIFS('Data Additive'!$D:$D,'Data Additive'!$P:$P,'Painel Additive'!#REF!,'Data Additive'!$Q:$Q,"&lt;=0",'Data Additive'!$Q:$Q,"&gt;=-30")</f>
        <v>0</v>
      </c>
      <c r="Q95" s="19">
        <f>SUMIFS('Data Additive'!$D:$D,'Data Additive'!$P:$P,'Painel Additive'!#REF!,'Data Additive'!$Q:$Q,"&lt;=-31",'Data Additive'!$Q:$Q,"&gt;=-60")</f>
        <v>0</v>
      </c>
      <c r="R95" s="19">
        <f>SUMIFS('Data Additive'!$D:$D,'Data Additive'!$P:$P,'Painel Additive'!#REF!,'Data Additive'!$Q:$Q,"&lt;=-61",'Data Additive'!$Q:$Q,"&gt;=-90")</f>
        <v>0</v>
      </c>
      <c r="S95" s="19">
        <f>SUMIFS('Data Additive'!$D:$D,'Data Additive'!$P:$P,'Painel Additive'!#REF!,'Data Additive'!$Q:$Q,"&lt;=-91",'Data Additive'!$Q:$Q,"&gt;=-120")</f>
        <v>0</v>
      </c>
      <c r="T95" s="19">
        <f>SUMIFS('Data Additive'!$D:$D,'Data Additive'!$P:$P,'Painel Additive'!#REF!,'Data Additive'!$Q:$Q,"&lt;=-121",'Data Additive'!$Q:$Q,"&gt;=-180")</f>
        <v>0</v>
      </c>
      <c r="U95" s="19">
        <f>SUMIFS('Data Additive'!$D:$D,'Data Additive'!$P:$P,'Painel Additive'!#REF!,'Data Additive'!$Q:$Q,"&lt;=-181",'Data Additive'!$Q:$Q,"&gt;=-360")</f>
        <v>0</v>
      </c>
      <c r="V95" s="23">
        <f>SUMIFS('Data Additive'!$D:$D,'Data Additive'!$P:$P,'Painel Additive'!#REF!,'Data Additive'!$Q:$Q,"&lt;-360")</f>
        <v>0</v>
      </c>
      <c r="W95" s="19" t="e">
        <f>SUMIFS('Bad Debt Provision'!#REF!,'Bad Debt Provision'!#REF!,'Painel Additive'!#REF!)</f>
        <v>#REF!</v>
      </c>
      <c r="X95" s="5"/>
      <c r="Y95" s="20"/>
      <c r="Z95" s="20"/>
      <c r="AA95" s="21"/>
      <c r="AB95" s="5"/>
      <c r="AC95" s="19"/>
      <c r="AD95" s="20"/>
      <c r="AE95" s="22"/>
      <c r="AF95" s="22"/>
      <c r="AG95" s="5"/>
      <c r="AH95" s="28">
        <f t="shared" si="13"/>
        <v>0</v>
      </c>
      <c r="AI95" s="5"/>
    </row>
    <row r="96" spans="2:35" x14ac:dyDescent="0.25">
      <c r="B96" s="17" t="s">
        <v>146</v>
      </c>
      <c r="C96" s="93" t="str" cm="1">
        <f t="array" ref="C96">IFERROR(INDEX('Limite de crédito'!$D:$D, MATCH(MAX(IF('Limite de crédito'!$C:$C=$B96, 'Limite de crédito'!$A:$A)), 'Limite de crédito'!$A:$A, 0)),"")</f>
        <v/>
      </c>
      <c r="D96" s="18" cm="1">
        <f t="array" ref="D96">IFERROR(INDEX('Limite de crédito'!$F:$F, MATCH(MAX(IF('Limite de crédito'!$C:$C=$B96, 'Limite de crédito'!$A:$A)), 'Limite de crédito'!$A:$A, 0)),0)</f>
        <v>0</v>
      </c>
      <c r="E96" s="18">
        <f t="shared" si="10"/>
        <v>0</v>
      </c>
      <c r="F96" s="18">
        <f t="shared" si="11"/>
        <v>0</v>
      </c>
      <c r="G96" s="19">
        <f>SUMIFS('Data Additive'!$D:$D,'Data Additive'!$P:$P,'Painel Additive'!#REF!,'Data Additive'!$Q:$Q,"&gt;0",'Data Additive'!$Q:$Q,"&lt;=30")</f>
        <v>0</v>
      </c>
      <c r="H96" s="19">
        <f>SUMIFS('Data Additive'!$D:$D,'Data Additive'!$P:$P,'Painel Additive'!#REF!,'Data Additive'!$Q:$Q,"&gt;30",'Data Additive'!$Q:$Q,"&lt;=60")</f>
        <v>0</v>
      </c>
      <c r="I96" s="19">
        <f>SUMIFS('Data Additive'!$D:$D,'Data Additive'!$P:$P,'Painel Additive'!#REF!,'Data Additive'!$Q:$Q,"&gt;60",'Data Additive'!$Q:$Q,"&lt;=90")</f>
        <v>0</v>
      </c>
      <c r="J96" s="19">
        <f>SUMIFS('Data Additive'!$D:$D,'Data Additive'!$P:$P,'Painel Additive'!#REF!,'Data Additive'!$Q:$Q,"&gt;90",'Data Additive'!$Q:$Q,"&lt;=120")</f>
        <v>0</v>
      </c>
      <c r="K96" s="19">
        <f>SUMIFS('Data Additive'!$D:$D,'Data Additive'!$P:$P,'Painel Additive'!#REF!,'Data Additive'!$Q:$Q,"&gt;120",'Data Additive'!$Q:$Q,"&lt;=180")</f>
        <v>0</v>
      </c>
      <c r="L96" s="19">
        <f>SUMIFS('Data Additive'!$D:$D,'Data Additive'!$P:$P,'Painel Additive'!#REF!,'Data Additive'!$Q:$Q,"&gt;180",'Data Additive'!$Q:$Q,"&lt;=360")</f>
        <v>0</v>
      </c>
      <c r="M96" s="23">
        <f>SUMIFS('Data Additive'!$D:$D,'Data Additive'!$P:$P,'Painel Additive'!#REF!,'Data Additive'!$Q:$Q,"&gt;360")</f>
        <v>0</v>
      </c>
      <c r="N96" s="19">
        <f>SUMIFS('Data Additive'!$D:$D,'Data Additive'!$P:$P,'Painel Additive'!#REF!,'Data Additive'!$Q:$Q,"&gt;0")</f>
        <v>0</v>
      </c>
      <c r="O96" s="19">
        <f t="shared" si="12"/>
        <v>0</v>
      </c>
      <c r="P96" s="19">
        <f>SUMIFS('Data Additive'!$D:$D,'Data Additive'!$P:$P,'Painel Additive'!#REF!,'Data Additive'!$Q:$Q,"&lt;=0",'Data Additive'!$Q:$Q,"&gt;=-30")</f>
        <v>0</v>
      </c>
      <c r="Q96" s="19">
        <f>SUMIFS('Data Additive'!$D:$D,'Data Additive'!$P:$P,'Painel Additive'!#REF!,'Data Additive'!$Q:$Q,"&lt;=-31",'Data Additive'!$Q:$Q,"&gt;=-60")</f>
        <v>0</v>
      </c>
      <c r="R96" s="19">
        <f>SUMIFS('Data Additive'!$D:$D,'Data Additive'!$P:$P,'Painel Additive'!#REF!,'Data Additive'!$Q:$Q,"&lt;=-61",'Data Additive'!$Q:$Q,"&gt;=-90")</f>
        <v>0</v>
      </c>
      <c r="S96" s="19">
        <f>SUMIFS('Data Additive'!$D:$D,'Data Additive'!$P:$P,'Painel Additive'!#REF!,'Data Additive'!$Q:$Q,"&lt;=-91",'Data Additive'!$Q:$Q,"&gt;=-120")</f>
        <v>0</v>
      </c>
      <c r="T96" s="19">
        <f>SUMIFS('Data Additive'!$D:$D,'Data Additive'!$P:$P,'Painel Additive'!#REF!,'Data Additive'!$Q:$Q,"&lt;=-121",'Data Additive'!$Q:$Q,"&gt;=-180")</f>
        <v>0</v>
      </c>
      <c r="U96" s="19">
        <f>SUMIFS('Data Additive'!$D:$D,'Data Additive'!$P:$P,'Painel Additive'!#REF!,'Data Additive'!$Q:$Q,"&lt;=-181",'Data Additive'!$Q:$Q,"&gt;=-360")</f>
        <v>0</v>
      </c>
      <c r="V96" s="23">
        <f>SUMIFS('Data Additive'!$D:$D,'Data Additive'!$P:$P,'Painel Additive'!#REF!,'Data Additive'!$Q:$Q,"&lt;-360")</f>
        <v>0</v>
      </c>
      <c r="W96" s="19" t="e">
        <f>SUMIFS('Bad Debt Provision'!#REF!,'Bad Debt Provision'!#REF!,'Painel Additive'!#REF!)</f>
        <v>#REF!</v>
      </c>
      <c r="X96" s="5"/>
      <c r="Y96" s="20"/>
      <c r="Z96" s="20"/>
      <c r="AA96" s="21"/>
      <c r="AB96" s="5"/>
      <c r="AC96" s="19"/>
      <c r="AD96" s="20"/>
      <c r="AE96" s="22"/>
      <c r="AF96" s="22"/>
      <c r="AG96" s="5"/>
      <c r="AH96" s="28">
        <f t="shared" si="13"/>
        <v>0</v>
      </c>
      <c r="AI96" s="5"/>
    </row>
    <row r="97" spans="2:35" x14ac:dyDescent="0.25">
      <c r="B97" s="17" t="s">
        <v>96</v>
      </c>
      <c r="C97" s="93" cm="1">
        <f t="array" ref="C97">IFERROR(INDEX('Limite de crédito'!$D:$D, MATCH(MAX(IF('Limite de crédito'!$C:$C=$B97, 'Limite de crédito'!$A:$A)), 'Limite de crédito'!$A:$A, 0)),"")</f>
        <v>45980</v>
      </c>
      <c r="D97" s="18" t="str" cm="1">
        <f t="array" ref="D97">IFERROR(INDEX('Limite de crédito'!$F:$F, MATCH(MAX(IF('Limite de crédito'!$C:$C=$B97, 'Limite de crédito'!$A:$A)), 'Limite de crédito'!$A:$A, 0)),0)</f>
        <v>Sim</v>
      </c>
      <c r="E97" s="18" t="e">
        <f t="shared" si="10"/>
        <v>#VALUE!</v>
      </c>
      <c r="F97" s="18">
        <f t="shared" si="11"/>
        <v>0</v>
      </c>
      <c r="G97" s="19">
        <f>SUMIFS('Data Additive'!$D:$D,'Data Additive'!$P:$P,'Painel Additive'!#REF!,'Data Additive'!$Q:$Q,"&gt;0",'Data Additive'!$Q:$Q,"&lt;=30")</f>
        <v>0</v>
      </c>
      <c r="H97" s="19">
        <f>SUMIFS('Data Additive'!$D:$D,'Data Additive'!$P:$P,'Painel Additive'!#REF!,'Data Additive'!$Q:$Q,"&gt;30",'Data Additive'!$Q:$Q,"&lt;=60")</f>
        <v>0</v>
      </c>
      <c r="I97" s="19">
        <f>SUMIFS('Data Additive'!$D:$D,'Data Additive'!$P:$P,'Painel Additive'!#REF!,'Data Additive'!$Q:$Q,"&gt;60",'Data Additive'!$Q:$Q,"&lt;=90")</f>
        <v>0</v>
      </c>
      <c r="J97" s="19">
        <f>SUMIFS('Data Additive'!$D:$D,'Data Additive'!$P:$P,'Painel Additive'!#REF!,'Data Additive'!$Q:$Q,"&gt;90",'Data Additive'!$Q:$Q,"&lt;=120")</f>
        <v>0</v>
      </c>
      <c r="K97" s="19">
        <f>SUMIFS('Data Additive'!$D:$D,'Data Additive'!$P:$P,'Painel Additive'!#REF!,'Data Additive'!$Q:$Q,"&gt;120",'Data Additive'!$Q:$Q,"&lt;=180")</f>
        <v>0</v>
      </c>
      <c r="L97" s="19">
        <f>SUMIFS('Data Additive'!$D:$D,'Data Additive'!$P:$P,'Painel Additive'!#REF!,'Data Additive'!$Q:$Q,"&gt;180",'Data Additive'!$Q:$Q,"&lt;=360")</f>
        <v>0</v>
      </c>
      <c r="M97" s="23">
        <f>SUMIFS('Data Additive'!$D:$D,'Data Additive'!$P:$P,'Painel Additive'!#REF!,'Data Additive'!$Q:$Q,"&gt;360")</f>
        <v>0</v>
      </c>
      <c r="N97" s="19">
        <f>SUMIFS('Data Additive'!$D:$D,'Data Additive'!$P:$P,'Painel Additive'!#REF!,'Data Additive'!$Q:$Q,"&gt;0")</f>
        <v>0</v>
      </c>
      <c r="O97" s="19">
        <f t="shared" si="12"/>
        <v>0</v>
      </c>
      <c r="P97" s="19">
        <f>SUMIFS('Data Additive'!$D:$D,'Data Additive'!$P:$P,'Painel Additive'!#REF!,'Data Additive'!$Q:$Q,"&lt;=0",'Data Additive'!$Q:$Q,"&gt;=-30")</f>
        <v>0</v>
      </c>
      <c r="Q97" s="19">
        <f>SUMIFS('Data Additive'!$D:$D,'Data Additive'!$P:$P,'Painel Additive'!#REF!,'Data Additive'!$Q:$Q,"&lt;=-31",'Data Additive'!$Q:$Q,"&gt;=-60")</f>
        <v>0</v>
      </c>
      <c r="R97" s="19">
        <f>SUMIFS('Data Additive'!$D:$D,'Data Additive'!$P:$P,'Painel Additive'!#REF!,'Data Additive'!$Q:$Q,"&lt;=-61",'Data Additive'!$Q:$Q,"&gt;=-90")</f>
        <v>0</v>
      </c>
      <c r="S97" s="19">
        <f>SUMIFS('Data Additive'!$D:$D,'Data Additive'!$P:$P,'Painel Additive'!#REF!,'Data Additive'!$Q:$Q,"&lt;=-91",'Data Additive'!$Q:$Q,"&gt;=-120")</f>
        <v>0</v>
      </c>
      <c r="T97" s="19">
        <f>SUMIFS('Data Additive'!$D:$D,'Data Additive'!$P:$P,'Painel Additive'!#REF!,'Data Additive'!$Q:$Q,"&lt;=-121",'Data Additive'!$Q:$Q,"&gt;=-180")</f>
        <v>0</v>
      </c>
      <c r="U97" s="19">
        <f>SUMIFS('Data Additive'!$D:$D,'Data Additive'!$P:$P,'Painel Additive'!#REF!,'Data Additive'!$Q:$Q,"&lt;=-181",'Data Additive'!$Q:$Q,"&gt;=-360")</f>
        <v>0</v>
      </c>
      <c r="V97" s="23">
        <f>SUMIFS('Data Additive'!$D:$D,'Data Additive'!$P:$P,'Painel Additive'!#REF!,'Data Additive'!$Q:$Q,"&lt;-360")</f>
        <v>0</v>
      </c>
      <c r="W97" s="19" t="e">
        <f>SUMIFS('Bad Debt Provision'!#REF!,'Bad Debt Provision'!#REF!,'Painel Additive'!#REF!)</f>
        <v>#REF!</v>
      </c>
      <c r="X97" s="5"/>
      <c r="Y97" s="20"/>
      <c r="Z97" s="20"/>
      <c r="AA97" s="21"/>
      <c r="AB97" s="5"/>
      <c r="AC97" s="19"/>
      <c r="AD97" s="20"/>
      <c r="AE97" s="22"/>
      <c r="AF97" s="22"/>
      <c r="AG97" s="5"/>
      <c r="AH97" s="28">
        <f t="shared" si="13"/>
        <v>0</v>
      </c>
      <c r="AI97" s="5"/>
    </row>
    <row r="98" spans="2:35" x14ac:dyDescent="0.25">
      <c r="B98" s="17" t="s">
        <v>106</v>
      </c>
      <c r="C98" s="93" t="str" cm="1">
        <f t="array" ref="C98">IFERROR(INDEX('Limite de crédito'!$D:$D, MATCH(MAX(IF('Limite de crédito'!$C:$C=$B98, 'Limite de crédito'!$A:$A)), 'Limite de crédito'!$A:$A, 0)),"")</f>
        <v/>
      </c>
      <c r="D98" s="18" cm="1">
        <f t="array" ref="D98">IFERROR(INDEX('Limite de crédito'!$F:$F, MATCH(MAX(IF('Limite de crédito'!$C:$C=$B98, 'Limite de crédito'!$A:$A)), 'Limite de crédito'!$A:$A, 0)),0)</f>
        <v>0</v>
      </c>
      <c r="E98" s="18">
        <f t="shared" si="10"/>
        <v>0</v>
      </c>
      <c r="F98" s="18">
        <f t="shared" si="11"/>
        <v>0</v>
      </c>
      <c r="G98" s="19">
        <f>SUMIFS('Data Additive'!$D:$D,'Data Additive'!$P:$P,'Painel Additive'!#REF!,'Data Additive'!$Q:$Q,"&gt;0",'Data Additive'!$Q:$Q,"&lt;=30")</f>
        <v>0</v>
      </c>
      <c r="H98" s="19">
        <f>SUMIFS('Data Additive'!$D:$D,'Data Additive'!$P:$P,'Painel Additive'!#REF!,'Data Additive'!$Q:$Q,"&gt;30",'Data Additive'!$Q:$Q,"&lt;=60")</f>
        <v>0</v>
      </c>
      <c r="I98" s="19">
        <f>SUMIFS('Data Additive'!$D:$D,'Data Additive'!$P:$P,'Painel Additive'!#REF!,'Data Additive'!$Q:$Q,"&gt;60",'Data Additive'!$Q:$Q,"&lt;=90")</f>
        <v>0</v>
      </c>
      <c r="J98" s="19">
        <f>SUMIFS('Data Additive'!$D:$D,'Data Additive'!$P:$P,'Painel Additive'!#REF!,'Data Additive'!$Q:$Q,"&gt;90",'Data Additive'!$Q:$Q,"&lt;=120")</f>
        <v>0</v>
      </c>
      <c r="K98" s="19">
        <f>SUMIFS('Data Additive'!$D:$D,'Data Additive'!$P:$P,'Painel Additive'!#REF!,'Data Additive'!$Q:$Q,"&gt;120",'Data Additive'!$Q:$Q,"&lt;=180")</f>
        <v>0</v>
      </c>
      <c r="L98" s="19">
        <f>SUMIFS('Data Additive'!$D:$D,'Data Additive'!$P:$P,'Painel Additive'!#REF!,'Data Additive'!$Q:$Q,"&gt;180",'Data Additive'!$Q:$Q,"&lt;=360")</f>
        <v>0</v>
      </c>
      <c r="M98" s="23">
        <f>SUMIFS('Data Additive'!$D:$D,'Data Additive'!$P:$P,'Painel Additive'!#REF!,'Data Additive'!$Q:$Q,"&gt;360")</f>
        <v>0</v>
      </c>
      <c r="N98" s="19">
        <f>SUMIFS('Data Additive'!$D:$D,'Data Additive'!$P:$P,'Painel Additive'!#REF!,'Data Additive'!$Q:$Q,"&gt;0")</f>
        <v>0</v>
      </c>
      <c r="O98" s="19">
        <f t="shared" si="12"/>
        <v>0</v>
      </c>
      <c r="P98" s="19">
        <f>SUMIFS('Data Additive'!$D:$D,'Data Additive'!$P:$P,'Painel Additive'!#REF!,'Data Additive'!$Q:$Q,"&lt;=0",'Data Additive'!$Q:$Q,"&gt;=-30")</f>
        <v>0</v>
      </c>
      <c r="Q98" s="19">
        <f>SUMIFS('Data Additive'!$D:$D,'Data Additive'!$P:$P,'Painel Additive'!#REF!,'Data Additive'!$Q:$Q,"&lt;=-31",'Data Additive'!$Q:$Q,"&gt;=-60")</f>
        <v>0</v>
      </c>
      <c r="R98" s="19">
        <f>SUMIFS('Data Additive'!$D:$D,'Data Additive'!$P:$P,'Painel Additive'!#REF!,'Data Additive'!$Q:$Q,"&lt;=-61",'Data Additive'!$Q:$Q,"&gt;=-90")</f>
        <v>0</v>
      </c>
      <c r="S98" s="19">
        <f>SUMIFS('Data Additive'!$D:$D,'Data Additive'!$P:$P,'Painel Additive'!#REF!,'Data Additive'!$Q:$Q,"&lt;=-91",'Data Additive'!$Q:$Q,"&gt;=-120")</f>
        <v>0</v>
      </c>
      <c r="T98" s="19">
        <f>SUMIFS('Data Additive'!$D:$D,'Data Additive'!$P:$P,'Painel Additive'!#REF!,'Data Additive'!$Q:$Q,"&lt;=-121",'Data Additive'!$Q:$Q,"&gt;=-180")</f>
        <v>0</v>
      </c>
      <c r="U98" s="19">
        <f>SUMIFS('Data Additive'!$D:$D,'Data Additive'!$P:$P,'Painel Additive'!#REF!,'Data Additive'!$Q:$Q,"&lt;=-181",'Data Additive'!$Q:$Q,"&gt;=-360")</f>
        <v>0</v>
      </c>
      <c r="V98" s="23">
        <f>SUMIFS('Data Additive'!$D:$D,'Data Additive'!$P:$P,'Painel Additive'!#REF!,'Data Additive'!$Q:$Q,"&lt;-360")</f>
        <v>0</v>
      </c>
      <c r="W98" s="19" t="e">
        <f>SUMIFS('Bad Debt Provision'!#REF!,'Bad Debt Provision'!#REF!,'Painel Additive'!#REF!)</f>
        <v>#REF!</v>
      </c>
      <c r="X98" s="5"/>
      <c r="Y98" s="20"/>
      <c r="Z98" s="20"/>
      <c r="AA98" s="21"/>
      <c r="AB98" s="5"/>
      <c r="AC98" s="19"/>
      <c r="AD98" s="20"/>
      <c r="AE98" s="22"/>
      <c r="AF98" s="22"/>
      <c r="AG98" s="5"/>
      <c r="AH98" s="28">
        <f t="shared" si="13"/>
        <v>0</v>
      </c>
      <c r="AI98" s="5"/>
    </row>
    <row r="99" spans="2:35" x14ac:dyDescent="0.25">
      <c r="B99" s="17" t="s">
        <v>107</v>
      </c>
      <c r="C99" s="93" t="str" cm="1">
        <f t="array" ref="C99">IFERROR(INDEX('Limite de crédito'!$D:$D, MATCH(MAX(IF('Limite de crédito'!$C:$C=$B99, 'Limite de crédito'!$A:$A)), 'Limite de crédito'!$A:$A, 0)),"")</f>
        <v/>
      </c>
      <c r="D99" s="18" cm="1">
        <f t="array" ref="D99">IFERROR(INDEX('Limite de crédito'!$F:$F, MATCH(MAX(IF('Limite de crédito'!$C:$C=$B99, 'Limite de crédito'!$A:$A)), 'Limite de crédito'!$A:$A, 0)),0)</f>
        <v>0</v>
      </c>
      <c r="E99" s="18">
        <f t="shared" si="10"/>
        <v>0</v>
      </c>
      <c r="F99" s="18">
        <f t="shared" si="11"/>
        <v>0</v>
      </c>
      <c r="G99" s="19">
        <f>SUMIFS('Data Additive'!$D:$D,'Data Additive'!$P:$P,'Painel Additive'!#REF!,'Data Additive'!$Q:$Q,"&gt;0",'Data Additive'!$Q:$Q,"&lt;=30")</f>
        <v>0</v>
      </c>
      <c r="H99" s="19">
        <f>SUMIFS('Data Additive'!$D:$D,'Data Additive'!$P:$P,'Painel Additive'!#REF!,'Data Additive'!$Q:$Q,"&gt;30",'Data Additive'!$Q:$Q,"&lt;=60")</f>
        <v>0</v>
      </c>
      <c r="I99" s="19">
        <f>SUMIFS('Data Additive'!$D:$D,'Data Additive'!$P:$P,'Painel Additive'!#REF!,'Data Additive'!$Q:$Q,"&gt;60",'Data Additive'!$Q:$Q,"&lt;=90")</f>
        <v>0</v>
      </c>
      <c r="J99" s="19">
        <f>SUMIFS('Data Additive'!$D:$D,'Data Additive'!$P:$P,'Painel Additive'!#REF!,'Data Additive'!$Q:$Q,"&gt;90",'Data Additive'!$Q:$Q,"&lt;=120")</f>
        <v>0</v>
      </c>
      <c r="K99" s="19">
        <f>SUMIFS('Data Additive'!$D:$D,'Data Additive'!$P:$P,'Painel Additive'!#REF!,'Data Additive'!$Q:$Q,"&gt;120",'Data Additive'!$Q:$Q,"&lt;=180")</f>
        <v>0</v>
      </c>
      <c r="L99" s="19">
        <f>SUMIFS('Data Additive'!$D:$D,'Data Additive'!$P:$P,'Painel Additive'!#REF!,'Data Additive'!$Q:$Q,"&gt;180",'Data Additive'!$Q:$Q,"&lt;=360")</f>
        <v>0</v>
      </c>
      <c r="M99" s="23">
        <f>SUMIFS('Data Additive'!$D:$D,'Data Additive'!$P:$P,'Painel Additive'!#REF!,'Data Additive'!$Q:$Q,"&gt;360")</f>
        <v>0</v>
      </c>
      <c r="N99" s="19">
        <f>SUMIFS('Data Additive'!$D:$D,'Data Additive'!$P:$P,'Painel Additive'!#REF!,'Data Additive'!$Q:$Q,"&gt;0")</f>
        <v>0</v>
      </c>
      <c r="O99" s="19">
        <f t="shared" si="12"/>
        <v>0</v>
      </c>
      <c r="P99" s="19">
        <f>SUMIFS('Data Additive'!$D:$D,'Data Additive'!$P:$P,'Painel Additive'!#REF!,'Data Additive'!$Q:$Q,"&lt;=0",'Data Additive'!$Q:$Q,"&gt;=-30")</f>
        <v>0</v>
      </c>
      <c r="Q99" s="19">
        <f>SUMIFS('Data Additive'!$D:$D,'Data Additive'!$P:$P,'Painel Additive'!#REF!,'Data Additive'!$Q:$Q,"&lt;=-31",'Data Additive'!$Q:$Q,"&gt;=-60")</f>
        <v>0</v>
      </c>
      <c r="R99" s="19">
        <f>SUMIFS('Data Additive'!$D:$D,'Data Additive'!$P:$P,'Painel Additive'!#REF!,'Data Additive'!$Q:$Q,"&lt;=-61",'Data Additive'!$Q:$Q,"&gt;=-90")</f>
        <v>0</v>
      </c>
      <c r="S99" s="19">
        <f>SUMIFS('Data Additive'!$D:$D,'Data Additive'!$P:$P,'Painel Additive'!#REF!,'Data Additive'!$Q:$Q,"&lt;=-91",'Data Additive'!$Q:$Q,"&gt;=-120")</f>
        <v>0</v>
      </c>
      <c r="T99" s="19">
        <f>SUMIFS('Data Additive'!$D:$D,'Data Additive'!$P:$P,'Painel Additive'!#REF!,'Data Additive'!$Q:$Q,"&lt;=-121",'Data Additive'!$Q:$Q,"&gt;=-180")</f>
        <v>0</v>
      </c>
      <c r="U99" s="19">
        <f>SUMIFS('Data Additive'!$D:$D,'Data Additive'!$P:$P,'Painel Additive'!#REF!,'Data Additive'!$Q:$Q,"&lt;=-181",'Data Additive'!$Q:$Q,"&gt;=-360")</f>
        <v>0</v>
      </c>
      <c r="V99" s="23">
        <f>SUMIFS('Data Additive'!$D:$D,'Data Additive'!$P:$P,'Painel Additive'!#REF!,'Data Additive'!$Q:$Q,"&lt;-360")</f>
        <v>0</v>
      </c>
      <c r="W99" s="19" t="e">
        <f>SUMIFS('Bad Debt Provision'!#REF!,'Bad Debt Provision'!#REF!,'Painel Additive'!#REF!)</f>
        <v>#REF!</v>
      </c>
      <c r="X99" s="5"/>
      <c r="Y99" s="20"/>
      <c r="Z99" s="20"/>
      <c r="AA99" s="21"/>
      <c r="AB99" s="5"/>
      <c r="AC99" s="19"/>
      <c r="AD99" s="20"/>
      <c r="AE99" s="22"/>
      <c r="AF99" s="22"/>
      <c r="AG99" s="5"/>
      <c r="AH99" s="28">
        <f t="shared" si="13"/>
        <v>0</v>
      </c>
      <c r="AI99" s="5"/>
    </row>
    <row r="100" spans="2:35" x14ac:dyDescent="0.25">
      <c r="B100" s="17" t="s">
        <v>108</v>
      </c>
      <c r="C100" s="93" t="str" cm="1">
        <f t="array" ref="C100">IFERROR(INDEX('Limite de crédito'!$D:$D, MATCH(MAX(IF('Limite de crédito'!$C:$C=$B100, 'Limite de crédito'!$A:$A)), 'Limite de crédito'!$A:$A, 0)),"")</f>
        <v/>
      </c>
      <c r="D100" s="18" cm="1">
        <f t="array" ref="D100">IFERROR(INDEX('Limite de crédito'!$F:$F, MATCH(MAX(IF('Limite de crédito'!$C:$C=$B100, 'Limite de crédito'!$A:$A)), 'Limite de crédito'!$A:$A, 0)),0)</f>
        <v>0</v>
      </c>
      <c r="E100" s="18">
        <f t="shared" ref="E100:E131" si="14">D100-F100</f>
        <v>0</v>
      </c>
      <c r="F100" s="18">
        <f t="shared" ref="F100:F131" si="15">O100+N100</f>
        <v>0</v>
      </c>
      <c r="G100" s="19">
        <f>SUMIFS('Data Additive'!$D:$D,'Data Additive'!$P:$P,'Painel Additive'!#REF!,'Data Additive'!$Q:$Q,"&gt;0",'Data Additive'!$Q:$Q,"&lt;=30")</f>
        <v>0</v>
      </c>
      <c r="H100" s="19">
        <f>SUMIFS('Data Additive'!$D:$D,'Data Additive'!$P:$P,'Painel Additive'!#REF!,'Data Additive'!$Q:$Q,"&gt;30",'Data Additive'!$Q:$Q,"&lt;=60")</f>
        <v>0</v>
      </c>
      <c r="I100" s="19">
        <f>SUMIFS('Data Additive'!$D:$D,'Data Additive'!$P:$P,'Painel Additive'!#REF!,'Data Additive'!$Q:$Q,"&gt;60",'Data Additive'!$Q:$Q,"&lt;=90")</f>
        <v>0</v>
      </c>
      <c r="J100" s="19">
        <f>SUMIFS('Data Additive'!$D:$D,'Data Additive'!$P:$P,'Painel Additive'!#REF!,'Data Additive'!$Q:$Q,"&gt;90",'Data Additive'!$Q:$Q,"&lt;=120")</f>
        <v>0</v>
      </c>
      <c r="K100" s="19">
        <f>SUMIFS('Data Additive'!$D:$D,'Data Additive'!$P:$P,'Painel Additive'!#REF!,'Data Additive'!$Q:$Q,"&gt;120",'Data Additive'!$Q:$Q,"&lt;=180")</f>
        <v>0</v>
      </c>
      <c r="L100" s="19">
        <f>SUMIFS('Data Additive'!$D:$D,'Data Additive'!$P:$P,'Painel Additive'!#REF!,'Data Additive'!$Q:$Q,"&gt;180",'Data Additive'!$Q:$Q,"&lt;=360")</f>
        <v>0</v>
      </c>
      <c r="M100" s="23">
        <f>SUMIFS('Data Additive'!$D:$D,'Data Additive'!$P:$P,'Painel Additive'!#REF!,'Data Additive'!$Q:$Q,"&gt;360")</f>
        <v>0</v>
      </c>
      <c r="N100" s="19">
        <f>SUMIFS('Data Additive'!$D:$D,'Data Additive'!$P:$P,'Painel Additive'!#REF!,'Data Additive'!$Q:$Q,"&gt;0")</f>
        <v>0</v>
      </c>
      <c r="O100" s="19">
        <f t="shared" ref="O100:O131" si="16">SUBTOTAL(9,P100:V100)</f>
        <v>0</v>
      </c>
      <c r="P100" s="19">
        <f>SUMIFS('Data Additive'!$D:$D,'Data Additive'!$P:$P,'Painel Additive'!#REF!,'Data Additive'!$Q:$Q,"&lt;=0",'Data Additive'!$Q:$Q,"&gt;=-30")</f>
        <v>0</v>
      </c>
      <c r="Q100" s="19">
        <f>SUMIFS('Data Additive'!$D:$D,'Data Additive'!$P:$P,'Painel Additive'!#REF!,'Data Additive'!$Q:$Q,"&lt;=-31",'Data Additive'!$Q:$Q,"&gt;=-60")</f>
        <v>0</v>
      </c>
      <c r="R100" s="19">
        <f>SUMIFS('Data Additive'!$D:$D,'Data Additive'!$P:$P,'Painel Additive'!#REF!,'Data Additive'!$Q:$Q,"&lt;=-61",'Data Additive'!$Q:$Q,"&gt;=-90")</f>
        <v>0</v>
      </c>
      <c r="S100" s="19">
        <f>SUMIFS('Data Additive'!$D:$D,'Data Additive'!$P:$P,'Painel Additive'!#REF!,'Data Additive'!$Q:$Q,"&lt;=-91",'Data Additive'!$Q:$Q,"&gt;=-120")</f>
        <v>0</v>
      </c>
      <c r="T100" s="19">
        <f>SUMIFS('Data Additive'!$D:$D,'Data Additive'!$P:$P,'Painel Additive'!#REF!,'Data Additive'!$Q:$Q,"&lt;=-121",'Data Additive'!$Q:$Q,"&gt;=-180")</f>
        <v>0</v>
      </c>
      <c r="U100" s="19">
        <f>SUMIFS('Data Additive'!$D:$D,'Data Additive'!$P:$P,'Painel Additive'!#REF!,'Data Additive'!$Q:$Q,"&lt;=-181",'Data Additive'!$Q:$Q,"&gt;=-360")</f>
        <v>0</v>
      </c>
      <c r="V100" s="23">
        <f>SUMIFS('Data Additive'!$D:$D,'Data Additive'!$P:$P,'Painel Additive'!#REF!,'Data Additive'!$Q:$Q,"&lt;-360")</f>
        <v>0</v>
      </c>
      <c r="W100" s="19" t="e">
        <f>SUMIFS('Bad Debt Provision'!#REF!,'Bad Debt Provision'!#REF!,'Painel Additive'!#REF!)</f>
        <v>#REF!</v>
      </c>
      <c r="X100" s="5"/>
      <c r="Y100" s="20"/>
      <c r="Z100" s="20"/>
      <c r="AA100" s="21"/>
      <c r="AB100" s="5"/>
      <c r="AC100" s="19"/>
      <c r="AD100" s="20"/>
      <c r="AE100" s="22"/>
      <c r="AF100" s="22"/>
      <c r="AG100" s="5"/>
      <c r="AH100" s="28">
        <f t="shared" ref="AH100:AH131" si="17">AC100-F100</f>
        <v>0</v>
      </c>
      <c r="AI100" s="5"/>
    </row>
    <row r="101" spans="2:35" x14ac:dyDescent="0.25">
      <c r="B101" s="17" t="s">
        <v>131</v>
      </c>
      <c r="C101" s="93" t="str" cm="1">
        <f t="array" ref="C101">IFERROR(INDEX('Limite de crédito'!$D:$D, MATCH(MAX(IF('Limite de crédito'!$C:$C=$B101, 'Limite de crédito'!$A:$A)), 'Limite de crédito'!$A:$A, 0)),"")</f>
        <v/>
      </c>
      <c r="D101" s="18" cm="1">
        <f t="array" ref="D101">IFERROR(INDEX('Limite de crédito'!$F:$F, MATCH(MAX(IF('Limite de crédito'!$C:$C=$B101, 'Limite de crédito'!$A:$A)), 'Limite de crédito'!$A:$A, 0)),0)</f>
        <v>0</v>
      </c>
      <c r="E101" s="18">
        <f t="shared" si="14"/>
        <v>0</v>
      </c>
      <c r="F101" s="18">
        <f t="shared" si="15"/>
        <v>0</v>
      </c>
      <c r="G101" s="19">
        <f>SUMIFS('Data Additive'!$D:$D,'Data Additive'!$P:$P,'Painel Additive'!#REF!,'Data Additive'!$Q:$Q,"&gt;0",'Data Additive'!$Q:$Q,"&lt;=30")</f>
        <v>0</v>
      </c>
      <c r="H101" s="19">
        <f>SUMIFS('Data Additive'!$D:$D,'Data Additive'!$P:$P,'Painel Additive'!#REF!,'Data Additive'!$Q:$Q,"&gt;30",'Data Additive'!$Q:$Q,"&lt;=60")</f>
        <v>0</v>
      </c>
      <c r="I101" s="19">
        <f>SUMIFS('Data Additive'!$D:$D,'Data Additive'!$P:$P,'Painel Additive'!#REF!,'Data Additive'!$Q:$Q,"&gt;60",'Data Additive'!$Q:$Q,"&lt;=90")</f>
        <v>0</v>
      </c>
      <c r="J101" s="19">
        <f>SUMIFS('Data Additive'!$D:$D,'Data Additive'!$P:$P,'Painel Additive'!#REF!,'Data Additive'!$Q:$Q,"&gt;90",'Data Additive'!$Q:$Q,"&lt;=120")</f>
        <v>0</v>
      </c>
      <c r="K101" s="19">
        <f>SUMIFS('Data Additive'!$D:$D,'Data Additive'!$P:$P,'Painel Additive'!#REF!,'Data Additive'!$Q:$Q,"&gt;120",'Data Additive'!$Q:$Q,"&lt;=180")</f>
        <v>0</v>
      </c>
      <c r="L101" s="19">
        <f>SUMIFS('Data Additive'!$D:$D,'Data Additive'!$P:$P,'Painel Additive'!#REF!,'Data Additive'!$Q:$Q,"&gt;180",'Data Additive'!$Q:$Q,"&lt;=360")</f>
        <v>0</v>
      </c>
      <c r="M101" s="23">
        <f>SUMIFS('Data Additive'!$D:$D,'Data Additive'!$P:$P,'Painel Additive'!#REF!,'Data Additive'!$Q:$Q,"&gt;360")</f>
        <v>0</v>
      </c>
      <c r="N101" s="19">
        <f>SUMIFS('Data Additive'!$D:$D,'Data Additive'!$P:$P,'Painel Additive'!#REF!,'Data Additive'!$Q:$Q,"&gt;0")</f>
        <v>0</v>
      </c>
      <c r="O101" s="19">
        <f t="shared" si="16"/>
        <v>0</v>
      </c>
      <c r="P101" s="19">
        <f>SUMIFS('Data Additive'!$D:$D,'Data Additive'!$P:$P,'Painel Additive'!#REF!,'Data Additive'!$Q:$Q,"&lt;=0",'Data Additive'!$Q:$Q,"&gt;=-30")</f>
        <v>0</v>
      </c>
      <c r="Q101" s="19">
        <f>SUMIFS('Data Additive'!$D:$D,'Data Additive'!$P:$P,'Painel Additive'!#REF!,'Data Additive'!$Q:$Q,"&lt;=-31",'Data Additive'!$Q:$Q,"&gt;=-60")</f>
        <v>0</v>
      </c>
      <c r="R101" s="19">
        <f>SUMIFS('Data Additive'!$D:$D,'Data Additive'!$P:$P,'Painel Additive'!#REF!,'Data Additive'!$Q:$Q,"&lt;=-61",'Data Additive'!$Q:$Q,"&gt;=-90")</f>
        <v>0</v>
      </c>
      <c r="S101" s="19">
        <f>SUMIFS('Data Additive'!$D:$D,'Data Additive'!$P:$P,'Painel Additive'!#REF!,'Data Additive'!$Q:$Q,"&lt;=-91",'Data Additive'!$Q:$Q,"&gt;=-120")</f>
        <v>0</v>
      </c>
      <c r="T101" s="19">
        <f>SUMIFS('Data Additive'!$D:$D,'Data Additive'!$P:$P,'Painel Additive'!#REF!,'Data Additive'!$Q:$Q,"&lt;=-121",'Data Additive'!$Q:$Q,"&gt;=-180")</f>
        <v>0</v>
      </c>
      <c r="U101" s="19">
        <f>SUMIFS('Data Additive'!$D:$D,'Data Additive'!$P:$P,'Painel Additive'!#REF!,'Data Additive'!$Q:$Q,"&lt;=-181",'Data Additive'!$Q:$Q,"&gt;=-360")</f>
        <v>0</v>
      </c>
      <c r="V101" s="23">
        <f>SUMIFS('Data Additive'!$D:$D,'Data Additive'!$P:$P,'Painel Additive'!#REF!,'Data Additive'!$Q:$Q,"&lt;-360")</f>
        <v>0</v>
      </c>
      <c r="W101" s="19" t="e">
        <f>SUMIFS('Bad Debt Provision'!#REF!,'Bad Debt Provision'!#REF!,'Painel Additive'!#REF!)</f>
        <v>#REF!</v>
      </c>
      <c r="X101" s="5"/>
      <c r="Y101" s="20"/>
      <c r="Z101" s="20"/>
      <c r="AA101" s="21"/>
      <c r="AB101" s="5"/>
      <c r="AC101" s="19"/>
      <c r="AD101" s="20"/>
      <c r="AE101" s="22"/>
      <c r="AF101" s="22"/>
      <c r="AG101" s="5"/>
      <c r="AH101" s="28">
        <f t="shared" si="17"/>
        <v>0</v>
      </c>
      <c r="AI101" s="5"/>
    </row>
    <row r="102" spans="2:35" x14ac:dyDescent="0.25">
      <c r="B102" s="17" t="s">
        <v>188</v>
      </c>
      <c r="C102" s="93" t="str" cm="1">
        <f t="array" ref="C102">IFERROR(INDEX('Limite de crédito'!$D:$D, MATCH(MAX(IF('Limite de crédito'!$C:$C=$B102, 'Limite de crédito'!$A:$A)), 'Limite de crédito'!$A:$A, 0)),"")</f>
        <v/>
      </c>
      <c r="D102" s="18" cm="1">
        <f t="array" ref="D102">IFERROR(INDEX('Limite de crédito'!$F:$F, MATCH(MAX(IF('Limite de crédito'!$C:$C=$B102, 'Limite de crédito'!$A:$A)), 'Limite de crédito'!$A:$A, 0)),0)</f>
        <v>0</v>
      </c>
      <c r="E102" s="18">
        <f t="shared" si="14"/>
        <v>0</v>
      </c>
      <c r="F102" s="18">
        <f t="shared" si="15"/>
        <v>0</v>
      </c>
      <c r="G102" s="19">
        <f>SUMIFS('Data Additive'!$D:$D,'Data Additive'!$P:$P,'Painel Additive'!#REF!,'Data Additive'!$Q:$Q,"&gt;0",'Data Additive'!$Q:$Q,"&lt;=30")</f>
        <v>0</v>
      </c>
      <c r="H102" s="19">
        <f>SUMIFS('Data Additive'!$D:$D,'Data Additive'!$P:$P,'Painel Additive'!#REF!,'Data Additive'!$Q:$Q,"&gt;30",'Data Additive'!$Q:$Q,"&lt;=60")</f>
        <v>0</v>
      </c>
      <c r="I102" s="19">
        <f>SUMIFS('Data Additive'!$D:$D,'Data Additive'!$P:$P,'Painel Additive'!#REF!,'Data Additive'!$Q:$Q,"&gt;60",'Data Additive'!$Q:$Q,"&lt;=90")</f>
        <v>0</v>
      </c>
      <c r="J102" s="19">
        <f>SUMIFS('Data Additive'!$D:$D,'Data Additive'!$P:$P,'Painel Additive'!#REF!,'Data Additive'!$Q:$Q,"&gt;90",'Data Additive'!$Q:$Q,"&lt;=120")</f>
        <v>0</v>
      </c>
      <c r="K102" s="19">
        <f>SUMIFS('Data Additive'!$D:$D,'Data Additive'!$P:$P,'Painel Additive'!#REF!,'Data Additive'!$Q:$Q,"&gt;120",'Data Additive'!$Q:$Q,"&lt;=180")</f>
        <v>0</v>
      </c>
      <c r="L102" s="19">
        <f>SUMIFS('Data Additive'!$D:$D,'Data Additive'!$P:$P,'Painel Additive'!#REF!,'Data Additive'!$Q:$Q,"&gt;180",'Data Additive'!$Q:$Q,"&lt;=360")</f>
        <v>0</v>
      </c>
      <c r="M102" s="23">
        <f>SUMIFS('Data Additive'!$D:$D,'Data Additive'!$P:$P,'Painel Additive'!#REF!,'Data Additive'!$Q:$Q,"&gt;360")</f>
        <v>0</v>
      </c>
      <c r="N102" s="19">
        <f>SUMIFS('Data Additive'!$D:$D,'Data Additive'!$P:$P,'Painel Additive'!#REF!,'Data Additive'!$Q:$Q,"&gt;0")</f>
        <v>0</v>
      </c>
      <c r="O102" s="19">
        <f t="shared" si="16"/>
        <v>0</v>
      </c>
      <c r="P102" s="19">
        <f>SUMIFS('Data Additive'!$D:$D,'Data Additive'!$P:$P,'Painel Additive'!#REF!,'Data Additive'!$Q:$Q,"&lt;=0",'Data Additive'!$Q:$Q,"&gt;=-30")</f>
        <v>0</v>
      </c>
      <c r="Q102" s="19">
        <f>SUMIFS('Data Additive'!$D:$D,'Data Additive'!$P:$P,'Painel Additive'!#REF!,'Data Additive'!$Q:$Q,"&lt;=-31",'Data Additive'!$Q:$Q,"&gt;=-60")</f>
        <v>0</v>
      </c>
      <c r="R102" s="19">
        <f>SUMIFS('Data Additive'!$D:$D,'Data Additive'!$P:$P,'Painel Additive'!#REF!,'Data Additive'!$Q:$Q,"&lt;=-61",'Data Additive'!$Q:$Q,"&gt;=-90")</f>
        <v>0</v>
      </c>
      <c r="S102" s="19">
        <f>SUMIFS('Data Additive'!$D:$D,'Data Additive'!$P:$P,'Painel Additive'!#REF!,'Data Additive'!$Q:$Q,"&lt;=-91",'Data Additive'!$Q:$Q,"&gt;=-120")</f>
        <v>0</v>
      </c>
      <c r="T102" s="19">
        <f>SUMIFS('Data Additive'!$D:$D,'Data Additive'!$P:$P,'Painel Additive'!#REF!,'Data Additive'!$Q:$Q,"&lt;=-121",'Data Additive'!$Q:$Q,"&gt;=-180")</f>
        <v>0</v>
      </c>
      <c r="U102" s="19">
        <f>SUMIFS('Data Additive'!$D:$D,'Data Additive'!$P:$P,'Painel Additive'!#REF!,'Data Additive'!$Q:$Q,"&lt;=-181",'Data Additive'!$Q:$Q,"&gt;=-360")</f>
        <v>0</v>
      </c>
      <c r="V102" s="23">
        <f>SUMIFS('Data Additive'!$D:$D,'Data Additive'!$P:$P,'Painel Additive'!#REF!,'Data Additive'!$Q:$Q,"&lt;-360")</f>
        <v>0</v>
      </c>
      <c r="W102" s="19" t="e">
        <f>SUMIFS('Bad Debt Provision'!#REF!,'Bad Debt Provision'!#REF!,'Painel Additive'!#REF!)</f>
        <v>#REF!</v>
      </c>
      <c r="X102" s="5"/>
      <c r="Y102" s="20"/>
      <c r="Z102" s="20"/>
      <c r="AA102" s="21"/>
      <c r="AB102" s="5"/>
      <c r="AC102" s="19"/>
      <c r="AD102" s="20"/>
      <c r="AE102" s="22"/>
      <c r="AF102" s="22"/>
      <c r="AG102" s="5"/>
      <c r="AH102" s="28">
        <f t="shared" si="17"/>
        <v>0</v>
      </c>
      <c r="AI102" s="5"/>
    </row>
    <row r="103" spans="2:35" x14ac:dyDescent="0.25">
      <c r="B103" s="17" t="s">
        <v>147</v>
      </c>
      <c r="C103" s="93" t="str" cm="1">
        <f t="array" ref="C103">IFERROR(INDEX('Limite de crédito'!$D:$D, MATCH(MAX(IF('Limite de crédito'!$C:$C=$B103, 'Limite de crédito'!$A:$A)), 'Limite de crédito'!$A:$A, 0)),"")</f>
        <v/>
      </c>
      <c r="D103" s="18" cm="1">
        <f t="array" ref="D103">IFERROR(INDEX('Limite de crédito'!$F:$F, MATCH(MAX(IF('Limite de crédito'!$C:$C=$B103, 'Limite de crédito'!$A:$A)), 'Limite de crédito'!$A:$A, 0)),0)</f>
        <v>0</v>
      </c>
      <c r="E103" s="18">
        <f t="shared" si="14"/>
        <v>0</v>
      </c>
      <c r="F103" s="18">
        <f t="shared" si="15"/>
        <v>0</v>
      </c>
      <c r="G103" s="19">
        <f>SUMIFS('Data Additive'!$D:$D,'Data Additive'!$P:$P,'Painel Additive'!#REF!,'Data Additive'!$Q:$Q,"&gt;0",'Data Additive'!$Q:$Q,"&lt;=30")</f>
        <v>0</v>
      </c>
      <c r="H103" s="19">
        <f>SUMIFS('Data Additive'!$D:$D,'Data Additive'!$P:$P,'Painel Additive'!#REF!,'Data Additive'!$Q:$Q,"&gt;30",'Data Additive'!$Q:$Q,"&lt;=60")</f>
        <v>0</v>
      </c>
      <c r="I103" s="19">
        <f>SUMIFS('Data Additive'!$D:$D,'Data Additive'!$P:$P,'Painel Additive'!#REF!,'Data Additive'!$Q:$Q,"&gt;60",'Data Additive'!$Q:$Q,"&lt;=90")</f>
        <v>0</v>
      </c>
      <c r="J103" s="19">
        <f>SUMIFS('Data Additive'!$D:$D,'Data Additive'!$P:$P,'Painel Additive'!#REF!,'Data Additive'!$Q:$Q,"&gt;90",'Data Additive'!$Q:$Q,"&lt;=120")</f>
        <v>0</v>
      </c>
      <c r="K103" s="19">
        <f>SUMIFS('Data Additive'!$D:$D,'Data Additive'!$P:$P,'Painel Additive'!#REF!,'Data Additive'!$Q:$Q,"&gt;120",'Data Additive'!$Q:$Q,"&lt;=180")</f>
        <v>0</v>
      </c>
      <c r="L103" s="19">
        <f>SUMIFS('Data Additive'!$D:$D,'Data Additive'!$P:$P,'Painel Additive'!#REF!,'Data Additive'!$Q:$Q,"&gt;180",'Data Additive'!$Q:$Q,"&lt;=360")</f>
        <v>0</v>
      </c>
      <c r="M103" s="23">
        <f>SUMIFS('Data Additive'!$D:$D,'Data Additive'!$P:$P,'Painel Additive'!#REF!,'Data Additive'!$Q:$Q,"&gt;360")</f>
        <v>0</v>
      </c>
      <c r="N103" s="19">
        <f>SUMIFS('Data Additive'!$D:$D,'Data Additive'!$P:$P,'Painel Additive'!#REF!,'Data Additive'!$Q:$Q,"&gt;0")</f>
        <v>0</v>
      </c>
      <c r="O103" s="19">
        <f t="shared" si="16"/>
        <v>0</v>
      </c>
      <c r="P103" s="19">
        <f>SUMIFS('Data Additive'!$D:$D,'Data Additive'!$P:$P,'Painel Additive'!#REF!,'Data Additive'!$Q:$Q,"&lt;=0",'Data Additive'!$Q:$Q,"&gt;=-30")</f>
        <v>0</v>
      </c>
      <c r="Q103" s="19">
        <f>SUMIFS('Data Additive'!$D:$D,'Data Additive'!$P:$P,'Painel Additive'!#REF!,'Data Additive'!$Q:$Q,"&lt;=-31",'Data Additive'!$Q:$Q,"&gt;=-60")</f>
        <v>0</v>
      </c>
      <c r="R103" s="19">
        <f>SUMIFS('Data Additive'!$D:$D,'Data Additive'!$P:$P,'Painel Additive'!#REF!,'Data Additive'!$Q:$Q,"&lt;=-61",'Data Additive'!$Q:$Q,"&gt;=-90")</f>
        <v>0</v>
      </c>
      <c r="S103" s="19">
        <f>SUMIFS('Data Additive'!$D:$D,'Data Additive'!$P:$P,'Painel Additive'!#REF!,'Data Additive'!$Q:$Q,"&lt;=-91",'Data Additive'!$Q:$Q,"&gt;=-120")</f>
        <v>0</v>
      </c>
      <c r="T103" s="19">
        <f>SUMIFS('Data Additive'!$D:$D,'Data Additive'!$P:$P,'Painel Additive'!#REF!,'Data Additive'!$Q:$Q,"&lt;=-121",'Data Additive'!$Q:$Q,"&gt;=-180")</f>
        <v>0</v>
      </c>
      <c r="U103" s="19">
        <f>SUMIFS('Data Additive'!$D:$D,'Data Additive'!$P:$P,'Painel Additive'!#REF!,'Data Additive'!$Q:$Q,"&lt;=-181",'Data Additive'!$Q:$Q,"&gt;=-360")</f>
        <v>0</v>
      </c>
      <c r="V103" s="23">
        <f>SUMIFS('Data Additive'!$D:$D,'Data Additive'!$P:$P,'Painel Additive'!#REF!,'Data Additive'!$Q:$Q,"&lt;-360")</f>
        <v>0</v>
      </c>
      <c r="W103" s="19" t="e">
        <f>SUMIFS('Bad Debt Provision'!#REF!,'Bad Debt Provision'!#REF!,'Painel Additive'!#REF!)</f>
        <v>#REF!</v>
      </c>
      <c r="X103" s="5"/>
      <c r="Y103" s="20"/>
      <c r="Z103" s="20"/>
      <c r="AA103" s="21"/>
      <c r="AB103" s="5"/>
      <c r="AC103" s="19"/>
      <c r="AD103" s="20"/>
      <c r="AE103" s="22"/>
      <c r="AF103" s="22"/>
      <c r="AG103" s="5"/>
      <c r="AH103" s="28">
        <f t="shared" si="17"/>
        <v>0</v>
      </c>
      <c r="AI103" s="5"/>
    </row>
    <row r="104" spans="2:35" x14ac:dyDescent="0.25">
      <c r="B104" s="17" t="s">
        <v>115</v>
      </c>
      <c r="C104" s="93" t="str" cm="1">
        <f t="array" ref="C104">IFERROR(INDEX('Limite de crédito'!$D:$D, MATCH(MAX(IF('Limite de crédito'!$C:$C=$B104, 'Limite de crédito'!$A:$A)), 'Limite de crédito'!$A:$A, 0)),"")</f>
        <v/>
      </c>
      <c r="D104" s="18" cm="1">
        <f t="array" ref="D104">IFERROR(INDEX('Limite de crédito'!$F:$F, MATCH(MAX(IF('Limite de crédito'!$C:$C=$B104, 'Limite de crédito'!$A:$A)), 'Limite de crédito'!$A:$A, 0)),0)</f>
        <v>0</v>
      </c>
      <c r="E104" s="18">
        <f t="shared" si="14"/>
        <v>0</v>
      </c>
      <c r="F104" s="18">
        <f t="shared" si="15"/>
        <v>0</v>
      </c>
      <c r="G104" s="19">
        <f>SUMIFS('Data Additive'!$D:$D,'Data Additive'!$P:$P,'Painel Additive'!#REF!,'Data Additive'!$Q:$Q,"&gt;0",'Data Additive'!$Q:$Q,"&lt;=30")</f>
        <v>0</v>
      </c>
      <c r="H104" s="19">
        <f>SUMIFS('Data Additive'!$D:$D,'Data Additive'!$P:$P,'Painel Additive'!#REF!,'Data Additive'!$Q:$Q,"&gt;30",'Data Additive'!$Q:$Q,"&lt;=60")</f>
        <v>0</v>
      </c>
      <c r="I104" s="19">
        <f>SUMIFS('Data Additive'!$D:$D,'Data Additive'!$P:$P,'Painel Additive'!#REF!,'Data Additive'!$Q:$Q,"&gt;60",'Data Additive'!$Q:$Q,"&lt;=90")</f>
        <v>0</v>
      </c>
      <c r="J104" s="19">
        <f>SUMIFS('Data Additive'!$D:$D,'Data Additive'!$P:$P,'Painel Additive'!#REF!,'Data Additive'!$Q:$Q,"&gt;90",'Data Additive'!$Q:$Q,"&lt;=120")</f>
        <v>0</v>
      </c>
      <c r="K104" s="19">
        <f>SUMIFS('Data Additive'!$D:$D,'Data Additive'!$P:$P,'Painel Additive'!#REF!,'Data Additive'!$Q:$Q,"&gt;120",'Data Additive'!$Q:$Q,"&lt;=180")</f>
        <v>0</v>
      </c>
      <c r="L104" s="19">
        <f>SUMIFS('Data Additive'!$D:$D,'Data Additive'!$P:$P,'Painel Additive'!#REF!,'Data Additive'!$Q:$Q,"&gt;180",'Data Additive'!$Q:$Q,"&lt;=360")</f>
        <v>0</v>
      </c>
      <c r="M104" s="23">
        <f>SUMIFS('Data Additive'!$D:$D,'Data Additive'!$P:$P,'Painel Additive'!#REF!,'Data Additive'!$Q:$Q,"&gt;360")</f>
        <v>0</v>
      </c>
      <c r="N104" s="19">
        <f>SUMIFS('Data Additive'!$D:$D,'Data Additive'!$P:$P,'Painel Additive'!#REF!,'Data Additive'!$Q:$Q,"&gt;0")</f>
        <v>0</v>
      </c>
      <c r="O104" s="19">
        <f t="shared" si="16"/>
        <v>0</v>
      </c>
      <c r="P104" s="19">
        <f>SUMIFS('Data Additive'!$D:$D,'Data Additive'!$P:$P,'Painel Additive'!#REF!,'Data Additive'!$Q:$Q,"&lt;=0",'Data Additive'!$Q:$Q,"&gt;=-30")</f>
        <v>0</v>
      </c>
      <c r="Q104" s="19">
        <f>SUMIFS('Data Additive'!$D:$D,'Data Additive'!$P:$P,'Painel Additive'!#REF!,'Data Additive'!$Q:$Q,"&lt;=-31",'Data Additive'!$Q:$Q,"&gt;=-60")</f>
        <v>0</v>
      </c>
      <c r="R104" s="19">
        <f>SUMIFS('Data Additive'!$D:$D,'Data Additive'!$P:$P,'Painel Additive'!#REF!,'Data Additive'!$Q:$Q,"&lt;=-61",'Data Additive'!$Q:$Q,"&gt;=-90")</f>
        <v>0</v>
      </c>
      <c r="S104" s="19">
        <f>SUMIFS('Data Additive'!$D:$D,'Data Additive'!$P:$P,'Painel Additive'!#REF!,'Data Additive'!$Q:$Q,"&lt;=-91",'Data Additive'!$Q:$Q,"&gt;=-120")</f>
        <v>0</v>
      </c>
      <c r="T104" s="19">
        <f>SUMIFS('Data Additive'!$D:$D,'Data Additive'!$P:$P,'Painel Additive'!#REF!,'Data Additive'!$Q:$Q,"&lt;=-121",'Data Additive'!$Q:$Q,"&gt;=-180")</f>
        <v>0</v>
      </c>
      <c r="U104" s="19">
        <f>SUMIFS('Data Additive'!$D:$D,'Data Additive'!$P:$P,'Painel Additive'!#REF!,'Data Additive'!$Q:$Q,"&lt;=-181",'Data Additive'!$Q:$Q,"&gt;=-360")</f>
        <v>0</v>
      </c>
      <c r="V104" s="23">
        <f>SUMIFS('Data Additive'!$D:$D,'Data Additive'!$P:$P,'Painel Additive'!#REF!,'Data Additive'!$Q:$Q,"&lt;-360")</f>
        <v>0</v>
      </c>
      <c r="W104" s="19" t="e">
        <f>SUMIFS('Bad Debt Provision'!#REF!,'Bad Debt Provision'!#REF!,'Painel Additive'!#REF!)</f>
        <v>#REF!</v>
      </c>
      <c r="X104" s="5"/>
      <c r="Y104" s="20"/>
      <c r="Z104" s="20"/>
      <c r="AA104" s="21"/>
      <c r="AB104" s="5"/>
      <c r="AC104" s="19"/>
      <c r="AD104" s="20"/>
      <c r="AE104" s="22"/>
      <c r="AF104" s="22"/>
      <c r="AG104" s="5"/>
      <c r="AH104" s="28">
        <f t="shared" si="17"/>
        <v>0</v>
      </c>
      <c r="AI104" s="5"/>
    </row>
    <row r="105" spans="2:35" x14ac:dyDescent="0.25">
      <c r="B105" s="17" t="s">
        <v>117</v>
      </c>
      <c r="C105" s="93" t="str" cm="1">
        <f t="array" ref="C105">IFERROR(INDEX('Limite de crédito'!$D:$D, MATCH(MAX(IF('Limite de crédito'!$C:$C=$B105, 'Limite de crédito'!$A:$A)), 'Limite de crédito'!$A:$A, 0)),"")</f>
        <v/>
      </c>
      <c r="D105" s="18" cm="1">
        <f t="array" ref="D105">IFERROR(INDEX('Limite de crédito'!$F:$F, MATCH(MAX(IF('Limite de crédito'!$C:$C=$B105, 'Limite de crédito'!$A:$A)), 'Limite de crédito'!$A:$A, 0)),0)</f>
        <v>0</v>
      </c>
      <c r="E105" s="18">
        <f t="shared" si="14"/>
        <v>0</v>
      </c>
      <c r="F105" s="18">
        <f t="shared" si="15"/>
        <v>0</v>
      </c>
      <c r="G105" s="19">
        <f>SUMIFS('Data Additive'!$D:$D,'Data Additive'!$P:$P,'Painel Additive'!#REF!,'Data Additive'!$Q:$Q,"&gt;0",'Data Additive'!$Q:$Q,"&lt;=30")</f>
        <v>0</v>
      </c>
      <c r="H105" s="19">
        <f>SUMIFS('Data Additive'!$D:$D,'Data Additive'!$P:$P,'Painel Additive'!#REF!,'Data Additive'!$Q:$Q,"&gt;30",'Data Additive'!$Q:$Q,"&lt;=60")</f>
        <v>0</v>
      </c>
      <c r="I105" s="19">
        <f>SUMIFS('Data Additive'!$D:$D,'Data Additive'!$P:$P,'Painel Additive'!#REF!,'Data Additive'!$Q:$Q,"&gt;60",'Data Additive'!$Q:$Q,"&lt;=90")</f>
        <v>0</v>
      </c>
      <c r="J105" s="19">
        <f>SUMIFS('Data Additive'!$D:$D,'Data Additive'!$P:$P,'Painel Additive'!#REF!,'Data Additive'!$Q:$Q,"&gt;90",'Data Additive'!$Q:$Q,"&lt;=120")</f>
        <v>0</v>
      </c>
      <c r="K105" s="19">
        <f>SUMIFS('Data Additive'!$D:$D,'Data Additive'!$P:$P,'Painel Additive'!#REF!,'Data Additive'!$Q:$Q,"&gt;120",'Data Additive'!$Q:$Q,"&lt;=180")</f>
        <v>0</v>
      </c>
      <c r="L105" s="19">
        <f>SUMIFS('Data Additive'!$D:$D,'Data Additive'!$P:$P,'Painel Additive'!#REF!,'Data Additive'!$Q:$Q,"&gt;180",'Data Additive'!$Q:$Q,"&lt;=360")</f>
        <v>0</v>
      </c>
      <c r="M105" s="23">
        <f>SUMIFS('Data Additive'!$D:$D,'Data Additive'!$P:$P,'Painel Additive'!#REF!,'Data Additive'!$Q:$Q,"&gt;360")</f>
        <v>0</v>
      </c>
      <c r="N105" s="19">
        <f>SUMIFS('Data Additive'!$D:$D,'Data Additive'!$P:$P,'Painel Additive'!#REF!,'Data Additive'!$Q:$Q,"&gt;0")</f>
        <v>0</v>
      </c>
      <c r="O105" s="19">
        <f t="shared" si="16"/>
        <v>0</v>
      </c>
      <c r="P105" s="19">
        <f>SUMIFS('Data Additive'!$D:$D,'Data Additive'!$P:$P,'Painel Additive'!#REF!,'Data Additive'!$Q:$Q,"&lt;=0",'Data Additive'!$Q:$Q,"&gt;=-30")</f>
        <v>0</v>
      </c>
      <c r="Q105" s="19">
        <f>SUMIFS('Data Additive'!$D:$D,'Data Additive'!$P:$P,'Painel Additive'!#REF!,'Data Additive'!$Q:$Q,"&lt;=-31",'Data Additive'!$Q:$Q,"&gt;=-60")</f>
        <v>0</v>
      </c>
      <c r="R105" s="19">
        <f>SUMIFS('Data Additive'!$D:$D,'Data Additive'!$P:$P,'Painel Additive'!#REF!,'Data Additive'!$Q:$Q,"&lt;=-61",'Data Additive'!$Q:$Q,"&gt;=-90")</f>
        <v>0</v>
      </c>
      <c r="S105" s="19">
        <f>SUMIFS('Data Additive'!$D:$D,'Data Additive'!$P:$P,'Painel Additive'!#REF!,'Data Additive'!$Q:$Q,"&lt;=-91",'Data Additive'!$Q:$Q,"&gt;=-120")</f>
        <v>0</v>
      </c>
      <c r="T105" s="19">
        <f>SUMIFS('Data Additive'!$D:$D,'Data Additive'!$P:$P,'Painel Additive'!#REF!,'Data Additive'!$Q:$Q,"&lt;=-121",'Data Additive'!$Q:$Q,"&gt;=-180")</f>
        <v>0</v>
      </c>
      <c r="U105" s="19">
        <f>SUMIFS('Data Additive'!$D:$D,'Data Additive'!$P:$P,'Painel Additive'!#REF!,'Data Additive'!$Q:$Q,"&lt;=-181",'Data Additive'!$Q:$Q,"&gt;=-360")</f>
        <v>0</v>
      </c>
      <c r="V105" s="23">
        <f>SUMIFS('Data Additive'!$D:$D,'Data Additive'!$P:$P,'Painel Additive'!#REF!,'Data Additive'!$Q:$Q,"&lt;-360")</f>
        <v>0</v>
      </c>
      <c r="W105" s="19" t="e">
        <f>SUMIFS('Bad Debt Provision'!#REF!,'Bad Debt Provision'!#REF!,'Painel Additive'!#REF!)</f>
        <v>#REF!</v>
      </c>
      <c r="X105" s="5"/>
      <c r="Y105" s="20"/>
      <c r="Z105" s="20"/>
      <c r="AA105" s="21"/>
      <c r="AB105" s="5"/>
      <c r="AC105" s="19"/>
      <c r="AD105" s="20"/>
      <c r="AE105" s="22"/>
      <c r="AF105" s="22"/>
      <c r="AG105" s="5"/>
      <c r="AH105" s="28">
        <f t="shared" si="17"/>
        <v>0</v>
      </c>
      <c r="AI105" s="5"/>
    </row>
    <row r="106" spans="2:35" x14ac:dyDescent="0.25">
      <c r="B106" s="17" t="s">
        <v>114</v>
      </c>
      <c r="C106" s="93" t="str" cm="1">
        <f t="array" ref="C106">IFERROR(INDEX('Limite de crédito'!$D:$D, MATCH(MAX(IF('Limite de crédito'!$C:$C=$B106, 'Limite de crédito'!$A:$A)), 'Limite de crédito'!$A:$A, 0)),"")</f>
        <v/>
      </c>
      <c r="D106" s="18" cm="1">
        <f t="array" ref="D106">IFERROR(INDEX('Limite de crédito'!$F:$F, MATCH(MAX(IF('Limite de crédito'!$C:$C=$B106, 'Limite de crédito'!$A:$A)), 'Limite de crédito'!$A:$A, 0)),0)</f>
        <v>0</v>
      </c>
      <c r="E106" s="18">
        <f t="shared" si="14"/>
        <v>0</v>
      </c>
      <c r="F106" s="18">
        <f t="shared" si="15"/>
        <v>0</v>
      </c>
      <c r="G106" s="19">
        <f>SUMIFS('Data Additive'!$D:$D,'Data Additive'!$P:$P,'Painel Additive'!#REF!,'Data Additive'!$Q:$Q,"&gt;0",'Data Additive'!$Q:$Q,"&lt;=30")</f>
        <v>0</v>
      </c>
      <c r="H106" s="19">
        <f>SUMIFS('Data Additive'!$D:$D,'Data Additive'!$P:$P,'Painel Additive'!#REF!,'Data Additive'!$Q:$Q,"&gt;30",'Data Additive'!$Q:$Q,"&lt;=60")</f>
        <v>0</v>
      </c>
      <c r="I106" s="19">
        <f>SUMIFS('Data Additive'!$D:$D,'Data Additive'!$P:$P,'Painel Additive'!#REF!,'Data Additive'!$Q:$Q,"&gt;60",'Data Additive'!$Q:$Q,"&lt;=90")</f>
        <v>0</v>
      </c>
      <c r="J106" s="19">
        <f>SUMIFS('Data Additive'!$D:$D,'Data Additive'!$P:$P,'Painel Additive'!#REF!,'Data Additive'!$Q:$Q,"&gt;90",'Data Additive'!$Q:$Q,"&lt;=120")</f>
        <v>0</v>
      </c>
      <c r="K106" s="19">
        <f>SUMIFS('Data Additive'!$D:$D,'Data Additive'!$P:$P,'Painel Additive'!#REF!,'Data Additive'!$Q:$Q,"&gt;120",'Data Additive'!$Q:$Q,"&lt;=180")</f>
        <v>0</v>
      </c>
      <c r="L106" s="19">
        <f>SUMIFS('Data Additive'!$D:$D,'Data Additive'!$P:$P,'Painel Additive'!#REF!,'Data Additive'!$Q:$Q,"&gt;180",'Data Additive'!$Q:$Q,"&lt;=360")</f>
        <v>0</v>
      </c>
      <c r="M106" s="23">
        <f>SUMIFS('Data Additive'!$D:$D,'Data Additive'!$P:$P,'Painel Additive'!#REF!,'Data Additive'!$Q:$Q,"&gt;360")</f>
        <v>0</v>
      </c>
      <c r="N106" s="19">
        <f>SUMIFS('Data Additive'!$D:$D,'Data Additive'!$P:$P,'Painel Additive'!#REF!,'Data Additive'!$Q:$Q,"&gt;0")</f>
        <v>0</v>
      </c>
      <c r="O106" s="19">
        <f t="shared" si="16"/>
        <v>0</v>
      </c>
      <c r="P106" s="19">
        <f>SUMIFS('Data Additive'!$D:$D,'Data Additive'!$P:$P,'Painel Additive'!#REF!,'Data Additive'!$Q:$Q,"&lt;=0",'Data Additive'!$Q:$Q,"&gt;=-30")</f>
        <v>0</v>
      </c>
      <c r="Q106" s="19">
        <f>SUMIFS('Data Additive'!$D:$D,'Data Additive'!$P:$P,'Painel Additive'!#REF!,'Data Additive'!$Q:$Q,"&lt;=-31",'Data Additive'!$Q:$Q,"&gt;=-60")</f>
        <v>0</v>
      </c>
      <c r="R106" s="19">
        <f>SUMIFS('Data Additive'!$D:$D,'Data Additive'!$P:$P,'Painel Additive'!#REF!,'Data Additive'!$Q:$Q,"&lt;=-61",'Data Additive'!$Q:$Q,"&gt;=-90")</f>
        <v>0</v>
      </c>
      <c r="S106" s="19">
        <f>SUMIFS('Data Additive'!$D:$D,'Data Additive'!$P:$P,'Painel Additive'!#REF!,'Data Additive'!$Q:$Q,"&lt;=-91",'Data Additive'!$Q:$Q,"&gt;=-120")</f>
        <v>0</v>
      </c>
      <c r="T106" s="19">
        <f>SUMIFS('Data Additive'!$D:$D,'Data Additive'!$P:$P,'Painel Additive'!#REF!,'Data Additive'!$Q:$Q,"&lt;=-121",'Data Additive'!$Q:$Q,"&gt;=-180")</f>
        <v>0</v>
      </c>
      <c r="U106" s="19">
        <f>SUMIFS('Data Additive'!$D:$D,'Data Additive'!$P:$P,'Painel Additive'!#REF!,'Data Additive'!$Q:$Q,"&lt;=-181",'Data Additive'!$Q:$Q,"&gt;=-360")</f>
        <v>0</v>
      </c>
      <c r="V106" s="23">
        <f>SUMIFS('Data Additive'!$D:$D,'Data Additive'!$P:$P,'Painel Additive'!#REF!,'Data Additive'!$Q:$Q,"&lt;-360")</f>
        <v>0</v>
      </c>
      <c r="W106" s="19" t="e">
        <f>SUMIFS('Bad Debt Provision'!#REF!,'Bad Debt Provision'!#REF!,'Painel Additive'!#REF!)</f>
        <v>#REF!</v>
      </c>
      <c r="X106" s="5"/>
      <c r="Y106" s="20"/>
      <c r="Z106" s="20"/>
      <c r="AA106" s="21"/>
      <c r="AB106" s="5"/>
      <c r="AC106" s="19"/>
      <c r="AD106" s="20"/>
      <c r="AE106" s="22"/>
      <c r="AF106" s="22"/>
      <c r="AG106" s="5"/>
      <c r="AH106" s="28">
        <f t="shared" si="17"/>
        <v>0</v>
      </c>
      <c r="AI106" s="5"/>
    </row>
    <row r="107" spans="2:35" x14ac:dyDescent="0.25">
      <c r="B107" s="17" t="s">
        <v>112</v>
      </c>
      <c r="C107" s="93" t="str" cm="1">
        <f t="array" ref="C107">IFERROR(INDEX('Limite de crédito'!$D:$D, MATCH(MAX(IF('Limite de crédito'!$C:$C=$B107, 'Limite de crédito'!$A:$A)), 'Limite de crédito'!$A:$A, 0)),"")</f>
        <v/>
      </c>
      <c r="D107" s="18" cm="1">
        <f t="array" ref="D107">IFERROR(INDEX('Limite de crédito'!$F:$F, MATCH(MAX(IF('Limite de crédito'!$C:$C=$B107, 'Limite de crédito'!$A:$A)), 'Limite de crédito'!$A:$A, 0)),0)</f>
        <v>0</v>
      </c>
      <c r="E107" s="18">
        <f t="shared" si="14"/>
        <v>0</v>
      </c>
      <c r="F107" s="18">
        <f t="shared" si="15"/>
        <v>0</v>
      </c>
      <c r="G107" s="19">
        <f>SUMIFS('Data Additive'!$D:$D,'Data Additive'!$P:$P,'Painel Additive'!#REF!,'Data Additive'!$Q:$Q,"&gt;0",'Data Additive'!$Q:$Q,"&lt;=30")</f>
        <v>0</v>
      </c>
      <c r="H107" s="19">
        <f>SUMIFS('Data Additive'!$D:$D,'Data Additive'!$P:$P,'Painel Additive'!#REF!,'Data Additive'!$Q:$Q,"&gt;30",'Data Additive'!$Q:$Q,"&lt;=60")</f>
        <v>0</v>
      </c>
      <c r="I107" s="19">
        <f>SUMIFS('Data Additive'!$D:$D,'Data Additive'!$P:$P,'Painel Additive'!#REF!,'Data Additive'!$Q:$Q,"&gt;60",'Data Additive'!$Q:$Q,"&lt;=90")</f>
        <v>0</v>
      </c>
      <c r="J107" s="19">
        <f>SUMIFS('Data Additive'!$D:$D,'Data Additive'!$P:$P,'Painel Additive'!#REF!,'Data Additive'!$Q:$Q,"&gt;90",'Data Additive'!$Q:$Q,"&lt;=120")</f>
        <v>0</v>
      </c>
      <c r="K107" s="19">
        <f>SUMIFS('Data Additive'!$D:$D,'Data Additive'!$P:$P,'Painel Additive'!#REF!,'Data Additive'!$Q:$Q,"&gt;120",'Data Additive'!$Q:$Q,"&lt;=180")</f>
        <v>0</v>
      </c>
      <c r="L107" s="19">
        <f>SUMIFS('Data Additive'!$D:$D,'Data Additive'!$P:$P,'Painel Additive'!#REF!,'Data Additive'!$Q:$Q,"&gt;180",'Data Additive'!$Q:$Q,"&lt;=360")</f>
        <v>0</v>
      </c>
      <c r="M107" s="23">
        <f>SUMIFS('Data Additive'!$D:$D,'Data Additive'!$P:$P,'Painel Additive'!#REF!,'Data Additive'!$Q:$Q,"&gt;360")</f>
        <v>0</v>
      </c>
      <c r="N107" s="19">
        <f>SUMIFS('Data Additive'!$D:$D,'Data Additive'!$P:$P,'Painel Additive'!#REF!,'Data Additive'!$Q:$Q,"&gt;0")</f>
        <v>0</v>
      </c>
      <c r="O107" s="19">
        <f t="shared" si="16"/>
        <v>0</v>
      </c>
      <c r="P107" s="19">
        <f>SUMIFS('Data Additive'!$D:$D,'Data Additive'!$P:$P,'Painel Additive'!#REF!,'Data Additive'!$Q:$Q,"&lt;=0",'Data Additive'!$Q:$Q,"&gt;=-30")</f>
        <v>0</v>
      </c>
      <c r="Q107" s="19">
        <f>SUMIFS('Data Additive'!$D:$D,'Data Additive'!$P:$P,'Painel Additive'!#REF!,'Data Additive'!$Q:$Q,"&lt;=-31",'Data Additive'!$Q:$Q,"&gt;=-60")</f>
        <v>0</v>
      </c>
      <c r="R107" s="19">
        <f>SUMIFS('Data Additive'!$D:$D,'Data Additive'!$P:$P,'Painel Additive'!#REF!,'Data Additive'!$Q:$Q,"&lt;=-61",'Data Additive'!$Q:$Q,"&gt;=-90")</f>
        <v>0</v>
      </c>
      <c r="S107" s="19">
        <f>SUMIFS('Data Additive'!$D:$D,'Data Additive'!$P:$P,'Painel Additive'!#REF!,'Data Additive'!$Q:$Q,"&lt;=-91",'Data Additive'!$Q:$Q,"&gt;=-120")</f>
        <v>0</v>
      </c>
      <c r="T107" s="19">
        <f>SUMIFS('Data Additive'!$D:$D,'Data Additive'!$P:$P,'Painel Additive'!#REF!,'Data Additive'!$Q:$Q,"&lt;=-121",'Data Additive'!$Q:$Q,"&gt;=-180")</f>
        <v>0</v>
      </c>
      <c r="U107" s="19">
        <f>SUMIFS('Data Additive'!$D:$D,'Data Additive'!$P:$P,'Painel Additive'!#REF!,'Data Additive'!$Q:$Q,"&lt;=-181",'Data Additive'!$Q:$Q,"&gt;=-360")</f>
        <v>0</v>
      </c>
      <c r="V107" s="23">
        <f>SUMIFS('Data Additive'!$D:$D,'Data Additive'!$P:$P,'Painel Additive'!#REF!,'Data Additive'!$Q:$Q,"&lt;-360")</f>
        <v>0</v>
      </c>
      <c r="W107" s="19" t="e">
        <f>SUMIFS('Bad Debt Provision'!#REF!,'Bad Debt Provision'!#REF!,'Painel Additive'!#REF!)</f>
        <v>#REF!</v>
      </c>
      <c r="X107" s="5"/>
      <c r="Y107" s="20"/>
      <c r="Z107" s="20"/>
      <c r="AA107" s="21"/>
      <c r="AB107" s="5"/>
      <c r="AC107" s="19"/>
      <c r="AD107" s="20"/>
      <c r="AE107" s="22"/>
      <c r="AF107" s="22"/>
      <c r="AG107" s="5"/>
      <c r="AH107" s="28">
        <f t="shared" si="17"/>
        <v>0</v>
      </c>
      <c r="AI107" s="5"/>
    </row>
    <row r="108" spans="2:35" x14ac:dyDescent="0.25">
      <c r="B108" s="17" t="s">
        <v>191</v>
      </c>
      <c r="C108" s="93" t="str" cm="1">
        <f t="array" ref="C108">IFERROR(INDEX('Limite de crédito'!$D:$D, MATCH(MAX(IF('Limite de crédito'!$C:$C=$B108, 'Limite de crédito'!$A:$A)), 'Limite de crédito'!$A:$A, 0)),"")</f>
        <v/>
      </c>
      <c r="D108" s="18" cm="1">
        <f t="array" ref="D108">IFERROR(INDEX('Limite de crédito'!$F:$F, MATCH(MAX(IF('Limite de crédito'!$C:$C=$B108, 'Limite de crédito'!$A:$A)), 'Limite de crédito'!$A:$A, 0)),0)</f>
        <v>0</v>
      </c>
      <c r="E108" s="18">
        <f t="shared" si="14"/>
        <v>0</v>
      </c>
      <c r="F108" s="18">
        <f t="shared" si="15"/>
        <v>0</v>
      </c>
      <c r="G108" s="19">
        <f>SUMIFS('Data Additive'!$D:$D,'Data Additive'!$P:$P,'Painel Additive'!#REF!,'Data Additive'!$Q:$Q,"&gt;0",'Data Additive'!$Q:$Q,"&lt;=30")</f>
        <v>0</v>
      </c>
      <c r="H108" s="19">
        <f>SUMIFS('Data Additive'!$D:$D,'Data Additive'!$P:$P,'Painel Additive'!#REF!,'Data Additive'!$Q:$Q,"&gt;30",'Data Additive'!$Q:$Q,"&lt;=60")</f>
        <v>0</v>
      </c>
      <c r="I108" s="19">
        <f>SUMIFS('Data Additive'!$D:$D,'Data Additive'!$P:$P,'Painel Additive'!#REF!,'Data Additive'!$Q:$Q,"&gt;60",'Data Additive'!$Q:$Q,"&lt;=90")</f>
        <v>0</v>
      </c>
      <c r="J108" s="19">
        <f>SUMIFS('Data Additive'!$D:$D,'Data Additive'!$P:$P,'Painel Additive'!#REF!,'Data Additive'!$Q:$Q,"&gt;90",'Data Additive'!$Q:$Q,"&lt;=120")</f>
        <v>0</v>
      </c>
      <c r="K108" s="19">
        <f>SUMIFS('Data Additive'!$D:$D,'Data Additive'!$P:$P,'Painel Additive'!#REF!,'Data Additive'!$Q:$Q,"&gt;120",'Data Additive'!$Q:$Q,"&lt;=180")</f>
        <v>0</v>
      </c>
      <c r="L108" s="19">
        <f>SUMIFS('Data Additive'!$D:$D,'Data Additive'!$P:$P,'Painel Additive'!#REF!,'Data Additive'!$Q:$Q,"&gt;180",'Data Additive'!$Q:$Q,"&lt;=360")</f>
        <v>0</v>
      </c>
      <c r="M108" s="23">
        <f>SUMIFS('Data Additive'!$D:$D,'Data Additive'!$P:$P,'Painel Additive'!#REF!,'Data Additive'!$Q:$Q,"&gt;360")</f>
        <v>0</v>
      </c>
      <c r="N108" s="19">
        <f>SUMIFS('Data Additive'!$D:$D,'Data Additive'!$P:$P,'Painel Additive'!#REF!,'Data Additive'!$Q:$Q,"&gt;0")</f>
        <v>0</v>
      </c>
      <c r="O108" s="19">
        <f t="shared" si="16"/>
        <v>0</v>
      </c>
      <c r="P108" s="19">
        <f>SUMIFS('Data Additive'!$D:$D,'Data Additive'!$P:$P,'Painel Additive'!#REF!,'Data Additive'!$Q:$Q,"&lt;=0",'Data Additive'!$Q:$Q,"&gt;=-30")</f>
        <v>0</v>
      </c>
      <c r="Q108" s="19">
        <f>SUMIFS('Data Additive'!$D:$D,'Data Additive'!$P:$P,'Painel Additive'!#REF!,'Data Additive'!$Q:$Q,"&lt;=-31",'Data Additive'!$Q:$Q,"&gt;=-60")</f>
        <v>0</v>
      </c>
      <c r="R108" s="19">
        <f>SUMIFS('Data Additive'!$D:$D,'Data Additive'!$P:$P,'Painel Additive'!#REF!,'Data Additive'!$Q:$Q,"&lt;=-61",'Data Additive'!$Q:$Q,"&gt;=-90")</f>
        <v>0</v>
      </c>
      <c r="S108" s="19">
        <f>SUMIFS('Data Additive'!$D:$D,'Data Additive'!$P:$P,'Painel Additive'!#REF!,'Data Additive'!$Q:$Q,"&lt;=-91",'Data Additive'!$Q:$Q,"&gt;=-120")</f>
        <v>0</v>
      </c>
      <c r="T108" s="19">
        <f>SUMIFS('Data Additive'!$D:$D,'Data Additive'!$P:$P,'Painel Additive'!#REF!,'Data Additive'!$Q:$Q,"&lt;=-121",'Data Additive'!$Q:$Q,"&gt;=-180")</f>
        <v>0</v>
      </c>
      <c r="U108" s="19">
        <f>SUMIFS('Data Additive'!$D:$D,'Data Additive'!$P:$P,'Painel Additive'!#REF!,'Data Additive'!$Q:$Q,"&lt;=-181",'Data Additive'!$Q:$Q,"&gt;=-360")</f>
        <v>0</v>
      </c>
      <c r="V108" s="23">
        <f>SUMIFS('Data Additive'!$D:$D,'Data Additive'!$P:$P,'Painel Additive'!#REF!,'Data Additive'!$Q:$Q,"&lt;-360")</f>
        <v>0</v>
      </c>
      <c r="W108" s="19" t="e">
        <f>SUMIFS('Bad Debt Provision'!#REF!,'Bad Debt Provision'!#REF!,'Painel Additive'!#REF!)</f>
        <v>#REF!</v>
      </c>
      <c r="X108" s="5"/>
      <c r="Y108" s="20"/>
      <c r="Z108" s="20"/>
      <c r="AA108" s="21"/>
      <c r="AB108" s="5"/>
      <c r="AC108" s="19"/>
      <c r="AD108" s="20"/>
      <c r="AE108" s="22"/>
      <c r="AF108" s="22"/>
      <c r="AG108" s="5"/>
      <c r="AH108" s="28">
        <f t="shared" si="17"/>
        <v>0</v>
      </c>
      <c r="AI108" s="5"/>
    </row>
    <row r="109" spans="2:35" x14ac:dyDescent="0.25">
      <c r="B109" s="17" t="s">
        <v>109</v>
      </c>
      <c r="C109" s="93" t="str" cm="1">
        <f t="array" ref="C109">IFERROR(INDEX('Limite de crédito'!$D:$D, MATCH(MAX(IF('Limite de crédito'!$C:$C=$B109, 'Limite de crédito'!$A:$A)), 'Limite de crédito'!$A:$A, 0)),"")</f>
        <v/>
      </c>
      <c r="D109" s="18" cm="1">
        <f t="array" ref="D109">IFERROR(INDEX('Limite de crédito'!$F:$F, MATCH(MAX(IF('Limite de crédito'!$C:$C=$B109, 'Limite de crédito'!$A:$A)), 'Limite de crédito'!$A:$A, 0)),0)</f>
        <v>0</v>
      </c>
      <c r="E109" s="18">
        <f t="shared" si="14"/>
        <v>0</v>
      </c>
      <c r="F109" s="18">
        <f t="shared" si="15"/>
        <v>0</v>
      </c>
      <c r="G109" s="19">
        <f>SUMIFS('Data Additive'!$D:$D,'Data Additive'!$P:$P,'Painel Additive'!#REF!,'Data Additive'!$Q:$Q,"&gt;0",'Data Additive'!$Q:$Q,"&lt;=30")</f>
        <v>0</v>
      </c>
      <c r="H109" s="19">
        <f>SUMIFS('Data Additive'!$D:$D,'Data Additive'!$P:$P,'Painel Additive'!#REF!,'Data Additive'!$Q:$Q,"&gt;30",'Data Additive'!$Q:$Q,"&lt;=60")</f>
        <v>0</v>
      </c>
      <c r="I109" s="19">
        <f>SUMIFS('Data Additive'!$D:$D,'Data Additive'!$P:$P,'Painel Additive'!#REF!,'Data Additive'!$Q:$Q,"&gt;60",'Data Additive'!$Q:$Q,"&lt;=90")</f>
        <v>0</v>
      </c>
      <c r="J109" s="19">
        <f>SUMIFS('Data Additive'!$D:$D,'Data Additive'!$P:$P,'Painel Additive'!#REF!,'Data Additive'!$Q:$Q,"&gt;90",'Data Additive'!$Q:$Q,"&lt;=120")</f>
        <v>0</v>
      </c>
      <c r="K109" s="19">
        <f>SUMIFS('Data Additive'!$D:$D,'Data Additive'!$P:$P,'Painel Additive'!#REF!,'Data Additive'!$Q:$Q,"&gt;120",'Data Additive'!$Q:$Q,"&lt;=180")</f>
        <v>0</v>
      </c>
      <c r="L109" s="19">
        <f>SUMIFS('Data Additive'!$D:$D,'Data Additive'!$P:$P,'Painel Additive'!#REF!,'Data Additive'!$Q:$Q,"&gt;180",'Data Additive'!$Q:$Q,"&lt;=360")</f>
        <v>0</v>
      </c>
      <c r="M109" s="23">
        <f>SUMIFS('Data Additive'!$D:$D,'Data Additive'!$P:$P,'Painel Additive'!#REF!,'Data Additive'!$Q:$Q,"&gt;360")</f>
        <v>0</v>
      </c>
      <c r="N109" s="19">
        <f>SUMIFS('Data Additive'!$D:$D,'Data Additive'!$P:$P,'Painel Additive'!#REF!,'Data Additive'!$Q:$Q,"&gt;0")</f>
        <v>0</v>
      </c>
      <c r="O109" s="19">
        <f t="shared" si="16"/>
        <v>0</v>
      </c>
      <c r="P109" s="19">
        <f>SUMIFS('Data Additive'!$D:$D,'Data Additive'!$P:$P,'Painel Additive'!#REF!,'Data Additive'!$Q:$Q,"&lt;=0",'Data Additive'!$Q:$Q,"&gt;=-30")</f>
        <v>0</v>
      </c>
      <c r="Q109" s="19">
        <f>SUMIFS('Data Additive'!$D:$D,'Data Additive'!$P:$P,'Painel Additive'!#REF!,'Data Additive'!$Q:$Q,"&lt;=-31",'Data Additive'!$Q:$Q,"&gt;=-60")</f>
        <v>0</v>
      </c>
      <c r="R109" s="19">
        <f>SUMIFS('Data Additive'!$D:$D,'Data Additive'!$P:$P,'Painel Additive'!#REF!,'Data Additive'!$Q:$Q,"&lt;=-61",'Data Additive'!$Q:$Q,"&gt;=-90")</f>
        <v>0</v>
      </c>
      <c r="S109" s="19">
        <f>SUMIFS('Data Additive'!$D:$D,'Data Additive'!$P:$P,'Painel Additive'!#REF!,'Data Additive'!$Q:$Q,"&lt;=-91",'Data Additive'!$Q:$Q,"&gt;=-120")</f>
        <v>0</v>
      </c>
      <c r="T109" s="19">
        <f>SUMIFS('Data Additive'!$D:$D,'Data Additive'!$P:$P,'Painel Additive'!#REF!,'Data Additive'!$Q:$Q,"&lt;=-121",'Data Additive'!$Q:$Q,"&gt;=-180")</f>
        <v>0</v>
      </c>
      <c r="U109" s="19">
        <f>SUMIFS('Data Additive'!$D:$D,'Data Additive'!$P:$P,'Painel Additive'!#REF!,'Data Additive'!$Q:$Q,"&lt;=-181",'Data Additive'!$Q:$Q,"&gt;=-360")</f>
        <v>0</v>
      </c>
      <c r="V109" s="23">
        <f>SUMIFS('Data Additive'!$D:$D,'Data Additive'!$P:$P,'Painel Additive'!#REF!,'Data Additive'!$Q:$Q,"&lt;-360")</f>
        <v>0</v>
      </c>
      <c r="W109" s="19" t="e">
        <f>SUMIFS('Bad Debt Provision'!#REF!,'Bad Debt Provision'!#REF!,'Painel Additive'!#REF!)</f>
        <v>#REF!</v>
      </c>
      <c r="X109" s="5"/>
      <c r="Y109" s="20"/>
      <c r="Z109" s="20"/>
      <c r="AA109" s="21"/>
      <c r="AB109" s="5"/>
      <c r="AC109" s="19"/>
      <c r="AD109" s="20"/>
      <c r="AE109" s="22"/>
      <c r="AF109" s="22"/>
      <c r="AG109" s="5"/>
      <c r="AH109" s="28">
        <f t="shared" si="17"/>
        <v>0</v>
      </c>
      <c r="AI109" s="5"/>
    </row>
    <row r="110" spans="2:35" x14ac:dyDescent="0.25">
      <c r="B110" s="17" t="s">
        <v>116</v>
      </c>
      <c r="C110" s="93" t="str" cm="1">
        <f t="array" ref="C110">IFERROR(INDEX('Limite de crédito'!$D:$D, MATCH(MAX(IF('Limite de crédito'!$C:$C=$B110, 'Limite de crédito'!$A:$A)), 'Limite de crédito'!$A:$A, 0)),"")</f>
        <v/>
      </c>
      <c r="D110" s="18" cm="1">
        <f t="array" ref="D110">IFERROR(INDEX('Limite de crédito'!$F:$F, MATCH(MAX(IF('Limite de crédito'!$C:$C=$B110, 'Limite de crédito'!$A:$A)), 'Limite de crédito'!$A:$A, 0)),0)</f>
        <v>0</v>
      </c>
      <c r="E110" s="18">
        <f t="shared" si="14"/>
        <v>0</v>
      </c>
      <c r="F110" s="18">
        <f t="shared" si="15"/>
        <v>0</v>
      </c>
      <c r="G110" s="19">
        <f>SUMIFS('Data Additive'!$D:$D,'Data Additive'!$P:$P,'Painel Additive'!#REF!,'Data Additive'!$Q:$Q,"&gt;0",'Data Additive'!$Q:$Q,"&lt;=30")</f>
        <v>0</v>
      </c>
      <c r="H110" s="19">
        <f>SUMIFS('Data Additive'!$D:$D,'Data Additive'!$P:$P,'Painel Additive'!#REF!,'Data Additive'!$Q:$Q,"&gt;30",'Data Additive'!$Q:$Q,"&lt;=60")</f>
        <v>0</v>
      </c>
      <c r="I110" s="19">
        <f>SUMIFS('Data Additive'!$D:$D,'Data Additive'!$P:$P,'Painel Additive'!#REF!,'Data Additive'!$Q:$Q,"&gt;60",'Data Additive'!$Q:$Q,"&lt;=90")</f>
        <v>0</v>
      </c>
      <c r="J110" s="19">
        <f>SUMIFS('Data Additive'!$D:$D,'Data Additive'!$P:$P,'Painel Additive'!#REF!,'Data Additive'!$Q:$Q,"&gt;90",'Data Additive'!$Q:$Q,"&lt;=120")</f>
        <v>0</v>
      </c>
      <c r="K110" s="19">
        <f>SUMIFS('Data Additive'!$D:$D,'Data Additive'!$P:$P,'Painel Additive'!#REF!,'Data Additive'!$Q:$Q,"&gt;120",'Data Additive'!$Q:$Q,"&lt;=180")</f>
        <v>0</v>
      </c>
      <c r="L110" s="19">
        <f>SUMIFS('Data Additive'!$D:$D,'Data Additive'!$P:$P,'Painel Additive'!#REF!,'Data Additive'!$Q:$Q,"&gt;180",'Data Additive'!$Q:$Q,"&lt;=360")</f>
        <v>0</v>
      </c>
      <c r="M110" s="23">
        <f>SUMIFS('Data Additive'!$D:$D,'Data Additive'!$P:$P,'Painel Additive'!#REF!,'Data Additive'!$Q:$Q,"&gt;360")</f>
        <v>0</v>
      </c>
      <c r="N110" s="19">
        <f>SUMIFS('Data Additive'!$D:$D,'Data Additive'!$P:$P,'Painel Additive'!#REF!,'Data Additive'!$Q:$Q,"&gt;0")</f>
        <v>0</v>
      </c>
      <c r="O110" s="19">
        <f t="shared" si="16"/>
        <v>0</v>
      </c>
      <c r="P110" s="19">
        <f>SUMIFS('Data Additive'!$D:$D,'Data Additive'!$P:$P,'Painel Additive'!#REF!,'Data Additive'!$Q:$Q,"&lt;=0",'Data Additive'!$Q:$Q,"&gt;=-30")</f>
        <v>0</v>
      </c>
      <c r="Q110" s="19">
        <f>SUMIFS('Data Additive'!$D:$D,'Data Additive'!$P:$P,'Painel Additive'!#REF!,'Data Additive'!$Q:$Q,"&lt;=-31",'Data Additive'!$Q:$Q,"&gt;=-60")</f>
        <v>0</v>
      </c>
      <c r="R110" s="19">
        <f>SUMIFS('Data Additive'!$D:$D,'Data Additive'!$P:$P,'Painel Additive'!#REF!,'Data Additive'!$Q:$Q,"&lt;=-61",'Data Additive'!$Q:$Q,"&gt;=-90")</f>
        <v>0</v>
      </c>
      <c r="S110" s="19">
        <f>SUMIFS('Data Additive'!$D:$D,'Data Additive'!$P:$P,'Painel Additive'!#REF!,'Data Additive'!$Q:$Q,"&lt;=-91",'Data Additive'!$Q:$Q,"&gt;=-120")</f>
        <v>0</v>
      </c>
      <c r="T110" s="19">
        <f>SUMIFS('Data Additive'!$D:$D,'Data Additive'!$P:$P,'Painel Additive'!#REF!,'Data Additive'!$Q:$Q,"&lt;=-121",'Data Additive'!$Q:$Q,"&gt;=-180")</f>
        <v>0</v>
      </c>
      <c r="U110" s="19">
        <f>SUMIFS('Data Additive'!$D:$D,'Data Additive'!$P:$P,'Painel Additive'!#REF!,'Data Additive'!$Q:$Q,"&lt;=-181",'Data Additive'!$Q:$Q,"&gt;=-360")</f>
        <v>0</v>
      </c>
      <c r="V110" s="23">
        <f>SUMIFS('Data Additive'!$D:$D,'Data Additive'!$P:$P,'Painel Additive'!#REF!,'Data Additive'!$Q:$Q,"&lt;-360")</f>
        <v>0</v>
      </c>
      <c r="W110" s="19" t="e">
        <f>SUMIFS('Bad Debt Provision'!#REF!,'Bad Debt Provision'!#REF!,'Painel Additive'!#REF!)</f>
        <v>#REF!</v>
      </c>
      <c r="X110" s="5"/>
      <c r="Y110" s="20"/>
      <c r="Z110" s="20"/>
      <c r="AA110" s="21"/>
      <c r="AB110" s="5"/>
      <c r="AC110" s="19"/>
      <c r="AD110" s="20"/>
      <c r="AE110" s="22"/>
      <c r="AF110" s="22"/>
      <c r="AG110" s="5"/>
      <c r="AH110" s="28">
        <f t="shared" si="17"/>
        <v>0</v>
      </c>
      <c r="AI110" s="5"/>
    </row>
    <row r="111" spans="2:35" x14ac:dyDescent="0.25">
      <c r="B111" s="17" t="s">
        <v>111</v>
      </c>
      <c r="C111" s="93" t="str" cm="1">
        <f t="array" ref="C111">IFERROR(INDEX('Limite de crédito'!$D:$D, MATCH(MAX(IF('Limite de crédito'!$C:$C=$B111, 'Limite de crédito'!$A:$A)), 'Limite de crédito'!$A:$A, 0)),"")</f>
        <v/>
      </c>
      <c r="D111" s="18" cm="1">
        <f t="array" ref="D111">IFERROR(INDEX('Limite de crédito'!$F:$F, MATCH(MAX(IF('Limite de crédito'!$C:$C=$B111, 'Limite de crédito'!$A:$A)), 'Limite de crédito'!$A:$A, 0)),0)</f>
        <v>0</v>
      </c>
      <c r="E111" s="18">
        <f t="shared" si="14"/>
        <v>0</v>
      </c>
      <c r="F111" s="18">
        <f t="shared" si="15"/>
        <v>0</v>
      </c>
      <c r="G111" s="19">
        <f>SUMIFS('Data Additive'!$D:$D,'Data Additive'!$P:$P,'Painel Additive'!#REF!,'Data Additive'!$Q:$Q,"&gt;0",'Data Additive'!$Q:$Q,"&lt;=30")</f>
        <v>0</v>
      </c>
      <c r="H111" s="19">
        <f>SUMIFS('Data Additive'!$D:$D,'Data Additive'!$P:$P,'Painel Additive'!#REF!,'Data Additive'!$Q:$Q,"&gt;30",'Data Additive'!$Q:$Q,"&lt;=60")</f>
        <v>0</v>
      </c>
      <c r="I111" s="19">
        <f>SUMIFS('Data Additive'!$D:$D,'Data Additive'!$P:$P,'Painel Additive'!#REF!,'Data Additive'!$Q:$Q,"&gt;60",'Data Additive'!$Q:$Q,"&lt;=90")</f>
        <v>0</v>
      </c>
      <c r="J111" s="19">
        <f>SUMIFS('Data Additive'!$D:$D,'Data Additive'!$P:$P,'Painel Additive'!#REF!,'Data Additive'!$Q:$Q,"&gt;90",'Data Additive'!$Q:$Q,"&lt;=120")</f>
        <v>0</v>
      </c>
      <c r="K111" s="19">
        <f>SUMIFS('Data Additive'!$D:$D,'Data Additive'!$P:$P,'Painel Additive'!#REF!,'Data Additive'!$Q:$Q,"&gt;120",'Data Additive'!$Q:$Q,"&lt;=180")</f>
        <v>0</v>
      </c>
      <c r="L111" s="19">
        <f>SUMIFS('Data Additive'!$D:$D,'Data Additive'!$P:$P,'Painel Additive'!#REF!,'Data Additive'!$Q:$Q,"&gt;180",'Data Additive'!$Q:$Q,"&lt;=360")</f>
        <v>0</v>
      </c>
      <c r="M111" s="23">
        <f>SUMIFS('Data Additive'!$D:$D,'Data Additive'!$P:$P,'Painel Additive'!#REF!,'Data Additive'!$Q:$Q,"&gt;360")</f>
        <v>0</v>
      </c>
      <c r="N111" s="19">
        <f>SUMIFS('Data Additive'!$D:$D,'Data Additive'!$P:$P,'Painel Additive'!#REF!,'Data Additive'!$Q:$Q,"&gt;0")</f>
        <v>0</v>
      </c>
      <c r="O111" s="19">
        <f t="shared" si="16"/>
        <v>0</v>
      </c>
      <c r="P111" s="19">
        <f>SUMIFS('Data Additive'!$D:$D,'Data Additive'!$P:$P,'Painel Additive'!#REF!,'Data Additive'!$Q:$Q,"&lt;=0",'Data Additive'!$Q:$Q,"&gt;=-30")</f>
        <v>0</v>
      </c>
      <c r="Q111" s="19">
        <f>SUMIFS('Data Additive'!$D:$D,'Data Additive'!$P:$P,'Painel Additive'!#REF!,'Data Additive'!$Q:$Q,"&lt;=-31",'Data Additive'!$Q:$Q,"&gt;=-60")</f>
        <v>0</v>
      </c>
      <c r="R111" s="19">
        <f>SUMIFS('Data Additive'!$D:$D,'Data Additive'!$P:$P,'Painel Additive'!#REF!,'Data Additive'!$Q:$Q,"&lt;=-61",'Data Additive'!$Q:$Q,"&gt;=-90")</f>
        <v>0</v>
      </c>
      <c r="S111" s="19">
        <f>SUMIFS('Data Additive'!$D:$D,'Data Additive'!$P:$P,'Painel Additive'!#REF!,'Data Additive'!$Q:$Q,"&lt;=-91",'Data Additive'!$Q:$Q,"&gt;=-120")</f>
        <v>0</v>
      </c>
      <c r="T111" s="19">
        <f>SUMIFS('Data Additive'!$D:$D,'Data Additive'!$P:$P,'Painel Additive'!#REF!,'Data Additive'!$Q:$Q,"&lt;=-121",'Data Additive'!$Q:$Q,"&gt;=-180")</f>
        <v>0</v>
      </c>
      <c r="U111" s="19">
        <f>SUMIFS('Data Additive'!$D:$D,'Data Additive'!$P:$P,'Painel Additive'!#REF!,'Data Additive'!$Q:$Q,"&lt;=-181",'Data Additive'!$Q:$Q,"&gt;=-360")</f>
        <v>0</v>
      </c>
      <c r="V111" s="23">
        <f>SUMIFS('Data Additive'!$D:$D,'Data Additive'!$P:$P,'Painel Additive'!#REF!,'Data Additive'!$Q:$Q,"&lt;-360")</f>
        <v>0</v>
      </c>
      <c r="W111" s="19" t="e">
        <f>SUMIFS('Bad Debt Provision'!#REF!,'Bad Debt Provision'!#REF!,'Painel Additive'!#REF!)</f>
        <v>#REF!</v>
      </c>
      <c r="X111" s="5"/>
      <c r="Y111" s="20"/>
      <c r="Z111" s="20"/>
      <c r="AA111" s="21"/>
      <c r="AB111" s="5"/>
      <c r="AC111" s="19"/>
      <c r="AD111" s="20"/>
      <c r="AE111" s="22"/>
      <c r="AF111" s="22"/>
      <c r="AG111" s="5"/>
      <c r="AH111" s="28">
        <f t="shared" si="17"/>
        <v>0</v>
      </c>
      <c r="AI111" s="5"/>
    </row>
    <row r="112" spans="2:35" x14ac:dyDescent="0.25">
      <c r="B112" s="17" t="s">
        <v>119</v>
      </c>
      <c r="C112" s="93" t="str" cm="1">
        <f t="array" ref="C112">IFERROR(INDEX('Limite de crédito'!$D:$D, MATCH(MAX(IF('Limite de crédito'!$C:$C=$B112, 'Limite de crédito'!$A:$A)), 'Limite de crédito'!$A:$A, 0)),"")</f>
        <v/>
      </c>
      <c r="D112" s="18" cm="1">
        <f t="array" ref="D112">IFERROR(INDEX('Limite de crédito'!$F:$F, MATCH(MAX(IF('Limite de crédito'!$C:$C=$B112, 'Limite de crédito'!$A:$A)), 'Limite de crédito'!$A:$A, 0)),0)</f>
        <v>0</v>
      </c>
      <c r="E112" s="18">
        <f t="shared" si="14"/>
        <v>0</v>
      </c>
      <c r="F112" s="18">
        <f t="shared" si="15"/>
        <v>0</v>
      </c>
      <c r="G112" s="19">
        <f>SUMIFS('Data Additive'!$D:$D,'Data Additive'!$P:$P,'Painel Additive'!#REF!,'Data Additive'!$Q:$Q,"&gt;0",'Data Additive'!$Q:$Q,"&lt;=30")</f>
        <v>0</v>
      </c>
      <c r="H112" s="19">
        <f>SUMIFS('Data Additive'!$D:$D,'Data Additive'!$P:$P,'Painel Additive'!#REF!,'Data Additive'!$Q:$Q,"&gt;30",'Data Additive'!$Q:$Q,"&lt;=60")</f>
        <v>0</v>
      </c>
      <c r="I112" s="19">
        <f>SUMIFS('Data Additive'!$D:$D,'Data Additive'!$P:$P,'Painel Additive'!#REF!,'Data Additive'!$Q:$Q,"&gt;60",'Data Additive'!$Q:$Q,"&lt;=90")</f>
        <v>0</v>
      </c>
      <c r="J112" s="19">
        <f>SUMIFS('Data Additive'!$D:$D,'Data Additive'!$P:$P,'Painel Additive'!#REF!,'Data Additive'!$Q:$Q,"&gt;90",'Data Additive'!$Q:$Q,"&lt;=120")</f>
        <v>0</v>
      </c>
      <c r="K112" s="19">
        <f>SUMIFS('Data Additive'!$D:$D,'Data Additive'!$P:$P,'Painel Additive'!#REF!,'Data Additive'!$Q:$Q,"&gt;120",'Data Additive'!$Q:$Q,"&lt;=180")</f>
        <v>0</v>
      </c>
      <c r="L112" s="19">
        <f>SUMIFS('Data Additive'!$D:$D,'Data Additive'!$P:$P,'Painel Additive'!#REF!,'Data Additive'!$Q:$Q,"&gt;180",'Data Additive'!$Q:$Q,"&lt;=360")</f>
        <v>0</v>
      </c>
      <c r="M112" s="23">
        <f>SUMIFS('Data Additive'!$D:$D,'Data Additive'!$P:$P,'Painel Additive'!#REF!,'Data Additive'!$Q:$Q,"&gt;360")</f>
        <v>0</v>
      </c>
      <c r="N112" s="19">
        <f>SUMIFS('Data Additive'!$D:$D,'Data Additive'!$P:$P,'Painel Additive'!#REF!,'Data Additive'!$Q:$Q,"&gt;0")</f>
        <v>0</v>
      </c>
      <c r="O112" s="19">
        <f t="shared" si="16"/>
        <v>0</v>
      </c>
      <c r="P112" s="19">
        <f>SUMIFS('Data Additive'!$D:$D,'Data Additive'!$P:$P,'Painel Additive'!#REF!,'Data Additive'!$Q:$Q,"&lt;=0",'Data Additive'!$Q:$Q,"&gt;=-30")</f>
        <v>0</v>
      </c>
      <c r="Q112" s="19">
        <f>SUMIFS('Data Additive'!$D:$D,'Data Additive'!$P:$P,'Painel Additive'!#REF!,'Data Additive'!$Q:$Q,"&lt;=-31",'Data Additive'!$Q:$Q,"&gt;=-60")</f>
        <v>0</v>
      </c>
      <c r="R112" s="19">
        <f>SUMIFS('Data Additive'!$D:$D,'Data Additive'!$P:$P,'Painel Additive'!#REF!,'Data Additive'!$Q:$Q,"&lt;=-61",'Data Additive'!$Q:$Q,"&gt;=-90")</f>
        <v>0</v>
      </c>
      <c r="S112" s="19">
        <f>SUMIFS('Data Additive'!$D:$D,'Data Additive'!$P:$P,'Painel Additive'!#REF!,'Data Additive'!$Q:$Q,"&lt;=-91",'Data Additive'!$Q:$Q,"&gt;=-120")</f>
        <v>0</v>
      </c>
      <c r="T112" s="19">
        <f>SUMIFS('Data Additive'!$D:$D,'Data Additive'!$P:$P,'Painel Additive'!#REF!,'Data Additive'!$Q:$Q,"&lt;=-121",'Data Additive'!$Q:$Q,"&gt;=-180")</f>
        <v>0</v>
      </c>
      <c r="U112" s="19">
        <f>SUMIFS('Data Additive'!$D:$D,'Data Additive'!$P:$P,'Painel Additive'!#REF!,'Data Additive'!$Q:$Q,"&lt;=-181",'Data Additive'!$Q:$Q,"&gt;=-360")</f>
        <v>0</v>
      </c>
      <c r="V112" s="23">
        <f>SUMIFS('Data Additive'!$D:$D,'Data Additive'!$P:$P,'Painel Additive'!#REF!,'Data Additive'!$Q:$Q,"&lt;-360")</f>
        <v>0</v>
      </c>
      <c r="W112" s="19" t="e">
        <f>SUMIFS('Bad Debt Provision'!#REF!,'Bad Debt Provision'!#REF!,'Painel Additive'!#REF!)</f>
        <v>#REF!</v>
      </c>
      <c r="X112" s="5"/>
      <c r="Y112" s="20"/>
      <c r="Z112" s="20"/>
      <c r="AA112" s="21"/>
      <c r="AB112" s="5"/>
      <c r="AC112" s="19"/>
      <c r="AD112" s="20"/>
      <c r="AE112" s="22"/>
      <c r="AF112" s="22"/>
      <c r="AG112" s="5"/>
      <c r="AH112" s="28">
        <f t="shared" si="17"/>
        <v>0</v>
      </c>
      <c r="AI112" s="5"/>
    </row>
    <row r="113" spans="2:35" x14ac:dyDescent="0.25">
      <c r="B113" s="17" t="s">
        <v>140</v>
      </c>
      <c r="C113" s="93" t="str" cm="1">
        <f t="array" ref="C113">IFERROR(INDEX('Limite de crédito'!$D:$D, MATCH(MAX(IF('Limite de crédito'!$C:$C=$B113, 'Limite de crédito'!$A:$A)), 'Limite de crédito'!$A:$A, 0)),"")</f>
        <v/>
      </c>
      <c r="D113" s="18" cm="1">
        <f t="array" ref="D113">IFERROR(INDEX('Limite de crédito'!$F:$F, MATCH(MAX(IF('Limite de crédito'!$C:$C=$B113, 'Limite de crédito'!$A:$A)), 'Limite de crédito'!$A:$A, 0)),0)</f>
        <v>0</v>
      </c>
      <c r="E113" s="18">
        <f t="shared" si="14"/>
        <v>0</v>
      </c>
      <c r="F113" s="18">
        <f t="shared" si="15"/>
        <v>0</v>
      </c>
      <c r="G113" s="19">
        <f>SUMIFS('Data Additive'!$D:$D,'Data Additive'!$P:$P,'Painel Additive'!#REF!,'Data Additive'!$Q:$Q,"&gt;0",'Data Additive'!$Q:$Q,"&lt;=30")</f>
        <v>0</v>
      </c>
      <c r="H113" s="19">
        <f>SUMIFS('Data Additive'!$D:$D,'Data Additive'!$P:$P,'Painel Additive'!#REF!,'Data Additive'!$Q:$Q,"&gt;30",'Data Additive'!$Q:$Q,"&lt;=60")</f>
        <v>0</v>
      </c>
      <c r="I113" s="19">
        <f>SUMIFS('Data Additive'!$D:$D,'Data Additive'!$P:$P,'Painel Additive'!#REF!,'Data Additive'!$Q:$Q,"&gt;60",'Data Additive'!$Q:$Q,"&lt;=90")</f>
        <v>0</v>
      </c>
      <c r="J113" s="19">
        <f>SUMIFS('Data Additive'!$D:$D,'Data Additive'!$P:$P,'Painel Additive'!#REF!,'Data Additive'!$Q:$Q,"&gt;90",'Data Additive'!$Q:$Q,"&lt;=120")</f>
        <v>0</v>
      </c>
      <c r="K113" s="19">
        <f>SUMIFS('Data Additive'!$D:$D,'Data Additive'!$P:$P,'Painel Additive'!#REF!,'Data Additive'!$Q:$Q,"&gt;120",'Data Additive'!$Q:$Q,"&lt;=180")</f>
        <v>0</v>
      </c>
      <c r="L113" s="19">
        <f>SUMIFS('Data Additive'!$D:$D,'Data Additive'!$P:$P,'Painel Additive'!#REF!,'Data Additive'!$Q:$Q,"&gt;180",'Data Additive'!$Q:$Q,"&lt;=360")</f>
        <v>0</v>
      </c>
      <c r="M113" s="23">
        <f>SUMIFS('Data Additive'!$D:$D,'Data Additive'!$P:$P,'Painel Additive'!#REF!,'Data Additive'!$Q:$Q,"&gt;360")</f>
        <v>0</v>
      </c>
      <c r="N113" s="19">
        <f>SUMIFS('Data Additive'!$D:$D,'Data Additive'!$P:$P,'Painel Additive'!#REF!,'Data Additive'!$Q:$Q,"&gt;0")</f>
        <v>0</v>
      </c>
      <c r="O113" s="19">
        <f t="shared" si="16"/>
        <v>0</v>
      </c>
      <c r="P113" s="19">
        <f>SUMIFS('Data Additive'!$D:$D,'Data Additive'!$P:$P,'Painel Additive'!#REF!,'Data Additive'!$Q:$Q,"&lt;=0",'Data Additive'!$Q:$Q,"&gt;=-30")</f>
        <v>0</v>
      </c>
      <c r="Q113" s="19">
        <f>SUMIFS('Data Additive'!$D:$D,'Data Additive'!$P:$P,'Painel Additive'!#REF!,'Data Additive'!$Q:$Q,"&lt;=-31",'Data Additive'!$Q:$Q,"&gt;=-60")</f>
        <v>0</v>
      </c>
      <c r="R113" s="19">
        <f>SUMIFS('Data Additive'!$D:$D,'Data Additive'!$P:$P,'Painel Additive'!#REF!,'Data Additive'!$Q:$Q,"&lt;=-61",'Data Additive'!$Q:$Q,"&gt;=-90")</f>
        <v>0</v>
      </c>
      <c r="S113" s="19">
        <f>SUMIFS('Data Additive'!$D:$D,'Data Additive'!$P:$P,'Painel Additive'!#REF!,'Data Additive'!$Q:$Q,"&lt;=-91",'Data Additive'!$Q:$Q,"&gt;=-120")</f>
        <v>0</v>
      </c>
      <c r="T113" s="19">
        <f>SUMIFS('Data Additive'!$D:$D,'Data Additive'!$P:$P,'Painel Additive'!#REF!,'Data Additive'!$Q:$Q,"&lt;=-121",'Data Additive'!$Q:$Q,"&gt;=-180")</f>
        <v>0</v>
      </c>
      <c r="U113" s="19">
        <f>SUMIFS('Data Additive'!$D:$D,'Data Additive'!$P:$P,'Painel Additive'!#REF!,'Data Additive'!$Q:$Q,"&lt;=-181",'Data Additive'!$Q:$Q,"&gt;=-360")</f>
        <v>0</v>
      </c>
      <c r="V113" s="23">
        <f>SUMIFS('Data Additive'!$D:$D,'Data Additive'!$P:$P,'Painel Additive'!#REF!,'Data Additive'!$Q:$Q,"&lt;-360")</f>
        <v>0</v>
      </c>
      <c r="W113" s="19" t="e">
        <f>SUMIFS('Bad Debt Provision'!#REF!,'Bad Debt Provision'!#REF!,'Painel Additive'!#REF!)</f>
        <v>#REF!</v>
      </c>
      <c r="X113" s="5"/>
      <c r="Y113" s="20"/>
      <c r="Z113" s="20"/>
      <c r="AA113" s="21"/>
      <c r="AB113" s="5"/>
      <c r="AC113" s="19"/>
      <c r="AD113" s="20"/>
      <c r="AE113" s="22"/>
      <c r="AF113" s="22"/>
      <c r="AG113" s="5"/>
      <c r="AH113" s="28">
        <f t="shared" si="17"/>
        <v>0</v>
      </c>
      <c r="AI113" s="5"/>
    </row>
    <row r="114" spans="2:35" x14ac:dyDescent="0.25">
      <c r="B114" s="17" t="s">
        <v>120</v>
      </c>
      <c r="C114" s="93" t="str" cm="1">
        <f t="array" ref="C114">IFERROR(INDEX('Limite de crédito'!$D:$D, MATCH(MAX(IF('Limite de crédito'!$C:$C=$B114, 'Limite de crédito'!$A:$A)), 'Limite de crédito'!$A:$A, 0)),"")</f>
        <v/>
      </c>
      <c r="D114" s="18" cm="1">
        <f t="array" ref="D114">IFERROR(INDEX('Limite de crédito'!$F:$F, MATCH(MAX(IF('Limite de crédito'!$C:$C=$B114, 'Limite de crédito'!$A:$A)), 'Limite de crédito'!$A:$A, 0)),0)</f>
        <v>0</v>
      </c>
      <c r="E114" s="18">
        <f t="shared" si="14"/>
        <v>0</v>
      </c>
      <c r="F114" s="18">
        <f t="shared" si="15"/>
        <v>0</v>
      </c>
      <c r="G114" s="19">
        <f>SUMIFS('Data Additive'!$D:$D,'Data Additive'!$P:$P,'Painel Additive'!#REF!,'Data Additive'!$Q:$Q,"&gt;0",'Data Additive'!$Q:$Q,"&lt;=30")</f>
        <v>0</v>
      </c>
      <c r="H114" s="19">
        <f>SUMIFS('Data Additive'!$D:$D,'Data Additive'!$P:$P,'Painel Additive'!#REF!,'Data Additive'!$Q:$Q,"&gt;30",'Data Additive'!$Q:$Q,"&lt;=60")</f>
        <v>0</v>
      </c>
      <c r="I114" s="19">
        <f>SUMIFS('Data Additive'!$D:$D,'Data Additive'!$P:$P,'Painel Additive'!#REF!,'Data Additive'!$Q:$Q,"&gt;60",'Data Additive'!$Q:$Q,"&lt;=90")</f>
        <v>0</v>
      </c>
      <c r="J114" s="19">
        <f>SUMIFS('Data Additive'!$D:$D,'Data Additive'!$P:$P,'Painel Additive'!#REF!,'Data Additive'!$Q:$Q,"&gt;90",'Data Additive'!$Q:$Q,"&lt;=120")</f>
        <v>0</v>
      </c>
      <c r="K114" s="19">
        <f>SUMIFS('Data Additive'!$D:$D,'Data Additive'!$P:$P,'Painel Additive'!#REF!,'Data Additive'!$Q:$Q,"&gt;120",'Data Additive'!$Q:$Q,"&lt;=180")</f>
        <v>0</v>
      </c>
      <c r="L114" s="19">
        <f>SUMIFS('Data Additive'!$D:$D,'Data Additive'!$P:$P,'Painel Additive'!#REF!,'Data Additive'!$Q:$Q,"&gt;180",'Data Additive'!$Q:$Q,"&lt;=360")</f>
        <v>0</v>
      </c>
      <c r="M114" s="23">
        <f>SUMIFS('Data Additive'!$D:$D,'Data Additive'!$P:$P,'Painel Additive'!#REF!,'Data Additive'!$Q:$Q,"&gt;360")</f>
        <v>0</v>
      </c>
      <c r="N114" s="19">
        <f>SUMIFS('Data Additive'!$D:$D,'Data Additive'!$P:$P,'Painel Additive'!#REF!,'Data Additive'!$Q:$Q,"&gt;0")</f>
        <v>0</v>
      </c>
      <c r="O114" s="19">
        <f t="shared" si="16"/>
        <v>0</v>
      </c>
      <c r="P114" s="19">
        <f>SUMIFS('Data Additive'!$D:$D,'Data Additive'!$P:$P,'Painel Additive'!#REF!,'Data Additive'!$Q:$Q,"&lt;=0",'Data Additive'!$Q:$Q,"&gt;=-30")</f>
        <v>0</v>
      </c>
      <c r="Q114" s="19">
        <f>SUMIFS('Data Additive'!$D:$D,'Data Additive'!$P:$P,'Painel Additive'!#REF!,'Data Additive'!$Q:$Q,"&lt;=-31",'Data Additive'!$Q:$Q,"&gt;=-60")</f>
        <v>0</v>
      </c>
      <c r="R114" s="19">
        <f>SUMIFS('Data Additive'!$D:$D,'Data Additive'!$P:$P,'Painel Additive'!#REF!,'Data Additive'!$Q:$Q,"&lt;=-61",'Data Additive'!$Q:$Q,"&gt;=-90")</f>
        <v>0</v>
      </c>
      <c r="S114" s="19">
        <f>SUMIFS('Data Additive'!$D:$D,'Data Additive'!$P:$P,'Painel Additive'!#REF!,'Data Additive'!$Q:$Q,"&lt;=-91",'Data Additive'!$Q:$Q,"&gt;=-120")</f>
        <v>0</v>
      </c>
      <c r="T114" s="19">
        <f>SUMIFS('Data Additive'!$D:$D,'Data Additive'!$P:$P,'Painel Additive'!#REF!,'Data Additive'!$Q:$Q,"&lt;=-121",'Data Additive'!$Q:$Q,"&gt;=-180")</f>
        <v>0</v>
      </c>
      <c r="U114" s="19">
        <f>SUMIFS('Data Additive'!$D:$D,'Data Additive'!$P:$P,'Painel Additive'!#REF!,'Data Additive'!$Q:$Q,"&lt;=-181",'Data Additive'!$Q:$Q,"&gt;=-360")</f>
        <v>0</v>
      </c>
      <c r="V114" s="23">
        <f>SUMIFS('Data Additive'!$D:$D,'Data Additive'!$P:$P,'Painel Additive'!#REF!,'Data Additive'!$Q:$Q,"&lt;-360")</f>
        <v>0</v>
      </c>
      <c r="W114" s="19" t="e">
        <f>SUMIFS('Bad Debt Provision'!#REF!,'Bad Debt Provision'!#REF!,'Painel Additive'!#REF!)</f>
        <v>#REF!</v>
      </c>
      <c r="X114" s="5"/>
      <c r="Y114" s="20"/>
      <c r="Z114" s="20"/>
      <c r="AA114" s="21"/>
      <c r="AB114" s="5"/>
      <c r="AC114" s="19"/>
      <c r="AD114" s="20"/>
      <c r="AE114" s="22"/>
      <c r="AF114" s="22"/>
      <c r="AG114" s="5"/>
      <c r="AH114" s="28">
        <f t="shared" si="17"/>
        <v>0</v>
      </c>
      <c r="AI114" s="5"/>
    </row>
    <row r="115" spans="2:35" x14ac:dyDescent="0.25">
      <c r="B115" s="17" t="s">
        <v>214</v>
      </c>
      <c r="C115" s="93" t="str" cm="1">
        <f t="array" ref="C115">IFERROR(INDEX('Limite de crédito'!$D:$D, MATCH(MAX(IF('Limite de crédito'!$C:$C=$B115, 'Limite de crédito'!$A:$A)), 'Limite de crédito'!$A:$A, 0)),"")</f>
        <v/>
      </c>
      <c r="D115" s="18" cm="1">
        <f t="array" ref="D115">IFERROR(INDEX('Limite de crédito'!$F:$F, MATCH(MAX(IF('Limite de crédito'!$C:$C=$B115, 'Limite de crédito'!$A:$A)), 'Limite de crédito'!$A:$A, 0)),0)</f>
        <v>0</v>
      </c>
      <c r="E115" s="18">
        <f t="shared" si="14"/>
        <v>0</v>
      </c>
      <c r="F115" s="18">
        <f t="shared" si="15"/>
        <v>0</v>
      </c>
      <c r="G115" s="19">
        <f>SUMIFS('Data Additive'!$D:$D,'Data Additive'!$P:$P,'Painel Additive'!#REF!,'Data Additive'!$Q:$Q,"&gt;0",'Data Additive'!$Q:$Q,"&lt;=30")</f>
        <v>0</v>
      </c>
      <c r="H115" s="19">
        <f>SUMIFS('Data Additive'!$D:$D,'Data Additive'!$P:$P,'Painel Additive'!#REF!,'Data Additive'!$Q:$Q,"&gt;30",'Data Additive'!$Q:$Q,"&lt;=60")</f>
        <v>0</v>
      </c>
      <c r="I115" s="19">
        <f>SUMIFS('Data Additive'!$D:$D,'Data Additive'!$P:$P,'Painel Additive'!#REF!,'Data Additive'!$Q:$Q,"&gt;60",'Data Additive'!$Q:$Q,"&lt;=90")</f>
        <v>0</v>
      </c>
      <c r="J115" s="19">
        <f>SUMIFS('Data Additive'!$D:$D,'Data Additive'!$P:$P,'Painel Additive'!#REF!,'Data Additive'!$Q:$Q,"&gt;90",'Data Additive'!$Q:$Q,"&lt;=120")</f>
        <v>0</v>
      </c>
      <c r="K115" s="19">
        <f>SUMIFS('Data Additive'!$D:$D,'Data Additive'!$P:$P,'Painel Additive'!#REF!,'Data Additive'!$Q:$Q,"&gt;120",'Data Additive'!$Q:$Q,"&lt;=180")</f>
        <v>0</v>
      </c>
      <c r="L115" s="19">
        <f>SUMIFS('Data Additive'!$D:$D,'Data Additive'!$P:$P,'Painel Additive'!#REF!,'Data Additive'!$Q:$Q,"&gt;180",'Data Additive'!$Q:$Q,"&lt;=360")</f>
        <v>0</v>
      </c>
      <c r="M115" s="23">
        <f>SUMIFS('Data Additive'!$D:$D,'Data Additive'!$P:$P,'Painel Additive'!#REF!,'Data Additive'!$Q:$Q,"&gt;360")</f>
        <v>0</v>
      </c>
      <c r="N115" s="19">
        <f>SUMIFS('Data Additive'!$D:$D,'Data Additive'!$P:$P,'Painel Additive'!#REF!,'Data Additive'!$Q:$Q,"&gt;0")</f>
        <v>0</v>
      </c>
      <c r="O115" s="19">
        <f t="shared" si="16"/>
        <v>0</v>
      </c>
      <c r="P115" s="19">
        <f>SUMIFS('Data Additive'!$D:$D,'Data Additive'!$P:$P,'Painel Additive'!#REF!,'Data Additive'!$Q:$Q,"&lt;=0",'Data Additive'!$Q:$Q,"&gt;=-30")</f>
        <v>0</v>
      </c>
      <c r="Q115" s="19">
        <f>SUMIFS('Data Additive'!$D:$D,'Data Additive'!$P:$P,'Painel Additive'!#REF!,'Data Additive'!$Q:$Q,"&lt;=-31",'Data Additive'!$Q:$Q,"&gt;=-60")</f>
        <v>0</v>
      </c>
      <c r="R115" s="19">
        <f>SUMIFS('Data Additive'!$D:$D,'Data Additive'!$P:$P,'Painel Additive'!#REF!,'Data Additive'!$Q:$Q,"&lt;=-61",'Data Additive'!$Q:$Q,"&gt;=-90")</f>
        <v>0</v>
      </c>
      <c r="S115" s="19">
        <f>SUMIFS('Data Additive'!$D:$D,'Data Additive'!$P:$P,'Painel Additive'!#REF!,'Data Additive'!$Q:$Q,"&lt;=-91",'Data Additive'!$Q:$Q,"&gt;=-120")</f>
        <v>0</v>
      </c>
      <c r="T115" s="19">
        <f>SUMIFS('Data Additive'!$D:$D,'Data Additive'!$P:$P,'Painel Additive'!#REF!,'Data Additive'!$Q:$Q,"&lt;=-121",'Data Additive'!$Q:$Q,"&gt;=-180")</f>
        <v>0</v>
      </c>
      <c r="U115" s="19">
        <f>SUMIFS('Data Additive'!$D:$D,'Data Additive'!$P:$P,'Painel Additive'!#REF!,'Data Additive'!$Q:$Q,"&lt;=-181",'Data Additive'!$Q:$Q,"&gt;=-360")</f>
        <v>0</v>
      </c>
      <c r="V115" s="23">
        <f>SUMIFS('Data Additive'!$D:$D,'Data Additive'!$P:$P,'Painel Additive'!#REF!,'Data Additive'!$Q:$Q,"&lt;-360")</f>
        <v>0</v>
      </c>
      <c r="W115" s="19" t="e">
        <f>SUMIFS('Bad Debt Provision'!#REF!,'Bad Debt Provision'!#REF!,'Painel Additive'!#REF!)</f>
        <v>#REF!</v>
      </c>
      <c r="X115" s="5"/>
      <c r="Y115" s="20"/>
      <c r="Z115" s="20"/>
      <c r="AA115" s="21"/>
      <c r="AB115" s="5"/>
      <c r="AC115" s="19"/>
      <c r="AD115" s="20"/>
      <c r="AE115" s="22"/>
      <c r="AF115" s="22"/>
      <c r="AG115" s="5"/>
      <c r="AH115" s="28">
        <f t="shared" si="17"/>
        <v>0</v>
      </c>
      <c r="AI115" s="5"/>
    </row>
    <row r="116" spans="2:35" x14ac:dyDescent="0.25">
      <c r="B116" s="17" t="s">
        <v>235</v>
      </c>
      <c r="C116" s="93" t="str" cm="1">
        <f t="array" ref="C116">IFERROR(INDEX('Limite de crédito'!$D:$D, MATCH(MAX(IF('Limite de crédito'!$C:$C=$B116, 'Limite de crédito'!$A:$A)), 'Limite de crédito'!$A:$A, 0)),"")</f>
        <v/>
      </c>
      <c r="D116" s="18" cm="1">
        <f t="array" ref="D116">IFERROR(INDEX('Limite de crédito'!$F:$F, MATCH(MAX(IF('Limite de crédito'!$C:$C=$B116, 'Limite de crédito'!$A:$A)), 'Limite de crédito'!$A:$A, 0)),0)</f>
        <v>0</v>
      </c>
      <c r="E116" s="18">
        <f t="shared" si="14"/>
        <v>0</v>
      </c>
      <c r="F116" s="18">
        <f t="shared" si="15"/>
        <v>0</v>
      </c>
      <c r="G116" s="19">
        <f>SUMIFS('Data Additive'!$D:$D,'Data Additive'!$P:$P,'Painel Additive'!#REF!,'Data Additive'!$Q:$Q,"&gt;0",'Data Additive'!$Q:$Q,"&lt;=30")</f>
        <v>0</v>
      </c>
      <c r="H116" s="19">
        <f>SUMIFS('Data Additive'!$D:$D,'Data Additive'!$P:$P,'Painel Additive'!#REF!,'Data Additive'!$Q:$Q,"&gt;30",'Data Additive'!$Q:$Q,"&lt;=60")</f>
        <v>0</v>
      </c>
      <c r="I116" s="19">
        <f>SUMIFS('Data Additive'!$D:$D,'Data Additive'!$P:$P,'Painel Additive'!#REF!,'Data Additive'!$Q:$Q,"&gt;60",'Data Additive'!$Q:$Q,"&lt;=90")</f>
        <v>0</v>
      </c>
      <c r="J116" s="19">
        <f>SUMIFS('Data Additive'!$D:$D,'Data Additive'!$P:$P,'Painel Additive'!#REF!,'Data Additive'!$Q:$Q,"&gt;90",'Data Additive'!$Q:$Q,"&lt;=120")</f>
        <v>0</v>
      </c>
      <c r="K116" s="19">
        <f>SUMIFS('Data Additive'!$D:$D,'Data Additive'!$P:$P,'Painel Additive'!#REF!,'Data Additive'!$Q:$Q,"&gt;120",'Data Additive'!$Q:$Q,"&lt;=180")</f>
        <v>0</v>
      </c>
      <c r="L116" s="19">
        <f>SUMIFS('Data Additive'!$D:$D,'Data Additive'!$P:$P,'Painel Additive'!#REF!,'Data Additive'!$Q:$Q,"&gt;180",'Data Additive'!$Q:$Q,"&lt;=360")</f>
        <v>0</v>
      </c>
      <c r="M116" s="23">
        <f>SUMIFS('Data Additive'!$D:$D,'Data Additive'!$P:$P,'Painel Additive'!#REF!,'Data Additive'!$Q:$Q,"&gt;360")</f>
        <v>0</v>
      </c>
      <c r="N116" s="19">
        <f>SUMIFS('Data Additive'!$D:$D,'Data Additive'!$P:$P,'Painel Additive'!#REF!,'Data Additive'!$Q:$Q,"&gt;0")</f>
        <v>0</v>
      </c>
      <c r="O116" s="19">
        <f t="shared" si="16"/>
        <v>0</v>
      </c>
      <c r="P116" s="19">
        <f>SUMIFS('Data Additive'!$D:$D,'Data Additive'!$P:$P,'Painel Additive'!#REF!,'Data Additive'!$Q:$Q,"&lt;=0",'Data Additive'!$Q:$Q,"&gt;=-30")</f>
        <v>0</v>
      </c>
      <c r="Q116" s="19">
        <f>SUMIFS('Data Additive'!$D:$D,'Data Additive'!$P:$P,'Painel Additive'!#REF!,'Data Additive'!$Q:$Q,"&lt;=-31",'Data Additive'!$Q:$Q,"&gt;=-60")</f>
        <v>0</v>
      </c>
      <c r="R116" s="19">
        <f>SUMIFS('Data Additive'!$D:$D,'Data Additive'!$P:$P,'Painel Additive'!#REF!,'Data Additive'!$Q:$Q,"&lt;=-61",'Data Additive'!$Q:$Q,"&gt;=-90")</f>
        <v>0</v>
      </c>
      <c r="S116" s="19">
        <f>SUMIFS('Data Additive'!$D:$D,'Data Additive'!$P:$P,'Painel Additive'!#REF!,'Data Additive'!$Q:$Q,"&lt;=-91",'Data Additive'!$Q:$Q,"&gt;=-120")</f>
        <v>0</v>
      </c>
      <c r="T116" s="19">
        <f>SUMIFS('Data Additive'!$D:$D,'Data Additive'!$P:$P,'Painel Additive'!#REF!,'Data Additive'!$Q:$Q,"&lt;=-121",'Data Additive'!$Q:$Q,"&gt;=-180")</f>
        <v>0</v>
      </c>
      <c r="U116" s="19">
        <f>SUMIFS('Data Additive'!$D:$D,'Data Additive'!$P:$P,'Painel Additive'!#REF!,'Data Additive'!$Q:$Q,"&lt;=-181",'Data Additive'!$Q:$Q,"&gt;=-360")</f>
        <v>0</v>
      </c>
      <c r="V116" s="23">
        <f>SUMIFS('Data Additive'!$D:$D,'Data Additive'!$P:$P,'Painel Additive'!#REF!,'Data Additive'!$Q:$Q,"&lt;-360")</f>
        <v>0</v>
      </c>
      <c r="W116" s="19" t="e">
        <f>SUMIFS('Bad Debt Provision'!#REF!,'Bad Debt Provision'!#REF!,'Painel Additive'!#REF!)</f>
        <v>#REF!</v>
      </c>
      <c r="X116" s="5"/>
      <c r="Y116" s="20"/>
      <c r="Z116" s="20"/>
      <c r="AA116" s="21"/>
      <c r="AB116" s="5"/>
      <c r="AC116" s="19"/>
      <c r="AD116" s="20"/>
      <c r="AE116" s="22"/>
      <c r="AF116" s="22"/>
      <c r="AG116" s="5"/>
      <c r="AH116" s="28">
        <f t="shared" si="17"/>
        <v>0</v>
      </c>
    </row>
    <row r="117" spans="2:35" x14ac:dyDescent="0.25">
      <c r="B117" s="17" t="s">
        <v>236</v>
      </c>
      <c r="C117" s="93" t="str" cm="1">
        <f t="array" ref="C117">IFERROR(INDEX('Limite de crédito'!$D:$D, MATCH(MAX(IF('Limite de crédito'!$C:$C=$B117, 'Limite de crédito'!$A:$A)), 'Limite de crédito'!$A:$A, 0)),"")</f>
        <v/>
      </c>
      <c r="D117" s="18" cm="1">
        <f t="array" ref="D117">IFERROR(INDEX('Limite de crédito'!$F:$F, MATCH(MAX(IF('Limite de crédito'!$C:$C=$B117, 'Limite de crédito'!$A:$A)), 'Limite de crédito'!$A:$A, 0)),0)</f>
        <v>0</v>
      </c>
      <c r="E117" s="18">
        <f t="shared" si="14"/>
        <v>0</v>
      </c>
      <c r="F117" s="18">
        <f t="shared" si="15"/>
        <v>0</v>
      </c>
      <c r="G117" s="19">
        <f>SUMIFS('Data Additive'!$D:$D,'Data Additive'!$P:$P,'Painel Additive'!#REF!,'Data Additive'!$Q:$Q,"&gt;0",'Data Additive'!$Q:$Q,"&lt;=30")</f>
        <v>0</v>
      </c>
      <c r="H117" s="19">
        <f>SUMIFS('Data Additive'!$D:$D,'Data Additive'!$P:$P,'Painel Additive'!#REF!,'Data Additive'!$Q:$Q,"&gt;30",'Data Additive'!$Q:$Q,"&lt;=60")</f>
        <v>0</v>
      </c>
      <c r="I117" s="19">
        <f>SUMIFS('Data Additive'!$D:$D,'Data Additive'!$P:$P,'Painel Additive'!#REF!,'Data Additive'!$Q:$Q,"&gt;60",'Data Additive'!$Q:$Q,"&lt;=90")</f>
        <v>0</v>
      </c>
      <c r="J117" s="19">
        <f>SUMIFS('Data Additive'!$D:$D,'Data Additive'!$P:$P,'Painel Additive'!#REF!,'Data Additive'!$Q:$Q,"&gt;90",'Data Additive'!$Q:$Q,"&lt;=120")</f>
        <v>0</v>
      </c>
      <c r="K117" s="19">
        <f>SUMIFS('Data Additive'!$D:$D,'Data Additive'!$P:$P,'Painel Additive'!#REF!,'Data Additive'!$Q:$Q,"&gt;120",'Data Additive'!$Q:$Q,"&lt;=180")</f>
        <v>0</v>
      </c>
      <c r="L117" s="19">
        <f>SUMIFS('Data Additive'!$D:$D,'Data Additive'!$P:$P,'Painel Additive'!#REF!,'Data Additive'!$Q:$Q,"&gt;180",'Data Additive'!$Q:$Q,"&lt;=360")</f>
        <v>0</v>
      </c>
      <c r="M117" s="23">
        <f>SUMIFS('Data Additive'!$D:$D,'Data Additive'!$P:$P,'Painel Additive'!#REF!,'Data Additive'!$Q:$Q,"&gt;360")</f>
        <v>0</v>
      </c>
      <c r="N117" s="19">
        <f>SUMIFS('Data Additive'!$D:$D,'Data Additive'!$P:$P,'Painel Additive'!#REF!,'Data Additive'!$Q:$Q,"&gt;0")</f>
        <v>0</v>
      </c>
      <c r="O117" s="19">
        <f t="shared" si="16"/>
        <v>0</v>
      </c>
      <c r="P117" s="19">
        <f>SUMIFS('Data Additive'!$D:$D,'Data Additive'!$P:$P,'Painel Additive'!#REF!,'Data Additive'!$Q:$Q,"&lt;=0",'Data Additive'!$Q:$Q,"&gt;=-30")</f>
        <v>0</v>
      </c>
      <c r="Q117" s="19">
        <f>SUMIFS('Data Additive'!$D:$D,'Data Additive'!$P:$P,'Painel Additive'!#REF!,'Data Additive'!$Q:$Q,"&lt;=-31",'Data Additive'!$Q:$Q,"&gt;=-60")</f>
        <v>0</v>
      </c>
      <c r="R117" s="19">
        <f>SUMIFS('Data Additive'!$D:$D,'Data Additive'!$P:$P,'Painel Additive'!#REF!,'Data Additive'!$Q:$Q,"&lt;=-61",'Data Additive'!$Q:$Q,"&gt;=-90")</f>
        <v>0</v>
      </c>
      <c r="S117" s="19">
        <f>SUMIFS('Data Additive'!$D:$D,'Data Additive'!$P:$P,'Painel Additive'!#REF!,'Data Additive'!$Q:$Q,"&lt;=-91",'Data Additive'!$Q:$Q,"&gt;=-120")</f>
        <v>0</v>
      </c>
      <c r="T117" s="19">
        <f>SUMIFS('Data Additive'!$D:$D,'Data Additive'!$P:$P,'Painel Additive'!#REF!,'Data Additive'!$Q:$Q,"&lt;=-121",'Data Additive'!$Q:$Q,"&gt;=-180")</f>
        <v>0</v>
      </c>
      <c r="U117" s="19">
        <f>SUMIFS('Data Additive'!$D:$D,'Data Additive'!$P:$P,'Painel Additive'!#REF!,'Data Additive'!$Q:$Q,"&lt;=-181",'Data Additive'!$Q:$Q,"&gt;=-360")</f>
        <v>0</v>
      </c>
      <c r="V117" s="23">
        <f>SUMIFS('Data Additive'!$D:$D,'Data Additive'!$P:$P,'Painel Additive'!#REF!,'Data Additive'!$Q:$Q,"&lt;-360")</f>
        <v>0</v>
      </c>
      <c r="W117" s="19" t="e">
        <f>SUMIFS('Bad Debt Provision'!#REF!,'Bad Debt Provision'!#REF!,'Painel Additive'!#REF!)</f>
        <v>#REF!</v>
      </c>
      <c r="X117" s="5"/>
      <c r="Y117" s="20"/>
      <c r="Z117" s="20"/>
      <c r="AA117" s="21"/>
      <c r="AB117" s="5"/>
      <c r="AC117" s="19"/>
      <c r="AD117" s="20"/>
      <c r="AE117" s="22"/>
      <c r="AF117" s="22"/>
      <c r="AG117" s="5"/>
      <c r="AH117" s="28">
        <f t="shared" si="17"/>
        <v>0</v>
      </c>
    </row>
    <row r="118" spans="2:35" x14ac:dyDescent="0.25">
      <c r="B118" s="17" t="s">
        <v>237</v>
      </c>
      <c r="C118" s="93" t="str" cm="1">
        <f t="array" ref="C118">IFERROR(INDEX('Limite de crédito'!$D:$D, MATCH(MAX(IF('Limite de crédito'!$C:$C=$B118, 'Limite de crédito'!$A:$A)), 'Limite de crédito'!$A:$A, 0)),"")</f>
        <v/>
      </c>
      <c r="D118" s="18" cm="1">
        <f t="array" ref="D118">IFERROR(INDEX('Limite de crédito'!$F:$F, MATCH(MAX(IF('Limite de crédito'!$C:$C=$B118, 'Limite de crédito'!$A:$A)), 'Limite de crédito'!$A:$A, 0)),0)</f>
        <v>0</v>
      </c>
      <c r="E118" s="18">
        <f t="shared" si="14"/>
        <v>0</v>
      </c>
      <c r="F118" s="18">
        <f t="shared" si="15"/>
        <v>0</v>
      </c>
      <c r="G118" s="19">
        <f>SUMIFS('Data Additive'!$D:$D,'Data Additive'!$P:$P,'Painel Additive'!#REF!,'Data Additive'!$Q:$Q,"&gt;0",'Data Additive'!$Q:$Q,"&lt;=30")</f>
        <v>0</v>
      </c>
      <c r="H118" s="19">
        <f>SUMIFS('Data Additive'!$D:$D,'Data Additive'!$P:$P,'Painel Additive'!#REF!,'Data Additive'!$Q:$Q,"&gt;30",'Data Additive'!$Q:$Q,"&lt;=60")</f>
        <v>0</v>
      </c>
      <c r="I118" s="19">
        <f>SUMIFS('Data Additive'!$D:$D,'Data Additive'!$P:$P,'Painel Additive'!#REF!,'Data Additive'!$Q:$Q,"&gt;60",'Data Additive'!$Q:$Q,"&lt;=90")</f>
        <v>0</v>
      </c>
      <c r="J118" s="19">
        <f>SUMIFS('Data Additive'!$D:$D,'Data Additive'!$P:$P,'Painel Additive'!#REF!,'Data Additive'!$Q:$Q,"&gt;90",'Data Additive'!$Q:$Q,"&lt;=120")</f>
        <v>0</v>
      </c>
      <c r="K118" s="19">
        <f>SUMIFS('Data Additive'!$D:$D,'Data Additive'!$P:$P,'Painel Additive'!#REF!,'Data Additive'!$Q:$Q,"&gt;120",'Data Additive'!$Q:$Q,"&lt;=180")</f>
        <v>0</v>
      </c>
      <c r="L118" s="19">
        <f>SUMIFS('Data Additive'!$D:$D,'Data Additive'!$P:$P,'Painel Additive'!#REF!,'Data Additive'!$Q:$Q,"&gt;180",'Data Additive'!$Q:$Q,"&lt;=360")</f>
        <v>0</v>
      </c>
      <c r="M118" s="23">
        <f>SUMIFS('Data Additive'!$D:$D,'Data Additive'!$P:$P,'Painel Additive'!#REF!,'Data Additive'!$Q:$Q,"&gt;360")</f>
        <v>0</v>
      </c>
      <c r="N118" s="19">
        <f>SUMIFS('Data Additive'!$D:$D,'Data Additive'!$P:$P,'Painel Additive'!#REF!,'Data Additive'!$Q:$Q,"&gt;0")</f>
        <v>0</v>
      </c>
      <c r="O118" s="19">
        <f t="shared" si="16"/>
        <v>0</v>
      </c>
      <c r="P118" s="19">
        <f>SUMIFS('Data Additive'!$D:$D,'Data Additive'!$P:$P,'Painel Additive'!#REF!,'Data Additive'!$Q:$Q,"&lt;=0",'Data Additive'!$Q:$Q,"&gt;=-30")</f>
        <v>0</v>
      </c>
      <c r="Q118" s="19">
        <f>SUMIFS('Data Additive'!$D:$D,'Data Additive'!$P:$P,'Painel Additive'!#REF!,'Data Additive'!$Q:$Q,"&lt;=-31",'Data Additive'!$Q:$Q,"&gt;=-60")</f>
        <v>0</v>
      </c>
      <c r="R118" s="19">
        <f>SUMIFS('Data Additive'!$D:$D,'Data Additive'!$P:$P,'Painel Additive'!#REF!,'Data Additive'!$Q:$Q,"&lt;=-61",'Data Additive'!$Q:$Q,"&gt;=-90")</f>
        <v>0</v>
      </c>
      <c r="S118" s="19">
        <f>SUMIFS('Data Additive'!$D:$D,'Data Additive'!$P:$P,'Painel Additive'!#REF!,'Data Additive'!$Q:$Q,"&lt;=-91",'Data Additive'!$Q:$Q,"&gt;=-120")</f>
        <v>0</v>
      </c>
      <c r="T118" s="19">
        <f>SUMIFS('Data Additive'!$D:$D,'Data Additive'!$P:$P,'Painel Additive'!#REF!,'Data Additive'!$Q:$Q,"&lt;=-121",'Data Additive'!$Q:$Q,"&gt;=-180")</f>
        <v>0</v>
      </c>
      <c r="U118" s="19">
        <f>SUMIFS('Data Additive'!$D:$D,'Data Additive'!$P:$P,'Painel Additive'!#REF!,'Data Additive'!$Q:$Q,"&lt;=-181",'Data Additive'!$Q:$Q,"&gt;=-360")</f>
        <v>0</v>
      </c>
      <c r="V118" s="23">
        <f>SUMIFS('Data Additive'!$D:$D,'Data Additive'!$P:$P,'Painel Additive'!#REF!,'Data Additive'!$Q:$Q,"&lt;-360")</f>
        <v>0</v>
      </c>
      <c r="W118" s="19" t="e">
        <f>SUMIFS('Bad Debt Provision'!#REF!,'Bad Debt Provision'!#REF!,'Painel Additive'!#REF!)</f>
        <v>#REF!</v>
      </c>
      <c r="X118" s="5"/>
      <c r="Y118" s="20"/>
      <c r="Z118" s="20"/>
      <c r="AA118" s="21"/>
      <c r="AB118" s="5"/>
      <c r="AC118" s="19"/>
      <c r="AD118" s="20"/>
      <c r="AE118" s="22"/>
      <c r="AF118" s="22"/>
      <c r="AG118" s="5"/>
      <c r="AH118" s="28">
        <f t="shared" si="17"/>
        <v>0</v>
      </c>
    </row>
    <row r="119" spans="2:35" x14ac:dyDescent="0.25">
      <c r="B119" s="17" t="s">
        <v>238</v>
      </c>
      <c r="C119" s="93" t="str" cm="1">
        <f t="array" ref="C119">IFERROR(INDEX('Limite de crédito'!$D:$D, MATCH(MAX(IF('Limite de crédito'!$C:$C=$B119, 'Limite de crédito'!$A:$A)), 'Limite de crédito'!$A:$A, 0)),"")</f>
        <v/>
      </c>
      <c r="D119" s="18" cm="1">
        <f t="array" ref="D119">IFERROR(INDEX('Limite de crédito'!$F:$F, MATCH(MAX(IF('Limite de crédito'!$C:$C=$B119, 'Limite de crédito'!$A:$A)), 'Limite de crédito'!$A:$A, 0)),0)</f>
        <v>0</v>
      </c>
      <c r="E119" s="18">
        <f t="shared" si="14"/>
        <v>0</v>
      </c>
      <c r="F119" s="18">
        <f t="shared" si="15"/>
        <v>0</v>
      </c>
      <c r="G119" s="19">
        <f>SUMIFS('Data Additive'!$D:$D,'Data Additive'!$P:$P,'Painel Additive'!#REF!,'Data Additive'!$Q:$Q,"&gt;0",'Data Additive'!$Q:$Q,"&lt;=30")</f>
        <v>0</v>
      </c>
      <c r="H119" s="19">
        <f>SUMIFS('Data Additive'!$D:$D,'Data Additive'!$P:$P,'Painel Additive'!#REF!,'Data Additive'!$Q:$Q,"&gt;30",'Data Additive'!$Q:$Q,"&lt;=60")</f>
        <v>0</v>
      </c>
      <c r="I119" s="19">
        <f>SUMIFS('Data Additive'!$D:$D,'Data Additive'!$P:$P,'Painel Additive'!#REF!,'Data Additive'!$Q:$Q,"&gt;60",'Data Additive'!$Q:$Q,"&lt;=90")</f>
        <v>0</v>
      </c>
      <c r="J119" s="19">
        <f>SUMIFS('Data Additive'!$D:$D,'Data Additive'!$P:$P,'Painel Additive'!#REF!,'Data Additive'!$Q:$Q,"&gt;90",'Data Additive'!$Q:$Q,"&lt;=120")</f>
        <v>0</v>
      </c>
      <c r="K119" s="19">
        <f>SUMIFS('Data Additive'!$D:$D,'Data Additive'!$P:$P,'Painel Additive'!#REF!,'Data Additive'!$Q:$Q,"&gt;120",'Data Additive'!$Q:$Q,"&lt;=180")</f>
        <v>0</v>
      </c>
      <c r="L119" s="19">
        <f>SUMIFS('Data Additive'!$D:$D,'Data Additive'!$P:$P,'Painel Additive'!#REF!,'Data Additive'!$Q:$Q,"&gt;180",'Data Additive'!$Q:$Q,"&lt;=360")</f>
        <v>0</v>
      </c>
      <c r="M119" s="23">
        <f>SUMIFS('Data Additive'!$D:$D,'Data Additive'!$P:$P,'Painel Additive'!#REF!,'Data Additive'!$Q:$Q,"&gt;360")</f>
        <v>0</v>
      </c>
      <c r="N119" s="19">
        <f>SUMIFS('Data Additive'!$D:$D,'Data Additive'!$P:$P,'Painel Additive'!#REF!,'Data Additive'!$Q:$Q,"&gt;0")</f>
        <v>0</v>
      </c>
      <c r="O119" s="19">
        <f t="shared" si="16"/>
        <v>0</v>
      </c>
      <c r="P119" s="19">
        <f>SUMIFS('Data Additive'!$D:$D,'Data Additive'!$P:$P,'Painel Additive'!#REF!,'Data Additive'!$Q:$Q,"&lt;=0",'Data Additive'!$Q:$Q,"&gt;=-30")</f>
        <v>0</v>
      </c>
      <c r="Q119" s="19">
        <f>SUMIFS('Data Additive'!$D:$D,'Data Additive'!$P:$P,'Painel Additive'!#REF!,'Data Additive'!$Q:$Q,"&lt;=-31",'Data Additive'!$Q:$Q,"&gt;=-60")</f>
        <v>0</v>
      </c>
      <c r="R119" s="19">
        <f>SUMIFS('Data Additive'!$D:$D,'Data Additive'!$P:$P,'Painel Additive'!#REF!,'Data Additive'!$Q:$Q,"&lt;=-61",'Data Additive'!$Q:$Q,"&gt;=-90")</f>
        <v>0</v>
      </c>
      <c r="S119" s="19">
        <f>SUMIFS('Data Additive'!$D:$D,'Data Additive'!$P:$P,'Painel Additive'!#REF!,'Data Additive'!$Q:$Q,"&lt;=-91",'Data Additive'!$Q:$Q,"&gt;=-120")</f>
        <v>0</v>
      </c>
      <c r="T119" s="19">
        <f>SUMIFS('Data Additive'!$D:$D,'Data Additive'!$P:$P,'Painel Additive'!#REF!,'Data Additive'!$Q:$Q,"&lt;=-121",'Data Additive'!$Q:$Q,"&gt;=-180")</f>
        <v>0</v>
      </c>
      <c r="U119" s="19">
        <f>SUMIFS('Data Additive'!$D:$D,'Data Additive'!$P:$P,'Painel Additive'!#REF!,'Data Additive'!$Q:$Q,"&lt;=-181",'Data Additive'!$Q:$Q,"&gt;=-360")</f>
        <v>0</v>
      </c>
      <c r="V119" s="23">
        <f>SUMIFS('Data Additive'!$D:$D,'Data Additive'!$P:$P,'Painel Additive'!#REF!,'Data Additive'!$Q:$Q,"&lt;-360")</f>
        <v>0</v>
      </c>
      <c r="W119" s="19" t="e">
        <f>SUMIFS('Bad Debt Provision'!#REF!,'Bad Debt Provision'!#REF!,'Painel Additive'!#REF!)</f>
        <v>#REF!</v>
      </c>
      <c r="X119" s="5"/>
      <c r="Y119" s="20"/>
      <c r="Z119" s="20"/>
      <c r="AA119" s="21"/>
      <c r="AB119" s="5"/>
      <c r="AC119" s="19"/>
      <c r="AD119" s="20"/>
      <c r="AE119" s="22"/>
      <c r="AF119" s="22"/>
      <c r="AG119" s="5"/>
      <c r="AH119" s="28">
        <f t="shared" si="17"/>
        <v>0</v>
      </c>
    </row>
    <row r="120" spans="2:35" x14ac:dyDescent="0.25">
      <c r="B120" s="17" t="s">
        <v>239</v>
      </c>
      <c r="C120" s="93" t="str" cm="1">
        <f t="array" ref="C120">IFERROR(INDEX('Limite de crédito'!$D:$D, MATCH(MAX(IF('Limite de crédito'!$C:$C=$B120, 'Limite de crédito'!$A:$A)), 'Limite de crédito'!$A:$A, 0)),"")</f>
        <v/>
      </c>
      <c r="D120" s="18" cm="1">
        <f t="array" ref="D120">IFERROR(INDEX('Limite de crédito'!$F:$F, MATCH(MAX(IF('Limite de crédito'!$C:$C=$B120, 'Limite de crédito'!$A:$A)), 'Limite de crédito'!$A:$A, 0)),0)</f>
        <v>0</v>
      </c>
      <c r="E120" s="18">
        <f t="shared" si="14"/>
        <v>0</v>
      </c>
      <c r="F120" s="18">
        <f t="shared" si="15"/>
        <v>0</v>
      </c>
      <c r="G120" s="19">
        <f>SUMIFS('Data Additive'!$D:$D,'Data Additive'!$P:$P,'Painel Additive'!#REF!,'Data Additive'!$Q:$Q,"&gt;0",'Data Additive'!$Q:$Q,"&lt;=30")</f>
        <v>0</v>
      </c>
      <c r="H120" s="19">
        <f>SUMIFS('Data Additive'!$D:$D,'Data Additive'!$P:$P,'Painel Additive'!#REF!,'Data Additive'!$Q:$Q,"&gt;30",'Data Additive'!$Q:$Q,"&lt;=60")</f>
        <v>0</v>
      </c>
      <c r="I120" s="19">
        <f>SUMIFS('Data Additive'!$D:$D,'Data Additive'!$P:$P,'Painel Additive'!#REF!,'Data Additive'!$Q:$Q,"&gt;60",'Data Additive'!$Q:$Q,"&lt;=90")</f>
        <v>0</v>
      </c>
      <c r="J120" s="19">
        <f>SUMIFS('Data Additive'!$D:$D,'Data Additive'!$P:$P,'Painel Additive'!#REF!,'Data Additive'!$Q:$Q,"&gt;90",'Data Additive'!$Q:$Q,"&lt;=120")</f>
        <v>0</v>
      </c>
      <c r="K120" s="19">
        <f>SUMIFS('Data Additive'!$D:$D,'Data Additive'!$P:$P,'Painel Additive'!#REF!,'Data Additive'!$Q:$Q,"&gt;120",'Data Additive'!$Q:$Q,"&lt;=180")</f>
        <v>0</v>
      </c>
      <c r="L120" s="19">
        <f>SUMIFS('Data Additive'!$D:$D,'Data Additive'!$P:$P,'Painel Additive'!#REF!,'Data Additive'!$Q:$Q,"&gt;180",'Data Additive'!$Q:$Q,"&lt;=360")</f>
        <v>0</v>
      </c>
      <c r="M120" s="23">
        <f>SUMIFS('Data Additive'!$D:$D,'Data Additive'!$P:$P,'Painel Additive'!#REF!,'Data Additive'!$Q:$Q,"&gt;360")</f>
        <v>0</v>
      </c>
      <c r="N120" s="19">
        <f>SUMIFS('Data Additive'!$D:$D,'Data Additive'!$P:$P,'Painel Additive'!#REF!,'Data Additive'!$Q:$Q,"&gt;0")</f>
        <v>0</v>
      </c>
      <c r="O120" s="19">
        <f t="shared" si="16"/>
        <v>0</v>
      </c>
      <c r="P120" s="19">
        <f>SUMIFS('Data Additive'!$D:$D,'Data Additive'!$P:$P,'Painel Additive'!#REF!,'Data Additive'!$Q:$Q,"&lt;=0",'Data Additive'!$Q:$Q,"&gt;=-30")</f>
        <v>0</v>
      </c>
      <c r="Q120" s="19">
        <f>SUMIFS('Data Additive'!$D:$D,'Data Additive'!$P:$P,'Painel Additive'!#REF!,'Data Additive'!$Q:$Q,"&lt;=-31",'Data Additive'!$Q:$Q,"&gt;=-60")</f>
        <v>0</v>
      </c>
      <c r="R120" s="19">
        <f>SUMIFS('Data Additive'!$D:$D,'Data Additive'!$P:$P,'Painel Additive'!#REF!,'Data Additive'!$Q:$Q,"&lt;=-61",'Data Additive'!$Q:$Q,"&gt;=-90")</f>
        <v>0</v>
      </c>
      <c r="S120" s="19">
        <f>SUMIFS('Data Additive'!$D:$D,'Data Additive'!$P:$P,'Painel Additive'!#REF!,'Data Additive'!$Q:$Q,"&lt;=-91",'Data Additive'!$Q:$Q,"&gt;=-120")</f>
        <v>0</v>
      </c>
      <c r="T120" s="19">
        <f>SUMIFS('Data Additive'!$D:$D,'Data Additive'!$P:$P,'Painel Additive'!#REF!,'Data Additive'!$Q:$Q,"&lt;=-121",'Data Additive'!$Q:$Q,"&gt;=-180")</f>
        <v>0</v>
      </c>
      <c r="U120" s="19">
        <f>SUMIFS('Data Additive'!$D:$D,'Data Additive'!$P:$P,'Painel Additive'!#REF!,'Data Additive'!$Q:$Q,"&lt;=-181",'Data Additive'!$Q:$Q,"&gt;=-360")</f>
        <v>0</v>
      </c>
      <c r="V120" s="23">
        <f>SUMIFS('Data Additive'!$D:$D,'Data Additive'!$P:$P,'Painel Additive'!#REF!,'Data Additive'!$Q:$Q,"&lt;-360")</f>
        <v>0</v>
      </c>
      <c r="W120" s="19" t="e">
        <f>SUMIFS('Bad Debt Provision'!#REF!,'Bad Debt Provision'!#REF!,'Painel Additive'!#REF!)</f>
        <v>#REF!</v>
      </c>
      <c r="X120" s="5"/>
      <c r="Y120" s="20"/>
      <c r="Z120" s="20"/>
      <c r="AA120" s="21"/>
      <c r="AB120" s="5"/>
      <c r="AC120" s="19"/>
      <c r="AD120" s="20"/>
      <c r="AE120" s="22"/>
      <c r="AF120" s="22"/>
      <c r="AG120" s="5"/>
      <c r="AH120" s="28">
        <f t="shared" si="17"/>
        <v>0</v>
      </c>
    </row>
    <row r="121" spans="2:35" x14ac:dyDescent="0.25">
      <c r="B121" s="17" t="s">
        <v>240</v>
      </c>
      <c r="C121" s="93" cm="1">
        <f t="array" ref="C121">IFERROR(INDEX('Limite de crédito'!$D:$D, MATCH(MAX(IF('Limite de crédito'!$C:$C=$B121, 'Limite de crédito'!$A:$A)), 'Limite de crédito'!$A:$A, 0)),"")</f>
        <v>45980</v>
      </c>
      <c r="D121" s="18" t="str" cm="1">
        <f t="array" ref="D121">IFERROR(INDEX('Limite de crédito'!$F:$F, MATCH(MAX(IF('Limite de crédito'!$C:$C=$B121, 'Limite de crédito'!$A:$A)), 'Limite de crédito'!$A:$A, 0)),0)</f>
        <v>Sim</v>
      </c>
      <c r="E121" s="18" t="e">
        <f t="shared" si="14"/>
        <v>#VALUE!</v>
      </c>
      <c r="F121" s="18">
        <f t="shared" si="15"/>
        <v>0</v>
      </c>
      <c r="G121" s="19">
        <f>SUMIFS('Data Additive'!$D:$D,'Data Additive'!$P:$P,'Painel Additive'!#REF!,'Data Additive'!$Q:$Q,"&gt;0",'Data Additive'!$Q:$Q,"&lt;=30")</f>
        <v>0</v>
      </c>
      <c r="H121" s="19">
        <f>SUMIFS('Data Additive'!$D:$D,'Data Additive'!$P:$P,'Painel Additive'!#REF!,'Data Additive'!$Q:$Q,"&gt;30",'Data Additive'!$Q:$Q,"&lt;=60")</f>
        <v>0</v>
      </c>
      <c r="I121" s="19">
        <f>SUMIFS('Data Additive'!$D:$D,'Data Additive'!$P:$P,'Painel Additive'!#REF!,'Data Additive'!$Q:$Q,"&gt;60",'Data Additive'!$Q:$Q,"&lt;=90")</f>
        <v>0</v>
      </c>
      <c r="J121" s="19">
        <f>SUMIFS('Data Additive'!$D:$D,'Data Additive'!$P:$P,'Painel Additive'!#REF!,'Data Additive'!$Q:$Q,"&gt;90",'Data Additive'!$Q:$Q,"&lt;=120")</f>
        <v>0</v>
      </c>
      <c r="K121" s="19">
        <f>SUMIFS('Data Additive'!$D:$D,'Data Additive'!$P:$P,'Painel Additive'!#REF!,'Data Additive'!$Q:$Q,"&gt;120",'Data Additive'!$Q:$Q,"&lt;=180")</f>
        <v>0</v>
      </c>
      <c r="L121" s="19">
        <f>SUMIFS('Data Additive'!$D:$D,'Data Additive'!$P:$P,'Painel Additive'!#REF!,'Data Additive'!$Q:$Q,"&gt;180",'Data Additive'!$Q:$Q,"&lt;=360")</f>
        <v>0</v>
      </c>
      <c r="M121" s="23">
        <f>SUMIFS('Data Additive'!$D:$D,'Data Additive'!$P:$P,'Painel Additive'!#REF!,'Data Additive'!$Q:$Q,"&gt;360")</f>
        <v>0</v>
      </c>
      <c r="N121" s="19">
        <f>SUMIFS('Data Additive'!$D:$D,'Data Additive'!$P:$P,'Painel Additive'!#REF!,'Data Additive'!$Q:$Q,"&gt;0")</f>
        <v>0</v>
      </c>
      <c r="O121" s="19">
        <f t="shared" si="16"/>
        <v>0</v>
      </c>
      <c r="P121" s="19">
        <f>SUMIFS('Data Additive'!$D:$D,'Data Additive'!$P:$P,'Painel Additive'!#REF!,'Data Additive'!$Q:$Q,"&lt;=0",'Data Additive'!$Q:$Q,"&gt;=-30")</f>
        <v>0</v>
      </c>
      <c r="Q121" s="19">
        <f>SUMIFS('Data Additive'!$D:$D,'Data Additive'!$P:$P,'Painel Additive'!#REF!,'Data Additive'!$Q:$Q,"&lt;=-31",'Data Additive'!$Q:$Q,"&gt;=-60")</f>
        <v>0</v>
      </c>
      <c r="R121" s="19">
        <f>SUMIFS('Data Additive'!$D:$D,'Data Additive'!$P:$P,'Painel Additive'!#REF!,'Data Additive'!$Q:$Q,"&lt;=-61",'Data Additive'!$Q:$Q,"&gt;=-90")</f>
        <v>0</v>
      </c>
      <c r="S121" s="19">
        <f>SUMIFS('Data Additive'!$D:$D,'Data Additive'!$P:$P,'Painel Additive'!#REF!,'Data Additive'!$Q:$Q,"&lt;=-91",'Data Additive'!$Q:$Q,"&gt;=-120")</f>
        <v>0</v>
      </c>
      <c r="T121" s="19">
        <f>SUMIFS('Data Additive'!$D:$D,'Data Additive'!$P:$P,'Painel Additive'!#REF!,'Data Additive'!$Q:$Q,"&lt;=-121",'Data Additive'!$Q:$Q,"&gt;=-180")</f>
        <v>0</v>
      </c>
      <c r="U121" s="19">
        <f>SUMIFS('Data Additive'!$D:$D,'Data Additive'!$P:$P,'Painel Additive'!#REF!,'Data Additive'!$Q:$Q,"&lt;=-181",'Data Additive'!$Q:$Q,"&gt;=-360")</f>
        <v>0</v>
      </c>
      <c r="V121" s="23">
        <f>SUMIFS('Data Additive'!$D:$D,'Data Additive'!$P:$P,'Painel Additive'!#REF!,'Data Additive'!$Q:$Q,"&lt;-360")</f>
        <v>0</v>
      </c>
      <c r="W121" s="19" t="e">
        <f>SUMIFS('Bad Debt Provision'!#REF!,'Bad Debt Provision'!#REF!,'Painel Additive'!#REF!)</f>
        <v>#REF!</v>
      </c>
      <c r="X121" s="5"/>
      <c r="Y121" s="20"/>
      <c r="Z121" s="20"/>
      <c r="AA121" s="21"/>
      <c r="AB121" s="5"/>
      <c r="AC121" s="19"/>
      <c r="AD121" s="20"/>
      <c r="AE121" s="22"/>
      <c r="AF121" s="22"/>
      <c r="AG121" s="5"/>
      <c r="AH121" s="28">
        <f t="shared" si="17"/>
        <v>0</v>
      </c>
    </row>
    <row r="122" spans="2:35" x14ac:dyDescent="0.25">
      <c r="B122" s="17" t="s">
        <v>241</v>
      </c>
      <c r="C122" s="93" t="str" cm="1">
        <f t="array" ref="C122">IFERROR(INDEX('Limite de crédito'!$D:$D, MATCH(MAX(IF('Limite de crédito'!$C:$C=$B122, 'Limite de crédito'!$A:$A)), 'Limite de crédito'!$A:$A, 0)),"")</f>
        <v/>
      </c>
      <c r="D122" s="18" cm="1">
        <f t="array" ref="D122">IFERROR(INDEX('Limite de crédito'!$F:$F, MATCH(MAX(IF('Limite de crédito'!$C:$C=$B122, 'Limite de crédito'!$A:$A)), 'Limite de crédito'!$A:$A, 0)),0)</f>
        <v>0</v>
      </c>
      <c r="E122" s="18">
        <f t="shared" si="14"/>
        <v>0</v>
      </c>
      <c r="F122" s="18">
        <f t="shared" si="15"/>
        <v>0</v>
      </c>
      <c r="G122" s="19">
        <f>SUMIFS('Data Additive'!$D:$D,'Data Additive'!$P:$P,'Painel Additive'!#REF!,'Data Additive'!$Q:$Q,"&gt;0",'Data Additive'!$Q:$Q,"&lt;=30")</f>
        <v>0</v>
      </c>
      <c r="H122" s="19">
        <f>SUMIFS('Data Additive'!$D:$D,'Data Additive'!$P:$P,'Painel Additive'!#REF!,'Data Additive'!$Q:$Q,"&gt;30",'Data Additive'!$Q:$Q,"&lt;=60")</f>
        <v>0</v>
      </c>
      <c r="I122" s="19">
        <f>SUMIFS('Data Additive'!$D:$D,'Data Additive'!$P:$P,'Painel Additive'!#REF!,'Data Additive'!$Q:$Q,"&gt;60",'Data Additive'!$Q:$Q,"&lt;=90")</f>
        <v>0</v>
      </c>
      <c r="J122" s="19">
        <f>SUMIFS('Data Additive'!$D:$D,'Data Additive'!$P:$P,'Painel Additive'!#REF!,'Data Additive'!$Q:$Q,"&gt;90",'Data Additive'!$Q:$Q,"&lt;=120")</f>
        <v>0</v>
      </c>
      <c r="K122" s="19">
        <f>SUMIFS('Data Additive'!$D:$D,'Data Additive'!$P:$P,'Painel Additive'!#REF!,'Data Additive'!$Q:$Q,"&gt;120",'Data Additive'!$Q:$Q,"&lt;=180")</f>
        <v>0</v>
      </c>
      <c r="L122" s="19">
        <f>SUMIFS('Data Additive'!$D:$D,'Data Additive'!$P:$P,'Painel Additive'!#REF!,'Data Additive'!$Q:$Q,"&gt;180",'Data Additive'!$Q:$Q,"&lt;=360")</f>
        <v>0</v>
      </c>
      <c r="M122" s="23">
        <f>SUMIFS('Data Additive'!$D:$D,'Data Additive'!$P:$P,'Painel Additive'!#REF!,'Data Additive'!$Q:$Q,"&gt;360")</f>
        <v>0</v>
      </c>
      <c r="N122" s="19">
        <f>SUMIFS('Data Additive'!$D:$D,'Data Additive'!$P:$P,'Painel Additive'!#REF!,'Data Additive'!$Q:$Q,"&gt;0")</f>
        <v>0</v>
      </c>
      <c r="O122" s="19">
        <f t="shared" si="16"/>
        <v>0</v>
      </c>
      <c r="P122" s="19">
        <f>SUMIFS('Data Additive'!$D:$D,'Data Additive'!$P:$P,'Painel Additive'!#REF!,'Data Additive'!$Q:$Q,"&lt;=0",'Data Additive'!$Q:$Q,"&gt;=-30")</f>
        <v>0</v>
      </c>
      <c r="Q122" s="19">
        <f>SUMIFS('Data Additive'!$D:$D,'Data Additive'!$P:$P,'Painel Additive'!#REF!,'Data Additive'!$Q:$Q,"&lt;=-31",'Data Additive'!$Q:$Q,"&gt;=-60")</f>
        <v>0</v>
      </c>
      <c r="R122" s="19">
        <f>SUMIFS('Data Additive'!$D:$D,'Data Additive'!$P:$P,'Painel Additive'!#REF!,'Data Additive'!$Q:$Q,"&lt;=-61",'Data Additive'!$Q:$Q,"&gt;=-90")</f>
        <v>0</v>
      </c>
      <c r="S122" s="19">
        <f>SUMIFS('Data Additive'!$D:$D,'Data Additive'!$P:$P,'Painel Additive'!#REF!,'Data Additive'!$Q:$Q,"&lt;=-91",'Data Additive'!$Q:$Q,"&gt;=-120")</f>
        <v>0</v>
      </c>
      <c r="T122" s="19">
        <f>SUMIFS('Data Additive'!$D:$D,'Data Additive'!$P:$P,'Painel Additive'!#REF!,'Data Additive'!$Q:$Q,"&lt;=-121",'Data Additive'!$Q:$Q,"&gt;=-180")</f>
        <v>0</v>
      </c>
      <c r="U122" s="19">
        <f>SUMIFS('Data Additive'!$D:$D,'Data Additive'!$P:$P,'Painel Additive'!#REF!,'Data Additive'!$Q:$Q,"&lt;=-181",'Data Additive'!$Q:$Q,"&gt;=-360")</f>
        <v>0</v>
      </c>
      <c r="V122" s="23">
        <f>SUMIFS('Data Additive'!$D:$D,'Data Additive'!$P:$P,'Painel Additive'!#REF!,'Data Additive'!$Q:$Q,"&lt;-360")</f>
        <v>0</v>
      </c>
      <c r="W122" s="19" t="e">
        <f>SUMIFS('Bad Debt Provision'!#REF!,'Bad Debt Provision'!#REF!,'Painel Additive'!#REF!)</f>
        <v>#REF!</v>
      </c>
      <c r="X122" s="5"/>
      <c r="Y122" s="20"/>
      <c r="Z122" s="20"/>
      <c r="AA122" s="21"/>
      <c r="AB122" s="5"/>
      <c r="AC122" s="19"/>
      <c r="AD122" s="20"/>
      <c r="AE122" s="22"/>
      <c r="AF122" s="22"/>
      <c r="AG122" s="5"/>
      <c r="AH122" s="28">
        <f t="shared" si="17"/>
        <v>0</v>
      </c>
    </row>
    <row r="123" spans="2:35" x14ac:dyDescent="0.25">
      <c r="B123" s="17" t="s">
        <v>242</v>
      </c>
      <c r="C123" s="93" t="str" cm="1">
        <f t="array" ref="C123">IFERROR(INDEX('Limite de crédito'!$D:$D, MATCH(MAX(IF('Limite de crédito'!$C:$C=$B123, 'Limite de crédito'!$A:$A)), 'Limite de crédito'!$A:$A, 0)),"")</f>
        <v/>
      </c>
      <c r="D123" s="18" cm="1">
        <f t="array" ref="D123">IFERROR(INDEX('Limite de crédito'!$F:$F, MATCH(MAX(IF('Limite de crédito'!$C:$C=$B123, 'Limite de crédito'!$A:$A)), 'Limite de crédito'!$A:$A, 0)),0)</f>
        <v>0</v>
      </c>
      <c r="E123" s="18">
        <f t="shared" si="14"/>
        <v>0</v>
      </c>
      <c r="F123" s="18">
        <f t="shared" si="15"/>
        <v>0</v>
      </c>
      <c r="G123" s="19">
        <f>SUMIFS('Data Additive'!$D:$D,'Data Additive'!$P:$P,'Painel Additive'!#REF!,'Data Additive'!$Q:$Q,"&gt;0",'Data Additive'!$Q:$Q,"&lt;=30")</f>
        <v>0</v>
      </c>
      <c r="H123" s="19">
        <f>SUMIFS('Data Additive'!$D:$D,'Data Additive'!$P:$P,'Painel Additive'!#REF!,'Data Additive'!$Q:$Q,"&gt;30",'Data Additive'!$Q:$Q,"&lt;=60")</f>
        <v>0</v>
      </c>
      <c r="I123" s="19">
        <f>SUMIFS('Data Additive'!$D:$D,'Data Additive'!$P:$P,'Painel Additive'!#REF!,'Data Additive'!$Q:$Q,"&gt;60",'Data Additive'!$Q:$Q,"&lt;=90")</f>
        <v>0</v>
      </c>
      <c r="J123" s="19">
        <f>SUMIFS('Data Additive'!$D:$D,'Data Additive'!$P:$P,'Painel Additive'!#REF!,'Data Additive'!$Q:$Q,"&gt;90",'Data Additive'!$Q:$Q,"&lt;=120")</f>
        <v>0</v>
      </c>
      <c r="K123" s="19">
        <f>SUMIFS('Data Additive'!$D:$D,'Data Additive'!$P:$P,'Painel Additive'!#REF!,'Data Additive'!$Q:$Q,"&gt;120",'Data Additive'!$Q:$Q,"&lt;=180")</f>
        <v>0</v>
      </c>
      <c r="L123" s="19">
        <f>SUMIFS('Data Additive'!$D:$D,'Data Additive'!$P:$P,'Painel Additive'!#REF!,'Data Additive'!$Q:$Q,"&gt;180",'Data Additive'!$Q:$Q,"&lt;=360")</f>
        <v>0</v>
      </c>
      <c r="M123" s="23">
        <f>SUMIFS('Data Additive'!$D:$D,'Data Additive'!$P:$P,'Painel Additive'!#REF!,'Data Additive'!$Q:$Q,"&gt;360")</f>
        <v>0</v>
      </c>
      <c r="N123" s="19">
        <f>SUMIFS('Data Additive'!$D:$D,'Data Additive'!$P:$P,'Painel Additive'!#REF!,'Data Additive'!$Q:$Q,"&gt;0")</f>
        <v>0</v>
      </c>
      <c r="O123" s="19">
        <f t="shared" si="16"/>
        <v>0</v>
      </c>
      <c r="P123" s="19">
        <f>SUMIFS('Data Additive'!$D:$D,'Data Additive'!$P:$P,'Painel Additive'!#REF!,'Data Additive'!$Q:$Q,"&lt;=0",'Data Additive'!$Q:$Q,"&gt;=-30")</f>
        <v>0</v>
      </c>
      <c r="Q123" s="19">
        <f>SUMIFS('Data Additive'!$D:$D,'Data Additive'!$P:$P,'Painel Additive'!#REF!,'Data Additive'!$Q:$Q,"&lt;=-31",'Data Additive'!$Q:$Q,"&gt;=-60")</f>
        <v>0</v>
      </c>
      <c r="R123" s="19">
        <f>SUMIFS('Data Additive'!$D:$D,'Data Additive'!$P:$P,'Painel Additive'!#REF!,'Data Additive'!$Q:$Q,"&lt;=-61",'Data Additive'!$Q:$Q,"&gt;=-90")</f>
        <v>0</v>
      </c>
      <c r="S123" s="19">
        <f>SUMIFS('Data Additive'!$D:$D,'Data Additive'!$P:$P,'Painel Additive'!#REF!,'Data Additive'!$Q:$Q,"&lt;=-91",'Data Additive'!$Q:$Q,"&gt;=-120")</f>
        <v>0</v>
      </c>
      <c r="T123" s="19">
        <f>SUMIFS('Data Additive'!$D:$D,'Data Additive'!$P:$P,'Painel Additive'!#REF!,'Data Additive'!$Q:$Q,"&lt;=-121",'Data Additive'!$Q:$Q,"&gt;=-180")</f>
        <v>0</v>
      </c>
      <c r="U123" s="19">
        <f>SUMIFS('Data Additive'!$D:$D,'Data Additive'!$P:$P,'Painel Additive'!#REF!,'Data Additive'!$Q:$Q,"&lt;=-181",'Data Additive'!$Q:$Q,"&gt;=-360")</f>
        <v>0</v>
      </c>
      <c r="V123" s="23">
        <f>SUMIFS('Data Additive'!$D:$D,'Data Additive'!$P:$P,'Painel Additive'!#REF!,'Data Additive'!$Q:$Q,"&lt;-360")</f>
        <v>0</v>
      </c>
      <c r="W123" s="19" t="e">
        <f>SUMIFS('Bad Debt Provision'!#REF!,'Bad Debt Provision'!#REF!,'Painel Additive'!#REF!)</f>
        <v>#REF!</v>
      </c>
      <c r="X123" s="5"/>
      <c r="Y123" s="20"/>
      <c r="Z123" s="20"/>
      <c r="AA123" s="21"/>
      <c r="AB123" s="5"/>
      <c r="AC123" s="19"/>
      <c r="AD123" s="20"/>
      <c r="AE123" s="22"/>
      <c r="AF123" s="22"/>
      <c r="AG123" s="5"/>
      <c r="AH123" s="28">
        <f t="shared" si="17"/>
        <v>0</v>
      </c>
    </row>
    <row r="124" spans="2:35" x14ac:dyDescent="0.25">
      <c r="B124" s="17" t="s">
        <v>243</v>
      </c>
      <c r="C124" s="93" t="str" cm="1">
        <f t="array" ref="C124">IFERROR(INDEX('Limite de crédito'!$D:$D, MATCH(MAX(IF('Limite de crédito'!$C:$C=$B124, 'Limite de crédito'!$A:$A)), 'Limite de crédito'!$A:$A, 0)),"")</f>
        <v/>
      </c>
      <c r="D124" s="18" cm="1">
        <f t="array" ref="D124">IFERROR(INDEX('Limite de crédito'!$F:$F, MATCH(MAX(IF('Limite de crédito'!$C:$C=$B124, 'Limite de crédito'!$A:$A)), 'Limite de crédito'!$A:$A, 0)),0)</f>
        <v>0</v>
      </c>
      <c r="E124" s="18">
        <f t="shared" si="14"/>
        <v>0</v>
      </c>
      <c r="F124" s="18">
        <f t="shared" si="15"/>
        <v>0</v>
      </c>
      <c r="G124" s="19">
        <f>SUMIFS('Data Additive'!$D:$D,'Data Additive'!$P:$P,'Painel Additive'!#REF!,'Data Additive'!$Q:$Q,"&gt;0",'Data Additive'!$Q:$Q,"&lt;=30")</f>
        <v>0</v>
      </c>
      <c r="H124" s="19">
        <f>SUMIFS('Data Additive'!$D:$D,'Data Additive'!$P:$P,'Painel Additive'!#REF!,'Data Additive'!$Q:$Q,"&gt;30",'Data Additive'!$Q:$Q,"&lt;=60")</f>
        <v>0</v>
      </c>
      <c r="I124" s="19">
        <f>SUMIFS('Data Additive'!$D:$D,'Data Additive'!$P:$P,'Painel Additive'!#REF!,'Data Additive'!$Q:$Q,"&gt;60",'Data Additive'!$Q:$Q,"&lt;=90")</f>
        <v>0</v>
      </c>
      <c r="J124" s="19">
        <f>SUMIFS('Data Additive'!$D:$D,'Data Additive'!$P:$P,'Painel Additive'!#REF!,'Data Additive'!$Q:$Q,"&gt;90",'Data Additive'!$Q:$Q,"&lt;=120")</f>
        <v>0</v>
      </c>
      <c r="K124" s="19">
        <f>SUMIFS('Data Additive'!$D:$D,'Data Additive'!$P:$P,'Painel Additive'!#REF!,'Data Additive'!$Q:$Q,"&gt;120",'Data Additive'!$Q:$Q,"&lt;=180")</f>
        <v>0</v>
      </c>
      <c r="L124" s="19">
        <f>SUMIFS('Data Additive'!$D:$D,'Data Additive'!$P:$P,'Painel Additive'!#REF!,'Data Additive'!$Q:$Q,"&gt;180",'Data Additive'!$Q:$Q,"&lt;=360")</f>
        <v>0</v>
      </c>
      <c r="M124" s="23">
        <f>SUMIFS('Data Additive'!$D:$D,'Data Additive'!$P:$P,'Painel Additive'!#REF!,'Data Additive'!$Q:$Q,"&gt;360")</f>
        <v>0</v>
      </c>
      <c r="N124" s="19">
        <f>SUMIFS('Data Additive'!$D:$D,'Data Additive'!$P:$P,'Painel Additive'!#REF!,'Data Additive'!$Q:$Q,"&gt;0")</f>
        <v>0</v>
      </c>
      <c r="O124" s="19">
        <f t="shared" si="16"/>
        <v>0</v>
      </c>
      <c r="P124" s="19">
        <f>SUMIFS('Data Additive'!$D:$D,'Data Additive'!$P:$P,'Painel Additive'!#REF!,'Data Additive'!$Q:$Q,"&lt;=0",'Data Additive'!$Q:$Q,"&gt;=-30")</f>
        <v>0</v>
      </c>
      <c r="Q124" s="19">
        <f>SUMIFS('Data Additive'!$D:$D,'Data Additive'!$P:$P,'Painel Additive'!#REF!,'Data Additive'!$Q:$Q,"&lt;=-31",'Data Additive'!$Q:$Q,"&gt;=-60")</f>
        <v>0</v>
      </c>
      <c r="R124" s="19">
        <f>SUMIFS('Data Additive'!$D:$D,'Data Additive'!$P:$P,'Painel Additive'!#REF!,'Data Additive'!$Q:$Q,"&lt;=-61",'Data Additive'!$Q:$Q,"&gt;=-90")</f>
        <v>0</v>
      </c>
      <c r="S124" s="19">
        <f>SUMIFS('Data Additive'!$D:$D,'Data Additive'!$P:$P,'Painel Additive'!#REF!,'Data Additive'!$Q:$Q,"&lt;=-91",'Data Additive'!$Q:$Q,"&gt;=-120")</f>
        <v>0</v>
      </c>
      <c r="T124" s="19">
        <f>SUMIFS('Data Additive'!$D:$D,'Data Additive'!$P:$P,'Painel Additive'!#REF!,'Data Additive'!$Q:$Q,"&lt;=-121",'Data Additive'!$Q:$Q,"&gt;=-180")</f>
        <v>0</v>
      </c>
      <c r="U124" s="19">
        <f>SUMIFS('Data Additive'!$D:$D,'Data Additive'!$P:$P,'Painel Additive'!#REF!,'Data Additive'!$Q:$Q,"&lt;=-181",'Data Additive'!$Q:$Q,"&gt;=-360")</f>
        <v>0</v>
      </c>
      <c r="V124" s="23">
        <f>SUMIFS('Data Additive'!$D:$D,'Data Additive'!$P:$P,'Painel Additive'!#REF!,'Data Additive'!$Q:$Q,"&lt;-360")</f>
        <v>0</v>
      </c>
      <c r="W124" s="19" t="e">
        <f>SUMIFS('Bad Debt Provision'!#REF!,'Bad Debt Provision'!#REF!,'Painel Additive'!#REF!)</f>
        <v>#REF!</v>
      </c>
      <c r="X124" s="5"/>
      <c r="Y124" s="20"/>
      <c r="Z124" s="20"/>
      <c r="AA124" s="21"/>
      <c r="AB124" s="5"/>
      <c r="AC124" s="19"/>
      <c r="AD124" s="20"/>
      <c r="AE124" s="22"/>
      <c r="AF124" s="22"/>
      <c r="AG124" s="5"/>
      <c r="AH124" s="28">
        <f t="shared" si="17"/>
        <v>0</v>
      </c>
    </row>
    <row r="125" spans="2:35" x14ac:dyDescent="0.25">
      <c r="B125" s="17" t="s">
        <v>244</v>
      </c>
      <c r="C125" s="93" t="str" cm="1">
        <f t="array" ref="C125">IFERROR(INDEX('Limite de crédito'!$D:$D, MATCH(MAX(IF('Limite de crédito'!$C:$C=$B125, 'Limite de crédito'!$A:$A)), 'Limite de crédito'!$A:$A, 0)),"")</f>
        <v/>
      </c>
      <c r="D125" s="18" cm="1">
        <f t="array" ref="D125">IFERROR(INDEX('Limite de crédito'!$F:$F, MATCH(MAX(IF('Limite de crédito'!$C:$C=$B125, 'Limite de crédito'!$A:$A)), 'Limite de crédito'!$A:$A, 0)),0)</f>
        <v>0</v>
      </c>
      <c r="E125" s="18">
        <f t="shared" si="14"/>
        <v>0</v>
      </c>
      <c r="F125" s="18">
        <f t="shared" si="15"/>
        <v>0</v>
      </c>
      <c r="G125" s="19">
        <f>SUMIFS('Data Additive'!$D:$D,'Data Additive'!$P:$P,'Painel Additive'!#REF!,'Data Additive'!$Q:$Q,"&gt;0",'Data Additive'!$Q:$Q,"&lt;=30")</f>
        <v>0</v>
      </c>
      <c r="H125" s="19">
        <f>SUMIFS('Data Additive'!$D:$D,'Data Additive'!$P:$P,'Painel Additive'!#REF!,'Data Additive'!$Q:$Q,"&gt;30",'Data Additive'!$Q:$Q,"&lt;=60")</f>
        <v>0</v>
      </c>
      <c r="I125" s="19">
        <f>SUMIFS('Data Additive'!$D:$D,'Data Additive'!$P:$P,'Painel Additive'!#REF!,'Data Additive'!$Q:$Q,"&gt;60",'Data Additive'!$Q:$Q,"&lt;=90")</f>
        <v>0</v>
      </c>
      <c r="J125" s="19">
        <f>SUMIFS('Data Additive'!$D:$D,'Data Additive'!$P:$P,'Painel Additive'!#REF!,'Data Additive'!$Q:$Q,"&gt;90",'Data Additive'!$Q:$Q,"&lt;=120")</f>
        <v>0</v>
      </c>
      <c r="K125" s="19">
        <f>SUMIFS('Data Additive'!$D:$D,'Data Additive'!$P:$P,'Painel Additive'!#REF!,'Data Additive'!$Q:$Q,"&gt;120",'Data Additive'!$Q:$Q,"&lt;=180")</f>
        <v>0</v>
      </c>
      <c r="L125" s="19">
        <f>SUMIFS('Data Additive'!$D:$D,'Data Additive'!$P:$P,'Painel Additive'!#REF!,'Data Additive'!$Q:$Q,"&gt;180",'Data Additive'!$Q:$Q,"&lt;=360")</f>
        <v>0</v>
      </c>
      <c r="M125" s="23">
        <f>SUMIFS('Data Additive'!$D:$D,'Data Additive'!$P:$P,'Painel Additive'!#REF!,'Data Additive'!$Q:$Q,"&gt;360")</f>
        <v>0</v>
      </c>
      <c r="N125" s="19">
        <f>SUMIFS('Data Additive'!$D:$D,'Data Additive'!$P:$P,'Painel Additive'!#REF!,'Data Additive'!$Q:$Q,"&gt;0")</f>
        <v>0</v>
      </c>
      <c r="O125" s="19">
        <f t="shared" si="16"/>
        <v>0</v>
      </c>
      <c r="P125" s="19">
        <f>SUMIFS('Data Additive'!$D:$D,'Data Additive'!$P:$P,'Painel Additive'!#REF!,'Data Additive'!$Q:$Q,"&lt;=0",'Data Additive'!$Q:$Q,"&gt;=-30")</f>
        <v>0</v>
      </c>
      <c r="Q125" s="19">
        <f>SUMIFS('Data Additive'!$D:$D,'Data Additive'!$P:$P,'Painel Additive'!#REF!,'Data Additive'!$Q:$Q,"&lt;=-31",'Data Additive'!$Q:$Q,"&gt;=-60")</f>
        <v>0</v>
      </c>
      <c r="R125" s="19">
        <f>SUMIFS('Data Additive'!$D:$D,'Data Additive'!$P:$P,'Painel Additive'!#REF!,'Data Additive'!$Q:$Q,"&lt;=-61",'Data Additive'!$Q:$Q,"&gt;=-90")</f>
        <v>0</v>
      </c>
      <c r="S125" s="19">
        <f>SUMIFS('Data Additive'!$D:$D,'Data Additive'!$P:$P,'Painel Additive'!#REF!,'Data Additive'!$Q:$Q,"&lt;=-91",'Data Additive'!$Q:$Q,"&gt;=-120")</f>
        <v>0</v>
      </c>
      <c r="T125" s="19">
        <f>SUMIFS('Data Additive'!$D:$D,'Data Additive'!$P:$P,'Painel Additive'!#REF!,'Data Additive'!$Q:$Q,"&lt;=-121",'Data Additive'!$Q:$Q,"&gt;=-180")</f>
        <v>0</v>
      </c>
      <c r="U125" s="19">
        <f>SUMIFS('Data Additive'!$D:$D,'Data Additive'!$P:$P,'Painel Additive'!#REF!,'Data Additive'!$Q:$Q,"&lt;=-181",'Data Additive'!$Q:$Q,"&gt;=-360")</f>
        <v>0</v>
      </c>
      <c r="V125" s="23">
        <f>SUMIFS('Data Additive'!$D:$D,'Data Additive'!$P:$P,'Painel Additive'!#REF!,'Data Additive'!$Q:$Q,"&lt;-360")</f>
        <v>0</v>
      </c>
      <c r="W125" s="19" t="e">
        <f>SUMIFS('Bad Debt Provision'!#REF!,'Bad Debt Provision'!#REF!,'Painel Additive'!#REF!)</f>
        <v>#REF!</v>
      </c>
      <c r="X125" s="5"/>
      <c r="Y125" s="20"/>
      <c r="Z125" s="20"/>
      <c r="AA125" s="21"/>
      <c r="AB125" s="5"/>
      <c r="AC125" s="19"/>
      <c r="AD125" s="20"/>
      <c r="AE125" s="22"/>
      <c r="AF125" s="22"/>
      <c r="AG125" s="5"/>
      <c r="AH125" s="28">
        <f t="shared" si="17"/>
        <v>0</v>
      </c>
    </row>
    <row r="126" spans="2:35" x14ac:dyDescent="0.25">
      <c r="B126" s="17" t="s">
        <v>245</v>
      </c>
      <c r="C126" s="93" t="str" cm="1">
        <f t="array" ref="C126">IFERROR(INDEX('Limite de crédito'!$D:$D, MATCH(MAX(IF('Limite de crédito'!$C:$C=$B126, 'Limite de crédito'!$A:$A)), 'Limite de crédito'!$A:$A, 0)),"")</f>
        <v/>
      </c>
      <c r="D126" s="18" cm="1">
        <f t="array" ref="D126">IFERROR(INDEX('Limite de crédito'!$F:$F, MATCH(MAX(IF('Limite de crédito'!$C:$C=$B126, 'Limite de crédito'!$A:$A)), 'Limite de crédito'!$A:$A, 0)),0)</f>
        <v>0</v>
      </c>
      <c r="E126" s="18">
        <f t="shared" si="14"/>
        <v>0</v>
      </c>
      <c r="F126" s="18">
        <f t="shared" si="15"/>
        <v>0</v>
      </c>
      <c r="G126" s="19">
        <f>SUMIFS('Data Additive'!$D:$D,'Data Additive'!$P:$P,'Painel Additive'!#REF!,'Data Additive'!$Q:$Q,"&gt;0",'Data Additive'!$Q:$Q,"&lt;=30")</f>
        <v>0</v>
      </c>
      <c r="H126" s="19">
        <f>SUMIFS('Data Additive'!$D:$D,'Data Additive'!$P:$P,'Painel Additive'!#REF!,'Data Additive'!$Q:$Q,"&gt;30",'Data Additive'!$Q:$Q,"&lt;=60")</f>
        <v>0</v>
      </c>
      <c r="I126" s="19">
        <f>SUMIFS('Data Additive'!$D:$D,'Data Additive'!$P:$P,'Painel Additive'!#REF!,'Data Additive'!$Q:$Q,"&gt;60",'Data Additive'!$Q:$Q,"&lt;=90")</f>
        <v>0</v>
      </c>
      <c r="J126" s="19">
        <f>SUMIFS('Data Additive'!$D:$D,'Data Additive'!$P:$P,'Painel Additive'!#REF!,'Data Additive'!$Q:$Q,"&gt;90",'Data Additive'!$Q:$Q,"&lt;=120")</f>
        <v>0</v>
      </c>
      <c r="K126" s="19">
        <f>SUMIFS('Data Additive'!$D:$D,'Data Additive'!$P:$P,'Painel Additive'!#REF!,'Data Additive'!$Q:$Q,"&gt;120",'Data Additive'!$Q:$Q,"&lt;=180")</f>
        <v>0</v>
      </c>
      <c r="L126" s="19">
        <f>SUMIFS('Data Additive'!$D:$D,'Data Additive'!$P:$P,'Painel Additive'!#REF!,'Data Additive'!$Q:$Q,"&gt;180",'Data Additive'!$Q:$Q,"&lt;=360")</f>
        <v>0</v>
      </c>
      <c r="M126" s="23">
        <f>SUMIFS('Data Additive'!$D:$D,'Data Additive'!$P:$P,'Painel Additive'!#REF!,'Data Additive'!$Q:$Q,"&gt;360")</f>
        <v>0</v>
      </c>
      <c r="N126" s="19">
        <f>SUMIFS('Data Additive'!$D:$D,'Data Additive'!$P:$P,'Painel Additive'!#REF!,'Data Additive'!$Q:$Q,"&gt;0")</f>
        <v>0</v>
      </c>
      <c r="O126" s="19">
        <f t="shared" si="16"/>
        <v>0</v>
      </c>
      <c r="P126" s="19">
        <f>SUMIFS('Data Additive'!$D:$D,'Data Additive'!$P:$P,'Painel Additive'!#REF!,'Data Additive'!$Q:$Q,"&lt;=0",'Data Additive'!$Q:$Q,"&gt;=-30")</f>
        <v>0</v>
      </c>
      <c r="Q126" s="19">
        <f>SUMIFS('Data Additive'!$D:$D,'Data Additive'!$P:$P,'Painel Additive'!#REF!,'Data Additive'!$Q:$Q,"&lt;=-31",'Data Additive'!$Q:$Q,"&gt;=-60")</f>
        <v>0</v>
      </c>
      <c r="R126" s="19">
        <f>SUMIFS('Data Additive'!$D:$D,'Data Additive'!$P:$P,'Painel Additive'!#REF!,'Data Additive'!$Q:$Q,"&lt;=-61",'Data Additive'!$Q:$Q,"&gt;=-90")</f>
        <v>0</v>
      </c>
      <c r="S126" s="19">
        <f>SUMIFS('Data Additive'!$D:$D,'Data Additive'!$P:$P,'Painel Additive'!#REF!,'Data Additive'!$Q:$Q,"&lt;=-91",'Data Additive'!$Q:$Q,"&gt;=-120")</f>
        <v>0</v>
      </c>
      <c r="T126" s="19">
        <f>SUMIFS('Data Additive'!$D:$D,'Data Additive'!$P:$P,'Painel Additive'!#REF!,'Data Additive'!$Q:$Q,"&lt;=-121",'Data Additive'!$Q:$Q,"&gt;=-180")</f>
        <v>0</v>
      </c>
      <c r="U126" s="19">
        <f>SUMIFS('Data Additive'!$D:$D,'Data Additive'!$P:$P,'Painel Additive'!#REF!,'Data Additive'!$Q:$Q,"&lt;=-181",'Data Additive'!$Q:$Q,"&gt;=-360")</f>
        <v>0</v>
      </c>
      <c r="V126" s="23">
        <f>SUMIFS('Data Additive'!$D:$D,'Data Additive'!$P:$P,'Painel Additive'!#REF!,'Data Additive'!$Q:$Q,"&lt;-360")</f>
        <v>0</v>
      </c>
      <c r="W126" s="19" t="e">
        <f>SUMIFS('Bad Debt Provision'!#REF!,'Bad Debt Provision'!#REF!,'Painel Additive'!#REF!)</f>
        <v>#REF!</v>
      </c>
      <c r="X126" s="5"/>
      <c r="Y126" s="20"/>
      <c r="Z126" s="20"/>
      <c r="AA126" s="21"/>
      <c r="AB126" s="5"/>
      <c r="AC126" s="19"/>
      <c r="AD126" s="20"/>
      <c r="AE126" s="22"/>
      <c r="AF126" s="22"/>
      <c r="AG126" s="5"/>
      <c r="AH126" s="28">
        <f t="shared" si="17"/>
        <v>0</v>
      </c>
    </row>
    <row r="127" spans="2:35" x14ac:dyDescent="0.25">
      <c r="B127" s="17" t="s">
        <v>246</v>
      </c>
      <c r="C127" s="93" t="str" cm="1">
        <f t="array" ref="C127">IFERROR(INDEX('Limite de crédito'!$D:$D, MATCH(MAX(IF('Limite de crédito'!$C:$C=$B127, 'Limite de crédito'!$A:$A)), 'Limite de crédito'!$A:$A, 0)),"")</f>
        <v/>
      </c>
      <c r="D127" s="18" cm="1">
        <f t="array" ref="D127">IFERROR(INDEX('Limite de crédito'!$F:$F, MATCH(MAX(IF('Limite de crédito'!$C:$C=$B127, 'Limite de crédito'!$A:$A)), 'Limite de crédito'!$A:$A, 0)),0)</f>
        <v>0</v>
      </c>
      <c r="E127" s="18">
        <f t="shared" si="14"/>
        <v>0</v>
      </c>
      <c r="F127" s="18">
        <f t="shared" si="15"/>
        <v>0</v>
      </c>
      <c r="G127" s="19">
        <f>SUMIFS('Data Additive'!$D:$D,'Data Additive'!$P:$P,'Painel Additive'!#REF!,'Data Additive'!$Q:$Q,"&gt;0",'Data Additive'!$Q:$Q,"&lt;=30")</f>
        <v>0</v>
      </c>
      <c r="H127" s="19">
        <f>SUMIFS('Data Additive'!$D:$D,'Data Additive'!$P:$P,'Painel Additive'!#REF!,'Data Additive'!$Q:$Q,"&gt;30",'Data Additive'!$Q:$Q,"&lt;=60")</f>
        <v>0</v>
      </c>
      <c r="I127" s="19">
        <f>SUMIFS('Data Additive'!$D:$D,'Data Additive'!$P:$P,'Painel Additive'!#REF!,'Data Additive'!$Q:$Q,"&gt;60",'Data Additive'!$Q:$Q,"&lt;=90")</f>
        <v>0</v>
      </c>
      <c r="J127" s="19">
        <f>SUMIFS('Data Additive'!$D:$D,'Data Additive'!$P:$P,'Painel Additive'!#REF!,'Data Additive'!$Q:$Q,"&gt;90",'Data Additive'!$Q:$Q,"&lt;=120")</f>
        <v>0</v>
      </c>
      <c r="K127" s="19">
        <f>SUMIFS('Data Additive'!$D:$D,'Data Additive'!$P:$P,'Painel Additive'!#REF!,'Data Additive'!$Q:$Q,"&gt;120",'Data Additive'!$Q:$Q,"&lt;=180")</f>
        <v>0</v>
      </c>
      <c r="L127" s="19">
        <f>SUMIFS('Data Additive'!$D:$D,'Data Additive'!$P:$P,'Painel Additive'!#REF!,'Data Additive'!$Q:$Q,"&gt;180",'Data Additive'!$Q:$Q,"&lt;=360")</f>
        <v>0</v>
      </c>
      <c r="M127" s="23">
        <f>SUMIFS('Data Additive'!$D:$D,'Data Additive'!$P:$P,'Painel Additive'!#REF!,'Data Additive'!$Q:$Q,"&gt;360")</f>
        <v>0</v>
      </c>
      <c r="N127" s="19">
        <f>SUMIFS('Data Additive'!$D:$D,'Data Additive'!$P:$P,'Painel Additive'!#REF!,'Data Additive'!$Q:$Q,"&gt;0")</f>
        <v>0</v>
      </c>
      <c r="O127" s="19">
        <f t="shared" si="16"/>
        <v>0</v>
      </c>
      <c r="P127" s="19">
        <f>SUMIFS('Data Additive'!$D:$D,'Data Additive'!$P:$P,'Painel Additive'!#REF!,'Data Additive'!$Q:$Q,"&lt;=0",'Data Additive'!$Q:$Q,"&gt;=-30")</f>
        <v>0</v>
      </c>
      <c r="Q127" s="19">
        <f>SUMIFS('Data Additive'!$D:$D,'Data Additive'!$P:$P,'Painel Additive'!#REF!,'Data Additive'!$Q:$Q,"&lt;=-31",'Data Additive'!$Q:$Q,"&gt;=-60")</f>
        <v>0</v>
      </c>
      <c r="R127" s="19">
        <f>SUMIFS('Data Additive'!$D:$D,'Data Additive'!$P:$P,'Painel Additive'!#REF!,'Data Additive'!$Q:$Q,"&lt;=-61",'Data Additive'!$Q:$Q,"&gt;=-90")</f>
        <v>0</v>
      </c>
      <c r="S127" s="19">
        <f>SUMIFS('Data Additive'!$D:$D,'Data Additive'!$P:$P,'Painel Additive'!#REF!,'Data Additive'!$Q:$Q,"&lt;=-91",'Data Additive'!$Q:$Q,"&gt;=-120")</f>
        <v>0</v>
      </c>
      <c r="T127" s="19">
        <f>SUMIFS('Data Additive'!$D:$D,'Data Additive'!$P:$P,'Painel Additive'!#REF!,'Data Additive'!$Q:$Q,"&lt;=-121",'Data Additive'!$Q:$Q,"&gt;=-180")</f>
        <v>0</v>
      </c>
      <c r="U127" s="19">
        <f>SUMIFS('Data Additive'!$D:$D,'Data Additive'!$P:$P,'Painel Additive'!#REF!,'Data Additive'!$Q:$Q,"&lt;=-181",'Data Additive'!$Q:$Q,"&gt;=-360")</f>
        <v>0</v>
      </c>
      <c r="V127" s="23">
        <f>SUMIFS('Data Additive'!$D:$D,'Data Additive'!$P:$P,'Painel Additive'!#REF!,'Data Additive'!$Q:$Q,"&lt;-360")</f>
        <v>0</v>
      </c>
      <c r="W127" s="19" t="e">
        <f>SUMIFS('Bad Debt Provision'!#REF!,'Bad Debt Provision'!#REF!,'Painel Additive'!#REF!)</f>
        <v>#REF!</v>
      </c>
      <c r="X127" s="5"/>
      <c r="Y127" s="20"/>
      <c r="Z127" s="20"/>
      <c r="AA127" s="21"/>
      <c r="AB127" s="5"/>
      <c r="AC127" s="19"/>
      <c r="AD127" s="20"/>
      <c r="AE127" s="22"/>
      <c r="AF127" s="22"/>
      <c r="AG127" s="5"/>
      <c r="AH127" s="28">
        <f t="shared" si="17"/>
        <v>0</v>
      </c>
    </row>
    <row r="128" spans="2:35" x14ac:dyDescent="0.25">
      <c r="B128" s="17" t="s">
        <v>248</v>
      </c>
      <c r="C128" s="93" t="str" cm="1">
        <f t="array" ref="C128">IFERROR(INDEX('Limite de crédito'!$D:$D, MATCH(MAX(IF('Limite de crédito'!$C:$C=$B128, 'Limite de crédito'!$A:$A)), 'Limite de crédito'!$A:$A, 0)),"")</f>
        <v/>
      </c>
      <c r="D128" s="18" cm="1">
        <f t="array" ref="D128">IFERROR(INDEX('Limite de crédito'!$F:$F, MATCH(MAX(IF('Limite de crédito'!$C:$C=$B128, 'Limite de crédito'!$A:$A)), 'Limite de crédito'!$A:$A, 0)),0)</f>
        <v>0</v>
      </c>
      <c r="E128" s="18">
        <f t="shared" si="14"/>
        <v>0</v>
      </c>
      <c r="F128" s="18">
        <f t="shared" si="15"/>
        <v>0</v>
      </c>
      <c r="G128" s="19">
        <f>SUMIFS('Data Additive'!$D:$D,'Data Additive'!$P:$P,'Painel Additive'!#REF!,'Data Additive'!$Q:$Q,"&gt;0",'Data Additive'!$Q:$Q,"&lt;=30")</f>
        <v>0</v>
      </c>
      <c r="H128" s="19">
        <f>SUMIFS('Data Additive'!$D:$D,'Data Additive'!$P:$P,'Painel Additive'!#REF!,'Data Additive'!$Q:$Q,"&gt;30",'Data Additive'!$Q:$Q,"&lt;=60")</f>
        <v>0</v>
      </c>
      <c r="I128" s="19">
        <f>SUMIFS('Data Additive'!$D:$D,'Data Additive'!$P:$P,'Painel Additive'!#REF!,'Data Additive'!$Q:$Q,"&gt;60",'Data Additive'!$Q:$Q,"&lt;=90")</f>
        <v>0</v>
      </c>
      <c r="J128" s="19">
        <f>SUMIFS('Data Additive'!$D:$D,'Data Additive'!$P:$P,'Painel Additive'!#REF!,'Data Additive'!$Q:$Q,"&gt;90",'Data Additive'!$Q:$Q,"&lt;=120")</f>
        <v>0</v>
      </c>
      <c r="K128" s="19">
        <f>SUMIFS('Data Additive'!$D:$D,'Data Additive'!$P:$P,'Painel Additive'!#REF!,'Data Additive'!$Q:$Q,"&gt;120",'Data Additive'!$Q:$Q,"&lt;=180")</f>
        <v>0</v>
      </c>
      <c r="L128" s="19">
        <f>SUMIFS('Data Additive'!$D:$D,'Data Additive'!$P:$P,'Painel Additive'!#REF!,'Data Additive'!$Q:$Q,"&gt;180",'Data Additive'!$Q:$Q,"&lt;=360")</f>
        <v>0</v>
      </c>
      <c r="M128" s="23">
        <f>SUMIFS('Data Additive'!$D:$D,'Data Additive'!$P:$P,'Painel Additive'!#REF!,'Data Additive'!$Q:$Q,"&gt;360")</f>
        <v>0</v>
      </c>
      <c r="N128" s="19">
        <f>SUMIFS('Data Additive'!$D:$D,'Data Additive'!$P:$P,'Painel Additive'!#REF!,'Data Additive'!$Q:$Q,"&gt;0")</f>
        <v>0</v>
      </c>
      <c r="O128" s="19">
        <f t="shared" si="16"/>
        <v>0</v>
      </c>
      <c r="P128" s="19">
        <f>SUMIFS('Data Additive'!$D:$D,'Data Additive'!$P:$P,'Painel Additive'!#REF!,'Data Additive'!$Q:$Q,"&lt;=0",'Data Additive'!$Q:$Q,"&gt;=-30")</f>
        <v>0</v>
      </c>
      <c r="Q128" s="19">
        <f>SUMIFS('Data Additive'!$D:$D,'Data Additive'!$P:$P,'Painel Additive'!#REF!,'Data Additive'!$Q:$Q,"&lt;=-31",'Data Additive'!$Q:$Q,"&gt;=-60")</f>
        <v>0</v>
      </c>
      <c r="R128" s="19">
        <f>SUMIFS('Data Additive'!$D:$D,'Data Additive'!$P:$P,'Painel Additive'!#REF!,'Data Additive'!$Q:$Q,"&lt;=-61",'Data Additive'!$Q:$Q,"&gt;=-90")</f>
        <v>0</v>
      </c>
      <c r="S128" s="19">
        <f>SUMIFS('Data Additive'!$D:$D,'Data Additive'!$P:$P,'Painel Additive'!#REF!,'Data Additive'!$Q:$Q,"&lt;=-91",'Data Additive'!$Q:$Q,"&gt;=-120")</f>
        <v>0</v>
      </c>
      <c r="T128" s="19">
        <f>SUMIFS('Data Additive'!$D:$D,'Data Additive'!$P:$P,'Painel Additive'!#REF!,'Data Additive'!$Q:$Q,"&lt;=-121",'Data Additive'!$Q:$Q,"&gt;=-180")</f>
        <v>0</v>
      </c>
      <c r="U128" s="19">
        <f>SUMIFS('Data Additive'!$D:$D,'Data Additive'!$P:$P,'Painel Additive'!#REF!,'Data Additive'!$Q:$Q,"&lt;=-181",'Data Additive'!$Q:$Q,"&gt;=-360")</f>
        <v>0</v>
      </c>
      <c r="V128" s="23">
        <f>SUMIFS('Data Additive'!$D:$D,'Data Additive'!$P:$P,'Painel Additive'!#REF!,'Data Additive'!$Q:$Q,"&lt;-360")</f>
        <v>0</v>
      </c>
      <c r="W128" s="19" t="e">
        <f>SUMIFS('Bad Debt Provision'!#REF!,'Bad Debt Provision'!#REF!,'Painel Additive'!#REF!)</f>
        <v>#REF!</v>
      </c>
      <c r="X128" s="5"/>
      <c r="Y128" s="20"/>
      <c r="Z128" s="20"/>
      <c r="AA128" s="21"/>
      <c r="AB128" s="5"/>
      <c r="AC128" s="19"/>
      <c r="AD128" s="20"/>
      <c r="AE128" s="22"/>
      <c r="AF128" s="22"/>
      <c r="AG128" s="5"/>
      <c r="AH128" s="28">
        <f t="shared" si="17"/>
        <v>0</v>
      </c>
    </row>
    <row r="129" spans="2:34" x14ac:dyDescent="0.25">
      <c r="B129" s="17" t="s">
        <v>249</v>
      </c>
      <c r="C129" s="93" t="str" cm="1">
        <f t="array" ref="C129">IFERROR(INDEX('Limite de crédito'!$D:$D, MATCH(MAX(IF('Limite de crédito'!$C:$C=$B129, 'Limite de crédito'!$A:$A)), 'Limite de crédito'!$A:$A, 0)),"")</f>
        <v/>
      </c>
      <c r="D129" s="18" cm="1">
        <f t="array" ref="D129">IFERROR(INDEX('Limite de crédito'!$F:$F, MATCH(MAX(IF('Limite de crédito'!$C:$C=$B129, 'Limite de crédito'!$A:$A)), 'Limite de crédito'!$A:$A, 0)),0)</f>
        <v>0</v>
      </c>
      <c r="E129" s="18">
        <f t="shared" si="14"/>
        <v>0</v>
      </c>
      <c r="F129" s="18">
        <f t="shared" si="15"/>
        <v>0</v>
      </c>
      <c r="G129" s="19">
        <f>SUMIFS('Data Additive'!$D:$D,'Data Additive'!$P:$P,'Painel Additive'!#REF!,'Data Additive'!$Q:$Q,"&gt;0",'Data Additive'!$Q:$Q,"&lt;=30")</f>
        <v>0</v>
      </c>
      <c r="H129" s="19">
        <f>SUMIFS('Data Additive'!$D:$D,'Data Additive'!$P:$P,'Painel Additive'!#REF!,'Data Additive'!$Q:$Q,"&gt;30",'Data Additive'!$Q:$Q,"&lt;=60")</f>
        <v>0</v>
      </c>
      <c r="I129" s="19">
        <f>SUMIFS('Data Additive'!$D:$D,'Data Additive'!$P:$P,'Painel Additive'!#REF!,'Data Additive'!$Q:$Q,"&gt;60",'Data Additive'!$Q:$Q,"&lt;=90")</f>
        <v>0</v>
      </c>
      <c r="J129" s="19">
        <f>SUMIFS('Data Additive'!$D:$D,'Data Additive'!$P:$P,'Painel Additive'!#REF!,'Data Additive'!$Q:$Q,"&gt;90",'Data Additive'!$Q:$Q,"&lt;=120")</f>
        <v>0</v>
      </c>
      <c r="K129" s="19">
        <f>SUMIFS('Data Additive'!$D:$D,'Data Additive'!$P:$P,'Painel Additive'!#REF!,'Data Additive'!$Q:$Q,"&gt;120",'Data Additive'!$Q:$Q,"&lt;=180")</f>
        <v>0</v>
      </c>
      <c r="L129" s="19">
        <f>SUMIFS('Data Additive'!$D:$D,'Data Additive'!$P:$P,'Painel Additive'!#REF!,'Data Additive'!$Q:$Q,"&gt;180",'Data Additive'!$Q:$Q,"&lt;=360")</f>
        <v>0</v>
      </c>
      <c r="M129" s="23">
        <f>SUMIFS('Data Additive'!$D:$D,'Data Additive'!$P:$P,'Painel Additive'!#REF!,'Data Additive'!$Q:$Q,"&gt;360")</f>
        <v>0</v>
      </c>
      <c r="N129" s="19">
        <f>SUMIFS('Data Additive'!$D:$D,'Data Additive'!$P:$P,'Painel Additive'!#REF!,'Data Additive'!$Q:$Q,"&gt;0")</f>
        <v>0</v>
      </c>
      <c r="O129" s="19">
        <f t="shared" si="16"/>
        <v>0</v>
      </c>
      <c r="P129" s="19">
        <f>SUMIFS('Data Additive'!$D:$D,'Data Additive'!$P:$P,'Painel Additive'!#REF!,'Data Additive'!$Q:$Q,"&lt;=0",'Data Additive'!$Q:$Q,"&gt;=-30")</f>
        <v>0</v>
      </c>
      <c r="Q129" s="19">
        <f>SUMIFS('Data Additive'!$D:$D,'Data Additive'!$P:$P,'Painel Additive'!#REF!,'Data Additive'!$Q:$Q,"&lt;=-31",'Data Additive'!$Q:$Q,"&gt;=-60")</f>
        <v>0</v>
      </c>
      <c r="R129" s="19">
        <f>SUMIFS('Data Additive'!$D:$D,'Data Additive'!$P:$P,'Painel Additive'!#REF!,'Data Additive'!$Q:$Q,"&lt;=-61",'Data Additive'!$Q:$Q,"&gt;=-90")</f>
        <v>0</v>
      </c>
      <c r="S129" s="19">
        <f>SUMIFS('Data Additive'!$D:$D,'Data Additive'!$P:$P,'Painel Additive'!#REF!,'Data Additive'!$Q:$Q,"&lt;=-91",'Data Additive'!$Q:$Q,"&gt;=-120")</f>
        <v>0</v>
      </c>
      <c r="T129" s="19">
        <f>SUMIFS('Data Additive'!$D:$D,'Data Additive'!$P:$P,'Painel Additive'!#REF!,'Data Additive'!$Q:$Q,"&lt;=-121",'Data Additive'!$Q:$Q,"&gt;=-180")</f>
        <v>0</v>
      </c>
      <c r="U129" s="19">
        <f>SUMIFS('Data Additive'!$D:$D,'Data Additive'!$P:$P,'Painel Additive'!#REF!,'Data Additive'!$Q:$Q,"&lt;=-181",'Data Additive'!$Q:$Q,"&gt;=-360")</f>
        <v>0</v>
      </c>
      <c r="V129" s="23">
        <f>SUMIFS('Data Additive'!$D:$D,'Data Additive'!$P:$P,'Painel Additive'!#REF!,'Data Additive'!$Q:$Q,"&lt;-360")</f>
        <v>0</v>
      </c>
      <c r="W129" s="19" t="e">
        <f>SUMIFS('Bad Debt Provision'!#REF!,'Bad Debt Provision'!#REF!,'Painel Additive'!#REF!)</f>
        <v>#REF!</v>
      </c>
      <c r="X129" s="5"/>
      <c r="Y129" s="20"/>
      <c r="Z129" s="20"/>
      <c r="AA129" s="21"/>
      <c r="AB129" s="5"/>
      <c r="AC129" s="19"/>
      <c r="AD129" s="20"/>
      <c r="AE129" s="22"/>
      <c r="AF129" s="22"/>
      <c r="AG129" s="5"/>
      <c r="AH129" s="28">
        <f t="shared" si="17"/>
        <v>0</v>
      </c>
    </row>
    <row r="130" spans="2:34" x14ac:dyDescent="0.25">
      <c r="B130" s="17" t="s">
        <v>250</v>
      </c>
      <c r="C130" s="93" t="str" cm="1">
        <f t="array" ref="C130">IFERROR(INDEX('Limite de crédito'!$D:$D, MATCH(MAX(IF('Limite de crédito'!$C:$C=$B130, 'Limite de crédito'!$A:$A)), 'Limite de crédito'!$A:$A, 0)),"")</f>
        <v/>
      </c>
      <c r="D130" s="18" cm="1">
        <f t="array" ref="D130">IFERROR(INDEX('Limite de crédito'!$F:$F, MATCH(MAX(IF('Limite de crédito'!$C:$C=$B130, 'Limite de crédito'!$A:$A)), 'Limite de crédito'!$A:$A, 0)),0)</f>
        <v>0</v>
      </c>
      <c r="E130" s="18">
        <f t="shared" si="14"/>
        <v>0</v>
      </c>
      <c r="F130" s="18">
        <f t="shared" si="15"/>
        <v>0</v>
      </c>
      <c r="G130" s="19">
        <f>SUMIFS('Data Additive'!$D:$D,'Data Additive'!$P:$P,'Painel Additive'!#REF!,'Data Additive'!$Q:$Q,"&gt;0",'Data Additive'!$Q:$Q,"&lt;=30")</f>
        <v>0</v>
      </c>
      <c r="H130" s="19">
        <f>SUMIFS('Data Additive'!$D:$D,'Data Additive'!$P:$P,'Painel Additive'!#REF!,'Data Additive'!$Q:$Q,"&gt;30",'Data Additive'!$Q:$Q,"&lt;=60")</f>
        <v>0</v>
      </c>
      <c r="I130" s="19">
        <f>SUMIFS('Data Additive'!$D:$D,'Data Additive'!$P:$P,'Painel Additive'!#REF!,'Data Additive'!$Q:$Q,"&gt;60",'Data Additive'!$Q:$Q,"&lt;=90")</f>
        <v>0</v>
      </c>
      <c r="J130" s="19">
        <f>SUMIFS('Data Additive'!$D:$D,'Data Additive'!$P:$P,'Painel Additive'!#REF!,'Data Additive'!$Q:$Q,"&gt;90",'Data Additive'!$Q:$Q,"&lt;=120")</f>
        <v>0</v>
      </c>
      <c r="K130" s="19">
        <f>SUMIFS('Data Additive'!$D:$D,'Data Additive'!$P:$P,'Painel Additive'!#REF!,'Data Additive'!$Q:$Q,"&gt;120",'Data Additive'!$Q:$Q,"&lt;=180")</f>
        <v>0</v>
      </c>
      <c r="L130" s="19">
        <f>SUMIFS('Data Additive'!$D:$D,'Data Additive'!$P:$P,'Painel Additive'!#REF!,'Data Additive'!$Q:$Q,"&gt;180",'Data Additive'!$Q:$Q,"&lt;=360")</f>
        <v>0</v>
      </c>
      <c r="M130" s="23">
        <f>SUMIFS('Data Additive'!$D:$D,'Data Additive'!$P:$P,'Painel Additive'!#REF!,'Data Additive'!$Q:$Q,"&gt;360")</f>
        <v>0</v>
      </c>
      <c r="N130" s="19">
        <f>SUMIFS('Data Additive'!$D:$D,'Data Additive'!$P:$P,'Painel Additive'!#REF!,'Data Additive'!$Q:$Q,"&gt;0")</f>
        <v>0</v>
      </c>
      <c r="O130" s="19">
        <f t="shared" si="16"/>
        <v>0</v>
      </c>
      <c r="P130" s="19">
        <f>SUMIFS('Data Additive'!$D:$D,'Data Additive'!$P:$P,'Painel Additive'!#REF!,'Data Additive'!$Q:$Q,"&lt;=0",'Data Additive'!$Q:$Q,"&gt;=-30")</f>
        <v>0</v>
      </c>
      <c r="Q130" s="19">
        <f>SUMIFS('Data Additive'!$D:$D,'Data Additive'!$P:$P,'Painel Additive'!#REF!,'Data Additive'!$Q:$Q,"&lt;=-31",'Data Additive'!$Q:$Q,"&gt;=-60")</f>
        <v>0</v>
      </c>
      <c r="R130" s="19">
        <f>SUMIFS('Data Additive'!$D:$D,'Data Additive'!$P:$P,'Painel Additive'!#REF!,'Data Additive'!$Q:$Q,"&lt;=-61",'Data Additive'!$Q:$Q,"&gt;=-90")</f>
        <v>0</v>
      </c>
      <c r="S130" s="19">
        <f>SUMIFS('Data Additive'!$D:$D,'Data Additive'!$P:$P,'Painel Additive'!#REF!,'Data Additive'!$Q:$Q,"&lt;=-91",'Data Additive'!$Q:$Q,"&gt;=-120")</f>
        <v>0</v>
      </c>
      <c r="T130" s="19">
        <f>SUMIFS('Data Additive'!$D:$D,'Data Additive'!$P:$P,'Painel Additive'!#REF!,'Data Additive'!$Q:$Q,"&lt;=-121",'Data Additive'!$Q:$Q,"&gt;=-180")</f>
        <v>0</v>
      </c>
      <c r="U130" s="19">
        <f>SUMIFS('Data Additive'!$D:$D,'Data Additive'!$P:$P,'Painel Additive'!#REF!,'Data Additive'!$Q:$Q,"&lt;=-181",'Data Additive'!$Q:$Q,"&gt;=-360")</f>
        <v>0</v>
      </c>
      <c r="V130" s="23">
        <f>SUMIFS('Data Additive'!$D:$D,'Data Additive'!$P:$P,'Painel Additive'!#REF!,'Data Additive'!$Q:$Q,"&lt;-360")</f>
        <v>0</v>
      </c>
      <c r="W130" s="19" t="e">
        <f>SUMIFS('Bad Debt Provision'!#REF!,'Bad Debt Provision'!#REF!,'Painel Additive'!#REF!)</f>
        <v>#REF!</v>
      </c>
      <c r="X130" s="5"/>
      <c r="Y130" s="20"/>
      <c r="Z130" s="20"/>
      <c r="AA130" s="21"/>
      <c r="AB130" s="5"/>
      <c r="AC130" s="19"/>
      <c r="AD130" s="20"/>
      <c r="AE130" s="22"/>
      <c r="AF130" s="22"/>
      <c r="AG130" s="5"/>
      <c r="AH130" s="28">
        <f t="shared" si="17"/>
        <v>0</v>
      </c>
    </row>
    <row r="131" spans="2:34" x14ac:dyDescent="0.25">
      <c r="B131" s="17" t="s">
        <v>251</v>
      </c>
      <c r="C131" s="93" t="str" cm="1">
        <f t="array" ref="C131">IFERROR(INDEX('Limite de crédito'!$D:$D, MATCH(MAX(IF('Limite de crédito'!$C:$C=$B131, 'Limite de crédito'!$A:$A)), 'Limite de crédito'!$A:$A, 0)),"")</f>
        <v/>
      </c>
      <c r="D131" s="18" cm="1">
        <f t="array" ref="D131">IFERROR(INDEX('Limite de crédito'!$F:$F, MATCH(MAX(IF('Limite de crédito'!$C:$C=$B131, 'Limite de crédito'!$A:$A)), 'Limite de crédito'!$A:$A, 0)),0)</f>
        <v>0</v>
      </c>
      <c r="E131" s="18">
        <f t="shared" si="14"/>
        <v>0</v>
      </c>
      <c r="F131" s="18">
        <f t="shared" si="15"/>
        <v>0</v>
      </c>
      <c r="G131" s="19">
        <f>SUMIFS('Data Additive'!$D:$D,'Data Additive'!$P:$P,'Painel Additive'!#REF!,'Data Additive'!$Q:$Q,"&gt;0",'Data Additive'!$Q:$Q,"&lt;=30")</f>
        <v>0</v>
      </c>
      <c r="H131" s="19">
        <f>SUMIFS('Data Additive'!$D:$D,'Data Additive'!$P:$P,'Painel Additive'!#REF!,'Data Additive'!$Q:$Q,"&gt;30",'Data Additive'!$Q:$Q,"&lt;=60")</f>
        <v>0</v>
      </c>
      <c r="I131" s="19">
        <f>SUMIFS('Data Additive'!$D:$D,'Data Additive'!$P:$P,'Painel Additive'!#REF!,'Data Additive'!$Q:$Q,"&gt;60",'Data Additive'!$Q:$Q,"&lt;=90")</f>
        <v>0</v>
      </c>
      <c r="J131" s="19">
        <f>SUMIFS('Data Additive'!$D:$D,'Data Additive'!$P:$P,'Painel Additive'!#REF!,'Data Additive'!$Q:$Q,"&gt;90",'Data Additive'!$Q:$Q,"&lt;=120")</f>
        <v>0</v>
      </c>
      <c r="K131" s="19">
        <f>SUMIFS('Data Additive'!$D:$D,'Data Additive'!$P:$P,'Painel Additive'!#REF!,'Data Additive'!$Q:$Q,"&gt;120",'Data Additive'!$Q:$Q,"&lt;=180")</f>
        <v>0</v>
      </c>
      <c r="L131" s="19">
        <f>SUMIFS('Data Additive'!$D:$D,'Data Additive'!$P:$P,'Painel Additive'!#REF!,'Data Additive'!$Q:$Q,"&gt;180",'Data Additive'!$Q:$Q,"&lt;=360")</f>
        <v>0</v>
      </c>
      <c r="M131" s="23">
        <f>SUMIFS('Data Additive'!$D:$D,'Data Additive'!$P:$P,'Painel Additive'!#REF!,'Data Additive'!$Q:$Q,"&gt;360")</f>
        <v>0</v>
      </c>
      <c r="N131" s="19">
        <f>SUMIFS('Data Additive'!$D:$D,'Data Additive'!$P:$P,'Painel Additive'!#REF!,'Data Additive'!$Q:$Q,"&gt;0")</f>
        <v>0</v>
      </c>
      <c r="O131" s="19">
        <f t="shared" si="16"/>
        <v>0</v>
      </c>
      <c r="P131" s="19">
        <f>SUMIFS('Data Additive'!$D:$D,'Data Additive'!$P:$P,'Painel Additive'!#REF!,'Data Additive'!$Q:$Q,"&lt;=0",'Data Additive'!$Q:$Q,"&gt;=-30")</f>
        <v>0</v>
      </c>
      <c r="Q131" s="19">
        <f>SUMIFS('Data Additive'!$D:$D,'Data Additive'!$P:$P,'Painel Additive'!#REF!,'Data Additive'!$Q:$Q,"&lt;=-31",'Data Additive'!$Q:$Q,"&gt;=-60")</f>
        <v>0</v>
      </c>
      <c r="R131" s="19">
        <f>SUMIFS('Data Additive'!$D:$D,'Data Additive'!$P:$P,'Painel Additive'!#REF!,'Data Additive'!$Q:$Q,"&lt;=-61",'Data Additive'!$Q:$Q,"&gt;=-90")</f>
        <v>0</v>
      </c>
      <c r="S131" s="19">
        <f>SUMIFS('Data Additive'!$D:$D,'Data Additive'!$P:$P,'Painel Additive'!#REF!,'Data Additive'!$Q:$Q,"&lt;=-91",'Data Additive'!$Q:$Q,"&gt;=-120")</f>
        <v>0</v>
      </c>
      <c r="T131" s="19">
        <f>SUMIFS('Data Additive'!$D:$D,'Data Additive'!$P:$P,'Painel Additive'!#REF!,'Data Additive'!$Q:$Q,"&lt;=-121",'Data Additive'!$Q:$Q,"&gt;=-180")</f>
        <v>0</v>
      </c>
      <c r="U131" s="19">
        <f>SUMIFS('Data Additive'!$D:$D,'Data Additive'!$P:$P,'Painel Additive'!#REF!,'Data Additive'!$Q:$Q,"&lt;=-181",'Data Additive'!$Q:$Q,"&gt;=-360")</f>
        <v>0</v>
      </c>
      <c r="V131" s="23">
        <f>SUMIFS('Data Additive'!$D:$D,'Data Additive'!$P:$P,'Painel Additive'!#REF!,'Data Additive'!$Q:$Q,"&lt;-360")</f>
        <v>0</v>
      </c>
      <c r="W131" s="19" t="e">
        <f>SUMIFS('Bad Debt Provision'!#REF!,'Bad Debt Provision'!#REF!,'Painel Additive'!#REF!)</f>
        <v>#REF!</v>
      </c>
      <c r="X131" s="5"/>
      <c r="Y131" s="20"/>
      <c r="Z131" s="20"/>
      <c r="AA131" s="21"/>
      <c r="AB131" s="5"/>
      <c r="AC131" s="19"/>
      <c r="AD131" s="20"/>
      <c r="AE131" s="22"/>
      <c r="AF131" s="22"/>
      <c r="AG131" s="5"/>
      <c r="AH131" s="28">
        <f t="shared" si="17"/>
        <v>0</v>
      </c>
    </row>
    <row r="132" spans="2:34" x14ac:dyDescent="0.25">
      <c r="B132" s="17" t="s">
        <v>253</v>
      </c>
      <c r="C132" s="93" t="str" cm="1">
        <f t="array" ref="C132">IFERROR(INDEX('Limite de crédito'!$D:$D, MATCH(MAX(IF('Limite de crédito'!$C:$C=$B132, 'Limite de crédito'!$A:$A)), 'Limite de crédito'!$A:$A, 0)),"")</f>
        <v/>
      </c>
      <c r="D132" s="18" cm="1">
        <f t="array" ref="D132">IFERROR(INDEX('Limite de crédito'!$F:$F, MATCH(MAX(IF('Limite de crédito'!$C:$C=$B132, 'Limite de crédito'!$A:$A)), 'Limite de crédito'!$A:$A, 0)),0)</f>
        <v>0</v>
      </c>
      <c r="E132" s="18">
        <f t="shared" ref="E132:E163" si="18">D132-F132</f>
        <v>0</v>
      </c>
      <c r="F132" s="18">
        <f t="shared" ref="F132:F163" si="19">O132+N132</f>
        <v>0</v>
      </c>
      <c r="G132" s="19">
        <f>SUMIFS('Data Additive'!$D:$D,'Data Additive'!$P:$P,'Painel Additive'!#REF!,'Data Additive'!$Q:$Q,"&gt;0",'Data Additive'!$Q:$Q,"&lt;=30")</f>
        <v>0</v>
      </c>
      <c r="H132" s="19">
        <f>SUMIFS('Data Additive'!$D:$D,'Data Additive'!$P:$P,'Painel Additive'!#REF!,'Data Additive'!$Q:$Q,"&gt;30",'Data Additive'!$Q:$Q,"&lt;=60")</f>
        <v>0</v>
      </c>
      <c r="I132" s="19">
        <f>SUMIFS('Data Additive'!$D:$D,'Data Additive'!$P:$P,'Painel Additive'!#REF!,'Data Additive'!$Q:$Q,"&gt;60",'Data Additive'!$Q:$Q,"&lt;=90")</f>
        <v>0</v>
      </c>
      <c r="J132" s="19">
        <f>SUMIFS('Data Additive'!$D:$D,'Data Additive'!$P:$P,'Painel Additive'!#REF!,'Data Additive'!$Q:$Q,"&gt;90",'Data Additive'!$Q:$Q,"&lt;=120")</f>
        <v>0</v>
      </c>
      <c r="K132" s="19">
        <f>SUMIFS('Data Additive'!$D:$D,'Data Additive'!$P:$P,'Painel Additive'!#REF!,'Data Additive'!$Q:$Q,"&gt;120",'Data Additive'!$Q:$Q,"&lt;=180")</f>
        <v>0</v>
      </c>
      <c r="L132" s="19">
        <f>SUMIFS('Data Additive'!$D:$D,'Data Additive'!$P:$P,'Painel Additive'!#REF!,'Data Additive'!$Q:$Q,"&gt;180",'Data Additive'!$Q:$Q,"&lt;=360")</f>
        <v>0</v>
      </c>
      <c r="M132" s="23">
        <f>SUMIFS('Data Additive'!$D:$D,'Data Additive'!$P:$P,'Painel Additive'!#REF!,'Data Additive'!$Q:$Q,"&gt;360")</f>
        <v>0</v>
      </c>
      <c r="N132" s="19">
        <f>SUMIFS('Data Additive'!$D:$D,'Data Additive'!$P:$P,'Painel Additive'!#REF!,'Data Additive'!$Q:$Q,"&gt;0")</f>
        <v>0</v>
      </c>
      <c r="O132" s="19">
        <f t="shared" ref="O132:O163" si="20">SUBTOTAL(9,P132:V132)</f>
        <v>0</v>
      </c>
      <c r="P132" s="19">
        <f>SUMIFS('Data Additive'!$D:$D,'Data Additive'!$P:$P,'Painel Additive'!#REF!,'Data Additive'!$Q:$Q,"&lt;=0",'Data Additive'!$Q:$Q,"&gt;=-30")</f>
        <v>0</v>
      </c>
      <c r="Q132" s="19">
        <f>SUMIFS('Data Additive'!$D:$D,'Data Additive'!$P:$P,'Painel Additive'!#REF!,'Data Additive'!$Q:$Q,"&lt;=-31",'Data Additive'!$Q:$Q,"&gt;=-60")</f>
        <v>0</v>
      </c>
      <c r="R132" s="19">
        <f>SUMIFS('Data Additive'!$D:$D,'Data Additive'!$P:$P,'Painel Additive'!#REF!,'Data Additive'!$Q:$Q,"&lt;=-61",'Data Additive'!$Q:$Q,"&gt;=-90")</f>
        <v>0</v>
      </c>
      <c r="S132" s="19">
        <f>SUMIFS('Data Additive'!$D:$D,'Data Additive'!$P:$P,'Painel Additive'!#REF!,'Data Additive'!$Q:$Q,"&lt;=-91",'Data Additive'!$Q:$Q,"&gt;=-120")</f>
        <v>0</v>
      </c>
      <c r="T132" s="19">
        <f>SUMIFS('Data Additive'!$D:$D,'Data Additive'!$P:$P,'Painel Additive'!#REF!,'Data Additive'!$Q:$Q,"&lt;=-121",'Data Additive'!$Q:$Q,"&gt;=-180")</f>
        <v>0</v>
      </c>
      <c r="U132" s="19">
        <f>SUMIFS('Data Additive'!$D:$D,'Data Additive'!$P:$P,'Painel Additive'!#REF!,'Data Additive'!$Q:$Q,"&lt;=-181",'Data Additive'!$Q:$Q,"&gt;=-360")</f>
        <v>0</v>
      </c>
      <c r="V132" s="23">
        <f>SUMIFS('Data Additive'!$D:$D,'Data Additive'!$P:$P,'Painel Additive'!#REF!,'Data Additive'!$Q:$Q,"&lt;-360")</f>
        <v>0</v>
      </c>
      <c r="W132" s="19" t="e">
        <f>SUMIFS('Bad Debt Provision'!#REF!,'Bad Debt Provision'!#REF!,'Painel Additive'!#REF!)</f>
        <v>#REF!</v>
      </c>
      <c r="X132" s="5"/>
      <c r="Y132" s="20"/>
      <c r="Z132" s="20"/>
      <c r="AA132" s="21"/>
      <c r="AB132" s="5"/>
      <c r="AC132" s="19"/>
      <c r="AD132" s="20"/>
      <c r="AE132" s="22"/>
      <c r="AF132" s="22"/>
      <c r="AG132" s="5"/>
      <c r="AH132" s="28">
        <f t="shared" ref="AH132:AH163" si="21">AC132-F132</f>
        <v>0</v>
      </c>
    </row>
    <row r="133" spans="2:34" x14ac:dyDescent="0.25">
      <c r="B133" s="17" t="s">
        <v>256</v>
      </c>
      <c r="C133" s="93" t="str" cm="1">
        <f t="array" ref="C133">IFERROR(INDEX('Limite de crédito'!$D:$D, MATCH(MAX(IF('Limite de crédito'!$C:$C=$B133, 'Limite de crédito'!$A:$A)), 'Limite de crédito'!$A:$A, 0)),"")</f>
        <v/>
      </c>
      <c r="D133" s="18" cm="1">
        <f t="array" ref="D133">IFERROR(INDEX('Limite de crédito'!$F:$F, MATCH(MAX(IF('Limite de crédito'!$C:$C=$B133, 'Limite de crédito'!$A:$A)), 'Limite de crédito'!$A:$A, 0)),0)</f>
        <v>0</v>
      </c>
      <c r="E133" s="18">
        <f t="shared" si="18"/>
        <v>0</v>
      </c>
      <c r="F133" s="18">
        <f t="shared" si="19"/>
        <v>0</v>
      </c>
      <c r="G133" s="19">
        <f>SUMIFS('Data Additive'!$D:$D,'Data Additive'!$P:$P,'Painel Additive'!#REF!,'Data Additive'!$Q:$Q,"&gt;0",'Data Additive'!$Q:$Q,"&lt;=30")</f>
        <v>0</v>
      </c>
      <c r="H133" s="19">
        <f>SUMIFS('Data Additive'!$D:$D,'Data Additive'!$P:$P,'Painel Additive'!#REF!,'Data Additive'!$Q:$Q,"&gt;30",'Data Additive'!$Q:$Q,"&lt;=60")</f>
        <v>0</v>
      </c>
      <c r="I133" s="19">
        <f>SUMIFS('Data Additive'!$D:$D,'Data Additive'!$P:$P,'Painel Additive'!#REF!,'Data Additive'!$Q:$Q,"&gt;60",'Data Additive'!$Q:$Q,"&lt;=90")</f>
        <v>0</v>
      </c>
      <c r="J133" s="19">
        <f>SUMIFS('Data Additive'!$D:$D,'Data Additive'!$P:$P,'Painel Additive'!#REF!,'Data Additive'!$Q:$Q,"&gt;90",'Data Additive'!$Q:$Q,"&lt;=120")</f>
        <v>0</v>
      </c>
      <c r="K133" s="19">
        <f>SUMIFS('Data Additive'!$D:$D,'Data Additive'!$P:$P,'Painel Additive'!#REF!,'Data Additive'!$Q:$Q,"&gt;120",'Data Additive'!$Q:$Q,"&lt;=180")</f>
        <v>0</v>
      </c>
      <c r="L133" s="19">
        <f>SUMIFS('Data Additive'!$D:$D,'Data Additive'!$P:$P,'Painel Additive'!#REF!,'Data Additive'!$Q:$Q,"&gt;180",'Data Additive'!$Q:$Q,"&lt;=360")</f>
        <v>0</v>
      </c>
      <c r="M133" s="23">
        <f>SUMIFS('Data Additive'!$D:$D,'Data Additive'!$P:$P,'Painel Additive'!#REF!,'Data Additive'!$Q:$Q,"&gt;360")</f>
        <v>0</v>
      </c>
      <c r="N133" s="19">
        <f>SUMIFS('Data Additive'!$D:$D,'Data Additive'!$P:$P,'Painel Additive'!#REF!,'Data Additive'!$Q:$Q,"&gt;0")</f>
        <v>0</v>
      </c>
      <c r="O133" s="19">
        <f t="shared" si="20"/>
        <v>0</v>
      </c>
      <c r="P133" s="19">
        <f>SUMIFS('Data Additive'!$D:$D,'Data Additive'!$P:$P,'Painel Additive'!#REF!,'Data Additive'!$Q:$Q,"&lt;=0",'Data Additive'!$Q:$Q,"&gt;=-30")</f>
        <v>0</v>
      </c>
      <c r="Q133" s="19">
        <f>SUMIFS('Data Additive'!$D:$D,'Data Additive'!$P:$P,'Painel Additive'!#REF!,'Data Additive'!$Q:$Q,"&lt;=-31",'Data Additive'!$Q:$Q,"&gt;=-60")</f>
        <v>0</v>
      </c>
      <c r="R133" s="19">
        <f>SUMIFS('Data Additive'!$D:$D,'Data Additive'!$P:$P,'Painel Additive'!#REF!,'Data Additive'!$Q:$Q,"&lt;=-61",'Data Additive'!$Q:$Q,"&gt;=-90")</f>
        <v>0</v>
      </c>
      <c r="S133" s="19">
        <f>SUMIFS('Data Additive'!$D:$D,'Data Additive'!$P:$P,'Painel Additive'!#REF!,'Data Additive'!$Q:$Q,"&lt;=-91",'Data Additive'!$Q:$Q,"&gt;=-120")</f>
        <v>0</v>
      </c>
      <c r="T133" s="19">
        <f>SUMIFS('Data Additive'!$D:$D,'Data Additive'!$P:$P,'Painel Additive'!#REF!,'Data Additive'!$Q:$Q,"&lt;=-121",'Data Additive'!$Q:$Q,"&gt;=-180")</f>
        <v>0</v>
      </c>
      <c r="U133" s="19">
        <f>SUMIFS('Data Additive'!$D:$D,'Data Additive'!$P:$P,'Painel Additive'!#REF!,'Data Additive'!$Q:$Q,"&lt;=-181",'Data Additive'!$Q:$Q,"&gt;=-360")</f>
        <v>0</v>
      </c>
      <c r="V133" s="23">
        <f>SUMIFS('Data Additive'!$D:$D,'Data Additive'!$P:$P,'Painel Additive'!#REF!,'Data Additive'!$Q:$Q,"&lt;-360")</f>
        <v>0</v>
      </c>
      <c r="W133" s="19" t="e">
        <f>SUMIFS('Bad Debt Provision'!#REF!,'Bad Debt Provision'!#REF!,'Painel Additive'!#REF!)</f>
        <v>#REF!</v>
      </c>
      <c r="X133" s="5"/>
      <c r="Y133" s="20"/>
      <c r="Z133" s="20"/>
      <c r="AA133" s="21"/>
      <c r="AB133" s="5"/>
      <c r="AC133" s="19"/>
      <c r="AD133" s="20"/>
      <c r="AE133" s="22"/>
      <c r="AF133" s="22"/>
      <c r="AG133" s="5"/>
      <c r="AH133" s="28">
        <f t="shared" si="21"/>
        <v>0</v>
      </c>
    </row>
    <row r="134" spans="2:34" x14ac:dyDescent="0.25">
      <c r="B134" s="17" t="s">
        <v>260</v>
      </c>
      <c r="C134" s="93" t="str" cm="1">
        <f t="array" ref="C134">IFERROR(INDEX('Limite de crédito'!$D:$D, MATCH(MAX(IF('Limite de crédito'!$C:$C=$B134, 'Limite de crédito'!$A:$A)), 'Limite de crédito'!$A:$A, 0)),"")</f>
        <v/>
      </c>
      <c r="D134" s="18" cm="1">
        <f t="array" ref="D134">IFERROR(INDEX('Limite de crédito'!$F:$F, MATCH(MAX(IF('Limite de crédito'!$C:$C=$B134, 'Limite de crédito'!$A:$A)), 'Limite de crédito'!$A:$A, 0)),0)</f>
        <v>0</v>
      </c>
      <c r="E134" s="18">
        <f t="shared" si="18"/>
        <v>0</v>
      </c>
      <c r="F134" s="18">
        <f t="shared" si="19"/>
        <v>0</v>
      </c>
      <c r="G134" s="19">
        <f>SUMIFS('Data Additive'!$D:$D,'Data Additive'!$P:$P,'Painel Additive'!#REF!,'Data Additive'!$Q:$Q,"&gt;0",'Data Additive'!$Q:$Q,"&lt;=30")</f>
        <v>0</v>
      </c>
      <c r="H134" s="19">
        <f>SUMIFS('Data Additive'!$D:$D,'Data Additive'!$P:$P,'Painel Additive'!#REF!,'Data Additive'!$Q:$Q,"&gt;30",'Data Additive'!$Q:$Q,"&lt;=60")</f>
        <v>0</v>
      </c>
      <c r="I134" s="19">
        <f>SUMIFS('Data Additive'!$D:$D,'Data Additive'!$P:$P,'Painel Additive'!#REF!,'Data Additive'!$Q:$Q,"&gt;60",'Data Additive'!$Q:$Q,"&lt;=90")</f>
        <v>0</v>
      </c>
      <c r="J134" s="19">
        <f>SUMIFS('Data Additive'!$D:$D,'Data Additive'!$P:$P,'Painel Additive'!#REF!,'Data Additive'!$Q:$Q,"&gt;90",'Data Additive'!$Q:$Q,"&lt;=120")</f>
        <v>0</v>
      </c>
      <c r="K134" s="19">
        <f>SUMIFS('Data Additive'!$D:$D,'Data Additive'!$P:$P,'Painel Additive'!#REF!,'Data Additive'!$Q:$Q,"&gt;120",'Data Additive'!$Q:$Q,"&lt;=180")</f>
        <v>0</v>
      </c>
      <c r="L134" s="19">
        <f>SUMIFS('Data Additive'!$D:$D,'Data Additive'!$P:$P,'Painel Additive'!#REF!,'Data Additive'!$Q:$Q,"&gt;180",'Data Additive'!$Q:$Q,"&lt;=360")</f>
        <v>0</v>
      </c>
      <c r="M134" s="23">
        <f>SUMIFS('Data Additive'!$D:$D,'Data Additive'!$P:$P,'Painel Additive'!#REF!,'Data Additive'!$Q:$Q,"&gt;360")</f>
        <v>0</v>
      </c>
      <c r="N134" s="19">
        <f>SUMIFS('Data Additive'!$D:$D,'Data Additive'!$P:$P,'Painel Additive'!#REF!,'Data Additive'!$Q:$Q,"&gt;0")</f>
        <v>0</v>
      </c>
      <c r="O134" s="19">
        <f t="shared" si="20"/>
        <v>0</v>
      </c>
      <c r="P134" s="19">
        <f>SUMIFS('Data Additive'!$D:$D,'Data Additive'!$P:$P,'Painel Additive'!#REF!,'Data Additive'!$Q:$Q,"&lt;=0",'Data Additive'!$Q:$Q,"&gt;=-30")</f>
        <v>0</v>
      </c>
      <c r="Q134" s="19">
        <f>SUMIFS('Data Additive'!$D:$D,'Data Additive'!$P:$P,'Painel Additive'!#REF!,'Data Additive'!$Q:$Q,"&lt;=-31",'Data Additive'!$Q:$Q,"&gt;=-60")</f>
        <v>0</v>
      </c>
      <c r="R134" s="19">
        <f>SUMIFS('Data Additive'!$D:$D,'Data Additive'!$P:$P,'Painel Additive'!#REF!,'Data Additive'!$Q:$Q,"&lt;=-61",'Data Additive'!$Q:$Q,"&gt;=-90")</f>
        <v>0</v>
      </c>
      <c r="S134" s="19">
        <f>SUMIFS('Data Additive'!$D:$D,'Data Additive'!$P:$P,'Painel Additive'!#REF!,'Data Additive'!$Q:$Q,"&lt;=-91",'Data Additive'!$Q:$Q,"&gt;=-120")</f>
        <v>0</v>
      </c>
      <c r="T134" s="19">
        <f>SUMIFS('Data Additive'!$D:$D,'Data Additive'!$P:$P,'Painel Additive'!#REF!,'Data Additive'!$Q:$Q,"&lt;=-121",'Data Additive'!$Q:$Q,"&gt;=-180")</f>
        <v>0</v>
      </c>
      <c r="U134" s="19">
        <f>SUMIFS('Data Additive'!$D:$D,'Data Additive'!$P:$P,'Painel Additive'!#REF!,'Data Additive'!$Q:$Q,"&lt;=-181",'Data Additive'!$Q:$Q,"&gt;=-360")</f>
        <v>0</v>
      </c>
      <c r="V134" s="23">
        <f>SUMIFS('Data Additive'!$D:$D,'Data Additive'!$P:$P,'Painel Additive'!#REF!,'Data Additive'!$Q:$Q,"&lt;-360")</f>
        <v>0</v>
      </c>
      <c r="W134" s="19" t="e">
        <f>SUMIFS('Bad Debt Provision'!#REF!,'Bad Debt Provision'!#REF!,'Painel Additive'!#REF!)</f>
        <v>#REF!</v>
      </c>
      <c r="X134" s="5"/>
      <c r="Y134" s="20"/>
      <c r="Z134" s="20"/>
      <c r="AA134" s="21"/>
      <c r="AB134" s="5"/>
      <c r="AC134" s="19"/>
      <c r="AD134" s="20"/>
      <c r="AE134" s="22"/>
      <c r="AF134" s="22"/>
      <c r="AG134" s="5"/>
      <c r="AH134" s="28">
        <f t="shared" si="21"/>
        <v>0</v>
      </c>
    </row>
    <row r="135" spans="2:34" x14ac:dyDescent="0.25">
      <c r="B135" s="17" t="s">
        <v>263</v>
      </c>
      <c r="C135" s="93" t="str" cm="1">
        <f t="array" ref="C135">IFERROR(INDEX('Limite de crédito'!$D:$D, MATCH(MAX(IF('Limite de crédito'!$C:$C=$B135, 'Limite de crédito'!$A:$A)), 'Limite de crédito'!$A:$A, 0)),"")</f>
        <v/>
      </c>
      <c r="D135" s="18" cm="1">
        <f t="array" ref="D135">IFERROR(INDEX('Limite de crédito'!$F:$F, MATCH(MAX(IF('Limite de crédito'!$C:$C=$B135, 'Limite de crédito'!$A:$A)), 'Limite de crédito'!$A:$A, 0)),0)</f>
        <v>0</v>
      </c>
      <c r="E135" s="18">
        <f t="shared" si="18"/>
        <v>0</v>
      </c>
      <c r="F135" s="18">
        <f t="shared" si="19"/>
        <v>0</v>
      </c>
      <c r="G135" s="19">
        <f>SUMIFS('Data Additive'!$D:$D,'Data Additive'!$P:$P,'Painel Additive'!#REF!,'Data Additive'!$Q:$Q,"&gt;0",'Data Additive'!$Q:$Q,"&lt;=30")</f>
        <v>0</v>
      </c>
      <c r="H135" s="19">
        <f>SUMIFS('Data Additive'!$D:$D,'Data Additive'!$P:$P,'Painel Additive'!#REF!,'Data Additive'!$Q:$Q,"&gt;30",'Data Additive'!$Q:$Q,"&lt;=60")</f>
        <v>0</v>
      </c>
      <c r="I135" s="19">
        <f>SUMIFS('Data Additive'!$D:$D,'Data Additive'!$P:$P,'Painel Additive'!#REF!,'Data Additive'!$Q:$Q,"&gt;60",'Data Additive'!$Q:$Q,"&lt;=90")</f>
        <v>0</v>
      </c>
      <c r="J135" s="19">
        <f>SUMIFS('Data Additive'!$D:$D,'Data Additive'!$P:$P,'Painel Additive'!#REF!,'Data Additive'!$Q:$Q,"&gt;90",'Data Additive'!$Q:$Q,"&lt;=120")</f>
        <v>0</v>
      </c>
      <c r="K135" s="19">
        <f>SUMIFS('Data Additive'!$D:$D,'Data Additive'!$P:$P,'Painel Additive'!#REF!,'Data Additive'!$Q:$Q,"&gt;120",'Data Additive'!$Q:$Q,"&lt;=180")</f>
        <v>0</v>
      </c>
      <c r="L135" s="19">
        <f>SUMIFS('Data Additive'!$D:$D,'Data Additive'!$P:$P,'Painel Additive'!#REF!,'Data Additive'!$Q:$Q,"&gt;180",'Data Additive'!$Q:$Q,"&lt;=360")</f>
        <v>0</v>
      </c>
      <c r="M135" s="23">
        <f>SUMIFS('Data Additive'!$D:$D,'Data Additive'!$P:$P,'Painel Additive'!#REF!,'Data Additive'!$Q:$Q,"&gt;360")</f>
        <v>0</v>
      </c>
      <c r="N135" s="19">
        <f>SUMIFS('Data Additive'!$D:$D,'Data Additive'!$P:$P,'Painel Additive'!#REF!,'Data Additive'!$Q:$Q,"&gt;0")</f>
        <v>0</v>
      </c>
      <c r="O135" s="19">
        <f t="shared" si="20"/>
        <v>0</v>
      </c>
      <c r="P135" s="19">
        <f>SUMIFS('Data Additive'!$D:$D,'Data Additive'!$P:$P,'Painel Additive'!#REF!,'Data Additive'!$Q:$Q,"&lt;=0",'Data Additive'!$Q:$Q,"&gt;=-30")</f>
        <v>0</v>
      </c>
      <c r="Q135" s="19">
        <f>SUMIFS('Data Additive'!$D:$D,'Data Additive'!$P:$P,'Painel Additive'!#REF!,'Data Additive'!$Q:$Q,"&lt;=-31",'Data Additive'!$Q:$Q,"&gt;=-60")</f>
        <v>0</v>
      </c>
      <c r="R135" s="19">
        <f>SUMIFS('Data Additive'!$D:$D,'Data Additive'!$P:$P,'Painel Additive'!#REF!,'Data Additive'!$Q:$Q,"&lt;=-61",'Data Additive'!$Q:$Q,"&gt;=-90")</f>
        <v>0</v>
      </c>
      <c r="S135" s="19">
        <f>SUMIFS('Data Additive'!$D:$D,'Data Additive'!$P:$P,'Painel Additive'!#REF!,'Data Additive'!$Q:$Q,"&lt;=-91",'Data Additive'!$Q:$Q,"&gt;=-120")</f>
        <v>0</v>
      </c>
      <c r="T135" s="19">
        <f>SUMIFS('Data Additive'!$D:$D,'Data Additive'!$P:$P,'Painel Additive'!#REF!,'Data Additive'!$Q:$Q,"&lt;=-121",'Data Additive'!$Q:$Q,"&gt;=-180")</f>
        <v>0</v>
      </c>
      <c r="U135" s="19">
        <f>SUMIFS('Data Additive'!$D:$D,'Data Additive'!$P:$P,'Painel Additive'!#REF!,'Data Additive'!$Q:$Q,"&lt;=-181",'Data Additive'!$Q:$Q,"&gt;=-360")</f>
        <v>0</v>
      </c>
      <c r="V135" s="23">
        <f>SUMIFS('Data Additive'!$D:$D,'Data Additive'!$P:$P,'Painel Additive'!#REF!,'Data Additive'!$Q:$Q,"&lt;-360")</f>
        <v>0</v>
      </c>
      <c r="W135" s="19" t="e">
        <f>SUMIFS('Bad Debt Provision'!#REF!,'Bad Debt Provision'!#REF!,'Painel Additive'!#REF!)</f>
        <v>#REF!</v>
      </c>
      <c r="X135" s="5"/>
      <c r="Y135" s="20"/>
      <c r="Z135" s="20"/>
      <c r="AA135" s="21"/>
      <c r="AB135" s="5"/>
      <c r="AC135" s="19"/>
      <c r="AD135" s="20"/>
      <c r="AE135" s="22"/>
      <c r="AF135" s="22"/>
      <c r="AG135" s="5"/>
      <c r="AH135" s="28">
        <f t="shared" si="21"/>
        <v>0</v>
      </c>
    </row>
    <row r="136" spans="2:34" x14ac:dyDescent="0.25">
      <c r="B136" s="17" t="s">
        <v>266</v>
      </c>
      <c r="C136" s="93" t="str" cm="1">
        <f t="array" ref="C136">IFERROR(INDEX('Limite de crédito'!$D:$D, MATCH(MAX(IF('Limite de crédito'!$C:$C=$B136, 'Limite de crédito'!$A:$A)), 'Limite de crédito'!$A:$A, 0)),"")</f>
        <v/>
      </c>
      <c r="D136" s="18" cm="1">
        <f t="array" ref="D136">IFERROR(INDEX('Limite de crédito'!$F:$F, MATCH(MAX(IF('Limite de crédito'!$C:$C=$B136, 'Limite de crédito'!$A:$A)), 'Limite de crédito'!$A:$A, 0)),0)</f>
        <v>0</v>
      </c>
      <c r="E136" s="18">
        <f t="shared" si="18"/>
        <v>0</v>
      </c>
      <c r="F136" s="18">
        <f t="shared" si="19"/>
        <v>0</v>
      </c>
      <c r="G136" s="19">
        <f>SUMIFS('Data Additive'!$D:$D,'Data Additive'!$P:$P,'Painel Additive'!#REF!,'Data Additive'!$Q:$Q,"&gt;0",'Data Additive'!$Q:$Q,"&lt;=30")</f>
        <v>0</v>
      </c>
      <c r="H136" s="19">
        <f>SUMIFS('Data Additive'!$D:$D,'Data Additive'!$P:$P,'Painel Additive'!#REF!,'Data Additive'!$Q:$Q,"&gt;30",'Data Additive'!$Q:$Q,"&lt;=60")</f>
        <v>0</v>
      </c>
      <c r="I136" s="19">
        <f>SUMIFS('Data Additive'!$D:$D,'Data Additive'!$P:$P,'Painel Additive'!#REF!,'Data Additive'!$Q:$Q,"&gt;60",'Data Additive'!$Q:$Q,"&lt;=90")</f>
        <v>0</v>
      </c>
      <c r="J136" s="19">
        <f>SUMIFS('Data Additive'!$D:$D,'Data Additive'!$P:$P,'Painel Additive'!#REF!,'Data Additive'!$Q:$Q,"&gt;90",'Data Additive'!$Q:$Q,"&lt;=120")</f>
        <v>0</v>
      </c>
      <c r="K136" s="19">
        <f>SUMIFS('Data Additive'!$D:$D,'Data Additive'!$P:$P,'Painel Additive'!#REF!,'Data Additive'!$Q:$Q,"&gt;120",'Data Additive'!$Q:$Q,"&lt;=180")</f>
        <v>0</v>
      </c>
      <c r="L136" s="19">
        <f>SUMIFS('Data Additive'!$D:$D,'Data Additive'!$P:$P,'Painel Additive'!#REF!,'Data Additive'!$Q:$Q,"&gt;180",'Data Additive'!$Q:$Q,"&lt;=360")</f>
        <v>0</v>
      </c>
      <c r="M136" s="23">
        <f>SUMIFS('Data Additive'!$D:$D,'Data Additive'!$P:$P,'Painel Additive'!#REF!,'Data Additive'!$Q:$Q,"&gt;360")</f>
        <v>0</v>
      </c>
      <c r="N136" s="19">
        <f>SUMIFS('Data Additive'!$D:$D,'Data Additive'!$P:$P,'Painel Additive'!#REF!,'Data Additive'!$Q:$Q,"&gt;0")</f>
        <v>0</v>
      </c>
      <c r="O136" s="19">
        <f t="shared" si="20"/>
        <v>0</v>
      </c>
      <c r="P136" s="19">
        <f>SUMIFS('Data Additive'!$D:$D,'Data Additive'!$P:$P,'Painel Additive'!#REF!,'Data Additive'!$Q:$Q,"&lt;=0",'Data Additive'!$Q:$Q,"&gt;=-30")</f>
        <v>0</v>
      </c>
      <c r="Q136" s="19">
        <f>SUMIFS('Data Additive'!$D:$D,'Data Additive'!$P:$P,'Painel Additive'!#REF!,'Data Additive'!$Q:$Q,"&lt;=-31",'Data Additive'!$Q:$Q,"&gt;=-60")</f>
        <v>0</v>
      </c>
      <c r="R136" s="19">
        <f>SUMIFS('Data Additive'!$D:$D,'Data Additive'!$P:$P,'Painel Additive'!#REF!,'Data Additive'!$Q:$Q,"&lt;=-61",'Data Additive'!$Q:$Q,"&gt;=-90")</f>
        <v>0</v>
      </c>
      <c r="S136" s="19">
        <f>SUMIFS('Data Additive'!$D:$D,'Data Additive'!$P:$P,'Painel Additive'!#REF!,'Data Additive'!$Q:$Q,"&lt;=-91",'Data Additive'!$Q:$Q,"&gt;=-120")</f>
        <v>0</v>
      </c>
      <c r="T136" s="19">
        <f>SUMIFS('Data Additive'!$D:$D,'Data Additive'!$P:$P,'Painel Additive'!#REF!,'Data Additive'!$Q:$Q,"&lt;=-121",'Data Additive'!$Q:$Q,"&gt;=-180")</f>
        <v>0</v>
      </c>
      <c r="U136" s="19">
        <f>SUMIFS('Data Additive'!$D:$D,'Data Additive'!$P:$P,'Painel Additive'!#REF!,'Data Additive'!$Q:$Q,"&lt;=-181",'Data Additive'!$Q:$Q,"&gt;=-360")</f>
        <v>0</v>
      </c>
      <c r="V136" s="23">
        <f>SUMIFS('Data Additive'!$D:$D,'Data Additive'!$P:$P,'Painel Additive'!#REF!,'Data Additive'!$Q:$Q,"&lt;-360")</f>
        <v>0</v>
      </c>
      <c r="W136" s="19" t="e">
        <f>SUMIFS('Bad Debt Provision'!#REF!,'Bad Debt Provision'!#REF!,'Painel Additive'!#REF!)</f>
        <v>#REF!</v>
      </c>
      <c r="X136" s="5"/>
      <c r="Y136" s="20"/>
      <c r="Z136" s="20"/>
      <c r="AA136" s="21"/>
      <c r="AB136" s="5"/>
      <c r="AC136" s="19"/>
      <c r="AD136" s="20"/>
      <c r="AE136" s="22"/>
      <c r="AF136" s="22"/>
      <c r="AG136" s="5"/>
      <c r="AH136" s="28">
        <f t="shared" si="21"/>
        <v>0</v>
      </c>
    </row>
    <row r="137" spans="2:34" x14ac:dyDescent="0.25">
      <c r="B137" s="17" t="s">
        <v>287</v>
      </c>
      <c r="C137" s="93" t="str" cm="1">
        <f t="array" ref="C137">IFERROR(INDEX('Limite de crédito'!$D:$D, MATCH(MAX(IF('Limite de crédito'!$C:$C=$B137, 'Limite de crédito'!$A:$A)), 'Limite de crédito'!$A:$A, 0)),"")</f>
        <v/>
      </c>
      <c r="D137" s="18" cm="1">
        <f t="array" ref="D137">IFERROR(INDEX('Limite de crédito'!$F:$F, MATCH(MAX(IF('Limite de crédito'!$C:$C=$B137, 'Limite de crédito'!$A:$A)), 'Limite de crédito'!$A:$A, 0)),0)</f>
        <v>0</v>
      </c>
      <c r="E137" s="18">
        <f t="shared" si="18"/>
        <v>0</v>
      </c>
      <c r="F137" s="18">
        <f t="shared" si="19"/>
        <v>0</v>
      </c>
      <c r="G137" s="19">
        <f>SUMIFS('Data Additive'!$D:$D,'Data Additive'!$P:$P,'Painel Additive'!#REF!,'Data Additive'!$Q:$Q,"&gt;0",'Data Additive'!$Q:$Q,"&lt;=30")</f>
        <v>0</v>
      </c>
      <c r="H137" s="19">
        <f>SUMIFS('Data Additive'!$D:$D,'Data Additive'!$P:$P,'Painel Additive'!#REF!,'Data Additive'!$Q:$Q,"&gt;30",'Data Additive'!$Q:$Q,"&lt;=60")</f>
        <v>0</v>
      </c>
      <c r="I137" s="19">
        <f>SUMIFS('Data Additive'!$D:$D,'Data Additive'!$P:$P,'Painel Additive'!#REF!,'Data Additive'!$Q:$Q,"&gt;60",'Data Additive'!$Q:$Q,"&lt;=90")</f>
        <v>0</v>
      </c>
      <c r="J137" s="19">
        <f>SUMIFS('Data Additive'!$D:$D,'Data Additive'!$P:$P,'Painel Additive'!#REF!,'Data Additive'!$Q:$Q,"&gt;90",'Data Additive'!$Q:$Q,"&lt;=120")</f>
        <v>0</v>
      </c>
      <c r="K137" s="19">
        <f>SUMIFS('Data Additive'!$D:$D,'Data Additive'!$P:$P,'Painel Additive'!#REF!,'Data Additive'!$Q:$Q,"&gt;120",'Data Additive'!$Q:$Q,"&lt;=180")</f>
        <v>0</v>
      </c>
      <c r="L137" s="19">
        <f>SUMIFS('Data Additive'!$D:$D,'Data Additive'!$P:$P,'Painel Additive'!#REF!,'Data Additive'!$Q:$Q,"&gt;180",'Data Additive'!$Q:$Q,"&lt;=360")</f>
        <v>0</v>
      </c>
      <c r="M137" s="23">
        <f>SUMIFS('Data Additive'!$D:$D,'Data Additive'!$P:$P,'Painel Additive'!#REF!,'Data Additive'!$Q:$Q,"&gt;360")</f>
        <v>0</v>
      </c>
      <c r="N137" s="19">
        <f>SUMIFS('Data Additive'!$D:$D,'Data Additive'!$P:$P,'Painel Additive'!#REF!,'Data Additive'!$Q:$Q,"&gt;0")</f>
        <v>0</v>
      </c>
      <c r="O137" s="19">
        <f t="shared" si="20"/>
        <v>0</v>
      </c>
      <c r="P137" s="19">
        <f>SUMIFS('Data Additive'!$D:$D,'Data Additive'!$P:$P,'Painel Additive'!#REF!,'Data Additive'!$Q:$Q,"&lt;=0",'Data Additive'!$Q:$Q,"&gt;=-30")</f>
        <v>0</v>
      </c>
      <c r="Q137" s="19">
        <f>SUMIFS('Data Additive'!$D:$D,'Data Additive'!$P:$P,'Painel Additive'!#REF!,'Data Additive'!$Q:$Q,"&lt;=-31",'Data Additive'!$Q:$Q,"&gt;=-60")</f>
        <v>0</v>
      </c>
      <c r="R137" s="19">
        <f>SUMIFS('Data Additive'!$D:$D,'Data Additive'!$P:$P,'Painel Additive'!#REF!,'Data Additive'!$Q:$Q,"&lt;=-61",'Data Additive'!$Q:$Q,"&gt;=-90")</f>
        <v>0</v>
      </c>
      <c r="S137" s="19">
        <f>SUMIFS('Data Additive'!$D:$D,'Data Additive'!$P:$P,'Painel Additive'!#REF!,'Data Additive'!$Q:$Q,"&lt;=-91",'Data Additive'!$Q:$Q,"&gt;=-120")</f>
        <v>0</v>
      </c>
      <c r="T137" s="19">
        <f>SUMIFS('Data Additive'!$D:$D,'Data Additive'!$P:$P,'Painel Additive'!#REF!,'Data Additive'!$Q:$Q,"&lt;=-121",'Data Additive'!$Q:$Q,"&gt;=-180")</f>
        <v>0</v>
      </c>
      <c r="U137" s="19">
        <f>SUMIFS('Data Additive'!$D:$D,'Data Additive'!$P:$P,'Painel Additive'!#REF!,'Data Additive'!$Q:$Q,"&lt;=-181",'Data Additive'!$Q:$Q,"&gt;=-360")</f>
        <v>0</v>
      </c>
      <c r="V137" s="23">
        <f>SUMIFS('Data Additive'!$D:$D,'Data Additive'!$P:$P,'Painel Additive'!#REF!,'Data Additive'!$Q:$Q,"&lt;-360")</f>
        <v>0</v>
      </c>
      <c r="W137" s="19" t="e">
        <f>SUMIFS('Bad Debt Provision'!#REF!,'Bad Debt Provision'!#REF!,'Painel Additive'!#REF!)</f>
        <v>#REF!</v>
      </c>
      <c r="X137" s="5"/>
      <c r="Y137" s="20"/>
      <c r="Z137" s="20"/>
      <c r="AA137" s="21"/>
      <c r="AB137" s="5"/>
      <c r="AC137" s="19"/>
      <c r="AD137" s="20"/>
      <c r="AE137" s="22"/>
      <c r="AF137" s="22"/>
      <c r="AG137" s="5"/>
      <c r="AH137" s="28">
        <f t="shared" si="21"/>
        <v>0</v>
      </c>
    </row>
    <row r="138" spans="2:34" x14ac:dyDescent="0.25">
      <c r="B138" s="17" t="s">
        <v>288</v>
      </c>
      <c r="C138" s="93" t="str" cm="1">
        <f t="array" ref="C138">IFERROR(INDEX('Limite de crédito'!$D:$D, MATCH(MAX(IF('Limite de crédito'!$C:$C=$B138, 'Limite de crédito'!$A:$A)), 'Limite de crédito'!$A:$A, 0)),"")</f>
        <v/>
      </c>
      <c r="D138" s="18" cm="1">
        <f t="array" ref="D138">IFERROR(INDEX('Limite de crédito'!$F:$F, MATCH(MAX(IF('Limite de crédito'!$C:$C=$B138, 'Limite de crédito'!$A:$A)), 'Limite de crédito'!$A:$A, 0)),0)</f>
        <v>0</v>
      </c>
      <c r="E138" s="18">
        <f t="shared" si="18"/>
        <v>0</v>
      </c>
      <c r="F138" s="18">
        <f t="shared" si="19"/>
        <v>0</v>
      </c>
      <c r="G138" s="19">
        <f>SUMIFS('Data Additive'!$D:$D,'Data Additive'!$P:$P,'Painel Additive'!#REF!,'Data Additive'!$Q:$Q,"&gt;0",'Data Additive'!$Q:$Q,"&lt;=30")</f>
        <v>0</v>
      </c>
      <c r="H138" s="19">
        <f>SUMIFS('Data Additive'!$D:$D,'Data Additive'!$P:$P,'Painel Additive'!#REF!,'Data Additive'!$Q:$Q,"&gt;30",'Data Additive'!$Q:$Q,"&lt;=60")</f>
        <v>0</v>
      </c>
      <c r="I138" s="19">
        <f>SUMIFS('Data Additive'!$D:$D,'Data Additive'!$P:$P,'Painel Additive'!#REF!,'Data Additive'!$Q:$Q,"&gt;60",'Data Additive'!$Q:$Q,"&lt;=90")</f>
        <v>0</v>
      </c>
      <c r="J138" s="19">
        <f>SUMIFS('Data Additive'!$D:$D,'Data Additive'!$P:$P,'Painel Additive'!#REF!,'Data Additive'!$Q:$Q,"&gt;90",'Data Additive'!$Q:$Q,"&lt;=120")</f>
        <v>0</v>
      </c>
      <c r="K138" s="19">
        <f>SUMIFS('Data Additive'!$D:$D,'Data Additive'!$P:$P,'Painel Additive'!#REF!,'Data Additive'!$Q:$Q,"&gt;120",'Data Additive'!$Q:$Q,"&lt;=180")</f>
        <v>0</v>
      </c>
      <c r="L138" s="19">
        <f>SUMIFS('Data Additive'!$D:$D,'Data Additive'!$P:$P,'Painel Additive'!#REF!,'Data Additive'!$Q:$Q,"&gt;180",'Data Additive'!$Q:$Q,"&lt;=360")</f>
        <v>0</v>
      </c>
      <c r="M138" s="23">
        <f>SUMIFS('Data Additive'!$D:$D,'Data Additive'!$P:$P,'Painel Additive'!#REF!,'Data Additive'!$Q:$Q,"&gt;360")</f>
        <v>0</v>
      </c>
      <c r="N138" s="19">
        <f>SUMIFS('Data Additive'!$D:$D,'Data Additive'!$P:$P,'Painel Additive'!#REF!,'Data Additive'!$Q:$Q,"&gt;0")</f>
        <v>0</v>
      </c>
      <c r="O138" s="19">
        <f t="shared" si="20"/>
        <v>0</v>
      </c>
      <c r="P138" s="19">
        <f>SUMIFS('Data Additive'!$D:$D,'Data Additive'!$P:$P,'Painel Additive'!#REF!,'Data Additive'!$Q:$Q,"&lt;=0",'Data Additive'!$Q:$Q,"&gt;=-30")</f>
        <v>0</v>
      </c>
      <c r="Q138" s="19">
        <f>SUMIFS('Data Additive'!$D:$D,'Data Additive'!$P:$P,'Painel Additive'!#REF!,'Data Additive'!$Q:$Q,"&lt;=-31",'Data Additive'!$Q:$Q,"&gt;=-60")</f>
        <v>0</v>
      </c>
      <c r="R138" s="19">
        <f>SUMIFS('Data Additive'!$D:$D,'Data Additive'!$P:$P,'Painel Additive'!#REF!,'Data Additive'!$Q:$Q,"&lt;=-61",'Data Additive'!$Q:$Q,"&gt;=-90")</f>
        <v>0</v>
      </c>
      <c r="S138" s="19">
        <f>SUMIFS('Data Additive'!$D:$D,'Data Additive'!$P:$P,'Painel Additive'!#REF!,'Data Additive'!$Q:$Q,"&lt;=-91",'Data Additive'!$Q:$Q,"&gt;=-120")</f>
        <v>0</v>
      </c>
      <c r="T138" s="19">
        <f>SUMIFS('Data Additive'!$D:$D,'Data Additive'!$P:$P,'Painel Additive'!#REF!,'Data Additive'!$Q:$Q,"&lt;=-121",'Data Additive'!$Q:$Q,"&gt;=-180")</f>
        <v>0</v>
      </c>
      <c r="U138" s="19">
        <f>SUMIFS('Data Additive'!$D:$D,'Data Additive'!$P:$P,'Painel Additive'!#REF!,'Data Additive'!$Q:$Q,"&lt;=-181",'Data Additive'!$Q:$Q,"&gt;=-360")</f>
        <v>0</v>
      </c>
      <c r="V138" s="23">
        <f>SUMIFS('Data Additive'!$D:$D,'Data Additive'!$P:$P,'Painel Additive'!#REF!,'Data Additive'!$Q:$Q,"&lt;-360")</f>
        <v>0</v>
      </c>
      <c r="W138" s="19" t="e">
        <f>SUMIFS('Bad Debt Provision'!#REF!,'Bad Debt Provision'!#REF!,'Painel Additive'!#REF!)</f>
        <v>#REF!</v>
      </c>
      <c r="X138" s="5"/>
      <c r="Y138" s="20"/>
      <c r="Z138" s="20"/>
      <c r="AA138" s="21"/>
      <c r="AB138" s="5"/>
      <c r="AC138" s="19"/>
      <c r="AD138" s="20"/>
      <c r="AE138" s="22"/>
      <c r="AF138" s="22"/>
      <c r="AG138" s="5"/>
      <c r="AH138" s="28">
        <f t="shared" si="21"/>
        <v>0</v>
      </c>
    </row>
    <row r="139" spans="2:34" x14ac:dyDescent="0.25">
      <c r="B139" s="41" t="s">
        <v>382</v>
      </c>
      <c r="C139" s="94" t="str" cm="1">
        <f t="array" ref="C139">IFERROR(INDEX('Limite de crédito'!$D:$D, MATCH(MAX(IF('Limite de crédito'!$C:$C=$B139, 'Limite de crédito'!$A:$A)), 'Limite de crédito'!$A:$A, 0)),"")</f>
        <v/>
      </c>
      <c r="D139" s="18" cm="1">
        <f t="array" ref="D139">IFERROR(INDEX('Limite de crédito'!$F:$F, MATCH(MAX(IF('Limite de crédito'!$C:$C=$B139, 'Limite de crédito'!$A:$A)), 'Limite de crédito'!$A:$A, 0)),0)</f>
        <v>0</v>
      </c>
      <c r="E139" s="18">
        <f t="shared" si="18"/>
        <v>0</v>
      </c>
      <c r="F139" s="18">
        <f t="shared" si="19"/>
        <v>0</v>
      </c>
      <c r="G139" s="19">
        <f>SUMIFS('Data Additive'!$D:$D,'Data Additive'!$P:$P,'Painel Additive'!#REF!,'Data Additive'!$Q:$Q,"&gt;0",'Data Additive'!$Q:$Q,"&lt;=30")</f>
        <v>0</v>
      </c>
      <c r="H139" s="19">
        <f>SUMIFS('Data Additive'!$D:$D,'Data Additive'!$P:$P,'Painel Additive'!#REF!,'Data Additive'!$Q:$Q,"&gt;30",'Data Additive'!$Q:$Q,"&lt;=60")</f>
        <v>0</v>
      </c>
      <c r="I139" s="19">
        <f>SUMIFS('Data Additive'!$D:$D,'Data Additive'!$P:$P,'Painel Additive'!#REF!,'Data Additive'!$Q:$Q,"&gt;60",'Data Additive'!$Q:$Q,"&lt;=90")</f>
        <v>0</v>
      </c>
      <c r="J139" s="19">
        <f>SUMIFS('Data Additive'!$D:$D,'Data Additive'!$P:$P,'Painel Additive'!#REF!,'Data Additive'!$Q:$Q,"&gt;90",'Data Additive'!$Q:$Q,"&lt;=120")</f>
        <v>0</v>
      </c>
      <c r="K139" s="19">
        <f>SUMIFS('Data Additive'!$D:$D,'Data Additive'!$P:$P,'Painel Additive'!#REF!,'Data Additive'!$Q:$Q,"&gt;120",'Data Additive'!$Q:$Q,"&lt;=180")</f>
        <v>0</v>
      </c>
      <c r="L139" s="19">
        <f>SUMIFS('Data Additive'!$D:$D,'Data Additive'!$P:$P,'Painel Additive'!#REF!,'Data Additive'!$Q:$Q,"&gt;180",'Data Additive'!$Q:$Q,"&lt;=360")</f>
        <v>0</v>
      </c>
      <c r="M139" s="23">
        <f>SUMIFS('Data Additive'!$D:$D,'Data Additive'!$P:$P,'Painel Additive'!#REF!,'Data Additive'!$Q:$Q,"&gt;360")</f>
        <v>0</v>
      </c>
      <c r="N139" s="19">
        <f>SUMIFS('Data Additive'!$D:$D,'Data Additive'!$P:$P,'Painel Additive'!#REF!,'Data Additive'!$Q:$Q,"&gt;0")</f>
        <v>0</v>
      </c>
      <c r="O139" s="19">
        <f t="shared" si="20"/>
        <v>0</v>
      </c>
      <c r="P139" s="19">
        <f>SUMIFS('Data Additive'!$D:$D,'Data Additive'!$P:$P,'Painel Additive'!#REF!,'Data Additive'!$Q:$Q,"&lt;=0",'Data Additive'!$Q:$Q,"&gt;=-30")</f>
        <v>0</v>
      </c>
      <c r="Q139" s="19">
        <f>SUMIFS('Data Additive'!$D:$D,'Data Additive'!$P:$P,'Painel Additive'!#REF!,'Data Additive'!$Q:$Q,"&lt;=-31",'Data Additive'!$Q:$Q,"&gt;=-60")</f>
        <v>0</v>
      </c>
      <c r="R139" s="19">
        <f>SUMIFS('Data Additive'!$D:$D,'Data Additive'!$P:$P,'Painel Additive'!#REF!,'Data Additive'!$Q:$Q,"&lt;=-61",'Data Additive'!$Q:$Q,"&gt;=-90")</f>
        <v>0</v>
      </c>
      <c r="S139" s="19">
        <f>SUMIFS('Data Additive'!$D:$D,'Data Additive'!$P:$P,'Painel Additive'!#REF!,'Data Additive'!$Q:$Q,"&lt;=-91",'Data Additive'!$Q:$Q,"&gt;=-120")</f>
        <v>0</v>
      </c>
      <c r="T139" s="19">
        <f>SUMIFS('Data Additive'!$D:$D,'Data Additive'!$P:$P,'Painel Additive'!#REF!,'Data Additive'!$Q:$Q,"&lt;=-121",'Data Additive'!$Q:$Q,"&gt;=-180")</f>
        <v>0</v>
      </c>
      <c r="U139" s="19">
        <f>SUMIFS('Data Additive'!$D:$D,'Data Additive'!$P:$P,'Painel Additive'!#REF!,'Data Additive'!$Q:$Q,"&lt;=-181",'Data Additive'!$Q:$Q,"&gt;=-360")</f>
        <v>0</v>
      </c>
      <c r="V139" s="23">
        <f>SUMIFS('Data Additive'!$D:$D,'Data Additive'!$P:$P,'Painel Additive'!#REF!,'Data Additive'!$Q:$Q,"&lt;-360")</f>
        <v>0</v>
      </c>
      <c r="W139" s="19" t="e">
        <f>SUMIFS('Bad Debt Provision'!#REF!,'Bad Debt Provision'!#REF!,'Painel Additive'!#REF!)</f>
        <v>#REF!</v>
      </c>
      <c r="X139" s="5"/>
      <c r="Y139" s="20"/>
      <c r="Z139" s="20"/>
      <c r="AA139" s="21"/>
      <c r="AB139" s="5"/>
      <c r="AC139" s="19"/>
      <c r="AD139" s="20"/>
      <c r="AE139" s="22"/>
      <c r="AF139" s="22"/>
      <c r="AG139" s="5"/>
      <c r="AH139" s="28">
        <f t="shared" si="21"/>
        <v>0</v>
      </c>
    </row>
    <row r="140" spans="2:34" x14ac:dyDescent="0.25">
      <c r="B140" s="17" t="s">
        <v>300</v>
      </c>
      <c r="C140" s="93" t="str" cm="1">
        <f t="array" ref="C140">IFERROR(INDEX('Limite de crédito'!$D:$D, MATCH(MAX(IF('Limite de crédito'!$C:$C=$B140, 'Limite de crédito'!$A:$A)), 'Limite de crédito'!$A:$A, 0)),"")</f>
        <v/>
      </c>
      <c r="D140" s="18" cm="1">
        <f t="array" ref="D140">IFERROR(INDEX('Limite de crédito'!$F:$F, MATCH(MAX(IF('Limite de crédito'!$C:$C=$B140, 'Limite de crédito'!$A:$A)), 'Limite de crédito'!$A:$A, 0)),0)</f>
        <v>0</v>
      </c>
      <c r="E140" s="18">
        <f t="shared" si="18"/>
        <v>0</v>
      </c>
      <c r="F140" s="18">
        <f t="shared" si="19"/>
        <v>0</v>
      </c>
      <c r="G140" s="19">
        <f>SUMIFS('Data Additive'!$D:$D,'Data Additive'!$P:$P,'Painel Additive'!#REF!,'Data Additive'!$Q:$Q,"&gt;0",'Data Additive'!$Q:$Q,"&lt;=30")</f>
        <v>0</v>
      </c>
      <c r="H140" s="19">
        <f>SUMIFS('Data Additive'!$D:$D,'Data Additive'!$P:$P,'Painel Additive'!#REF!,'Data Additive'!$Q:$Q,"&gt;30",'Data Additive'!$Q:$Q,"&lt;=60")</f>
        <v>0</v>
      </c>
      <c r="I140" s="19">
        <f>SUMIFS('Data Additive'!$D:$D,'Data Additive'!$P:$P,'Painel Additive'!#REF!,'Data Additive'!$Q:$Q,"&gt;60",'Data Additive'!$Q:$Q,"&lt;=90")</f>
        <v>0</v>
      </c>
      <c r="J140" s="19">
        <f>SUMIFS('Data Additive'!$D:$D,'Data Additive'!$P:$P,'Painel Additive'!#REF!,'Data Additive'!$Q:$Q,"&gt;90",'Data Additive'!$Q:$Q,"&lt;=120")</f>
        <v>0</v>
      </c>
      <c r="K140" s="19">
        <f>SUMIFS('Data Additive'!$D:$D,'Data Additive'!$P:$P,'Painel Additive'!#REF!,'Data Additive'!$Q:$Q,"&gt;120",'Data Additive'!$Q:$Q,"&lt;=180")</f>
        <v>0</v>
      </c>
      <c r="L140" s="19">
        <f>SUMIFS('Data Additive'!$D:$D,'Data Additive'!$P:$P,'Painel Additive'!#REF!,'Data Additive'!$Q:$Q,"&gt;180",'Data Additive'!$Q:$Q,"&lt;=360")</f>
        <v>0</v>
      </c>
      <c r="M140" s="23">
        <f>SUMIFS('Data Additive'!$D:$D,'Data Additive'!$P:$P,'Painel Additive'!#REF!,'Data Additive'!$Q:$Q,"&gt;360")</f>
        <v>0</v>
      </c>
      <c r="N140" s="19">
        <f>SUMIFS('Data Additive'!$D:$D,'Data Additive'!$P:$P,'Painel Additive'!#REF!,'Data Additive'!$Q:$Q,"&gt;0")</f>
        <v>0</v>
      </c>
      <c r="O140" s="19">
        <f t="shared" si="20"/>
        <v>0</v>
      </c>
      <c r="P140" s="19">
        <f>SUMIFS('Data Additive'!$D:$D,'Data Additive'!$P:$P,'Painel Additive'!#REF!,'Data Additive'!$Q:$Q,"&lt;=0",'Data Additive'!$Q:$Q,"&gt;=-30")</f>
        <v>0</v>
      </c>
      <c r="Q140" s="19">
        <f>SUMIFS('Data Additive'!$D:$D,'Data Additive'!$P:$P,'Painel Additive'!#REF!,'Data Additive'!$Q:$Q,"&lt;=-31",'Data Additive'!$Q:$Q,"&gt;=-60")</f>
        <v>0</v>
      </c>
      <c r="R140" s="19">
        <f>SUMIFS('Data Additive'!$D:$D,'Data Additive'!$P:$P,'Painel Additive'!#REF!,'Data Additive'!$Q:$Q,"&lt;=-61",'Data Additive'!$Q:$Q,"&gt;=-90")</f>
        <v>0</v>
      </c>
      <c r="S140" s="19">
        <f>SUMIFS('Data Additive'!$D:$D,'Data Additive'!$P:$P,'Painel Additive'!#REF!,'Data Additive'!$Q:$Q,"&lt;=-91",'Data Additive'!$Q:$Q,"&gt;=-120")</f>
        <v>0</v>
      </c>
      <c r="T140" s="19">
        <f>SUMIFS('Data Additive'!$D:$D,'Data Additive'!$P:$P,'Painel Additive'!#REF!,'Data Additive'!$Q:$Q,"&lt;=-121",'Data Additive'!$Q:$Q,"&gt;=-180")</f>
        <v>0</v>
      </c>
      <c r="U140" s="19">
        <f>SUMIFS('Data Additive'!$D:$D,'Data Additive'!$P:$P,'Painel Additive'!#REF!,'Data Additive'!$Q:$Q,"&lt;=-181",'Data Additive'!$Q:$Q,"&gt;=-360")</f>
        <v>0</v>
      </c>
      <c r="V140" s="23">
        <f>SUMIFS('Data Additive'!$D:$D,'Data Additive'!$P:$P,'Painel Additive'!#REF!,'Data Additive'!$Q:$Q,"&lt;-360")</f>
        <v>0</v>
      </c>
      <c r="W140" s="19" t="e">
        <f>SUMIFS('Bad Debt Provision'!#REF!,'Bad Debt Provision'!#REF!,'Painel Additive'!#REF!)</f>
        <v>#REF!</v>
      </c>
      <c r="X140" s="5"/>
      <c r="Y140" s="20"/>
      <c r="Z140" s="20"/>
      <c r="AA140" s="21"/>
      <c r="AB140" s="5"/>
      <c r="AC140" s="19"/>
      <c r="AD140" s="20"/>
      <c r="AE140" s="22"/>
      <c r="AF140" s="22"/>
      <c r="AG140" s="5"/>
      <c r="AH140" s="28">
        <f t="shared" si="21"/>
        <v>0</v>
      </c>
    </row>
    <row r="141" spans="2:34" x14ac:dyDescent="0.25">
      <c r="B141" s="17" t="s">
        <v>301</v>
      </c>
      <c r="C141" s="93" t="str" cm="1">
        <f t="array" ref="C141">IFERROR(INDEX('Limite de crédito'!$D:$D, MATCH(MAX(IF('Limite de crédito'!$C:$C=$B141, 'Limite de crédito'!$A:$A)), 'Limite de crédito'!$A:$A, 0)),"")</f>
        <v/>
      </c>
      <c r="D141" s="18" cm="1">
        <f t="array" ref="D141">IFERROR(INDEX('Limite de crédito'!$F:$F, MATCH(MAX(IF('Limite de crédito'!$C:$C=$B141, 'Limite de crédito'!$A:$A)), 'Limite de crédito'!$A:$A, 0)),0)</f>
        <v>0</v>
      </c>
      <c r="E141" s="18">
        <f t="shared" si="18"/>
        <v>0</v>
      </c>
      <c r="F141" s="18">
        <f t="shared" si="19"/>
        <v>0</v>
      </c>
      <c r="G141" s="19">
        <f>SUMIFS('Data Additive'!$D:$D,'Data Additive'!$P:$P,'Painel Additive'!#REF!,'Data Additive'!$Q:$Q,"&gt;0",'Data Additive'!$Q:$Q,"&lt;=30")</f>
        <v>0</v>
      </c>
      <c r="H141" s="19">
        <f>SUMIFS('Data Additive'!$D:$D,'Data Additive'!$P:$P,'Painel Additive'!#REF!,'Data Additive'!$Q:$Q,"&gt;30",'Data Additive'!$Q:$Q,"&lt;=60")</f>
        <v>0</v>
      </c>
      <c r="I141" s="19">
        <f>SUMIFS('Data Additive'!$D:$D,'Data Additive'!$P:$P,'Painel Additive'!#REF!,'Data Additive'!$Q:$Q,"&gt;60",'Data Additive'!$Q:$Q,"&lt;=90")</f>
        <v>0</v>
      </c>
      <c r="J141" s="19">
        <f>SUMIFS('Data Additive'!$D:$D,'Data Additive'!$P:$P,'Painel Additive'!#REF!,'Data Additive'!$Q:$Q,"&gt;90",'Data Additive'!$Q:$Q,"&lt;=120")</f>
        <v>0</v>
      </c>
      <c r="K141" s="19">
        <f>SUMIFS('Data Additive'!$D:$D,'Data Additive'!$P:$P,'Painel Additive'!#REF!,'Data Additive'!$Q:$Q,"&gt;120",'Data Additive'!$Q:$Q,"&lt;=180")</f>
        <v>0</v>
      </c>
      <c r="L141" s="19">
        <f>SUMIFS('Data Additive'!$D:$D,'Data Additive'!$P:$P,'Painel Additive'!#REF!,'Data Additive'!$Q:$Q,"&gt;180",'Data Additive'!$Q:$Q,"&lt;=360")</f>
        <v>0</v>
      </c>
      <c r="M141" s="23">
        <f>SUMIFS('Data Additive'!$D:$D,'Data Additive'!$P:$P,'Painel Additive'!#REF!,'Data Additive'!$Q:$Q,"&gt;360")</f>
        <v>0</v>
      </c>
      <c r="N141" s="19">
        <f>SUMIFS('Data Additive'!$D:$D,'Data Additive'!$P:$P,'Painel Additive'!#REF!,'Data Additive'!$Q:$Q,"&gt;0")</f>
        <v>0</v>
      </c>
      <c r="O141" s="19">
        <f t="shared" si="20"/>
        <v>0</v>
      </c>
      <c r="P141" s="19">
        <f>SUMIFS('Data Additive'!$D:$D,'Data Additive'!$P:$P,'Painel Additive'!#REF!,'Data Additive'!$Q:$Q,"&lt;=0",'Data Additive'!$Q:$Q,"&gt;=-30")</f>
        <v>0</v>
      </c>
      <c r="Q141" s="19">
        <f>SUMIFS('Data Additive'!$D:$D,'Data Additive'!$P:$P,'Painel Additive'!#REF!,'Data Additive'!$Q:$Q,"&lt;=-31",'Data Additive'!$Q:$Q,"&gt;=-60")</f>
        <v>0</v>
      </c>
      <c r="R141" s="19">
        <f>SUMIFS('Data Additive'!$D:$D,'Data Additive'!$P:$P,'Painel Additive'!#REF!,'Data Additive'!$Q:$Q,"&lt;=-61",'Data Additive'!$Q:$Q,"&gt;=-90")</f>
        <v>0</v>
      </c>
      <c r="S141" s="19">
        <f>SUMIFS('Data Additive'!$D:$D,'Data Additive'!$P:$P,'Painel Additive'!#REF!,'Data Additive'!$Q:$Q,"&lt;=-91",'Data Additive'!$Q:$Q,"&gt;=-120")</f>
        <v>0</v>
      </c>
      <c r="T141" s="19">
        <f>SUMIFS('Data Additive'!$D:$D,'Data Additive'!$P:$P,'Painel Additive'!#REF!,'Data Additive'!$Q:$Q,"&lt;=-121",'Data Additive'!$Q:$Q,"&gt;=-180")</f>
        <v>0</v>
      </c>
      <c r="U141" s="19">
        <f>SUMIFS('Data Additive'!$D:$D,'Data Additive'!$P:$P,'Painel Additive'!#REF!,'Data Additive'!$Q:$Q,"&lt;=-181",'Data Additive'!$Q:$Q,"&gt;=-360")</f>
        <v>0</v>
      </c>
      <c r="V141" s="23">
        <f>SUMIFS('Data Additive'!$D:$D,'Data Additive'!$P:$P,'Painel Additive'!#REF!,'Data Additive'!$Q:$Q,"&lt;-360")</f>
        <v>0</v>
      </c>
      <c r="W141" s="19" t="e">
        <f>SUMIFS('Bad Debt Provision'!#REF!,'Bad Debt Provision'!#REF!,'Painel Additive'!#REF!)</f>
        <v>#REF!</v>
      </c>
      <c r="X141" s="5"/>
      <c r="Y141" s="20"/>
      <c r="Z141" s="20"/>
      <c r="AA141" s="21"/>
      <c r="AB141" s="5"/>
      <c r="AC141" s="19"/>
      <c r="AD141" s="20"/>
      <c r="AE141" s="22"/>
      <c r="AF141" s="22"/>
      <c r="AG141" s="5"/>
      <c r="AH141" s="28">
        <f t="shared" si="21"/>
        <v>0</v>
      </c>
    </row>
    <row r="142" spans="2:34" x14ac:dyDescent="0.25">
      <c r="B142" s="17" t="s">
        <v>302</v>
      </c>
      <c r="C142" s="93" cm="1">
        <f t="array" ref="C142">IFERROR(INDEX('Limite de crédito'!$D:$D, MATCH(MAX(IF('Limite de crédito'!$C:$C=$B142, 'Limite de crédito'!$A:$A)), 'Limite de crédito'!$A:$A, 0)),"")</f>
        <v>45837</v>
      </c>
      <c r="D142" s="18" t="str" cm="1">
        <f t="array" ref="D142">IFERROR(INDEX('Limite de crédito'!$F:$F, MATCH(MAX(IF('Limite de crédito'!$C:$C=$B142, 'Limite de crédito'!$A:$A)), 'Limite de crédito'!$A:$A, 0)),0)</f>
        <v>Sim</v>
      </c>
      <c r="E142" s="18" t="e">
        <f t="shared" si="18"/>
        <v>#VALUE!</v>
      </c>
      <c r="F142" s="18">
        <f t="shared" si="19"/>
        <v>0</v>
      </c>
      <c r="G142" s="19">
        <f>SUMIFS('Data Additive'!$D:$D,'Data Additive'!$P:$P,'Painel Additive'!#REF!,'Data Additive'!$Q:$Q,"&gt;0",'Data Additive'!$Q:$Q,"&lt;=30")</f>
        <v>0</v>
      </c>
      <c r="H142" s="19">
        <f>SUMIFS('Data Additive'!$D:$D,'Data Additive'!$P:$P,'Painel Additive'!#REF!,'Data Additive'!$Q:$Q,"&gt;30",'Data Additive'!$Q:$Q,"&lt;=60")</f>
        <v>0</v>
      </c>
      <c r="I142" s="19">
        <f>SUMIFS('Data Additive'!$D:$D,'Data Additive'!$P:$P,'Painel Additive'!#REF!,'Data Additive'!$Q:$Q,"&gt;60",'Data Additive'!$Q:$Q,"&lt;=90")</f>
        <v>0</v>
      </c>
      <c r="J142" s="19">
        <f>SUMIFS('Data Additive'!$D:$D,'Data Additive'!$P:$P,'Painel Additive'!#REF!,'Data Additive'!$Q:$Q,"&gt;90",'Data Additive'!$Q:$Q,"&lt;=120")</f>
        <v>0</v>
      </c>
      <c r="K142" s="19">
        <f>SUMIFS('Data Additive'!$D:$D,'Data Additive'!$P:$P,'Painel Additive'!#REF!,'Data Additive'!$Q:$Q,"&gt;120",'Data Additive'!$Q:$Q,"&lt;=180")</f>
        <v>0</v>
      </c>
      <c r="L142" s="19">
        <f>SUMIFS('Data Additive'!$D:$D,'Data Additive'!$P:$P,'Painel Additive'!#REF!,'Data Additive'!$Q:$Q,"&gt;180",'Data Additive'!$Q:$Q,"&lt;=360")</f>
        <v>0</v>
      </c>
      <c r="M142" s="23">
        <f>SUMIFS('Data Additive'!$D:$D,'Data Additive'!$P:$P,'Painel Additive'!#REF!,'Data Additive'!$Q:$Q,"&gt;360")</f>
        <v>0</v>
      </c>
      <c r="N142" s="19">
        <f>SUMIFS('Data Additive'!$D:$D,'Data Additive'!$P:$P,'Painel Additive'!#REF!,'Data Additive'!$Q:$Q,"&gt;0")</f>
        <v>0</v>
      </c>
      <c r="O142" s="19">
        <f t="shared" si="20"/>
        <v>0</v>
      </c>
      <c r="P142" s="19">
        <f>SUMIFS('Data Additive'!$D:$D,'Data Additive'!$P:$P,'Painel Additive'!#REF!,'Data Additive'!$Q:$Q,"&lt;=0",'Data Additive'!$Q:$Q,"&gt;=-30")</f>
        <v>0</v>
      </c>
      <c r="Q142" s="19">
        <f>SUMIFS('Data Additive'!$D:$D,'Data Additive'!$P:$P,'Painel Additive'!#REF!,'Data Additive'!$Q:$Q,"&lt;=-31",'Data Additive'!$Q:$Q,"&gt;=-60")</f>
        <v>0</v>
      </c>
      <c r="R142" s="19">
        <f>SUMIFS('Data Additive'!$D:$D,'Data Additive'!$P:$P,'Painel Additive'!#REF!,'Data Additive'!$Q:$Q,"&lt;=-61",'Data Additive'!$Q:$Q,"&gt;=-90")</f>
        <v>0</v>
      </c>
      <c r="S142" s="19">
        <f>SUMIFS('Data Additive'!$D:$D,'Data Additive'!$P:$P,'Painel Additive'!#REF!,'Data Additive'!$Q:$Q,"&lt;=-91",'Data Additive'!$Q:$Q,"&gt;=-120")</f>
        <v>0</v>
      </c>
      <c r="T142" s="19">
        <f>SUMIFS('Data Additive'!$D:$D,'Data Additive'!$P:$P,'Painel Additive'!#REF!,'Data Additive'!$Q:$Q,"&lt;=-121",'Data Additive'!$Q:$Q,"&gt;=-180")</f>
        <v>0</v>
      </c>
      <c r="U142" s="19">
        <f>SUMIFS('Data Additive'!$D:$D,'Data Additive'!$P:$P,'Painel Additive'!#REF!,'Data Additive'!$Q:$Q,"&lt;=-181",'Data Additive'!$Q:$Q,"&gt;=-360")</f>
        <v>0</v>
      </c>
      <c r="V142" s="23">
        <f>SUMIFS('Data Additive'!$D:$D,'Data Additive'!$P:$P,'Painel Additive'!#REF!,'Data Additive'!$Q:$Q,"&lt;-360")</f>
        <v>0</v>
      </c>
      <c r="W142" s="19" t="e">
        <f>SUMIFS('Bad Debt Provision'!#REF!,'Bad Debt Provision'!#REF!,'Painel Additive'!#REF!)</f>
        <v>#REF!</v>
      </c>
      <c r="X142" s="5"/>
      <c r="Y142" s="20"/>
      <c r="Z142" s="20"/>
      <c r="AA142" s="21"/>
      <c r="AB142" s="5"/>
      <c r="AC142" s="19"/>
      <c r="AD142" s="20"/>
      <c r="AE142" s="22"/>
      <c r="AF142" s="22"/>
      <c r="AG142" s="5"/>
      <c r="AH142" s="28">
        <f t="shared" si="21"/>
        <v>0</v>
      </c>
    </row>
    <row r="143" spans="2:34" x14ac:dyDescent="0.25">
      <c r="B143" s="17" t="s">
        <v>303</v>
      </c>
      <c r="C143" s="93" t="str" cm="1">
        <f t="array" ref="C143">IFERROR(INDEX('Limite de crédito'!$D:$D, MATCH(MAX(IF('Limite de crédito'!$C:$C=$B143, 'Limite de crédito'!$A:$A)), 'Limite de crédito'!$A:$A, 0)),"")</f>
        <v/>
      </c>
      <c r="D143" s="18" cm="1">
        <f t="array" ref="D143">IFERROR(INDEX('Limite de crédito'!$F:$F, MATCH(MAX(IF('Limite de crédito'!$C:$C=$B143, 'Limite de crédito'!$A:$A)), 'Limite de crédito'!$A:$A, 0)),0)</f>
        <v>0</v>
      </c>
      <c r="E143" s="18">
        <f t="shared" si="18"/>
        <v>0</v>
      </c>
      <c r="F143" s="18">
        <f t="shared" si="19"/>
        <v>0</v>
      </c>
      <c r="G143" s="19">
        <f>SUMIFS('Data Additive'!$D:$D,'Data Additive'!$P:$P,'Painel Additive'!#REF!,'Data Additive'!$Q:$Q,"&gt;0",'Data Additive'!$Q:$Q,"&lt;=30")</f>
        <v>0</v>
      </c>
      <c r="H143" s="19">
        <f>SUMIFS('Data Additive'!$D:$D,'Data Additive'!$P:$P,'Painel Additive'!#REF!,'Data Additive'!$Q:$Q,"&gt;30",'Data Additive'!$Q:$Q,"&lt;=60")</f>
        <v>0</v>
      </c>
      <c r="I143" s="19">
        <f>SUMIFS('Data Additive'!$D:$D,'Data Additive'!$P:$P,'Painel Additive'!#REF!,'Data Additive'!$Q:$Q,"&gt;60",'Data Additive'!$Q:$Q,"&lt;=90")</f>
        <v>0</v>
      </c>
      <c r="J143" s="19">
        <f>SUMIFS('Data Additive'!$D:$D,'Data Additive'!$P:$P,'Painel Additive'!#REF!,'Data Additive'!$Q:$Q,"&gt;90",'Data Additive'!$Q:$Q,"&lt;=120")</f>
        <v>0</v>
      </c>
      <c r="K143" s="19">
        <f>SUMIFS('Data Additive'!$D:$D,'Data Additive'!$P:$P,'Painel Additive'!#REF!,'Data Additive'!$Q:$Q,"&gt;120",'Data Additive'!$Q:$Q,"&lt;=180")</f>
        <v>0</v>
      </c>
      <c r="L143" s="19">
        <f>SUMIFS('Data Additive'!$D:$D,'Data Additive'!$P:$P,'Painel Additive'!#REF!,'Data Additive'!$Q:$Q,"&gt;180",'Data Additive'!$Q:$Q,"&lt;=360")</f>
        <v>0</v>
      </c>
      <c r="M143" s="23">
        <f>SUMIFS('Data Additive'!$D:$D,'Data Additive'!$P:$P,'Painel Additive'!#REF!,'Data Additive'!$Q:$Q,"&gt;360")</f>
        <v>0</v>
      </c>
      <c r="N143" s="19">
        <f>SUMIFS('Data Additive'!$D:$D,'Data Additive'!$P:$P,'Painel Additive'!#REF!,'Data Additive'!$Q:$Q,"&gt;0")</f>
        <v>0</v>
      </c>
      <c r="O143" s="19">
        <f t="shared" si="20"/>
        <v>0</v>
      </c>
      <c r="P143" s="19">
        <f>SUMIFS('Data Additive'!$D:$D,'Data Additive'!$P:$P,'Painel Additive'!#REF!,'Data Additive'!$Q:$Q,"&lt;=0",'Data Additive'!$Q:$Q,"&gt;=-30")</f>
        <v>0</v>
      </c>
      <c r="Q143" s="19">
        <f>SUMIFS('Data Additive'!$D:$D,'Data Additive'!$P:$P,'Painel Additive'!#REF!,'Data Additive'!$Q:$Q,"&lt;=-31",'Data Additive'!$Q:$Q,"&gt;=-60")</f>
        <v>0</v>
      </c>
      <c r="R143" s="19">
        <f>SUMIFS('Data Additive'!$D:$D,'Data Additive'!$P:$P,'Painel Additive'!#REF!,'Data Additive'!$Q:$Q,"&lt;=-61",'Data Additive'!$Q:$Q,"&gt;=-90")</f>
        <v>0</v>
      </c>
      <c r="S143" s="19">
        <f>SUMIFS('Data Additive'!$D:$D,'Data Additive'!$P:$P,'Painel Additive'!#REF!,'Data Additive'!$Q:$Q,"&lt;=-91",'Data Additive'!$Q:$Q,"&gt;=-120")</f>
        <v>0</v>
      </c>
      <c r="T143" s="19">
        <f>SUMIFS('Data Additive'!$D:$D,'Data Additive'!$P:$P,'Painel Additive'!#REF!,'Data Additive'!$Q:$Q,"&lt;=-121",'Data Additive'!$Q:$Q,"&gt;=-180")</f>
        <v>0</v>
      </c>
      <c r="U143" s="19">
        <f>SUMIFS('Data Additive'!$D:$D,'Data Additive'!$P:$P,'Painel Additive'!#REF!,'Data Additive'!$Q:$Q,"&lt;=-181",'Data Additive'!$Q:$Q,"&gt;=-360")</f>
        <v>0</v>
      </c>
      <c r="V143" s="23">
        <f>SUMIFS('Data Additive'!$D:$D,'Data Additive'!$P:$P,'Painel Additive'!#REF!,'Data Additive'!$Q:$Q,"&lt;-360")</f>
        <v>0</v>
      </c>
      <c r="W143" s="19" t="e">
        <f>SUMIFS('Bad Debt Provision'!#REF!,'Bad Debt Provision'!#REF!,'Painel Additive'!#REF!)</f>
        <v>#REF!</v>
      </c>
      <c r="X143" s="5"/>
      <c r="Y143" s="20"/>
      <c r="Z143" s="20"/>
      <c r="AA143" s="21"/>
      <c r="AB143" s="5"/>
      <c r="AC143" s="19"/>
      <c r="AD143" s="20"/>
      <c r="AE143" s="22"/>
      <c r="AF143" s="22"/>
      <c r="AG143" s="5"/>
      <c r="AH143" s="28">
        <f t="shared" si="21"/>
        <v>0</v>
      </c>
    </row>
    <row r="144" spans="2:34" x14ac:dyDescent="0.25">
      <c r="B144" s="17" t="s">
        <v>295</v>
      </c>
      <c r="C144" s="93" cm="1">
        <f t="array" ref="C144">IFERROR(INDEX('Limite de crédito'!$D:$D, MATCH(MAX(IF('Limite de crédito'!$C:$C=$B144, 'Limite de crédito'!$A:$A)), 'Limite de crédito'!$A:$A, 0)),"")</f>
        <v>45820</v>
      </c>
      <c r="D144" s="18" t="str" cm="1">
        <f t="array" ref="D144">IFERROR(INDEX('Limite de crédito'!$F:$F, MATCH(MAX(IF('Limite de crédito'!$C:$C=$B144, 'Limite de crédito'!$A:$A)), 'Limite de crédito'!$A:$A, 0)),0)</f>
        <v>Sim</v>
      </c>
      <c r="E144" s="18" t="e">
        <f t="shared" si="18"/>
        <v>#VALUE!</v>
      </c>
      <c r="F144" s="18">
        <f t="shared" si="19"/>
        <v>0</v>
      </c>
      <c r="G144" s="19">
        <f>SUMIFS('Data Additive'!$D:$D,'Data Additive'!$P:$P,'Painel Additive'!#REF!,'Data Additive'!$Q:$Q,"&gt;0",'Data Additive'!$Q:$Q,"&lt;=30")</f>
        <v>0</v>
      </c>
      <c r="H144" s="19">
        <f>SUMIFS('Data Additive'!$D:$D,'Data Additive'!$P:$P,'Painel Additive'!#REF!,'Data Additive'!$Q:$Q,"&gt;30",'Data Additive'!$Q:$Q,"&lt;=60")</f>
        <v>0</v>
      </c>
      <c r="I144" s="19">
        <f>SUMIFS('Data Additive'!$D:$D,'Data Additive'!$P:$P,'Painel Additive'!#REF!,'Data Additive'!$Q:$Q,"&gt;60",'Data Additive'!$Q:$Q,"&lt;=90")</f>
        <v>0</v>
      </c>
      <c r="J144" s="19">
        <f>SUMIFS('Data Additive'!$D:$D,'Data Additive'!$P:$P,'Painel Additive'!#REF!,'Data Additive'!$Q:$Q,"&gt;90",'Data Additive'!$Q:$Q,"&lt;=120")</f>
        <v>0</v>
      </c>
      <c r="K144" s="19">
        <f>SUMIFS('Data Additive'!$D:$D,'Data Additive'!$P:$P,'Painel Additive'!#REF!,'Data Additive'!$Q:$Q,"&gt;120",'Data Additive'!$Q:$Q,"&lt;=180")</f>
        <v>0</v>
      </c>
      <c r="L144" s="19">
        <f>SUMIFS('Data Additive'!$D:$D,'Data Additive'!$P:$P,'Painel Additive'!#REF!,'Data Additive'!$Q:$Q,"&gt;180",'Data Additive'!$Q:$Q,"&lt;=360")</f>
        <v>0</v>
      </c>
      <c r="M144" s="23">
        <f>SUMIFS('Data Additive'!$D:$D,'Data Additive'!$P:$P,'Painel Additive'!#REF!,'Data Additive'!$Q:$Q,"&gt;360")</f>
        <v>0</v>
      </c>
      <c r="N144" s="19">
        <f>SUMIFS('Data Additive'!$D:$D,'Data Additive'!$P:$P,'Painel Additive'!#REF!,'Data Additive'!$Q:$Q,"&gt;0")</f>
        <v>0</v>
      </c>
      <c r="O144" s="19">
        <f t="shared" si="20"/>
        <v>0</v>
      </c>
      <c r="P144" s="19">
        <f>SUMIFS('Data Additive'!$D:$D,'Data Additive'!$P:$P,'Painel Additive'!#REF!,'Data Additive'!$Q:$Q,"&lt;=0",'Data Additive'!$Q:$Q,"&gt;=-30")</f>
        <v>0</v>
      </c>
      <c r="Q144" s="19">
        <f>SUMIFS('Data Additive'!$D:$D,'Data Additive'!$P:$P,'Painel Additive'!#REF!,'Data Additive'!$Q:$Q,"&lt;=-31",'Data Additive'!$Q:$Q,"&gt;=-60")</f>
        <v>0</v>
      </c>
      <c r="R144" s="19">
        <f>SUMIFS('Data Additive'!$D:$D,'Data Additive'!$P:$P,'Painel Additive'!#REF!,'Data Additive'!$Q:$Q,"&lt;=-61",'Data Additive'!$Q:$Q,"&gt;=-90")</f>
        <v>0</v>
      </c>
      <c r="S144" s="19">
        <f>SUMIFS('Data Additive'!$D:$D,'Data Additive'!$P:$P,'Painel Additive'!#REF!,'Data Additive'!$Q:$Q,"&lt;=-91",'Data Additive'!$Q:$Q,"&gt;=-120")</f>
        <v>0</v>
      </c>
      <c r="T144" s="19">
        <f>SUMIFS('Data Additive'!$D:$D,'Data Additive'!$P:$P,'Painel Additive'!#REF!,'Data Additive'!$Q:$Q,"&lt;=-121",'Data Additive'!$Q:$Q,"&gt;=-180")</f>
        <v>0</v>
      </c>
      <c r="U144" s="19">
        <f>SUMIFS('Data Additive'!$D:$D,'Data Additive'!$P:$P,'Painel Additive'!#REF!,'Data Additive'!$Q:$Q,"&lt;=-181",'Data Additive'!$Q:$Q,"&gt;=-360")</f>
        <v>0</v>
      </c>
      <c r="V144" s="23">
        <f>SUMIFS('Data Additive'!$D:$D,'Data Additive'!$P:$P,'Painel Additive'!#REF!,'Data Additive'!$Q:$Q,"&lt;-360")</f>
        <v>0</v>
      </c>
      <c r="W144" s="19" t="e">
        <f>SUMIFS('Bad Debt Provision'!#REF!,'Bad Debt Provision'!#REF!,'Painel Additive'!#REF!)</f>
        <v>#REF!</v>
      </c>
      <c r="X144" s="5"/>
      <c r="Y144" s="20"/>
      <c r="Z144" s="20"/>
      <c r="AA144" s="21"/>
      <c r="AB144" s="5"/>
      <c r="AC144" s="19"/>
      <c r="AD144" s="20"/>
      <c r="AE144" s="22"/>
      <c r="AF144" s="22"/>
      <c r="AG144" s="5"/>
      <c r="AH144" s="28">
        <f t="shared" si="21"/>
        <v>0</v>
      </c>
    </row>
    <row r="145" spans="2:35" x14ac:dyDescent="0.25">
      <c r="B145" s="17" t="s">
        <v>305</v>
      </c>
      <c r="C145" s="93" t="str" cm="1">
        <f t="array" ref="C145">IFERROR(INDEX('Limite de crédito'!$D:$D, MATCH(MAX(IF('Limite de crédito'!$C:$C=$B145, 'Limite de crédito'!$A:$A)), 'Limite de crédito'!$A:$A, 0)),"")</f>
        <v/>
      </c>
      <c r="D145" s="18" cm="1">
        <f t="array" ref="D145">IFERROR(INDEX('Limite de crédito'!$F:$F, MATCH(MAX(IF('Limite de crédito'!$C:$C=$B145, 'Limite de crédito'!$A:$A)), 'Limite de crédito'!$A:$A, 0)),0)</f>
        <v>0</v>
      </c>
      <c r="E145" s="18">
        <f t="shared" si="18"/>
        <v>0</v>
      </c>
      <c r="F145" s="18">
        <f t="shared" si="19"/>
        <v>0</v>
      </c>
      <c r="G145" s="19">
        <f>SUMIFS('Data Additive'!$D:$D,'Data Additive'!$P:$P,'Painel Additive'!#REF!,'Data Additive'!$Q:$Q,"&gt;0",'Data Additive'!$Q:$Q,"&lt;=30")</f>
        <v>0</v>
      </c>
      <c r="H145" s="19">
        <f>SUMIFS('Data Additive'!$D:$D,'Data Additive'!$P:$P,'Painel Additive'!#REF!,'Data Additive'!$Q:$Q,"&gt;30",'Data Additive'!$Q:$Q,"&lt;=60")</f>
        <v>0</v>
      </c>
      <c r="I145" s="19">
        <f>SUMIFS('Data Additive'!$D:$D,'Data Additive'!$P:$P,'Painel Additive'!#REF!,'Data Additive'!$Q:$Q,"&gt;60",'Data Additive'!$Q:$Q,"&lt;=90")</f>
        <v>0</v>
      </c>
      <c r="J145" s="19">
        <f>SUMIFS('Data Additive'!$D:$D,'Data Additive'!$P:$P,'Painel Additive'!#REF!,'Data Additive'!$Q:$Q,"&gt;90",'Data Additive'!$Q:$Q,"&lt;=120")</f>
        <v>0</v>
      </c>
      <c r="K145" s="19">
        <f>SUMIFS('Data Additive'!$D:$D,'Data Additive'!$P:$P,'Painel Additive'!#REF!,'Data Additive'!$Q:$Q,"&gt;120",'Data Additive'!$Q:$Q,"&lt;=180")</f>
        <v>0</v>
      </c>
      <c r="L145" s="19">
        <f>SUMIFS('Data Additive'!$D:$D,'Data Additive'!$P:$P,'Painel Additive'!#REF!,'Data Additive'!$Q:$Q,"&gt;180",'Data Additive'!$Q:$Q,"&lt;=360")</f>
        <v>0</v>
      </c>
      <c r="M145" s="23">
        <f>SUMIFS('Data Additive'!$D:$D,'Data Additive'!$P:$P,'Painel Additive'!#REF!,'Data Additive'!$Q:$Q,"&gt;360")</f>
        <v>0</v>
      </c>
      <c r="N145" s="19">
        <f>SUMIFS('Data Additive'!$D:$D,'Data Additive'!$P:$P,'Painel Additive'!#REF!,'Data Additive'!$Q:$Q,"&gt;0")</f>
        <v>0</v>
      </c>
      <c r="O145" s="19">
        <f t="shared" si="20"/>
        <v>0</v>
      </c>
      <c r="P145" s="19">
        <f>SUMIFS('Data Additive'!$D:$D,'Data Additive'!$P:$P,'Painel Additive'!#REF!,'Data Additive'!$Q:$Q,"&lt;=0",'Data Additive'!$Q:$Q,"&gt;=-30")</f>
        <v>0</v>
      </c>
      <c r="Q145" s="19">
        <f>SUMIFS('Data Additive'!$D:$D,'Data Additive'!$P:$P,'Painel Additive'!#REF!,'Data Additive'!$Q:$Q,"&lt;=-31",'Data Additive'!$Q:$Q,"&gt;=-60")</f>
        <v>0</v>
      </c>
      <c r="R145" s="19">
        <f>SUMIFS('Data Additive'!$D:$D,'Data Additive'!$P:$P,'Painel Additive'!#REF!,'Data Additive'!$Q:$Q,"&lt;=-61",'Data Additive'!$Q:$Q,"&gt;=-90")</f>
        <v>0</v>
      </c>
      <c r="S145" s="19">
        <f>SUMIFS('Data Additive'!$D:$D,'Data Additive'!$P:$P,'Painel Additive'!#REF!,'Data Additive'!$Q:$Q,"&lt;=-91",'Data Additive'!$Q:$Q,"&gt;=-120")</f>
        <v>0</v>
      </c>
      <c r="T145" s="19">
        <f>SUMIFS('Data Additive'!$D:$D,'Data Additive'!$P:$P,'Painel Additive'!#REF!,'Data Additive'!$Q:$Q,"&lt;=-121",'Data Additive'!$Q:$Q,"&gt;=-180")</f>
        <v>0</v>
      </c>
      <c r="U145" s="19">
        <f>SUMIFS('Data Additive'!$D:$D,'Data Additive'!$P:$P,'Painel Additive'!#REF!,'Data Additive'!$Q:$Q,"&lt;=-181",'Data Additive'!$Q:$Q,"&gt;=-360")</f>
        <v>0</v>
      </c>
      <c r="V145" s="23">
        <f>SUMIFS('Data Additive'!$D:$D,'Data Additive'!$P:$P,'Painel Additive'!#REF!,'Data Additive'!$Q:$Q,"&lt;-360")</f>
        <v>0</v>
      </c>
      <c r="W145" s="19" t="e">
        <f>SUMIFS('Bad Debt Provision'!#REF!,'Bad Debt Provision'!#REF!,'Painel Additive'!#REF!)</f>
        <v>#REF!</v>
      </c>
      <c r="X145" s="5"/>
      <c r="Y145" s="20"/>
      <c r="Z145" s="20"/>
      <c r="AA145" s="21"/>
      <c r="AB145" s="5"/>
      <c r="AC145" s="19"/>
      <c r="AD145" s="20"/>
      <c r="AE145" s="22"/>
      <c r="AF145" s="22"/>
      <c r="AG145" s="5"/>
      <c r="AH145" s="28">
        <f t="shared" si="21"/>
        <v>0</v>
      </c>
    </row>
    <row r="146" spans="2:35" x14ac:dyDescent="0.25">
      <c r="B146" s="17" t="s">
        <v>306</v>
      </c>
      <c r="C146" s="93" t="str" cm="1">
        <f t="array" ref="C146">IFERROR(INDEX('Limite de crédito'!$D:$D, MATCH(MAX(IF('Limite de crédito'!$C:$C=$B146, 'Limite de crédito'!$A:$A)), 'Limite de crédito'!$A:$A, 0)),"")</f>
        <v/>
      </c>
      <c r="D146" s="18" cm="1">
        <f t="array" ref="D146">IFERROR(INDEX('Limite de crédito'!$F:$F, MATCH(MAX(IF('Limite de crédito'!$C:$C=$B146, 'Limite de crédito'!$A:$A)), 'Limite de crédito'!$A:$A, 0)),0)</f>
        <v>0</v>
      </c>
      <c r="E146" s="18">
        <f t="shared" si="18"/>
        <v>0</v>
      </c>
      <c r="F146" s="18">
        <f t="shared" si="19"/>
        <v>0</v>
      </c>
      <c r="G146" s="19">
        <f>SUMIFS('Data Additive'!$D:$D,'Data Additive'!$P:$P,'Painel Additive'!#REF!,'Data Additive'!$Q:$Q,"&gt;0",'Data Additive'!$Q:$Q,"&lt;=30")</f>
        <v>0</v>
      </c>
      <c r="H146" s="19">
        <f>SUMIFS('Data Additive'!$D:$D,'Data Additive'!$P:$P,'Painel Additive'!#REF!,'Data Additive'!$Q:$Q,"&gt;30",'Data Additive'!$Q:$Q,"&lt;=60")</f>
        <v>0</v>
      </c>
      <c r="I146" s="19">
        <f>SUMIFS('Data Additive'!$D:$D,'Data Additive'!$P:$P,'Painel Additive'!#REF!,'Data Additive'!$Q:$Q,"&gt;60",'Data Additive'!$Q:$Q,"&lt;=90")</f>
        <v>0</v>
      </c>
      <c r="J146" s="19">
        <f>SUMIFS('Data Additive'!$D:$D,'Data Additive'!$P:$P,'Painel Additive'!#REF!,'Data Additive'!$Q:$Q,"&gt;90",'Data Additive'!$Q:$Q,"&lt;=120")</f>
        <v>0</v>
      </c>
      <c r="K146" s="19">
        <f>SUMIFS('Data Additive'!$D:$D,'Data Additive'!$P:$P,'Painel Additive'!#REF!,'Data Additive'!$Q:$Q,"&gt;120",'Data Additive'!$Q:$Q,"&lt;=180")</f>
        <v>0</v>
      </c>
      <c r="L146" s="19">
        <f>SUMIFS('Data Additive'!$D:$D,'Data Additive'!$P:$P,'Painel Additive'!#REF!,'Data Additive'!$Q:$Q,"&gt;180",'Data Additive'!$Q:$Q,"&lt;=360")</f>
        <v>0</v>
      </c>
      <c r="M146" s="23">
        <f>SUMIFS('Data Additive'!$D:$D,'Data Additive'!$P:$P,'Painel Additive'!#REF!,'Data Additive'!$Q:$Q,"&gt;360")</f>
        <v>0</v>
      </c>
      <c r="N146" s="19">
        <f>SUMIFS('Data Additive'!$D:$D,'Data Additive'!$P:$P,'Painel Additive'!#REF!,'Data Additive'!$Q:$Q,"&gt;0")</f>
        <v>0</v>
      </c>
      <c r="O146" s="19">
        <f t="shared" si="20"/>
        <v>0</v>
      </c>
      <c r="P146" s="19">
        <f>SUMIFS('Data Additive'!$D:$D,'Data Additive'!$P:$P,'Painel Additive'!#REF!,'Data Additive'!$Q:$Q,"&lt;=0",'Data Additive'!$Q:$Q,"&gt;=-30")</f>
        <v>0</v>
      </c>
      <c r="Q146" s="19">
        <f>SUMIFS('Data Additive'!$D:$D,'Data Additive'!$P:$P,'Painel Additive'!#REF!,'Data Additive'!$Q:$Q,"&lt;=-31",'Data Additive'!$Q:$Q,"&gt;=-60")</f>
        <v>0</v>
      </c>
      <c r="R146" s="19">
        <f>SUMIFS('Data Additive'!$D:$D,'Data Additive'!$P:$P,'Painel Additive'!#REF!,'Data Additive'!$Q:$Q,"&lt;=-61",'Data Additive'!$Q:$Q,"&gt;=-90")</f>
        <v>0</v>
      </c>
      <c r="S146" s="19">
        <f>SUMIFS('Data Additive'!$D:$D,'Data Additive'!$P:$P,'Painel Additive'!#REF!,'Data Additive'!$Q:$Q,"&lt;=-91",'Data Additive'!$Q:$Q,"&gt;=-120")</f>
        <v>0</v>
      </c>
      <c r="T146" s="19">
        <f>SUMIFS('Data Additive'!$D:$D,'Data Additive'!$P:$P,'Painel Additive'!#REF!,'Data Additive'!$Q:$Q,"&lt;=-121",'Data Additive'!$Q:$Q,"&gt;=-180")</f>
        <v>0</v>
      </c>
      <c r="U146" s="19">
        <f>SUMIFS('Data Additive'!$D:$D,'Data Additive'!$P:$P,'Painel Additive'!#REF!,'Data Additive'!$Q:$Q,"&lt;=-181",'Data Additive'!$Q:$Q,"&gt;=-360")</f>
        <v>0</v>
      </c>
      <c r="V146" s="23">
        <f>SUMIFS('Data Additive'!$D:$D,'Data Additive'!$P:$P,'Painel Additive'!#REF!,'Data Additive'!$Q:$Q,"&lt;-360")</f>
        <v>0</v>
      </c>
      <c r="W146" s="19" t="e">
        <f>SUMIFS('Bad Debt Provision'!#REF!,'Bad Debt Provision'!#REF!,'Painel Additive'!#REF!)</f>
        <v>#REF!</v>
      </c>
      <c r="X146" s="5"/>
      <c r="Y146" s="20"/>
      <c r="Z146" s="20"/>
      <c r="AA146" s="21"/>
      <c r="AB146" s="5"/>
      <c r="AC146" s="19"/>
      <c r="AD146" s="20"/>
      <c r="AE146" s="22"/>
      <c r="AF146" s="22"/>
      <c r="AG146" s="5"/>
      <c r="AH146" s="28">
        <f t="shared" si="21"/>
        <v>0</v>
      </c>
    </row>
    <row r="147" spans="2:35" x14ac:dyDescent="0.25">
      <c r="B147" s="17" t="s">
        <v>311</v>
      </c>
      <c r="C147" s="93" t="str" cm="1">
        <f t="array" ref="C147">IFERROR(INDEX('Limite de crédito'!$D:$D, MATCH(MAX(IF('Limite de crédito'!$C:$C=$B147, 'Limite de crédito'!$A:$A)), 'Limite de crédito'!$A:$A, 0)),"")</f>
        <v/>
      </c>
      <c r="D147" s="18" cm="1">
        <f t="array" ref="D147">IFERROR(INDEX('Limite de crédito'!$F:$F, MATCH(MAX(IF('Limite de crédito'!$C:$C=$B147, 'Limite de crédito'!$A:$A)), 'Limite de crédito'!$A:$A, 0)),0)</f>
        <v>0</v>
      </c>
      <c r="E147" s="18">
        <f t="shared" si="18"/>
        <v>0</v>
      </c>
      <c r="F147" s="18">
        <f t="shared" si="19"/>
        <v>0</v>
      </c>
      <c r="G147" s="19">
        <f>SUMIFS('Data Additive'!$D:$D,'Data Additive'!$P:$P,'Painel Additive'!#REF!,'Data Additive'!$Q:$Q,"&gt;0",'Data Additive'!$Q:$Q,"&lt;=30")</f>
        <v>0</v>
      </c>
      <c r="H147" s="19">
        <f>SUMIFS('Data Additive'!$D:$D,'Data Additive'!$P:$P,'Painel Additive'!#REF!,'Data Additive'!$Q:$Q,"&gt;30",'Data Additive'!$Q:$Q,"&lt;=60")</f>
        <v>0</v>
      </c>
      <c r="I147" s="19">
        <f>SUMIFS('Data Additive'!$D:$D,'Data Additive'!$P:$P,'Painel Additive'!#REF!,'Data Additive'!$Q:$Q,"&gt;60",'Data Additive'!$Q:$Q,"&lt;=90")</f>
        <v>0</v>
      </c>
      <c r="J147" s="19">
        <f>SUMIFS('Data Additive'!$D:$D,'Data Additive'!$P:$P,'Painel Additive'!#REF!,'Data Additive'!$Q:$Q,"&gt;90",'Data Additive'!$Q:$Q,"&lt;=120")</f>
        <v>0</v>
      </c>
      <c r="K147" s="19">
        <f>SUMIFS('Data Additive'!$D:$D,'Data Additive'!$P:$P,'Painel Additive'!#REF!,'Data Additive'!$Q:$Q,"&gt;120",'Data Additive'!$Q:$Q,"&lt;=180")</f>
        <v>0</v>
      </c>
      <c r="L147" s="19">
        <f>SUMIFS('Data Additive'!$D:$D,'Data Additive'!$P:$P,'Painel Additive'!#REF!,'Data Additive'!$Q:$Q,"&gt;180",'Data Additive'!$Q:$Q,"&lt;=360")</f>
        <v>0</v>
      </c>
      <c r="M147" s="23">
        <f>SUMIFS('Data Additive'!$D:$D,'Data Additive'!$P:$P,'Painel Additive'!#REF!,'Data Additive'!$Q:$Q,"&gt;360")</f>
        <v>0</v>
      </c>
      <c r="N147" s="19">
        <f>SUMIFS('Data Additive'!$D:$D,'Data Additive'!$P:$P,'Painel Additive'!#REF!,'Data Additive'!$Q:$Q,"&gt;0")</f>
        <v>0</v>
      </c>
      <c r="O147" s="19">
        <f t="shared" si="20"/>
        <v>0</v>
      </c>
      <c r="P147" s="19">
        <f>SUMIFS('Data Additive'!$D:$D,'Data Additive'!$P:$P,'Painel Additive'!#REF!,'Data Additive'!$Q:$Q,"&lt;=0",'Data Additive'!$Q:$Q,"&gt;=-30")</f>
        <v>0</v>
      </c>
      <c r="Q147" s="19">
        <f>SUMIFS('Data Additive'!$D:$D,'Data Additive'!$P:$P,'Painel Additive'!#REF!,'Data Additive'!$Q:$Q,"&lt;=-31",'Data Additive'!$Q:$Q,"&gt;=-60")</f>
        <v>0</v>
      </c>
      <c r="R147" s="19">
        <f>SUMIFS('Data Additive'!$D:$D,'Data Additive'!$P:$P,'Painel Additive'!#REF!,'Data Additive'!$Q:$Q,"&lt;=-61",'Data Additive'!$Q:$Q,"&gt;=-90")</f>
        <v>0</v>
      </c>
      <c r="S147" s="19">
        <f>SUMIFS('Data Additive'!$D:$D,'Data Additive'!$P:$P,'Painel Additive'!#REF!,'Data Additive'!$Q:$Q,"&lt;=-91",'Data Additive'!$Q:$Q,"&gt;=-120")</f>
        <v>0</v>
      </c>
      <c r="T147" s="19">
        <f>SUMIFS('Data Additive'!$D:$D,'Data Additive'!$P:$P,'Painel Additive'!#REF!,'Data Additive'!$Q:$Q,"&lt;=-121",'Data Additive'!$Q:$Q,"&gt;=-180")</f>
        <v>0</v>
      </c>
      <c r="U147" s="19">
        <f>SUMIFS('Data Additive'!$D:$D,'Data Additive'!$P:$P,'Painel Additive'!#REF!,'Data Additive'!$Q:$Q,"&lt;=-181",'Data Additive'!$Q:$Q,"&gt;=-360")</f>
        <v>0</v>
      </c>
      <c r="V147" s="23">
        <f>SUMIFS('Data Additive'!$D:$D,'Data Additive'!$P:$P,'Painel Additive'!#REF!,'Data Additive'!$Q:$Q,"&lt;-360")</f>
        <v>0</v>
      </c>
      <c r="W147" s="19" t="e">
        <f>SUMIFS('Bad Debt Provision'!#REF!,'Bad Debt Provision'!#REF!,'Painel Additive'!#REF!)</f>
        <v>#REF!</v>
      </c>
      <c r="X147" s="5"/>
      <c r="Y147" s="20"/>
      <c r="Z147" s="20"/>
      <c r="AA147" s="21"/>
      <c r="AB147" s="5"/>
      <c r="AC147" s="19"/>
      <c r="AD147" s="20"/>
      <c r="AE147" s="22"/>
      <c r="AF147" s="22"/>
      <c r="AG147" s="5"/>
      <c r="AH147" s="28">
        <f t="shared" si="21"/>
        <v>0</v>
      </c>
    </row>
    <row r="148" spans="2:35" x14ac:dyDescent="0.25">
      <c r="B148" s="17" t="s">
        <v>312</v>
      </c>
      <c r="C148" s="93" t="str" cm="1">
        <f t="array" ref="C148">IFERROR(INDEX('Limite de crédito'!$D:$D, MATCH(MAX(IF('Limite de crédito'!$C:$C=$B148, 'Limite de crédito'!$A:$A)), 'Limite de crédito'!$A:$A, 0)),"")</f>
        <v/>
      </c>
      <c r="D148" s="18" cm="1">
        <f t="array" ref="D148">IFERROR(INDEX('Limite de crédito'!$F:$F, MATCH(MAX(IF('Limite de crédito'!$C:$C=$B148, 'Limite de crédito'!$A:$A)), 'Limite de crédito'!$A:$A, 0)),0)</f>
        <v>0</v>
      </c>
      <c r="E148" s="18">
        <f t="shared" si="18"/>
        <v>0</v>
      </c>
      <c r="F148" s="18">
        <f t="shared" si="19"/>
        <v>0</v>
      </c>
      <c r="G148" s="19">
        <f>SUMIFS('Data Additive'!$D:$D,'Data Additive'!$P:$P,'Painel Additive'!#REF!,'Data Additive'!$Q:$Q,"&gt;0",'Data Additive'!$Q:$Q,"&lt;=30")</f>
        <v>0</v>
      </c>
      <c r="H148" s="19">
        <f>SUMIFS('Data Additive'!$D:$D,'Data Additive'!$P:$P,'Painel Additive'!#REF!,'Data Additive'!$Q:$Q,"&gt;30",'Data Additive'!$Q:$Q,"&lt;=60")</f>
        <v>0</v>
      </c>
      <c r="I148" s="19">
        <f>SUMIFS('Data Additive'!$D:$D,'Data Additive'!$P:$P,'Painel Additive'!#REF!,'Data Additive'!$Q:$Q,"&gt;60",'Data Additive'!$Q:$Q,"&lt;=90")</f>
        <v>0</v>
      </c>
      <c r="J148" s="19">
        <f>SUMIFS('Data Additive'!$D:$D,'Data Additive'!$P:$P,'Painel Additive'!#REF!,'Data Additive'!$Q:$Q,"&gt;90",'Data Additive'!$Q:$Q,"&lt;=120")</f>
        <v>0</v>
      </c>
      <c r="K148" s="19">
        <f>SUMIFS('Data Additive'!$D:$D,'Data Additive'!$P:$P,'Painel Additive'!#REF!,'Data Additive'!$Q:$Q,"&gt;120",'Data Additive'!$Q:$Q,"&lt;=180")</f>
        <v>0</v>
      </c>
      <c r="L148" s="19">
        <f>SUMIFS('Data Additive'!$D:$D,'Data Additive'!$P:$P,'Painel Additive'!#REF!,'Data Additive'!$Q:$Q,"&gt;180",'Data Additive'!$Q:$Q,"&lt;=360")</f>
        <v>0</v>
      </c>
      <c r="M148" s="23">
        <f>SUMIFS('Data Additive'!$D:$D,'Data Additive'!$P:$P,'Painel Additive'!#REF!,'Data Additive'!$Q:$Q,"&gt;360")</f>
        <v>0</v>
      </c>
      <c r="N148" s="19">
        <f>SUMIFS('Data Additive'!$D:$D,'Data Additive'!$P:$P,'Painel Additive'!#REF!,'Data Additive'!$Q:$Q,"&gt;0")</f>
        <v>0</v>
      </c>
      <c r="O148" s="19">
        <f t="shared" si="20"/>
        <v>0</v>
      </c>
      <c r="P148" s="19">
        <f>SUMIFS('Data Additive'!$D:$D,'Data Additive'!$P:$P,'Painel Additive'!#REF!,'Data Additive'!$Q:$Q,"&lt;=0",'Data Additive'!$Q:$Q,"&gt;=-30")</f>
        <v>0</v>
      </c>
      <c r="Q148" s="19">
        <f>SUMIFS('Data Additive'!$D:$D,'Data Additive'!$P:$P,'Painel Additive'!#REF!,'Data Additive'!$Q:$Q,"&lt;=-31",'Data Additive'!$Q:$Q,"&gt;=-60")</f>
        <v>0</v>
      </c>
      <c r="R148" s="19">
        <f>SUMIFS('Data Additive'!$D:$D,'Data Additive'!$P:$P,'Painel Additive'!#REF!,'Data Additive'!$Q:$Q,"&lt;=-61",'Data Additive'!$Q:$Q,"&gt;=-90")</f>
        <v>0</v>
      </c>
      <c r="S148" s="19">
        <f>SUMIFS('Data Additive'!$D:$D,'Data Additive'!$P:$P,'Painel Additive'!#REF!,'Data Additive'!$Q:$Q,"&lt;=-91",'Data Additive'!$Q:$Q,"&gt;=-120")</f>
        <v>0</v>
      </c>
      <c r="T148" s="19">
        <f>SUMIFS('Data Additive'!$D:$D,'Data Additive'!$P:$P,'Painel Additive'!#REF!,'Data Additive'!$Q:$Q,"&lt;=-121",'Data Additive'!$Q:$Q,"&gt;=-180")</f>
        <v>0</v>
      </c>
      <c r="U148" s="19">
        <f>SUMIFS('Data Additive'!$D:$D,'Data Additive'!$P:$P,'Painel Additive'!#REF!,'Data Additive'!$Q:$Q,"&lt;=-181",'Data Additive'!$Q:$Q,"&gt;=-360")</f>
        <v>0</v>
      </c>
      <c r="V148" s="23">
        <f>SUMIFS('Data Additive'!$D:$D,'Data Additive'!$P:$P,'Painel Additive'!#REF!,'Data Additive'!$Q:$Q,"&lt;-360")</f>
        <v>0</v>
      </c>
      <c r="W148" s="19" t="e">
        <f>SUMIFS('Bad Debt Provision'!#REF!,'Bad Debt Provision'!#REF!,'Painel Additive'!#REF!)</f>
        <v>#REF!</v>
      </c>
      <c r="X148" s="5"/>
      <c r="Y148" s="20"/>
      <c r="Z148" s="20"/>
      <c r="AA148" s="21"/>
      <c r="AB148" s="5"/>
      <c r="AC148" s="19"/>
      <c r="AD148" s="20"/>
      <c r="AE148" s="22"/>
      <c r="AF148" s="22"/>
      <c r="AG148" s="5"/>
      <c r="AH148" s="28">
        <f t="shared" si="21"/>
        <v>0</v>
      </c>
    </row>
    <row r="149" spans="2:35" x14ac:dyDescent="0.25">
      <c r="B149" s="17" t="s">
        <v>320</v>
      </c>
      <c r="C149" s="93" t="str" cm="1">
        <f t="array" ref="C149">IFERROR(INDEX('Limite de crédito'!$D:$D, MATCH(MAX(IF('Limite de crédito'!$C:$C=$B149, 'Limite de crédito'!$A:$A)), 'Limite de crédito'!$A:$A, 0)),"")</f>
        <v/>
      </c>
      <c r="D149" s="18" cm="1">
        <f t="array" ref="D149">IFERROR(INDEX('Limite de crédito'!$F:$F, MATCH(MAX(IF('Limite de crédito'!$C:$C=$B149, 'Limite de crédito'!$A:$A)), 'Limite de crédito'!$A:$A, 0)),0)</f>
        <v>0</v>
      </c>
      <c r="E149" s="18">
        <f t="shared" si="18"/>
        <v>0</v>
      </c>
      <c r="F149" s="18">
        <f t="shared" si="19"/>
        <v>0</v>
      </c>
      <c r="G149" s="19">
        <f>SUMIFS('Data Additive'!$D:$D,'Data Additive'!$P:$P,'Painel Additive'!#REF!,'Data Additive'!$Q:$Q,"&gt;0",'Data Additive'!$Q:$Q,"&lt;=30")</f>
        <v>0</v>
      </c>
      <c r="H149" s="19">
        <f>SUMIFS('Data Additive'!$D:$D,'Data Additive'!$P:$P,'Painel Additive'!#REF!,'Data Additive'!$Q:$Q,"&gt;30",'Data Additive'!$Q:$Q,"&lt;=60")</f>
        <v>0</v>
      </c>
      <c r="I149" s="19">
        <f>SUMIFS('Data Additive'!$D:$D,'Data Additive'!$P:$P,'Painel Additive'!#REF!,'Data Additive'!$Q:$Q,"&gt;60",'Data Additive'!$Q:$Q,"&lt;=90")</f>
        <v>0</v>
      </c>
      <c r="J149" s="19">
        <f>SUMIFS('Data Additive'!$D:$D,'Data Additive'!$P:$P,'Painel Additive'!#REF!,'Data Additive'!$Q:$Q,"&gt;90",'Data Additive'!$Q:$Q,"&lt;=120")</f>
        <v>0</v>
      </c>
      <c r="K149" s="19">
        <f>SUMIFS('Data Additive'!$D:$D,'Data Additive'!$P:$P,'Painel Additive'!#REF!,'Data Additive'!$Q:$Q,"&gt;120",'Data Additive'!$Q:$Q,"&lt;=180")</f>
        <v>0</v>
      </c>
      <c r="L149" s="19">
        <f>SUMIFS('Data Additive'!$D:$D,'Data Additive'!$P:$P,'Painel Additive'!#REF!,'Data Additive'!$Q:$Q,"&gt;180",'Data Additive'!$Q:$Q,"&lt;=360")</f>
        <v>0</v>
      </c>
      <c r="M149" s="23">
        <f>SUMIFS('Data Additive'!$D:$D,'Data Additive'!$P:$P,'Painel Additive'!#REF!,'Data Additive'!$Q:$Q,"&gt;360")</f>
        <v>0</v>
      </c>
      <c r="N149" s="19">
        <f>SUMIFS('Data Additive'!$D:$D,'Data Additive'!$P:$P,'Painel Additive'!#REF!,'Data Additive'!$Q:$Q,"&gt;0")</f>
        <v>0</v>
      </c>
      <c r="O149" s="19">
        <f t="shared" si="20"/>
        <v>0</v>
      </c>
      <c r="P149" s="19">
        <f>SUMIFS('Data Additive'!$D:$D,'Data Additive'!$P:$P,'Painel Additive'!#REF!,'Data Additive'!$Q:$Q,"&lt;=0",'Data Additive'!$Q:$Q,"&gt;=-30")</f>
        <v>0</v>
      </c>
      <c r="Q149" s="19">
        <f>SUMIFS('Data Additive'!$D:$D,'Data Additive'!$P:$P,'Painel Additive'!#REF!,'Data Additive'!$Q:$Q,"&lt;=-31",'Data Additive'!$Q:$Q,"&gt;=-60")</f>
        <v>0</v>
      </c>
      <c r="R149" s="19">
        <f>SUMIFS('Data Additive'!$D:$D,'Data Additive'!$P:$P,'Painel Additive'!#REF!,'Data Additive'!$Q:$Q,"&lt;=-61",'Data Additive'!$Q:$Q,"&gt;=-90")</f>
        <v>0</v>
      </c>
      <c r="S149" s="19">
        <f>SUMIFS('Data Additive'!$D:$D,'Data Additive'!$P:$P,'Painel Additive'!#REF!,'Data Additive'!$Q:$Q,"&lt;=-91",'Data Additive'!$Q:$Q,"&gt;=-120")</f>
        <v>0</v>
      </c>
      <c r="T149" s="19">
        <f>SUMIFS('Data Additive'!$D:$D,'Data Additive'!$P:$P,'Painel Additive'!#REF!,'Data Additive'!$Q:$Q,"&lt;=-121",'Data Additive'!$Q:$Q,"&gt;=-180")</f>
        <v>0</v>
      </c>
      <c r="U149" s="19">
        <f>SUMIFS('Data Additive'!$D:$D,'Data Additive'!$P:$P,'Painel Additive'!#REF!,'Data Additive'!$Q:$Q,"&lt;=-181",'Data Additive'!$Q:$Q,"&gt;=-360")</f>
        <v>0</v>
      </c>
      <c r="V149" s="23">
        <f>SUMIFS('Data Additive'!$D:$D,'Data Additive'!$P:$P,'Painel Additive'!#REF!,'Data Additive'!$Q:$Q,"&lt;-360")</f>
        <v>0</v>
      </c>
      <c r="W149" s="19" t="e">
        <f>SUMIFS('Bad Debt Provision'!#REF!,'Bad Debt Provision'!#REF!,'Painel Additive'!#REF!)</f>
        <v>#REF!</v>
      </c>
      <c r="X149" s="5"/>
      <c r="Y149" s="20"/>
      <c r="Z149" s="20"/>
      <c r="AA149" s="21"/>
      <c r="AB149" s="5"/>
      <c r="AC149" s="19"/>
      <c r="AD149" s="20"/>
      <c r="AE149" s="22"/>
      <c r="AF149" s="22"/>
      <c r="AG149" s="5"/>
      <c r="AH149" s="28">
        <f t="shared" si="21"/>
        <v>0</v>
      </c>
    </row>
    <row r="150" spans="2:35" x14ac:dyDescent="0.25">
      <c r="B150" s="17" t="s">
        <v>321</v>
      </c>
      <c r="C150" s="93" t="str" cm="1">
        <f t="array" ref="C150">IFERROR(INDEX('Limite de crédito'!$D:$D, MATCH(MAX(IF('Limite de crédito'!$C:$C=$B150, 'Limite de crédito'!$A:$A)), 'Limite de crédito'!$A:$A, 0)),"")</f>
        <v/>
      </c>
      <c r="D150" s="18" cm="1">
        <f t="array" ref="D150">IFERROR(INDEX('Limite de crédito'!$F:$F, MATCH(MAX(IF('Limite de crédito'!$C:$C=$B150, 'Limite de crédito'!$A:$A)), 'Limite de crédito'!$A:$A, 0)),0)</f>
        <v>0</v>
      </c>
      <c r="E150" s="18">
        <f t="shared" si="18"/>
        <v>0</v>
      </c>
      <c r="F150" s="18">
        <f t="shared" si="19"/>
        <v>0</v>
      </c>
      <c r="G150" s="19">
        <f>SUMIFS('Data Additive'!$D:$D,'Data Additive'!$P:$P,'Painel Additive'!#REF!,'Data Additive'!$Q:$Q,"&gt;0",'Data Additive'!$Q:$Q,"&lt;=30")</f>
        <v>0</v>
      </c>
      <c r="H150" s="19">
        <f>SUMIFS('Data Additive'!$D:$D,'Data Additive'!$P:$P,'Painel Additive'!#REF!,'Data Additive'!$Q:$Q,"&gt;30",'Data Additive'!$Q:$Q,"&lt;=60")</f>
        <v>0</v>
      </c>
      <c r="I150" s="19">
        <f>SUMIFS('Data Additive'!$D:$D,'Data Additive'!$P:$P,'Painel Additive'!#REF!,'Data Additive'!$Q:$Q,"&gt;60",'Data Additive'!$Q:$Q,"&lt;=90")</f>
        <v>0</v>
      </c>
      <c r="J150" s="19">
        <f>SUMIFS('Data Additive'!$D:$D,'Data Additive'!$P:$P,'Painel Additive'!#REF!,'Data Additive'!$Q:$Q,"&gt;90",'Data Additive'!$Q:$Q,"&lt;=120")</f>
        <v>0</v>
      </c>
      <c r="K150" s="19">
        <f>SUMIFS('Data Additive'!$D:$D,'Data Additive'!$P:$P,'Painel Additive'!#REF!,'Data Additive'!$Q:$Q,"&gt;120",'Data Additive'!$Q:$Q,"&lt;=180")</f>
        <v>0</v>
      </c>
      <c r="L150" s="19">
        <f>SUMIFS('Data Additive'!$D:$D,'Data Additive'!$P:$P,'Painel Additive'!#REF!,'Data Additive'!$Q:$Q,"&gt;180",'Data Additive'!$Q:$Q,"&lt;=360")</f>
        <v>0</v>
      </c>
      <c r="M150" s="23">
        <f>SUMIFS('Data Additive'!$D:$D,'Data Additive'!$P:$P,'Painel Additive'!#REF!,'Data Additive'!$Q:$Q,"&gt;360")</f>
        <v>0</v>
      </c>
      <c r="N150" s="19">
        <f>SUMIFS('Data Additive'!$D:$D,'Data Additive'!$P:$P,'Painel Additive'!#REF!,'Data Additive'!$Q:$Q,"&gt;0")</f>
        <v>0</v>
      </c>
      <c r="O150" s="19">
        <f t="shared" si="20"/>
        <v>0</v>
      </c>
      <c r="P150" s="19">
        <f>SUMIFS('Data Additive'!$D:$D,'Data Additive'!$P:$P,'Painel Additive'!#REF!,'Data Additive'!$Q:$Q,"&lt;=0",'Data Additive'!$Q:$Q,"&gt;=-30")</f>
        <v>0</v>
      </c>
      <c r="Q150" s="19">
        <f>SUMIFS('Data Additive'!$D:$D,'Data Additive'!$P:$P,'Painel Additive'!#REF!,'Data Additive'!$Q:$Q,"&lt;=-31",'Data Additive'!$Q:$Q,"&gt;=-60")</f>
        <v>0</v>
      </c>
      <c r="R150" s="19">
        <f>SUMIFS('Data Additive'!$D:$D,'Data Additive'!$P:$P,'Painel Additive'!#REF!,'Data Additive'!$Q:$Q,"&lt;=-61",'Data Additive'!$Q:$Q,"&gt;=-90")</f>
        <v>0</v>
      </c>
      <c r="S150" s="19">
        <f>SUMIFS('Data Additive'!$D:$D,'Data Additive'!$P:$P,'Painel Additive'!#REF!,'Data Additive'!$Q:$Q,"&lt;=-91",'Data Additive'!$Q:$Q,"&gt;=-120")</f>
        <v>0</v>
      </c>
      <c r="T150" s="19">
        <f>SUMIFS('Data Additive'!$D:$D,'Data Additive'!$P:$P,'Painel Additive'!#REF!,'Data Additive'!$Q:$Q,"&lt;=-121",'Data Additive'!$Q:$Q,"&gt;=-180")</f>
        <v>0</v>
      </c>
      <c r="U150" s="19">
        <f>SUMIFS('Data Additive'!$D:$D,'Data Additive'!$P:$P,'Painel Additive'!#REF!,'Data Additive'!$Q:$Q,"&lt;=-181",'Data Additive'!$Q:$Q,"&gt;=-360")</f>
        <v>0</v>
      </c>
      <c r="V150" s="23">
        <f>SUMIFS('Data Additive'!$D:$D,'Data Additive'!$P:$P,'Painel Additive'!#REF!,'Data Additive'!$Q:$Q,"&lt;-360")</f>
        <v>0</v>
      </c>
      <c r="W150" s="19" t="e">
        <f>SUMIFS('Bad Debt Provision'!#REF!,'Bad Debt Provision'!#REF!,'Painel Additive'!#REF!)</f>
        <v>#REF!</v>
      </c>
      <c r="X150" s="5"/>
      <c r="Y150" s="20"/>
      <c r="Z150" s="20"/>
      <c r="AA150" s="21"/>
      <c r="AB150" s="5"/>
      <c r="AC150" s="19"/>
      <c r="AD150" s="20"/>
      <c r="AE150" s="22"/>
      <c r="AF150" s="22"/>
      <c r="AG150" s="5"/>
      <c r="AH150" s="28">
        <f t="shared" si="21"/>
        <v>0</v>
      </c>
    </row>
    <row r="151" spans="2:35" x14ac:dyDescent="0.25">
      <c r="B151" s="41" t="s">
        <v>322</v>
      </c>
      <c r="C151" s="94" t="str" cm="1">
        <f t="array" ref="C151">IFERROR(INDEX('Limite de crédito'!$D:$D, MATCH(MAX(IF('Limite de crédito'!$C:$C=$B151, 'Limite de crédito'!$A:$A)), 'Limite de crédito'!$A:$A, 0)),"")</f>
        <v/>
      </c>
      <c r="D151" s="18" cm="1">
        <f t="array" ref="D151">IFERROR(INDEX('Limite de crédito'!$F:$F, MATCH(MAX(IF('Limite de crédito'!$C:$C=$B151, 'Limite de crédito'!$A:$A)), 'Limite de crédito'!$A:$A, 0)),0)</f>
        <v>0</v>
      </c>
      <c r="E151" s="18">
        <f t="shared" si="18"/>
        <v>0</v>
      </c>
      <c r="F151" s="18">
        <f t="shared" si="19"/>
        <v>0</v>
      </c>
      <c r="G151" s="19">
        <f>SUMIFS('Data Additive'!$D:$D,'Data Additive'!$P:$P,'Painel Additive'!#REF!,'Data Additive'!$Q:$Q,"&gt;0",'Data Additive'!$Q:$Q,"&lt;=30")</f>
        <v>0</v>
      </c>
      <c r="H151" s="19">
        <f>SUMIFS('Data Additive'!$D:$D,'Data Additive'!$P:$P,'Painel Additive'!#REF!,'Data Additive'!$Q:$Q,"&gt;30",'Data Additive'!$Q:$Q,"&lt;=60")</f>
        <v>0</v>
      </c>
      <c r="I151" s="19">
        <f>SUMIFS('Data Additive'!$D:$D,'Data Additive'!$P:$P,'Painel Additive'!#REF!,'Data Additive'!$Q:$Q,"&gt;60",'Data Additive'!$Q:$Q,"&lt;=90")</f>
        <v>0</v>
      </c>
      <c r="J151" s="19">
        <f>SUMIFS('Data Additive'!$D:$D,'Data Additive'!$P:$P,'Painel Additive'!#REF!,'Data Additive'!$Q:$Q,"&gt;90",'Data Additive'!$Q:$Q,"&lt;=120")</f>
        <v>0</v>
      </c>
      <c r="K151" s="19">
        <f>SUMIFS('Data Additive'!$D:$D,'Data Additive'!$P:$P,'Painel Additive'!#REF!,'Data Additive'!$Q:$Q,"&gt;120",'Data Additive'!$Q:$Q,"&lt;=180")</f>
        <v>0</v>
      </c>
      <c r="L151" s="19">
        <f>SUMIFS('Data Additive'!$D:$D,'Data Additive'!$P:$P,'Painel Additive'!#REF!,'Data Additive'!$Q:$Q,"&gt;180",'Data Additive'!$Q:$Q,"&lt;=360")</f>
        <v>0</v>
      </c>
      <c r="M151" s="23">
        <f>SUMIFS('Data Additive'!$D:$D,'Data Additive'!$P:$P,'Painel Additive'!#REF!,'Data Additive'!$Q:$Q,"&gt;360")</f>
        <v>0</v>
      </c>
      <c r="N151" s="19">
        <f>SUMIFS('Data Additive'!$D:$D,'Data Additive'!$P:$P,'Painel Additive'!#REF!,'Data Additive'!$Q:$Q,"&gt;0")</f>
        <v>0</v>
      </c>
      <c r="O151" s="19">
        <f t="shared" si="20"/>
        <v>0</v>
      </c>
      <c r="P151" s="19">
        <f>SUMIFS('Data Additive'!$D:$D,'Data Additive'!$P:$P,'Painel Additive'!#REF!,'Data Additive'!$Q:$Q,"&lt;=0",'Data Additive'!$Q:$Q,"&gt;=-30")</f>
        <v>0</v>
      </c>
      <c r="Q151" s="19">
        <f>SUMIFS('Data Additive'!$D:$D,'Data Additive'!$P:$P,'Painel Additive'!#REF!,'Data Additive'!$Q:$Q,"&lt;=-31",'Data Additive'!$Q:$Q,"&gt;=-60")</f>
        <v>0</v>
      </c>
      <c r="R151" s="19">
        <f>SUMIFS('Data Additive'!$D:$D,'Data Additive'!$P:$P,'Painel Additive'!#REF!,'Data Additive'!$Q:$Q,"&lt;=-61",'Data Additive'!$Q:$Q,"&gt;=-90")</f>
        <v>0</v>
      </c>
      <c r="S151" s="19">
        <f>SUMIFS('Data Additive'!$D:$D,'Data Additive'!$P:$P,'Painel Additive'!#REF!,'Data Additive'!$Q:$Q,"&lt;=-91",'Data Additive'!$Q:$Q,"&gt;=-120")</f>
        <v>0</v>
      </c>
      <c r="T151" s="19">
        <f>SUMIFS('Data Additive'!$D:$D,'Data Additive'!$P:$P,'Painel Additive'!#REF!,'Data Additive'!$Q:$Q,"&lt;=-121",'Data Additive'!$Q:$Q,"&gt;=-180")</f>
        <v>0</v>
      </c>
      <c r="U151" s="19">
        <f>SUMIFS('Data Additive'!$D:$D,'Data Additive'!$P:$P,'Painel Additive'!#REF!,'Data Additive'!$Q:$Q,"&lt;=-181",'Data Additive'!$Q:$Q,"&gt;=-360")</f>
        <v>0</v>
      </c>
      <c r="V151" s="23">
        <f>SUMIFS('Data Additive'!$D:$D,'Data Additive'!$P:$P,'Painel Additive'!#REF!,'Data Additive'!$Q:$Q,"&lt;-360")</f>
        <v>0</v>
      </c>
      <c r="W151" s="19" t="e">
        <f>SUMIFS('Bad Debt Provision'!#REF!,'Bad Debt Provision'!#REF!,'Painel Additive'!#REF!)</f>
        <v>#REF!</v>
      </c>
      <c r="X151" s="5"/>
      <c r="Y151" s="20"/>
      <c r="Z151" s="20"/>
      <c r="AA151" s="21"/>
      <c r="AB151" s="5"/>
      <c r="AC151" s="19"/>
      <c r="AD151" s="20"/>
      <c r="AE151" s="22"/>
      <c r="AF151" s="22"/>
      <c r="AG151" s="5"/>
      <c r="AH151" s="28">
        <f t="shared" si="21"/>
        <v>0</v>
      </c>
    </row>
    <row r="152" spans="2:35" x14ac:dyDescent="0.25">
      <c r="B152" s="41" t="s">
        <v>326</v>
      </c>
      <c r="C152" s="94" cm="1">
        <f t="array" ref="C152">IFERROR(INDEX('Limite de crédito'!$D:$D, MATCH(MAX(IF('Limite de crédito'!$C:$C=$B152, 'Limite de crédito'!$A:$A)), 'Limite de crédito'!$A:$A, 0)),"")</f>
        <v>45980</v>
      </c>
      <c r="D152" s="18" t="str" cm="1">
        <f t="array" ref="D152">IFERROR(INDEX('Limite de crédito'!$F:$F, MATCH(MAX(IF('Limite de crédito'!$C:$C=$B152, 'Limite de crédito'!$A:$A)), 'Limite de crédito'!$A:$A, 0)),0)</f>
        <v>Sim</v>
      </c>
      <c r="E152" s="18" t="e">
        <f t="shared" si="18"/>
        <v>#VALUE!</v>
      </c>
      <c r="F152" s="18">
        <f t="shared" si="19"/>
        <v>0</v>
      </c>
      <c r="G152" s="19">
        <f>SUMIFS('Data Additive'!$D:$D,'Data Additive'!$P:$P,'Painel Additive'!#REF!,'Data Additive'!$Q:$Q,"&gt;0",'Data Additive'!$Q:$Q,"&lt;=30")</f>
        <v>0</v>
      </c>
      <c r="H152" s="19">
        <f>SUMIFS('Data Additive'!$D:$D,'Data Additive'!$P:$P,'Painel Additive'!#REF!,'Data Additive'!$Q:$Q,"&gt;30",'Data Additive'!$Q:$Q,"&lt;=60")</f>
        <v>0</v>
      </c>
      <c r="I152" s="19">
        <f>SUMIFS('Data Additive'!$D:$D,'Data Additive'!$P:$P,'Painel Additive'!#REF!,'Data Additive'!$Q:$Q,"&gt;60",'Data Additive'!$Q:$Q,"&lt;=90")</f>
        <v>0</v>
      </c>
      <c r="J152" s="19">
        <f>SUMIFS('Data Additive'!$D:$D,'Data Additive'!$P:$P,'Painel Additive'!#REF!,'Data Additive'!$Q:$Q,"&gt;90",'Data Additive'!$Q:$Q,"&lt;=120")</f>
        <v>0</v>
      </c>
      <c r="K152" s="19">
        <f>SUMIFS('Data Additive'!$D:$D,'Data Additive'!$P:$P,'Painel Additive'!#REF!,'Data Additive'!$Q:$Q,"&gt;120",'Data Additive'!$Q:$Q,"&lt;=180")</f>
        <v>0</v>
      </c>
      <c r="L152" s="19">
        <f>SUMIFS('Data Additive'!$D:$D,'Data Additive'!$P:$P,'Painel Additive'!#REF!,'Data Additive'!$Q:$Q,"&gt;180",'Data Additive'!$Q:$Q,"&lt;=360")</f>
        <v>0</v>
      </c>
      <c r="M152" s="23">
        <f>SUMIFS('Data Additive'!$D:$D,'Data Additive'!$P:$P,'Painel Additive'!#REF!,'Data Additive'!$Q:$Q,"&gt;360")</f>
        <v>0</v>
      </c>
      <c r="N152" s="19">
        <f>SUMIFS('Data Additive'!$D:$D,'Data Additive'!$P:$P,'Painel Additive'!#REF!,'Data Additive'!$Q:$Q,"&gt;0")</f>
        <v>0</v>
      </c>
      <c r="O152" s="19">
        <f t="shared" si="20"/>
        <v>0</v>
      </c>
      <c r="P152" s="19">
        <f>SUMIFS('Data Additive'!$D:$D,'Data Additive'!$P:$P,'Painel Additive'!#REF!,'Data Additive'!$Q:$Q,"&lt;=0",'Data Additive'!$Q:$Q,"&gt;=-30")</f>
        <v>0</v>
      </c>
      <c r="Q152" s="19">
        <f>SUMIFS('Data Additive'!$D:$D,'Data Additive'!$P:$P,'Painel Additive'!#REF!,'Data Additive'!$Q:$Q,"&lt;=-31",'Data Additive'!$Q:$Q,"&gt;=-60")</f>
        <v>0</v>
      </c>
      <c r="R152" s="19">
        <f>SUMIFS('Data Additive'!$D:$D,'Data Additive'!$P:$P,'Painel Additive'!#REF!,'Data Additive'!$Q:$Q,"&lt;=-61",'Data Additive'!$Q:$Q,"&gt;=-90")</f>
        <v>0</v>
      </c>
      <c r="S152" s="19">
        <f>SUMIFS('Data Additive'!$D:$D,'Data Additive'!$P:$P,'Painel Additive'!#REF!,'Data Additive'!$Q:$Q,"&lt;=-91",'Data Additive'!$Q:$Q,"&gt;=-120")</f>
        <v>0</v>
      </c>
      <c r="T152" s="19">
        <f>SUMIFS('Data Additive'!$D:$D,'Data Additive'!$P:$P,'Painel Additive'!#REF!,'Data Additive'!$Q:$Q,"&lt;=-121",'Data Additive'!$Q:$Q,"&gt;=-180")</f>
        <v>0</v>
      </c>
      <c r="U152" s="19">
        <f>SUMIFS('Data Additive'!$D:$D,'Data Additive'!$P:$P,'Painel Additive'!#REF!,'Data Additive'!$Q:$Q,"&lt;=-181",'Data Additive'!$Q:$Q,"&gt;=-360")</f>
        <v>0</v>
      </c>
      <c r="V152" s="23">
        <f>SUMIFS('Data Additive'!$D:$D,'Data Additive'!$P:$P,'Painel Additive'!#REF!,'Data Additive'!$Q:$Q,"&lt;-360")</f>
        <v>0</v>
      </c>
      <c r="W152" s="19" t="e">
        <f>SUMIFS('Bad Debt Provision'!#REF!,'Bad Debt Provision'!#REF!,'Painel Additive'!#REF!)</f>
        <v>#REF!</v>
      </c>
      <c r="X152" s="5"/>
      <c r="Y152" s="20"/>
      <c r="Z152" s="20"/>
      <c r="AA152" s="21"/>
      <c r="AB152" s="5"/>
      <c r="AC152" s="19"/>
      <c r="AD152" s="20"/>
      <c r="AE152" s="22"/>
      <c r="AF152" s="22"/>
      <c r="AG152" s="5"/>
      <c r="AH152" s="28">
        <f t="shared" si="21"/>
        <v>0</v>
      </c>
    </row>
    <row r="153" spans="2:35" x14ac:dyDescent="0.25">
      <c r="B153" s="41" t="s">
        <v>325</v>
      </c>
      <c r="C153" s="94" t="str" cm="1">
        <f t="array" ref="C153">IFERROR(INDEX('Limite de crédito'!$D:$D, MATCH(MAX(IF('Limite de crédito'!$C:$C=$B153, 'Limite de crédito'!$A:$A)), 'Limite de crédito'!$A:$A, 0)),"")</f>
        <v/>
      </c>
      <c r="D153" s="18" cm="1">
        <f t="array" ref="D153">IFERROR(INDEX('Limite de crédito'!$F:$F, MATCH(MAX(IF('Limite de crédito'!$C:$C=$B153, 'Limite de crédito'!$A:$A)), 'Limite de crédito'!$A:$A, 0)),0)</f>
        <v>0</v>
      </c>
      <c r="E153" s="18">
        <f t="shared" si="18"/>
        <v>0</v>
      </c>
      <c r="F153" s="18">
        <f t="shared" si="19"/>
        <v>0</v>
      </c>
      <c r="G153" s="19">
        <f>SUMIFS('Data Additive'!$D:$D,'Data Additive'!$P:$P,'Painel Additive'!#REF!,'Data Additive'!$Q:$Q,"&gt;0",'Data Additive'!$Q:$Q,"&lt;=30")</f>
        <v>0</v>
      </c>
      <c r="H153" s="19">
        <f>SUMIFS('Data Additive'!$D:$D,'Data Additive'!$P:$P,'Painel Additive'!#REF!,'Data Additive'!$Q:$Q,"&gt;30",'Data Additive'!$Q:$Q,"&lt;=60")</f>
        <v>0</v>
      </c>
      <c r="I153" s="19">
        <f>SUMIFS('Data Additive'!$D:$D,'Data Additive'!$P:$P,'Painel Additive'!#REF!,'Data Additive'!$Q:$Q,"&gt;60",'Data Additive'!$Q:$Q,"&lt;=90")</f>
        <v>0</v>
      </c>
      <c r="J153" s="19">
        <f>SUMIFS('Data Additive'!$D:$D,'Data Additive'!$P:$P,'Painel Additive'!#REF!,'Data Additive'!$Q:$Q,"&gt;90",'Data Additive'!$Q:$Q,"&lt;=120")</f>
        <v>0</v>
      </c>
      <c r="K153" s="19">
        <f>SUMIFS('Data Additive'!$D:$D,'Data Additive'!$P:$P,'Painel Additive'!#REF!,'Data Additive'!$Q:$Q,"&gt;120",'Data Additive'!$Q:$Q,"&lt;=180")</f>
        <v>0</v>
      </c>
      <c r="L153" s="19">
        <f>SUMIFS('Data Additive'!$D:$D,'Data Additive'!$P:$P,'Painel Additive'!#REF!,'Data Additive'!$Q:$Q,"&gt;180",'Data Additive'!$Q:$Q,"&lt;=360")</f>
        <v>0</v>
      </c>
      <c r="M153" s="23">
        <f>SUMIFS('Data Additive'!$D:$D,'Data Additive'!$P:$P,'Painel Additive'!#REF!,'Data Additive'!$Q:$Q,"&gt;360")</f>
        <v>0</v>
      </c>
      <c r="N153" s="19">
        <f>SUMIFS('Data Additive'!$D:$D,'Data Additive'!$P:$P,'Painel Additive'!#REF!,'Data Additive'!$Q:$Q,"&gt;0")</f>
        <v>0</v>
      </c>
      <c r="O153" s="19">
        <f t="shared" si="20"/>
        <v>0</v>
      </c>
      <c r="P153" s="19">
        <f>SUMIFS('Data Additive'!$D:$D,'Data Additive'!$P:$P,'Painel Additive'!#REF!,'Data Additive'!$Q:$Q,"&lt;=0",'Data Additive'!$Q:$Q,"&gt;=-30")</f>
        <v>0</v>
      </c>
      <c r="Q153" s="19">
        <f>SUMIFS('Data Additive'!$D:$D,'Data Additive'!$P:$P,'Painel Additive'!#REF!,'Data Additive'!$Q:$Q,"&lt;=-31",'Data Additive'!$Q:$Q,"&gt;=-60")</f>
        <v>0</v>
      </c>
      <c r="R153" s="19">
        <f>SUMIFS('Data Additive'!$D:$D,'Data Additive'!$P:$P,'Painel Additive'!#REF!,'Data Additive'!$Q:$Q,"&lt;=-61",'Data Additive'!$Q:$Q,"&gt;=-90")</f>
        <v>0</v>
      </c>
      <c r="S153" s="19">
        <f>SUMIFS('Data Additive'!$D:$D,'Data Additive'!$P:$P,'Painel Additive'!#REF!,'Data Additive'!$Q:$Q,"&lt;=-91",'Data Additive'!$Q:$Q,"&gt;=-120")</f>
        <v>0</v>
      </c>
      <c r="T153" s="19">
        <f>SUMIFS('Data Additive'!$D:$D,'Data Additive'!$P:$P,'Painel Additive'!#REF!,'Data Additive'!$Q:$Q,"&lt;=-121",'Data Additive'!$Q:$Q,"&gt;=-180")</f>
        <v>0</v>
      </c>
      <c r="U153" s="19">
        <f>SUMIFS('Data Additive'!$D:$D,'Data Additive'!$P:$P,'Painel Additive'!#REF!,'Data Additive'!$Q:$Q,"&lt;=-181",'Data Additive'!$Q:$Q,"&gt;=-360")</f>
        <v>0</v>
      </c>
      <c r="V153" s="23">
        <f>SUMIFS('Data Additive'!$D:$D,'Data Additive'!$P:$P,'Painel Additive'!#REF!,'Data Additive'!$Q:$Q,"&lt;-360")</f>
        <v>0</v>
      </c>
      <c r="W153" s="19" t="e">
        <f>SUMIFS('Bad Debt Provision'!#REF!,'Bad Debt Provision'!#REF!,'Painel Additive'!#REF!)</f>
        <v>#REF!</v>
      </c>
      <c r="X153" s="5"/>
      <c r="Y153" s="20"/>
      <c r="Z153" s="20"/>
      <c r="AA153" s="21"/>
      <c r="AB153" s="5"/>
      <c r="AC153" s="19"/>
      <c r="AD153" s="20"/>
      <c r="AE153" s="22"/>
      <c r="AF153" s="22"/>
      <c r="AG153" s="5"/>
      <c r="AH153" s="28">
        <f t="shared" si="21"/>
        <v>0</v>
      </c>
    </row>
    <row r="154" spans="2:35" x14ac:dyDescent="0.25">
      <c r="B154" s="41" t="s">
        <v>324</v>
      </c>
      <c r="C154" s="94" t="str" cm="1">
        <f t="array" ref="C154">IFERROR(INDEX('Limite de crédito'!$D:$D, MATCH(MAX(IF('Limite de crédito'!$C:$C=$B154, 'Limite de crédito'!$A:$A)), 'Limite de crédito'!$A:$A, 0)),"")</f>
        <v/>
      </c>
      <c r="D154" s="18" cm="1">
        <f t="array" ref="D154">IFERROR(INDEX('Limite de crédito'!$F:$F, MATCH(MAX(IF('Limite de crédito'!$C:$C=$B154, 'Limite de crédito'!$A:$A)), 'Limite de crédito'!$A:$A, 0)),0)</f>
        <v>0</v>
      </c>
      <c r="E154" s="18">
        <f t="shared" si="18"/>
        <v>0</v>
      </c>
      <c r="F154" s="18">
        <f t="shared" si="19"/>
        <v>0</v>
      </c>
      <c r="G154" s="19">
        <f>SUMIFS('Data Additive'!$D:$D,'Data Additive'!$P:$P,'Painel Additive'!#REF!,'Data Additive'!$Q:$Q,"&gt;0",'Data Additive'!$Q:$Q,"&lt;=30")</f>
        <v>0</v>
      </c>
      <c r="H154" s="19">
        <f>SUMIFS('Data Additive'!$D:$D,'Data Additive'!$P:$P,'Painel Additive'!#REF!,'Data Additive'!$Q:$Q,"&gt;30",'Data Additive'!$Q:$Q,"&lt;=60")</f>
        <v>0</v>
      </c>
      <c r="I154" s="19">
        <f>SUMIFS('Data Additive'!$D:$D,'Data Additive'!$P:$P,'Painel Additive'!#REF!,'Data Additive'!$Q:$Q,"&gt;60",'Data Additive'!$Q:$Q,"&lt;=90")</f>
        <v>0</v>
      </c>
      <c r="J154" s="19">
        <f>SUMIFS('Data Additive'!$D:$D,'Data Additive'!$P:$P,'Painel Additive'!#REF!,'Data Additive'!$Q:$Q,"&gt;90",'Data Additive'!$Q:$Q,"&lt;=120")</f>
        <v>0</v>
      </c>
      <c r="K154" s="19">
        <f>SUMIFS('Data Additive'!$D:$D,'Data Additive'!$P:$P,'Painel Additive'!#REF!,'Data Additive'!$Q:$Q,"&gt;120",'Data Additive'!$Q:$Q,"&lt;=180")</f>
        <v>0</v>
      </c>
      <c r="L154" s="19">
        <f>SUMIFS('Data Additive'!$D:$D,'Data Additive'!$P:$P,'Painel Additive'!#REF!,'Data Additive'!$Q:$Q,"&gt;180",'Data Additive'!$Q:$Q,"&lt;=360")</f>
        <v>0</v>
      </c>
      <c r="M154" s="23">
        <f>SUMIFS('Data Additive'!$D:$D,'Data Additive'!$P:$P,'Painel Additive'!#REF!,'Data Additive'!$Q:$Q,"&gt;360")</f>
        <v>0</v>
      </c>
      <c r="N154" s="19">
        <f>SUMIFS('Data Additive'!$D:$D,'Data Additive'!$P:$P,'Painel Additive'!#REF!,'Data Additive'!$Q:$Q,"&gt;0")</f>
        <v>0</v>
      </c>
      <c r="O154" s="19">
        <f t="shared" si="20"/>
        <v>0</v>
      </c>
      <c r="P154" s="19">
        <f>SUMIFS('Data Additive'!$D:$D,'Data Additive'!$P:$P,'Painel Additive'!#REF!,'Data Additive'!$Q:$Q,"&lt;=0",'Data Additive'!$Q:$Q,"&gt;=-30")</f>
        <v>0</v>
      </c>
      <c r="Q154" s="19">
        <f>SUMIFS('Data Additive'!$D:$D,'Data Additive'!$P:$P,'Painel Additive'!#REF!,'Data Additive'!$Q:$Q,"&lt;=-31",'Data Additive'!$Q:$Q,"&gt;=-60")</f>
        <v>0</v>
      </c>
      <c r="R154" s="19">
        <f>SUMIFS('Data Additive'!$D:$D,'Data Additive'!$P:$P,'Painel Additive'!#REF!,'Data Additive'!$Q:$Q,"&lt;=-61",'Data Additive'!$Q:$Q,"&gt;=-90")</f>
        <v>0</v>
      </c>
      <c r="S154" s="19">
        <f>SUMIFS('Data Additive'!$D:$D,'Data Additive'!$P:$P,'Painel Additive'!#REF!,'Data Additive'!$Q:$Q,"&lt;=-91",'Data Additive'!$Q:$Q,"&gt;=-120")</f>
        <v>0</v>
      </c>
      <c r="T154" s="19">
        <f>SUMIFS('Data Additive'!$D:$D,'Data Additive'!$P:$P,'Painel Additive'!#REF!,'Data Additive'!$Q:$Q,"&lt;=-121",'Data Additive'!$Q:$Q,"&gt;=-180")</f>
        <v>0</v>
      </c>
      <c r="U154" s="19">
        <f>SUMIFS('Data Additive'!$D:$D,'Data Additive'!$P:$P,'Painel Additive'!#REF!,'Data Additive'!$Q:$Q,"&lt;=-181",'Data Additive'!$Q:$Q,"&gt;=-360")</f>
        <v>0</v>
      </c>
      <c r="V154" s="23">
        <f>SUMIFS('Data Additive'!$D:$D,'Data Additive'!$P:$P,'Painel Additive'!#REF!,'Data Additive'!$Q:$Q,"&lt;-360")</f>
        <v>0</v>
      </c>
      <c r="W154" s="19" t="e">
        <f>SUMIFS('Bad Debt Provision'!#REF!,'Bad Debt Provision'!#REF!,'Painel Additive'!#REF!)</f>
        <v>#REF!</v>
      </c>
      <c r="X154" s="5"/>
      <c r="Y154" s="20"/>
      <c r="Z154" s="20"/>
      <c r="AA154" s="21"/>
      <c r="AB154" s="5"/>
      <c r="AC154" s="19"/>
      <c r="AD154" s="20"/>
      <c r="AE154" s="22"/>
      <c r="AF154" s="22"/>
      <c r="AG154" s="5"/>
      <c r="AH154" s="28">
        <f t="shared" si="21"/>
        <v>0</v>
      </c>
    </row>
    <row r="155" spans="2:35" x14ac:dyDescent="0.25">
      <c r="B155" s="17" t="s">
        <v>136</v>
      </c>
      <c r="C155" s="93" t="str" cm="1">
        <f t="array" ref="C155">IFERROR(INDEX('Limite de crédito'!$D:$D, MATCH(MAX(IF('Limite de crédito'!$C:$C=$B155, 'Limite de crédito'!$A:$A)), 'Limite de crédito'!$A:$A, 0)),"")</f>
        <v/>
      </c>
      <c r="D155" s="18" cm="1">
        <f t="array" ref="D155">IFERROR(INDEX('Limite de crédito'!$F:$F, MATCH(MAX(IF('Limite de crédito'!$C:$C=$B155, 'Limite de crédito'!$A:$A)), 'Limite de crédito'!$A:$A, 0)),0)</f>
        <v>0</v>
      </c>
      <c r="E155" s="18">
        <f t="shared" si="18"/>
        <v>0</v>
      </c>
      <c r="F155" s="18">
        <f t="shared" si="19"/>
        <v>0</v>
      </c>
      <c r="G155" s="19">
        <f>SUMIFS('Data Additive'!$D:$D,'Data Additive'!$P:$P,'Painel Additive'!#REF!,'Data Additive'!$Q:$Q,"&gt;0",'Data Additive'!$Q:$Q,"&lt;=30")</f>
        <v>0</v>
      </c>
      <c r="H155" s="19">
        <f>SUMIFS('Data Additive'!$D:$D,'Data Additive'!$P:$P,'Painel Additive'!#REF!,'Data Additive'!$Q:$Q,"&gt;30",'Data Additive'!$Q:$Q,"&lt;=60")</f>
        <v>0</v>
      </c>
      <c r="I155" s="19">
        <f>SUMIFS('Data Additive'!$D:$D,'Data Additive'!$P:$P,'Painel Additive'!#REF!,'Data Additive'!$Q:$Q,"&gt;60",'Data Additive'!$Q:$Q,"&lt;=90")</f>
        <v>0</v>
      </c>
      <c r="J155" s="19">
        <f>SUMIFS('Data Additive'!$D:$D,'Data Additive'!$P:$P,'Painel Additive'!#REF!,'Data Additive'!$Q:$Q,"&gt;90",'Data Additive'!$Q:$Q,"&lt;=120")</f>
        <v>0</v>
      </c>
      <c r="K155" s="19">
        <f>SUMIFS('Data Additive'!$D:$D,'Data Additive'!$P:$P,'Painel Additive'!#REF!,'Data Additive'!$Q:$Q,"&gt;120",'Data Additive'!$Q:$Q,"&lt;=180")</f>
        <v>0</v>
      </c>
      <c r="L155" s="19">
        <f>SUMIFS('Data Additive'!$D:$D,'Data Additive'!$P:$P,'Painel Additive'!#REF!,'Data Additive'!$Q:$Q,"&gt;180",'Data Additive'!$Q:$Q,"&lt;=360")</f>
        <v>0</v>
      </c>
      <c r="M155" s="23">
        <f>SUMIFS('Data Additive'!$D:$D,'Data Additive'!$P:$P,'Painel Additive'!#REF!,'Data Additive'!$Q:$Q,"&gt;360")</f>
        <v>0</v>
      </c>
      <c r="N155" s="19">
        <f>SUMIFS('Data Additive'!$D:$D,'Data Additive'!$P:$P,'Painel Additive'!#REF!,'Data Additive'!$Q:$Q,"&gt;0")</f>
        <v>0</v>
      </c>
      <c r="O155" s="19">
        <f t="shared" si="20"/>
        <v>0</v>
      </c>
      <c r="P155" s="19">
        <f>SUMIFS('Data Additive'!$D:$D,'Data Additive'!$P:$P,'Painel Additive'!#REF!,'Data Additive'!$Q:$Q,"&lt;=0",'Data Additive'!$Q:$Q,"&gt;=-30")</f>
        <v>0</v>
      </c>
      <c r="Q155" s="19">
        <f>SUMIFS('Data Additive'!$D:$D,'Data Additive'!$P:$P,'Painel Additive'!#REF!,'Data Additive'!$Q:$Q,"&lt;=-31",'Data Additive'!$Q:$Q,"&gt;=-60")</f>
        <v>0</v>
      </c>
      <c r="R155" s="19">
        <f>SUMIFS('Data Additive'!$D:$D,'Data Additive'!$P:$P,'Painel Additive'!#REF!,'Data Additive'!$Q:$Q,"&lt;=-61",'Data Additive'!$Q:$Q,"&gt;=-90")</f>
        <v>0</v>
      </c>
      <c r="S155" s="19">
        <f>SUMIFS('Data Additive'!$D:$D,'Data Additive'!$P:$P,'Painel Additive'!#REF!,'Data Additive'!$Q:$Q,"&lt;=-91",'Data Additive'!$Q:$Q,"&gt;=-120")</f>
        <v>0</v>
      </c>
      <c r="T155" s="19">
        <f>SUMIFS('Data Additive'!$D:$D,'Data Additive'!$P:$P,'Painel Additive'!#REF!,'Data Additive'!$Q:$Q,"&lt;=-121",'Data Additive'!$Q:$Q,"&gt;=-180")</f>
        <v>0</v>
      </c>
      <c r="U155" s="19">
        <f>SUMIFS('Data Additive'!$D:$D,'Data Additive'!$P:$P,'Painel Additive'!#REF!,'Data Additive'!$Q:$Q,"&lt;=-181",'Data Additive'!$Q:$Q,"&gt;=-360")</f>
        <v>0</v>
      </c>
      <c r="V155" s="23">
        <f>SUMIFS('Data Additive'!$D:$D,'Data Additive'!$P:$P,'Painel Additive'!#REF!,'Data Additive'!$Q:$Q,"&lt;-360")</f>
        <v>0</v>
      </c>
      <c r="W155" s="19" t="e">
        <f>SUMIFS('Bad Debt Provision'!#REF!,'Bad Debt Provision'!#REF!,'Painel Additive'!#REF!)</f>
        <v>#REF!</v>
      </c>
      <c r="X155" s="5"/>
      <c r="Y155" s="20"/>
      <c r="Z155" s="20"/>
      <c r="AA155" s="21"/>
      <c r="AB155" s="5"/>
      <c r="AC155" s="19"/>
      <c r="AD155" s="20"/>
      <c r="AE155" s="22"/>
      <c r="AF155" s="22"/>
      <c r="AG155" s="5"/>
      <c r="AH155" s="28">
        <f t="shared" si="21"/>
        <v>0</v>
      </c>
      <c r="AI155" s="5"/>
    </row>
    <row r="156" spans="2:35" x14ac:dyDescent="0.25">
      <c r="B156" s="17" t="s">
        <v>264</v>
      </c>
      <c r="C156" s="93" t="str" cm="1">
        <f t="array" ref="C156">IFERROR(INDEX('Limite de crédito'!$D:$D, MATCH(MAX(IF('Limite de crédito'!$C:$C=$B156, 'Limite de crédito'!$A:$A)), 'Limite de crédito'!$A:$A, 0)),"")</f>
        <v/>
      </c>
      <c r="D156" s="18" cm="1">
        <f t="array" ref="D156">IFERROR(INDEX('Limite de crédito'!$F:$F, MATCH(MAX(IF('Limite de crédito'!$C:$C=$B156, 'Limite de crédito'!$A:$A)), 'Limite de crédito'!$A:$A, 0)),0)</f>
        <v>0</v>
      </c>
      <c r="E156" s="18">
        <f t="shared" si="18"/>
        <v>0</v>
      </c>
      <c r="F156" s="18">
        <f t="shared" si="19"/>
        <v>0</v>
      </c>
      <c r="G156" s="19">
        <f>SUMIFS('Data Additive'!$D:$D,'Data Additive'!$P:$P,'Painel Additive'!#REF!,'Data Additive'!$Q:$Q,"&gt;0",'Data Additive'!$Q:$Q,"&lt;=30")</f>
        <v>0</v>
      </c>
      <c r="H156" s="19">
        <f>SUMIFS('Data Additive'!$D:$D,'Data Additive'!$P:$P,'Painel Additive'!#REF!,'Data Additive'!$Q:$Q,"&gt;30",'Data Additive'!$Q:$Q,"&lt;=60")</f>
        <v>0</v>
      </c>
      <c r="I156" s="19">
        <f>SUMIFS('Data Additive'!$D:$D,'Data Additive'!$P:$P,'Painel Additive'!#REF!,'Data Additive'!$Q:$Q,"&gt;60",'Data Additive'!$Q:$Q,"&lt;=90")</f>
        <v>0</v>
      </c>
      <c r="J156" s="19">
        <f>SUMIFS('Data Additive'!$D:$D,'Data Additive'!$P:$P,'Painel Additive'!#REF!,'Data Additive'!$Q:$Q,"&gt;90",'Data Additive'!$Q:$Q,"&lt;=120")</f>
        <v>0</v>
      </c>
      <c r="K156" s="19">
        <f>SUMIFS('Data Additive'!$D:$D,'Data Additive'!$P:$P,'Painel Additive'!#REF!,'Data Additive'!$Q:$Q,"&gt;120",'Data Additive'!$Q:$Q,"&lt;=180")</f>
        <v>0</v>
      </c>
      <c r="L156" s="19">
        <f>SUMIFS('Data Additive'!$D:$D,'Data Additive'!$P:$P,'Painel Additive'!#REF!,'Data Additive'!$Q:$Q,"&gt;180",'Data Additive'!$Q:$Q,"&lt;=360")</f>
        <v>0</v>
      </c>
      <c r="M156" s="23">
        <f>SUMIFS('Data Additive'!$D:$D,'Data Additive'!$P:$P,'Painel Additive'!#REF!,'Data Additive'!$Q:$Q,"&gt;360")</f>
        <v>0</v>
      </c>
      <c r="N156" s="19">
        <f>SUMIFS('Data Additive'!$D:$D,'Data Additive'!$P:$P,'Painel Additive'!#REF!,'Data Additive'!$Q:$Q,"&gt;0")</f>
        <v>0</v>
      </c>
      <c r="O156" s="19">
        <f t="shared" si="20"/>
        <v>0</v>
      </c>
      <c r="P156" s="19">
        <f>SUMIFS('Data Additive'!$D:$D,'Data Additive'!$P:$P,'Painel Additive'!#REF!,'Data Additive'!$Q:$Q,"&lt;=0",'Data Additive'!$Q:$Q,"&gt;=-30")</f>
        <v>0</v>
      </c>
      <c r="Q156" s="19">
        <f>SUMIFS('Data Additive'!$D:$D,'Data Additive'!$P:$P,'Painel Additive'!#REF!,'Data Additive'!$Q:$Q,"&lt;=-31",'Data Additive'!$Q:$Q,"&gt;=-60")</f>
        <v>0</v>
      </c>
      <c r="R156" s="19">
        <f>SUMIFS('Data Additive'!$D:$D,'Data Additive'!$P:$P,'Painel Additive'!#REF!,'Data Additive'!$Q:$Q,"&lt;=-61",'Data Additive'!$Q:$Q,"&gt;=-90")</f>
        <v>0</v>
      </c>
      <c r="S156" s="19">
        <f>SUMIFS('Data Additive'!$D:$D,'Data Additive'!$P:$P,'Painel Additive'!#REF!,'Data Additive'!$Q:$Q,"&lt;=-91",'Data Additive'!$Q:$Q,"&gt;=-120")</f>
        <v>0</v>
      </c>
      <c r="T156" s="19">
        <f>SUMIFS('Data Additive'!$D:$D,'Data Additive'!$P:$P,'Painel Additive'!#REF!,'Data Additive'!$Q:$Q,"&lt;=-121",'Data Additive'!$Q:$Q,"&gt;=-180")</f>
        <v>0</v>
      </c>
      <c r="U156" s="19">
        <f>SUMIFS('Data Additive'!$D:$D,'Data Additive'!$P:$P,'Painel Additive'!#REF!,'Data Additive'!$Q:$Q,"&lt;=-181",'Data Additive'!$Q:$Q,"&gt;=-360")</f>
        <v>0</v>
      </c>
      <c r="V156" s="23">
        <f>SUMIFS('Data Additive'!$D:$D,'Data Additive'!$P:$P,'Painel Additive'!#REF!,'Data Additive'!$Q:$Q,"&lt;-360")</f>
        <v>0</v>
      </c>
      <c r="W156" s="19" t="e">
        <f>SUMIFS('Bad Debt Provision'!#REF!,'Bad Debt Provision'!#REF!,'Painel Additive'!#REF!)</f>
        <v>#REF!</v>
      </c>
      <c r="X156" s="5"/>
      <c r="Y156" s="20"/>
      <c r="Z156" s="20"/>
      <c r="AA156" s="21"/>
      <c r="AB156" s="5"/>
      <c r="AC156" s="19"/>
      <c r="AD156" s="20"/>
      <c r="AE156" s="22"/>
      <c r="AF156" s="22"/>
      <c r="AG156" s="5"/>
      <c r="AH156" s="28">
        <f t="shared" si="21"/>
        <v>0</v>
      </c>
    </row>
    <row r="157" spans="2:35" x14ac:dyDescent="0.25">
      <c r="B157" s="41" t="s">
        <v>358</v>
      </c>
      <c r="C157" s="94" cm="1">
        <f t="array" ref="C157">IFERROR(INDEX('Limite de crédito'!$D:$D, MATCH(MAX(IF('Limite de crédito'!$C:$C=$B157, 'Limite de crédito'!$A:$A)), 'Limite de crédito'!$A:$A, 0)),"")</f>
        <v>45943</v>
      </c>
      <c r="D157" s="18" t="str" cm="1">
        <f t="array" ref="D157">IFERROR(INDEX('Limite de crédito'!$F:$F, MATCH(MAX(IF('Limite de crédito'!$C:$C=$B157, 'Limite de crédito'!$A:$A)), 'Limite de crédito'!$A:$A, 0)),0)</f>
        <v>Sim</v>
      </c>
      <c r="E157" s="18" t="e">
        <f t="shared" si="18"/>
        <v>#VALUE!</v>
      </c>
      <c r="F157" s="18">
        <f t="shared" si="19"/>
        <v>0</v>
      </c>
      <c r="G157" s="19">
        <f>SUMIFS('Data Additive'!$D:$D,'Data Additive'!$P:$P,'Painel Additive'!#REF!,'Data Additive'!$Q:$Q,"&gt;0",'Data Additive'!$Q:$Q,"&lt;=30")</f>
        <v>0</v>
      </c>
      <c r="H157" s="19">
        <f>SUMIFS('Data Additive'!$D:$D,'Data Additive'!$P:$P,'Painel Additive'!#REF!,'Data Additive'!$Q:$Q,"&gt;30",'Data Additive'!$Q:$Q,"&lt;=60")</f>
        <v>0</v>
      </c>
      <c r="I157" s="19">
        <f>SUMIFS('Data Additive'!$D:$D,'Data Additive'!$P:$P,'Painel Additive'!#REF!,'Data Additive'!$Q:$Q,"&gt;60",'Data Additive'!$Q:$Q,"&lt;=90")</f>
        <v>0</v>
      </c>
      <c r="J157" s="19">
        <f>SUMIFS('Data Additive'!$D:$D,'Data Additive'!$P:$P,'Painel Additive'!#REF!,'Data Additive'!$Q:$Q,"&gt;90",'Data Additive'!$Q:$Q,"&lt;=120")</f>
        <v>0</v>
      </c>
      <c r="K157" s="19">
        <f>SUMIFS('Data Additive'!$D:$D,'Data Additive'!$P:$P,'Painel Additive'!#REF!,'Data Additive'!$Q:$Q,"&gt;120",'Data Additive'!$Q:$Q,"&lt;=180")</f>
        <v>0</v>
      </c>
      <c r="L157" s="19">
        <f>SUMIFS('Data Additive'!$D:$D,'Data Additive'!$P:$P,'Painel Additive'!#REF!,'Data Additive'!$Q:$Q,"&gt;180",'Data Additive'!$Q:$Q,"&lt;=360")</f>
        <v>0</v>
      </c>
      <c r="M157" s="23">
        <f>SUMIFS('Data Additive'!$D:$D,'Data Additive'!$P:$P,'Painel Additive'!#REF!,'Data Additive'!$Q:$Q,"&gt;360")</f>
        <v>0</v>
      </c>
      <c r="N157" s="19">
        <f>SUMIFS('Data Additive'!$D:$D,'Data Additive'!$P:$P,'Painel Additive'!#REF!,'Data Additive'!$Q:$Q,"&gt;0")</f>
        <v>0</v>
      </c>
      <c r="O157" s="19">
        <f t="shared" si="20"/>
        <v>0</v>
      </c>
      <c r="P157" s="19">
        <f>SUMIFS('Data Additive'!$D:$D,'Data Additive'!$P:$P,'Painel Additive'!#REF!,'Data Additive'!$Q:$Q,"&lt;=0",'Data Additive'!$Q:$Q,"&gt;=-30")</f>
        <v>0</v>
      </c>
      <c r="Q157" s="19">
        <f>SUMIFS('Data Additive'!$D:$D,'Data Additive'!$P:$P,'Painel Additive'!#REF!,'Data Additive'!$Q:$Q,"&lt;=-31",'Data Additive'!$Q:$Q,"&gt;=-60")</f>
        <v>0</v>
      </c>
      <c r="R157" s="19">
        <f>SUMIFS('Data Additive'!$D:$D,'Data Additive'!$P:$P,'Painel Additive'!#REF!,'Data Additive'!$Q:$Q,"&lt;=-61",'Data Additive'!$Q:$Q,"&gt;=-90")</f>
        <v>0</v>
      </c>
      <c r="S157" s="19">
        <f>SUMIFS('Data Additive'!$D:$D,'Data Additive'!$P:$P,'Painel Additive'!#REF!,'Data Additive'!$Q:$Q,"&lt;=-91",'Data Additive'!$Q:$Q,"&gt;=-120")</f>
        <v>0</v>
      </c>
      <c r="T157" s="19">
        <f>SUMIFS('Data Additive'!$D:$D,'Data Additive'!$P:$P,'Painel Additive'!#REF!,'Data Additive'!$Q:$Q,"&lt;=-121",'Data Additive'!$Q:$Q,"&gt;=-180")</f>
        <v>0</v>
      </c>
      <c r="U157" s="19">
        <f>SUMIFS('Data Additive'!$D:$D,'Data Additive'!$P:$P,'Painel Additive'!#REF!,'Data Additive'!$Q:$Q,"&lt;=-181",'Data Additive'!$Q:$Q,"&gt;=-360")</f>
        <v>0</v>
      </c>
      <c r="V157" s="23">
        <f>SUMIFS('Data Additive'!$D:$D,'Data Additive'!$P:$P,'Painel Additive'!#REF!,'Data Additive'!$Q:$Q,"&lt;-360")</f>
        <v>0</v>
      </c>
      <c r="W157" s="19" t="e">
        <f>SUMIFS('Bad Debt Provision'!#REF!,'Bad Debt Provision'!#REF!,'Painel Additive'!#REF!)</f>
        <v>#REF!</v>
      </c>
      <c r="X157" s="5"/>
      <c r="Y157" s="20"/>
      <c r="Z157" s="20"/>
      <c r="AA157" s="21"/>
      <c r="AB157" s="5"/>
      <c r="AC157" s="19"/>
      <c r="AD157" s="20"/>
      <c r="AE157" s="22"/>
      <c r="AF157" s="22"/>
      <c r="AG157" s="5"/>
      <c r="AH157" s="28">
        <f t="shared" si="21"/>
        <v>0</v>
      </c>
    </row>
    <row r="158" spans="2:35" x14ac:dyDescent="0.25">
      <c r="B158" s="41" t="s">
        <v>353</v>
      </c>
      <c r="C158" s="94" t="str" cm="1">
        <f t="array" ref="C158">IFERROR(INDEX('Limite de crédito'!$D:$D, MATCH(MAX(IF('Limite de crédito'!$C:$C=$B158, 'Limite de crédito'!$A:$A)), 'Limite de crédito'!$A:$A, 0)),"")</f>
        <v/>
      </c>
      <c r="D158" s="18" cm="1">
        <f t="array" ref="D158">IFERROR(INDEX('Limite de crédito'!$F:$F, MATCH(MAX(IF('Limite de crédito'!$C:$C=$B158, 'Limite de crédito'!$A:$A)), 'Limite de crédito'!$A:$A, 0)),0)</f>
        <v>0</v>
      </c>
      <c r="E158" s="18">
        <f t="shared" si="18"/>
        <v>0</v>
      </c>
      <c r="F158" s="18">
        <f t="shared" si="19"/>
        <v>0</v>
      </c>
      <c r="G158" s="19">
        <f>SUMIFS('Data Additive'!$D:$D,'Data Additive'!$P:$P,'Painel Additive'!#REF!,'Data Additive'!$Q:$Q,"&gt;0",'Data Additive'!$Q:$Q,"&lt;=30")</f>
        <v>0</v>
      </c>
      <c r="H158" s="19">
        <f>SUMIFS('Data Additive'!$D:$D,'Data Additive'!$P:$P,'Painel Additive'!#REF!,'Data Additive'!$Q:$Q,"&gt;30",'Data Additive'!$Q:$Q,"&lt;=60")</f>
        <v>0</v>
      </c>
      <c r="I158" s="19">
        <f>SUMIFS('Data Additive'!$D:$D,'Data Additive'!$P:$P,'Painel Additive'!#REF!,'Data Additive'!$Q:$Q,"&gt;60",'Data Additive'!$Q:$Q,"&lt;=90")</f>
        <v>0</v>
      </c>
      <c r="J158" s="19">
        <f>SUMIFS('Data Additive'!$D:$D,'Data Additive'!$P:$P,'Painel Additive'!#REF!,'Data Additive'!$Q:$Q,"&gt;90",'Data Additive'!$Q:$Q,"&lt;=120")</f>
        <v>0</v>
      </c>
      <c r="K158" s="19">
        <f>SUMIFS('Data Additive'!$D:$D,'Data Additive'!$P:$P,'Painel Additive'!#REF!,'Data Additive'!$Q:$Q,"&gt;120",'Data Additive'!$Q:$Q,"&lt;=180")</f>
        <v>0</v>
      </c>
      <c r="L158" s="19">
        <f>SUMIFS('Data Additive'!$D:$D,'Data Additive'!$P:$P,'Painel Additive'!#REF!,'Data Additive'!$Q:$Q,"&gt;180",'Data Additive'!$Q:$Q,"&lt;=360")</f>
        <v>0</v>
      </c>
      <c r="M158" s="23">
        <f>SUMIFS('Data Additive'!$D:$D,'Data Additive'!$P:$P,'Painel Additive'!#REF!,'Data Additive'!$Q:$Q,"&gt;360")</f>
        <v>0</v>
      </c>
      <c r="N158" s="19">
        <f>SUMIFS('Data Additive'!$D:$D,'Data Additive'!$P:$P,'Painel Additive'!#REF!,'Data Additive'!$Q:$Q,"&gt;0")</f>
        <v>0</v>
      </c>
      <c r="O158" s="19">
        <f t="shared" si="20"/>
        <v>0</v>
      </c>
      <c r="P158" s="19">
        <f>SUMIFS('Data Additive'!$D:$D,'Data Additive'!$P:$P,'Painel Additive'!#REF!,'Data Additive'!$Q:$Q,"&lt;=0",'Data Additive'!$Q:$Q,"&gt;=-30")</f>
        <v>0</v>
      </c>
      <c r="Q158" s="19">
        <f>SUMIFS('Data Additive'!$D:$D,'Data Additive'!$P:$P,'Painel Additive'!#REF!,'Data Additive'!$Q:$Q,"&lt;=-31",'Data Additive'!$Q:$Q,"&gt;=-60")</f>
        <v>0</v>
      </c>
      <c r="R158" s="19">
        <f>SUMIFS('Data Additive'!$D:$D,'Data Additive'!$P:$P,'Painel Additive'!#REF!,'Data Additive'!$Q:$Q,"&lt;=-61",'Data Additive'!$Q:$Q,"&gt;=-90")</f>
        <v>0</v>
      </c>
      <c r="S158" s="19">
        <f>SUMIFS('Data Additive'!$D:$D,'Data Additive'!$P:$P,'Painel Additive'!#REF!,'Data Additive'!$Q:$Q,"&lt;=-91",'Data Additive'!$Q:$Q,"&gt;=-120")</f>
        <v>0</v>
      </c>
      <c r="T158" s="19">
        <f>SUMIFS('Data Additive'!$D:$D,'Data Additive'!$P:$P,'Painel Additive'!#REF!,'Data Additive'!$Q:$Q,"&lt;=-121",'Data Additive'!$Q:$Q,"&gt;=-180")</f>
        <v>0</v>
      </c>
      <c r="U158" s="19">
        <f>SUMIFS('Data Additive'!$D:$D,'Data Additive'!$P:$P,'Painel Additive'!#REF!,'Data Additive'!$Q:$Q,"&lt;=-181",'Data Additive'!$Q:$Q,"&gt;=-360")</f>
        <v>0</v>
      </c>
      <c r="V158" s="23">
        <f>SUMIFS('Data Additive'!$D:$D,'Data Additive'!$P:$P,'Painel Additive'!#REF!,'Data Additive'!$Q:$Q,"&lt;-360")</f>
        <v>0</v>
      </c>
      <c r="W158" s="19" t="e">
        <f>SUMIFS('Bad Debt Provision'!#REF!,'Bad Debt Provision'!#REF!,'Painel Additive'!#REF!)</f>
        <v>#REF!</v>
      </c>
      <c r="X158" s="5"/>
      <c r="Y158" s="20"/>
      <c r="Z158" s="20"/>
      <c r="AA158" s="21"/>
      <c r="AB158" s="5"/>
      <c r="AC158" s="19"/>
      <c r="AD158" s="20"/>
      <c r="AE158" s="22"/>
      <c r="AF158" s="22"/>
      <c r="AG158" s="5"/>
      <c r="AH158" s="28">
        <f t="shared" si="21"/>
        <v>0</v>
      </c>
    </row>
    <row r="159" spans="2:35" x14ac:dyDescent="0.25">
      <c r="B159" s="41" t="s">
        <v>357</v>
      </c>
      <c r="C159" s="94" t="str" cm="1">
        <f t="array" ref="C159">IFERROR(INDEX('Limite de crédito'!$D:$D, MATCH(MAX(IF('Limite de crédito'!$C:$C=$B159, 'Limite de crédito'!$A:$A)), 'Limite de crédito'!$A:$A, 0)),"")</f>
        <v/>
      </c>
      <c r="D159" s="18" cm="1">
        <f t="array" ref="D159">IFERROR(INDEX('Limite de crédito'!$F:$F, MATCH(MAX(IF('Limite de crédito'!$C:$C=$B159, 'Limite de crédito'!$A:$A)), 'Limite de crédito'!$A:$A, 0)),0)</f>
        <v>0</v>
      </c>
      <c r="E159" s="18">
        <f t="shared" si="18"/>
        <v>0</v>
      </c>
      <c r="F159" s="18">
        <f t="shared" si="19"/>
        <v>0</v>
      </c>
      <c r="G159" s="19">
        <f>SUMIFS('Data Additive'!$D:$D,'Data Additive'!$P:$P,'Painel Additive'!#REF!,'Data Additive'!$Q:$Q,"&gt;0",'Data Additive'!$Q:$Q,"&lt;=30")</f>
        <v>0</v>
      </c>
      <c r="H159" s="19">
        <f>SUMIFS('Data Additive'!$D:$D,'Data Additive'!$P:$P,'Painel Additive'!#REF!,'Data Additive'!$Q:$Q,"&gt;30",'Data Additive'!$Q:$Q,"&lt;=60")</f>
        <v>0</v>
      </c>
      <c r="I159" s="19">
        <f>SUMIFS('Data Additive'!$D:$D,'Data Additive'!$P:$P,'Painel Additive'!#REF!,'Data Additive'!$Q:$Q,"&gt;60",'Data Additive'!$Q:$Q,"&lt;=90")</f>
        <v>0</v>
      </c>
      <c r="J159" s="19">
        <f>SUMIFS('Data Additive'!$D:$D,'Data Additive'!$P:$P,'Painel Additive'!#REF!,'Data Additive'!$Q:$Q,"&gt;90",'Data Additive'!$Q:$Q,"&lt;=120")</f>
        <v>0</v>
      </c>
      <c r="K159" s="19">
        <f>SUMIFS('Data Additive'!$D:$D,'Data Additive'!$P:$P,'Painel Additive'!#REF!,'Data Additive'!$Q:$Q,"&gt;120",'Data Additive'!$Q:$Q,"&lt;=180")</f>
        <v>0</v>
      </c>
      <c r="L159" s="19">
        <f>SUMIFS('Data Additive'!$D:$D,'Data Additive'!$P:$P,'Painel Additive'!#REF!,'Data Additive'!$Q:$Q,"&gt;180",'Data Additive'!$Q:$Q,"&lt;=360")</f>
        <v>0</v>
      </c>
      <c r="M159" s="23">
        <f>SUMIFS('Data Additive'!$D:$D,'Data Additive'!$P:$P,'Painel Additive'!#REF!,'Data Additive'!$Q:$Q,"&gt;360")</f>
        <v>0</v>
      </c>
      <c r="N159" s="19">
        <f>SUMIFS('Data Additive'!$D:$D,'Data Additive'!$P:$P,'Painel Additive'!#REF!,'Data Additive'!$Q:$Q,"&gt;0")</f>
        <v>0</v>
      </c>
      <c r="O159" s="19">
        <f t="shared" si="20"/>
        <v>0</v>
      </c>
      <c r="P159" s="19">
        <f>SUMIFS('Data Additive'!$D:$D,'Data Additive'!$P:$P,'Painel Additive'!#REF!,'Data Additive'!$Q:$Q,"&lt;=0",'Data Additive'!$Q:$Q,"&gt;=-30")</f>
        <v>0</v>
      </c>
      <c r="Q159" s="19">
        <f>SUMIFS('Data Additive'!$D:$D,'Data Additive'!$P:$P,'Painel Additive'!#REF!,'Data Additive'!$Q:$Q,"&lt;=-31",'Data Additive'!$Q:$Q,"&gt;=-60")</f>
        <v>0</v>
      </c>
      <c r="R159" s="19">
        <f>SUMIFS('Data Additive'!$D:$D,'Data Additive'!$P:$P,'Painel Additive'!#REF!,'Data Additive'!$Q:$Q,"&lt;=-61",'Data Additive'!$Q:$Q,"&gt;=-90")</f>
        <v>0</v>
      </c>
      <c r="S159" s="19">
        <f>SUMIFS('Data Additive'!$D:$D,'Data Additive'!$P:$P,'Painel Additive'!#REF!,'Data Additive'!$Q:$Q,"&lt;=-91",'Data Additive'!$Q:$Q,"&gt;=-120")</f>
        <v>0</v>
      </c>
      <c r="T159" s="19">
        <f>SUMIFS('Data Additive'!$D:$D,'Data Additive'!$P:$P,'Painel Additive'!#REF!,'Data Additive'!$Q:$Q,"&lt;=-121",'Data Additive'!$Q:$Q,"&gt;=-180")</f>
        <v>0</v>
      </c>
      <c r="U159" s="19">
        <f>SUMIFS('Data Additive'!$D:$D,'Data Additive'!$P:$P,'Painel Additive'!#REF!,'Data Additive'!$Q:$Q,"&lt;=-181",'Data Additive'!$Q:$Q,"&gt;=-360")</f>
        <v>0</v>
      </c>
      <c r="V159" s="23">
        <f>SUMIFS('Data Additive'!$D:$D,'Data Additive'!$P:$P,'Painel Additive'!#REF!,'Data Additive'!$Q:$Q,"&lt;-360")</f>
        <v>0</v>
      </c>
      <c r="W159" s="19" t="e">
        <f>SUMIFS('Bad Debt Provision'!#REF!,'Bad Debt Provision'!#REF!,'Painel Additive'!#REF!)</f>
        <v>#REF!</v>
      </c>
      <c r="X159" s="5"/>
      <c r="Y159" s="20"/>
      <c r="Z159" s="20"/>
      <c r="AA159" s="21"/>
      <c r="AB159" s="5"/>
      <c r="AC159" s="19"/>
      <c r="AD159" s="20"/>
      <c r="AE159" s="22"/>
      <c r="AF159" s="22"/>
      <c r="AG159" s="5"/>
      <c r="AH159" s="28">
        <f t="shared" si="21"/>
        <v>0</v>
      </c>
    </row>
    <row r="160" spans="2:35" x14ac:dyDescent="0.25">
      <c r="B160" s="41" t="s">
        <v>361</v>
      </c>
      <c r="C160" s="94" t="str" cm="1">
        <f t="array" ref="C160">IFERROR(INDEX('Limite de crédito'!$D:$D, MATCH(MAX(IF('Limite de crédito'!$C:$C=$B160, 'Limite de crédito'!$A:$A)), 'Limite de crédito'!$A:$A, 0)),"")</f>
        <v/>
      </c>
      <c r="D160" s="18" cm="1">
        <f t="array" ref="D160">IFERROR(INDEX('Limite de crédito'!$F:$F, MATCH(MAX(IF('Limite de crédito'!$C:$C=$B160, 'Limite de crédito'!$A:$A)), 'Limite de crédito'!$A:$A, 0)),0)</f>
        <v>0</v>
      </c>
      <c r="E160" s="18">
        <f t="shared" si="18"/>
        <v>0</v>
      </c>
      <c r="F160" s="18">
        <f t="shared" si="19"/>
        <v>0</v>
      </c>
      <c r="G160" s="19">
        <f>SUMIFS('Data Additive'!$D:$D,'Data Additive'!$P:$P,'Painel Additive'!#REF!,'Data Additive'!$Q:$Q,"&gt;0",'Data Additive'!$Q:$Q,"&lt;=30")</f>
        <v>0</v>
      </c>
      <c r="H160" s="19">
        <f>SUMIFS('Data Additive'!$D:$D,'Data Additive'!$P:$P,'Painel Additive'!#REF!,'Data Additive'!$Q:$Q,"&gt;30",'Data Additive'!$Q:$Q,"&lt;=60")</f>
        <v>0</v>
      </c>
      <c r="I160" s="19">
        <f>SUMIFS('Data Additive'!$D:$D,'Data Additive'!$P:$P,'Painel Additive'!#REF!,'Data Additive'!$Q:$Q,"&gt;60",'Data Additive'!$Q:$Q,"&lt;=90")</f>
        <v>0</v>
      </c>
      <c r="J160" s="19">
        <f>SUMIFS('Data Additive'!$D:$D,'Data Additive'!$P:$P,'Painel Additive'!#REF!,'Data Additive'!$Q:$Q,"&gt;90",'Data Additive'!$Q:$Q,"&lt;=120")</f>
        <v>0</v>
      </c>
      <c r="K160" s="19">
        <f>SUMIFS('Data Additive'!$D:$D,'Data Additive'!$P:$P,'Painel Additive'!#REF!,'Data Additive'!$Q:$Q,"&gt;120",'Data Additive'!$Q:$Q,"&lt;=180")</f>
        <v>0</v>
      </c>
      <c r="L160" s="19">
        <f>SUMIFS('Data Additive'!$D:$D,'Data Additive'!$P:$P,'Painel Additive'!#REF!,'Data Additive'!$Q:$Q,"&gt;180",'Data Additive'!$Q:$Q,"&lt;=360")</f>
        <v>0</v>
      </c>
      <c r="M160" s="23">
        <f>SUMIFS('Data Additive'!$D:$D,'Data Additive'!$P:$P,'Painel Additive'!#REF!,'Data Additive'!$Q:$Q,"&gt;360")</f>
        <v>0</v>
      </c>
      <c r="N160" s="19">
        <f>SUMIFS('Data Additive'!$D:$D,'Data Additive'!$P:$P,'Painel Additive'!#REF!,'Data Additive'!$Q:$Q,"&gt;0")</f>
        <v>0</v>
      </c>
      <c r="O160" s="19">
        <f t="shared" si="20"/>
        <v>0</v>
      </c>
      <c r="P160" s="19">
        <f>SUMIFS('Data Additive'!$D:$D,'Data Additive'!$P:$P,'Painel Additive'!#REF!,'Data Additive'!$Q:$Q,"&lt;=0",'Data Additive'!$Q:$Q,"&gt;=-30")</f>
        <v>0</v>
      </c>
      <c r="Q160" s="19">
        <f>SUMIFS('Data Additive'!$D:$D,'Data Additive'!$P:$P,'Painel Additive'!#REF!,'Data Additive'!$Q:$Q,"&lt;=-31",'Data Additive'!$Q:$Q,"&gt;=-60")</f>
        <v>0</v>
      </c>
      <c r="R160" s="19">
        <f>SUMIFS('Data Additive'!$D:$D,'Data Additive'!$P:$P,'Painel Additive'!#REF!,'Data Additive'!$Q:$Q,"&lt;=-61",'Data Additive'!$Q:$Q,"&gt;=-90")</f>
        <v>0</v>
      </c>
      <c r="S160" s="19">
        <f>SUMIFS('Data Additive'!$D:$D,'Data Additive'!$P:$P,'Painel Additive'!#REF!,'Data Additive'!$Q:$Q,"&lt;=-91",'Data Additive'!$Q:$Q,"&gt;=-120")</f>
        <v>0</v>
      </c>
      <c r="T160" s="19">
        <f>SUMIFS('Data Additive'!$D:$D,'Data Additive'!$P:$P,'Painel Additive'!#REF!,'Data Additive'!$Q:$Q,"&lt;=-121",'Data Additive'!$Q:$Q,"&gt;=-180")</f>
        <v>0</v>
      </c>
      <c r="U160" s="19">
        <f>SUMIFS('Data Additive'!$D:$D,'Data Additive'!$P:$P,'Painel Additive'!#REF!,'Data Additive'!$Q:$Q,"&lt;=-181",'Data Additive'!$Q:$Q,"&gt;=-360")</f>
        <v>0</v>
      </c>
      <c r="V160" s="23">
        <f>SUMIFS('Data Additive'!$D:$D,'Data Additive'!$P:$P,'Painel Additive'!#REF!,'Data Additive'!$Q:$Q,"&lt;-360")</f>
        <v>0</v>
      </c>
      <c r="W160" s="19" t="e">
        <f>SUMIFS('Bad Debt Provision'!#REF!,'Bad Debt Provision'!#REF!,'Painel Additive'!#REF!)</f>
        <v>#REF!</v>
      </c>
      <c r="X160" s="5"/>
      <c r="Y160" s="20"/>
      <c r="Z160" s="20"/>
      <c r="AA160" s="21"/>
      <c r="AB160" s="5"/>
      <c r="AC160" s="19"/>
      <c r="AD160" s="20"/>
      <c r="AE160" s="22"/>
      <c r="AF160" s="22"/>
      <c r="AG160" s="5"/>
      <c r="AH160" s="28">
        <f t="shared" si="21"/>
        <v>0</v>
      </c>
    </row>
    <row r="161" spans="2:34" x14ac:dyDescent="0.25">
      <c r="B161" s="41" t="s">
        <v>362</v>
      </c>
      <c r="C161" s="94" t="str" cm="1">
        <f t="array" ref="C161">IFERROR(INDEX('Limite de crédito'!$D:$D, MATCH(MAX(IF('Limite de crédito'!$C:$C=$B161, 'Limite de crédito'!$A:$A)), 'Limite de crédito'!$A:$A, 0)),"")</f>
        <v/>
      </c>
      <c r="D161" s="18" cm="1">
        <f t="array" ref="D161">IFERROR(INDEX('Limite de crédito'!$F:$F, MATCH(MAX(IF('Limite de crédito'!$C:$C=$B161, 'Limite de crédito'!$A:$A)), 'Limite de crédito'!$A:$A, 0)),0)</f>
        <v>0</v>
      </c>
      <c r="E161" s="18">
        <f t="shared" si="18"/>
        <v>0</v>
      </c>
      <c r="F161" s="18">
        <f t="shared" si="19"/>
        <v>0</v>
      </c>
      <c r="G161" s="19">
        <f>SUMIFS('Data Additive'!$D:$D,'Data Additive'!$P:$P,'Painel Additive'!#REF!,'Data Additive'!$Q:$Q,"&gt;0",'Data Additive'!$Q:$Q,"&lt;=30")</f>
        <v>0</v>
      </c>
      <c r="H161" s="19">
        <f>SUMIFS('Data Additive'!$D:$D,'Data Additive'!$P:$P,'Painel Additive'!#REF!,'Data Additive'!$Q:$Q,"&gt;30",'Data Additive'!$Q:$Q,"&lt;=60")</f>
        <v>0</v>
      </c>
      <c r="I161" s="19">
        <f>SUMIFS('Data Additive'!$D:$D,'Data Additive'!$P:$P,'Painel Additive'!#REF!,'Data Additive'!$Q:$Q,"&gt;60",'Data Additive'!$Q:$Q,"&lt;=90")</f>
        <v>0</v>
      </c>
      <c r="J161" s="19">
        <f>SUMIFS('Data Additive'!$D:$D,'Data Additive'!$P:$P,'Painel Additive'!#REF!,'Data Additive'!$Q:$Q,"&gt;90",'Data Additive'!$Q:$Q,"&lt;=120")</f>
        <v>0</v>
      </c>
      <c r="K161" s="19">
        <f>SUMIFS('Data Additive'!$D:$D,'Data Additive'!$P:$P,'Painel Additive'!#REF!,'Data Additive'!$Q:$Q,"&gt;120",'Data Additive'!$Q:$Q,"&lt;=180")</f>
        <v>0</v>
      </c>
      <c r="L161" s="19">
        <f>SUMIFS('Data Additive'!$D:$D,'Data Additive'!$P:$P,'Painel Additive'!#REF!,'Data Additive'!$Q:$Q,"&gt;180",'Data Additive'!$Q:$Q,"&lt;=360")</f>
        <v>0</v>
      </c>
      <c r="M161" s="23">
        <f>SUMIFS('Data Additive'!$D:$D,'Data Additive'!$P:$P,'Painel Additive'!#REF!,'Data Additive'!$Q:$Q,"&gt;360")</f>
        <v>0</v>
      </c>
      <c r="N161" s="19">
        <f>SUMIFS('Data Additive'!$D:$D,'Data Additive'!$P:$P,'Painel Additive'!#REF!,'Data Additive'!$Q:$Q,"&gt;0")</f>
        <v>0</v>
      </c>
      <c r="O161" s="19">
        <f t="shared" si="20"/>
        <v>0</v>
      </c>
      <c r="P161" s="19">
        <f>SUMIFS('Data Additive'!$D:$D,'Data Additive'!$P:$P,'Painel Additive'!#REF!,'Data Additive'!$Q:$Q,"&lt;=0",'Data Additive'!$Q:$Q,"&gt;=-30")</f>
        <v>0</v>
      </c>
      <c r="Q161" s="19">
        <f>SUMIFS('Data Additive'!$D:$D,'Data Additive'!$P:$P,'Painel Additive'!#REF!,'Data Additive'!$Q:$Q,"&lt;=-31",'Data Additive'!$Q:$Q,"&gt;=-60")</f>
        <v>0</v>
      </c>
      <c r="R161" s="19">
        <f>SUMIFS('Data Additive'!$D:$D,'Data Additive'!$P:$P,'Painel Additive'!#REF!,'Data Additive'!$Q:$Q,"&lt;=-61",'Data Additive'!$Q:$Q,"&gt;=-90")</f>
        <v>0</v>
      </c>
      <c r="S161" s="19">
        <f>SUMIFS('Data Additive'!$D:$D,'Data Additive'!$P:$P,'Painel Additive'!#REF!,'Data Additive'!$Q:$Q,"&lt;=-91",'Data Additive'!$Q:$Q,"&gt;=-120")</f>
        <v>0</v>
      </c>
      <c r="T161" s="19">
        <f>SUMIFS('Data Additive'!$D:$D,'Data Additive'!$P:$P,'Painel Additive'!#REF!,'Data Additive'!$Q:$Q,"&lt;=-121",'Data Additive'!$Q:$Q,"&gt;=-180")</f>
        <v>0</v>
      </c>
      <c r="U161" s="19">
        <f>SUMIFS('Data Additive'!$D:$D,'Data Additive'!$P:$P,'Painel Additive'!#REF!,'Data Additive'!$Q:$Q,"&lt;=-181",'Data Additive'!$Q:$Q,"&gt;=-360")</f>
        <v>0</v>
      </c>
      <c r="V161" s="23">
        <f>SUMIFS('Data Additive'!$D:$D,'Data Additive'!$P:$P,'Painel Additive'!#REF!,'Data Additive'!$Q:$Q,"&lt;-360")</f>
        <v>0</v>
      </c>
      <c r="W161" s="19" t="e">
        <f>SUMIFS('Bad Debt Provision'!#REF!,'Bad Debt Provision'!#REF!,'Painel Additive'!#REF!)</f>
        <v>#REF!</v>
      </c>
      <c r="X161" s="5"/>
      <c r="Y161" s="20"/>
      <c r="Z161" s="20"/>
      <c r="AA161" s="21"/>
      <c r="AB161" s="5"/>
      <c r="AC161" s="19"/>
      <c r="AD161" s="20"/>
      <c r="AE161" s="22"/>
      <c r="AF161" s="22"/>
      <c r="AG161" s="5"/>
      <c r="AH161" s="28">
        <f t="shared" si="21"/>
        <v>0</v>
      </c>
    </row>
    <row r="162" spans="2:34" x14ac:dyDescent="0.25">
      <c r="B162" s="41" t="s">
        <v>363</v>
      </c>
      <c r="C162" s="94" t="str" cm="1">
        <f t="array" ref="C162">IFERROR(INDEX('Limite de crédito'!$D:$D, MATCH(MAX(IF('Limite de crédito'!$C:$C=$B162, 'Limite de crédito'!$A:$A)), 'Limite de crédito'!$A:$A, 0)),"")</f>
        <v/>
      </c>
      <c r="D162" s="18" cm="1">
        <f t="array" ref="D162">IFERROR(INDEX('Limite de crédito'!$F:$F, MATCH(MAX(IF('Limite de crédito'!$C:$C=$B162, 'Limite de crédito'!$A:$A)), 'Limite de crédito'!$A:$A, 0)),0)</f>
        <v>0</v>
      </c>
      <c r="E162" s="18">
        <f t="shared" si="18"/>
        <v>0</v>
      </c>
      <c r="F162" s="18">
        <f t="shared" si="19"/>
        <v>0</v>
      </c>
      <c r="G162" s="19">
        <f>SUMIFS('Data Additive'!$D:$D,'Data Additive'!$P:$P,'Painel Additive'!#REF!,'Data Additive'!$Q:$Q,"&gt;0",'Data Additive'!$Q:$Q,"&lt;=30")</f>
        <v>0</v>
      </c>
      <c r="H162" s="19">
        <f>SUMIFS('Data Additive'!$D:$D,'Data Additive'!$P:$P,'Painel Additive'!#REF!,'Data Additive'!$Q:$Q,"&gt;30",'Data Additive'!$Q:$Q,"&lt;=60")</f>
        <v>0</v>
      </c>
      <c r="I162" s="19">
        <f>SUMIFS('Data Additive'!$D:$D,'Data Additive'!$P:$P,'Painel Additive'!#REF!,'Data Additive'!$Q:$Q,"&gt;60",'Data Additive'!$Q:$Q,"&lt;=90")</f>
        <v>0</v>
      </c>
      <c r="J162" s="19">
        <f>SUMIFS('Data Additive'!$D:$D,'Data Additive'!$P:$P,'Painel Additive'!#REF!,'Data Additive'!$Q:$Q,"&gt;90",'Data Additive'!$Q:$Q,"&lt;=120")</f>
        <v>0</v>
      </c>
      <c r="K162" s="19">
        <f>SUMIFS('Data Additive'!$D:$D,'Data Additive'!$P:$P,'Painel Additive'!#REF!,'Data Additive'!$Q:$Q,"&gt;120",'Data Additive'!$Q:$Q,"&lt;=180")</f>
        <v>0</v>
      </c>
      <c r="L162" s="19">
        <f>SUMIFS('Data Additive'!$D:$D,'Data Additive'!$P:$P,'Painel Additive'!#REF!,'Data Additive'!$Q:$Q,"&gt;180",'Data Additive'!$Q:$Q,"&lt;=360")</f>
        <v>0</v>
      </c>
      <c r="M162" s="23">
        <f>SUMIFS('Data Additive'!$D:$D,'Data Additive'!$P:$P,'Painel Additive'!#REF!,'Data Additive'!$Q:$Q,"&gt;360")</f>
        <v>0</v>
      </c>
      <c r="N162" s="19">
        <f>SUMIFS('Data Additive'!$D:$D,'Data Additive'!$P:$P,'Painel Additive'!#REF!,'Data Additive'!$Q:$Q,"&gt;0")</f>
        <v>0</v>
      </c>
      <c r="O162" s="19">
        <f t="shared" si="20"/>
        <v>0</v>
      </c>
      <c r="P162" s="19">
        <f>SUMIFS('Data Additive'!$D:$D,'Data Additive'!$P:$P,'Painel Additive'!#REF!,'Data Additive'!$Q:$Q,"&lt;=0",'Data Additive'!$Q:$Q,"&gt;=-30")</f>
        <v>0</v>
      </c>
      <c r="Q162" s="19">
        <f>SUMIFS('Data Additive'!$D:$D,'Data Additive'!$P:$P,'Painel Additive'!#REF!,'Data Additive'!$Q:$Q,"&lt;=-31",'Data Additive'!$Q:$Q,"&gt;=-60")</f>
        <v>0</v>
      </c>
      <c r="R162" s="19">
        <f>SUMIFS('Data Additive'!$D:$D,'Data Additive'!$P:$P,'Painel Additive'!#REF!,'Data Additive'!$Q:$Q,"&lt;=-61",'Data Additive'!$Q:$Q,"&gt;=-90")</f>
        <v>0</v>
      </c>
      <c r="S162" s="19">
        <f>SUMIFS('Data Additive'!$D:$D,'Data Additive'!$P:$P,'Painel Additive'!#REF!,'Data Additive'!$Q:$Q,"&lt;=-91",'Data Additive'!$Q:$Q,"&gt;=-120")</f>
        <v>0</v>
      </c>
      <c r="T162" s="19">
        <f>SUMIFS('Data Additive'!$D:$D,'Data Additive'!$P:$P,'Painel Additive'!#REF!,'Data Additive'!$Q:$Q,"&lt;=-121",'Data Additive'!$Q:$Q,"&gt;=-180")</f>
        <v>0</v>
      </c>
      <c r="U162" s="19">
        <f>SUMIFS('Data Additive'!$D:$D,'Data Additive'!$P:$P,'Painel Additive'!#REF!,'Data Additive'!$Q:$Q,"&lt;=-181",'Data Additive'!$Q:$Q,"&gt;=-360")</f>
        <v>0</v>
      </c>
      <c r="V162" s="23">
        <f>SUMIFS('Data Additive'!$D:$D,'Data Additive'!$P:$P,'Painel Additive'!#REF!,'Data Additive'!$Q:$Q,"&lt;-360")</f>
        <v>0</v>
      </c>
      <c r="W162" s="19" t="e">
        <f>SUMIFS('Bad Debt Provision'!#REF!,'Bad Debt Provision'!#REF!,'Painel Additive'!#REF!)</f>
        <v>#REF!</v>
      </c>
      <c r="X162" s="5"/>
      <c r="Y162" s="20"/>
      <c r="Z162" s="20"/>
      <c r="AA162" s="21"/>
      <c r="AB162" s="5"/>
      <c r="AC162" s="19"/>
      <c r="AD162" s="20"/>
      <c r="AE162" s="22"/>
      <c r="AF162" s="22"/>
      <c r="AG162" s="5"/>
      <c r="AH162" s="28">
        <f t="shared" si="21"/>
        <v>0</v>
      </c>
    </row>
    <row r="163" spans="2:34" x14ac:dyDescent="0.25">
      <c r="B163" s="41" t="s">
        <v>365</v>
      </c>
      <c r="C163" s="94" t="str" cm="1">
        <f t="array" ref="C163">IFERROR(INDEX('Limite de crédito'!$D:$D, MATCH(MAX(IF('Limite de crédito'!$C:$C=$B163, 'Limite de crédito'!$A:$A)), 'Limite de crédito'!$A:$A, 0)),"")</f>
        <v/>
      </c>
      <c r="D163" s="18" cm="1">
        <f t="array" ref="D163">IFERROR(INDEX('Limite de crédito'!$F:$F, MATCH(MAX(IF('Limite de crédito'!$C:$C=$B163, 'Limite de crédito'!$A:$A)), 'Limite de crédito'!$A:$A, 0)),0)</f>
        <v>0</v>
      </c>
      <c r="E163" s="18">
        <f t="shared" si="18"/>
        <v>0</v>
      </c>
      <c r="F163" s="18">
        <f t="shared" si="19"/>
        <v>0</v>
      </c>
      <c r="G163" s="19">
        <f>SUMIFS('Data Additive'!$D:$D,'Data Additive'!$P:$P,'Painel Additive'!#REF!,'Data Additive'!$Q:$Q,"&gt;0",'Data Additive'!$Q:$Q,"&lt;=30")</f>
        <v>0</v>
      </c>
      <c r="H163" s="19">
        <f>SUMIFS('Data Additive'!$D:$D,'Data Additive'!$P:$P,'Painel Additive'!#REF!,'Data Additive'!$Q:$Q,"&gt;30",'Data Additive'!$Q:$Q,"&lt;=60")</f>
        <v>0</v>
      </c>
      <c r="I163" s="19">
        <f>SUMIFS('Data Additive'!$D:$D,'Data Additive'!$P:$P,'Painel Additive'!#REF!,'Data Additive'!$Q:$Q,"&gt;60",'Data Additive'!$Q:$Q,"&lt;=90")</f>
        <v>0</v>
      </c>
      <c r="J163" s="19">
        <f>SUMIFS('Data Additive'!$D:$D,'Data Additive'!$P:$P,'Painel Additive'!#REF!,'Data Additive'!$Q:$Q,"&gt;90",'Data Additive'!$Q:$Q,"&lt;=120")</f>
        <v>0</v>
      </c>
      <c r="K163" s="19">
        <f>SUMIFS('Data Additive'!$D:$D,'Data Additive'!$P:$P,'Painel Additive'!#REF!,'Data Additive'!$Q:$Q,"&gt;120",'Data Additive'!$Q:$Q,"&lt;=180")</f>
        <v>0</v>
      </c>
      <c r="L163" s="19">
        <f>SUMIFS('Data Additive'!$D:$D,'Data Additive'!$P:$P,'Painel Additive'!#REF!,'Data Additive'!$Q:$Q,"&gt;180",'Data Additive'!$Q:$Q,"&lt;=360")</f>
        <v>0</v>
      </c>
      <c r="M163" s="23">
        <f>SUMIFS('Data Additive'!$D:$D,'Data Additive'!$P:$P,'Painel Additive'!#REF!,'Data Additive'!$Q:$Q,"&gt;360")</f>
        <v>0</v>
      </c>
      <c r="N163" s="19">
        <f>SUMIFS('Data Additive'!$D:$D,'Data Additive'!$P:$P,'Painel Additive'!#REF!,'Data Additive'!$Q:$Q,"&gt;0")</f>
        <v>0</v>
      </c>
      <c r="O163" s="19">
        <f t="shared" si="20"/>
        <v>0</v>
      </c>
      <c r="P163" s="19">
        <f>SUMIFS('Data Additive'!$D:$D,'Data Additive'!$P:$P,'Painel Additive'!#REF!,'Data Additive'!$Q:$Q,"&lt;=0",'Data Additive'!$Q:$Q,"&gt;=-30")</f>
        <v>0</v>
      </c>
      <c r="Q163" s="19">
        <f>SUMIFS('Data Additive'!$D:$D,'Data Additive'!$P:$P,'Painel Additive'!#REF!,'Data Additive'!$Q:$Q,"&lt;=-31",'Data Additive'!$Q:$Q,"&gt;=-60")</f>
        <v>0</v>
      </c>
      <c r="R163" s="19">
        <f>SUMIFS('Data Additive'!$D:$D,'Data Additive'!$P:$P,'Painel Additive'!#REF!,'Data Additive'!$Q:$Q,"&lt;=-61",'Data Additive'!$Q:$Q,"&gt;=-90")</f>
        <v>0</v>
      </c>
      <c r="S163" s="19">
        <f>SUMIFS('Data Additive'!$D:$D,'Data Additive'!$P:$P,'Painel Additive'!#REF!,'Data Additive'!$Q:$Q,"&lt;=-91",'Data Additive'!$Q:$Q,"&gt;=-120")</f>
        <v>0</v>
      </c>
      <c r="T163" s="19">
        <f>SUMIFS('Data Additive'!$D:$D,'Data Additive'!$P:$P,'Painel Additive'!#REF!,'Data Additive'!$Q:$Q,"&lt;=-121",'Data Additive'!$Q:$Q,"&gt;=-180")</f>
        <v>0</v>
      </c>
      <c r="U163" s="19">
        <f>SUMIFS('Data Additive'!$D:$D,'Data Additive'!$P:$P,'Painel Additive'!#REF!,'Data Additive'!$Q:$Q,"&lt;=-181",'Data Additive'!$Q:$Q,"&gt;=-360")</f>
        <v>0</v>
      </c>
      <c r="V163" s="23">
        <f>SUMIFS('Data Additive'!$D:$D,'Data Additive'!$P:$P,'Painel Additive'!#REF!,'Data Additive'!$Q:$Q,"&lt;-360")</f>
        <v>0</v>
      </c>
      <c r="W163" s="19" t="e">
        <f>SUMIFS('Bad Debt Provision'!#REF!,'Bad Debt Provision'!#REF!,'Painel Additive'!#REF!)</f>
        <v>#REF!</v>
      </c>
      <c r="X163" s="5"/>
      <c r="Y163" s="20"/>
      <c r="Z163" s="20"/>
      <c r="AA163" s="21"/>
      <c r="AB163" s="5"/>
      <c r="AC163" s="19"/>
      <c r="AD163" s="20"/>
      <c r="AE163" s="22"/>
      <c r="AF163" s="22"/>
      <c r="AG163" s="5"/>
      <c r="AH163" s="28">
        <f t="shared" si="21"/>
        <v>0</v>
      </c>
    </row>
    <row r="164" spans="2:34" x14ac:dyDescent="0.25">
      <c r="B164" s="41" t="s">
        <v>367</v>
      </c>
      <c r="C164" s="94" t="str" cm="1">
        <f t="array" ref="C164">IFERROR(INDEX('Limite de crédito'!$D:$D, MATCH(MAX(IF('Limite de crédito'!$C:$C=$B164, 'Limite de crédito'!$A:$A)), 'Limite de crédito'!$A:$A, 0)),"")</f>
        <v/>
      </c>
      <c r="D164" s="18" cm="1">
        <f t="array" ref="D164">IFERROR(INDEX('Limite de crédito'!$F:$F, MATCH(MAX(IF('Limite de crédito'!$C:$C=$B164, 'Limite de crédito'!$A:$A)), 'Limite de crédito'!$A:$A, 0)),0)</f>
        <v>0</v>
      </c>
      <c r="E164" s="18">
        <f t="shared" ref="E164:E169" si="22">D164-F164</f>
        <v>0</v>
      </c>
      <c r="F164" s="18">
        <f t="shared" ref="F164:F169" si="23">O164+N164</f>
        <v>0</v>
      </c>
      <c r="G164" s="19">
        <f>SUMIFS('Data Additive'!$D:$D,'Data Additive'!$P:$P,'Painel Additive'!#REF!,'Data Additive'!$Q:$Q,"&gt;0",'Data Additive'!$Q:$Q,"&lt;=30")</f>
        <v>0</v>
      </c>
      <c r="H164" s="19">
        <f>SUMIFS('Data Additive'!$D:$D,'Data Additive'!$P:$P,'Painel Additive'!#REF!,'Data Additive'!$Q:$Q,"&gt;30",'Data Additive'!$Q:$Q,"&lt;=60")</f>
        <v>0</v>
      </c>
      <c r="I164" s="19">
        <f>SUMIFS('Data Additive'!$D:$D,'Data Additive'!$P:$P,'Painel Additive'!#REF!,'Data Additive'!$Q:$Q,"&gt;60",'Data Additive'!$Q:$Q,"&lt;=90")</f>
        <v>0</v>
      </c>
      <c r="J164" s="19">
        <f>SUMIFS('Data Additive'!$D:$D,'Data Additive'!$P:$P,'Painel Additive'!#REF!,'Data Additive'!$Q:$Q,"&gt;90",'Data Additive'!$Q:$Q,"&lt;=120")</f>
        <v>0</v>
      </c>
      <c r="K164" s="19">
        <f>SUMIFS('Data Additive'!$D:$D,'Data Additive'!$P:$P,'Painel Additive'!#REF!,'Data Additive'!$Q:$Q,"&gt;120",'Data Additive'!$Q:$Q,"&lt;=180")</f>
        <v>0</v>
      </c>
      <c r="L164" s="19">
        <f>SUMIFS('Data Additive'!$D:$D,'Data Additive'!$P:$P,'Painel Additive'!#REF!,'Data Additive'!$Q:$Q,"&gt;180",'Data Additive'!$Q:$Q,"&lt;=360")</f>
        <v>0</v>
      </c>
      <c r="M164" s="23">
        <f>SUMIFS('Data Additive'!$D:$D,'Data Additive'!$P:$P,'Painel Additive'!#REF!,'Data Additive'!$Q:$Q,"&gt;360")</f>
        <v>0</v>
      </c>
      <c r="N164" s="19">
        <f>SUMIFS('Data Additive'!$D:$D,'Data Additive'!$P:$P,'Painel Additive'!#REF!,'Data Additive'!$Q:$Q,"&gt;0")</f>
        <v>0</v>
      </c>
      <c r="O164" s="19">
        <f t="shared" ref="O164:O169" si="24">SUBTOTAL(9,P164:V164)</f>
        <v>0</v>
      </c>
      <c r="P164" s="19">
        <f>SUMIFS('Data Additive'!$D:$D,'Data Additive'!$P:$P,'Painel Additive'!#REF!,'Data Additive'!$Q:$Q,"&lt;=0",'Data Additive'!$Q:$Q,"&gt;=-30")</f>
        <v>0</v>
      </c>
      <c r="Q164" s="19">
        <f>SUMIFS('Data Additive'!$D:$D,'Data Additive'!$P:$P,'Painel Additive'!#REF!,'Data Additive'!$Q:$Q,"&lt;=-31",'Data Additive'!$Q:$Q,"&gt;=-60")</f>
        <v>0</v>
      </c>
      <c r="R164" s="19">
        <f>SUMIFS('Data Additive'!$D:$D,'Data Additive'!$P:$P,'Painel Additive'!#REF!,'Data Additive'!$Q:$Q,"&lt;=-61",'Data Additive'!$Q:$Q,"&gt;=-90")</f>
        <v>0</v>
      </c>
      <c r="S164" s="19">
        <f>SUMIFS('Data Additive'!$D:$D,'Data Additive'!$P:$P,'Painel Additive'!#REF!,'Data Additive'!$Q:$Q,"&lt;=-91",'Data Additive'!$Q:$Q,"&gt;=-120")</f>
        <v>0</v>
      </c>
      <c r="T164" s="19">
        <f>SUMIFS('Data Additive'!$D:$D,'Data Additive'!$P:$P,'Painel Additive'!#REF!,'Data Additive'!$Q:$Q,"&lt;=-121",'Data Additive'!$Q:$Q,"&gt;=-180")</f>
        <v>0</v>
      </c>
      <c r="U164" s="19">
        <f>SUMIFS('Data Additive'!$D:$D,'Data Additive'!$P:$P,'Painel Additive'!#REF!,'Data Additive'!$Q:$Q,"&lt;=-181",'Data Additive'!$Q:$Q,"&gt;=-360")</f>
        <v>0</v>
      </c>
      <c r="V164" s="23">
        <f>SUMIFS('Data Additive'!$D:$D,'Data Additive'!$P:$P,'Painel Additive'!#REF!,'Data Additive'!$Q:$Q,"&lt;-360")</f>
        <v>0</v>
      </c>
      <c r="W164" s="19" t="e">
        <f>SUMIFS('Bad Debt Provision'!#REF!,'Bad Debt Provision'!#REF!,'Painel Additive'!#REF!)</f>
        <v>#REF!</v>
      </c>
      <c r="X164" s="5"/>
      <c r="Y164" s="20"/>
      <c r="Z164" s="20"/>
      <c r="AA164" s="21"/>
      <c r="AB164" s="5"/>
      <c r="AC164" s="19"/>
      <c r="AD164" s="20"/>
      <c r="AE164" s="22"/>
      <c r="AF164" s="22"/>
      <c r="AG164" s="5"/>
      <c r="AH164" s="28">
        <f t="shared" ref="AH164:AH169" si="25">AC164-F164</f>
        <v>0</v>
      </c>
    </row>
    <row r="165" spans="2:34" x14ac:dyDescent="0.25">
      <c r="B165" s="41" t="s">
        <v>371</v>
      </c>
      <c r="C165" s="94" t="str" cm="1">
        <f t="array" ref="C165">IFERROR(INDEX('Limite de crédito'!$D:$D, MATCH(MAX(IF('Limite de crédito'!$C:$C=$B165, 'Limite de crédito'!$A:$A)), 'Limite de crédito'!$A:$A, 0)),"")</f>
        <v/>
      </c>
      <c r="D165" s="18" cm="1">
        <f t="array" ref="D165">IFERROR(INDEX('Limite de crédito'!$F:$F, MATCH(MAX(IF('Limite de crédito'!$C:$C=$B165, 'Limite de crédito'!$A:$A)), 'Limite de crédito'!$A:$A, 0)),0)</f>
        <v>0</v>
      </c>
      <c r="E165" s="18">
        <f t="shared" si="22"/>
        <v>0</v>
      </c>
      <c r="F165" s="18">
        <f t="shared" si="23"/>
        <v>0</v>
      </c>
      <c r="G165" s="19">
        <f>SUMIFS('Data Additive'!$D:$D,'Data Additive'!$P:$P,'Painel Additive'!#REF!,'Data Additive'!$Q:$Q,"&gt;0",'Data Additive'!$Q:$Q,"&lt;=30")</f>
        <v>0</v>
      </c>
      <c r="H165" s="19">
        <f>SUMIFS('Data Additive'!$D:$D,'Data Additive'!$P:$P,'Painel Additive'!#REF!,'Data Additive'!$Q:$Q,"&gt;30",'Data Additive'!$Q:$Q,"&lt;=60")</f>
        <v>0</v>
      </c>
      <c r="I165" s="19">
        <f>SUMIFS('Data Additive'!$D:$D,'Data Additive'!$P:$P,'Painel Additive'!#REF!,'Data Additive'!$Q:$Q,"&gt;60",'Data Additive'!$Q:$Q,"&lt;=90")</f>
        <v>0</v>
      </c>
      <c r="J165" s="19">
        <f>SUMIFS('Data Additive'!$D:$D,'Data Additive'!$P:$P,'Painel Additive'!#REF!,'Data Additive'!$Q:$Q,"&gt;90",'Data Additive'!$Q:$Q,"&lt;=120")</f>
        <v>0</v>
      </c>
      <c r="K165" s="19">
        <f>SUMIFS('Data Additive'!$D:$D,'Data Additive'!$P:$P,'Painel Additive'!#REF!,'Data Additive'!$Q:$Q,"&gt;120",'Data Additive'!$Q:$Q,"&lt;=180")</f>
        <v>0</v>
      </c>
      <c r="L165" s="19">
        <f>SUMIFS('Data Additive'!$D:$D,'Data Additive'!$P:$P,'Painel Additive'!#REF!,'Data Additive'!$Q:$Q,"&gt;180",'Data Additive'!$Q:$Q,"&lt;=360")</f>
        <v>0</v>
      </c>
      <c r="M165" s="23">
        <f>SUMIFS('Data Additive'!$D:$D,'Data Additive'!$P:$P,'Painel Additive'!#REF!,'Data Additive'!$Q:$Q,"&gt;360")</f>
        <v>0</v>
      </c>
      <c r="N165" s="19">
        <f>SUMIFS('Data Additive'!$D:$D,'Data Additive'!$P:$P,'Painel Additive'!#REF!,'Data Additive'!$Q:$Q,"&gt;0")</f>
        <v>0</v>
      </c>
      <c r="O165" s="19">
        <f t="shared" si="24"/>
        <v>0</v>
      </c>
      <c r="P165" s="19">
        <f>SUMIFS('Data Additive'!$D:$D,'Data Additive'!$P:$P,'Painel Additive'!#REF!,'Data Additive'!$Q:$Q,"&lt;=0",'Data Additive'!$Q:$Q,"&gt;=-30")</f>
        <v>0</v>
      </c>
      <c r="Q165" s="19">
        <f>SUMIFS('Data Additive'!$D:$D,'Data Additive'!$P:$P,'Painel Additive'!#REF!,'Data Additive'!$Q:$Q,"&lt;=-31",'Data Additive'!$Q:$Q,"&gt;=-60")</f>
        <v>0</v>
      </c>
      <c r="R165" s="19">
        <f>SUMIFS('Data Additive'!$D:$D,'Data Additive'!$P:$P,'Painel Additive'!#REF!,'Data Additive'!$Q:$Q,"&lt;=-61",'Data Additive'!$Q:$Q,"&gt;=-90")</f>
        <v>0</v>
      </c>
      <c r="S165" s="19">
        <f>SUMIFS('Data Additive'!$D:$D,'Data Additive'!$P:$P,'Painel Additive'!#REF!,'Data Additive'!$Q:$Q,"&lt;=-91",'Data Additive'!$Q:$Q,"&gt;=-120")</f>
        <v>0</v>
      </c>
      <c r="T165" s="19">
        <f>SUMIFS('Data Additive'!$D:$D,'Data Additive'!$P:$P,'Painel Additive'!#REF!,'Data Additive'!$Q:$Q,"&lt;=-121",'Data Additive'!$Q:$Q,"&gt;=-180")</f>
        <v>0</v>
      </c>
      <c r="U165" s="19">
        <f>SUMIFS('Data Additive'!$D:$D,'Data Additive'!$P:$P,'Painel Additive'!#REF!,'Data Additive'!$Q:$Q,"&lt;=-181",'Data Additive'!$Q:$Q,"&gt;=-360")</f>
        <v>0</v>
      </c>
      <c r="V165" s="23">
        <f>SUMIFS('Data Additive'!$D:$D,'Data Additive'!$P:$P,'Painel Additive'!#REF!,'Data Additive'!$Q:$Q,"&lt;-360")</f>
        <v>0</v>
      </c>
      <c r="W165" s="19" t="e">
        <f>SUMIFS('Bad Debt Provision'!#REF!,'Bad Debt Provision'!#REF!,'Painel Additive'!#REF!)</f>
        <v>#REF!</v>
      </c>
      <c r="X165" s="5"/>
      <c r="Y165" s="20"/>
      <c r="Z165" s="20"/>
      <c r="AA165" s="21"/>
      <c r="AB165" s="5"/>
      <c r="AC165" s="19"/>
      <c r="AD165" s="20"/>
      <c r="AE165" s="22"/>
      <c r="AF165" s="22"/>
      <c r="AG165" s="5"/>
      <c r="AH165" s="28">
        <f t="shared" si="25"/>
        <v>0</v>
      </c>
    </row>
    <row r="166" spans="2:34" x14ac:dyDescent="0.25">
      <c r="B166" s="41" t="s">
        <v>387</v>
      </c>
      <c r="C166" s="94" t="str" cm="1">
        <f t="array" ref="C166">IFERROR(INDEX('Limite de crédito'!$D:$D, MATCH(MAX(IF('Limite de crédito'!$C:$C=$B166, 'Limite de crédito'!$A:$A)), 'Limite de crédito'!$A:$A, 0)),"")</f>
        <v/>
      </c>
      <c r="D166" s="18" cm="1">
        <f t="array" ref="D166">IFERROR(INDEX('Limite de crédito'!$F:$F, MATCH(MAX(IF('Limite de crédito'!$C:$C=$B166, 'Limite de crédito'!$A:$A)), 'Limite de crédito'!$A:$A, 0)),0)</f>
        <v>0</v>
      </c>
      <c r="E166" s="18">
        <f t="shared" si="22"/>
        <v>0</v>
      </c>
      <c r="F166" s="18">
        <f t="shared" si="23"/>
        <v>0</v>
      </c>
      <c r="G166" s="19">
        <f>SUMIFS('Data Additive'!$D:$D,'Data Additive'!$P:$P,'Painel Additive'!#REF!,'Data Additive'!$Q:$Q,"&gt;0",'Data Additive'!$Q:$Q,"&lt;=30")</f>
        <v>0</v>
      </c>
      <c r="H166" s="19">
        <f>SUMIFS('Data Additive'!$D:$D,'Data Additive'!$P:$P,'Painel Additive'!#REF!,'Data Additive'!$Q:$Q,"&gt;30",'Data Additive'!$Q:$Q,"&lt;=60")</f>
        <v>0</v>
      </c>
      <c r="I166" s="19">
        <f>SUMIFS('Data Additive'!$D:$D,'Data Additive'!$P:$P,'Painel Additive'!#REF!,'Data Additive'!$Q:$Q,"&gt;60",'Data Additive'!$Q:$Q,"&lt;=90")</f>
        <v>0</v>
      </c>
      <c r="J166" s="19">
        <f>SUMIFS('Data Additive'!$D:$D,'Data Additive'!$P:$P,'Painel Additive'!#REF!,'Data Additive'!$Q:$Q,"&gt;90",'Data Additive'!$Q:$Q,"&lt;=120")</f>
        <v>0</v>
      </c>
      <c r="K166" s="19">
        <f>SUMIFS('Data Additive'!$D:$D,'Data Additive'!$P:$P,'Painel Additive'!#REF!,'Data Additive'!$Q:$Q,"&gt;120",'Data Additive'!$Q:$Q,"&lt;=180")</f>
        <v>0</v>
      </c>
      <c r="L166" s="19">
        <f>SUMIFS('Data Additive'!$D:$D,'Data Additive'!$P:$P,'Painel Additive'!#REF!,'Data Additive'!$Q:$Q,"&gt;180",'Data Additive'!$Q:$Q,"&lt;=360")</f>
        <v>0</v>
      </c>
      <c r="M166" s="23">
        <f>SUMIFS('Data Additive'!$D:$D,'Data Additive'!$P:$P,'Painel Additive'!#REF!,'Data Additive'!$Q:$Q,"&gt;360")</f>
        <v>0</v>
      </c>
      <c r="N166" s="19">
        <f>SUMIFS('Data Additive'!$D:$D,'Data Additive'!$P:$P,'Painel Additive'!#REF!,'Data Additive'!$Q:$Q,"&gt;0")</f>
        <v>0</v>
      </c>
      <c r="O166" s="19">
        <f t="shared" si="24"/>
        <v>0</v>
      </c>
      <c r="P166" s="19">
        <f>SUMIFS('Data Additive'!$D:$D,'Data Additive'!$P:$P,'Painel Additive'!#REF!,'Data Additive'!$Q:$Q,"&lt;=0",'Data Additive'!$Q:$Q,"&gt;=-30")</f>
        <v>0</v>
      </c>
      <c r="Q166" s="19">
        <f>SUMIFS('Data Additive'!$D:$D,'Data Additive'!$P:$P,'Painel Additive'!#REF!,'Data Additive'!$Q:$Q,"&lt;=-31",'Data Additive'!$Q:$Q,"&gt;=-60")</f>
        <v>0</v>
      </c>
      <c r="R166" s="19">
        <f>SUMIFS('Data Additive'!$D:$D,'Data Additive'!$P:$P,'Painel Additive'!#REF!,'Data Additive'!$Q:$Q,"&lt;=-61",'Data Additive'!$Q:$Q,"&gt;=-90")</f>
        <v>0</v>
      </c>
      <c r="S166" s="19">
        <f>SUMIFS('Data Additive'!$D:$D,'Data Additive'!$P:$P,'Painel Additive'!#REF!,'Data Additive'!$Q:$Q,"&lt;=-91",'Data Additive'!$Q:$Q,"&gt;=-120")</f>
        <v>0</v>
      </c>
      <c r="T166" s="19">
        <f>SUMIFS('Data Additive'!$D:$D,'Data Additive'!$P:$P,'Painel Additive'!#REF!,'Data Additive'!$Q:$Q,"&lt;=-121",'Data Additive'!$Q:$Q,"&gt;=-180")</f>
        <v>0</v>
      </c>
      <c r="U166" s="19">
        <f>SUMIFS('Data Additive'!$D:$D,'Data Additive'!$P:$P,'Painel Additive'!#REF!,'Data Additive'!$Q:$Q,"&lt;=-181",'Data Additive'!$Q:$Q,"&gt;=-360")</f>
        <v>0</v>
      </c>
      <c r="V166" s="23">
        <f>SUMIFS('Data Additive'!$D:$D,'Data Additive'!$P:$P,'Painel Additive'!#REF!,'Data Additive'!$Q:$Q,"&lt;-360")</f>
        <v>0</v>
      </c>
      <c r="W166" s="19" t="e">
        <f>SUMIFS('Bad Debt Provision'!#REF!,'Bad Debt Provision'!#REF!,'Painel Additive'!#REF!)</f>
        <v>#REF!</v>
      </c>
      <c r="X166" s="5"/>
      <c r="Y166" s="20"/>
      <c r="Z166" s="20"/>
      <c r="AA166" s="21"/>
      <c r="AB166" s="5"/>
      <c r="AC166" s="19"/>
      <c r="AD166" s="20"/>
      <c r="AE166" s="22"/>
      <c r="AF166" s="22"/>
      <c r="AG166" s="5"/>
      <c r="AH166" s="28">
        <f t="shared" si="25"/>
        <v>0</v>
      </c>
    </row>
    <row r="167" spans="2:34" x14ac:dyDescent="0.25">
      <c r="B167" s="41" t="s">
        <v>398</v>
      </c>
      <c r="C167" s="94" t="str" cm="1">
        <f t="array" ref="C167">IFERROR(INDEX('Limite de crédito'!$D:$D, MATCH(MAX(IF('Limite de crédito'!$C:$C=$B167, 'Limite de crédito'!$A:$A)), 'Limite de crédito'!$A:$A, 0)),"")</f>
        <v/>
      </c>
      <c r="D167" s="18" cm="1">
        <f t="array" ref="D167">IFERROR(INDEX('Limite de crédito'!$F:$F, MATCH(MAX(IF('Limite de crédito'!$C:$C=$B167, 'Limite de crédito'!$A:$A)), 'Limite de crédito'!$A:$A, 0)),0)</f>
        <v>0</v>
      </c>
      <c r="E167" s="18">
        <f t="shared" si="22"/>
        <v>0</v>
      </c>
      <c r="F167" s="18">
        <f t="shared" si="23"/>
        <v>0</v>
      </c>
      <c r="G167" s="19">
        <f>SUMIFS('Data Additive'!$D:$D,'Data Additive'!$P:$P,'Painel Additive'!#REF!,'Data Additive'!$Q:$Q,"&gt;0",'Data Additive'!$Q:$Q,"&lt;=30")</f>
        <v>0</v>
      </c>
      <c r="H167" s="19">
        <f>SUMIFS('Data Additive'!$D:$D,'Data Additive'!$P:$P,'Painel Additive'!#REF!,'Data Additive'!$Q:$Q,"&gt;30",'Data Additive'!$Q:$Q,"&lt;=60")</f>
        <v>0</v>
      </c>
      <c r="I167" s="19">
        <f>SUMIFS('Data Additive'!$D:$D,'Data Additive'!$P:$P,'Painel Additive'!#REF!,'Data Additive'!$Q:$Q,"&gt;60",'Data Additive'!$Q:$Q,"&lt;=90")</f>
        <v>0</v>
      </c>
      <c r="J167" s="19">
        <f>SUMIFS('Data Additive'!$D:$D,'Data Additive'!$P:$P,'Painel Additive'!#REF!,'Data Additive'!$Q:$Q,"&gt;90",'Data Additive'!$Q:$Q,"&lt;=120")</f>
        <v>0</v>
      </c>
      <c r="K167" s="19">
        <f>SUMIFS('Data Additive'!$D:$D,'Data Additive'!$P:$P,'Painel Additive'!#REF!,'Data Additive'!$Q:$Q,"&gt;120",'Data Additive'!$Q:$Q,"&lt;=180")</f>
        <v>0</v>
      </c>
      <c r="L167" s="19">
        <f>SUMIFS('Data Additive'!$D:$D,'Data Additive'!$P:$P,'Painel Additive'!#REF!,'Data Additive'!$Q:$Q,"&gt;180",'Data Additive'!$Q:$Q,"&lt;=360")</f>
        <v>0</v>
      </c>
      <c r="M167" s="23">
        <f>SUMIFS('Data Additive'!$D:$D,'Data Additive'!$P:$P,'Painel Additive'!#REF!,'Data Additive'!$Q:$Q,"&gt;360")</f>
        <v>0</v>
      </c>
      <c r="N167" s="19">
        <f>SUMIFS('Data Additive'!$D:$D,'Data Additive'!$P:$P,'Painel Additive'!#REF!,'Data Additive'!$Q:$Q,"&gt;0")</f>
        <v>0</v>
      </c>
      <c r="O167" s="19">
        <f t="shared" si="24"/>
        <v>0</v>
      </c>
      <c r="P167" s="19">
        <f>SUMIFS('Data Additive'!$D:$D,'Data Additive'!$P:$P,'Painel Additive'!#REF!,'Data Additive'!$Q:$Q,"&lt;=0",'Data Additive'!$Q:$Q,"&gt;=-30")</f>
        <v>0</v>
      </c>
      <c r="Q167" s="19">
        <f>SUMIFS('Data Additive'!$D:$D,'Data Additive'!$P:$P,'Painel Additive'!#REF!,'Data Additive'!$Q:$Q,"&lt;=-31",'Data Additive'!$Q:$Q,"&gt;=-60")</f>
        <v>0</v>
      </c>
      <c r="R167" s="19">
        <f>SUMIFS('Data Additive'!$D:$D,'Data Additive'!$P:$P,'Painel Additive'!#REF!,'Data Additive'!$Q:$Q,"&lt;=-61",'Data Additive'!$Q:$Q,"&gt;=-90")</f>
        <v>0</v>
      </c>
      <c r="S167" s="19">
        <f>SUMIFS('Data Additive'!$D:$D,'Data Additive'!$P:$P,'Painel Additive'!#REF!,'Data Additive'!$Q:$Q,"&lt;=-91",'Data Additive'!$Q:$Q,"&gt;=-120")</f>
        <v>0</v>
      </c>
      <c r="T167" s="19">
        <f>SUMIFS('Data Additive'!$D:$D,'Data Additive'!$P:$P,'Painel Additive'!#REF!,'Data Additive'!$Q:$Q,"&lt;=-121",'Data Additive'!$Q:$Q,"&gt;=-180")</f>
        <v>0</v>
      </c>
      <c r="U167" s="19">
        <f>SUMIFS('Data Additive'!$D:$D,'Data Additive'!$P:$P,'Painel Additive'!#REF!,'Data Additive'!$Q:$Q,"&lt;=-181",'Data Additive'!$Q:$Q,"&gt;=-360")</f>
        <v>0</v>
      </c>
      <c r="V167" s="23">
        <f>SUMIFS('Data Additive'!$D:$D,'Data Additive'!$P:$P,'Painel Additive'!#REF!,'Data Additive'!$Q:$Q,"&lt;-360")</f>
        <v>0</v>
      </c>
      <c r="W167" s="19" t="e">
        <f>SUMIFS('Bad Debt Provision'!#REF!,'Bad Debt Provision'!#REF!,'Painel Additive'!#REF!)</f>
        <v>#REF!</v>
      </c>
      <c r="X167" s="5"/>
      <c r="Y167" s="20"/>
      <c r="Z167" s="20"/>
      <c r="AA167" s="21"/>
      <c r="AB167" s="5"/>
      <c r="AC167" s="19"/>
      <c r="AD167" s="20"/>
      <c r="AE167" s="22"/>
      <c r="AF167" s="22"/>
      <c r="AG167" s="5"/>
      <c r="AH167" s="28">
        <f t="shared" si="25"/>
        <v>0</v>
      </c>
    </row>
    <row r="168" spans="2:34" x14ac:dyDescent="0.25">
      <c r="B168" s="41" t="s">
        <v>399</v>
      </c>
      <c r="C168" s="94" t="str" cm="1">
        <f t="array" ref="C168">IFERROR(INDEX('Limite de crédito'!$D:$D, MATCH(MAX(IF('Limite de crédito'!$C:$C=$B168, 'Limite de crédito'!$A:$A)), 'Limite de crédito'!$A:$A, 0)),"")</f>
        <v/>
      </c>
      <c r="D168" s="18" cm="1">
        <f t="array" ref="D168">IFERROR(INDEX('Limite de crédito'!$F:$F, MATCH(MAX(IF('Limite de crédito'!$C:$C=$B168, 'Limite de crédito'!$A:$A)), 'Limite de crédito'!$A:$A, 0)),0)</f>
        <v>0</v>
      </c>
      <c r="E168" s="18">
        <f t="shared" si="22"/>
        <v>0</v>
      </c>
      <c r="F168" s="18">
        <f t="shared" si="23"/>
        <v>0</v>
      </c>
      <c r="G168" s="19">
        <f>SUMIFS('Data Additive'!$D:$D,'Data Additive'!$P:$P,'Painel Additive'!#REF!,'Data Additive'!$Q:$Q,"&gt;0",'Data Additive'!$Q:$Q,"&lt;=30")</f>
        <v>0</v>
      </c>
      <c r="H168" s="19">
        <f>SUMIFS('Data Additive'!$D:$D,'Data Additive'!$P:$P,'Painel Additive'!#REF!,'Data Additive'!$Q:$Q,"&gt;30",'Data Additive'!$Q:$Q,"&lt;=60")</f>
        <v>0</v>
      </c>
      <c r="I168" s="19">
        <f>SUMIFS('Data Additive'!$D:$D,'Data Additive'!$P:$P,'Painel Additive'!#REF!,'Data Additive'!$Q:$Q,"&gt;60",'Data Additive'!$Q:$Q,"&lt;=90")</f>
        <v>0</v>
      </c>
      <c r="J168" s="19">
        <f>SUMIFS('Data Additive'!$D:$D,'Data Additive'!$P:$P,'Painel Additive'!#REF!,'Data Additive'!$Q:$Q,"&gt;90",'Data Additive'!$Q:$Q,"&lt;=120")</f>
        <v>0</v>
      </c>
      <c r="K168" s="19">
        <f>SUMIFS('Data Additive'!$D:$D,'Data Additive'!$P:$P,'Painel Additive'!#REF!,'Data Additive'!$Q:$Q,"&gt;120",'Data Additive'!$Q:$Q,"&lt;=180")</f>
        <v>0</v>
      </c>
      <c r="L168" s="19">
        <f>SUMIFS('Data Additive'!$D:$D,'Data Additive'!$P:$P,'Painel Additive'!#REF!,'Data Additive'!$Q:$Q,"&gt;180",'Data Additive'!$Q:$Q,"&lt;=360")</f>
        <v>0</v>
      </c>
      <c r="M168" s="23">
        <f>SUMIFS('Data Additive'!$D:$D,'Data Additive'!$P:$P,'Painel Additive'!#REF!,'Data Additive'!$Q:$Q,"&gt;360")</f>
        <v>0</v>
      </c>
      <c r="N168" s="19">
        <f>SUMIFS('Data Additive'!$D:$D,'Data Additive'!$P:$P,'Painel Additive'!#REF!,'Data Additive'!$Q:$Q,"&gt;0")</f>
        <v>0</v>
      </c>
      <c r="O168" s="19">
        <f t="shared" si="24"/>
        <v>0</v>
      </c>
      <c r="P168" s="19">
        <f>SUMIFS('Data Additive'!$D:$D,'Data Additive'!$P:$P,'Painel Additive'!#REF!,'Data Additive'!$Q:$Q,"&lt;=0",'Data Additive'!$Q:$Q,"&gt;=-30")</f>
        <v>0</v>
      </c>
      <c r="Q168" s="19">
        <f>SUMIFS('Data Additive'!$D:$D,'Data Additive'!$P:$P,'Painel Additive'!#REF!,'Data Additive'!$Q:$Q,"&lt;=-31",'Data Additive'!$Q:$Q,"&gt;=-60")</f>
        <v>0</v>
      </c>
      <c r="R168" s="19">
        <f>SUMIFS('Data Additive'!$D:$D,'Data Additive'!$P:$P,'Painel Additive'!#REF!,'Data Additive'!$Q:$Q,"&lt;=-61",'Data Additive'!$Q:$Q,"&gt;=-90")</f>
        <v>0</v>
      </c>
      <c r="S168" s="19">
        <f>SUMIFS('Data Additive'!$D:$D,'Data Additive'!$P:$P,'Painel Additive'!#REF!,'Data Additive'!$Q:$Q,"&lt;=-91",'Data Additive'!$Q:$Q,"&gt;=-120")</f>
        <v>0</v>
      </c>
      <c r="T168" s="19">
        <f>SUMIFS('Data Additive'!$D:$D,'Data Additive'!$P:$P,'Painel Additive'!#REF!,'Data Additive'!$Q:$Q,"&lt;=-121",'Data Additive'!$Q:$Q,"&gt;=-180")</f>
        <v>0</v>
      </c>
      <c r="U168" s="19">
        <f>SUMIFS('Data Additive'!$D:$D,'Data Additive'!$P:$P,'Painel Additive'!#REF!,'Data Additive'!$Q:$Q,"&lt;=-181",'Data Additive'!$Q:$Q,"&gt;=-360")</f>
        <v>0</v>
      </c>
      <c r="V168" s="23">
        <f>SUMIFS('Data Additive'!$D:$D,'Data Additive'!$P:$P,'Painel Additive'!#REF!,'Data Additive'!$Q:$Q,"&lt;-360")</f>
        <v>0</v>
      </c>
      <c r="W168" s="19" t="e">
        <f>SUMIFS('Bad Debt Provision'!#REF!,'Bad Debt Provision'!#REF!,'Painel Additive'!#REF!)</f>
        <v>#REF!</v>
      </c>
      <c r="X168" s="5"/>
      <c r="Y168" s="20"/>
      <c r="Z168" s="20"/>
      <c r="AA168" s="21"/>
      <c r="AB168" s="5"/>
      <c r="AC168" s="19"/>
      <c r="AD168" s="20"/>
      <c r="AE168" s="22"/>
      <c r="AF168" s="22"/>
      <c r="AG168" s="5"/>
      <c r="AH168" s="28">
        <f t="shared" si="25"/>
        <v>0</v>
      </c>
    </row>
    <row r="169" spans="2:34" x14ac:dyDescent="0.25">
      <c r="B169" s="17" t="s">
        <v>308</v>
      </c>
      <c r="C169" s="93" t="str" cm="1">
        <f t="array" ref="C169">IFERROR(INDEX('Limite de crédito'!$D:$D, MATCH(MAX(IF('Limite de crédito'!$C:$C=$B169, 'Limite de crédito'!$A:$A)), 'Limite de crédito'!$A:$A, 0)),"")</f>
        <v/>
      </c>
      <c r="D169" s="18" cm="1">
        <f t="array" ref="D169">IFERROR(INDEX('Limite de crédito'!$F:$F, MATCH(MAX(IF('Limite de crédito'!$C:$C=$B169, 'Limite de crédito'!$A:$A)), 'Limite de crédito'!$A:$A, 0)),0)</f>
        <v>0</v>
      </c>
      <c r="E169" s="18">
        <f t="shared" si="22"/>
        <v>0</v>
      </c>
      <c r="F169" s="18">
        <f t="shared" si="23"/>
        <v>0</v>
      </c>
      <c r="G169" s="19">
        <f>SUMIFS('Data Additive'!$D:$D,'Data Additive'!$P:$P,'Painel Additive'!#REF!,'Data Additive'!$Q:$Q,"&gt;0",'Data Additive'!$Q:$Q,"&lt;=30")</f>
        <v>0</v>
      </c>
      <c r="H169" s="19">
        <f>SUMIFS('Data Additive'!$D:$D,'Data Additive'!$P:$P,'Painel Additive'!#REF!,'Data Additive'!$Q:$Q,"&gt;30",'Data Additive'!$Q:$Q,"&lt;=60")</f>
        <v>0</v>
      </c>
      <c r="I169" s="19">
        <f>SUMIFS('Data Additive'!$D:$D,'Data Additive'!$P:$P,'Painel Additive'!#REF!,'Data Additive'!$Q:$Q,"&gt;60",'Data Additive'!$Q:$Q,"&lt;=90")</f>
        <v>0</v>
      </c>
      <c r="J169" s="19">
        <f>SUMIFS('Data Additive'!$D:$D,'Data Additive'!$P:$P,'Painel Additive'!#REF!,'Data Additive'!$Q:$Q,"&gt;90",'Data Additive'!$Q:$Q,"&lt;=120")</f>
        <v>0</v>
      </c>
      <c r="K169" s="19">
        <f>SUMIFS('Data Additive'!$D:$D,'Data Additive'!$P:$P,'Painel Additive'!#REF!,'Data Additive'!$Q:$Q,"&gt;120",'Data Additive'!$Q:$Q,"&lt;=180")</f>
        <v>0</v>
      </c>
      <c r="L169" s="19">
        <f>SUMIFS('Data Additive'!$D:$D,'Data Additive'!$P:$P,'Painel Additive'!#REF!,'Data Additive'!$Q:$Q,"&gt;180",'Data Additive'!$Q:$Q,"&lt;=360")</f>
        <v>0</v>
      </c>
      <c r="M169" s="23">
        <f>SUMIFS('Data Additive'!$D:$D,'Data Additive'!$P:$P,'Painel Additive'!#REF!,'Data Additive'!$Q:$Q,"&gt;360")</f>
        <v>0</v>
      </c>
      <c r="N169" s="19">
        <f>SUMIFS('Data Additive'!$D:$D,'Data Additive'!$P:$P,'Painel Additive'!#REF!,'Data Additive'!$Q:$Q,"&gt;0")</f>
        <v>0</v>
      </c>
      <c r="O169" s="19">
        <f t="shared" si="24"/>
        <v>0</v>
      </c>
      <c r="P169" s="19">
        <f>SUMIFS('Data Additive'!$D:$D,'Data Additive'!$P:$P,'Painel Additive'!#REF!,'Data Additive'!$Q:$Q,"&lt;=0",'Data Additive'!$Q:$Q,"&gt;=-30")</f>
        <v>0</v>
      </c>
      <c r="Q169" s="19">
        <f>SUMIFS('Data Additive'!$D:$D,'Data Additive'!$P:$P,'Painel Additive'!#REF!,'Data Additive'!$Q:$Q,"&lt;=-31",'Data Additive'!$Q:$Q,"&gt;=-60")</f>
        <v>0</v>
      </c>
      <c r="R169" s="19">
        <f>SUMIFS('Data Additive'!$D:$D,'Data Additive'!$P:$P,'Painel Additive'!#REF!,'Data Additive'!$Q:$Q,"&lt;=-61",'Data Additive'!$Q:$Q,"&gt;=-90")</f>
        <v>0</v>
      </c>
      <c r="S169" s="19">
        <f>SUMIFS('Data Additive'!$D:$D,'Data Additive'!$P:$P,'Painel Additive'!#REF!,'Data Additive'!$Q:$Q,"&lt;=-91",'Data Additive'!$Q:$Q,"&gt;=-120")</f>
        <v>0</v>
      </c>
      <c r="T169" s="19">
        <f>SUMIFS('Data Additive'!$D:$D,'Data Additive'!$P:$P,'Painel Additive'!#REF!,'Data Additive'!$Q:$Q,"&lt;=-121",'Data Additive'!$Q:$Q,"&gt;=-180")</f>
        <v>0</v>
      </c>
      <c r="U169" s="19">
        <f>SUMIFS('Data Additive'!$D:$D,'Data Additive'!$P:$P,'Painel Additive'!#REF!,'Data Additive'!$Q:$Q,"&lt;=-181",'Data Additive'!$Q:$Q,"&gt;=-360")</f>
        <v>0</v>
      </c>
      <c r="V169" s="23">
        <f>SUMIFS('Data Additive'!$D:$D,'Data Additive'!$P:$P,'Painel Additive'!#REF!,'Data Additive'!$Q:$Q,"&lt;-360")</f>
        <v>0</v>
      </c>
      <c r="W169" s="19" t="e">
        <f>SUMIFS('Bad Debt Provision'!#REF!,'Bad Debt Provision'!#REF!,'Painel Additive'!#REF!)</f>
        <v>#REF!</v>
      </c>
      <c r="X169" s="5"/>
      <c r="Y169" s="20"/>
      <c r="Z169" s="20"/>
      <c r="AA169" s="21"/>
      <c r="AB169" s="5"/>
      <c r="AC169" s="19"/>
      <c r="AD169" s="20"/>
      <c r="AE169" s="22"/>
      <c r="AF169" s="22"/>
      <c r="AG169" s="5"/>
      <c r="AH169" s="28">
        <f t="shared" si="25"/>
        <v>0</v>
      </c>
    </row>
    <row r="170" spans="2:34" x14ac:dyDescent="0.25">
      <c r="B170" s="41" t="s">
        <v>396</v>
      </c>
      <c r="C170" s="94" t="str" cm="1">
        <f t="array" ref="C170">IFERROR(INDEX('Limite de crédito'!$D:$D, MATCH(MAX(IF('Limite de crédito'!$C:$C=$B170, 'Limite de crédito'!$A:$A)), 'Limite de crédito'!$A:$A, 0)),"")</f>
        <v/>
      </c>
      <c r="D170" s="18" cm="1">
        <f t="array" ref="D170">IFERROR(INDEX('Limite de crédito'!$F:$F, MATCH(MAX(IF('Limite de crédito'!$C:$C=$B170, 'Limite de crédito'!$A:$A)), 'Limite de crédito'!$A:$A, 0)),0)</f>
        <v>0</v>
      </c>
      <c r="E170" s="18">
        <f t="shared" ref="E170:E172" si="26">D170-F170</f>
        <v>0</v>
      </c>
      <c r="F170" s="18">
        <f t="shared" ref="F170:F172" si="27">O170+N170</f>
        <v>0</v>
      </c>
      <c r="G170" s="19">
        <f>SUMIFS('Data Additive'!$D:$D,'Data Additive'!$P:$P,'Painel Additive'!#REF!,'Data Additive'!$Q:$Q,"&gt;0",'Data Additive'!$Q:$Q,"&lt;=30")</f>
        <v>0</v>
      </c>
      <c r="H170" s="19">
        <f>SUMIFS('Data Additive'!$D:$D,'Data Additive'!$P:$P,'Painel Additive'!#REF!,'Data Additive'!$Q:$Q,"&gt;30",'Data Additive'!$Q:$Q,"&lt;=60")</f>
        <v>0</v>
      </c>
      <c r="I170" s="19">
        <f>SUMIFS('Data Additive'!$D:$D,'Data Additive'!$P:$P,'Painel Additive'!#REF!,'Data Additive'!$Q:$Q,"&gt;60",'Data Additive'!$Q:$Q,"&lt;=90")</f>
        <v>0</v>
      </c>
      <c r="J170" s="19">
        <f>SUMIFS('Data Additive'!$D:$D,'Data Additive'!$P:$P,'Painel Additive'!#REF!,'Data Additive'!$Q:$Q,"&gt;90",'Data Additive'!$Q:$Q,"&lt;=120")</f>
        <v>0</v>
      </c>
      <c r="K170" s="19">
        <f>SUMIFS('Data Additive'!$D:$D,'Data Additive'!$P:$P,'Painel Additive'!#REF!,'Data Additive'!$Q:$Q,"&gt;120",'Data Additive'!$Q:$Q,"&lt;=180")</f>
        <v>0</v>
      </c>
      <c r="L170" s="19">
        <f>SUMIFS('Data Additive'!$D:$D,'Data Additive'!$P:$P,'Painel Additive'!#REF!,'Data Additive'!$Q:$Q,"&gt;180",'Data Additive'!$Q:$Q,"&lt;=360")</f>
        <v>0</v>
      </c>
      <c r="M170" s="23">
        <f>SUMIFS('Data Additive'!$D:$D,'Data Additive'!$P:$P,'Painel Additive'!#REF!,'Data Additive'!$Q:$Q,"&gt;360")</f>
        <v>0</v>
      </c>
      <c r="N170" s="19">
        <f>SUMIFS('Data Additive'!$D:$D,'Data Additive'!$P:$P,'Painel Additive'!#REF!,'Data Additive'!$Q:$Q,"&gt;0")</f>
        <v>0</v>
      </c>
      <c r="O170" s="19">
        <f t="shared" ref="O170:O172" si="28">SUBTOTAL(9,P170:V170)</f>
        <v>0</v>
      </c>
      <c r="P170" s="19">
        <f>SUMIFS('Data Additive'!$D:$D,'Data Additive'!$P:$P,'Painel Additive'!#REF!,'Data Additive'!$Q:$Q,"&lt;=0",'Data Additive'!$Q:$Q,"&gt;=-30")</f>
        <v>0</v>
      </c>
      <c r="Q170" s="19">
        <f>SUMIFS('Data Additive'!$D:$D,'Data Additive'!$P:$P,'Painel Additive'!#REF!,'Data Additive'!$Q:$Q,"&lt;=-31",'Data Additive'!$Q:$Q,"&gt;=-60")</f>
        <v>0</v>
      </c>
      <c r="R170" s="19">
        <f>SUMIFS('Data Additive'!$D:$D,'Data Additive'!$P:$P,'Painel Additive'!#REF!,'Data Additive'!$Q:$Q,"&lt;=-61",'Data Additive'!$Q:$Q,"&gt;=-90")</f>
        <v>0</v>
      </c>
      <c r="S170" s="19">
        <f>SUMIFS('Data Additive'!$D:$D,'Data Additive'!$P:$P,'Painel Additive'!#REF!,'Data Additive'!$Q:$Q,"&lt;=-91",'Data Additive'!$Q:$Q,"&gt;=-120")</f>
        <v>0</v>
      </c>
      <c r="T170" s="19">
        <f>SUMIFS('Data Additive'!$D:$D,'Data Additive'!$P:$P,'Painel Additive'!#REF!,'Data Additive'!$Q:$Q,"&lt;=-121",'Data Additive'!$Q:$Q,"&gt;=-180")</f>
        <v>0</v>
      </c>
      <c r="U170" s="19">
        <f>SUMIFS('Data Additive'!$D:$D,'Data Additive'!$P:$P,'Painel Additive'!#REF!,'Data Additive'!$Q:$Q,"&lt;=-181",'Data Additive'!$Q:$Q,"&gt;=-360")</f>
        <v>0</v>
      </c>
      <c r="V170" s="23">
        <f>SUMIFS('Data Additive'!$D:$D,'Data Additive'!$P:$P,'Painel Additive'!#REF!,'Data Additive'!$Q:$Q,"&lt;-360")</f>
        <v>0</v>
      </c>
      <c r="W170" s="19" t="e">
        <f>SUMIFS('Bad Debt Provision'!#REF!,'Bad Debt Provision'!#REF!,'Painel Additive'!#REF!)</f>
        <v>#REF!</v>
      </c>
      <c r="X170" s="5"/>
      <c r="Y170" s="20"/>
      <c r="Z170" s="20"/>
      <c r="AA170" s="21"/>
      <c r="AB170" s="5"/>
      <c r="AC170" s="19"/>
      <c r="AD170" s="20"/>
      <c r="AE170" s="22"/>
      <c r="AF170" s="22"/>
      <c r="AG170" s="5"/>
      <c r="AH170" s="28">
        <f t="shared" ref="AH170:AH172" si="29">AC170-F170</f>
        <v>0</v>
      </c>
    </row>
    <row r="171" spans="2:34" x14ac:dyDescent="0.25">
      <c r="B171" s="41" t="s">
        <v>401</v>
      </c>
      <c r="C171" s="94" cm="1">
        <f t="array" ref="C171">IFERROR(INDEX('Limite de crédito'!$D:$D, MATCH(MAX(IF('Limite de crédito'!$C:$C=$B171, 'Limite de crédito'!$A:$A)), 'Limite de crédito'!$A:$A, 0)),"")</f>
        <v>46147</v>
      </c>
      <c r="D171" s="18" t="str" cm="1">
        <f t="array" ref="D171">IFERROR(INDEX('Limite de crédito'!$F:$F, MATCH(MAX(IF('Limite de crédito'!$C:$C=$B171, 'Limite de crédito'!$A:$A)), 'Limite de crédito'!$A:$A, 0)),0)</f>
        <v>Sim</v>
      </c>
      <c r="E171" s="18" t="e">
        <f t="shared" si="26"/>
        <v>#VALUE!</v>
      </c>
      <c r="F171" s="18">
        <f t="shared" si="27"/>
        <v>0</v>
      </c>
      <c r="G171" s="19">
        <f>SUMIFS('Data Additive'!$D:$D,'Data Additive'!$P:$P,'Painel Additive'!#REF!,'Data Additive'!$Q:$Q,"&gt;0",'Data Additive'!$Q:$Q,"&lt;=30")</f>
        <v>0</v>
      </c>
      <c r="H171" s="19">
        <f>SUMIFS('Data Additive'!$D:$D,'Data Additive'!$P:$P,'Painel Additive'!#REF!,'Data Additive'!$Q:$Q,"&gt;30",'Data Additive'!$Q:$Q,"&lt;=60")</f>
        <v>0</v>
      </c>
      <c r="I171" s="19">
        <f>SUMIFS('Data Additive'!$D:$D,'Data Additive'!$P:$P,'Painel Additive'!#REF!,'Data Additive'!$Q:$Q,"&gt;60",'Data Additive'!$Q:$Q,"&lt;=90")</f>
        <v>0</v>
      </c>
      <c r="J171" s="19">
        <f>SUMIFS('Data Additive'!$D:$D,'Data Additive'!$P:$P,'Painel Additive'!#REF!,'Data Additive'!$Q:$Q,"&gt;90",'Data Additive'!$Q:$Q,"&lt;=120")</f>
        <v>0</v>
      </c>
      <c r="K171" s="19">
        <f>SUMIFS('Data Additive'!$D:$D,'Data Additive'!$P:$P,'Painel Additive'!#REF!,'Data Additive'!$Q:$Q,"&gt;120",'Data Additive'!$Q:$Q,"&lt;=180")</f>
        <v>0</v>
      </c>
      <c r="L171" s="19">
        <f>SUMIFS('Data Additive'!$D:$D,'Data Additive'!$P:$P,'Painel Additive'!#REF!,'Data Additive'!$Q:$Q,"&gt;180",'Data Additive'!$Q:$Q,"&lt;=360")</f>
        <v>0</v>
      </c>
      <c r="M171" s="23">
        <f>SUMIFS('Data Additive'!$D:$D,'Data Additive'!$P:$P,'Painel Additive'!#REF!,'Data Additive'!$Q:$Q,"&gt;360")</f>
        <v>0</v>
      </c>
      <c r="N171" s="19">
        <f>SUMIFS('Data Additive'!$D:$D,'Data Additive'!$P:$P,'Painel Additive'!#REF!,'Data Additive'!$Q:$Q,"&gt;0")</f>
        <v>0</v>
      </c>
      <c r="O171" s="19">
        <f t="shared" si="28"/>
        <v>0</v>
      </c>
      <c r="P171" s="19">
        <f>SUMIFS('Data Additive'!$D:$D,'Data Additive'!$P:$P,'Painel Additive'!#REF!,'Data Additive'!$Q:$Q,"&lt;=0",'Data Additive'!$Q:$Q,"&gt;=-30")</f>
        <v>0</v>
      </c>
      <c r="Q171" s="19">
        <f>SUMIFS('Data Additive'!$D:$D,'Data Additive'!$P:$P,'Painel Additive'!#REF!,'Data Additive'!$Q:$Q,"&lt;=-31",'Data Additive'!$Q:$Q,"&gt;=-60")</f>
        <v>0</v>
      </c>
      <c r="R171" s="19">
        <f>SUMIFS('Data Additive'!$D:$D,'Data Additive'!$P:$P,'Painel Additive'!#REF!,'Data Additive'!$Q:$Q,"&lt;=-61",'Data Additive'!$Q:$Q,"&gt;=-90")</f>
        <v>0</v>
      </c>
      <c r="S171" s="19">
        <f>SUMIFS('Data Additive'!$D:$D,'Data Additive'!$P:$P,'Painel Additive'!#REF!,'Data Additive'!$Q:$Q,"&lt;=-91",'Data Additive'!$Q:$Q,"&gt;=-120")</f>
        <v>0</v>
      </c>
      <c r="T171" s="19">
        <f>SUMIFS('Data Additive'!$D:$D,'Data Additive'!$P:$P,'Painel Additive'!#REF!,'Data Additive'!$Q:$Q,"&lt;=-121",'Data Additive'!$Q:$Q,"&gt;=-180")</f>
        <v>0</v>
      </c>
      <c r="U171" s="19">
        <f>SUMIFS('Data Additive'!$D:$D,'Data Additive'!$P:$P,'Painel Additive'!#REF!,'Data Additive'!$Q:$Q,"&lt;=-181",'Data Additive'!$Q:$Q,"&gt;=-360")</f>
        <v>0</v>
      </c>
      <c r="V171" s="23">
        <f>SUMIFS('Data Additive'!$D:$D,'Data Additive'!$P:$P,'Painel Additive'!#REF!,'Data Additive'!$Q:$Q,"&lt;-360")</f>
        <v>0</v>
      </c>
      <c r="W171" s="19" t="e">
        <f>SUMIFS('Bad Debt Provision'!#REF!,'Bad Debt Provision'!#REF!,'Painel Additive'!#REF!)</f>
        <v>#REF!</v>
      </c>
      <c r="X171" s="5"/>
      <c r="Y171" s="20"/>
      <c r="Z171" s="20"/>
      <c r="AA171" s="21"/>
      <c r="AB171" s="5"/>
      <c r="AC171" s="19"/>
      <c r="AD171" s="20"/>
      <c r="AE171" s="22"/>
      <c r="AF171" s="22"/>
      <c r="AG171" s="5"/>
      <c r="AH171" s="28">
        <f t="shared" si="29"/>
        <v>0</v>
      </c>
    </row>
    <row r="172" spans="2:34" x14ac:dyDescent="0.25">
      <c r="B172" s="41" t="s">
        <v>430</v>
      </c>
      <c r="C172" s="94" cm="1">
        <f t="array" ref="C172">IFERROR(INDEX('Limite de crédito'!$D:$D, MATCH(MAX(IF('Limite de crédito'!$C:$C=$B172, 'Limite de crédito'!$A:$A)), 'Limite de crédito'!$A:$A, 0)),"")</f>
        <v>45804</v>
      </c>
      <c r="D172" s="18" t="str" cm="1">
        <f t="array" ref="D172">IFERROR(INDEX('Limite de crédito'!$F:$F, MATCH(MAX(IF('Limite de crédito'!$C:$C=$B172, 'Limite de crédito'!$A:$A)), 'Limite de crédito'!$A:$A, 0)),0)</f>
        <v>Sim</v>
      </c>
      <c r="E172" s="18" t="e">
        <f t="shared" si="26"/>
        <v>#VALUE!</v>
      </c>
      <c r="F172" s="18">
        <f t="shared" si="27"/>
        <v>0</v>
      </c>
      <c r="G172" s="19">
        <f>SUMIFS('Data Additive'!$D:$D,'Data Additive'!$P:$P,'Painel Additive'!#REF!,'Data Additive'!$Q:$Q,"&gt;0",'Data Additive'!$Q:$Q,"&lt;=30")</f>
        <v>0</v>
      </c>
      <c r="H172" s="19">
        <f>SUMIFS('Data Additive'!$D:$D,'Data Additive'!$P:$P,'Painel Additive'!#REF!,'Data Additive'!$Q:$Q,"&gt;30",'Data Additive'!$Q:$Q,"&lt;=60")</f>
        <v>0</v>
      </c>
      <c r="I172" s="19">
        <f>SUMIFS('Data Additive'!$D:$D,'Data Additive'!$P:$P,'Painel Additive'!#REF!,'Data Additive'!$Q:$Q,"&gt;60",'Data Additive'!$Q:$Q,"&lt;=90")</f>
        <v>0</v>
      </c>
      <c r="J172" s="19">
        <f>SUMIFS('Data Additive'!$D:$D,'Data Additive'!$P:$P,'Painel Additive'!#REF!,'Data Additive'!$Q:$Q,"&gt;90",'Data Additive'!$Q:$Q,"&lt;=120")</f>
        <v>0</v>
      </c>
      <c r="K172" s="19">
        <f>SUMIFS('Data Additive'!$D:$D,'Data Additive'!$P:$P,'Painel Additive'!#REF!,'Data Additive'!$Q:$Q,"&gt;120",'Data Additive'!$Q:$Q,"&lt;=180")</f>
        <v>0</v>
      </c>
      <c r="L172" s="19">
        <f>SUMIFS('Data Additive'!$D:$D,'Data Additive'!$P:$P,'Painel Additive'!#REF!,'Data Additive'!$Q:$Q,"&gt;180",'Data Additive'!$Q:$Q,"&lt;=360")</f>
        <v>0</v>
      </c>
      <c r="M172" s="23">
        <f>SUMIFS('Data Additive'!$D:$D,'Data Additive'!$P:$P,'Painel Additive'!#REF!,'Data Additive'!$Q:$Q,"&gt;360")</f>
        <v>0</v>
      </c>
      <c r="N172" s="19">
        <f>SUMIFS('Data Additive'!$D:$D,'Data Additive'!$P:$P,'Painel Additive'!#REF!,'Data Additive'!$Q:$Q,"&gt;0")</f>
        <v>0</v>
      </c>
      <c r="O172" s="19">
        <f t="shared" si="28"/>
        <v>0</v>
      </c>
      <c r="P172" s="19">
        <f>SUMIFS('Data Additive'!$D:$D,'Data Additive'!$P:$P,'Painel Additive'!#REF!,'Data Additive'!$Q:$Q,"&lt;=0",'Data Additive'!$Q:$Q,"&gt;=-30")</f>
        <v>0</v>
      </c>
      <c r="Q172" s="19">
        <f>SUMIFS('Data Additive'!$D:$D,'Data Additive'!$P:$P,'Painel Additive'!#REF!,'Data Additive'!$Q:$Q,"&lt;=-31",'Data Additive'!$Q:$Q,"&gt;=-60")</f>
        <v>0</v>
      </c>
      <c r="R172" s="19">
        <f>SUMIFS('Data Additive'!$D:$D,'Data Additive'!$P:$P,'Painel Additive'!#REF!,'Data Additive'!$Q:$Q,"&lt;=-61",'Data Additive'!$Q:$Q,"&gt;=-90")</f>
        <v>0</v>
      </c>
      <c r="S172" s="19">
        <f>SUMIFS('Data Additive'!$D:$D,'Data Additive'!$P:$P,'Painel Additive'!#REF!,'Data Additive'!$Q:$Q,"&lt;=-91",'Data Additive'!$Q:$Q,"&gt;=-120")</f>
        <v>0</v>
      </c>
      <c r="T172" s="19">
        <f>SUMIFS('Data Additive'!$D:$D,'Data Additive'!$P:$P,'Painel Additive'!#REF!,'Data Additive'!$Q:$Q,"&lt;=-121",'Data Additive'!$Q:$Q,"&gt;=-180")</f>
        <v>0</v>
      </c>
      <c r="U172" s="19">
        <f>SUMIFS('Data Additive'!$D:$D,'Data Additive'!$P:$P,'Painel Additive'!#REF!,'Data Additive'!$Q:$Q,"&lt;=-181",'Data Additive'!$Q:$Q,"&gt;=-360")</f>
        <v>0</v>
      </c>
      <c r="V172" s="23">
        <f>SUMIFS('Data Additive'!$D:$D,'Data Additive'!$P:$P,'Painel Additive'!#REF!,'Data Additive'!$Q:$Q,"&lt;-360")</f>
        <v>0</v>
      </c>
      <c r="W172" s="19" t="e">
        <f>SUMIFS('Bad Debt Provision'!#REF!,'Bad Debt Provision'!#REF!,'Painel Additive'!#REF!)</f>
        <v>#REF!</v>
      </c>
      <c r="X172" s="5"/>
      <c r="Y172" s="20"/>
      <c r="Z172" s="20"/>
      <c r="AA172" s="21"/>
      <c r="AB172" s="5"/>
      <c r="AC172" s="19"/>
      <c r="AD172" s="20"/>
      <c r="AE172" s="22"/>
      <c r="AF172" s="22"/>
      <c r="AG172" s="5"/>
      <c r="AH172" s="28">
        <f t="shared" si="29"/>
        <v>0</v>
      </c>
    </row>
    <row r="173" spans="2:34" x14ac:dyDescent="0.25">
      <c r="B173" s="41" t="s">
        <v>433</v>
      </c>
      <c r="C173" s="94" t="str" cm="1">
        <f t="array" ref="C173">IFERROR(INDEX('Limite de crédito'!$D:$D, MATCH(MAX(IF('Limite de crédito'!$C:$C=$B173, 'Limite de crédito'!$A:$A)), 'Limite de crédito'!$A:$A, 0)),"")</f>
        <v/>
      </c>
      <c r="D173" s="18" cm="1">
        <f t="array" ref="D173">IFERROR(INDEX('Limite de crédito'!$F:$F, MATCH(MAX(IF('Limite de crédito'!$C:$C=$B173, 'Limite de crédito'!$A:$A)), 'Limite de crédito'!$A:$A, 0)),0)</f>
        <v>0</v>
      </c>
      <c r="E173" s="18">
        <f t="shared" ref="E173" si="30">D173-F173</f>
        <v>0</v>
      </c>
      <c r="F173" s="18">
        <f t="shared" ref="F173" si="31">O173+N173</f>
        <v>0</v>
      </c>
      <c r="G173" s="19">
        <f>SUMIFS('Data Additive'!$D:$D,'Data Additive'!$P:$P,'Painel Additive'!#REF!,'Data Additive'!$Q:$Q,"&gt;0",'Data Additive'!$Q:$Q,"&lt;=30")</f>
        <v>0</v>
      </c>
      <c r="H173" s="19">
        <f>SUMIFS('Data Additive'!$D:$D,'Data Additive'!$P:$P,'Painel Additive'!#REF!,'Data Additive'!$Q:$Q,"&gt;30",'Data Additive'!$Q:$Q,"&lt;=60")</f>
        <v>0</v>
      </c>
      <c r="I173" s="19">
        <f>SUMIFS('Data Additive'!$D:$D,'Data Additive'!$P:$P,'Painel Additive'!#REF!,'Data Additive'!$Q:$Q,"&gt;60",'Data Additive'!$Q:$Q,"&lt;=90")</f>
        <v>0</v>
      </c>
      <c r="J173" s="19">
        <f>SUMIFS('Data Additive'!$D:$D,'Data Additive'!$P:$P,'Painel Additive'!#REF!,'Data Additive'!$Q:$Q,"&gt;90",'Data Additive'!$Q:$Q,"&lt;=120")</f>
        <v>0</v>
      </c>
      <c r="K173" s="19">
        <f>SUMIFS('Data Additive'!$D:$D,'Data Additive'!$P:$P,'Painel Additive'!#REF!,'Data Additive'!$Q:$Q,"&gt;120",'Data Additive'!$Q:$Q,"&lt;=180")</f>
        <v>0</v>
      </c>
      <c r="L173" s="19">
        <f>SUMIFS('Data Additive'!$D:$D,'Data Additive'!$P:$P,'Painel Additive'!#REF!,'Data Additive'!$Q:$Q,"&gt;180",'Data Additive'!$Q:$Q,"&lt;=360")</f>
        <v>0</v>
      </c>
      <c r="M173" s="23">
        <f>SUMIFS('Data Additive'!$D:$D,'Data Additive'!$P:$P,'Painel Additive'!#REF!,'Data Additive'!$Q:$Q,"&gt;360")</f>
        <v>0</v>
      </c>
      <c r="N173" s="19">
        <f>SUMIFS('Data Additive'!$D:$D,'Data Additive'!$P:$P,'Painel Additive'!#REF!,'Data Additive'!$Q:$Q,"&gt;0")</f>
        <v>0</v>
      </c>
      <c r="O173" s="19">
        <f t="shared" ref="O173" si="32">SUBTOTAL(9,P173:V173)</f>
        <v>0</v>
      </c>
      <c r="P173" s="19">
        <f>SUMIFS('Data Additive'!$D:$D,'Data Additive'!$P:$P,'Painel Additive'!#REF!,'Data Additive'!$Q:$Q,"&lt;=0",'Data Additive'!$Q:$Q,"&gt;=-30")</f>
        <v>0</v>
      </c>
      <c r="Q173" s="19">
        <f>SUMIFS('Data Additive'!$D:$D,'Data Additive'!$P:$P,'Painel Additive'!#REF!,'Data Additive'!$Q:$Q,"&lt;=-31",'Data Additive'!$Q:$Q,"&gt;=-60")</f>
        <v>0</v>
      </c>
      <c r="R173" s="19">
        <f>SUMIFS('Data Additive'!$D:$D,'Data Additive'!$P:$P,'Painel Additive'!#REF!,'Data Additive'!$Q:$Q,"&lt;=-61",'Data Additive'!$Q:$Q,"&gt;=-90")</f>
        <v>0</v>
      </c>
      <c r="S173" s="19">
        <f>SUMIFS('Data Additive'!$D:$D,'Data Additive'!$P:$P,'Painel Additive'!#REF!,'Data Additive'!$Q:$Q,"&lt;=-91",'Data Additive'!$Q:$Q,"&gt;=-120")</f>
        <v>0</v>
      </c>
      <c r="T173" s="19">
        <f>SUMIFS('Data Additive'!$D:$D,'Data Additive'!$P:$P,'Painel Additive'!#REF!,'Data Additive'!$Q:$Q,"&lt;=-121",'Data Additive'!$Q:$Q,"&gt;=-180")</f>
        <v>0</v>
      </c>
      <c r="U173" s="19">
        <f>SUMIFS('Data Additive'!$D:$D,'Data Additive'!$P:$P,'Painel Additive'!#REF!,'Data Additive'!$Q:$Q,"&lt;=-181",'Data Additive'!$Q:$Q,"&gt;=-360")</f>
        <v>0</v>
      </c>
      <c r="V173" s="23">
        <f>SUMIFS('Data Additive'!$D:$D,'Data Additive'!$P:$P,'Painel Additive'!#REF!,'Data Additive'!$Q:$Q,"&lt;-360")</f>
        <v>0</v>
      </c>
      <c r="W173" s="19" t="e">
        <f>SUMIFS('Bad Debt Provision'!#REF!,'Bad Debt Provision'!#REF!,'Painel Additive'!#REF!)</f>
        <v>#REF!</v>
      </c>
      <c r="X173" s="5"/>
      <c r="Y173" s="20"/>
      <c r="Z173" s="20"/>
      <c r="AA173" s="21"/>
      <c r="AB173" s="5"/>
      <c r="AC173" s="19"/>
      <c r="AD173" s="20"/>
      <c r="AE173" s="22"/>
      <c r="AF173" s="22"/>
      <c r="AG173" s="5"/>
      <c r="AH173" s="28">
        <f t="shared" ref="AH173" si="33">AC173-F173</f>
        <v>0</v>
      </c>
    </row>
  </sheetData>
  <autoFilter ref="A3:AL172" xr:uid="{AA003081-5D89-42A4-AC0D-C73617B1B79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89C1F-5E89-4D89-BD47-6410F9E22C3A}">
  <sheetPr>
    <tabColor theme="4"/>
  </sheetPr>
  <dimension ref="A1:AL63"/>
  <sheetViews>
    <sheetView showGridLines="0" zoomScale="80" zoomScaleNormal="80" workbookViewId="0">
      <pane xSplit="2" ySplit="3" topLeftCell="AD4" activePane="bottomRight" state="frozen"/>
      <selection sqref="A1:XFD1048576"/>
      <selection pane="topRight" sqref="A1:XFD1048576"/>
      <selection pane="bottomLeft" sqref="A1:XFD1048576"/>
      <selection pane="bottomRight" sqref="A1:XFD1048576"/>
    </sheetView>
  </sheetViews>
  <sheetFormatPr defaultRowHeight="13.2" outlineLevelCol="1" x14ac:dyDescent="0.25"/>
  <cols>
    <col min="1" max="1" width="3.109375" customWidth="1"/>
    <col min="2" max="2" width="34" customWidth="1"/>
    <col min="3" max="3" width="9.33203125" style="16" customWidth="1"/>
    <col min="4" max="4" width="15.109375" style="100" bestFit="1" customWidth="1"/>
    <col min="5" max="5" width="15.44140625" customWidth="1"/>
    <col min="6" max="6" width="15.33203125" customWidth="1"/>
    <col min="7" max="7" width="16.5546875" customWidth="1" outlineLevel="1"/>
    <col min="8" max="9" width="17.6640625" customWidth="1" outlineLevel="1"/>
    <col min="10" max="10" width="18.88671875" customWidth="1" outlineLevel="1"/>
    <col min="11" max="12" width="13.88671875" customWidth="1" outlineLevel="1"/>
    <col min="13" max="13" width="16.6640625" customWidth="1" outlineLevel="1"/>
    <col min="14" max="14" width="14.88671875" bestFit="1" customWidth="1"/>
    <col min="15" max="15" width="14.88671875" customWidth="1"/>
    <col min="16" max="16" width="10.44140625" hidden="1" customWidth="1" outlineLevel="1"/>
    <col min="17" max="18" width="11.5546875" hidden="1" customWidth="1" outlineLevel="1"/>
    <col min="19" max="19" width="12.6640625" hidden="1" customWidth="1" outlineLevel="1"/>
    <col min="20" max="21" width="13.88671875" hidden="1" customWidth="1" outlineLevel="1"/>
    <col min="22" max="22" width="16.6640625" hidden="1" customWidth="1" outlineLevel="1"/>
    <col min="23" max="23" width="14.88671875" bestFit="1" customWidth="1" collapsed="1"/>
    <col min="24" max="24" width="1.6640625" customWidth="1"/>
    <col min="25" max="25" width="16.109375" bestFit="1" customWidth="1"/>
    <col min="26" max="26" width="13.33203125" customWidth="1"/>
    <col min="27" max="27" width="13.33203125" style="16" customWidth="1"/>
    <col min="28" max="28" width="1.6640625" customWidth="1"/>
    <col min="29" max="29" width="10.6640625" customWidth="1"/>
    <col min="30" max="30" width="12.33203125" customWidth="1"/>
    <col min="31" max="31" width="10" style="7" customWidth="1"/>
    <col min="32" max="32" width="12.44140625" style="16" bestFit="1" customWidth="1"/>
    <col min="33" max="33" width="1.6640625" customWidth="1"/>
    <col min="34" max="34" width="16.5546875" style="29" customWidth="1"/>
    <col min="35" max="35" width="1.6640625" customWidth="1"/>
    <col min="36" max="36" width="23.5546875" customWidth="1"/>
    <col min="38" max="38" width="11.44140625" bestFit="1" customWidth="1"/>
  </cols>
  <sheetData>
    <row r="1" spans="1:38" s="9" customFormat="1" ht="12" x14ac:dyDescent="0.25">
      <c r="B1" s="96">
        <v>45673</v>
      </c>
      <c r="C1" s="99"/>
      <c r="D1" s="101">
        <f>SUBTOTAL(9,D4:D63)</f>
        <v>0</v>
      </c>
      <c r="E1" s="11"/>
      <c r="F1" s="9">
        <f t="shared" ref="F1:N1" si="0">SUBTOTAL(9,F4:F191)</f>
        <v>24444491.540000003</v>
      </c>
      <c r="G1" s="9">
        <f t="shared" si="0"/>
        <v>0</v>
      </c>
      <c r="H1" s="9">
        <f t="shared" si="0"/>
        <v>0</v>
      </c>
      <c r="I1" s="9">
        <f t="shared" si="0"/>
        <v>0</v>
      </c>
      <c r="J1" s="9">
        <f t="shared" si="0"/>
        <v>0</v>
      </c>
      <c r="K1" s="9">
        <f t="shared" si="0"/>
        <v>0</v>
      </c>
      <c r="L1" s="9">
        <f t="shared" si="0"/>
        <v>462720</v>
      </c>
      <c r="M1" s="9">
        <f t="shared" si="0"/>
        <v>21392108.589999996</v>
      </c>
      <c r="N1" s="9">
        <f t="shared" si="0"/>
        <v>21854828.589999996</v>
      </c>
      <c r="O1" s="9">
        <f t="shared" ref="O1:W1" si="1">SUM(O4:O192)</f>
        <v>2589662.9500000002</v>
      </c>
      <c r="P1" s="9">
        <f t="shared" si="1"/>
        <v>1527495.39</v>
      </c>
      <c r="Q1" s="9">
        <f t="shared" si="1"/>
        <v>0</v>
      </c>
      <c r="R1" s="9">
        <f t="shared" si="1"/>
        <v>0</v>
      </c>
      <c r="S1" s="9">
        <f t="shared" si="1"/>
        <v>5030.5</v>
      </c>
      <c r="T1" s="9">
        <f t="shared" si="1"/>
        <v>1057137.06</v>
      </c>
      <c r="U1" s="9">
        <f t="shared" si="1"/>
        <v>0</v>
      </c>
      <c r="V1" s="9">
        <f t="shared" si="1"/>
        <v>0</v>
      </c>
      <c r="W1" s="9" t="e">
        <f t="shared" si="1"/>
        <v>#REF!</v>
      </c>
      <c r="X1" s="10"/>
      <c r="Y1" s="42">
        <f>N1/F1</f>
        <v>0.89405944706346685</v>
      </c>
      <c r="Z1" s="10"/>
      <c r="AA1" s="14"/>
      <c r="AB1" s="10"/>
      <c r="AE1" s="10"/>
      <c r="AF1" s="14"/>
      <c r="AG1" s="10"/>
      <c r="AH1" s="27"/>
      <c r="AI1" s="10"/>
    </row>
    <row r="2" spans="1:38" ht="14.4" customHeight="1" thickBot="1" x14ac:dyDescent="0.3">
      <c r="B2" s="8"/>
      <c r="C2" s="8"/>
      <c r="D2" s="102"/>
      <c r="E2" s="8"/>
      <c r="F2" s="8"/>
      <c r="G2" s="45" t="s">
        <v>26</v>
      </c>
      <c r="H2" s="45"/>
      <c r="I2" s="45"/>
      <c r="J2" s="45"/>
      <c r="K2" s="45"/>
      <c r="L2" s="45"/>
      <c r="M2" s="45"/>
      <c r="N2" s="33"/>
      <c r="O2" s="33"/>
      <c r="P2" s="45" t="s">
        <v>16</v>
      </c>
      <c r="Q2" s="45"/>
      <c r="R2" s="45"/>
      <c r="S2" s="45"/>
      <c r="T2" s="45"/>
      <c r="U2" s="45"/>
      <c r="V2" s="45"/>
      <c r="W2" s="8"/>
      <c r="X2" s="6"/>
      <c r="Y2" s="46" t="s">
        <v>158</v>
      </c>
      <c r="Z2" s="46"/>
      <c r="AA2" s="46"/>
      <c r="AB2" s="6"/>
      <c r="AC2" s="46" t="s">
        <v>7</v>
      </c>
      <c r="AD2" s="46"/>
      <c r="AE2" s="46"/>
      <c r="AF2" s="46"/>
      <c r="AG2" s="6"/>
      <c r="AH2" s="37" t="s">
        <v>25</v>
      </c>
      <c r="AI2" s="6"/>
      <c r="AJ2" s="39" t="s">
        <v>24</v>
      </c>
      <c r="AK2" s="24"/>
      <c r="AL2" s="24"/>
    </row>
    <row r="3" spans="1:38" ht="15" thickTop="1" thickBot="1" x14ac:dyDescent="0.3">
      <c r="A3" t="s">
        <v>224</v>
      </c>
      <c r="B3" s="8" t="s">
        <v>22</v>
      </c>
      <c r="C3" s="103" t="s">
        <v>435</v>
      </c>
      <c r="D3" s="95" t="s">
        <v>467</v>
      </c>
      <c r="E3" s="95" t="s">
        <v>436</v>
      </c>
      <c r="F3" s="12" t="s">
        <v>17</v>
      </c>
      <c r="G3" s="43" t="s">
        <v>9</v>
      </c>
      <c r="H3" s="43" t="s">
        <v>10</v>
      </c>
      <c r="I3" s="43" t="s">
        <v>11</v>
      </c>
      <c r="J3" s="43" t="s">
        <v>12</v>
      </c>
      <c r="K3" s="43" t="s">
        <v>13</v>
      </c>
      <c r="L3" s="43" t="s">
        <v>14</v>
      </c>
      <c r="M3" s="44" t="s">
        <v>15</v>
      </c>
      <c r="N3" s="12" t="s">
        <v>27</v>
      </c>
      <c r="O3" s="12" t="s">
        <v>8</v>
      </c>
      <c r="P3" s="43" t="s">
        <v>9</v>
      </c>
      <c r="Q3" s="43" t="s">
        <v>10</v>
      </c>
      <c r="R3" s="43" t="s">
        <v>11</v>
      </c>
      <c r="S3" s="43" t="s">
        <v>12</v>
      </c>
      <c r="T3" s="43" t="s">
        <v>13</v>
      </c>
      <c r="U3" s="43" t="s">
        <v>14</v>
      </c>
      <c r="V3" s="44" t="s">
        <v>15</v>
      </c>
      <c r="W3" s="12" t="s">
        <v>297</v>
      </c>
      <c r="X3" s="6" t="s">
        <v>224</v>
      </c>
      <c r="Y3" s="12" t="s">
        <v>18</v>
      </c>
      <c r="Z3" s="13" t="s">
        <v>20</v>
      </c>
      <c r="AA3" s="15" t="s">
        <v>21</v>
      </c>
      <c r="AB3" s="6" t="s">
        <v>224</v>
      </c>
      <c r="AC3" s="12" t="s">
        <v>18</v>
      </c>
      <c r="AD3" s="13" t="s">
        <v>20</v>
      </c>
      <c r="AE3" s="13" t="s">
        <v>19</v>
      </c>
      <c r="AF3" s="15" t="s">
        <v>23</v>
      </c>
      <c r="AG3" s="6" t="s">
        <v>224</v>
      </c>
      <c r="AH3" s="38"/>
      <c r="AI3" s="6" t="s">
        <v>224</v>
      </c>
      <c r="AJ3" s="40"/>
      <c r="AK3" s="24" t="s">
        <v>224</v>
      </c>
      <c r="AL3" s="24"/>
    </row>
    <row r="4" spans="1:38" ht="15.75" customHeight="1" thickTop="1" x14ac:dyDescent="0.25">
      <c r="B4" s="17" t="s">
        <v>176</v>
      </c>
      <c r="C4" s="97" t="s">
        <v>473</v>
      </c>
      <c r="D4" s="107">
        <v>0</v>
      </c>
      <c r="E4" s="18">
        <f t="shared" ref="E4:E35" si="2">D4-F4</f>
        <v>-7560727.799999997</v>
      </c>
      <c r="F4" s="18">
        <f t="shared" ref="F4:F35" si="3">O4+N4</f>
        <v>7560727.799999997</v>
      </c>
      <c r="G4" s="19">
        <f>SUMIFS('Data Fertilizers'!$D:$D,'Data Fertilizers'!$P:$P,$B4,'Data Fertilizers'!$Q:$Q,"&gt;0",'Data Fertilizers'!$Q:$Q,"&lt;=30")</f>
        <v>0</v>
      </c>
      <c r="H4" s="19">
        <f>SUMIFS('Data Fertilizers'!$D:$D,'Data Fertilizers'!$P:$P,$B4,'Data Fertilizers'!$Q:$Q,"&gt;30",'Data Fertilizers'!$Q:$Q,"&lt;=60")</f>
        <v>0</v>
      </c>
      <c r="I4" s="19">
        <f>SUMIFS('Data Fertilizers'!$D:$D,'Data Fertilizers'!$P:$P,$B4,'Data Fertilizers'!$Q:$Q,"&gt;60",'Data Fertilizers'!$Q:$Q,"&lt;=90")</f>
        <v>0</v>
      </c>
      <c r="J4" s="19">
        <f>SUMIFS('Data Fertilizers'!$D:$D,'Data Fertilizers'!$P:$P,$B4,'Data Fertilizers'!$Q:$Q,"&gt;90",'Data Fertilizers'!$Q:$Q,"&lt;=120")</f>
        <v>0</v>
      </c>
      <c r="K4" s="19">
        <f>SUMIFS('Data Fertilizers'!$D:$D,'Data Fertilizers'!$P:$P,$B4,'Data Fertilizers'!$Q:$Q,"&gt;120",'Data Fertilizers'!$Q:$Q,"&lt;=180")</f>
        <v>0</v>
      </c>
      <c r="L4" s="19">
        <f>SUMIFS('Data Fertilizers'!$D:$D,'Data Fertilizers'!$P:$P,$B4,'Data Fertilizers'!$Q:$Q,"&gt;180",'Data Fertilizers'!$Q:$Q,"&lt;=360")</f>
        <v>0</v>
      </c>
      <c r="M4" s="23">
        <f>SUMIFS('Data Fertilizers'!$D:$D,'Data Fertilizers'!$P:$P,$B4,'Data Fertilizers'!$Q:$Q,"&gt;360")</f>
        <v>7560727.799999997</v>
      </c>
      <c r="N4" s="19">
        <f>SUMIFS('Data Fertilizers'!$D:$D,'Data Fertilizers'!$P:$P,$B4,'Data Fertilizers'!$Q:$Q,"&gt;0")</f>
        <v>7560727.799999997</v>
      </c>
      <c r="O4" s="19">
        <f t="shared" ref="O4:O35" si="4">SUBTOTAL(9,P4:V4)</f>
        <v>0</v>
      </c>
      <c r="P4" s="19">
        <f>SUMIFS('Data Fertilizers'!$D:$D,'Data Fertilizers'!$P:$P,$B4,'Data Fertilizers'!$Q:$Q,"&lt;=0",'Data Fertilizers'!$Q:$Q,"&gt;=-30")</f>
        <v>0</v>
      </c>
      <c r="Q4" s="19">
        <f>SUMIFS('Data Fertilizers'!$D:$D,'Data Fertilizers'!$P:$P,$B4,'Data Fertilizers'!$Q:$Q,"&lt;=-31",'Data Fertilizers'!$Q:$Q,"&gt;=-60")</f>
        <v>0</v>
      </c>
      <c r="R4" s="19">
        <f>SUMIFS('Data Fertilizers'!$D:$D,'Data Fertilizers'!$P:$P,$B4,'Data Fertilizers'!$Q:$Q,"&lt;=-61",'Data Fertilizers'!$Q:$Q,"&gt;=-90")</f>
        <v>0</v>
      </c>
      <c r="S4" s="19">
        <f>SUMIFS('Data Fertilizers'!$D:$D,'Data Fertilizers'!$P:$P,$B4,'Data Fertilizers'!$Q:$Q,"&lt;=-91",'Data Fertilizers'!$Q:$Q,"&gt;=-120")</f>
        <v>0</v>
      </c>
      <c r="T4" s="19">
        <f>SUMIFS('Data Fertilizers'!$D:$D,'Data Fertilizers'!$P:$P,$B4,'Data Fertilizers'!$Q:$Q,"&lt;=-121",'Data Fertilizers'!$Q:$Q,"&gt;=-180")</f>
        <v>0</v>
      </c>
      <c r="U4" s="19">
        <f>SUMIFS('Data Fertilizers'!$D:$D,'Data Fertilizers'!$P:$P,$B4,'Data Fertilizers'!$Q:$Q,"&lt;=-181",'Data Fertilizers'!$Q:$Q,"&gt;=-360")</f>
        <v>0</v>
      </c>
      <c r="V4" s="23">
        <f>SUMIFS('Data Fertilizers'!$D:$D,'Data Fertilizers'!$P:$P,$B4,'Data Fertilizers'!$Q:$Q,"&lt;-360")</f>
        <v>0</v>
      </c>
      <c r="W4" s="19" t="e">
        <f>SUMIFS('Bad Debt Provision'!#REF!,'Bad Debt Provision'!#REF!,'Painel Fertilizers'!$B4)</f>
        <v>#REF!</v>
      </c>
      <c r="X4" s="5"/>
      <c r="Y4" s="20">
        <v>0</v>
      </c>
      <c r="Z4" s="20">
        <v>0</v>
      </c>
      <c r="AA4" s="21">
        <v>0</v>
      </c>
      <c r="AB4" s="5"/>
      <c r="AC4" s="19">
        <v>0</v>
      </c>
      <c r="AD4" s="20">
        <v>0</v>
      </c>
      <c r="AE4" s="22"/>
      <c r="AF4" s="22"/>
      <c r="AG4" s="5"/>
      <c r="AH4" s="28">
        <f t="shared" ref="AH4:AH35" si="5">AC4-F4</f>
        <v>-7560727.799999997</v>
      </c>
      <c r="AI4" s="5"/>
      <c r="AJ4" s="26"/>
    </row>
    <row r="5" spans="1:38" ht="15.75" customHeight="1" x14ac:dyDescent="0.25">
      <c r="B5" s="41" t="s">
        <v>431</v>
      </c>
      <c r="C5" s="97" cm="1">
        <f t="array" ref="C5">IFERROR(INDEX('Limite de crédito'!$D:$D, MATCH(MAX(IF('Limite de crédito'!$C:$C=$B5, 'Limite de crédito'!$A:$A)), 'Limite de crédito'!$A:$A, 0)),"")</f>
        <v>45926</v>
      </c>
      <c r="D5" s="107" t="str" cm="1">
        <f t="array" ref="D5">IFERROR(INDEX('Limite de crédito'!$F:$F, MATCH(MAX(IF('Limite de crédito'!$C:$C=$B5, 'Limite de crédito'!$A:$A)), 'Limite de crédito'!$A:$A, 0)),0)</f>
        <v>Sim</v>
      </c>
      <c r="E5" s="18" t="e">
        <f t="shared" si="2"/>
        <v>#VALUE!</v>
      </c>
      <c r="F5" s="18">
        <f t="shared" si="3"/>
        <v>306727.12</v>
      </c>
      <c r="G5" s="19">
        <f>SUMIFS('Data Fertilizers'!$D:$D,'Data Fertilizers'!$P:$P,$B5,'Data Fertilizers'!$Q:$Q,"&gt;0",'Data Fertilizers'!$Q:$Q,"&lt;=30")</f>
        <v>0</v>
      </c>
      <c r="H5" s="19">
        <f>SUMIFS('Data Fertilizers'!$D:$D,'Data Fertilizers'!$P:$P,$B5,'Data Fertilizers'!$Q:$Q,"&gt;30",'Data Fertilizers'!$Q:$Q,"&lt;=60")</f>
        <v>0</v>
      </c>
      <c r="I5" s="19">
        <f>SUMIFS('Data Fertilizers'!$D:$D,'Data Fertilizers'!$P:$P,$B5,'Data Fertilizers'!$Q:$Q,"&gt;60",'Data Fertilizers'!$Q:$Q,"&lt;=90")</f>
        <v>0</v>
      </c>
      <c r="J5" s="19">
        <f>SUMIFS('Data Fertilizers'!$D:$D,'Data Fertilizers'!$P:$P,$B5,'Data Fertilizers'!$Q:$Q,"&gt;90",'Data Fertilizers'!$Q:$Q,"&lt;=120")</f>
        <v>0</v>
      </c>
      <c r="K5" s="19">
        <f>SUMIFS('Data Fertilizers'!$D:$D,'Data Fertilizers'!$P:$P,$B5,'Data Fertilizers'!$Q:$Q,"&gt;120",'Data Fertilizers'!$Q:$Q,"&lt;=180")</f>
        <v>0</v>
      </c>
      <c r="L5" s="19">
        <f>SUMIFS('Data Fertilizers'!$D:$D,'Data Fertilizers'!$P:$P,$B5,'Data Fertilizers'!$Q:$Q,"&gt;180",'Data Fertilizers'!$Q:$Q,"&lt;=360")</f>
        <v>0</v>
      </c>
      <c r="M5" s="23">
        <f>SUMIFS('Data Fertilizers'!$D:$D,'Data Fertilizers'!$P:$P,$B5,'Data Fertilizers'!$Q:$Q,"&gt;360")</f>
        <v>0</v>
      </c>
      <c r="N5" s="19">
        <f>SUMIFS('Data Fertilizers'!$D:$D,'Data Fertilizers'!$P:$P,$B5,'Data Fertilizers'!$Q:$Q,"&gt;0")</f>
        <v>0</v>
      </c>
      <c r="O5" s="19">
        <f t="shared" si="4"/>
        <v>306727.12</v>
      </c>
      <c r="P5" s="19">
        <f>SUMIFS('Data Fertilizers'!$D:$D,'Data Fertilizers'!$P:$P,$B5,'Data Fertilizers'!$Q:$Q,"&lt;=0",'Data Fertilizers'!$Q:$Q,"&gt;=-30")</f>
        <v>306727.12</v>
      </c>
      <c r="Q5" s="19">
        <f>SUMIFS('Data Fertilizers'!$D:$D,'Data Fertilizers'!$P:$P,$B5,'Data Fertilizers'!$Q:$Q,"&lt;=-31",'Data Fertilizers'!$Q:$Q,"&gt;=-60")</f>
        <v>0</v>
      </c>
      <c r="R5" s="19">
        <f>SUMIFS('Data Fertilizers'!$D:$D,'Data Fertilizers'!$P:$P,$B5,'Data Fertilizers'!$Q:$Q,"&lt;=-61",'Data Fertilizers'!$Q:$Q,"&gt;=-90")</f>
        <v>0</v>
      </c>
      <c r="S5" s="19">
        <f>SUMIFS('Data Fertilizers'!$D:$D,'Data Fertilizers'!$P:$P,$B5,'Data Fertilizers'!$Q:$Q,"&lt;=-91",'Data Fertilizers'!$Q:$Q,"&gt;=-120")</f>
        <v>0</v>
      </c>
      <c r="T5" s="19">
        <f>SUMIFS('Data Fertilizers'!$D:$D,'Data Fertilizers'!$P:$P,$B5,'Data Fertilizers'!$Q:$Q,"&lt;=-121",'Data Fertilizers'!$Q:$Q,"&gt;=-180")</f>
        <v>0</v>
      </c>
      <c r="U5" s="19">
        <f>SUMIFS('Data Fertilizers'!$D:$D,'Data Fertilizers'!$P:$P,$B5,'Data Fertilizers'!$Q:$Q,"&lt;=-181",'Data Fertilizers'!$Q:$Q,"&gt;=-360")</f>
        <v>0</v>
      </c>
      <c r="V5" s="23">
        <f>SUMIFS('Data Fertilizers'!$D:$D,'Data Fertilizers'!$P:$P,$B5,'Data Fertilizers'!$Q:$Q,"&lt;-360")</f>
        <v>0</v>
      </c>
      <c r="W5" s="19" t="e">
        <f>SUMIFS('Bad Debt Provision'!#REF!,'Bad Debt Provision'!#REF!,'Painel Fertilizers'!#REF!)</f>
        <v>#REF!</v>
      </c>
      <c r="Y5" s="20"/>
      <c r="Z5" s="20"/>
      <c r="AA5" s="21"/>
      <c r="AB5" s="5"/>
      <c r="AC5" s="19"/>
      <c r="AD5" s="20"/>
      <c r="AE5" s="22"/>
      <c r="AF5" s="22"/>
      <c r="AG5" s="5"/>
      <c r="AH5" s="28">
        <f t="shared" si="5"/>
        <v>-306727.12</v>
      </c>
    </row>
    <row r="6" spans="1:38" ht="15.75" customHeight="1" x14ac:dyDescent="0.25">
      <c r="B6" s="41" t="s">
        <v>428</v>
      </c>
      <c r="C6" s="97" t="s">
        <v>473</v>
      </c>
      <c r="D6" s="107" cm="1">
        <f t="array" ref="D6">IFERROR(INDEX('Limite de crédito'!$F:$F, MATCH(MAX(IF('Limite de crédito'!$C:$C=$B6, 'Limite de crédito'!$A:$A)), 'Limite de crédito'!$A:$A, 0)),0)</f>
        <v>0</v>
      </c>
      <c r="E6" s="18">
        <f t="shared" si="2"/>
        <v>-3088531.0700000003</v>
      </c>
      <c r="F6" s="18">
        <f t="shared" si="3"/>
        <v>3088531.0700000003</v>
      </c>
      <c r="G6" s="19">
        <f>SUMIFS('Data Fertilizers'!$D:$D,'Data Fertilizers'!$P:$P,$B6,'Data Fertilizers'!$Q:$Q,"&gt;0",'Data Fertilizers'!$Q:$Q,"&lt;=30")</f>
        <v>0</v>
      </c>
      <c r="H6" s="19">
        <f>SUMIFS('Data Fertilizers'!$D:$D,'Data Fertilizers'!$P:$P,$B6,'Data Fertilizers'!$Q:$Q,"&gt;30",'Data Fertilizers'!$Q:$Q,"&lt;=60")</f>
        <v>0</v>
      </c>
      <c r="I6" s="19">
        <f>SUMIFS('Data Fertilizers'!$D:$D,'Data Fertilizers'!$P:$P,$B6,'Data Fertilizers'!$Q:$Q,"&gt;60",'Data Fertilizers'!$Q:$Q,"&lt;=90")</f>
        <v>0</v>
      </c>
      <c r="J6" s="19">
        <f>SUMIFS('Data Fertilizers'!$D:$D,'Data Fertilizers'!$P:$P,$B6,'Data Fertilizers'!$Q:$Q,"&gt;90",'Data Fertilizers'!$Q:$Q,"&lt;=120")</f>
        <v>0</v>
      </c>
      <c r="K6" s="19">
        <f>SUMIFS('Data Fertilizers'!$D:$D,'Data Fertilizers'!$P:$P,$B6,'Data Fertilizers'!$Q:$Q,"&gt;120",'Data Fertilizers'!$Q:$Q,"&lt;=180")</f>
        <v>0</v>
      </c>
      <c r="L6" s="19">
        <f>SUMIFS('Data Fertilizers'!$D:$D,'Data Fertilizers'!$P:$P,$B6,'Data Fertilizers'!$Q:$Q,"&gt;180",'Data Fertilizers'!$Q:$Q,"&lt;=360")</f>
        <v>0</v>
      </c>
      <c r="M6" s="23">
        <f>SUMIFS('Data Fertilizers'!$D:$D,'Data Fertilizers'!$P:$P,$B6,'Data Fertilizers'!$Q:$Q,"&gt;360")</f>
        <v>3088531.0700000003</v>
      </c>
      <c r="N6" s="19">
        <f>SUMIFS('Data Fertilizers'!$D:$D,'Data Fertilizers'!$P:$P,$B6,'Data Fertilizers'!$Q:$Q,"&gt;0")</f>
        <v>3088531.0700000003</v>
      </c>
      <c r="O6" s="19">
        <f t="shared" si="4"/>
        <v>0</v>
      </c>
      <c r="P6" s="19">
        <f>SUMIFS('Data Fertilizers'!$D:$D,'Data Fertilizers'!$P:$P,$B6,'Data Fertilizers'!$Q:$Q,"&lt;=0",'Data Fertilizers'!$Q:$Q,"&gt;=-30")</f>
        <v>0</v>
      </c>
      <c r="Q6" s="19">
        <f>SUMIFS('Data Fertilizers'!$D:$D,'Data Fertilizers'!$P:$P,$B6,'Data Fertilizers'!$Q:$Q,"&lt;=-31",'Data Fertilizers'!$Q:$Q,"&gt;=-60")</f>
        <v>0</v>
      </c>
      <c r="R6" s="19">
        <f>SUMIFS('Data Fertilizers'!$D:$D,'Data Fertilizers'!$P:$P,$B6,'Data Fertilizers'!$Q:$Q,"&lt;=-61",'Data Fertilizers'!$Q:$Q,"&gt;=-90")</f>
        <v>0</v>
      </c>
      <c r="S6" s="19">
        <f>SUMIFS('Data Fertilizers'!$D:$D,'Data Fertilizers'!$P:$P,$B6,'Data Fertilizers'!$Q:$Q,"&lt;=-91",'Data Fertilizers'!$Q:$Q,"&gt;=-120")</f>
        <v>0</v>
      </c>
      <c r="T6" s="19">
        <f>SUMIFS('Data Fertilizers'!$D:$D,'Data Fertilizers'!$P:$P,$B6,'Data Fertilizers'!$Q:$Q,"&lt;=-121",'Data Fertilizers'!$Q:$Q,"&gt;=-180")</f>
        <v>0</v>
      </c>
      <c r="U6" s="19">
        <f>SUMIFS('Data Fertilizers'!$D:$D,'Data Fertilizers'!$P:$P,$B6,'Data Fertilizers'!$Q:$Q,"&lt;=-181",'Data Fertilizers'!$Q:$Q,"&gt;=-360")</f>
        <v>0</v>
      </c>
      <c r="V6" s="23">
        <f>SUMIFS('Data Fertilizers'!$D:$D,'Data Fertilizers'!$P:$P,$B6,'Data Fertilizers'!$Q:$Q,"&lt;-360")</f>
        <v>0</v>
      </c>
      <c r="W6" s="19" t="e">
        <f>SUMIFS('Bad Debt Provision'!#REF!,'Bad Debt Provision'!#REF!,'Painel Fertilizers'!#REF!)</f>
        <v>#REF!</v>
      </c>
      <c r="Y6" s="20"/>
      <c r="Z6" s="20"/>
      <c r="AA6" s="21"/>
      <c r="AB6" s="5"/>
      <c r="AC6" s="19"/>
      <c r="AD6" s="20"/>
      <c r="AE6" s="22"/>
      <c r="AF6" s="22"/>
      <c r="AG6" s="5"/>
      <c r="AH6" s="28">
        <f t="shared" si="5"/>
        <v>-3088531.0700000003</v>
      </c>
    </row>
    <row r="7" spans="1:38" ht="15.75" customHeight="1" x14ac:dyDescent="0.25">
      <c r="B7" s="17" t="s">
        <v>209</v>
      </c>
      <c r="C7" s="97" t="s">
        <v>473</v>
      </c>
      <c r="D7" s="107">
        <v>0</v>
      </c>
      <c r="E7" s="18">
        <f t="shared" si="2"/>
        <v>-3044850.9199999995</v>
      </c>
      <c r="F7" s="18">
        <f t="shared" si="3"/>
        <v>3044850.9199999995</v>
      </c>
      <c r="G7" s="19">
        <f>SUMIFS('Data Fertilizers'!$D:$D,'Data Fertilizers'!$P:$P,$B7,'Data Fertilizers'!$Q:$Q,"&gt;0",'Data Fertilizers'!$Q:$Q,"&lt;=30")</f>
        <v>0</v>
      </c>
      <c r="H7" s="19">
        <f>SUMIFS('Data Fertilizers'!$D:$D,'Data Fertilizers'!$P:$P,$B7,'Data Fertilizers'!$Q:$Q,"&gt;30",'Data Fertilizers'!$Q:$Q,"&lt;=60")</f>
        <v>0</v>
      </c>
      <c r="I7" s="19">
        <f>SUMIFS('Data Fertilizers'!$D:$D,'Data Fertilizers'!$P:$P,$B7,'Data Fertilizers'!$Q:$Q,"&gt;60",'Data Fertilizers'!$Q:$Q,"&lt;=90")</f>
        <v>0</v>
      </c>
      <c r="J7" s="19">
        <f>SUMIFS('Data Fertilizers'!$D:$D,'Data Fertilizers'!$P:$P,$B7,'Data Fertilizers'!$Q:$Q,"&gt;90",'Data Fertilizers'!$Q:$Q,"&lt;=120")</f>
        <v>0</v>
      </c>
      <c r="K7" s="19">
        <f>SUMIFS('Data Fertilizers'!$D:$D,'Data Fertilizers'!$P:$P,$B7,'Data Fertilizers'!$Q:$Q,"&gt;120",'Data Fertilizers'!$Q:$Q,"&lt;=180")</f>
        <v>0</v>
      </c>
      <c r="L7" s="19">
        <f>SUMIFS('Data Fertilizers'!$D:$D,'Data Fertilizers'!$P:$P,$B7,'Data Fertilizers'!$Q:$Q,"&gt;180",'Data Fertilizers'!$Q:$Q,"&lt;=360")</f>
        <v>0</v>
      </c>
      <c r="M7" s="23">
        <f>SUMIFS('Data Fertilizers'!$D:$D,'Data Fertilizers'!$P:$P,$B7,'Data Fertilizers'!$Q:$Q,"&gt;360")</f>
        <v>3044850.9199999995</v>
      </c>
      <c r="N7" s="19">
        <f>SUMIFS('Data Fertilizers'!$D:$D,'Data Fertilizers'!$P:$P,$B7,'Data Fertilizers'!$Q:$Q,"&gt;0")</f>
        <v>3044850.9199999995</v>
      </c>
      <c r="O7" s="19">
        <f t="shared" si="4"/>
        <v>0</v>
      </c>
      <c r="P7" s="19">
        <f>SUMIFS('Data Fertilizers'!$D:$D,'Data Fertilizers'!$P:$P,$B7,'Data Fertilizers'!$Q:$Q,"&lt;=0",'Data Fertilizers'!$Q:$Q,"&gt;=-30")</f>
        <v>0</v>
      </c>
      <c r="Q7" s="19">
        <f>SUMIFS('Data Fertilizers'!$D:$D,'Data Fertilizers'!$P:$P,$B7,'Data Fertilizers'!$Q:$Q,"&lt;=-31",'Data Fertilizers'!$Q:$Q,"&gt;=-60")</f>
        <v>0</v>
      </c>
      <c r="R7" s="19">
        <f>SUMIFS('Data Fertilizers'!$D:$D,'Data Fertilizers'!$P:$P,$B7,'Data Fertilizers'!$Q:$Q,"&lt;=-61",'Data Fertilizers'!$Q:$Q,"&gt;=-90")</f>
        <v>0</v>
      </c>
      <c r="S7" s="19">
        <f>SUMIFS('Data Fertilizers'!$D:$D,'Data Fertilizers'!$P:$P,$B7,'Data Fertilizers'!$Q:$Q,"&lt;=-91",'Data Fertilizers'!$Q:$Q,"&gt;=-120")</f>
        <v>0</v>
      </c>
      <c r="T7" s="19">
        <f>SUMIFS('Data Fertilizers'!$D:$D,'Data Fertilizers'!$P:$P,$B7,'Data Fertilizers'!$Q:$Q,"&lt;=-121",'Data Fertilizers'!$Q:$Q,"&gt;=-180")</f>
        <v>0</v>
      </c>
      <c r="U7" s="19">
        <f>SUMIFS('Data Fertilizers'!$D:$D,'Data Fertilizers'!$P:$P,$B7,'Data Fertilizers'!$Q:$Q,"&lt;=-181",'Data Fertilizers'!$Q:$Q,"&gt;=-360")</f>
        <v>0</v>
      </c>
      <c r="V7" s="23">
        <f>SUMIFS('Data Fertilizers'!$D:$D,'Data Fertilizers'!$P:$P,$B7,'Data Fertilizers'!$Q:$Q,"&lt;-360")</f>
        <v>0</v>
      </c>
      <c r="W7" s="19" t="e">
        <f>SUMIFS('Bad Debt Provision'!#REF!,'Bad Debt Provision'!#REF!,'Painel Fertilizers'!$B22)</f>
        <v>#REF!</v>
      </c>
      <c r="X7" s="5"/>
      <c r="Y7" s="20">
        <v>3000000</v>
      </c>
      <c r="Z7" s="20" t="s">
        <v>225</v>
      </c>
      <c r="AA7" s="21">
        <v>90</v>
      </c>
      <c r="AB7" s="5"/>
      <c r="AC7" s="19">
        <v>3000000</v>
      </c>
      <c r="AD7" s="20" t="s">
        <v>225</v>
      </c>
      <c r="AE7" s="22">
        <v>45655</v>
      </c>
      <c r="AF7" s="22" t="s">
        <v>231</v>
      </c>
      <c r="AG7" s="5"/>
      <c r="AH7" s="28">
        <f t="shared" si="5"/>
        <v>-44850.91999999946</v>
      </c>
      <c r="AI7" s="5"/>
      <c r="AJ7" s="26"/>
    </row>
    <row r="8" spans="1:38" ht="15.75" customHeight="1" x14ac:dyDescent="0.25">
      <c r="B8" s="17" t="s">
        <v>186</v>
      </c>
      <c r="C8" s="97" t="s">
        <v>473</v>
      </c>
      <c r="D8" s="107">
        <v>0</v>
      </c>
      <c r="E8" s="18">
        <f t="shared" si="2"/>
        <v>-2492842.0500000003</v>
      </c>
      <c r="F8" s="18">
        <f t="shared" si="3"/>
        <v>2492842.0500000003</v>
      </c>
      <c r="G8" s="19">
        <f>SUMIFS('Data Fertilizers'!$D:$D,'Data Fertilizers'!$P:$P,$B8,'Data Fertilizers'!$Q:$Q,"&gt;0",'Data Fertilizers'!$Q:$Q,"&lt;=30")</f>
        <v>0</v>
      </c>
      <c r="H8" s="19">
        <f>SUMIFS('Data Fertilizers'!$D:$D,'Data Fertilizers'!$P:$P,$B8,'Data Fertilizers'!$Q:$Q,"&gt;30",'Data Fertilizers'!$Q:$Q,"&lt;=60")</f>
        <v>0</v>
      </c>
      <c r="I8" s="19">
        <f>SUMIFS('Data Fertilizers'!$D:$D,'Data Fertilizers'!$P:$P,$B8,'Data Fertilizers'!$Q:$Q,"&gt;60",'Data Fertilizers'!$Q:$Q,"&lt;=90")</f>
        <v>0</v>
      </c>
      <c r="J8" s="19">
        <f>SUMIFS('Data Fertilizers'!$D:$D,'Data Fertilizers'!$P:$P,$B8,'Data Fertilizers'!$Q:$Q,"&gt;90",'Data Fertilizers'!$Q:$Q,"&lt;=120")</f>
        <v>0</v>
      </c>
      <c r="K8" s="19">
        <f>SUMIFS('Data Fertilizers'!$D:$D,'Data Fertilizers'!$P:$P,$B8,'Data Fertilizers'!$Q:$Q,"&gt;120",'Data Fertilizers'!$Q:$Q,"&lt;=180")</f>
        <v>0</v>
      </c>
      <c r="L8" s="19">
        <f>SUMIFS('Data Fertilizers'!$D:$D,'Data Fertilizers'!$P:$P,$B8,'Data Fertilizers'!$Q:$Q,"&gt;180",'Data Fertilizers'!$Q:$Q,"&lt;=360")</f>
        <v>0</v>
      </c>
      <c r="M8" s="23">
        <f>SUMIFS('Data Fertilizers'!$D:$D,'Data Fertilizers'!$P:$P,$B8,'Data Fertilizers'!$Q:$Q,"&gt;360")</f>
        <v>2492842.0500000003</v>
      </c>
      <c r="N8" s="19">
        <f>SUMIFS('Data Fertilizers'!$D:$D,'Data Fertilizers'!$P:$P,$B8,'Data Fertilizers'!$Q:$Q,"&gt;0")</f>
        <v>2492842.0500000003</v>
      </c>
      <c r="O8" s="19">
        <f t="shared" si="4"/>
        <v>0</v>
      </c>
      <c r="P8" s="19">
        <f>SUMIFS('Data Fertilizers'!$D:$D,'Data Fertilizers'!$P:$P,$B8,'Data Fertilizers'!$Q:$Q,"&lt;=0",'Data Fertilizers'!$Q:$Q,"&gt;=-30")</f>
        <v>0</v>
      </c>
      <c r="Q8" s="19">
        <f>SUMIFS('Data Fertilizers'!$D:$D,'Data Fertilizers'!$P:$P,$B8,'Data Fertilizers'!$Q:$Q,"&lt;=-31",'Data Fertilizers'!$Q:$Q,"&gt;=-60")</f>
        <v>0</v>
      </c>
      <c r="R8" s="19">
        <f>SUMIFS('Data Fertilizers'!$D:$D,'Data Fertilizers'!$P:$P,$B8,'Data Fertilizers'!$Q:$Q,"&lt;=-61",'Data Fertilizers'!$Q:$Q,"&gt;=-90")</f>
        <v>0</v>
      </c>
      <c r="S8" s="19">
        <f>SUMIFS('Data Fertilizers'!$D:$D,'Data Fertilizers'!$P:$P,$B8,'Data Fertilizers'!$Q:$Q,"&lt;=-91",'Data Fertilizers'!$Q:$Q,"&gt;=-120")</f>
        <v>0</v>
      </c>
      <c r="T8" s="19">
        <f>SUMIFS('Data Fertilizers'!$D:$D,'Data Fertilizers'!$P:$P,$B8,'Data Fertilizers'!$Q:$Q,"&lt;=-121",'Data Fertilizers'!$Q:$Q,"&gt;=-180")</f>
        <v>0</v>
      </c>
      <c r="U8" s="19">
        <f>SUMIFS('Data Fertilizers'!$D:$D,'Data Fertilizers'!$P:$P,$B8,'Data Fertilizers'!$Q:$Q,"&lt;=-181",'Data Fertilizers'!$Q:$Q,"&gt;=-360")</f>
        <v>0</v>
      </c>
      <c r="V8" s="23">
        <f>SUMIFS('Data Fertilizers'!$D:$D,'Data Fertilizers'!$P:$P,$B8,'Data Fertilizers'!$Q:$Q,"&lt;-360")</f>
        <v>0</v>
      </c>
      <c r="W8" s="19" t="e">
        <f>SUMIFS('Bad Debt Provision'!#REF!,'Bad Debt Provision'!#REF!,'Painel Fertilizers'!$B10)</f>
        <v>#REF!</v>
      </c>
      <c r="X8" s="5"/>
      <c r="Y8" s="20">
        <v>2300000</v>
      </c>
      <c r="Z8" s="20" t="s">
        <v>227</v>
      </c>
      <c r="AA8" s="21">
        <v>360</v>
      </c>
      <c r="AB8" s="5"/>
      <c r="AC8" s="19">
        <v>5517407.7000000002</v>
      </c>
      <c r="AD8" s="20" t="s">
        <v>225</v>
      </c>
      <c r="AE8" s="22">
        <v>45606</v>
      </c>
      <c r="AF8" s="22" t="s">
        <v>231</v>
      </c>
      <c r="AG8" s="5"/>
      <c r="AH8" s="28">
        <f t="shared" si="5"/>
        <v>3024565.65</v>
      </c>
      <c r="AI8" s="5"/>
      <c r="AJ8" s="26"/>
    </row>
    <row r="9" spans="1:38" ht="15.75" customHeight="1" x14ac:dyDescent="0.25">
      <c r="B9" s="17" t="s">
        <v>196</v>
      </c>
      <c r="C9" s="104" cm="1">
        <f t="array" ref="C9">IFERROR(INDEX('Limite de crédito'!$D:$D, MATCH(MAX(IF('Limite de crédito'!$C:$C=$B9, 'Limite de crédito'!$A:$A)), 'Limite de crédito'!$A:$A, 0)),"")</f>
        <v>45869</v>
      </c>
      <c r="D9" s="107" t="str" cm="1">
        <f t="array" ref="D9">IFERROR(INDEX('Limite de crédito'!$F:$F, MATCH(MAX(IF('Limite de crédito'!$C:$C=$B9, 'Limite de crédito'!$A:$A)), 'Limite de crédito'!$A:$A, 0)),0)</f>
        <v>Sim</v>
      </c>
      <c r="E9" s="18" t="e">
        <f t="shared" si="2"/>
        <v>#VALUE!</v>
      </c>
      <c r="F9" s="18">
        <f t="shared" si="3"/>
        <v>131680</v>
      </c>
      <c r="G9" s="19">
        <f>SUMIFS('Data Fertilizers'!$D:$D,'Data Fertilizers'!$P:$P,$B9,'Data Fertilizers'!$Q:$Q,"&gt;0",'Data Fertilizers'!$Q:$Q,"&lt;=30")</f>
        <v>0</v>
      </c>
      <c r="H9" s="19">
        <f>SUMIFS('Data Fertilizers'!$D:$D,'Data Fertilizers'!$P:$P,$B9,'Data Fertilizers'!$Q:$Q,"&gt;30",'Data Fertilizers'!$Q:$Q,"&lt;=60")</f>
        <v>0</v>
      </c>
      <c r="I9" s="19">
        <f>SUMIFS('Data Fertilizers'!$D:$D,'Data Fertilizers'!$P:$P,$B9,'Data Fertilizers'!$Q:$Q,"&gt;60",'Data Fertilizers'!$Q:$Q,"&lt;=90")</f>
        <v>0</v>
      </c>
      <c r="J9" s="19">
        <f>SUMIFS('Data Fertilizers'!$D:$D,'Data Fertilizers'!$P:$P,$B9,'Data Fertilizers'!$Q:$Q,"&gt;90",'Data Fertilizers'!$Q:$Q,"&lt;=120")</f>
        <v>0</v>
      </c>
      <c r="K9" s="19">
        <f>SUMIFS('Data Fertilizers'!$D:$D,'Data Fertilizers'!$P:$P,$B9,'Data Fertilizers'!$Q:$Q,"&gt;120",'Data Fertilizers'!$Q:$Q,"&lt;=180")</f>
        <v>0</v>
      </c>
      <c r="L9" s="19">
        <f>SUMIFS('Data Fertilizers'!$D:$D,'Data Fertilizers'!$P:$P,$B9,'Data Fertilizers'!$Q:$Q,"&gt;180",'Data Fertilizers'!$Q:$Q,"&lt;=360")</f>
        <v>0</v>
      </c>
      <c r="M9" s="23">
        <f>SUMIFS('Data Fertilizers'!$D:$D,'Data Fertilizers'!$P:$P,$B9,'Data Fertilizers'!$Q:$Q,"&gt;360")</f>
        <v>0</v>
      </c>
      <c r="N9" s="19">
        <f>SUMIFS('Data Fertilizers'!$D:$D,'Data Fertilizers'!$P:$P,$B9,'Data Fertilizers'!$Q:$Q,"&gt;0")</f>
        <v>0</v>
      </c>
      <c r="O9" s="19">
        <f t="shared" si="4"/>
        <v>131680</v>
      </c>
      <c r="P9" s="19">
        <f>SUMIFS('Data Fertilizers'!$D:$D,'Data Fertilizers'!$P:$P,$B9,'Data Fertilizers'!$Q:$Q,"&lt;=0",'Data Fertilizers'!$Q:$Q,"&gt;=-30")</f>
        <v>0</v>
      </c>
      <c r="Q9" s="19">
        <f>SUMIFS('Data Fertilizers'!$D:$D,'Data Fertilizers'!$P:$P,$B9,'Data Fertilizers'!$Q:$Q,"&lt;=-31",'Data Fertilizers'!$Q:$Q,"&gt;=-60")</f>
        <v>0</v>
      </c>
      <c r="R9" s="19">
        <f>SUMIFS('Data Fertilizers'!$D:$D,'Data Fertilizers'!$P:$P,$B9,'Data Fertilizers'!$Q:$Q,"&lt;=-61",'Data Fertilizers'!$Q:$Q,"&gt;=-90")</f>
        <v>0</v>
      </c>
      <c r="S9" s="19">
        <f>SUMIFS('Data Fertilizers'!$D:$D,'Data Fertilizers'!$P:$P,$B9,'Data Fertilizers'!$Q:$Q,"&lt;=-91",'Data Fertilizers'!$Q:$Q,"&gt;=-120")</f>
        <v>0</v>
      </c>
      <c r="T9" s="19">
        <f>SUMIFS('Data Fertilizers'!$D:$D,'Data Fertilizers'!$P:$P,$B9,'Data Fertilizers'!$Q:$Q,"&lt;=-121",'Data Fertilizers'!$Q:$Q,"&gt;=-180")</f>
        <v>131680</v>
      </c>
      <c r="U9" s="19">
        <f>SUMIFS('Data Fertilizers'!$D:$D,'Data Fertilizers'!$P:$P,$B9,'Data Fertilizers'!$Q:$Q,"&lt;=-181",'Data Fertilizers'!$Q:$Q,"&gt;=-360")</f>
        <v>0</v>
      </c>
      <c r="V9" s="23">
        <f>SUMIFS('Data Fertilizers'!$D:$D,'Data Fertilizers'!$P:$P,$B9,'Data Fertilizers'!$Q:$Q,"&lt;-360")</f>
        <v>0</v>
      </c>
      <c r="W9" s="19" t="e">
        <f>SUMIFS('Bad Debt Provision'!#REF!,'Bad Debt Provision'!#REF!,'Painel Fertilizers'!$B16)</f>
        <v>#REF!</v>
      </c>
      <c r="X9" s="5"/>
      <c r="Y9" s="20">
        <v>1400000</v>
      </c>
      <c r="Z9" s="20" t="s">
        <v>225</v>
      </c>
      <c r="AA9" s="21">
        <v>360</v>
      </c>
      <c r="AB9" s="5"/>
      <c r="AC9" s="19">
        <v>0</v>
      </c>
      <c r="AD9" s="20">
        <v>0</v>
      </c>
      <c r="AE9" s="22"/>
      <c r="AF9" s="22"/>
      <c r="AG9" s="5"/>
      <c r="AH9" s="28">
        <f t="shared" si="5"/>
        <v>-131680</v>
      </c>
      <c r="AI9" s="5"/>
      <c r="AJ9" s="26"/>
    </row>
    <row r="10" spans="1:38" ht="15.75" customHeight="1" x14ac:dyDescent="0.25">
      <c r="B10" s="17" t="s">
        <v>194</v>
      </c>
      <c r="C10" s="97" t="s">
        <v>473</v>
      </c>
      <c r="D10" s="107" cm="1">
        <f t="array" ref="D10">IFERROR(INDEX('Limite de crédito'!$F:$F, MATCH(MAX(IF('Limite de crédito'!$C:$C=$B10, 'Limite de crédito'!$A:$A)), 'Limite de crédito'!$A:$A, 0)),0)</f>
        <v>0</v>
      </c>
      <c r="E10" s="108">
        <f t="shared" si="2"/>
        <v>-1863200.9</v>
      </c>
      <c r="F10" s="18">
        <f t="shared" si="3"/>
        <v>1863200.9</v>
      </c>
      <c r="G10" s="19">
        <f>SUMIFS('Data Fertilizers'!$D:$D,'Data Fertilizers'!$P:$P,$B10,'Data Fertilizers'!$Q:$Q,"&gt;0",'Data Fertilizers'!$Q:$Q,"&lt;=30")</f>
        <v>0</v>
      </c>
      <c r="H10" s="19">
        <f>SUMIFS('Data Fertilizers'!$D:$D,'Data Fertilizers'!$P:$P,$B10,'Data Fertilizers'!$Q:$Q,"&gt;30",'Data Fertilizers'!$Q:$Q,"&lt;=60")</f>
        <v>0</v>
      </c>
      <c r="I10" s="19">
        <f>SUMIFS('Data Fertilizers'!$D:$D,'Data Fertilizers'!$P:$P,$B10,'Data Fertilizers'!$Q:$Q,"&gt;60",'Data Fertilizers'!$Q:$Q,"&lt;=90")</f>
        <v>0</v>
      </c>
      <c r="J10" s="19">
        <f>SUMIFS('Data Fertilizers'!$D:$D,'Data Fertilizers'!$P:$P,$B10,'Data Fertilizers'!$Q:$Q,"&gt;90",'Data Fertilizers'!$Q:$Q,"&lt;=120")</f>
        <v>0</v>
      </c>
      <c r="K10" s="19">
        <f>SUMIFS('Data Fertilizers'!$D:$D,'Data Fertilizers'!$P:$P,$B10,'Data Fertilizers'!$Q:$Q,"&gt;120",'Data Fertilizers'!$Q:$Q,"&lt;=180")</f>
        <v>0</v>
      </c>
      <c r="L10" s="19">
        <f>SUMIFS('Data Fertilizers'!$D:$D,'Data Fertilizers'!$P:$P,$B10,'Data Fertilizers'!$Q:$Q,"&gt;180",'Data Fertilizers'!$Q:$Q,"&lt;=360")</f>
        <v>0</v>
      </c>
      <c r="M10" s="23">
        <f>SUMIFS('Data Fertilizers'!$D:$D,'Data Fertilizers'!$P:$P,$B10,'Data Fertilizers'!$Q:$Q,"&gt;360")</f>
        <v>1863200.9</v>
      </c>
      <c r="N10" s="19">
        <f>SUMIFS('Data Fertilizers'!$D:$D,'Data Fertilizers'!$P:$P,$B10,'Data Fertilizers'!$Q:$Q,"&gt;0")</f>
        <v>1863200.9</v>
      </c>
      <c r="O10" s="19">
        <f t="shared" si="4"/>
        <v>0</v>
      </c>
      <c r="P10" s="19">
        <f>SUMIFS('Data Fertilizers'!$D:$D,'Data Fertilizers'!$P:$P,$B10,'Data Fertilizers'!$Q:$Q,"&lt;=0",'Data Fertilizers'!$Q:$Q,"&gt;=-30")</f>
        <v>0</v>
      </c>
      <c r="Q10" s="19">
        <f>SUMIFS('Data Fertilizers'!$D:$D,'Data Fertilizers'!$P:$P,$B10,'Data Fertilizers'!$Q:$Q,"&lt;=-31",'Data Fertilizers'!$Q:$Q,"&gt;=-60")</f>
        <v>0</v>
      </c>
      <c r="R10" s="19">
        <f>SUMIFS('Data Fertilizers'!$D:$D,'Data Fertilizers'!$P:$P,$B10,'Data Fertilizers'!$Q:$Q,"&lt;=-61",'Data Fertilizers'!$Q:$Q,"&gt;=-90")</f>
        <v>0</v>
      </c>
      <c r="S10" s="19">
        <f>SUMIFS('Data Fertilizers'!$D:$D,'Data Fertilizers'!$P:$P,$B10,'Data Fertilizers'!$Q:$Q,"&lt;=-91",'Data Fertilizers'!$Q:$Q,"&gt;=-120")</f>
        <v>0</v>
      </c>
      <c r="T10" s="19">
        <f>SUMIFS('Data Fertilizers'!$D:$D,'Data Fertilizers'!$P:$P,$B10,'Data Fertilizers'!$Q:$Q,"&lt;=-121",'Data Fertilizers'!$Q:$Q,"&gt;=-180")</f>
        <v>0</v>
      </c>
      <c r="U10" s="19">
        <f>SUMIFS('Data Fertilizers'!$D:$D,'Data Fertilizers'!$P:$P,$B10,'Data Fertilizers'!$Q:$Q,"&lt;=-181",'Data Fertilizers'!$Q:$Q,"&gt;=-360")</f>
        <v>0</v>
      </c>
      <c r="V10" s="23">
        <f>SUMIFS('Data Fertilizers'!$D:$D,'Data Fertilizers'!$P:$P,$B10,'Data Fertilizers'!$Q:$Q,"&lt;-360")</f>
        <v>0</v>
      </c>
      <c r="W10" s="19" t="e">
        <f>SUMIFS('Bad Debt Provision'!#REF!,'Bad Debt Provision'!#REF!,'Painel Fertilizers'!$B5)</f>
        <v>#REF!</v>
      </c>
      <c r="X10" s="5"/>
      <c r="Y10" s="20">
        <v>1000000</v>
      </c>
      <c r="Z10" s="20" t="s">
        <v>225</v>
      </c>
      <c r="AA10" s="21">
        <v>360</v>
      </c>
      <c r="AB10" s="5"/>
      <c r="AC10" s="19">
        <v>1892359.96</v>
      </c>
      <c r="AD10" s="20" t="s">
        <v>225</v>
      </c>
      <c r="AE10" s="22">
        <v>45606</v>
      </c>
      <c r="AF10" s="22" t="s">
        <v>231</v>
      </c>
      <c r="AG10" s="5"/>
      <c r="AH10" s="28">
        <f t="shared" si="5"/>
        <v>29159.060000000056</v>
      </c>
      <c r="AI10" s="5"/>
      <c r="AJ10" s="26"/>
    </row>
    <row r="11" spans="1:38" ht="15.75" customHeight="1" x14ac:dyDescent="0.25">
      <c r="B11" s="17" t="s">
        <v>198</v>
      </c>
      <c r="C11" s="97" t="s">
        <v>473</v>
      </c>
      <c r="D11" s="107">
        <v>0</v>
      </c>
      <c r="E11" s="18">
        <f t="shared" si="2"/>
        <v>-1702848.7400000002</v>
      </c>
      <c r="F11" s="18">
        <f t="shared" si="3"/>
        <v>1702848.7400000002</v>
      </c>
      <c r="G11" s="19">
        <f>SUMIFS('Data Fertilizers'!$D:$D,'Data Fertilizers'!$P:$P,$B11,'Data Fertilizers'!$Q:$Q,"&gt;0",'Data Fertilizers'!$Q:$Q,"&lt;=30")</f>
        <v>0</v>
      </c>
      <c r="H11" s="19">
        <f>SUMIFS('Data Fertilizers'!$D:$D,'Data Fertilizers'!$P:$P,$B11,'Data Fertilizers'!$Q:$Q,"&gt;30",'Data Fertilizers'!$Q:$Q,"&lt;=60")</f>
        <v>0</v>
      </c>
      <c r="I11" s="19">
        <f>SUMIFS('Data Fertilizers'!$D:$D,'Data Fertilizers'!$P:$P,$B11,'Data Fertilizers'!$Q:$Q,"&gt;60",'Data Fertilizers'!$Q:$Q,"&lt;=90")</f>
        <v>0</v>
      </c>
      <c r="J11" s="19">
        <f>SUMIFS('Data Fertilizers'!$D:$D,'Data Fertilizers'!$P:$P,$B11,'Data Fertilizers'!$Q:$Q,"&gt;90",'Data Fertilizers'!$Q:$Q,"&lt;=120")</f>
        <v>0</v>
      </c>
      <c r="K11" s="19">
        <f>SUMIFS('Data Fertilizers'!$D:$D,'Data Fertilizers'!$P:$P,$B11,'Data Fertilizers'!$Q:$Q,"&gt;120",'Data Fertilizers'!$Q:$Q,"&lt;=180")</f>
        <v>0</v>
      </c>
      <c r="L11" s="19">
        <f>SUMIFS('Data Fertilizers'!$D:$D,'Data Fertilizers'!$P:$P,$B11,'Data Fertilizers'!$Q:$Q,"&gt;180",'Data Fertilizers'!$Q:$Q,"&lt;=360")</f>
        <v>0</v>
      </c>
      <c r="M11" s="23">
        <f>SUMIFS('Data Fertilizers'!$D:$D,'Data Fertilizers'!$P:$P,$B11,'Data Fertilizers'!$Q:$Q,"&gt;360")</f>
        <v>1702848.7400000002</v>
      </c>
      <c r="N11" s="19">
        <f>SUMIFS('Data Fertilizers'!$D:$D,'Data Fertilizers'!$P:$P,$B11,'Data Fertilizers'!$Q:$Q,"&gt;0")</f>
        <v>1702848.7400000002</v>
      </c>
      <c r="O11" s="19">
        <f t="shared" si="4"/>
        <v>0</v>
      </c>
      <c r="P11" s="19">
        <f>SUMIFS('Data Fertilizers'!$D:$D,'Data Fertilizers'!$P:$P,$B11,'Data Fertilizers'!$Q:$Q,"&lt;=0",'Data Fertilizers'!$Q:$Q,"&gt;=-30")</f>
        <v>0</v>
      </c>
      <c r="Q11" s="19">
        <f>SUMIFS('Data Fertilizers'!$D:$D,'Data Fertilizers'!$P:$P,$B11,'Data Fertilizers'!$Q:$Q,"&lt;=-31",'Data Fertilizers'!$Q:$Q,"&gt;=-60")</f>
        <v>0</v>
      </c>
      <c r="R11" s="19">
        <f>SUMIFS('Data Fertilizers'!$D:$D,'Data Fertilizers'!$P:$P,$B11,'Data Fertilizers'!$Q:$Q,"&lt;=-61",'Data Fertilizers'!$Q:$Q,"&gt;=-90")</f>
        <v>0</v>
      </c>
      <c r="S11" s="19">
        <f>SUMIFS('Data Fertilizers'!$D:$D,'Data Fertilizers'!$P:$P,$B11,'Data Fertilizers'!$Q:$Q,"&lt;=-91",'Data Fertilizers'!$Q:$Q,"&gt;=-120")</f>
        <v>0</v>
      </c>
      <c r="T11" s="19">
        <f>SUMIFS('Data Fertilizers'!$D:$D,'Data Fertilizers'!$P:$P,$B11,'Data Fertilizers'!$Q:$Q,"&lt;=-121",'Data Fertilizers'!$Q:$Q,"&gt;=-180")</f>
        <v>0</v>
      </c>
      <c r="U11" s="19">
        <f>SUMIFS('Data Fertilizers'!$D:$D,'Data Fertilizers'!$P:$P,$B11,'Data Fertilizers'!$Q:$Q,"&lt;=-181",'Data Fertilizers'!$Q:$Q,"&gt;=-360")</f>
        <v>0</v>
      </c>
      <c r="V11" s="23">
        <f>SUMIFS('Data Fertilizers'!$D:$D,'Data Fertilizers'!$P:$P,$B11,'Data Fertilizers'!$Q:$Q,"&lt;-360")</f>
        <v>0</v>
      </c>
      <c r="W11" s="19" t="e">
        <f>SUMIFS('Bad Debt Provision'!#REF!,'Bad Debt Provision'!#REF!,'Painel Fertilizers'!$B6)</f>
        <v>#REF!</v>
      </c>
      <c r="X11" s="5"/>
      <c r="Y11" s="20">
        <v>2000000</v>
      </c>
      <c r="Z11" s="20" t="s">
        <v>225</v>
      </c>
      <c r="AA11" s="21">
        <v>120</v>
      </c>
      <c r="AB11" s="5"/>
      <c r="AC11" s="19">
        <v>0</v>
      </c>
      <c r="AD11" s="20">
        <v>0</v>
      </c>
      <c r="AE11" s="22"/>
      <c r="AF11" s="22"/>
      <c r="AG11" s="5"/>
      <c r="AH11" s="28">
        <f t="shared" si="5"/>
        <v>-1702848.7400000002</v>
      </c>
      <c r="AI11" s="5"/>
      <c r="AJ11" s="26"/>
    </row>
    <row r="12" spans="1:38" ht="15.75" customHeight="1" x14ac:dyDescent="0.25">
      <c r="B12" s="17" t="s">
        <v>206</v>
      </c>
      <c r="C12" s="97" t="s">
        <v>473</v>
      </c>
      <c r="D12" s="107" cm="1">
        <f t="array" ref="D12">IFERROR(INDEX('Limite de crédito'!$F:$F, MATCH(MAX(IF('Limite de crédito'!$C:$C=$B12, 'Limite de crédito'!$A:$A)), 'Limite de crédito'!$A:$A, 0)),0)</f>
        <v>0</v>
      </c>
      <c r="E12" s="18">
        <f t="shared" si="2"/>
        <v>-876011.75</v>
      </c>
      <c r="F12" s="18">
        <f t="shared" si="3"/>
        <v>876011.75</v>
      </c>
      <c r="G12" s="19">
        <f>SUMIFS('Data Fertilizers'!$D:$D,'Data Fertilizers'!$P:$P,$B12,'Data Fertilizers'!$Q:$Q,"&gt;0",'Data Fertilizers'!$Q:$Q,"&lt;=30")</f>
        <v>0</v>
      </c>
      <c r="H12" s="19">
        <f>SUMIFS('Data Fertilizers'!$D:$D,'Data Fertilizers'!$P:$P,$B12,'Data Fertilizers'!$Q:$Q,"&gt;30",'Data Fertilizers'!$Q:$Q,"&lt;=60")</f>
        <v>0</v>
      </c>
      <c r="I12" s="19">
        <f>SUMIFS('Data Fertilizers'!$D:$D,'Data Fertilizers'!$P:$P,$B12,'Data Fertilizers'!$Q:$Q,"&gt;60",'Data Fertilizers'!$Q:$Q,"&lt;=90")</f>
        <v>0</v>
      </c>
      <c r="J12" s="19">
        <f>SUMIFS('Data Fertilizers'!$D:$D,'Data Fertilizers'!$P:$P,$B12,'Data Fertilizers'!$Q:$Q,"&gt;90",'Data Fertilizers'!$Q:$Q,"&lt;=120")</f>
        <v>0</v>
      </c>
      <c r="K12" s="19">
        <f>SUMIFS('Data Fertilizers'!$D:$D,'Data Fertilizers'!$P:$P,$B12,'Data Fertilizers'!$Q:$Q,"&gt;120",'Data Fertilizers'!$Q:$Q,"&lt;=180")</f>
        <v>0</v>
      </c>
      <c r="L12" s="19">
        <f>SUMIFS('Data Fertilizers'!$D:$D,'Data Fertilizers'!$P:$P,$B12,'Data Fertilizers'!$Q:$Q,"&gt;180",'Data Fertilizers'!$Q:$Q,"&lt;=360")</f>
        <v>0</v>
      </c>
      <c r="M12" s="23">
        <f>SUMIFS('Data Fertilizers'!$D:$D,'Data Fertilizers'!$P:$P,$B12,'Data Fertilizers'!$Q:$Q,"&gt;360")</f>
        <v>876011.75</v>
      </c>
      <c r="N12" s="19">
        <f>SUMIFS('Data Fertilizers'!$D:$D,'Data Fertilizers'!$P:$P,$B12,'Data Fertilizers'!$Q:$Q,"&gt;0")</f>
        <v>876011.75</v>
      </c>
      <c r="O12" s="19">
        <f t="shared" si="4"/>
        <v>0</v>
      </c>
      <c r="P12" s="19">
        <f>SUMIFS('Data Fertilizers'!$D:$D,'Data Fertilizers'!$P:$P,$B12,'Data Fertilizers'!$Q:$Q,"&lt;=0",'Data Fertilizers'!$Q:$Q,"&gt;=-30")</f>
        <v>0</v>
      </c>
      <c r="Q12" s="19">
        <f>SUMIFS('Data Fertilizers'!$D:$D,'Data Fertilizers'!$P:$P,$B12,'Data Fertilizers'!$Q:$Q,"&lt;=-31",'Data Fertilizers'!$Q:$Q,"&gt;=-60")</f>
        <v>0</v>
      </c>
      <c r="R12" s="19">
        <f>SUMIFS('Data Fertilizers'!$D:$D,'Data Fertilizers'!$P:$P,$B12,'Data Fertilizers'!$Q:$Q,"&lt;=-61",'Data Fertilizers'!$Q:$Q,"&gt;=-90")</f>
        <v>0</v>
      </c>
      <c r="S12" s="19">
        <f>SUMIFS('Data Fertilizers'!$D:$D,'Data Fertilizers'!$P:$P,$B12,'Data Fertilizers'!$Q:$Q,"&lt;=-91",'Data Fertilizers'!$Q:$Q,"&gt;=-120")</f>
        <v>0</v>
      </c>
      <c r="T12" s="19">
        <f>SUMIFS('Data Fertilizers'!$D:$D,'Data Fertilizers'!$P:$P,$B12,'Data Fertilizers'!$Q:$Q,"&lt;=-121",'Data Fertilizers'!$Q:$Q,"&gt;=-180")</f>
        <v>0</v>
      </c>
      <c r="U12" s="19">
        <f>SUMIFS('Data Fertilizers'!$D:$D,'Data Fertilizers'!$P:$P,$B12,'Data Fertilizers'!$Q:$Q,"&lt;=-181",'Data Fertilizers'!$Q:$Q,"&gt;=-360")</f>
        <v>0</v>
      </c>
      <c r="V12" s="23">
        <f>SUMIFS('Data Fertilizers'!$D:$D,'Data Fertilizers'!$P:$P,$B12,'Data Fertilizers'!$Q:$Q,"&lt;-360")</f>
        <v>0</v>
      </c>
      <c r="W12" s="19" t="e">
        <f>SUMIFS('Bad Debt Provision'!#REF!,'Bad Debt Provision'!#REF!,'Painel Fertilizers'!$B20)</f>
        <v>#REF!</v>
      </c>
      <c r="X12" s="5"/>
      <c r="Y12" s="20">
        <v>0</v>
      </c>
      <c r="Z12" s="20">
        <v>0</v>
      </c>
      <c r="AA12" s="21">
        <v>0</v>
      </c>
      <c r="AB12" s="5"/>
      <c r="AC12" s="19">
        <v>4000000</v>
      </c>
      <c r="AD12" s="20" t="s">
        <v>232</v>
      </c>
      <c r="AE12" s="22">
        <v>45505</v>
      </c>
      <c r="AF12" s="22" t="s">
        <v>231</v>
      </c>
      <c r="AG12" s="5"/>
      <c r="AH12" s="28">
        <f t="shared" si="5"/>
        <v>3123988.25</v>
      </c>
      <c r="AI12" s="5"/>
      <c r="AJ12" s="26"/>
    </row>
    <row r="13" spans="1:38" ht="15.75" customHeight="1" x14ac:dyDescent="0.25">
      <c r="B13" s="17" t="s">
        <v>205</v>
      </c>
      <c r="C13" s="104" t="str" cm="1">
        <f t="array" ref="C13">IFERROR(INDEX('Limite de crédito'!$D:$D, MATCH(MAX(IF('Limite de crédito'!$C:$C=$B13, 'Limite de crédito'!$A:$A)), 'Limite de crédito'!$A:$A, 0)),"")</f>
        <v/>
      </c>
      <c r="D13" s="107" cm="1">
        <f t="array" ref="D13">IFERROR(INDEX('Limite de crédito'!$F:$F, MATCH(MAX(IF('Limite de crédito'!$C:$C=$B13, 'Limite de crédito'!$A:$A)), 'Limite de crédito'!$A:$A, 0)),0)</f>
        <v>0</v>
      </c>
      <c r="E13" s="18">
        <f t="shared" si="2"/>
        <v>0</v>
      </c>
      <c r="F13" s="18">
        <f t="shared" si="3"/>
        <v>0</v>
      </c>
      <c r="G13" s="19">
        <f>SUMIFS('Data Fertilizers'!$D:$D,'Data Fertilizers'!$P:$P,$B13,'Data Fertilizers'!$Q:$Q,"&gt;0",'Data Fertilizers'!$Q:$Q,"&lt;=30")</f>
        <v>0</v>
      </c>
      <c r="H13" s="19">
        <f>SUMIFS('Data Fertilizers'!$D:$D,'Data Fertilizers'!$P:$P,$B13,'Data Fertilizers'!$Q:$Q,"&gt;30",'Data Fertilizers'!$Q:$Q,"&lt;=60")</f>
        <v>0</v>
      </c>
      <c r="I13" s="19">
        <f>SUMIFS('Data Fertilizers'!$D:$D,'Data Fertilizers'!$P:$P,$B13,'Data Fertilizers'!$Q:$Q,"&gt;60",'Data Fertilizers'!$Q:$Q,"&lt;=90")</f>
        <v>0</v>
      </c>
      <c r="J13" s="19">
        <f>SUMIFS('Data Fertilizers'!$D:$D,'Data Fertilizers'!$P:$P,$B13,'Data Fertilizers'!$Q:$Q,"&gt;90",'Data Fertilizers'!$Q:$Q,"&lt;=120")</f>
        <v>0</v>
      </c>
      <c r="K13" s="19">
        <f>SUMIFS('Data Fertilizers'!$D:$D,'Data Fertilizers'!$P:$P,$B13,'Data Fertilizers'!$Q:$Q,"&gt;120",'Data Fertilizers'!$Q:$Q,"&lt;=180")</f>
        <v>0</v>
      </c>
      <c r="L13" s="19">
        <f>SUMIFS('Data Fertilizers'!$D:$D,'Data Fertilizers'!$P:$P,$B13,'Data Fertilizers'!$Q:$Q,"&gt;180",'Data Fertilizers'!$Q:$Q,"&lt;=360")</f>
        <v>0</v>
      </c>
      <c r="M13" s="23">
        <f>SUMIFS('Data Fertilizers'!$D:$D,'Data Fertilizers'!$P:$P,$B13,'Data Fertilizers'!$Q:$Q,"&gt;360")</f>
        <v>0</v>
      </c>
      <c r="N13" s="19">
        <f>SUMIFS('Data Fertilizers'!$D:$D,'Data Fertilizers'!$P:$P,$B13,'Data Fertilizers'!$Q:$Q,"&gt;0")</f>
        <v>0</v>
      </c>
      <c r="O13" s="19">
        <f t="shared" si="4"/>
        <v>0</v>
      </c>
      <c r="P13" s="19">
        <f>SUMIFS('Data Fertilizers'!$D:$D,'Data Fertilizers'!$P:$P,$B13,'Data Fertilizers'!$Q:$Q,"&lt;=0",'Data Fertilizers'!$Q:$Q,"&gt;=-30")</f>
        <v>0</v>
      </c>
      <c r="Q13" s="19">
        <f>SUMIFS('Data Fertilizers'!$D:$D,'Data Fertilizers'!$P:$P,$B13,'Data Fertilizers'!$Q:$Q,"&lt;=-31",'Data Fertilizers'!$Q:$Q,"&gt;=-60")</f>
        <v>0</v>
      </c>
      <c r="R13" s="19">
        <f>SUMIFS('Data Fertilizers'!$D:$D,'Data Fertilizers'!$P:$P,$B13,'Data Fertilizers'!$Q:$Q,"&lt;=-61",'Data Fertilizers'!$Q:$Q,"&gt;=-90")</f>
        <v>0</v>
      </c>
      <c r="S13" s="19">
        <f>SUMIFS('Data Fertilizers'!$D:$D,'Data Fertilizers'!$P:$P,$B13,'Data Fertilizers'!$Q:$Q,"&lt;=-91",'Data Fertilizers'!$Q:$Q,"&gt;=-120")</f>
        <v>0</v>
      </c>
      <c r="T13" s="19">
        <f>SUMIFS('Data Fertilizers'!$D:$D,'Data Fertilizers'!$P:$P,$B13,'Data Fertilizers'!$Q:$Q,"&lt;=-121",'Data Fertilizers'!$Q:$Q,"&gt;=-180")</f>
        <v>0</v>
      </c>
      <c r="U13" s="19">
        <f>SUMIFS('Data Fertilizers'!$D:$D,'Data Fertilizers'!$P:$P,$B13,'Data Fertilizers'!$Q:$Q,"&lt;=-181",'Data Fertilizers'!$Q:$Q,"&gt;=-360")</f>
        <v>0</v>
      </c>
      <c r="V13" s="23">
        <f>SUMIFS('Data Fertilizers'!$D:$D,'Data Fertilizers'!$P:$P,$B13,'Data Fertilizers'!$Q:$Q,"&lt;-360")</f>
        <v>0</v>
      </c>
      <c r="W13" s="19" t="e">
        <f>SUMIFS('Bad Debt Provision'!#REF!,'Bad Debt Provision'!#REF!,'Painel Fertilizers'!$B19)</f>
        <v>#REF!</v>
      </c>
      <c r="X13" s="5"/>
      <c r="Y13" s="20">
        <v>1800000</v>
      </c>
      <c r="Z13" s="20" t="s">
        <v>225</v>
      </c>
      <c r="AA13" s="21">
        <v>90</v>
      </c>
      <c r="AB13" s="5"/>
      <c r="AC13" s="19">
        <v>0</v>
      </c>
      <c r="AD13" s="20">
        <v>0</v>
      </c>
      <c r="AE13" s="22"/>
      <c r="AF13" s="22"/>
      <c r="AG13" s="5"/>
      <c r="AH13" s="28">
        <f t="shared" si="5"/>
        <v>0</v>
      </c>
      <c r="AI13" s="5"/>
      <c r="AJ13" s="26"/>
    </row>
    <row r="14" spans="1:38" ht="15.75" customHeight="1" x14ac:dyDescent="0.25">
      <c r="B14" s="17" t="s">
        <v>212</v>
      </c>
      <c r="C14" s="104" t="str" cm="1">
        <f t="array" ref="C14">IFERROR(INDEX('Limite de crédito'!$D:$D, MATCH(MAX(IF('Limite de crédito'!$C:$C=$B14, 'Limite de crédito'!$A:$A)), 'Limite de crédito'!$A:$A, 0)),"")</f>
        <v/>
      </c>
      <c r="D14" s="107" cm="1">
        <f t="array" ref="D14">IFERROR(INDEX('Limite de crédito'!$F:$F, MATCH(MAX(IF('Limite de crédito'!$C:$C=$B14, 'Limite de crédito'!$A:$A)), 'Limite de crédito'!$A:$A, 0)),0)</f>
        <v>0</v>
      </c>
      <c r="E14" s="18">
        <f t="shared" si="2"/>
        <v>0</v>
      </c>
      <c r="F14" s="18">
        <f t="shared" si="3"/>
        <v>0</v>
      </c>
      <c r="G14" s="19">
        <f>SUMIFS('Data Fertilizers'!$D:$D,'Data Fertilizers'!$P:$P,$B14,'Data Fertilizers'!$Q:$Q,"&gt;0",'Data Fertilizers'!$Q:$Q,"&lt;=30")</f>
        <v>0</v>
      </c>
      <c r="H14" s="19">
        <f>SUMIFS('Data Fertilizers'!$D:$D,'Data Fertilizers'!$P:$P,$B14,'Data Fertilizers'!$Q:$Q,"&gt;30",'Data Fertilizers'!$Q:$Q,"&lt;=60")</f>
        <v>0</v>
      </c>
      <c r="I14" s="19">
        <f>SUMIFS('Data Fertilizers'!$D:$D,'Data Fertilizers'!$P:$P,$B14,'Data Fertilizers'!$Q:$Q,"&gt;60",'Data Fertilizers'!$Q:$Q,"&lt;=90")</f>
        <v>0</v>
      </c>
      <c r="J14" s="19">
        <f>SUMIFS('Data Fertilizers'!$D:$D,'Data Fertilizers'!$P:$P,$B14,'Data Fertilizers'!$Q:$Q,"&gt;90",'Data Fertilizers'!$Q:$Q,"&lt;=120")</f>
        <v>0</v>
      </c>
      <c r="K14" s="19">
        <f>SUMIFS('Data Fertilizers'!$D:$D,'Data Fertilizers'!$P:$P,$B14,'Data Fertilizers'!$Q:$Q,"&gt;120",'Data Fertilizers'!$Q:$Q,"&lt;=180")</f>
        <v>0</v>
      </c>
      <c r="L14" s="19">
        <f>SUMIFS('Data Fertilizers'!$D:$D,'Data Fertilizers'!$P:$P,$B14,'Data Fertilizers'!$Q:$Q,"&gt;180",'Data Fertilizers'!$Q:$Q,"&lt;=360")</f>
        <v>0</v>
      </c>
      <c r="M14" s="23">
        <f>SUMIFS('Data Fertilizers'!$D:$D,'Data Fertilizers'!$P:$P,$B14,'Data Fertilizers'!$Q:$Q,"&gt;360")</f>
        <v>0</v>
      </c>
      <c r="N14" s="19">
        <f>SUMIFS('Data Fertilizers'!$D:$D,'Data Fertilizers'!$P:$P,$B14,'Data Fertilizers'!$Q:$Q,"&gt;0")</f>
        <v>0</v>
      </c>
      <c r="O14" s="19">
        <f t="shared" si="4"/>
        <v>0</v>
      </c>
      <c r="P14" s="19">
        <f>SUMIFS('Data Fertilizers'!$D:$D,'Data Fertilizers'!$P:$P,$B14,'Data Fertilizers'!$Q:$Q,"&lt;=0",'Data Fertilizers'!$Q:$Q,"&gt;=-30")</f>
        <v>0</v>
      </c>
      <c r="Q14" s="19">
        <f>SUMIFS('Data Fertilizers'!$D:$D,'Data Fertilizers'!$P:$P,$B14,'Data Fertilizers'!$Q:$Q,"&lt;=-31",'Data Fertilizers'!$Q:$Q,"&gt;=-60")</f>
        <v>0</v>
      </c>
      <c r="R14" s="19">
        <f>SUMIFS('Data Fertilizers'!$D:$D,'Data Fertilizers'!$P:$P,$B14,'Data Fertilizers'!$Q:$Q,"&lt;=-61",'Data Fertilizers'!$Q:$Q,"&gt;=-90")</f>
        <v>0</v>
      </c>
      <c r="S14" s="19">
        <f>SUMIFS('Data Fertilizers'!$D:$D,'Data Fertilizers'!$P:$P,$B14,'Data Fertilizers'!$Q:$Q,"&lt;=-91",'Data Fertilizers'!$Q:$Q,"&gt;=-120")</f>
        <v>0</v>
      </c>
      <c r="T14" s="19">
        <f>SUMIFS('Data Fertilizers'!$D:$D,'Data Fertilizers'!$P:$P,$B14,'Data Fertilizers'!$Q:$Q,"&lt;=-121",'Data Fertilizers'!$Q:$Q,"&gt;=-180")</f>
        <v>0</v>
      </c>
      <c r="U14" s="19">
        <f>SUMIFS('Data Fertilizers'!$D:$D,'Data Fertilizers'!$P:$P,$B14,'Data Fertilizers'!$Q:$Q,"&lt;=-181",'Data Fertilizers'!$Q:$Q,"&gt;=-360")</f>
        <v>0</v>
      </c>
      <c r="V14" s="23">
        <f>SUMIFS('Data Fertilizers'!$D:$D,'Data Fertilizers'!$P:$P,$B14,'Data Fertilizers'!$Q:$Q,"&lt;-360")</f>
        <v>0</v>
      </c>
      <c r="W14" s="19" t="e">
        <f>SUMIFS('Bad Debt Provision'!#REF!,'Bad Debt Provision'!#REF!,'Painel Fertilizers'!$B24)</f>
        <v>#REF!</v>
      </c>
      <c r="X14" s="5"/>
      <c r="Y14" s="20">
        <v>150000</v>
      </c>
      <c r="Z14" s="20" t="s">
        <v>225</v>
      </c>
      <c r="AA14" s="21">
        <v>120</v>
      </c>
      <c r="AB14" s="5"/>
      <c r="AC14" s="19">
        <v>0</v>
      </c>
      <c r="AD14" s="20">
        <v>0</v>
      </c>
      <c r="AE14" s="22"/>
      <c r="AF14" s="22"/>
      <c r="AG14" s="5"/>
      <c r="AH14" s="28">
        <f t="shared" si="5"/>
        <v>0</v>
      </c>
      <c r="AI14" s="5"/>
      <c r="AJ14" s="26"/>
    </row>
    <row r="15" spans="1:38" ht="15.75" customHeight="1" x14ac:dyDescent="0.25">
      <c r="B15" s="17" t="s">
        <v>181</v>
      </c>
      <c r="C15" s="104" cm="1">
        <f t="array" ref="C15">IFERROR(INDEX('Limite de crédito'!$D:$D, MATCH(MAX(IF('Limite de crédito'!$C:$C=$B15, 'Limite de crédito'!$A:$A)), 'Limite de crédito'!$A:$A, 0)),"")</f>
        <v>46139</v>
      </c>
      <c r="D15" s="107" t="str" cm="1">
        <f t="array" ref="D15">IFERROR(INDEX('Limite de crédito'!$F:$F, MATCH(MAX(IF('Limite de crédito'!$C:$C=$B15, 'Limite de crédito'!$A:$A)), 'Limite de crédito'!$A:$A, 0)),0)</f>
        <v>Sim</v>
      </c>
      <c r="E15" s="18" t="e">
        <f t="shared" si="2"/>
        <v>#VALUE!</v>
      </c>
      <c r="F15" s="18">
        <f t="shared" si="3"/>
        <v>1200190.42</v>
      </c>
      <c r="G15" s="19">
        <f>SUMIFS('Data Fertilizers'!$D:$D,'Data Fertilizers'!$P:$P,$B15,'Data Fertilizers'!$Q:$Q,"&gt;0",'Data Fertilizers'!$Q:$Q,"&lt;=30")</f>
        <v>0</v>
      </c>
      <c r="H15" s="19">
        <f>SUMIFS('Data Fertilizers'!$D:$D,'Data Fertilizers'!$P:$P,$B15,'Data Fertilizers'!$Q:$Q,"&gt;30",'Data Fertilizers'!$Q:$Q,"&lt;=60")</f>
        <v>0</v>
      </c>
      <c r="I15" s="19">
        <f>SUMIFS('Data Fertilizers'!$D:$D,'Data Fertilizers'!$P:$P,$B15,'Data Fertilizers'!$Q:$Q,"&gt;60",'Data Fertilizers'!$Q:$Q,"&lt;=90")</f>
        <v>0</v>
      </c>
      <c r="J15" s="19">
        <f>SUMIFS('Data Fertilizers'!$D:$D,'Data Fertilizers'!$P:$P,$B15,'Data Fertilizers'!$Q:$Q,"&gt;90",'Data Fertilizers'!$Q:$Q,"&lt;=120")</f>
        <v>0</v>
      </c>
      <c r="K15" s="19">
        <f>SUMIFS('Data Fertilizers'!$D:$D,'Data Fertilizers'!$P:$P,$B15,'Data Fertilizers'!$Q:$Q,"&gt;120",'Data Fertilizers'!$Q:$Q,"&lt;=180")</f>
        <v>0</v>
      </c>
      <c r="L15" s="19">
        <f>SUMIFS('Data Fertilizers'!$D:$D,'Data Fertilizers'!$P:$P,$B15,'Data Fertilizers'!$Q:$Q,"&gt;180",'Data Fertilizers'!$Q:$Q,"&lt;=360")</f>
        <v>0</v>
      </c>
      <c r="M15" s="23">
        <f>SUMIFS('Data Fertilizers'!$D:$D,'Data Fertilizers'!$P:$P,$B15,'Data Fertilizers'!$Q:$Q,"&gt;360")</f>
        <v>0</v>
      </c>
      <c r="N15" s="19">
        <f>SUMIFS('Data Fertilizers'!$D:$D,'Data Fertilizers'!$P:$P,$B15,'Data Fertilizers'!$Q:$Q,"&gt;0")</f>
        <v>0</v>
      </c>
      <c r="O15" s="19">
        <f t="shared" si="4"/>
        <v>1200190.42</v>
      </c>
      <c r="P15" s="19">
        <f>SUMIFS('Data Fertilizers'!$D:$D,'Data Fertilizers'!$P:$P,$B15,'Data Fertilizers'!$Q:$Q,"&lt;=0",'Data Fertilizers'!$Q:$Q,"&gt;=-30")</f>
        <v>274733.36</v>
      </c>
      <c r="Q15" s="19">
        <f>SUMIFS('Data Fertilizers'!$D:$D,'Data Fertilizers'!$P:$P,$B15,'Data Fertilizers'!$Q:$Q,"&lt;=-31",'Data Fertilizers'!$Q:$Q,"&gt;=-60")</f>
        <v>0</v>
      </c>
      <c r="R15" s="19">
        <f>SUMIFS('Data Fertilizers'!$D:$D,'Data Fertilizers'!$P:$P,$B15,'Data Fertilizers'!$Q:$Q,"&lt;=-61",'Data Fertilizers'!$Q:$Q,"&gt;=-90")</f>
        <v>0</v>
      </c>
      <c r="S15" s="19">
        <f>SUMIFS('Data Fertilizers'!$D:$D,'Data Fertilizers'!$P:$P,$B15,'Data Fertilizers'!$Q:$Q,"&lt;=-91",'Data Fertilizers'!$Q:$Q,"&gt;=-120")</f>
        <v>0</v>
      </c>
      <c r="T15" s="19">
        <f>SUMIFS('Data Fertilizers'!$D:$D,'Data Fertilizers'!$P:$P,$B15,'Data Fertilizers'!$Q:$Q,"&lt;=-121",'Data Fertilizers'!$Q:$Q,"&gt;=-180")</f>
        <v>925457.05999999994</v>
      </c>
      <c r="U15" s="19">
        <f>SUMIFS('Data Fertilizers'!$D:$D,'Data Fertilizers'!$P:$P,$B15,'Data Fertilizers'!$Q:$Q,"&lt;=-181",'Data Fertilizers'!$Q:$Q,"&gt;=-360")</f>
        <v>0</v>
      </c>
      <c r="V15" s="23">
        <f>SUMIFS('Data Fertilizers'!$D:$D,'Data Fertilizers'!$P:$P,$B15,'Data Fertilizers'!$Q:$Q,"&lt;-360")</f>
        <v>0</v>
      </c>
      <c r="W15" s="19" t="e">
        <f>SUMIFS('Bad Debt Provision'!#REF!,'Bad Debt Provision'!#REF!,'Painel Fertilizers'!$B12)</f>
        <v>#REF!</v>
      </c>
      <c r="X15" s="5"/>
      <c r="Y15" s="20">
        <v>1500000</v>
      </c>
      <c r="Z15" s="20" t="s">
        <v>228</v>
      </c>
      <c r="AA15" s="21">
        <v>120</v>
      </c>
      <c r="AB15" s="5"/>
      <c r="AC15" s="19">
        <v>0</v>
      </c>
      <c r="AD15" s="20">
        <v>0</v>
      </c>
      <c r="AE15" s="22"/>
      <c r="AF15" s="22"/>
      <c r="AG15" s="5"/>
      <c r="AH15" s="28">
        <f t="shared" si="5"/>
        <v>-1200190.42</v>
      </c>
      <c r="AI15" s="5"/>
      <c r="AJ15" s="26"/>
    </row>
    <row r="16" spans="1:38" ht="15.75" customHeight="1" x14ac:dyDescent="0.25">
      <c r="B16" s="41" t="s">
        <v>334</v>
      </c>
      <c r="C16" s="97" cm="1">
        <f t="array" ref="C16">IFERROR(INDEX('Limite de crédito'!$D:$D, MATCH(MAX(IF('Limite de crédito'!$C:$C=$B16, 'Limite de crédito'!$A:$A)), 'Limite de crédito'!$A:$A, 0)),"")</f>
        <v>45999</v>
      </c>
      <c r="D16" s="107" t="str" cm="1">
        <f t="array" ref="D16">IFERROR(INDEX('Limite de crédito'!$F:$F, MATCH(MAX(IF('Limite de crédito'!$C:$C=$B16, 'Limite de crédito'!$A:$A)), 'Limite de crédito'!$A:$A, 0)),0)</f>
        <v>Sim</v>
      </c>
      <c r="E16" s="18" t="e">
        <f t="shared" si="2"/>
        <v>#VALUE!</v>
      </c>
      <c r="F16" s="18">
        <f t="shared" si="3"/>
        <v>482989</v>
      </c>
      <c r="G16" s="19">
        <f>SUMIFS('Data Fertilizers'!$D:$D,'Data Fertilizers'!$P:$P,$B16,'Data Fertilizers'!$Q:$Q,"&gt;0",'Data Fertilizers'!$Q:$Q,"&lt;=30")</f>
        <v>0</v>
      </c>
      <c r="H16" s="19">
        <f>SUMIFS('Data Fertilizers'!$D:$D,'Data Fertilizers'!$P:$P,$B16,'Data Fertilizers'!$Q:$Q,"&gt;30",'Data Fertilizers'!$Q:$Q,"&lt;=60")</f>
        <v>0</v>
      </c>
      <c r="I16" s="19">
        <f>SUMIFS('Data Fertilizers'!$D:$D,'Data Fertilizers'!$P:$P,$B16,'Data Fertilizers'!$Q:$Q,"&gt;60",'Data Fertilizers'!$Q:$Q,"&lt;=90")</f>
        <v>0</v>
      </c>
      <c r="J16" s="19">
        <f>SUMIFS('Data Fertilizers'!$D:$D,'Data Fertilizers'!$P:$P,$B16,'Data Fertilizers'!$Q:$Q,"&gt;90",'Data Fertilizers'!$Q:$Q,"&lt;=120")</f>
        <v>0</v>
      </c>
      <c r="K16" s="19">
        <f>SUMIFS('Data Fertilizers'!$D:$D,'Data Fertilizers'!$P:$P,$B16,'Data Fertilizers'!$Q:$Q,"&gt;120",'Data Fertilizers'!$Q:$Q,"&lt;=180")</f>
        <v>0</v>
      </c>
      <c r="L16" s="19">
        <f>SUMIFS('Data Fertilizers'!$D:$D,'Data Fertilizers'!$P:$P,$B16,'Data Fertilizers'!$Q:$Q,"&gt;180",'Data Fertilizers'!$Q:$Q,"&lt;=360")</f>
        <v>0</v>
      </c>
      <c r="M16" s="23">
        <f>SUMIFS('Data Fertilizers'!$D:$D,'Data Fertilizers'!$P:$P,$B16,'Data Fertilizers'!$Q:$Q,"&gt;360")</f>
        <v>0</v>
      </c>
      <c r="N16" s="19">
        <f>SUMIFS('Data Fertilizers'!$D:$D,'Data Fertilizers'!$P:$P,$B16,'Data Fertilizers'!$Q:$Q,"&gt;0")</f>
        <v>0</v>
      </c>
      <c r="O16" s="19">
        <f t="shared" si="4"/>
        <v>482989</v>
      </c>
      <c r="P16" s="19">
        <f>SUMIFS('Data Fertilizers'!$D:$D,'Data Fertilizers'!$P:$P,$B16,'Data Fertilizers'!$Q:$Q,"&lt;=0",'Data Fertilizers'!$Q:$Q,"&gt;=-30")</f>
        <v>482989</v>
      </c>
      <c r="Q16" s="19">
        <f>SUMIFS('Data Fertilizers'!$D:$D,'Data Fertilizers'!$P:$P,$B16,'Data Fertilizers'!$Q:$Q,"&lt;=-31",'Data Fertilizers'!$Q:$Q,"&gt;=-60")</f>
        <v>0</v>
      </c>
      <c r="R16" s="19">
        <f>SUMIFS('Data Fertilizers'!$D:$D,'Data Fertilizers'!$P:$P,$B16,'Data Fertilizers'!$Q:$Q,"&lt;=-61",'Data Fertilizers'!$Q:$Q,"&gt;=-90")</f>
        <v>0</v>
      </c>
      <c r="S16" s="19">
        <f>SUMIFS('Data Fertilizers'!$D:$D,'Data Fertilizers'!$P:$P,$B16,'Data Fertilizers'!$Q:$Q,"&lt;=-91",'Data Fertilizers'!$Q:$Q,"&gt;=-120")</f>
        <v>0</v>
      </c>
      <c r="T16" s="19">
        <f>SUMIFS('Data Fertilizers'!$D:$D,'Data Fertilizers'!$P:$P,$B16,'Data Fertilizers'!$Q:$Q,"&lt;=-121",'Data Fertilizers'!$Q:$Q,"&gt;=-180")</f>
        <v>0</v>
      </c>
      <c r="U16" s="19">
        <f>SUMIFS('Data Fertilizers'!$D:$D,'Data Fertilizers'!$P:$P,$B16,'Data Fertilizers'!$Q:$Q,"&lt;=-181",'Data Fertilizers'!$Q:$Q,"&gt;=-360")</f>
        <v>0</v>
      </c>
      <c r="V16" s="23">
        <f>SUMIFS('Data Fertilizers'!$D:$D,'Data Fertilizers'!$P:$P,$B16,'Data Fertilizers'!$Q:$Q,"&lt;-360")</f>
        <v>0</v>
      </c>
      <c r="W16" s="19" t="e">
        <f>SUMIFS('Bad Debt Provision'!#REF!,'Bad Debt Provision'!#REF!,'Painel Fertilizers'!#REF!)</f>
        <v>#REF!</v>
      </c>
      <c r="X16" s="5"/>
      <c r="Y16" s="20"/>
      <c r="Z16" s="20"/>
      <c r="AA16" s="21"/>
      <c r="AB16" s="5"/>
      <c r="AC16" s="19"/>
      <c r="AD16" s="20"/>
      <c r="AE16" s="22"/>
      <c r="AF16" s="22"/>
      <c r="AG16" s="5"/>
      <c r="AH16" s="28">
        <f t="shared" si="5"/>
        <v>-482989</v>
      </c>
      <c r="AJ16" s="26"/>
    </row>
    <row r="17" spans="2:36" ht="15.75" customHeight="1" x14ac:dyDescent="0.25">
      <c r="B17" s="41" t="s">
        <v>423</v>
      </c>
      <c r="C17" s="97" t="str" cm="1">
        <f t="array" ref="C17">IFERROR(INDEX('Limite de crédito'!$D:$D, MATCH(MAX(IF('Limite de crédito'!$C:$C=$B17, 'Limite de crédito'!$A:$A)), 'Limite de crédito'!$A:$A, 0)),"")</f>
        <v/>
      </c>
      <c r="D17" s="107" cm="1">
        <f t="array" ref="D17">IFERROR(INDEX('Limite de crédito'!$F:$F, MATCH(MAX(IF('Limite de crédito'!$C:$C=$B17, 'Limite de crédito'!$A:$A)), 'Limite de crédito'!$A:$A, 0)),0)</f>
        <v>0</v>
      </c>
      <c r="E17" s="18">
        <f t="shared" si="2"/>
        <v>0</v>
      </c>
      <c r="F17" s="18">
        <f t="shared" si="3"/>
        <v>0</v>
      </c>
      <c r="G17" s="19">
        <f>SUMIFS('Data Fertilizers'!$D:$D,'Data Fertilizers'!$P:$P,$B17,'Data Fertilizers'!$Q:$Q,"&gt;0",'Data Fertilizers'!$Q:$Q,"&lt;=30")</f>
        <v>0</v>
      </c>
      <c r="H17" s="19">
        <f>SUMIFS('Data Fertilizers'!$D:$D,'Data Fertilizers'!$P:$P,$B17,'Data Fertilizers'!$Q:$Q,"&gt;30",'Data Fertilizers'!$Q:$Q,"&lt;=60")</f>
        <v>0</v>
      </c>
      <c r="I17" s="19">
        <f>SUMIFS('Data Fertilizers'!$D:$D,'Data Fertilizers'!$P:$P,$B17,'Data Fertilizers'!$Q:$Q,"&gt;60",'Data Fertilizers'!$Q:$Q,"&lt;=90")</f>
        <v>0</v>
      </c>
      <c r="J17" s="19">
        <f>SUMIFS('Data Fertilizers'!$D:$D,'Data Fertilizers'!$P:$P,$B17,'Data Fertilizers'!$Q:$Q,"&gt;90",'Data Fertilizers'!$Q:$Q,"&lt;=120")</f>
        <v>0</v>
      </c>
      <c r="K17" s="19">
        <f>SUMIFS('Data Fertilizers'!$D:$D,'Data Fertilizers'!$P:$P,$B17,'Data Fertilizers'!$Q:$Q,"&gt;120",'Data Fertilizers'!$Q:$Q,"&lt;=180")</f>
        <v>0</v>
      </c>
      <c r="L17" s="19">
        <f>SUMIFS('Data Fertilizers'!$D:$D,'Data Fertilizers'!$P:$P,$B17,'Data Fertilizers'!$Q:$Q,"&gt;180",'Data Fertilizers'!$Q:$Q,"&lt;=360")</f>
        <v>0</v>
      </c>
      <c r="M17" s="23">
        <f>SUMIFS('Data Fertilizers'!$D:$D,'Data Fertilizers'!$P:$P,$B17,'Data Fertilizers'!$Q:$Q,"&gt;360")</f>
        <v>0</v>
      </c>
      <c r="N17" s="19">
        <f>SUMIFS('Data Fertilizers'!$D:$D,'Data Fertilizers'!$P:$P,$B17,'Data Fertilizers'!$Q:$Q,"&gt;0")</f>
        <v>0</v>
      </c>
      <c r="O17" s="19">
        <f t="shared" si="4"/>
        <v>0</v>
      </c>
      <c r="P17" s="19">
        <f>SUMIFS('Data Fertilizers'!$D:$D,'Data Fertilizers'!$P:$P,$B17,'Data Fertilizers'!$Q:$Q,"&lt;=0",'Data Fertilizers'!$Q:$Q,"&gt;=-30")</f>
        <v>0</v>
      </c>
      <c r="Q17" s="19">
        <f>SUMIFS('Data Fertilizers'!$D:$D,'Data Fertilizers'!$P:$P,$B17,'Data Fertilizers'!$Q:$Q,"&lt;=-31",'Data Fertilizers'!$Q:$Q,"&gt;=-60")</f>
        <v>0</v>
      </c>
      <c r="R17" s="19">
        <f>SUMIFS('Data Fertilizers'!$D:$D,'Data Fertilizers'!$P:$P,$B17,'Data Fertilizers'!$Q:$Q,"&lt;=-61",'Data Fertilizers'!$Q:$Q,"&gt;=-90")</f>
        <v>0</v>
      </c>
      <c r="S17" s="19">
        <f>SUMIFS('Data Fertilizers'!$D:$D,'Data Fertilizers'!$P:$P,$B17,'Data Fertilizers'!$Q:$Q,"&lt;=-91",'Data Fertilizers'!$Q:$Q,"&gt;=-120")</f>
        <v>0</v>
      </c>
      <c r="T17" s="19">
        <f>SUMIFS('Data Fertilizers'!$D:$D,'Data Fertilizers'!$P:$P,$B17,'Data Fertilizers'!$Q:$Q,"&lt;=-121",'Data Fertilizers'!$Q:$Q,"&gt;=-180")</f>
        <v>0</v>
      </c>
      <c r="U17" s="19">
        <f>SUMIFS('Data Fertilizers'!$D:$D,'Data Fertilizers'!$P:$P,$B17,'Data Fertilizers'!$Q:$Q,"&lt;=-181",'Data Fertilizers'!$Q:$Q,"&gt;=-360")</f>
        <v>0</v>
      </c>
      <c r="V17" s="23">
        <f>SUMIFS('Data Fertilizers'!$D:$D,'Data Fertilizers'!$P:$P,$B17,'Data Fertilizers'!$Q:$Q,"&lt;-360")</f>
        <v>0</v>
      </c>
      <c r="W17" s="19" t="e">
        <f>SUMIFS('Bad Debt Provision'!#REF!,'Bad Debt Provision'!#REF!,'Painel Fertilizers'!$B40)</f>
        <v>#REF!</v>
      </c>
      <c r="Y17" s="20"/>
      <c r="Z17" s="20"/>
      <c r="AA17" s="21"/>
      <c r="AB17" s="5"/>
      <c r="AC17" s="19"/>
      <c r="AD17" s="20"/>
      <c r="AE17" s="22"/>
      <c r="AF17" s="22"/>
      <c r="AG17" s="5"/>
      <c r="AH17" s="28">
        <f t="shared" si="5"/>
        <v>0</v>
      </c>
    </row>
    <row r="18" spans="2:36" ht="15.75" customHeight="1" x14ac:dyDescent="0.25">
      <c r="B18" s="41" t="s">
        <v>434</v>
      </c>
      <c r="C18" s="97" t="str" cm="1">
        <f t="array" ref="C18">IFERROR(INDEX('Limite de crédito'!$D:$D, MATCH(MAX(IF('Limite de crédito'!$C:$C=$B18, 'Limite de crédito'!$A:$A)), 'Limite de crédito'!$A:$A, 0)),"")</f>
        <v/>
      </c>
      <c r="D18" s="107" cm="1">
        <f t="array" ref="D18">IFERROR(INDEX('Limite de crédito'!$F:$F, MATCH(MAX(IF('Limite de crédito'!$C:$C=$B18, 'Limite de crédito'!$A:$A)), 'Limite de crédito'!$A:$A, 0)),0)</f>
        <v>0</v>
      </c>
      <c r="E18" s="18">
        <f t="shared" si="2"/>
        <v>0</v>
      </c>
      <c r="F18" s="18">
        <f t="shared" si="3"/>
        <v>0</v>
      </c>
      <c r="G18" s="19">
        <f>SUMIFS('Data Fertilizers'!$D:$D,'Data Fertilizers'!$P:$P,$B18,'Data Fertilizers'!$Q:$Q,"&gt;0",'Data Fertilizers'!$Q:$Q,"&lt;=30")</f>
        <v>0</v>
      </c>
      <c r="H18" s="19">
        <f>SUMIFS('Data Fertilizers'!$D:$D,'Data Fertilizers'!$P:$P,$B18,'Data Fertilizers'!$Q:$Q,"&gt;30",'Data Fertilizers'!$Q:$Q,"&lt;=60")</f>
        <v>0</v>
      </c>
      <c r="I18" s="19">
        <f>SUMIFS('Data Fertilizers'!$D:$D,'Data Fertilizers'!$P:$P,$B18,'Data Fertilizers'!$Q:$Q,"&gt;60",'Data Fertilizers'!$Q:$Q,"&lt;=90")</f>
        <v>0</v>
      </c>
      <c r="J18" s="19">
        <f>SUMIFS('Data Fertilizers'!$D:$D,'Data Fertilizers'!$P:$P,$B18,'Data Fertilizers'!$Q:$Q,"&gt;90",'Data Fertilizers'!$Q:$Q,"&lt;=120")</f>
        <v>0</v>
      </c>
      <c r="K18" s="19">
        <f>SUMIFS('Data Fertilizers'!$D:$D,'Data Fertilizers'!$P:$P,$B18,'Data Fertilizers'!$Q:$Q,"&gt;120",'Data Fertilizers'!$Q:$Q,"&lt;=180")</f>
        <v>0</v>
      </c>
      <c r="L18" s="19">
        <f>SUMIFS('Data Fertilizers'!$D:$D,'Data Fertilizers'!$P:$P,$B18,'Data Fertilizers'!$Q:$Q,"&gt;180",'Data Fertilizers'!$Q:$Q,"&lt;=360")</f>
        <v>0</v>
      </c>
      <c r="M18" s="23">
        <f>SUMIFS('Data Fertilizers'!$D:$D,'Data Fertilizers'!$P:$P,$B18,'Data Fertilizers'!$Q:$Q,"&gt;360")</f>
        <v>0</v>
      </c>
      <c r="N18" s="19">
        <f>SUMIFS('Data Fertilizers'!$D:$D,'Data Fertilizers'!$P:$P,$B18,'Data Fertilizers'!$Q:$Q,"&gt;0")</f>
        <v>0</v>
      </c>
      <c r="O18" s="19">
        <f t="shared" si="4"/>
        <v>0</v>
      </c>
      <c r="P18" s="19">
        <f>SUMIFS('Data Fertilizers'!$D:$D,'Data Fertilizers'!$P:$P,$B18,'Data Fertilizers'!$Q:$Q,"&lt;=0",'Data Fertilizers'!$Q:$Q,"&gt;=-30")</f>
        <v>0</v>
      </c>
      <c r="Q18" s="19">
        <f>SUMIFS('Data Fertilizers'!$D:$D,'Data Fertilizers'!$P:$P,$B18,'Data Fertilizers'!$Q:$Q,"&lt;=-31",'Data Fertilizers'!$Q:$Q,"&gt;=-60")</f>
        <v>0</v>
      </c>
      <c r="R18" s="19">
        <f>SUMIFS('Data Fertilizers'!$D:$D,'Data Fertilizers'!$P:$P,$B18,'Data Fertilizers'!$Q:$Q,"&lt;=-61",'Data Fertilizers'!$Q:$Q,"&gt;=-90")</f>
        <v>0</v>
      </c>
      <c r="S18" s="19">
        <f>SUMIFS('Data Fertilizers'!$D:$D,'Data Fertilizers'!$P:$P,$B18,'Data Fertilizers'!$Q:$Q,"&lt;=-91",'Data Fertilizers'!$Q:$Q,"&gt;=-120")</f>
        <v>0</v>
      </c>
      <c r="T18" s="19">
        <f>SUMIFS('Data Fertilizers'!$D:$D,'Data Fertilizers'!$P:$P,$B18,'Data Fertilizers'!$Q:$Q,"&lt;=-121",'Data Fertilizers'!$Q:$Q,"&gt;=-180")</f>
        <v>0</v>
      </c>
      <c r="U18" s="19">
        <f>SUMIFS('Data Fertilizers'!$D:$D,'Data Fertilizers'!$P:$P,$B18,'Data Fertilizers'!$Q:$Q,"&lt;=-181",'Data Fertilizers'!$Q:$Q,"&gt;=-360")</f>
        <v>0</v>
      </c>
      <c r="V18" s="23">
        <f>SUMIFS('Data Fertilizers'!$D:$D,'Data Fertilizers'!$P:$P,$B18,'Data Fertilizers'!$Q:$Q,"&lt;-360")</f>
        <v>0</v>
      </c>
      <c r="W18" s="19" t="e">
        <f>SUMIFS('Bad Debt Provision'!#REF!,'Bad Debt Provision'!#REF!,'Painel Fertilizers'!#REF!)</f>
        <v>#REF!</v>
      </c>
      <c r="Y18" s="20"/>
      <c r="Z18" s="20"/>
      <c r="AA18" s="21"/>
      <c r="AB18" s="5"/>
      <c r="AC18" s="19"/>
      <c r="AD18" s="20"/>
      <c r="AE18" s="22"/>
      <c r="AF18" s="22"/>
      <c r="AG18" s="5"/>
      <c r="AH18" s="28">
        <f t="shared" si="5"/>
        <v>0</v>
      </c>
    </row>
    <row r="19" spans="2:36" ht="15.75" customHeight="1" x14ac:dyDescent="0.25">
      <c r="B19" s="41" t="s">
        <v>432</v>
      </c>
      <c r="C19" s="97" cm="1">
        <f t="array" ref="C19">IFERROR(INDEX('Limite de crédito'!$D:$D, MATCH(MAX(IF('Limite de crédito'!$C:$C=$B19, 'Limite de crédito'!$A:$A)), 'Limite de crédito'!$A:$A, 0)),"")</f>
        <v>45869</v>
      </c>
      <c r="D19" s="107" t="str" cm="1">
        <f t="array" ref="D19">IFERROR(INDEX('Limite de crédito'!$F:$F, MATCH(MAX(IF('Limite de crédito'!$C:$C=$B19, 'Limite de crédito'!$A:$A)), 'Limite de crédito'!$A:$A, 0)),0)</f>
        <v>Sim</v>
      </c>
      <c r="E19" s="18" t="e">
        <f t="shared" si="2"/>
        <v>#VALUE!</v>
      </c>
      <c r="F19" s="18">
        <f t="shared" si="3"/>
        <v>133718</v>
      </c>
      <c r="G19" s="19">
        <f>SUMIFS('Data Fertilizers'!$D:$D,'Data Fertilizers'!$P:$P,$B19,'Data Fertilizers'!$Q:$Q,"&gt;0",'Data Fertilizers'!$Q:$Q,"&lt;=30")</f>
        <v>0</v>
      </c>
      <c r="H19" s="19">
        <f>SUMIFS('Data Fertilizers'!$D:$D,'Data Fertilizers'!$P:$P,$B19,'Data Fertilizers'!$Q:$Q,"&gt;30",'Data Fertilizers'!$Q:$Q,"&lt;=60")</f>
        <v>0</v>
      </c>
      <c r="I19" s="19">
        <f>SUMIFS('Data Fertilizers'!$D:$D,'Data Fertilizers'!$P:$P,$B19,'Data Fertilizers'!$Q:$Q,"&gt;60",'Data Fertilizers'!$Q:$Q,"&lt;=90")</f>
        <v>0</v>
      </c>
      <c r="J19" s="19">
        <f>SUMIFS('Data Fertilizers'!$D:$D,'Data Fertilizers'!$P:$P,$B19,'Data Fertilizers'!$Q:$Q,"&gt;90",'Data Fertilizers'!$Q:$Q,"&lt;=120")</f>
        <v>0</v>
      </c>
      <c r="K19" s="19">
        <f>SUMIFS('Data Fertilizers'!$D:$D,'Data Fertilizers'!$P:$P,$B19,'Data Fertilizers'!$Q:$Q,"&gt;120",'Data Fertilizers'!$Q:$Q,"&lt;=180")</f>
        <v>0</v>
      </c>
      <c r="L19" s="19">
        <f>SUMIFS('Data Fertilizers'!$D:$D,'Data Fertilizers'!$P:$P,$B19,'Data Fertilizers'!$Q:$Q,"&gt;180",'Data Fertilizers'!$Q:$Q,"&lt;=360")</f>
        <v>0</v>
      </c>
      <c r="M19" s="23">
        <f>SUMIFS('Data Fertilizers'!$D:$D,'Data Fertilizers'!$P:$P,$B19,'Data Fertilizers'!$Q:$Q,"&gt;360")</f>
        <v>0</v>
      </c>
      <c r="N19" s="19">
        <f>SUMIFS('Data Fertilizers'!$D:$D,'Data Fertilizers'!$P:$P,$B19,'Data Fertilizers'!$Q:$Q,"&gt;0")</f>
        <v>0</v>
      </c>
      <c r="O19" s="19">
        <f t="shared" si="4"/>
        <v>133718</v>
      </c>
      <c r="P19" s="19">
        <f>SUMIFS('Data Fertilizers'!$D:$D,'Data Fertilizers'!$P:$P,$B19,'Data Fertilizers'!$Q:$Q,"&lt;=0",'Data Fertilizers'!$Q:$Q,"&gt;=-30")</f>
        <v>133718</v>
      </c>
      <c r="Q19" s="19">
        <f>SUMIFS('Data Fertilizers'!$D:$D,'Data Fertilizers'!$P:$P,$B19,'Data Fertilizers'!$Q:$Q,"&lt;=-31",'Data Fertilizers'!$Q:$Q,"&gt;=-60")</f>
        <v>0</v>
      </c>
      <c r="R19" s="19">
        <f>SUMIFS('Data Fertilizers'!$D:$D,'Data Fertilizers'!$P:$P,$B19,'Data Fertilizers'!$Q:$Q,"&lt;=-61",'Data Fertilizers'!$Q:$Q,"&gt;=-90")</f>
        <v>0</v>
      </c>
      <c r="S19" s="19">
        <f>SUMIFS('Data Fertilizers'!$D:$D,'Data Fertilizers'!$P:$P,$B19,'Data Fertilizers'!$Q:$Q,"&lt;=-91",'Data Fertilizers'!$Q:$Q,"&gt;=-120")</f>
        <v>0</v>
      </c>
      <c r="T19" s="19">
        <f>SUMIFS('Data Fertilizers'!$D:$D,'Data Fertilizers'!$P:$P,$B19,'Data Fertilizers'!$Q:$Q,"&lt;=-121",'Data Fertilizers'!$Q:$Q,"&gt;=-180")</f>
        <v>0</v>
      </c>
      <c r="U19" s="19">
        <f>SUMIFS('Data Fertilizers'!$D:$D,'Data Fertilizers'!$P:$P,$B19,'Data Fertilizers'!$Q:$Q,"&lt;=-181",'Data Fertilizers'!$Q:$Q,"&gt;=-360")</f>
        <v>0</v>
      </c>
      <c r="V19" s="23">
        <f>SUMIFS('Data Fertilizers'!$D:$D,'Data Fertilizers'!$P:$P,$B19,'Data Fertilizers'!$Q:$Q,"&lt;-360")</f>
        <v>0</v>
      </c>
      <c r="W19" s="19" t="e">
        <f>SUMIFS('Bad Debt Provision'!#REF!,'Bad Debt Provision'!#REF!,'Painel Fertilizers'!#REF!)</f>
        <v>#REF!</v>
      </c>
      <c r="Y19" s="20"/>
      <c r="Z19" s="20"/>
      <c r="AA19" s="21"/>
      <c r="AB19" s="5"/>
      <c r="AC19" s="19"/>
      <c r="AD19" s="20"/>
      <c r="AE19" s="22"/>
      <c r="AF19" s="22"/>
      <c r="AG19" s="5"/>
      <c r="AH19" s="28">
        <f t="shared" si="5"/>
        <v>-133718</v>
      </c>
    </row>
    <row r="20" spans="2:36" ht="15.75" customHeight="1" x14ac:dyDescent="0.25">
      <c r="B20" s="41" t="s">
        <v>269</v>
      </c>
      <c r="C20" s="97" t="str" cm="1">
        <f t="array" ref="C20">IFERROR(INDEX('Limite de crédito'!$D:$D, MATCH(MAX(IF('Limite de crédito'!$C:$C=$B20, 'Limite de crédito'!$A:$A)), 'Limite de crédito'!$A:$A, 0)),"")</f>
        <v/>
      </c>
      <c r="D20" s="107" cm="1">
        <f t="array" ref="D20">IFERROR(INDEX('Limite de crédito'!$F:$F, MATCH(MAX(IF('Limite de crédito'!$C:$C=$B20, 'Limite de crédito'!$A:$A)), 'Limite de crédito'!$A:$A, 0)),0)</f>
        <v>0</v>
      </c>
      <c r="E20" s="18">
        <f t="shared" si="2"/>
        <v>-988506.24</v>
      </c>
      <c r="F20" s="18">
        <f t="shared" si="3"/>
        <v>988506.24</v>
      </c>
      <c r="G20" s="19">
        <f>SUMIFS('Data Fertilizers'!$D:$D,'Data Fertilizers'!$P:$P,$B20,'Data Fertilizers'!$Q:$Q,"&gt;0",'Data Fertilizers'!$Q:$Q,"&lt;=30")</f>
        <v>0</v>
      </c>
      <c r="H20" s="19">
        <f>SUMIFS('Data Fertilizers'!$D:$D,'Data Fertilizers'!$P:$P,$B20,'Data Fertilizers'!$Q:$Q,"&gt;30",'Data Fertilizers'!$Q:$Q,"&lt;=60")</f>
        <v>0</v>
      </c>
      <c r="I20" s="19">
        <f>SUMIFS('Data Fertilizers'!$D:$D,'Data Fertilizers'!$P:$P,$B20,'Data Fertilizers'!$Q:$Q,"&gt;60",'Data Fertilizers'!$Q:$Q,"&lt;=90")</f>
        <v>0</v>
      </c>
      <c r="J20" s="19">
        <f>SUMIFS('Data Fertilizers'!$D:$D,'Data Fertilizers'!$P:$P,$B20,'Data Fertilizers'!$Q:$Q,"&gt;90",'Data Fertilizers'!$Q:$Q,"&lt;=120")</f>
        <v>0</v>
      </c>
      <c r="K20" s="19">
        <f>SUMIFS('Data Fertilizers'!$D:$D,'Data Fertilizers'!$P:$P,$B20,'Data Fertilizers'!$Q:$Q,"&gt;120",'Data Fertilizers'!$Q:$Q,"&lt;=180")</f>
        <v>0</v>
      </c>
      <c r="L20" s="19">
        <f>SUMIFS('Data Fertilizers'!$D:$D,'Data Fertilizers'!$P:$P,$B20,'Data Fertilizers'!$Q:$Q,"&gt;180",'Data Fertilizers'!$Q:$Q,"&lt;=360")</f>
        <v>462720</v>
      </c>
      <c r="M20" s="23">
        <f>SUMIFS('Data Fertilizers'!$D:$D,'Data Fertilizers'!$P:$P,$B20,'Data Fertilizers'!$Q:$Q,"&gt;360")</f>
        <v>525786.24</v>
      </c>
      <c r="N20" s="19">
        <f>SUMIFS('Data Fertilizers'!$D:$D,'Data Fertilizers'!$P:$P,$B20,'Data Fertilizers'!$Q:$Q,"&gt;0")</f>
        <v>988506.24</v>
      </c>
      <c r="O20" s="19">
        <f t="shared" si="4"/>
        <v>0</v>
      </c>
      <c r="P20" s="19">
        <f>SUMIFS('Data Fertilizers'!$D:$D,'Data Fertilizers'!$P:$P,$B20,'Data Fertilizers'!$Q:$Q,"&lt;=0",'Data Fertilizers'!$Q:$Q,"&gt;=-30")</f>
        <v>0</v>
      </c>
      <c r="Q20" s="19">
        <f>SUMIFS('Data Fertilizers'!$D:$D,'Data Fertilizers'!$P:$P,$B20,'Data Fertilizers'!$Q:$Q,"&lt;=-31",'Data Fertilizers'!$Q:$Q,"&gt;=-60")</f>
        <v>0</v>
      </c>
      <c r="R20" s="19">
        <f>SUMIFS('Data Fertilizers'!$D:$D,'Data Fertilizers'!$P:$P,$B20,'Data Fertilizers'!$Q:$Q,"&lt;=-61",'Data Fertilizers'!$Q:$Q,"&gt;=-90")</f>
        <v>0</v>
      </c>
      <c r="S20" s="19">
        <f>SUMIFS('Data Fertilizers'!$D:$D,'Data Fertilizers'!$P:$P,$B20,'Data Fertilizers'!$Q:$Q,"&lt;=-91",'Data Fertilizers'!$Q:$Q,"&gt;=-120")</f>
        <v>0</v>
      </c>
      <c r="T20" s="19">
        <f>SUMIFS('Data Fertilizers'!$D:$D,'Data Fertilizers'!$P:$P,$B20,'Data Fertilizers'!$Q:$Q,"&lt;=-121",'Data Fertilizers'!$Q:$Q,"&gt;=-180")</f>
        <v>0</v>
      </c>
      <c r="U20" s="19">
        <f>SUMIFS('Data Fertilizers'!$D:$D,'Data Fertilizers'!$P:$P,$B20,'Data Fertilizers'!$Q:$Q,"&lt;=-181",'Data Fertilizers'!$Q:$Q,"&gt;=-360")</f>
        <v>0</v>
      </c>
      <c r="V20" s="23">
        <f>SUMIFS('Data Fertilizers'!$D:$D,'Data Fertilizers'!$P:$P,$B20,'Data Fertilizers'!$Q:$Q,"&lt;-360")</f>
        <v>0</v>
      </c>
      <c r="W20" s="19" t="e">
        <f>SUMIFS('Bad Debt Provision'!#REF!,'Bad Debt Provision'!#REF!,'Painel Fertilizers'!$B30)</f>
        <v>#REF!</v>
      </c>
      <c r="X20" s="5"/>
      <c r="Y20" s="20"/>
      <c r="Z20" s="20"/>
      <c r="AA20" s="21"/>
      <c r="AB20" s="5"/>
      <c r="AC20" s="19"/>
      <c r="AD20" s="20"/>
      <c r="AE20" s="22"/>
      <c r="AF20" s="22"/>
      <c r="AG20" s="5"/>
      <c r="AH20" s="28">
        <f t="shared" si="5"/>
        <v>-988506.24</v>
      </c>
      <c r="AJ20" s="26"/>
    </row>
    <row r="21" spans="2:36" ht="15.75" customHeight="1" x14ac:dyDescent="0.25">
      <c r="B21" s="17" t="s">
        <v>211</v>
      </c>
      <c r="C21" s="97" t="s">
        <v>473</v>
      </c>
      <c r="D21" s="107" cm="1">
        <f t="array" ref="D21">IFERROR(INDEX('Limite de crédito'!$F:$F, MATCH(MAX(IF('Limite de crédito'!$C:$C=$B21, 'Limite de crédito'!$A:$A)), 'Limite de crédito'!$A:$A, 0)),0)</f>
        <v>0</v>
      </c>
      <c r="E21" s="18">
        <f t="shared" si="2"/>
        <v>0</v>
      </c>
      <c r="F21" s="18">
        <f t="shared" si="3"/>
        <v>0</v>
      </c>
      <c r="G21" s="19">
        <f>SUMIFS('Data Fertilizers'!$D:$D,'Data Fertilizers'!$P:$P,$B21,'Data Fertilizers'!$Q:$Q,"&gt;0",'Data Fertilizers'!$Q:$Q,"&lt;=30")</f>
        <v>0</v>
      </c>
      <c r="H21" s="19">
        <f>SUMIFS('Data Fertilizers'!$D:$D,'Data Fertilizers'!$P:$P,$B21,'Data Fertilizers'!$Q:$Q,"&gt;30",'Data Fertilizers'!$Q:$Q,"&lt;=60")</f>
        <v>0</v>
      </c>
      <c r="I21" s="19">
        <f>SUMIFS('Data Fertilizers'!$D:$D,'Data Fertilizers'!$P:$P,$B21,'Data Fertilizers'!$Q:$Q,"&gt;60",'Data Fertilizers'!$Q:$Q,"&lt;=90")</f>
        <v>0</v>
      </c>
      <c r="J21" s="19">
        <f>SUMIFS('Data Fertilizers'!$D:$D,'Data Fertilizers'!$P:$P,$B21,'Data Fertilizers'!$Q:$Q,"&gt;90",'Data Fertilizers'!$Q:$Q,"&lt;=120")</f>
        <v>0</v>
      </c>
      <c r="K21" s="19">
        <f>SUMIFS('Data Fertilizers'!$D:$D,'Data Fertilizers'!$P:$P,$B21,'Data Fertilizers'!$Q:$Q,"&gt;120",'Data Fertilizers'!$Q:$Q,"&lt;=180")</f>
        <v>0</v>
      </c>
      <c r="L21" s="19">
        <f>SUMIFS('Data Fertilizers'!$D:$D,'Data Fertilizers'!$P:$P,$B21,'Data Fertilizers'!$Q:$Q,"&gt;180",'Data Fertilizers'!$Q:$Q,"&lt;=360")</f>
        <v>0</v>
      </c>
      <c r="M21" s="23">
        <f>SUMIFS('Data Fertilizers'!$D:$D,'Data Fertilizers'!$P:$P,$B21,'Data Fertilizers'!$Q:$Q,"&gt;360")</f>
        <v>0</v>
      </c>
      <c r="N21" s="19">
        <f>SUMIFS('Data Fertilizers'!$D:$D,'Data Fertilizers'!$P:$P,$B21,'Data Fertilizers'!$Q:$Q,"&gt;0")</f>
        <v>0</v>
      </c>
      <c r="O21" s="19">
        <f t="shared" si="4"/>
        <v>0</v>
      </c>
      <c r="P21" s="19">
        <f>SUMIFS('Data Fertilizers'!$D:$D,'Data Fertilizers'!$P:$P,$B21,'Data Fertilizers'!$Q:$Q,"&lt;=0",'Data Fertilizers'!$Q:$Q,"&gt;=-30")</f>
        <v>0</v>
      </c>
      <c r="Q21" s="19">
        <f>SUMIFS('Data Fertilizers'!$D:$D,'Data Fertilizers'!$P:$P,$B21,'Data Fertilizers'!$Q:$Q,"&lt;=-31",'Data Fertilizers'!$Q:$Q,"&gt;=-60")</f>
        <v>0</v>
      </c>
      <c r="R21" s="19">
        <f>SUMIFS('Data Fertilizers'!$D:$D,'Data Fertilizers'!$P:$P,$B21,'Data Fertilizers'!$Q:$Q,"&lt;=-61",'Data Fertilizers'!$Q:$Q,"&gt;=-90")</f>
        <v>0</v>
      </c>
      <c r="S21" s="19">
        <f>SUMIFS('Data Fertilizers'!$D:$D,'Data Fertilizers'!$P:$P,$B21,'Data Fertilizers'!$Q:$Q,"&lt;=-91",'Data Fertilizers'!$Q:$Q,"&gt;=-120")</f>
        <v>0</v>
      </c>
      <c r="T21" s="19">
        <f>SUMIFS('Data Fertilizers'!$D:$D,'Data Fertilizers'!$P:$P,$B21,'Data Fertilizers'!$Q:$Q,"&lt;=-121",'Data Fertilizers'!$Q:$Q,"&gt;=-180")</f>
        <v>0</v>
      </c>
      <c r="U21" s="19">
        <f>SUMIFS('Data Fertilizers'!$D:$D,'Data Fertilizers'!$P:$P,$B21,'Data Fertilizers'!$Q:$Q,"&lt;=-181",'Data Fertilizers'!$Q:$Q,"&gt;=-360")</f>
        <v>0</v>
      </c>
      <c r="V21" s="23">
        <f>SUMIFS('Data Fertilizers'!$D:$D,'Data Fertilizers'!$P:$P,$B21,'Data Fertilizers'!$Q:$Q,"&lt;-360")</f>
        <v>0</v>
      </c>
      <c r="W21" s="19" t="e">
        <f>SUMIFS('Bad Debt Provision'!#REF!,'Bad Debt Provision'!#REF!,'Painel Fertilizers'!$B23)</f>
        <v>#REF!</v>
      </c>
      <c r="X21" s="5"/>
      <c r="Y21" s="20">
        <v>602516</v>
      </c>
      <c r="Z21" s="20" t="s">
        <v>230</v>
      </c>
      <c r="AA21" s="21">
        <v>180</v>
      </c>
      <c r="AB21" s="5"/>
      <c r="AC21" s="19">
        <v>0</v>
      </c>
      <c r="AD21" s="20">
        <v>0</v>
      </c>
      <c r="AE21" s="22"/>
      <c r="AF21" s="22"/>
      <c r="AG21" s="5"/>
      <c r="AH21" s="28">
        <f t="shared" si="5"/>
        <v>0</v>
      </c>
      <c r="AI21" s="5"/>
      <c r="AJ21" s="26"/>
    </row>
    <row r="22" spans="2:36" ht="15.75" customHeight="1" x14ac:dyDescent="0.25">
      <c r="B22" s="41" t="s">
        <v>313</v>
      </c>
      <c r="C22" s="97" t="str" cm="1">
        <f t="array" ref="C22">IFERROR(INDEX('Limite de crédito'!$D:$D, MATCH(MAX(IF('Limite de crédito'!$C:$C=$B22, 'Limite de crédito'!$A:$A)), 'Limite de crédito'!$A:$A, 0)),"")</f>
        <v/>
      </c>
      <c r="D22" s="107" cm="1">
        <f t="array" ref="D22">IFERROR(INDEX('Limite de crédito'!$F:$F, MATCH(MAX(IF('Limite de crédito'!$C:$C=$B22, 'Limite de crédito'!$A:$A)), 'Limite de crédito'!$A:$A, 0)),0)</f>
        <v>0</v>
      </c>
      <c r="E22" s="18">
        <f t="shared" si="2"/>
        <v>0</v>
      </c>
      <c r="F22" s="18">
        <f t="shared" si="3"/>
        <v>0</v>
      </c>
      <c r="G22" s="19">
        <f>SUMIFS('Data Fertilizers'!$D:$D,'Data Fertilizers'!$P:$P,$B22,'Data Fertilizers'!$Q:$Q,"&gt;0",'Data Fertilizers'!$Q:$Q,"&lt;=30")</f>
        <v>0</v>
      </c>
      <c r="H22" s="19">
        <f>SUMIFS('Data Fertilizers'!$D:$D,'Data Fertilizers'!$P:$P,$B22,'Data Fertilizers'!$Q:$Q,"&gt;30",'Data Fertilizers'!$Q:$Q,"&lt;=60")</f>
        <v>0</v>
      </c>
      <c r="I22" s="19">
        <f>SUMIFS('Data Fertilizers'!$D:$D,'Data Fertilizers'!$P:$P,$B22,'Data Fertilizers'!$Q:$Q,"&gt;60",'Data Fertilizers'!$Q:$Q,"&lt;=90")</f>
        <v>0</v>
      </c>
      <c r="J22" s="19">
        <f>SUMIFS('Data Fertilizers'!$D:$D,'Data Fertilizers'!$P:$P,$B22,'Data Fertilizers'!$Q:$Q,"&gt;90",'Data Fertilizers'!$Q:$Q,"&lt;=120")</f>
        <v>0</v>
      </c>
      <c r="K22" s="19">
        <f>SUMIFS('Data Fertilizers'!$D:$D,'Data Fertilizers'!$P:$P,$B22,'Data Fertilizers'!$Q:$Q,"&gt;120",'Data Fertilizers'!$Q:$Q,"&lt;=180")</f>
        <v>0</v>
      </c>
      <c r="L22" s="19">
        <f>SUMIFS('Data Fertilizers'!$D:$D,'Data Fertilizers'!$P:$P,$B22,'Data Fertilizers'!$Q:$Q,"&gt;180",'Data Fertilizers'!$Q:$Q,"&lt;=360")</f>
        <v>0</v>
      </c>
      <c r="M22" s="23">
        <f>SUMIFS('Data Fertilizers'!$D:$D,'Data Fertilizers'!$P:$P,$B22,'Data Fertilizers'!$Q:$Q,"&gt;360")</f>
        <v>0</v>
      </c>
      <c r="N22" s="19">
        <f>SUMIFS('Data Fertilizers'!$D:$D,'Data Fertilizers'!$P:$P,$B22,'Data Fertilizers'!$Q:$Q,"&gt;0")</f>
        <v>0</v>
      </c>
      <c r="O22" s="19">
        <f t="shared" si="4"/>
        <v>0</v>
      </c>
      <c r="P22" s="19">
        <f>SUMIFS('Data Fertilizers'!$D:$D,'Data Fertilizers'!$P:$P,$B22,'Data Fertilizers'!$Q:$Q,"&lt;=0",'Data Fertilizers'!$Q:$Q,"&gt;=-30")</f>
        <v>0</v>
      </c>
      <c r="Q22" s="19">
        <f>SUMIFS('Data Fertilizers'!$D:$D,'Data Fertilizers'!$P:$P,$B22,'Data Fertilizers'!$Q:$Q,"&lt;=-31",'Data Fertilizers'!$Q:$Q,"&gt;=-60")</f>
        <v>0</v>
      </c>
      <c r="R22" s="19">
        <f>SUMIFS('Data Fertilizers'!$D:$D,'Data Fertilizers'!$P:$P,$B22,'Data Fertilizers'!$Q:$Q,"&lt;=-61",'Data Fertilizers'!$Q:$Q,"&gt;=-90")</f>
        <v>0</v>
      </c>
      <c r="S22" s="19">
        <f>SUMIFS('Data Fertilizers'!$D:$D,'Data Fertilizers'!$P:$P,$B22,'Data Fertilizers'!$Q:$Q,"&lt;=-91",'Data Fertilizers'!$Q:$Q,"&gt;=-120")</f>
        <v>0</v>
      </c>
      <c r="T22" s="19">
        <f>SUMIFS('Data Fertilizers'!$D:$D,'Data Fertilizers'!$P:$P,$B22,'Data Fertilizers'!$Q:$Q,"&lt;=-121",'Data Fertilizers'!$Q:$Q,"&gt;=-180")</f>
        <v>0</v>
      </c>
      <c r="U22" s="19">
        <f>SUMIFS('Data Fertilizers'!$D:$D,'Data Fertilizers'!$P:$P,$B22,'Data Fertilizers'!$Q:$Q,"&lt;=-181",'Data Fertilizers'!$Q:$Q,"&gt;=-360")</f>
        <v>0</v>
      </c>
      <c r="V22" s="23">
        <f>SUMIFS('Data Fertilizers'!$D:$D,'Data Fertilizers'!$P:$P,$B22,'Data Fertilizers'!$Q:$Q,"&lt;-360")</f>
        <v>0</v>
      </c>
      <c r="W22" s="19" t="e">
        <f>SUMIFS('Bad Debt Provision'!#REF!,'Bad Debt Provision'!#REF!,'Painel Fertilizers'!$B33)</f>
        <v>#REF!</v>
      </c>
      <c r="X22" s="5"/>
      <c r="Y22" s="20">
        <v>366350</v>
      </c>
      <c r="Z22" s="20" t="s">
        <v>318</v>
      </c>
      <c r="AA22" s="21"/>
      <c r="AB22" s="5"/>
      <c r="AC22" s="19"/>
      <c r="AD22" s="20"/>
      <c r="AE22" s="22"/>
      <c r="AF22" s="22"/>
      <c r="AG22" s="5"/>
      <c r="AH22" s="28">
        <f t="shared" si="5"/>
        <v>0</v>
      </c>
      <c r="AJ22" s="26"/>
    </row>
    <row r="23" spans="2:36" x14ac:dyDescent="0.25">
      <c r="B23" s="41" t="s">
        <v>426</v>
      </c>
      <c r="C23" s="97" t="str" cm="1">
        <f t="array" ref="C23">IFERROR(INDEX('Limite de crédito'!$D:$D, MATCH(MAX(IF('Limite de crédito'!$C:$C=$B23, 'Limite de crédito'!$A:$A)), 'Limite de crédito'!$A:$A, 0)),"")</f>
        <v/>
      </c>
      <c r="D23" s="107" cm="1">
        <f t="array" ref="D23">IFERROR(INDEX('Limite de crédito'!$F:$F, MATCH(MAX(IF('Limite de crédito'!$C:$C=$B23, 'Limite de crédito'!$A:$A)), 'Limite de crédito'!$A:$A, 0)),0)</f>
        <v>0</v>
      </c>
      <c r="E23" s="18">
        <f t="shared" si="2"/>
        <v>-237309.12</v>
      </c>
      <c r="F23" s="18">
        <f t="shared" si="3"/>
        <v>237309.12</v>
      </c>
      <c r="G23" s="19">
        <f>SUMIFS('Data Fertilizers'!$D:$D,'Data Fertilizers'!$P:$P,$B23,'Data Fertilizers'!$Q:$Q,"&gt;0",'Data Fertilizers'!$Q:$Q,"&lt;=30")</f>
        <v>0</v>
      </c>
      <c r="H23" s="19">
        <f>SUMIFS('Data Fertilizers'!$D:$D,'Data Fertilizers'!$P:$P,$B23,'Data Fertilizers'!$Q:$Q,"&gt;30",'Data Fertilizers'!$Q:$Q,"&lt;=60")</f>
        <v>0</v>
      </c>
      <c r="I23" s="19">
        <f>SUMIFS('Data Fertilizers'!$D:$D,'Data Fertilizers'!$P:$P,$B23,'Data Fertilizers'!$Q:$Q,"&gt;60",'Data Fertilizers'!$Q:$Q,"&lt;=90")</f>
        <v>0</v>
      </c>
      <c r="J23" s="19">
        <f>SUMIFS('Data Fertilizers'!$D:$D,'Data Fertilizers'!$P:$P,$B23,'Data Fertilizers'!$Q:$Q,"&gt;90",'Data Fertilizers'!$Q:$Q,"&lt;=120")</f>
        <v>0</v>
      </c>
      <c r="K23" s="19">
        <f>SUMIFS('Data Fertilizers'!$D:$D,'Data Fertilizers'!$P:$P,$B23,'Data Fertilizers'!$Q:$Q,"&gt;120",'Data Fertilizers'!$Q:$Q,"&lt;=180")</f>
        <v>0</v>
      </c>
      <c r="L23" s="19">
        <f>SUMIFS('Data Fertilizers'!$D:$D,'Data Fertilizers'!$P:$P,$B23,'Data Fertilizers'!$Q:$Q,"&gt;180",'Data Fertilizers'!$Q:$Q,"&lt;=360")</f>
        <v>0</v>
      </c>
      <c r="M23" s="23">
        <f>SUMIFS('Data Fertilizers'!$D:$D,'Data Fertilizers'!$P:$P,$B23,'Data Fertilizers'!$Q:$Q,"&gt;360")</f>
        <v>237309.12</v>
      </c>
      <c r="N23" s="19">
        <f>SUMIFS('Data Fertilizers'!$D:$D,'Data Fertilizers'!$P:$P,$B23,'Data Fertilizers'!$Q:$Q,"&gt;0")</f>
        <v>237309.12</v>
      </c>
      <c r="O23" s="19">
        <f t="shared" si="4"/>
        <v>0</v>
      </c>
      <c r="P23" s="19">
        <f>SUMIFS('Data Fertilizers'!$D:$D,'Data Fertilizers'!$P:$P,$B23,'Data Fertilizers'!$Q:$Q,"&lt;=0",'Data Fertilizers'!$Q:$Q,"&gt;=-30")</f>
        <v>0</v>
      </c>
      <c r="Q23" s="19">
        <f>SUMIFS('Data Fertilizers'!$D:$D,'Data Fertilizers'!$P:$P,$B23,'Data Fertilizers'!$Q:$Q,"&lt;=-31",'Data Fertilizers'!$Q:$Q,"&gt;=-60")</f>
        <v>0</v>
      </c>
      <c r="R23" s="19">
        <f>SUMIFS('Data Fertilizers'!$D:$D,'Data Fertilizers'!$P:$P,$B23,'Data Fertilizers'!$Q:$Q,"&lt;=-61",'Data Fertilizers'!$Q:$Q,"&gt;=-90")</f>
        <v>0</v>
      </c>
      <c r="S23" s="19">
        <f>SUMIFS('Data Fertilizers'!$D:$D,'Data Fertilizers'!$P:$P,$B23,'Data Fertilizers'!$Q:$Q,"&lt;=-91",'Data Fertilizers'!$Q:$Q,"&gt;=-120")</f>
        <v>0</v>
      </c>
      <c r="T23" s="19">
        <f>SUMIFS('Data Fertilizers'!$D:$D,'Data Fertilizers'!$P:$P,$B23,'Data Fertilizers'!$Q:$Q,"&lt;=-121",'Data Fertilizers'!$Q:$Q,"&gt;=-180")</f>
        <v>0</v>
      </c>
      <c r="U23" s="19">
        <f>SUMIFS('Data Fertilizers'!$D:$D,'Data Fertilizers'!$P:$P,$B23,'Data Fertilizers'!$Q:$Q,"&lt;=-181",'Data Fertilizers'!$Q:$Q,"&gt;=-360")</f>
        <v>0</v>
      </c>
      <c r="V23" s="23">
        <f>SUMIFS('Data Fertilizers'!$D:$D,'Data Fertilizers'!$P:$P,$B23,'Data Fertilizers'!$Q:$Q,"&lt;-360")</f>
        <v>0</v>
      </c>
      <c r="W23" s="19" t="e">
        <f>SUMIFS('Bad Debt Provision'!#REF!,'Bad Debt Provision'!#REF!,'Painel Fertilizers'!#REF!)</f>
        <v>#REF!</v>
      </c>
      <c r="Y23" s="20"/>
      <c r="Z23" s="20"/>
      <c r="AA23" s="21"/>
      <c r="AB23" s="5"/>
      <c r="AC23" s="19"/>
      <c r="AD23" s="20"/>
      <c r="AE23" s="22"/>
      <c r="AF23" s="22"/>
      <c r="AG23" s="5"/>
      <c r="AH23" s="28">
        <f t="shared" si="5"/>
        <v>-237309.12</v>
      </c>
    </row>
    <row r="24" spans="2:36" x14ac:dyDescent="0.25">
      <c r="B24" s="41" t="s">
        <v>356</v>
      </c>
      <c r="C24" s="97" t="str" cm="1">
        <f t="array" ref="C24">IFERROR(INDEX('Limite de crédito'!$D:$D, MATCH(MAX(IF('Limite de crédito'!$C:$C=$B24, 'Limite de crédito'!$A:$A)), 'Limite de crédito'!$A:$A, 0)),"")</f>
        <v/>
      </c>
      <c r="D24" s="107" cm="1">
        <f t="array" ref="D24">IFERROR(INDEX('Limite de crédito'!$F:$F, MATCH(MAX(IF('Limite de crédito'!$C:$C=$B24, 'Limite de crédito'!$A:$A)), 'Limite de crédito'!$A:$A, 0)),0)</f>
        <v>0</v>
      </c>
      <c r="E24" s="18">
        <f t="shared" si="2"/>
        <v>0</v>
      </c>
      <c r="F24" s="18">
        <f t="shared" si="3"/>
        <v>0</v>
      </c>
      <c r="G24" s="19">
        <f>SUMIFS('Data Fertilizers'!$D:$D,'Data Fertilizers'!$P:$P,$B24,'Data Fertilizers'!$Q:$Q,"&gt;0",'Data Fertilizers'!$Q:$Q,"&lt;=30")</f>
        <v>0</v>
      </c>
      <c r="H24" s="19">
        <f>SUMIFS('Data Fertilizers'!$D:$D,'Data Fertilizers'!$P:$P,$B24,'Data Fertilizers'!$Q:$Q,"&gt;30",'Data Fertilizers'!$Q:$Q,"&lt;=60")</f>
        <v>0</v>
      </c>
      <c r="I24" s="19">
        <f>SUMIFS('Data Fertilizers'!$D:$D,'Data Fertilizers'!$P:$P,$B24,'Data Fertilizers'!$Q:$Q,"&gt;60",'Data Fertilizers'!$Q:$Q,"&lt;=90")</f>
        <v>0</v>
      </c>
      <c r="J24" s="19">
        <f>SUMIFS('Data Fertilizers'!$D:$D,'Data Fertilizers'!$P:$P,$B24,'Data Fertilizers'!$Q:$Q,"&gt;90",'Data Fertilizers'!$Q:$Q,"&lt;=120")</f>
        <v>0</v>
      </c>
      <c r="K24" s="19">
        <f>SUMIFS('Data Fertilizers'!$D:$D,'Data Fertilizers'!$P:$P,$B24,'Data Fertilizers'!$Q:$Q,"&gt;120",'Data Fertilizers'!$Q:$Q,"&lt;=180")</f>
        <v>0</v>
      </c>
      <c r="L24" s="19">
        <f>SUMIFS('Data Fertilizers'!$D:$D,'Data Fertilizers'!$P:$P,$B24,'Data Fertilizers'!$Q:$Q,"&gt;180",'Data Fertilizers'!$Q:$Q,"&lt;=360")</f>
        <v>0</v>
      </c>
      <c r="M24" s="23">
        <f>SUMIFS('Data Fertilizers'!$D:$D,'Data Fertilizers'!$P:$P,$B24,'Data Fertilizers'!$Q:$Q,"&gt;360")</f>
        <v>0</v>
      </c>
      <c r="N24" s="19">
        <f>SUMIFS('Data Fertilizers'!$D:$D,'Data Fertilizers'!$P:$P,$B24,'Data Fertilizers'!$Q:$Q,"&gt;0")</f>
        <v>0</v>
      </c>
      <c r="O24" s="19">
        <f t="shared" si="4"/>
        <v>0</v>
      </c>
      <c r="P24" s="19">
        <f>SUMIFS('Data Fertilizers'!$D:$D,'Data Fertilizers'!$P:$P,$B24,'Data Fertilizers'!$Q:$Q,"&lt;=0",'Data Fertilizers'!$Q:$Q,"&gt;=-30")</f>
        <v>0</v>
      </c>
      <c r="Q24" s="19">
        <f>SUMIFS('Data Fertilizers'!$D:$D,'Data Fertilizers'!$P:$P,$B24,'Data Fertilizers'!$Q:$Q,"&lt;=-31",'Data Fertilizers'!$Q:$Q,"&gt;=-60")</f>
        <v>0</v>
      </c>
      <c r="R24" s="19">
        <f>SUMIFS('Data Fertilizers'!$D:$D,'Data Fertilizers'!$P:$P,$B24,'Data Fertilizers'!$Q:$Q,"&lt;=-61",'Data Fertilizers'!$Q:$Q,"&gt;=-90")</f>
        <v>0</v>
      </c>
      <c r="S24" s="19">
        <f>SUMIFS('Data Fertilizers'!$D:$D,'Data Fertilizers'!$P:$P,$B24,'Data Fertilizers'!$Q:$Q,"&lt;=-91",'Data Fertilizers'!$Q:$Q,"&gt;=-120")</f>
        <v>0</v>
      </c>
      <c r="T24" s="19">
        <f>SUMIFS('Data Fertilizers'!$D:$D,'Data Fertilizers'!$P:$P,$B24,'Data Fertilizers'!$Q:$Q,"&lt;=-121",'Data Fertilizers'!$Q:$Q,"&gt;=-180")</f>
        <v>0</v>
      </c>
      <c r="U24" s="19">
        <f>SUMIFS('Data Fertilizers'!$D:$D,'Data Fertilizers'!$P:$P,$B24,'Data Fertilizers'!$Q:$Q,"&lt;=-181",'Data Fertilizers'!$Q:$Q,"&gt;=-360")</f>
        <v>0</v>
      </c>
      <c r="V24" s="23">
        <f>SUMIFS('Data Fertilizers'!$D:$D,'Data Fertilizers'!$P:$P,$B24,'Data Fertilizers'!$Q:$Q,"&lt;-360")</f>
        <v>0</v>
      </c>
      <c r="W24" s="19" t="e">
        <f>SUMIFS('Bad Debt Provision'!#REF!,'Bad Debt Provision'!#REF!,'Painel Fertilizers'!#REF!)</f>
        <v>#REF!</v>
      </c>
      <c r="X24" s="5"/>
      <c r="Y24" s="20"/>
      <c r="Z24" s="20"/>
      <c r="AA24" s="21"/>
      <c r="AB24" s="5"/>
      <c r="AC24" s="19"/>
      <c r="AD24" s="20"/>
      <c r="AE24" s="22"/>
      <c r="AF24" s="22"/>
      <c r="AG24" s="5"/>
      <c r="AH24" s="28">
        <f t="shared" si="5"/>
        <v>0</v>
      </c>
      <c r="AJ24" s="26"/>
    </row>
    <row r="25" spans="2:36" x14ac:dyDescent="0.25">
      <c r="B25" s="41" t="s">
        <v>375</v>
      </c>
      <c r="C25" s="97" t="str" cm="1">
        <f t="array" ref="C25">IFERROR(INDEX('Limite de crédito'!$D:$D, MATCH(MAX(IF('Limite de crédito'!$C:$C=$B25, 'Limite de crédito'!$A:$A)), 'Limite de crédito'!$A:$A, 0)),"")</f>
        <v/>
      </c>
      <c r="D25" s="107" cm="1">
        <f t="array" ref="D25">IFERROR(INDEX('Limite de crédito'!$F:$F, MATCH(MAX(IF('Limite de crédito'!$C:$C=$B25, 'Limite de crédito'!$A:$A)), 'Limite de crédito'!$A:$A, 0)),0)</f>
        <v>0</v>
      </c>
      <c r="E25" s="18">
        <f t="shared" si="2"/>
        <v>0</v>
      </c>
      <c r="F25" s="18">
        <f t="shared" si="3"/>
        <v>0</v>
      </c>
      <c r="G25" s="19">
        <f>SUMIFS('Data Fertilizers'!$D:$D,'Data Fertilizers'!$P:$P,$B25,'Data Fertilizers'!$Q:$Q,"&gt;0",'Data Fertilizers'!$Q:$Q,"&lt;=30")</f>
        <v>0</v>
      </c>
      <c r="H25" s="19">
        <f>SUMIFS('Data Fertilizers'!$D:$D,'Data Fertilizers'!$P:$P,$B25,'Data Fertilizers'!$Q:$Q,"&gt;30",'Data Fertilizers'!$Q:$Q,"&lt;=60")</f>
        <v>0</v>
      </c>
      <c r="I25" s="19">
        <f>SUMIFS('Data Fertilizers'!$D:$D,'Data Fertilizers'!$P:$P,$B25,'Data Fertilizers'!$Q:$Q,"&gt;60",'Data Fertilizers'!$Q:$Q,"&lt;=90")</f>
        <v>0</v>
      </c>
      <c r="J25" s="19">
        <f>SUMIFS('Data Fertilizers'!$D:$D,'Data Fertilizers'!$P:$P,$B25,'Data Fertilizers'!$Q:$Q,"&gt;90",'Data Fertilizers'!$Q:$Q,"&lt;=120")</f>
        <v>0</v>
      </c>
      <c r="K25" s="19">
        <f>SUMIFS('Data Fertilizers'!$D:$D,'Data Fertilizers'!$P:$P,$B25,'Data Fertilizers'!$Q:$Q,"&gt;120",'Data Fertilizers'!$Q:$Q,"&lt;=180")</f>
        <v>0</v>
      </c>
      <c r="L25" s="19">
        <f>SUMIFS('Data Fertilizers'!$D:$D,'Data Fertilizers'!$P:$P,$B25,'Data Fertilizers'!$Q:$Q,"&gt;180",'Data Fertilizers'!$Q:$Q,"&lt;=360")</f>
        <v>0</v>
      </c>
      <c r="M25" s="23">
        <f>SUMIFS('Data Fertilizers'!$D:$D,'Data Fertilizers'!$P:$P,$B25,'Data Fertilizers'!$Q:$Q,"&gt;360")</f>
        <v>0</v>
      </c>
      <c r="N25" s="19">
        <f>SUMIFS('Data Fertilizers'!$D:$D,'Data Fertilizers'!$P:$P,$B25,'Data Fertilizers'!$Q:$Q,"&gt;0")</f>
        <v>0</v>
      </c>
      <c r="O25" s="19">
        <f t="shared" si="4"/>
        <v>0</v>
      </c>
      <c r="P25" s="19">
        <f>SUMIFS('Data Fertilizers'!$D:$D,'Data Fertilizers'!$P:$P,$B25,'Data Fertilizers'!$Q:$Q,"&lt;=0",'Data Fertilizers'!$Q:$Q,"&gt;=-30")</f>
        <v>0</v>
      </c>
      <c r="Q25" s="19">
        <f>SUMIFS('Data Fertilizers'!$D:$D,'Data Fertilizers'!$P:$P,$B25,'Data Fertilizers'!$Q:$Q,"&lt;=-31",'Data Fertilizers'!$Q:$Q,"&gt;=-60")</f>
        <v>0</v>
      </c>
      <c r="R25" s="19">
        <f>SUMIFS('Data Fertilizers'!$D:$D,'Data Fertilizers'!$P:$P,$B25,'Data Fertilizers'!$Q:$Q,"&lt;=-61",'Data Fertilizers'!$Q:$Q,"&gt;=-90")</f>
        <v>0</v>
      </c>
      <c r="S25" s="19">
        <f>SUMIFS('Data Fertilizers'!$D:$D,'Data Fertilizers'!$P:$P,$B25,'Data Fertilizers'!$Q:$Q,"&lt;=-91",'Data Fertilizers'!$Q:$Q,"&gt;=-120")</f>
        <v>0</v>
      </c>
      <c r="T25" s="19">
        <f>SUMIFS('Data Fertilizers'!$D:$D,'Data Fertilizers'!$P:$P,$B25,'Data Fertilizers'!$Q:$Q,"&lt;=-121",'Data Fertilizers'!$Q:$Q,"&gt;=-180")</f>
        <v>0</v>
      </c>
      <c r="U25" s="19">
        <f>SUMIFS('Data Fertilizers'!$D:$D,'Data Fertilizers'!$P:$P,$B25,'Data Fertilizers'!$Q:$Q,"&lt;=-181",'Data Fertilizers'!$Q:$Q,"&gt;=-360")</f>
        <v>0</v>
      </c>
      <c r="V25" s="23">
        <f>SUMIFS('Data Fertilizers'!$D:$D,'Data Fertilizers'!$P:$P,$B25,'Data Fertilizers'!$Q:$Q,"&lt;-360")</f>
        <v>0</v>
      </c>
      <c r="W25" s="19" t="e">
        <f>SUMIFS('Bad Debt Provision'!#REF!,'Bad Debt Provision'!#REF!,'Painel Fertilizers'!#REF!)</f>
        <v>#REF!</v>
      </c>
      <c r="X25" s="5"/>
      <c r="Y25" s="20"/>
      <c r="Z25" s="20"/>
      <c r="AA25" s="21"/>
      <c r="AB25" s="5"/>
      <c r="AC25" s="19"/>
      <c r="AD25" s="20"/>
      <c r="AE25" s="22"/>
      <c r="AF25" s="22"/>
      <c r="AG25" s="5"/>
      <c r="AH25" s="28">
        <f t="shared" si="5"/>
        <v>0</v>
      </c>
      <c r="AJ25" s="26"/>
    </row>
    <row r="26" spans="2:36" x14ac:dyDescent="0.25">
      <c r="B26" s="17" t="s">
        <v>259</v>
      </c>
      <c r="C26" s="104" cm="1">
        <f t="array" ref="C26">IFERROR(INDEX('Limite de crédito'!$D:$D, MATCH(MAX(IF('Limite de crédito'!$C:$C=$B26, 'Limite de crédito'!$A:$A)), 'Limite de crédito'!$A:$A, 0)),"")</f>
        <v>45821</v>
      </c>
      <c r="D26" s="107" t="str" cm="1">
        <f t="array" ref="D26">IFERROR(INDEX('Limite de crédito'!$F:$F, MATCH(MAX(IF('Limite de crédito'!$C:$C=$B26, 'Limite de crédito'!$A:$A)), 'Limite de crédito'!$A:$A, 0)),0)</f>
        <v>Sim</v>
      </c>
      <c r="E26" s="18" t="e">
        <f t="shared" si="2"/>
        <v>#VALUE!</v>
      </c>
      <c r="F26" s="18">
        <f t="shared" si="3"/>
        <v>0</v>
      </c>
      <c r="G26" s="19">
        <f>SUMIFS('Data Fertilizers'!$D:$D,'Data Fertilizers'!$P:$P,$B26,'Data Fertilizers'!$Q:$Q,"&gt;0",'Data Fertilizers'!$Q:$Q,"&lt;=30")</f>
        <v>0</v>
      </c>
      <c r="H26" s="19">
        <f>SUMIFS('Data Fertilizers'!$D:$D,'Data Fertilizers'!$P:$P,$B26,'Data Fertilizers'!$Q:$Q,"&gt;30",'Data Fertilizers'!$Q:$Q,"&lt;=60")</f>
        <v>0</v>
      </c>
      <c r="I26" s="19">
        <f>SUMIFS('Data Fertilizers'!$D:$D,'Data Fertilizers'!$P:$P,$B26,'Data Fertilizers'!$Q:$Q,"&gt;60",'Data Fertilizers'!$Q:$Q,"&lt;=90")</f>
        <v>0</v>
      </c>
      <c r="J26" s="19">
        <f>SUMIFS('Data Fertilizers'!$D:$D,'Data Fertilizers'!$P:$P,$B26,'Data Fertilizers'!$Q:$Q,"&gt;90",'Data Fertilizers'!$Q:$Q,"&lt;=120")</f>
        <v>0</v>
      </c>
      <c r="K26" s="19">
        <f>SUMIFS('Data Fertilizers'!$D:$D,'Data Fertilizers'!$P:$P,$B26,'Data Fertilizers'!$Q:$Q,"&gt;120",'Data Fertilizers'!$Q:$Q,"&lt;=180")</f>
        <v>0</v>
      </c>
      <c r="L26" s="19">
        <f>SUMIFS('Data Fertilizers'!$D:$D,'Data Fertilizers'!$P:$P,$B26,'Data Fertilizers'!$Q:$Q,"&gt;180",'Data Fertilizers'!$Q:$Q,"&lt;=360")</f>
        <v>0</v>
      </c>
      <c r="M26" s="23">
        <f>SUMIFS('Data Fertilizers'!$D:$D,'Data Fertilizers'!$P:$P,$B26,'Data Fertilizers'!$Q:$Q,"&gt;360")</f>
        <v>0</v>
      </c>
      <c r="N26" s="19">
        <f>SUMIFS('Data Fertilizers'!$D:$D,'Data Fertilizers'!$P:$P,$B26,'Data Fertilizers'!$Q:$Q,"&gt;0")</f>
        <v>0</v>
      </c>
      <c r="O26" s="19">
        <f t="shared" si="4"/>
        <v>0</v>
      </c>
      <c r="P26" s="19">
        <f>SUMIFS('Data Fertilizers'!$D:$D,'Data Fertilizers'!$P:$P,$B26,'Data Fertilizers'!$Q:$Q,"&lt;=0",'Data Fertilizers'!$Q:$Q,"&gt;=-30")</f>
        <v>0</v>
      </c>
      <c r="Q26" s="19">
        <f>SUMIFS('Data Fertilizers'!$D:$D,'Data Fertilizers'!$P:$P,$B26,'Data Fertilizers'!$Q:$Q,"&lt;=-31",'Data Fertilizers'!$Q:$Q,"&gt;=-60")</f>
        <v>0</v>
      </c>
      <c r="R26" s="19">
        <f>SUMIFS('Data Fertilizers'!$D:$D,'Data Fertilizers'!$P:$P,$B26,'Data Fertilizers'!$Q:$Q,"&lt;=-61",'Data Fertilizers'!$Q:$Q,"&gt;=-90")</f>
        <v>0</v>
      </c>
      <c r="S26" s="19">
        <f>SUMIFS('Data Fertilizers'!$D:$D,'Data Fertilizers'!$P:$P,$B26,'Data Fertilizers'!$Q:$Q,"&lt;=-91",'Data Fertilizers'!$Q:$Q,"&gt;=-120")</f>
        <v>0</v>
      </c>
      <c r="T26" s="19">
        <f>SUMIFS('Data Fertilizers'!$D:$D,'Data Fertilizers'!$P:$P,$B26,'Data Fertilizers'!$Q:$Q,"&lt;=-121",'Data Fertilizers'!$Q:$Q,"&gt;=-180")</f>
        <v>0</v>
      </c>
      <c r="U26" s="19">
        <f>SUMIFS('Data Fertilizers'!$D:$D,'Data Fertilizers'!$P:$P,$B26,'Data Fertilizers'!$Q:$Q,"&lt;=-181",'Data Fertilizers'!$Q:$Q,"&gt;=-360")</f>
        <v>0</v>
      </c>
      <c r="V26" s="23">
        <f>SUMIFS('Data Fertilizers'!$D:$D,'Data Fertilizers'!$P:$P,$B26,'Data Fertilizers'!$Q:$Q,"&lt;-360")</f>
        <v>0</v>
      </c>
      <c r="W26" s="19" t="e">
        <f>SUMIFS('Bad Debt Provision'!#REF!,'Bad Debt Provision'!#REF!,'Painel Fertilizers'!$B27)</f>
        <v>#REF!</v>
      </c>
      <c r="X26" s="5"/>
      <c r="Y26" s="20"/>
      <c r="Z26" s="20"/>
      <c r="AA26" s="21"/>
      <c r="AB26" s="5"/>
      <c r="AC26" s="19"/>
      <c r="AD26" s="20"/>
      <c r="AE26" s="22"/>
      <c r="AF26" s="22"/>
      <c r="AG26" s="5"/>
      <c r="AH26" s="28">
        <f t="shared" si="5"/>
        <v>0</v>
      </c>
      <c r="AJ26" s="26"/>
    </row>
    <row r="27" spans="2:36" x14ac:dyDescent="0.25">
      <c r="B27" s="41" t="s">
        <v>395</v>
      </c>
      <c r="C27" s="97" t="str" cm="1">
        <f t="array" ref="C27">IFERROR(INDEX('Limite de crédito'!$D:$D, MATCH(MAX(IF('Limite de crédito'!$C:$C=$B27, 'Limite de crédito'!$A:$A)), 'Limite de crédito'!$A:$A, 0)),"")</f>
        <v/>
      </c>
      <c r="D27" s="107" cm="1">
        <f t="array" ref="D27">IFERROR(INDEX('Limite de crédito'!$F:$F, MATCH(MAX(IF('Limite de crédito'!$C:$C=$B27, 'Limite de crédito'!$A:$A)), 'Limite de crédito'!$A:$A, 0)),0)</f>
        <v>0</v>
      </c>
      <c r="E27" s="18">
        <f t="shared" si="2"/>
        <v>0</v>
      </c>
      <c r="F27" s="18">
        <f t="shared" si="3"/>
        <v>0</v>
      </c>
      <c r="G27" s="19">
        <f>SUMIFS('Data Fertilizers'!$D:$D,'Data Fertilizers'!$P:$P,$B27,'Data Fertilizers'!$Q:$Q,"&gt;0",'Data Fertilizers'!$Q:$Q,"&lt;=30")</f>
        <v>0</v>
      </c>
      <c r="H27" s="19">
        <f>SUMIFS('Data Fertilizers'!$D:$D,'Data Fertilizers'!$P:$P,$B27,'Data Fertilizers'!$Q:$Q,"&gt;30",'Data Fertilizers'!$Q:$Q,"&lt;=60")</f>
        <v>0</v>
      </c>
      <c r="I27" s="19">
        <f>SUMIFS('Data Fertilizers'!$D:$D,'Data Fertilizers'!$P:$P,$B27,'Data Fertilizers'!$Q:$Q,"&gt;60",'Data Fertilizers'!$Q:$Q,"&lt;=90")</f>
        <v>0</v>
      </c>
      <c r="J27" s="19">
        <f>SUMIFS('Data Fertilizers'!$D:$D,'Data Fertilizers'!$P:$P,$B27,'Data Fertilizers'!$Q:$Q,"&gt;90",'Data Fertilizers'!$Q:$Q,"&lt;=120")</f>
        <v>0</v>
      </c>
      <c r="K27" s="19">
        <f>SUMIFS('Data Fertilizers'!$D:$D,'Data Fertilizers'!$P:$P,$B27,'Data Fertilizers'!$Q:$Q,"&gt;120",'Data Fertilizers'!$Q:$Q,"&lt;=180")</f>
        <v>0</v>
      </c>
      <c r="L27" s="19">
        <f>SUMIFS('Data Fertilizers'!$D:$D,'Data Fertilizers'!$P:$P,$B27,'Data Fertilizers'!$Q:$Q,"&gt;180",'Data Fertilizers'!$Q:$Q,"&lt;=360")</f>
        <v>0</v>
      </c>
      <c r="M27" s="23">
        <f>SUMIFS('Data Fertilizers'!$D:$D,'Data Fertilizers'!$P:$P,$B27,'Data Fertilizers'!$Q:$Q,"&gt;360")</f>
        <v>0</v>
      </c>
      <c r="N27" s="19">
        <f>SUMIFS('Data Fertilizers'!$D:$D,'Data Fertilizers'!$P:$P,$B27,'Data Fertilizers'!$Q:$Q,"&gt;0")</f>
        <v>0</v>
      </c>
      <c r="O27" s="19">
        <f t="shared" si="4"/>
        <v>0</v>
      </c>
      <c r="P27" s="19">
        <f>SUMIFS('Data Fertilizers'!$D:$D,'Data Fertilizers'!$P:$P,$B27,'Data Fertilizers'!$Q:$Q,"&lt;=0",'Data Fertilizers'!$Q:$Q,"&gt;=-30")</f>
        <v>0</v>
      </c>
      <c r="Q27" s="19">
        <f>SUMIFS('Data Fertilizers'!$D:$D,'Data Fertilizers'!$P:$P,$B27,'Data Fertilizers'!$Q:$Q,"&lt;=-31",'Data Fertilizers'!$Q:$Q,"&gt;=-60")</f>
        <v>0</v>
      </c>
      <c r="R27" s="19">
        <f>SUMIFS('Data Fertilizers'!$D:$D,'Data Fertilizers'!$P:$P,$B27,'Data Fertilizers'!$Q:$Q,"&lt;=-61",'Data Fertilizers'!$Q:$Q,"&gt;=-90")</f>
        <v>0</v>
      </c>
      <c r="S27" s="19">
        <f>SUMIFS('Data Fertilizers'!$D:$D,'Data Fertilizers'!$P:$P,$B27,'Data Fertilizers'!$Q:$Q,"&lt;=-91",'Data Fertilizers'!$Q:$Q,"&gt;=-120")</f>
        <v>0</v>
      </c>
      <c r="T27" s="19">
        <f>SUMIFS('Data Fertilizers'!$D:$D,'Data Fertilizers'!$P:$P,$B27,'Data Fertilizers'!$Q:$Q,"&lt;=-121",'Data Fertilizers'!$Q:$Q,"&gt;=-180")</f>
        <v>0</v>
      </c>
      <c r="U27" s="19">
        <f>SUMIFS('Data Fertilizers'!$D:$D,'Data Fertilizers'!$P:$P,$B27,'Data Fertilizers'!$Q:$Q,"&lt;=-181",'Data Fertilizers'!$Q:$Q,"&gt;=-360")</f>
        <v>0</v>
      </c>
      <c r="V27" s="23">
        <f>SUMIFS('Data Fertilizers'!$D:$D,'Data Fertilizers'!$P:$P,$B27,'Data Fertilizers'!$Q:$Q,"&lt;-360")</f>
        <v>0</v>
      </c>
      <c r="W27" s="19" t="e">
        <f>SUMIFS('Bad Debt Provision'!#REF!,'Bad Debt Provision'!#REF!,'Painel Fertilizers'!#REF!)</f>
        <v>#REF!</v>
      </c>
      <c r="X27" s="5"/>
      <c r="Y27" s="20"/>
      <c r="Z27" s="20"/>
      <c r="AA27" s="21"/>
      <c r="AB27" s="5"/>
      <c r="AC27" s="19"/>
      <c r="AD27" s="20"/>
      <c r="AE27" s="22"/>
      <c r="AF27" s="22"/>
      <c r="AG27" s="5"/>
      <c r="AH27" s="28">
        <f t="shared" si="5"/>
        <v>0</v>
      </c>
      <c r="AJ27" s="26"/>
    </row>
    <row r="28" spans="2:36" x14ac:dyDescent="0.25">
      <c r="B28" s="17" t="s">
        <v>156</v>
      </c>
      <c r="C28" s="97" t="s">
        <v>473</v>
      </c>
      <c r="D28" s="107" cm="1">
        <f t="array" ref="D28">IFERROR(INDEX('Limite de crédito'!$F:$F, MATCH(MAX(IF('Limite de crédito'!$C:$C=$B28, 'Limite de crédito'!$A:$A)), 'Limite de crédito'!$A:$A, 0)),0)</f>
        <v>0</v>
      </c>
      <c r="E28" s="18">
        <f t="shared" si="2"/>
        <v>0</v>
      </c>
      <c r="F28" s="18">
        <f t="shared" si="3"/>
        <v>0</v>
      </c>
      <c r="G28" s="19">
        <f>SUMIFS('Data Fertilizers'!$D:$D,'Data Fertilizers'!$P:$P,$B28,'Data Fertilizers'!$Q:$Q,"&gt;0",'Data Fertilizers'!$Q:$Q,"&lt;=30")</f>
        <v>0</v>
      </c>
      <c r="H28" s="19">
        <f>SUMIFS('Data Fertilizers'!$D:$D,'Data Fertilizers'!$P:$P,$B28,'Data Fertilizers'!$Q:$Q,"&gt;30",'Data Fertilizers'!$Q:$Q,"&lt;=60")</f>
        <v>0</v>
      </c>
      <c r="I28" s="19">
        <f>SUMIFS('Data Fertilizers'!$D:$D,'Data Fertilizers'!$P:$P,$B28,'Data Fertilizers'!$Q:$Q,"&gt;60",'Data Fertilizers'!$Q:$Q,"&lt;=90")</f>
        <v>0</v>
      </c>
      <c r="J28" s="19">
        <f>SUMIFS('Data Fertilizers'!$D:$D,'Data Fertilizers'!$P:$P,$B28,'Data Fertilizers'!$Q:$Q,"&gt;90",'Data Fertilizers'!$Q:$Q,"&lt;=120")</f>
        <v>0</v>
      </c>
      <c r="K28" s="19">
        <f>SUMIFS('Data Fertilizers'!$D:$D,'Data Fertilizers'!$P:$P,$B28,'Data Fertilizers'!$Q:$Q,"&gt;120",'Data Fertilizers'!$Q:$Q,"&lt;=180")</f>
        <v>0</v>
      </c>
      <c r="L28" s="19">
        <f>SUMIFS('Data Fertilizers'!$D:$D,'Data Fertilizers'!$P:$P,$B28,'Data Fertilizers'!$Q:$Q,"&gt;180",'Data Fertilizers'!$Q:$Q,"&lt;=360")</f>
        <v>0</v>
      </c>
      <c r="M28" s="23">
        <f>SUMIFS('Data Fertilizers'!$D:$D,'Data Fertilizers'!$P:$P,$B28,'Data Fertilizers'!$Q:$Q,"&gt;360")</f>
        <v>0</v>
      </c>
      <c r="N28" s="19">
        <f>SUMIFS('Data Fertilizers'!$D:$D,'Data Fertilizers'!$P:$P,$B28,'Data Fertilizers'!$Q:$Q,"&gt;0")</f>
        <v>0</v>
      </c>
      <c r="O28" s="19">
        <f t="shared" si="4"/>
        <v>0</v>
      </c>
      <c r="P28" s="19">
        <f>SUMIFS('Data Fertilizers'!$D:$D,'Data Fertilizers'!$P:$P,$B28,'Data Fertilizers'!$Q:$Q,"&lt;=0",'Data Fertilizers'!$Q:$Q,"&gt;=-30")</f>
        <v>0</v>
      </c>
      <c r="Q28" s="19">
        <f>SUMIFS('Data Fertilizers'!$D:$D,'Data Fertilizers'!$P:$P,$B28,'Data Fertilizers'!$Q:$Q,"&lt;=-31",'Data Fertilizers'!$Q:$Q,"&gt;=-60")</f>
        <v>0</v>
      </c>
      <c r="R28" s="19">
        <f>SUMIFS('Data Fertilizers'!$D:$D,'Data Fertilizers'!$P:$P,$B28,'Data Fertilizers'!$Q:$Q,"&lt;=-61",'Data Fertilizers'!$Q:$Q,"&gt;=-90")</f>
        <v>0</v>
      </c>
      <c r="S28" s="19">
        <f>SUMIFS('Data Fertilizers'!$D:$D,'Data Fertilizers'!$P:$P,$B28,'Data Fertilizers'!$Q:$Q,"&lt;=-91",'Data Fertilizers'!$Q:$Q,"&gt;=-120")</f>
        <v>0</v>
      </c>
      <c r="T28" s="19">
        <f>SUMIFS('Data Fertilizers'!$D:$D,'Data Fertilizers'!$P:$P,$B28,'Data Fertilizers'!$Q:$Q,"&lt;=-121",'Data Fertilizers'!$Q:$Q,"&gt;=-180")</f>
        <v>0</v>
      </c>
      <c r="U28" s="19">
        <f>SUMIFS('Data Fertilizers'!$D:$D,'Data Fertilizers'!$P:$P,$B28,'Data Fertilizers'!$Q:$Q,"&lt;=-181",'Data Fertilizers'!$Q:$Q,"&gt;=-360")</f>
        <v>0</v>
      </c>
      <c r="V28" s="23">
        <f>SUMIFS('Data Fertilizers'!$D:$D,'Data Fertilizers'!$P:$P,$B28,'Data Fertilizers'!$Q:$Q,"&lt;-360")</f>
        <v>0</v>
      </c>
      <c r="W28" s="19" t="e">
        <f>SUMIFS('Bad Debt Provision'!#REF!,'Bad Debt Provision'!#REF!,'Painel Fertilizers'!$B7)</f>
        <v>#REF!</v>
      </c>
      <c r="X28" s="5"/>
      <c r="Y28" s="20">
        <v>0</v>
      </c>
      <c r="Z28" s="20">
        <v>0</v>
      </c>
      <c r="AA28" s="21">
        <v>0</v>
      </c>
      <c r="AB28" s="5"/>
      <c r="AC28" s="19">
        <v>0</v>
      </c>
      <c r="AD28" s="20">
        <v>0</v>
      </c>
      <c r="AE28" s="22"/>
      <c r="AF28" s="22"/>
      <c r="AG28" s="5"/>
      <c r="AH28" s="28">
        <f t="shared" si="5"/>
        <v>0</v>
      </c>
      <c r="AI28" s="5"/>
      <c r="AJ28" s="26"/>
    </row>
    <row r="29" spans="2:36" x14ac:dyDescent="0.25">
      <c r="B29" s="17" t="s">
        <v>121</v>
      </c>
      <c r="C29" s="104" t="str" cm="1">
        <f t="array" ref="C29">IFERROR(INDEX('Limite de crédito'!$D:$D, MATCH(MAX(IF('Limite de crédito'!$C:$C=$B29, 'Limite de crédito'!$A:$A)), 'Limite de crédito'!$A:$A, 0)),"")</f>
        <v/>
      </c>
      <c r="D29" s="107" cm="1">
        <f t="array" ref="D29">IFERROR(INDEX('Limite de crédito'!$F:$F, MATCH(MAX(IF('Limite de crédito'!$C:$C=$B29, 'Limite de crédito'!$A:$A)), 'Limite de crédito'!$A:$A, 0)),0)</f>
        <v>0</v>
      </c>
      <c r="E29" s="18">
        <f t="shared" si="2"/>
        <v>0</v>
      </c>
      <c r="F29" s="18">
        <f t="shared" si="3"/>
        <v>0</v>
      </c>
      <c r="G29" s="19">
        <f>SUMIFS('Data Fertilizers'!$D:$D,'Data Fertilizers'!$P:$P,$B29,'Data Fertilizers'!$Q:$Q,"&gt;0",'Data Fertilizers'!$Q:$Q,"&lt;=30")</f>
        <v>0</v>
      </c>
      <c r="H29" s="19">
        <f>SUMIFS('Data Fertilizers'!$D:$D,'Data Fertilizers'!$P:$P,$B29,'Data Fertilizers'!$Q:$Q,"&gt;30",'Data Fertilizers'!$Q:$Q,"&lt;=60")</f>
        <v>0</v>
      </c>
      <c r="I29" s="19">
        <f>SUMIFS('Data Fertilizers'!$D:$D,'Data Fertilizers'!$P:$P,$B29,'Data Fertilizers'!$Q:$Q,"&gt;60",'Data Fertilizers'!$Q:$Q,"&lt;=90")</f>
        <v>0</v>
      </c>
      <c r="J29" s="19">
        <f>SUMIFS('Data Fertilizers'!$D:$D,'Data Fertilizers'!$P:$P,$B29,'Data Fertilizers'!$Q:$Q,"&gt;90",'Data Fertilizers'!$Q:$Q,"&lt;=120")</f>
        <v>0</v>
      </c>
      <c r="K29" s="19">
        <f>SUMIFS('Data Fertilizers'!$D:$D,'Data Fertilizers'!$P:$P,$B29,'Data Fertilizers'!$Q:$Q,"&gt;120",'Data Fertilizers'!$Q:$Q,"&lt;=180")</f>
        <v>0</v>
      </c>
      <c r="L29" s="19">
        <f>SUMIFS('Data Fertilizers'!$D:$D,'Data Fertilizers'!$P:$P,$B29,'Data Fertilizers'!$Q:$Q,"&gt;180",'Data Fertilizers'!$Q:$Q,"&lt;=360")</f>
        <v>0</v>
      </c>
      <c r="M29" s="23">
        <f>SUMIFS('Data Fertilizers'!$D:$D,'Data Fertilizers'!$P:$P,$B29,'Data Fertilizers'!$Q:$Q,"&gt;360")</f>
        <v>0</v>
      </c>
      <c r="N29" s="19">
        <f>SUMIFS('Data Fertilizers'!$D:$D,'Data Fertilizers'!$P:$P,$B29,'Data Fertilizers'!$Q:$Q,"&gt;0")</f>
        <v>0</v>
      </c>
      <c r="O29" s="19">
        <f t="shared" si="4"/>
        <v>0</v>
      </c>
      <c r="P29" s="19">
        <f>SUMIFS('Data Fertilizers'!$D:$D,'Data Fertilizers'!$P:$P,$B29,'Data Fertilizers'!$Q:$Q,"&lt;=0",'Data Fertilizers'!$Q:$Q,"&gt;=-30")</f>
        <v>0</v>
      </c>
      <c r="Q29" s="19">
        <f>SUMIFS('Data Fertilizers'!$D:$D,'Data Fertilizers'!$P:$P,$B29,'Data Fertilizers'!$Q:$Q,"&lt;=-31",'Data Fertilizers'!$Q:$Q,"&gt;=-60")</f>
        <v>0</v>
      </c>
      <c r="R29" s="19">
        <f>SUMIFS('Data Fertilizers'!$D:$D,'Data Fertilizers'!$P:$P,$B29,'Data Fertilizers'!$Q:$Q,"&lt;=-61",'Data Fertilizers'!$Q:$Q,"&gt;=-90")</f>
        <v>0</v>
      </c>
      <c r="S29" s="19">
        <f>SUMIFS('Data Fertilizers'!$D:$D,'Data Fertilizers'!$P:$P,$B29,'Data Fertilizers'!$Q:$Q,"&lt;=-91",'Data Fertilizers'!$Q:$Q,"&gt;=-120")</f>
        <v>0</v>
      </c>
      <c r="T29" s="19">
        <f>SUMIFS('Data Fertilizers'!$D:$D,'Data Fertilizers'!$P:$P,$B29,'Data Fertilizers'!$Q:$Q,"&lt;=-121",'Data Fertilizers'!$Q:$Q,"&gt;=-180")</f>
        <v>0</v>
      </c>
      <c r="U29" s="19">
        <f>SUMIFS('Data Fertilizers'!$D:$D,'Data Fertilizers'!$P:$P,$B29,'Data Fertilizers'!$Q:$Q,"&lt;=-181",'Data Fertilizers'!$Q:$Q,"&gt;=-360")</f>
        <v>0</v>
      </c>
      <c r="V29" s="23">
        <f>SUMIFS('Data Fertilizers'!$D:$D,'Data Fertilizers'!$P:$P,$B29,'Data Fertilizers'!$Q:$Q,"&lt;-360")</f>
        <v>0</v>
      </c>
      <c r="W29" s="19" t="e">
        <f>SUMIFS('Bad Debt Provision'!#REF!,'Bad Debt Provision'!#REF!,'Painel Fertilizers'!$B26)</f>
        <v>#REF!</v>
      </c>
      <c r="X29" s="5"/>
      <c r="Y29" s="20">
        <v>1000000</v>
      </c>
      <c r="Z29" s="20" t="s">
        <v>233</v>
      </c>
      <c r="AA29" s="21">
        <v>120</v>
      </c>
      <c r="AB29" s="5"/>
      <c r="AC29" s="19">
        <v>0</v>
      </c>
      <c r="AD29" s="20">
        <v>0</v>
      </c>
      <c r="AE29" s="22"/>
      <c r="AF29" s="22"/>
      <c r="AG29" s="5"/>
      <c r="AH29" s="28">
        <f t="shared" si="5"/>
        <v>0</v>
      </c>
      <c r="AI29" s="5"/>
      <c r="AJ29" s="26"/>
    </row>
    <row r="30" spans="2:36" x14ac:dyDescent="0.25">
      <c r="B30" s="41" t="s">
        <v>425</v>
      </c>
      <c r="C30" s="97" cm="1">
        <f t="array" ref="C30">IFERROR(INDEX('Limite de crédito'!$D:$D, MATCH(MAX(IF('Limite de crédito'!$C:$C=$B30, 'Limite de crédito'!$A:$A)), 'Limite de crédito'!$A:$A, 0)),"")</f>
        <v>45804</v>
      </c>
      <c r="D30" s="107" t="str" cm="1">
        <f t="array" ref="D30">IFERROR(INDEX('Limite de crédito'!$F:$F, MATCH(MAX(IF('Limite de crédito'!$C:$C=$B30, 'Limite de crédito'!$A:$A)), 'Limite de crédito'!$A:$A, 0)),0)</f>
        <v>Sim</v>
      </c>
      <c r="E30" s="18" t="e">
        <f t="shared" si="2"/>
        <v>#VALUE!</v>
      </c>
      <c r="F30" s="18">
        <f t="shared" si="3"/>
        <v>5030.5</v>
      </c>
      <c r="G30" s="19">
        <f>SUMIFS('Data Fertilizers'!$D:$D,'Data Fertilizers'!$P:$P,$B30,'Data Fertilizers'!$Q:$Q,"&gt;0",'Data Fertilizers'!$Q:$Q,"&lt;=30")</f>
        <v>0</v>
      </c>
      <c r="H30" s="19">
        <f>SUMIFS('Data Fertilizers'!$D:$D,'Data Fertilizers'!$P:$P,$B30,'Data Fertilizers'!$Q:$Q,"&gt;30",'Data Fertilizers'!$Q:$Q,"&lt;=60")</f>
        <v>0</v>
      </c>
      <c r="I30" s="19">
        <f>SUMIFS('Data Fertilizers'!$D:$D,'Data Fertilizers'!$P:$P,$B30,'Data Fertilizers'!$Q:$Q,"&gt;60",'Data Fertilizers'!$Q:$Q,"&lt;=90")</f>
        <v>0</v>
      </c>
      <c r="J30" s="19">
        <f>SUMIFS('Data Fertilizers'!$D:$D,'Data Fertilizers'!$P:$P,$B30,'Data Fertilizers'!$Q:$Q,"&gt;90",'Data Fertilizers'!$Q:$Q,"&lt;=120")</f>
        <v>0</v>
      </c>
      <c r="K30" s="19">
        <f>SUMIFS('Data Fertilizers'!$D:$D,'Data Fertilizers'!$P:$P,$B30,'Data Fertilizers'!$Q:$Q,"&gt;120",'Data Fertilizers'!$Q:$Q,"&lt;=180")</f>
        <v>0</v>
      </c>
      <c r="L30" s="19">
        <f>SUMIFS('Data Fertilizers'!$D:$D,'Data Fertilizers'!$P:$P,$B30,'Data Fertilizers'!$Q:$Q,"&gt;180",'Data Fertilizers'!$Q:$Q,"&lt;=360")</f>
        <v>0</v>
      </c>
      <c r="M30" s="23">
        <f>SUMIFS('Data Fertilizers'!$D:$D,'Data Fertilizers'!$P:$P,$B30,'Data Fertilizers'!$Q:$Q,"&gt;360")</f>
        <v>0</v>
      </c>
      <c r="N30" s="19">
        <f>SUMIFS('Data Fertilizers'!$D:$D,'Data Fertilizers'!$P:$P,$B30,'Data Fertilizers'!$Q:$Q,"&gt;0")</f>
        <v>0</v>
      </c>
      <c r="O30" s="19">
        <f t="shared" si="4"/>
        <v>5030.5</v>
      </c>
      <c r="P30" s="19">
        <f>SUMIFS('Data Fertilizers'!$D:$D,'Data Fertilizers'!$P:$P,$B30,'Data Fertilizers'!$Q:$Q,"&lt;=0",'Data Fertilizers'!$Q:$Q,"&gt;=-30")</f>
        <v>0</v>
      </c>
      <c r="Q30" s="19">
        <f>SUMIFS('Data Fertilizers'!$D:$D,'Data Fertilizers'!$P:$P,$B30,'Data Fertilizers'!$Q:$Q,"&lt;=-31",'Data Fertilizers'!$Q:$Q,"&gt;=-60")</f>
        <v>0</v>
      </c>
      <c r="R30" s="19">
        <f>SUMIFS('Data Fertilizers'!$D:$D,'Data Fertilizers'!$P:$P,$B30,'Data Fertilizers'!$Q:$Q,"&lt;=-61",'Data Fertilizers'!$Q:$Q,"&gt;=-90")</f>
        <v>0</v>
      </c>
      <c r="S30" s="19">
        <f>SUMIFS('Data Fertilizers'!$D:$D,'Data Fertilizers'!$P:$P,$B30,'Data Fertilizers'!$Q:$Q,"&lt;=-91",'Data Fertilizers'!$Q:$Q,"&gt;=-120")</f>
        <v>5030.5</v>
      </c>
      <c r="T30" s="19">
        <f>SUMIFS('Data Fertilizers'!$D:$D,'Data Fertilizers'!$P:$P,$B30,'Data Fertilizers'!$Q:$Q,"&lt;=-121",'Data Fertilizers'!$Q:$Q,"&gt;=-180")</f>
        <v>0</v>
      </c>
      <c r="U30" s="19">
        <f>SUMIFS('Data Fertilizers'!$D:$D,'Data Fertilizers'!$P:$P,$B30,'Data Fertilizers'!$Q:$Q,"&lt;=-181",'Data Fertilizers'!$Q:$Q,"&gt;=-360")</f>
        <v>0</v>
      </c>
      <c r="V30" s="23">
        <f>SUMIFS('Data Fertilizers'!$D:$D,'Data Fertilizers'!$P:$P,$B30,'Data Fertilizers'!$Q:$Q,"&lt;-360")</f>
        <v>0</v>
      </c>
      <c r="W30" s="19" t="e">
        <f>SUMIFS('Bad Debt Provision'!#REF!,'Bad Debt Provision'!#REF!,'Painel Fertilizers'!#REF!)</f>
        <v>#REF!</v>
      </c>
      <c r="Y30" s="20"/>
      <c r="Z30" s="20"/>
      <c r="AA30" s="21"/>
      <c r="AB30" s="5"/>
      <c r="AC30" s="19"/>
      <c r="AD30" s="20"/>
      <c r="AE30" s="22"/>
      <c r="AF30" s="22"/>
      <c r="AG30" s="5"/>
      <c r="AH30" s="28">
        <f t="shared" si="5"/>
        <v>-5030.5</v>
      </c>
    </row>
    <row r="31" spans="2:36" x14ac:dyDescent="0.25">
      <c r="B31" s="41" t="s">
        <v>374</v>
      </c>
      <c r="C31" s="97" cm="1">
        <f t="array" ref="C31">IFERROR(INDEX('Limite de crédito'!$D:$D, MATCH(MAX(IF('Limite de crédito'!$C:$C=$B31, 'Limite de crédito'!$A:$A)), 'Limite de crédito'!$A:$A, 0)),"")</f>
        <v>45804</v>
      </c>
      <c r="D31" s="107" t="str" cm="1">
        <f t="array" ref="D31">IFERROR(INDEX('Limite de crédito'!$F:$F, MATCH(MAX(IF('Limite de crédito'!$C:$C=$B31, 'Limite de crédito'!$A:$A)), 'Limite de crédito'!$A:$A, 0)),0)</f>
        <v>Sim</v>
      </c>
      <c r="E31" s="18" t="e">
        <f t="shared" si="2"/>
        <v>#VALUE!</v>
      </c>
      <c r="F31" s="18">
        <f t="shared" si="3"/>
        <v>0</v>
      </c>
      <c r="G31" s="19">
        <f>SUMIFS('Data Fertilizers'!$D:$D,'Data Fertilizers'!$P:$P,$B31,'Data Fertilizers'!$Q:$Q,"&gt;0",'Data Fertilizers'!$Q:$Q,"&lt;=30")</f>
        <v>0</v>
      </c>
      <c r="H31" s="19">
        <f>SUMIFS('Data Fertilizers'!$D:$D,'Data Fertilizers'!$P:$P,$B31,'Data Fertilizers'!$Q:$Q,"&gt;30",'Data Fertilizers'!$Q:$Q,"&lt;=60")</f>
        <v>0</v>
      </c>
      <c r="I31" s="19">
        <f>SUMIFS('Data Fertilizers'!$D:$D,'Data Fertilizers'!$P:$P,$B31,'Data Fertilizers'!$Q:$Q,"&gt;60",'Data Fertilizers'!$Q:$Q,"&lt;=90")</f>
        <v>0</v>
      </c>
      <c r="J31" s="19">
        <f>SUMIFS('Data Fertilizers'!$D:$D,'Data Fertilizers'!$P:$P,$B31,'Data Fertilizers'!$Q:$Q,"&gt;90",'Data Fertilizers'!$Q:$Q,"&lt;=120")</f>
        <v>0</v>
      </c>
      <c r="K31" s="19">
        <f>SUMIFS('Data Fertilizers'!$D:$D,'Data Fertilizers'!$P:$P,$B31,'Data Fertilizers'!$Q:$Q,"&gt;120",'Data Fertilizers'!$Q:$Q,"&lt;=180")</f>
        <v>0</v>
      </c>
      <c r="L31" s="19">
        <f>SUMIFS('Data Fertilizers'!$D:$D,'Data Fertilizers'!$P:$P,$B31,'Data Fertilizers'!$Q:$Q,"&gt;180",'Data Fertilizers'!$Q:$Q,"&lt;=360")</f>
        <v>0</v>
      </c>
      <c r="M31" s="23">
        <f>SUMIFS('Data Fertilizers'!$D:$D,'Data Fertilizers'!$P:$P,$B31,'Data Fertilizers'!$Q:$Q,"&gt;360")</f>
        <v>0</v>
      </c>
      <c r="N31" s="19">
        <f>SUMIFS('Data Fertilizers'!$D:$D,'Data Fertilizers'!$P:$P,$B31,'Data Fertilizers'!$Q:$Q,"&gt;0")</f>
        <v>0</v>
      </c>
      <c r="O31" s="19">
        <f t="shared" si="4"/>
        <v>0</v>
      </c>
      <c r="P31" s="19">
        <f>SUMIFS('Data Fertilizers'!$D:$D,'Data Fertilizers'!$P:$P,$B31,'Data Fertilizers'!$Q:$Q,"&lt;=0",'Data Fertilizers'!$Q:$Q,"&gt;=-30")</f>
        <v>0</v>
      </c>
      <c r="Q31" s="19">
        <f>SUMIFS('Data Fertilizers'!$D:$D,'Data Fertilizers'!$P:$P,$B31,'Data Fertilizers'!$Q:$Q,"&lt;=-31",'Data Fertilizers'!$Q:$Q,"&gt;=-60")</f>
        <v>0</v>
      </c>
      <c r="R31" s="19">
        <f>SUMIFS('Data Fertilizers'!$D:$D,'Data Fertilizers'!$P:$P,$B31,'Data Fertilizers'!$Q:$Q,"&lt;=-61",'Data Fertilizers'!$Q:$Q,"&gt;=-90")</f>
        <v>0</v>
      </c>
      <c r="S31" s="19">
        <f>SUMIFS('Data Fertilizers'!$D:$D,'Data Fertilizers'!$P:$P,$B31,'Data Fertilizers'!$Q:$Q,"&lt;=-91",'Data Fertilizers'!$Q:$Q,"&gt;=-120")</f>
        <v>0</v>
      </c>
      <c r="T31" s="19">
        <f>SUMIFS('Data Fertilizers'!$D:$D,'Data Fertilizers'!$P:$P,$B31,'Data Fertilizers'!$Q:$Q,"&lt;=-121",'Data Fertilizers'!$Q:$Q,"&gt;=-180")</f>
        <v>0</v>
      </c>
      <c r="U31" s="19">
        <f>SUMIFS('Data Fertilizers'!$D:$D,'Data Fertilizers'!$P:$P,$B31,'Data Fertilizers'!$Q:$Q,"&lt;=-181",'Data Fertilizers'!$Q:$Q,"&gt;=-360")</f>
        <v>0</v>
      </c>
      <c r="V31" s="23">
        <f>SUMIFS('Data Fertilizers'!$D:$D,'Data Fertilizers'!$P:$P,$B31,'Data Fertilizers'!$Q:$Q,"&lt;-360")</f>
        <v>0</v>
      </c>
      <c r="W31" s="19" t="e">
        <f>SUMIFS('Bad Debt Provision'!#REF!,'Bad Debt Provision'!#REF!,'Painel Fertilizers'!#REF!)</f>
        <v>#REF!</v>
      </c>
      <c r="X31" s="5"/>
      <c r="Y31" s="20"/>
      <c r="Z31" s="20"/>
      <c r="AA31" s="21"/>
      <c r="AB31" s="5"/>
      <c r="AC31" s="19"/>
      <c r="AD31" s="20"/>
      <c r="AE31" s="22"/>
      <c r="AF31" s="22"/>
      <c r="AG31" s="5"/>
      <c r="AH31" s="28">
        <f t="shared" si="5"/>
        <v>0</v>
      </c>
      <c r="AJ31" s="26"/>
    </row>
    <row r="32" spans="2:36" x14ac:dyDescent="0.25">
      <c r="B32" s="41" t="s">
        <v>376</v>
      </c>
      <c r="C32" s="97" t="str" cm="1">
        <f t="array" ref="C32">IFERROR(INDEX('Limite de crédito'!$D:$D, MATCH(MAX(IF('Limite de crédito'!$C:$C=$B32, 'Limite de crédito'!$A:$A)), 'Limite de crédito'!$A:$A, 0)),"")</f>
        <v/>
      </c>
      <c r="D32" s="107" cm="1">
        <f t="array" ref="D32">IFERROR(INDEX('Limite de crédito'!$F:$F, MATCH(MAX(IF('Limite de crédito'!$C:$C=$B32, 'Limite de crédito'!$A:$A)), 'Limite de crédito'!$A:$A, 0)),0)</f>
        <v>0</v>
      </c>
      <c r="E32" s="18">
        <f t="shared" si="2"/>
        <v>-329327.90999999997</v>
      </c>
      <c r="F32" s="18">
        <f t="shared" si="3"/>
        <v>329327.90999999997</v>
      </c>
      <c r="G32" s="19">
        <f>SUMIFS('Data Fertilizers'!$D:$D,'Data Fertilizers'!$P:$P,$B32,'Data Fertilizers'!$Q:$Q,"&gt;0",'Data Fertilizers'!$Q:$Q,"&lt;=30")</f>
        <v>0</v>
      </c>
      <c r="H32" s="19">
        <f>SUMIFS('Data Fertilizers'!$D:$D,'Data Fertilizers'!$P:$P,$B32,'Data Fertilizers'!$Q:$Q,"&gt;30",'Data Fertilizers'!$Q:$Q,"&lt;=60")</f>
        <v>0</v>
      </c>
      <c r="I32" s="19">
        <f>SUMIFS('Data Fertilizers'!$D:$D,'Data Fertilizers'!$P:$P,$B32,'Data Fertilizers'!$Q:$Q,"&gt;60",'Data Fertilizers'!$Q:$Q,"&lt;=90")</f>
        <v>0</v>
      </c>
      <c r="J32" s="19">
        <f>SUMIFS('Data Fertilizers'!$D:$D,'Data Fertilizers'!$P:$P,$B32,'Data Fertilizers'!$Q:$Q,"&gt;90",'Data Fertilizers'!$Q:$Q,"&lt;=120")</f>
        <v>0</v>
      </c>
      <c r="K32" s="19">
        <f>SUMIFS('Data Fertilizers'!$D:$D,'Data Fertilizers'!$P:$P,$B32,'Data Fertilizers'!$Q:$Q,"&gt;120",'Data Fertilizers'!$Q:$Q,"&lt;=180")</f>
        <v>0</v>
      </c>
      <c r="L32" s="19">
        <f>SUMIFS('Data Fertilizers'!$D:$D,'Data Fertilizers'!$P:$P,$B32,'Data Fertilizers'!$Q:$Q,"&gt;180",'Data Fertilizers'!$Q:$Q,"&lt;=360")</f>
        <v>0</v>
      </c>
      <c r="M32" s="23">
        <f>SUMIFS('Data Fertilizers'!$D:$D,'Data Fertilizers'!$P:$P,$B32,'Data Fertilizers'!$Q:$Q,"&gt;360")</f>
        <v>0</v>
      </c>
      <c r="N32" s="19">
        <f>SUMIFS('Data Fertilizers'!$D:$D,'Data Fertilizers'!$P:$P,$B32,'Data Fertilizers'!$Q:$Q,"&gt;0")</f>
        <v>0</v>
      </c>
      <c r="O32" s="19">
        <f t="shared" si="4"/>
        <v>329327.90999999997</v>
      </c>
      <c r="P32" s="19">
        <f>SUMIFS('Data Fertilizers'!$D:$D,'Data Fertilizers'!$P:$P,$B32,'Data Fertilizers'!$Q:$Q,"&lt;=0",'Data Fertilizers'!$Q:$Q,"&gt;=-30")</f>
        <v>329327.90999999997</v>
      </c>
      <c r="Q32" s="19">
        <f>SUMIFS('Data Fertilizers'!$D:$D,'Data Fertilizers'!$P:$P,$B32,'Data Fertilizers'!$Q:$Q,"&lt;=-31",'Data Fertilizers'!$Q:$Q,"&gt;=-60")</f>
        <v>0</v>
      </c>
      <c r="R32" s="19">
        <f>SUMIFS('Data Fertilizers'!$D:$D,'Data Fertilizers'!$P:$P,$B32,'Data Fertilizers'!$Q:$Q,"&lt;=-61",'Data Fertilizers'!$Q:$Q,"&gt;=-90")</f>
        <v>0</v>
      </c>
      <c r="S32" s="19">
        <f>SUMIFS('Data Fertilizers'!$D:$D,'Data Fertilizers'!$P:$P,$B32,'Data Fertilizers'!$Q:$Q,"&lt;=-91",'Data Fertilizers'!$Q:$Q,"&gt;=-120")</f>
        <v>0</v>
      </c>
      <c r="T32" s="19">
        <f>SUMIFS('Data Fertilizers'!$D:$D,'Data Fertilizers'!$P:$P,$B32,'Data Fertilizers'!$Q:$Q,"&lt;=-121",'Data Fertilizers'!$Q:$Q,"&gt;=-180")</f>
        <v>0</v>
      </c>
      <c r="U32" s="19">
        <f>SUMIFS('Data Fertilizers'!$D:$D,'Data Fertilizers'!$P:$P,$B32,'Data Fertilizers'!$Q:$Q,"&lt;=-181",'Data Fertilizers'!$Q:$Q,"&gt;=-360")</f>
        <v>0</v>
      </c>
      <c r="V32" s="23">
        <f>SUMIFS('Data Fertilizers'!$D:$D,'Data Fertilizers'!$P:$P,$B32,'Data Fertilizers'!$Q:$Q,"&lt;-360")</f>
        <v>0</v>
      </c>
      <c r="W32" s="19" t="e">
        <f>SUMIFS('Bad Debt Provision'!#REF!,'Bad Debt Provision'!#REF!,'Painel Fertilizers'!#REF!)</f>
        <v>#REF!</v>
      </c>
      <c r="X32" s="5"/>
      <c r="Y32" s="20"/>
      <c r="Z32" s="20"/>
      <c r="AA32" s="21"/>
      <c r="AB32" s="5"/>
      <c r="AC32" s="19"/>
      <c r="AD32" s="20"/>
      <c r="AE32" s="22"/>
      <c r="AF32" s="22"/>
      <c r="AG32" s="5"/>
      <c r="AH32" s="28">
        <f t="shared" si="5"/>
        <v>-329327.90999999997</v>
      </c>
      <c r="AJ32" s="26"/>
    </row>
    <row r="33" spans="2:36" x14ac:dyDescent="0.25">
      <c r="B33" s="17" t="s">
        <v>171</v>
      </c>
      <c r="C33" s="104" t="str" cm="1">
        <f t="array" ref="C33">IFERROR(INDEX('Limite de crédito'!$D:$D, MATCH(MAX(IF('Limite de crédito'!$C:$C=$B33, 'Limite de crédito'!$A:$A)), 'Limite de crédito'!$A:$A, 0)),"")</f>
        <v/>
      </c>
      <c r="D33" s="107" cm="1">
        <f t="array" ref="D33">IFERROR(INDEX('Limite de crédito'!$F:$F, MATCH(MAX(IF('Limite de crédito'!$C:$C=$B33, 'Limite de crédito'!$A:$A)), 'Limite de crédito'!$A:$A, 0)),0)</f>
        <v>0</v>
      </c>
      <c r="E33" s="18">
        <f t="shared" si="2"/>
        <v>0</v>
      </c>
      <c r="F33" s="18">
        <f t="shared" si="3"/>
        <v>0</v>
      </c>
      <c r="G33" s="19">
        <f>SUMIFS('Data Fertilizers'!$D:$D,'Data Fertilizers'!$P:$P,$B33,'Data Fertilizers'!$Q:$Q,"&gt;0",'Data Fertilizers'!$Q:$Q,"&lt;=30")</f>
        <v>0</v>
      </c>
      <c r="H33" s="19">
        <f>SUMIFS('Data Fertilizers'!$D:$D,'Data Fertilizers'!$P:$P,$B33,'Data Fertilizers'!$Q:$Q,"&gt;30",'Data Fertilizers'!$Q:$Q,"&lt;=60")</f>
        <v>0</v>
      </c>
      <c r="I33" s="19">
        <f>SUMIFS('Data Fertilizers'!$D:$D,'Data Fertilizers'!$P:$P,$B33,'Data Fertilizers'!$Q:$Q,"&gt;60",'Data Fertilizers'!$Q:$Q,"&lt;=90")</f>
        <v>0</v>
      </c>
      <c r="J33" s="19">
        <f>SUMIFS('Data Fertilizers'!$D:$D,'Data Fertilizers'!$P:$P,$B33,'Data Fertilizers'!$Q:$Q,"&gt;90",'Data Fertilizers'!$Q:$Q,"&lt;=120")</f>
        <v>0</v>
      </c>
      <c r="K33" s="19">
        <f>SUMIFS('Data Fertilizers'!$D:$D,'Data Fertilizers'!$P:$P,$B33,'Data Fertilizers'!$Q:$Q,"&gt;120",'Data Fertilizers'!$Q:$Q,"&lt;=180")</f>
        <v>0</v>
      </c>
      <c r="L33" s="19">
        <f>SUMIFS('Data Fertilizers'!$D:$D,'Data Fertilizers'!$P:$P,$B33,'Data Fertilizers'!$Q:$Q,"&gt;180",'Data Fertilizers'!$Q:$Q,"&lt;=360")</f>
        <v>0</v>
      </c>
      <c r="M33" s="23">
        <f>SUMIFS('Data Fertilizers'!$D:$D,'Data Fertilizers'!$P:$P,$B33,'Data Fertilizers'!$Q:$Q,"&gt;360")</f>
        <v>0</v>
      </c>
      <c r="N33" s="19">
        <f>SUMIFS('Data Fertilizers'!$D:$D,'Data Fertilizers'!$P:$P,$B33,'Data Fertilizers'!$Q:$Q,"&gt;0")</f>
        <v>0</v>
      </c>
      <c r="O33" s="19">
        <f t="shared" si="4"/>
        <v>0</v>
      </c>
      <c r="P33" s="19">
        <f>SUMIFS('Data Fertilizers'!$D:$D,'Data Fertilizers'!$P:$P,$B33,'Data Fertilizers'!$Q:$Q,"&lt;=0",'Data Fertilizers'!$Q:$Q,"&gt;=-30")</f>
        <v>0</v>
      </c>
      <c r="Q33" s="19">
        <f>SUMIFS('Data Fertilizers'!$D:$D,'Data Fertilizers'!$P:$P,$B33,'Data Fertilizers'!$Q:$Q,"&lt;=-31",'Data Fertilizers'!$Q:$Q,"&gt;=-60")</f>
        <v>0</v>
      </c>
      <c r="R33" s="19">
        <f>SUMIFS('Data Fertilizers'!$D:$D,'Data Fertilizers'!$P:$P,$B33,'Data Fertilizers'!$Q:$Q,"&lt;=-61",'Data Fertilizers'!$Q:$Q,"&gt;=-90")</f>
        <v>0</v>
      </c>
      <c r="S33" s="19">
        <f>SUMIFS('Data Fertilizers'!$D:$D,'Data Fertilizers'!$P:$P,$B33,'Data Fertilizers'!$Q:$Q,"&lt;=-91",'Data Fertilizers'!$Q:$Q,"&gt;=-120")</f>
        <v>0</v>
      </c>
      <c r="T33" s="19">
        <f>SUMIFS('Data Fertilizers'!$D:$D,'Data Fertilizers'!$P:$P,$B33,'Data Fertilizers'!$Q:$Q,"&lt;=-121",'Data Fertilizers'!$Q:$Q,"&gt;=-180")</f>
        <v>0</v>
      </c>
      <c r="U33" s="19">
        <f>SUMIFS('Data Fertilizers'!$D:$D,'Data Fertilizers'!$P:$P,$B33,'Data Fertilizers'!$Q:$Q,"&lt;=-181",'Data Fertilizers'!$Q:$Q,"&gt;=-360")</f>
        <v>0</v>
      </c>
      <c r="V33" s="23">
        <f>SUMIFS('Data Fertilizers'!$D:$D,'Data Fertilizers'!$P:$P,$B33,'Data Fertilizers'!$Q:$Q,"&lt;-360")</f>
        <v>0</v>
      </c>
      <c r="W33" s="19" t="e">
        <f>SUMIFS('Bad Debt Provision'!#REF!,'Bad Debt Provision'!#REF!,'Painel Fertilizers'!$B11)</f>
        <v>#REF!</v>
      </c>
      <c r="X33" s="5"/>
      <c r="Y33" s="20">
        <v>0</v>
      </c>
      <c r="Z33" s="20">
        <v>0</v>
      </c>
      <c r="AA33" s="21">
        <v>0</v>
      </c>
      <c r="AB33" s="5"/>
      <c r="AC33" s="19">
        <v>0</v>
      </c>
      <c r="AD33" s="20">
        <v>0</v>
      </c>
      <c r="AE33" s="22"/>
      <c r="AF33" s="22"/>
      <c r="AG33" s="5"/>
      <c r="AH33" s="28">
        <f t="shared" si="5"/>
        <v>0</v>
      </c>
      <c r="AI33" s="5"/>
      <c r="AJ33" s="26"/>
    </row>
    <row r="34" spans="2:36" x14ac:dyDescent="0.25">
      <c r="B34" s="17" t="s">
        <v>179</v>
      </c>
      <c r="C34" s="104" cm="1">
        <f t="array" ref="C34">IFERROR(INDEX('Limite de crédito'!$D:$D, MATCH(MAX(IF('Limite de crédito'!$C:$C=$B34, 'Limite de crédito'!$A:$A)), 'Limite de crédito'!$A:$A, 0)),"")</f>
        <v>45803</v>
      </c>
      <c r="D34" s="107" t="str" cm="1">
        <f t="array" ref="D34">IFERROR(INDEX('Limite de crédito'!$F:$F, MATCH(MAX(IF('Limite de crédito'!$C:$C=$B34, 'Limite de crédito'!$A:$A)), 'Limite de crédito'!$A:$A, 0)),0)</f>
        <v>Sim</v>
      </c>
      <c r="E34" s="18" t="e">
        <f t="shared" si="2"/>
        <v>#VALUE!</v>
      </c>
      <c r="F34" s="18">
        <f t="shared" si="3"/>
        <v>0</v>
      </c>
      <c r="G34" s="19">
        <f>SUMIFS('Data Fertilizers'!$D:$D,'Data Fertilizers'!$P:$P,$B34,'Data Fertilizers'!$Q:$Q,"&gt;0",'Data Fertilizers'!$Q:$Q,"&lt;=30")</f>
        <v>0</v>
      </c>
      <c r="H34" s="19">
        <f>SUMIFS('Data Fertilizers'!$D:$D,'Data Fertilizers'!$P:$P,$B34,'Data Fertilizers'!$Q:$Q,"&gt;30",'Data Fertilizers'!$Q:$Q,"&lt;=60")</f>
        <v>0</v>
      </c>
      <c r="I34" s="19">
        <f>SUMIFS('Data Fertilizers'!$D:$D,'Data Fertilizers'!$P:$P,$B34,'Data Fertilizers'!$Q:$Q,"&gt;60",'Data Fertilizers'!$Q:$Q,"&lt;=90")</f>
        <v>0</v>
      </c>
      <c r="J34" s="19">
        <f>SUMIFS('Data Fertilizers'!$D:$D,'Data Fertilizers'!$P:$P,$B34,'Data Fertilizers'!$Q:$Q,"&gt;90",'Data Fertilizers'!$Q:$Q,"&lt;=120")</f>
        <v>0</v>
      </c>
      <c r="K34" s="19">
        <f>SUMIFS('Data Fertilizers'!$D:$D,'Data Fertilizers'!$P:$P,$B34,'Data Fertilizers'!$Q:$Q,"&gt;120",'Data Fertilizers'!$Q:$Q,"&lt;=180")</f>
        <v>0</v>
      </c>
      <c r="L34" s="19">
        <f>SUMIFS('Data Fertilizers'!$D:$D,'Data Fertilizers'!$P:$P,$B34,'Data Fertilizers'!$Q:$Q,"&gt;180",'Data Fertilizers'!$Q:$Q,"&lt;=360")</f>
        <v>0</v>
      </c>
      <c r="M34" s="23">
        <f>SUMIFS('Data Fertilizers'!$D:$D,'Data Fertilizers'!$P:$P,$B34,'Data Fertilizers'!$Q:$Q,"&gt;360")</f>
        <v>0</v>
      </c>
      <c r="N34" s="19">
        <f>SUMIFS('Data Fertilizers'!$D:$D,'Data Fertilizers'!$P:$P,$B34,'Data Fertilizers'!$Q:$Q,"&gt;0")</f>
        <v>0</v>
      </c>
      <c r="O34" s="19">
        <f t="shared" si="4"/>
        <v>0</v>
      </c>
      <c r="P34" s="19">
        <f>SUMIFS('Data Fertilizers'!$D:$D,'Data Fertilizers'!$P:$P,$B34,'Data Fertilizers'!$Q:$Q,"&lt;=0",'Data Fertilizers'!$Q:$Q,"&gt;=-30")</f>
        <v>0</v>
      </c>
      <c r="Q34" s="19">
        <f>SUMIFS('Data Fertilizers'!$D:$D,'Data Fertilizers'!$P:$P,$B34,'Data Fertilizers'!$Q:$Q,"&lt;=-31",'Data Fertilizers'!$Q:$Q,"&gt;=-60")</f>
        <v>0</v>
      </c>
      <c r="R34" s="19">
        <f>SUMIFS('Data Fertilizers'!$D:$D,'Data Fertilizers'!$P:$P,$B34,'Data Fertilizers'!$Q:$Q,"&lt;=-61",'Data Fertilizers'!$Q:$Q,"&gt;=-90")</f>
        <v>0</v>
      </c>
      <c r="S34" s="19">
        <f>SUMIFS('Data Fertilizers'!$D:$D,'Data Fertilizers'!$P:$P,$B34,'Data Fertilizers'!$Q:$Q,"&lt;=-91",'Data Fertilizers'!$Q:$Q,"&gt;=-120")</f>
        <v>0</v>
      </c>
      <c r="T34" s="19">
        <f>SUMIFS('Data Fertilizers'!$D:$D,'Data Fertilizers'!$P:$P,$B34,'Data Fertilizers'!$Q:$Q,"&lt;=-121",'Data Fertilizers'!$Q:$Q,"&gt;=-180")</f>
        <v>0</v>
      </c>
      <c r="U34" s="19">
        <f>SUMIFS('Data Fertilizers'!$D:$D,'Data Fertilizers'!$P:$P,$B34,'Data Fertilizers'!$Q:$Q,"&lt;=-181",'Data Fertilizers'!$Q:$Q,"&gt;=-360")</f>
        <v>0</v>
      </c>
      <c r="V34" s="23">
        <f>SUMIFS('Data Fertilizers'!$D:$D,'Data Fertilizers'!$P:$P,$B34,'Data Fertilizers'!$Q:$Q,"&lt;-360")</f>
        <v>0</v>
      </c>
      <c r="W34" s="19" t="e">
        <f>SUMIFS('Bad Debt Provision'!#REF!,'Bad Debt Provision'!#REF!,'Painel Fertilizers'!#REF!)</f>
        <v>#REF!</v>
      </c>
      <c r="X34" s="5"/>
      <c r="Y34" s="20">
        <v>150000</v>
      </c>
      <c r="Z34" s="20" t="s">
        <v>226</v>
      </c>
      <c r="AA34" s="21">
        <v>120</v>
      </c>
      <c r="AB34" s="5"/>
      <c r="AC34" s="19">
        <v>0</v>
      </c>
      <c r="AD34" s="20">
        <v>0</v>
      </c>
      <c r="AE34" s="22"/>
      <c r="AF34" s="22"/>
      <c r="AG34" s="5"/>
      <c r="AH34" s="28">
        <f t="shared" si="5"/>
        <v>0</v>
      </c>
      <c r="AI34" s="5"/>
      <c r="AJ34" s="26"/>
    </row>
    <row r="35" spans="2:36" x14ac:dyDescent="0.25">
      <c r="B35" s="17" t="s">
        <v>183</v>
      </c>
      <c r="C35" s="104" t="str" cm="1">
        <f t="array" ref="C35">IFERROR(INDEX('Limite de crédito'!$D:$D, MATCH(MAX(IF('Limite de crédito'!$C:$C=$B35, 'Limite de crédito'!$A:$A)), 'Limite de crédito'!$A:$A, 0)),"")</f>
        <v/>
      </c>
      <c r="D35" s="107" cm="1">
        <f t="array" ref="D35">IFERROR(INDEX('Limite de crédito'!$F:$F, MATCH(MAX(IF('Limite de crédito'!$C:$C=$B35, 'Limite de crédito'!$A:$A)), 'Limite de crédito'!$A:$A, 0)),0)</f>
        <v>0</v>
      </c>
      <c r="E35" s="18">
        <f t="shared" si="2"/>
        <v>0</v>
      </c>
      <c r="F35" s="18">
        <f t="shared" si="3"/>
        <v>0</v>
      </c>
      <c r="G35" s="19">
        <f>SUMIFS('Data Fertilizers'!$D:$D,'Data Fertilizers'!$P:$P,$B35,'Data Fertilizers'!$Q:$Q,"&gt;0",'Data Fertilizers'!$Q:$Q,"&lt;=30")</f>
        <v>0</v>
      </c>
      <c r="H35" s="19">
        <f>SUMIFS('Data Fertilizers'!$D:$D,'Data Fertilizers'!$P:$P,$B35,'Data Fertilizers'!$Q:$Q,"&gt;30",'Data Fertilizers'!$Q:$Q,"&lt;=60")</f>
        <v>0</v>
      </c>
      <c r="I35" s="19">
        <f>SUMIFS('Data Fertilizers'!$D:$D,'Data Fertilizers'!$P:$P,$B35,'Data Fertilizers'!$Q:$Q,"&gt;60",'Data Fertilizers'!$Q:$Q,"&lt;=90")</f>
        <v>0</v>
      </c>
      <c r="J35" s="19">
        <f>SUMIFS('Data Fertilizers'!$D:$D,'Data Fertilizers'!$P:$P,$B35,'Data Fertilizers'!$Q:$Q,"&gt;90",'Data Fertilizers'!$Q:$Q,"&lt;=120")</f>
        <v>0</v>
      </c>
      <c r="K35" s="19">
        <f>SUMIFS('Data Fertilizers'!$D:$D,'Data Fertilizers'!$P:$P,$B35,'Data Fertilizers'!$Q:$Q,"&gt;120",'Data Fertilizers'!$Q:$Q,"&lt;=180")</f>
        <v>0</v>
      </c>
      <c r="L35" s="19">
        <f>SUMIFS('Data Fertilizers'!$D:$D,'Data Fertilizers'!$P:$P,$B35,'Data Fertilizers'!$Q:$Q,"&gt;180",'Data Fertilizers'!$Q:$Q,"&lt;=360")</f>
        <v>0</v>
      </c>
      <c r="M35" s="23">
        <f>SUMIFS('Data Fertilizers'!$D:$D,'Data Fertilizers'!$P:$P,$B35,'Data Fertilizers'!$Q:$Q,"&gt;360")</f>
        <v>0</v>
      </c>
      <c r="N35" s="19">
        <f>SUMIFS('Data Fertilizers'!$D:$D,'Data Fertilizers'!$P:$P,$B35,'Data Fertilizers'!$Q:$Q,"&gt;0")</f>
        <v>0</v>
      </c>
      <c r="O35" s="19">
        <f t="shared" si="4"/>
        <v>0</v>
      </c>
      <c r="P35" s="19">
        <f>SUMIFS('Data Fertilizers'!$D:$D,'Data Fertilizers'!$P:$P,$B35,'Data Fertilizers'!$Q:$Q,"&lt;=0",'Data Fertilizers'!$Q:$Q,"&gt;=-30")</f>
        <v>0</v>
      </c>
      <c r="Q35" s="19">
        <f>SUMIFS('Data Fertilizers'!$D:$D,'Data Fertilizers'!$P:$P,$B35,'Data Fertilizers'!$Q:$Q,"&lt;=-31",'Data Fertilizers'!$Q:$Q,"&gt;=-60")</f>
        <v>0</v>
      </c>
      <c r="R35" s="19">
        <f>SUMIFS('Data Fertilizers'!$D:$D,'Data Fertilizers'!$P:$P,$B35,'Data Fertilizers'!$Q:$Q,"&lt;=-61",'Data Fertilizers'!$Q:$Q,"&gt;=-90")</f>
        <v>0</v>
      </c>
      <c r="S35" s="19">
        <f>SUMIFS('Data Fertilizers'!$D:$D,'Data Fertilizers'!$P:$P,$B35,'Data Fertilizers'!$Q:$Q,"&lt;=-91",'Data Fertilizers'!$Q:$Q,"&gt;=-120")</f>
        <v>0</v>
      </c>
      <c r="T35" s="19">
        <f>SUMIFS('Data Fertilizers'!$D:$D,'Data Fertilizers'!$P:$P,$B35,'Data Fertilizers'!$Q:$Q,"&lt;=-121",'Data Fertilizers'!$Q:$Q,"&gt;=-180")</f>
        <v>0</v>
      </c>
      <c r="U35" s="19">
        <f>SUMIFS('Data Fertilizers'!$D:$D,'Data Fertilizers'!$P:$P,$B35,'Data Fertilizers'!$Q:$Q,"&lt;=-181",'Data Fertilizers'!$Q:$Q,"&gt;=-360")</f>
        <v>0</v>
      </c>
      <c r="V35" s="23">
        <f>SUMIFS('Data Fertilizers'!$D:$D,'Data Fertilizers'!$P:$P,$B35,'Data Fertilizers'!$Q:$Q,"&lt;-360")</f>
        <v>0</v>
      </c>
      <c r="W35" s="19" t="e">
        <f>SUMIFS('Bad Debt Provision'!#REF!,'Bad Debt Provision'!#REF!,'Painel Fertilizers'!$B13)</f>
        <v>#REF!</v>
      </c>
      <c r="X35" s="5"/>
      <c r="Y35" s="20">
        <v>1000000</v>
      </c>
      <c r="Z35" s="20" t="s">
        <v>226</v>
      </c>
      <c r="AA35" s="21">
        <v>120</v>
      </c>
      <c r="AB35" s="5"/>
      <c r="AC35" s="19">
        <v>0</v>
      </c>
      <c r="AD35" s="20">
        <v>0</v>
      </c>
      <c r="AE35" s="22"/>
      <c r="AF35" s="22"/>
      <c r="AG35" s="5"/>
      <c r="AH35" s="28">
        <f t="shared" si="5"/>
        <v>0</v>
      </c>
      <c r="AI35" s="5"/>
      <c r="AJ35" s="26"/>
    </row>
    <row r="36" spans="2:36" x14ac:dyDescent="0.25">
      <c r="B36" s="17" t="s">
        <v>184</v>
      </c>
      <c r="C36" s="104" t="str" cm="1">
        <f t="array" ref="C36">IFERROR(INDEX('Limite de crédito'!$D:$D, MATCH(MAX(IF('Limite de crédito'!$C:$C=$B36, 'Limite de crédito'!$A:$A)), 'Limite de crédito'!$A:$A, 0)),"")</f>
        <v/>
      </c>
      <c r="D36" s="107" cm="1">
        <f t="array" ref="D36">IFERROR(INDEX('Limite de crédito'!$F:$F, MATCH(MAX(IF('Limite de crédito'!$C:$C=$B36, 'Limite de crédito'!$A:$A)), 'Limite de crédito'!$A:$A, 0)),0)</f>
        <v>0</v>
      </c>
      <c r="E36" s="18">
        <f t="shared" ref="E36:E62" si="6">D36-F36</f>
        <v>0</v>
      </c>
      <c r="F36" s="18">
        <f t="shared" ref="F36:F62" si="7">O36+N36</f>
        <v>0</v>
      </c>
      <c r="G36" s="19">
        <f>SUMIFS('Data Fertilizers'!$D:$D,'Data Fertilizers'!$P:$P,$B36,'Data Fertilizers'!$Q:$Q,"&gt;0",'Data Fertilizers'!$Q:$Q,"&lt;=30")</f>
        <v>0</v>
      </c>
      <c r="H36" s="19">
        <f>SUMIFS('Data Fertilizers'!$D:$D,'Data Fertilizers'!$P:$P,$B36,'Data Fertilizers'!$Q:$Q,"&gt;30",'Data Fertilizers'!$Q:$Q,"&lt;=60")</f>
        <v>0</v>
      </c>
      <c r="I36" s="19">
        <f>SUMIFS('Data Fertilizers'!$D:$D,'Data Fertilizers'!$P:$P,$B36,'Data Fertilizers'!$Q:$Q,"&gt;60",'Data Fertilizers'!$Q:$Q,"&lt;=90")</f>
        <v>0</v>
      </c>
      <c r="J36" s="19">
        <f>SUMIFS('Data Fertilizers'!$D:$D,'Data Fertilizers'!$P:$P,$B36,'Data Fertilizers'!$Q:$Q,"&gt;90",'Data Fertilizers'!$Q:$Q,"&lt;=120")</f>
        <v>0</v>
      </c>
      <c r="K36" s="19">
        <f>SUMIFS('Data Fertilizers'!$D:$D,'Data Fertilizers'!$P:$P,$B36,'Data Fertilizers'!$Q:$Q,"&gt;120",'Data Fertilizers'!$Q:$Q,"&lt;=180")</f>
        <v>0</v>
      </c>
      <c r="L36" s="19">
        <f>SUMIFS('Data Fertilizers'!$D:$D,'Data Fertilizers'!$P:$P,$B36,'Data Fertilizers'!$Q:$Q,"&gt;180",'Data Fertilizers'!$Q:$Q,"&lt;=360")</f>
        <v>0</v>
      </c>
      <c r="M36" s="23">
        <f>SUMIFS('Data Fertilizers'!$D:$D,'Data Fertilizers'!$P:$P,$B36,'Data Fertilizers'!$Q:$Q,"&gt;360")</f>
        <v>0</v>
      </c>
      <c r="N36" s="19">
        <f>SUMIFS('Data Fertilizers'!$D:$D,'Data Fertilizers'!$P:$P,$B36,'Data Fertilizers'!$Q:$Q,"&gt;0")</f>
        <v>0</v>
      </c>
      <c r="O36" s="19">
        <f t="shared" ref="O36:O62" si="8">SUBTOTAL(9,P36:V36)</f>
        <v>0</v>
      </c>
      <c r="P36" s="19">
        <f>SUMIFS('Data Fertilizers'!$D:$D,'Data Fertilizers'!$P:$P,$B36,'Data Fertilizers'!$Q:$Q,"&lt;=0",'Data Fertilizers'!$Q:$Q,"&gt;=-30")</f>
        <v>0</v>
      </c>
      <c r="Q36" s="19">
        <f>SUMIFS('Data Fertilizers'!$D:$D,'Data Fertilizers'!$P:$P,$B36,'Data Fertilizers'!$Q:$Q,"&lt;=-31",'Data Fertilizers'!$Q:$Q,"&gt;=-60")</f>
        <v>0</v>
      </c>
      <c r="R36" s="19">
        <f>SUMIFS('Data Fertilizers'!$D:$D,'Data Fertilizers'!$P:$P,$B36,'Data Fertilizers'!$Q:$Q,"&lt;=-61",'Data Fertilizers'!$Q:$Q,"&gt;=-90")</f>
        <v>0</v>
      </c>
      <c r="S36" s="19">
        <f>SUMIFS('Data Fertilizers'!$D:$D,'Data Fertilizers'!$P:$P,$B36,'Data Fertilizers'!$Q:$Q,"&lt;=-91",'Data Fertilizers'!$Q:$Q,"&gt;=-120")</f>
        <v>0</v>
      </c>
      <c r="T36" s="19">
        <f>SUMIFS('Data Fertilizers'!$D:$D,'Data Fertilizers'!$P:$P,$B36,'Data Fertilizers'!$Q:$Q,"&lt;=-121",'Data Fertilizers'!$Q:$Q,"&gt;=-180")</f>
        <v>0</v>
      </c>
      <c r="U36" s="19">
        <f>SUMIFS('Data Fertilizers'!$D:$D,'Data Fertilizers'!$P:$P,$B36,'Data Fertilizers'!$Q:$Q,"&lt;=-181",'Data Fertilizers'!$Q:$Q,"&gt;=-360")</f>
        <v>0</v>
      </c>
      <c r="V36" s="23">
        <f>SUMIFS('Data Fertilizers'!$D:$D,'Data Fertilizers'!$P:$P,$B36,'Data Fertilizers'!$Q:$Q,"&lt;-360")</f>
        <v>0</v>
      </c>
      <c r="W36" s="19" t="e">
        <f>SUMIFS('Bad Debt Provision'!#REF!,'Bad Debt Provision'!#REF!,'Painel Fertilizers'!$B14)</f>
        <v>#REF!</v>
      </c>
      <c r="X36" s="5"/>
      <c r="Y36" s="20">
        <v>1000000</v>
      </c>
      <c r="Z36" s="20" t="s">
        <v>229</v>
      </c>
      <c r="AA36" s="21">
        <v>90</v>
      </c>
      <c r="AB36" s="5"/>
      <c r="AC36" s="19">
        <v>0</v>
      </c>
      <c r="AD36" s="20">
        <v>0</v>
      </c>
      <c r="AE36" s="22"/>
      <c r="AF36" s="22"/>
      <c r="AG36" s="5"/>
      <c r="AH36" s="28">
        <f t="shared" ref="AH36:AH62" si="9">AC36-F36</f>
        <v>0</v>
      </c>
      <c r="AI36" s="5"/>
      <c r="AJ36" s="26"/>
    </row>
    <row r="37" spans="2:36" x14ac:dyDescent="0.25">
      <c r="B37" s="17" t="s">
        <v>192</v>
      </c>
      <c r="C37" s="104" cm="1">
        <f t="array" ref="C37">IFERROR(INDEX('Limite de crédito'!$D:$D, MATCH(MAX(IF('Limite de crédito'!$C:$C=$B37, 'Limite de crédito'!$A:$A)), 'Limite de crédito'!$A:$A, 0)),"")</f>
        <v>45804</v>
      </c>
      <c r="D37" s="107" t="str" cm="1">
        <f t="array" ref="D37">IFERROR(INDEX('Limite de crédito'!$F:$F, MATCH(MAX(IF('Limite de crédito'!$C:$C=$B37, 'Limite de crédito'!$A:$A)), 'Limite de crédito'!$A:$A, 0)),0)</f>
        <v>Sim</v>
      </c>
      <c r="E37" s="18" t="e">
        <f t="shared" si="6"/>
        <v>#VALUE!</v>
      </c>
      <c r="F37" s="18">
        <f t="shared" si="7"/>
        <v>0</v>
      </c>
      <c r="G37" s="19">
        <f>SUMIFS('Data Fertilizers'!$D:$D,'Data Fertilizers'!$P:$P,$B37,'Data Fertilizers'!$Q:$Q,"&gt;0",'Data Fertilizers'!$Q:$Q,"&lt;=30")</f>
        <v>0</v>
      </c>
      <c r="H37" s="19">
        <f>SUMIFS('Data Fertilizers'!$D:$D,'Data Fertilizers'!$P:$P,$B37,'Data Fertilizers'!$Q:$Q,"&gt;30",'Data Fertilizers'!$Q:$Q,"&lt;=60")</f>
        <v>0</v>
      </c>
      <c r="I37" s="19">
        <f>SUMIFS('Data Fertilizers'!$D:$D,'Data Fertilizers'!$P:$P,$B37,'Data Fertilizers'!$Q:$Q,"&gt;60",'Data Fertilizers'!$Q:$Q,"&lt;=90")</f>
        <v>0</v>
      </c>
      <c r="J37" s="19">
        <f>SUMIFS('Data Fertilizers'!$D:$D,'Data Fertilizers'!$P:$P,$B37,'Data Fertilizers'!$Q:$Q,"&gt;90",'Data Fertilizers'!$Q:$Q,"&lt;=120")</f>
        <v>0</v>
      </c>
      <c r="K37" s="19">
        <f>SUMIFS('Data Fertilizers'!$D:$D,'Data Fertilizers'!$P:$P,$B37,'Data Fertilizers'!$Q:$Q,"&gt;120",'Data Fertilizers'!$Q:$Q,"&lt;=180")</f>
        <v>0</v>
      </c>
      <c r="L37" s="19">
        <f>SUMIFS('Data Fertilizers'!$D:$D,'Data Fertilizers'!$P:$P,$B37,'Data Fertilizers'!$Q:$Q,"&gt;180",'Data Fertilizers'!$Q:$Q,"&lt;=360")</f>
        <v>0</v>
      </c>
      <c r="M37" s="23">
        <f>SUMIFS('Data Fertilizers'!$D:$D,'Data Fertilizers'!$P:$P,$B37,'Data Fertilizers'!$Q:$Q,"&gt;360")</f>
        <v>0</v>
      </c>
      <c r="N37" s="19">
        <f>SUMIFS('Data Fertilizers'!$D:$D,'Data Fertilizers'!$P:$P,$B37,'Data Fertilizers'!$Q:$Q,"&gt;0")</f>
        <v>0</v>
      </c>
      <c r="O37" s="19">
        <f t="shared" si="8"/>
        <v>0</v>
      </c>
      <c r="P37" s="19">
        <f>SUMIFS('Data Fertilizers'!$D:$D,'Data Fertilizers'!$P:$P,$B37,'Data Fertilizers'!$Q:$Q,"&lt;=0",'Data Fertilizers'!$Q:$Q,"&gt;=-30")</f>
        <v>0</v>
      </c>
      <c r="Q37" s="19">
        <f>SUMIFS('Data Fertilizers'!$D:$D,'Data Fertilizers'!$P:$P,$B37,'Data Fertilizers'!$Q:$Q,"&lt;=-31",'Data Fertilizers'!$Q:$Q,"&gt;=-60")</f>
        <v>0</v>
      </c>
      <c r="R37" s="19">
        <f>SUMIFS('Data Fertilizers'!$D:$D,'Data Fertilizers'!$P:$P,$B37,'Data Fertilizers'!$Q:$Q,"&lt;=-61",'Data Fertilizers'!$Q:$Q,"&gt;=-90")</f>
        <v>0</v>
      </c>
      <c r="S37" s="19">
        <f>SUMIFS('Data Fertilizers'!$D:$D,'Data Fertilizers'!$P:$P,$B37,'Data Fertilizers'!$Q:$Q,"&lt;=-91",'Data Fertilizers'!$Q:$Q,"&gt;=-120")</f>
        <v>0</v>
      </c>
      <c r="T37" s="19">
        <f>SUMIFS('Data Fertilizers'!$D:$D,'Data Fertilizers'!$P:$P,$B37,'Data Fertilizers'!$Q:$Q,"&lt;=-121",'Data Fertilizers'!$Q:$Q,"&gt;=-180")</f>
        <v>0</v>
      </c>
      <c r="U37" s="19">
        <f>SUMIFS('Data Fertilizers'!$D:$D,'Data Fertilizers'!$P:$P,$B37,'Data Fertilizers'!$Q:$Q,"&lt;=-181",'Data Fertilizers'!$Q:$Q,"&gt;=-360")</f>
        <v>0</v>
      </c>
      <c r="V37" s="23">
        <f>SUMIFS('Data Fertilizers'!$D:$D,'Data Fertilizers'!$P:$P,$B37,'Data Fertilizers'!$Q:$Q,"&lt;-360")</f>
        <v>0</v>
      </c>
      <c r="W37" s="19" t="e">
        <f>SUMIFS('Bad Debt Provision'!#REF!,'Bad Debt Provision'!#REF!,'Painel Fertilizers'!$B15)</f>
        <v>#REF!</v>
      </c>
      <c r="X37" s="5"/>
      <c r="Y37" s="20">
        <v>1207533.77</v>
      </c>
      <c r="Z37" s="20" t="s">
        <v>225</v>
      </c>
      <c r="AA37" s="21">
        <v>360</v>
      </c>
      <c r="AB37" s="5"/>
      <c r="AC37" s="19">
        <v>0</v>
      </c>
      <c r="AD37" s="20">
        <v>0</v>
      </c>
      <c r="AE37" s="22"/>
      <c r="AF37" s="22"/>
      <c r="AG37" s="5"/>
      <c r="AH37" s="28">
        <f t="shared" si="9"/>
        <v>0</v>
      </c>
      <c r="AI37" s="5"/>
      <c r="AJ37" s="26"/>
    </row>
    <row r="38" spans="2:36" x14ac:dyDescent="0.25">
      <c r="B38" s="17" t="s">
        <v>202</v>
      </c>
      <c r="C38" s="104" cm="1">
        <f t="array" ref="C38">IFERROR(INDEX('Limite de crédito'!$D:$D, MATCH(MAX(IF('Limite de crédito'!$C:$C=$B38, 'Limite de crédito'!$A:$A)), 'Limite de crédito'!$A:$A, 0)),"")</f>
        <v>45804</v>
      </c>
      <c r="D38" s="107" t="str" cm="1">
        <f t="array" ref="D38">IFERROR(INDEX('Limite de crédito'!$F:$F, MATCH(MAX(IF('Limite de crédito'!$C:$C=$B38, 'Limite de crédito'!$A:$A)), 'Limite de crédito'!$A:$A, 0)),0)</f>
        <v>Sim</v>
      </c>
      <c r="E38" s="18" t="e">
        <f t="shared" si="6"/>
        <v>#VALUE!</v>
      </c>
      <c r="F38" s="18">
        <f t="shared" si="7"/>
        <v>0</v>
      </c>
      <c r="G38" s="19">
        <f>SUMIFS('Data Fertilizers'!$D:$D,'Data Fertilizers'!$P:$P,$B38,'Data Fertilizers'!$Q:$Q,"&gt;0",'Data Fertilizers'!$Q:$Q,"&lt;=30")</f>
        <v>0</v>
      </c>
      <c r="H38" s="19">
        <f>SUMIFS('Data Fertilizers'!$D:$D,'Data Fertilizers'!$P:$P,$B38,'Data Fertilizers'!$Q:$Q,"&gt;30",'Data Fertilizers'!$Q:$Q,"&lt;=60")</f>
        <v>0</v>
      </c>
      <c r="I38" s="19">
        <f>SUMIFS('Data Fertilizers'!$D:$D,'Data Fertilizers'!$P:$P,$B38,'Data Fertilizers'!$Q:$Q,"&gt;60",'Data Fertilizers'!$Q:$Q,"&lt;=90")</f>
        <v>0</v>
      </c>
      <c r="J38" s="19">
        <f>SUMIFS('Data Fertilizers'!$D:$D,'Data Fertilizers'!$P:$P,$B38,'Data Fertilizers'!$Q:$Q,"&gt;90",'Data Fertilizers'!$Q:$Q,"&lt;=120")</f>
        <v>0</v>
      </c>
      <c r="K38" s="19">
        <f>SUMIFS('Data Fertilizers'!$D:$D,'Data Fertilizers'!$P:$P,$B38,'Data Fertilizers'!$Q:$Q,"&gt;120",'Data Fertilizers'!$Q:$Q,"&lt;=180")</f>
        <v>0</v>
      </c>
      <c r="L38" s="19">
        <f>SUMIFS('Data Fertilizers'!$D:$D,'Data Fertilizers'!$P:$P,$B38,'Data Fertilizers'!$Q:$Q,"&gt;180",'Data Fertilizers'!$Q:$Q,"&lt;=360")</f>
        <v>0</v>
      </c>
      <c r="M38" s="23">
        <f>SUMIFS('Data Fertilizers'!$D:$D,'Data Fertilizers'!$P:$P,$B38,'Data Fertilizers'!$Q:$Q,"&gt;360")</f>
        <v>0</v>
      </c>
      <c r="N38" s="19">
        <f>SUMIFS('Data Fertilizers'!$D:$D,'Data Fertilizers'!$P:$P,$B38,'Data Fertilizers'!$Q:$Q,"&gt;0")</f>
        <v>0</v>
      </c>
      <c r="O38" s="19">
        <f t="shared" si="8"/>
        <v>0</v>
      </c>
      <c r="P38" s="19">
        <f>SUMIFS('Data Fertilizers'!$D:$D,'Data Fertilizers'!$P:$P,$B38,'Data Fertilizers'!$Q:$Q,"&lt;=0",'Data Fertilizers'!$Q:$Q,"&gt;=-30")</f>
        <v>0</v>
      </c>
      <c r="Q38" s="19">
        <f>SUMIFS('Data Fertilizers'!$D:$D,'Data Fertilizers'!$P:$P,$B38,'Data Fertilizers'!$Q:$Q,"&lt;=-31",'Data Fertilizers'!$Q:$Q,"&gt;=-60")</f>
        <v>0</v>
      </c>
      <c r="R38" s="19">
        <f>SUMIFS('Data Fertilizers'!$D:$D,'Data Fertilizers'!$P:$P,$B38,'Data Fertilizers'!$Q:$Q,"&lt;=-61",'Data Fertilizers'!$Q:$Q,"&gt;=-90")</f>
        <v>0</v>
      </c>
      <c r="S38" s="19">
        <f>SUMIFS('Data Fertilizers'!$D:$D,'Data Fertilizers'!$P:$P,$B38,'Data Fertilizers'!$Q:$Q,"&lt;=-91",'Data Fertilizers'!$Q:$Q,"&gt;=-120")</f>
        <v>0</v>
      </c>
      <c r="T38" s="19">
        <f>SUMIFS('Data Fertilizers'!$D:$D,'Data Fertilizers'!$P:$P,$B38,'Data Fertilizers'!$Q:$Q,"&lt;=-121",'Data Fertilizers'!$Q:$Q,"&gt;=-180")</f>
        <v>0</v>
      </c>
      <c r="U38" s="19">
        <f>SUMIFS('Data Fertilizers'!$D:$D,'Data Fertilizers'!$P:$P,$B38,'Data Fertilizers'!$Q:$Q,"&lt;=-181",'Data Fertilizers'!$Q:$Q,"&gt;=-360")</f>
        <v>0</v>
      </c>
      <c r="V38" s="23">
        <f>SUMIFS('Data Fertilizers'!$D:$D,'Data Fertilizers'!$P:$P,$B38,'Data Fertilizers'!$Q:$Q,"&lt;-360")</f>
        <v>0</v>
      </c>
      <c r="W38" s="19" t="e">
        <f>SUMIFS('Bad Debt Provision'!#REF!,'Bad Debt Provision'!#REF!,'Painel Fertilizers'!$B17)</f>
        <v>#REF!</v>
      </c>
      <c r="X38" s="5"/>
      <c r="Y38" s="20">
        <v>0</v>
      </c>
      <c r="Z38" s="20">
        <v>0</v>
      </c>
      <c r="AA38" s="21">
        <v>0</v>
      </c>
      <c r="AB38" s="5"/>
      <c r="AC38" s="19">
        <v>0</v>
      </c>
      <c r="AD38" s="20">
        <v>0</v>
      </c>
      <c r="AE38" s="22"/>
      <c r="AF38" s="22"/>
      <c r="AG38" s="5"/>
      <c r="AH38" s="28">
        <f t="shared" si="9"/>
        <v>0</v>
      </c>
      <c r="AI38" s="5"/>
      <c r="AJ38" s="26"/>
    </row>
    <row r="39" spans="2:36" x14ac:dyDescent="0.25">
      <c r="B39" s="111" t="s">
        <v>204</v>
      </c>
      <c r="C39" s="104" t="str" cm="1">
        <f t="array" ref="C39">IFERROR(INDEX('Limite de crédito'!$D:$D, MATCH(MAX(IF('Limite de crédito'!$C:$C=$B39, 'Limite de crédito'!$A:$A)), 'Limite de crédito'!$A:$A, 0)),"")</f>
        <v/>
      </c>
      <c r="D39" s="107" cm="1">
        <f t="array" ref="D39">IFERROR(INDEX('Limite de crédito'!$F:$F, MATCH(MAX(IF('Limite de crédito'!$C:$C=$B39, 'Limite de crédito'!$A:$A)), 'Limite de crédito'!$A:$A, 0)),0)</f>
        <v>0</v>
      </c>
      <c r="E39" s="18">
        <f t="shared" si="6"/>
        <v>0</v>
      </c>
      <c r="F39" s="18">
        <f t="shared" si="7"/>
        <v>0</v>
      </c>
      <c r="G39" s="19">
        <f>SUMIFS('Data Fertilizers'!$D:$D,'Data Fertilizers'!$P:$P,$B39,'Data Fertilizers'!$Q:$Q,"&gt;0",'Data Fertilizers'!$Q:$Q,"&lt;=30")</f>
        <v>0</v>
      </c>
      <c r="H39" s="19">
        <f>SUMIFS('Data Fertilizers'!$D:$D,'Data Fertilizers'!$P:$P,$B39,'Data Fertilizers'!$Q:$Q,"&gt;30",'Data Fertilizers'!$Q:$Q,"&lt;=60")</f>
        <v>0</v>
      </c>
      <c r="I39" s="19">
        <f>SUMIFS('Data Fertilizers'!$D:$D,'Data Fertilizers'!$P:$P,$B39,'Data Fertilizers'!$Q:$Q,"&gt;60",'Data Fertilizers'!$Q:$Q,"&lt;=90")</f>
        <v>0</v>
      </c>
      <c r="J39" s="19">
        <f>SUMIFS('Data Fertilizers'!$D:$D,'Data Fertilizers'!$P:$P,$B39,'Data Fertilizers'!$Q:$Q,"&gt;90",'Data Fertilizers'!$Q:$Q,"&lt;=120")</f>
        <v>0</v>
      </c>
      <c r="K39" s="19">
        <f>SUMIFS('Data Fertilizers'!$D:$D,'Data Fertilizers'!$P:$P,$B39,'Data Fertilizers'!$Q:$Q,"&gt;120",'Data Fertilizers'!$Q:$Q,"&lt;=180")</f>
        <v>0</v>
      </c>
      <c r="L39" s="19">
        <f>SUMIFS('Data Fertilizers'!$D:$D,'Data Fertilizers'!$P:$P,$B39,'Data Fertilizers'!$Q:$Q,"&gt;180",'Data Fertilizers'!$Q:$Q,"&lt;=360")</f>
        <v>0</v>
      </c>
      <c r="M39" s="23">
        <f>SUMIFS('Data Fertilizers'!$D:$D,'Data Fertilizers'!$P:$P,$B39,'Data Fertilizers'!$Q:$Q,"&gt;360")</f>
        <v>0</v>
      </c>
      <c r="N39" s="19">
        <f>SUMIFS('Data Fertilizers'!$D:$D,'Data Fertilizers'!$P:$P,$B39,'Data Fertilizers'!$Q:$Q,"&gt;0")</f>
        <v>0</v>
      </c>
      <c r="O39" s="19">
        <f t="shared" si="8"/>
        <v>0</v>
      </c>
      <c r="P39" s="19">
        <f>SUMIFS('Data Fertilizers'!$D:$D,'Data Fertilizers'!$P:$P,$B39,'Data Fertilizers'!$Q:$Q,"&lt;=0",'Data Fertilizers'!$Q:$Q,"&gt;=-30")</f>
        <v>0</v>
      </c>
      <c r="Q39" s="19">
        <f>SUMIFS('Data Fertilizers'!$D:$D,'Data Fertilizers'!$P:$P,$B39,'Data Fertilizers'!$Q:$Q,"&lt;=-31",'Data Fertilizers'!$Q:$Q,"&gt;=-60")</f>
        <v>0</v>
      </c>
      <c r="R39" s="19">
        <f>SUMIFS('Data Fertilizers'!$D:$D,'Data Fertilizers'!$P:$P,$B39,'Data Fertilizers'!$Q:$Q,"&lt;=-61",'Data Fertilizers'!$Q:$Q,"&gt;=-90")</f>
        <v>0</v>
      </c>
      <c r="S39" s="19">
        <f>SUMIFS('Data Fertilizers'!$D:$D,'Data Fertilizers'!$P:$P,$B39,'Data Fertilizers'!$Q:$Q,"&lt;=-91",'Data Fertilizers'!$Q:$Q,"&gt;=-120")</f>
        <v>0</v>
      </c>
      <c r="T39" s="19">
        <f>SUMIFS('Data Fertilizers'!$D:$D,'Data Fertilizers'!$P:$P,$B39,'Data Fertilizers'!$Q:$Q,"&lt;=-121",'Data Fertilizers'!$Q:$Q,"&gt;=-180")</f>
        <v>0</v>
      </c>
      <c r="U39" s="19">
        <f>SUMIFS('Data Fertilizers'!$D:$D,'Data Fertilizers'!$P:$P,$B39,'Data Fertilizers'!$Q:$Q,"&lt;=-181",'Data Fertilizers'!$Q:$Q,"&gt;=-360")</f>
        <v>0</v>
      </c>
      <c r="V39" s="23">
        <f>SUMIFS('Data Fertilizers'!$D:$D,'Data Fertilizers'!$P:$P,$B39,'Data Fertilizers'!$Q:$Q,"&lt;-360")</f>
        <v>0</v>
      </c>
      <c r="W39" s="19" t="e">
        <f>SUMIFS('Bad Debt Provision'!#REF!,'Bad Debt Provision'!#REF!,'Painel Fertilizers'!$B18)</f>
        <v>#REF!</v>
      </c>
      <c r="X39" s="5"/>
      <c r="Y39" s="20">
        <v>0</v>
      </c>
      <c r="Z39" s="20">
        <v>0</v>
      </c>
      <c r="AA39" s="21">
        <v>0</v>
      </c>
      <c r="AB39" s="5"/>
      <c r="AC39" s="19">
        <v>0</v>
      </c>
      <c r="AD39" s="20">
        <v>0</v>
      </c>
      <c r="AE39" s="22"/>
      <c r="AF39" s="22"/>
      <c r="AG39" s="5"/>
      <c r="AH39" s="28">
        <f t="shared" si="9"/>
        <v>0</v>
      </c>
      <c r="AI39" s="5"/>
      <c r="AJ39" s="26"/>
    </row>
    <row r="40" spans="2:36" x14ac:dyDescent="0.25">
      <c r="B40" s="111" t="s">
        <v>208</v>
      </c>
      <c r="C40" s="104" t="str" cm="1">
        <f t="array" ref="C40">IFERROR(INDEX('Limite de crédito'!$D:$D, MATCH(MAX(IF('Limite de crédito'!$C:$C=$B40, 'Limite de crédito'!$A:$A)), 'Limite de crédito'!$A:$A, 0)),"")</f>
        <v/>
      </c>
      <c r="D40" s="107" cm="1">
        <f t="array" ref="D40">IFERROR(INDEX('Limite de crédito'!$F:$F, MATCH(MAX(IF('Limite de crédito'!$C:$C=$B40, 'Limite de crédito'!$A:$A)), 'Limite de crédito'!$A:$A, 0)),0)</f>
        <v>0</v>
      </c>
      <c r="E40" s="18">
        <f t="shared" si="6"/>
        <v>0</v>
      </c>
      <c r="F40" s="18">
        <f t="shared" si="7"/>
        <v>0</v>
      </c>
      <c r="G40" s="19">
        <f>SUMIFS('Data Fertilizers'!$D:$D,'Data Fertilizers'!$P:$P,$B40,'Data Fertilizers'!$Q:$Q,"&gt;0",'Data Fertilizers'!$Q:$Q,"&lt;=30")</f>
        <v>0</v>
      </c>
      <c r="H40" s="19">
        <f>SUMIFS('Data Fertilizers'!$D:$D,'Data Fertilizers'!$P:$P,$B40,'Data Fertilizers'!$Q:$Q,"&gt;30",'Data Fertilizers'!$Q:$Q,"&lt;=60")</f>
        <v>0</v>
      </c>
      <c r="I40" s="19">
        <f>SUMIFS('Data Fertilizers'!$D:$D,'Data Fertilizers'!$P:$P,$B40,'Data Fertilizers'!$Q:$Q,"&gt;60",'Data Fertilizers'!$Q:$Q,"&lt;=90")</f>
        <v>0</v>
      </c>
      <c r="J40" s="19">
        <f>SUMIFS('Data Fertilizers'!$D:$D,'Data Fertilizers'!$P:$P,$B40,'Data Fertilizers'!$Q:$Q,"&gt;90",'Data Fertilizers'!$Q:$Q,"&lt;=120")</f>
        <v>0</v>
      </c>
      <c r="K40" s="19">
        <f>SUMIFS('Data Fertilizers'!$D:$D,'Data Fertilizers'!$P:$P,$B40,'Data Fertilizers'!$Q:$Q,"&gt;120",'Data Fertilizers'!$Q:$Q,"&lt;=180")</f>
        <v>0</v>
      </c>
      <c r="L40" s="19">
        <f>SUMIFS('Data Fertilizers'!$D:$D,'Data Fertilizers'!$P:$P,$B40,'Data Fertilizers'!$Q:$Q,"&gt;180",'Data Fertilizers'!$Q:$Q,"&lt;=360")</f>
        <v>0</v>
      </c>
      <c r="M40" s="23">
        <f>SUMIFS('Data Fertilizers'!$D:$D,'Data Fertilizers'!$P:$P,$B40,'Data Fertilizers'!$Q:$Q,"&gt;360")</f>
        <v>0</v>
      </c>
      <c r="N40" s="19">
        <f>SUMIFS('Data Fertilizers'!$D:$D,'Data Fertilizers'!$P:$P,$B40,'Data Fertilizers'!$Q:$Q,"&gt;0")</f>
        <v>0</v>
      </c>
      <c r="O40" s="19">
        <f t="shared" si="8"/>
        <v>0</v>
      </c>
      <c r="P40" s="19">
        <f>SUMIFS('Data Fertilizers'!$D:$D,'Data Fertilizers'!$P:$P,$B40,'Data Fertilizers'!$Q:$Q,"&lt;=0",'Data Fertilizers'!$Q:$Q,"&gt;=-30")</f>
        <v>0</v>
      </c>
      <c r="Q40" s="19">
        <f>SUMIFS('Data Fertilizers'!$D:$D,'Data Fertilizers'!$P:$P,$B40,'Data Fertilizers'!$Q:$Q,"&lt;=-31",'Data Fertilizers'!$Q:$Q,"&gt;=-60")</f>
        <v>0</v>
      </c>
      <c r="R40" s="19">
        <f>SUMIFS('Data Fertilizers'!$D:$D,'Data Fertilizers'!$P:$P,$B40,'Data Fertilizers'!$Q:$Q,"&lt;=-61",'Data Fertilizers'!$Q:$Q,"&gt;=-90")</f>
        <v>0</v>
      </c>
      <c r="S40" s="19">
        <f>SUMIFS('Data Fertilizers'!$D:$D,'Data Fertilizers'!$P:$P,$B40,'Data Fertilizers'!$Q:$Q,"&lt;=-91",'Data Fertilizers'!$Q:$Q,"&gt;=-120")</f>
        <v>0</v>
      </c>
      <c r="T40" s="19">
        <f>SUMIFS('Data Fertilizers'!$D:$D,'Data Fertilizers'!$P:$P,$B40,'Data Fertilizers'!$Q:$Q,"&lt;=-121",'Data Fertilizers'!$Q:$Q,"&gt;=-180")</f>
        <v>0</v>
      </c>
      <c r="U40" s="19">
        <f>SUMIFS('Data Fertilizers'!$D:$D,'Data Fertilizers'!$P:$P,$B40,'Data Fertilizers'!$Q:$Q,"&lt;=-181",'Data Fertilizers'!$Q:$Q,"&gt;=-360")</f>
        <v>0</v>
      </c>
      <c r="V40" s="23">
        <f>SUMIFS('Data Fertilizers'!$D:$D,'Data Fertilizers'!$P:$P,$B40,'Data Fertilizers'!$Q:$Q,"&lt;-360")</f>
        <v>0</v>
      </c>
      <c r="W40" s="19" t="e">
        <f>SUMIFS('Bad Debt Provision'!#REF!,'Bad Debt Provision'!#REF!,'Painel Fertilizers'!$B21)</f>
        <v>#REF!</v>
      </c>
      <c r="X40" s="5"/>
      <c r="Y40" s="20">
        <v>0</v>
      </c>
      <c r="Z40" s="20">
        <v>0</v>
      </c>
      <c r="AA40" s="21">
        <v>0</v>
      </c>
      <c r="AB40" s="5"/>
      <c r="AC40" s="19">
        <v>0</v>
      </c>
      <c r="AD40" s="20">
        <v>0</v>
      </c>
      <c r="AE40" s="22"/>
      <c r="AF40" s="22"/>
      <c r="AG40" s="5"/>
      <c r="AH40" s="28">
        <f t="shared" si="9"/>
        <v>0</v>
      </c>
      <c r="AI40" s="5"/>
      <c r="AJ40" s="26"/>
    </row>
    <row r="41" spans="2:36" x14ac:dyDescent="0.25">
      <c r="B41" s="111" t="s">
        <v>213</v>
      </c>
      <c r="C41" s="104" t="str" cm="1">
        <f t="array" ref="C41">IFERROR(INDEX('Limite de crédito'!$D:$D, MATCH(MAX(IF('Limite de crédito'!$C:$C=$B41, 'Limite de crédito'!$A:$A)), 'Limite de crédito'!$A:$A, 0)),"")</f>
        <v/>
      </c>
      <c r="D41" s="107" cm="1">
        <f t="array" ref="D41">IFERROR(INDEX('Limite de crédito'!$F:$F, MATCH(MAX(IF('Limite de crédito'!$C:$C=$B41, 'Limite de crédito'!$A:$A)), 'Limite de crédito'!$A:$A, 0)),0)</f>
        <v>0</v>
      </c>
      <c r="E41" s="18">
        <f t="shared" si="6"/>
        <v>0</v>
      </c>
      <c r="F41" s="18">
        <f t="shared" si="7"/>
        <v>0</v>
      </c>
      <c r="G41" s="19">
        <f>SUMIFS('Data Fertilizers'!$D:$D,'Data Fertilizers'!$P:$P,$B41,'Data Fertilizers'!$Q:$Q,"&gt;0",'Data Fertilizers'!$Q:$Q,"&lt;=30")</f>
        <v>0</v>
      </c>
      <c r="H41" s="19">
        <f>SUMIFS('Data Fertilizers'!$D:$D,'Data Fertilizers'!$P:$P,$B41,'Data Fertilizers'!$Q:$Q,"&gt;30",'Data Fertilizers'!$Q:$Q,"&lt;=60")</f>
        <v>0</v>
      </c>
      <c r="I41" s="19">
        <f>SUMIFS('Data Fertilizers'!$D:$D,'Data Fertilizers'!$P:$P,$B41,'Data Fertilizers'!$Q:$Q,"&gt;60",'Data Fertilizers'!$Q:$Q,"&lt;=90")</f>
        <v>0</v>
      </c>
      <c r="J41" s="19">
        <f>SUMIFS('Data Fertilizers'!$D:$D,'Data Fertilizers'!$P:$P,$B41,'Data Fertilizers'!$Q:$Q,"&gt;90",'Data Fertilizers'!$Q:$Q,"&lt;=120")</f>
        <v>0</v>
      </c>
      <c r="K41" s="19">
        <f>SUMIFS('Data Fertilizers'!$D:$D,'Data Fertilizers'!$P:$P,$B41,'Data Fertilizers'!$Q:$Q,"&gt;120",'Data Fertilizers'!$Q:$Q,"&lt;=180")</f>
        <v>0</v>
      </c>
      <c r="L41" s="19">
        <f>SUMIFS('Data Fertilizers'!$D:$D,'Data Fertilizers'!$P:$P,$B41,'Data Fertilizers'!$Q:$Q,"&gt;180",'Data Fertilizers'!$Q:$Q,"&lt;=360")</f>
        <v>0</v>
      </c>
      <c r="M41" s="23">
        <f>SUMIFS('Data Fertilizers'!$D:$D,'Data Fertilizers'!$P:$P,$B41,'Data Fertilizers'!$Q:$Q,"&gt;360")</f>
        <v>0</v>
      </c>
      <c r="N41" s="19">
        <f>SUMIFS('Data Fertilizers'!$D:$D,'Data Fertilizers'!$P:$P,$B41,'Data Fertilizers'!$Q:$Q,"&gt;0")</f>
        <v>0</v>
      </c>
      <c r="O41" s="19">
        <f t="shared" si="8"/>
        <v>0</v>
      </c>
      <c r="P41" s="19">
        <f>SUMIFS('Data Fertilizers'!$D:$D,'Data Fertilizers'!$P:$P,$B41,'Data Fertilizers'!$Q:$Q,"&lt;=0",'Data Fertilizers'!$Q:$Q,"&gt;=-30")</f>
        <v>0</v>
      </c>
      <c r="Q41" s="19">
        <f>SUMIFS('Data Fertilizers'!$D:$D,'Data Fertilizers'!$P:$P,$B41,'Data Fertilizers'!$Q:$Q,"&lt;=-31",'Data Fertilizers'!$Q:$Q,"&gt;=-60")</f>
        <v>0</v>
      </c>
      <c r="R41" s="19">
        <f>SUMIFS('Data Fertilizers'!$D:$D,'Data Fertilizers'!$P:$P,$B41,'Data Fertilizers'!$Q:$Q,"&lt;=-61",'Data Fertilizers'!$Q:$Q,"&gt;=-90")</f>
        <v>0</v>
      </c>
      <c r="S41" s="19">
        <f>SUMIFS('Data Fertilizers'!$D:$D,'Data Fertilizers'!$P:$P,$B41,'Data Fertilizers'!$Q:$Q,"&lt;=-91",'Data Fertilizers'!$Q:$Q,"&gt;=-120")</f>
        <v>0</v>
      </c>
      <c r="T41" s="19">
        <f>SUMIFS('Data Fertilizers'!$D:$D,'Data Fertilizers'!$P:$P,$B41,'Data Fertilizers'!$Q:$Q,"&lt;=-121",'Data Fertilizers'!$Q:$Q,"&gt;=-180")</f>
        <v>0</v>
      </c>
      <c r="U41" s="19">
        <f>SUMIFS('Data Fertilizers'!$D:$D,'Data Fertilizers'!$P:$P,$B41,'Data Fertilizers'!$Q:$Q,"&lt;=-181",'Data Fertilizers'!$Q:$Q,"&gt;=-360")</f>
        <v>0</v>
      </c>
      <c r="V41" s="23">
        <f>SUMIFS('Data Fertilizers'!$D:$D,'Data Fertilizers'!$P:$P,$B41,'Data Fertilizers'!$Q:$Q,"&lt;-360")</f>
        <v>0</v>
      </c>
      <c r="W41" s="19" t="e">
        <f>SUMIFS('Bad Debt Provision'!#REF!,'Bad Debt Provision'!#REF!,'Painel Fertilizers'!$B25)</f>
        <v>#REF!</v>
      </c>
      <c r="X41" s="5"/>
      <c r="Y41" s="20">
        <v>0</v>
      </c>
      <c r="Z41" s="20">
        <v>0</v>
      </c>
      <c r="AA41" s="21">
        <v>0</v>
      </c>
      <c r="AB41" s="5"/>
      <c r="AC41" s="19">
        <v>0</v>
      </c>
      <c r="AD41" s="20">
        <v>0</v>
      </c>
      <c r="AE41" s="22"/>
      <c r="AF41" s="22"/>
      <c r="AG41" s="5"/>
      <c r="AH41" s="28">
        <f t="shared" si="9"/>
        <v>0</v>
      </c>
      <c r="AI41" s="5"/>
      <c r="AJ41" s="26"/>
    </row>
    <row r="42" spans="2:36" x14ac:dyDescent="0.25">
      <c r="B42" s="111" t="s">
        <v>267</v>
      </c>
      <c r="C42" s="104" t="str" cm="1">
        <f t="array" ref="C42">IFERROR(INDEX('Limite de crédito'!$D:$D, MATCH(MAX(IF('Limite de crédito'!$C:$C=$B42, 'Limite de crédito'!$A:$A)), 'Limite de crédito'!$A:$A, 0)),"")</f>
        <v/>
      </c>
      <c r="D42" s="107" cm="1">
        <f t="array" ref="D42">IFERROR(INDEX('Limite de crédito'!$F:$F, MATCH(MAX(IF('Limite de crédito'!$C:$C=$B42, 'Limite de crédito'!$A:$A)), 'Limite de crédito'!$A:$A, 0)),0)</f>
        <v>0</v>
      </c>
      <c r="E42" s="18">
        <f t="shared" si="6"/>
        <v>0</v>
      </c>
      <c r="F42" s="18">
        <f t="shared" si="7"/>
        <v>0</v>
      </c>
      <c r="G42" s="19">
        <f>SUMIFS('Data Fertilizers'!$D:$D,'Data Fertilizers'!$P:$P,$B42,'Data Fertilizers'!$Q:$Q,"&gt;0",'Data Fertilizers'!$Q:$Q,"&lt;=30")</f>
        <v>0</v>
      </c>
      <c r="H42" s="19">
        <f>SUMIFS('Data Fertilizers'!$D:$D,'Data Fertilizers'!$P:$P,$B42,'Data Fertilizers'!$Q:$Q,"&gt;30",'Data Fertilizers'!$Q:$Q,"&lt;=60")</f>
        <v>0</v>
      </c>
      <c r="I42" s="19">
        <f>SUMIFS('Data Fertilizers'!$D:$D,'Data Fertilizers'!$P:$P,$B42,'Data Fertilizers'!$Q:$Q,"&gt;60",'Data Fertilizers'!$Q:$Q,"&lt;=90")</f>
        <v>0</v>
      </c>
      <c r="J42" s="19">
        <f>SUMIFS('Data Fertilizers'!$D:$D,'Data Fertilizers'!$P:$P,$B42,'Data Fertilizers'!$Q:$Q,"&gt;90",'Data Fertilizers'!$Q:$Q,"&lt;=120")</f>
        <v>0</v>
      </c>
      <c r="K42" s="19">
        <f>SUMIFS('Data Fertilizers'!$D:$D,'Data Fertilizers'!$P:$P,$B42,'Data Fertilizers'!$Q:$Q,"&gt;120",'Data Fertilizers'!$Q:$Q,"&lt;=180")</f>
        <v>0</v>
      </c>
      <c r="L42" s="19">
        <f>SUMIFS('Data Fertilizers'!$D:$D,'Data Fertilizers'!$P:$P,$B42,'Data Fertilizers'!$Q:$Q,"&gt;180",'Data Fertilizers'!$Q:$Q,"&lt;=360")</f>
        <v>0</v>
      </c>
      <c r="M42" s="23">
        <f>SUMIFS('Data Fertilizers'!$D:$D,'Data Fertilizers'!$P:$P,$B42,'Data Fertilizers'!$Q:$Q,"&gt;360")</f>
        <v>0</v>
      </c>
      <c r="N42" s="19">
        <f>SUMIFS('Data Fertilizers'!$D:$D,'Data Fertilizers'!$P:$P,$B42,'Data Fertilizers'!$Q:$Q,"&gt;0")</f>
        <v>0</v>
      </c>
      <c r="O42" s="19">
        <f t="shared" si="8"/>
        <v>0</v>
      </c>
      <c r="P42" s="19">
        <f>SUMIFS('Data Fertilizers'!$D:$D,'Data Fertilizers'!$P:$P,$B42,'Data Fertilizers'!$Q:$Q,"&lt;=0",'Data Fertilizers'!$Q:$Q,"&gt;=-30")</f>
        <v>0</v>
      </c>
      <c r="Q42" s="19">
        <f>SUMIFS('Data Fertilizers'!$D:$D,'Data Fertilizers'!$P:$P,$B42,'Data Fertilizers'!$Q:$Q,"&lt;=-31",'Data Fertilizers'!$Q:$Q,"&gt;=-60")</f>
        <v>0</v>
      </c>
      <c r="R42" s="19">
        <f>SUMIFS('Data Fertilizers'!$D:$D,'Data Fertilizers'!$P:$P,$B42,'Data Fertilizers'!$Q:$Q,"&lt;=-61",'Data Fertilizers'!$Q:$Q,"&gt;=-90")</f>
        <v>0</v>
      </c>
      <c r="S42" s="19">
        <f>SUMIFS('Data Fertilizers'!$D:$D,'Data Fertilizers'!$P:$P,$B42,'Data Fertilizers'!$Q:$Q,"&lt;=-91",'Data Fertilizers'!$Q:$Q,"&gt;=-120")</f>
        <v>0</v>
      </c>
      <c r="T42" s="19">
        <f>SUMIFS('Data Fertilizers'!$D:$D,'Data Fertilizers'!$P:$P,$B42,'Data Fertilizers'!$Q:$Q,"&lt;=-121",'Data Fertilizers'!$Q:$Q,"&gt;=-180")</f>
        <v>0</v>
      </c>
      <c r="U42" s="19">
        <f>SUMIFS('Data Fertilizers'!$D:$D,'Data Fertilizers'!$P:$P,$B42,'Data Fertilizers'!$Q:$Q,"&lt;=-181",'Data Fertilizers'!$Q:$Q,"&gt;=-360")</f>
        <v>0</v>
      </c>
      <c r="V42" s="23">
        <f>SUMIFS('Data Fertilizers'!$D:$D,'Data Fertilizers'!$P:$P,$B42,'Data Fertilizers'!$Q:$Q,"&lt;-360")</f>
        <v>0</v>
      </c>
      <c r="W42" s="19" t="e">
        <f>SUMIFS('Bad Debt Provision'!#REF!,'Bad Debt Provision'!#REF!,'Painel Fertilizers'!$B28)</f>
        <v>#REF!</v>
      </c>
      <c r="X42" s="5"/>
      <c r="Y42" s="20"/>
      <c r="Z42" s="20"/>
      <c r="AA42" s="21"/>
      <c r="AB42" s="5"/>
      <c r="AC42" s="19"/>
      <c r="AD42" s="20"/>
      <c r="AE42" s="22"/>
      <c r="AF42" s="22"/>
      <c r="AG42" s="5"/>
      <c r="AH42" s="28">
        <f t="shared" si="9"/>
        <v>0</v>
      </c>
      <c r="AJ42" s="26"/>
    </row>
    <row r="43" spans="2:36" x14ac:dyDescent="0.25">
      <c r="B43" s="111" t="s">
        <v>268</v>
      </c>
      <c r="C43" s="104" t="str" cm="1">
        <f t="array" ref="C43">IFERROR(INDEX('Limite de crédito'!$D:$D, MATCH(MAX(IF('Limite de crédito'!$C:$C=$B43, 'Limite de crédito'!$A:$A)), 'Limite de crédito'!$A:$A, 0)),"")</f>
        <v/>
      </c>
      <c r="D43" s="107" cm="1">
        <f t="array" ref="D43">IFERROR(INDEX('Limite de crédito'!$F:$F, MATCH(MAX(IF('Limite de crédito'!$C:$C=$B43, 'Limite de crédito'!$A:$A)), 'Limite de crédito'!$A:$A, 0)),0)</f>
        <v>0</v>
      </c>
      <c r="E43" s="18">
        <f t="shared" si="6"/>
        <v>0</v>
      </c>
      <c r="F43" s="18">
        <f t="shared" si="7"/>
        <v>0</v>
      </c>
      <c r="G43" s="19">
        <f>SUMIFS('Data Fertilizers'!$D:$D,'Data Fertilizers'!$P:$P,$B43,'Data Fertilizers'!$Q:$Q,"&gt;0",'Data Fertilizers'!$Q:$Q,"&lt;=30")</f>
        <v>0</v>
      </c>
      <c r="H43" s="19">
        <f>SUMIFS('Data Fertilizers'!$D:$D,'Data Fertilizers'!$P:$P,$B43,'Data Fertilizers'!$Q:$Q,"&gt;30",'Data Fertilizers'!$Q:$Q,"&lt;=60")</f>
        <v>0</v>
      </c>
      <c r="I43" s="19">
        <f>SUMIFS('Data Fertilizers'!$D:$D,'Data Fertilizers'!$P:$P,$B43,'Data Fertilizers'!$Q:$Q,"&gt;60",'Data Fertilizers'!$Q:$Q,"&lt;=90")</f>
        <v>0</v>
      </c>
      <c r="J43" s="19">
        <f>SUMIFS('Data Fertilizers'!$D:$D,'Data Fertilizers'!$P:$P,$B43,'Data Fertilizers'!$Q:$Q,"&gt;90",'Data Fertilizers'!$Q:$Q,"&lt;=120")</f>
        <v>0</v>
      </c>
      <c r="K43" s="19">
        <f>SUMIFS('Data Fertilizers'!$D:$D,'Data Fertilizers'!$P:$P,$B43,'Data Fertilizers'!$Q:$Q,"&gt;120",'Data Fertilizers'!$Q:$Q,"&lt;=180")</f>
        <v>0</v>
      </c>
      <c r="L43" s="19">
        <f>SUMIFS('Data Fertilizers'!$D:$D,'Data Fertilizers'!$P:$P,$B43,'Data Fertilizers'!$Q:$Q,"&gt;180",'Data Fertilizers'!$Q:$Q,"&lt;=360")</f>
        <v>0</v>
      </c>
      <c r="M43" s="23">
        <f>SUMIFS('Data Fertilizers'!$D:$D,'Data Fertilizers'!$P:$P,$B43,'Data Fertilizers'!$Q:$Q,"&gt;360")</f>
        <v>0</v>
      </c>
      <c r="N43" s="19">
        <f>SUMIFS('Data Fertilizers'!$D:$D,'Data Fertilizers'!$P:$P,$B43,'Data Fertilizers'!$Q:$Q,"&gt;0")</f>
        <v>0</v>
      </c>
      <c r="O43" s="19">
        <f t="shared" si="8"/>
        <v>0</v>
      </c>
      <c r="P43" s="19">
        <f>SUMIFS('Data Fertilizers'!$D:$D,'Data Fertilizers'!$P:$P,$B43,'Data Fertilizers'!$Q:$Q,"&lt;=0",'Data Fertilizers'!$Q:$Q,"&gt;=-30")</f>
        <v>0</v>
      </c>
      <c r="Q43" s="19">
        <f>SUMIFS('Data Fertilizers'!$D:$D,'Data Fertilizers'!$P:$P,$B43,'Data Fertilizers'!$Q:$Q,"&lt;=-31",'Data Fertilizers'!$Q:$Q,"&gt;=-60")</f>
        <v>0</v>
      </c>
      <c r="R43" s="19">
        <f>SUMIFS('Data Fertilizers'!$D:$D,'Data Fertilizers'!$P:$P,$B43,'Data Fertilizers'!$Q:$Q,"&lt;=-61",'Data Fertilizers'!$Q:$Q,"&gt;=-90")</f>
        <v>0</v>
      </c>
      <c r="S43" s="19">
        <f>SUMIFS('Data Fertilizers'!$D:$D,'Data Fertilizers'!$P:$P,$B43,'Data Fertilizers'!$Q:$Q,"&lt;=-91",'Data Fertilizers'!$Q:$Q,"&gt;=-120")</f>
        <v>0</v>
      </c>
      <c r="T43" s="19">
        <f>SUMIFS('Data Fertilizers'!$D:$D,'Data Fertilizers'!$P:$P,$B43,'Data Fertilizers'!$Q:$Q,"&lt;=-121",'Data Fertilizers'!$Q:$Q,"&gt;=-180")</f>
        <v>0</v>
      </c>
      <c r="U43" s="19">
        <f>SUMIFS('Data Fertilizers'!$D:$D,'Data Fertilizers'!$P:$P,$B43,'Data Fertilizers'!$Q:$Q,"&lt;=-181",'Data Fertilizers'!$Q:$Q,"&gt;=-360")</f>
        <v>0</v>
      </c>
      <c r="V43" s="23">
        <f>SUMIFS('Data Fertilizers'!$D:$D,'Data Fertilizers'!$P:$P,$B43,'Data Fertilizers'!$Q:$Q,"&lt;-360")</f>
        <v>0</v>
      </c>
      <c r="W43" s="19" t="e">
        <f>SUMIFS('Bad Debt Provision'!#REF!,'Bad Debt Provision'!#REF!,'Painel Fertilizers'!$B29)</f>
        <v>#REF!</v>
      </c>
      <c r="X43" s="5"/>
      <c r="Y43" s="20"/>
      <c r="Z43" s="20"/>
      <c r="AA43" s="21"/>
      <c r="AB43" s="5"/>
      <c r="AC43" s="19"/>
      <c r="AD43" s="20"/>
      <c r="AE43" s="22"/>
      <c r="AF43" s="22"/>
      <c r="AG43" s="5"/>
      <c r="AH43" s="28">
        <f t="shared" si="9"/>
        <v>0</v>
      </c>
      <c r="AJ43" s="26"/>
    </row>
    <row r="44" spans="2:36" x14ac:dyDescent="0.25">
      <c r="B44" s="47" t="s">
        <v>296</v>
      </c>
      <c r="C44" s="97" t="str" cm="1">
        <f t="array" ref="C44">IFERROR(INDEX('Limite de crédito'!$D:$D, MATCH(MAX(IF('Limite de crédito'!$C:$C=$B44, 'Limite de crédito'!$A:$A)), 'Limite de crédito'!$A:$A, 0)),"")</f>
        <v/>
      </c>
      <c r="D44" s="107" cm="1">
        <f t="array" ref="D44">IFERROR(INDEX('Limite de crédito'!$F:$F, MATCH(MAX(IF('Limite de crédito'!$C:$C=$B44, 'Limite de crédito'!$A:$A)), 'Limite de crédito'!$A:$A, 0)),0)</f>
        <v>0</v>
      </c>
      <c r="E44" s="18">
        <f t="shared" si="6"/>
        <v>0</v>
      </c>
      <c r="F44" s="18">
        <f t="shared" si="7"/>
        <v>0</v>
      </c>
      <c r="G44" s="19">
        <f>SUMIFS('Data Fertilizers'!$D:$D,'Data Fertilizers'!$P:$P,$B44,'Data Fertilizers'!$Q:$Q,"&gt;0",'Data Fertilizers'!$Q:$Q,"&lt;=30")</f>
        <v>0</v>
      </c>
      <c r="H44" s="19">
        <f>SUMIFS('Data Fertilizers'!$D:$D,'Data Fertilizers'!$P:$P,$B44,'Data Fertilizers'!$Q:$Q,"&gt;30",'Data Fertilizers'!$Q:$Q,"&lt;=60")</f>
        <v>0</v>
      </c>
      <c r="I44" s="19">
        <f>SUMIFS('Data Fertilizers'!$D:$D,'Data Fertilizers'!$P:$P,$B44,'Data Fertilizers'!$Q:$Q,"&gt;60",'Data Fertilizers'!$Q:$Q,"&lt;=90")</f>
        <v>0</v>
      </c>
      <c r="J44" s="19">
        <f>SUMIFS('Data Fertilizers'!$D:$D,'Data Fertilizers'!$P:$P,$B44,'Data Fertilizers'!$Q:$Q,"&gt;90",'Data Fertilizers'!$Q:$Q,"&lt;=120")</f>
        <v>0</v>
      </c>
      <c r="K44" s="19">
        <f>SUMIFS('Data Fertilizers'!$D:$D,'Data Fertilizers'!$P:$P,$B44,'Data Fertilizers'!$Q:$Q,"&gt;120",'Data Fertilizers'!$Q:$Q,"&lt;=180")</f>
        <v>0</v>
      </c>
      <c r="L44" s="19">
        <f>SUMIFS('Data Fertilizers'!$D:$D,'Data Fertilizers'!$P:$P,$B44,'Data Fertilizers'!$Q:$Q,"&gt;180",'Data Fertilizers'!$Q:$Q,"&lt;=360")</f>
        <v>0</v>
      </c>
      <c r="M44" s="23">
        <f>SUMIFS('Data Fertilizers'!$D:$D,'Data Fertilizers'!$P:$P,$B44,'Data Fertilizers'!$Q:$Q,"&gt;360")</f>
        <v>0</v>
      </c>
      <c r="N44" s="19">
        <f>SUMIFS('Data Fertilizers'!$D:$D,'Data Fertilizers'!$P:$P,$B44,'Data Fertilizers'!$Q:$Q,"&gt;0")</f>
        <v>0</v>
      </c>
      <c r="O44" s="19">
        <f t="shared" si="8"/>
        <v>0</v>
      </c>
      <c r="P44" s="19">
        <f>SUMIFS('Data Fertilizers'!$D:$D,'Data Fertilizers'!$P:$P,$B44,'Data Fertilizers'!$Q:$Q,"&lt;=0",'Data Fertilizers'!$Q:$Q,"&gt;=-30")</f>
        <v>0</v>
      </c>
      <c r="Q44" s="19">
        <f>SUMIFS('Data Fertilizers'!$D:$D,'Data Fertilizers'!$P:$P,$B44,'Data Fertilizers'!$Q:$Q,"&lt;=-31",'Data Fertilizers'!$Q:$Q,"&gt;=-60")</f>
        <v>0</v>
      </c>
      <c r="R44" s="19">
        <f>SUMIFS('Data Fertilizers'!$D:$D,'Data Fertilizers'!$P:$P,$B44,'Data Fertilizers'!$Q:$Q,"&lt;=-61",'Data Fertilizers'!$Q:$Q,"&gt;=-90")</f>
        <v>0</v>
      </c>
      <c r="S44" s="19">
        <f>SUMIFS('Data Fertilizers'!$D:$D,'Data Fertilizers'!$P:$P,$B44,'Data Fertilizers'!$Q:$Q,"&lt;=-91",'Data Fertilizers'!$Q:$Q,"&gt;=-120")</f>
        <v>0</v>
      </c>
      <c r="T44" s="19">
        <f>SUMIFS('Data Fertilizers'!$D:$D,'Data Fertilizers'!$P:$P,$B44,'Data Fertilizers'!$Q:$Q,"&lt;=-121",'Data Fertilizers'!$Q:$Q,"&gt;=-180")</f>
        <v>0</v>
      </c>
      <c r="U44" s="19">
        <f>SUMIFS('Data Fertilizers'!$D:$D,'Data Fertilizers'!$P:$P,$B44,'Data Fertilizers'!$Q:$Q,"&lt;=-181",'Data Fertilizers'!$Q:$Q,"&gt;=-360")</f>
        <v>0</v>
      </c>
      <c r="V44" s="23">
        <f>SUMIFS('Data Fertilizers'!$D:$D,'Data Fertilizers'!$P:$P,$B44,'Data Fertilizers'!$Q:$Q,"&lt;-360")</f>
        <v>0</v>
      </c>
      <c r="W44" s="19" t="e">
        <f>SUMIFS('Bad Debt Provision'!#REF!,'Bad Debt Provision'!#REF!,'Painel Fertilizers'!$B31)</f>
        <v>#REF!</v>
      </c>
      <c r="X44" s="5"/>
      <c r="Y44" s="20"/>
      <c r="Z44" s="20"/>
      <c r="AA44" s="21"/>
      <c r="AB44" s="5"/>
      <c r="AC44" s="19"/>
      <c r="AD44" s="20"/>
      <c r="AE44" s="22"/>
      <c r="AF44" s="22"/>
      <c r="AG44" s="5"/>
      <c r="AH44" s="28">
        <f t="shared" si="9"/>
        <v>0</v>
      </c>
      <c r="AJ44" s="26"/>
    </row>
    <row r="45" spans="2:36" x14ac:dyDescent="0.25">
      <c r="B45" s="47" t="s">
        <v>298</v>
      </c>
      <c r="C45" s="97" cm="1">
        <f t="array" ref="C45">IFERROR(INDEX('Limite de crédito'!$D:$D, MATCH(MAX(IF('Limite de crédito'!$C:$C=$B45, 'Limite de crédito'!$A:$A)), 'Limite de crédito'!$A:$A, 0)),"")</f>
        <v>45981</v>
      </c>
      <c r="D45" s="107" t="str" cm="1">
        <f t="array" ref="D45">IFERROR(INDEX('Limite de crédito'!$F:$F, MATCH(MAX(IF('Limite de crédito'!$C:$C=$B45, 'Limite de crédito'!$A:$A)), 'Limite de crédito'!$A:$A, 0)),0)</f>
        <v>Sim</v>
      </c>
      <c r="E45" s="18" t="e">
        <f t="shared" si="6"/>
        <v>#VALUE!</v>
      </c>
      <c r="F45" s="18">
        <f t="shared" si="7"/>
        <v>0</v>
      </c>
      <c r="G45" s="19">
        <f>SUMIFS('Data Fertilizers'!$D:$D,'Data Fertilizers'!$P:$P,$B45,'Data Fertilizers'!$Q:$Q,"&gt;0",'Data Fertilizers'!$Q:$Q,"&lt;=30")</f>
        <v>0</v>
      </c>
      <c r="H45" s="19">
        <f>SUMIFS('Data Fertilizers'!$D:$D,'Data Fertilizers'!$P:$P,$B45,'Data Fertilizers'!$Q:$Q,"&gt;30",'Data Fertilizers'!$Q:$Q,"&lt;=60")</f>
        <v>0</v>
      </c>
      <c r="I45" s="19">
        <f>SUMIFS('Data Fertilizers'!$D:$D,'Data Fertilizers'!$P:$P,$B45,'Data Fertilizers'!$Q:$Q,"&gt;60",'Data Fertilizers'!$Q:$Q,"&lt;=90")</f>
        <v>0</v>
      </c>
      <c r="J45" s="19">
        <f>SUMIFS('Data Fertilizers'!$D:$D,'Data Fertilizers'!$P:$P,$B45,'Data Fertilizers'!$Q:$Q,"&gt;90",'Data Fertilizers'!$Q:$Q,"&lt;=120")</f>
        <v>0</v>
      </c>
      <c r="K45" s="19">
        <f>SUMIFS('Data Fertilizers'!$D:$D,'Data Fertilizers'!$P:$P,$B45,'Data Fertilizers'!$Q:$Q,"&gt;120",'Data Fertilizers'!$Q:$Q,"&lt;=180")</f>
        <v>0</v>
      </c>
      <c r="L45" s="19">
        <f>SUMIFS('Data Fertilizers'!$D:$D,'Data Fertilizers'!$P:$P,$B45,'Data Fertilizers'!$Q:$Q,"&gt;180",'Data Fertilizers'!$Q:$Q,"&lt;=360")</f>
        <v>0</v>
      </c>
      <c r="M45" s="23">
        <f>SUMIFS('Data Fertilizers'!$D:$D,'Data Fertilizers'!$P:$P,$B45,'Data Fertilizers'!$Q:$Q,"&gt;360")</f>
        <v>0</v>
      </c>
      <c r="N45" s="19">
        <f>SUMIFS('Data Fertilizers'!$D:$D,'Data Fertilizers'!$P:$P,$B45,'Data Fertilizers'!$Q:$Q,"&gt;0")</f>
        <v>0</v>
      </c>
      <c r="O45" s="19">
        <f t="shared" si="8"/>
        <v>0</v>
      </c>
      <c r="P45" s="19">
        <f>SUMIFS('Data Fertilizers'!$D:$D,'Data Fertilizers'!$P:$P,$B45,'Data Fertilizers'!$Q:$Q,"&lt;=0",'Data Fertilizers'!$Q:$Q,"&gt;=-30")</f>
        <v>0</v>
      </c>
      <c r="Q45" s="19">
        <f>SUMIFS('Data Fertilizers'!$D:$D,'Data Fertilizers'!$P:$P,$B45,'Data Fertilizers'!$Q:$Q,"&lt;=-31",'Data Fertilizers'!$Q:$Q,"&gt;=-60")</f>
        <v>0</v>
      </c>
      <c r="R45" s="19">
        <f>SUMIFS('Data Fertilizers'!$D:$D,'Data Fertilizers'!$P:$P,$B45,'Data Fertilizers'!$Q:$Q,"&lt;=-61",'Data Fertilizers'!$Q:$Q,"&gt;=-90")</f>
        <v>0</v>
      </c>
      <c r="S45" s="19">
        <f>SUMIFS('Data Fertilizers'!$D:$D,'Data Fertilizers'!$P:$P,$B45,'Data Fertilizers'!$Q:$Q,"&lt;=-91",'Data Fertilizers'!$Q:$Q,"&gt;=-120")</f>
        <v>0</v>
      </c>
      <c r="T45" s="19">
        <f>SUMIFS('Data Fertilizers'!$D:$D,'Data Fertilizers'!$P:$P,$B45,'Data Fertilizers'!$Q:$Q,"&lt;=-121",'Data Fertilizers'!$Q:$Q,"&gt;=-180")</f>
        <v>0</v>
      </c>
      <c r="U45" s="19">
        <f>SUMIFS('Data Fertilizers'!$D:$D,'Data Fertilizers'!$P:$P,$B45,'Data Fertilizers'!$Q:$Q,"&lt;=-181",'Data Fertilizers'!$Q:$Q,"&gt;=-360")</f>
        <v>0</v>
      </c>
      <c r="V45" s="23">
        <f>SUMIFS('Data Fertilizers'!$D:$D,'Data Fertilizers'!$P:$P,$B45,'Data Fertilizers'!$Q:$Q,"&lt;-360")</f>
        <v>0</v>
      </c>
      <c r="W45" s="19" t="e">
        <f>SUMIFS('Bad Debt Provision'!#REF!,'Bad Debt Provision'!#REF!,'Painel Fertilizers'!$B32)</f>
        <v>#REF!</v>
      </c>
      <c r="X45" s="5"/>
      <c r="Y45" s="20"/>
      <c r="Z45" s="20"/>
      <c r="AA45" s="21"/>
      <c r="AB45" s="5"/>
      <c r="AC45" s="19"/>
      <c r="AD45" s="20"/>
      <c r="AE45" s="22"/>
      <c r="AF45" s="22"/>
      <c r="AG45" s="5"/>
      <c r="AH45" s="28">
        <f t="shared" si="9"/>
        <v>0</v>
      </c>
      <c r="AJ45" s="26"/>
    </row>
    <row r="46" spans="2:36" x14ac:dyDescent="0.25">
      <c r="B46" s="47" t="s">
        <v>299</v>
      </c>
      <c r="C46" s="97" t="str" cm="1">
        <f t="array" ref="C46">IFERROR(INDEX('Limite de crédito'!$D:$D, MATCH(MAX(IF('Limite de crédito'!$C:$C=$B46, 'Limite de crédito'!$A:$A)), 'Limite de crédito'!$A:$A, 0)),"")</f>
        <v/>
      </c>
      <c r="D46" s="107" cm="1">
        <f t="array" ref="D46">IFERROR(INDEX('Limite de crédito'!$F:$F, MATCH(MAX(IF('Limite de crédito'!$C:$C=$B46, 'Limite de crédito'!$A:$A)), 'Limite de crédito'!$A:$A, 0)),0)</f>
        <v>0</v>
      </c>
      <c r="E46" s="18">
        <f t="shared" si="6"/>
        <v>0</v>
      </c>
      <c r="F46" s="18">
        <f t="shared" si="7"/>
        <v>0</v>
      </c>
      <c r="G46" s="19">
        <f>SUMIFS('Data Fertilizers'!$D:$D,'Data Fertilizers'!$P:$P,$B46,'Data Fertilizers'!$Q:$Q,"&gt;0",'Data Fertilizers'!$Q:$Q,"&lt;=30")</f>
        <v>0</v>
      </c>
      <c r="H46" s="19">
        <f>SUMIFS('Data Fertilizers'!$D:$D,'Data Fertilizers'!$P:$P,$B46,'Data Fertilizers'!$Q:$Q,"&gt;30",'Data Fertilizers'!$Q:$Q,"&lt;=60")</f>
        <v>0</v>
      </c>
      <c r="I46" s="19">
        <f>SUMIFS('Data Fertilizers'!$D:$D,'Data Fertilizers'!$P:$P,$B46,'Data Fertilizers'!$Q:$Q,"&gt;60",'Data Fertilizers'!$Q:$Q,"&lt;=90")</f>
        <v>0</v>
      </c>
      <c r="J46" s="19">
        <f>SUMIFS('Data Fertilizers'!$D:$D,'Data Fertilizers'!$P:$P,$B46,'Data Fertilizers'!$Q:$Q,"&gt;90",'Data Fertilizers'!$Q:$Q,"&lt;=120")</f>
        <v>0</v>
      </c>
      <c r="K46" s="19">
        <f>SUMIFS('Data Fertilizers'!$D:$D,'Data Fertilizers'!$P:$P,$B46,'Data Fertilizers'!$Q:$Q,"&gt;120",'Data Fertilizers'!$Q:$Q,"&lt;=180")</f>
        <v>0</v>
      </c>
      <c r="L46" s="19">
        <f>SUMIFS('Data Fertilizers'!$D:$D,'Data Fertilizers'!$P:$P,$B46,'Data Fertilizers'!$Q:$Q,"&gt;180",'Data Fertilizers'!$Q:$Q,"&lt;=360")</f>
        <v>0</v>
      </c>
      <c r="M46" s="23">
        <f>SUMIFS('Data Fertilizers'!$D:$D,'Data Fertilizers'!$P:$P,$B46,'Data Fertilizers'!$Q:$Q,"&gt;360")</f>
        <v>0</v>
      </c>
      <c r="N46" s="19">
        <f>SUMIFS('Data Fertilizers'!$D:$D,'Data Fertilizers'!$P:$P,$B46,'Data Fertilizers'!$Q:$Q,"&gt;0")</f>
        <v>0</v>
      </c>
      <c r="O46" s="19">
        <f t="shared" si="8"/>
        <v>0</v>
      </c>
      <c r="P46" s="19">
        <f>SUMIFS('Data Fertilizers'!$D:$D,'Data Fertilizers'!$P:$P,$B46,'Data Fertilizers'!$Q:$Q,"&lt;=0",'Data Fertilizers'!$Q:$Q,"&gt;=-30")</f>
        <v>0</v>
      </c>
      <c r="Q46" s="19">
        <f>SUMIFS('Data Fertilizers'!$D:$D,'Data Fertilizers'!$P:$P,$B46,'Data Fertilizers'!$Q:$Q,"&lt;=-31",'Data Fertilizers'!$Q:$Q,"&gt;=-60")</f>
        <v>0</v>
      </c>
      <c r="R46" s="19">
        <f>SUMIFS('Data Fertilizers'!$D:$D,'Data Fertilizers'!$P:$P,$B46,'Data Fertilizers'!$Q:$Q,"&lt;=-61",'Data Fertilizers'!$Q:$Q,"&gt;=-90")</f>
        <v>0</v>
      </c>
      <c r="S46" s="19">
        <f>SUMIFS('Data Fertilizers'!$D:$D,'Data Fertilizers'!$P:$P,$B46,'Data Fertilizers'!$Q:$Q,"&lt;=-91",'Data Fertilizers'!$Q:$Q,"&gt;=-120")</f>
        <v>0</v>
      </c>
      <c r="T46" s="19">
        <f>SUMIFS('Data Fertilizers'!$D:$D,'Data Fertilizers'!$P:$P,$B46,'Data Fertilizers'!$Q:$Q,"&lt;=-121",'Data Fertilizers'!$Q:$Q,"&gt;=-180")</f>
        <v>0</v>
      </c>
      <c r="U46" s="19">
        <f>SUMIFS('Data Fertilizers'!$D:$D,'Data Fertilizers'!$P:$P,$B46,'Data Fertilizers'!$Q:$Q,"&lt;=-181",'Data Fertilizers'!$Q:$Q,"&gt;=-360")</f>
        <v>0</v>
      </c>
      <c r="V46" s="23">
        <f>SUMIFS('Data Fertilizers'!$D:$D,'Data Fertilizers'!$P:$P,$B46,'Data Fertilizers'!$Q:$Q,"&lt;-360")</f>
        <v>0</v>
      </c>
      <c r="W46" s="19" t="e">
        <f>SUMIFS('Bad Debt Provision'!#REF!,'Bad Debt Provision'!#REF!,'Painel Fertilizers'!#REF!)</f>
        <v>#REF!</v>
      </c>
      <c r="X46" s="5"/>
      <c r="Y46" s="20"/>
      <c r="Z46" s="20"/>
      <c r="AA46" s="21"/>
      <c r="AB46" s="5"/>
      <c r="AC46" s="19">
        <v>1300000</v>
      </c>
      <c r="AD46" s="20" t="s">
        <v>225</v>
      </c>
      <c r="AE46" s="22" t="s">
        <v>317</v>
      </c>
      <c r="AF46" s="22" t="s">
        <v>317</v>
      </c>
      <c r="AG46" s="5"/>
      <c r="AH46" s="28">
        <f t="shared" si="9"/>
        <v>1300000</v>
      </c>
      <c r="AJ46" s="26"/>
    </row>
    <row r="47" spans="2:36" x14ac:dyDescent="0.25">
      <c r="B47" s="47" t="s">
        <v>310</v>
      </c>
      <c r="C47" s="97" t="str" cm="1">
        <f t="array" ref="C47">IFERROR(INDEX('Limite de crédito'!$D:$D, MATCH(MAX(IF('Limite de crédito'!$C:$C=$B47, 'Limite de crédito'!$A:$A)), 'Limite de crédito'!$A:$A, 0)),"")</f>
        <v/>
      </c>
      <c r="D47" s="107" cm="1">
        <f t="array" ref="D47">IFERROR(INDEX('Limite de crédito'!$F:$F, MATCH(MAX(IF('Limite de crédito'!$C:$C=$B47, 'Limite de crédito'!$A:$A)), 'Limite de crédito'!$A:$A, 0)),0)</f>
        <v>0</v>
      </c>
      <c r="E47" s="18">
        <f t="shared" si="6"/>
        <v>0</v>
      </c>
      <c r="F47" s="18">
        <f t="shared" si="7"/>
        <v>0</v>
      </c>
      <c r="G47" s="19">
        <f>SUMIFS('Data Fertilizers'!$D:$D,'Data Fertilizers'!$P:$P,$B47,'Data Fertilizers'!$Q:$Q,"&gt;0",'Data Fertilizers'!$Q:$Q,"&lt;=30")</f>
        <v>0</v>
      </c>
      <c r="H47" s="19">
        <f>SUMIFS('Data Fertilizers'!$D:$D,'Data Fertilizers'!$P:$P,$B47,'Data Fertilizers'!$Q:$Q,"&gt;30",'Data Fertilizers'!$Q:$Q,"&lt;=60")</f>
        <v>0</v>
      </c>
      <c r="I47" s="19">
        <f>SUMIFS('Data Fertilizers'!$D:$D,'Data Fertilizers'!$P:$P,$B47,'Data Fertilizers'!$Q:$Q,"&gt;60",'Data Fertilizers'!$Q:$Q,"&lt;=90")</f>
        <v>0</v>
      </c>
      <c r="J47" s="19">
        <f>SUMIFS('Data Fertilizers'!$D:$D,'Data Fertilizers'!$P:$P,$B47,'Data Fertilizers'!$Q:$Q,"&gt;90",'Data Fertilizers'!$Q:$Q,"&lt;=120")</f>
        <v>0</v>
      </c>
      <c r="K47" s="19">
        <f>SUMIFS('Data Fertilizers'!$D:$D,'Data Fertilizers'!$P:$P,$B47,'Data Fertilizers'!$Q:$Q,"&gt;120",'Data Fertilizers'!$Q:$Q,"&lt;=180")</f>
        <v>0</v>
      </c>
      <c r="L47" s="19">
        <f>SUMIFS('Data Fertilizers'!$D:$D,'Data Fertilizers'!$P:$P,$B47,'Data Fertilizers'!$Q:$Q,"&gt;180",'Data Fertilizers'!$Q:$Q,"&lt;=360")</f>
        <v>0</v>
      </c>
      <c r="M47" s="23">
        <f>SUMIFS('Data Fertilizers'!$D:$D,'Data Fertilizers'!$P:$P,$B47,'Data Fertilizers'!$Q:$Q,"&gt;360")</f>
        <v>0</v>
      </c>
      <c r="N47" s="19">
        <f>SUMIFS('Data Fertilizers'!$D:$D,'Data Fertilizers'!$P:$P,$B47,'Data Fertilizers'!$Q:$Q,"&gt;0")</f>
        <v>0</v>
      </c>
      <c r="O47" s="19">
        <f t="shared" si="8"/>
        <v>0</v>
      </c>
      <c r="P47" s="19">
        <f>SUMIFS('Data Fertilizers'!$D:$D,'Data Fertilizers'!$P:$P,$B47,'Data Fertilizers'!$Q:$Q,"&lt;=0",'Data Fertilizers'!$Q:$Q,"&gt;=-30")</f>
        <v>0</v>
      </c>
      <c r="Q47" s="19">
        <f>SUMIFS('Data Fertilizers'!$D:$D,'Data Fertilizers'!$P:$P,$B47,'Data Fertilizers'!$Q:$Q,"&lt;=-31",'Data Fertilizers'!$Q:$Q,"&gt;=-60")</f>
        <v>0</v>
      </c>
      <c r="R47" s="19">
        <f>SUMIFS('Data Fertilizers'!$D:$D,'Data Fertilizers'!$P:$P,$B47,'Data Fertilizers'!$Q:$Q,"&lt;=-61",'Data Fertilizers'!$Q:$Q,"&gt;=-90")</f>
        <v>0</v>
      </c>
      <c r="S47" s="19">
        <f>SUMIFS('Data Fertilizers'!$D:$D,'Data Fertilizers'!$P:$P,$B47,'Data Fertilizers'!$Q:$Q,"&lt;=-91",'Data Fertilizers'!$Q:$Q,"&gt;=-120")</f>
        <v>0</v>
      </c>
      <c r="T47" s="19">
        <f>SUMIFS('Data Fertilizers'!$D:$D,'Data Fertilizers'!$P:$P,$B47,'Data Fertilizers'!$Q:$Q,"&lt;=-121",'Data Fertilizers'!$Q:$Q,"&gt;=-180")</f>
        <v>0</v>
      </c>
      <c r="U47" s="19">
        <f>SUMIFS('Data Fertilizers'!$D:$D,'Data Fertilizers'!$P:$P,$B47,'Data Fertilizers'!$Q:$Q,"&lt;=-181",'Data Fertilizers'!$Q:$Q,"&gt;=-360")</f>
        <v>0</v>
      </c>
      <c r="V47" s="23">
        <f>SUMIFS('Data Fertilizers'!$D:$D,'Data Fertilizers'!$P:$P,$B47,'Data Fertilizers'!$Q:$Q,"&lt;-360")</f>
        <v>0</v>
      </c>
      <c r="W47" s="19" t="e">
        <f>SUMIFS('Bad Debt Provision'!#REF!,'Bad Debt Provision'!#REF!,'Painel Fertilizers'!#REF!)</f>
        <v>#REF!</v>
      </c>
      <c r="X47" s="5"/>
      <c r="Y47" s="20"/>
      <c r="Z47" s="20"/>
      <c r="AA47" s="21"/>
      <c r="AB47" s="5"/>
      <c r="AC47" s="19"/>
      <c r="AD47" s="20"/>
      <c r="AE47" s="22"/>
      <c r="AF47" s="22"/>
      <c r="AG47" s="5"/>
      <c r="AH47" s="28">
        <f t="shared" si="9"/>
        <v>0</v>
      </c>
      <c r="AJ47" s="26"/>
    </row>
    <row r="48" spans="2:36" x14ac:dyDescent="0.25">
      <c r="B48" s="47" t="s">
        <v>315</v>
      </c>
      <c r="C48" s="97" t="str" cm="1">
        <f t="array" ref="C48">IFERROR(INDEX('Limite de crédito'!$D:$D, MATCH(MAX(IF('Limite de crédito'!$C:$C=$B48, 'Limite de crédito'!$A:$A)), 'Limite de crédito'!$A:$A, 0)),"")</f>
        <v/>
      </c>
      <c r="D48" s="107" cm="1">
        <f t="array" ref="D48">IFERROR(INDEX('Limite de crédito'!$F:$F, MATCH(MAX(IF('Limite de crédito'!$C:$C=$B48, 'Limite de crédito'!$A:$A)), 'Limite de crédito'!$A:$A, 0)),0)</f>
        <v>0</v>
      </c>
      <c r="E48" s="18">
        <f t="shared" si="6"/>
        <v>0</v>
      </c>
      <c r="F48" s="18">
        <f t="shared" si="7"/>
        <v>0</v>
      </c>
      <c r="G48" s="19">
        <f>SUMIFS('Data Fertilizers'!$D:$D,'Data Fertilizers'!$P:$P,$B48,'Data Fertilizers'!$Q:$Q,"&gt;0",'Data Fertilizers'!$Q:$Q,"&lt;=30")</f>
        <v>0</v>
      </c>
      <c r="H48" s="19">
        <f>SUMIFS('Data Fertilizers'!$D:$D,'Data Fertilizers'!$P:$P,$B48,'Data Fertilizers'!$Q:$Q,"&gt;30",'Data Fertilizers'!$Q:$Q,"&lt;=60")</f>
        <v>0</v>
      </c>
      <c r="I48" s="19">
        <f>SUMIFS('Data Fertilizers'!$D:$D,'Data Fertilizers'!$P:$P,$B48,'Data Fertilizers'!$Q:$Q,"&gt;60",'Data Fertilizers'!$Q:$Q,"&lt;=90")</f>
        <v>0</v>
      </c>
      <c r="J48" s="19">
        <f>SUMIFS('Data Fertilizers'!$D:$D,'Data Fertilizers'!$P:$P,$B48,'Data Fertilizers'!$Q:$Q,"&gt;90",'Data Fertilizers'!$Q:$Q,"&lt;=120")</f>
        <v>0</v>
      </c>
      <c r="K48" s="19">
        <f>SUMIFS('Data Fertilizers'!$D:$D,'Data Fertilizers'!$P:$P,$B48,'Data Fertilizers'!$Q:$Q,"&gt;120",'Data Fertilizers'!$Q:$Q,"&lt;=180")</f>
        <v>0</v>
      </c>
      <c r="L48" s="19">
        <f>SUMIFS('Data Fertilizers'!$D:$D,'Data Fertilizers'!$P:$P,$B48,'Data Fertilizers'!$Q:$Q,"&gt;180",'Data Fertilizers'!$Q:$Q,"&lt;=360")</f>
        <v>0</v>
      </c>
      <c r="M48" s="23">
        <f>SUMIFS('Data Fertilizers'!$D:$D,'Data Fertilizers'!$P:$P,$B48,'Data Fertilizers'!$Q:$Q,"&gt;360")</f>
        <v>0</v>
      </c>
      <c r="N48" s="19">
        <f>SUMIFS('Data Fertilizers'!$D:$D,'Data Fertilizers'!$P:$P,$B48,'Data Fertilizers'!$Q:$Q,"&gt;0")</f>
        <v>0</v>
      </c>
      <c r="O48" s="19">
        <f t="shared" si="8"/>
        <v>0</v>
      </c>
      <c r="P48" s="19">
        <f>SUMIFS('Data Fertilizers'!$D:$D,'Data Fertilizers'!$P:$P,$B48,'Data Fertilizers'!$Q:$Q,"&lt;=0",'Data Fertilizers'!$Q:$Q,"&gt;=-30")</f>
        <v>0</v>
      </c>
      <c r="Q48" s="19">
        <f>SUMIFS('Data Fertilizers'!$D:$D,'Data Fertilizers'!$P:$P,$B48,'Data Fertilizers'!$Q:$Q,"&lt;=-31",'Data Fertilizers'!$Q:$Q,"&gt;=-60")</f>
        <v>0</v>
      </c>
      <c r="R48" s="19">
        <f>SUMIFS('Data Fertilizers'!$D:$D,'Data Fertilizers'!$P:$P,$B48,'Data Fertilizers'!$Q:$Q,"&lt;=-61",'Data Fertilizers'!$Q:$Q,"&gt;=-90")</f>
        <v>0</v>
      </c>
      <c r="S48" s="19">
        <f>SUMIFS('Data Fertilizers'!$D:$D,'Data Fertilizers'!$P:$P,$B48,'Data Fertilizers'!$Q:$Q,"&lt;=-91",'Data Fertilizers'!$Q:$Q,"&gt;=-120")</f>
        <v>0</v>
      </c>
      <c r="T48" s="19">
        <f>SUMIFS('Data Fertilizers'!$D:$D,'Data Fertilizers'!$P:$P,$B48,'Data Fertilizers'!$Q:$Q,"&lt;=-121",'Data Fertilizers'!$Q:$Q,"&gt;=-180")</f>
        <v>0</v>
      </c>
      <c r="U48" s="19">
        <f>SUMIFS('Data Fertilizers'!$D:$D,'Data Fertilizers'!$P:$P,$B48,'Data Fertilizers'!$Q:$Q,"&lt;=-181",'Data Fertilizers'!$Q:$Q,"&gt;=-360")</f>
        <v>0</v>
      </c>
      <c r="V48" s="23">
        <f>SUMIFS('Data Fertilizers'!$D:$D,'Data Fertilizers'!$P:$P,$B48,'Data Fertilizers'!$Q:$Q,"&lt;-360")</f>
        <v>0</v>
      </c>
      <c r="W48" s="19" t="e">
        <f>SUMIFS('Bad Debt Provision'!#REF!,'Bad Debt Provision'!#REF!,'Painel Fertilizers'!$B34)</f>
        <v>#REF!</v>
      </c>
      <c r="X48" s="5"/>
      <c r="Y48" s="20"/>
      <c r="Z48" s="20"/>
      <c r="AA48" s="21"/>
      <c r="AB48" s="5"/>
      <c r="AC48" s="19"/>
      <c r="AD48" s="20"/>
      <c r="AE48" s="22"/>
      <c r="AF48" s="22"/>
      <c r="AG48" s="5"/>
      <c r="AH48" s="28">
        <f t="shared" si="9"/>
        <v>0</v>
      </c>
      <c r="AJ48" s="26"/>
    </row>
    <row r="49" spans="2:38" ht="12.6" customHeight="1" x14ac:dyDescent="0.25">
      <c r="B49" s="47" t="s">
        <v>323</v>
      </c>
      <c r="C49" s="97" cm="1">
        <f t="array" ref="C49">IFERROR(INDEX('Limite de crédito'!$D:$D, MATCH(MAX(IF('Limite de crédito'!$C:$C=$B49, 'Limite de crédito'!$A:$A)), 'Limite de crédito'!$A:$A, 0)),"")</f>
        <v>45618</v>
      </c>
      <c r="D49" s="107" t="str" cm="1">
        <f t="array" ref="D49">IFERROR(INDEX('Limite de crédito'!$F:$F, MATCH(MAX(IF('Limite de crédito'!$C:$C=$B49, 'Limite de crédito'!$A:$A)), 'Limite de crédito'!$A:$A, 0)),0)</f>
        <v>Sim</v>
      </c>
      <c r="E49" s="18" t="e">
        <f t="shared" si="6"/>
        <v>#VALUE!</v>
      </c>
      <c r="F49" s="18">
        <f t="shared" si="7"/>
        <v>0</v>
      </c>
      <c r="G49" s="19">
        <f>SUMIFS('Data Fertilizers'!$D:$D,'Data Fertilizers'!$P:$P,$B49,'Data Fertilizers'!$Q:$Q,"&gt;0",'Data Fertilizers'!$Q:$Q,"&lt;=30")</f>
        <v>0</v>
      </c>
      <c r="H49" s="19">
        <f>SUMIFS('Data Fertilizers'!$D:$D,'Data Fertilizers'!$P:$P,$B49,'Data Fertilizers'!$Q:$Q,"&gt;30",'Data Fertilizers'!$Q:$Q,"&lt;=60")</f>
        <v>0</v>
      </c>
      <c r="I49" s="19">
        <f>SUMIFS('Data Fertilizers'!$D:$D,'Data Fertilizers'!$P:$P,$B49,'Data Fertilizers'!$Q:$Q,"&gt;60",'Data Fertilizers'!$Q:$Q,"&lt;=90")</f>
        <v>0</v>
      </c>
      <c r="J49" s="19">
        <f>SUMIFS('Data Fertilizers'!$D:$D,'Data Fertilizers'!$P:$P,$B49,'Data Fertilizers'!$Q:$Q,"&gt;90",'Data Fertilizers'!$Q:$Q,"&lt;=120")</f>
        <v>0</v>
      </c>
      <c r="K49" s="19">
        <f>SUMIFS('Data Fertilizers'!$D:$D,'Data Fertilizers'!$P:$P,$B49,'Data Fertilizers'!$Q:$Q,"&gt;120",'Data Fertilizers'!$Q:$Q,"&lt;=180")</f>
        <v>0</v>
      </c>
      <c r="L49" s="19">
        <f>SUMIFS('Data Fertilizers'!$D:$D,'Data Fertilizers'!$P:$P,$B49,'Data Fertilizers'!$Q:$Q,"&gt;180",'Data Fertilizers'!$Q:$Q,"&lt;=360")</f>
        <v>0</v>
      </c>
      <c r="M49" s="23">
        <f>SUMIFS('Data Fertilizers'!$D:$D,'Data Fertilizers'!$P:$P,$B49,'Data Fertilizers'!$Q:$Q,"&gt;360")</f>
        <v>0</v>
      </c>
      <c r="N49" s="19">
        <f>SUMIFS('Data Fertilizers'!$D:$D,'Data Fertilizers'!$P:$P,$B49,'Data Fertilizers'!$Q:$Q,"&gt;0")</f>
        <v>0</v>
      </c>
      <c r="O49" s="19">
        <f t="shared" si="8"/>
        <v>0</v>
      </c>
      <c r="P49" s="19">
        <f>SUMIFS('Data Fertilizers'!$D:$D,'Data Fertilizers'!$P:$P,$B49,'Data Fertilizers'!$Q:$Q,"&lt;=0",'Data Fertilizers'!$Q:$Q,"&gt;=-30")</f>
        <v>0</v>
      </c>
      <c r="Q49" s="19">
        <f>SUMIFS('Data Fertilizers'!$D:$D,'Data Fertilizers'!$P:$P,$B49,'Data Fertilizers'!$Q:$Q,"&lt;=-31",'Data Fertilizers'!$Q:$Q,"&gt;=-60")</f>
        <v>0</v>
      </c>
      <c r="R49" s="19">
        <f>SUMIFS('Data Fertilizers'!$D:$D,'Data Fertilizers'!$P:$P,$B49,'Data Fertilizers'!$Q:$Q,"&lt;=-61",'Data Fertilizers'!$Q:$Q,"&gt;=-90")</f>
        <v>0</v>
      </c>
      <c r="S49" s="19">
        <f>SUMIFS('Data Fertilizers'!$D:$D,'Data Fertilizers'!$P:$P,$B49,'Data Fertilizers'!$Q:$Q,"&lt;=-91",'Data Fertilizers'!$Q:$Q,"&gt;=-120")</f>
        <v>0</v>
      </c>
      <c r="T49" s="19">
        <f>SUMIFS('Data Fertilizers'!$D:$D,'Data Fertilizers'!$P:$P,$B49,'Data Fertilizers'!$Q:$Q,"&lt;=-121",'Data Fertilizers'!$Q:$Q,"&gt;=-180")</f>
        <v>0</v>
      </c>
      <c r="U49" s="19">
        <f>SUMIFS('Data Fertilizers'!$D:$D,'Data Fertilizers'!$P:$P,$B49,'Data Fertilizers'!$Q:$Q,"&lt;=-181",'Data Fertilizers'!$Q:$Q,"&gt;=-360")</f>
        <v>0</v>
      </c>
      <c r="V49" s="23">
        <f>SUMIFS('Data Fertilizers'!$D:$D,'Data Fertilizers'!$P:$P,$B49,'Data Fertilizers'!$Q:$Q,"&lt;-360")</f>
        <v>0</v>
      </c>
      <c r="W49" s="19" t="e">
        <f>SUMIFS('Bad Debt Provision'!#REF!,'Bad Debt Provision'!#REF!,'Painel Fertilizers'!$B35)</f>
        <v>#REF!</v>
      </c>
      <c r="X49" s="5"/>
      <c r="Y49" s="20"/>
      <c r="Z49" s="20"/>
      <c r="AA49" s="21"/>
      <c r="AB49" s="5"/>
      <c r="AC49" s="19"/>
      <c r="AD49" s="20"/>
      <c r="AE49" s="22"/>
      <c r="AF49" s="22"/>
      <c r="AG49" s="5"/>
      <c r="AH49" s="28">
        <f t="shared" si="9"/>
        <v>0</v>
      </c>
      <c r="AJ49" s="26"/>
    </row>
    <row r="50" spans="2:38" x14ac:dyDescent="0.25">
      <c r="B50" s="47" t="s">
        <v>327</v>
      </c>
      <c r="C50" s="97" t="str" cm="1">
        <f t="array" ref="C50">IFERROR(INDEX('Limite de crédito'!$D:$D, MATCH(MAX(IF('Limite de crédito'!$C:$C=$B50, 'Limite de crédito'!$A:$A)), 'Limite de crédito'!$A:$A, 0)),"")</f>
        <v/>
      </c>
      <c r="D50" s="107" cm="1">
        <f t="array" ref="D50">IFERROR(INDEX('Limite de crédito'!$F:$F, MATCH(MAX(IF('Limite de crédito'!$C:$C=$B50, 'Limite de crédito'!$A:$A)), 'Limite de crédito'!$A:$A, 0)),0)</f>
        <v>0</v>
      </c>
      <c r="E50" s="18">
        <f t="shared" si="6"/>
        <v>0</v>
      </c>
      <c r="F50" s="18">
        <f t="shared" si="7"/>
        <v>0</v>
      </c>
      <c r="G50" s="19">
        <f>SUMIFS('Data Fertilizers'!$D:$D,'Data Fertilizers'!$P:$P,$B50,'Data Fertilizers'!$Q:$Q,"&gt;0",'Data Fertilizers'!$Q:$Q,"&lt;=30")</f>
        <v>0</v>
      </c>
      <c r="H50" s="19">
        <f>SUMIFS('Data Fertilizers'!$D:$D,'Data Fertilizers'!$P:$P,$B50,'Data Fertilizers'!$Q:$Q,"&gt;30",'Data Fertilizers'!$Q:$Q,"&lt;=60")</f>
        <v>0</v>
      </c>
      <c r="I50" s="19">
        <f>SUMIFS('Data Fertilizers'!$D:$D,'Data Fertilizers'!$P:$P,$B50,'Data Fertilizers'!$Q:$Q,"&gt;60",'Data Fertilizers'!$Q:$Q,"&lt;=90")</f>
        <v>0</v>
      </c>
      <c r="J50" s="19">
        <f>SUMIFS('Data Fertilizers'!$D:$D,'Data Fertilizers'!$P:$P,$B50,'Data Fertilizers'!$Q:$Q,"&gt;90",'Data Fertilizers'!$Q:$Q,"&lt;=120")</f>
        <v>0</v>
      </c>
      <c r="K50" s="19">
        <f>SUMIFS('Data Fertilizers'!$D:$D,'Data Fertilizers'!$P:$P,$B50,'Data Fertilizers'!$Q:$Q,"&gt;120",'Data Fertilizers'!$Q:$Q,"&lt;=180")</f>
        <v>0</v>
      </c>
      <c r="L50" s="19">
        <f>SUMIFS('Data Fertilizers'!$D:$D,'Data Fertilizers'!$P:$P,$B50,'Data Fertilizers'!$Q:$Q,"&gt;180",'Data Fertilizers'!$Q:$Q,"&lt;=360")</f>
        <v>0</v>
      </c>
      <c r="M50" s="23">
        <f>SUMIFS('Data Fertilizers'!$D:$D,'Data Fertilizers'!$P:$P,$B50,'Data Fertilizers'!$Q:$Q,"&gt;360")</f>
        <v>0</v>
      </c>
      <c r="N50" s="19">
        <f>SUMIFS('Data Fertilizers'!$D:$D,'Data Fertilizers'!$P:$P,$B50,'Data Fertilizers'!$Q:$Q,"&gt;0")</f>
        <v>0</v>
      </c>
      <c r="O50" s="19">
        <f t="shared" si="8"/>
        <v>0</v>
      </c>
      <c r="P50" s="19">
        <f>SUMIFS('Data Fertilizers'!$D:$D,'Data Fertilizers'!$P:$P,$B50,'Data Fertilizers'!$Q:$Q,"&lt;=0",'Data Fertilizers'!$Q:$Q,"&gt;=-30")</f>
        <v>0</v>
      </c>
      <c r="Q50" s="19">
        <f>SUMIFS('Data Fertilizers'!$D:$D,'Data Fertilizers'!$P:$P,$B50,'Data Fertilizers'!$Q:$Q,"&lt;=-31",'Data Fertilizers'!$Q:$Q,"&gt;=-60")</f>
        <v>0</v>
      </c>
      <c r="R50" s="19">
        <f>SUMIFS('Data Fertilizers'!$D:$D,'Data Fertilizers'!$P:$P,$B50,'Data Fertilizers'!$Q:$Q,"&lt;=-61",'Data Fertilizers'!$Q:$Q,"&gt;=-90")</f>
        <v>0</v>
      </c>
      <c r="S50" s="19">
        <f>SUMIFS('Data Fertilizers'!$D:$D,'Data Fertilizers'!$P:$P,$B50,'Data Fertilizers'!$Q:$Q,"&lt;=-91",'Data Fertilizers'!$Q:$Q,"&gt;=-120")</f>
        <v>0</v>
      </c>
      <c r="T50" s="19">
        <f>SUMIFS('Data Fertilizers'!$D:$D,'Data Fertilizers'!$P:$P,$B50,'Data Fertilizers'!$Q:$Q,"&lt;=-121",'Data Fertilizers'!$Q:$Q,"&gt;=-180")</f>
        <v>0</v>
      </c>
      <c r="U50" s="19">
        <f>SUMIFS('Data Fertilizers'!$D:$D,'Data Fertilizers'!$P:$P,$B50,'Data Fertilizers'!$Q:$Q,"&lt;=-181",'Data Fertilizers'!$Q:$Q,"&gt;=-360")</f>
        <v>0</v>
      </c>
      <c r="V50" s="23">
        <f>SUMIFS('Data Fertilizers'!$D:$D,'Data Fertilizers'!$P:$P,$B50,'Data Fertilizers'!$Q:$Q,"&lt;-360")</f>
        <v>0</v>
      </c>
      <c r="W50" s="19" t="e">
        <f>SUMIFS('Bad Debt Provision'!#REF!,'Bad Debt Provision'!#REF!,'Painel Fertilizers'!#REF!)</f>
        <v>#REF!</v>
      </c>
      <c r="X50" s="5"/>
      <c r="Y50" s="20"/>
      <c r="Z50" s="20"/>
      <c r="AA50" s="21"/>
      <c r="AB50" s="5"/>
      <c r="AC50" s="19"/>
      <c r="AD50" s="20"/>
      <c r="AE50" s="22"/>
      <c r="AF50" s="22"/>
      <c r="AG50" s="5"/>
      <c r="AH50" s="28">
        <f t="shared" si="9"/>
        <v>0</v>
      </c>
      <c r="AJ50" s="26"/>
    </row>
    <row r="51" spans="2:38" x14ac:dyDescent="0.25">
      <c r="B51" s="47" t="s">
        <v>330</v>
      </c>
      <c r="C51" s="97" t="str" cm="1">
        <f t="array" ref="C51">IFERROR(INDEX('Limite de crédito'!$D:$D, MATCH(MAX(IF('Limite de crédito'!$C:$C=$B51, 'Limite de crédito'!$A:$A)), 'Limite de crédito'!$A:$A, 0)),"")</f>
        <v/>
      </c>
      <c r="D51" s="107" cm="1">
        <f t="array" ref="D51">IFERROR(INDEX('Limite de crédito'!$F:$F, MATCH(MAX(IF('Limite de crédito'!$C:$C=$B51, 'Limite de crédito'!$A:$A)), 'Limite de crédito'!$A:$A, 0)),0)</f>
        <v>0</v>
      </c>
      <c r="E51" s="18">
        <f t="shared" si="6"/>
        <v>0</v>
      </c>
      <c r="F51" s="18">
        <f t="shared" si="7"/>
        <v>0</v>
      </c>
      <c r="G51" s="19">
        <f>SUMIFS('Data Fertilizers'!$D:$D,'Data Fertilizers'!$P:$P,$B51,'Data Fertilizers'!$Q:$Q,"&gt;0",'Data Fertilizers'!$Q:$Q,"&lt;=30")</f>
        <v>0</v>
      </c>
      <c r="H51" s="19">
        <f>SUMIFS('Data Fertilizers'!$D:$D,'Data Fertilizers'!$P:$P,$B51,'Data Fertilizers'!$Q:$Q,"&gt;30",'Data Fertilizers'!$Q:$Q,"&lt;=60")</f>
        <v>0</v>
      </c>
      <c r="I51" s="19">
        <f>SUMIFS('Data Fertilizers'!$D:$D,'Data Fertilizers'!$P:$P,$B51,'Data Fertilizers'!$Q:$Q,"&gt;60",'Data Fertilizers'!$Q:$Q,"&lt;=90")</f>
        <v>0</v>
      </c>
      <c r="J51" s="19">
        <f>SUMIFS('Data Fertilizers'!$D:$D,'Data Fertilizers'!$P:$P,$B51,'Data Fertilizers'!$Q:$Q,"&gt;90",'Data Fertilizers'!$Q:$Q,"&lt;=120")</f>
        <v>0</v>
      </c>
      <c r="K51" s="19">
        <f>SUMIFS('Data Fertilizers'!$D:$D,'Data Fertilizers'!$P:$P,$B51,'Data Fertilizers'!$Q:$Q,"&gt;120",'Data Fertilizers'!$Q:$Q,"&lt;=180")</f>
        <v>0</v>
      </c>
      <c r="L51" s="19">
        <f>SUMIFS('Data Fertilizers'!$D:$D,'Data Fertilizers'!$P:$P,$B51,'Data Fertilizers'!$Q:$Q,"&gt;180",'Data Fertilizers'!$Q:$Q,"&lt;=360")</f>
        <v>0</v>
      </c>
      <c r="M51" s="23">
        <f>SUMIFS('Data Fertilizers'!$D:$D,'Data Fertilizers'!$P:$P,$B51,'Data Fertilizers'!$Q:$Q,"&gt;360")</f>
        <v>0</v>
      </c>
      <c r="N51" s="19">
        <f>SUMIFS('Data Fertilizers'!$D:$D,'Data Fertilizers'!$P:$P,$B51,'Data Fertilizers'!$Q:$Q,"&gt;0")</f>
        <v>0</v>
      </c>
      <c r="O51" s="19">
        <f t="shared" si="8"/>
        <v>0</v>
      </c>
      <c r="P51" s="19">
        <f>SUMIFS('Data Fertilizers'!$D:$D,'Data Fertilizers'!$P:$P,$B51,'Data Fertilizers'!$Q:$Q,"&lt;=0",'Data Fertilizers'!$Q:$Q,"&gt;=-30")</f>
        <v>0</v>
      </c>
      <c r="Q51" s="19">
        <f>SUMIFS('Data Fertilizers'!$D:$D,'Data Fertilizers'!$P:$P,$B51,'Data Fertilizers'!$Q:$Q,"&lt;=-31",'Data Fertilizers'!$Q:$Q,"&gt;=-60")</f>
        <v>0</v>
      </c>
      <c r="R51" s="19">
        <f>SUMIFS('Data Fertilizers'!$D:$D,'Data Fertilizers'!$P:$P,$B51,'Data Fertilizers'!$Q:$Q,"&lt;=-61",'Data Fertilizers'!$Q:$Q,"&gt;=-90")</f>
        <v>0</v>
      </c>
      <c r="S51" s="19">
        <f>SUMIFS('Data Fertilizers'!$D:$D,'Data Fertilizers'!$P:$P,$B51,'Data Fertilizers'!$Q:$Q,"&lt;=-91",'Data Fertilizers'!$Q:$Q,"&gt;=-120")</f>
        <v>0</v>
      </c>
      <c r="T51" s="19">
        <f>SUMIFS('Data Fertilizers'!$D:$D,'Data Fertilizers'!$P:$P,$B51,'Data Fertilizers'!$Q:$Q,"&lt;=-121",'Data Fertilizers'!$Q:$Q,"&gt;=-180")</f>
        <v>0</v>
      </c>
      <c r="U51" s="19">
        <f>SUMIFS('Data Fertilizers'!$D:$D,'Data Fertilizers'!$P:$P,$B51,'Data Fertilizers'!$Q:$Q,"&lt;=-181",'Data Fertilizers'!$Q:$Q,"&gt;=-360")</f>
        <v>0</v>
      </c>
      <c r="V51" s="23">
        <f>SUMIFS('Data Fertilizers'!$D:$D,'Data Fertilizers'!$P:$P,$B51,'Data Fertilizers'!$Q:$Q,"&lt;-360")</f>
        <v>0</v>
      </c>
      <c r="W51" s="19" t="e">
        <f>SUMIFS('Bad Debt Provision'!#REF!,'Bad Debt Provision'!#REF!,'Painel Fertilizers'!#REF!)</f>
        <v>#REF!</v>
      </c>
      <c r="X51" s="5"/>
      <c r="Y51" s="20"/>
      <c r="Z51" s="20"/>
      <c r="AA51" s="21"/>
      <c r="AB51" s="5"/>
      <c r="AC51" s="19"/>
      <c r="AD51" s="20"/>
      <c r="AE51" s="22"/>
      <c r="AF51" s="22"/>
      <c r="AG51" s="5"/>
      <c r="AH51" s="28">
        <f t="shared" si="9"/>
        <v>0</v>
      </c>
      <c r="AJ51" s="26"/>
    </row>
    <row r="52" spans="2:38" x14ac:dyDescent="0.25">
      <c r="B52" s="47" t="s">
        <v>331</v>
      </c>
      <c r="C52" s="97" t="str" cm="1">
        <f t="array" ref="C52">IFERROR(INDEX('Limite de crédito'!$D:$D, MATCH(MAX(IF('Limite de crédito'!$C:$C=$B52, 'Limite de crédito'!$A:$A)), 'Limite de crédito'!$A:$A, 0)),"")</f>
        <v/>
      </c>
      <c r="D52" s="107" cm="1">
        <f t="array" ref="D52">IFERROR(INDEX('Limite de crédito'!$F:$F, MATCH(MAX(IF('Limite de crédito'!$C:$C=$B52, 'Limite de crédito'!$A:$A)), 'Limite de crédito'!$A:$A, 0)),0)</f>
        <v>0</v>
      </c>
      <c r="E52" s="18">
        <f t="shared" si="6"/>
        <v>0</v>
      </c>
      <c r="F52" s="18">
        <f t="shared" si="7"/>
        <v>0</v>
      </c>
      <c r="G52" s="19">
        <f>SUMIFS('Data Fertilizers'!$D:$D,'Data Fertilizers'!$P:$P,$B52,'Data Fertilizers'!$Q:$Q,"&gt;0",'Data Fertilizers'!$Q:$Q,"&lt;=30")</f>
        <v>0</v>
      </c>
      <c r="H52" s="19">
        <f>SUMIFS('Data Fertilizers'!$D:$D,'Data Fertilizers'!$P:$P,$B52,'Data Fertilizers'!$Q:$Q,"&gt;30",'Data Fertilizers'!$Q:$Q,"&lt;=60")</f>
        <v>0</v>
      </c>
      <c r="I52" s="19">
        <f>SUMIFS('Data Fertilizers'!$D:$D,'Data Fertilizers'!$P:$P,$B52,'Data Fertilizers'!$Q:$Q,"&gt;60",'Data Fertilizers'!$Q:$Q,"&lt;=90")</f>
        <v>0</v>
      </c>
      <c r="J52" s="19">
        <f>SUMIFS('Data Fertilizers'!$D:$D,'Data Fertilizers'!$P:$P,$B52,'Data Fertilizers'!$Q:$Q,"&gt;90",'Data Fertilizers'!$Q:$Q,"&lt;=120")</f>
        <v>0</v>
      </c>
      <c r="K52" s="19">
        <f>SUMIFS('Data Fertilizers'!$D:$D,'Data Fertilizers'!$P:$P,$B52,'Data Fertilizers'!$Q:$Q,"&gt;120",'Data Fertilizers'!$Q:$Q,"&lt;=180")</f>
        <v>0</v>
      </c>
      <c r="L52" s="19">
        <f>SUMIFS('Data Fertilizers'!$D:$D,'Data Fertilizers'!$P:$P,$B52,'Data Fertilizers'!$Q:$Q,"&gt;180",'Data Fertilizers'!$Q:$Q,"&lt;=360")</f>
        <v>0</v>
      </c>
      <c r="M52" s="23">
        <f>SUMIFS('Data Fertilizers'!$D:$D,'Data Fertilizers'!$P:$P,$B52,'Data Fertilizers'!$Q:$Q,"&gt;360")</f>
        <v>0</v>
      </c>
      <c r="N52" s="19">
        <f>SUMIFS('Data Fertilizers'!$D:$D,'Data Fertilizers'!$P:$P,$B52,'Data Fertilizers'!$Q:$Q,"&gt;0")</f>
        <v>0</v>
      </c>
      <c r="O52" s="19">
        <f t="shared" si="8"/>
        <v>0</v>
      </c>
      <c r="P52" s="19">
        <f>SUMIFS('Data Fertilizers'!$D:$D,'Data Fertilizers'!$P:$P,$B52,'Data Fertilizers'!$Q:$Q,"&lt;=0",'Data Fertilizers'!$Q:$Q,"&gt;=-30")</f>
        <v>0</v>
      </c>
      <c r="Q52" s="19">
        <f>SUMIFS('Data Fertilizers'!$D:$D,'Data Fertilizers'!$P:$P,$B52,'Data Fertilizers'!$Q:$Q,"&lt;=-31",'Data Fertilizers'!$Q:$Q,"&gt;=-60")</f>
        <v>0</v>
      </c>
      <c r="R52" s="19">
        <f>SUMIFS('Data Fertilizers'!$D:$D,'Data Fertilizers'!$P:$P,$B52,'Data Fertilizers'!$Q:$Q,"&lt;=-61",'Data Fertilizers'!$Q:$Q,"&gt;=-90")</f>
        <v>0</v>
      </c>
      <c r="S52" s="19">
        <f>SUMIFS('Data Fertilizers'!$D:$D,'Data Fertilizers'!$P:$P,$B52,'Data Fertilizers'!$Q:$Q,"&lt;=-91",'Data Fertilizers'!$Q:$Q,"&gt;=-120")</f>
        <v>0</v>
      </c>
      <c r="T52" s="19">
        <f>SUMIFS('Data Fertilizers'!$D:$D,'Data Fertilizers'!$P:$P,$B52,'Data Fertilizers'!$Q:$Q,"&lt;=-121",'Data Fertilizers'!$Q:$Q,"&gt;=-180")</f>
        <v>0</v>
      </c>
      <c r="U52" s="19">
        <f>SUMIFS('Data Fertilizers'!$D:$D,'Data Fertilizers'!$P:$P,$B52,'Data Fertilizers'!$Q:$Q,"&lt;=-181",'Data Fertilizers'!$Q:$Q,"&gt;=-360")</f>
        <v>0</v>
      </c>
      <c r="V52" s="23">
        <f>SUMIFS('Data Fertilizers'!$D:$D,'Data Fertilizers'!$P:$P,$B52,'Data Fertilizers'!$Q:$Q,"&lt;-360")</f>
        <v>0</v>
      </c>
      <c r="W52" s="19" t="e">
        <f>SUMIFS('Bad Debt Provision'!#REF!,'Bad Debt Provision'!#REF!,'Painel Fertilizers'!#REF!)</f>
        <v>#REF!</v>
      </c>
      <c r="X52" s="5"/>
      <c r="Y52" s="20"/>
      <c r="Z52" s="20"/>
      <c r="AA52" s="21"/>
      <c r="AB52" s="5"/>
      <c r="AC52" s="19"/>
      <c r="AD52" s="20"/>
      <c r="AE52" s="22"/>
      <c r="AF52" s="22"/>
      <c r="AG52" s="5"/>
      <c r="AH52" s="28">
        <f t="shared" si="9"/>
        <v>0</v>
      </c>
      <c r="AJ52" s="26"/>
    </row>
    <row r="53" spans="2:38" x14ac:dyDescent="0.25">
      <c r="B53" s="47" t="s">
        <v>352</v>
      </c>
      <c r="C53" s="97" t="str" cm="1">
        <f t="array" ref="C53">IFERROR(INDEX('Limite de crédito'!$D:$D, MATCH(MAX(IF('Limite de crédito'!$C:$C=$B53, 'Limite de crédito'!$A:$A)), 'Limite de crédito'!$A:$A, 0)),"")</f>
        <v/>
      </c>
      <c r="D53" s="107" cm="1">
        <f t="array" ref="D53">IFERROR(INDEX('Limite de crédito'!$F:$F, MATCH(MAX(IF('Limite de crédito'!$C:$C=$B53, 'Limite de crédito'!$A:$A)), 'Limite de crédito'!$A:$A, 0)),0)</f>
        <v>0</v>
      </c>
      <c r="E53" s="18">
        <f t="shared" si="6"/>
        <v>0</v>
      </c>
      <c r="F53" s="18">
        <f t="shared" si="7"/>
        <v>0</v>
      </c>
      <c r="G53" s="19">
        <f>SUMIFS('Data Fertilizers'!$D:$D,'Data Fertilizers'!$P:$P,$B53,'Data Fertilizers'!$Q:$Q,"&gt;0",'Data Fertilizers'!$Q:$Q,"&lt;=30")</f>
        <v>0</v>
      </c>
      <c r="H53" s="19">
        <f>SUMIFS('Data Fertilizers'!$D:$D,'Data Fertilizers'!$P:$P,$B53,'Data Fertilizers'!$Q:$Q,"&gt;30",'Data Fertilizers'!$Q:$Q,"&lt;=60")</f>
        <v>0</v>
      </c>
      <c r="I53" s="19">
        <f>SUMIFS('Data Fertilizers'!$D:$D,'Data Fertilizers'!$P:$P,$B53,'Data Fertilizers'!$Q:$Q,"&gt;60",'Data Fertilizers'!$Q:$Q,"&lt;=90")</f>
        <v>0</v>
      </c>
      <c r="J53" s="19">
        <f>SUMIFS('Data Fertilizers'!$D:$D,'Data Fertilizers'!$P:$P,$B53,'Data Fertilizers'!$Q:$Q,"&gt;90",'Data Fertilizers'!$Q:$Q,"&lt;=120")</f>
        <v>0</v>
      </c>
      <c r="K53" s="19">
        <f>SUMIFS('Data Fertilizers'!$D:$D,'Data Fertilizers'!$P:$P,$B53,'Data Fertilizers'!$Q:$Q,"&gt;120",'Data Fertilizers'!$Q:$Q,"&lt;=180")</f>
        <v>0</v>
      </c>
      <c r="L53" s="19">
        <f>SUMIFS('Data Fertilizers'!$D:$D,'Data Fertilizers'!$P:$P,$B53,'Data Fertilizers'!$Q:$Q,"&gt;180",'Data Fertilizers'!$Q:$Q,"&lt;=360")</f>
        <v>0</v>
      </c>
      <c r="M53" s="23">
        <f>SUMIFS('Data Fertilizers'!$D:$D,'Data Fertilizers'!$P:$P,$B53,'Data Fertilizers'!$Q:$Q,"&gt;360")</f>
        <v>0</v>
      </c>
      <c r="N53" s="19">
        <f>SUMIFS('Data Fertilizers'!$D:$D,'Data Fertilizers'!$P:$P,$B53,'Data Fertilizers'!$Q:$Q,"&gt;0")</f>
        <v>0</v>
      </c>
      <c r="O53" s="19">
        <f t="shared" si="8"/>
        <v>0</v>
      </c>
      <c r="P53" s="19">
        <f>SUMIFS('Data Fertilizers'!$D:$D,'Data Fertilizers'!$P:$P,$B53,'Data Fertilizers'!$Q:$Q,"&lt;=0",'Data Fertilizers'!$Q:$Q,"&gt;=-30")</f>
        <v>0</v>
      </c>
      <c r="Q53" s="19">
        <f>SUMIFS('Data Fertilizers'!$D:$D,'Data Fertilizers'!$P:$P,$B53,'Data Fertilizers'!$Q:$Q,"&lt;=-31",'Data Fertilizers'!$Q:$Q,"&gt;=-60")</f>
        <v>0</v>
      </c>
      <c r="R53" s="19">
        <f>SUMIFS('Data Fertilizers'!$D:$D,'Data Fertilizers'!$P:$P,$B53,'Data Fertilizers'!$Q:$Q,"&lt;=-61",'Data Fertilizers'!$Q:$Q,"&gt;=-90")</f>
        <v>0</v>
      </c>
      <c r="S53" s="19">
        <f>SUMIFS('Data Fertilizers'!$D:$D,'Data Fertilizers'!$P:$P,$B53,'Data Fertilizers'!$Q:$Q,"&lt;=-91",'Data Fertilizers'!$Q:$Q,"&gt;=-120")</f>
        <v>0</v>
      </c>
      <c r="T53" s="19">
        <f>SUMIFS('Data Fertilizers'!$D:$D,'Data Fertilizers'!$P:$P,$B53,'Data Fertilizers'!$Q:$Q,"&lt;=-121",'Data Fertilizers'!$Q:$Q,"&gt;=-180")</f>
        <v>0</v>
      </c>
      <c r="U53" s="19">
        <f>SUMIFS('Data Fertilizers'!$D:$D,'Data Fertilizers'!$P:$P,$B53,'Data Fertilizers'!$Q:$Q,"&lt;=-181",'Data Fertilizers'!$Q:$Q,"&gt;=-360")</f>
        <v>0</v>
      </c>
      <c r="V53" s="23">
        <f>SUMIFS('Data Fertilizers'!$D:$D,'Data Fertilizers'!$P:$P,$B53,'Data Fertilizers'!$Q:$Q,"&lt;-360")</f>
        <v>0</v>
      </c>
      <c r="W53" s="19" t="e">
        <f>SUMIFS('Bad Debt Provision'!#REF!,'Bad Debt Provision'!#REF!,'Painel Fertilizers'!#REF!)</f>
        <v>#REF!</v>
      </c>
      <c r="X53" s="5"/>
      <c r="Y53" s="20"/>
      <c r="Z53" s="20"/>
      <c r="AA53" s="21"/>
      <c r="AB53" s="5"/>
      <c r="AC53" s="19"/>
      <c r="AD53" s="20"/>
      <c r="AE53" s="22"/>
      <c r="AF53" s="22"/>
      <c r="AG53" s="5"/>
      <c r="AH53" s="28">
        <f t="shared" si="9"/>
        <v>0</v>
      </c>
      <c r="AJ53" s="26"/>
    </row>
    <row r="54" spans="2:38" x14ac:dyDescent="0.25">
      <c r="B54" s="47" t="s">
        <v>355</v>
      </c>
      <c r="C54" s="97" t="str" cm="1">
        <f t="array" ref="C54">IFERROR(INDEX('Limite de crédito'!$D:$D, MATCH(MAX(IF('Limite de crédito'!$C:$C=$B54, 'Limite de crédito'!$A:$A)), 'Limite de crédito'!$A:$A, 0)),"")</f>
        <v/>
      </c>
      <c r="D54" s="107" cm="1">
        <f t="array" ref="D54">IFERROR(INDEX('Limite de crédito'!$F:$F, MATCH(MAX(IF('Limite de crédito'!$C:$C=$B54, 'Limite de crédito'!$A:$A)), 'Limite de crédito'!$A:$A, 0)),0)</f>
        <v>0</v>
      </c>
      <c r="E54" s="18">
        <f t="shared" si="6"/>
        <v>0</v>
      </c>
      <c r="F54" s="18">
        <f t="shared" si="7"/>
        <v>0</v>
      </c>
      <c r="G54" s="19">
        <f>SUMIFS('Data Fertilizers'!$D:$D,'Data Fertilizers'!$P:$P,$B54,'Data Fertilizers'!$Q:$Q,"&gt;0",'Data Fertilizers'!$Q:$Q,"&lt;=30")</f>
        <v>0</v>
      </c>
      <c r="H54" s="19">
        <f>SUMIFS('Data Fertilizers'!$D:$D,'Data Fertilizers'!$P:$P,$B54,'Data Fertilizers'!$Q:$Q,"&gt;30",'Data Fertilizers'!$Q:$Q,"&lt;=60")</f>
        <v>0</v>
      </c>
      <c r="I54" s="19">
        <f>SUMIFS('Data Fertilizers'!$D:$D,'Data Fertilizers'!$P:$P,$B54,'Data Fertilizers'!$Q:$Q,"&gt;60",'Data Fertilizers'!$Q:$Q,"&lt;=90")</f>
        <v>0</v>
      </c>
      <c r="J54" s="19">
        <f>SUMIFS('Data Fertilizers'!$D:$D,'Data Fertilizers'!$P:$P,$B54,'Data Fertilizers'!$Q:$Q,"&gt;90",'Data Fertilizers'!$Q:$Q,"&lt;=120")</f>
        <v>0</v>
      </c>
      <c r="K54" s="19">
        <f>SUMIFS('Data Fertilizers'!$D:$D,'Data Fertilizers'!$P:$P,$B54,'Data Fertilizers'!$Q:$Q,"&gt;120",'Data Fertilizers'!$Q:$Q,"&lt;=180")</f>
        <v>0</v>
      </c>
      <c r="L54" s="19">
        <f>SUMIFS('Data Fertilizers'!$D:$D,'Data Fertilizers'!$P:$P,$B54,'Data Fertilizers'!$Q:$Q,"&gt;180",'Data Fertilizers'!$Q:$Q,"&lt;=360")</f>
        <v>0</v>
      </c>
      <c r="M54" s="23">
        <f>SUMIFS('Data Fertilizers'!$D:$D,'Data Fertilizers'!$P:$P,$B54,'Data Fertilizers'!$Q:$Q,"&gt;360")</f>
        <v>0</v>
      </c>
      <c r="N54" s="19">
        <f>SUMIFS('Data Fertilizers'!$D:$D,'Data Fertilizers'!$P:$P,$B54,'Data Fertilizers'!$Q:$Q,"&gt;0")</f>
        <v>0</v>
      </c>
      <c r="O54" s="19">
        <f t="shared" si="8"/>
        <v>0</v>
      </c>
      <c r="P54" s="19">
        <f>SUMIFS('Data Fertilizers'!$D:$D,'Data Fertilizers'!$P:$P,$B54,'Data Fertilizers'!$Q:$Q,"&lt;=0",'Data Fertilizers'!$Q:$Q,"&gt;=-30")</f>
        <v>0</v>
      </c>
      <c r="Q54" s="19">
        <f>SUMIFS('Data Fertilizers'!$D:$D,'Data Fertilizers'!$P:$P,$B54,'Data Fertilizers'!$Q:$Q,"&lt;=-31",'Data Fertilizers'!$Q:$Q,"&gt;=-60")</f>
        <v>0</v>
      </c>
      <c r="R54" s="19">
        <f>SUMIFS('Data Fertilizers'!$D:$D,'Data Fertilizers'!$P:$P,$B54,'Data Fertilizers'!$Q:$Q,"&lt;=-61",'Data Fertilizers'!$Q:$Q,"&gt;=-90")</f>
        <v>0</v>
      </c>
      <c r="S54" s="19">
        <f>SUMIFS('Data Fertilizers'!$D:$D,'Data Fertilizers'!$P:$P,$B54,'Data Fertilizers'!$Q:$Q,"&lt;=-91",'Data Fertilizers'!$Q:$Q,"&gt;=-120")</f>
        <v>0</v>
      </c>
      <c r="T54" s="19">
        <f>SUMIFS('Data Fertilizers'!$D:$D,'Data Fertilizers'!$P:$P,$B54,'Data Fertilizers'!$Q:$Q,"&lt;=-121",'Data Fertilizers'!$Q:$Q,"&gt;=-180")</f>
        <v>0</v>
      </c>
      <c r="U54" s="19">
        <f>SUMIFS('Data Fertilizers'!$D:$D,'Data Fertilizers'!$P:$P,$B54,'Data Fertilizers'!$Q:$Q,"&lt;=-181",'Data Fertilizers'!$Q:$Q,"&gt;=-360")</f>
        <v>0</v>
      </c>
      <c r="V54" s="23">
        <f>SUMIFS('Data Fertilizers'!$D:$D,'Data Fertilizers'!$P:$P,$B54,'Data Fertilizers'!$Q:$Q,"&lt;-360")</f>
        <v>0</v>
      </c>
      <c r="W54" s="19" t="e">
        <f>SUMIFS('Bad Debt Provision'!#REF!,'Bad Debt Provision'!#REF!,'Painel Fertilizers'!$B36)</f>
        <v>#REF!</v>
      </c>
      <c r="X54" s="5"/>
      <c r="Y54" s="20"/>
      <c r="Z54" s="20"/>
      <c r="AA54" s="21"/>
      <c r="AB54" s="5"/>
      <c r="AC54" s="19"/>
      <c r="AD54" s="20"/>
      <c r="AE54" s="22"/>
      <c r="AF54" s="22"/>
      <c r="AG54" s="5"/>
      <c r="AH54" s="28">
        <f t="shared" si="9"/>
        <v>0</v>
      </c>
      <c r="AJ54" s="26"/>
    </row>
    <row r="55" spans="2:38" x14ac:dyDescent="0.25">
      <c r="B55" s="47" t="s">
        <v>366</v>
      </c>
      <c r="C55" s="97" t="str" cm="1">
        <f t="array" ref="C55">IFERROR(INDEX('Limite de crédito'!$D:$D, MATCH(MAX(IF('Limite de crédito'!$C:$C=$B55, 'Limite de crédito'!$A:$A)), 'Limite de crédito'!$A:$A, 0)),"")</f>
        <v/>
      </c>
      <c r="D55" s="107" cm="1">
        <f t="array" ref="D55">IFERROR(INDEX('Limite de crédito'!$F:$F, MATCH(MAX(IF('Limite de crédito'!$C:$C=$B55, 'Limite de crédito'!$A:$A)), 'Limite de crédito'!$A:$A, 0)),0)</f>
        <v>0</v>
      </c>
      <c r="E55" s="18">
        <f t="shared" si="6"/>
        <v>0</v>
      </c>
      <c r="F55" s="18">
        <f t="shared" si="7"/>
        <v>0</v>
      </c>
      <c r="G55" s="19">
        <f>SUMIFS('Data Fertilizers'!$D:$D,'Data Fertilizers'!$P:$P,$B55,'Data Fertilizers'!$Q:$Q,"&gt;0",'Data Fertilizers'!$Q:$Q,"&lt;=30")</f>
        <v>0</v>
      </c>
      <c r="H55" s="19">
        <f>SUMIFS('Data Fertilizers'!$D:$D,'Data Fertilizers'!$P:$P,$B55,'Data Fertilizers'!$Q:$Q,"&gt;30",'Data Fertilizers'!$Q:$Q,"&lt;=60")</f>
        <v>0</v>
      </c>
      <c r="I55" s="19">
        <f>SUMIFS('Data Fertilizers'!$D:$D,'Data Fertilizers'!$P:$P,$B55,'Data Fertilizers'!$Q:$Q,"&gt;60",'Data Fertilizers'!$Q:$Q,"&lt;=90")</f>
        <v>0</v>
      </c>
      <c r="J55" s="19">
        <f>SUMIFS('Data Fertilizers'!$D:$D,'Data Fertilizers'!$P:$P,$B55,'Data Fertilizers'!$Q:$Q,"&gt;90",'Data Fertilizers'!$Q:$Q,"&lt;=120")</f>
        <v>0</v>
      </c>
      <c r="K55" s="19">
        <f>SUMIFS('Data Fertilizers'!$D:$D,'Data Fertilizers'!$P:$P,$B55,'Data Fertilizers'!$Q:$Q,"&gt;120",'Data Fertilizers'!$Q:$Q,"&lt;=180")</f>
        <v>0</v>
      </c>
      <c r="L55" s="19">
        <f>SUMIFS('Data Fertilizers'!$D:$D,'Data Fertilizers'!$P:$P,$B55,'Data Fertilizers'!$Q:$Q,"&gt;180",'Data Fertilizers'!$Q:$Q,"&lt;=360")</f>
        <v>0</v>
      </c>
      <c r="M55" s="23">
        <f>SUMIFS('Data Fertilizers'!$D:$D,'Data Fertilizers'!$P:$P,$B55,'Data Fertilizers'!$Q:$Q,"&gt;360")</f>
        <v>0</v>
      </c>
      <c r="N55" s="19">
        <f>SUMIFS('Data Fertilizers'!$D:$D,'Data Fertilizers'!$P:$P,$B55,'Data Fertilizers'!$Q:$Q,"&gt;0")</f>
        <v>0</v>
      </c>
      <c r="O55" s="19">
        <f t="shared" si="8"/>
        <v>0</v>
      </c>
      <c r="P55" s="19">
        <f>SUMIFS('Data Fertilizers'!$D:$D,'Data Fertilizers'!$P:$P,$B55,'Data Fertilizers'!$Q:$Q,"&lt;=0",'Data Fertilizers'!$Q:$Q,"&gt;=-30")</f>
        <v>0</v>
      </c>
      <c r="Q55" s="19">
        <f>SUMIFS('Data Fertilizers'!$D:$D,'Data Fertilizers'!$P:$P,$B55,'Data Fertilizers'!$Q:$Q,"&lt;=-31",'Data Fertilizers'!$Q:$Q,"&gt;=-60")</f>
        <v>0</v>
      </c>
      <c r="R55" s="19">
        <f>SUMIFS('Data Fertilizers'!$D:$D,'Data Fertilizers'!$P:$P,$B55,'Data Fertilizers'!$Q:$Q,"&lt;=-61",'Data Fertilizers'!$Q:$Q,"&gt;=-90")</f>
        <v>0</v>
      </c>
      <c r="S55" s="19">
        <f>SUMIFS('Data Fertilizers'!$D:$D,'Data Fertilizers'!$P:$P,$B55,'Data Fertilizers'!$Q:$Q,"&lt;=-91",'Data Fertilizers'!$Q:$Q,"&gt;=-120")</f>
        <v>0</v>
      </c>
      <c r="T55" s="19">
        <f>SUMIFS('Data Fertilizers'!$D:$D,'Data Fertilizers'!$P:$P,$B55,'Data Fertilizers'!$Q:$Q,"&lt;=-121",'Data Fertilizers'!$Q:$Q,"&gt;=-180")</f>
        <v>0</v>
      </c>
      <c r="U55" s="19">
        <f>SUMIFS('Data Fertilizers'!$D:$D,'Data Fertilizers'!$P:$P,$B55,'Data Fertilizers'!$Q:$Q,"&lt;=-181",'Data Fertilizers'!$Q:$Q,"&gt;=-360")</f>
        <v>0</v>
      </c>
      <c r="V55" s="23">
        <f>SUMIFS('Data Fertilizers'!$D:$D,'Data Fertilizers'!$P:$P,$B55,'Data Fertilizers'!$Q:$Q,"&lt;-360")</f>
        <v>0</v>
      </c>
      <c r="W55" s="19" t="e">
        <f>SUMIFS('Bad Debt Provision'!#REF!,'Bad Debt Provision'!#REF!,'Painel Fertilizers'!#REF!)</f>
        <v>#REF!</v>
      </c>
      <c r="X55" s="5"/>
      <c r="Y55" s="20"/>
      <c r="Z55" s="20"/>
      <c r="AA55" s="21"/>
      <c r="AB55" s="5"/>
      <c r="AC55" s="19"/>
      <c r="AD55" s="20"/>
      <c r="AE55" s="22"/>
      <c r="AF55" s="22"/>
      <c r="AG55" s="5"/>
      <c r="AH55" s="28">
        <f t="shared" si="9"/>
        <v>0</v>
      </c>
      <c r="AJ55" s="26"/>
    </row>
    <row r="56" spans="2:38" x14ac:dyDescent="0.25">
      <c r="B56" s="47" t="s">
        <v>368</v>
      </c>
      <c r="C56" s="97" t="str" cm="1">
        <f t="array" ref="C56">IFERROR(INDEX('Limite de crédito'!$D:$D, MATCH(MAX(IF('Limite de crédito'!$C:$C=$B56, 'Limite de crédito'!$A:$A)), 'Limite de crédito'!$A:$A, 0)),"")</f>
        <v/>
      </c>
      <c r="D56" s="107" cm="1">
        <f t="array" ref="D56">IFERROR(INDEX('Limite de crédito'!$F:$F, MATCH(MAX(IF('Limite de crédito'!$C:$C=$B56, 'Limite de crédito'!$A:$A)), 'Limite de crédito'!$A:$A, 0)),0)</f>
        <v>0</v>
      </c>
      <c r="E56" s="18">
        <f t="shared" si="6"/>
        <v>0</v>
      </c>
      <c r="F56" s="18">
        <f t="shared" si="7"/>
        <v>0</v>
      </c>
      <c r="G56" s="19">
        <f>SUMIFS('Data Fertilizers'!$D:$D,'Data Fertilizers'!$P:$P,$B56,'Data Fertilizers'!$Q:$Q,"&gt;0",'Data Fertilizers'!$Q:$Q,"&lt;=30")</f>
        <v>0</v>
      </c>
      <c r="H56" s="19">
        <f>SUMIFS('Data Fertilizers'!$D:$D,'Data Fertilizers'!$P:$P,$B56,'Data Fertilizers'!$Q:$Q,"&gt;30",'Data Fertilizers'!$Q:$Q,"&lt;=60")</f>
        <v>0</v>
      </c>
      <c r="I56" s="19">
        <f>SUMIFS('Data Fertilizers'!$D:$D,'Data Fertilizers'!$P:$P,$B56,'Data Fertilizers'!$Q:$Q,"&gt;60",'Data Fertilizers'!$Q:$Q,"&lt;=90")</f>
        <v>0</v>
      </c>
      <c r="J56" s="19">
        <f>SUMIFS('Data Fertilizers'!$D:$D,'Data Fertilizers'!$P:$P,$B56,'Data Fertilizers'!$Q:$Q,"&gt;90",'Data Fertilizers'!$Q:$Q,"&lt;=120")</f>
        <v>0</v>
      </c>
      <c r="K56" s="19">
        <f>SUMIFS('Data Fertilizers'!$D:$D,'Data Fertilizers'!$P:$P,$B56,'Data Fertilizers'!$Q:$Q,"&gt;120",'Data Fertilizers'!$Q:$Q,"&lt;=180")</f>
        <v>0</v>
      </c>
      <c r="L56" s="19">
        <f>SUMIFS('Data Fertilizers'!$D:$D,'Data Fertilizers'!$P:$P,$B56,'Data Fertilizers'!$Q:$Q,"&gt;180",'Data Fertilizers'!$Q:$Q,"&lt;=360")</f>
        <v>0</v>
      </c>
      <c r="M56" s="23">
        <f>SUMIFS('Data Fertilizers'!$D:$D,'Data Fertilizers'!$P:$P,$B56,'Data Fertilizers'!$Q:$Q,"&gt;360")</f>
        <v>0</v>
      </c>
      <c r="N56" s="19">
        <f>SUMIFS('Data Fertilizers'!$D:$D,'Data Fertilizers'!$P:$P,$B56,'Data Fertilizers'!$Q:$Q,"&gt;0")</f>
        <v>0</v>
      </c>
      <c r="O56" s="19">
        <f t="shared" si="8"/>
        <v>0</v>
      </c>
      <c r="P56" s="19">
        <f>SUMIFS('Data Fertilizers'!$D:$D,'Data Fertilizers'!$P:$P,$B56,'Data Fertilizers'!$Q:$Q,"&lt;=0",'Data Fertilizers'!$Q:$Q,"&gt;=-30")</f>
        <v>0</v>
      </c>
      <c r="Q56" s="19">
        <f>SUMIFS('Data Fertilizers'!$D:$D,'Data Fertilizers'!$P:$P,$B56,'Data Fertilizers'!$Q:$Q,"&lt;=-31",'Data Fertilizers'!$Q:$Q,"&gt;=-60")</f>
        <v>0</v>
      </c>
      <c r="R56" s="19">
        <f>SUMIFS('Data Fertilizers'!$D:$D,'Data Fertilizers'!$P:$P,$B56,'Data Fertilizers'!$Q:$Q,"&lt;=-61",'Data Fertilizers'!$Q:$Q,"&gt;=-90")</f>
        <v>0</v>
      </c>
      <c r="S56" s="19">
        <f>SUMIFS('Data Fertilizers'!$D:$D,'Data Fertilizers'!$P:$P,$B56,'Data Fertilizers'!$Q:$Q,"&lt;=-91",'Data Fertilizers'!$Q:$Q,"&gt;=-120")</f>
        <v>0</v>
      </c>
      <c r="T56" s="19">
        <f>SUMIFS('Data Fertilizers'!$D:$D,'Data Fertilizers'!$P:$P,$B56,'Data Fertilizers'!$Q:$Q,"&lt;=-121",'Data Fertilizers'!$Q:$Q,"&gt;=-180")</f>
        <v>0</v>
      </c>
      <c r="U56" s="19">
        <f>SUMIFS('Data Fertilizers'!$D:$D,'Data Fertilizers'!$P:$P,$B56,'Data Fertilizers'!$Q:$Q,"&lt;=-181",'Data Fertilizers'!$Q:$Q,"&gt;=-360")</f>
        <v>0</v>
      </c>
      <c r="V56" s="23">
        <f>SUMIFS('Data Fertilizers'!$D:$D,'Data Fertilizers'!$P:$P,$B56,'Data Fertilizers'!$Q:$Q,"&lt;-360")</f>
        <v>0</v>
      </c>
      <c r="W56" s="19" t="e">
        <f>SUMIFS('Bad Debt Provision'!#REF!,'Bad Debt Provision'!#REF!,'Painel Fertilizers'!$B37)</f>
        <v>#REF!</v>
      </c>
      <c r="X56" s="5"/>
      <c r="Y56" s="20"/>
      <c r="Z56" s="20"/>
      <c r="AA56" s="21"/>
      <c r="AB56" s="5"/>
      <c r="AC56" s="19"/>
      <c r="AD56" s="20"/>
      <c r="AE56" s="22"/>
      <c r="AF56" s="22"/>
      <c r="AG56" s="5"/>
      <c r="AH56" s="28">
        <f t="shared" si="9"/>
        <v>0</v>
      </c>
      <c r="AJ56" s="26"/>
    </row>
    <row r="57" spans="2:38" x14ac:dyDescent="0.25">
      <c r="B57" s="47" t="s">
        <v>370</v>
      </c>
      <c r="C57" s="97" t="str" cm="1">
        <f t="array" ref="C57">IFERROR(INDEX('Limite de crédito'!$D:$D, MATCH(MAX(IF('Limite de crédito'!$C:$C=$B57, 'Limite de crédito'!$A:$A)), 'Limite de crédito'!$A:$A, 0)),"")</f>
        <v/>
      </c>
      <c r="D57" s="107" cm="1">
        <f t="array" ref="D57">IFERROR(INDEX('Limite de crédito'!$F:$F, MATCH(MAX(IF('Limite de crédito'!$C:$C=$B57, 'Limite de crédito'!$A:$A)), 'Limite de crédito'!$A:$A, 0)),0)</f>
        <v>0</v>
      </c>
      <c r="E57" s="18">
        <f t="shared" si="6"/>
        <v>0</v>
      </c>
      <c r="F57" s="18">
        <f t="shared" si="7"/>
        <v>0</v>
      </c>
      <c r="G57" s="19">
        <f>SUMIFS('Data Fertilizers'!$D:$D,'Data Fertilizers'!$P:$P,$B57,'Data Fertilizers'!$Q:$Q,"&gt;0",'Data Fertilizers'!$Q:$Q,"&lt;=30")</f>
        <v>0</v>
      </c>
      <c r="H57" s="19">
        <f>SUMIFS('Data Fertilizers'!$D:$D,'Data Fertilizers'!$P:$P,$B57,'Data Fertilizers'!$Q:$Q,"&gt;30",'Data Fertilizers'!$Q:$Q,"&lt;=60")</f>
        <v>0</v>
      </c>
      <c r="I57" s="19">
        <f>SUMIFS('Data Fertilizers'!$D:$D,'Data Fertilizers'!$P:$P,$B57,'Data Fertilizers'!$Q:$Q,"&gt;60",'Data Fertilizers'!$Q:$Q,"&lt;=90")</f>
        <v>0</v>
      </c>
      <c r="J57" s="19">
        <f>SUMIFS('Data Fertilizers'!$D:$D,'Data Fertilizers'!$P:$P,$B57,'Data Fertilizers'!$Q:$Q,"&gt;90",'Data Fertilizers'!$Q:$Q,"&lt;=120")</f>
        <v>0</v>
      </c>
      <c r="K57" s="19">
        <f>SUMIFS('Data Fertilizers'!$D:$D,'Data Fertilizers'!$P:$P,$B57,'Data Fertilizers'!$Q:$Q,"&gt;120",'Data Fertilizers'!$Q:$Q,"&lt;=180")</f>
        <v>0</v>
      </c>
      <c r="L57" s="19">
        <f>SUMIFS('Data Fertilizers'!$D:$D,'Data Fertilizers'!$P:$P,$B57,'Data Fertilizers'!$Q:$Q,"&gt;180",'Data Fertilizers'!$Q:$Q,"&lt;=360")</f>
        <v>0</v>
      </c>
      <c r="M57" s="23">
        <f>SUMIFS('Data Fertilizers'!$D:$D,'Data Fertilizers'!$P:$P,$B57,'Data Fertilizers'!$Q:$Q,"&gt;360")</f>
        <v>0</v>
      </c>
      <c r="N57" s="19">
        <f>SUMIFS('Data Fertilizers'!$D:$D,'Data Fertilizers'!$P:$P,$B57,'Data Fertilizers'!$Q:$Q,"&gt;0")</f>
        <v>0</v>
      </c>
      <c r="O57" s="19">
        <f t="shared" si="8"/>
        <v>0</v>
      </c>
      <c r="P57" s="19">
        <f>SUMIFS('Data Fertilizers'!$D:$D,'Data Fertilizers'!$P:$P,$B57,'Data Fertilizers'!$Q:$Q,"&lt;=0",'Data Fertilizers'!$Q:$Q,"&gt;=-30")</f>
        <v>0</v>
      </c>
      <c r="Q57" s="19">
        <f>SUMIFS('Data Fertilizers'!$D:$D,'Data Fertilizers'!$P:$P,$B57,'Data Fertilizers'!$Q:$Q,"&lt;=-31",'Data Fertilizers'!$Q:$Q,"&gt;=-60")</f>
        <v>0</v>
      </c>
      <c r="R57" s="19">
        <f>SUMIFS('Data Fertilizers'!$D:$D,'Data Fertilizers'!$P:$P,$B57,'Data Fertilizers'!$Q:$Q,"&lt;=-61",'Data Fertilizers'!$Q:$Q,"&gt;=-90")</f>
        <v>0</v>
      </c>
      <c r="S57" s="19">
        <f>SUMIFS('Data Fertilizers'!$D:$D,'Data Fertilizers'!$P:$P,$B57,'Data Fertilizers'!$Q:$Q,"&lt;=-91",'Data Fertilizers'!$Q:$Q,"&gt;=-120")</f>
        <v>0</v>
      </c>
      <c r="T57" s="19">
        <f>SUMIFS('Data Fertilizers'!$D:$D,'Data Fertilizers'!$P:$P,$B57,'Data Fertilizers'!$Q:$Q,"&lt;=-121",'Data Fertilizers'!$Q:$Q,"&gt;=-180")</f>
        <v>0</v>
      </c>
      <c r="U57" s="19">
        <f>SUMIFS('Data Fertilizers'!$D:$D,'Data Fertilizers'!$P:$P,$B57,'Data Fertilizers'!$Q:$Q,"&lt;=-181",'Data Fertilizers'!$Q:$Q,"&gt;=-360")</f>
        <v>0</v>
      </c>
      <c r="V57" s="23">
        <f>SUMIFS('Data Fertilizers'!$D:$D,'Data Fertilizers'!$P:$P,$B57,'Data Fertilizers'!$Q:$Q,"&lt;-360")</f>
        <v>0</v>
      </c>
      <c r="W57" s="19" t="e">
        <f>SUMIFS('Bad Debt Provision'!#REF!,'Bad Debt Provision'!#REF!,'Painel Fertilizers'!#REF!)</f>
        <v>#REF!</v>
      </c>
      <c r="X57" s="5"/>
      <c r="Y57" s="20"/>
      <c r="Z57" s="20"/>
      <c r="AA57" s="21"/>
      <c r="AB57" s="5"/>
      <c r="AC57" s="19"/>
      <c r="AD57" s="20"/>
      <c r="AE57" s="22"/>
      <c r="AF57" s="22"/>
      <c r="AG57" s="5"/>
      <c r="AH57" s="28">
        <f t="shared" si="9"/>
        <v>0</v>
      </c>
      <c r="AJ57" s="26"/>
    </row>
    <row r="58" spans="2:38" x14ac:dyDescent="0.25">
      <c r="B58" s="47" t="s">
        <v>369</v>
      </c>
      <c r="C58" s="97" t="str" cm="1">
        <f t="array" ref="C58">IFERROR(INDEX('Limite de crédito'!$D:$D, MATCH(MAX(IF('Limite de crédito'!$C:$C=$B58, 'Limite de crédito'!$A:$A)), 'Limite de crédito'!$A:$A, 0)),"")</f>
        <v/>
      </c>
      <c r="D58" s="107" cm="1">
        <f t="array" ref="D58">IFERROR(INDEX('Limite de crédito'!$F:$F, MATCH(MAX(IF('Limite de crédito'!$C:$C=$B58, 'Limite de crédito'!$A:$A)), 'Limite de crédito'!$A:$A, 0)),0)</f>
        <v>0</v>
      </c>
      <c r="E58" s="18">
        <f t="shared" si="6"/>
        <v>0</v>
      </c>
      <c r="F58" s="18">
        <f t="shared" si="7"/>
        <v>0</v>
      </c>
      <c r="G58" s="19">
        <f>SUMIFS('Data Fertilizers'!$D:$D,'Data Fertilizers'!$P:$P,$B58,'Data Fertilizers'!$Q:$Q,"&gt;0",'Data Fertilizers'!$Q:$Q,"&lt;=30")</f>
        <v>0</v>
      </c>
      <c r="H58" s="19">
        <f>SUMIFS('Data Fertilizers'!$D:$D,'Data Fertilizers'!$P:$P,$B58,'Data Fertilizers'!$Q:$Q,"&gt;30",'Data Fertilizers'!$Q:$Q,"&lt;=60")</f>
        <v>0</v>
      </c>
      <c r="I58" s="19">
        <f>SUMIFS('Data Fertilizers'!$D:$D,'Data Fertilizers'!$P:$P,$B58,'Data Fertilizers'!$Q:$Q,"&gt;60",'Data Fertilizers'!$Q:$Q,"&lt;=90")</f>
        <v>0</v>
      </c>
      <c r="J58" s="19">
        <f>SUMIFS('Data Fertilizers'!$D:$D,'Data Fertilizers'!$P:$P,$B58,'Data Fertilizers'!$Q:$Q,"&gt;90",'Data Fertilizers'!$Q:$Q,"&lt;=120")</f>
        <v>0</v>
      </c>
      <c r="K58" s="19">
        <f>SUMIFS('Data Fertilizers'!$D:$D,'Data Fertilizers'!$P:$P,$B58,'Data Fertilizers'!$Q:$Q,"&gt;120",'Data Fertilizers'!$Q:$Q,"&lt;=180")</f>
        <v>0</v>
      </c>
      <c r="L58" s="19">
        <f>SUMIFS('Data Fertilizers'!$D:$D,'Data Fertilizers'!$P:$P,$B58,'Data Fertilizers'!$Q:$Q,"&gt;180",'Data Fertilizers'!$Q:$Q,"&lt;=360")</f>
        <v>0</v>
      </c>
      <c r="M58" s="23">
        <f>SUMIFS('Data Fertilizers'!$D:$D,'Data Fertilizers'!$P:$P,$B58,'Data Fertilizers'!$Q:$Q,"&gt;360")</f>
        <v>0</v>
      </c>
      <c r="N58" s="19">
        <f>SUMIFS('Data Fertilizers'!$D:$D,'Data Fertilizers'!$P:$P,$B58,'Data Fertilizers'!$Q:$Q,"&gt;0")</f>
        <v>0</v>
      </c>
      <c r="O58" s="19">
        <f t="shared" si="8"/>
        <v>0</v>
      </c>
      <c r="P58" s="19">
        <f>SUMIFS('Data Fertilizers'!$D:$D,'Data Fertilizers'!$P:$P,$B58,'Data Fertilizers'!$Q:$Q,"&lt;=0",'Data Fertilizers'!$Q:$Q,"&gt;=-30")</f>
        <v>0</v>
      </c>
      <c r="Q58" s="19">
        <f>SUMIFS('Data Fertilizers'!$D:$D,'Data Fertilizers'!$P:$P,$B58,'Data Fertilizers'!$Q:$Q,"&lt;=-31",'Data Fertilizers'!$Q:$Q,"&gt;=-60")</f>
        <v>0</v>
      </c>
      <c r="R58" s="19">
        <f>SUMIFS('Data Fertilizers'!$D:$D,'Data Fertilizers'!$P:$P,$B58,'Data Fertilizers'!$Q:$Q,"&lt;=-61",'Data Fertilizers'!$Q:$Q,"&gt;=-90")</f>
        <v>0</v>
      </c>
      <c r="S58" s="19">
        <f>SUMIFS('Data Fertilizers'!$D:$D,'Data Fertilizers'!$P:$P,$B58,'Data Fertilizers'!$Q:$Q,"&lt;=-91",'Data Fertilizers'!$Q:$Q,"&gt;=-120")</f>
        <v>0</v>
      </c>
      <c r="T58" s="19">
        <f>SUMIFS('Data Fertilizers'!$D:$D,'Data Fertilizers'!$P:$P,$B58,'Data Fertilizers'!$Q:$Q,"&lt;=-121",'Data Fertilizers'!$Q:$Q,"&gt;=-180")</f>
        <v>0</v>
      </c>
      <c r="U58" s="19">
        <f>SUMIFS('Data Fertilizers'!$D:$D,'Data Fertilizers'!$P:$P,$B58,'Data Fertilizers'!$Q:$Q,"&lt;=-181",'Data Fertilizers'!$Q:$Q,"&gt;=-360")</f>
        <v>0</v>
      </c>
      <c r="V58" s="23">
        <f>SUMIFS('Data Fertilizers'!$D:$D,'Data Fertilizers'!$P:$P,$B58,'Data Fertilizers'!$Q:$Q,"&lt;-360")</f>
        <v>0</v>
      </c>
      <c r="W58" s="19" t="e">
        <f>SUMIFS('Bad Debt Provision'!#REF!,'Bad Debt Provision'!#REF!,'Painel Fertilizers'!$B38)</f>
        <v>#REF!</v>
      </c>
      <c r="X58" s="5"/>
      <c r="Y58" s="20"/>
      <c r="Z58" s="20"/>
      <c r="AA58" s="21"/>
      <c r="AB58" s="5"/>
      <c r="AC58" s="19"/>
      <c r="AD58" s="20"/>
      <c r="AE58" s="22"/>
      <c r="AF58" s="22"/>
      <c r="AG58" s="5"/>
      <c r="AH58" s="28">
        <f t="shared" si="9"/>
        <v>0</v>
      </c>
      <c r="AJ58" s="26"/>
    </row>
    <row r="59" spans="2:38" x14ac:dyDescent="0.25">
      <c r="B59" s="47" t="s">
        <v>385</v>
      </c>
      <c r="C59" s="97" t="str" cm="1">
        <f t="array" ref="C59">IFERROR(INDEX('Limite de crédito'!$D:$D, MATCH(MAX(IF('Limite de crédito'!$C:$C=$B59, 'Limite de crédito'!$A:$A)), 'Limite de crédito'!$A:$A, 0)),"")</f>
        <v/>
      </c>
      <c r="D59" s="107" cm="1">
        <f t="array" ref="D59">IFERROR(INDEX('Limite de crédito'!$F:$F, MATCH(MAX(IF('Limite de crédito'!$C:$C=$B59, 'Limite de crédito'!$A:$A)), 'Limite de crédito'!$A:$A, 0)),0)</f>
        <v>0</v>
      </c>
      <c r="E59" s="18">
        <f t="shared" si="6"/>
        <v>0</v>
      </c>
      <c r="F59" s="18">
        <f t="shared" si="7"/>
        <v>0</v>
      </c>
      <c r="G59" s="19">
        <f>SUMIFS('Data Fertilizers'!$D:$D,'Data Fertilizers'!$P:$P,$B59,'Data Fertilizers'!$Q:$Q,"&gt;0",'Data Fertilizers'!$Q:$Q,"&lt;=30")</f>
        <v>0</v>
      </c>
      <c r="H59" s="19">
        <f>SUMIFS('Data Fertilizers'!$D:$D,'Data Fertilizers'!$P:$P,$B59,'Data Fertilizers'!$Q:$Q,"&gt;30",'Data Fertilizers'!$Q:$Q,"&lt;=60")</f>
        <v>0</v>
      </c>
      <c r="I59" s="19">
        <f>SUMIFS('Data Fertilizers'!$D:$D,'Data Fertilizers'!$P:$P,$B59,'Data Fertilizers'!$Q:$Q,"&gt;60",'Data Fertilizers'!$Q:$Q,"&lt;=90")</f>
        <v>0</v>
      </c>
      <c r="J59" s="19">
        <f>SUMIFS('Data Fertilizers'!$D:$D,'Data Fertilizers'!$P:$P,$B59,'Data Fertilizers'!$Q:$Q,"&gt;90",'Data Fertilizers'!$Q:$Q,"&lt;=120")</f>
        <v>0</v>
      </c>
      <c r="K59" s="19">
        <f>SUMIFS('Data Fertilizers'!$D:$D,'Data Fertilizers'!$P:$P,$B59,'Data Fertilizers'!$Q:$Q,"&gt;120",'Data Fertilizers'!$Q:$Q,"&lt;=180")</f>
        <v>0</v>
      </c>
      <c r="L59" s="19">
        <f>SUMIFS('Data Fertilizers'!$D:$D,'Data Fertilizers'!$P:$P,$B59,'Data Fertilizers'!$Q:$Q,"&gt;180",'Data Fertilizers'!$Q:$Q,"&lt;=360")</f>
        <v>0</v>
      </c>
      <c r="M59" s="23">
        <f>SUMIFS('Data Fertilizers'!$D:$D,'Data Fertilizers'!$P:$P,$B59,'Data Fertilizers'!$Q:$Q,"&gt;360")</f>
        <v>0</v>
      </c>
      <c r="N59" s="19">
        <f>SUMIFS('Data Fertilizers'!$D:$D,'Data Fertilizers'!$P:$P,$B59,'Data Fertilizers'!$Q:$Q,"&gt;0")</f>
        <v>0</v>
      </c>
      <c r="O59" s="19">
        <f t="shared" si="8"/>
        <v>0</v>
      </c>
      <c r="P59" s="19">
        <f>SUMIFS('Data Fertilizers'!$D:$D,'Data Fertilizers'!$P:$P,$B59,'Data Fertilizers'!$Q:$Q,"&lt;=0",'Data Fertilizers'!$Q:$Q,"&gt;=-30")</f>
        <v>0</v>
      </c>
      <c r="Q59" s="19">
        <f>SUMIFS('Data Fertilizers'!$D:$D,'Data Fertilizers'!$P:$P,$B59,'Data Fertilizers'!$Q:$Q,"&lt;=-31",'Data Fertilizers'!$Q:$Q,"&gt;=-60")</f>
        <v>0</v>
      </c>
      <c r="R59" s="19">
        <f>SUMIFS('Data Fertilizers'!$D:$D,'Data Fertilizers'!$P:$P,$B59,'Data Fertilizers'!$Q:$Q,"&lt;=-61",'Data Fertilizers'!$Q:$Q,"&gt;=-90")</f>
        <v>0</v>
      </c>
      <c r="S59" s="19">
        <f>SUMIFS('Data Fertilizers'!$D:$D,'Data Fertilizers'!$P:$P,$B59,'Data Fertilizers'!$Q:$Q,"&lt;=-91",'Data Fertilizers'!$Q:$Q,"&gt;=-120")</f>
        <v>0</v>
      </c>
      <c r="T59" s="19">
        <f>SUMIFS('Data Fertilizers'!$D:$D,'Data Fertilizers'!$P:$P,$B59,'Data Fertilizers'!$Q:$Q,"&lt;=-121",'Data Fertilizers'!$Q:$Q,"&gt;=-180")</f>
        <v>0</v>
      </c>
      <c r="U59" s="19">
        <f>SUMIFS('Data Fertilizers'!$D:$D,'Data Fertilizers'!$P:$P,$B59,'Data Fertilizers'!$Q:$Q,"&lt;=-181",'Data Fertilizers'!$Q:$Q,"&gt;=-360")</f>
        <v>0</v>
      </c>
      <c r="V59" s="23">
        <f>SUMIFS('Data Fertilizers'!$D:$D,'Data Fertilizers'!$P:$P,$B59,'Data Fertilizers'!$Q:$Q,"&lt;-360")</f>
        <v>0</v>
      </c>
      <c r="W59" s="19" t="e">
        <f>SUMIFS('Bad Debt Provision'!#REF!,'Bad Debt Provision'!#REF!,'Painel Fertilizers'!#REF!)</f>
        <v>#REF!</v>
      </c>
      <c r="X59" s="5"/>
      <c r="Y59" s="20"/>
      <c r="Z59" s="20"/>
      <c r="AA59" s="21"/>
      <c r="AB59" s="5"/>
      <c r="AC59" s="19"/>
      <c r="AD59" s="20"/>
      <c r="AE59" s="22"/>
      <c r="AF59" s="22"/>
      <c r="AG59" s="5"/>
      <c r="AH59" s="28">
        <f t="shared" si="9"/>
        <v>0</v>
      </c>
      <c r="AJ59" s="26"/>
    </row>
    <row r="60" spans="2:38" x14ac:dyDescent="0.25">
      <c r="B60" s="47" t="s">
        <v>386</v>
      </c>
      <c r="C60" s="97" t="str" cm="1">
        <f t="array" ref="C60">IFERROR(INDEX('Limite de crédito'!$D:$D, MATCH(MAX(IF('Limite de crédito'!$C:$C=$B60, 'Limite de crédito'!$A:$A)), 'Limite de crédito'!$A:$A, 0)),"")</f>
        <v/>
      </c>
      <c r="D60" s="107" cm="1">
        <f t="array" ref="D60">IFERROR(INDEX('Limite de crédito'!$F:$F, MATCH(MAX(IF('Limite de crédito'!$C:$C=$B60, 'Limite de crédito'!$A:$A)), 'Limite de crédito'!$A:$A, 0)),0)</f>
        <v>0</v>
      </c>
      <c r="E60" s="18">
        <f t="shared" si="6"/>
        <v>0</v>
      </c>
      <c r="F60" s="18">
        <f t="shared" si="7"/>
        <v>0</v>
      </c>
      <c r="G60" s="19">
        <f>SUMIFS('Data Fertilizers'!$D:$D,'Data Fertilizers'!$P:$P,$B60,'Data Fertilizers'!$Q:$Q,"&gt;0",'Data Fertilizers'!$Q:$Q,"&lt;=30")</f>
        <v>0</v>
      </c>
      <c r="H60" s="19">
        <f>SUMIFS('Data Fertilizers'!$D:$D,'Data Fertilizers'!$P:$P,$B60,'Data Fertilizers'!$Q:$Q,"&gt;30",'Data Fertilizers'!$Q:$Q,"&lt;=60")</f>
        <v>0</v>
      </c>
      <c r="I60" s="19">
        <f>SUMIFS('Data Fertilizers'!$D:$D,'Data Fertilizers'!$P:$P,$B60,'Data Fertilizers'!$Q:$Q,"&gt;60",'Data Fertilizers'!$Q:$Q,"&lt;=90")</f>
        <v>0</v>
      </c>
      <c r="J60" s="19">
        <f>SUMIFS('Data Fertilizers'!$D:$D,'Data Fertilizers'!$P:$P,$B60,'Data Fertilizers'!$Q:$Q,"&gt;90",'Data Fertilizers'!$Q:$Q,"&lt;=120")</f>
        <v>0</v>
      </c>
      <c r="K60" s="19">
        <f>SUMIFS('Data Fertilizers'!$D:$D,'Data Fertilizers'!$P:$P,$B60,'Data Fertilizers'!$Q:$Q,"&gt;120",'Data Fertilizers'!$Q:$Q,"&lt;=180")</f>
        <v>0</v>
      </c>
      <c r="L60" s="19">
        <f>SUMIFS('Data Fertilizers'!$D:$D,'Data Fertilizers'!$P:$P,$B60,'Data Fertilizers'!$Q:$Q,"&gt;180",'Data Fertilizers'!$Q:$Q,"&lt;=360")</f>
        <v>0</v>
      </c>
      <c r="M60" s="23">
        <f>SUMIFS('Data Fertilizers'!$D:$D,'Data Fertilizers'!$P:$P,$B60,'Data Fertilizers'!$Q:$Q,"&gt;360")</f>
        <v>0</v>
      </c>
      <c r="N60" s="19">
        <f>SUMIFS('Data Fertilizers'!$D:$D,'Data Fertilizers'!$P:$P,$B60,'Data Fertilizers'!$Q:$Q,"&gt;0")</f>
        <v>0</v>
      </c>
      <c r="O60" s="19">
        <f t="shared" si="8"/>
        <v>0</v>
      </c>
      <c r="P60" s="19">
        <f>SUMIFS('Data Fertilizers'!$D:$D,'Data Fertilizers'!$P:$P,$B60,'Data Fertilizers'!$Q:$Q,"&lt;=0",'Data Fertilizers'!$Q:$Q,"&gt;=-30")</f>
        <v>0</v>
      </c>
      <c r="Q60" s="19">
        <f>SUMIFS('Data Fertilizers'!$D:$D,'Data Fertilizers'!$P:$P,$B60,'Data Fertilizers'!$Q:$Q,"&lt;=-31",'Data Fertilizers'!$Q:$Q,"&gt;=-60")</f>
        <v>0</v>
      </c>
      <c r="R60" s="19">
        <f>SUMIFS('Data Fertilizers'!$D:$D,'Data Fertilizers'!$P:$P,$B60,'Data Fertilizers'!$Q:$Q,"&lt;=-61",'Data Fertilizers'!$Q:$Q,"&gt;=-90")</f>
        <v>0</v>
      </c>
      <c r="S60" s="19">
        <f>SUMIFS('Data Fertilizers'!$D:$D,'Data Fertilizers'!$P:$P,$B60,'Data Fertilizers'!$Q:$Q,"&lt;=-91",'Data Fertilizers'!$Q:$Q,"&gt;=-120")</f>
        <v>0</v>
      </c>
      <c r="T60" s="19">
        <f>SUMIFS('Data Fertilizers'!$D:$D,'Data Fertilizers'!$P:$P,$B60,'Data Fertilizers'!$Q:$Q,"&lt;=-121",'Data Fertilizers'!$Q:$Q,"&gt;=-180")</f>
        <v>0</v>
      </c>
      <c r="U60" s="19">
        <f>SUMIFS('Data Fertilizers'!$D:$D,'Data Fertilizers'!$P:$P,$B60,'Data Fertilizers'!$Q:$Q,"&lt;=-181",'Data Fertilizers'!$Q:$Q,"&gt;=-360")</f>
        <v>0</v>
      </c>
      <c r="V60" s="23">
        <f>SUMIFS('Data Fertilizers'!$D:$D,'Data Fertilizers'!$P:$P,$B60,'Data Fertilizers'!$Q:$Q,"&lt;-360")</f>
        <v>0</v>
      </c>
      <c r="W60" s="19" t="e">
        <f>SUMIFS('Bad Debt Provision'!#REF!,'Bad Debt Provision'!#REF!,'Painel Fertilizers'!$B39)</f>
        <v>#REF!</v>
      </c>
      <c r="X60" s="5"/>
      <c r="Y60" s="20"/>
      <c r="Z60" s="20"/>
      <c r="AA60" s="21"/>
      <c r="AB60" s="5"/>
      <c r="AC60" s="19"/>
      <c r="AD60" s="20"/>
      <c r="AE60" s="22"/>
      <c r="AF60" s="22"/>
      <c r="AG60" s="5"/>
      <c r="AH60" s="28">
        <f t="shared" si="9"/>
        <v>0</v>
      </c>
      <c r="AJ60" s="26"/>
    </row>
    <row r="61" spans="2:38" x14ac:dyDescent="0.25">
      <c r="B61" s="111" t="s">
        <v>203</v>
      </c>
      <c r="C61" s="104" t="str" cm="1">
        <f t="array" ref="C61">IFERROR(INDEX('Limite de crédito'!$D:$D, MATCH(MAX(IF('Limite de crédito'!$C:$C=$B61, 'Limite de crédito'!$A:$A)), 'Limite de crédito'!$A:$A, 0)),"")</f>
        <v/>
      </c>
      <c r="D61" s="107" cm="1">
        <f t="array" ref="D61">IFERROR(INDEX('Limite de crédito'!$F:$F, MATCH(MAX(IF('Limite de crédito'!$C:$C=$B61, 'Limite de crédito'!$A:$A)), 'Limite de crédito'!$A:$A, 0)),0)</f>
        <v>0</v>
      </c>
      <c r="E61" s="18">
        <f t="shared" si="6"/>
        <v>0</v>
      </c>
      <c r="F61" s="18">
        <f t="shared" si="7"/>
        <v>0</v>
      </c>
      <c r="G61" s="19">
        <f>SUMIFS('Data Fertilizers'!$D:$D,'Data Fertilizers'!$P:$P,$B61,'Data Fertilizers'!$Q:$Q,"&gt;0",'Data Fertilizers'!$Q:$Q,"&lt;=30")</f>
        <v>0</v>
      </c>
      <c r="H61" s="19">
        <f>SUMIFS('Data Fertilizers'!$D:$D,'Data Fertilizers'!$P:$P,$B61,'Data Fertilizers'!$Q:$Q,"&gt;30",'Data Fertilizers'!$Q:$Q,"&lt;=60")</f>
        <v>0</v>
      </c>
      <c r="I61" s="19">
        <f>SUMIFS('Data Fertilizers'!$D:$D,'Data Fertilizers'!$P:$P,$B61,'Data Fertilizers'!$Q:$Q,"&gt;60",'Data Fertilizers'!$Q:$Q,"&lt;=90")</f>
        <v>0</v>
      </c>
      <c r="J61" s="19">
        <f>SUMIFS('Data Fertilizers'!$D:$D,'Data Fertilizers'!$P:$P,$B61,'Data Fertilizers'!$Q:$Q,"&gt;90",'Data Fertilizers'!$Q:$Q,"&lt;=120")</f>
        <v>0</v>
      </c>
      <c r="K61" s="19">
        <f>SUMIFS('Data Fertilizers'!$D:$D,'Data Fertilizers'!$P:$P,$B61,'Data Fertilizers'!$Q:$Q,"&gt;120",'Data Fertilizers'!$Q:$Q,"&lt;=180")</f>
        <v>0</v>
      </c>
      <c r="L61" s="19">
        <f>SUMIFS('Data Fertilizers'!$D:$D,'Data Fertilizers'!$P:$P,$B61,'Data Fertilizers'!$Q:$Q,"&gt;180",'Data Fertilizers'!$Q:$Q,"&lt;=360")</f>
        <v>0</v>
      </c>
      <c r="M61" s="23">
        <f>SUMIFS('Data Fertilizers'!$D:$D,'Data Fertilizers'!$P:$P,$B61,'Data Fertilizers'!$Q:$Q,"&gt;360")</f>
        <v>0</v>
      </c>
      <c r="N61" s="19">
        <f>SUMIFS('Data Fertilizers'!$D:$D,'Data Fertilizers'!$P:$P,$B61,'Data Fertilizers'!$Q:$Q,"&gt;0")</f>
        <v>0</v>
      </c>
      <c r="O61" s="19">
        <f t="shared" si="8"/>
        <v>0</v>
      </c>
      <c r="P61" s="19">
        <f>SUMIFS('Data Fertilizers'!$D:$D,'Data Fertilizers'!$P:$P,$B61,'Data Fertilizers'!$Q:$Q,"&lt;=0",'Data Fertilizers'!$Q:$Q,"&gt;=-30")</f>
        <v>0</v>
      </c>
      <c r="Q61" s="19">
        <f>SUMIFS('Data Fertilizers'!$D:$D,'Data Fertilizers'!$P:$P,$B61,'Data Fertilizers'!$Q:$Q,"&lt;=-31",'Data Fertilizers'!$Q:$Q,"&gt;=-60")</f>
        <v>0</v>
      </c>
      <c r="R61" s="19">
        <f>SUMIFS('Data Fertilizers'!$D:$D,'Data Fertilizers'!$P:$P,$B61,'Data Fertilizers'!$Q:$Q,"&lt;=-61",'Data Fertilizers'!$Q:$Q,"&gt;=-90")</f>
        <v>0</v>
      </c>
      <c r="S61" s="19">
        <f>SUMIFS('Data Fertilizers'!$D:$D,'Data Fertilizers'!$P:$P,$B61,'Data Fertilizers'!$Q:$Q,"&lt;=-91",'Data Fertilizers'!$Q:$Q,"&gt;=-120")</f>
        <v>0</v>
      </c>
      <c r="T61" s="19">
        <f>SUMIFS('Data Fertilizers'!$D:$D,'Data Fertilizers'!$P:$P,$B61,'Data Fertilizers'!$Q:$Q,"&lt;=-121",'Data Fertilizers'!$Q:$Q,"&gt;=-180")</f>
        <v>0</v>
      </c>
      <c r="U61" s="19">
        <f>SUMIFS('Data Fertilizers'!$D:$D,'Data Fertilizers'!$P:$P,$B61,'Data Fertilizers'!$Q:$Q,"&lt;=-181",'Data Fertilizers'!$Q:$Q,"&gt;=-360")</f>
        <v>0</v>
      </c>
      <c r="V61" s="23">
        <f>SUMIFS('Data Fertilizers'!$D:$D,'Data Fertilizers'!$P:$P,$B61,'Data Fertilizers'!$Q:$Q,"&lt;-360")</f>
        <v>0</v>
      </c>
      <c r="W61" s="19" t="e">
        <f>SUMIFS('Bad Debt Provision'!#REF!,'Bad Debt Provision'!#REF!,'Painel Fertilizers'!$B8)</f>
        <v>#REF!</v>
      </c>
      <c r="X61" s="5"/>
      <c r="Y61" s="20">
        <v>20000</v>
      </c>
      <c r="Z61" s="20" t="s">
        <v>227</v>
      </c>
      <c r="AA61" s="21">
        <v>0</v>
      </c>
      <c r="AB61" s="5"/>
      <c r="AC61" s="19">
        <v>0</v>
      </c>
      <c r="AD61" s="20">
        <v>0</v>
      </c>
      <c r="AE61" s="22"/>
      <c r="AF61" s="22"/>
      <c r="AG61" s="5"/>
      <c r="AH61" s="28">
        <f t="shared" si="9"/>
        <v>0</v>
      </c>
      <c r="AI61" s="5"/>
      <c r="AJ61" s="26"/>
    </row>
    <row r="62" spans="2:38" x14ac:dyDescent="0.25">
      <c r="B62" s="111" t="s">
        <v>150</v>
      </c>
      <c r="C62" s="104" cm="1">
        <f t="array" ref="C62">IFERROR(INDEX('Limite de crédito'!$D:$D, MATCH(MAX(IF('Limite de crédito'!$C:$C=$B62, 'Limite de crédito'!$A:$A)), 'Limite de crédito'!$A:$A, 0)),"")</f>
        <v>45966</v>
      </c>
      <c r="D62" s="107" t="str" cm="1">
        <f t="array" ref="D62">IFERROR(INDEX('Limite de crédito'!$F:$F, MATCH(MAX(IF('Limite de crédito'!$C:$C=$B62, 'Limite de crédito'!$A:$A)), 'Limite de crédito'!$A:$A, 0)),0)</f>
        <v>Sim</v>
      </c>
      <c r="E62" s="18" t="e">
        <f t="shared" si="6"/>
        <v>#VALUE!</v>
      </c>
      <c r="F62" s="18">
        <f t="shared" si="7"/>
        <v>0</v>
      </c>
      <c r="G62" s="19">
        <f>SUMIFS('Data Fertilizers'!$D:$D,'Data Fertilizers'!$P:$P,$B62,'Data Fertilizers'!$Q:$Q,"&gt;0",'Data Fertilizers'!$Q:$Q,"&lt;=30")</f>
        <v>0</v>
      </c>
      <c r="H62" s="19">
        <f>SUMIFS('Data Fertilizers'!$D:$D,'Data Fertilizers'!$P:$P,$B62,'Data Fertilizers'!$Q:$Q,"&gt;30",'Data Fertilizers'!$Q:$Q,"&lt;=60")</f>
        <v>0</v>
      </c>
      <c r="I62" s="19">
        <f>SUMIFS('Data Fertilizers'!$D:$D,'Data Fertilizers'!$P:$P,$B62,'Data Fertilizers'!$Q:$Q,"&gt;60",'Data Fertilizers'!$Q:$Q,"&lt;=90")</f>
        <v>0</v>
      </c>
      <c r="J62" s="19">
        <f>SUMIFS('Data Fertilizers'!$D:$D,'Data Fertilizers'!$P:$P,$B62,'Data Fertilizers'!$Q:$Q,"&gt;90",'Data Fertilizers'!$Q:$Q,"&lt;=120")</f>
        <v>0</v>
      </c>
      <c r="K62" s="19">
        <f>SUMIFS('Data Fertilizers'!$D:$D,'Data Fertilizers'!$P:$P,$B62,'Data Fertilizers'!$Q:$Q,"&gt;120",'Data Fertilizers'!$Q:$Q,"&lt;=180")</f>
        <v>0</v>
      </c>
      <c r="L62" s="19">
        <f>SUMIFS('Data Fertilizers'!$D:$D,'Data Fertilizers'!$P:$P,$B62,'Data Fertilizers'!$Q:$Q,"&gt;180",'Data Fertilizers'!$Q:$Q,"&lt;=360")</f>
        <v>0</v>
      </c>
      <c r="M62" s="23">
        <f>SUMIFS('Data Fertilizers'!$D:$D,'Data Fertilizers'!$P:$P,$B62,'Data Fertilizers'!$Q:$Q,"&gt;360")</f>
        <v>0</v>
      </c>
      <c r="N62" s="19">
        <f>SUMIFS('Data Fertilizers'!$D:$D,'Data Fertilizers'!$P:$P,$B62,'Data Fertilizers'!$Q:$Q,"&gt;0")</f>
        <v>0</v>
      </c>
      <c r="O62" s="19">
        <f t="shared" si="8"/>
        <v>0</v>
      </c>
      <c r="P62" s="19">
        <f>SUMIFS('Data Fertilizers'!$D:$D,'Data Fertilizers'!$P:$P,$B62,'Data Fertilizers'!$Q:$Q,"&lt;=0",'Data Fertilizers'!$Q:$Q,"&gt;=-30")</f>
        <v>0</v>
      </c>
      <c r="Q62" s="19">
        <f>SUMIFS('Data Fertilizers'!$D:$D,'Data Fertilizers'!$P:$P,$B62,'Data Fertilizers'!$Q:$Q,"&lt;=-31",'Data Fertilizers'!$Q:$Q,"&gt;=-60")</f>
        <v>0</v>
      </c>
      <c r="R62" s="19">
        <f>SUMIFS('Data Fertilizers'!$D:$D,'Data Fertilizers'!$P:$P,$B62,'Data Fertilizers'!$Q:$Q,"&lt;=-61",'Data Fertilizers'!$Q:$Q,"&gt;=-90")</f>
        <v>0</v>
      </c>
      <c r="S62" s="19">
        <f>SUMIFS('Data Fertilizers'!$D:$D,'Data Fertilizers'!$P:$P,$B62,'Data Fertilizers'!$Q:$Q,"&lt;=-91",'Data Fertilizers'!$Q:$Q,"&gt;=-120")</f>
        <v>0</v>
      </c>
      <c r="T62" s="19">
        <f>SUMIFS('Data Fertilizers'!$D:$D,'Data Fertilizers'!$P:$P,$B62,'Data Fertilizers'!$Q:$Q,"&lt;=-121",'Data Fertilizers'!$Q:$Q,"&gt;=-180")</f>
        <v>0</v>
      </c>
      <c r="U62" s="19">
        <f>SUMIFS('Data Fertilizers'!$D:$D,'Data Fertilizers'!$P:$P,$B62,'Data Fertilizers'!$Q:$Q,"&lt;=-181",'Data Fertilizers'!$Q:$Q,"&gt;=-360")</f>
        <v>0</v>
      </c>
      <c r="V62" s="23">
        <f>SUMIFS('Data Fertilizers'!$D:$D,'Data Fertilizers'!$P:$P,$B62,'Data Fertilizers'!$Q:$Q,"&lt;-360")</f>
        <v>0</v>
      </c>
      <c r="W62" s="19" t="e">
        <f>SUMIFS('Bad Debt Provision'!#REF!,'Bad Debt Provision'!#REF!,'Painel Fertilizers'!$B9)</f>
        <v>#REF!</v>
      </c>
      <c r="X62" s="5"/>
      <c r="Y62" s="20">
        <v>0</v>
      </c>
      <c r="Z62" s="20">
        <v>0</v>
      </c>
      <c r="AA62" s="21">
        <v>0</v>
      </c>
      <c r="AB62" s="5"/>
      <c r="AC62" s="19">
        <v>0</v>
      </c>
      <c r="AD62" s="20">
        <v>0</v>
      </c>
      <c r="AE62" s="22"/>
      <c r="AF62" s="22"/>
      <c r="AG62" s="5"/>
      <c r="AH62" s="28">
        <f t="shared" si="9"/>
        <v>0</v>
      </c>
      <c r="AI62" s="5"/>
      <c r="AJ62" s="26"/>
      <c r="AL62" s="36"/>
    </row>
    <row r="63" spans="2:38" x14ac:dyDescent="0.25">
      <c r="B63" s="47" t="s">
        <v>469</v>
      </c>
      <c r="C63" s="97" t="str" cm="1">
        <f t="array" ref="C63">IFERROR(INDEX('Limite de crédito'!$D:$D, MATCH(MAX(IF('Limite de crédito'!$C:$C=$B63, 'Limite de crédito'!$A:$A)), 'Limite de crédito'!$A:$A, 0)),"")</f>
        <v/>
      </c>
      <c r="D63" s="107" cm="1">
        <f t="array" ref="D63">IFERROR(INDEX('Limite de crédito'!$F:$F, MATCH(MAX(IF('Limite de crédito'!$C:$C=$B63, 'Limite de crédito'!$A:$A)), 'Limite de crédito'!$A:$A, 0)),0)</f>
        <v>0</v>
      </c>
      <c r="E63" s="18">
        <f t="shared" ref="E63" si="10">D63-F63</f>
        <v>0</v>
      </c>
      <c r="F63" s="18">
        <f t="shared" ref="F63" si="11">O63+N63</f>
        <v>0</v>
      </c>
      <c r="G63" s="19">
        <f>SUMIFS('Data Fertilizers'!$D:$D,'Data Fertilizers'!$P:$P,$B63,'Data Fertilizers'!$Q:$Q,"&gt;0",'Data Fertilizers'!$Q:$Q,"&lt;=30")</f>
        <v>0</v>
      </c>
      <c r="H63" s="19">
        <f>SUMIFS('Data Fertilizers'!$D:$D,'Data Fertilizers'!$P:$P,$B63,'Data Fertilizers'!$Q:$Q,"&gt;30",'Data Fertilizers'!$Q:$Q,"&lt;=60")</f>
        <v>0</v>
      </c>
      <c r="I63" s="19">
        <f>SUMIFS('Data Fertilizers'!$D:$D,'Data Fertilizers'!$P:$P,$B63,'Data Fertilizers'!$Q:$Q,"&gt;60",'Data Fertilizers'!$Q:$Q,"&lt;=90")</f>
        <v>0</v>
      </c>
      <c r="J63" s="19">
        <f>SUMIFS('Data Fertilizers'!$D:$D,'Data Fertilizers'!$P:$P,$B63,'Data Fertilizers'!$Q:$Q,"&gt;90",'Data Fertilizers'!$Q:$Q,"&lt;=120")</f>
        <v>0</v>
      </c>
      <c r="K63" s="19">
        <f>SUMIFS('Data Fertilizers'!$D:$D,'Data Fertilizers'!$P:$P,$B63,'Data Fertilizers'!$Q:$Q,"&gt;120",'Data Fertilizers'!$Q:$Q,"&lt;=180")</f>
        <v>0</v>
      </c>
      <c r="L63" s="19">
        <f>SUMIFS('Data Fertilizers'!$D:$D,'Data Fertilizers'!$P:$P,$B63,'Data Fertilizers'!$Q:$Q,"&gt;180",'Data Fertilizers'!$Q:$Q,"&lt;=360")</f>
        <v>0</v>
      </c>
      <c r="M63" s="23">
        <f>SUMIFS('Data Fertilizers'!$D:$D,'Data Fertilizers'!$P:$P,$B63,'Data Fertilizers'!$Q:$Q,"&gt;360")</f>
        <v>0</v>
      </c>
      <c r="N63" s="19">
        <f>SUMIFS('Data Fertilizers'!$D:$D,'Data Fertilizers'!$P:$P,$B63,'Data Fertilizers'!$Q:$Q,"&gt;0")</f>
        <v>0</v>
      </c>
      <c r="O63" s="19">
        <f t="shared" ref="O63" si="12">SUBTOTAL(9,P63:V63)</f>
        <v>0</v>
      </c>
      <c r="P63" s="19">
        <f>SUMIFS('Data Fertilizers'!$D:$D,'Data Fertilizers'!$P:$P,$B63,'Data Fertilizers'!$Q:$Q,"&lt;=0",'Data Fertilizers'!$Q:$Q,"&gt;=-30")</f>
        <v>0</v>
      </c>
      <c r="Q63" s="19">
        <f>SUMIFS('Data Fertilizers'!$D:$D,'Data Fertilizers'!$P:$P,$B63,'Data Fertilizers'!$Q:$Q,"&lt;=-31",'Data Fertilizers'!$Q:$Q,"&gt;=-60")</f>
        <v>0</v>
      </c>
      <c r="R63" s="19">
        <f>SUMIFS('Data Fertilizers'!$D:$D,'Data Fertilizers'!$P:$P,$B63,'Data Fertilizers'!$Q:$Q,"&lt;=-61",'Data Fertilizers'!$Q:$Q,"&gt;=-90")</f>
        <v>0</v>
      </c>
      <c r="S63" s="19">
        <f>SUMIFS('Data Fertilizers'!$D:$D,'Data Fertilizers'!$P:$P,$B63,'Data Fertilizers'!$Q:$Q,"&lt;=-91",'Data Fertilizers'!$Q:$Q,"&gt;=-120")</f>
        <v>0</v>
      </c>
      <c r="T63" s="19">
        <f>SUMIFS('Data Fertilizers'!$D:$D,'Data Fertilizers'!$P:$P,$B63,'Data Fertilizers'!$Q:$Q,"&lt;=-121",'Data Fertilizers'!$Q:$Q,"&gt;=-180")</f>
        <v>0</v>
      </c>
      <c r="U63" s="19">
        <f>SUMIFS('Data Fertilizers'!$D:$D,'Data Fertilizers'!$P:$P,$B63,'Data Fertilizers'!$Q:$Q,"&lt;=-181",'Data Fertilizers'!$Q:$Q,"&gt;=-360")</f>
        <v>0</v>
      </c>
      <c r="V63" s="23">
        <f>SUMIFS('Data Fertilizers'!$D:$D,'Data Fertilizers'!$P:$P,$B63,'Data Fertilizers'!$Q:$Q,"&lt;-360")</f>
        <v>0</v>
      </c>
      <c r="W63" s="19" t="e">
        <f>SUMIFS('Bad Debt Provision'!#REF!,'Bad Debt Provision'!#REF!,'Painel Fertilizers'!#REF!)</f>
        <v>#REF!</v>
      </c>
      <c r="Y63" s="20"/>
      <c r="Z63" s="20"/>
      <c r="AA63" s="21"/>
      <c r="AB63" s="5"/>
      <c r="AC63" s="19"/>
      <c r="AD63" s="20"/>
      <c r="AE63" s="22"/>
      <c r="AF63" s="22"/>
      <c r="AG63" s="5"/>
      <c r="AH63" s="28">
        <f t="shared" ref="AH63" si="13">AC63-F63</f>
        <v>0</v>
      </c>
    </row>
  </sheetData>
  <autoFilter ref="A3:AL62" xr:uid="{09089C1F-5E89-4D89-BD47-6410F9E22C3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5C85F-7CFA-4620-8217-7766EBCCEB05}">
  <sheetPr>
    <tabColor theme="4"/>
  </sheetPr>
  <dimension ref="A1:AL38"/>
  <sheetViews>
    <sheetView showGridLines="0" zoomScale="90" zoomScaleNormal="90" workbookViewId="0">
      <pane xSplit="2" ySplit="3" topLeftCell="C21" activePane="bottomRight" state="frozen"/>
      <selection sqref="A1:XFD1048576"/>
      <selection pane="topRight" sqref="A1:XFD1048576"/>
      <selection pane="bottomLeft" sqref="A1:XFD1048576"/>
      <selection pane="bottomRight" activeCell="A1048576" sqref="A1048576"/>
    </sheetView>
  </sheetViews>
  <sheetFormatPr defaultRowHeight="13.2" outlineLevelCol="1" x14ac:dyDescent="0.25"/>
  <cols>
    <col min="1" max="1" width="3.109375" customWidth="1"/>
    <col min="2" max="2" width="47.109375" bestFit="1" customWidth="1"/>
    <col min="3" max="3" width="8.33203125" customWidth="1"/>
    <col min="4" max="4" width="12.33203125" customWidth="1"/>
    <col min="5" max="5" width="18.44140625" customWidth="1"/>
    <col min="6" max="6" width="15.33203125" customWidth="1"/>
    <col min="7" max="7" width="16.5546875" hidden="1" customWidth="1" outlineLevel="1"/>
    <col min="8" max="9" width="11.5546875" hidden="1" customWidth="1" outlineLevel="1"/>
    <col min="10" max="10" width="12.6640625" hidden="1" customWidth="1" outlineLevel="1"/>
    <col min="11" max="12" width="13.88671875" hidden="1" customWidth="1" outlineLevel="1"/>
    <col min="13" max="13" width="16.6640625" hidden="1" customWidth="1" outlineLevel="1"/>
    <col min="14" max="14" width="14.88671875" bestFit="1" customWidth="1" collapsed="1"/>
    <col min="15" max="15" width="14.88671875" customWidth="1"/>
    <col min="16" max="16" width="10.44140625" hidden="1" customWidth="1" outlineLevel="1"/>
    <col min="17" max="18" width="11.5546875" hidden="1" customWidth="1" outlineLevel="1"/>
    <col min="19" max="19" width="12.6640625" hidden="1" customWidth="1" outlineLevel="1"/>
    <col min="20" max="21" width="13.88671875" hidden="1" customWidth="1" outlineLevel="1"/>
    <col min="22" max="22" width="16.6640625" hidden="1" customWidth="1" outlineLevel="1"/>
    <col min="23" max="23" width="14.88671875" bestFit="1" customWidth="1" collapsed="1"/>
    <col min="24" max="24" width="1.6640625" customWidth="1"/>
    <col min="25" max="25" width="10.44140625" bestFit="1" customWidth="1"/>
    <col min="26" max="26" width="13.33203125" customWidth="1"/>
    <col min="27" max="27" width="13.33203125" style="16" customWidth="1"/>
    <col min="28" max="28" width="1.6640625" customWidth="1"/>
    <col min="29" max="29" width="10.6640625" customWidth="1"/>
    <col min="30" max="30" width="12.33203125" customWidth="1"/>
    <col min="31" max="31" width="10" style="7" customWidth="1"/>
    <col min="32" max="32" width="7.5546875" style="16" customWidth="1"/>
    <col min="33" max="33" width="1.6640625" customWidth="1"/>
    <col min="34" max="34" width="16.5546875" style="29" customWidth="1"/>
    <col min="35" max="35" width="1.6640625" customWidth="1"/>
    <col min="36" max="36" width="23.5546875" customWidth="1"/>
  </cols>
  <sheetData>
    <row r="1" spans="1:38" s="9" customFormat="1" ht="12" x14ac:dyDescent="0.25">
      <c r="B1" s="96">
        <v>45673</v>
      </c>
      <c r="C1" s="11"/>
      <c r="D1" s="11"/>
      <c r="E1" s="11"/>
      <c r="F1" s="9">
        <f t="shared" ref="F1:N1" si="0">SUBTOTAL(9,F4:F128)</f>
        <v>4515792.6399999997</v>
      </c>
      <c r="G1" s="9">
        <f t="shared" si="0"/>
        <v>0</v>
      </c>
      <c r="H1" s="9">
        <f t="shared" si="0"/>
        <v>0</v>
      </c>
      <c r="I1" s="9">
        <f t="shared" si="0"/>
        <v>0</v>
      </c>
      <c r="J1" s="9">
        <f t="shared" si="0"/>
        <v>14548.35</v>
      </c>
      <c r="K1" s="9">
        <f t="shared" si="0"/>
        <v>0</v>
      </c>
      <c r="L1" s="9">
        <f t="shared" si="0"/>
        <v>0</v>
      </c>
      <c r="M1" s="9">
        <f t="shared" si="0"/>
        <v>0</v>
      </c>
      <c r="N1" s="9">
        <f t="shared" si="0"/>
        <v>14548.35</v>
      </c>
      <c r="O1" s="9">
        <f t="shared" ref="O1:W1" si="1">SUM(O4:O129)</f>
        <v>4501244.29</v>
      </c>
      <c r="P1" s="9">
        <f t="shared" si="1"/>
        <v>894347.34999999986</v>
      </c>
      <c r="Q1" s="9">
        <f t="shared" si="1"/>
        <v>3530416.7099999995</v>
      </c>
      <c r="R1" s="9">
        <f t="shared" si="1"/>
        <v>0</v>
      </c>
      <c r="S1" s="9">
        <f t="shared" si="1"/>
        <v>0</v>
      </c>
      <c r="T1" s="9">
        <f t="shared" si="1"/>
        <v>0</v>
      </c>
      <c r="U1" s="9">
        <f t="shared" si="1"/>
        <v>76480.23</v>
      </c>
      <c r="V1" s="9">
        <f t="shared" si="1"/>
        <v>0</v>
      </c>
      <c r="W1" s="9" t="e">
        <f t="shared" si="1"/>
        <v>#REF!</v>
      </c>
      <c r="X1" s="10"/>
      <c r="Y1" s="42">
        <f>N1/F1</f>
        <v>3.2216603284955089E-3</v>
      </c>
      <c r="Z1" s="10"/>
      <c r="AA1" s="14"/>
      <c r="AB1" s="10"/>
      <c r="AE1" s="10"/>
      <c r="AF1" s="14"/>
      <c r="AG1" s="10"/>
      <c r="AH1" s="27"/>
      <c r="AI1" s="10"/>
    </row>
    <row r="2" spans="1:38" ht="18.600000000000001" customHeight="1" thickBot="1" x14ac:dyDescent="0.3">
      <c r="B2" s="8"/>
      <c r="C2" s="8"/>
      <c r="D2" s="8"/>
      <c r="E2" s="8"/>
      <c r="F2" s="8"/>
      <c r="G2" s="45" t="s">
        <v>26</v>
      </c>
      <c r="H2" s="45"/>
      <c r="I2" s="45"/>
      <c r="J2" s="45"/>
      <c r="K2" s="45"/>
      <c r="L2" s="45"/>
      <c r="M2" s="45"/>
      <c r="N2" s="33"/>
      <c r="O2" s="33"/>
      <c r="P2" s="45" t="s">
        <v>16</v>
      </c>
      <c r="Q2" s="45"/>
      <c r="R2" s="45"/>
      <c r="S2" s="45"/>
      <c r="T2" s="45"/>
      <c r="U2" s="45"/>
      <c r="V2" s="45"/>
      <c r="W2" s="8"/>
      <c r="X2" s="6"/>
      <c r="Y2" s="46" t="s">
        <v>158</v>
      </c>
      <c r="Z2" s="46"/>
      <c r="AA2" s="46"/>
      <c r="AB2" s="6"/>
      <c r="AC2" s="46" t="s">
        <v>7</v>
      </c>
      <c r="AD2" s="46"/>
      <c r="AE2" s="46"/>
      <c r="AF2" s="46"/>
      <c r="AG2" s="6"/>
      <c r="AH2" s="37" t="s">
        <v>25</v>
      </c>
      <c r="AI2" s="6"/>
      <c r="AJ2" s="39" t="s">
        <v>24</v>
      </c>
      <c r="AK2" s="24"/>
      <c r="AL2" s="24"/>
    </row>
    <row r="3" spans="1:38" ht="15" thickTop="1" thickBot="1" x14ac:dyDescent="0.3">
      <c r="A3" t="s">
        <v>224</v>
      </c>
      <c r="B3" s="8" t="s">
        <v>22</v>
      </c>
      <c r="C3" s="95" t="s">
        <v>435</v>
      </c>
      <c r="D3" s="95" t="s">
        <v>467</v>
      </c>
      <c r="E3" s="95" t="s">
        <v>436</v>
      </c>
      <c r="F3" s="12" t="s">
        <v>17</v>
      </c>
      <c r="G3" s="43" t="s">
        <v>9</v>
      </c>
      <c r="H3" s="43" t="s">
        <v>10</v>
      </c>
      <c r="I3" s="43" t="s">
        <v>11</v>
      </c>
      <c r="J3" s="43" t="s">
        <v>12</v>
      </c>
      <c r="K3" s="43" t="s">
        <v>13</v>
      </c>
      <c r="L3" s="43" t="s">
        <v>14</v>
      </c>
      <c r="M3" s="44" t="s">
        <v>15</v>
      </c>
      <c r="N3" s="12" t="s">
        <v>27</v>
      </c>
      <c r="O3" s="12" t="s">
        <v>8</v>
      </c>
      <c r="P3" s="43" t="s">
        <v>9</v>
      </c>
      <c r="Q3" s="43" t="s">
        <v>10</v>
      </c>
      <c r="R3" s="43" t="s">
        <v>11</v>
      </c>
      <c r="S3" s="43" t="s">
        <v>12</v>
      </c>
      <c r="T3" s="43" t="s">
        <v>13</v>
      </c>
      <c r="U3" s="43" t="s">
        <v>14</v>
      </c>
      <c r="V3" s="44" t="s">
        <v>15</v>
      </c>
      <c r="W3" s="12" t="s">
        <v>297</v>
      </c>
      <c r="X3" s="6" t="s">
        <v>224</v>
      </c>
      <c r="Y3" s="12" t="s">
        <v>18</v>
      </c>
      <c r="Z3" s="13" t="s">
        <v>20</v>
      </c>
      <c r="AA3" s="15" t="s">
        <v>21</v>
      </c>
      <c r="AB3" s="6" t="s">
        <v>224</v>
      </c>
      <c r="AC3" s="12" t="s">
        <v>18</v>
      </c>
      <c r="AD3" s="13" t="s">
        <v>20</v>
      </c>
      <c r="AE3" s="13" t="s">
        <v>19</v>
      </c>
      <c r="AF3" s="15" t="s">
        <v>23</v>
      </c>
      <c r="AG3" s="6" t="s">
        <v>224</v>
      </c>
      <c r="AH3" s="38"/>
      <c r="AI3" s="6" t="s">
        <v>224</v>
      </c>
      <c r="AJ3" s="40"/>
      <c r="AK3" s="24" t="s">
        <v>224</v>
      </c>
      <c r="AL3" s="24"/>
    </row>
    <row r="4" spans="1:38" ht="13.8" thickTop="1" x14ac:dyDescent="0.25">
      <c r="B4" s="41" t="s">
        <v>336</v>
      </c>
      <c r="C4" s="19" t="str" cm="1">
        <f t="array" ref="C4">IFERROR(INDEX('Limite de crédito'!$D:$D, MATCH(MAX(IF('Limite de crédito'!$C:$C=$B4, 'Limite de crédito'!$A:$A)), 'Limite de crédito'!$A:$A, 0)),"")</f>
        <v/>
      </c>
      <c r="D4" s="105" cm="1">
        <f t="array" ref="D4">IFERROR(INDEX('Limite de crédito'!$F:$F, MATCH(MAX(IF('Limite de crédito'!$C:$C=$B4, 'Limite de crédito'!$A:$A)), 'Limite de crédito'!$A:$A, 0)),0)</f>
        <v>0</v>
      </c>
      <c r="E4" s="18">
        <f t="shared" ref="E4:E37" si="2">D4-F4</f>
        <v>0</v>
      </c>
      <c r="F4" s="18">
        <f t="shared" ref="F4:F37" si="3">O4+N4</f>
        <v>0</v>
      </c>
      <c r="G4" s="19">
        <f>SUMIFS('Data International'!$D:$D,'Data International'!$P:$P,'Painel International'!#REF!,'Data International'!$Q:$Q,"&gt;0",'Data International'!$Q:$Q,"&lt;=30")</f>
        <v>0</v>
      </c>
      <c r="H4" s="19">
        <f>SUMIFS('Data International'!$D:$D,'Data International'!$P:$P,'Painel International'!#REF!,'Data International'!$Q:$Q,"&gt;30",'Data International'!$Q:$Q,"&lt;=60")</f>
        <v>0</v>
      </c>
      <c r="I4" s="19">
        <f>SUMIFS('Data International'!$D:$D,'Data International'!$P:$P,'Painel International'!#REF!,'Data International'!$Q:$Q,"&gt;60",'Data International'!$Q:$Q,"&lt;=90")</f>
        <v>0</v>
      </c>
      <c r="J4" s="19">
        <f>SUMIFS('Data International'!$D:$D,'Data International'!$P:$P,'Painel International'!#REF!,'Data International'!$Q:$Q,"&gt;90",'Data International'!$Q:$Q,"&lt;=120")</f>
        <v>0</v>
      </c>
      <c r="K4" s="19">
        <f>SUMIFS('Data International'!$D:$D,'Data International'!$P:$P,'Painel International'!#REF!,'Data International'!$Q:$Q,"&gt;120",'Data International'!$Q:$Q,"&lt;=180")</f>
        <v>0</v>
      </c>
      <c r="L4" s="19">
        <f>SUMIFS('Data International'!$D:$D,'Data International'!$P:$P,'Painel International'!#REF!,'Data International'!$Q:$Q,"&gt;180",'Data International'!$Q:$Q,"&lt;=360")</f>
        <v>0</v>
      </c>
      <c r="M4" s="23">
        <f>SUMIFS('Data International'!$D:$D,'Data International'!$P:$P,'Painel International'!#REF!,'Data International'!$Q:$Q,"&gt;360")</f>
        <v>0</v>
      </c>
      <c r="N4" s="19">
        <f>SUMIFS('Data International'!$D:$D,'Data International'!$P:$P,'Painel International'!#REF!,'Data International'!$Q:$Q,"&gt;0")</f>
        <v>0</v>
      </c>
      <c r="O4" s="19">
        <f t="shared" ref="O4:O37" si="4">SUBTOTAL(9,P4:V4)</f>
        <v>0</v>
      </c>
      <c r="P4" s="19">
        <f>SUMIFS('Data International'!$D:$D,'Data International'!$P:$P,'Painel International'!#REF!,'Data International'!$Q:$Q,"&lt;=0",'Data International'!$Q:$Q,"&gt;=-30")</f>
        <v>0</v>
      </c>
      <c r="Q4" s="19">
        <f>SUMIFS('Data International'!$D:$D,'Data International'!$P:$P,'Painel International'!#REF!,'Data International'!$Q:$Q,"&lt;=-31",'Data International'!$Q:$Q,"&gt;=-60")</f>
        <v>0</v>
      </c>
      <c r="R4" s="19">
        <f>SUMIFS('Data International'!$D:$D,'Data International'!$P:$P,'Painel International'!#REF!,'Data International'!$Q:$Q,"&lt;=-61",'Data International'!$Q:$Q,"&gt;=-90")</f>
        <v>0</v>
      </c>
      <c r="S4" s="19">
        <f>SUMIFS('Data International'!$D:$D,'Data International'!$P:$P,'Painel International'!#REF!,'Data International'!$Q:$Q,"&lt;=-91",'Data International'!$Q:$Q,"&gt;=-120")</f>
        <v>0</v>
      </c>
      <c r="T4" s="19">
        <f>SUMIFS('Data International'!$D:$D,'Data International'!$P:$P,'Painel International'!#REF!,'Data International'!$Q:$Q,"&lt;=-121",'Data International'!$Q:$Q,"&gt;=-180")</f>
        <v>0</v>
      </c>
      <c r="U4" s="19">
        <f>SUMIFS('Data International'!$D:$D,'Data International'!$P:$P,'Painel International'!#REF!,'Data International'!$Q:$Q,"&lt;=-181",'Data International'!$Q:$Q,"&gt;=-360")</f>
        <v>0</v>
      </c>
      <c r="V4" s="23">
        <f>SUMIFS('Data International'!$D:$D,'Data International'!$P:$P,'Painel International'!#REF!,'Data International'!$Q:$Q,"&lt;-360")</f>
        <v>0</v>
      </c>
      <c r="W4" s="19" t="e">
        <f>SUMIFS('Bad Debt Provision'!#REF!,'Bad Debt Provision'!#REF!,'Painel International'!#REF!)</f>
        <v>#REF!</v>
      </c>
      <c r="X4" s="5"/>
      <c r="Y4" s="20"/>
      <c r="Z4" s="20"/>
      <c r="AA4" s="21"/>
      <c r="AB4" s="5"/>
      <c r="AC4" s="19"/>
      <c r="AD4" s="20"/>
      <c r="AE4" s="22"/>
      <c r="AF4" s="22"/>
      <c r="AG4" s="5"/>
      <c r="AH4" s="28">
        <f t="shared" ref="AH4:AH37" si="5">AC4-F4</f>
        <v>0</v>
      </c>
    </row>
    <row r="5" spans="1:38" x14ac:dyDescent="0.25">
      <c r="B5" s="17" t="s">
        <v>329</v>
      </c>
      <c r="C5" s="105" t="str" cm="1">
        <f t="array" ref="C5">IFERROR(INDEX('Limite de crédito'!$D:$D, MATCH(MAX(IF('Limite de crédito'!$C:$C=$B5, 'Limite de crédito'!$A:$A)), 'Limite de crédito'!$A:$A, 0)),"")</f>
        <v/>
      </c>
      <c r="D5" s="105" cm="1">
        <f t="array" ref="D5">IFERROR(INDEX('Limite de crédito'!$F:$F, MATCH(MAX(IF('Limite de crédito'!$C:$C=$B5, 'Limite de crédito'!$A:$A)), 'Limite de crédito'!$A:$A, 0)),0)</f>
        <v>0</v>
      </c>
      <c r="E5" s="18">
        <f t="shared" si="2"/>
        <v>0</v>
      </c>
      <c r="F5" s="18">
        <f t="shared" si="3"/>
        <v>0</v>
      </c>
      <c r="G5" s="19">
        <f>SUMIFS('Data International'!$D:$D,'Data International'!$P:$P,'Painel International'!#REF!,'Data International'!$Q:$Q,"&gt;0",'Data International'!$Q:$Q,"&lt;=30")</f>
        <v>0</v>
      </c>
      <c r="H5" s="19">
        <f>SUMIFS('Data International'!$D:$D,'Data International'!$P:$P,'Painel International'!#REF!,'Data International'!$Q:$Q,"&gt;30",'Data International'!$Q:$Q,"&lt;=60")</f>
        <v>0</v>
      </c>
      <c r="I5" s="19">
        <f>SUMIFS('Data International'!$D:$D,'Data International'!$P:$P,'Painel International'!#REF!,'Data International'!$Q:$Q,"&gt;60",'Data International'!$Q:$Q,"&lt;=90")</f>
        <v>0</v>
      </c>
      <c r="J5" s="19">
        <f>SUMIFS('Data International'!$D:$D,'Data International'!$P:$P,'Painel International'!#REF!,'Data International'!$Q:$Q,"&gt;90",'Data International'!$Q:$Q,"&lt;=120")</f>
        <v>0</v>
      </c>
      <c r="K5" s="19">
        <f>SUMIFS('Data International'!$D:$D,'Data International'!$P:$P,'Painel International'!#REF!,'Data International'!$Q:$Q,"&gt;120",'Data International'!$Q:$Q,"&lt;=180")</f>
        <v>0</v>
      </c>
      <c r="L5" s="19">
        <f>SUMIFS('Data International'!$D:$D,'Data International'!$P:$P,'Painel International'!#REF!,'Data International'!$Q:$Q,"&gt;180",'Data International'!$Q:$Q,"&lt;=360")</f>
        <v>0</v>
      </c>
      <c r="M5" s="23">
        <f>SUMIFS('Data International'!$D:$D,'Data International'!$P:$P,'Painel International'!#REF!,'Data International'!$Q:$Q,"&gt;360")</f>
        <v>0</v>
      </c>
      <c r="N5" s="19">
        <f>SUMIFS('Data International'!$D:$D,'Data International'!$P:$P,'Painel International'!#REF!,'Data International'!$Q:$Q,"&gt;0")</f>
        <v>0</v>
      </c>
      <c r="O5" s="19">
        <f t="shared" si="4"/>
        <v>0</v>
      </c>
      <c r="P5" s="19">
        <f>SUMIFS('Data International'!$D:$D,'Data International'!$P:$P,'Painel International'!#REF!,'Data International'!$Q:$Q,"&lt;=0",'Data International'!$Q:$Q,"&gt;=-30")</f>
        <v>0</v>
      </c>
      <c r="Q5" s="19">
        <f>SUMIFS('Data International'!$D:$D,'Data International'!$P:$P,'Painel International'!#REF!,'Data International'!$Q:$Q,"&lt;=-31",'Data International'!$Q:$Q,"&gt;=-60")</f>
        <v>0</v>
      </c>
      <c r="R5" s="19">
        <f>SUMIFS('Data International'!$D:$D,'Data International'!$P:$P,'Painel International'!#REF!,'Data International'!$Q:$Q,"&lt;=-61",'Data International'!$Q:$Q,"&gt;=-90")</f>
        <v>0</v>
      </c>
      <c r="S5" s="19">
        <f>SUMIFS('Data International'!$D:$D,'Data International'!$P:$P,'Painel International'!#REF!,'Data International'!$Q:$Q,"&lt;=-91",'Data International'!$Q:$Q,"&gt;=-120")</f>
        <v>0</v>
      </c>
      <c r="T5" s="19">
        <f>SUMIFS('Data International'!$D:$D,'Data International'!$P:$P,'Painel International'!#REF!,'Data International'!$Q:$Q,"&lt;=-121",'Data International'!$Q:$Q,"&gt;=-180")</f>
        <v>0</v>
      </c>
      <c r="U5" s="19">
        <f>SUMIFS('Data International'!$D:$D,'Data International'!$P:$P,'Painel International'!#REF!,'Data International'!$Q:$Q,"&lt;=-181",'Data International'!$Q:$Q,"&gt;=-360")</f>
        <v>0</v>
      </c>
      <c r="V5" s="23">
        <f>SUMIFS('Data International'!$D:$D,'Data International'!$P:$P,'Painel International'!#REF!,'Data International'!$Q:$Q,"&lt;-360")</f>
        <v>0</v>
      </c>
      <c r="W5" s="19" t="e">
        <f>SUMIFS('Bad Debt Provision'!#REF!,'Bad Debt Provision'!#REF!,'Painel International'!#REF!)</f>
        <v>#REF!</v>
      </c>
      <c r="X5" s="5"/>
      <c r="Y5" s="20"/>
      <c r="Z5" s="20"/>
      <c r="AA5" s="21"/>
      <c r="AB5" s="5"/>
      <c r="AC5" s="19"/>
      <c r="AD5" s="20"/>
      <c r="AE5" s="22"/>
      <c r="AF5" s="22"/>
      <c r="AG5" s="5"/>
      <c r="AH5" s="28">
        <f t="shared" si="5"/>
        <v>0</v>
      </c>
    </row>
    <row r="6" spans="1:38" x14ac:dyDescent="0.25">
      <c r="B6" s="41" t="s">
        <v>373</v>
      </c>
      <c r="C6" s="19" cm="1">
        <f t="array" ref="C6">IFERROR(INDEX('Limite de crédito'!$D:$D, MATCH(MAX(IF('Limite de crédito'!$C:$C=$B6, 'Limite de crédito'!$A:$A)), 'Limite de crédito'!$A:$A, 0)),"")</f>
        <v>45982</v>
      </c>
      <c r="D6" s="105" t="str" cm="1">
        <f t="array" ref="D6">IFERROR(INDEX('Limite de crédito'!$F:$F, MATCH(MAX(IF('Limite de crédito'!$C:$C=$B6, 'Limite de crédito'!$A:$A)), 'Limite de crédito'!$A:$A, 0)),0)</f>
        <v>Sim</v>
      </c>
      <c r="E6" s="18" t="e">
        <f t="shared" si="2"/>
        <v>#VALUE!</v>
      </c>
      <c r="F6" s="18">
        <f t="shared" si="3"/>
        <v>0</v>
      </c>
      <c r="G6" s="19">
        <f>SUMIFS('Data International'!$D:$D,'Data International'!$P:$P,'Painel International'!#REF!,'Data International'!$Q:$Q,"&gt;0",'Data International'!$Q:$Q,"&lt;=30")</f>
        <v>0</v>
      </c>
      <c r="H6" s="19">
        <f>SUMIFS('Data International'!$D:$D,'Data International'!$P:$P,'Painel International'!#REF!,'Data International'!$Q:$Q,"&gt;30",'Data International'!$Q:$Q,"&lt;=60")</f>
        <v>0</v>
      </c>
      <c r="I6" s="19">
        <f>SUMIFS('Data International'!$D:$D,'Data International'!$P:$P,'Painel International'!#REF!,'Data International'!$Q:$Q,"&gt;60",'Data International'!$Q:$Q,"&lt;=90")</f>
        <v>0</v>
      </c>
      <c r="J6" s="19">
        <f>SUMIFS('Data International'!$D:$D,'Data International'!$P:$P,'Painel International'!#REF!,'Data International'!$Q:$Q,"&gt;90",'Data International'!$Q:$Q,"&lt;=120")</f>
        <v>0</v>
      </c>
      <c r="K6" s="19">
        <f>SUMIFS('Data International'!$D:$D,'Data International'!$P:$P,'Painel International'!#REF!,'Data International'!$Q:$Q,"&gt;120",'Data International'!$Q:$Q,"&lt;=180")</f>
        <v>0</v>
      </c>
      <c r="L6" s="19">
        <f>SUMIFS('Data International'!$D:$D,'Data International'!$P:$P,'Painel International'!#REF!,'Data International'!$Q:$Q,"&gt;180",'Data International'!$Q:$Q,"&lt;=360")</f>
        <v>0</v>
      </c>
      <c r="M6" s="23">
        <f>SUMIFS('Data International'!$D:$D,'Data International'!$P:$P,'Painel International'!#REF!,'Data International'!$Q:$Q,"&gt;360")</f>
        <v>0</v>
      </c>
      <c r="N6" s="19">
        <f>SUMIFS('Data International'!$D:$D,'Data International'!$P:$P,'Painel International'!#REF!,'Data International'!$Q:$Q,"&gt;0")</f>
        <v>0</v>
      </c>
      <c r="O6" s="19">
        <f t="shared" si="4"/>
        <v>0</v>
      </c>
      <c r="P6" s="19">
        <f>SUMIFS('Data International'!$D:$D,'Data International'!$P:$P,'Painel International'!#REF!,'Data International'!$Q:$Q,"&lt;=0",'Data International'!$Q:$Q,"&gt;=-30")</f>
        <v>0</v>
      </c>
      <c r="Q6" s="19">
        <f>SUMIFS('Data International'!$D:$D,'Data International'!$P:$P,'Painel International'!#REF!,'Data International'!$Q:$Q,"&lt;=-31",'Data International'!$Q:$Q,"&gt;=-60")</f>
        <v>0</v>
      </c>
      <c r="R6" s="19">
        <f>SUMIFS('Data International'!$D:$D,'Data International'!$P:$P,'Painel International'!#REF!,'Data International'!$Q:$Q,"&lt;=-61",'Data International'!$Q:$Q,"&gt;=-90")</f>
        <v>0</v>
      </c>
      <c r="S6" s="19">
        <f>SUMIFS('Data International'!$D:$D,'Data International'!$P:$P,'Painel International'!#REF!,'Data International'!$Q:$Q,"&lt;=-91",'Data International'!$Q:$Q,"&gt;=-120")</f>
        <v>0</v>
      </c>
      <c r="T6" s="19">
        <f>SUMIFS('Data International'!$D:$D,'Data International'!$P:$P,'Painel International'!#REF!,'Data International'!$Q:$Q,"&lt;=-121",'Data International'!$Q:$Q,"&gt;=-180")</f>
        <v>0</v>
      </c>
      <c r="U6" s="19">
        <f>SUMIFS('Data International'!$D:$D,'Data International'!$P:$P,'Painel International'!#REF!,'Data International'!$Q:$Q,"&lt;=-181",'Data International'!$Q:$Q,"&gt;=-360")</f>
        <v>0</v>
      </c>
      <c r="V6" s="23">
        <f>SUMIFS('Data International'!$D:$D,'Data International'!$P:$P,'Painel International'!#REF!,'Data International'!$Q:$Q,"&lt;-360")</f>
        <v>0</v>
      </c>
      <c r="W6" s="19" t="e">
        <f>SUMIFS('Bad Debt Provision'!#REF!,'Bad Debt Provision'!#REF!,'Painel International'!#REF!)</f>
        <v>#REF!</v>
      </c>
      <c r="X6" s="5"/>
      <c r="Y6" s="20"/>
      <c r="Z6" s="20"/>
      <c r="AA6" s="21"/>
      <c r="AB6" s="5"/>
      <c r="AC6" s="19"/>
      <c r="AD6" s="20"/>
      <c r="AE6" s="22"/>
      <c r="AF6" s="22"/>
      <c r="AG6" s="5"/>
      <c r="AH6" s="28">
        <f t="shared" si="5"/>
        <v>0</v>
      </c>
    </row>
    <row r="7" spans="1:38" x14ac:dyDescent="0.25">
      <c r="B7" s="17" t="s">
        <v>292</v>
      </c>
      <c r="C7" s="105" t="str" cm="1">
        <f t="array" ref="C7">IFERROR(INDEX('Limite de crédito'!$D:$D, MATCH(MAX(IF('Limite de crédito'!$C:$C=$B7, 'Limite de crédito'!$A:$A)), 'Limite de crédito'!$A:$A, 0)),"")</f>
        <v/>
      </c>
      <c r="D7" s="105" cm="1">
        <f t="array" ref="D7">IFERROR(INDEX('Limite de crédito'!$F:$F, MATCH(MAX(IF('Limite de crédito'!$C:$C=$B7, 'Limite de crédito'!$A:$A)), 'Limite de crédito'!$A:$A, 0)),0)</f>
        <v>0</v>
      </c>
      <c r="E7" s="18">
        <f t="shared" si="2"/>
        <v>0</v>
      </c>
      <c r="F7" s="18">
        <f t="shared" si="3"/>
        <v>0</v>
      </c>
      <c r="G7" s="19">
        <f>SUMIFS('Data International'!$D:$D,'Data International'!$P:$P,'Painel International'!$B15,'Data International'!$Q:$Q,"&gt;0",'Data International'!$Q:$Q,"&lt;=30")</f>
        <v>0</v>
      </c>
      <c r="H7" s="19">
        <f>SUMIFS('Data International'!$D:$D,'Data International'!$P:$P,'Painel International'!$B15,'Data International'!$Q:$Q,"&gt;30",'Data International'!$Q:$Q,"&lt;=60")</f>
        <v>0</v>
      </c>
      <c r="I7" s="19">
        <f>SUMIFS('Data International'!$D:$D,'Data International'!$P:$P,'Painel International'!$B15,'Data International'!$Q:$Q,"&gt;60",'Data International'!$Q:$Q,"&lt;=90")</f>
        <v>0</v>
      </c>
      <c r="J7" s="19">
        <f>SUMIFS('Data International'!$D:$D,'Data International'!$P:$P,'Painel International'!$B15,'Data International'!$Q:$Q,"&gt;90",'Data International'!$Q:$Q,"&lt;=120")</f>
        <v>0</v>
      </c>
      <c r="K7" s="19">
        <f>SUMIFS('Data International'!$D:$D,'Data International'!$P:$P,'Painel International'!$B15,'Data International'!$Q:$Q,"&gt;120",'Data International'!$Q:$Q,"&lt;=180")</f>
        <v>0</v>
      </c>
      <c r="L7" s="19">
        <f>SUMIFS('Data International'!$D:$D,'Data International'!$P:$P,'Painel International'!$B15,'Data International'!$Q:$Q,"&gt;180",'Data International'!$Q:$Q,"&lt;=360")</f>
        <v>0</v>
      </c>
      <c r="M7" s="23">
        <f>SUMIFS('Data International'!$D:$D,'Data International'!$P:$P,'Painel International'!$B15,'Data International'!$Q:$Q,"&gt;360")</f>
        <v>0</v>
      </c>
      <c r="N7" s="19">
        <f>SUMIFS('Data International'!$D:$D,'Data International'!$P:$P,'Painel International'!$B15,'Data International'!$Q:$Q,"&gt;0")</f>
        <v>0</v>
      </c>
      <c r="O7" s="19">
        <f t="shared" si="4"/>
        <v>0</v>
      </c>
      <c r="P7" s="19">
        <f>SUMIFS('Data International'!$D:$D,'Data International'!$P:$P,'Painel International'!$B15,'Data International'!$Q:$Q,"&lt;=0",'Data International'!$Q:$Q,"&gt;=-30")</f>
        <v>0</v>
      </c>
      <c r="Q7" s="19">
        <f>SUMIFS('Data International'!$D:$D,'Data International'!$P:$P,'Painel International'!$B15,'Data International'!$Q:$Q,"&lt;=-31",'Data International'!$Q:$Q,"&gt;=-60")</f>
        <v>0</v>
      </c>
      <c r="R7" s="19">
        <f>SUMIFS('Data International'!$D:$D,'Data International'!$P:$P,'Painel International'!$B15,'Data International'!$Q:$Q,"&lt;=-61",'Data International'!$Q:$Q,"&gt;=-90")</f>
        <v>0</v>
      </c>
      <c r="S7" s="19">
        <f>SUMIFS('Data International'!$D:$D,'Data International'!$P:$P,'Painel International'!$B15,'Data International'!$Q:$Q,"&lt;=-91",'Data International'!$Q:$Q,"&gt;=-120")</f>
        <v>0</v>
      </c>
      <c r="T7" s="19">
        <f>SUMIFS('Data International'!$D:$D,'Data International'!$P:$P,'Painel International'!$B15,'Data International'!$Q:$Q,"&lt;=-121",'Data International'!$Q:$Q,"&gt;=-180")</f>
        <v>0</v>
      </c>
      <c r="U7" s="19">
        <f>SUMIFS('Data International'!$D:$D,'Data International'!$P:$P,'Painel International'!$B15,'Data International'!$Q:$Q,"&lt;=-181",'Data International'!$Q:$Q,"&gt;=-360")</f>
        <v>0</v>
      </c>
      <c r="V7" s="23">
        <f>SUMIFS('Data International'!$D:$D,'Data International'!$P:$P,'Painel International'!$B15,'Data International'!$Q:$Q,"&lt;-360")</f>
        <v>0</v>
      </c>
      <c r="W7" s="19" t="e">
        <f>SUMIFS('Bad Debt Provision'!#REF!,'Bad Debt Provision'!#REF!,'Painel International'!$B15)</f>
        <v>#REF!</v>
      </c>
      <c r="X7" s="5"/>
      <c r="Y7" s="20"/>
      <c r="Z7" s="20"/>
      <c r="AA7" s="21"/>
      <c r="AB7" s="5"/>
      <c r="AC7" s="19"/>
      <c r="AD7" s="20"/>
      <c r="AE7" s="22"/>
      <c r="AF7" s="22"/>
      <c r="AG7" s="5"/>
      <c r="AH7" s="28">
        <f t="shared" si="5"/>
        <v>0</v>
      </c>
    </row>
    <row r="8" spans="1:38" x14ac:dyDescent="0.25">
      <c r="B8" s="17" t="s">
        <v>294</v>
      </c>
      <c r="C8" s="105" cm="1">
        <f t="array" ref="C8">IFERROR(INDEX('Limite de crédito'!$D:$D, MATCH(MAX(IF('Limite de crédito'!$C:$C=$B8, 'Limite de crédito'!$A:$A)), 'Limite de crédito'!$A:$A, 0)),"")</f>
        <v>45994</v>
      </c>
      <c r="D8" s="105" t="str" cm="1">
        <f t="array" ref="D8">IFERROR(INDEX('Limite de crédito'!$F:$F, MATCH(MAX(IF('Limite de crédito'!$C:$C=$B8, 'Limite de crédito'!$A:$A)), 'Limite de crédito'!$A:$A, 0)),0)</f>
        <v>Sim</v>
      </c>
      <c r="E8" s="18" t="e">
        <f t="shared" si="2"/>
        <v>#VALUE!</v>
      </c>
      <c r="F8" s="18">
        <f t="shared" si="3"/>
        <v>0</v>
      </c>
      <c r="G8" s="19">
        <f>SUMIFS('Data International'!$D:$D,'Data International'!$P:$P,'Painel International'!$B16,'Data International'!$Q:$Q,"&gt;0",'Data International'!$Q:$Q,"&lt;=30")</f>
        <v>0</v>
      </c>
      <c r="H8" s="19">
        <f>SUMIFS('Data International'!$D:$D,'Data International'!$P:$P,'Painel International'!$B16,'Data International'!$Q:$Q,"&gt;30",'Data International'!$Q:$Q,"&lt;=60")</f>
        <v>0</v>
      </c>
      <c r="I8" s="19">
        <f>SUMIFS('Data International'!$D:$D,'Data International'!$P:$P,'Painel International'!$B16,'Data International'!$Q:$Q,"&gt;60",'Data International'!$Q:$Q,"&lt;=90")</f>
        <v>0</v>
      </c>
      <c r="J8" s="19">
        <f>SUMIFS('Data International'!$D:$D,'Data International'!$P:$P,'Painel International'!$B16,'Data International'!$Q:$Q,"&gt;90",'Data International'!$Q:$Q,"&lt;=120")</f>
        <v>0</v>
      </c>
      <c r="K8" s="19">
        <f>SUMIFS('Data International'!$D:$D,'Data International'!$P:$P,'Painel International'!$B16,'Data International'!$Q:$Q,"&gt;120",'Data International'!$Q:$Q,"&lt;=180")</f>
        <v>0</v>
      </c>
      <c r="L8" s="19">
        <f>SUMIFS('Data International'!$D:$D,'Data International'!$P:$P,'Painel International'!$B16,'Data International'!$Q:$Q,"&gt;180",'Data International'!$Q:$Q,"&lt;=360")</f>
        <v>0</v>
      </c>
      <c r="M8" s="23">
        <f>SUMIFS('Data International'!$D:$D,'Data International'!$P:$P,'Painel International'!$B16,'Data International'!$Q:$Q,"&gt;360")</f>
        <v>0</v>
      </c>
      <c r="N8" s="19">
        <f>SUMIFS('Data International'!$D:$D,'Data International'!$P:$P,'Painel International'!$B16,'Data International'!$Q:$Q,"&gt;0")</f>
        <v>0</v>
      </c>
      <c r="O8" s="19">
        <f t="shared" si="4"/>
        <v>0</v>
      </c>
      <c r="P8" s="19">
        <f>SUMIFS('Data International'!$D:$D,'Data International'!$P:$P,'Painel International'!$B16,'Data International'!$Q:$Q,"&lt;=0",'Data International'!$Q:$Q,"&gt;=-30")</f>
        <v>0</v>
      </c>
      <c r="Q8" s="19">
        <f>SUMIFS('Data International'!$D:$D,'Data International'!$P:$P,'Painel International'!$B16,'Data International'!$Q:$Q,"&lt;=-31",'Data International'!$Q:$Q,"&gt;=-60")</f>
        <v>0</v>
      </c>
      <c r="R8" s="19">
        <f>SUMIFS('Data International'!$D:$D,'Data International'!$P:$P,'Painel International'!$B16,'Data International'!$Q:$Q,"&lt;=-61",'Data International'!$Q:$Q,"&gt;=-90")</f>
        <v>0</v>
      </c>
      <c r="S8" s="19">
        <f>SUMIFS('Data International'!$D:$D,'Data International'!$P:$P,'Painel International'!$B16,'Data International'!$Q:$Q,"&lt;=-91",'Data International'!$Q:$Q,"&gt;=-120")</f>
        <v>0</v>
      </c>
      <c r="T8" s="19">
        <f>SUMIFS('Data International'!$D:$D,'Data International'!$P:$P,'Painel International'!$B16,'Data International'!$Q:$Q,"&lt;=-121",'Data International'!$Q:$Q,"&gt;=-180")</f>
        <v>0</v>
      </c>
      <c r="U8" s="19">
        <f>SUMIFS('Data International'!$D:$D,'Data International'!$P:$P,'Painel International'!$B16,'Data International'!$Q:$Q,"&lt;=-181",'Data International'!$Q:$Q,"&gt;=-360")</f>
        <v>0</v>
      </c>
      <c r="V8" s="23">
        <f>SUMIFS('Data International'!$D:$D,'Data International'!$P:$P,'Painel International'!$B16,'Data International'!$Q:$Q,"&lt;-360")</f>
        <v>0</v>
      </c>
      <c r="W8" s="19" t="e">
        <f>SUMIFS('Bad Debt Provision'!#REF!,'Bad Debt Provision'!#REF!,'Painel International'!$B16)</f>
        <v>#REF!</v>
      </c>
      <c r="X8" s="5"/>
      <c r="Y8" s="20"/>
      <c r="Z8" s="20"/>
      <c r="AA8" s="21"/>
      <c r="AB8" s="5"/>
      <c r="AC8" s="19"/>
      <c r="AD8" s="20"/>
      <c r="AE8" s="22"/>
      <c r="AF8" s="22"/>
      <c r="AG8" s="5"/>
      <c r="AH8" s="28">
        <f t="shared" si="5"/>
        <v>0</v>
      </c>
    </row>
    <row r="9" spans="1:38" x14ac:dyDescent="0.25">
      <c r="B9" s="17" t="s">
        <v>127</v>
      </c>
      <c r="C9" s="105" t="str" cm="1">
        <f t="array" ref="C9">IFERROR(INDEX('Limite de crédito'!$D:$D, MATCH(MAX(IF('Limite de crédito'!$C:$C=$B9, 'Limite de crédito'!$A:$A)), 'Limite de crédito'!$A:$A, 0)),"")</f>
        <v/>
      </c>
      <c r="D9" s="105" cm="1">
        <f t="array" ref="D9">IFERROR(INDEX('Limite de crédito'!$F:$F, MATCH(MAX(IF('Limite de crédito'!$C:$C=$B9, 'Limite de crédito'!$A:$A)), 'Limite de crédito'!$A:$A, 0)),0)</f>
        <v>0</v>
      </c>
      <c r="E9" s="18">
        <f t="shared" si="2"/>
        <v>0</v>
      </c>
      <c r="F9" s="18">
        <f t="shared" si="3"/>
        <v>0</v>
      </c>
      <c r="G9" s="19">
        <f>SUMIFS('Data International'!$D:$D,'Data International'!$P:$P,'Painel International'!$B5,'Data International'!$Q:$Q,"&gt;0",'Data International'!$Q:$Q,"&lt;=30")</f>
        <v>0</v>
      </c>
      <c r="H9" s="19">
        <f>SUMIFS('Data International'!$D:$D,'Data International'!$P:$P,'Painel International'!$B5,'Data International'!$Q:$Q,"&gt;30",'Data International'!$Q:$Q,"&lt;=60")</f>
        <v>0</v>
      </c>
      <c r="I9" s="19">
        <f>SUMIFS('Data International'!$D:$D,'Data International'!$P:$P,'Painel International'!$B5,'Data International'!$Q:$Q,"&gt;60",'Data International'!$Q:$Q,"&lt;=90")</f>
        <v>0</v>
      </c>
      <c r="J9" s="19">
        <f>SUMIFS('Data International'!$D:$D,'Data International'!$P:$P,'Painel International'!$B5,'Data International'!$Q:$Q,"&gt;90",'Data International'!$Q:$Q,"&lt;=120")</f>
        <v>0</v>
      </c>
      <c r="K9" s="19">
        <f>SUMIFS('Data International'!$D:$D,'Data International'!$P:$P,'Painel International'!$B5,'Data International'!$Q:$Q,"&gt;120",'Data International'!$Q:$Q,"&lt;=180")</f>
        <v>0</v>
      </c>
      <c r="L9" s="19">
        <f>SUMIFS('Data International'!$D:$D,'Data International'!$P:$P,'Painel International'!$B5,'Data International'!$Q:$Q,"&gt;180",'Data International'!$Q:$Q,"&lt;=360")</f>
        <v>0</v>
      </c>
      <c r="M9" s="23">
        <f>SUMIFS('Data International'!$D:$D,'Data International'!$P:$P,'Painel International'!$B5,'Data International'!$Q:$Q,"&gt;360")</f>
        <v>0</v>
      </c>
      <c r="N9" s="19">
        <f>SUMIFS('Data International'!$D:$D,'Data International'!$P:$P,'Painel International'!$B5,'Data International'!$Q:$Q,"&gt;0")</f>
        <v>0</v>
      </c>
      <c r="O9" s="19">
        <f t="shared" si="4"/>
        <v>0</v>
      </c>
      <c r="P9" s="19">
        <f>SUMIFS('Data International'!$D:$D,'Data International'!$P:$P,'Painel International'!$B5,'Data International'!$Q:$Q,"&lt;=0",'Data International'!$Q:$Q,"&gt;=-30")</f>
        <v>0</v>
      </c>
      <c r="Q9" s="19">
        <f>SUMIFS('Data International'!$D:$D,'Data International'!$P:$P,'Painel International'!$B5,'Data International'!$Q:$Q,"&lt;=-31",'Data International'!$Q:$Q,"&gt;=-60")</f>
        <v>0</v>
      </c>
      <c r="R9" s="19">
        <f>SUMIFS('Data International'!$D:$D,'Data International'!$P:$P,'Painel International'!$B5,'Data International'!$Q:$Q,"&lt;=-61",'Data International'!$Q:$Q,"&gt;=-90")</f>
        <v>0</v>
      </c>
      <c r="S9" s="19">
        <f>SUMIFS('Data International'!$D:$D,'Data International'!$P:$P,'Painel International'!$B5,'Data International'!$Q:$Q,"&lt;=-91",'Data International'!$Q:$Q,"&gt;=-120")</f>
        <v>0</v>
      </c>
      <c r="T9" s="19">
        <f>SUMIFS('Data International'!$D:$D,'Data International'!$P:$P,'Painel International'!$B5,'Data International'!$Q:$Q,"&lt;=-121",'Data International'!$Q:$Q,"&gt;=-180")</f>
        <v>0</v>
      </c>
      <c r="U9" s="19">
        <f>SUMIFS('Data International'!$D:$D,'Data International'!$P:$P,'Painel International'!$B5,'Data International'!$Q:$Q,"&lt;=-181",'Data International'!$Q:$Q,"&gt;=-360")</f>
        <v>0</v>
      </c>
      <c r="V9" s="23">
        <f>SUMIFS('Data International'!$D:$D,'Data International'!$P:$P,'Painel International'!$B5,'Data International'!$Q:$Q,"&lt;-360")</f>
        <v>0</v>
      </c>
      <c r="W9" s="19" t="e">
        <f>SUMIFS('Bad Debt Provision'!#REF!,'Bad Debt Provision'!#REF!,'Painel International'!$B5)</f>
        <v>#REF!</v>
      </c>
      <c r="X9" s="5"/>
      <c r="Y9" s="20"/>
      <c r="Z9" s="20"/>
      <c r="AA9" s="21"/>
      <c r="AB9" s="5"/>
      <c r="AC9" s="19"/>
      <c r="AD9" s="20"/>
      <c r="AE9" s="22"/>
      <c r="AF9" s="22"/>
      <c r="AG9" s="5"/>
      <c r="AH9" s="28">
        <f t="shared" si="5"/>
        <v>0</v>
      </c>
      <c r="AI9" s="5"/>
    </row>
    <row r="10" spans="1:38" x14ac:dyDescent="0.25">
      <c r="B10" s="41" t="s">
        <v>360</v>
      </c>
      <c r="C10" s="19" cm="1">
        <f t="array" ref="C10">IFERROR(INDEX('Limite de crédito'!$D:$D, MATCH(MAX(IF('Limite de crédito'!$C:$C=$B10, 'Limite de crédito'!$A:$A)), 'Limite de crédito'!$A:$A, 0)),"")</f>
        <v>45868</v>
      </c>
      <c r="D10" s="105" t="str" cm="1">
        <f t="array" ref="D10">IFERROR(INDEX('Limite de crédito'!$F:$F, MATCH(MAX(IF('Limite de crédito'!$C:$C=$B10, 'Limite de crédito'!$A:$A)), 'Limite de crédito'!$A:$A, 0)),0)</f>
        <v>Sim</v>
      </c>
      <c r="E10" s="18" t="e">
        <f t="shared" si="2"/>
        <v>#VALUE!</v>
      </c>
      <c r="F10" s="18">
        <f t="shared" si="3"/>
        <v>0</v>
      </c>
      <c r="G10" s="19">
        <f>SUMIFS('Data International'!$D:$D,'Data International'!$P:$P,'Painel International'!#REF!,'Data International'!$Q:$Q,"&gt;0",'Data International'!$Q:$Q,"&lt;=30")</f>
        <v>0</v>
      </c>
      <c r="H10" s="19">
        <f>SUMIFS('Data International'!$D:$D,'Data International'!$P:$P,'Painel International'!#REF!,'Data International'!$Q:$Q,"&gt;30",'Data International'!$Q:$Q,"&lt;=60")</f>
        <v>0</v>
      </c>
      <c r="I10" s="19">
        <f>SUMIFS('Data International'!$D:$D,'Data International'!$P:$P,'Painel International'!#REF!,'Data International'!$Q:$Q,"&gt;60",'Data International'!$Q:$Q,"&lt;=90")</f>
        <v>0</v>
      </c>
      <c r="J10" s="19">
        <f>SUMIFS('Data International'!$D:$D,'Data International'!$P:$P,'Painel International'!#REF!,'Data International'!$Q:$Q,"&gt;90",'Data International'!$Q:$Q,"&lt;=120")</f>
        <v>0</v>
      </c>
      <c r="K10" s="19">
        <f>SUMIFS('Data International'!$D:$D,'Data International'!$P:$P,'Painel International'!#REF!,'Data International'!$Q:$Q,"&gt;120",'Data International'!$Q:$Q,"&lt;=180")</f>
        <v>0</v>
      </c>
      <c r="L10" s="19">
        <f>SUMIFS('Data International'!$D:$D,'Data International'!$P:$P,'Painel International'!#REF!,'Data International'!$Q:$Q,"&gt;180",'Data International'!$Q:$Q,"&lt;=360")</f>
        <v>0</v>
      </c>
      <c r="M10" s="23">
        <f>SUMIFS('Data International'!$D:$D,'Data International'!$P:$P,'Painel International'!#REF!,'Data International'!$Q:$Q,"&gt;360")</f>
        <v>0</v>
      </c>
      <c r="N10" s="19">
        <f>SUMIFS('Data International'!$D:$D,'Data International'!$P:$P,'Painel International'!#REF!,'Data International'!$Q:$Q,"&gt;0")</f>
        <v>0</v>
      </c>
      <c r="O10" s="19">
        <f t="shared" si="4"/>
        <v>0</v>
      </c>
      <c r="P10" s="19">
        <f>SUMIFS('Data International'!$D:$D,'Data International'!$P:$P,'Painel International'!#REF!,'Data International'!$Q:$Q,"&lt;=0",'Data International'!$Q:$Q,"&gt;=-30")</f>
        <v>0</v>
      </c>
      <c r="Q10" s="19">
        <f>SUMIFS('Data International'!$D:$D,'Data International'!$P:$P,'Painel International'!#REF!,'Data International'!$Q:$Q,"&lt;=-31",'Data International'!$Q:$Q,"&gt;=-60")</f>
        <v>0</v>
      </c>
      <c r="R10" s="19">
        <f>SUMIFS('Data International'!$D:$D,'Data International'!$P:$P,'Painel International'!#REF!,'Data International'!$Q:$Q,"&lt;=-61",'Data International'!$Q:$Q,"&gt;=-90")</f>
        <v>0</v>
      </c>
      <c r="S10" s="19">
        <f>SUMIFS('Data International'!$D:$D,'Data International'!$P:$P,'Painel International'!#REF!,'Data International'!$Q:$Q,"&lt;=-91",'Data International'!$Q:$Q,"&gt;=-120")</f>
        <v>0</v>
      </c>
      <c r="T10" s="19">
        <f>SUMIFS('Data International'!$D:$D,'Data International'!$P:$P,'Painel International'!#REF!,'Data International'!$Q:$Q,"&lt;=-121",'Data International'!$Q:$Q,"&gt;=-180")</f>
        <v>0</v>
      </c>
      <c r="U10" s="19">
        <f>SUMIFS('Data International'!$D:$D,'Data International'!$P:$P,'Painel International'!#REF!,'Data International'!$Q:$Q,"&lt;=-181",'Data International'!$Q:$Q,"&gt;=-360")</f>
        <v>0</v>
      </c>
      <c r="V10" s="23">
        <f>SUMIFS('Data International'!$D:$D,'Data International'!$P:$P,'Painel International'!#REF!,'Data International'!$Q:$Q,"&lt;-360")</f>
        <v>0</v>
      </c>
      <c r="W10" s="19" t="e">
        <f>SUMIFS('Bad Debt Provision'!#REF!,'Bad Debt Provision'!#REF!,'Painel International'!#REF!)</f>
        <v>#REF!</v>
      </c>
      <c r="X10" s="5"/>
      <c r="Y10" s="20"/>
      <c r="Z10" s="20"/>
      <c r="AA10" s="21"/>
      <c r="AB10" s="5"/>
      <c r="AC10" s="19"/>
      <c r="AD10" s="20"/>
      <c r="AE10" s="22"/>
      <c r="AF10" s="22"/>
      <c r="AG10" s="5"/>
      <c r="AH10" s="28">
        <f t="shared" si="5"/>
        <v>0</v>
      </c>
    </row>
    <row r="11" spans="1:38" x14ac:dyDescent="0.25">
      <c r="B11" s="41" t="s">
        <v>422</v>
      </c>
      <c r="C11" s="19" t="str" cm="1">
        <f t="array" ref="C11">IFERROR(INDEX('Limite de crédito'!$D:$D, MATCH(MAX(IF('Limite de crédito'!$C:$C=$B11, 'Limite de crédito'!$A:$A)), 'Limite de crédito'!$A:$A, 0)),"")</f>
        <v/>
      </c>
      <c r="D11" s="105" cm="1">
        <f t="array" ref="D11">IFERROR(INDEX('Limite de crédito'!$F:$F, MATCH(MAX(IF('Limite de crédito'!$C:$C=$B11, 'Limite de crédito'!$A:$A)), 'Limite de crédito'!$A:$A, 0)),0)</f>
        <v>0</v>
      </c>
      <c r="E11" s="18">
        <f t="shared" si="2"/>
        <v>0</v>
      </c>
      <c r="F11" s="18">
        <f t="shared" si="3"/>
        <v>0</v>
      </c>
      <c r="G11" s="19">
        <f>SUMIFS('Data International'!$D:$D,'Data International'!$P:$P,'Painel International'!#REF!,'Data International'!$Q:$Q,"&gt;0",'Data International'!$Q:$Q,"&lt;=30")</f>
        <v>0</v>
      </c>
      <c r="H11" s="19">
        <f>SUMIFS('Data International'!$D:$D,'Data International'!$P:$P,'Painel International'!#REF!,'Data International'!$Q:$Q,"&gt;30",'Data International'!$Q:$Q,"&lt;=60")</f>
        <v>0</v>
      </c>
      <c r="I11" s="19">
        <f>SUMIFS('Data International'!$D:$D,'Data International'!$P:$P,'Painel International'!#REF!,'Data International'!$Q:$Q,"&gt;60",'Data International'!$Q:$Q,"&lt;=90")</f>
        <v>0</v>
      </c>
      <c r="J11" s="19">
        <f>SUMIFS('Data International'!$D:$D,'Data International'!$P:$P,'Painel International'!#REF!,'Data International'!$Q:$Q,"&gt;90",'Data International'!$Q:$Q,"&lt;=120")</f>
        <v>0</v>
      </c>
      <c r="K11" s="19">
        <f>SUMIFS('Data International'!$D:$D,'Data International'!$P:$P,'Painel International'!#REF!,'Data International'!$Q:$Q,"&gt;120",'Data International'!$Q:$Q,"&lt;=180")</f>
        <v>0</v>
      </c>
      <c r="L11" s="19">
        <f>SUMIFS('Data International'!$D:$D,'Data International'!$P:$P,'Painel International'!#REF!,'Data International'!$Q:$Q,"&gt;180",'Data International'!$Q:$Q,"&lt;=360")</f>
        <v>0</v>
      </c>
      <c r="M11" s="23">
        <f>SUMIFS('Data International'!$D:$D,'Data International'!$P:$P,'Painel International'!#REF!,'Data International'!$Q:$Q,"&gt;360")</f>
        <v>0</v>
      </c>
      <c r="N11" s="19">
        <f>SUMIFS('Data International'!$D:$D,'Data International'!$P:$P,'Painel International'!#REF!,'Data International'!$Q:$Q,"&gt;0")</f>
        <v>0</v>
      </c>
      <c r="O11" s="19">
        <f t="shared" si="4"/>
        <v>0</v>
      </c>
      <c r="P11" s="19">
        <f>SUMIFS('Data International'!$D:$D,'Data International'!$P:$P,'Painel International'!#REF!,'Data International'!$Q:$Q,"&lt;=0",'Data International'!$Q:$Q,"&gt;=-30")</f>
        <v>0</v>
      </c>
      <c r="Q11" s="19">
        <f>SUMIFS('Data International'!$D:$D,'Data International'!$P:$P,'Painel International'!#REF!,'Data International'!$Q:$Q,"&lt;=-31",'Data International'!$Q:$Q,"&gt;=-60")</f>
        <v>0</v>
      </c>
      <c r="R11" s="19">
        <f>SUMIFS('Data International'!$D:$D,'Data International'!$P:$P,'Painel International'!#REF!,'Data International'!$Q:$Q,"&lt;=-61",'Data International'!$Q:$Q,"&gt;=-90")</f>
        <v>0</v>
      </c>
      <c r="S11" s="19">
        <f>SUMIFS('Data International'!$D:$D,'Data International'!$P:$P,'Painel International'!#REF!,'Data International'!$Q:$Q,"&lt;=-91",'Data International'!$Q:$Q,"&gt;=-120")</f>
        <v>0</v>
      </c>
      <c r="T11" s="19">
        <f>SUMIFS('Data International'!$D:$D,'Data International'!$P:$P,'Painel International'!#REF!,'Data International'!$Q:$Q,"&lt;=-121",'Data International'!$Q:$Q,"&gt;=-180")</f>
        <v>0</v>
      </c>
      <c r="U11" s="19">
        <f>SUMIFS('Data International'!$D:$D,'Data International'!$P:$P,'Painel International'!#REF!,'Data International'!$Q:$Q,"&lt;=-181",'Data International'!$Q:$Q,"&gt;=-360")</f>
        <v>0</v>
      </c>
      <c r="V11" s="23">
        <f>SUMIFS('Data International'!$D:$D,'Data International'!$P:$P,'Painel International'!#REF!,'Data International'!$Q:$Q,"&lt;-360")</f>
        <v>0</v>
      </c>
      <c r="W11" s="19" t="e">
        <f>SUMIFS('Bad Debt Provision'!#REF!,'Bad Debt Provision'!#REF!,'Painel International'!#REF!)</f>
        <v>#REF!</v>
      </c>
      <c r="Y11" s="20"/>
      <c r="Z11" s="20"/>
      <c r="AA11" s="21"/>
      <c r="AB11" s="5"/>
      <c r="AC11" s="19"/>
      <c r="AD11" s="20"/>
      <c r="AE11" s="22"/>
      <c r="AF11" s="22"/>
      <c r="AG11" s="5"/>
      <c r="AH11" s="28">
        <f t="shared" si="5"/>
        <v>0</v>
      </c>
    </row>
    <row r="12" spans="1:38" x14ac:dyDescent="0.25">
      <c r="B12" s="41" t="s">
        <v>402</v>
      </c>
      <c r="C12" s="19" cm="1">
        <f t="array" ref="C12">IFERROR(INDEX('Limite de crédito'!$D:$D, MATCH(MAX(IF('Limite de crédito'!$C:$C=$B12, 'Limite de crédito'!$A:$A)), 'Limite de crédito'!$A:$A, 0)),"")</f>
        <v>45831</v>
      </c>
      <c r="D12" s="105" t="str" cm="1">
        <f t="array" ref="D12">IFERROR(INDEX('Limite de crédito'!$F:$F, MATCH(MAX(IF('Limite de crédito'!$C:$C=$B12, 'Limite de crédito'!$A:$A)), 'Limite de crédito'!$A:$A, 0)),0)</f>
        <v>Sim</v>
      </c>
      <c r="E12" s="18" t="e">
        <f t="shared" si="2"/>
        <v>#VALUE!</v>
      </c>
      <c r="F12" s="18">
        <f t="shared" si="3"/>
        <v>0</v>
      </c>
      <c r="G12" s="19">
        <f>SUMIFS('Data International'!$D:$D,'Data International'!$P:$P,'Painel International'!#REF!,'Data International'!$Q:$Q,"&gt;0",'Data International'!$Q:$Q,"&lt;=30")</f>
        <v>0</v>
      </c>
      <c r="H12" s="19">
        <f>SUMIFS('Data International'!$D:$D,'Data International'!$P:$P,'Painel International'!#REF!,'Data International'!$Q:$Q,"&gt;30",'Data International'!$Q:$Q,"&lt;=60")</f>
        <v>0</v>
      </c>
      <c r="I12" s="19">
        <f>SUMIFS('Data International'!$D:$D,'Data International'!$P:$P,'Painel International'!#REF!,'Data International'!$Q:$Q,"&gt;60",'Data International'!$Q:$Q,"&lt;=90")</f>
        <v>0</v>
      </c>
      <c r="J12" s="19">
        <f>SUMIFS('Data International'!$D:$D,'Data International'!$P:$P,'Painel International'!#REF!,'Data International'!$Q:$Q,"&gt;90",'Data International'!$Q:$Q,"&lt;=120")</f>
        <v>0</v>
      </c>
      <c r="K12" s="19">
        <f>SUMIFS('Data International'!$D:$D,'Data International'!$P:$P,'Painel International'!#REF!,'Data International'!$Q:$Q,"&gt;120",'Data International'!$Q:$Q,"&lt;=180")</f>
        <v>0</v>
      </c>
      <c r="L12" s="19">
        <f>SUMIFS('Data International'!$D:$D,'Data International'!$P:$P,'Painel International'!#REF!,'Data International'!$Q:$Q,"&gt;180",'Data International'!$Q:$Q,"&lt;=360")</f>
        <v>0</v>
      </c>
      <c r="M12" s="23">
        <f>SUMIFS('Data International'!$D:$D,'Data International'!$P:$P,'Painel International'!#REF!,'Data International'!$Q:$Q,"&gt;360")</f>
        <v>0</v>
      </c>
      <c r="N12" s="19">
        <f>SUMIFS('Data International'!$D:$D,'Data International'!$P:$P,'Painel International'!#REF!,'Data International'!$Q:$Q,"&gt;0")</f>
        <v>0</v>
      </c>
      <c r="O12" s="19">
        <f t="shared" si="4"/>
        <v>0</v>
      </c>
      <c r="P12" s="19">
        <f>SUMIFS('Data International'!$D:$D,'Data International'!$P:$P,'Painel International'!#REF!,'Data International'!$Q:$Q,"&lt;=0",'Data International'!$Q:$Q,"&gt;=-30")</f>
        <v>0</v>
      </c>
      <c r="Q12" s="19">
        <f>SUMIFS('Data International'!$D:$D,'Data International'!$P:$P,'Painel International'!#REF!,'Data International'!$Q:$Q,"&lt;=-31",'Data International'!$Q:$Q,"&gt;=-60")</f>
        <v>0</v>
      </c>
      <c r="R12" s="19">
        <f>SUMIFS('Data International'!$D:$D,'Data International'!$P:$P,'Painel International'!#REF!,'Data International'!$Q:$Q,"&lt;=-61",'Data International'!$Q:$Q,"&gt;=-90")</f>
        <v>0</v>
      </c>
      <c r="S12" s="19">
        <f>SUMIFS('Data International'!$D:$D,'Data International'!$P:$P,'Painel International'!#REF!,'Data International'!$Q:$Q,"&lt;=-91",'Data International'!$Q:$Q,"&gt;=-120")</f>
        <v>0</v>
      </c>
      <c r="T12" s="19">
        <f>SUMIFS('Data International'!$D:$D,'Data International'!$P:$P,'Painel International'!#REF!,'Data International'!$Q:$Q,"&lt;=-121",'Data International'!$Q:$Q,"&gt;=-180")</f>
        <v>0</v>
      </c>
      <c r="U12" s="19">
        <f>SUMIFS('Data International'!$D:$D,'Data International'!$P:$P,'Painel International'!#REF!,'Data International'!$Q:$Q,"&lt;=-181",'Data International'!$Q:$Q,"&gt;=-360")</f>
        <v>0</v>
      </c>
      <c r="V12" s="23">
        <f>SUMIFS('Data International'!$D:$D,'Data International'!$P:$P,'Painel International'!#REF!,'Data International'!$Q:$Q,"&lt;-360")</f>
        <v>0</v>
      </c>
      <c r="W12" s="19" t="e">
        <f>SUMIFS('Bad Debt Provision'!#REF!,'Bad Debt Provision'!#REF!,'Painel International'!#REF!)</f>
        <v>#REF!</v>
      </c>
      <c r="X12" s="5"/>
      <c r="Y12" s="20"/>
      <c r="Z12" s="20"/>
      <c r="AA12" s="21"/>
      <c r="AB12" s="5"/>
      <c r="AC12" s="19"/>
      <c r="AD12" s="20"/>
      <c r="AE12" s="22"/>
      <c r="AF12" s="22"/>
      <c r="AG12" s="5"/>
      <c r="AH12" s="28">
        <f t="shared" si="5"/>
        <v>0</v>
      </c>
    </row>
    <row r="13" spans="1:38" x14ac:dyDescent="0.25">
      <c r="B13" s="17" t="s">
        <v>130</v>
      </c>
      <c r="C13" s="106" cm="1">
        <f t="array" ref="C13">IFERROR(INDEX('Limite de crédito'!$D:$D, MATCH(MAX(IF('Limite de crédito'!$C:$C=$B13, 'Limite de crédito'!$A:$A)), 'Limite de crédito'!$A:$A, 0)),"")</f>
        <v>46030</v>
      </c>
      <c r="D13" s="107" t="str" cm="1">
        <f t="array" ref="D13">IFERROR(INDEX('Limite de crédito'!$F:$F, MATCH(MAX(IF('Limite de crédito'!$C:$C=$B13, 'Limite de crédito'!$A:$A)), 'Limite de crédito'!$A:$A, 0)),0)</f>
        <v>Sim</v>
      </c>
      <c r="E13" s="18" t="e">
        <f t="shared" si="2"/>
        <v>#VALUE!</v>
      </c>
      <c r="F13" s="18">
        <f t="shared" si="3"/>
        <v>0</v>
      </c>
      <c r="G13" s="19">
        <f>SUMIFS('Data International'!$D:$D,'Data International'!$P:$P,'Painel International'!$B4,'Data International'!$Q:$Q,"&gt;0",'Data International'!$Q:$Q,"&lt;=30")</f>
        <v>0</v>
      </c>
      <c r="H13" s="19">
        <f>SUMIFS('Data International'!$D:$D,'Data International'!$P:$P,'Painel International'!$B4,'Data International'!$Q:$Q,"&gt;30",'Data International'!$Q:$Q,"&lt;=60")</f>
        <v>0</v>
      </c>
      <c r="I13" s="19">
        <f>SUMIFS('Data International'!$D:$D,'Data International'!$P:$P,'Painel International'!$B4,'Data International'!$Q:$Q,"&gt;60",'Data International'!$Q:$Q,"&lt;=90")</f>
        <v>0</v>
      </c>
      <c r="J13" s="19">
        <f>SUMIFS('Data International'!$D:$D,'Data International'!$P:$P,'Painel International'!$B4,'Data International'!$Q:$Q,"&gt;90",'Data International'!$Q:$Q,"&lt;=120")</f>
        <v>0</v>
      </c>
      <c r="K13" s="19">
        <f>SUMIFS('Data International'!$D:$D,'Data International'!$P:$P,'Painel International'!$B4,'Data International'!$Q:$Q,"&gt;120",'Data International'!$Q:$Q,"&lt;=180")</f>
        <v>0</v>
      </c>
      <c r="L13" s="19">
        <f>SUMIFS('Data International'!$D:$D,'Data International'!$P:$P,'Painel International'!$B4,'Data International'!$Q:$Q,"&gt;180",'Data International'!$Q:$Q,"&lt;=360")</f>
        <v>0</v>
      </c>
      <c r="M13" s="23">
        <f>SUMIFS('Data International'!$D:$D,'Data International'!$P:$P,'Painel International'!$B4,'Data International'!$Q:$Q,"&gt;360")</f>
        <v>0</v>
      </c>
      <c r="N13" s="19">
        <f>SUMIFS('Data International'!$D:$D,'Data International'!$P:$P,'Painel International'!$B4,'Data International'!$Q:$Q,"&gt;0")</f>
        <v>0</v>
      </c>
      <c r="O13" s="19">
        <f t="shared" si="4"/>
        <v>0</v>
      </c>
      <c r="P13" s="19">
        <f>SUMIFS('Data International'!$D:$D,'Data International'!$P:$P,'Painel International'!$B4,'Data International'!$Q:$Q,"&lt;=0",'Data International'!$Q:$Q,"&gt;=-30")</f>
        <v>0</v>
      </c>
      <c r="Q13" s="19">
        <f>SUMIFS('Data International'!$D:$D,'Data International'!$P:$P,'Painel International'!$B4,'Data International'!$Q:$Q,"&lt;=-31",'Data International'!$Q:$Q,"&gt;=-60")</f>
        <v>0</v>
      </c>
      <c r="R13" s="19">
        <f>SUMIFS('Data International'!$D:$D,'Data International'!$P:$P,'Painel International'!$B4,'Data International'!$Q:$Q,"&lt;=-61",'Data International'!$Q:$Q,"&gt;=-90")</f>
        <v>0</v>
      </c>
      <c r="S13" s="19">
        <f>SUMIFS('Data International'!$D:$D,'Data International'!$P:$P,'Painel International'!$B4,'Data International'!$Q:$Q,"&lt;=-91",'Data International'!$Q:$Q,"&gt;=-120")</f>
        <v>0</v>
      </c>
      <c r="T13" s="19">
        <f>SUMIFS('Data International'!$D:$D,'Data International'!$P:$P,'Painel International'!$B4,'Data International'!$Q:$Q,"&lt;=-121",'Data International'!$Q:$Q,"&gt;=-180")</f>
        <v>0</v>
      </c>
      <c r="U13" s="19">
        <f>SUMIFS('Data International'!$D:$D,'Data International'!$P:$P,'Painel International'!$B4,'Data International'!$Q:$Q,"&lt;=-181",'Data International'!$Q:$Q,"&gt;=-360")</f>
        <v>0</v>
      </c>
      <c r="V13" s="23">
        <f>SUMIFS('Data International'!$D:$D,'Data International'!$P:$P,'Painel International'!$B4,'Data International'!$Q:$Q,"&lt;-360")</f>
        <v>0</v>
      </c>
      <c r="W13" s="19" t="e">
        <f>SUMIFS('Bad Debt Provision'!#REF!,'Bad Debt Provision'!#REF!,'Painel International'!$B4)</f>
        <v>#REF!</v>
      </c>
      <c r="X13" s="5"/>
      <c r="Y13" s="20"/>
      <c r="Z13" s="20"/>
      <c r="AA13" s="21"/>
      <c r="AB13" s="5"/>
      <c r="AC13" s="19"/>
      <c r="AD13" s="20"/>
      <c r="AE13" s="22"/>
      <c r="AF13" s="22"/>
      <c r="AG13" s="5"/>
      <c r="AH13" s="28">
        <f t="shared" si="5"/>
        <v>0</v>
      </c>
      <c r="AI13" s="5"/>
    </row>
    <row r="14" spans="1:38" x14ac:dyDescent="0.25">
      <c r="B14" s="17" t="s">
        <v>128</v>
      </c>
      <c r="C14" s="105" cm="1">
        <f t="array" ref="C14">IFERROR(INDEX('Limite de crédito'!$D:$D, MATCH(MAX(IF('Limite de crédito'!$C:$C=$B14, 'Limite de crédito'!$A:$A)), 'Limite de crédito'!$A:$A, 0)),"")</f>
        <v>45831</v>
      </c>
      <c r="D14" s="105" t="str" cm="1">
        <f t="array" ref="D14">IFERROR(INDEX('Limite de crédito'!$F:$F, MATCH(MAX(IF('Limite de crédito'!$C:$C=$B14, 'Limite de crédito'!$A:$A)), 'Limite de crédito'!$A:$A, 0)),0)</f>
        <v>Sim</v>
      </c>
      <c r="E14" s="18" t="e">
        <f t="shared" si="2"/>
        <v>#VALUE!</v>
      </c>
      <c r="F14" s="18">
        <f t="shared" si="3"/>
        <v>150064.82999999999</v>
      </c>
      <c r="G14" s="19">
        <f>SUMIFS('Data International'!$D:$D,'Data International'!$P:$P,'Painel International'!$B6,'Data International'!$Q:$Q,"&gt;0",'Data International'!$Q:$Q,"&lt;=30")</f>
        <v>0</v>
      </c>
      <c r="H14" s="19">
        <f>SUMIFS('Data International'!$D:$D,'Data International'!$P:$P,'Painel International'!$B6,'Data International'!$Q:$Q,"&gt;30",'Data International'!$Q:$Q,"&lt;=60")</f>
        <v>0</v>
      </c>
      <c r="I14" s="19">
        <f>SUMIFS('Data International'!$D:$D,'Data International'!$P:$P,'Painel International'!$B6,'Data International'!$Q:$Q,"&gt;60",'Data International'!$Q:$Q,"&lt;=90")</f>
        <v>0</v>
      </c>
      <c r="J14" s="19">
        <f>SUMIFS('Data International'!$D:$D,'Data International'!$P:$P,'Painel International'!$B6,'Data International'!$Q:$Q,"&gt;90",'Data International'!$Q:$Q,"&lt;=120")</f>
        <v>0</v>
      </c>
      <c r="K14" s="19">
        <f>SUMIFS('Data International'!$D:$D,'Data International'!$P:$P,'Painel International'!$B6,'Data International'!$Q:$Q,"&gt;120",'Data International'!$Q:$Q,"&lt;=180")</f>
        <v>0</v>
      </c>
      <c r="L14" s="19">
        <f>SUMIFS('Data International'!$D:$D,'Data International'!$P:$P,'Painel International'!$B6,'Data International'!$Q:$Q,"&gt;180",'Data International'!$Q:$Q,"&lt;=360")</f>
        <v>0</v>
      </c>
      <c r="M14" s="23">
        <f>SUMIFS('Data International'!$D:$D,'Data International'!$P:$P,'Painel International'!$B6,'Data International'!$Q:$Q,"&gt;360")</f>
        <v>0</v>
      </c>
      <c r="N14" s="19">
        <f>SUMIFS('Data International'!$D:$D,'Data International'!$P:$P,'Painel International'!$B6,'Data International'!$Q:$Q,"&gt;0")</f>
        <v>0</v>
      </c>
      <c r="O14" s="19">
        <f t="shared" si="4"/>
        <v>150064.82999999999</v>
      </c>
      <c r="P14" s="19">
        <f>SUMIFS('Data International'!$D:$D,'Data International'!$P:$P,'Painel International'!$B6,'Data International'!$Q:$Q,"&lt;=0",'Data International'!$Q:$Q,"&gt;=-30")</f>
        <v>150064.82999999999</v>
      </c>
      <c r="Q14" s="19">
        <f>SUMIFS('Data International'!$D:$D,'Data International'!$P:$P,'Painel International'!$B6,'Data International'!$Q:$Q,"&lt;=-31",'Data International'!$Q:$Q,"&gt;=-60")</f>
        <v>0</v>
      </c>
      <c r="R14" s="19">
        <f>SUMIFS('Data International'!$D:$D,'Data International'!$P:$P,'Painel International'!$B6,'Data International'!$Q:$Q,"&lt;=-61",'Data International'!$Q:$Q,"&gt;=-90")</f>
        <v>0</v>
      </c>
      <c r="S14" s="19">
        <f>SUMIFS('Data International'!$D:$D,'Data International'!$P:$P,'Painel International'!$B6,'Data International'!$Q:$Q,"&lt;=-91",'Data International'!$Q:$Q,"&gt;=-120")</f>
        <v>0</v>
      </c>
      <c r="T14" s="19">
        <f>SUMIFS('Data International'!$D:$D,'Data International'!$P:$P,'Painel International'!$B6,'Data International'!$Q:$Q,"&lt;=-121",'Data International'!$Q:$Q,"&gt;=-180")</f>
        <v>0</v>
      </c>
      <c r="U14" s="19">
        <f>SUMIFS('Data International'!$D:$D,'Data International'!$P:$P,'Painel International'!$B6,'Data International'!$Q:$Q,"&lt;=-181",'Data International'!$Q:$Q,"&gt;=-360")</f>
        <v>0</v>
      </c>
      <c r="V14" s="23">
        <f>SUMIFS('Data International'!$D:$D,'Data International'!$P:$P,'Painel International'!$B6,'Data International'!$Q:$Q,"&lt;-360")</f>
        <v>0</v>
      </c>
      <c r="W14" s="19" t="e">
        <f>SUMIFS('Bad Debt Provision'!#REF!,'Bad Debt Provision'!#REF!,'Painel International'!$B6)</f>
        <v>#REF!</v>
      </c>
      <c r="X14" s="5"/>
      <c r="Y14" s="20"/>
      <c r="Z14" s="20"/>
      <c r="AA14" s="21"/>
      <c r="AB14" s="5"/>
      <c r="AC14" s="19"/>
      <c r="AD14" s="20"/>
      <c r="AE14" s="22"/>
      <c r="AF14" s="22"/>
      <c r="AG14" s="5"/>
      <c r="AH14" s="28">
        <f t="shared" si="5"/>
        <v>-150064.82999999999</v>
      </c>
      <c r="AI14" s="5"/>
    </row>
    <row r="15" spans="1:38" x14ac:dyDescent="0.25">
      <c r="B15" s="17" t="s">
        <v>125</v>
      </c>
      <c r="C15" s="105" cm="1">
        <f t="array" ref="C15">IFERROR(INDEX('Limite de crédito'!$D:$D, MATCH(MAX(IF('Limite de crédito'!$C:$C=$B15, 'Limite de crédito'!$A:$A)), 'Limite de crédito'!$A:$A, 0)),"")</f>
        <v>45994</v>
      </c>
      <c r="D15" s="105" t="str" cm="1">
        <f t="array" ref="D15">IFERROR(INDEX('Limite de crédito'!$F:$F, MATCH(MAX(IF('Limite de crédito'!$C:$C=$B15, 'Limite de crédito'!$A:$A)), 'Limite de crédito'!$A:$A, 0)),0)</f>
        <v>Sim</v>
      </c>
      <c r="E15" s="18" t="e">
        <f t="shared" si="2"/>
        <v>#VALUE!</v>
      </c>
      <c r="F15" s="18">
        <f t="shared" si="3"/>
        <v>350009.44999999995</v>
      </c>
      <c r="G15" s="19">
        <f>SUMIFS('Data International'!$D:$D,'Data International'!$P:$P,'Painel International'!$B7,'Data International'!$Q:$Q,"&gt;0",'Data International'!$Q:$Q,"&lt;=30")</f>
        <v>0</v>
      </c>
      <c r="H15" s="19">
        <f>SUMIFS('Data International'!$D:$D,'Data International'!$P:$P,'Painel International'!$B7,'Data International'!$Q:$Q,"&gt;30",'Data International'!$Q:$Q,"&lt;=60")</f>
        <v>0</v>
      </c>
      <c r="I15" s="19">
        <f>SUMIFS('Data International'!$D:$D,'Data International'!$P:$P,'Painel International'!$B7,'Data International'!$Q:$Q,"&gt;60",'Data International'!$Q:$Q,"&lt;=90")</f>
        <v>0</v>
      </c>
      <c r="J15" s="19">
        <f>SUMIFS('Data International'!$D:$D,'Data International'!$P:$P,'Painel International'!$B7,'Data International'!$Q:$Q,"&gt;90",'Data International'!$Q:$Q,"&lt;=120")</f>
        <v>0</v>
      </c>
      <c r="K15" s="19">
        <f>SUMIFS('Data International'!$D:$D,'Data International'!$P:$P,'Painel International'!$B7,'Data International'!$Q:$Q,"&gt;120",'Data International'!$Q:$Q,"&lt;=180")</f>
        <v>0</v>
      </c>
      <c r="L15" s="19">
        <f>SUMIFS('Data International'!$D:$D,'Data International'!$P:$P,'Painel International'!$B7,'Data International'!$Q:$Q,"&gt;180",'Data International'!$Q:$Q,"&lt;=360")</f>
        <v>0</v>
      </c>
      <c r="M15" s="23">
        <f>SUMIFS('Data International'!$D:$D,'Data International'!$P:$P,'Painel International'!$B7,'Data International'!$Q:$Q,"&gt;360")</f>
        <v>0</v>
      </c>
      <c r="N15" s="19">
        <f>SUMIFS('Data International'!$D:$D,'Data International'!$P:$P,'Painel International'!$B7,'Data International'!$Q:$Q,"&gt;0")</f>
        <v>0</v>
      </c>
      <c r="O15" s="19">
        <f t="shared" si="4"/>
        <v>350009.44999999995</v>
      </c>
      <c r="P15" s="19">
        <f>SUMIFS('Data International'!$D:$D,'Data International'!$P:$P,'Painel International'!$B7,'Data International'!$Q:$Q,"&lt;=0",'Data International'!$Q:$Q,"&gt;=-30")</f>
        <v>350009.44999999995</v>
      </c>
      <c r="Q15" s="19">
        <f>SUMIFS('Data International'!$D:$D,'Data International'!$P:$P,'Painel International'!$B7,'Data International'!$Q:$Q,"&lt;=-31",'Data International'!$Q:$Q,"&gt;=-60")</f>
        <v>0</v>
      </c>
      <c r="R15" s="19">
        <f>SUMIFS('Data International'!$D:$D,'Data International'!$P:$P,'Painel International'!$B7,'Data International'!$Q:$Q,"&lt;=-61",'Data International'!$Q:$Q,"&gt;=-90")</f>
        <v>0</v>
      </c>
      <c r="S15" s="19">
        <f>SUMIFS('Data International'!$D:$D,'Data International'!$P:$P,'Painel International'!$B7,'Data International'!$Q:$Q,"&lt;=-91",'Data International'!$Q:$Q,"&gt;=-120")</f>
        <v>0</v>
      </c>
      <c r="T15" s="19">
        <f>SUMIFS('Data International'!$D:$D,'Data International'!$P:$P,'Painel International'!$B7,'Data International'!$Q:$Q,"&lt;=-121",'Data International'!$Q:$Q,"&gt;=-180")</f>
        <v>0</v>
      </c>
      <c r="U15" s="19">
        <f>SUMIFS('Data International'!$D:$D,'Data International'!$P:$P,'Painel International'!$B7,'Data International'!$Q:$Q,"&lt;=-181",'Data International'!$Q:$Q,"&gt;=-360")</f>
        <v>0</v>
      </c>
      <c r="V15" s="23">
        <f>SUMIFS('Data International'!$D:$D,'Data International'!$P:$P,'Painel International'!$B7,'Data International'!$Q:$Q,"&lt;-360")</f>
        <v>0</v>
      </c>
      <c r="W15" s="19" t="e">
        <f>SUMIFS('Bad Debt Provision'!#REF!,'Bad Debt Provision'!#REF!,'Painel International'!$B7)</f>
        <v>#REF!</v>
      </c>
      <c r="X15" s="5"/>
      <c r="Y15" s="20"/>
      <c r="Z15" s="20"/>
      <c r="AA15" s="21"/>
      <c r="AB15" s="5"/>
      <c r="AC15" s="19"/>
      <c r="AD15" s="20"/>
      <c r="AE15" s="22"/>
      <c r="AF15" s="22"/>
      <c r="AG15" s="5"/>
      <c r="AH15" s="28">
        <f t="shared" si="5"/>
        <v>-350009.44999999995</v>
      </c>
      <c r="AI15" s="5"/>
    </row>
    <row r="16" spans="1:38" x14ac:dyDescent="0.25">
      <c r="B16" s="17" t="s">
        <v>129</v>
      </c>
      <c r="C16" s="105" cm="1">
        <f t="array" ref="C16">IFERROR(INDEX('Limite de crédito'!$D:$D, MATCH(MAX(IF('Limite de crédito'!$C:$C=$B16, 'Limite de crédito'!$A:$A)), 'Limite de crédito'!$A:$A, 0)),"")</f>
        <v>45831</v>
      </c>
      <c r="D16" s="105" t="str" cm="1">
        <f t="array" ref="D16">IFERROR(INDEX('Limite de crédito'!$F:$F, MATCH(MAX(IF('Limite de crédito'!$C:$C=$B16, 'Limite de crédito'!$A:$A)), 'Limite de crédito'!$A:$A, 0)),0)</f>
        <v>Sim</v>
      </c>
      <c r="E16" s="18" t="e">
        <f t="shared" si="2"/>
        <v>#VALUE!</v>
      </c>
      <c r="F16" s="18">
        <f t="shared" si="3"/>
        <v>131960.06</v>
      </c>
      <c r="G16" s="19">
        <f>SUMIFS('Data International'!$D:$D,'Data International'!$P:$P,'Painel International'!$B8,'Data International'!$Q:$Q,"&gt;0",'Data International'!$Q:$Q,"&lt;=30")</f>
        <v>0</v>
      </c>
      <c r="H16" s="19">
        <f>SUMIFS('Data International'!$D:$D,'Data International'!$P:$P,'Painel International'!$B8,'Data International'!$Q:$Q,"&gt;30",'Data International'!$Q:$Q,"&lt;=60")</f>
        <v>0</v>
      </c>
      <c r="I16" s="19">
        <f>SUMIFS('Data International'!$D:$D,'Data International'!$P:$P,'Painel International'!$B8,'Data International'!$Q:$Q,"&gt;60",'Data International'!$Q:$Q,"&lt;=90")</f>
        <v>0</v>
      </c>
      <c r="J16" s="19">
        <f>SUMIFS('Data International'!$D:$D,'Data International'!$P:$P,'Painel International'!$B8,'Data International'!$Q:$Q,"&gt;90",'Data International'!$Q:$Q,"&lt;=120")</f>
        <v>0</v>
      </c>
      <c r="K16" s="19">
        <f>SUMIFS('Data International'!$D:$D,'Data International'!$P:$P,'Painel International'!$B8,'Data International'!$Q:$Q,"&gt;120",'Data International'!$Q:$Q,"&lt;=180")</f>
        <v>0</v>
      </c>
      <c r="L16" s="19">
        <f>SUMIFS('Data International'!$D:$D,'Data International'!$P:$P,'Painel International'!$B8,'Data International'!$Q:$Q,"&gt;180",'Data International'!$Q:$Q,"&lt;=360")</f>
        <v>0</v>
      </c>
      <c r="M16" s="23">
        <f>SUMIFS('Data International'!$D:$D,'Data International'!$P:$P,'Painel International'!$B8,'Data International'!$Q:$Q,"&gt;360")</f>
        <v>0</v>
      </c>
      <c r="N16" s="19">
        <f>SUMIFS('Data International'!$D:$D,'Data International'!$P:$P,'Painel International'!$B8,'Data International'!$Q:$Q,"&gt;0")</f>
        <v>0</v>
      </c>
      <c r="O16" s="19">
        <f t="shared" si="4"/>
        <v>131960.06</v>
      </c>
      <c r="P16" s="19">
        <f>SUMIFS('Data International'!$D:$D,'Data International'!$P:$P,'Painel International'!$B8,'Data International'!$Q:$Q,"&lt;=0",'Data International'!$Q:$Q,"&gt;=-30")</f>
        <v>131960.06</v>
      </c>
      <c r="Q16" s="19">
        <f>SUMIFS('Data International'!$D:$D,'Data International'!$P:$P,'Painel International'!$B8,'Data International'!$Q:$Q,"&lt;=-31",'Data International'!$Q:$Q,"&gt;=-60")</f>
        <v>0</v>
      </c>
      <c r="R16" s="19">
        <f>SUMIFS('Data International'!$D:$D,'Data International'!$P:$P,'Painel International'!$B8,'Data International'!$Q:$Q,"&lt;=-61",'Data International'!$Q:$Q,"&gt;=-90")</f>
        <v>0</v>
      </c>
      <c r="S16" s="19">
        <f>SUMIFS('Data International'!$D:$D,'Data International'!$P:$P,'Painel International'!$B8,'Data International'!$Q:$Q,"&lt;=-91",'Data International'!$Q:$Q,"&gt;=-120")</f>
        <v>0</v>
      </c>
      <c r="T16" s="19">
        <f>SUMIFS('Data International'!$D:$D,'Data International'!$P:$P,'Painel International'!$B8,'Data International'!$Q:$Q,"&lt;=-121",'Data International'!$Q:$Q,"&gt;=-180")</f>
        <v>0</v>
      </c>
      <c r="U16" s="19">
        <f>SUMIFS('Data International'!$D:$D,'Data International'!$P:$P,'Painel International'!$B8,'Data International'!$Q:$Q,"&lt;=-181",'Data International'!$Q:$Q,"&gt;=-360")</f>
        <v>0</v>
      </c>
      <c r="V16" s="23">
        <f>SUMIFS('Data International'!$D:$D,'Data International'!$P:$P,'Painel International'!$B8,'Data International'!$Q:$Q,"&lt;-360")</f>
        <v>0</v>
      </c>
      <c r="W16" s="19" t="e">
        <f>SUMIFS('Bad Debt Provision'!#REF!,'Bad Debt Provision'!#REF!,'Painel International'!$B8)</f>
        <v>#REF!</v>
      </c>
      <c r="X16" s="5"/>
      <c r="Y16" s="20"/>
      <c r="Z16" s="20"/>
      <c r="AA16" s="21"/>
      <c r="AB16" s="5"/>
      <c r="AC16" s="19"/>
      <c r="AD16" s="20"/>
      <c r="AE16" s="22"/>
      <c r="AF16" s="22"/>
      <c r="AG16" s="5"/>
      <c r="AH16" s="28">
        <f t="shared" si="5"/>
        <v>-131960.06</v>
      </c>
      <c r="AI16" s="5"/>
    </row>
    <row r="17" spans="2:35" x14ac:dyDescent="0.25">
      <c r="B17" s="17" t="s">
        <v>185</v>
      </c>
      <c r="C17" s="105" t="str" cm="1">
        <f t="array" ref="C17">IFERROR(INDEX('Limite de crédito'!$D:$D, MATCH(MAX(IF('Limite de crédito'!$C:$C=$B17, 'Limite de crédito'!$A:$A)), 'Limite de crédito'!$A:$A, 0)),"")</f>
        <v/>
      </c>
      <c r="D17" s="105" cm="1">
        <f t="array" ref="D17">IFERROR(INDEX('Limite de crédito'!$F:$F, MATCH(MAX(IF('Limite de crédito'!$C:$C=$B17, 'Limite de crédito'!$A:$A)), 'Limite de crédito'!$A:$A, 0)),0)</f>
        <v>0</v>
      </c>
      <c r="E17" s="18">
        <f t="shared" si="2"/>
        <v>0</v>
      </c>
      <c r="F17" s="18">
        <f t="shared" si="3"/>
        <v>0</v>
      </c>
      <c r="G17" s="19">
        <f>SUMIFS('Data International'!$D:$D,'Data International'!$P:$P,'Painel International'!#REF!,'Data International'!$Q:$Q,"&gt;0",'Data International'!$Q:$Q,"&lt;=30")</f>
        <v>0</v>
      </c>
      <c r="H17" s="19">
        <f>SUMIFS('Data International'!$D:$D,'Data International'!$P:$P,'Painel International'!#REF!,'Data International'!$Q:$Q,"&gt;30",'Data International'!$Q:$Q,"&lt;=60")</f>
        <v>0</v>
      </c>
      <c r="I17" s="19">
        <f>SUMIFS('Data International'!$D:$D,'Data International'!$P:$P,'Painel International'!#REF!,'Data International'!$Q:$Q,"&gt;60",'Data International'!$Q:$Q,"&lt;=90")</f>
        <v>0</v>
      </c>
      <c r="J17" s="19">
        <f>SUMIFS('Data International'!$D:$D,'Data International'!$P:$P,'Painel International'!#REF!,'Data International'!$Q:$Q,"&gt;90",'Data International'!$Q:$Q,"&lt;=120")</f>
        <v>0</v>
      </c>
      <c r="K17" s="19">
        <f>SUMIFS('Data International'!$D:$D,'Data International'!$P:$P,'Painel International'!#REF!,'Data International'!$Q:$Q,"&gt;120",'Data International'!$Q:$Q,"&lt;=180")</f>
        <v>0</v>
      </c>
      <c r="L17" s="19">
        <f>SUMIFS('Data International'!$D:$D,'Data International'!$P:$P,'Painel International'!#REF!,'Data International'!$Q:$Q,"&gt;180",'Data International'!$Q:$Q,"&lt;=360")</f>
        <v>0</v>
      </c>
      <c r="M17" s="23">
        <f>SUMIFS('Data International'!$D:$D,'Data International'!$P:$P,'Painel International'!#REF!,'Data International'!$Q:$Q,"&gt;360")</f>
        <v>0</v>
      </c>
      <c r="N17" s="19">
        <f>SUMIFS('Data International'!$D:$D,'Data International'!$P:$P,'Painel International'!#REF!,'Data International'!$Q:$Q,"&gt;0")</f>
        <v>0</v>
      </c>
      <c r="O17" s="19">
        <f t="shared" si="4"/>
        <v>0</v>
      </c>
      <c r="P17" s="19">
        <f>SUMIFS('Data International'!$D:$D,'Data International'!$P:$P,'Painel International'!#REF!,'Data International'!$Q:$Q,"&lt;=0",'Data International'!$Q:$Q,"&gt;=-30")</f>
        <v>0</v>
      </c>
      <c r="Q17" s="19">
        <f>SUMIFS('Data International'!$D:$D,'Data International'!$P:$P,'Painel International'!#REF!,'Data International'!$Q:$Q,"&lt;=-31",'Data International'!$Q:$Q,"&gt;=-60")</f>
        <v>0</v>
      </c>
      <c r="R17" s="19">
        <f>SUMIFS('Data International'!$D:$D,'Data International'!$P:$P,'Painel International'!#REF!,'Data International'!$Q:$Q,"&lt;=-61",'Data International'!$Q:$Q,"&gt;=-90")</f>
        <v>0</v>
      </c>
      <c r="S17" s="19">
        <f>SUMIFS('Data International'!$D:$D,'Data International'!$P:$P,'Painel International'!#REF!,'Data International'!$Q:$Q,"&lt;=-91",'Data International'!$Q:$Q,"&gt;=-120")</f>
        <v>0</v>
      </c>
      <c r="T17" s="19">
        <f>SUMIFS('Data International'!$D:$D,'Data International'!$P:$P,'Painel International'!#REF!,'Data International'!$Q:$Q,"&lt;=-121",'Data International'!$Q:$Q,"&gt;=-180")</f>
        <v>0</v>
      </c>
      <c r="U17" s="19">
        <f>SUMIFS('Data International'!$D:$D,'Data International'!$P:$P,'Painel International'!#REF!,'Data International'!$Q:$Q,"&lt;=-181",'Data International'!$Q:$Q,"&gt;=-360")</f>
        <v>0</v>
      </c>
      <c r="V17" s="23">
        <f>SUMIFS('Data International'!$D:$D,'Data International'!$P:$P,'Painel International'!#REF!,'Data International'!$Q:$Q,"&lt;-360")</f>
        <v>0</v>
      </c>
      <c r="W17" s="19" t="e">
        <f>SUMIFS('Bad Debt Provision'!#REF!,'Bad Debt Provision'!#REF!,'Painel International'!#REF!)</f>
        <v>#REF!</v>
      </c>
      <c r="X17" s="5"/>
      <c r="Y17" s="20"/>
      <c r="Z17" s="20"/>
      <c r="AA17" s="21"/>
      <c r="AB17" s="5"/>
      <c r="AC17" s="19"/>
      <c r="AD17" s="20"/>
      <c r="AE17" s="22"/>
      <c r="AF17" s="22"/>
      <c r="AG17" s="5"/>
      <c r="AH17" s="28">
        <f t="shared" si="5"/>
        <v>0</v>
      </c>
      <c r="AI17" s="5"/>
    </row>
    <row r="18" spans="2:35" x14ac:dyDescent="0.25">
      <c r="B18" s="17" t="s">
        <v>133</v>
      </c>
      <c r="C18" s="105" t="str" cm="1">
        <f t="array" ref="C18">IFERROR(INDEX('Limite de crédito'!$D:$D, MATCH(MAX(IF('Limite de crédito'!$C:$C=$B18, 'Limite de crédito'!$A:$A)), 'Limite de crédito'!$A:$A, 0)),"")</f>
        <v/>
      </c>
      <c r="D18" s="105" cm="1">
        <f t="array" ref="D18">IFERROR(INDEX('Limite de crédito'!$F:$F, MATCH(MAX(IF('Limite de crédito'!$C:$C=$B18, 'Limite de crédito'!$A:$A)), 'Limite de crédito'!$A:$A, 0)),0)</f>
        <v>0</v>
      </c>
      <c r="E18" s="18">
        <f t="shared" si="2"/>
        <v>-14548.35</v>
      </c>
      <c r="F18" s="18">
        <f t="shared" si="3"/>
        <v>14548.35</v>
      </c>
      <c r="G18" s="19">
        <f>SUMIFS('Data International'!$D:$D,'Data International'!$P:$P,'Painel International'!$B11,'Data International'!$Q:$Q,"&gt;0",'Data International'!$Q:$Q,"&lt;=30")</f>
        <v>0</v>
      </c>
      <c r="H18" s="19">
        <f>SUMIFS('Data International'!$D:$D,'Data International'!$P:$P,'Painel International'!$B11,'Data International'!$Q:$Q,"&gt;30",'Data International'!$Q:$Q,"&lt;=60")</f>
        <v>0</v>
      </c>
      <c r="I18" s="19">
        <f>SUMIFS('Data International'!$D:$D,'Data International'!$P:$P,'Painel International'!$B11,'Data International'!$Q:$Q,"&gt;60",'Data International'!$Q:$Q,"&lt;=90")</f>
        <v>0</v>
      </c>
      <c r="J18" s="19">
        <f>SUMIFS('Data International'!$D:$D,'Data International'!$P:$P,'Painel International'!$B11,'Data International'!$Q:$Q,"&gt;90",'Data International'!$Q:$Q,"&lt;=120")</f>
        <v>14548.35</v>
      </c>
      <c r="K18" s="19">
        <f>SUMIFS('Data International'!$D:$D,'Data International'!$P:$P,'Painel International'!$B11,'Data International'!$Q:$Q,"&gt;120",'Data International'!$Q:$Q,"&lt;=180")</f>
        <v>0</v>
      </c>
      <c r="L18" s="19">
        <f>SUMIFS('Data International'!$D:$D,'Data International'!$P:$P,'Painel International'!$B11,'Data International'!$Q:$Q,"&gt;180",'Data International'!$Q:$Q,"&lt;=360")</f>
        <v>0</v>
      </c>
      <c r="M18" s="23">
        <f>SUMIFS('Data International'!$D:$D,'Data International'!$P:$P,'Painel International'!$B11,'Data International'!$Q:$Q,"&gt;360")</f>
        <v>0</v>
      </c>
      <c r="N18" s="19">
        <f>SUMIFS('Data International'!$D:$D,'Data International'!$P:$P,'Painel International'!$B11,'Data International'!$Q:$Q,"&gt;0")</f>
        <v>14548.35</v>
      </c>
      <c r="O18" s="19">
        <f t="shared" si="4"/>
        <v>0</v>
      </c>
      <c r="P18" s="19">
        <f>SUMIFS('Data International'!$D:$D,'Data International'!$P:$P,'Painel International'!$B11,'Data International'!$Q:$Q,"&lt;=0",'Data International'!$Q:$Q,"&gt;=-30")</f>
        <v>0</v>
      </c>
      <c r="Q18" s="19">
        <f>SUMIFS('Data International'!$D:$D,'Data International'!$P:$P,'Painel International'!$B11,'Data International'!$Q:$Q,"&lt;=-31",'Data International'!$Q:$Q,"&gt;=-60")</f>
        <v>0</v>
      </c>
      <c r="R18" s="19">
        <f>SUMIFS('Data International'!$D:$D,'Data International'!$P:$P,'Painel International'!$B11,'Data International'!$Q:$Q,"&lt;=-61",'Data International'!$Q:$Q,"&gt;=-90")</f>
        <v>0</v>
      </c>
      <c r="S18" s="19">
        <f>SUMIFS('Data International'!$D:$D,'Data International'!$P:$P,'Painel International'!$B11,'Data International'!$Q:$Q,"&lt;=-91",'Data International'!$Q:$Q,"&gt;=-120")</f>
        <v>0</v>
      </c>
      <c r="T18" s="19">
        <f>SUMIFS('Data International'!$D:$D,'Data International'!$P:$P,'Painel International'!$B11,'Data International'!$Q:$Q,"&lt;=-121",'Data International'!$Q:$Q,"&gt;=-180")</f>
        <v>0</v>
      </c>
      <c r="U18" s="19">
        <f>SUMIFS('Data International'!$D:$D,'Data International'!$P:$P,'Painel International'!$B11,'Data International'!$Q:$Q,"&lt;=-181",'Data International'!$Q:$Q,"&gt;=-360")</f>
        <v>0</v>
      </c>
      <c r="V18" s="23">
        <f>SUMIFS('Data International'!$D:$D,'Data International'!$P:$P,'Painel International'!$B11,'Data International'!$Q:$Q,"&lt;-360")</f>
        <v>0</v>
      </c>
      <c r="W18" s="19" t="e">
        <f>SUMIFS('Bad Debt Provision'!#REF!,'Bad Debt Provision'!#REF!,'Painel International'!$B11)</f>
        <v>#REF!</v>
      </c>
      <c r="X18" s="5"/>
      <c r="Y18" s="20"/>
      <c r="Z18" s="20"/>
      <c r="AA18" s="21"/>
      <c r="AB18" s="5"/>
      <c r="AC18" s="19"/>
      <c r="AD18" s="20"/>
      <c r="AE18" s="22"/>
      <c r="AF18" s="22"/>
      <c r="AG18" s="5"/>
      <c r="AH18" s="28">
        <f t="shared" si="5"/>
        <v>-14548.35</v>
      </c>
      <c r="AI18" s="5"/>
    </row>
    <row r="19" spans="2:35" x14ac:dyDescent="0.25">
      <c r="B19" s="17" t="s">
        <v>134</v>
      </c>
      <c r="C19" s="105" t="str" cm="1">
        <f t="array" ref="C19">IFERROR(INDEX('Limite de crédito'!$D:$D, MATCH(MAX(IF('Limite de crédito'!$C:$C=$B19, 'Limite de crédito'!$A:$A)), 'Limite de crédito'!$A:$A, 0)),"")</f>
        <v/>
      </c>
      <c r="D19" s="105" cm="1">
        <f t="array" ref="D19">IFERROR(INDEX('Limite de crédito'!$F:$F, MATCH(MAX(IF('Limite de crédito'!$C:$C=$B19, 'Limite de crédito'!$A:$A)), 'Limite de crédito'!$A:$A, 0)),0)</f>
        <v>0</v>
      </c>
      <c r="E19" s="18">
        <f t="shared" si="2"/>
        <v>-250261.53</v>
      </c>
      <c r="F19" s="18">
        <f t="shared" si="3"/>
        <v>250261.53</v>
      </c>
      <c r="G19" s="19">
        <f>SUMIFS('Data International'!$D:$D,'Data International'!$P:$P,'Painel International'!$B12,'Data International'!$Q:$Q,"&gt;0",'Data International'!$Q:$Q,"&lt;=30")</f>
        <v>0</v>
      </c>
      <c r="H19" s="19">
        <f>SUMIFS('Data International'!$D:$D,'Data International'!$P:$P,'Painel International'!$B12,'Data International'!$Q:$Q,"&gt;30",'Data International'!$Q:$Q,"&lt;=60")</f>
        <v>0</v>
      </c>
      <c r="I19" s="19">
        <f>SUMIFS('Data International'!$D:$D,'Data International'!$P:$P,'Painel International'!$B12,'Data International'!$Q:$Q,"&gt;60",'Data International'!$Q:$Q,"&lt;=90")</f>
        <v>0</v>
      </c>
      <c r="J19" s="19">
        <f>SUMIFS('Data International'!$D:$D,'Data International'!$P:$P,'Painel International'!$B12,'Data International'!$Q:$Q,"&gt;90",'Data International'!$Q:$Q,"&lt;=120")</f>
        <v>0</v>
      </c>
      <c r="K19" s="19">
        <f>SUMIFS('Data International'!$D:$D,'Data International'!$P:$P,'Painel International'!$B12,'Data International'!$Q:$Q,"&gt;120",'Data International'!$Q:$Q,"&lt;=180")</f>
        <v>0</v>
      </c>
      <c r="L19" s="19">
        <f>SUMIFS('Data International'!$D:$D,'Data International'!$P:$P,'Painel International'!$B12,'Data International'!$Q:$Q,"&gt;180",'Data International'!$Q:$Q,"&lt;=360")</f>
        <v>0</v>
      </c>
      <c r="M19" s="23">
        <f>SUMIFS('Data International'!$D:$D,'Data International'!$P:$P,'Painel International'!$B12,'Data International'!$Q:$Q,"&gt;360")</f>
        <v>0</v>
      </c>
      <c r="N19" s="19">
        <f>SUMIFS('Data International'!$D:$D,'Data International'!$P:$P,'Painel International'!$B12,'Data International'!$Q:$Q,"&gt;0")</f>
        <v>0</v>
      </c>
      <c r="O19" s="19">
        <f t="shared" si="4"/>
        <v>250261.53</v>
      </c>
      <c r="P19" s="19">
        <f>SUMIFS('Data International'!$D:$D,'Data International'!$P:$P,'Painel International'!$B12,'Data International'!$Q:$Q,"&lt;=0",'Data International'!$Q:$Q,"&gt;=-30")</f>
        <v>0</v>
      </c>
      <c r="Q19" s="19">
        <f>SUMIFS('Data International'!$D:$D,'Data International'!$P:$P,'Painel International'!$B12,'Data International'!$Q:$Q,"&lt;=-31",'Data International'!$Q:$Q,"&gt;=-60")</f>
        <v>250261.53</v>
      </c>
      <c r="R19" s="19">
        <f>SUMIFS('Data International'!$D:$D,'Data International'!$P:$P,'Painel International'!$B12,'Data International'!$Q:$Q,"&lt;=-61",'Data International'!$Q:$Q,"&gt;=-90")</f>
        <v>0</v>
      </c>
      <c r="S19" s="19">
        <f>SUMIFS('Data International'!$D:$D,'Data International'!$P:$P,'Painel International'!$B12,'Data International'!$Q:$Q,"&lt;=-91",'Data International'!$Q:$Q,"&gt;=-120")</f>
        <v>0</v>
      </c>
      <c r="T19" s="19">
        <f>SUMIFS('Data International'!$D:$D,'Data International'!$P:$P,'Painel International'!$B12,'Data International'!$Q:$Q,"&lt;=-121",'Data International'!$Q:$Q,"&gt;=-180")</f>
        <v>0</v>
      </c>
      <c r="U19" s="19">
        <f>SUMIFS('Data International'!$D:$D,'Data International'!$P:$P,'Painel International'!$B12,'Data International'!$Q:$Q,"&lt;=-181",'Data International'!$Q:$Q,"&gt;=-360")</f>
        <v>0</v>
      </c>
      <c r="V19" s="23">
        <f>SUMIFS('Data International'!$D:$D,'Data International'!$P:$P,'Painel International'!$B12,'Data International'!$Q:$Q,"&lt;-360")</f>
        <v>0</v>
      </c>
      <c r="W19" s="19" t="e">
        <f>SUMIFS('Bad Debt Provision'!#REF!,'Bad Debt Provision'!#REF!,'Painel International'!$B12)</f>
        <v>#REF!</v>
      </c>
      <c r="X19" s="5"/>
      <c r="Y19" s="20"/>
      <c r="Z19" s="20"/>
      <c r="AA19" s="21"/>
      <c r="AB19" s="5"/>
      <c r="AC19" s="19"/>
      <c r="AD19" s="20"/>
      <c r="AE19" s="22"/>
      <c r="AF19" s="22"/>
      <c r="AG19" s="5"/>
      <c r="AH19" s="28">
        <f t="shared" si="5"/>
        <v>-250261.53</v>
      </c>
      <c r="AI19" s="5"/>
    </row>
    <row r="20" spans="2:35" x14ac:dyDescent="0.25">
      <c r="B20" s="17" t="s">
        <v>247</v>
      </c>
      <c r="C20" s="105" t="str" cm="1">
        <f t="array" ref="C20">IFERROR(INDEX('Limite de crédito'!$D:$D, MATCH(MAX(IF('Limite de crédito'!$C:$C=$B20, 'Limite de crédito'!$A:$A)), 'Limite de crédito'!$A:$A, 0)),"")</f>
        <v/>
      </c>
      <c r="D20" s="105" cm="1">
        <f t="array" ref="D20">IFERROR(INDEX('Limite de crédito'!$F:$F, MATCH(MAX(IF('Limite de crédito'!$C:$C=$B20, 'Limite de crédito'!$A:$A)), 'Limite de crédito'!$A:$A, 0)),0)</f>
        <v>0</v>
      </c>
      <c r="E20" s="18">
        <f t="shared" si="2"/>
        <v>-3280155.1799999997</v>
      </c>
      <c r="F20" s="18">
        <f t="shared" si="3"/>
        <v>3280155.1799999997</v>
      </c>
      <c r="G20" s="19">
        <f>SUMIFS('Data International'!$D:$D,'Data International'!$P:$P,'Painel International'!$B13,'Data International'!$Q:$Q,"&gt;0",'Data International'!$Q:$Q,"&lt;=30")</f>
        <v>0</v>
      </c>
      <c r="H20" s="19">
        <f>SUMIFS('Data International'!$D:$D,'Data International'!$P:$P,'Painel International'!$B13,'Data International'!$Q:$Q,"&gt;30",'Data International'!$Q:$Q,"&lt;=60")</f>
        <v>0</v>
      </c>
      <c r="I20" s="19">
        <f>SUMIFS('Data International'!$D:$D,'Data International'!$P:$P,'Painel International'!$B13,'Data International'!$Q:$Q,"&gt;60",'Data International'!$Q:$Q,"&lt;=90")</f>
        <v>0</v>
      </c>
      <c r="J20" s="19">
        <f>SUMIFS('Data International'!$D:$D,'Data International'!$P:$P,'Painel International'!$B13,'Data International'!$Q:$Q,"&gt;90",'Data International'!$Q:$Q,"&lt;=120")</f>
        <v>0</v>
      </c>
      <c r="K20" s="19">
        <f>SUMIFS('Data International'!$D:$D,'Data International'!$P:$P,'Painel International'!$B13,'Data International'!$Q:$Q,"&gt;120",'Data International'!$Q:$Q,"&lt;=180")</f>
        <v>0</v>
      </c>
      <c r="L20" s="19">
        <f>SUMIFS('Data International'!$D:$D,'Data International'!$P:$P,'Painel International'!$B13,'Data International'!$Q:$Q,"&gt;180",'Data International'!$Q:$Q,"&lt;=360")</f>
        <v>0</v>
      </c>
      <c r="M20" s="23">
        <f>SUMIFS('Data International'!$D:$D,'Data International'!$P:$P,'Painel International'!$B13,'Data International'!$Q:$Q,"&gt;360")</f>
        <v>0</v>
      </c>
      <c r="N20" s="19">
        <f>SUMIFS('Data International'!$D:$D,'Data International'!$P:$P,'Painel International'!$B13,'Data International'!$Q:$Q,"&gt;0")</f>
        <v>0</v>
      </c>
      <c r="O20" s="19">
        <f t="shared" si="4"/>
        <v>3280155.1799999997</v>
      </c>
      <c r="P20" s="19">
        <f>SUMIFS('Data International'!$D:$D,'Data International'!$P:$P,'Painel International'!$B13,'Data International'!$Q:$Q,"&lt;=0",'Data International'!$Q:$Q,"&gt;=-30")</f>
        <v>0</v>
      </c>
      <c r="Q20" s="19">
        <f>SUMIFS('Data International'!$D:$D,'Data International'!$P:$P,'Painel International'!$B13,'Data International'!$Q:$Q,"&lt;=-31",'Data International'!$Q:$Q,"&gt;=-60")</f>
        <v>3280155.1799999997</v>
      </c>
      <c r="R20" s="19">
        <f>SUMIFS('Data International'!$D:$D,'Data International'!$P:$P,'Painel International'!$B13,'Data International'!$Q:$Q,"&lt;=-61",'Data International'!$Q:$Q,"&gt;=-90")</f>
        <v>0</v>
      </c>
      <c r="S20" s="19">
        <f>SUMIFS('Data International'!$D:$D,'Data International'!$P:$P,'Painel International'!$B13,'Data International'!$Q:$Q,"&lt;=-91",'Data International'!$Q:$Q,"&gt;=-120")</f>
        <v>0</v>
      </c>
      <c r="T20" s="19">
        <f>SUMIFS('Data International'!$D:$D,'Data International'!$P:$P,'Painel International'!$B13,'Data International'!$Q:$Q,"&lt;=-121",'Data International'!$Q:$Q,"&gt;=-180")</f>
        <v>0</v>
      </c>
      <c r="U20" s="19">
        <f>SUMIFS('Data International'!$D:$D,'Data International'!$P:$P,'Painel International'!$B13,'Data International'!$Q:$Q,"&lt;=-181",'Data International'!$Q:$Q,"&gt;=-360")</f>
        <v>0</v>
      </c>
      <c r="V20" s="23">
        <f>SUMIFS('Data International'!$D:$D,'Data International'!$P:$P,'Painel International'!$B13,'Data International'!$Q:$Q,"&lt;-360")</f>
        <v>0</v>
      </c>
      <c r="W20" s="19" t="e">
        <f>SUMIFS('Bad Debt Provision'!#REF!,'Bad Debt Provision'!#REF!,'Painel International'!$B13)</f>
        <v>#REF!</v>
      </c>
      <c r="X20" s="5"/>
      <c r="Y20" s="20"/>
      <c r="Z20" s="20"/>
      <c r="AA20" s="21"/>
      <c r="AB20" s="5"/>
      <c r="AC20" s="19"/>
      <c r="AD20" s="20"/>
      <c r="AE20" s="22"/>
      <c r="AF20" s="22"/>
      <c r="AG20" s="5"/>
      <c r="AH20" s="28">
        <f t="shared" si="5"/>
        <v>-3280155.1799999997</v>
      </c>
    </row>
    <row r="21" spans="2:35" x14ac:dyDescent="0.25">
      <c r="B21" s="17" t="s">
        <v>261</v>
      </c>
      <c r="C21" s="105" cm="1">
        <f t="array" ref="C21">IFERROR(INDEX('Limite de crédito'!$D:$D, MATCH(MAX(IF('Limite de crédito'!$C:$C=$B21, 'Limite de crédito'!$A:$A)), 'Limite de crédito'!$A:$A, 0)),"")</f>
        <v>45831</v>
      </c>
      <c r="D21" s="105" t="str" cm="1">
        <f t="array" ref="D21">IFERROR(INDEX('Limite de crédito'!$F:$F, MATCH(MAX(IF('Limite de crédito'!$C:$C=$B21, 'Limite de crédito'!$A:$A)), 'Limite de crédito'!$A:$A, 0)),0)</f>
        <v>Sim</v>
      </c>
      <c r="E21" s="18" t="e">
        <f t="shared" si="2"/>
        <v>#VALUE!</v>
      </c>
      <c r="F21" s="18">
        <f t="shared" si="3"/>
        <v>0</v>
      </c>
      <c r="G21" s="19">
        <f>SUMIFS('Data International'!$D:$D,'Data International'!$P:$P,'Painel International'!$B14,'Data International'!$Q:$Q,"&gt;0",'Data International'!$Q:$Q,"&lt;=30")</f>
        <v>0</v>
      </c>
      <c r="H21" s="19">
        <f>SUMIFS('Data International'!$D:$D,'Data International'!$P:$P,'Painel International'!$B14,'Data International'!$Q:$Q,"&gt;30",'Data International'!$Q:$Q,"&lt;=60")</f>
        <v>0</v>
      </c>
      <c r="I21" s="19">
        <f>SUMIFS('Data International'!$D:$D,'Data International'!$P:$P,'Painel International'!$B14,'Data International'!$Q:$Q,"&gt;60",'Data International'!$Q:$Q,"&lt;=90")</f>
        <v>0</v>
      </c>
      <c r="J21" s="19">
        <f>SUMIFS('Data International'!$D:$D,'Data International'!$P:$P,'Painel International'!$B14,'Data International'!$Q:$Q,"&gt;90",'Data International'!$Q:$Q,"&lt;=120")</f>
        <v>0</v>
      </c>
      <c r="K21" s="19">
        <f>SUMIFS('Data International'!$D:$D,'Data International'!$P:$P,'Painel International'!$B14,'Data International'!$Q:$Q,"&gt;120",'Data International'!$Q:$Q,"&lt;=180")</f>
        <v>0</v>
      </c>
      <c r="L21" s="19">
        <f>SUMIFS('Data International'!$D:$D,'Data International'!$P:$P,'Painel International'!$B14,'Data International'!$Q:$Q,"&gt;180",'Data International'!$Q:$Q,"&lt;=360")</f>
        <v>0</v>
      </c>
      <c r="M21" s="23">
        <f>SUMIFS('Data International'!$D:$D,'Data International'!$P:$P,'Painel International'!$B14,'Data International'!$Q:$Q,"&gt;360")</f>
        <v>0</v>
      </c>
      <c r="N21" s="19">
        <f>SUMIFS('Data International'!$D:$D,'Data International'!$P:$P,'Painel International'!$B14,'Data International'!$Q:$Q,"&gt;0")</f>
        <v>0</v>
      </c>
      <c r="O21" s="19">
        <f t="shared" si="4"/>
        <v>0</v>
      </c>
      <c r="P21" s="19">
        <f>SUMIFS('Data International'!$D:$D,'Data International'!$P:$P,'Painel International'!$B14,'Data International'!$Q:$Q,"&lt;=0",'Data International'!$Q:$Q,"&gt;=-30")</f>
        <v>0</v>
      </c>
      <c r="Q21" s="19">
        <f>SUMIFS('Data International'!$D:$D,'Data International'!$P:$P,'Painel International'!$B14,'Data International'!$Q:$Q,"&lt;=-31",'Data International'!$Q:$Q,"&gt;=-60")</f>
        <v>0</v>
      </c>
      <c r="R21" s="19">
        <f>SUMIFS('Data International'!$D:$D,'Data International'!$P:$P,'Painel International'!$B14,'Data International'!$Q:$Q,"&lt;=-61",'Data International'!$Q:$Q,"&gt;=-90")</f>
        <v>0</v>
      </c>
      <c r="S21" s="19">
        <f>SUMIFS('Data International'!$D:$D,'Data International'!$P:$P,'Painel International'!$B14,'Data International'!$Q:$Q,"&lt;=-91",'Data International'!$Q:$Q,"&gt;=-120")</f>
        <v>0</v>
      </c>
      <c r="T21" s="19">
        <f>SUMIFS('Data International'!$D:$D,'Data International'!$P:$P,'Painel International'!$B14,'Data International'!$Q:$Q,"&lt;=-121",'Data International'!$Q:$Q,"&gt;=-180")</f>
        <v>0</v>
      </c>
      <c r="U21" s="19">
        <f>SUMIFS('Data International'!$D:$D,'Data International'!$P:$P,'Painel International'!$B14,'Data International'!$Q:$Q,"&lt;=-181",'Data International'!$Q:$Q,"&gt;=-360")</f>
        <v>0</v>
      </c>
      <c r="V21" s="23">
        <f>SUMIFS('Data International'!$D:$D,'Data International'!$P:$P,'Painel International'!$B14,'Data International'!$Q:$Q,"&lt;-360")</f>
        <v>0</v>
      </c>
      <c r="W21" s="19" t="e">
        <f>SUMIFS('Bad Debt Provision'!#REF!,'Bad Debt Provision'!#REF!,'Painel International'!$B14)</f>
        <v>#REF!</v>
      </c>
      <c r="X21" s="5"/>
      <c r="Y21" s="20"/>
      <c r="Z21" s="20"/>
      <c r="AA21" s="21"/>
      <c r="AB21" s="5"/>
      <c r="AC21" s="19"/>
      <c r="AD21" s="20"/>
      <c r="AE21" s="22"/>
      <c r="AF21" s="22"/>
      <c r="AG21" s="5"/>
      <c r="AH21" s="28">
        <f t="shared" si="5"/>
        <v>0</v>
      </c>
    </row>
    <row r="22" spans="2:35" x14ac:dyDescent="0.25">
      <c r="B22" s="41" t="s">
        <v>381</v>
      </c>
      <c r="C22" s="19" cm="1">
        <f t="array" ref="C22">IFERROR(INDEX('Limite de crédito'!$D:$D, MATCH(MAX(IF('Limite de crédito'!$C:$C=$B22, 'Limite de crédito'!$A:$A)), 'Limite de crédito'!$A:$A, 0)),"")</f>
        <v>46030</v>
      </c>
      <c r="D22" s="105" t="str" cm="1">
        <f t="array" ref="D22">IFERROR(INDEX('Limite de crédito'!$F:$F, MATCH(MAX(IF('Limite de crédito'!$C:$C=$B22, 'Limite de crédito'!$A:$A)), 'Limite de crédito'!$A:$A, 0)),0)</f>
        <v>Sim</v>
      </c>
      <c r="E22" s="18" t="e">
        <f t="shared" si="2"/>
        <v>#VALUE!</v>
      </c>
      <c r="F22" s="18">
        <f t="shared" si="3"/>
        <v>0</v>
      </c>
      <c r="G22" s="19">
        <f>SUMIFS('Data International'!$D:$D,'Data International'!$P:$P,'Painel International'!#REF!,'Data International'!$Q:$Q,"&gt;0",'Data International'!$Q:$Q,"&lt;=30")</f>
        <v>0</v>
      </c>
      <c r="H22" s="19">
        <f>SUMIFS('Data International'!$D:$D,'Data International'!$P:$P,'Painel International'!#REF!,'Data International'!$Q:$Q,"&gt;30",'Data International'!$Q:$Q,"&lt;=60")</f>
        <v>0</v>
      </c>
      <c r="I22" s="19">
        <f>SUMIFS('Data International'!$D:$D,'Data International'!$P:$P,'Painel International'!#REF!,'Data International'!$Q:$Q,"&gt;60",'Data International'!$Q:$Q,"&lt;=90")</f>
        <v>0</v>
      </c>
      <c r="J22" s="19">
        <f>SUMIFS('Data International'!$D:$D,'Data International'!$P:$P,'Painel International'!#REF!,'Data International'!$Q:$Q,"&gt;90",'Data International'!$Q:$Q,"&lt;=120")</f>
        <v>0</v>
      </c>
      <c r="K22" s="19">
        <f>SUMIFS('Data International'!$D:$D,'Data International'!$P:$P,'Painel International'!#REF!,'Data International'!$Q:$Q,"&gt;120",'Data International'!$Q:$Q,"&lt;=180")</f>
        <v>0</v>
      </c>
      <c r="L22" s="19">
        <f>SUMIFS('Data International'!$D:$D,'Data International'!$P:$P,'Painel International'!#REF!,'Data International'!$Q:$Q,"&gt;180",'Data International'!$Q:$Q,"&lt;=360")</f>
        <v>0</v>
      </c>
      <c r="M22" s="23">
        <f>SUMIFS('Data International'!$D:$D,'Data International'!$P:$P,'Painel International'!#REF!,'Data International'!$Q:$Q,"&gt;360")</f>
        <v>0</v>
      </c>
      <c r="N22" s="19">
        <f>SUMIFS('Data International'!$D:$D,'Data International'!$P:$P,'Painel International'!#REF!,'Data International'!$Q:$Q,"&gt;0")</f>
        <v>0</v>
      </c>
      <c r="O22" s="19">
        <f t="shared" si="4"/>
        <v>0</v>
      </c>
      <c r="P22" s="19">
        <f>SUMIFS('Data International'!$D:$D,'Data International'!$P:$P,'Painel International'!#REF!,'Data International'!$Q:$Q,"&lt;=0",'Data International'!$Q:$Q,"&gt;=-30")</f>
        <v>0</v>
      </c>
      <c r="Q22" s="19">
        <f>SUMIFS('Data International'!$D:$D,'Data International'!$P:$P,'Painel International'!#REF!,'Data International'!$Q:$Q,"&lt;=-31",'Data International'!$Q:$Q,"&gt;=-60")</f>
        <v>0</v>
      </c>
      <c r="R22" s="19">
        <f>SUMIFS('Data International'!$D:$D,'Data International'!$P:$P,'Painel International'!#REF!,'Data International'!$Q:$Q,"&lt;=-61",'Data International'!$Q:$Q,"&gt;=-90")</f>
        <v>0</v>
      </c>
      <c r="S22" s="19">
        <f>SUMIFS('Data International'!$D:$D,'Data International'!$P:$P,'Painel International'!#REF!,'Data International'!$Q:$Q,"&lt;=-91",'Data International'!$Q:$Q,"&gt;=-120")</f>
        <v>0</v>
      </c>
      <c r="T22" s="19">
        <f>SUMIFS('Data International'!$D:$D,'Data International'!$P:$P,'Painel International'!#REF!,'Data International'!$Q:$Q,"&lt;=-121",'Data International'!$Q:$Q,"&gt;=-180")</f>
        <v>0</v>
      </c>
      <c r="U22" s="19">
        <f>SUMIFS('Data International'!$D:$D,'Data International'!$P:$P,'Painel International'!#REF!,'Data International'!$Q:$Q,"&lt;=-181",'Data International'!$Q:$Q,"&gt;=-360")</f>
        <v>0</v>
      </c>
      <c r="V22" s="23">
        <f>SUMIFS('Data International'!$D:$D,'Data International'!$P:$P,'Painel International'!#REF!,'Data International'!$Q:$Q,"&lt;-360")</f>
        <v>0</v>
      </c>
      <c r="W22" s="19" t="e">
        <f>SUMIFS('Bad Debt Provision'!#REF!,'Bad Debt Provision'!#REF!,'Painel International'!#REF!)</f>
        <v>#REF!</v>
      </c>
      <c r="X22" s="5"/>
      <c r="Y22" s="20"/>
      <c r="Z22" s="20"/>
      <c r="AA22" s="21"/>
      <c r="AB22" s="5"/>
      <c r="AC22" s="19"/>
      <c r="AD22" s="20"/>
      <c r="AE22" s="22"/>
      <c r="AF22" s="22"/>
      <c r="AG22" s="5"/>
      <c r="AH22" s="28">
        <f t="shared" si="5"/>
        <v>0</v>
      </c>
    </row>
    <row r="23" spans="2:35" x14ac:dyDescent="0.25">
      <c r="B23" s="17" t="s">
        <v>304</v>
      </c>
      <c r="C23" s="105" cm="1">
        <f t="array" ref="C23">IFERROR(INDEX('Limite de crédito'!$D:$D, MATCH(MAX(IF('Limite de crédito'!$C:$C=$B23, 'Limite de crédito'!$A:$A)), 'Limite de crédito'!$A:$A, 0)),"")</f>
        <v>45831</v>
      </c>
      <c r="D23" s="105" t="str" cm="1">
        <f t="array" ref="D23">IFERROR(INDEX('Limite de crédito'!$F:$F, MATCH(MAX(IF('Limite de crédito'!$C:$C=$B23, 'Limite de crédito'!$A:$A)), 'Limite de crédito'!$A:$A, 0)),0)</f>
        <v>Sim</v>
      </c>
      <c r="E23" s="18" t="e">
        <f t="shared" si="2"/>
        <v>#VALUE!</v>
      </c>
      <c r="F23" s="18">
        <f t="shared" si="3"/>
        <v>262313.01</v>
      </c>
      <c r="G23" s="19">
        <f>SUMIFS('Data International'!$D:$D,'Data International'!$P:$P,'Painel International'!$B17,'Data International'!$Q:$Q,"&gt;0",'Data International'!$Q:$Q,"&lt;=30")</f>
        <v>0</v>
      </c>
      <c r="H23" s="19">
        <f>SUMIFS('Data International'!$D:$D,'Data International'!$P:$P,'Painel International'!$B17,'Data International'!$Q:$Q,"&gt;30",'Data International'!$Q:$Q,"&lt;=60")</f>
        <v>0</v>
      </c>
      <c r="I23" s="19">
        <f>SUMIFS('Data International'!$D:$D,'Data International'!$P:$P,'Painel International'!$B17,'Data International'!$Q:$Q,"&gt;60",'Data International'!$Q:$Q,"&lt;=90")</f>
        <v>0</v>
      </c>
      <c r="J23" s="19">
        <f>SUMIFS('Data International'!$D:$D,'Data International'!$P:$P,'Painel International'!$B17,'Data International'!$Q:$Q,"&gt;90",'Data International'!$Q:$Q,"&lt;=120")</f>
        <v>0</v>
      </c>
      <c r="K23" s="19">
        <f>SUMIFS('Data International'!$D:$D,'Data International'!$P:$P,'Painel International'!$B17,'Data International'!$Q:$Q,"&gt;120",'Data International'!$Q:$Q,"&lt;=180")</f>
        <v>0</v>
      </c>
      <c r="L23" s="19">
        <f>SUMIFS('Data International'!$D:$D,'Data International'!$P:$P,'Painel International'!$B17,'Data International'!$Q:$Q,"&gt;180",'Data International'!$Q:$Q,"&lt;=360")</f>
        <v>0</v>
      </c>
      <c r="M23" s="23">
        <f>SUMIFS('Data International'!$D:$D,'Data International'!$P:$P,'Painel International'!$B17,'Data International'!$Q:$Q,"&gt;360")</f>
        <v>0</v>
      </c>
      <c r="N23" s="19">
        <f>SUMIFS('Data International'!$D:$D,'Data International'!$P:$P,'Painel International'!$B17,'Data International'!$Q:$Q,"&gt;0")</f>
        <v>0</v>
      </c>
      <c r="O23" s="19">
        <f t="shared" si="4"/>
        <v>262313.01</v>
      </c>
      <c r="P23" s="19">
        <f>SUMIFS('Data International'!$D:$D,'Data International'!$P:$P,'Painel International'!$B17,'Data International'!$Q:$Q,"&lt;=0",'Data International'!$Q:$Q,"&gt;=-30")</f>
        <v>262313.01</v>
      </c>
      <c r="Q23" s="19">
        <f>SUMIFS('Data International'!$D:$D,'Data International'!$P:$P,'Painel International'!$B17,'Data International'!$Q:$Q,"&lt;=-31",'Data International'!$Q:$Q,"&gt;=-60")</f>
        <v>0</v>
      </c>
      <c r="R23" s="19">
        <f>SUMIFS('Data International'!$D:$D,'Data International'!$P:$P,'Painel International'!$B17,'Data International'!$Q:$Q,"&lt;=-61",'Data International'!$Q:$Q,"&gt;=-90")</f>
        <v>0</v>
      </c>
      <c r="S23" s="19">
        <f>SUMIFS('Data International'!$D:$D,'Data International'!$P:$P,'Painel International'!$B17,'Data International'!$Q:$Q,"&lt;=-91",'Data International'!$Q:$Q,"&gt;=-120")</f>
        <v>0</v>
      </c>
      <c r="T23" s="19">
        <f>SUMIFS('Data International'!$D:$D,'Data International'!$P:$P,'Painel International'!$B17,'Data International'!$Q:$Q,"&lt;=-121",'Data International'!$Q:$Q,"&gt;=-180")</f>
        <v>0</v>
      </c>
      <c r="U23" s="19">
        <f>SUMIFS('Data International'!$D:$D,'Data International'!$P:$P,'Painel International'!$B17,'Data International'!$Q:$Q,"&lt;=-181",'Data International'!$Q:$Q,"&gt;=-360")</f>
        <v>0</v>
      </c>
      <c r="V23" s="23">
        <f>SUMIFS('Data International'!$D:$D,'Data International'!$P:$P,'Painel International'!$B17,'Data International'!$Q:$Q,"&lt;-360")</f>
        <v>0</v>
      </c>
      <c r="W23" s="19" t="e">
        <f>SUMIFS('Bad Debt Provision'!#REF!,'Bad Debt Provision'!#REF!,'Painel International'!$B17)</f>
        <v>#REF!</v>
      </c>
      <c r="X23" s="5"/>
      <c r="Y23" s="20"/>
      <c r="Z23" s="20"/>
      <c r="AA23" s="21"/>
      <c r="AB23" s="5"/>
      <c r="AC23" s="19"/>
      <c r="AD23" s="20"/>
      <c r="AE23" s="22"/>
      <c r="AF23" s="22"/>
      <c r="AG23" s="5"/>
      <c r="AH23" s="28">
        <f t="shared" si="5"/>
        <v>-262313.01</v>
      </c>
    </row>
    <row r="24" spans="2:35" x14ac:dyDescent="0.25">
      <c r="B24" s="17" t="s">
        <v>307</v>
      </c>
      <c r="C24" s="105" cm="1">
        <f t="array" ref="C24">IFERROR(INDEX('Limite de crédito'!$D:$D, MATCH(MAX(IF('Limite de crédito'!$C:$C=$B24, 'Limite de crédito'!$A:$A)), 'Limite de crédito'!$A:$A, 0)),"")</f>
        <v>46001</v>
      </c>
      <c r="D24" s="105" t="str" cm="1">
        <f t="array" ref="D24">IFERROR(INDEX('Limite de crédito'!$F:$F, MATCH(MAX(IF('Limite de crédito'!$C:$C=$B24, 'Limite de crédito'!$A:$A)), 'Limite de crédito'!$A:$A, 0)),0)</f>
        <v>Sim</v>
      </c>
      <c r="E24" s="18" t="e">
        <f t="shared" si="2"/>
        <v>#VALUE!</v>
      </c>
      <c r="F24" s="18">
        <f t="shared" si="3"/>
        <v>0</v>
      </c>
      <c r="G24" s="19">
        <f>SUMIFS('Data International'!$D:$D,'Data International'!$P:$P,'Painel International'!#REF!,'Data International'!$Q:$Q,"&gt;0",'Data International'!$Q:$Q,"&lt;=30")</f>
        <v>0</v>
      </c>
      <c r="H24" s="19">
        <f>SUMIFS('Data International'!$D:$D,'Data International'!$P:$P,'Painel International'!#REF!,'Data International'!$Q:$Q,"&gt;30",'Data International'!$Q:$Q,"&lt;=60")</f>
        <v>0</v>
      </c>
      <c r="I24" s="19">
        <f>SUMIFS('Data International'!$D:$D,'Data International'!$P:$P,'Painel International'!#REF!,'Data International'!$Q:$Q,"&gt;60",'Data International'!$Q:$Q,"&lt;=90")</f>
        <v>0</v>
      </c>
      <c r="J24" s="19">
        <f>SUMIFS('Data International'!$D:$D,'Data International'!$P:$P,'Painel International'!#REF!,'Data International'!$Q:$Q,"&gt;90",'Data International'!$Q:$Q,"&lt;=120")</f>
        <v>0</v>
      </c>
      <c r="K24" s="19">
        <f>SUMIFS('Data International'!$D:$D,'Data International'!$P:$P,'Painel International'!#REF!,'Data International'!$Q:$Q,"&gt;120",'Data International'!$Q:$Q,"&lt;=180")</f>
        <v>0</v>
      </c>
      <c r="L24" s="19">
        <f>SUMIFS('Data International'!$D:$D,'Data International'!$P:$P,'Painel International'!#REF!,'Data International'!$Q:$Q,"&gt;180",'Data International'!$Q:$Q,"&lt;=360")</f>
        <v>0</v>
      </c>
      <c r="M24" s="23">
        <f>SUMIFS('Data International'!$D:$D,'Data International'!$P:$P,'Painel International'!#REF!,'Data International'!$Q:$Q,"&gt;360")</f>
        <v>0</v>
      </c>
      <c r="N24" s="19">
        <f>SUMIFS('Data International'!$D:$D,'Data International'!$P:$P,'Painel International'!#REF!,'Data International'!$Q:$Q,"&gt;0")</f>
        <v>0</v>
      </c>
      <c r="O24" s="19">
        <f t="shared" si="4"/>
        <v>0</v>
      </c>
      <c r="P24" s="19">
        <f>SUMIFS('Data International'!$D:$D,'Data International'!$P:$P,'Painel International'!#REF!,'Data International'!$Q:$Q,"&lt;=0",'Data International'!$Q:$Q,"&gt;=-30")</f>
        <v>0</v>
      </c>
      <c r="Q24" s="19">
        <f>SUMIFS('Data International'!$D:$D,'Data International'!$P:$P,'Painel International'!#REF!,'Data International'!$Q:$Q,"&lt;=-31",'Data International'!$Q:$Q,"&gt;=-60")</f>
        <v>0</v>
      </c>
      <c r="R24" s="19">
        <f>SUMIFS('Data International'!$D:$D,'Data International'!$P:$P,'Painel International'!#REF!,'Data International'!$Q:$Q,"&lt;=-61",'Data International'!$Q:$Q,"&gt;=-90")</f>
        <v>0</v>
      </c>
      <c r="S24" s="19">
        <f>SUMIFS('Data International'!$D:$D,'Data International'!$P:$P,'Painel International'!#REF!,'Data International'!$Q:$Q,"&lt;=-91",'Data International'!$Q:$Q,"&gt;=-120")</f>
        <v>0</v>
      </c>
      <c r="T24" s="19">
        <f>SUMIFS('Data International'!$D:$D,'Data International'!$P:$P,'Painel International'!#REF!,'Data International'!$Q:$Q,"&lt;=-121",'Data International'!$Q:$Q,"&gt;=-180")</f>
        <v>0</v>
      </c>
      <c r="U24" s="19">
        <f>SUMIFS('Data International'!$D:$D,'Data International'!$P:$P,'Painel International'!#REF!,'Data International'!$Q:$Q,"&lt;=-181",'Data International'!$Q:$Q,"&gt;=-360")</f>
        <v>0</v>
      </c>
      <c r="V24" s="23">
        <f>SUMIFS('Data International'!$D:$D,'Data International'!$P:$P,'Painel International'!#REF!,'Data International'!$Q:$Q,"&lt;-360")</f>
        <v>0</v>
      </c>
      <c r="W24" s="19" t="e">
        <f>SUMIFS('Bad Debt Provision'!#REF!,'Bad Debt Provision'!#REF!,'Painel International'!#REF!)</f>
        <v>#REF!</v>
      </c>
      <c r="X24" s="5"/>
      <c r="Y24" s="20"/>
      <c r="Z24" s="20"/>
      <c r="AA24" s="21"/>
      <c r="AB24" s="5"/>
      <c r="AC24" s="19"/>
      <c r="AD24" s="20"/>
      <c r="AE24" s="22"/>
      <c r="AF24" s="22"/>
      <c r="AG24" s="5"/>
      <c r="AH24" s="28">
        <f t="shared" si="5"/>
        <v>0</v>
      </c>
    </row>
    <row r="25" spans="2:35" x14ac:dyDescent="0.25">
      <c r="B25" s="17" t="s">
        <v>328</v>
      </c>
      <c r="C25" s="105" t="str" cm="1">
        <f t="array" ref="C25">IFERROR(INDEX('Limite de crédito'!$D:$D, MATCH(MAX(IF('Limite de crédito'!$C:$C=$B25, 'Limite de crédito'!$A:$A)), 'Limite de crédito'!$A:$A, 0)),"")</f>
        <v/>
      </c>
      <c r="D25" s="105" cm="1">
        <f t="array" ref="D25">IFERROR(INDEX('Limite de crédito'!$F:$F, MATCH(MAX(IF('Limite de crédito'!$C:$C=$B25, 'Limite de crédito'!$A:$A)), 'Limite de crédito'!$A:$A, 0)),0)</f>
        <v>0</v>
      </c>
      <c r="E25" s="18">
        <f t="shared" si="2"/>
        <v>0</v>
      </c>
      <c r="F25" s="18">
        <f t="shared" si="3"/>
        <v>0</v>
      </c>
      <c r="G25" s="19">
        <f>SUMIFS('Data International'!$D:$D,'Data International'!$P:$P,'Painel International'!#REF!,'Data International'!$Q:$Q,"&gt;0",'Data International'!$Q:$Q,"&lt;=30")</f>
        <v>0</v>
      </c>
      <c r="H25" s="19">
        <f>SUMIFS('Data International'!$D:$D,'Data International'!$P:$P,'Painel International'!#REF!,'Data International'!$Q:$Q,"&gt;30",'Data International'!$Q:$Q,"&lt;=60")</f>
        <v>0</v>
      </c>
      <c r="I25" s="19">
        <f>SUMIFS('Data International'!$D:$D,'Data International'!$P:$P,'Painel International'!#REF!,'Data International'!$Q:$Q,"&gt;60",'Data International'!$Q:$Q,"&lt;=90")</f>
        <v>0</v>
      </c>
      <c r="J25" s="19">
        <f>SUMIFS('Data International'!$D:$D,'Data International'!$P:$P,'Painel International'!#REF!,'Data International'!$Q:$Q,"&gt;90",'Data International'!$Q:$Q,"&lt;=120")</f>
        <v>0</v>
      </c>
      <c r="K25" s="19">
        <f>SUMIFS('Data International'!$D:$D,'Data International'!$P:$P,'Painel International'!#REF!,'Data International'!$Q:$Q,"&gt;120",'Data International'!$Q:$Q,"&lt;=180")</f>
        <v>0</v>
      </c>
      <c r="L25" s="19">
        <f>SUMIFS('Data International'!$D:$D,'Data International'!$P:$P,'Painel International'!#REF!,'Data International'!$Q:$Q,"&gt;180",'Data International'!$Q:$Q,"&lt;=360")</f>
        <v>0</v>
      </c>
      <c r="M25" s="23">
        <f>SUMIFS('Data International'!$D:$D,'Data International'!$P:$P,'Painel International'!#REF!,'Data International'!$Q:$Q,"&gt;360")</f>
        <v>0</v>
      </c>
      <c r="N25" s="19">
        <f>SUMIFS('Data International'!$D:$D,'Data International'!$P:$P,'Painel International'!#REF!,'Data International'!$Q:$Q,"&gt;0")</f>
        <v>0</v>
      </c>
      <c r="O25" s="19">
        <f t="shared" si="4"/>
        <v>0</v>
      </c>
      <c r="P25" s="19">
        <f>SUMIFS('Data International'!$D:$D,'Data International'!$P:$P,'Painel International'!#REF!,'Data International'!$Q:$Q,"&lt;=0",'Data International'!$Q:$Q,"&gt;=-30")</f>
        <v>0</v>
      </c>
      <c r="Q25" s="19">
        <f>SUMIFS('Data International'!$D:$D,'Data International'!$P:$P,'Painel International'!#REF!,'Data International'!$Q:$Q,"&lt;=-31",'Data International'!$Q:$Q,"&gt;=-60")</f>
        <v>0</v>
      </c>
      <c r="R25" s="19">
        <f>SUMIFS('Data International'!$D:$D,'Data International'!$P:$P,'Painel International'!#REF!,'Data International'!$Q:$Q,"&lt;=-61",'Data International'!$Q:$Q,"&gt;=-90")</f>
        <v>0</v>
      </c>
      <c r="S25" s="19">
        <f>SUMIFS('Data International'!$D:$D,'Data International'!$P:$P,'Painel International'!#REF!,'Data International'!$Q:$Q,"&lt;=-91",'Data International'!$Q:$Q,"&gt;=-120")</f>
        <v>0</v>
      </c>
      <c r="T25" s="19">
        <f>SUMIFS('Data International'!$D:$D,'Data International'!$P:$P,'Painel International'!#REF!,'Data International'!$Q:$Q,"&lt;=-121",'Data International'!$Q:$Q,"&gt;=-180")</f>
        <v>0</v>
      </c>
      <c r="U25" s="19">
        <f>SUMIFS('Data International'!$D:$D,'Data International'!$P:$P,'Painel International'!#REF!,'Data International'!$Q:$Q,"&lt;=-181",'Data International'!$Q:$Q,"&gt;=-360")</f>
        <v>0</v>
      </c>
      <c r="V25" s="23">
        <f>SUMIFS('Data International'!$D:$D,'Data International'!$P:$P,'Painel International'!#REF!,'Data International'!$Q:$Q,"&lt;-360")</f>
        <v>0</v>
      </c>
      <c r="W25" s="19" t="e">
        <f>SUMIFS('Bad Debt Provision'!#REF!,'Bad Debt Provision'!#REF!,'Painel International'!#REF!)</f>
        <v>#REF!</v>
      </c>
      <c r="X25" s="5"/>
      <c r="Y25" s="20"/>
      <c r="Z25" s="20"/>
      <c r="AA25" s="21"/>
      <c r="AB25" s="5"/>
      <c r="AC25" s="19"/>
      <c r="AD25" s="20"/>
      <c r="AE25" s="22"/>
      <c r="AF25" s="22"/>
      <c r="AG25" s="5"/>
      <c r="AH25" s="28">
        <f t="shared" si="5"/>
        <v>0</v>
      </c>
    </row>
    <row r="26" spans="2:35" x14ac:dyDescent="0.25">
      <c r="B26" s="41" t="s">
        <v>354</v>
      </c>
      <c r="C26" s="19" cm="1">
        <f t="array" ref="C26">IFERROR(INDEX('Limite de crédito'!$D:$D, MATCH(MAX(IF('Limite de crédito'!$C:$C=$B26, 'Limite de crédito'!$A:$A)), 'Limite de crédito'!$A:$A, 0)),"")</f>
        <v>45831</v>
      </c>
      <c r="D26" s="105" t="str" cm="1">
        <f t="array" ref="D26">IFERROR(INDEX('Limite de crédito'!$F:$F, MATCH(MAX(IF('Limite de crédito'!$C:$C=$B26, 'Limite de crédito'!$A:$A)), 'Limite de crédito'!$A:$A, 0)),0)</f>
        <v>Sim</v>
      </c>
      <c r="E26" s="18" t="e">
        <f t="shared" si="2"/>
        <v>#VALUE!</v>
      </c>
      <c r="F26" s="18">
        <f t="shared" si="3"/>
        <v>0</v>
      </c>
      <c r="G26" s="19">
        <f>SUMIFS('Data International'!$D:$D,'Data International'!$P:$P,'Painel International'!#REF!,'Data International'!$Q:$Q,"&gt;0",'Data International'!$Q:$Q,"&lt;=30")</f>
        <v>0</v>
      </c>
      <c r="H26" s="19">
        <f>SUMIFS('Data International'!$D:$D,'Data International'!$P:$P,'Painel International'!#REF!,'Data International'!$Q:$Q,"&gt;30",'Data International'!$Q:$Q,"&lt;=60")</f>
        <v>0</v>
      </c>
      <c r="I26" s="19">
        <f>SUMIFS('Data International'!$D:$D,'Data International'!$P:$P,'Painel International'!#REF!,'Data International'!$Q:$Q,"&gt;60",'Data International'!$Q:$Q,"&lt;=90")</f>
        <v>0</v>
      </c>
      <c r="J26" s="19">
        <f>SUMIFS('Data International'!$D:$D,'Data International'!$P:$P,'Painel International'!#REF!,'Data International'!$Q:$Q,"&gt;90",'Data International'!$Q:$Q,"&lt;=120")</f>
        <v>0</v>
      </c>
      <c r="K26" s="19">
        <f>SUMIFS('Data International'!$D:$D,'Data International'!$P:$P,'Painel International'!#REF!,'Data International'!$Q:$Q,"&gt;120",'Data International'!$Q:$Q,"&lt;=180")</f>
        <v>0</v>
      </c>
      <c r="L26" s="19">
        <f>SUMIFS('Data International'!$D:$D,'Data International'!$P:$P,'Painel International'!#REF!,'Data International'!$Q:$Q,"&gt;180",'Data International'!$Q:$Q,"&lt;=360")</f>
        <v>0</v>
      </c>
      <c r="M26" s="23">
        <f>SUMIFS('Data International'!$D:$D,'Data International'!$P:$P,'Painel International'!#REF!,'Data International'!$Q:$Q,"&gt;360")</f>
        <v>0</v>
      </c>
      <c r="N26" s="19">
        <f>SUMIFS('Data International'!$D:$D,'Data International'!$P:$P,'Painel International'!#REF!,'Data International'!$Q:$Q,"&gt;0")</f>
        <v>0</v>
      </c>
      <c r="O26" s="19">
        <f t="shared" si="4"/>
        <v>0</v>
      </c>
      <c r="P26" s="19">
        <f>SUMIFS('Data International'!$D:$D,'Data International'!$P:$P,'Painel International'!#REF!,'Data International'!$Q:$Q,"&lt;=0",'Data International'!$Q:$Q,"&gt;=-30")</f>
        <v>0</v>
      </c>
      <c r="Q26" s="19">
        <f>SUMIFS('Data International'!$D:$D,'Data International'!$P:$P,'Painel International'!#REF!,'Data International'!$Q:$Q,"&lt;=-31",'Data International'!$Q:$Q,"&gt;=-60")</f>
        <v>0</v>
      </c>
      <c r="R26" s="19">
        <f>SUMIFS('Data International'!$D:$D,'Data International'!$P:$P,'Painel International'!#REF!,'Data International'!$Q:$Q,"&lt;=-61",'Data International'!$Q:$Q,"&gt;=-90")</f>
        <v>0</v>
      </c>
      <c r="S26" s="19">
        <f>SUMIFS('Data International'!$D:$D,'Data International'!$P:$P,'Painel International'!#REF!,'Data International'!$Q:$Q,"&lt;=-91",'Data International'!$Q:$Q,"&gt;=-120")</f>
        <v>0</v>
      </c>
      <c r="T26" s="19">
        <f>SUMIFS('Data International'!$D:$D,'Data International'!$P:$P,'Painel International'!#REF!,'Data International'!$Q:$Q,"&lt;=-121",'Data International'!$Q:$Q,"&gt;=-180")</f>
        <v>0</v>
      </c>
      <c r="U26" s="19">
        <f>SUMIFS('Data International'!$D:$D,'Data International'!$P:$P,'Painel International'!#REF!,'Data International'!$Q:$Q,"&lt;=-181",'Data International'!$Q:$Q,"&gt;=-360")</f>
        <v>0</v>
      </c>
      <c r="V26" s="23">
        <f>SUMIFS('Data International'!$D:$D,'Data International'!$P:$P,'Painel International'!#REF!,'Data International'!$Q:$Q,"&lt;-360")</f>
        <v>0</v>
      </c>
      <c r="W26" s="19" t="e">
        <f>SUMIFS('Bad Debt Provision'!#REF!,'Bad Debt Provision'!#REF!,'Painel International'!#REF!)</f>
        <v>#REF!</v>
      </c>
      <c r="X26" s="5"/>
      <c r="Y26" s="20"/>
      <c r="Z26" s="20"/>
      <c r="AA26" s="21"/>
      <c r="AB26" s="5"/>
      <c r="AC26" s="19"/>
      <c r="AD26" s="20"/>
      <c r="AE26" s="22"/>
      <c r="AF26" s="22"/>
      <c r="AG26" s="5"/>
      <c r="AH26" s="28">
        <f t="shared" si="5"/>
        <v>0</v>
      </c>
    </row>
    <row r="27" spans="2:35" x14ac:dyDescent="0.25">
      <c r="B27" s="17" t="s">
        <v>178</v>
      </c>
      <c r="C27" s="105" cm="1">
        <f t="array" ref="C27">IFERROR(INDEX('Limite de crédito'!$D:$D, MATCH(MAX(IF('Limite de crédito'!$C:$C=$B27, 'Limite de crédito'!$A:$A)), 'Limite de crédito'!$A:$A, 0)),"")</f>
        <v>45838</v>
      </c>
      <c r="D27" s="105" t="str" cm="1">
        <f t="array" ref="D27">IFERROR(INDEX('Limite de crédito'!$F:$F, MATCH(MAX(IF('Limite de crédito'!$C:$C=$B27, 'Limite de crédito'!$A:$A)), 'Limite de crédito'!$A:$A, 0)),0)</f>
        <v>Sim</v>
      </c>
      <c r="E27" s="18" t="e">
        <f t="shared" si="2"/>
        <v>#VALUE!</v>
      </c>
      <c r="F27" s="18">
        <f t="shared" si="3"/>
        <v>0</v>
      </c>
      <c r="G27" s="19">
        <f>SUMIFS('Data International'!$D:$D,'Data International'!$P:$P,'Painel International'!$B9,'Data International'!$Q:$Q,"&gt;0",'Data International'!$Q:$Q,"&lt;=30")</f>
        <v>0</v>
      </c>
      <c r="H27" s="19">
        <f>SUMIFS('Data International'!$D:$D,'Data International'!$P:$P,'Painel International'!$B9,'Data International'!$Q:$Q,"&gt;30",'Data International'!$Q:$Q,"&lt;=60")</f>
        <v>0</v>
      </c>
      <c r="I27" s="19">
        <f>SUMIFS('Data International'!$D:$D,'Data International'!$P:$P,'Painel International'!$B9,'Data International'!$Q:$Q,"&gt;60",'Data International'!$Q:$Q,"&lt;=90")</f>
        <v>0</v>
      </c>
      <c r="J27" s="19">
        <f>SUMIFS('Data International'!$D:$D,'Data International'!$P:$P,'Painel International'!$B9,'Data International'!$Q:$Q,"&gt;90",'Data International'!$Q:$Q,"&lt;=120")</f>
        <v>0</v>
      </c>
      <c r="K27" s="19">
        <f>SUMIFS('Data International'!$D:$D,'Data International'!$P:$P,'Painel International'!$B9,'Data International'!$Q:$Q,"&gt;120",'Data International'!$Q:$Q,"&lt;=180")</f>
        <v>0</v>
      </c>
      <c r="L27" s="19">
        <f>SUMIFS('Data International'!$D:$D,'Data International'!$P:$P,'Painel International'!$B9,'Data International'!$Q:$Q,"&gt;180",'Data International'!$Q:$Q,"&lt;=360")</f>
        <v>0</v>
      </c>
      <c r="M27" s="23">
        <f>SUMIFS('Data International'!$D:$D,'Data International'!$P:$P,'Painel International'!$B9,'Data International'!$Q:$Q,"&gt;360")</f>
        <v>0</v>
      </c>
      <c r="N27" s="19">
        <f>SUMIFS('Data International'!$D:$D,'Data International'!$P:$P,'Painel International'!$B9,'Data International'!$Q:$Q,"&gt;0")</f>
        <v>0</v>
      </c>
      <c r="O27" s="19">
        <f t="shared" si="4"/>
        <v>0</v>
      </c>
      <c r="P27" s="19">
        <f>SUMIFS('Data International'!$D:$D,'Data International'!$P:$P,'Painel International'!$B9,'Data International'!$Q:$Q,"&lt;=0",'Data International'!$Q:$Q,"&gt;=-30")</f>
        <v>0</v>
      </c>
      <c r="Q27" s="19">
        <f>SUMIFS('Data International'!$D:$D,'Data International'!$P:$P,'Painel International'!$B9,'Data International'!$Q:$Q,"&lt;=-31",'Data International'!$Q:$Q,"&gt;=-60")</f>
        <v>0</v>
      </c>
      <c r="R27" s="19">
        <f>SUMIFS('Data International'!$D:$D,'Data International'!$P:$P,'Painel International'!$B9,'Data International'!$Q:$Q,"&lt;=-61",'Data International'!$Q:$Q,"&gt;=-90")</f>
        <v>0</v>
      </c>
      <c r="S27" s="19">
        <f>SUMIFS('Data International'!$D:$D,'Data International'!$P:$P,'Painel International'!$B9,'Data International'!$Q:$Q,"&lt;=-91",'Data International'!$Q:$Q,"&gt;=-120")</f>
        <v>0</v>
      </c>
      <c r="T27" s="19">
        <f>SUMIFS('Data International'!$D:$D,'Data International'!$P:$P,'Painel International'!$B9,'Data International'!$Q:$Q,"&lt;=-121",'Data International'!$Q:$Q,"&gt;=-180")</f>
        <v>0</v>
      </c>
      <c r="U27" s="19">
        <f>SUMIFS('Data International'!$D:$D,'Data International'!$P:$P,'Painel International'!$B9,'Data International'!$Q:$Q,"&lt;=-181",'Data International'!$Q:$Q,"&gt;=-360")</f>
        <v>0</v>
      </c>
      <c r="V27" s="23">
        <f>SUMIFS('Data International'!$D:$D,'Data International'!$P:$P,'Painel International'!$B9,'Data International'!$Q:$Q,"&lt;-360")</f>
        <v>0</v>
      </c>
      <c r="W27" s="19" t="e">
        <f>SUMIFS('Bad Debt Provision'!#REF!,'Bad Debt Provision'!#REF!,'Painel International'!$B9)</f>
        <v>#REF!</v>
      </c>
      <c r="X27" s="5"/>
      <c r="Y27" s="20"/>
      <c r="Z27" s="20"/>
      <c r="AA27" s="21"/>
      <c r="AB27" s="5"/>
      <c r="AC27" s="19"/>
      <c r="AD27" s="20"/>
      <c r="AE27" s="22"/>
      <c r="AF27" s="22"/>
      <c r="AG27" s="5"/>
      <c r="AH27" s="28">
        <f t="shared" si="5"/>
        <v>0</v>
      </c>
      <c r="AI27" s="5"/>
    </row>
    <row r="28" spans="2:35" x14ac:dyDescent="0.25">
      <c r="B28" s="17" t="s">
        <v>132</v>
      </c>
      <c r="C28" s="105" cm="1">
        <f t="array" ref="C28">IFERROR(INDEX('Limite de crédito'!$D:$D, MATCH(MAX(IF('Limite de crédito'!$C:$C=$B28, 'Limite de crédito'!$A:$A)), 'Limite de crédito'!$A:$A, 0)),"")</f>
        <v>46001</v>
      </c>
      <c r="D28" s="105" t="str" cm="1">
        <f t="array" ref="D28">IFERROR(INDEX('Limite de crédito'!$F:$F, MATCH(MAX(IF('Limite de crédito'!$C:$C=$B28, 'Limite de crédito'!$A:$A)), 'Limite de crédito'!$A:$A, 0)),0)</f>
        <v>Sim</v>
      </c>
      <c r="E28" s="18" t="e">
        <f t="shared" si="2"/>
        <v>#VALUE!</v>
      </c>
      <c r="F28" s="18">
        <f t="shared" si="3"/>
        <v>76480.23</v>
      </c>
      <c r="G28" s="19">
        <f>SUMIFS('Data International'!$D:$D,'Data International'!$P:$P,'Painel International'!$B10,'Data International'!$Q:$Q,"&gt;0",'Data International'!$Q:$Q,"&lt;=30")</f>
        <v>0</v>
      </c>
      <c r="H28" s="19">
        <f>SUMIFS('Data International'!$D:$D,'Data International'!$P:$P,'Painel International'!$B10,'Data International'!$Q:$Q,"&gt;30",'Data International'!$Q:$Q,"&lt;=60")</f>
        <v>0</v>
      </c>
      <c r="I28" s="19">
        <f>SUMIFS('Data International'!$D:$D,'Data International'!$P:$P,'Painel International'!$B10,'Data International'!$Q:$Q,"&gt;60",'Data International'!$Q:$Q,"&lt;=90")</f>
        <v>0</v>
      </c>
      <c r="J28" s="19">
        <f>SUMIFS('Data International'!$D:$D,'Data International'!$P:$P,'Painel International'!$B10,'Data International'!$Q:$Q,"&gt;90",'Data International'!$Q:$Q,"&lt;=120")</f>
        <v>0</v>
      </c>
      <c r="K28" s="19">
        <f>SUMIFS('Data International'!$D:$D,'Data International'!$P:$P,'Painel International'!$B10,'Data International'!$Q:$Q,"&gt;120",'Data International'!$Q:$Q,"&lt;=180")</f>
        <v>0</v>
      </c>
      <c r="L28" s="19">
        <f>SUMIFS('Data International'!$D:$D,'Data International'!$P:$P,'Painel International'!$B10,'Data International'!$Q:$Q,"&gt;180",'Data International'!$Q:$Q,"&lt;=360")</f>
        <v>0</v>
      </c>
      <c r="M28" s="23">
        <f>SUMIFS('Data International'!$D:$D,'Data International'!$P:$P,'Painel International'!$B10,'Data International'!$Q:$Q,"&gt;360")</f>
        <v>0</v>
      </c>
      <c r="N28" s="19">
        <f>SUMIFS('Data International'!$D:$D,'Data International'!$P:$P,'Painel International'!$B10,'Data International'!$Q:$Q,"&gt;0")</f>
        <v>0</v>
      </c>
      <c r="O28" s="19">
        <f t="shared" si="4"/>
        <v>76480.23</v>
      </c>
      <c r="P28" s="19">
        <f>SUMIFS('Data International'!$D:$D,'Data International'!$P:$P,'Painel International'!$B10,'Data International'!$Q:$Q,"&lt;=0",'Data International'!$Q:$Q,"&gt;=-30")</f>
        <v>0</v>
      </c>
      <c r="Q28" s="19">
        <f>SUMIFS('Data International'!$D:$D,'Data International'!$P:$P,'Painel International'!$B10,'Data International'!$Q:$Q,"&lt;=-31",'Data International'!$Q:$Q,"&gt;=-60")</f>
        <v>0</v>
      </c>
      <c r="R28" s="19">
        <f>SUMIFS('Data International'!$D:$D,'Data International'!$P:$P,'Painel International'!$B10,'Data International'!$Q:$Q,"&lt;=-61",'Data International'!$Q:$Q,"&gt;=-90")</f>
        <v>0</v>
      </c>
      <c r="S28" s="19">
        <f>SUMIFS('Data International'!$D:$D,'Data International'!$P:$P,'Painel International'!$B10,'Data International'!$Q:$Q,"&lt;=-91",'Data International'!$Q:$Q,"&gt;=-120")</f>
        <v>0</v>
      </c>
      <c r="T28" s="19">
        <f>SUMIFS('Data International'!$D:$D,'Data International'!$P:$P,'Painel International'!$B10,'Data International'!$Q:$Q,"&lt;=-121",'Data International'!$Q:$Q,"&gt;=-180")</f>
        <v>0</v>
      </c>
      <c r="U28" s="19">
        <f>SUMIFS('Data International'!$D:$D,'Data International'!$P:$P,'Painel International'!$B10,'Data International'!$Q:$Q,"&lt;=-181",'Data International'!$Q:$Q,"&gt;=-360")</f>
        <v>76480.23</v>
      </c>
      <c r="V28" s="23">
        <f>SUMIFS('Data International'!$D:$D,'Data International'!$P:$P,'Painel International'!$B10,'Data International'!$Q:$Q,"&lt;-360")</f>
        <v>0</v>
      </c>
      <c r="W28" s="19" t="e">
        <f>SUMIFS('Bad Debt Provision'!#REF!,'Bad Debt Provision'!#REF!,'Painel International'!$B10)</f>
        <v>#REF!</v>
      </c>
      <c r="X28" s="5"/>
      <c r="Y28" s="20"/>
      <c r="Z28" s="20"/>
      <c r="AA28" s="21"/>
      <c r="AB28" s="5"/>
      <c r="AC28" s="19"/>
      <c r="AD28" s="20"/>
      <c r="AE28" s="22"/>
      <c r="AF28" s="22"/>
      <c r="AG28" s="5"/>
      <c r="AH28" s="28">
        <f t="shared" si="5"/>
        <v>-76480.23</v>
      </c>
      <c r="AI28" s="5"/>
    </row>
    <row r="29" spans="2:35" x14ac:dyDescent="0.25">
      <c r="B29" s="41" t="s">
        <v>359</v>
      </c>
      <c r="C29" s="19" cm="1">
        <f t="array" ref="C29">IFERROR(INDEX('Limite de crédito'!$D:$D, MATCH(MAX(IF('Limite de crédito'!$C:$C=$B29, 'Limite de crédito'!$A:$A)), 'Limite de crédito'!$A:$A, 0)),"")</f>
        <v>45831</v>
      </c>
      <c r="D29" s="105" t="str" cm="1">
        <f t="array" ref="D29">IFERROR(INDEX('Limite de crédito'!$F:$F, MATCH(MAX(IF('Limite de crédito'!$C:$C=$B29, 'Limite de crédito'!$A:$A)), 'Limite de crédito'!$A:$A, 0)),0)</f>
        <v>Sim</v>
      </c>
      <c r="E29" s="18" t="e">
        <f t="shared" si="2"/>
        <v>#VALUE!</v>
      </c>
      <c r="F29" s="18">
        <f t="shared" si="3"/>
        <v>0</v>
      </c>
      <c r="G29" s="19">
        <f>SUMIFS('Data International'!$D:$D,'Data International'!$P:$P,'Painel International'!#REF!,'Data International'!$Q:$Q,"&gt;0",'Data International'!$Q:$Q,"&lt;=30")</f>
        <v>0</v>
      </c>
      <c r="H29" s="19">
        <f>SUMIFS('Data International'!$D:$D,'Data International'!$P:$P,'Painel International'!#REF!,'Data International'!$Q:$Q,"&gt;30",'Data International'!$Q:$Q,"&lt;=60")</f>
        <v>0</v>
      </c>
      <c r="I29" s="19">
        <f>SUMIFS('Data International'!$D:$D,'Data International'!$P:$P,'Painel International'!#REF!,'Data International'!$Q:$Q,"&gt;60",'Data International'!$Q:$Q,"&lt;=90")</f>
        <v>0</v>
      </c>
      <c r="J29" s="19">
        <f>SUMIFS('Data International'!$D:$D,'Data International'!$P:$P,'Painel International'!#REF!,'Data International'!$Q:$Q,"&gt;90",'Data International'!$Q:$Q,"&lt;=120")</f>
        <v>0</v>
      </c>
      <c r="K29" s="19">
        <f>SUMIFS('Data International'!$D:$D,'Data International'!$P:$P,'Painel International'!#REF!,'Data International'!$Q:$Q,"&gt;120",'Data International'!$Q:$Q,"&lt;=180")</f>
        <v>0</v>
      </c>
      <c r="L29" s="19">
        <f>SUMIFS('Data International'!$D:$D,'Data International'!$P:$P,'Painel International'!#REF!,'Data International'!$Q:$Q,"&gt;180",'Data International'!$Q:$Q,"&lt;=360")</f>
        <v>0</v>
      </c>
      <c r="M29" s="23">
        <f>SUMIFS('Data International'!$D:$D,'Data International'!$P:$P,'Painel International'!#REF!,'Data International'!$Q:$Q,"&gt;360")</f>
        <v>0</v>
      </c>
      <c r="N29" s="19">
        <f>SUMIFS('Data International'!$D:$D,'Data International'!$P:$P,'Painel International'!#REF!,'Data International'!$Q:$Q,"&gt;0")</f>
        <v>0</v>
      </c>
      <c r="O29" s="19">
        <f t="shared" si="4"/>
        <v>0</v>
      </c>
      <c r="P29" s="19">
        <f>SUMIFS('Data International'!$D:$D,'Data International'!$P:$P,'Painel International'!#REF!,'Data International'!$Q:$Q,"&lt;=0",'Data International'!$Q:$Q,"&gt;=-30")</f>
        <v>0</v>
      </c>
      <c r="Q29" s="19">
        <f>SUMIFS('Data International'!$D:$D,'Data International'!$P:$P,'Painel International'!#REF!,'Data International'!$Q:$Q,"&lt;=-31",'Data International'!$Q:$Q,"&gt;=-60")</f>
        <v>0</v>
      </c>
      <c r="R29" s="19">
        <f>SUMIFS('Data International'!$D:$D,'Data International'!$P:$P,'Painel International'!#REF!,'Data International'!$Q:$Q,"&lt;=-61",'Data International'!$Q:$Q,"&gt;=-90")</f>
        <v>0</v>
      </c>
      <c r="S29" s="19">
        <f>SUMIFS('Data International'!$D:$D,'Data International'!$P:$P,'Painel International'!#REF!,'Data International'!$Q:$Q,"&lt;=-91",'Data International'!$Q:$Q,"&gt;=-120")</f>
        <v>0</v>
      </c>
      <c r="T29" s="19">
        <f>SUMIFS('Data International'!$D:$D,'Data International'!$P:$P,'Painel International'!#REF!,'Data International'!$Q:$Q,"&lt;=-121",'Data International'!$Q:$Q,"&gt;=-180")</f>
        <v>0</v>
      </c>
      <c r="U29" s="19">
        <f>SUMIFS('Data International'!$D:$D,'Data International'!$P:$P,'Painel International'!#REF!,'Data International'!$Q:$Q,"&lt;=-181",'Data International'!$Q:$Q,"&gt;=-360")</f>
        <v>0</v>
      </c>
      <c r="V29" s="23">
        <f>SUMIFS('Data International'!$D:$D,'Data International'!$P:$P,'Painel International'!#REF!,'Data International'!$Q:$Q,"&lt;-360")</f>
        <v>0</v>
      </c>
      <c r="W29" s="19" t="e">
        <f>SUMIFS('Bad Debt Provision'!#REF!,'Bad Debt Provision'!#REF!,'Painel International'!#REF!)</f>
        <v>#REF!</v>
      </c>
      <c r="X29" s="5"/>
      <c r="Y29" s="20"/>
      <c r="Z29" s="20"/>
      <c r="AA29" s="21"/>
      <c r="AB29" s="5"/>
      <c r="AC29" s="19"/>
      <c r="AD29" s="20"/>
      <c r="AE29" s="22"/>
      <c r="AF29" s="22"/>
      <c r="AG29" s="5"/>
      <c r="AH29" s="28">
        <f t="shared" si="5"/>
        <v>0</v>
      </c>
    </row>
    <row r="30" spans="2:35" x14ac:dyDescent="0.25">
      <c r="B30" s="41" t="s">
        <v>384</v>
      </c>
      <c r="C30" s="19" t="str" cm="1">
        <f t="array" ref="C30">IFERROR(INDEX('Limite de crédito'!$D:$D, MATCH(MAX(IF('Limite de crédito'!$C:$C=$B30, 'Limite de crédito'!$A:$A)), 'Limite de crédito'!$A:$A, 0)),"")</f>
        <v/>
      </c>
      <c r="D30" s="105" cm="1">
        <f t="array" ref="D30">IFERROR(INDEX('Limite de crédito'!$F:$F, MATCH(MAX(IF('Limite de crédito'!$C:$C=$B30, 'Limite de crédito'!$A:$A)), 'Limite de crédito'!$A:$A, 0)),0)</f>
        <v>0</v>
      </c>
      <c r="E30" s="18">
        <f t="shared" si="2"/>
        <v>0</v>
      </c>
      <c r="F30" s="18">
        <f t="shared" si="3"/>
        <v>0</v>
      </c>
      <c r="G30" s="19">
        <f>SUMIFS('Data International'!$D:$D,'Data International'!$P:$P,'Painel International'!#REF!,'Data International'!$Q:$Q,"&gt;0",'Data International'!$Q:$Q,"&lt;=30")</f>
        <v>0</v>
      </c>
      <c r="H30" s="19">
        <f>SUMIFS('Data International'!$D:$D,'Data International'!$P:$P,'Painel International'!#REF!,'Data International'!$Q:$Q,"&gt;30",'Data International'!$Q:$Q,"&lt;=60")</f>
        <v>0</v>
      </c>
      <c r="I30" s="19">
        <f>SUMIFS('Data International'!$D:$D,'Data International'!$P:$P,'Painel International'!#REF!,'Data International'!$Q:$Q,"&gt;60",'Data International'!$Q:$Q,"&lt;=90")</f>
        <v>0</v>
      </c>
      <c r="J30" s="19">
        <f>SUMIFS('Data International'!$D:$D,'Data International'!$P:$P,'Painel International'!#REF!,'Data International'!$Q:$Q,"&gt;90",'Data International'!$Q:$Q,"&lt;=120")</f>
        <v>0</v>
      </c>
      <c r="K30" s="19">
        <f>SUMIFS('Data International'!$D:$D,'Data International'!$P:$P,'Painel International'!#REF!,'Data International'!$Q:$Q,"&gt;120",'Data International'!$Q:$Q,"&lt;=180")</f>
        <v>0</v>
      </c>
      <c r="L30" s="19">
        <f>SUMIFS('Data International'!$D:$D,'Data International'!$P:$P,'Painel International'!#REF!,'Data International'!$Q:$Q,"&gt;180",'Data International'!$Q:$Q,"&lt;=360")</f>
        <v>0</v>
      </c>
      <c r="M30" s="23">
        <f>SUMIFS('Data International'!$D:$D,'Data International'!$P:$P,'Painel International'!#REF!,'Data International'!$Q:$Q,"&gt;360")</f>
        <v>0</v>
      </c>
      <c r="N30" s="19">
        <f>SUMIFS('Data International'!$D:$D,'Data International'!$P:$P,'Painel International'!#REF!,'Data International'!$Q:$Q,"&gt;0")</f>
        <v>0</v>
      </c>
      <c r="O30" s="19">
        <f t="shared" si="4"/>
        <v>0</v>
      </c>
      <c r="P30" s="19">
        <f>SUMIFS('Data International'!$D:$D,'Data International'!$P:$P,'Painel International'!#REF!,'Data International'!$Q:$Q,"&lt;=0",'Data International'!$Q:$Q,"&gt;=-30")</f>
        <v>0</v>
      </c>
      <c r="Q30" s="19">
        <f>SUMIFS('Data International'!$D:$D,'Data International'!$P:$P,'Painel International'!#REF!,'Data International'!$Q:$Q,"&lt;=-31",'Data International'!$Q:$Q,"&gt;=-60")</f>
        <v>0</v>
      </c>
      <c r="R30" s="19">
        <f>SUMIFS('Data International'!$D:$D,'Data International'!$P:$P,'Painel International'!#REF!,'Data International'!$Q:$Q,"&lt;=-61",'Data International'!$Q:$Q,"&gt;=-90")</f>
        <v>0</v>
      </c>
      <c r="S30" s="19">
        <f>SUMIFS('Data International'!$D:$D,'Data International'!$P:$P,'Painel International'!#REF!,'Data International'!$Q:$Q,"&lt;=-91",'Data International'!$Q:$Q,"&gt;=-120")</f>
        <v>0</v>
      </c>
      <c r="T30" s="19">
        <f>SUMIFS('Data International'!$D:$D,'Data International'!$P:$P,'Painel International'!#REF!,'Data International'!$Q:$Q,"&lt;=-121",'Data International'!$Q:$Q,"&gt;=-180")</f>
        <v>0</v>
      </c>
      <c r="U30" s="19">
        <f>SUMIFS('Data International'!$D:$D,'Data International'!$P:$P,'Painel International'!#REF!,'Data International'!$Q:$Q,"&lt;=-181",'Data International'!$Q:$Q,"&gt;=-360")</f>
        <v>0</v>
      </c>
      <c r="V30" s="23">
        <f>SUMIFS('Data International'!$D:$D,'Data International'!$P:$P,'Painel International'!#REF!,'Data International'!$Q:$Q,"&lt;-360")</f>
        <v>0</v>
      </c>
      <c r="W30" s="19" t="e">
        <f>SUMIFS('Bad Debt Provision'!#REF!,'Bad Debt Provision'!#REF!,'Painel International'!#REF!)</f>
        <v>#REF!</v>
      </c>
      <c r="X30" s="5"/>
      <c r="Y30" s="20"/>
      <c r="Z30" s="20"/>
      <c r="AA30" s="21"/>
      <c r="AB30" s="5"/>
      <c r="AC30" s="19"/>
      <c r="AD30" s="20"/>
      <c r="AE30" s="22"/>
      <c r="AF30" s="22"/>
      <c r="AG30" s="5"/>
      <c r="AH30" s="28">
        <f t="shared" si="5"/>
        <v>0</v>
      </c>
    </row>
    <row r="31" spans="2:35" x14ac:dyDescent="0.25">
      <c r="B31" s="41" t="s">
        <v>391</v>
      </c>
      <c r="C31" s="19" cm="1">
        <f t="array" ref="C31">IFERROR(INDEX('Limite de crédito'!$D:$D, MATCH(MAX(IF('Limite de crédito'!$C:$C=$B31, 'Limite de crédito'!$A:$A)), 'Limite de crédito'!$A:$A, 0)),"")</f>
        <v>46001</v>
      </c>
      <c r="D31" s="105" t="str" cm="1">
        <f t="array" ref="D31">IFERROR(INDEX('Limite de crédito'!$F:$F, MATCH(MAX(IF('Limite de crédito'!$C:$C=$B31, 'Limite de crédito'!$A:$A)), 'Limite de crédito'!$A:$A, 0)),0)</f>
        <v>Sim</v>
      </c>
      <c r="E31" s="18" t="e">
        <f t="shared" si="2"/>
        <v>#VALUE!</v>
      </c>
      <c r="F31" s="18">
        <f t="shared" si="3"/>
        <v>0</v>
      </c>
      <c r="G31" s="19">
        <f>SUMIFS('Data International'!$D:$D,'Data International'!$P:$P,'Painel International'!#REF!,'Data International'!$Q:$Q,"&gt;0",'Data International'!$Q:$Q,"&lt;=30")</f>
        <v>0</v>
      </c>
      <c r="H31" s="19">
        <f>SUMIFS('Data International'!$D:$D,'Data International'!$P:$P,'Painel International'!#REF!,'Data International'!$Q:$Q,"&gt;30",'Data International'!$Q:$Q,"&lt;=60")</f>
        <v>0</v>
      </c>
      <c r="I31" s="19">
        <f>SUMIFS('Data International'!$D:$D,'Data International'!$P:$P,'Painel International'!#REF!,'Data International'!$Q:$Q,"&gt;60",'Data International'!$Q:$Q,"&lt;=90")</f>
        <v>0</v>
      </c>
      <c r="J31" s="19">
        <f>SUMIFS('Data International'!$D:$D,'Data International'!$P:$P,'Painel International'!#REF!,'Data International'!$Q:$Q,"&gt;90",'Data International'!$Q:$Q,"&lt;=120")</f>
        <v>0</v>
      </c>
      <c r="K31" s="19">
        <f>SUMIFS('Data International'!$D:$D,'Data International'!$P:$P,'Painel International'!#REF!,'Data International'!$Q:$Q,"&gt;120",'Data International'!$Q:$Q,"&lt;=180")</f>
        <v>0</v>
      </c>
      <c r="L31" s="19">
        <f>SUMIFS('Data International'!$D:$D,'Data International'!$P:$P,'Painel International'!#REF!,'Data International'!$Q:$Q,"&gt;180",'Data International'!$Q:$Q,"&lt;=360")</f>
        <v>0</v>
      </c>
      <c r="M31" s="23">
        <f>SUMIFS('Data International'!$D:$D,'Data International'!$P:$P,'Painel International'!#REF!,'Data International'!$Q:$Q,"&gt;360")</f>
        <v>0</v>
      </c>
      <c r="N31" s="19">
        <f>SUMIFS('Data International'!$D:$D,'Data International'!$P:$P,'Painel International'!#REF!,'Data International'!$Q:$Q,"&gt;0")</f>
        <v>0</v>
      </c>
      <c r="O31" s="19">
        <f t="shared" si="4"/>
        <v>0</v>
      </c>
      <c r="P31" s="19">
        <f>SUMIFS('Data International'!$D:$D,'Data International'!$P:$P,'Painel International'!#REF!,'Data International'!$Q:$Q,"&lt;=0",'Data International'!$Q:$Q,"&gt;=-30")</f>
        <v>0</v>
      </c>
      <c r="Q31" s="19">
        <f>SUMIFS('Data International'!$D:$D,'Data International'!$P:$P,'Painel International'!#REF!,'Data International'!$Q:$Q,"&lt;=-31",'Data International'!$Q:$Q,"&gt;=-60")</f>
        <v>0</v>
      </c>
      <c r="R31" s="19">
        <f>SUMIFS('Data International'!$D:$D,'Data International'!$P:$P,'Painel International'!#REF!,'Data International'!$Q:$Q,"&lt;=-61",'Data International'!$Q:$Q,"&gt;=-90")</f>
        <v>0</v>
      </c>
      <c r="S31" s="19">
        <f>SUMIFS('Data International'!$D:$D,'Data International'!$P:$P,'Painel International'!#REF!,'Data International'!$Q:$Q,"&lt;=-91",'Data International'!$Q:$Q,"&gt;=-120")</f>
        <v>0</v>
      </c>
      <c r="T31" s="19">
        <f>SUMIFS('Data International'!$D:$D,'Data International'!$P:$P,'Painel International'!#REF!,'Data International'!$Q:$Q,"&lt;=-121",'Data International'!$Q:$Q,"&gt;=-180")</f>
        <v>0</v>
      </c>
      <c r="U31" s="19">
        <f>SUMIFS('Data International'!$D:$D,'Data International'!$P:$P,'Painel International'!#REF!,'Data International'!$Q:$Q,"&lt;=-181",'Data International'!$Q:$Q,"&gt;=-360")</f>
        <v>0</v>
      </c>
      <c r="V31" s="23">
        <f>SUMIFS('Data International'!$D:$D,'Data International'!$P:$P,'Painel International'!#REF!,'Data International'!$Q:$Q,"&lt;-360")</f>
        <v>0</v>
      </c>
      <c r="W31" s="19" t="e">
        <f>SUMIFS('Bad Debt Provision'!#REF!,'Bad Debt Provision'!#REF!,'Painel International'!#REF!)</f>
        <v>#REF!</v>
      </c>
      <c r="X31" s="5"/>
      <c r="Y31" s="20"/>
      <c r="Z31" s="20"/>
      <c r="AA31" s="21"/>
      <c r="AB31" s="5"/>
      <c r="AC31" s="19"/>
      <c r="AD31" s="20"/>
      <c r="AE31" s="22"/>
      <c r="AF31" s="22"/>
      <c r="AG31" s="5"/>
      <c r="AH31" s="28">
        <f t="shared" si="5"/>
        <v>0</v>
      </c>
    </row>
    <row r="32" spans="2:35" x14ac:dyDescent="0.25">
      <c r="B32" s="41" t="s">
        <v>392</v>
      </c>
      <c r="C32" s="19" cm="1">
        <f t="array" ref="C32">IFERROR(INDEX('Limite de crédito'!$D:$D, MATCH(MAX(IF('Limite de crédito'!$C:$C=$B32, 'Limite de crédito'!$A:$A)), 'Limite de crédito'!$A:$A, 0)),"")</f>
        <v>46030</v>
      </c>
      <c r="D32" s="105" t="str" cm="1">
        <f t="array" ref="D32">IFERROR(INDEX('Limite de crédito'!$F:$F, MATCH(MAX(IF('Limite de crédito'!$C:$C=$B32, 'Limite de crédito'!$A:$A)), 'Limite de crédito'!$A:$A, 0)),0)</f>
        <v>Sim</v>
      </c>
      <c r="E32" s="18" t="e">
        <f t="shared" si="2"/>
        <v>#VALUE!</v>
      </c>
      <c r="F32" s="18">
        <f t="shared" si="3"/>
        <v>0</v>
      </c>
      <c r="G32" s="19">
        <f>SUMIFS('Data International'!$D:$D,'Data International'!$P:$P,'Painel International'!#REF!,'Data International'!$Q:$Q,"&gt;0",'Data International'!$Q:$Q,"&lt;=30")</f>
        <v>0</v>
      </c>
      <c r="H32" s="19">
        <f>SUMIFS('Data International'!$D:$D,'Data International'!$P:$P,'Painel International'!#REF!,'Data International'!$Q:$Q,"&gt;30",'Data International'!$Q:$Q,"&lt;=60")</f>
        <v>0</v>
      </c>
      <c r="I32" s="19">
        <f>SUMIFS('Data International'!$D:$D,'Data International'!$P:$P,'Painel International'!#REF!,'Data International'!$Q:$Q,"&gt;60",'Data International'!$Q:$Q,"&lt;=90")</f>
        <v>0</v>
      </c>
      <c r="J32" s="19">
        <f>SUMIFS('Data International'!$D:$D,'Data International'!$P:$P,'Painel International'!#REF!,'Data International'!$Q:$Q,"&gt;90",'Data International'!$Q:$Q,"&lt;=120")</f>
        <v>0</v>
      </c>
      <c r="K32" s="19">
        <f>SUMIFS('Data International'!$D:$D,'Data International'!$P:$P,'Painel International'!#REF!,'Data International'!$Q:$Q,"&gt;120",'Data International'!$Q:$Q,"&lt;=180")</f>
        <v>0</v>
      </c>
      <c r="L32" s="19">
        <f>SUMIFS('Data International'!$D:$D,'Data International'!$P:$P,'Painel International'!#REF!,'Data International'!$Q:$Q,"&gt;180",'Data International'!$Q:$Q,"&lt;=360")</f>
        <v>0</v>
      </c>
      <c r="M32" s="23">
        <f>SUMIFS('Data International'!$D:$D,'Data International'!$P:$P,'Painel International'!#REF!,'Data International'!$Q:$Q,"&gt;360")</f>
        <v>0</v>
      </c>
      <c r="N32" s="19">
        <f>SUMIFS('Data International'!$D:$D,'Data International'!$P:$P,'Painel International'!#REF!,'Data International'!$Q:$Q,"&gt;0")</f>
        <v>0</v>
      </c>
      <c r="O32" s="19">
        <f t="shared" si="4"/>
        <v>0</v>
      </c>
      <c r="P32" s="19">
        <f>SUMIFS('Data International'!$D:$D,'Data International'!$P:$P,'Painel International'!#REF!,'Data International'!$Q:$Q,"&lt;=0",'Data International'!$Q:$Q,"&gt;=-30")</f>
        <v>0</v>
      </c>
      <c r="Q32" s="19">
        <f>SUMIFS('Data International'!$D:$D,'Data International'!$P:$P,'Painel International'!#REF!,'Data International'!$Q:$Q,"&lt;=-31",'Data International'!$Q:$Q,"&gt;=-60")</f>
        <v>0</v>
      </c>
      <c r="R32" s="19">
        <f>SUMIFS('Data International'!$D:$D,'Data International'!$P:$P,'Painel International'!#REF!,'Data International'!$Q:$Q,"&lt;=-61",'Data International'!$Q:$Q,"&gt;=-90")</f>
        <v>0</v>
      </c>
      <c r="S32" s="19">
        <f>SUMIFS('Data International'!$D:$D,'Data International'!$P:$P,'Painel International'!#REF!,'Data International'!$Q:$Q,"&lt;=-91",'Data International'!$Q:$Q,"&gt;=-120")</f>
        <v>0</v>
      </c>
      <c r="T32" s="19">
        <f>SUMIFS('Data International'!$D:$D,'Data International'!$P:$P,'Painel International'!#REF!,'Data International'!$Q:$Q,"&lt;=-121",'Data International'!$Q:$Q,"&gt;=-180")</f>
        <v>0</v>
      </c>
      <c r="U32" s="19">
        <f>SUMIFS('Data International'!$D:$D,'Data International'!$P:$P,'Painel International'!#REF!,'Data International'!$Q:$Q,"&lt;=-181",'Data International'!$Q:$Q,"&gt;=-360")</f>
        <v>0</v>
      </c>
      <c r="V32" s="23">
        <f>SUMIFS('Data International'!$D:$D,'Data International'!$P:$P,'Painel International'!#REF!,'Data International'!$Q:$Q,"&lt;-360")</f>
        <v>0</v>
      </c>
      <c r="W32" s="19" t="e">
        <f>SUMIFS('Bad Debt Provision'!#REF!,'Bad Debt Provision'!#REF!,'Painel International'!#REF!)</f>
        <v>#REF!</v>
      </c>
      <c r="X32" s="5"/>
      <c r="Y32" s="20"/>
      <c r="Z32" s="20"/>
      <c r="AA32" s="21"/>
      <c r="AB32" s="5"/>
      <c r="AC32" s="19"/>
      <c r="AD32" s="20"/>
      <c r="AE32" s="22"/>
      <c r="AF32" s="22"/>
      <c r="AG32" s="5"/>
      <c r="AH32" s="28">
        <f t="shared" si="5"/>
        <v>0</v>
      </c>
    </row>
    <row r="33" spans="2:34" x14ac:dyDescent="0.25">
      <c r="B33" s="41" t="s">
        <v>393</v>
      </c>
      <c r="C33" s="19" cm="1">
        <f t="array" ref="C33">IFERROR(INDEX('Limite de crédito'!$D:$D, MATCH(MAX(IF('Limite de crédito'!$C:$C=$B33, 'Limite de crédito'!$A:$A)), 'Limite de crédito'!$A:$A, 0)),"")</f>
        <v>45831</v>
      </c>
      <c r="D33" s="105" t="str" cm="1">
        <f t="array" ref="D33">IFERROR(INDEX('Limite de crédito'!$F:$F, MATCH(MAX(IF('Limite de crédito'!$C:$C=$B33, 'Limite de crédito'!$A:$A)), 'Limite de crédito'!$A:$A, 0)),0)</f>
        <v>Sim</v>
      </c>
      <c r="E33" s="18" t="e">
        <f t="shared" si="2"/>
        <v>#VALUE!</v>
      </c>
      <c r="F33" s="18">
        <f t="shared" si="3"/>
        <v>0</v>
      </c>
      <c r="G33" s="19">
        <f>SUMIFS('Data International'!$D:$D,'Data International'!$P:$P,'Painel International'!#REF!,'Data International'!$Q:$Q,"&gt;0",'Data International'!$Q:$Q,"&lt;=30")</f>
        <v>0</v>
      </c>
      <c r="H33" s="19">
        <f>SUMIFS('Data International'!$D:$D,'Data International'!$P:$P,'Painel International'!#REF!,'Data International'!$Q:$Q,"&gt;30",'Data International'!$Q:$Q,"&lt;=60")</f>
        <v>0</v>
      </c>
      <c r="I33" s="19">
        <f>SUMIFS('Data International'!$D:$D,'Data International'!$P:$P,'Painel International'!#REF!,'Data International'!$Q:$Q,"&gt;60",'Data International'!$Q:$Q,"&lt;=90")</f>
        <v>0</v>
      </c>
      <c r="J33" s="19">
        <f>SUMIFS('Data International'!$D:$D,'Data International'!$P:$P,'Painel International'!#REF!,'Data International'!$Q:$Q,"&gt;90",'Data International'!$Q:$Q,"&lt;=120")</f>
        <v>0</v>
      </c>
      <c r="K33" s="19">
        <f>SUMIFS('Data International'!$D:$D,'Data International'!$P:$P,'Painel International'!#REF!,'Data International'!$Q:$Q,"&gt;120",'Data International'!$Q:$Q,"&lt;=180")</f>
        <v>0</v>
      </c>
      <c r="L33" s="19">
        <f>SUMIFS('Data International'!$D:$D,'Data International'!$P:$P,'Painel International'!#REF!,'Data International'!$Q:$Q,"&gt;180",'Data International'!$Q:$Q,"&lt;=360")</f>
        <v>0</v>
      </c>
      <c r="M33" s="23">
        <f>SUMIFS('Data International'!$D:$D,'Data International'!$P:$P,'Painel International'!#REF!,'Data International'!$Q:$Q,"&gt;360")</f>
        <v>0</v>
      </c>
      <c r="N33" s="19">
        <f>SUMIFS('Data International'!$D:$D,'Data International'!$P:$P,'Painel International'!#REF!,'Data International'!$Q:$Q,"&gt;0")</f>
        <v>0</v>
      </c>
      <c r="O33" s="19">
        <f t="shared" si="4"/>
        <v>0</v>
      </c>
      <c r="P33" s="19">
        <f>SUMIFS('Data International'!$D:$D,'Data International'!$P:$P,'Painel International'!#REF!,'Data International'!$Q:$Q,"&lt;=0",'Data International'!$Q:$Q,"&gt;=-30")</f>
        <v>0</v>
      </c>
      <c r="Q33" s="19">
        <f>SUMIFS('Data International'!$D:$D,'Data International'!$P:$P,'Painel International'!#REF!,'Data International'!$Q:$Q,"&lt;=-31",'Data International'!$Q:$Q,"&gt;=-60")</f>
        <v>0</v>
      </c>
      <c r="R33" s="19">
        <f>SUMIFS('Data International'!$D:$D,'Data International'!$P:$P,'Painel International'!#REF!,'Data International'!$Q:$Q,"&lt;=-61",'Data International'!$Q:$Q,"&gt;=-90")</f>
        <v>0</v>
      </c>
      <c r="S33" s="19">
        <f>SUMIFS('Data International'!$D:$D,'Data International'!$P:$P,'Painel International'!#REF!,'Data International'!$Q:$Q,"&lt;=-91",'Data International'!$Q:$Q,"&gt;=-120")</f>
        <v>0</v>
      </c>
      <c r="T33" s="19">
        <f>SUMIFS('Data International'!$D:$D,'Data International'!$P:$P,'Painel International'!#REF!,'Data International'!$Q:$Q,"&lt;=-121",'Data International'!$Q:$Q,"&gt;=-180")</f>
        <v>0</v>
      </c>
      <c r="U33" s="19">
        <f>SUMIFS('Data International'!$D:$D,'Data International'!$P:$P,'Painel International'!#REF!,'Data International'!$Q:$Q,"&lt;=-181",'Data International'!$Q:$Q,"&gt;=-360")</f>
        <v>0</v>
      </c>
      <c r="V33" s="23">
        <f>SUMIFS('Data International'!$D:$D,'Data International'!$P:$P,'Painel International'!#REF!,'Data International'!$Q:$Q,"&lt;-360")</f>
        <v>0</v>
      </c>
      <c r="W33" s="19" t="e">
        <f>SUMIFS('Bad Debt Provision'!#REF!,'Bad Debt Provision'!#REF!,'Painel International'!#REF!)</f>
        <v>#REF!</v>
      </c>
      <c r="X33" s="5"/>
      <c r="Y33" s="20"/>
      <c r="Z33" s="20"/>
      <c r="AA33" s="21"/>
      <c r="AB33" s="5"/>
      <c r="AC33" s="19"/>
      <c r="AD33" s="20"/>
      <c r="AE33" s="22"/>
      <c r="AF33" s="22"/>
      <c r="AG33" s="5"/>
      <c r="AH33" s="28">
        <f t="shared" si="5"/>
        <v>0</v>
      </c>
    </row>
    <row r="34" spans="2:34" x14ac:dyDescent="0.25">
      <c r="B34" s="41" t="s">
        <v>417</v>
      </c>
      <c r="C34" s="19" cm="1">
        <f t="array" ref="C34">IFERROR(INDEX('Limite de crédito'!$D:$D, MATCH(MAX(IF('Limite de crédito'!$C:$C=$B34, 'Limite de crédito'!$A:$A)), 'Limite de crédito'!$A:$A, 0)),"")</f>
        <v>45803</v>
      </c>
      <c r="D34" s="105" t="str" cm="1">
        <f t="array" ref="D34">IFERROR(INDEX('Limite de crédito'!$F:$F, MATCH(MAX(IF('Limite de crédito'!$C:$C=$B34, 'Limite de crédito'!$A:$A)), 'Limite de crédito'!$A:$A, 0)),0)</f>
        <v>Sim</v>
      </c>
      <c r="E34" s="18" t="e">
        <f t="shared" si="2"/>
        <v>#VALUE!</v>
      </c>
      <c r="F34" s="18">
        <f t="shared" si="3"/>
        <v>0</v>
      </c>
      <c r="G34" s="19">
        <f>SUMIFS('Data International'!$D:$D,'Data International'!$P:$P,'Painel International'!#REF!,'Data International'!$Q:$Q,"&gt;0",'Data International'!$Q:$Q,"&lt;=30")</f>
        <v>0</v>
      </c>
      <c r="H34" s="19">
        <f>SUMIFS('Data International'!$D:$D,'Data International'!$P:$P,'Painel International'!#REF!,'Data International'!$Q:$Q,"&gt;30",'Data International'!$Q:$Q,"&lt;=60")</f>
        <v>0</v>
      </c>
      <c r="I34" s="19">
        <f>SUMIFS('Data International'!$D:$D,'Data International'!$P:$P,'Painel International'!#REF!,'Data International'!$Q:$Q,"&gt;60",'Data International'!$Q:$Q,"&lt;=90")</f>
        <v>0</v>
      </c>
      <c r="J34" s="19">
        <f>SUMIFS('Data International'!$D:$D,'Data International'!$P:$P,'Painel International'!#REF!,'Data International'!$Q:$Q,"&gt;90",'Data International'!$Q:$Q,"&lt;=120")</f>
        <v>0</v>
      </c>
      <c r="K34" s="19">
        <f>SUMIFS('Data International'!$D:$D,'Data International'!$P:$P,'Painel International'!#REF!,'Data International'!$Q:$Q,"&gt;120",'Data International'!$Q:$Q,"&lt;=180")</f>
        <v>0</v>
      </c>
      <c r="L34" s="19">
        <f>SUMIFS('Data International'!$D:$D,'Data International'!$P:$P,'Painel International'!#REF!,'Data International'!$Q:$Q,"&gt;180",'Data International'!$Q:$Q,"&lt;=360")</f>
        <v>0</v>
      </c>
      <c r="M34" s="23">
        <f>SUMIFS('Data International'!$D:$D,'Data International'!$P:$P,'Painel International'!#REF!,'Data International'!$Q:$Q,"&gt;360")</f>
        <v>0</v>
      </c>
      <c r="N34" s="19">
        <f>SUMIFS('Data International'!$D:$D,'Data International'!$P:$P,'Painel International'!#REF!,'Data International'!$Q:$Q,"&gt;0")</f>
        <v>0</v>
      </c>
      <c r="O34" s="19">
        <f t="shared" si="4"/>
        <v>0</v>
      </c>
      <c r="P34" s="19">
        <f>SUMIFS('Data International'!$D:$D,'Data International'!$P:$P,'Painel International'!#REF!,'Data International'!$Q:$Q,"&lt;=0",'Data International'!$Q:$Q,"&gt;=-30")</f>
        <v>0</v>
      </c>
      <c r="Q34" s="19">
        <f>SUMIFS('Data International'!$D:$D,'Data International'!$P:$P,'Painel International'!#REF!,'Data International'!$Q:$Q,"&lt;=-31",'Data International'!$Q:$Q,"&gt;=-60")</f>
        <v>0</v>
      </c>
      <c r="R34" s="19">
        <f>SUMIFS('Data International'!$D:$D,'Data International'!$P:$P,'Painel International'!#REF!,'Data International'!$Q:$Q,"&lt;=-61",'Data International'!$Q:$Q,"&gt;=-90")</f>
        <v>0</v>
      </c>
      <c r="S34" s="19">
        <f>SUMIFS('Data International'!$D:$D,'Data International'!$P:$P,'Painel International'!#REF!,'Data International'!$Q:$Q,"&lt;=-91",'Data International'!$Q:$Q,"&gt;=-120")</f>
        <v>0</v>
      </c>
      <c r="T34" s="19">
        <f>SUMIFS('Data International'!$D:$D,'Data International'!$P:$P,'Painel International'!#REF!,'Data International'!$Q:$Q,"&lt;=-121",'Data International'!$Q:$Q,"&gt;=-180")</f>
        <v>0</v>
      </c>
      <c r="U34" s="19">
        <f>SUMIFS('Data International'!$D:$D,'Data International'!$P:$P,'Painel International'!#REF!,'Data International'!$Q:$Q,"&lt;=-181",'Data International'!$Q:$Q,"&gt;=-360")</f>
        <v>0</v>
      </c>
      <c r="V34" s="23">
        <f>SUMIFS('Data International'!$D:$D,'Data International'!$P:$P,'Painel International'!#REF!,'Data International'!$Q:$Q,"&lt;-360")</f>
        <v>0</v>
      </c>
      <c r="W34" s="19" t="e">
        <f>SUMIFS('Bad Debt Provision'!#REF!,'Bad Debt Provision'!#REF!,'Painel International'!#REF!)</f>
        <v>#REF!</v>
      </c>
      <c r="Y34" s="20"/>
      <c r="Z34" s="20"/>
      <c r="AA34" s="21"/>
      <c r="AB34" s="5"/>
      <c r="AC34" s="19"/>
      <c r="AD34" s="20"/>
      <c r="AE34" s="22"/>
      <c r="AF34" s="22"/>
      <c r="AG34" s="5"/>
      <c r="AH34" s="28">
        <f t="shared" si="5"/>
        <v>0</v>
      </c>
    </row>
    <row r="35" spans="2:34" x14ac:dyDescent="0.25">
      <c r="B35" s="41" t="s">
        <v>397</v>
      </c>
      <c r="C35" s="19" cm="1">
        <f t="array" ref="C35">IFERROR(INDEX('Limite de crédito'!$D:$D, MATCH(MAX(IF('Limite de crédito'!$C:$C=$B35, 'Limite de crédito'!$A:$A)), 'Limite de crédito'!$A:$A, 0)),"")</f>
        <v>45831</v>
      </c>
      <c r="D35" s="105" t="str" cm="1">
        <f t="array" ref="D35">IFERROR(INDEX('Limite de crédito'!$F:$F, MATCH(MAX(IF('Limite de crédito'!$C:$C=$B35, 'Limite de crédito'!$A:$A)), 'Limite de crédito'!$A:$A, 0)),0)</f>
        <v>Sim</v>
      </c>
      <c r="E35" s="18" t="e">
        <f t="shared" si="2"/>
        <v>#VALUE!</v>
      </c>
      <c r="F35" s="18">
        <f t="shared" si="3"/>
        <v>0</v>
      </c>
      <c r="G35" s="19">
        <f>SUMIFS('Data International'!$D:$D,'Data International'!$P:$P,'Painel International'!#REF!,'Data International'!$Q:$Q,"&gt;0",'Data International'!$Q:$Q,"&lt;=30")</f>
        <v>0</v>
      </c>
      <c r="H35" s="19">
        <f>SUMIFS('Data International'!$D:$D,'Data International'!$P:$P,'Painel International'!#REF!,'Data International'!$Q:$Q,"&gt;30",'Data International'!$Q:$Q,"&lt;=60")</f>
        <v>0</v>
      </c>
      <c r="I35" s="19">
        <f>SUMIFS('Data International'!$D:$D,'Data International'!$P:$P,'Painel International'!#REF!,'Data International'!$Q:$Q,"&gt;60",'Data International'!$Q:$Q,"&lt;=90")</f>
        <v>0</v>
      </c>
      <c r="J35" s="19">
        <f>SUMIFS('Data International'!$D:$D,'Data International'!$P:$P,'Painel International'!#REF!,'Data International'!$Q:$Q,"&gt;90",'Data International'!$Q:$Q,"&lt;=120")</f>
        <v>0</v>
      </c>
      <c r="K35" s="19">
        <f>SUMIFS('Data International'!$D:$D,'Data International'!$P:$P,'Painel International'!#REF!,'Data International'!$Q:$Q,"&gt;120",'Data International'!$Q:$Q,"&lt;=180")</f>
        <v>0</v>
      </c>
      <c r="L35" s="19">
        <f>SUMIFS('Data International'!$D:$D,'Data International'!$P:$P,'Painel International'!#REF!,'Data International'!$Q:$Q,"&gt;180",'Data International'!$Q:$Q,"&lt;=360")</f>
        <v>0</v>
      </c>
      <c r="M35" s="23">
        <f>SUMIFS('Data International'!$D:$D,'Data International'!$P:$P,'Painel International'!#REF!,'Data International'!$Q:$Q,"&gt;360")</f>
        <v>0</v>
      </c>
      <c r="N35" s="19">
        <f>SUMIFS('Data International'!$D:$D,'Data International'!$P:$P,'Painel International'!#REF!,'Data International'!$Q:$Q,"&gt;0")</f>
        <v>0</v>
      </c>
      <c r="O35" s="19">
        <f t="shared" si="4"/>
        <v>0</v>
      </c>
      <c r="P35" s="19">
        <f>SUMIFS('Data International'!$D:$D,'Data International'!$P:$P,'Painel International'!#REF!,'Data International'!$Q:$Q,"&lt;=0",'Data International'!$Q:$Q,"&gt;=-30")</f>
        <v>0</v>
      </c>
      <c r="Q35" s="19">
        <f>SUMIFS('Data International'!$D:$D,'Data International'!$P:$P,'Painel International'!#REF!,'Data International'!$Q:$Q,"&lt;=-31",'Data International'!$Q:$Q,"&gt;=-60")</f>
        <v>0</v>
      </c>
      <c r="R35" s="19">
        <f>SUMIFS('Data International'!$D:$D,'Data International'!$P:$P,'Painel International'!#REF!,'Data International'!$Q:$Q,"&lt;=-61",'Data International'!$Q:$Q,"&gt;=-90")</f>
        <v>0</v>
      </c>
      <c r="S35" s="19">
        <f>SUMIFS('Data International'!$D:$D,'Data International'!$P:$P,'Painel International'!#REF!,'Data International'!$Q:$Q,"&lt;=-91",'Data International'!$Q:$Q,"&gt;=-120")</f>
        <v>0</v>
      </c>
      <c r="T35" s="19">
        <f>SUMIFS('Data International'!$D:$D,'Data International'!$P:$P,'Painel International'!#REF!,'Data International'!$Q:$Q,"&lt;=-121",'Data International'!$Q:$Q,"&gt;=-180")</f>
        <v>0</v>
      </c>
      <c r="U35" s="19">
        <f>SUMIFS('Data International'!$D:$D,'Data International'!$P:$P,'Painel International'!#REF!,'Data International'!$Q:$Q,"&lt;=-181",'Data International'!$Q:$Q,"&gt;=-360")</f>
        <v>0</v>
      </c>
      <c r="V35" s="23">
        <f>SUMIFS('Data International'!$D:$D,'Data International'!$P:$P,'Painel International'!#REF!,'Data International'!$Q:$Q,"&lt;-360")</f>
        <v>0</v>
      </c>
      <c r="W35" s="19" t="e">
        <f>SUMIFS('Bad Debt Provision'!#REF!,'Bad Debt Provision'!#REF!,'Painel International'!#REF!)</f>
        <v>#REF!</v>
      </c>
      <c r="X35" s="5"/>
      <c r="Y35" s="20"/>
      <c r="Z35" s="20"/>
      <c r="AA35" s="21"/>
      <c r="AB35" s="5"/>
      <c r="AC35" s="19"/>
      <c r="AD35" s="20"/>
      <c r="AE35" s="22"/>
      <c r="AF35" s="22"/>
      <c r="AG35" s="5"/>
      <c r="AH35" s="28">
        <f t="shared" si="5"/>
        <v>0</v>
      </c>
    </row>
    <row r="36" spans="2:34" x14ac:dyDescent="0.25">
      <c r="B36" s="41" t="s">
        <v>412</v>
      </c>
      <c r="C36" s="19" t="str" cm="1">
        <f t="array" ref="C36">IFERROR(INDEX('Limite de crédito'!$D:$D, MATCH(MAX(IF('Limite de crédito'!$C:$C=$B36, 'Limite de crédito'!$A:$A)), 'Limite de crédito'!$A:$A, 0)),"")</f>
        <v/>
      </c>
      <c r="D36" s="105" cm="1">
        <f t="array" ref="D36">IFERROR(INDEX('Limite de crédito'!$F:$F, MATCH(MAX(IF('Limite de crédito'!$C:$C=$B36, 'Limite de crédito'!$A:$A)), 'Limite de crédito'!$A:$A, 0)),0)</f>
        <v>0</v>
      </c>
      <c r="E36" s="18">
        <f t="shared" si="2"/>
        <v>0</v>
      </c>
      <c r="F36" s="18">
        <f t="shared" si="3"/>
        <v>0</v>
      </c>
      <c r="G36" s="19">
        <f>SUMIFS('Data International'!$D:$D,'Data International'!$P:$P,'Painel International'!#REF!,'Data International'!$Q:$Q,"&gt;0",'Data International'!$Q:$Q,"&lt;=30")</f>
        <v>0</v>
      </c>
      <c r="H36" s="19">
        <f>SUMIFS('Data International'!$D:$D,'Data International'!$P:$P,'Painel International'!#REF!,'Data International'!$Q:$Q,"&gt;30",'Data International'!$Q:$Q,"&lt;=60")</f>
        <v>0</v>
      </c>
      <c r="I36" s="19">
        <f>SUMIFS('Data International'!$D:$D,'Data International'!$P:$P,'Painel International'!#REF!,'Data International'!$Q:$Q,"&gt;60",'Data International'!$Q:$Q,"&lt;=90")</f>
        <v>0</v>
      </c>
      <c r="J36" s="19">
        <f>SUMIFS('Data International'!$D:$D,'Data International'!$P:$P,'Painel International'!#REF!,'Data International'!$Q:$Q,"&gt;90",'Data International'!$Q:$Q,"&lt;=120")</f>
        <v>0</v>
      </c>
      <c r="K36" s="19">
        <f>SUMIFS('Data International'!$D:$D,'Data International'!$P:$P,'Painel International'!#REF!,'Data International'!$Q:$Q,"&gt;120",'Data International'!$Q:$Q,"&lt;=180")</f>
        <v>0</v>
      </c>
      <c r="L36" s="19">
        <f>SUMIFS('Data International'!$D:$D,'Data International'!$P:$P,'Painel International'!#REF!,'Data International'!$Q:$Q,"&gt;180",'Data International'!$Q:$Q,"&lt;=360")</f>
        <v>0</v>
      </c>
      <c r="M36" s="23">
        <f>SUMIFS('Data International'!$D:$D,'Data International'!$P:$P,'Painel International'!#REF!,'Data International'!$Q:$Q,"&gt;360")</f>
        <v>0</v>
      </c>
      <c r="N36" s="19">
        <f>SUMIFS('Data International'!$D:$D,'Data International'!$P:$P,'Painel International'!#REF!,'Data International'!$Q:$Q,"&gt;0")</f>
        <v>0</v>
      </c>
      <c r="O36" s="19">
        <f t="shared" si="4"/>
        <v>0</v>
      </c>
      <c r="P36" s="19">
        <f>SUMIFS('Data International'!$D:$D,'Data International'!$P:$P,'Painel International'!#REF!,'Data International'!$Q:$Q,"&lt;=0",'Data International'!$Q:$Q,"&gt;=-30")</f>
        <v>0</v>
      </c>
      <c r="Q36" s="19">
        <f>SUMIFS('Data International'!$D:$D,'Data International'!$P:$P,'Painel International'!#REF!,'Data International'!$Q:$Q,"&lt;=-31",'Data International'!$Q:$Q,"&gt;=-60")</f>
        <v>0</v>
      </c>
      <c r="R36" s="19">
        <f>SUMIFS('Data International'!$D:$D,'Data International'!$P:$P,'Painel International'!#REF!,'Data International'!$Q:$Q,"&lt;=-61",'Data International'!$Q:$Q,"&gt;=-90")</f>
        <v>0</v>
      </c>
      <c r="S36" s="19">
        <f>SUMIFS('Data International'!$D:$D,'Data International'!$P:$P,'Painel International'!#REF!,'Data International'!$Q:$Q,"&lt;=-91",'Data International'!$Q:$Q,"&gt;=-120")</f>
        <v>0</v>
      </c>
      <c r="T36" s="19">
        <f>SUMIFS('Data International'!$D:$D,'Data International'!$P:$P,'Painel International'!#REF!,'Data International'!$Q:$Q,"&lt;=-121",'Data International'!$Q:$Q,"&gt;=-180")</f>
        <v>0</v>
      </c>
      <c r="U36" s="19">
        <f>SUMIFS('Data International'!$D:$D,'Data International'!$P:$P,'Painel International'!#REF!,'Data International'!$Q:$Q,"&lt;=-181",'Data International'!$Q:$Q,"&gt;=-360")</f>
        <v>0</v>
      </c>
      <c r="V36" s="23">
        <f>SUMIFS('Data International'!$D:$D,'Data International'!$P:$P,'Painel International'!#REF!,'Data International'!$Q:$Q,"&lt;-360")</f>
        <v>0</v>
      </c>
      <c r="W36" s="19" t="e">
        <f>SUMIFS('Bad Debt Provision'!#REF!,'Bad Debt Provision'!#REF!,'Painel International'!#REF!)</f>
        <v>#REF!</v>
      </c>
      <c r="Y36" s="20"/>
      <c r="Z36" s="20"/>
      <c r="AA36" s="21"/>
      <c r="AB36" s="5"/>
      <c r="AC36" s="19"/>
      <c r="AD36" s="20"/>
      <c r="AE36" s="22"/>
      <c r="AF36" s="22"/>
      <c r="AG36" s="5"/>
      <c r="AH36" s="28">
        <f t="shared" si="5"/>
        <v>0</v>
      </c>
    </row>
    <row r="37" spans="2:34" x14ac:dyDescent="0.25">
      <c r="B37" s="41" t="s">
        <v>394</v>
      </c>
      <c r="C37" s="19" t="str" cm="1">
        <f t="array" ref="C37">IFERROR(INDEX('Limite de crédito'!$D:$D, MATCH(MAX(IF('Limite de crédito'!$C:$C=$B37, 'Limite de crédito'!$A:$A)), 'Limite de crédito'!$A:$A, 0)),"")</f>
        <v/>
      </c>
      <c r="D37" s="105" cm="1">
        <f t="array" ref="D37">IFERROR(INDEX('Limite de crédito'!$F:$F, MATCH(MAX(IF('Limite de crédito'!$C:$C=$B37, 'Limite de crédito'!$A:$A)), 'Limite de crédito'!$A:$A, 0)),0)</f>
        <v>0</v>
      </c>
      <c r="E37" s="18">
        <f t="shared" si="2"/>
        <v>0</v>
      </c>
      <c r="F37" s="18">
        <f t="shared" si="3"/>
        <v>0</v>
      </c>
      <c r="G37" s="19">
        <f>SUMIFS('Data International'!$D:$D,'Data International'!$P:$P,'Painel International'!#REF!,'Data International'!$Q:$Q,"&gt;0",'Data International'!$Q:$Q,"&lt;=30")</f>
        <v>0</v>
      </c>
      <c r="H37" s="19">
        <f>SUMIFS('Data International'!$D:$D,'Data International'!$P:$P,'Painel International'!#REF!,'Data International'!$Q:$Q,"&gt;30",'Data International'!$Q:$Q,"&lt;=60")</f>
        <v>0</v>
      </c>
      <c r="I37" s="19">
        <f>SUMIFS('Data International'!$D:$D,'Data International'!$P:$P,'Painel International'!#REF!,'Data International'!$Q:$Q,"&gt;60",'Data International'!$Q:$Q,"&lt;=90")</f>
        <v>0</v>
      </c>
      <c r="J37" s="19">
        <f>SUMIFS('Data International'!$D:$D,'Data International'!$P:$P,'Painel International'!#REF!,'Data International'!$Q:$Q,"&gt;90",'Data International'!$Q:$Q,"&lt;=120")</f>
        <v>0</v>
      </c>
      <c r="K37" s="19">
        <f>SUMIFS('Data International'!$D:$D,'Data International'!$P:$P,'Painel International'!#REF!,'Data International'!$Q:$Q,"&gt;120",'Data International'!$Q:$Q,"&lt;=180")</f>
        <v>0</v>
      </c>
      <c r="L37" s="19">
        <f>SUMIFS('Data International'!$D:$D,'Data International'!$P:$P,'Painel International'!#REF!,'Data International'!$Q:$Q,"&gt;180",'Data International'!$Q:$Q,"&lt;=360")</f>
        <v>0</v>
      </c>
      <c r="M37" s="23">
        <f>SUMIFS('Data International'!$D:$D,'Data International'!$P:$P,'Painel International'!#REF!,'Data International'!$Q:$Q,"&gt;360")</f>
        <v>0</v>
      </c>
      <c r="N37" s="19">
        <f>SUMIFS('Data International'!$D:$D,'Data International'!$P:$P,'Painel International'!#REF!,'Data International'!$Q:$Q,"&gt;0")</f>
        <v>0</v>
      </c>
      <c r="O37" s="19">
        <f t="shared" si="4"/>
        <v>0</v>
      </c>
      <c r="P37" s="19">
        <f>SUMIFS('Data International'!$D:$D,'Data International'!$P:$P,'Painel International'!#REF!,'Data International'!$Q:$Q,"&lt;=0",'Data International'!$Q:$Q,"&gt;=-30")</f>
        <v>0</v>
      </c>
      <c r="Q37" s="19">
        <f>SUMIFS('Data International'!$D:$D,'Data International'!$P:$P,'Painel International'!#REF!,'Data International'!$Q:$Q,"&lt;=-31",'Data International'!$Q:$Q,"&gt;=-60")</f>
        <v>0</v>
      </c>
      <c r="R37" s="19">
        <f>SUMIFS('Data International'!$D:$D,'Data International'!$P:$P,'Painel International'!#REF!,'Data International'!$Q:$Q,"&lt;=-61",'Data International'!$Q:$Q,"&gt;=-90")</f>
        <v>0</v>
      </c>
      <c r="S37" s="19">
        <f>SUMIFS('Data International'!$D:$D,'Data International'!$P:$P,'Painel International'!#REF!,'Data International'!$Q:$Q,"&lt;=-91",'Data International'!$Q:$Q,"&gt;=-120")</f>
        <v>0</v>
      </c>
      <c r="T37" s="19">
        <f>SUMIFS('Data International'!$D:$D,'Data International'!$P:$P,'Painel International'!#REF!,'Data International'!$Q:$Q,"&lt;=-121",'Data International'!$Q:$Q,"&gt;=-180")</f>
        <v>0</v>
      </c>
      <c r="U37" s="19">
        <f>SUMIFS('Data International'!$D:$D,'Data International'!$P:$P,'Painel International'!#REF!,'Data International'!$Q:$Q,"&lt;=-181",'Data International'!$Q:$Q,"&gt;=-360")</f>
        <v>0</v>
      </c>
      <c r="V37" s="23">
        <f>SUMIFS('Data International'!$D:$D,'Data International'!$P:$P,'Painel International'!#REF!,'Data International'!$Q:$Q,"&lt;-360")</f>
        <v>0</v>
      </c>
      <c r="W37" s="19" t="e">
        <f>SUMIFS('Bad Debt Provision'!#REF!,'Bad Debt Provision'!#REF!,'Painel International'!#REF!)</f>
        <v>#REF!</v>
      </c>
      <c r="X37" s="5"/>
      <c r="Y37" s="20"/>
      <c r="Z37" s="20"/>
      <c r="AA37" s="21"/>
      <c r="AB37" s="5"/>
      <c r="AC37" s="19"/>
      <c r="AD37" s="20"/>
      <c r="AE37" s="22"/>
      <c r="AF37" s="22"/>
      <c r="AG37" s="5"/>
      <c r="AH37" s="28">
        <f t="shared" si="5"/>
        <v>0</v>
      </c>
    </row>
    <row r="38" spans="2:34" x14ac:dyDescent="0.25">
      <c r="B38" s="41" t="s">
        <v>437</v>
      </c>
      <c r="C38" s="19" cm="1">
        <f t="array" ref="C38">IFERROR(INDEX('Limite de crédito'!$D:$D, MATCH(MAX(IF('Limite de crédito'!$C:$C=$B38, 'Limite de crédito'!$A:$A)), 'Limite de crédito'!$A:$A, 0)),"")</f>
        <v>45831</v>
      </c>
      <c r="D38" s="105" t="str" cm="1">
        <f t="array" ref="D38">IFERROR(INDEX('Limite de crédito'!$F:$F, MATCH(MAX(IF('Limite de crédito'!$C:$C=$B38, 'Limite de crédito'!$A:$A)), 'Limite de crédito'!$A:$A, 0)),0)</f>
        <v>Sim</v>
      </c>
      <c r="E38" s="18" t="e">
        <f t="shared" ref="E38" si="6">D38-F38</f>
        <v>#VALUE!</v>
      </c>
      <c r="F38" s="18">
        <f t="shared" ref="F38" si="7">O38+N38</f>
        <v>0</v>
      </c>
      <c r="G38" s="19">
        <f>SUMIFS('Data International'!$D:$D,'Data International'!$P:$P,'Painel International'!#REF!,'Data International'!$Q:$Q,"&gt;0",'Data International'!$Q:$Q,"&lt;=30")</f>
        <v>0</v>
      </c>
      <c r="H38" s="19">
        <f>SUMIFS('Data International'!$D:$D,'Data International'!$P:$P,'Painel International'!#REF!,'Data International'!$Q:$Q,"&gt;30",'Data International'!$Q:$Q,"&lt;=60")</f>
        <v>0</v>
      </c>
      <c r="I38" s="19">
        <f>SUMIFS('Data International'!$D:$D,'Data International'!$P:$P,'Painel International'!#REF!,'Data International'!$Q:$Q,"&gt;60",'Data International'!$Q:$Q,"&lt;=90")</f>
        <v>0</v>
      </c>
      <c r="J38" s="19">
        <f>SUMIFS('Data International'!$D:$D,'Data International'!$P:$P,'Painel International'!#REF!,'Data International'!$Q:$Q,"&gt;90",'Data International'!$Q:$Q,"&lt;=120")</f>
        <v>0</v>
      </c>
      <c r="K38" s="19">
        <f>SUMIFS('Data International'!$D:$D,'Data International'!$P:$P,'Painel International'!#REF!,'Data International'!$Q:$Q,"&gt;120",'Data International'!$Q:$Q,"&lt;=180")</f>
        <v>0</v>
      </c>
      <c r="L38" s="19">
        <f>SUMIFS('Data International'!$D:$D,'Data International'!$P:$P,'Painel International'!#REF!,'Data International'!$Q:$Q,"&gt;180",'Data International'!$Q:$Q,"&lt;=360")</f>
        <v>0</v>
      </c>
      <c r="M38" s="23">
        <f>SUMIFS('Data International'!$D:$D,'Data International'!$P:$P,'Painel International'!#REF!,'Data International'!$Q:$Q,"&gt;360")</f>
        <v>0</v>
      </c>
      <c r="N38" s="19">
        <f>SUMIFS('Data International'!$D:$D,'Data International'!$P:$P,'Painel International'!#REF!,'Data International'!$Q:$Q,"&gt;0")</f>
        <v>0</v>
      </c>
      <c r="O38" s="19">
        <f t="shared" ref="O38" si="8">SUBTOTAL(9,P38:V38)</f>
        <v>0</v>
      </c>
      <c r="P38" s="19">
        <f>SUMIFS('Data International'!$D:$D,'Data International'!$P:$P,'Painel International'!#REF!,'Data International'!$Q:$Q,"&lt;=0",'Data International'!$Q:$Q,"&gt;=-30")</f>
        <v>0</v>
      </c>
      <c r="Q38" s="19">
        <f>SUMIFS('Data International'!$D:$D,'Data International'!$P:$P,'Painel International'!#REF!,'Data International'!$Q:$Q,"&lt;=-31",'Data International'!$Q:$Q,"&gt;=-60")</f>
        <v>0</v>
      </c>
      <c r="R38" s="19">
        <f>SUMIFS('Data International'!$D:$D,'Data International'!$P:$P,'Painel International'!#REF!,'Data International'!$Q:$Q,"&lt;=-61",'Data International'!$Q:$Q,"&gt;=-90")</f>
        <v>0</v>
      </c>
      <c r="S38" s="19">
        <f>SUMIFS('Data International'!$D:$D,'Data International'!$P:$P,'Painel International'!#REF!,'Data International'!$Q:$Q,"&lt;=-91",'Data International'!$Q:$Q,"&gt;=-120")</f>
        <v>0</v>
      </c>
      <c r="T38" s="19">
        <f>SUMIFS('Data International'!$D:$D,'Data International'!$P:$P,'Painel International'!#REF!,'Data International'!$Q:$Q,"&lt;=-121",'Data International'!$Q:$Q,"&gt;=-180")</f>
        <v>0</v>
      </c>
      <c r="U38" s="19">
        <f>SUMIFS('Data International'!$D:$D,'Data International'!$P:$P,'Painel International'!#REF!,'Data International'!$Q:$Q,"&lt;=-181",'Data International'!$Q:$Q,"&gt;=-360")</f>
        <v>0</v>
      </c>
      <c r="V38" s="23">
        <f>SUMIFS('Data International'!$D:$D,'Data International'!$P:$P,'Painel International'!#REF!,'Data International'!$Q:$Q,"&lt;-360")</f>
        <v>0</v>
      </c>
      <c r="W38" s="19" t="e">
        <f>SUMIFS('Bad Debt Provision'!#REF!,'Bad Debt Provision'!#REF!,'Painel International'!#REF!)</f>
        <v>#REF!</v>
      </c>
      <c r="Y38" s="20"/>
      <c r="Z38" s="20"/>
      <c r="AA38" s="21"/>
      <c r="AB38" s="5"/>
      <c r="AC38" s="19"/>
      <c r="AD38" s="20"/>
      <c r="AE38" s="22"/>
      <c r="AF38" s="22"/>
      <c r="AG38" s="5"/>
      <c r="AH38" s="28">
        <f t="shared" ref="AH38" si="9">AC38-F38</f>
        <v>0</v>
      </c>
    </row>
  </sheetData>
  <autoFilter ref="A3:AL37" xr:uid="{3565C85F-7CFA-4620-8217-7766EBCCEB05}">
    <sortState xmlns:xlrd2="http://schemas.microsoft.com/office/spreadsheetml/2017/richdata2" ref="A4:AL37">
      <sortCondition descending="1" ref="F3:F37"/>
    </sortState>
  </autoFilter>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A9BD8-079B-4241-900C-9C109DB5EED9}">
  <dimension ref="A1:AL49"/>
  <sheetViews>
    <sheetView showGridLines="0" zoomScale="85" zoomScaleNormal="85" workbookViewId="0">
      <pane xSplit="14" ySplit="3" topLeftCell="O4" activePane="bottomRight" state="frozen"/>
      <selection activeCell="C125" sqref="C125"/>
      <selection pane="topRight" activeCell="C125" sqref="C125"/>
      <selection pane="bottomLeft" activeCell="C125" sqref="C125"/>
      <selection pane="bottomRight" activeCell="B4" sqref="B4:AA49"/>
    </sheetView>
  </sheetViews>
  <sheetFormatPr defaultRowHeight="13.2" outlineLevelCol="1" x14ac:dyDescent="0.25"/>
  <cols>
    <col min="1" max="1" width="3.109375" customWidth="1"/>
    <col min="2" max="2" width="47.109375" bestFit="1" customWidth="1"/>
    <col min="3" max="3" width="9.6640625" customWidth="1"/>
    <col min="4" max="4" width="15.5546875" customWidth="1"/>
    <col min="5" max="5" width="13.6640625" customWidth="1"/>
    <col min="6" max="6" width="17" bestFit="1" customWidth="1"/>
    <col min="7" max="7" width="15.33203125" customWidth="1"/>
    <col min="8" max="8" width="16.554687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6.5546875" hidden="1" customWidth="1" outlineLevel="1"/>
    <col min="18" max="19" width="11.5546875" hidden="1" customWidth="1" outlineLevel="1"/>
    <col min="20" max="20" width="12.6640625" hidden="1" customWidth="1" outlineLevel="1"/>
    <col min="21" max="22" width="13.88671875" hidden="1" customWidth="1" outlineLevel="1"/>
    <col min="23" max="23" width="16.6640625" hidden="1" customWidth="1" outlineLevel="1"/>
    <col min="24" max="24" width="14.88671875" bestFit="1" customWidth="1" collapsed="1"/>
    <col min="25" max="26" width="1.6640625" customWidth="1"/>
    <col min="27" max="27" width="23.33203125" bestFit="1" customWidth="1"/>
    <col min="28" max="28" width="23.6640625" bestFit="1" customWidth="1"/>
    <col min="29" max="29" width="11.33203125" customWidth="1"/>
    <col min="30" max="30" width="15.44140625" style="7" bestFit="1" customWidth="1"/>
    <col min="31" max="31" width="12.44140625" style="16" bestFit="1" customWidth="1"/>
    <col min="32" max="32" width="1.6640625" customWidth="1"/>
    <col min="33" max="33" width="16.5546875" style="29" customWidth="1"/>
    <col min="34" max="34" width="1.6640625" customWidth="1"/>
    <col min="35" max="35" width="22.6640625" customWidth="1"/>
    <col min="36" max="36" width="23.5546875" customWidth="1"/>
    <col min="37" max="37" width="11.44140625" customWidth="1"/>
    <col min="38" max="38" width="9.6640625" customWidth="1"/>
  </cols>
  <sheetData>
    <row r="1" spans="1:38" s="9" customFormat="1" ht="12" x14ac:dyDescent="0.25">
      <c r="B1" s="96">
        <v>46135</v>
      </c>
      <c r="C1" s="11"/>
      <c r="D1" s="11"/>
      <c r="E1" s="11"/>
      <c r="F1" s="11"/>
      <c r="G1" s="9">
        <f t="shared" ref="G1:P1" si="0">SUBTOTAL(9,G4:G103)</f>
        <v>6767486.9399999976</v>
      </c>
      <c r="H1" s="9">
        <f t="shared" si="0"/>
        <v>0</v>
      </c>
      <c r="I1" s="9">
        <f t="shared" si="0"/>
        <v>0</v>
      </c>
      <c r="J1" s="9">
        <f t="shared" si="0"/>
        <v>0</v>
      </c>
      <c r="K1" s="9">
        <f t="shared" si="0"/>
        <v>14548.35</v>
      </c>
      <c r="L1" s="9">
        <f t="shared" si="0"/>
        <v>0</v>
      </c>
      <c r="M1" s="9">
        <f t="shared" si="0"/>
        <v>450034.97</v>
      </c>
      <c r="N1" s="9">
        <f t="shared" si="0"/>
        <v>0</v>
      </c>
      <c r="O1" s="9">
        <f t="shared" si="0"/>
        <v>464583.31999999995</v>
      </c>
      <c r="P1" s="9">
        <f t="shared" si="0"/>
        <v>6302903.6199999973</v>
      </c>
      <c r="Q1" s="9">
        <f t="shared" ref="Q1:W1" si="1">SUM(Q4:Q104)</f>
        <v>1645006.2099999997</v>
      </c>
      <c r="R1" s="9">
        <f t="shared" si="1"/>
        <v>4581417.18</v>
      </c>
      <c r="S1" s="9">
        <f t="shared" si="1"/>
        <v>0</v>
      </c>
      <c r="T1" s="9">
        <f t="shared" si="1"/>
        <v>0</v>
      </c>
      <c r="U1" s="9">
        <f t="shared" si="1"/>
        <v>0</v>
      </c>
      <c r="V1" s="9">
        <f t="shared" si="1"/>
        <v>76480.23</v>
      </c>
      <c r="W1" s="9">
        <f t="shared" si="1"/>
        <v>0</v>
      </c>
      <c r="X1" s="9">
        <f>SUBTOTAL(9,X4:X103)</f>
        <v>13937.499600000001</v>
      </c>
      <c r="Y1" s="10"/>
      <c r="Z1" s="10"/>
      <c r="AA1" s="9">
        <f>SUBTOTAL(9,AA4:AA204)</f>
        <v>27060000</v>
      </c>
      <c r="AD1" s="10"/>
      <c r="AE1" s="14"/>
      <c r="AF1" s="10"/>
      <c r="AG1" s="27">
        <f>SUBTOTAL(9,AG4:AG207)</f>
        <v>20292513.060000002</v>
      </c>
      <c r="AH1" s="10"/>
      <c r="AI1" s="10"/>
      <c r="AJ1" s="233">
        <f>O1/G1</f>
        <v>6.8649311645365377E-2</v>
      </c>
    </row>
    <row r="2" spans="1:38" ht="18.600000000000001" customHeight="1" thickBot="1" x14ac:dyDescent="0.3">
      <c r="B2" s="8"/>
      <c r="C2" s="8"/>
      <c r="D2" s="8"/>
      <c r="E2" s="8"/>
      <c r="F2" s="8"/>
      <c r="G2" s="8"/>
      <c r="H2" s="45" t="s">
        <v>26</v>
      </c>
      <c r="I2" s="45"/>
      <c r="J2" s="45"/>
      <c r="K2" s="45"/>
      <c r="L2" s="45"/>
      <c r="M2" s="45"/>
      <c r="N2" s="45"/>
      <c r="O2" s="33"/>
      <c r="P2" s="33"/>
      <c r="Q2" s="45" t="s">
        <v>16</v>
      </c>
      <c r="R2" s="45"/>
      <c r="S2" s="45"/>
      <c r="T2" s="45"/>
      <c r="U2" s="45"/>
      <c r="V2" s="45"/>
      <c r="W2" s="45"/>
      <c r="X2" s="8"/>
      <c r="Y2" s="6"/>
      <c r="Z2" s="6"/>
      <c r="AA2" s="46"/>
      <c r="AB2" s="46"/>
      <c r="AC2" s="46"/>
      <c r="AD2" s="46"/>
      <c r="AE2" s="46"/>
      <c r="AF2" s="6"/>
      <c r="AG2" s="37"/>
      <c r="AH2" s="6"/>
      <c r="AI2" s="37"/>
      <c r="AJ2" s="39" t="s">
        <v>479</v>
      </c>
      <c r="AK2" s="39"/>
      <c r="AL2" s="39"/>
    </row>
    <row r="3" spans="1:38" ht="15" thickTop="1" thickBot="1" x14ac:dyDescent="0.3">
      <c r="A3" t="s">
        <v>224</v>
      </c>
      <c r="B3" s="8" t="s">
        <v>22</v>
      </c>
      <c r="C3" s="95" t="s">
        <v>435</v>
      </c>
      <c r="D3" s="95" t="s">
        <v>491</v>
      </c>
      <c r="E3" s="103" t="s">
        <v>475</v>
      </c>
      <c r="F3" s="95" t="s">
        <v>476</v>
      </c>
      <c r="G3" s="12" t="s">
        <v>17</v>
      </c>
      <c r="H3" s="43" t="s">
        <v>9</v>
      </c>
      <c r="I3" s="43" t="s">
        <v>10</v>
      </c>
      <c r="J3" s="43" t="s">
        <v>11</v>
      </c>
      <c r="K3" s="43" t="s">
        <v>12</v>
      </c>
      <c r="L3" s="43" t="s">
        <v>13</v>
      </c>
      <c r="M3" s="43" t="s">
        <v>14</v>
      </c>
      <c r="N3" s="44" t="s">
        <v>15</v>
      </c>
      <c r="O3" s="12" t="s">
        <v>27</v>
      </c>
      <c r="P3" s="12" t="s">
        <v>8</v>
      </c>
      <c r="Q3" s="43" t="s">
        <v>9</v>
      </c>
      <c r="R3" s="43" t="s">
        <v>10</v>
      </c>
      <c r="S3" s="43" t="s">
        <v>11</v>
      </c>
      <c r="T3" s="43" t="s">
        <v>12</v>
      </c>
      <c r="U3" s="43" t="s">
        <v>13</v>
      </c>
      <c r="V3" s="43" t="s">
        <v>14</v>
      </c>
      <c r="W3" s="44" t="s">
        <v>15</v>
      </c>
      <c r="X3" s="12" t="s">
        <v>297</v>
      </c>
      <c r="Y3" s="6" t="s">
        <v>224</v>
      </c>
      <c r="Z3" s="6" t="s">
        <v>224</v>
      </c>
      <c r="AA3" s="12" t="s">
        <v>477</v>
      </c>
      <c r="AB3" s="12" t="s">
        <v>483</v>
      </c>
      <c r="AC3" s="13" t="s">
        <v>20</v>
      </c>
      <c r="AD3" s="13" t="s">
        <v>19</v>
      </c>
      <c r="AE3" s="15" t="s">
        <v>23</v>
      </c>
      <c r="AF3" s="6" t="s">
        <v>224</v>
      </c>
      <c r="AG3" s="37" t="s">
        <v>478</v>
      </c>
      <c r="AH3" s="6" t="s">
        <v>224</v>
      </c>
      <c r="AI3" s="37" t="s">
        <v>653</v>
      </c>
      <c r="AJ3" s="112" t="s">
        <v>480</v>
      </c>
      <c r="AK3" s="113" t="s">
        <v>481</v>
      </c>
      <c r="AL3" s="113" t="s">
        <v>482</v>
      </c>
    </row>
    <row r="4" spans="1:38" ht="13.8" thickTop="1" x14ac:dyDescent="0.25">
      <c r="B4" s="41" t="s">
        <v>484</v>
      </c>
      <c r="C4" s="19" t="str">
        <f>IFERROR(_xlfn.XLOOKUP(B4,'Limite de crédito'!C:C,'Limite de crédito'!L:L,),0)</f>
        <v>A</v>
      </c>
      <c r="D4" s="19"/>
      <c r="E4" s="105">
        <f>_xlfn.XLOOKUP(B4,'Limite de crédito'!C:C,'Limite de crédito'!G:G,0)</f>
        <v>1375000</v>
      </c>
      <c r="F4" s="18">
        <f>E4-G4</f>
        <v>1375000</v>
      </c>
      <c r="G4" s="18">
        <f t="shared" ref="G4:G28" si="2">P4+O4</f>
        <v>0</v>
      </c>
      <c r="H4" s="19">
        <f>SUMIFS('Data International'!$D:$D,'Data International'!$P:$P,'Painel International'!$B4,'Data International'!$Q:$Q,"&gt;0",'Data International'!$Q:$Q,"&lt;=30")</f>
        <v>0</v>
      </c>
      <c r="I4" s="19">
        <f>SUMIFS('Data International'!$D:$D,'Data International'!$P:$P,'Painel International'!$B4,'Data International'!$Q:$Q,"&gt;30",'Data International'!$Q:$Q,"&lt;=60")</f>
        <v>0</v>
      </c>
      <c r="J4" s="19">
        <f>SUMIFS('Data International'!$D:$D,'Data International'!$P:$P,'Painel International'!$B4,'Data International'!$Q:$Q,"&gt;60",'Data International'!$Q:$Q,"&lt;=90")</f>
        <v>0</v>
      </c>
      <c r="K4" s="19">
        <f>SUMIFS('Data International'!$D:$D,'Data International'!$P:$P,'Painel International'!$B4,'Data International'!$Q:$Q,"&gt;90",'Data International'!$Q:$Q,"&lt;=120")</f>
        <v>0</v>
      </c>
      <c r="L4" s="19">
        <f>SUMIFS('Data International'!$D:$D,'Data International'!$P:$P,'Painel International'!$B4,'Data International'!$Q:$Q,"&gt;120",'Data International'!$Q:$Q,"&lt;=180")</f>
        <v>0</v>
      </c>
      <c r="M4" s="19">
        <f>SUMIFS('Data International'!$D:$D,'Data International'!$P:$P,'Painel International'!$B4,'Data International'!$Q:$Q,"&gt;180",'Data International'!$Q:$Q,"&lt;=360")</f>
        <v>0</v>
      </c>
      <c r="N4" s="23">
        <f>SUMIFS('Data International'!$D:$D,'Data International'!$P:$P,'Painel International'!$B4,'Data International'!$Q:$Q,"&gt;360")</f>
        <v>0</v>
      </c>
      <c r="O4" s="19">
        <f>SUMIFS('Data International'!$D:$D,'Data International'!$P:$P,'Painel International'!$B4,'Data International'!$Q:$Q,"&gt;0")</f>
        <v>0</v>
      </c>
      <c r="P4" s="19">
        <f>SUM(Q4:W4)</f>
        <v>0</v>
      </c>
      <c r="Q4" s="19">
        <f>SUMIFS('Data International'!$D:$D,'Data International'!$P:$P,'Painel International'!$B4,'Data International'!$Q:$Q,"&lt;=0",'Data International'!$Q:$Q,"&gt;=-30")</f>
        <v>0</v>
      </c>
      <c r="R4" s="19">
        <f>SUMIFS('Data International'!$D:$D,'Data International'!$P:$P,'Painel International'!$B4,'Data International'!$Q:$Q,"&lt;=-31",'Data International'!$Q:$Q,"&gt;=-60")</f>
        <v>0</v>
      </c>
      <c r="S4" s="19">
        <f>SUMIFS('Data International'!$D:$D,'Data International'!$P:$P,'Painel International'!$B4,'Data International'!$Q:$Q,"&lt;=-61",'Data International'!$Q:$Q,"&gt;=-90")</f>
        <v>0</v>
      </c>
      <c r="T4" s="19">
        <f>SUMIFS('Data International'!$D:$D,'Data International'!$P:$P,'Painel International'!$B4,'Data International'!$Q:$Q,"&lt;=-91",'Data International'!$Q:$Q,"&gt;=-120")</f>
        <v>0</v>
      </c>
      <c r="U4" s="19">
        <f>SUMIFS('Data International'!$D:$D,'Data International'!$P:$P,'Painel International'!$B4,'Data International'!$Q:$Q,"&lt;=-121",'Data International'!$Q:$Q,"&gt;=-180")</f>
        <v>0</v>
      </c>
      <c r="V4" s="19">
        <f>SUMIFS('Data International'!$D:$D,'Data International'!$P:$P,'Painel International'!$B4,'Data International'!$Q:$Q,"&lt;=-181",'Data International'!$Q:$Q,"&gt;=-360")</f>
        <v>0</v>
      </c>
      <c r="W4" s="23">
        <f>SUMIFS('Data International'!$D:$D,'Data International'!$P:$P,'Painel International'!$B4,'Data International'!$Q:$Q,"&lt;-360")</f>
        <v>0</v>
      </c>
      <c r="X4" s="19">
        <f>SUMIFS('Bad Debt Provision'!AB:AB,'Bad Debt Provision'!B:B,'Painel International'!B4)</f>
        <v>0</v>
      </c>
      <c r="Z4" s="5"/>
      <c r="AA4" s="19">
        <f>_xlfn.XLOOKUP(B4,'Limite de crédito'!C:C,'Limite de crédito'!O:O,0)</f>
        <v>1375000</v>
      </c>
      <c r="AB4" s="19"/>
      <c r="AC4" s="20"/>
      <c r="AD4" s="22"/>
      <c r="AE4" s="22"/>
      <c r="AF4" s="5"/>
      <c r="AG4" s="28">
        <f>AA4-G4</f>
        <v>1375000</v>
      </c>
      <c r="AI4" s="260"/>
    </row>
    <row r="5" spans="1:38" x14ac:dyDescent="0.25">
      <c r="B5" s="41" t="s">
        <v>397</v>
      </c>
      <c r="C5" s="19" t="str">
        <f>IFERROR(_xlfn.XLOOKUP(B5,'Limite de crédito'!C:C,'Limite de crédito'!L:L,),0)</f>
        <v>B</v>
      </c>
      <c r="D5" s="19"/>
      <c r="E5" s="105">
        <f>_xlfn.XLOOKUP(B5,'Limite de crédito'!C:C,'Limite de crédito'!G:G,0)</f>
        <v>1100000</v>
      </c>
      <c r="F5" s="18">
        <f t="shared" ref="F5:F28" si="3">E5-G5</f>
        <v>1100000</v>
      </c>
      <c r="G5" s="18">
        <f t="shared" si="2"/>
        <v>0</v>
      </c>
      <c r="H5" s="19">
        <f>SUMIFS('Data International'!$D:$D,'Data International'!$P:$P,'Painel International'!$B5,'Data International'!$Q:$Q,"&gt;0",'Data International'!$Q:$Q,"&lt;=30")</f>
        <v>0</v>
      </c>
      <c r="I5" s="19">
        <f>SUMIFS('Data International'!$D:$D,'Data International'!$P:$P,'Painel International'!$B5,'Data International'!$Q:$Q,"&gt;30",'Data International'!$Q:$Q,"&lt;=60")</f>
        <v>0</v>
      </c>
      <c r="J5" s="19">
        <f>SUMIFS('Data International'!$D:$D,'Data International'!$P:$P,'Painel International'!$B5,'Data International'!$Q:$Q,"&gt;60",'Data International'!$Q:$Q,"&lt;=90")</f>
        <v>0</v>
      </c>
      <c r="K5" s="19">
        <f>SUMIFS('Data International'!$D:$D,'Data International'!$P:$P,'Painel International'!$B5,'Data International'!$Q:$Q,"&gt;90",'Data International'!$Q:$Q,"&lt;=120")</f>
        <v>0</v>
      </c>
      <c r="L5" s="19">
        <f>SUMIFS('Data International'!$D:$D,'Data International'!$P:$P,'Painel International'!$B5,'Data International'!$Q:$Q,"&gt;120",'Data International'!$Q:$Q,"&lt;=180")</f>
        <v>0</v>
      </c>
      <c r="M5" s="19">
        <f>SUMIFS('Data International'!$D:$D,'Data International'!$P:$P,'Painel International'!$B5,'Data International'!$Q:$Q,"&gt;180",'Data International'!$Q:$Q,"&lt;=360")</f>
        <v>0</v>
      </c>
      <c r="N5" s="23">
        <f>SUMIFS('Data International'!$D:$D,'Data International'!$P:$P,'Painel International'!$B5,'Data International'!$Q:$Q,"&gt;360")</f>
        <v>0</v>
      </c>
      <c r="O5" s="19">
        <f>SUMIFS('Data International'!$D:$D,'Data International'!$P:$P,'Painel International'!$B5,'Data International'!$Q:$Q,"&gt;0")</f>
        <v>0</v>
      </c>
      <c r="P5" s="19">
        <f t="shared" ref="P5:P28" si="4">SUM(Q5:W5)</f>
        <v>0</v>
      </c>
      <c r="Q5" s="19">
        <f>SUMIFS('Data International'!$D:$D,'Data International'!$P:$P,'Painel International'!$B5,'Data International'!$Q:$Q,"&lt;=0",'Data International'!$Q:$Q,"&gt;=-30")</f>
        <v>0</v>
      </c>
      <c r="R5" s="19">
        <f>SUMIFS('Data International'!$D:$D,'Data International'!$P:$P,'Painel International'!$B5,'Data International'!$Q:$Q,"&lt;=-31",'Data International'!$Q:$Q,"&gt;=-60")</f>
        <v>0</v>
      </c>
      <c r="S5" s="19">
        <f>SUMIFS('Data International'!$D:$D,'Data International'!$P:$P,'Painel International'!$B5,'Data International'!$Q:$Q,"&lt;=-61",'Data International'!$Q:$Q,"&gt;=-90")</f>
        <v>0</v>
      </c>
      <c r="T5" s="19">
        <f>SUMIFS('Data International'!$D:$D,'Data International'!$P:$P,'Painel International'!$B5,'Data International'!$Q:$Q,"&lt;=-91",'Data International'!$Q:$Q,"&gt;=-120")</f>
        <v>0</v>
      </c>
      <c r="U5" s="19">
        <f>SUMIFS('Data International'!$D:$D,'Data International'!$P:$P,'Painel International'!$B5,'Data International'!$Q:$Q,"&lt;=-121",'Data International'!$Q:$Q,"&gt;=-180")</f>
        <v>0</v>
      </c>
      <c r="V5" s="19">
        <f>SUMIFS('Data International'!$D:$D,'Data International'!$P:$P,'Painel International'!$B5,'Data International'!$Q:$Q,"&lt;=-181",'Data International'!$Q:$Q,"&gt;=-360")</f>
        <v>0</v>
      </c>
      <c r="W5" s="23">
        <f>SUMIFS('Data International'!$D:$D,'Data International'!$P:$P,'Painel International'!$B5,'Data International'!$Q:$Q,"&lt;-360")</f>
        <v>0</v>
      </c>
      <c r="X5" s="19">
        <f>SUMIFS('Bad Debt Provision'!AB:AB,'Bad Debt Provision'!B:B,'Painel International'!B5)</f>
        <v>0</v>
      </c>
      <c r="Y5" s="5"/>
      <c r="Z5" s="5"/>
      <c r="AA5" s="19">
        <f>_xlfn.XLOOKUP(B5,'Limite de crédito'!C:C,'Limite de crédito'!O:O,0)</f>
        <v>1100000</v>
      </c>
      <c r="AB5" s="19"/>
      <c r="AC5" s="20"/>
      <c r="AD5" s="22"/>
      <c r="AE5" s="22"/>
      <c r="AF5" s="5"/>
      <c r="AG5" s="28">
        <f t="shared" ref="AG5:AG41" si="5">AA5-G5</f>
        <v>1100000</v>
      </c>
      <c r="AI5" s="260">
        <v>100000</v>
      </c>
    </row>
    <row r="6" spans="1:38" x14ac:dyDescent="0.25">
      <c r="B6" s="17" t="s">
        <v>125</v>
      </c>
      <c r="C6" s="19" t="str">
        <f>IFERROR(_xlfn.XLOOKUP(B6,'Limite de crédito'!C:C,'Limite de crédito'!L:L,),0)</f>
        <v>B</v>
      </c>
      <c r="D6" s="105"/>
      <c r="E6" s="105">
        <f>_xlfn.XLOOKUP(B6,'Limite de crédito'!C:C,'Limite de crédito'!G:G,0)</f>
        <v>962500</v>
      </c>
      <c r="F6" s="18">
        <f t="shared" si="3"/>
        <v>812435.17</v>
      </c>
      <c r="G6" s="18">
        <f t="shared" si="2"/>
        <v>150064.82999999999</v>
      </c>
      <c r="H6" s="19">
        <f>SUMIFS('Data International'!$D:$D,'Data International'!$P:$P,'Painel International'!$B6,'Data International'!$Q:$Q,"&gt;0",'Data International'!$Q:$Q,"&lt;=30")</f>
        <v>0</v>
      </c>
      <c r="I6" s="19">
        <f>SUMIFS('Data International'!$D:$D,'Data International'!$P:$P,'Painel International'!$B6,'Data International'!$Q:$Q,"&gt;30",'Data International'!$Q:$Q,"&lt;=60")</f>
        <v>0</v>
      </c>
      <c r="J6" s="19">
        <f>SUMIFS('Data International'!$D:$D,'Data International'!$P:$P,'Painel International'!$B6,'Data International'!$Q:$Q,"&gt;60",'Data International'!$Q:$Q,"&lt;=90")</f>
        <v>0</v>
      </c>
      <c r="K6" s="19">
        <f>SUMIFS('Data International'!$D:$D,'Data International'!$P:$P,'Painel International'!$B6,'Data International'!$Q:$Q,"&gt;90",'Data International'!$Q:$Q,"&lt;=120")</f>
        <v>0</v>
      </c>
      <c r="L6" s="19">
        <f>SUMIFS('Data International'!$D:$D,'Data International'!$P:$P,'Painel International'!$B6,'Data International'!$Q:$Q,"&gt;120",'Data International'!$Q:$Q,"&lt;=180")</f>
        <v>0</v>
      </c>
      <c r="M6" s="19">
        <f>SUMIFS('Data International'!$D:$D,'Data International'!$P:$P,'Painel International'!$B6,'Data International'!$Q:$Q,"&gt;180",'Data International'!$Q:$Q,"&lt;=360")</f>
        <v>0</v>
      </c>
      <c r="N6" s="23">
        <f>SUMIFS('Data International'!$D:$D,'Data International'!$P:$P,'Painel International'!$B6,'Data International'!$Q:$Q,"&gt;360")</f>
        <v>0</v>
      </c>
      <c r="O6" s="19">
        <f>SUMIFS('Data International'!$D:$D,'Data International'!$P:$P,'Painel International'!$B6,'Data International'!$Q:$Q,"&gt;0")</f>
        <v>0</v>
      </c>
      <c r="P6" s="19">
        <f t="shared" si="4"/>
        <v>150064.82999999999</v>
      </c>
      <c r="Q6" s="19">
        <f>SUMIFS('Data International'!$D:$D,'Data International'!$P:$P,'Painel International'!$B6,'Data International'!$Q:$Q,"&lt;=0",'Data International'!$Q:$Q,"&gt;=-30")</f>
        <v>150064.82999999999</v>
      </c>
      <c r="R6" s="19">
        <f>SUMIFS('Data International'!$D:$D,'Data International'!$P:$P,'Painel International'!$B6,'Data International'!$Q:$Q,"&lt;=-31",'Data International'!$Q:$Q,"&gt;=-60")</f>
        <v>0</v>
      </c>
      <c r="S6" s="19">
        <f>SUMIFS('Data International'!$D:$D,'Data International'!$P:$P,'Painel International'!$B6,'Data International'!$Q:$Q,"&lt;=-61",'Data International'!$Q:$Q,"&gt;=-90")</f>
        <v>0</v>
      </c>
      <c r="T6" s="19">
        <f>SUMIFS('Data International'!$D:$D,'Data International'!$P:$P,'Painel International'!$B6,'Data International'!$Q:$Q,"&lt;=-91",'Data International'!$Q:$Q,"&gt;=-120")</f>
        <v>0</v>
      </c>
      <c r="U6" s="19">
        <f>SUMIFS('Data International'!$D:$D,'Data International'!$P:$P,'Painel International'!$B6,'Data International'!$Q:$Q,"&lt;=-121",'Data International'!$Q:$Q,"&gt;=-180")</f>
        <v>0</v>
      </c>
      <c r="V6" s="19">
        <f>SUMIFS('Data International'!$D:$D,'Data International'!$P:$P,'Painel International'!$B6,'Data International'!$Q:$Q,"&lt;=-181",'Data International'!$Q:$Q,"&gt;=-360")</f>
        <v>0</v>
      </c>
      <c r="W6" s="23">
        <f>SUMIFS('Data International'!$D:$D,'Data International'!$P:$P,'Painel International'!$B6,'Data International'!$Q:$Q,"&lt;-360")</f>
        <v>0</v>
      </c>
      <c r="X6" s="19">
        <f>SUMIFS('Bad Debt Provision'!AB:AB,'Bad Debt Provision'!B:B,'Painel International'!B6)</f>
        <v>0</v>
      </c>
      <c r="Y6" s="5"/>
      <c r="Z6" s="5"/>
      <c r="AA6" s="19">
        <f>_xlfn.XLOOKUP(B6,'Limite de crédito'!C:C,'Limite de crédito'!O:O,0)</f>
        <v>962500</v>
      </c>
      <c r="AB6" s="19"/>
      <c r="AC6" s="20"/>
      <c r="AD6" s="22"/>
      <c r="AE6" s="22"/>
      <c r="AF6" s="5"/>
      <c r="AG6" s="28">
        <f t="shared" si="5"/>
        <v>812435.17</v>
      </c>
      <c r="AH6" s="5"/>
      <c r="AI6" s="260"/>
    </row>
    <row r="7" spans="1:38" x14ac:dyDescent="0.25">
      <c r="B7" s="41" t="s">
        <v>294</v>
      </c>
      <c r="C7" s="19" t="str">
        <f>IFERROR(_xlfn.XLOOKUP(B7,'Limite de crédito'!C:C,'Limite de crédito'!L:L,),0)</f>
        <v>B</v>
      </c>
      <c r="D7" s="105"/>
      <c r="E7" s="105">
        <f>_xlfn.XLOOKUP(B7,'Limite de crédito'!C:C,'Limite de crédito'!G:G,0)</f>
        <v>550000</v>
      </c>
      <c r="F7" s="18">
        <f t="shared" si="3"/>
        <v>199990.55000000005</v>
      </c>
      <c r="G7" s="18">
        <f t="shared" si="2"/>
        <v>350009.44999999995</v>
      </c>
      <c r="H7" s="19">
        <f>SUMIFS('Data International'!$D:$D,'Data International'!$P:$P,'Painel International'!$B7,'Data International'!$Q:$Q,"&gt;0",'Data International'!$Q:$Q,"&lt;=30")</f>
        <v>0</v>
      </c>
      <c r="I7" s="19">
        <f>SUMIFS('Data International'!$D:$D,'Data International'!$P:$P,'Painel International'!$B7,'Data International'!$Q:$Q,"&gt;30",'Data International'!$Q:$Q,"&lt;=60")</f>
        <v>0</v>
      </c>
      <c r="J7" s="19">
        <f>SUMIFS('Data International'!$D:$D,'Data International'!$P:$P,'Painel International'!$B7,'Data International'!$Q:$Q,"&gt;60",'Data International'!$Q:$Q,"&lt;=90")</f>
        <v>0</v>
      </c>
      <c r="K7" s="19">
        <f>SUMIFS('Data International'!$D:$D,'Data International'!$P:$P,'Painel International'!$B7,'Data International'!$Q:$Q,"&gt;90",'Data International'!$Q:$Q,"&lt;=120")</f>
        <v>0</v>
      </c>
      <c r="L7" s="19">
        <f>SUMIFS('Data International'!$D:$D,'Data International'!$P:$P,'Painel International'!$B7,'Data International'!$Q:$Q,"&gt;120",'Data International'!$Q:$Q,"&lt;=180")</f>
        <v>0</v>
      </c>
      <c r="M7" s="19">
        <f>SUMIFS('Data International'!$D:$D,'Data International'!$P:$P,'Painel International'!$B7,'Data International'!$Q:$Q,"&gt;180",'Data International'!$Q:$Q,"&lt;=360")</f>
        <v>0</v>
      </c>
      <c r="N7" s="23">
        <f>SUMIFS('Data International'!$D:$D,'Data International'!$P:$P,'Painel International'!$B7,'Data International'!$Q:$Q,"&gt;360")</f>
        <v>0</v>
      </c>
      <c r="O7" s="19">
        <f>SUMIFS('Data International'!$D:$D,'Data International'!$P:$P,'Painel International'!$B7,'Data International'!$Q:$Q,"&gt;0")</f>
        <v>0</v>
      </c>
      <c r="P7" s="19">
        <f t="shared" si="4"/>
        <v>350009.44999999995</v>
      </c>
      <c r="Q7" s="19">
        <f>SUMIFS('Data International'!$D:$D,'Data International'!$P:$P,'Painel International'!$B7,'Data International'!$Q:$Q,"&lt;=0",'Data International'!$Q:$Q,"&gt;=-30")</f>
        <v>350009.44999999995</v>
      </c>
      <c r="R7" s="19">
        <f>SUMIFS('Data International'!$D:$D,'Data International'!$P:$P,'Painel International'!$B7,'Data International'!$Q:$Q,"&lt;=-31",'Data International'!$Q:$Q,"&gt;=-60")</f>
        <v>0</v>
      </c>
      <c r="S7" s="19">
        <f>SUMIFS('Data International'!$D:$D,'Data International'!$P:$P,'Painel International'!$B7,'Data International'!$Q:$Q,"&lt;=-61",'Data International'!$Q:$Q,"&gt;=-90")</f>
        <v>0</v>
      </c>
      <c r="T7" s="19">
        <f>SUMIFS('Data International'!$D:$D,'Data International'!$P:$P,'Painel International'!$B7,'Data International'!$Q:$Q,"&lt;=-91",'Data International'!$Q:$Q,"&gt;=-120")</f>
        <v>0</v>
      </c>
      <c r="U7" s="19">
        <f>SUMIFS('Data International'!$D:$D,'Data International'!$P:$P,'Painel International'!$B7,'Data International'!$Q:$Q,"&lt;=-121",'Data International'!$Q:$Q,"&gt;=-180")</f>
        <v>0</v>
      </c>
      <c r="V7" s="19">
        <f>SUMIFS('Data International'!$D:$D,'Data International'!$P:$P,'Painel International'!$B7,'Data International'!$Q:$Q,"&lt;=-181",'Data International'!$Q:$Q,"&gt;=-360")</f>
        <v>0</v>
      </c>
      <c r="W7" s="23">
        <f>SUMIFS('Data International'!$D:$D,'Data International'!$P:$P,'Painel International'!$B7,'Data International'!$Q:$Q,"&lt;-360")</f>
        <v>0</v>
      </c>
      <c r="X7" s="19">
        <f>SUMIFS('Bad Debt Provision'!AB:AB,'Bad Debt Provision'!B:B,'Painel International'!B7)</f>
        <v>0</v>
      </c>
      <c r="Y7" s="5"/>
      <c r="Z7" s="5"/>
      <c r="AA7" s="19">
        <f>_xlfn.XLOOKUP(B7,'Limite de crédito'!C:C,'Limite de crédito'!O:O,0)</f>
        <v>550000</v>
      </c>
      <c r="AB7" s="19"/>
      <c r="AC7" s="20"/>
      <c r="AD7" s="22"/>
      <c r="AE7" s="22"/>
      <c r="AF7" s="5"/>
      <c r="AG7" s="28">
        <f>AA7-G7</f>
        <v>199990.55000000005</v>
      </c>
      <c r="AI7" s="260"/>
    </row>
    <row r="8" spans="1:38" x14ac:dyDescent="0.25">
      <c r="B8" s="17" t="s">
        <v>129</v>
      </c>
      <c r="C8" s="19" t="str">
        <f>IFERROR(_xlfn.XLOOKUP(B8,'Limite de crédito'!C:C,'Limite de crédito'!L:L,),0)</f>
        <v>A</v>
      </c>
      <c r="D8" s="105"/>
      <c r="E8" s="105">
        <f>_xlfn.XLOOKUP(B8,'Limite de crédito'!C:C,'Limite de crédito'!G:G,0)</f>
        <v>687500</v>
      </c>
      <c r="F8" s="18">
        <f t="shared" si="3"/>
        <v>555539.93999999994</v>
      </c>
      <c r="G8" s="18">
        <f t="shared" si="2"/>
        <v>131960.06</v>
      </c>
      <c r="H8" s="19">
        <f>SUMIFS('Data International'!$D:$D,'Data International'!$P:$P,'Painel International'!$B8,'Data International'!$Q:$Q,"&gt;0",'Data International'!$Q:$Q,"&lt;=30")</f>
        <v>0</v>
      </c>
      <c r="I8" s="19">
        <f>SUMIFS('Data International'!$D:$D,'Data International'!$P:$P,'Painel International'!$B8,'Data International'!$Q:$Q,"&gt;30",'Data International'!$Q:$Q,"&lt;=60")</f>
        <v>0</v>
      </c>
      <c r="J8" s="19">
        <f>SUMIFS('Data International'!$D:$D,'Data International'!$P:$P,'Painel International'!$B8,'Data International'!$Q:$Q,"&gt;60",'Data International'!$Q:$Q,"&lt;=90")</f>
        <v>0</v>
      </c>
      <c r="K8" s="19">
        <f>SUMIFS('Data International'!$D:$D,'Data International'!$P:$P,'Painel International'!$B8,'Data International'!$Q:$Q,"&gt;90",'Data International'!$Q:$Q,"&lt;=120")</f>
        <v>0</v>
      </c>
      <c r="L8" s="19">
        <f>SUMIFS('Data International'!$D:$D,'Data International'!$P:$P,'Painel International'!$B8,'Data International'!$Q:$Q,"&gt;120",'Data International'!$Q:$Q,"&lt;=180")</f>
        <v>0</v>
      </c>
      <c r="M8" s="19">
        <f>SUMIFS('Data International'!$D:$D,'Data International'!$P:$P,'Painel International'!$B8,'Data International'!$Q:$Q,"&gt;180",'Data International'!$Q:$Q,"&lt;=360")</f>
        <v>0</v>
      </c>
      <c r="N8" s="23">
        <f>SUMIFS('Data International'!$D:$D,'Data International'!$P:$P,'Painel International'!$B8,'Data International'!$Q:$Q,"&gt;360")</f>
        <v>0</v>
      </c>
      <c r="O8" s="19">
        <f>SUMIFS('Data International'!$D:$D,'Data International'!$P:$P,'Painel International'!$B8,'Data International'!$Q:$Q,"&gt;0")</f>
        <v>0</v>
      </c>
      <c r="P8" s="19">
        <f t="shared" si="4"/>
        <v>131960.06</v>
      </c>
      <c r="Q8" s="19">
        <f>SUMIFS('Data International'!$D:$D,'Data International'!$P:$P,'Painel International'!$B8,'Data International'!$Q:$Q,"&lt;=0",'Data International'!$Q:$Q,"&gt;=-30")</f>
        <v>131960.06</v>
      </c>
      <c r="R8" s="19">
        <f>SUMIFS('Data International'!$D:$D,'Data International'!$P:$P,'Painel International'!$B8,'Data International'!$Q:$Q,"&lt;=-31",'Data International'!$Q:$Q,"&gt;=-60")</f>
        <v>0</v>
      </c>
      <c r="S8" s="19">
        <f>SUMIFS('Data International'!$D:$D,'Data International'!$P:$P,'Painel International'!$B8,'Data International'!$Q:$Q,"&lt;=-61",'Data International'!$Q:$Q,"&gt;=-90")</f>
        <v>0</v>
      </c>
      <c r="T8" s="19">
        <f>SUMIFS('Data International'!$D:$D,'Data International'!$P:$P,'Painel International'!$B8,'Data International'!$Q:$Q,"&lt;=-91",'Data International'!$Q:$Q,"&gt;=-120")</f>
        <v>0</v>
      </c>
      <c r="U8" s="19">
        <f>SUMIFS('Data International'!$D:$D,'Data International'!$P:$P,'Painel International'!$B8,'Data International'!$Q:$Q,"&lt;=-121",'Data International'!$Q:$Q,"&gt;=-180")</f>
        <v>0</v>
      </c>
      <c r="V8" s="19">
        <f>SUMIFS('Data International'!$D:$D,'Data International'!$P:$P,'Painel International'!$B8,'Data International'!$Q:$Q,"&lt;=-181",'Data International'!$Q:$Q,"&gt;=-360")</f>
        <v>0</v>
      </c>
      <c r="W8" s="23">
        <f>SUMIFS('Data International'!$D:$D,'Data International'!$P:$P,'Painel International'!$B8,'Data International'!$Q:$Q,"&lt;-360")</f>
        <v>0</v>
      </c>
      <c r="X8" s="19">
        <f>SUMIFS('Bad Debt Provision'!AB:AB,'Bad Debt Provision'!B:B,'Painel International'!B8)</f>
        <v>0</v>
      </c>
      <c r="Y8" s="5"/>
      <c r="Z8" s="5"/>
      <c r="AA8" s="19">
        <f>_xlfn.XLOOKUP(B8,'Limite de crédito'!C:C,'Limite de crédito'!O:O,0)</f>
        <v>687500</v>
      </c>
      <c r="AB8" s="19"/>
      <c r="AC8" s="20"/>
      <c r="AD8" s="22"/>
      <c r="AE8" s="22"/>
      <c r="AF8" s="5"/>
      <c r="AG8" s="28">
        <f t="shared" si="5"/>
        <v>555539.93999999994</v>
      </c>
      <c r="AH8" s="5"/>
      <c r="AI8" s="260"/>
    </row>
    <row r="9" spans="1:38" x14ac:dyDescent="0.25">
      <c r="B9" s="41" t="s">
        <v>488</v>
      </c>
      <c r="C9" s="19" t="str">
        <f>IFERROR(_xlfn.XLOOKUP(B9,'Limite de crédito'!C:C,'Limite de crédito'!L:L,),0)</f>
        <v>B</v>
      </c>
      <c r="D9" s="19"/>
      <c r="E9" s="105">
        <f>_xlfn.XLOOKUP(B9,'Limite de crédito'!C:C,'Limite de crédito'!G:G,0)</f>
        <v>330000</v>
      </c>
      <c r="F9" s="18">
        <f t="shared" si="3"/>
        <v>330000</v>
      </c>
      <c r="G9" s="18">
        <f t="shared" si="2"/>
        <v>0</v>
      </c>
      <c r="H9" s="19">
        <f>SUMIFS('Data International'!$D:$D,'Data International'!$P:$P,'Painel International'!$B9,'Data International'!$Q:$Q,"&gt;0",'Data International'!$Q:$Q,"&lt;=30")</f>
        <v>0</v>
      </c>
      <c r="I9" s="19">
        <f>SUMIFS('Data International'!$D:$D,'Data International'!$P:$P,'Painel International'!$B9,'Data International'!$Q:$Q,"&gt;30",'Data International'!$Q:$Q,"&lt;=60")</f>
        <v>0</v>
      </c>
      <c r="J9" s="19">
        <f>SUMIFS('Data International'!$D:$D,'Data International'!$P:$P,'Painel International'!$B9,'Data International'!$Q:$Q,"&gt;60",'Data International'!$Q:$Q,"&lt;=90")</f>
        <v>0</v>
      </c>
      <c r="K9" s="19">
        <f>SUMIFS('Data International'!$D:$D,'Data International'!$P:$P,'Painel International'!$B9,'Data International'!$Q:$Q,"&gt;90",'Data International'!$Q:$Q,"&lt;=120")</f>
        <v>0</v>
      </c>
      <c r="L9" s="19">
        <f>SUMIFS('Data International'!$D:$D,'Data International'!$P:$P,'Painel International'!$B9,'Data International'!$Q:$Q,"&gt;120",'Data International'!$Q:$Q,"&lt;=180")</f>
        <v>0</v>
      </c>
      <c r="M9" s="19">
        <f>SUMIFS('Data International'!$D:$D,'Data International'!$P:$P,'Painel International'!$B9,'Data International'!$Q:$Q,"&gt;180",'Data International'!$Q:$Q,"&lt;=360")</f>
        <v>0</v>
      </c>
      <c r="N9" s="23">
        <f>SUMIFS('Data International'!$D:$D,'Data International'!$P:$P,'Painel International'!$B9,'Data International'!$Q:$Q,"&gt;360")</f>
        <v>0</v>
      </c>
      <c r="O9" s="19">
        <f>SUMIFS('Data International'!$D:$D,'Data International'!$P:$P,'Painel International'!$B9,'Data International'!$Q:$Q,"&gt;0")</f>
        <v>0</v>
      </c>
      <c r="P9" s="19">
        <f t="shared" si="4"/>
        <v>0</v>
      </c>
      <c r="Q9" s="19">
        <f>SUMIFS('Data International'!$D:$D,'Data International'!$P:$P,'Painel International'!$B9,'Data International'!$Q:$Q,"&lt;=0",'Data International'!$Q:$Q,"&gt;=-30")</f>
        <v>0</v>
      </c>
      <c r="R9" s="19">
        <f>SUMIFS('Data International'!$D:$D,'Data International'!$P:$P,'Painel International'!$B9,'Data International'!$Q:$Q,"&lt;=-31",'Data International'!$Q:$Q,"&gt;=-60")</f>
        <v>0</v>
      </c>
      <c r="S9" s="19">
        <f>SUMIFS('Data International'!$D:$D,'Data International'!$P:$P,'Painel International'!$B9,'Data International'!$Q:$Q,"&lt;=-61",'Data International'!$Q:$Q,"&gt;=-90")</f>
        <v>0</v>
      </c>
      <c r="T9" s="19">
        <f>SUMIFS('Data International'!$D:$D,'Data International'!$P:$P,'Painel International'!$B9,'Data International'!$Q:$Q,"&lt;=-91",'Data International'!$Q:$Q,"&gt;=-120")</f>
        <v>0</v>
      </c>
      <c r="U9" s="19">
        <f>SUMIFS('Data International'!$D:$D,'Data International'!$P:$P,'Painel International'!$B9,'Data International'!$Q:$Q,"&lt;=-121",'Data International'!$Q:$Q,"&gt;=-180")</f>
        <v>0</v>
      </c>
      <c r="V9" s="19">
        <f>SUMIFS('Data International'!$D:$D,'Data International'!$P:$P,'Painel International'!$B9,'Data International'!$Q:$Q,"&lt;=-181",'Data International'!$Q:$Q,"&gt;=-360")</f>
        <v>0</v>
      </c>
      <c r="W9" s="23">
        <f>SUMIFS('Data International'!$D:$D,'Data International'!$P:$P,'Painel International'!$B9,'Data International'!$Q:$Q,"&lt;-360")</f>
        <v>0</v>
      </c>
      <c r="X9" s="19">
        <f>SUMIFS('Bad Debt Provision'!AB:AB,'Bad Debt Provision'!B:B,'Painel International'!B9)</f>
        <v>0</v>
      </c>
      <c r="Z9" s="5"/>
      <c r="AA9" s="19">
        <f>_xlfn.XLOOKUP(B9,'Limite de crédito'!C:C,'Limite de crédito'!O:O,0)</f>
        <v>330000</v>
      </c>
      <c r="AB9" s="19"/>
      <c r="AC9" s="20"/>
      <c r="AD9" s="22"/>
      <c r="AE9" s="22"/>
      <c r="AF9" s="5"/>
      <c r="AG9" s="28">
        <f t="shared" si="5"/>
        <v>330000</v>
      </c>
      <c r="AI9" s="260">
        <v>20000</v>
      </c>
    </row>
    <row r="10" spans="1:38" x14ac:dyDescent="0.25">
      <c r="B10" s="41" t="s">
        <v>489</v>
      </c>
      <c r="C10" s="19" t="str">
        <f>IFERROR(_xlfn.XLOOKUP(B10,'Limite de crédito'!C:C,'Limite de crédito'!L:L,),0)</f>
        <v>A</v>
      </c>
      <c r="D10" s="19"/>
      <c r="E10" s="105">
        <f>_xlfn.XLOOKUP(B10,'Limite de crédito'!C:C,'Limite de crédito'!G:G,0)</f>
        <v>302500</v>
      </c>
      <c r="F10" s="18">
        <f t="shared" si="3"/>
        <v>226019.77000000002</v>
      </c>
      <c r="G10" s="18">
        <f t="shared" si="2"/>
        <v>76480.23</v>
      </c>
      <c r="H10" s="19">
        <f>SUMIFS('Data International'!$D:$D,'Data International'!$P:$P,'Painel International'!$B10,'Data International'!$Q:$Q,"&gt;0",'Data International'!$Q:$Q,"&lt;=30")</f>
        <v>0</v>
      </c>
      <c r="I10" s="19">
        <f>SUMIFS('Data International'!$D:$D,'Data International'!$P:$P,'Painel International'!$B10,'Data International'!$Q:$Q,"&gt;30",'Data International'!$Q:$Q,"&lt;=60")</f>
        <v>0</v>
      </c>
      <c r="J10" s="19">
        <f>SUMIFS('Data International'!$D:$D,'Data International'!$P:$P,'Painel International'!$B10,'Data International'!$Q:$Q,"&gt;60",'Data International'!$Q:$Q,"&lt;=90")</f>
        <v>0</v>
      </c>
      <c r="K10" s="19">
        <f>SUMIFS('Data International'!$D:$D,'Data International'!$P:$P,'Painel International'!$B10,'Data International'!$Q:$Q,"&gt;90",'Data International'!$Q:$Q,"&lt;=120")</f>
        <v>0</v>
      </c>
      <c r="L10" s="19">
        <f>SUMIFS('Data International'!$D:$D,'Data International'!$P:$P,'Painel International'!$B10,'Data International'!$Q:$Q,"&gt;120",'Data International'!$Q:$Q,"&lt;=180")</f>
        <v>0</v>
      </c>
      <c r="M10" s="19">
        <f>SUMIFS('Data International'!$D:$D,'Data International'!$P:$P,'Painel International'!$B10,'Data International'!$Q:$Q,"&gt;180",'Data International'!$Q:$Q,"&lt;=360")</f>
        <v>0</v>
      </c>
      <c r="N10" s="23">
        <f>SUMIFS('Data International'!$D:$D,'Data International'!$P:$P,'Painel International'!$B10,'Data International'!$Q:$Q,"&gt;360")</f>
        <v>0</v>
      </c>
      <c r="O10" s="19">
        <f>SUMIFS('Data International'!$D:$D,'Data International'!$P:$P,'Painel International'!$B10,'Data International'!$Q:$Q,"&gt;0")</f>
        <v>0</v>
      </c>
      <c r="P10" s="19">
        <f t="shared" si="4"/>
        <v>76480.23</v>
      </c>
      <c r="Q10" s="19">
        <f>SUMIFS('Data International'!$D:$D,'Data International'!$P:$P,'Painel International'!$B10,'Data International'!$Q:$Q,"&lt;=0",'Data International'!$Q:$Q,"&gt;=-30")</f>
        <v>0</v>
      </c>
      <c r="R10" s="19">
        <f>SUMIFS('Data International'!$D:$D,'Data International'!$P:$P,'Painel International'!$B10,'Data International'!$Q:$Q,"&lt;=-31",'Data International'!$Q:$Q,"&gt;=-60")</f>
        <v>0</v>
      </c>
      <c r="S10" s="19">
        <f>SUMIFS('Data International'!$D:$D,'Data International'!$P:$P,'Painel International'!$B10,'Data International'!$Q:$Q,"&lt;=-61",'Data International'!$Q:$Q,"&gt;=-90")</f>
        <v>0</v>
      </c>
      <c r="T10" s="19">
        <f>SUMIFS('Data International'!$D:$D,'Data International'!$P:$P,'Painel International'!$B10,'Data International'!$Q:$Q,"&lt;=-91",'Data International'!$Q:$Q,"&gt;=-120")</f>
        <v>0</v>
      </c>
      <c r="U10" s="19">
        <f>SUMIFS('Data International'!$D:$D,'Data International'!$P:$P,'Painel International'!$B10,'Data International'!$Q:$Q,"&lt;=-121",'Data International'!$Q:$Q,"&gt;=-180")</f>
        <v>0</v>
      </c>
      <c r="V10" s="19">
        <f>SUMIFS('Data International'!$D:$D,'Data International'!$P:$P,'Painel International'!$B10,'Data International'!$Q:$Q,"&lt;=-181",'Data International'!$Q:$Q,"&gt;=-360")</f>
        <v>76480.23</v>
      </c>
      <c r="W10" s="23">
        <f>SUMIFS('Data International'!$D:$D,'Data International'!$P:$P,'Painel International'!$B10,'Data International'!$Q:$Q,"&lt;-360")</f>
        <v>0</v>
      </c>
      <c r="X10" s="19">
        <f>SUMIFS('Bad Debt Provision'!AB:AB,'Bad Debt Provision'!B:B,'Painel International'!B10)</f>
        <v>0</v>
      </c>
      <c r="Z10" s="5"/>
      <c r="AA10" s="19">
        <f>_xlfn.XLOOKUP(B10,'Limite de crédito'!C:C,'Limite de crédito'!O:O,0)</f>
        <v>302500</v>
      </c>
      <c r="AB10" s="19"/>
      <c r="AC10" s="20"/>
      <c r="AD10" s="22"/>
      <c r="AE10" s="22"/>
      <c r="AF10" s="5"/>
      <c r="AG10" s="28">
        <f t="shared" si="5"/>
        <v>226019.77000000002</v>
      </c>
      <c r="AI10" s="260">
        <v>10000</v>
      </c>
    </row>
    <row r="11" spans="1:38" x14ac:dyDescent="0.25">
      <c r="B11" s="41" t="s">
        <v>437</v>
      </c>
      <c r="C11" s="19" t="str">
        <f>IFERROR(_xlfn.XLOOKUP(B11,'Limite de crédito'!C:C,'Limite de crédito'!L:L,),0)</f>
        <v>B</v>
      </c>
      <c r="D11" s="19"/>
      <c r="E11" s="105">
        <f>_xlfn.XLOOKUP(B11,'Limite de crédito'!C:C,'Limite de crédito'!G:G,0)</f>
        <v>275000</v>
      </c>
      <c r="F11" s="18">
        <f t="shared" si="3"/>
        <v>260451.65</v>
      </c>
      <c r="G11" s="18">
        <f t="shared" si="2"/>
        <v>14548.35</v>
      </c>
      <c r="H11" s="19">
        <f>SUMIFS('Data International'!$D:$D,'Data International'!$P:$P,'Painel International'!$B11,'Data International'!$Q:$Q,"&gt;0",'Data International'!$Q:$Q,"&lt;=30")</f>
        <v>0</v>
      </c>
      <c r="I11" s="19">
        <f>SUMIFS('Data International'!$D:$D,'Data International'!$P:$P,'Painel International'!$B11,'Data International'!$Q:$Q,"&gt;30",'Data International'!$Q:$Q,"&lt;=60")</f>
        <v>0</v>
      </c>
      <c r="J11" s="19">
        <f>SUMIFS('Data International'!$D:$D,'Data International'!$P:$P,'Painel International'!$B11,'Data International'!$Q:$Q,"&gt;60",'Data International'!$Q:$Q,"&lt;=90")</f>
        <v>0</v>
      </c>
      <c r="K11" s="19">
        <f>SUMIFS('Data International'!$D:$D,'Data International'!$P:$P,'Painel International'!$B11,'Data International'!$Q:$Q,"&gt;90",'Data International'!$Q:$Q,"&lt;=120")</f>
        <v>14548.35</v>
      </c>
      <c r="L11" s="19">
        <f>SUMIFS('Data International'!$D:$D,'Data International'!$P:$P,'Painel International'!$B11,'Data International'!$Q:$Q,"&gt;120",'Data International'!$Q:$Q,"&lt;=180")</f>
        <v>0</v>
      </c>
      <c r="M11" s="19">
        <f>SUMIFS('Data International'!$D:$D,'Data International'!$P:$P,'Painel International'!$B11,'Data International'!$Q:$Q,"&gt;180",'Data International'!$Q:$Q,"&lt;=360")</f>
        <v>0</v>
      </c>
      <c r="N11" s="23">
        <f>SUMIFS('Data International'!$D:$D,'Data International'!$P:$P,'Painel International'!$B11,'Data International'!$Q:$Q,"&gt;360")</f>
        <v>0</v>
      </c>
      <c r="O11" s="19">
        <f>SUMIFS('Data International'!$D:$D,'Data International'!$P:$P,'Painel International'!$B11,'Data International'!$Q:$Q,"&gt;0")</f>
        <v>14548.35</v>
      </c>
      <c r="P11" s="19">
        <f t="shared" si="4"/>
        <v>0</v>
      </c>
      <c r="Q11" s="19">
        <f>SUMIFS('Data International'!$D:$D,'Data International'!$P:$P,'Painel International'!$B11,'Data International'!$Q:$Q,"&lt;=0",'Data International'!$Q:$Q,"&gt;=-30")</f>
        <v>0</v>
      </c>
      <c r="R11" s="19">
        <f>SUMIFS('Data International'!$D:$D,'Data International'!$P:$P,'Painel International'!$B11,'Data International'!$Q:$Q,"&lt;=-31",'Data International'!$Q:$Q,"&gt;=-60")</f>
        <v>0</v>
      </c>
      <c r="S11" s="19">
        <f>SUMIFS('Data International'!$D:$D,'Data International'!$P:$P,'Painel International'!$B11,'Data International'!$Q:$Q,"&lt;=-61",'Data International'!$Q:$Q,"&gt;=-90")</f>
        <v>0</v>
      </c>
      <c r="T11" s="19">
        <f>SUMIFS('Data International'!$D:$D,'Data International'!$P:$P,'Painel International'!$B11,'Data International'!$Q:$Q,"&lt;=-91",'Data International'!$Q:$Q,"&gt;=-120")</f>
        <v>0</v>
      </c>
      <c r="U11" s="19">
        <f>SUMIFS('Data International'!$D:$D,'Data International'!$P:$P,'Painel International'!$B11,'Data International'!$Q:$Q,"&lt;=-121",'Data International'!$Q:$Q,"&gt;=-180")</f>
        <v>0</v>
      </c>
      <c r="V11" s="19">
        <f>SUMIFS('Data International'!$D:$D,'Data International'!$P:$P,'Painel International'!$B11,'Data International'!$Q:$Q,"&lt;=-181",'Data International'!$Q:$Q,"&gt;=-360")</f>
        <v>0</v>
      </c>
      <c r="W11" s="23">
        <f>SUMIFS('Data International'!$D:$D,'Data International'!$P:$P,'Painel International'!$B11,'Data International'!$Q:$Q,"&lt;-360")</f>
        <v>0</v>
      </c>
      <c r="X11" s="19">
        <f>SUMIFS('Bad Debt Provision'!AB:AB,'Bad Debt Provision'!B:B,'Painel International'!B11)</f>
        <v>436.45049999999998</v>
      </c>
      <c r="Z11" s="5"/>
      <c r="AA11" s="19">
        <f>_xlfn.XLOOKUP(B11,'Limite de crédito'!C:C,'Limite de crédito'!O:O,0)</f>
        <v>275000</v>
      </c>
      <c r="AB11" s="19"/>
      <c r="AC11" s="20"/>
      <c r="AD11" s="22"/>
      <c r="AE11" s="22"/>
      <c r="AF11" s="5"/>
      <c r="AG11" s="28">
        <f t="shared" si="5"/>
        <v>260451.65</v>
      </c>
      <c r="AI11" s="260">
        <v>10000</v>
      </c>
    </row>
    <row r="12" spans="1:38" x14ac:dyDescent="0.25">
      <c r="B12" s="41" t="s">
        <v>402</v>
      </c>
      <c r="C12" s="19" t="str">
        <f>IFERROR(_xlfn.XLOOKUP(B12,'Limite de crédito'!C:C,'Limite de crédito'!L:L,),0)</f>
        <v>A</v>
      </c>
      <c r="D12" s="19"/>
      <c r="E12" s="105">
        <f>_xlfn.XLOOKUP(B12,'Limite de crédito'!C:C,'Limite de crédito'!G:G,0)</f>
        <v>660000</v>
      </c>
      <c r="F12" s="18">
        <f t="shared" si="3"/>
        <v>409738.47</v>
      </c>
      <c r="G12" s="18">
        <f t="shared" si="2"/>
        <v>250261.53</v>
      </c>
      <c r="H12" s="19">
        <f>SUMIFS('Data International'!$D:$D,'Data International'!$P:$P,'Painel International'!$B12,'Data International'!$Q:$Q,"&gt;0",'Data International'!$Q:$Q,"&lt;=30")</f>
        <v>0</v>
      </c>
      <c r="I12" s="19">
        <f>SUMIFS('Data International'!$D:$D,'Data International'!$P:$P,'Painel International'!$B12,'Data International'!$Q:$Q,"&gt;30",'Data International'!$Q:$Q,"&lt;=60")</f>
        <v>0</v>
      </c>
      <c r="J12" s="19">
        <f>SUMIFS('Data International'!$D:$D,'Data International'!$P:$P,'Painel International'!$B12,'Data International'!$Q:$Q,"&gt;60",'Data International'!$Q:$Q,"&lt;=90")</f>
        <v>0</v>
      </c>
      <c r="K12" s="19">
        <f>SUMIFS('Data International'!$D:$D,'Data International'!$P:$P,'Painel International'!$B12,'Data International'!$Q:$Q,"&gt;90",'Data International'!$Q:$Q,"&lt;=120")</f>
        <v>0</v>
      </c>
      <c r="L12" s="19">
        <f>SUMIFS('Data International'!$D:$D,'Data International'!$P:$P,'Painel International'!$B12,'Data International'!$Q:$Q,"&gt;120",'Data International'!$Q:$Q,"&lt;=180")</f>
        <v>0</v>
      </c>
      <c r="M12" s="19">
        <f>SUMIFS('Data International'!$D:$D,'Data International'!$P:$P,'Painel International'!$B12,'Data International'!$Q:$Q,"&gt;180",'Data International'!$Q:$Q,"&lt;=360")</f>
        <v>0</v>
      </c>
      <c r="N12" s="23">
        <f>SUMIFS('Data International'!$D:$D,'Data International'!$P:$P,'Painel International'!$B12,'Data International'!$Q:$Q,"&gt;360")</f>
        <v>0</v>
      </c>
      <c r="O12" s="19">
        <f>SUMIFS('Data International'!$D:$D,'Data International'!$P:$P,'Painel International'!$B12,'Data International'!$Q:$Q,"&gt;0")</f>
        <v>0</v>
      </c>
      <c r="P12" s="19">
        <f t="shared" si="4"/>
        <v>250261.53</v>
      </c>
      <c r="Q12" s="19">
        <f>SUMIFS('Data International'!$D:$D,'Data International'!$P:$P,'Painel International'!$B12,'Data International'!$Q:$Q,"&lt;=0",'Data International'!$Q:$Q,"&gt;=-30")</f>
        <v>0</v>
      </c>
      <c r="R12" s="19">
        <f>SUMIFS('Data International'!$D:$D,'Data International'!$P:$P,'Painel International'!$B12,'Data International'!$Q:$Q,"&lt;=-31",'Data International'!$Q:$Q,"&gt;=-60")</f>
        <v>250261.53</v>
      </c>
      <c r="S12" s="19">
        <f>SUMIFS('Data International'!$D:$D,'Data International'!$P:$P,'Painel International'!$B12,'Data International'!$Q:$Q,"&lt;=-61",'Data International'!$Q:$Q,"&gt;=-90")</f>
        <v>0</v>
      </c>
      <c r="T12" s="19">
        <f>SUMIFS('Data International'!$D:$D,'Data International'!$P:$P,'Painel International'!$B12,'Data International'!$Q:$Q,"&lt;=-91",'Data International'!$Q:$Q,"&gt;=-120")</f>
        <v>0</v>
      </c>
      <c r="U12" s="19">
        <f>SUMIFS('Data International'!$D:$D,'Data International'!$P:$P,'Painel International'!$B12,'Data International'!$Q:$Q,"&lt;=-121",'Data International'!$Q:$Q,"&gt;=-180")</f>
        <v>0</v>
      </c>
      <c r="V12" s="19">
        <f>SUMIFS('Data International'!$D:$D,'Data International'!$P:$P,'Painel International'!$B12,'Data International'!$Q:$Q,"&lt;=-181",'Data International'!$Q:$Q,"&gt;=-360")</f>
        <v>0</v>
      </c>
      <c r="W12" s="23">
        <f>SUMIFS('Data International'!$D:$D,'Data International'!$P:$P,'Painel International'!$B12,'Data International'!$Q:$Q,"&lt;-360")</f>
        <v>0</v>
      </c>
      <c r="X12" s="19">
        <f>SUMIFS('Bad Debt Provision'!AB:AB,'Bad Debt Provision'!B:B,'Painel International'!B12)</f>
        <v>0</v>
      </c>
      <c r="Y12" s="5"/>
      <c r="Z12" s="5"/>
      <c r="AA12" s="19">
        <f>_xlfn.XLOOKUP(B12,'Limite de crédito'!C:C,'Limite de crédito'!O:O,0)</f>
        <v>660000</v>
      </c>
      <c r="AB12" s="19"/>
      <c r="AC12" s="20"/>
      <c r="AD12" s="22"/>
      <c r="AE12" s="22"/>
      <c r="AF12" s="5"/>
      <c r="AG12" s="28">
        <f t="shared" si="5"/>
        <v>409738.47</v>
      </c>
      <c r="AI12" s="260">
        <v>0</v>
      </c>
    </row>
    <row r="13" spans="1:38" x14ac:dyDescent="0.25">
      <c r="B13" s="41" t="s">
        <v>336</v>
      </c>
      <c r="C13" s="19">
        <f>IFERROR(_xlfn.XLOOKUP(B13,'Limite de crédito'!C:C,'Limite de crédito'!L:L,),0)</f>
        <v>0</v>
      </c>
      <c r="D13" s="19"/>
      <c r="E13" s="105">
        <f>_xlfn.XLOOKUP(B13,'Limite de crédito'!C:C,'Limite de crédito'!G:G,0)</f>
        <v>0</v>
      </c>
      <c r="F13" s="18">
        <f t="shared" si="3"/>
        <v>-3280155.1799999997</v>
      </c>
      <c r="G13" s="18">
        <f t="shared" si="2"/>
        <v>3280155.1799999997</v>
      </c>
      <c r="H13" s="19">
        <f>SUMIFS('Data International'!$D:$D,'Data International'!$P:$P,'Painel International'!$B13,'Data International'!$Q:$Q,"&gt;0",'Data International'!$Q:$Q,"&lt;=30")</f>
        <v>0</v>
      </c>
      <c r="I13" s="19">
        <f>SUMIFS('Data International'!$D:$D,'Data International'!$P:$P,'Painel International'!$B13,'Data International'!$Q:$Q,"&gt;30",'Data International'!$Q:$Q,"&lt;=60")</f>
        <v>0</v>
      </c>
      <c r="J13" s="19">
        <f>SUMIFS('Data International'!$D:$D,'Data International'!$P:$P,'Painel International'!$B13,'Data International'!$Q:$Q,"&gt;60",'Data International'!$Q:$Q,"&lt;=90")</f>
        <v>0</v>
      </c>
      <c r="K13" s="19">
        <f>SUMIFS('Data International'!$D:$D,'Data International'!$P:$P,'Painel International'!$B13,'Data International'!$Q:$Q,"&gt;90",'Data International'!$Q:$Q,"&lt;=120")</f>
        <v>0</v>
      </c>
      <c r="L13" s="19">
        <f>SUMIFS('Data International'!$D:$D,'Data International'!$P:$P,'Painel International'!$B13,'Data International'!$Q:$Q,"&gt;120",'Data International'!$Q:$Q,"&lt;=180")</f>
        <v>0</v>
      </c>
      <c r="M13" s="19">
        <f>SUMIFS('Data International'!$D:$D,'Data International'!$P:$P,'Painel International'!$B13,'Data International'!$Q:$Q,"&gt;180",'Data International'!$Q:$Q,"&lt;=360")</f>
        <v>0</v>
      </c>
      <c r="N13" s="23">
        <f>SUMIFS('Data International'!$D:$D,'Data International'!$P:$P,'Painel International'!$B13,'Data International'!$Q:$Q,"&gt;360")</f>
        <v>0</v>
      </c>
      <c r="O13" s="19">
        <f>SUMIFS('Data International'!$D:$D,'Data International'!$P:$P,'Painel International'!$B13,'Data International'!$Q:$Q,"&gt;0")</f>
        <v>0</v>
      </c>
      <c r="P13" s="19">
        <f t="shared" si="4"/>
        <v>3280155.1799999997</v>
      </c>
      <c r="Q13" s="19">
        <f>SUMIFS('Data International'!$D:$D,'Data International'!$P:$P,'Painel International'!$B13,'Data International'!$Q:$Q,"&lt;=0",'Data International'!$Q:$Q,"&gt;=-30")</f>
        <v>0</v>
      </c>
      <c r="R13" s="19">
        <f>SUMIFS('Data International'!$D:$D,'Data International'!$P:$P,'Painel International'!$B13,'Data International'!$Q:$Q,"&lt;=-31",'Data International'!$Q:$Q,"&gt;=-60")</f>
        <v>3280155.1799999997</v>
      </c>
      <c r="S13" s="19">
        <f>SUMIFS('Data International'!$D:$D,'Data International'!$P:$P,'Painel International'!$B13,'Data International'!$Q:$Q,"&lt;=-61",'Data International'!$Q:$Q,"&gt;=-90")</f>
        <v>0</v>
      </c>
      <c r="T13" s="19">
        <f>SUMIFS('Data International'!$D:$D,'Data International'!$P:$P,'Painel International'!$B13,'Data International'!$Q:$Q,"&lt;=-91",'Data International'!$Q:$Q,"&gt;=-120")</f>
        <v>0</v>
      </c>
      <c r="U13" s="19">
        <f>SUMIFS('Data International'!$D:$D,'Data International'!$P:$P,'Painel International'!$B13,'Data International'!$Q:$Q,"&lt;=-121",'Data International'!$Q:$Q,"&gt;=-180")</f>
        <v>0</v>
      </c>
      <c r="V13" s="19">
        <f>SUMIFS('Data International'!$D:$D,'Data International'!$P:$P,'Painel International'!$B13,'Data International'!$Q:$Q,"&lt;=-181",'Data International'!$Q:$Q,"&gt;=-360")</f>
        <v>0</v>
      </c>
      <c r="W13" s="23">
        <f>SUMIFS('Data International'!$D:$D,'Data International'!$P:$P,'Painel International'!$B13,'Data International'!$Q:$Q,"&lt;-360")</f>
        <v>0</v>
      </c>
      <c r="X13" s="19">
        <f>SUMIFS('Bad Debt Provision'!AB:AB,'Bad Debt Provision'!B:B,'Painel International'!B13)</f>
        <v>0</v>
      </c>
      <c r="Y13" s="5"/>
      <c r="Z13" s="5"/>
      <c r="AA13" s="19">
        <f>_xlfn.XLOOKUP(B13,'Limite de crédito'!C:C,'Limite de crédito'!O:O,0)</f>
        <v>0</v>
      </c>
      <c r="AB13" s="19"/>
      <c r="AC13" s="20"/>
      <c r="AD13" s="22"/>
      <c r="AE13" s="22"/>
      <c r="AF13" s="5"/>
      <c r="AG13" s="28">
        <f>AA13-G13</f>
        <v>-3280155.1799999997</v>
      </c>
      <c r="AI13" s="261">
        <v>400000</v>
      </c>
    </row>
    <row r="14" spans="1:38" x14ac:dyDescent="0.25">
      <c r="B14" s="41" t="s">
        <v>373</v>
      </c>
      <c r="C14" s="19" t="str">
        <f>IFERROR(_xlfn.XLOOKUP(B14,'Limite de crédito'!C:C,'Limite de crédito'!L:L,),0)</f>
        <v>D</v>
      </c>
      <c r="D14" s="19"/>
      <c r="E14" s="105">
        <f>_xlfn.XLOOKUP(B14,'Limite de crédito'!C:C,'Limite de crédito'!G:G,0)</f>
        <v>550000</v>
      </c>
      <c r="F14" s="18">
        <f t="shared" si="3"/>
        <v>550000</v>
      </c>
      <c r="G14" s="18">
        <f t="shared" si="2"/>
        <v>0</v>
      </c>
      <c r="H14" s="19">
        <f>SUMIFS('Data International'!$D:$D,'Data International'!$P:$P,'Painel International'!$B14,'Data International'!$Q:$Q,"&gt;0",'Data International'!$Q:$Q,"&lt;=30")</f>
        <v>0</v>
      </c>
      <c r="I14" s="19">
        <f>SUMIFS('Data International'!$D:$D,'Data International'!$P:$P,'Painel International'!$B14,'Data International'!$Q:$Q,"&gt;30",'Data International'!$Q:$Q,"&lt;=60")</f>
        <v>0</v>
      </c>
      <c r="J14" s="19">
        <f>SUMIFS('Data International'!$D:$D,'Data International'!$P:$P,'Painel International'!$B14,'Data International'!$Q:$Q,"&gt;60",'Data International'!$Q:$Q,"&lt;=90")</f>
        <v>0</v>
      </c>
      <c r="K14" s="19">
        <f>SUMIFS('Data International'!$D:$D,'Data International'!$P:$P,'Painel International'!$B14,'Data International'!$Q:$Q,"&gt;90",'Data International'!$Q:$Q,"&lt;=120")</f>
        <v>0</v>
      </c>
      <c r="L14" s="19">
        <f>SUMIFS('Data International'!$D:$D,'Data International'!$P:$P,'Painel International'!$B14,'Data International'!$Q:$Q,"&gt;120",'Data International'!$Q:$Q,"&lt;=180")</f>
        <v>0</v>
      </c>
      <c r="M14" s="19">
        <f>SUMIFS('Data International'!$D:$D,'Data International'!$P:$P,'Painel International'!$B14,'Data International'!$Q:$Q,"&gt;180",'Data International'!$Q:$Q,"&lt;=360")</f>
        <v>0</v>
      </c>
      <c r="N14" s="23">
        <f>SUMIFS('Data International'!$D:$D,'Data International'!$P:$P,'Painel International'!$B14,'Data International'!$Q:$Q,"&gt;360")</f>
        <v>0</v>
      </c>
      <c r="O14" s="19">
        <f>SUMIFS('Data International'!$D:$D,'Data International'!$P:$P,'Painel International'!$B14,'Data International'!$Q:$Q,"&gt;0")</f>
        <v>0</v>
      </c>
      <c r="P14" s="19">
        <f t="shared" si="4"/>
        <v>0</v>
      </c>
      <c r="Q14" s="19">
        <f>SUMIFS('Data International'!$D:$D,'Data International'!$P:$P,'Painel International'!$B14,'Data International'!$Q:$Q,"&lt;=0",'Data International'!$Q:$Q,"&gt;=-30")</f>
        <v>0</v>
      </c>
      <c r="R14" s="19">
        <f>SUMIFS('Data International'!$D:$D,'Data International'!$P:$P,'Painel International'!$B14,'Data International'!$Q:$Q,"&lt;=-31",'Data International'!$Q:$Q,"&gt;=-60")</f>
        <v>0</v>
      </c>
      <c r="S14" s="19">
        <f>SUMIFS('Data International'!$D:$D,'Data International'!$P:$P,'Painel International'!$B14,'Data International'!$Q:$Q,"&lt;=-61",'Data International'!$Q:$Q,"&gt;=-90")</f>
        <v>0</v>
      </c>
      <c r="T14" s="19">
        <f>SUMIFS('Data International'!$D:$D,'Data International'!$P:$P,'Painel International'!$B14,'Data International'!$Q:$Q,"&lt;=-91",'Data International'!$Q:$Q,"&gt;=-120")</f>
        <v>0</v>
      </c>
      <c r="U14" s="19">
        <f>SUMIFS('Data International'!$D:$D,'Data International'!$P:$P,'Painel International'!$B14,'Data International'!$Q:$Q,"&lt;=-121",'Data International'!$Q:$Q,"&gt;=-180")</f>
        <v>0</v>
      </c>
      <c r="V14" s="19">
        <f>SUMIFS('Data International'!$D:$D,'Data International'!$P:$P,'Painel International'!$B14,'Data International'!$Q:$Q,"&lt;=-181",'Data International'!$Q:$Q,"&gt;=-360")</f>
        <v>0</v>
      </c>
      <c r="W14" s="23">
        <f>SUMIFS('Data International'!$D:$D,'Data International'!$P:$P,'Painel International'!$B14,'Data International'!$Q:$Q,"&lt;-360")</f>
        <v>0</v>
      </c>
      <c r="X14" s="19">
        <f>SUMIFS('Bad Debt Provision'!AB:AB,'Bad Debt Provision'!B:B,'Painel International'!B14)</f>
        <v>0</v>
      </c>
      <c r="Y14" s="5"/>
      <c r="Z14" s="5"/>
      <c r="AA14" s="19">
        <f>_xlfn.XLOOKUP(B14,'Limite de crédito'!C:C,'Limite de crédito'!O:O,0)</f>
        <v>550000</v>
      </c>
      <c r="AB14" s="19"/>
      <c r="AC14" s="20"/>
      <c r="AD14" s="22"/>
      <c r="AE14" s="22"/>
      <c r="AF14" s="5"/>
      <c r="AG14" s="28">
        <f t="shared" si="5"/>
        <v>550000</v>
      </c>
      <c r="AI14" s="260">
        <v>200000</v>
      </c>
    </row>
    <row r="15" spans="1:38" x14ac:dyDescent="0.25">
      <c r="B15" s="41" t="s">
        <v>360</v>
      </c>
      <c r="C15" s="19">
        <f>IFERROR(_xlfn.XLOOKUP(B15,'Limite de crédito'!C:C,'Limite de crédito'!L:L,),0)</f>
        <v>0</v>
      </c>
      <c r="D15" s="19"/>
      <c r="E15" s="105">
        <f>_xlfn.XLOOKUP(B15,'Limite de crédito'!C:C,'Limite de crédito'!G:G,0)</f>
        <v>1375000</v>
      </c>
      <c r="F15" s="18">
        <f t="shared" si="3"/>
        <v>1375000</v>
      </c>
      <c r="G15" s="18">
        <f t="shared" si="2"/>
        <v>0</v>
      </c>
      <c r="H15" s="19">
        <f>SUMIFS('Data International'!$D:$D,'Data International'!$P:$P,'Painel International'!$B15,'Data International'!$Q:$Q,"&gt;0",'Data International'!$Q:$Q,"&lt;=30")</f>
        <v>0</v>
      </c>
      <c r="I15" s="19">
        <f>SUMIFS('Data International'!$D:$D,'Data International'!$P:$P,'Painel International'!$B15,'Data International'!$Q:$Q,"&gt;30",'Data International'!$Q:$Q,"&lt;=60")</f>
        <v>0</v>
      </c>
      <c r="J15" s="19">
        <f>SUMIFS('Data International'!$D:$D,'Data International'!$P:$P,'Painel International'!$B15,'Data International'!$Q:$Q,"&gt;60",'Data International'!$Q:$Q,"&lt;=90")</f>
        <v>0</v>
      </c>
      <c r="K15" s="19">
        <f>SUMIFS('Data International'!$D:$D,'Data International'!$P:$P,'Painel International'!$B15,'Data International'!$Q:$Q,"&gt;90",'Data International'!$Q:$Q,"&lt;=120")</f>
        <v>0</v>
      </c>
      <c r="L15" s="19">
        <f>SUMIFS('Data International'!$D:$D,'Data International'!$P:$P,'Painel International'!$B15,'Data International'!$Q:$Q,"&gt;120",'Data International'!$Q:$Q,"&lt;=180")</f>
        <v>0</v>
      </c>
      <c r="M15" s="19">
        <f>SUMIFS('Data International'!$D:$D,'Data International'!$P:$P,'Painel International'!$B15,'Data International'!$Q:$Q,"&gt;180",'Data International'!$Q:$Q,"&lt;=360")</f>
        <v>0</v>
      </c>
      <c r="N15" s="23">
        <f>SUMIFS('Data International'!$D:$D,'Data International'!$P:$P,'Painel International'!$B15,'Data International'!$Q:$Q,"&gt;360")</f>
        <v>0</v>
      </c>
      <c r="O15" s="19">
        <f>SUMIFS('Data International'!$D:$D,'Data International'!$P:$P,'Painel International'!$B15,'Data International'!$Q:$Q,"&gt;0")</f>
        <v>0</v>
      </c>
      <c r="P15" s="19">
        <f t="shared" si="4"/>
        <v>0</v>
      </c>
      <c r="Q15" s="19">
        <f>SUMIFS('Data International'!$D:$D,'Data International'!$P:$P,'Painel International'!$B15,'Data International'!$Q:$Q,"&lt;=0",'Data International'!$Q:$Q,"&gt;=-30")</f>
        <v>0</v>
      </c>
      <c r="R15" s="19">
        <f>SUMIFS('Data International'!$D:$D,'Data International'!$P:$P,'Painel International'!$B15,'Data International'!$Q:$Q,"&lt;=-31",'Data International'!$Q:$Q,"&gt;=-60")</f>
        <v>0</v>
      </c>
      <c r="S15" s="19">
        <f>SUMIFS('Data International'!$D:$D,'Data International'!$P:$P,'Painel International'!$B15,'Data International'!$Q:$Q,"&lt;=-61",'Data International'!$Q:$Q,"&gt;=-90")</f>
        <v>0</v>
      </c>
      <c r="T15" s="19">
        <f>SUMIFS('Data International'!$D:$D,'Data International'!$P:$P,'Painel International'!$B15,'Data International'!$Q:$Q,"&lt;=-91",'Data International'!$Q:$Q,"&gt;=-120")</f>
        <v>0</v>
      </c>
      <c r="U15" s="19">
        <f>SUMIFS('Data International'!$D:$D,'Data International'!$P:$P,'Painel International'!$B15,'Data International'!$Q:$Q,"&lt;=-121",'Data International'!$Q:$Q,"&gt;=-180")</f>
        <v>0</v>
      </c>
      <c r="V15" s="19">
        <f>SUMIFS('Data International'!$D:$D,'Data International'!$P:$P,'Painel International'!$B15,'Data International'!$Q:$Q,"&lt;=-181",'Data International'!$Q:$Q,"&gt;=-360")</f>
        <v>0</v>
      </c>
      <c r="W15" s="23">
        <f>SUMIFS('Data International'!$D:$D,'Data International'!$P:$P,'Painel International'!$B15,'Data International'!$Q:$Q,"&lt;-360")</f>
        <v>0</v>
      </c>
      <c r="X15" s="19">
        <f>SUMIFS('Bad Debt Provision'!AB:AB,'Bad Debt Provision'!B:B,'Painel International'!B15)</f>
        <v>0</v>
      </c>
      <c r="Y15" s="5"/>
      <c r="Z15" s="5"/>
      <c r="AA15" s="19">
        <f>_xlfn.XLOOKUP(B15,'Limite de crédito'!C:C,'Limite de crédito'!O:O,0)</f>
        <v>1375000</v>
      </c>
      <c r="AB15" s="19"/>
      <c r="AC15" s="20"/>
      <c r="AD15" s="22"/>
      <c r="AE15" s="22"/>
      <c r="AF15" s="5"/>
      <c r="AG15" s="28">
        <f t="shared" si="5"/>
        <v>1375000</v>
      </c>
      <c r="AI15" s="260">
        <v>80000</v>
      </c>
    </row>
    <row r="16" spans="1:38" x14ac:dyDescent="0.25">
      <c r="B16" s="17" t="s">
        <v>132</v>
      </c>
      <c r="C16" s="19" t="str">
        <f>IFERROR(_xlfn.XLOOKUP(B16,'Limite de crédito'!C:C,'Limite de crédito'!L:L,),0)</f>
        <v>D</v>
      </c>
      <c r="D16" s="105"/>
      <c r="E16" s="105">
        <f>_xlfn.XLOOKUP(B16,'Limite de crédito'!C:C,'Limite de crédito'!G:G,0)</f>
        <v>550000</v>
      </c>
      <c r="F16" s="18">
        <f t="shared" si="3"/>
        <v>550000</v>
      </c>
      <c r="G16" s="18">
        <f t="shared" si="2"/>
        <v>0</v>
      </c>
      <c r="H16" s="19">
        <f>SUMIFS('Data International'!$D:$D,'Data International'!$P:$P,'Painel International'!$B16,'Data International'!$Q:$Q,"&gt;0",'Data International'!$Q:$Q,"&lt;=30")</f>
        <v>0</v>
      </c>
      <c r="I16" s="19">
        <f>SUMIFS('Data International'!$D:$D,'Data International'!$P:$P,'Painel International'!$B16,'Data International'!$Q:$Q,"&gt;30",'Data International'!$Q:$Q,"&lt;=60")</f>
        <v>0</v>
      </c>
      <c r="J16" s="19">
        <f>SUMIFS('Data International'!$D:$D,'Data International'!$P:$P,'Painel International'!$B16,'Data International'!$Q:$Q,"&gt;60",'Data International'!$Q:$Q,"&lt;=90")</f>
        <v>0</v>
      </c>
      <c r="K16" s="19">
        <f>SUMIFS('Data International'!$D:$D,'Data International'!$P:$P,'Painel International'!$B16,'Data International'!$Q:$Q,"&gt;90",'Data International'!$Q:$Q,"&lt;=120")</f>
        <v>0</v>
      </c>
      <c r="L16" s="19">
        <f>SUMIFS('Data International'!$D:$D,'Data International'!$P:$P,'Painel International'!$B16,'Data International'!$Q:$Q,"&gt;120",'Data International'!$Q:$Q,"&lt;=180")</f>
        <v>0</v>
      </c>
      <c r="M16" s="19">
        <f>SUMIFS('Data International'!$D:$D,'Data International'!$P:$P,'Painel International'!$B16,'Data International'!$Q:$Q,"&gt;180",'Data International'!$Q:$Q,"&lt;=360")</f>
        <v>0</v>
      </c>
      <c r="N16" s="23">
        <f>SUMIFS('Data International'!$D:$D,'Data International'!$P:$P,'Painel International'!$B16,'Data International'!$Q:$Q,"&gt;360")</f>
        <v>0</v>
      </c>
      <c r="O16" s="19">
        <f>SUMIFS('Data International'!$D:$D,'Data International'!$P:$P,'Painel International'!$B16,'Data International'!$Q:$Q,"&gt;0")</f>
        <v>0</v>
      </c>
      <c r="P16" s="19">
        <f t="shared" si="4"/>
        <v>0</v>
      </c>
      <c r="Q16" s="19">
        <f>SUMIFS('Data International'!$D:$D,'Data International'!$P:$P,'Painel International'!$B16,'Data International'!$Q:$Q,"&lt;=0",'Data International'!$Q:$Q,"&gt;=-30")</f>
        <v>0</v>
      </c>
      <c r="R16" s="19">
        <f>SUMIFS('Data International'!$D:$D,'Data International'!$P:$P,'Painel International'!$B16,'Data International'!$Q:$Q,"&lt;=-31",'Data International'!$Q:$Q,"&gt;=-60")</f>
        <v>0</v>
      </c>
      <c r="S16" s="19">
        <f>SUMIFS('Data International'!$D:$D,'Data International'!$P:$P,'Painel International'!$B16,'Data International'!$Q:$Q,"&lt;=-61",'Data International'!$Q:$Q,"&gt;=-90")</f>
        <v>0</v>
      </c>
      <c r="T16" s="19">
        <f>SUMIFS('Data International'!$D:$D,'Data International'!$P:$P,'Painel International'!$B16,'Data International'!$Q:$Q,"&lt;=-91",'Data International'!$Q:$Q,"&gt;=-120")</f>
        <v>0</v>
      </c>
      <c r="U16" s="19">
        <f>SUMIFS('Data International'!$D:$D,'Data International'!$P:$P,'Painel International'!$B16,'Data International'!$Q:$Q,"&lt;=-121",'Data International'!$Q:$Q,"&gt;=-180")</f>
        <v>0</v>
      </c>
      <c r="V16" s="19">
        <f>SUMIFS('Data International'!$D:$D,'Data International'!$P:$P,'Painel International'!$B16,'Data International'!$Q:$Q,"&lt;=-181",'Data International'!$Q:$Q,"&gt;=-360")</f>
        <v>0</v>
      </c>
      <c r="W16" s="23">
        <f>SUMIFS('Data International'!$D:$D,'Data International'!$P:$P,'Painel International'!$B16,'Data International'!$Q:$Q,"&lt;-360")</f>
        <v>0</v>
      </c>
      <c r="X16" s="19">
        <f>SUMIFS('Bad Debt Provision'!AB:AB,'Bad Debt Provision'!B:B,'Painel International'!B16)</f>
        <v>0</v>
      </c>
      <c r="Y16" s="5"/>
      <c r="Z16" s="5"/>
      <c r="AA16" s="19">
        <f>_xlfn.XLOOKUP(B16,'Limite de crédito'!C:C,'Limite de crédito'!O:O,0)</f>
        <v>550000</v>
      </c>
      <c r="AB16" s="19"/>
      <c r="AC16" s="20"/>
      <c r="AD16" s="22"/>
      <c r="AE16" s="22"/>
      <c r="AF16" s="5"/>
      <c r="AG16" s="28">
        <f t="shared" si="5"/>
        <v>550000</v>
      </c>
      <c r="AH16" s="5"/>
      <c r="AI16" s="260">
        <v>50000</v>
      </c>
    </row>
    <row r="17" spans="2:35" x14ac:dyDescent="0.25">
      <c r="B17" s="41" t="s">
        <v>381</v>
      </c>
      <c r="C17" s="19" t="str">
        <f>IFERROR(_xlfn.XLOOKUP(B17,'Limite de crédito'!C:C,'Limite de crédito'!L:L,),0)</f>
        <v>B</v>
      </c>
      <c r="D17" s="19"/>
      <c r="E17" s="105">
        <f>_xlfn.XLOOKUP(B17,'Limite de crédito'!C:C,'Limite de crédito'!G:G,0)</f>
        <v>990000</v>
      </c>
      <c r="F17" s="18">
        <f t="shared" si="3"/>
        <v>727686.99</v>
      </c>
      <c r="G17" s="18">
        <f t="shared" si="2"/>
        <v>262313.01</v>
      </c>
      <c r="H17" s="19">
        <f>SUMIFS('Data International'!$D:$D,'Data International'!$P:$P,'Painel International'!$B17,'Data International'!$Q:$Q,"&gt;0",'Data International'!$Q:$Q,"&lt;=30")</f>
        <v>0</v>
      </c>
      <c r="I17" s="19">
        <f>SUMIFS('Data International'!$D:$D,'Data International'!$P:$P,'Painel International'!$B17,'Data International'!$Q:$Q,"&gt;30",'Data International'!$Q:$Q,"&lt;=60")</f>
        <v>0</v>
      </c>
      <c r="J17" s="19">
        <f>SUMIFS('Data International'!$D:$D,'Data International'!$P:$P,'Painel International'!$B17,'Data International'!$Q:$Q,"&gt;60",'Data International'!$Q:$Q,"&lt;=90")</f>
        <v>0</v>
      </c>
      <c r="K17" s="19">
        <f>SUMIFS('Data International'!$D:$D,'Data International'!$P:$P,'Painel International'!$B17,'Data International'!$Q:$Q,"&gt;90",'Data International'!$Q:$Q,"&lt;=120")</f>
        <v>0</v>
      </c>
      <c r="L17" s="19">
        <f>SUMIFS('Data International'!$D:$D,'Data International'!$P:$P,'Painel International'!$B17,'Data International'!$Q:$Q,"&gt;120",'Data International'!$Q:$Q,"&lt;=180")</f>
        <v>0</v>
      </c>
      <c r="M17" s="19">
        <f>SUMIFS('Data International'!$D:$D,'Data International'!$P:$P,'Painel International'!$B17,'Data International'!$Q:$Q,"&gt;180",'Data International'!$Q:$Q,"&lt;=360")</f>
        <v>0</v>
      </c>
      <c r="N17" s="23">
        <f>SUMIFS('Data International'!$D:$D,'Data International'!$P:$P,'Painel International'!$B17,'Data International'!$Q:$Q,"&gt;360")</f>
        <v>0</v>
      </c>
      <c r="O17" s="19">
        <f>SUMIFS('Data International'!$D:$D,'Data International'!$P:$P,'Painel International'!$B17,'Data International'!$Q:$Q,"&gt;0")</f>
        <v>0</v>
      </c>
      <c r="P17" s="19">
        <f t="shared" si="4"/>
        <v>262313.01</v>
      </c>
      <c r="Q17" s="19">
        <f>SUMIFS('Data International'!$D:$D,'Data International'!$P:$P,'Painel International'!$B17,'Data International'!$Q:$Q,"&lt;=0",'Data International'!$Q:$Q,"&gt;=-30")</f>
        <v>262313.01</v>
      </c>
      <c r="R17" s="19">
        <f>SUMIFS('Data International'!$D:$D,'Data International'!$P:$P,'Painel International'!$B17,'Data International'!$Q:$Q,"&lt;=-31",'Data International'!$Q:$Q,"&gt;=-60")</f>
        <v>0</v>
      </c>
      <c r="S17" s="19">
        <f>SUMIFS('Data International'!$D:$D,'Data International'!$P:$P,'Painel International'!$B17,'Data International'!$Q:$Q,"&lt;=-61",'Data International'!$Q:$Q,"&gt;=-90")</f>
        <v>0</v>
      </c>
      <c r="T17" s="19">
        <f>SUMIFS('Data International'!$D:$D,'Data International'!$P:$P,'Painel International'!$B17,'Data International'!$Q:$Q,"&lt;=-91",'Data International'!$Q:$Q,"&gt;=-120")</f>
        <v>0</v>
      </c>
      <c r="U17" s="19">
        <f>SUMIFS('Data International'!$D:$D,'Data International'!$P:$P,'Painel International'!$B17,'Data International'!$Q:$Q,"&lt;=-121",'Data International'!$Q:$Q,"&gt;=-180")</f>
        <v>0</v>
      </c>
      <c r="V17" s="19">
        <f>SUMIFS('Data International'!$D:$D,'Data International'!$P:$P,'Painel International'!$B17,'Data International'!$Q:$Q,"&lt;=-181",'Data International'!$Q:$Q,"&gt;=-360")</f>
        <v>0</v>
      </c>
      <c r="W17" s="23">
        <f>SUMIFS('Data International'!$D:$D,'Data International'!$P:$P,'Painel International'!$B17,'Data International'!$Q:$Q,"&lt;-360")</f>
        <v>0</v>
      </c>
      <c r="X17" s="19">
        <f>SUMIFS('Bad Debt Provision'!AB:AB,'Bad Debt Provision'!B:B,'Painel International'!B17)</f>
        <v>0</v>
      </c>
      <c r="Y17" s="5"/>
      <c r="Z17" s="5"/>
      <c r="AA17" s="19">
        <f>_xlfn.XLOOKUP(B17,'Limite de crédito'!C:C,'Limite de crédito'!O:O,0)</f>
        <v>990000</v>
      </c>
      <c r="AB17" s="19"/>
      <c r="AC17" s="20"/>
      <c r="AD17" s="22"/>
      <c r="AE17" s="22"/>
      <c r="AF17" s="5"/>
      <c r="AG17" s="28">
        <f t="shared" si="5"/>
        <v>727686.99</v>
      </c>
      <c r="AI17" s="260"/>
    </row>
    <row r="18" spans="2:35" x14ac:dyDescent="0.25">
      <c r="B18" s="17" t="s">
        <v>130</v>
      </c>
      <c r="C18" s="19" t="str">
        <f>IFERROR(_xlfn.XLOOKUP(B18,'Limite de crédito'!C:C,'Limite de crédito'!L:L,),0)</f>
        <v>B</v>
      </c>
      <c r="D18" s="106"/>
      <c r="E18" s="105">
        <f>_xlfn.XLOOKUP(B18,'Limite de crédito'!C:C,'Limite de crédito'!G:G,0)</f>
        <v>660000</v>
      </c>
      <c r="F18" s="18">
        <f t="shared" si="3"/>
        <v>660000</v>
      </c>
      <c r="G18" s="18">
        <f t="shared" si="2"/>
        <v>0</v>
      </c>
      <c r="H18" s="19">
        <f>SUMIFS('Data International'!$D:$D,'Data International'!$P:$P,'Painel International'!$B18,'Data International'!$Q:$Q,"&gt;0",'Data International'!$Q:$Q,"&lt;=30")</f>
        <v>0</v>
      </c>
      <c r="I18" s="19">
        <f>SUMIFS('Data International'!$D:$D,'Data International'!$P:$P,'Painel International'!$B18,'Data International'!$Q:$Q,"&gt;30",'Data International'!$Q:$Q,"&lt;=60")</f>
        <v>0</v>
      </c>
      <c r="J18" s="19">
        <f>SUMIFS('Data International'!$D:$D,'Data International'!$P:$P,'Painel International'!$B18,'Data International'!$Q:$Q,"&gt;60",'Data International'!$Q:$Q,"&lt;=90")</f>
        <v>0</v>
      </c>
      <c r="K18" s="19">
        <f>SUMIFS('Data International'!$D:$D,'Data International'!$P:$P,'Painel International'!$B18,'Data International'!$Q:$Q,"&gt;90",'Data International'!$Q:$Q,"&lt;=120")</f>
        <v>0</v>
      </c>
      <c r="L18" s="19">
        <f>SUMIFS('Data International'!$D:$D,'Data International'!$P:$P,'Painel International'!$B18,'Data International'!$Q:$Q,"&gt;120",'Data International'!$Q:$Q,"&lt;=180")</f>
        <v>0</v>
      </c>
      <c r="M18" s="19">
        <f>SUMIFS('Data International'!$D:$D,'Data International'!$P:$P,'Painel International'!$B18,'Data International'!$Q:$Q,"&gt;180",'Data International'!$Q:$Q,"&lt;=360")</f>
        <v>0</v>
      </c>
      <c r="N18" s="23">
        <f>SUMIFS('Data International'!$D:$D,'Data International'!$P:$P,'Painel International'!$B18,'Data International'!$Q:$Q,"&gt;360")</f>
        <v>0</v>
      </c>
      <c r="O18" s="19">
        <f>SUMIFS('Data International'!$D:$D,'Data International'!$P:$P,'Painel International'!$B18,'Data International'!$Q:$Q,"&gt;0")</f>
        <v>0</v>
      </c>
      <c r="P18" s="19">
        <f t="shared" si="4"/>
        <v>0</v>
      </c>
      <c r="Q18" s="19">
        <f>SUMIFS('Data International'!$D:$D,'Data International'!$P:$P,'Painel International'!$B18,'Data International'!$Q:$Q,"&lt;=0",'Data International'!$Q:$Q,"&gt;=-30")</f>
        <v>0</v>
      </c>
      <c r="R18" s="19">
        <f>SUMIFS('Data International'!$D:$D,'Data International'!$P:$P,'Painel International'!$B18,'Data International'!$Q:$Q,"&lt;=-31",'Data International'!$Q:$Q,"&gt;=-60")</f>
        <v>0</v>
      </c>
      <c r="S18" s="19">
        <f>SUMIFS('Data International'!$D:$D,'Data International'!$P:$P,'Painel International'!$B18,'Data International'!$Q:$Q,"&lt;=-61",'Data International'!$Q:$Q,"&gt;=-90")</f>
        <v>0</v>
      </c>
      <c r="T18" s="19">
        <f>SUMIFS('Data International'!$D:$D,'Data International'!$P:$P,'Painel International'!$B18,'Data International'!$Q:$Q,"&lt;=-91",'Data International'!$Q:$Q,"&gt;=-120")</f>
        <v>0</v>
      </c>
      <c r="U18" s="19">
        <f>SUMIFS('Data International'!$D:$D,'Data International'!$P:$P,'Painel International'!$B18,'Data International'!$Q:$Q,"&lt;=-121",'Data International'!$Q:$Q,"&gt;=-180")</f>
        <v>0</v>
      </c>
      <c r="V18" s="19">
        <f>SUMIFS('Data International'!$D:$D,'Data International'!$P:$P,'Painel International'!$B18,'Data International'!$Q:$Q,"&lt;=-181",'Data International'!$Q:$Q,"&gt;=-360")</f>
        <v>0</v>
      </c>
      <c r="W18" s="23">
        <f>SUMIFS('Data International'!$D:$D,'Data International'!$P:$P,'Painel International'!$B18,'Data International'!$Q:$Q,"&lt;-360")</f>
        <v>0</v>
      </c>
      <c r="X18" s="19">
        <f>SUMIFS('Bad Debt Provision'!AB:AB,'Bad Debt Provision'!B:B,'Painel International'!B18)</f>
        <v>0</v>
      </c>
      <c r="Y18" s="5"/>
      <c r="Z18" s="5"/>
      <c r="AA18" s="19">
        <f>_xlfn.XLOOKUP(B18,'Limite de crédito'!C:C,'Limite de crédito'!O:O,0)</f>
        <v>660000</v>
      </c>
      <c r="AB18" s="19"/>
      <c r="AC18" s="20"/>
      <c r="AD18" s="22"/>
      <c r="AE18" s="22"/>
      <c r="AF18" s="5"/>
      <c r="AG18" s="28">
        <f t="shared" si="5"/>
        <v>660000</v>
      </c>
      <c r="AH18" s="5"/>
      <c r="AI18" s="260"/>
    </row>
    <row r="19" spans="2:35" x14ac:dyDescent="0.25">
      <c r="B19" s="41" t="s">
        <v>494</v>
      </c>
      <c r="C19" s="19" t="str">
        <f>IFERROR(_xlfn.XLOOKUP(B19,'Limite de crédito'!C:C,'Limite de crédito'!L:L,),0)</f>
        <v>D</v>
      </c>
      <c r="D19" s="19"/>
      <c r="E19" s="105">
        <f>_xlfn.XLOOKUP(B19,'Limite de crédito'!C:C,'Limite de crédito'!G:G,0)</f>
        <v>275000</v>
      </c>
      <c r="F19" s="18">
        <f t="shared" si="3"/>
        <v>275000</v>
      </c>
      <c r="G19" s="18">
        <f t="shared" si="2"/>
        <v>0</v>
      </c>
      <c r="H19" s="19">
        <f>SUMIFS('Data International'!$D:$D,'Data International'!$P:$P,'Painel International'!$B19,'Data International'!$Q:$Q,"&gt;0",'Data International'!$Q:$Q,"&lt;=30")</f>
        <v>0</v>
      </c>
      <c r="I19" s="19">
        <f>SUMIFS('Data International'!$D:$D,'Data International'!$P:$P,'Painel International'!$B19,'Data International'!$Q:$Q,"&gt;30",'Data International'!$Q:$Q,"&lt;=60")</f>
        <v>0</v>
      </c>
      <c r="J19" s="19">
        <f>SUMIFS('Data International'!$D:$D,'Data International'!$P:$P,'Painel International'!$B19,'Data International'!$Q:$Q,"&gt;60",'Data International'!$Q:$Q,"&lt;=90")</f>
        <v>0</v>
      </c>
      <c r="K19" s="19">
        <f>SUMIFS('Data International'!$D:$D,'Data International'!$P:$P,'Painel International'!$B19,'Data International'!$Q:$Q,"&gt;90",'Data International'!$Q:$Q,"&lt;=120")</f>
        <v>0</v>
      </c>
      <c r="L19" s="19">
        <f>SUMIFS('Data International'!$D:$D,'Data International'!$P:$P,'Painel International'!$B19,'Data International'!$Q:$Q,"&gt;120",'Data International'!$Q:$Q,"&lt;=180")</f>
        <v>0</v>
      </c>
      <c r="M19" s="19">
        <f>SUMIFS('Data International'!$D:$D,'Data International'!$P:$P,'Painel International'!$B19,'Data International'!$Q:$Q,"&gt;180",'Data International'!$Q:$Q,"&lt;=360")</f>
        <v>0</v>
      </c>
      <c r="N19" s="23">
        <f>SUMIFS('Data International'!$D:$D,'Data International'!$P:$P,'Painel International'!$B19,'Data International'!$Q:$Q,"&gt;360")</f>
        <v>0</v>
      </c>
      <c r="O19" s="19">
        <f>SUMIFS('Data International'!$D:$D,'Data International'!$P:$P,'Painel International'!$B19,'Data International'!$Q:$Q,"&gt;0")</f>
        <v>0</v>
      </c>
      <c r="P19" s="19">
        <f t="shared" si="4"/>
        <v>0</v>
      </c>
      <c r="Q19" s="19">
        <f>SUMIFS('Data International'!$D:$D,'Data International'!$P:$P,'Painel International'!$B19,'Data International'!$Q:$Q,"&lt;=0",'Data International'!$Q:$Q,"&gt;=-30")</f>
        <v>0</v>
      </c>
      <c r="R19" s="19">
        <f>SUMIFS('Data International'!$D:$D,'Data International'!$P:$P,'Painel International'!$B19,'Data International'!$Q:$Q,"&lt;=-31",'Data International'!$Q:$Q,"&gt;=-60")</f>
        <v>0</v>
      </c>
      <c r="S19" s="19">
        <f>SUMIFS('Data International'!$D:$D,'Data International'!$P:$P,'Painel International'!$B19,'Data International'!$Q:$Q,"&lt;=-61",'Data International'!$Q:$Q,"&gt;=-90")</f>
        <v>0</v>
      </c>
      <c r="T19" s="19">
        <f>SUMIFS('Data International'!$D:$D,'Data International'!$P:$P,'Painel International'!$B19,'Data International'!$Q:$Q,"&lt;=-91",'Data International'!$Q:$Q,"&gt;=-120")</f>
        <v>0</v>
      </c>
      <c r="U19" s="19">
        <f>SUMIFS('Data International'!$D:$D,'Data International'!$P:$P,'Painel International'!$B19,'Data International'!$Q:$Q,"&lt;=-121",'Data International'!$Q:$Q,"&gt;=-180")</f>
        <v>0</v>
      </c>
      <c r="V19" s="19">
        <f>SUMIFS('Data International'!$D:$D,'Data International'!$P:$P,'Painel International'!$B19,'Data International'!$Q:$Q,"&lt;=-181",'Data International'!$Q:$Q,"&gt;=-360")</f>
        <v>0</v>
      </c>
      <c r="W19" s="23">
        <f>SUMIFS('Data International'!$D:$D,'Data International'!$P:$P,'Painel International'!$B19,'Data International'!$Q:$Q,"&lt;-360")</f>
        <v>0</v>
      </c>
      <c r="X19" s="19">
        <f>SUMIFS('Bad Debt Provision'!AB:AB,'Bad Debt Provision'!B:B,'Painel International'!B19)</f>
        <v>0</v>
      </c>
      <c r="Z19" s="5"/>
      <c r="AA19" s="19">
        <f>_xlfn.XLOOKUP(B19,'Limite de crédito'!C:C,'Limite de crédito'!O:O,0)</f>
        <v>275000</v>
      </c>
      <c r="AB19" s="19"/>
      <c r="AC19" s="20"/>
      <c r="AD19" s="22"/>
      <c r="AE19" s="22"/>
      <c r="AF19" s="5"/>
      <c r="AG19" s="28">
        <f t="shared" si="5"/>
        <v>275000</v>
      </c>
      <c r="AI19" s="260">
        <v>20000</v>
      </c>
    </row>
    <row r="20" spans="2:35" ht="13.95" customHeight="1" x14ac:dyDescent="0.25">
      <c r="B20" s="41" t="s">
        <v>354</v>
      </c>
      <c r="C20" s="19" t="str">
        <f>IFERROR(_xlfn.XLOOKUP(B20,'Limite de crédito'!C:C,'Limite de crédito'!L:L,),0)</f>
        <v>A</v>
      </c>
      <c r="D20" s="19"/>
      <c r="E20" s="105">
        <f>_xlfn.XLOOKUP(B20,'Limite de crédito'!C:C,'Limite de crédito'!G:G,0)</f>
        <v>770000</v>
      </c>
      <c r="F20" s="18">
        <f t="shared" si="3"/>
        <v>369912.15</v>
      </c>
      <c r="G20" s="18">
        <f t="shared" si="2"/>
        <v>400087.85</v>
      </c>
      <c r="H20" s="19">
        <f>SUMIFS('Data International'!$D:$D,'Data International'!$P:$P,'Painel International'!$B20,'Data International'!$Q:$Q,"&gt;0",'Data International'!$Q:$Q,"&lt;=30")</f>
        <v>0</v>
      </c>
      <c r="I20" s="19">
        <f>SUMIFS('Data International'!$D:$D,'Data International'!$P:$P,'Painel International'!$B20,'Data International'!$Q:$Q,"&gt;30",'Data International'!$Q:$Q,"&lt;=60")</f>
        <v>0</v>
      </c>
      <c r="J20" s="19">
        <f>SUMIFS('Data International'!$D:$D,'Data International'!$P:$P,'Painel International'!$B20,'Data International'!$Q:$Q,"&gt;60",'Data International'!$Q:$Q,"&lt;=90")</f>
        <v>0</v>
      </c>
      <c r="K20" s="19">
        <f>SUMIFS('Data International'!$D:$D,'Data International'!$P:$P,'Painel International'!$B20,'Data International'!$Q:$Q,"&gt;90",'Data International'!$Q:$Q,"&lt;=120")</f>
        <v>0</v>
      </c>
      <c r="L20" s="19">
        <f>SUMIFS('Data International'!$D:$D,'Data International'!$P:$P,'Painel International'!$B20,'Data International'!$Q:$Q,"&gt;120",'Data International'!$Q:$Q,"&lt;=180")</f>
        <v>0</v>
      </c>
      <c r="M20" s="19">
        <f>SUMIFS('Data International'!$D:$D,'Data International'!$P:$P,'Painel International'!$B20,'Data International'!$Q:$Q,"&gt;180",'Data International'!$Q:$Q,"&lt;=360")</f>
        <v>0</v>
      </c>
      <c r="N20" s="23">
        <f>SUMIFS('Data International'!$D:$D,'Data International'!$P:$P,'Painel International'!$B20,'Data International'!$Q:$Q,"&gt;360")</f>
        <v>0</v>
      </c>
      <c r="O20" s="19">
        <f>SUMIFS('Data International'!$D:$D,'Data International'!$P:$P,'Painel International'!$B20,'Data International'!$Q:$Q,"&gt;0")</f>
        <v>0</v>
      </c>
      <c r="P20" s="19">
        <f t="shared" si="4"/>
        <v>400087.85</v>
      </c>
      <c r="Q20" s="19">
        <f>SUMIFS('Data International'!$D:$D,'Data International'!$P:$P,'Painel International'!$B20,'Data International'!$Q:$Q,"&lt;=0",'Data International'!$Q:$Q,"&gt;=-30")</f>
        <v>224812.61</v>
      </c>
      <c r="R20" s="19">
        <f>SUMIFS('Data International'!$D:$D,'Data International'!$P:$P,'Painel International'!$B20,'Data International'!$Q:$Q,"&lt;=-31",'Data International'!$Q:$Q,"&gt;=-60")</f>
        <v>175275.24</v>
      </c>
      <c r="S20" s="19">
        <f>SUMIFS('Data International'!$D:$D,'Data International'!$P:$P,'Painel International'!$B20,'Data International'!$Q:$Q,"&lt;=-61",'Data International'!$Q:$Q,"&gt;=-90")</f>
        <v>0</v>
      </c>
      <c r="T20" s="19">
        <f>SUMIFS('Data International'!$D:$D,'Data International'!$P:$P,'Painel International'!$B20,'Data International'!$Q:$Q,"&lt;=-91",'Data International'!$Q:$Q,"&gt;=-120")</f>
        <v>0</v>
      </c>
      <c r="U20" s="19">
        <f>SUMIFS('Data International'!$D:$D,'Data International'!$P:$P,'Painel International'!$B20,'Data International'!$Q:$Q,"&lt;=-121",'Data International'!$Q:$Q,"&gt;=-180")</f>
        <v>0</v>
      </c>
      <c r="V20" s="19">
        <f>SUMIFS('Data International'!$D:$D,'Data International'!$P:$P,'Painel International'!$B20,'Data International'!$Q:$Q,"&lt;=-181",'Data International'!$Q:$Q,"&gt;=-360")</f>
        <v>0</v>
      </c>
      <c r="W20" s="23">
        <f>SUMIFS('Data International'!$D:$D,'Data International'!$P:$P,'Painel International'!$B20,'Data International'!$Q:$Q,"&lt;-360")</f>
        <v>0</v>
      </c>
      <c r="X20" s="19">
        <f>SUMIFS('Bad Debt Provision'!AB:AB,'Bad Debt Provision'!B:B,'Painel International'!B20)</f>
        <v>0</v>
      </c>
      <c r="Z20" s="5"/>
      <c r="AA20" s="19">
        <f>_xlfn.XLOOKUP(B20,'Limite de crédito'!C:C,'Limite de crédito'!O:O,0)</f>
        <v>770000</v>
      </c>
      <c r="AB20" s="19"/>
      <c r="AC20" s="20"/>
      <c r="AD20" s="22"/>
      <c r="AE20" s="22"/>
      <c r="AF20" s="5"/>
      <c r="AG20" s="28">
        <f t="shared" si="5"/>
        <v>369912.15</v>
      </c>
      <c r="AI20" s="260">
        <v>100000</v>
      </c>
    </row>
    <row r="21" spans="2:35" x14ac:dyDescent="0.25">
      <c r="B21" s="41" t="s">
        <v>178</v>
      </c>
      <c r="C21" s="19" t="str">
        <f>IFERROR(_xlfn.XLOOKUP(B21,'Limite de crédito'!C:C,'Limite de crédito'!L:L,),0)</f>
        <v>B</v>
      </c>
      <c r="D21" s="19"/>
      <c r="E21" s="105">
        <f>_xlfn.XLOOKUP(B21,'Limite de crédito'!C:C,'Limite de crédito'!G:G,0)</f>
        <v>275000</v>
      </c>
      <c r="F21" s="18">
        <f t="shared" si="3"/>
        <v>275000</v>
      </c>
      <c r="G21" s="18">
        <f t="shared" si="2"/>
        <v>0</v>
      </c>
      <c r="H21" s="19">
        <f>SUMIFS('Data International'!$D:$D,'Data International'!$P:$P,'Painel International'!$B21,'Data International'!$Q:$Q,"&gt;0",'Data International'!$Q:$Q,"&lt;=30")</f>
        <v>0</v>
      </c>
      <c r="I21" s="19">
        <f>SUMIFS('Data International'!$D:$D,'Data International'!$P:$P,'Painel International'!$B21,'Data International'!$Q:$Q,"&gt;30",'Data International'!$Q:$Q,"&lt;=60")</f>
        <v>0</v>
      </c>
      <c r="J21" s="19">
        <f>SUMIFS('Data International'!$D:$D,'Data International'!$P:$P,'Painel International'!$B21,'Data International'!$Q:$Q,"&gt;60",'Data International'!$Q:$Q,"&lt;=90")</f>
        <v>0</v>
      </c>
      <c r="K21" s="19">
        <f>SUMIFS('Data International'!$D:$D,'Data International'!$P:$P,'Painel International'!$B21,'Data International'!$Q:$Q,"&gt;90",'Data International'!$Q:$Q,"&lt;=120")</f>
        <v>0</v>
      </c>
      <c r="L21" s="19">
        <f>SUMIFS('Data International'!$D:$D,'Data International'!$P:$P,'Painel International'!$B21,'Data International'!$Q:$Q,"&gt;120",'Data International'!$Q:$Q,"&lt;=180")</f>
        <v>0</v>
      </c>
      <c r="M21" s="19">
        <f>SUMIFS('Data International'!$D:$D,'Data International'!$P:$P,'Painel International'!$B21,'Data International'!$Q:$Q,"&gt;180",'Data International'!$Q:$Q,"&lt;=360")</f>
        <v>0</v>
      </c>
      <c r="N21" s="23">
        <f>SUMIFS('Data International'!$D:$D,'Data International'!$P:$P,'Painel International'!$B21,'Data International'!$Q:$Q,"&gt;360")</f>
        <v>0</v>
      </c>
      <c r="O21" s="19">
        <f>SUMIFS('Data International'!$D:$D,'Data International'!$P:$P,'Painel International'!$B21,'Data International'!$Q:$Q,"&gt;0")</f>
        <v>0</v>
      </c>
      <c r="P21" s="19">
        <f t="shared" si="4"/>
        <v>0</v>
      </c>
      <c r="Q21" s="19">
        <f>SUMIFS('Data International'!$D:$D,'Data International'!$P:$P,'Painel International'!$B21,'Data International'!$Q:$Q,"&lt;=0",'Data International'!$Q:$Q,"&gt;=-30")</f>
        <v>0</v>
      </c>
      <c r="R21" s="19">
        <f>SUMIFS('Data International'!$D:$D,'Data International'!$P:$P,'Painel International'!$B21,'Data International'!$Q:$Q,"&lt;=-31",'Data International'!$Q:$Q,"&gt;=-60")</f>
        <v>0</v>
      </c>
      <c r="S21" s="19">
        <f>SUMIFS('Data International'!$D:$D,'Data International'!$P:$P,'Painel International'!$B21,'Data International'!$Q:$Q,"&lt;=-61",'Data International'!$Q:$Q,"&gt;=-90")</f>
        <v>0</v>
      </c>
      <c r="T21" s="19">
        <f>SUMIFS('Data International'!$D:$D,'Data International'!$P:$P,'Painel International'!$B21,'Data International'!$Q:$Q,"&lt;=-91",'Data International'!$Q:$Q,"&gt;=-120")</f>
        <v>0</v>
      </c>
      <c r="U21" s="19">
        <f>SUMIFS('Data International'!$D:$D,'Data International'!$P:$P,'Painel International'!$B21,'Data International'!$Q:$Q,"&lt;=-121",'Data International'!$Q:$Q,"&gt;=-180")</f>
        <v>0</v>
      </c>
      <c r="V21" s="19">
        <f>SUMIFS('Data International'!$D:$D,'Data International'!$P:$P,'Painel International'!$B21,'Data International'!$Q:$Q,"&lt;=-181",'Data International'!$Q:$Q,"&gt;=-360")</f>
        <v>0</v>
      </c>
      <c r="W21" s="23">
        <f>SUMIFS('Data International'!$D:$D,'Data International'!$P:$P,'Painel International'!$B21,'Data International'!$Q:$Q,"&lt;-360")</f>
        <v>0</v>
      </c>
      <c r="X21" s="19">
        <f>SUMIFS('Bad Debt Provision'!AB:AB,'Bad Debt Provision'!B:B,'Painel International'!B21)</f>
        <v>0</v>
      </c>
      <c r="Z21" s="5"/>
      <c r="AA21" s="19">
        <f>_xlfn.XLOOKUP(B21,'Limite de crédito'!C:C,'Limite de crédito'!O:O,0)</f>
        <v>275000</v>
      </c>
      <c r="AB21" s="19"/>
      <c r="AC21" s="20"/>
      <c r="AD21" s="22"/>
      <c r="AE21" s="22"/>
      <c r="AF21" s="5"/>
      <c r="AG21" s="28">
        <f t="shared" si="5"/>
        <v>275000</v>
      </c>
      <c r="AI21" s="260"/>
    </row>
    <row r="22" spans="2:35" x14ac:dyDescent="0.25">
      <c r="B22" s="41" t="s">
        <v>530</v>
      </c>
      <c r="C22" s="19" t="str">
        <f>IFERROR(_xlfn.XLOOKUP(B22,'Limite de crédito'!C:C,'Limite de crédito'!L:L,),0)</f>
        <v>AA</v>
      </c>
      <c r="D22" s="19"/>
      <c r="E22" s="105">
        <f>_xlfn.XLOOKUP(B22,'Limite de crédito'!C:C,'Limite de crédito'!G:G,0)</f>
        <v>1375000</v>
      </c>
      <c r="F22" s="18">
        <f t="shared" si="3"/>
        <v>1375000</v>
      </c>
      <c r="G22" s="18">
        <f t="shared" si="2"/>
        <v>0</v>
      </c>
      <c r="H22" s="19">
        <f>SUMIFS('Data International'!$D:$D,'Data International'!$P:$P,'Painel International'!$B22,'Data International'!$Q:$Q,"&gt;0",'Data International'!$Q:$Q,"&lt;=30")</f>
        <v>0</v>
      </c>
      <c r="I22" s="19">
        <f>SUMIFS('Data International'!$D:$D,'Data International'!$P:$P,'Painel International'!$B22,'Data International'!$Q:$Q,"&gt;30",'Data International'!$Q:$Q,"&lt;=60")</f>
        <v>0</v>
      </c>
      <c r="J22" s="19">
        <f>SUMIFS('Data International'!$D:$D,'Data International'!$P:$P,'Painel International'!$B22,'Data International'!$Q:$Q,"&gt;60",'Data International'!$Q:$Q,"&lt;=90")</f>
        <v>0</v>
      </c>
      <c r="K22" s="19">
        <f>SUMIFS('Data International'!$D:$D,'Data International'!$P:$P,'Painel International'!$B22,'Data International'!$Q:$Q,"&gt;90",'Data International'!$Q:$Q,"&lt;=120")</f>
        <v>0</v>
      </c>
      <c r="L22" s="19">
        <f>SUMIFS('Data International'!$D:$D,'Data International'!$P:$P,'Painel International'!$B22,'Data International'!$Q:$Q,"&gt;120",'Data International'!$Q:$Q,"&lt;=180")</f>
        <v>0</v>
      </c>
      <c r="M22" s="19">
        <f>SUMIFS('Data International'!$D:$D,'Data International'!$P:$P,'Painel International'!$B22,'Data International'!$Q:$Q,"&gt;180",'Data International'!$Q:$Q,"&lt;=360")</f>
        <v>0</v>
      </c>
      <c r="N22" s="23">
        <f>SUMIFS('Data International'!$D:$D,'Data International'!$P:$P,'Painel International'!$B22,'Data International'!$Q:$Q,"&gt;360")</f>
        <v>0</v>
      </c>
      <c r="O22" s="19">
        <f>SUMIFS('Data International'!$D:$D,'Data International'!$P:$P,'Painel International'!$B22,'Data International'!$Q:$Q,"&gt;0")</f>
        <v>0</v>
      </c>
      <c r="P22" s="19">
        <f t="shared" si="4"/>
        <v>0</v>
      </c>
      <c r="Q22" s="19">
        <f>SUMIFS('Data International'!$D:$D,'Data International'!$P:$P,'Painel International'!$B22,'Data International'!$Q:$Q,"&lt;=0",'Data International'!$Q:$Q,"&gt;=-30")</f>
        <v>0</v>
      </c>
      <c r="R22" s="19">
        <f>SUMIFS('Data International'!$D:$D,'Data International'!$P:$P,'Painel International'!$B22,'Data International'!$Q:$Q,"&lt;=-31",'Data International'!$Q:$Q,"&gt;=-60")</f>
        <v>0</v>
      </c>
      <c r="S22" s="19">
        <f>SUMIFS('Data International'!$D:$D,'Data International'!$P:$P,'Painel International'!$B22,'Data International'!$Q:$Q,"&lt;=-61",'Data International'!$Q:$Q,"&gt;=-90")</f>
        <v>0</v>
      </c>
      <c r="T22" s="19">
        <f>SUMIFS('Data International'!$D:$D,'Data International'!$P:$P,'Painel International'!$B22,'Data International'!$Q:$Q,"&lt;=-91",'Data International'!$Q:$Q,"&gt;=-120")</f>
        <v>0</v>
      </c>
      <c r="U22" s="19">
        <f>SUMIFS('Data International'!$D:$D,'Data International'!$P:$P,'Painel International'!$B22,'Data International'!$Q:$Q,"&lt;=-121",'Data International'!$Q:$Q,"&gt;=-180")</f>
        <v>0</v>
      </c>
      <c r="V22" s="19">
        <f>SUMIFS('Data International'!$D:$D,'Data International'!$P:$P,'Painel International'!$B22,'Data International'!$Q:$Q,"&lt;=-181",'Data International'!$Q:$Q,"&gt;=-360")</f>
        <v>0</v>
      </c>
      <c r="W22" s="23">
        <f>SUMIFS('Data International'!$D:$D,'Data International'!$P:$P,'Painel International'!$B22,'Data International'!$Q:$Q,"&lt;-360")</f>
        <v>0</v>
      </c>
      <c r="X22" s="19">
        <f>SUMIFS('Bad Debt Provision'!AB:AB,'Bad Debt Provision'!B:B,'Painel International'!B22)</f>
        <v>0</v>
      </c>
      <c r="Z22" s="5"/>
      <c r="AA22" s="19">
        <f>_xlfn.XLOOKUP(B22,'Limite de crédito'!C:C,'Limite de crédito'!O:O,0)</f>
        <v>1375000</v>
      </c>
      <c r="AB22" s="19"/>
      <c r="AC22" s="20"/>
      <c r="AD22" s="22"/>
      <c r="AE22" s="22"/>
      <c r="AF22" s="5"/>
      <c r="AG22" s="28">
        <f t="shared" si="5"/>
        <v>1375000</v>
      </c>
      <c r="AI22" s="260">
        <v>0</v>
      </c>
    </row>
    <row r="23" spans="2:35" x14ac:dyDescent="0.25">
      <c r="B23" s="41" t="s">
        <v>531</v>
      </c>
      <c r="C23" s="19" t="str">
        <f>IFERROR(_xlfn.XLOOKUP(B23,'Limite de crédito'!C:C,'Limite de crédito'!L:L,),0)</f>
        <v>B</v>
      </c>
      <c r="D23" s="19"/>
      <c r="E23" s="105">
        <f>_xlfn.XLOOKUP(B23,'Limite de crédito'!C:C,'Limite de crédito'!G:G,0)</f>
        <v>1100000</v>
      </c>
      <c r="F23" s="18">
        <f t="shared" si="3"/>
        <v>996580.11</v>
      </c>
      <c r="G23" s="18">
        <f t="shared" si="2"/>
        <v>103419.88999999998</v>
      </c>
      <c r="H23" s="19">
        <f>SUMIFS('Data International'!$D:$D,'Data International'!$P:$P,'Painel International'!$B23,'Data International'!$Q:$Q,"&gt;0",'Data International'!$Q:$Q,"&lt;=30")</f>
        <v>0</v>
      </c>
      <c r="I23" s="19">
        <f>SUMIFS('Data International'!$D:$D,'Data International'!$P:$P,'Painel International'!$B23,'Data International'!$Q:$Q,"&gt;30",'Data International'!$Q:$Q,"&lt;=60")</f>
        <v>0</v>
      </c>
      <c r="J23" s="19">
        <f>SUMIFS('Data International'!$D:$D,'Data International'!$P:$P,'Painel International'!$B23,'Data International'!$Q:$Q,"&gt;60",'Data International'!$Q:$Q,"&lt;=90")</f>
        <v>0</v>
      </c>
      <c r="K23" s="19">
        <f>SUMIFS('Data International'!$D:$D,'Data International'!$P:$P,'Painel International'!$B23,'Data International'!$Q:$Q,"&gt;90",'Data International'!$Q:$Q,"&lt;=120")</f>
        <v>0</v>
      </c>
      <c r="L23" s="19">
        <f>SUMIFS('Data International'!$D:$D,'Data International'!$P:$P,'Painel International'!$B23,'Data International'!$Q:$Q,"&gt;120",'Data International'!$Q:$Q,"&lt;=180")</f>
        <v>0</v>
      </c>
      <c r="M23" s="19">
        <f>SUMIFS('Data International'!$D:$D,'Data International'!$P:$P,'Painel International'!$B23,'Data International'!$Q:$Q,"&gt;180",'Data International'!$Q:$Q,"&lt;=360")</f>
        <v>0</v>
      </c>
      <c r="N23" s="23">
        <f>SUMIFS('Data International'!$D:$D,'Data International'!$P:$P,'Painel International'!$B23,'Data International'!$Q:$Q,"&gt;360")</f>
        <v>0</v>
      </c>
      <c r="O23" s="19">
        <f>SUMIFS('Data International'!$D:$D,'Data International'!$P:$P,'Painel International'!$B23,'Data International'!$Q:$Q,"&gt;0")</f>
        <v>0</v>
      </c>
      <c r="P23" s="19">
        <f t="shared" si="4"/>
        <v>103419.88999999998</v>
      </c>
      <c r="Q23" s="19">
        <f>SUMIFS('Data International'!$D:$D,'Data International'!$P:$P,'Painel International'!$B23,'Data International'!$Q:$Q,"&lt;=0",'Data International'!$Q:$Q,"&gt;=-30")</f>
        <v>103419.88999999998</v>
      </c>
      <c r="R23" s="19">
        <f>SUMIFS('Data International'!$D:$D,'Data International'!$P:$P,'Painel International'!$B23,'Data International'!$Q:$Q,"&lt;=-31",'Data International'!$Q:$Q,"&gt;=-60")</f>
        <v>0</v>
      </c>
      <c r="S23" s="19">
        <f>SUMIFS('Data International'!$D:$D,'Data International'!$P:$P,'Painel International'!$B23,'Data International'!$Q:$Q,"&lt;=-61",'Data International'!$Q:$Q,"&gt;=-90")</f>
        <v>0</v>
      </c>
      <c r="T23" s="19">
        <f>SUMIFS('Data International'!$D:$D,'Data International'!$P:$P,'Painel International'!$B23,'Data International'!$Q:$Q,"&lt;=-91",'Data International'!$Q:$Q,"&gt;=-120")</f>
        <v>0</v>
      </c>
      <c r="U23" s="19">
        <f>SUMIFS('Data International'!$D:$D,'Data International'!$P:$P,'Painel International'!$B23,'Data International'!$Q:$Q,"&lt;=-121",'Data International'!$Q:$Q,"&gt;=-180")</f>
        <v>0</v>
      </c>
      <c r="V23" s="19">
        <f>SUMIFS('Data International'!$D:$D,'Data International'!$P:$P,'Painel International'!$B23,'Data International'!$Q:$Q,"&lt;=-181",'Data International'!$Q:$Q,"&gt;=-360")</f>
        <v>0</v>
      </c>
      <c r="W23" s="23">
        <f>SUMIFS('Data International'!$D:$D,'Data International'!$P:$P,'Painel International'!$B23,'Data International'!$Q:$Q,"&lt;-360")</f>
        <v>0</v>
      </c>
      <c r="X23" s="19">
        <f>SUMIFS('Bad Debt Provision'!AB:AB,'Bad Debt Provision'!B:B,'Painel International'!B23)</f>
        <v>0</v>
      </c>
      <c r="Z23" s="5"/>
      <c r="AA23" s="19">
        <f>_xlfn.XLOOKUP(B23,'Limite de crédito'!C:C,'Limite de crédito'!O:O,0)</f>
        <v>550000</v>
      </c>
      <c r="AB23" s="19"/>
      <c r="AC23" s="20"/>
      <c r="AD23" s="22"/>
      <c r="AE23" s="22"/>
      <c r="AF23" s="5"/>
      <c r="AG23" s="28">
        <f>AA23-G23</f>
        <v>446580.11</v>
      </c>
      <c r="AI23" s="260">
        <v>100000</v>
      </c>
    </row>
    <row r="24" spans="2:35" x14ac:dyDescent="0.25">
      <c r="B24" s="41" t="s">
        <v>329</v>
      </c>
      <c r="C24" s="19">
        <f>IFERROR(_xlfn.XLOOKUP(B24,'Limite de crédito'!C:C,'Limite de crédito'!L:L,),0)</f>
        <v>0</v>
      </c>
      <c r="D24" s="19"/>
      <c r="E24" s="105">
        <f>_xlfn.XLOOKUP(B24,'Limite de crédito'!C:C,'Limite de crédito'!G:G,0)</f>
        <v>0</v>
      </c>
      <c r="F24" s="18">
        <f t="shared" si="3"/>
        <v>0</v>
      </c>
      <c r="G24" s="18">
        <f t="shared" si="2"/>
        <v>0</v>
      </c>
      <c r="H24" s="19">
        <f>SUMIFS('Data International'!$D:$D,'Data International'!$P:$P,'Painel International'!$B24,'Data International'!$Q:$Q,"&gt;0",'Data International'!$Q:$Q,"&lt;=30")</f>
        <v>0</v>
      </c>
      <c r="I24" s="19">
        <f>SUMIFS('Data International'!$D:$D,'Data International'!$P:$P,'Painel International'!$B24,'Data International'!$Q:$Q,"&gt;30",'Data International'!$Q:$Q,"&lt;=60")</f>
        <v>0</v>
      </c>
      <c r="J24" s="19">
        <f>SUMIFS('Data International'!$D:$D,'Data International'!$P:$P,'Painel International'!$B24,'Data International'!$Q:$Q,"&gt;60",'Data International'!$Q:$Q,"&lt;=90")</f>
        <v>0</v>
      </c>
      <c r="K24" s="19">
        <f>SUMIFS('Data International'!$D:$D,'Data International'!$P:$P,'Painel International'!$B24,'Data International'!$Q:$Q,"&gt;90",'Data International'!$Q:$Q,"&lt;=120")</f>
        <v>0</v>
      </c>
      <c r="L24" s="19">
        <f>SUMIFS('Data International'!$D:$D,'Data International'!$P:$P,'Painel International'!$B24,'Data International'!$Q:$Q,"&gt;120",'Data International'!$Q:$Q,"&lt;=180")</f>
        <v>0</v>
      </c>
      <c r="M24" s="19">
        <f>SUMIFS('Data International'!$D:$D,'Data International'!$P:$P,'Painel International'!$B24,'Data International'!$Q:$Q,"&gt;180",'Data International'!$Q:$Q,"&lt;=360")</f>
        <v>0</v>
      </c>
      <c r="N24" s="23">
        <f>SUMIFS('Data International'!$D:$D,'Data International'!$P:$P,'Painel International'!$B24,'Data International'!$Q:$Q,"&gt;360")</f>
        <v>0</v>
      </c>
      <c r="O24" s="19">
        <f>SUMIFS('Data International'!$D:$D,'Data International'!$P:$P,'Painel International'!$B24,'Data International'!$Q:$Q,"&gt;0")</f>
        <v>0</v>
      </c>
      <c r="P24" s="19">
        <f t="shared" si="4"/>
        <v>0</v>
      </c>
      <c r="Q24" s="19">
        <f>SUMIFS('Data International'!$D:$D,'Data International'!$P:$P,'Painel International'!$B24,'Data International'!$Q:$Q,"&lt;=0",'Data International'!$Q:$Q,"&gt;=-30")</f>
        <v>0</v>
      </c>
      <c r="R24" s="19">
        <f>SUMIFS('Data International'!$D:$D,'Data International'!$P:$P,'Painel International'!$B24,'Data International'!$Q:$Q,"&lt;=-31",'Data International'!$Q:$Q,"&gt;=-60")</f>
        <v>0</v>
      </c>
      <c r="S24" s="19">
        <f>SUMIFS('Data International'!$D:$D,'Data International'!$P:$P,'Painel International'!$B24,'Data International'!$Q:$Q,"&lt;=-61",'Data International'!$Q:$Q,"&gt;=-90")</f>
        <v>0</v>
      </c>
      <c r="T24" s="19">
        <f>SUMIFS('Data International'!$D:$D,'Data International'!$P:$P,'Painel International'!$B24,'Data International'!$Q:$Q,"&lt;=-91",'Data International'!$Q:$Q,"&gt;=-120")</f>
        <v>0</v>
      </c>
      <c r="U24" s="19">
        <f>SUMIFS('Data International'!$D:$D,'Data International'!$P:$P,'Painel International'!$B24,'Data International'!$Q:$Q,"&lt;=-121",'Data International'!$Q:$Q,"&gt;=-180")</f>
        <v>0</v>
      </c>
      <c r="V24" s="19">
        <f>SUMIFS('Data International'!$D:$D,'Data International'!$P:$P,'Painel International'!$B24,'Data International'!$Q:$Q,"&lt;=-181",'Data International'!$Q:$Q,"&gt;=-360")</f>
        <v>0</v>
      </c>
      <c r="W24" s="23">
        <f>SUMIFS('Data International'!$D:$D,'Data International'!$P:$P,'Painel International'!$B24,'Data International'!$Q:$Q,"&lt;-360")</f>
        <v>0</v>
      </c>
      <c r="X24" s="19">
        <f>SUMIFS('Bad Debt Provision'!AB:AB,'Bad Debt Provision'!B:B,'Painel International'!B24)</f>
        <v>0</v>
      </c>
      <c r="Z24" s="5"/>
      <c r="AA24" s="19">
        <f>_xlfn.XLOOKUP(B24,'Limite de crédito'!C:C,'Limite de crédito'!O:O,0)</f>
        <v>0</v>
      </c>
      <c r="AB24" s="19"/>
      <c r="AC24" s="20"/>
      <c r="AD24" s="22"/>
      <c r="AE24" s="22"/>
      <c r="AF24" s="5"/>
      <c r="AG24" s="28">
        <f>AA24-G24</f>
        <v>0</v>
      </c>
      <c r="AI24" s="260">
        <v>200000</v>
      </c>
    </row>
    <row r="25" spans="2:35" x14ac:dyDescent="0.25">
      <c r="B25" s="41" t="s">
        <v>359</v>
      </c>
      <c r="C25" s="19" t="str">
        <f>IFERROR(_xlfn.XLOOKUP(B25,'Limite de crédito'!C:C,'Limite de crédito'!L:L,),0)</f>
        <v>B</v>
      </c>
      <c r="D25" s="19"/>
      <c r="E25" s="105">
        <f>_xlfn.XLOOKUP(B25,'Limite de crédito'!C:C,'Limite de crédito'!G:G,0)</f>
        <v>1100000</v>
      </c>
      <c r="F25" s="18">
        <f t="shared" si="3"/>
        <v>1059982.3600000001</v>
      </c>
      <c r="G25" s="18">
        <f t="shared" si="2"/>
        <v>40017.64</v>
      </c>
      <c r="H25" s="19">
        <f>SUMIFS('Data International'!$D:$D,'Data International'!$P:$P,'Painel International'!$B25,'Data International'!$Q:$Q,"&gt;0",'Data International'!$Q:$Q,"&lt;=30")</f>
        <v>0</v>
      </c>
      <c r="I25" s="19">
        <f>SUMIFS('Data International'!$D:$D,'Data International'!$P:$P,'Painel International'!$B25,'Data International'!$Q:$Q,"&gt;30",'Data International'!$Q:$Q,"&lt;=60")</f>
        <v>0</v>
      </c>
      <c r="J25" s="19">
        <f>SUMIFS('Data International'!$D:$D,'Data International'!$P:$P,'Painel International'!$B25,'Data International'!$Q:$Q,"&gt;60",'Data International'!$Q:$Q,"&lt;=90")</f>
        <v>0</v>
      </c>
      <c r="K25" s="19">
        <f>SUMIFS('Data International'!$D:$D,'Data International'!$P:$P,'Painel International'!$B25,'Data International'!$Q:$Q,"&gt;90",'Data International'!$Q:$Q,"&lt;=120")</f>
        <v>0</v>
      </c>
      <c r="L25" s="19">
        <f>SUMIFS('Data International'!$D:$D,'Data International'!$P:$P,'Painel International'!$B25,'Data International'!$Q:$Q,"&gt;120",'Data International'!$Q:$Q,"&lt;=180")</f>
        <v>0</v>
      </c>
      <c r="M25" s="19">
        <f>SUMIFS('Data International'!$D:$D,'Data International'!$P:$P,'Painel International'!$B25,'Data International'!$Q:$Q,"&gt;180",'Data International'!$Q:$Q,"&lt;=360")</f>
        <v>0</v>
      </c>
      <c r="N25" s="23">
        <f>SUMIFS('Data International'!$D:$D,'Data International'!$P:$P,'Painel International'!$B25,'Data International'!$Q:$Q,"&gt;360")</f>
        <v>0</v>
      </c>
      <c r="O25" s="19">
        <f>SUMIFS('Data International'!$D:$D,'Data International'!$P:$P,'Painel International'!$B25,'Data International'!$Q:$Q,"&gt;0")</f>
        <v>0</v>
      </c>
      <c r="P25" s="19">
        <f t="shared" si="4"/>
        <v>40017.64</v>
      </c>
      <c r="Q25" s="19">
        <f>SUMIFS('Data International'!$D:$D,'Data International'!$P:$P,'Painel International'!$B25,'Data International'!$Q:$Q,"&lt;=0",'Data International'!$Q:$Q,"&gt;=-30")</f>
        <v>40017.64</v>
      </c>
      <c r="R25" s="19">
        <f>SUMIFS('Data International'!$D:$D,'Data International'!$P:$P,'Painel International'!$B25,'Data International'!$Q:$Q,"&lt;=-31",'Data International'!$Q:$Q,"&gt;=-60")</f>
        <v>0</v>
      </c>
      <c r="S25" s="19">
        <f>SUMIFS('Data International'!$D:$D,'Data International'!$P:$P,'Painel International'!$B25,'Data International'!$Q:$Q,"&lt;=-61",'Data International'!$Q:$Q,"&gt;=-90")</f>
        <v>0</v>
      </c>
      <c r="T25" s="19">
        <f>SUMIFS('Data International'!$D:$D,'Data International'!$P:$P,'Painel International'!$B25,'Data International'!$Q:$Q,"&lt;=-91",'Data International'!$Q:$Q,"&gt;=-120")</f>
        <v>0</v>
      </c>
      <c r="U25" s="19">
        <f>SUMIFS('Data International'!$D:$D,'Data International'!$P:$P,'Painel International'!$B25,'Data International'!$Q:$Q,"&lt;=-121",'Data International'!$Q:$Q,"&gt;=-180")</f>
        <v>0</v>
      </c>
      <c r="V25" s="19">
        <f>SUMIFS('Data International'!$D:$D,'Data International'!$P:$P,'Painel International'!$B25,'Data International'!$Q:$Q,"&lt;=-181",'Data International'!$Q:$Q,"&gt;=-360")</f>
        <v>0</v>
      </c>
      <c r="W25" s="23">
        <f>SUMIFS('Data International'!$D:$D,'Data International'!$P:$P,'Painel International'!$B25,'Data International'!$Q:$Q,"&lt;-360")</f>
        <v>0</v>
      </c>
      <c r="X25" s="19">
        <f>SUMIFS('Bad Debt Provision'!AB:AB,'Bad Debt Provision'!B:B,'Painel International'!B25)</f>
        <v>0</v>
      </c>
      <c r="Z25" s="5"/>
      <c r="AA25" s="19">
        <f>_xlfn.XLOOKUP(B25,'Limite de crédito'!C:C,'Limite de crédito'!O:O,0)</f>
        <v>1100000</v>
      </c>
      <c r="AB25" s="19"/>
      <c r="AC25" s="20"/>
      <c r="AD25" s="22"/>
      <c r="AE25" s="22"/>
      <c r="AF25" s="5"/>
      <c r="AG25" s="28">
        <f t="shared" si="5"/>
        <v>1059982.3600000001</v>
      </c>
      <c r="AI25" s="260">
        <v>100000</v>
      </c>
    </row>
    <row r="26" spans="2:35" ht="13.95" customHeight="1" x14ac:dyDescent="0.25">
      <c r="B26" s="41" t="s">
        <v>392</v>
      </c>
      <c r="C26" s="19" t="str">
        <f>IFERROR(_xlfn.XLOOKUP(B26,'Limite de crédito'!C:C,'Limite de crédito'!L:L,),0)</f>
        <v>B</v>
      </c>
      <c r="D26" s="19"/>
      <c r="E26" s="105">
        <f>_xlfn.XLOOKUP(B26,'Limite de crédito'!C:C,'Limite de crédito'!G:G,0)</f>
        <v>605000</v>
      </c>
      <c r="F26" s="18">
        <f t="shared" si="3"/>
        <v>512638.82</v>
      </c>
      <c r="G26" s="18">
        <f t="shared" si="2"/>
        <v>92361.18</v>
      </c>
      <c r="H26" s="19">
        <f>SUMIFS('Data International'!$D:$D,'Data International'!$P:$P,'Painel International'!$B26,'Data International'!$Q:$Q,"&gt;0",'Data International'!$Q:$Q,"&lt;=30")</f>
        <v>0</v>
      </c>
      <c r="I26" s="19">
        <f>SUMIFS('Data International'!$D:$D,'Data International'!$P:$P,'Painel International'!$B26,'Data International'!$Q:$Q,"&gt;30",'Data International'!$Q:$Q,"&lt;=60")</f>
        <v>0</v>
      </c>
      <c r="J26" s="19">
        <f>SUMIFS('Data International'!$D:$D,'Data International'!$P:$P,'Painel International'!$B26,'Data International'!$Q:$Q,"&gt;60",'Data International'!$Q:$Q,"&lt;=90")</f>
        <v>0</v>
      </c>
      <c r="K26" s="19">
        <f>SUMIFS('Data International'!$D:$D,'Data International'!$P:$P,'Painel International'!$B26,'Data International'!$Q:$Q,"&gt;90",'Data International'!$Q:$Q,"&lt;=120")</f>
        <v>0</v>
      </c>
      <c r="L26" s="19">
        <f>SUMIFS('Data International'!$D:$D,'Data International'!$P:$P,'Painel International'!$B26,'Data International'!$Q:$Q,"&gt;120",'Data International'!$Q:$Q,"&lt;=180")</f>
        <v>0</v>
      </c>
      <c r="M26" s="19">
        <f>SUMIFS('Data International'!$D:$D,'Data International'!$P:$P,'Painel International'!$B26,'Data International'!$Q:$Q,"&gt;180",'Data International'!$Q:$Q,"&lt;=360")</f>
        <v>0</v>
      </c>
      <c r="N26" s="23">
        <f>SUMIFS('Data International'!$D:$D,'Data International'!$P:$P,'Painel International'!$B26,'Data International'!$Q:$Q,"&gt;360")</f>
        <v>0</v>
      </c>
      <c r="O26" s="19">
        <f>SUMIFS('Data International'!$D:$D,'Data International'!$P:$P,'Painel International'!$B26,'Data International'!$Q:$Q,"&gt;0")</f>
        <v>0</v>
      </c>
      <c r="P26" s="19">
        <f t="shared" si="4"/>
        <v>92361.18</v>
      </c>
      <c r="Q26" s="19">
        <f>SUMIFS('Data International'!$D:$D,'Data International'!$P:$P,'Painel International'!$B26,'Data International'!$Q:$Q,"&lt;=0",'Data International'!$Q:$Q,"&gt;=-30")</f>
        <v>0</v>
      </c>
      <c r="R26" s="19">
        <f>SUMIFS('Data International'!$D:$D,'Data International'!$P:$P,'Painel International'!$B26,'Data International'!$Q:$Q,"&lt;=-31",'Data International'!$Q:$Q,"&gt;=-60")</f>
        <v>92361.18</v>
      </c>
      <c r="S26" s="19">
        <f>SUMIFS('Data International'!$D:$D,'Data International'!$P:$P,'Painel International'!$B26,'Data International'!$Q:$Q,"&lt;=-61",'Data International'!$Q:$Q,"&gt;=-90")</f>
        <v>0</v>
      </c>
      <c r="T26" s="19">
        <f>SUMIFS('Data International'!$D:$D,'Data International'!$P:$P,'Painel International'!$B26,'Data International'!$Q:$Q,"&lt;=-91",'Data International'!$Q:$Q,"&gt;=-120")</f>
        <v>0</v>
      </c>
      <c r="U26" s="19">
        <f>SUMIFS('Data International'!$D:$D,'Data International'!$P:$P,'Painel International'!$B26,'Data International'!$Q:$Q,"&lt;=-121",'Data International'!$Q:$Q,"&gt;=-180")</f>
        <v>0</v>
      </c>
      <c r="V26" s="19">
        <f>SUMIFS('Data International'!$D:$D,'Data International'!$P:$P,'Painel International'!$B26,'Data International'!$Q:$Q,"&lt;=-181",'Data International'!$Q:$Q,"&gt;=-360")</f>
        <v>0</v>
      </c>
      <c r="W26" s="23">
        <f>SUMIFS('Data International'!$D:$D,'Data International'!$P:$P,'Painel International'!$B26,'Data International'!$Q:$Q,"&lt;-360")</f>
        <v>0</v>
      </c>
      <c r="X26" s="19">
        <f>SUMIFS('Bad Debt Provision'!AB:AB,'Bad Debt Provision'!B:B,'Painel International'!B26)</f>
        <v>0</v>
      </c>
      <c r="Z26" s="5"/>
      <c r="AA26" s="19">
        <f>_xlfn.XLOOKUP(B26,'Limite de crédito'!C:C,'Limite de crédito'!O:O,0)</f>
        <v>605000</v>
      </c>
      <c r="AB26" s="19"/>
      <c r="AC26" s="20"/>
      <c r="AD26" s="22"/>
      <c r="AE26" s="22"/>
      <c r="AF26" s="5"/>
      <c r="AG26" s="28">
        <f t="shared" si="5"/>
        <v>512638.82</v>
      </c>
      <c r="AI26" s="260">
        <v>100000</v>
      </c>
    </row>
    <row r="27" spans="2:35" x14ac:dyDescent="0.25">
      <c r="B27" s="41" t="s">
        <v>127</v>
      </c>
      <c r="C27" s="19">
        <f>IFERROR(_xlfn.XLOOKUP(B27,'Limite de crédito'!C:C,'Limite de crédito'!L:L,),0)</f>
        <v>0</v>
      </c>
      <c r="D27" s="19"/>
      <c r="E27" s="105">
        <f>_xlfn.XLOOKUP(B27,'Limite de crédito'!C:C,'Limite de crédito'!G:G,0)</f>
        <v>0</v>
      </c>
      <c r="F27" s="18">
        <f t="shared" si="3"/>
        <v>-449507.68999999994</v>
      </c>
      <c r="G27" s="18">
        <f t="shared" si="2"/>
        <v>449507.68999999994</v>
      </c>
      <c r="H27" s="19">
        <f>SUMIFS('Data International'!$D:$D,'Data International'!$P:$P,'Painel International'!$B27,'Data International'!$Q:$Q,"&gt;0",'Data International'!$Q:$Q,"&lt;=30")</f>
        <v>0</v>
      </c>
      <c r="I27" s="19">
        <f>SUMIFS('Data International'!$D:$D,'Data International'!$P:$P,'Painel International'!$B27,'Data International'!$Q:$Q,"&gt;30",'Data International'!$Q:$Q,"&lt;=60")</f>
        <v>0</v>
      </c>
      <c r="J27" s="19">
        <f>SUMIFS('Data International'!$D:$D,'Data International'!$P:$P,'Painel International'!$B27,'Data International'!$Q:$Q,"&gt;60",'Data International'!$Q:$Q,"&lt;=90")</f>
        <v>0</v>
      </c>
      <c r="K27" s="19">
        <f>SUMIFS('Data International'!$D:$D,'Data International'!$P:$P,'Painel International'!$B27,'Data International'!$Q:$Q,"&gt;90",'Data International'!$Q:$Q,"&lt;=120")</f>
        <v>0</v>
      </c>
      <c r="L27" s="19">
        <f>SUMIFS('Data International'!$D:$D,'Data International'!$P:$P,'Painel International'!$B27,'Data International'!$Q:$Q,"&gt;120",'Data International'!$Q:$Q,"&lt;=180")</f>
        <v>0</v>
      </c>
      <c r="M27" s="19">
        <f>SUMIFS('Data International'!$D:$D,'Data International'!$P:$P,'Painel International'!$B27,'Data International'!$Q:$Q,"&gt;180",'Data International'!$Q:$Q,"&lt;=360")</f>
        <v>449507.68999999994</v>
      </c>
      <c r="N27" s="23">
        <f>SUMIFS('Data International'!$D:$D,'Data International'!$P:$P,'Painel International'!$B27,'Data International'!$Q:$Q,"&gt;360")</f>
        <v>0</v>
      </c>
      <c r="O27" s="19">
        <f>SUMIFS('Data International'!$D:$D,'Data International'!$P:$P,'Painel International'!$B27,'Data International'!$Q:$Q,"&gt;0")</f>
        <v>449507.68999999994</v>
      </c>
      <c r="P27" s="19">
        <f t="shared" si="4"/>
        <v>0</v>
      </c>
      <c r="Q27" s="19">
        <f>SUMIFS('Data International'!$D:$D,'Data International'!$P:$P,'Painel International'!$B27,'Data International'!$Q:$Q,"&lt;=0",'Data International'!$Q:$Q,"&gt;=-30")</f>
        <v>0</v>
      </c>
      <c r="R27" s="19">
        <f>SUMIFS('Data International'!$D:$D,'Data International'!$P:$P,'Painel International'!$B27,'Data International'!$Q:$Q,"&lt;=-31",'Data International'!$Q:$Q,"&gt;=-60")</f>
        <v>0</v>
      </c>
      <c r="S27" s="19">
        <f>SUMIFS('Data International'!$D:$D,'Data International'!$P:$P,'Painel International'!$B27,'Data International'!$Q:$Q,"&lt;=-61",'Data International'!$Q:$Q,"&gt;=-90")</f>
        <v>0</v>
      </c>
      <c r="T27" s="19">
        <f>SUMIFS('Data International'!$D:$D,'Data International'!$P:$P,'Painel International'!$B27,'Data International'!$Q:$Q,"&lt;=-91",'Data International'!$Q:$Q,"&gt;=-120")</f>
        <v>0</v>
      </c>
      <c r="U27" s="19">
        <f>SUMIFS('Data International'!$D:$D,'Data International'!$P:$P,'Painel International'!$B27,'Data International'!$Q:$Q,"&lt;=-121",'Data International'!$Q:$Q,"&gt;=-180")</f>
        <v>0</v>
      </c>
      <c r="V27" s="19">
        <f>SUMIFS('Data International'!$D:$D,'Data International'!$P:$P,'Painel International'!$B27,'Data International'!$Q:$Q,"&lt;=-181",'Data International'!$Q:$Q,"&gt;=-360")</f>
        <v>0</v>
      </c>
      <c r="W27" s="23">
        <f>SUMIFS('Data International'!$D:$D,'Data International'!$P:$P,'Painel International'!$B27,'Data International'!$Q:$Q,"&lt;-360")</f>
        <v>0</v>
      </c>
      <c r="X27" s="19">
        <f>SUMIFS('Bad Debt Provision'!AB:AB,'Bad Debt Provision'!B:B,'Painel International'!B27)</f>
        <v>13485.2307</v>
      </c>
      <c r="Z27" s="5"/>
      <c r="AA27" s="19">
        <f>_xlfn.XLOOKUP(B27,'Limite de crédito'!C:C,'Limite de crédito'!O:O,0)</f>
        <v>0</v>
      </c>
      <c r="AB27" s="19"/>
      <c r="AC27" s="20"/>
      <c r="AD27" s="22"/>
      <c r="AE27" s="22"/>
      <c r="AF27" s="5"/>
      <c r="AG27" s="28">
        <f>AA27-G27</f>
        <v>-449507.68999999994</v>
      </c>
      <c r="AI27" s="260">
        <v>20000</v>
      </c>
    </row>
    <row r="28" spans="2:35" x14ac:dyDescent="0.25">
      <c r="B28" s="41" t="s">
        <v>567</v>
      </c>
      <c r="C28" s="19" t="str">
        <f>IFERROR(_xlfn.XLOOKUP(B28,'Limite de crédito'!C:C,'Limite de crédito'!L:L,),0)</f>
        <v>B</v>
      </c>
      <c r="D28" s="19"/>
      <c r="E28" s="105">
        <f>_xlfn.XLOOKUP(B28,'Limite de crédito'!C:C,'Limite de crédito'!G:G,0)</f>
        <v>550000</v>
      </c>
      <c r="F28" s="18">
        <f t="shared" si="3"/>
        <v>412283.08999999997</v>
      </c>
      <c r="G28" s="18">
        <f t="shared" si="2"/>
        <v>137716.91</v>
      </c>
      <c r="H28" s="19">
        <f>SUMIFS('Data International'!$D:$D,'Data International'!$P:$P,'Painel International'!$B28,'Data International'!$Q:$Q,"&gt;0",'Data International'!$Q:$Q,"&lt;=30")</f>
        <v>0</v>
      </c>
      <c r="I28" s="19">
        <f>SUMIFS('Data International'!$D:$D,'Data International'!$P:$P,'Painel International'!$B28,'Data International'!$Q:$Q,"&gt;30",'Data International'!$Q:$Q,"&lt;=60")</f>
        <v>0</v>
      </c>
      <c r="J28" s="19">
        <f>SUMIFS('Data International'!$D:$D,'Data International'!$P:$P,'Painel International'!$B28,'Data International'!$Q:$Q,"&gt;60",'Data International'!$Q:$Q,"&lt;=90")</f>
        <v>0</v>
      </c>
      <c r="K28" s="19">
        <f>SUMIFS('Data International'!$D:$D,'Data International'!$P:$P,'Painel International'!$B28,'Data International'!$Q:$Q,"&gt;90",'Data International'!$Q:$Q,"&lt;=120")</f>
        <v>0</v>
      </c>
      <c r="L28" s="19">
        <f>SUMIFS('Data International'!$D:$D,'Data International'!$P:$P,'Painel International'!$B28,'Data International'!$Q:$Q,"&gt;120",'Data International'!$Q:$Q,"&lt;=180")</f>
        <v>0</v>
      </c>
      <c r="M28" s="19">
        <f>SUMIFS('Data International'!$D:$D,'Data International'!$P:$P,'Painel International'!$B28,'Data International'!$Q:$Q,"&gt;180",'Data International'!$Q:$Q,"&lt;=360")</f>
        <v>0</v>
      </c>
      <c r="N28" s="23">
        <f>SUMIFS('Data International'!$D:$D,'Data International'!$P:$P,'Painel International'!$B28,'Data International'!$Q:$Q,"&gt;360")</f>
        <v>0</v>
      </c>
      <c r="O28" s="19">
        <f>SUMIFS('Data International'!$D:$D,'Data International'!$P:$P,'Painel International'!$B28,'Data International'!$Q:$Q,"&gt;0")</f>
        <v>0</v>
      </c>
      <c r="P28" s="19">
        <f t="shared" si="4"/>
        <v>137716.91</v>
      </c>
      <c r="Q28" s="19">
        <f>SUMIFS('Data International'!$D:$D,'Data International'!$P:$P,'Painel International'!$B28,'Data International'!$Q:$Q,"&lt;=0",'Data International'!$Q:$Q,"&gt;=-30")</f>
        <v>137716.91</v>
      </c>
      <c r="R28" s="19">
        <f>SUMIFS('Data International'!$D:$D,'Data International'!$P:$P,'Painel International'!$B28,'Data International'!$Q:$Q,"&lt;=-31",'Data International'!$Q:$Q,"&gt;=-60")</f>
        <v>0</v>
      </c>
      <c r="S28" s="19">
        <f>SUMIFS('Data International'!$D:$D,'Data International'!$P:$P,'Painel International'!$B28,'Data International'!$Q:$Q,"&lt;=-61",'Data International'!$Q:$Q,"&gt;=-90")</f>
        <v>0</v>
      </c>
      <c r="T28" s="19">
        <f>SUMIFS('Data International'!$D:$D,'Data International'!$P:$P,'Painel International'!$B28,'Data International'!$Q:$Q,"&lt;=-91",'Data International'!$Q:$Q,"&gt;=-120")</f>
        <v>0</v>
      </c>
      <c r="U28" s="19">
        <f>SUMIFS('Data International'!$D:$D,'Data International'!$P:$P,'Painel International'!$B28,'Data International'!$Q:$Q,"&lt;=-121",'Data International'!$Q:$Q,"&gt;=-180")</f>
        <v>0</v>
      </c>
      <c r="V28" s="19">
        <f>SUMIFS('Data International'!$D:$D,'Data International'!$P:$P,'Painel International'!$B28,'Data International'!$Q:$Q,"&lt;=-181",'Data International'!$Q:$Q,"&gt;=-360")</f>
        <v>0</v>
      </c>
      <c r="W28" s="23">
        <f>SUMIFS('Data International'!$D:$D,'Data International'!$P:$P,'Painel International'!$B28,'Data International'!$Q:$Q,"&lt;-360")</f>
        <v>0</v>
      </c>
      <c r="X28" s="19">
        <f>SUMIFS('Bad Debt Provision'!AB:AB,'Bad Debt Provision'!B:B,'Painel International'!B28)</f>
        <v>0</v>
      </c>
      <c r="Z28" s="5"/>
      <c r="AA28" s="19">
        <f>_xlfn.XLOOKUP(B28,'Limite de crédito'!C:C,'Limite de crédito'!O:O,0)</f>
        <v>550000</v>
      </c>
      <c r="AB28" s="19"/>
      <c r="AC28" s="20"/>
      <c r="AD28" s="22"/>
      <c r="AE28" s="22"/>
      <c r="AF28" s="5"/>
      <c r="AG28" s="28">
        <f t="shared" si="5"/>
        <v>412283.08999999997</v>
      </c>
      <c r="AI28" s="260"/>
    </row>
    <row r="29" spans="2:35" x14ac:dyDescent="0.25">
      <c r="B29" s="41" t="s">
        <v>587</v>
      </c>
      <c r="C29" s="19" t="str">
        <f>IFERROR(_xlfn.XLOOKUP(B29,'Limite de crédito'!C:C,'Limite de crédito'!L:L,),0)</f>
        <v>A</v>
      </c>
      <c r="D29" s="19"/>
      <c r="E29" s="105">
        <f>_xlfn.XLOOKUP(B29,'Limite de crédito'!C:C,'Limite de crédito'!G:G,0)</f>
        <v>660000</v>
      </c>
      <c r="F29" s="18">
        <f t="shared" ref="F29" si="6">E29-G29</f>
        <v>660000</v>
      </c>
      <c r="G29" s="18">
        <f t="shared" ref="G29" si="7">P29+O29</f>
        <v>0</v>
      </c>
      <c r="H29" s="19">
        <f>SUMIFS('Data International'!$D:$D,'Data International'!$P:$P,'Painel International'!$B29,'Data International'!$Q:$Q,"&gt;0",'Data International'!$Q:$Q,"&lt;=30")</f>
        <v>0</v>
      </c>
      <c r="I29" s="19">
        <f>SUMIFS('Data International'!$D:$D,'Data International'!$P:$P,'Painel International'!$B29,'Data International'!$Q:$Q,"&gt;30",'Data International'!$Q:$Q,"&lt;=60")</f>
        <v>0</v>
      </c>
      <c r="J29" s="19">
        <f>SUMIFS('Data International'!$D:$D,'Data International'!$P:$P,'Painel International'!$B29,'Data International'!$Q:$Q,"&gt;60",'Data International'!$Q:$Q,"&lt;=90")</f>
        <v>0</v>
      </c>
      <c r="K29" s="19">
        <f>SUMIFS('Data International'!$D:$D,'Data International'!$P:$P,'Painel International'!$B29,'Data International'!$Q:$Q,"&gt;90",'Data International'!$Q:$Q,"&lt;=120")</f>
        <v>0</v>
      </c>
      <c r="L29" s="19">
        <f>SUMIFS('Data International'!$D:$D,'Data International'!$P:$P,'Painel International'!$B29,'Data International'!$Q:$Q,"&gt;120",'Data International'!$Q:$Q,"&lt;=180")</f>
        <v>0</v>
      </c>
      <c r="M29" s="19">
        <f>SUMIFS('Data International'!$D:$D,'Data International'!$P:$P,'Painel International'!$B29,'Data International'!$Q:$Q,"&gt;180",'Data International'!$Q:$Q,"&lt;=360")</f>
        <v>0</v>
      </c>
      <c r="N29" s="23">
        <f>SUMIFS('Data International'!$D:$D,'Data International'!$P:$P,'Painel International'!$B29,'Data International'!$Q:$Q,"&gt;360")</f>
        <v>0</v>
      </c>
      <c r="O29" s="19">
        <f>SUMIFS('Data International'!$D:$D,'Data International'!$P:$P,'Painel International'!$B29,'Data International'!$Q:$Q,"&gt;0")</f>
        <v>0</v>
      </c>
      <c r="P29" s="19">
        <f t="shared" ref="P29" si="8">SUM(Q29:W29)</f>
        <v>0</v>
      </c>
      <c r="Q29" s="19">
        <f>SUMIFS('Data International'!$D:$D,'Data International'!$P:$P,'Painel International'!$B29,'Data International'!$Q:$Q,"&lt;=0",'Data International'!$Q:$Q,"&gt;=-30")</f>
        <v>0</v>
      </c>
      <c r="R29" s="19">
        <f>SUMIFS('Data International'!$D:$D,'Data International'!$P:$P,'Painel International'!$B29,'Data International'!$Q:$Q,"&lt;=-31",'Data International'!$Q:$Q,"&gt;=-60")</f>
        <v>0</v>
      </c>
      <c r="S29" s="19">
        <f>SUMIFS('Data International'!$D:$D,'Data International'!$P:$P,'Painel International'!$B29,'Data International'!$Q:$Q,"&lt;=-61",'Data International'!$Q:$Q,"&gt;=-90")</f>
        <v>0</v>
      </c>
      <c r="T29" s="19">
        <f>SUMIFS('Data International'!$D:$D,'Data International'!$P:$P,'Painel International'!$B29,'Data International'!$Q:$Q,"&lt;=-91",'Data International'!$Q:$Q,"&gt;=-120")</f>
        <v>0</v>
      </c>
      <c r="U29" s="19">
        <f>SUMIFS('Data International'!$D:$D,'Data International'!$P:$P,'Painel International'!$B29,'Data International'!$Q:$Q,"&lt;=-121",'Data International'!$Q:$Q,"&gt;=-180")</f>
        <v>0</v>
      </c>
      <c r="V29" s="19">
        <f>SUMIFS('Data International'!$D:$D,'Data International'!$P:$P,'Painel International'!$B29,'Data International'!$Q:$Q,"&lt;=-181",'Data International'!$Q:$Q,"&gt;=-360")</f>
        <v>0</v>
      </c>
      <c r="W29" s="23">
        <f>SUMIFS('Data International'!$D:$D,'Data International'!$P:$P,'Painel International'!$B29,'Data International'!$Q:$Q,"&lt;-360")</f>
        <v>0</v>
      </c>
      <c r="X29" s="19">
        <f>SUMIFS('Bad Debt Provision'!AB:AB,'Bad Debt Provision'!B:B,'Painel International'!B29)</f>
        <v>0</v>
      </c>
      <c r="Z29" s="5"/>
      <c r="AA29" s="19">
        <f>_xlfn.XLOOKUP(B29,'Limite de crédito'!C:C,'Limite de crédito'!O:O,0)</f>
        <v>660000</v>
      </c>
      <c r="AB29" s="19"/>
      <c r="AC29" s="20"/>
      <c r="AD29" s="22"/>
      <c r="AE29" s="22"/>
      <c r="AF29" s="5"/>
      <c r="AG29" s="28">
        <f t="shared" si="5"/>
        <v>660000</v>
      </c>
      <c r="AI29" s="260"/>
    </row>
    <row r="30" spans="2:35" x14ac:dyDescent="0.25">
      <c r="B30" s="41" t="s">
        <v>640</v>
      </c>
      <c r="C30" s="19" t="str">
        <f>IFERROR(_xlfn.XLOOKUP(B30,'Limite de crédito'!C:C,'Limite de crédito'!L:L,),0)</f>
        <v>B</v>
      </c>
      <c r="D30" s="19"/>
      <c r="E30" s="105">
        <f>_xlfn.XLOOKUP(B30,'Limite de crédito'!C:C,'Limite de crédito'!G:G,0)</f>
        <v>990000</v>
      </c>
      <c r="F30" s="18">
        <f t="shared" ref="F30" si="9">E30-G30</f>
        <v>940043.32</v>
      </c>
      <c r="G30" s="18">
        <f t="shared" ref="G30" si="10">P30+O30</f>
        <v>49956.68</v>
      </c>
      <c r="H30" s="19">
        <f>SUMIFS('Data International'!$D:$D,'Data International'!$P:$P,'Painel International'!$B30,'Data International'!$Q:$Q,"&gt;0",'Data International'!$Q:$Q,"&lt;=30")</f>
        <v>0</v>
      </c>
      <c r="I30" s="19">
        <f>SUMIFS('Data International'!$D:$D,'Data International'!$P:$P,'Painel International'!$B30,'Data International'!$Q:$Q,"&gt;30",'Data International'!$Q:$Q,"&lt;=60")</f>
        <v>0</v>
      </c>
      <c r="J30" s="19">
        <f>SUMIFS('Data International'!$D:$D,'Data International'!$P:$P,'Painel International'!$B30,'Data International'!$Q:$Q,"&gt;60",'Data International'!$Q:$Q,"&lt;=90")</f>
        <v>0</v>
      </c>
      <c r="K30" s="19">
        <f>SUMIFS('Data International'!$D:$D,'Data International'!$P:$P,'Painel International'!$B30,'Data International'!$Q:$Q,"&gt;90",'Data International'!$Q:$Q,"&lt;=120")</f>
        <v>0</v>
      </c>
      <c r="L30" s="19">
        <f>SUMIFS('Data International'!$D:$D,'Data International'!$P:$P,'Painel International'!$B30,'Data International'!$Q:$Q,"&gt;120",'Data International'!$Q:$Q,"&lt;=180")</f>
        <v>0</v>
      </c>
      <c r="M30" s="19">
        <f>SUMIFS('Data International'!$D:$D,'Data International'!$P:$P,'Painel International'!$B30,'Data International'!$Q:$Q,"&gt;180",'Data International'!$Q:$Q,"&lt;=360")</f>
        <v>0</v>
      </c>
      <c r="N30" s="23">
        <f>SUMIFS('Data International'!$D:$D,'Data International'!$P:$P,'Painel International'!$B30,'Data International'!$Q:$Q,"&gt;360")</f>
        <v>0</v>
      </c>
      <c r="O30" s="19">
        <f>SUMIFS('Data International'!$D:$D,'Data International'!$P:$P,'Painel International'!$B30,'Data International'!$Q:$Q,"&gt;0")</f>
        <v>0</v>
      </c>
      <c r="P30" s="19">
        <f t="shared" ref="P30" si="11">SUM(Q30:W30)</f>
        <v>49956.68</v>
      </c>
      <c r="Q30" s="19">
        <f>SUMIFS('Data International'!$D:$D,'Data International'!$P:$P,'Painel International'!$B30,'Data International'!$Q:$Q,"&lt;=0",'Data International'!$Q:$Q,"&gt;=-30")</f>
        <v>0</v>
      </c>
      <c r="R30" s="19">
        <f>SUMIFS('Data International'!$D:$D,'Data International'!$P:$P,'Painel International'!$B30,'Data International'!$Q:$Q,"&lt;=-31",'Data International'!$Q:$Q,"&gt;=-60")</f>
        <v>49956.68</v>
      </c>
      <c r="S30" s="19">
        <f>SUMIFS('Data International'!$D:$D,'Data International'!$P:$P,'Painel International'!$B30,'Data International'!$Q:$Q,"&lt;=-61",'Data International'!$Q:$Q,"&gt;=-90")</f>
        <v>0</v>
      </c>
      <c r="T30" s="19">
        <f>SUMIFS('Data International'!$D:$D,'Data International'!$P:$P,'Painel International'!$B30,'Data International'!$Q:$Q,"&lt;=-91",'Data International'!$Q:$Q,"&gt;=-120")</f>
        <v>0</v>
      </c>
      <c r="U30" s="19">
        <f>SUMIFS('Data International'!$D:$D,'Data International'!$P:$P,'Painel International'!$B30,'Data International'!$Q:$Q,"&lt;=-121",'Data International'!$Q:$Q,"&gt;=-180")</f>
        <v>0</v>
      </c>
      <c r="V30" s="19">
        <f>SUMIFS('Data International'!$D:$D,'Data International'!$P:$P,'Painel International'!$B30,'Data International'!$Q:$Q,"&lt;=-181",'Data International'!$Q:$Q,"&gt;=-360")</f>
        <v>0</v>
      </c>
      <c r="W30" s="23">
        <f>SUMIFS('Data International'!$D:$D,'Data International'!$P:$P,'Painel International'!$B30,'Data International'!$Q:$Q,"&lt;-360")</f>
        <v>0</v>
      </c>
      <c r="X30" s="19">
        <f>SUMIFS('Bad Debt Provision'!AB:AB,'Bad Debt Provision'!B:B,'Painel International'!B30)</f>
        <v>0</v>
      </c>
      <c r="Z30" s="5"/>
      <c r="AA30" s="19">
        <f>_xlfn.XLOOKUP(B30,'Limite de crédito'!C:C,'Limite de crédito'!O:O,0)</f>
        <v>990000</v>
      </c>
      <c r="AB30" s="19"/>
      <c r="AC30" s="20"/>
      <c r="AD30" s="22"/>
      <c r="AE30" s="22"/>
      <c r="AF30" s="5"/>
      <c r="AG30" s="28">
        <f t="shared" si="5"/>
        <v>940043.32</v>
      </c>
      <c r="AI30" s="260">
        <v>30000</v>
      </c>
    </row>
    <row r="31" spans="2:35" x14ac:dyDescent="0.25">
      <c r="B31" s="41" t="s">
        <v>304</v>
      </c>
      <c r="C31" s="19" t="str">
        <f>IFERROR(_xlfn.XLOOKUP(B31,'Limite de crédito'!C:C,'Limite de crédito'!L:L,),0)</f>
        <v>A</v>
      </c>
      <c r="D31" s="19"/>
      <c r="E31" s="105">
        <f>_xlfn.XLOOKUP(B31,'Limite de crédito'!C:C,'Limite de crédito'!G:G,0)</f>
        <v>550000</v>
      </c>
      <c r="F31" s="18">
        <f t="shared" ref="F31" si="12">E31-G31</f>
        <v>463310.9</v>
      </c>
      <c r="G31" s="18">
        <f t="shared" ref="G31" si="13">P31+O31</f>
        <v>86689.1</v>
      </c>
      <c r="H31" s="19">
        <f>SUMIFS('Data International'!$D:$D,'Data International'!$P:$P,'Painel International'!$B31,'Data International'!$Q:$Q,"&gt;0",'Data International'!$Q:$Q,"&lt;=30")</f>
        <v>0</v>
      </c>
      <c r="I31" s="19">
        <f>SUMIFS('Data International'!$D:$D,'Data International'!$P:$P,'Painel International'!$B31,'Data International'!$Q:$Q,"&gt;30",'Data International'!$Q:$Q,"&lt;=60")</f>
        <v>0</v>
      </c>
      <c r="J31" s="19">
        <f>SUMIFS('Data International'!$D:$D,'Data International'!$P:$P,'Painel International'!$B31,'Data International'!$Q:$Q,"&gt;60",'Data International'!$Q:$Q,"&lt;=90")</f>
        <v>0</v>
      </c>
      <c r="K31" s="19">
        <f>SUMIFS('Data International'!$D:$D,'Data International'!$P:$P,'Painel International'!$B31,'Data International'!$Q:$Q,"&gt;90",'Data International'!$Q:$Q,"&lt;=120")</f>
        <v>0</v>
      </c>
      <c r="L31" s="19">
        <f>SUMIFS('Data International'!$D:$D,'Data International'!$P:$P,'Painel International'!$B31,'Data International'!$Q:$Q,"&gt;120",'Data International'!$Q:$Q,"&lt;=180")</f>
        <v>0</v>
      </c>
      <c r="M31" s="19">
        <f>SUMIFS('Data International'!$D:$D,'Data International'!$P:$P,'Painel International'!$B31,'Data International'!$Q:$Q,"&gt;180",'Data International'!$Q:$Q,"&lt;=360")</f>
        <v>0</v>
      </c>
      <c r="N31" s="23">
        <f>SUMIFS('Data International'!$D:$D,'Data International'!$P:$P,'Painel International'!$B31,'Data International'!$Q:$Q,"&gt;360")</f>
        <v>0</v>
      </c>
      <c r="O31" s="19">
        <f>SUMIFS('Data International'!$D:$D,'Data International'!$P:$P,'Painel International'!$B31,'Data International'!$Q:$Q,"&gt;0")</f>
        <v>0</v>
      </c>
      <c r="P31" s="19">
        <f t="shared" ref="P31" si="14">SUM(Q31:W31)</f>
        <v>86689.1</v>
      </c>
      <c r="Q31" s="19">
        <f>SUMIFS('Data International'!$D:$D,'Data International'!$P:$P,'Painel International'!$B31,'Data International'!$Q:$Q,"&lt;=0",'Data International'!$Q:$Q,"&gt;=-30")</f>
        <v>86689.1</v>
      </c>
      <c r="R31" s="19">
        <f>SUMIFS('Data International'!$D:$D,'Data International'!$P:$P,'Painel International'!$B31,'Data International'!$Q:$Q,"&lt;=-31",'Data International'!$Q:$Q,"&gt;=-60")</f>
        <v>0</v>
      </c>
      <c r="S31" s="19">
        <f>SUMIFS('Data International'!$D:$D,'Data International'!$P:$P,'Painel International'!$B31,'Data International'!$Q:$Q,"&lt;=-61",'Data International'!$Q:$Q,"&gt;=-90")</f>
        <v>0</v>
      </c>
      <c r="T31" s="19">
        <f>SUMIFS('Data International'!$D:$D,'Data International'!$P:$P,'Painel International'!$B31,'Data International'!$Q:$Q,"&lt;=-91",'Data International'!$Q:$Q,"&gt;=-120")</f>
        <v>0</v>
      </c>
      <c r="U31" s="19">
        <f>SUMIFS('Data International'!$D:$D,'Data International'!$P:$P,'Painel International'!$B31,'Data International'!$Q:$Q,"&lt;=-121",'Data International'!$Q:$Q,"&gt;=-180")</f>
        <v>0</v>
      </c>
      <c r="V31" s="19">
        <f>SUMIFS('Data International'!$D:$D,'Data International'!$P:$P,'Painel International'!$B31,'Data International'!$Q:$Q,"&lt;=-181",'Data International'!$Q:$Q,"&gt;=-360")</f>
        <v>0</v>
      </c>
      <c r="W31" s="23">
        <f>SUMIFS('Data International'!$D:$D,'Data International'!$P:$P,'Painel International'!$B31,'Data International'!$Q:$Q,"&lt;-360")</f>
        <v>0</v>
      </c>
      <c r="X31" s="19">
        <f>SUMIFS('Bad Debt Provision'!AB:AB,'Bad Debt Provision'!B:B,'Painel International'!B31)</f>
        <v>0</v>
      </c>
      <c r="Z31" s="5"/>
      <c r="AA31" s="19">
        <f>_xlfn.XLOOKUP(B31,'Limite de crédito'!C:C,'Limite de crédito'!O:O,0)</f>
        <v>550000</v>
      </c>
      <c r="AB31" s="19"/>
      <c r="AC31" s="20"/>
      <c r="AD31" s="22"/>
      <c r="AE31" s="22"/>
      <c r="AF31" s="5"/>
      <c r="AG31" s="28">
        <f t="shared" si="5"/>
        <v>463310.9</v>
      </c>
      <c r="AI31" s="260">
        <v>20000</v>
      </c>
    </row>
    <row r="32" spans="2:35" x14ac:dyDescent="0.25">
      <c r="B32" s="41" t="s">
        <v>647</v>
      </c>
      <c r="C32" s="19" t="str">
        <f>IFERROR(_xlfn.XLOOKUP(B32,'Limite de crédito'!C:C,'Limite de crédito'!L:L,),0)</f>
        <v>B</v>
      </c>
      <c r="D32" s="19"/>
      <c r="E32" s="105">
        <f>_xlfn.XLOOKUP(B32,'Limite de crédito'!C:C,'Limite de crédito'!G:G,0)</f>
        <v>330000</v>
      </c>
      <c r="F32" s="18">
        <f t="shared" ref="F32" si="15">E32-G32</f>
        <v>330000</v>
      </c>
      <c r="G32" s="18">
        <f t="shared" ref="G32" si="16">P32+O32</f>
        <v>0</v>
      </c>
      <c r="H32" s="19">
        <f>SUMIFS('Data International'!$D:$D,'Data International'!$P:$P,'Painel International'!$B32,'Data International'!$Q:$Q,"&gt;0",'Data International'!$Q:$Q,"&lt;=30")</f>
        <v>0</v>
      </c>
      <c r="I32" s="19">
        <f>SUMIFS('Data International'!$D:$D,'Data International'!$P:$P,'Painel International'!$B32,'Data International'!$Q:$Q,"&gt;30",'Data International'!$Q:$Q,"&lt;=60")</f>
        <v>0</v>
      </c>
      <c r="J32" s="19">
        <f>SUMIFS('Data International'!$D:$D,'Data International'!$P:$P,'Painel International'!$B32,'Data International'!$Q:$Q,"&gt;60",'Data International'!$Q:$Q,"&lt;=90")</f>
        <v>0</v>
      </c>
      <c r="K32" s="19">
        <f>SUMIFS('Data International'!$D:$D,'Data International'!$P:$P,'Painel International'!$B32,'Data International'!$Q:$Q,"&gt;90",'Data International'!$Q:$Q,"&lt;=120")</f>
        <v>0</v>
      </c>
      <c r="L32" s="19">
        <f>SUMIFS('Data International'!$D:$D,'Data International'!$P:$P,'Painel International'!$B32,'Data International'!$Q:$Q,"&gt;120",'Data International'!$Q:$Q,"&lt;=180")</f>
        <v>0</v>
      </c>
      <c r="M32" s="19">
        <f>SUMIFS('Data International'!$D:$D,'Data International'!$P:$P,'Painel International'!$B32,'Data International'!$Q:$Q,"&gt;180",'Data International'!$Q:$Q,"&lt;=360")</f>
        <v>0</v>
      </c>
      <c r="N32" s="23">
        <f>SUMIFS('Data International'!$D:$D,'Data International'!$P:$P,'Painel International'!$B32,'Data International'!$Q:$Q,"&gt;360")</f>
        <v>0</v>
      </c>
      <c r="O32" s="19">
        <f>SUMIFS('Data International'!$D:$D,'Data International'!$P:$P,'Painel International'!$B32,'Data International'!$Q:$Q,"&gt;0")</f>
        <v>0</v>
      </c>
      <c r="P32" s="19">
        <f t="shared" ref="P32" si="17">SUM(Q32:W32)</f>
        <v>0</v>
      </c>
      <c r="Q32" s="19">
        <f>SUMIFS('Data International'!$D:$D,'Data International'!$P:$P,'Painel International'!$B32,'Data International'!$Q:$Q,"&lt;=0",'Data International'!$Q:$Q,"&gt;=-30")</f>
        <v>0</v>
      </c>
      <c r="R32" s="19">
        <f>SUMIFS('Data International'!$D:$D,'Data International'!$P:$P,'Painel International'!$B32,'Data International'!$Q:$Q,"&lt;=-31",'Data International'!$Q:$Q,"&gt;=-60")</f>
        <v>0</v>
      </c>
      <c r="S32" s="19">
        <f>SUMIFS('Data International'!$D:$D,'Data International'!$P:$P,'Painel International'!$B32,'Data International'!$Q:$Q,"&lt;=-61",'Data International'!$Q:$Q,"&gt;=-90")</f>
        <v>0</v>
      </c>
      <c r="T32" s="19">
        <f>SUMIFS('Data International'!$D:$D,'Data International'!$P:$P,'Painel International'!$B32,'Data International'!$Q:$Q,"&lt;=-91",'Data International'!$Q:$Q,"&gt;=-120")</f>
        <v>0</v>
      </c>
      <c r="U32" s="19">
        <f>SUMIFS('Data International'!$D:$D,'Data International'!$P:$P,'Painel International'!$B32,'Data International'!$Q:$Q,"&lt;=-121",'Data International'!$Q:$Q,"&gt;=-180")</f>
        <v>0</v>
      </c>
      <c r="V32" s="19">
        <f>SUMIFS('Data International'!$D:$D,'Data International'!$P:$P,'Painel International'!$B32,'Data International'!$Q:$Q,"&lt;=-181",'Data International'!$Q:$Q,"&gt;=-360")</f>
        <v>0</v>
      </c>
      <c r="W32" s="23">
        <f>SUMIFS('Data International'!$D:$D,'Data International'!$P:$P,'Painel International'!$B32,'Data International'!$Q:$Q,"&lt;-360")</f>
        <v>0</v>
      </c>
      <c r="X32" s="19">
        <f>SUMIFS('Bad Debt Provision'!AB:AB,'Bad Debt Provision'!B:B,'Painel International'!B32)</f>
        <v>0</v>
      </c>
      <c r="Z32" s="5"/>
      <c r="AA32" s="19">
        <f>_xlfn.XLOOKUP(B32,'Limite de crédito'!C:C,'Limite de crédito'!O:O,0)</f>
        <v>330000</v>
      </c>
      <c r="AB32" s="19"/>
      <c r="AC32" s="20"/>
      <c r="AD32" s="22"/>
      <c r="AE32" s="22"/>
      <c r="AF32" s="5"/>
      <c r="AG32" s="28">
        <f t="shared" si="5"/>
        <v>330000</v>
      </c>
      <c r="AI32" s="259"/>
    </row>
    <row r="33" spans="2:35" x14ac:dyDescent="0.25">
      <c r="B33" s="41" t="s">
        <v>391</v>
      </c>
      <c r="C33" s="19" t="str">
        <f>IFERROR(_xlfn.XLOOKUP(B33,'Limite de crédito'!C:C,'Limite de crédito'!L:L,),0)</f>
        <v>B</v>
      </c>
      <c r="D33" s="19"/>
      <c r="E33" s="105">
        <f>_xlfn.XLOOKUP(B33,'Limite de crédito'!C:C,'Limite de crédito'!G:G,0)</f>
        <v>412500</v>
      </c>
      <c r="F33" s="18">
        <f t="shared" ref="F33" si="18">E33-G33</f>
        <v>412500</v>
      </c>
      <c r="G33" s="18">
        <f t="shared" ref="G33" si="19">P33+O33</f>
        <v>0</v>
      </c>
      <c r="H33" s="19">
        <f>SUMIFS('Data International'!$D:$D,'Data International'!$P:$P,'Painel International'!$B33,'Data International'!$Q:$Q,"&gt;0",'Data International'!$Q:$Q,"&lt;=30")</f>
        <v>0</v>
      </c>
      <c r="I33" s="19">
        <f>SUMIFS('Data International'!$D:$D,'Data International'!$P:$P,'Painel International'!$B33,'Data International'!$Q:$Q,"&gt;30",'Data International'!$Q:$Q,"&lt;=60")</f>
        <v>0</v>
      </c>
      <c r="J33" s="19">
        <f>SUMIFS('Data International'!$D:$D,'Data International'!$P:$P,'Painel International'!$B33,'Data International'!$Q:$Q,"&gt;60",'Data International'!$Q:$Q,"&lt;=90")</f>
        <v>0</v>
      </c>
      <c r="K33" s="19">
        <f>SUMIFS('Data International'!$D:$D,'Data International'!$P:$P,'Painel International'!$B33,'Data International'!$Q:$Q,"&gt;90",'Data International'!$Q:$Q,"&lt;=120")</f>
        <v>0</v>
      </c>
      <c r="L33" s="19">
        <f>SUMIFS('Data International'!$D:$D,'Data International'!$P:$P,'Painel International'!$B33,'Data International'!$Q:$Q,"&gt;120",'Data International'!$Q:$Q,"&lt;=180")</f>
        <v>0</v>
      </c>
      <c r="M33" s="19">
        <f>SUMIFS('Data International'!$D:$D,'Data International'!$P:$P,'Painel International'!$B33,'Data International'!$Q:$Q,"&gt;180",'Data International'!$Q:$Q,"&lt;=360")</f>
        <v>0</v>
      </c>
      <c r="N33" s="23">
        <f>SUMIFS('Data International'!$D:$D,'Data International'!$P:$P,'Painel International'!$B33,'Data International'!$Q:$Q,"&gt;360")</f>
        <v>0</v>
      </c>
      <c r="O33" s="19">
        <f>SUMIFS('Data International'!$D:$D,'Data International'!$P:$P,'Painel International'!$B33,'Data International'!$Q:$Q,"&gt;0")</f>
        <v>0</v>
      </c>
      <c r="P33" s="19">
        <f t="shared" ref="P33" si="20">SUM(Q33:W33)</f>
        <v>0</v>
      </c>
      <c r="Q33" s="19">
        <f>SUMIFS('Data International'!$D:$D,'Data International'!$P:$P,'Painel International'!$B33,'Data International'!$Q:$Q,"&lt;=0",'Data International'!$Q:$Q,"&gt;=-30")</f>
        <v>0</v>
      </c>
      <c r="R33" s="19">
        <f>SUMIFS('Data International'!$D:$D,'Data International'!$P:$P,'Painel International'!$B33,'Data International'!$Q:$Q,"&lt;=-31",'Data International'!$Q:$Q,"&gt;=-60")</f>
        <v>0</v>
      </c>
      <c r="S33" s="19">
        <f>SUMIFS('Data International'!$D:$D,'Data International'!$P:$P,'Painel International'!$B33,'Data International'!$Q:$Q,"&lt;=-61",'Data International'!$Q:$Q,"&gt;=-90")</f>
        <v>0</v>
      </c>
      <c r="T33" s="19">
        <f>SUMIFS('Data International'!$D:$D,'Data International'!$P:$P,'Painel International'!$B33,'Data International'!$Q:$Q,"&lt;=-91",'Data International'!$Q:$Q,"&gt;=-120")</f>
        <v>0</v>
      </c>
      <c r="U33" s="19">
        <f>SUMIFS('Data International'!$D:$D,'Data International'!$P:$P,'Painel International'!$B33,'Data International'!$Q:$Q,"&lt;=-121",'Data International'!$Q:$Q,"&gt;=-180")</f>
        <v>0</v>
      </c>
      <c r="V33" s="19">
        <f>SUMIFS('Data International'!$D:$D,'Data International'!$P:$P,'Painel International'!$B33,'Data International'!$Q:$Q,"&lt;=-181",'Data International'!$Q:$Q,"&gt;=-360")</f>
        <v>0</v>
      </c>
      <c r="W33" s="23">
        <f>SUMIFS('Data International'!$D:$D,'Data International'!$P:$P,'Painel International'!$B33,'Data International'!$Q:$Q,"&lt;-360")</f>
        <v>0</v>
      </c>
      <c r="X33" s="19">
        <f>SUMIFS('Bad Debt Provision'!AB:AB,'Bad Debt Provision'!B:B,'Painel International'!B33)</f>
        <v>0</v>
      </c>
      <c r="Z33" s="5"/>
      <c r="AA33" s="19">
        <f>_xlfn.XLOOKUP(B33,'Limite de crédito'!C:C,'Limite de crédito'!O:O,0)</f>
        <v>412500</v>
      </c>
      <c r="AB33" s="19"/>
      <c r="AC33" s="20"/>
      <c r="AD33" s="22"/>
      <c r="AE33" s="22"/>
      <c r="AF33" s="5"/>
      <c r="AG33" s="28">
        <f>AA33-G33</f>
        <v>412500</v>
      </c>
      <c r="AI33" s="259"/>
    </row>
    <row r="34" spans="2:35" x14ac:dyDescent="0.25">
      <c r="B34" s="41" t="s">
        <v>670</v>
      </c>
      <c r="C34" s="19">
        <f>IFERROR(_xlfn.XLOOKUP(B34,'Limite de crédito'!C:C,'Limite de crédito'!L:L,),0)</f>
        <v>0</v>
      </c>
      <c r="D34" s="19"/>
      <c r="E34" s="105">
        <f>_xlfn.XLOOKUP(B34,'Limite de crédito'!C:C,'Limite de crédito'!G:G,0)</f>
        <v>0</v>
      </c>
      <c r="F34" s="18">
        <f>E34-G34</f>
        <v>-1380.52</v>
      </c>
      <c r="G34" s="18">
        <f>P34+O34</f>
        <v>1380.52</v>
      </c>
      <c r="H34" s="19">
        <f>SUMIFS('Data International'!$D:$D,'Data International'!$P:$P,'Painel International'!$B34,'Data International'!$Q:$Q,"&gt;0",'Data International'!$Q:$Q,"&lt;=30")</f>
        <v>0</v>
      </c>
      <c r="I34" s="19">
        <f>SUMIFS('Data International'!$D:$D,'Data International'!$P:$P,'Painel International'!$B34,'Data International'!$Q:$Q,"&gt;30",'Data International'!$Q:$Q,"&lt;=60")</f>
        <v>0</v>
      </c>
      <c r="J34" s="19">
        <f>SUMIFS('Data International'!$D:$D,'Data International'!$P:$P,'Painel International'!$B34,'Data International'!$Q:$Q,"&gt;60",'Data International'!$Q:$Q,"&lt;=90")</f>
        <v>0</v>
      </c>
      <c r="K34" s="19">
        <f>SUMIFS('Data International'!$D:$D,'Data International'!$P:$P,'Painel International'!$B34,'Data International'!$Q:$Q,"&gt;90",'Data International'!$Q:$Q,"&lt;=120")</f>
        <v>0</v>
      </c>
      <c r="L34" s="19">
        <f>SUMIFS('Data International'!$D:$D,'Data International'!$P:$P,'Painel International'!$B34,'Data International'!$Q:$Q,"&gt;120",'Data International'!$Q:$Q,"&lt;=180")</f>
        <v>0</v>
      </c>
      <c r="M34" s="19">
        <f>SUMIFS('Data International'!$D:$D,'Data International'!$P:$P,'Painel International'!$B34,'Data International'!$Q:$Q,"&gt;180",'Data International'!$Q:$Q,"&lt;=360")</f>
        <v>527.28</v>
      </c>
      <c r="N34" s="23">
        <f>SUMIFS('Data International'!$D:$D,'Data International'!$P:$P,'Painel International'!$B34,'Data International'!$Q:$Q,"&gt;360")</f>
        <v>0</v>
      </c>
      <c r="O34" s="19">
        <f>SUMIFS('Data International'!$D:$D,'Data International'!$P:$P,'Painel International'!$B34,'Data International'!$Q:$Q,"&gt;0")</f>
        <v>527.28</v>
      </c>
      <c r="P34" s="19">
        <f t="shared" ref="P34" si="21">SUM(Q34:W34)</f>
        <v>853.24</v>
      </c>
      <c r="Q34" s="19">
        <f>SUMIFS('Data International'!$D:$D,'Data International'!$P:$P,'Painel International'!$B34,'Data International'!$Q:$Q,"&lt;=0",'Data International'!$Q:$Q,"&gt;=-30")</f>
        <v>853.24</v>
      </c>
      <c r="R34" s="19">
        <f>SUMIFS('Data International'!$D:$D,'Data International'!$P:$P,'Painel International'!$B34,'Data International'!$Q:$Q,"&lt;=-31",'Data International'!$Q:$Q,"&gt;=-60")</f>
        <v>0</v>
      </c>
      <c r="S34" s="19">
        <f>SUMIFS('Data International'!$D:$D,'Data International'!$P:$P,'Painel International'!$B34,'Data International'!$Q:$Q,"&lt;=-61",'Data International'!$Q:$Q,"&gt;=-90")</f>
        <v>0</v>
      </c>
      <c r="T34" s="19">
        <f>SUMIFS('Data International'!$D:$D,'Data International'!$P:$P,'Painel International'!$B34,'Data International'!$Q:$Q,"&lt;=-91",'Data International'!$Q:$Q,"&gt;=-120")</f>
        <v>0</v>
      </c>
      <c r="U34" s="19">
        <f>SUMIFS('Data International'!$D:$D,'Data International'!$P:$P,'Painel International'!$B34,'Data International'!$Q:$Q,"&lt;=-121",'Data International'!$Q:$Q,"&gt;=-180")</f>
        <v>0</v>
      </c>
      <c r="V34" s="19">
        <f>SUMIFS('Data International'!$D:$D,'Data International'!$P:$P,'Painel International'!$B34,'Data International'!$Q:$Q,"&lt;=-181",'Data International'!$Q:$Q,"&gt;=-360")</f>
        <v>0</v>
      </c>
      <c r="W34" s="23">
        <f>SUMIFS('Data International'!$D:$D,'Data International'!$P:$P,'Painel International'!$B34,'Data International'!$Q:$Q,"&lt;-360")</f>
        <v>0</v>
      </c>
      <c r="X34" s="19">
        <f>SUMIFS('Bad Debt Provision'!AB:AB,'Bad Debt Provision'!B:B,'Painel International'!B34)</f>
        <v>15.818399999999999</v>
      </c>
      <c r="Z34" s="5"/>
      <c r="AA34" s="19">
        <f>_xlfn.XLOOKUP(B34,'Limite de crédito'!C:C,'Limite de crédito'!O:O,0)</f>
        <v>0</v>
      </c>
      <c r="AB34" s="19"/>
      <c r="AC34" s="20"/>
      <c r="AD34" s="22"/>
      <c r="AE34" s="22"/>
      <c r="AF34" s="5"/>
      <c r="AG34" s="28">
        <f>AA34-G34</f>
        <v>-1380.52</v>
      </c>
      <c r="AI34" s="259"/>
    </row>
    <row r="35" spans="2:35" x14ac:dyDescent="0.25">
      <c r="B35" s="41" t="s">
        <v>657</v>
      </c>
      <c r="C35" s="19" t="str">
        <f>IFERROR(_xlfn.XLOOKUP(B35,'Limite de crédito'!C:C,'Limite de crédito'!L:L,),0)</f>
        <v>B</v>
      </c>
      <c r="D35" s="19"/>
      <c r="E35" s="105">
        <f>_xlfn.XLOOKUP(B35,'Limite de crédito'!C:C,'Limite de crédito'!G:G,0)</f>
        <v>275000</v>
      </c>
      <c r="F35" s="18">
        <f t="shared" ref="F35" si="22">E35-G35</f>
        <v>275000</v>
      </c>
      <c r="G35" s="18">
        <f t="shared" ref="G35" si="23">P35+O35</f>
        <v>0</v>
      </c>
      <c r="H35" s="19">
        <f>SUMIFS('Data International'!$D:$D,'Data International'!$P:$P,'Painel International'!$B35,'Data International'!$Q:$Q,"&gt;0",'Data International'!$Q:$Q,"&lt;=30")</f>
        <v>0</v>
      </c>
      <c r="I35" s="19">
        <f>SUMIFS('Data International'!$D:$D,'Data International'!$P:$P,'Painel International'!$B35,'Data International'!$Q:$Q,"&gt;30",'Data International'!$Q:$Q,"&lt;=60")</f>
        <v>0</v>
      </c>
      <c r="J35" s="19">
        <f>SUMIFS('Data International'!$D:$D,'Data International'!$P:$P,'Painel International'!$B35,'Data International'!$Q:$Q,"&gt;60",'Data International'!$Q:$Q,"&lt;=90")</f>
        <v>0</v>
      </c>
      <c r="K35" s="19">
        <f>SUMIFS('Data International'!$D:$D,'Data International'!$P:$P,'Painel International'!$B35,'Data International'!$Q:$Q,"&gt;90",'Data International'!$Q:$Q,"&lt;=120")</f>
        <v>0</v>
      </c>
      <c r="L35" s="19">
        <f>SUMIFS('Data International'!$D:$D,'Data International'!$P:$P,'Painel International'!$B35,'Data International'!$Q:$Q,"&gt;120",'Data International'!$Q:$Q,"&lt;=180")</f>
        <v>0</v>
      </c>
      <c r="M35" s="19">
        <f>SUMIFS('Data International'!$D:$D,'Data International'!$P:$P,'Painel International'!$B35,'Data International'!$Q:$Q,"&gt;180",'Data International'!$Q:$Q,"&lt;=360")</f>
        <v>0</v>
      </c>
      <c r="N35" s="23">
        <f>SUMIFS('Data International'!$D:$D,'Data International'!$P:$P,'Painel International'!$B35,'Data International'!$Q:$Q,"&gt;360")</f>
        <v>0</v>
      </c>
      <c r="O35" s="19">
        <f>SUMIFS('Data International'!$D:$D,'Data International'!$P:$P,'Painel International'!$B35,'Data International'!$Q:$Q,"&gt;0")</f>
        <v>0</v>
      </c>
      <c r="P35" s="19">
        <f t="shared" ref="P35" si="24">SUM(Q35:W35)</f>
        <v>0</v>
      </c>
      <c r="Q35" s="19">
        <f>SUMIFS('Data International'!$D:$D,'Data International'!$P:$P,'Painel International'!$B35,'Data International'!$Q:$Q,"&lt;=0",'Data International'!$Q:$Q,"&gt;=-30")</f>
        <v>0</v>
      </c>
      <c r="R35" s="19">
        <f>SUMIFS('Data International'!$D:$D,'Data International'!$P:$P,'Painel International'!$B35,'Data International'!$Q:$Q,"&lt;=-31",'Data International'!$Q:$Q,"&gt;=-60")</f>
        <v>0</v>
      </c>
      <c r="S35" s="19">
        <f>SUMIFS('Data International'!$D:$D,'Data International'!$P:$P,'Painel International'!$B35,'Data International'!$Q:$Q,"&lt;=-61",'Data International'!$Q:$Q,"&gt;=-90")</f>
        <v>0</v>
      </c>
      <c r="T35" s="19">
        <f>SUMIFS('Data International'!$D:$D,'Data International'!$P:$P,'Painel International'!$B35,'Data International'!$Q:$Q,"&lt;=-91",'Data International'!$Q:$Q,"&gt;=-120")</f>
        <v>0</v>
      </c>
      <c r="U35" s="19">
        <f>SUMIFS('Data International'!$D:$D,'Data International'!$P:$P,'Painel International'!$B35,'Data International'!$Q:$Q,"&lt;=-121",'Data International'!$Q:$Q,"&gt;=-180")</f>
        <v>0</v>
      </c>
      <c r="V35" s="19">
        <f>SUMIFS('Data International'!$D:$D,'Data International'!$P:$P,'Painel International'!$B35,'Data International'!$Q:$Q,"&lt;=-181",'Data International'!$Q:$Q,"&gt;=-360")</f>
        <v>0</v>
      </c>
      <c r="W35" s="23">
        <f>SUMIFS('Data International'!$D:$D,'Data International'!$P:$P,'Painel International'!$B35,'Data International'!$Q:$Q,"&lt;-360")</f>
        <v>0</v>
      </c>
      <c r="X35" s="19">
        <f>SUMIFS('Bad Debt Provision'!AB:AB,'Bad Debt Provision'!B:B,'Painel International'!B35)</f>
        <v>0</v>
      </c>
      <c r="Z35" s="5"/>
      <c r="AA35" s="19">
        <f>_xlfn.XLOOKUP(B35,'Limite de crédito'!C:C,'Limite de crédito'!O:O,0)</f>
        <v>275000</v>
      </c>
      <c r="AB35" s="19"/>
      <c r="AC35" s="20"/>
      <c r="AD35" s="22"/>
      <c r="AE35" s="22"/>
      <c r="AF35" s="5"/>
      <c r="AG35" s="28">
        <f t="shared" si="5"/>
        <v>275000</v>
      </c>
      <c r="AI35" s="259"/>
    </row>
    <row r="36" spans="2:35" x14ac:dyDescent="0.25">
      <c r="B36" s="41" t="s">
        <v>678</v>
      </c>
      <c r="C36" s="19">
        <f>IFERROR(_xlfn.XLOOKUP(B36,'Limite de crédito'!C:C,'Limite de crédito'!L:L,),0)</f>
        <v>0</v>
      </c>
      <c r="D36" s="19"/>
      <c r="E36" s="105">
        <f>_xlfn.XLOOKUP(B36,'Limite de crédito'!C:C,'Limite de crédito'!G:G,0)</f>
        <v>0</v>
      </c>
      <c r="F36" s="18">
        <f t="shared" ref="F36" si="25">E36-G36</f>
        <v>0</v>
      </c>
      <c r="G36" s="18">
        <f t="shared" ref="G36" si="26">P36+O36</f>
        <v>0</v>
      </c>
      <c r="H36" s="19">
        <f>SUMIFS('Data International'!$D:$D,'Data International'!$P:$P,'Painel International'!$B36,'Data International'!$Q:$Q,"&gt;0",'Data International'!$Q:$Q,"&lt;=30")</f>
        <v>0</v>
      </c>
      <c r="I36" s="19">
        <f>SUMIFS('Data International'!$D:$D,'Data International'!$P:$P,'Painel International'!$B36,'Data International'!$Q:$Q,"&gt;30",'Data International'!$Q:$Q,"&lt;=60")</f>
        <v>0</v>
      </c>
      <c r="J36" s="19">
        <f>SUMIFS('Data International'!$D:$D,'Data International'!$P:$P,'Painel International'!$B36,'Data International'!$Q:$Q,"&gt;60",'Data International'!$Q:$Q,"&lt;=90")</f>
        <v>0</v>
      </c>
      <c r="K36" s="19">
        <f>SUMIFS('Data International'!$D:$D,'Data International'!$P:$P,'Painel International'!$B36,'Data International'!$Q:$Q,"&gt;90",'Data International'!$Q:$Q,"&lt;=120")</f>
        <v>0</v>
      </c>
      <c r="L36" s="19">
        <f>SUMIFS('Data International'!$D:$D,'Data International'!$P:$P,'Painel International'!$B36,'Data International'!$Q:$Q,"&gt;120",'Data International'!$Q:$Q,"&lt;=180")</f>
        <v>0</v>
      </c>
      <c r="M36" s="19">
        <f>SUMIFS('Data International'!$D:$D,'Data International'!$P:$P,'Painel International'!$B36,'Data International'!$Q:$Q,"&gt;180",'Data International'!$Q:$Q,"&lt;=360")</f>
        <v>0</v>
      </c>
      <c r="N36" s="23">
        <f>SUMIFS('Data International'!$D:$D,'Data International'!$P:$P,'Painel International'!$B36,'Data International'!$Q:$Q,"&gt;360")</f>
        <v>0</v>
      </c>
      <c r="O36" s="19">
        <f>SUMIFS('Data International'!$D:$D,'Data International'!$P:$P,'Painel International'!$B36,'Data International'!$Q:$Q,"&gt;0")</f>
        <v>0</v>
      </c>
      <c r="P36" s="19">
        <f t="shared" ref="P36" si="27">SUM(Q36:W36)</f>
        <v>0</v>
      </c>
      <c r="Q36" s="19">
        <f>SUMIFS('Data International'!$D:$D,'Data International'!$P:$P,'Painel International'!$B36,'Data International'!$Q:$Q,"&lt;=0",'Data International'!$Q:$Q,"&gt;=-30")</f>
        <v>0</v>
      </c>
      <c r="R36" s="19">
        <f>SUMIFS('Data International'!$D:$D,'Data International'!$P:$P,'Painel International'!$B36,'Data International'!$Q:$Q,"&lt;=-31",'Data International'!$Q:$Q,"&gt;=-60")</f>
        <v>0</v>
      </c>
      <c r="S36" s="19">
        <f>SUMIFS('Data International'!$D:$D,'Data International'!$P:$P,'Painel International'!$B36,'Data International'!$Q:$Q,"&lt;=-61",'Data International'!$Q:$Q,"&gt;=-90")</f>
        <v>0</v>
      </c>
      <c r="T36" s="19">
        <f>SUMIFS('Data International'!$D:$D,'Data International'!$P:$P,'Painel International'!$B36,'Data International'!$Q:$Q,"&lt;=-91",'Data International'!$Q:$Q,"&gt;=-120")</f>
        <v>0</v>
      </c>
      <c r="U36" s="19">
        <f>SUMIFS('Data International'!$D:$D,'Data International'!$P:$P,'Painel International'!$B36,'Data International'!$Q:$Q,"&lt;=-121",'Data International'!$Q:$Q,"&gt;=-180")</f>
        <v>0</v>
      </c>
      <c r="V36" s="19">
        <f>SUMIFS('Data International'!$D:$D,'Data International'!$P:$P,'Painel International'!$B36,'Data International'!$Q:$Q,"&lt;=-181",'Data International'!$Q:$Q,"&gt;=-360")</f>
        <v>0</v>
      </c>
      <c r="W36" s="23">
        <f>SUMIFS('Data International'!$D:$D,'Data International'!$P:$P,'Painel International'!$B36,'Data International'!$Q:$Q,"&lt;-360")</f>
        <v>0</v>
      </c>
      <c r="X36" s="19">
        <f>SUMIFS('Bad Debt Provision'!AB:AB,'Bad Debt Provision'!B:B,'Painel International'!B36)</f>
        <v>0</v>
      </c>
      <c r="Z36" s="5"/>
      <c r="AA36" s="19">
        <f>_xlfn.XLOOKUP(B36,'Limite de crédito'!C:C,'Limite de crédito'!O:O,0)</f>
        <v>0</v>
      </c>
      <c r="AB36" s="19"/>
      <c r="AC36" s="20"/>
      <c r="AD36" s="22"/>
      <c r="AE36" s="22"/>
      <c r="AF36" s="5"/>
      <c r="AG36" s="28">
        <f t="shared" si="5"/>
        <v>0</v>
      </c>
      <c r="AI36" s="259"/>
    </row>
    <row r="37" spans="2:35" x14ac:dyDescent="0.25">
      <c r="B37" s="41" t="s">
        <v>672</v>
      </c>
      <c r="C37" s="19" t="str">
        <f>IFERROR(_xlfn.XLOOKUP(B37,'Limite de crédito'!C:C,'Limite de crédito'!L:L,),0)</f>
        <v>B</v>
      </c>
      <c r="D37" s="19"/>
      <c r="E37" s="105">
        <f>_xlfn.XLOOKUP(B37,'Limite de crédito'!C:C,'Limite de crédito'!G:G,0)</f>
        <v>275000</v>
      </c>
      <c r="F37" s="18">
        <f t="shared" ref="F37:F42" si="28">E37-G37</f>
        <v>275000</v>
      </c>
      <c r="G37" s="18">
        <f t="shared" ref="G37" si="29">P37+O37</f>
        <v>0</v>
      </c>
      <c r="H37" s="19">
        <f>SUMIFS('Data International'!$D:$D,'Data International'!$P:$P,'Painel International'!$B37,'Data International'!$Q:$Q,"&gt;0",'Data International'!$Q:$Q,"&lt;=30")</f>
        <v>0</v>
      </c>
      <c r="I37" s="19">
        <f>SUMIFS('Data International'!$D:$D,'Data International'!$P:$P,'Painel International'!$B37,'Data International'!$Q:$Q,"&gt;30",'Data International'!$Q:$Q,"&lt;=60")</f>
        <v>0</v>
      </c>
      <c r="J37" s="19">
        <f>SUMIFS('Data International'!$D:$D,'Data International'!$P:$P,'Painel International'!$B37,'Data International'!$Q:$Q,"&gt;60",'Data International'!$Q:$Q,"&lt;=90")</f>
        <v>0</v>
      </c>
      <c r="K37" s="19">
        <f>SUMIFS('Data International'!$D:$D,'Data International'!$P:$P,'Painel International'!$B37,'Data International'!$Q:$Q,"&gt;90",'Data International'!$Q:$Q,"&lt;=120")</f>
        <v>0</v>
      </c>
      <c r="L37" s="19">
        <f>SUMIFS('Data International'!$D:$D,'Data International'!$P:$P,'Painel International'!$B37,'Data International'!$Q:$Q,"&gt;120",'Data International'!$Q:$Q,"&lt;=180")</f>
        <v>0</v>
      </c>
      <c r="M37" s="19">
        <f>SUMIFS('Data International'!$D:$D,'Data International'!$P:$P,'Painel International'!$B37,'Data International'!$Q:$Q,"&gt;180",'Data International'!$Q:$Q,"&lt;=360")</f>
        <v>0</v>
      </c>
      <c r="N37" s="23">
        <f>SUMIFS('Data International'!$D:$D,'Data International'!$P:$P,'Painel International'!$B37,'Data International'!$Q:$Q,"&gt;360")</f>
        <v>0</v>
      </c>
      <c r="O37" s="19">
        <f>SUMIFS('Data International'!$D:$D,'Data International'!$P:$P,'Painel International'!$B37,'Data International'!$Q:$Q,"&gt;0")</f>
        <v>0</v>
      </c>
      <c r="P37" s="19">
        <f t="shared" ref="P37" si="30">SUM(Q37:W37)</f>
        <v>0</v>
      </c>
      <c r="Q37" s="19">
        <f>SUMIFS('Data International'!$D:$D,'Data International'!$P:$P,'Painel International'!$B37,'Data International'!$Q:$Q,"&lt;=0",'Data International'!$Q:$Q,"&gt;=-30")</f>
        <v>0</v>
      </c>
      <c r="R37" s="19">
        <f>SUMIFS('Data International'!$D:$D,'Data International'!$P:$P,'Painel International'!$B37,'Data International'!$Q:$Q,"&lt;=-31",'Data International'!$Q:$Q,"&gt;=-60")</f>
        <v>0</v>
      </c>
      <c r="S37" s="19">
        <f>SUMIFS('Data International'!$D:$D,'Data International'!$P:$P,'Painel International'!$B37,'Data International'!$Q:$Q,"&lt;=-61",'Data International'!$Q:$Q,"&gt;=-90")</f>
        <v>0</v>
      </c>
      <c r="T37" s="19">
        <f>SUMIFS('Data International'!$D:$D,'Data International'!$P:$P,'Painel International'!$B37,'Data International'!$Q:$Q,"&lt;=-91",'Data International'!$Q:$Q,"&gt;=-120")</f>
        <v>0</v>
      </c>
      <c r="U37" s="19">
        <f>SUMIFS('Data International'!$D:$D,'Data International'!$P:$P,'Painel International'!$B37,'Data International'!$Q:$Q,"&lt;=-121",'Data International'!$Q:$Q,"&gt;=-180")</f>
        <v>0</v>
      </c>
      <c r="V37" s="19">
        <f>SUMIFS('Data International'!$D:$D,'Data International'!$P:$P,'Painel International'!$B37,'Data International'!$Q:$Q,"&lt;=-181",'Data International'!$Q:$Q,"&gt;=-360")</f>
        <v>0</v>
      </c>
      <c r="W37" s="23">
        <f>SUMIFS('Data International'!$D:$D,'Data International'!$P:$P,'Painel International'!$B37,'Data International'!$Q:$Q,"&lt;-360")</f>
        <v>0</v>
      </c>
      <c r="X37" s="19">
        <f>SUMIFS('Bad Debt Provision'!AB:AB,'Bad Debt Provision'!B:B,'Painel International'!B37)</f>
        <v>0</v>
      </c>
      <c r="Z37" s="5"/>
      <c r="AA37" s="19">
        <f>_xlfn.XLOOKUP(B37,'Limite de crédito'!C:C,'Limite de crédito'!O:O,0)</f>
        <v>275000</v>
      </c>
      <c r="AB37" s="19"/>
      <c r="AC37" s="20"/>
      <c r="AD37" s="22"/>
      <c r="AE37" s="22"/>
      <c r="AF37" s="5"/>
      <c r="AG37" s="28">
        <f t="shared" si="5"/>
        <v>275000</v>
      </c>
      <c r="AI37" s="259"/>
    </row>
    <row r="38" spans="2:35" x14ac:dyDescent="0.25">
      <c r="B38" s="41" t="s">
        <v>261</v>
      </c>
      <c r="C38" s="19" t="str">
        <f>IFERROR(_xlfn.XLOOKUP(B38,'Limite de crédito'!C:C,'Limite de crédito'!L:L,),0)</f>
        <v>B</v>
      </c>
      <c r="D38" s="19"/>
      <c r="E38" s="105">
        <f>_xlfn.XLOOKUP(B38,'Limite de crédito'!C:C,'Limite de crédito'!G:G,0)</f>
        <v>1375000</v>
      </c>
      <c r="F38" s="18">
        <f t="shared" si="28"/>
        <v>1375000</v>
      </c>
      <c r="G38" s="18">
        <f t="shared" ref="G38" si="31">P38+O38</f>
        <v>0</v>
      </c>
      <c r="H38" s="19">
        <f>SUMIFS('Data International'!$D:$D,'Data International'!$P:$P,'Painel International'!$B38,'Data International'!$Q:$Q,"&gt;0",'Data International'!$Q:$Q,"&lt;=30")</f>
        <v>0</v>
      </c>
      <c r="I38" s="19">
        <f>SUMIFS('Data International'!$D:$D,'Data International'!$P:$P,'Painel International'!$B38,'Data International'!$Q:$Q,"&gt;30",'Data International'!$Q:$Q,"&lt;=60")</f>
        <v>0</v>
      </c>
      <c r="J38" s="19">
        <f>SUMIFS('Data International'!$D:$D,'Data International'!$P:$P,'Painel International'!$B38,'Data International'!$Q:$Q,"&gt;60",'Data International'!$Q:$Q,"&lt;=90")</f>
        <v>0</v>
      </c>
      <c r="K38" s="19">
        <f>SUMIFS('Data International'!$D:$D,'Data International'!$P:$P,'Painel International'!$B38,'Data International'!$Q:$Q,"&gt;90",'Data International'!$Q:$Q,"&lt;=120")</f>
        <v>0</v>
      </c>
      <c r="L38" s="19">
        <f>SUMIFS('Data International'!$D:$D,'Data International'!$P:$P,'Painel International'!$B38,'Data International'!$Q:$Q,"&gt;120",'Data International'!$Q:$Q,"&lt;=180")</f>
        <v>0</v>
      </c>
      <c r="M38" s="19">
        <f>SUMIFS('Data International'!$D:$D,'Data International'!$P:$P,'Painel International'!$B38,'Data International'!$Q:$Q,"&gt;180",'Data International'!$Q:$Q,"&lt;=360")</f>
        <v>0</v>
      </c>
      <c r="N38" s="23">
        <f>SUMIFS('Data International'!$D:$D,'Data International'!$P:$P,'Painel International'!$B38,'Data International'!$Q:$Q,"&gt;360")</f>
        <v>0</v>
      </c>
      <c r="O38" s="19">
        <f>SUMIFS('Data International'!$D:$D,'Data International'!$P:$P,'Painel International'!$B38,'Data International'!$Q:$Q,"&gt;0")</f>
        <v>0</v>
      </c>
      <c r="P38" s="19">
        <f t="shared" ref="P38" si="32">SUM(Q38:W38)</f>
        <v>0</v>
      </c>
      <c r="Q38" s="19">
        <f>SUMIFS('Data International'!$D:$D,'Data International'!$P:$P,'Painel International'!$B38,'Data International'!$Q:$Q,"&lt;=0",'Data International'!$Q:$Q,"&gt;=-30")</f>
        <v>0</v>
      </c>
      <c r="R38" s="19">
        <f>SUMIFS('Data International'!$D:$D,'Data International'!$P:$P,'Painel International'!$B38,'Data International'!$Q:$Q,"&lt;=-31",'Data International'!$Q:$Q,"&gt;=-60")</f>
        <v>0</v>
      </c>
      <c r="S38" s="19">
        <f>SUMIFS('Data International'!$D:$D,'Data International'!$P:$P,'Painel International'!$B38,'Data International'!$Q:$Q,"&lt;=-61",'Data International'!$Q:$Q,"&gt;=-90")</f>
        <v>0</v>
      </c>
      <c r="T38" s="19">
        <f>SUMIFS('Data International'!$D:$D,'Data International'!$P:$P,'Painel International'!$B38,'Data International'!$Q:$Q,"&lt;=-91",'Data International'!$Q:$Q,"&gt;=-120")</f>
        <v>0</v>
      </c>
      <c r="U38" s="19">
        <f>SUMIFS('Data International'!$D:$D,'Data International'!$P:$P,'Painel International'!$B38,'Data International'!$Q:$Q,"&lt;=-121",'Data International'!$Q:$Q,"&gt;=-180")</f>
        <v>0</v>
      </c>
      <c r="V38" s="19">
        <f>SUMIFS('Data International'!$D:$D,'Data International'!$P:$P,'Painel International'!$B38,'Data International'!$Q:$Q,"&lt;=-181",'Data International'!$Q:$Q,"&gt;=-360")</f>
        <v>0</v>
      </c>
      <c r="W38" s="23">
        <f>SUMIFS('Data International'!$D:$D,'Data International'!$P:$P,'Painel International'!$B38,'Data International'!$Q:$Q,"&lt;-360")</f>
        <v>0</v>
      </c>
      <c r="X38" s="19">
        <f>SUMIFS('Bad Debt Provision'!AB:AB,'Bad Debt Provision'!B:B,'Painel International'!B38)</f>
        <v>0</v>
      </c>
      <c r="Z38" s="5"/>
      <c r="AA38" s="19">
        <f>_xlfn.XLOOKUP(B38,'Limite de crédito'!C:C,'Limite de crédito'!O:O,0)</f>
        <v>1375000</v>
      </c>
      <c r="AB38" s="19"/>
      <c r="AC38" s="20"/>
      <c r="AD38" s="22"/>
      <c r="AE38" s="22"/>
      <c r="AF38" s="5"/>
      <c r="AG38" s="28">
        <f t="shared" si="5"/>
        <v>1375000</v>
      </c>
      <c r="AI38" s="259"/>
    </row>
    <row r="39" spans="2:35" x14ac:dyDescent="0.25">
      <c r="B39" s="41" t="s">
        <v>686</v>
      </c>
      <c r="C39" s="19" t="str">
        <f>IFERROR(_xlfn.XLOOKUP(B39,'Limite de crédito'!C:C,'Limite de crédito'!L:L,),0)</f>
        <v>C</v>
      </c>
      <c r="D39" s="19"/>
      <c r="E39" s="105">
        <f>_xlfn.XLOOKUP(B39,'Limite de crédito'!C:C,'Limite de crédito'!G:G,0)</f>
        <v>550000</v>
      </c>
      <c r="F39" s="18">
        <f t="shared" si="28"/>
        <v>550000</v>
      </c>
      <c r="G39" s="18">
        <f t="shared" ref="G39" si="33">P39+O39</f>
        <v>0</v>
      </c>
      <c r="H39" s="19">
        <f>SUMIFS('Data International'!$D:$D,'Data International'!$P:$P,'Painel International'!$B39,'Data International'!$Q:$Q,"&gt;0",'Data International'!$Q:$Q,"&lt;=30")</f>
        <v>0</v>
      </c>
      <c r="I39" s="19">
        <f>SUMIFS('Data International'!$D:$D,'Data International'!$P:$P,'Painel International'!$B39,'Data International'!$Q:$Q,"&gt;30",'Data International'!$Q:$Q,"&lt;=60")</f>
        <v>0</v>
      </c>
      <c r="J39" s="19">
        <f>SUMIFS('Data International'!$D:$D,'Data International'!$P:$P,'Painel International'!$B39,'Data International'!$Q:$Q,"&gt;60",'Data International'!$Q:$Q,"&lt;=90")</f>
        <v>0</v>
      </c>
      <c r="K39" s="19">
        <f>SUMIFS('Data International'!$D:$D,'Data International'!$P:$P,'Painel International'!$B39,'Data International'!$Q:$Q,"&gt;90",'Data International'!$Q:$Q,"&lt;=120")</f>
        <v>0</v>
      </c>
      <c r="L39" s="19">
        <f>SUMIFS('Data International'!$D:$D,'Data International'!$P:$P,'Painel International'!$B39,'Data International'!$Q:$Q,"&gt;120",'Data International'!$Q:$Q,"&lt;=180")</f>
        <v>0</v>
      </c>
      <c r="M39" s="19">
        <f>SUMIFS('Data International'!$D:$D,'Data International'!$P:$P,'Painel International'!$B39,'Data International'!$Q:$Q,"&gt;180",'Data International'!$Q:$Q,"&lt;=360")</f>
        <v>0</v>
      </c>
      <c r="N39" s="23">
        <f>SUMIFS('Data International'!$D:$D,'Data International'!$P:$P,'Painel International'!$B39,'Data International'!$Q:$Q,"&gt;360")</f>
        <v>0</v>
      </c>
      <c r="O39" s="19">
        <f>SUMIFS('Data International'!$D:$D,'Data International'!$P:$P,'Painel International'!$B39,'Data International'!$Q:$Q,"&gt;0")</f>
        <v>0</v>
      </c>
      <c r="P39" s="19">
        <f t="shared" ref="P39" si="34">SUM(Q39:W39)</f>
        <v>0</v>
      </c>
      <c r="Q39" s="19">
        <f>SUMIFS('Data International'!$D:$D,'Data International'!$P:$P,'Painel International'!$B39,'Data International'!$Q:$Q,"&lt;=0",'Data International'!$Q:$Q,"&gt;=-30")</f>
        <v>0</v>
      </c>
      <c r="R39" s="19">
        <f>SUMIFS('Data International'!$D:$D,'Data International'!$P:$P,'Painel International'!$B39,'Data International'!$Q:$Q,"&lt;=-31",'Data International'!$Q:$Q,"&gt;=-60")</f>
        <v>0</v>
      </c>
      <c r="S39" s="19">
        <f>SUMIFS('Data International'!$D:$D,'Data International'!$P:$P,'Painel International'!$B39,'Data International'!$Q:$Q,"&lt;=-61",'Data International'!$Q:$Q,"&gt;=-90")</f>
        <v>0</v>
      </c>
      <c r="T39" s="19">
        <f>SUMIFS('Data International'!$D:$D,'Data International'!$P:$P,'Painel International'!$B39,'Data International'!$Q:$Q,"&lt;=-91",'Data International'!$Q:$Q,"&gt;=-120")</f>
        <v>0</v>
      </c>
      <c r="U39" s="19">
        <f>SUMIFS('Data International'!$D:$D,'Data International'!$P:$P,'Painel International'!$B39,'Data International'!$Q:$Q,"&lt;=-121",'Data International'!$Q:$Q,"&gt;=-180")</f>
        <v>0</v>
      </c>
      <c r="V39" s="19">
        <f>SUMIFS('Data International'!$D:$D,'Data International'!$P:$P,'Painel International'!$B39,'Data International'!$Q:$Q,"&lt;=-181",'Data International'!$Q:$Q,"&gt;=-360")</f>
        <v>0</v>
      </c>
      <c r="W39" s="23">
        <f>SUMIFS('Data International'!$D:$D,'Data International'!$P:$P,'Painel International'!$B39,'Data International'!$Q:$Q,"&lt;-360")</f>
        <v>0</v>
      </c>
      <c r="X39" s="19">
        <f>SUMIFS('Bad Debt Provision'!AB:AB,'Bad Debt Provision'!B:B,'Painel International'!B39)</f>
        <v>0</v>
      </c>
      <c r="Z39" s="5"/>
      <c r="AA39" s="19">
        <f>_xlfn.XLOOKUP(B39,'Limite de crédito'!C:C,'Limite de crédito'!O:O,0)</f>
        <v>550000</v>
      </c>
      <c r="AB39" s="19"/>
      <c r="AC39" s="20"/>
      <c r="AD39" s="22"/>
      <c r="AE39" s="22"/>
      <c r="AF39" s="5"/>
      <c r="AG39" s="28">
        <f t="shared" si="5"/>
        <v>550000</v>
      </c>
      <c r="AI39" s="259"/>
    </row>
    <row r="40" spans="2:35" x14ac:dyDescent="0.25">
      <c r="B40" s="41" t="s">
        <v>393</v>
      </c>
      <c r="C40" s="19" t="str">
        <f>IFERROR(_xlfn.XLOOKUP(B40,'Limite de crédito'!C:C,'Limite de crédito'!L:L,),0)</f>
        <v>A</v>
      </c>
      <c r="D40" s="19"/>
      <c r="E40" s="105">
        <f>_xlfn.XLOOKUP(B40,'Limite de crédito'!C:C,'Limite de crédito'!G:G,0)</f>
        <v>825000</v>
      </c>
      <c r="F40" s="18">
        <f t="shared" si="28"/>
        <v>825000</v>
      </c>
      <c r="G40" s="18">
        <f t="shared" ref="G40" si="35">P40+O40</f>
        <v>0</v>
      </c>
      <c r="H40" s="19">
        <f>SUMIFS('Data International'!$D:$D,'Data International'!$P:$P,'Painel International'!$B40,'Data International'!$Q:$Q,"&gt;0",'Data International'!$Q:$Q,"&lt;=30")</f>
        <v>0</v>
      </c>
      <c r="I40" s="19">
        <f>SUMIFS('Data International'!$D:$D,'Data International'!$P:$P,'Painel International'!$B40,'Data International'!$Q:$Q,"&gt;30",'Data International'!$Q:$Q,"&lt;=60")</f>
        <v>0</v>
      </c>
      <c r="J40" s="19">
        <f>SUMIFS('Data International'!$D:$D,'Data International'!$P:$P,'Painel International'!$B40,'Data International'!$Q:$Q,"&gt;60",'Data International'!$Q:$Q,"&lt;=90")</f>
        <v>0</v>
      </c>
      <c r="K40" s="19">
        <f>SUMIFS('Data International'!$D:$D,'Data International'!$P:$P,'Painel International'!$B40,'Data International'!$Q:$Q,"&gt;90",'Data International'!$Q:$Q,"&lt;=120")</f>
        <v>0</v>
      </c>
      <c r="L40" s="19">
        <f>SUMIFS('Data International'!$D:$D,'Data International'!$P:$P,'Painel International'!$B40,'Data International'!$Q:$Q,"&gt;120",'Data International'!$Q:$Q,"&lt;=180")</f>
        <v>0</v>
      </c>
      <c r="M40" s="19">
        <f>SUMIFS('Data International'!$D:$D,'Data International'!$P:$P,'Painel International'!$B40,'Data International'!$Q:$Q,"&gt;180",'Data International'!$Q:$Q,"&lt;=360")</f>
        <v>0</v>
      </c>
      <c r="N40" s="23">
        <f>SUMIFS('Data International'!$D:$D,'Data International'!$P:$P,'Painel International'!$B40,'Data International'!$Q:$Q,"&gt;360")</f>
        <v>0</v>
      </c>
      <c r="O40" s="19">
        <f>SUMIFS('Data International'!$D:$D,'Data International'!$P:$P,'Painel International'!$B40,'Data International'!$Q:$Q,"&gt;0")</f>
        <v>0</v>
      </c>
      <c r="P40" s="19">
        <f t="shared" ref="P40" si="36">SUM(Q40:W40)</f>
        <v>0</v>
      </c>
      <c r="Q40" s="19">
        <f>SUMIFS('Data International'!$D:$D,'Data International'!$P:$P,'Painel International'!$B40,'Data International'!$Q:$Q,"&lt;=0",'Data International'!$Q:$Q,"&gt;=-30")</f>
        <v>0</v>
      </c>
      <c r="R40" s="19">
        <f>SUMIFS('Data International'!$D:$D,'Data International'!$P:$P,'Painel International'!$B40,'Data International'!$Q:$Q,"&lt;=-31",'Data International'!$Q:$Q,"&gt;=-60")</f>
        <v>0</v>
      </c>
      <c r="S40" s="19">
        <f>SUMIFS('Data International'!$D:$D,'Data International'!$P:$P,'Painel International'!$B40,'Data International'!$Q:$Q,"&lt;=-61",'Data International'!$Q:$Q,"&gt;=-90")</f>
        <v>0</v>
      </c>
      <c r="T40" s="19">
        <f>SUMIFS('Data International'!$D:$D,'Data International'!$P:$P,'Painel International'!$B40,'Data International'!$Q:$Q,"&lt;=-91",'Data International'!$Q:$Q,"&gt;=-120")</f>
        <v>0</v>
      </c>
      <c r="U40" s="19">
        <f>SUMIFS('Data International'!$D:$D,'Data International'!$P:$P,'Painel International'!$B40,'Data International'!$Q:$Q,"&lt;=-121",'Data International'!$Q:$Q,"&gt;=-180")</f>
        <v>0</v>
      </c>
      <c r="V40" s="19">
        <f>SUMIFS('Data International'!$D:$D,'Data International'!$P:$P,'Painel International'!$B40,'Data International'!$Q:$Q,"&lt;=-181",'Data International'!$Q:$Q,"&gt;=-360")</f>
        <v>0</v>
      </c>
      <c r="W40" s="23">
        <f>SUMIFS('Data International'!$D:$D,'Data International'!$P:$P,'Painel International'!$B40,'Data International'!$Q:$Q,"&lt;-360")</f>
        <v>0</v>
      </c>
      <c r="X40" s="19">
        <f>SUMIFS('Bad Debt Provision'!AB:AB,'Bad Debt Provision'!B:B,'Painel International'!B40)</f>
        <v>0</v>
      </c>
      <c r="Z40" s="5"/>
      <c r="AA40" s="19">
        <f>_xlfn.XLOOKUP(B40,'Limite de crédito'!C:C,'Limite de crédito'!O:O,0)</f>
        <v>825000</v>
      </c>
      <c r="AB40" s="19"/>
      <c r="AC40" s="20"/>
      <c r="AD40" s="22"/>
      <c r="AE40" s="22"/>
      <c r="AF40" s="5"/>
      <c r="AG40" s="28">
        <f t="shared" si="5"/>
        <v>825000</v>
      </c>
      <c r="AI40" s="259"/>
    </row>
    <row r="41" spans="2:35" x14ac:dyDescent="0.25">
      <c r="B41" s="41" t="s">
        <v>690</v>
      </c>
      <c r="C41" s="19" t="str">
        <f>IFERROR(_xlfn.XLOOKUP(B41,'Limite de crédito'!C:C,'Limite de crédito'!L:L,),0)</f>
        <v>B</v>
      </c>
      <c r="D41" s="19"/>
      <c r="E41" s="105">
        <f>_xlfn.XLOOKUP(B41,'Limite de crédito'!C:C,'Limite de crédito'!G:G,0)</f>
        <v>825000</v>
      </c>
      <c r="F41" s="18">
        <f t="shared" si="28"/>
        <v>825000</v>
      </c>
      <c r="G41" s="18">
        <f t="shared" ref="G41" si="37">P41+O41</f>
        <v>0</v>
      </c>
      <c r="H41" s="19">
        <f>SUMIFS('Data International'!$D:$D,'Data International'!$P:$P,'Painel International'!$B41,'Data International'!$Q:$Q,"&gt;0",'Data International'!$Q:$Q,"&lt;=30")</f>
        <v>0</v>
      </c>
      <c r="I41" s="19">
        <f>SUMIFS('Data International'!$D:$D,'Data International'!$P:$P,'Painel International'!$B41,'Data International'!$Q:$Q,"&gt;30",'Data International'!$Q:$Q,"&lt;=60")</f>
        <v>0</v>
      </c>
      <c r="J41" s="19">
        <f>SUMIFS('Data International'!$D:$D,'Data International'!$P:$P,'Painel International'!$B41,'Data International'!$Q:$Q,"&gt;60",'Data International'!$Q:$Q,"&lt;=90")</f>
        <v>0</v>
      </c>
      <c r="K41" s="19">
        <f>SUMIFS('Data International'!$D:$D,'Data International'!$P:$P,'Painel International'!$B41,'Data International'!$Q:$Q,"&gt;90",'Data International'!$Q:$Q,"&lt;=120")</f>
        <v>0</v>
      </c>
      <c r="L41" s="19">
        <f>SUMIFS('Data International'!$D:$D,'Data International'!$P:$P,'Painel International'!$B41,'Data International'!$Q:$Q,"&gt;120",'Data International'!$Q:$Q,"&lt;=180")</f>
        <v>0</v>
      </c>
      <c r="M41" s="19">
        <f>SUMIFS('Data International'!$D:$D,'Data International'!$P:$P,'Painel International'!$B41,'Data International'!$Q:$Q,"&gt;180",'Data International'!$Q:$Q,"&lt;=360")</f>
        <v>0</v>
      </c>
      <c r="N41" s="23">
        <f>SUMIFS('Data International'!$D:$D,'Data International'!$P:$P,'Painel International'!$B41,'Data International'!$Q:$Q,"&gt;360")</f>
        <v>0</v>
      </c>
      <c r="O41" s="19">
        <f>SUMIFS('Data International'!$D:$D,'Data International'!$P:$P,'Painel International'!$B41,'Data International'!$Q:$Q,"&gt;0")</f>
        <v>0</v>
      </c>
      <c r="P41" s="19">
        <f t="shared" ref="P41" si="38">SUM(Q41:W41)</f>
        <v>0</v>
      </c>
      <c r="Q41" s="19">
        <f>SUMIFS('Data International'!$D:$D,'Data International'!$P:$P,'Painel International'!$B41,'Data International'!$Q:$Q,"&lt;=0",'Data International'!$Q:$Q,"&gt;=-30")</f>
        <v>0</v>
      </c>
      <c r="R41" s="19">
        <f>SUMIFS('Data International'!$D:$D,'Data International'!$P:$P,'Painel International'!$B41,'Data International'!$Q:$Q,"&lt;=-31",'Data International'!$Q:$Q,"&gt;=-60")</f>
        <v>0</v>
      </c>
      <c r="S41" s="19">
        <f>SUMIFS('Data International'!$D:$D,'Data International'!$P:$P,'Painel International'!$B41,'Data International'!$Q:$Q,"&lt;=-61",'Data International'!$Q:$Q,"&gt;=-90")</f>
        <v>0</v>
      </c>
      <c r="T41" s="19">
        <f>SUMIFS('Data International'!$D:$D,'Data International'!$P:$P,'Painel International'!$B41,'Data International'!$Q:$Q,"&lt;=-91",'Data International'!$Q:$Q,"&gt;=-120")</f>
        <v>0</v>
      </c>
      <c r="U41" s="19">
        <f>SUMIFS('Data International'!$D:$D,'Data International'!$P:$P,'Painel International'!$B41,'Data International'!$Q:$Q,"&lt;=-121",'Data International'!$Q:$Q,"&gt;=-180")</f>
        <v>0</v>
      </c>
      <c r="V41" s="19">
        <f>SUMIFS('Data International'!$D:$D,'Data International'!$P:$P,'Painel International'!$B41,'Data International'!$Q:$Q,"&lt;=-181",'Data International'!$Q:$Q,"&gt;=-360")</f>
        <v>0</v>
      </c>
      <c r="W41" s="23">
        <f>SUMIFS('Data International'!$D:$D,'Data International'!$P:$P,'Painel International'!$B41,'Data International'!$Q:$Q,"&lt;-360")</f>
        <v>0</v>
      </c>
      <c r="X41" s="19">
        <f>SUMIFS('Bad Debt Provision'!AB:AB,'Bad Debt Provision'!B:B,'Painel International'!B41)</f>
        <v>0</v>
      </c>
      <c r="Z41" s="5"/>
      <c r="AA41" s="19">
        <f>_xlfn.XLOOKUP(B41,'Limite de crédito'!C:C,'Limite de crédito'!O:O,0)</f>
        <v>825000</v>
      </c>
      <c r="AB41" s="19"/>
      <c r="AC41" s="20"/>
      <c r="AD41" s="22"/>
      <c r="AE41" s="22"/>
      <c r="AF41" s="5"/>
      <c r="AG41" s="28">
        <f t="shared" si="5"/>
        <v>825000</v>
      </c>
      <c r="AI41" s="259"/>
    </row>
    <row r="42" spans="2:35" x14ac:dyDescent="0.25">
      <c r="B42" s="41" t="s">
        <v>687</v>
      </c>
      <c r="C42" s="19">
        <f>IFERROR(_xlfn.XLOOKUP(B42,'Limite de crédito'!C:C,'Limite de crédito'!L:L,),0)</f>
        <v>0</v>
      </c>
      <c r="D42" s="19"/>
      <c r="E42" s="105">
        <f>_xlfn.XLOOKUP(B42,'Limite de crédito'!C:C,'Limite de crédito'!G:G,0)</f>
        <v>1375000</v>
      </c>
      <c r="F42" s="18">
        <f t="shared" si="28"/>
        <v>1375000</v>
      </c>
      <c r="G42" s="18">
        <f t="shared" ref="G42:G47" si="39">P42+O42</f>
        <v>0</v>
      </c>
      <c r="H42" s="19">
        <f>SUMIFS('Data International'!$D:$D,'Data International'!$P:$P,'Painel International'!$B42,'Data International'!$Q:$Q,"&gt;0",'Data International'!$Q:$Q,"&lt;=30")</f>
        <v>0</v>
      </c>
      <c r="I42" s="19">
        <f>SUMIFS('Data International'!$D:$D,'Data International'!$P:$P,'Painel International'!$B42,'Data International'!$Q:$Q,"&gt;30",'Data International'!$Q:$Q,"&lt;=60")</f>
        <v>0</v>
      </c>
      <c r="J42" s="19">
        <f>SUMIFS('Data International'!$D:$D,'Data International'!$P:$P,'Painel International'!$B42,'Data International'!$Q:$Q,"&gt;60",'Data International'!$Q:$Q,"&lt;=90")</f>
        <v>0</v>
      </c>
      <c r="K42" s="19">
        <f>SUMIFS('Data International'!$D:$D,'Data International'!$P:$P,'Painel International'!$B42,'Data International'!$Q:$Q,"&gt;90",'Data International'!$Q:$Q,"&lt;=120")</f>
        <v>0</v>
      </c>
      <c r="L42" s="19">
        <f>SUMIFS('Data International'!$D:$D,'Data International'!$P:$P,'Painel International'!$B42,'Data International'!$Q:$Q,"&gt;120",'Data International'!$Q:$Q,"&lt;=180")</f>
        <v>0</v>
      </c>
      <c r="M42" s="19">
        <f>SUMIFS('Data International'!$D:$D,'Data International'!$P:$P,'Painel International'!$B42,'Data International'!$Q:$Q,"&gt;180",'Data International'!$Q:$Q,"&lt;=360")</f>
        <v>0</v>
      </c>
      <c r="N42" s="23">
        <f>SUMIFS('Data International'!$D:$D,'Data International'!$P:$P,'Painel International'!$B42,'Data International'!$Q:$Q,"&gt;360")</f>
        <v>0</v>
      </c>
      <c r="O42" s="19">
        <f>SUMIFS('Data International'!$D:$D,'Data International'!$P:$P,'Painel International'!$B42,'Data International'!$Q:$Q,"&gt;0")</f>
        <v>0</v>
      </c>
      <c r="P42" s="19">
        <f t="shared" ref="P42" si="40">SUM(Q42:W42)</f>
        <v>0</v>
      </c>
      <c r="Q42" s="19">
        <f>SUMIFS('Data International'!$D:$D,'Data International'!$P:$P,'Painel International'!$B42,'Data International'!$Q:$Q,"&lt;=0",'Data International'!$Q:$Q,"&gt;=-30")</f>
        <v>0</v>
      </c>
      <c r="R42" s="19">
        <f>SUMIFS('Data International'!$D:$D,'Data International'!$P:$P,'Painel International'!$B42,'Data International'!$Q:$Q,"&lt;=-31",'Data International'!$Q:$Q,"&gt;=-60")</f>
        <v>0</v>
      </c>
      <c r="S42" s="19">
        <f>SUMIFS('Data International'!$D:$D,'Data International'!$P:$P,'Painel International'!$B42,'Data International'!$Q:$Q,"&lt;=-61",'Data International'!$Q:$Q,"&gt;=-90")</f>
        <v>0</v>
      </c>
      <c r="T42" s="19">
        <f>SUMIFS('Data International'!$D:$D,'Data International'!$P:$P,'Painel International'!$B42,'Data International'!$Q:$Q,"&lt;=-91",'Data International'!$Q:$Q,"&gt;=-120")</f>
        <v>0</v>
      </c>
      <c r="U42" s="19">
        <f>SUMIFS('Data International'!$D:$D,'Data International'!$P:$P,'Painel International'!$B42,'Data International'!$Q:$Q,"&lt;=-121",'Data International'!$Q:$Q,"&gt;=-180")</f>
        <v>0</v>
      </c>
      <c r="V42" s="19">
        <f>SUMIFS('Data International'!$D:$D,'Data International'!$P:$P,'Painel International'!$B42,'Data International'!$Q:$Q,"&lt;=-181",'Data International'!$Q:$Q,"&gt;=-360")</f>
        <v>0</v>
      </c>
      <c r="W42" s="23">
        <f>SUMIFS('Data International'!$D:$D,'Data International'!$P:$P,'Painel International'!$B42,'Data International'!$Q:$Q,"&lt;-360")</f>
        <v>0</v>
      </c>
      <c r="X42" s="19">
        <f>SUMIFS('Bad Debt Provision'!AB:AB,'Bad Debt Provision'!B:B,'Painel International'!B42)</f>
        <v>0</v>
      </c>
      <c r="Z42" s="5"/>
      <c r="AA42" s="19">
        <f>_xlfn.XLOOKUP(B42,'Limite de crédito'!C:C,'Limite de crédito'!O:O,0)</f>
        <v>1375000</v>
      </c>
      <c r="AB42" s="19"/>
      <c r="AC42" s="20"/>
      <c r="AD42" s="22"/>
      <c r="AE42" s="22"/>
      <c r="AF42" s="5"/>
      <c r="AG42" s="28">
        <f t="shared" ref="AG42" si="41">AA42-G42</f>
        <v>1375000</v>
      </c>
      <c r="AI42" s="259"/>
    </row>
    <row r="43" spans="2:35" x14ac:dyDescent="0.25">
      <c r="B43" s="41" t="s">
        <v>128</v>
      </c>
      <c r="C43" s="19" t="str">
        <f>IFERROR(_xlfn.XLOOKUP(B43,'Limite de crédito'!C:C,'Limite de crédito'!L:L,),0)</f>
        <v>A</v>
      </c>
      <c r="D43" s="19"/>
      <c r="E43" s="105">
        <f>_xlfn.XLOOKUP(B43,'Limite de crédito'!C:C,'Limite de crédito'!G:G,0)</f>
        <v>1375000</v>
      </c>
      <c r="F43" s="18">
        <f t="shared" ref="F43" si="42">E43-G43</f>
        <v>1217850.53</v>
      </c>
      <c r="G43" s="18">
        <f t="shared" si="39"/>
        <v>157149.47</v>
      </c>
      <c r="H43" s="19">
        <f>SUMIFS('Data International'!$D:$D,'Data International'!$P:$P,'Painel International'!$B43,'Data International'!$Q:$Q,"&gt;0",'Data International'!$Q:$Q,"&lt;=30")</f>
        <v>0</v>
      </c>
      <c r="I43" s="19">
        <f>SUMIFS('Data International'!$D:$D,'Data International'!$P:$P,'Painel International'!$B43,'Data International'!$Q:$Q,"&gt;30",'Data International'!$Q:$Q,"&lt;=60")</f>
        <v>0</v>
      </c>
      <c r="J43" s="19">
        <f>SUMIFS('Data International'!$D:$D,'Data International'!$P:$P,'Painel International'!$B43,'Data International'!$Q:$Q,"&gt;60",'Data International'!$Q:$Q,"&lt;=90")</f>
        <v>0</v>
      </c>
      <c r="K43" s="19">
        <f>SUMIFS('Data International'!$D:$D,'Data International'!$P:$P,'Painel International'!$B43,'Data International'!$Q:$Q,"&gt;90",'Data International'!$Q:$Q,"&lt;=120")</f>
        <v>0</v>
      </c>
      <c r="L43" s="19">
        <f>SUMIFS('Data International'!$D:$D,'Data International'!$P:$P,'Painel International'!$B43,'Data International'!$Q:$Q,"&gt;120",'Data International'!$Q:$Q,"&lt;=180")</f>
        <v>0</v>
      </c>
      <c r="M43" s="19">
        <f>SUMIFS('Data International'!$D:$D,'Data International'!$P:$P,'Painel International'!$B43,'Data International'!$Q:$Q,"&gt;180",'Data International'!$Q:$Q,"&lt;=360")</f>
        <v>0</v>
      </c>
      <c r="N43" s="23">
        <f>SUMIFS('Data International'!$D:$D,'Data International'!$P:$P,'Painel International'!$B43,'Data International'!$Q:$Q,"&gt;360")</f>
        <v>0</v>
      </c>
      <c r="O43" s="19">
        <f>SUMIFS('Data International'!$D:$D,'Data International'!$P:$P,'Painel International'!$B43,'Data International'!$Q:$Q,"&gt;0")</f>
        <v>0</v>
      </c>
      <c r="P43" s="19">
        <f t="shared" ref="P43" si="43">SUM(Q43:W43)</f>
        <v>157149.47</v>
      </c>
      <c r="Q43" s="19">
        <f>SUMIFS('Data International'!$D:$D,'Data International'!$P:$P,'Painel International'!$B43,'Data International'!$Q:$Q,"&lt;=0",'Data International'!$Q:$Q,"&gt;=-30")</f>
        <v>157149.47</v>
      </c>
      <c r="R43" s="19">
        <f>SUMIFS('Data International'!$D:$D,'Data International'!$P:$P,'Painel International'!$B43,'Data International'!$Q:$Q,"&lt;=-31",'Data International'!$Q:$Q,"&gt;=-60")</f>
        <v>0</v>
      </c>
      <c r="S43" s="19">
        <f>SUMIFS('Data International'!$D:$D,'Data International'!$P:$P,'Painel International'!$B43,'Data International'!$Q:$Q,"&lt;=-61",'Data International'!$Q:$Q,"&gt;=-90")</f>
        <v>0</v>
      </c>
      <c r="T43" s="19">
        <f>SUMIFS('Data International'!$D:$D,'Data International'!$P:$P,'Painel International'!$B43,'Data International'!$Q:$Q,"&lt;=-91",'Data International'!$Q:$Q,"&gt;=-120")</f>
        <v>0</v>
      </c>
      <c r="U43" s="19">
        <f>SUMIFS('Data International'!$D:$D,'Data International'!$P:$P,'Painel International'!$B43,'Data International'!$Q:$Q,"&lt;=-121",'Data International'!$Q:$Q,"&gt;=-180")</f>
        <v>0</v>
      </c>
      <c r="V43" s="19">
        <f>SUMIFS('Data International'!$D:$D,'Data International'!$P:$P,'Painel International'!$B43,'Data International'!$Q:$Q,"&lt;=-181",'Data International'!$Q:$Q,"&gt;=-360")</f>
        <v>0</v>
      </c>
      <c r="W43" s="23">
        <f>SUMIFS('Data International'!$D:$D,'Data International'!$P:$P,'Painel International'!$B43,'Data International'!$Q:$Q,"&lt;-360")</f>
        <v>0</v>
      </c>
      <c r="X43" s="19">
        <f>SUMIFS('Bad Debt Provision'!AB:AB,'Bad Debt Provision'!B:B,'Painel International'!B43)</f>
        <v>0</v>
      </c>
      <c r="Z43" s="5"/>
      <c r="AA43" s="19">
        <f>_xlfn.XLOOKUP(B43,'Limite de crédito'!C:C,'Limite de crédito'!O:O,0)</f>
        <v>1375000</v>
      </c>
      <c r="AB43" s="19"/>
      <c r="AC43" s="20"/>
      <c r="AD43" s="22"/>
      <c r="AE43" s="22"/>
      <c r="AF43" s="5"/>
      <c r="AG43" s="28">
        <f t="shared" ref="AG43" si="44">AA43-G43</f>
        <v>1217850.53</v>
      </c>
      <c r="AI43" s="259"/>
    </row>
    <row r="44" spans="2:35" x14ac:dyDescent="0.25">
      <c r="B44" s="41" t="s">
        <v>627</v>
      </c>
      <c r="C44" s="19" t="str">
        <f>IFERROR(_xlfn.XLOOKUP(B44,'Limite de crédito'!C:C,'Limite de crédito'!L:L,),0)</f>
        <v>A</v>
      </c>
      <c r="D44" s="19"/>
      <c r="E44" s="105">
        <f>_xlfn.XLOOKUP(B44,'Limite de crédito'!C:C,'Limite de crédito'!G:G,0)</f>
        <v>1100000</v>
      </c>
      <c r="F44" s="18">
        <f t="shared" ref="F44" si="45">E44-G44</f>
        <v>412311.08999999997</v>
      </c>
      <c r="G44" s="18">
        <f t="shared" si="39"/>
        <v>687688.91</v>
      </c>
      <c r="H44" s="19">
        <f>SUMIFS('Data International'!$D:$D,'Data International'!$P:$P,'Painel International'!$B44,'Data International'!$Q:$Q,"&gt;0",'Data International'!$Q:$Q,"&lt;=30")</f>
        <v>0</v>
      </c>
      <c r="I44" s="19">
        <f>SUMIFS('Data International'!$D:$D,'Data International'!$P:$P,'Painel International'!$B44,'Data International'!$Q:$Q,"&gt;30",'Data International'!$Q:$Q,"&lt;=60")</f>
        <v>0</v>
      </c>
      <c r="J44" s="19">
        <f>SUMIFS('Data International'!$D:$D,'Data International'!$P:$P,'Painel International'!$B44,'Data International'!$Q:$Q,"&gt;60",'Data International'!$Q:$Q,"&lt;=90")</f>
        <v>0</v>
      </c>
      <c r="K44" s="19">
        <f>SUMIFS('Data International'!$D:$D,'Data International'!$P:$P,'Painel International'!$B44,'Data International'!$Q:$Q,"&gt;90",'Data International'!$Q:$Q,"&lt;=120")</f>
        <v>0</v>
      </c>
      <c r="L44" s="19">
        <f>SUMIFS('Data International'!$D:$D,'Data International'!$P:$P,'Painel International'!$B44,'Data International'!$Q:$Q,"&gt;120",'Data International'!$Q:$Q,"&lt;=180")</f>
        <v>0</v>
      </c>
      <c r="M44" s="19">
        <f>SUMIFS('Data International'!$D:$D,'Data International'!$P:$P,'Painel International'!$B44,'Data International'!$Q:$Q,"&gt;180",'Data International'!$Q:$Q,"&lt;=360")</f>
        <v>0</v>
      </c>
      <c r="N44" s="23">
        <f>SUMIFS('Data International'!$D:$D,'Data International'!$P:$P,'Painel International'!$B44,'Data International'!$Q:$Q,"&gt;360")</f>
        <v>0</v>
      </c>
      <c r="O44" s="19">
        <f>SUMIFS('Data International'!$D:$D,'Data International'!$P:$P,'Painel International'!$B44,'Data International'!$Q:$Q,"&gt;0")</f>
        <v>0</v>
      </c>
      <c r="P44" s="19">
        <f t="shared" ref="P44" si="46">SUM(Q44:W44)</f>
        <v>687688.91</v>
      </c>
      <c r="Q44" s="19">
        <f>SUMIFS('Data International'!$D:$D,'Data International'!$P:$P,'Painel International'!$B44,'Data International'!$Q:$Q,"&lt;=0",'Data International'!$Q:$Q,"&gt;=-30")</f>
        <v>0</v>
      </c>
      <c r="R44" s="19">
        <f>SUMIFS('Data International'!$D:$D,'Data International'!$P:$P,'Painel International'!$B44,'Data International'!$Q:$Q,"&lt;=-31",'Data International'!$Q:$Q,"&gt;=-60")</f>
        <v>687688.91</v>
      </c>
      <c r="S44" s="19">
        <f>SUMIFS('Data International'!$D:$D,'Data International'!$P:$P,'Painel International'!$B44,'Data International'!$Q:$Q,"&lt;=-61",'Data International'!$Q:$Q,"&gt;=-90")</f>
        <v>0</v>
      </c>
      <c r="T44" s="19">
        <f>SUMIFS('Data International'!$D:$D,'Data International'!$P:$P,'Painel International'!$B44,'Data International'!$Q:$Q,"&lt;=-91",'Data International'!$Q:$Q,"&gt;=-120")</f>
        <v>0</v>
      </c>
      <c r="U44" s="19">
        <f>SUMIFS('Data International'!$D:$D,'Data International'!$P:$P,'Painel International'!$B44,'Data International'!$Q:$Q,"&lt;=-121",'Data International'!$Q:$Q,"&gt;=-180")</f>
        <v>0</v>
      </c>
      <c r="V44" s="19">
        <f>SUMIFS('Data International'!$D:$D,'Data International'!$P:$P,'Painel International'!$B44,'Data International'!$Q:$Q,"&lt;=-181",'Data International'!$Q:$Q,"&gt;=-360")</f>
        <v>0</v>
      </c>
      <c r="W44" s="23">
        <f>SUMIFS('Data International'!$D:$D,'Data International'!$P:$P,'Painel International'!$B44,'Data International'!$Q:$Q,"&lt;-360")</f>
        <v>0</v>
      </c>
      <c r="X44" s="19">
        <f>SUMIFS('Bad Debt Provision'!AB:AB,'Bad Debt Provision'!B:B,'Painel International'!B44)</f>
        <v>0</v>
      </c>
      <c r="Z44" s="5"/>
      <c r="AA44" s="19">
        <f>_xlfn.XLOOKUP(B44,'Limite de crédito'!C:C,'Limite de crédito'!O:O,0)</f>
        <v>1100000</v>
      </c>
      <c r="AB44" s="19"/>
      <c r="AC44" s="20"/>
      <c r="AD44" s="22"/>
      <c r="AE44" s="22"/>
      <c r="AF44" s="5"/>
      <c r="AG44" s="28">
        <f t="shared" ref="AG44" si="47">AA44-G44</f>
        <v>412311.08999999997</v>
      </c>
      <c r="AI44" s="259"/>
    </row>
    <row r="45" spans="2:35" x14ac:dyDescent="0.25">
      <c r="B45" s="41" t="s">
        <v>615</v>
      </c>
      <c r="C45" s="19">
        <f>IFERROR(_xlfn.XLOOKUP(B45,'Limite de crédito'!C:C,'Limite de crédito'!L:L,),0)</f>
        <v>0</v>
      </c>
      <c r="D45" s="19"/>
      <c r="E45" s="105">
        <f>_xlfn.XLOOKUP(B45,'Limite de crédito'!C:C,'Limite de crédito'!G:G,0)</f>
        <v>0</v>
      </c>
      <c r="F45" s="18">
        <f t="shared" ref="F45" si="48">E45-G45</f>
        <v>0</v>
      </c>
      <c r="G45" s="18">
        <f t="shared" si="39"/>
        <v>0</v>
      </c>
      <c r="H45" s="19">
        <f>SUMIFS('Data International'!$D:$D,'Data International'!$P:$P,'Painel International'!$B45,'Data International'!$Q:$Q,"&gt;0",'Data International'!$Q:$Q,"&lt;=30")</f>
        <v>0</v>
      </c>
      <c r="I45" s="19">
        <f>SUMIFS('Data International'!$D:$D,'Data International'!$P:$P,'Painel International'!$B45,'Data International'!$Q:$Q,"&gt;30",'Data International'!$Q:$Q,"&lt;=60")</f>
        <v>0</v>
      </c>
      <c r="J45" s="19">
        <f>SUMIFS('Data International'!$D:$D,'Data International'!$P:$P,'Painel International'!$B45,'Data International'!$Q:$Q,"&gt;60",'Data International'!$Q:$Q,"&lt;=90")</f>
        <v>0</v>
      </c>
      <c r="K45" s="19">
        <f>SUMIFS('Data International'!$D:$D,'Data International'!$P:$P,'Painel International'!$B45,'Data International'!$Q:$Q,"&gt;90",'Data International'!$Q:$Q,"&lt;=120")</f>
        <v>0</v>
      </c>
      <c r="L45" s="19">
        <f>SUMIFS('Data International'!$D:$D,'Data International'!$P:$P,'Painel International'!$B45,'Data International'!$Q:$Q,"&gt;120",'Data International'!$Q:$Q,"&lt;=180")</f>
        <v>0</v>
      </c>
      <c r="M45" s="19">
        <f>SUMIFS('Data International'!$D:$D,'Data International'!$P:$P,'Painel International'!$B45,'Data International'!$Q:$Q,"&gt;180",'Data International'!$Q:$Q,"&lt;=360")</f>
        <v>0</v>
      </c>
      <c r="N45" s="23">
        <f>SUMIFS('Data International'!$D:$D,'Data International'!$P:$P,'Painel International'!$B45,'Data International'!$Q:$Q,"&gt;360")</f>
        <v>0</v>
      </c>
      <c r="O45" s="19">
        <f>SUMIFS('Data International'!$D:$D,'Data International'!$P:$P,'Painel International'!$B45,'Data International'!$Q:$Q,"&gt;0")</f>
        <v>0</v>
      </c>
      <c r="P45" s="19">
        <f t="shared" ref="P45" si="49">SUM(Q45:W45)</f>
        <v>0</v>
      </c>
      <c r="Q45" s="19">
        <f>SUMIFS('Data International'!$D:$D,'Data International'!$P:$P,'Painel International'!$B45,'Data International'!$Q:$Q,"&lt;=0",'Data International'!$Q:$Q,"&gt;=-30")</f>
        <v>0</v>
      </c>
      <c r="R45" s="19">
        <f>SUMIFS('Data International'!$D:$D,'Data International'!$P:$P,'Painel International'!$B45,'Data International'!$Q:$Q,"&lt;=-31",'Data International'!$Q:$Q,"&gt;=-60")</f>
        <v>0</v>
      </c>
      <c r="S45" s="19">
        <f>SUMIFS('Data International'!$D:$D,'Data International'!$P:$P,'Painel International'!$B45,'Data International'!$Q:$Q,"&lt;=-61",'Data International'!$Q:$Q,"&gt;=-90")</f>
        <v>0</v>
      </c>
      <c r="T45" s="19">
        <f>SUMIFS('Data International'!$D:$D,'Data International'!$P:$P,'Painel International'!$B45,'Data International'!$Q:$Q,"&lt;=-91",'Data International'!$Q:$Q,"&gt;=-120")</f>
        <v>0</v>
      </c>
      <c r="U45" s="19">
        <f>SUMIFS('Data International'!$D:$D,'Data International'!$P:$P,'Painel International'!$B45,'Data International'!$Q:$Q,"&lt;=-121",'Data International'!$Q:$Q,"&gt;=-180")</f>
        <v>0</v>
      </c>
      <c r="V45" s="19">
        <f>SUMIFS('Data International'!$D:$D,'Data International'!$P:$P,'Painel International'!$B45,'Data International'!$Q:$Q,"&lt;=-181",'Data International'!$Q:$Q,"&gt;=-360")</f>
        <v>0</v>
      </c>
      <c r="W45" s="23">
        <f>SUMIFS('Data International'!$D:$D,'Data International'!$P:$P,'Painel International'!$B45,'Data International'!$Q:$Q,"&lt;-360")</f>
        <v>0</v>
      </c>
      <c r="X45" s="19">
        <f>SUMIFS('Bad Debt Provision'!AB:AB,'Bad Debt Provision'!B:B,'Painel International'!B45)</f>
        <v>0</v>
      </c>
      <c r="Z45" s="5"/>
      <c r="AA45" s="19">
        <f>_xlfn.XLOOKUP(B45,'Limite de crédito'!C:C,'Limite de crédito'!O:O,0)</f>
        <v>0</v>
      </c>
      <c r="AB45" s="19"/>
      <c r="AC45" s="20"/>
      <c r="AD45" s="22"/>
      <c r="AE45" s="22"/>
      <c r="AF45" s="5"/>
      <c r="AG45" s="28">
        <f t="shared" ref="AG45" si="50">AA45-G45</f>
        <v>0</v>
      </c>
      <c r="AI45" s="259"/>
    </row>
    <row r="46" spans="2:35" x14ac:dyDescent="0.25">
      <c r="B46" s="41" t="s">
        <v>742</v>
      </c>
      <c r="C46" s="19">
        <f>IFERROR(_xlfn.XLOOKUP(B46,'Limite de crédito'!C:C,'Limite de crédito'!L:L,),0)</f>
        <v>0</v>
      </c>
      <c r="D46" s="19"/>
      <c r="E46" s="105">
        <f>_xlfn.XLOOKUP(B46,'Limite de crédito'!C:C,'Limite de crédito'!G:G,0)</f>
        <v>275000</v>
      </c>
      <c r="F46" s="18">
        <f t="shared" ref="F46" si="51">E46-G46</f>
        <v>275000</v>
      </c>
      <c r="G46" s="18">
        <f t="shared" si="39"/>
        <v>0</v>
      </c>
      <c r="H46" s="19">
        <f>SUMIFS('Data International'!$D:$D,'Data International'!$P:$P,'Painel International'!$B46,'Data International'!$Q:$Q,"&gt;0",'Data International'!$Q:$Q,"&lt;=30")</f>
        <v>0</v>
      </c>
      <c r="I46" s="19">
        <f>SUMIFS('Data International'!$D:$D,'Data International'!$P:$P,'Painel International'!$B46,'Data International'!$Q:$Q,"&gt;30",'Data International'!$Q:$Q,"&lt;=60")</f>
        <v>0</v>
      </c>
      <c r="J46" s="19">
        <f>SUMIFS('Data International'!$D:$D,'Data International'!$P:$P,'Painel International'!$B46,'Data International'!$Q:$Q,"&gt;60",'Data International'!$Q:$Q,"&lt;=90")</f>
        <v>0</v>
      </c>
      <c r="K46" s="19">
        <f>SUMIFS('Data International'!$D:$D,'Data International'!$P:$P,'Painel International'!$B46,'Data International'!$Q:$Q,"&gt;90",'Data International'!$Q:$Q,"&lt;=120")</f>
        <v>0</v>
      </c>
      <c r="L46" s="19">
        <f>SUMIFS('Data International'!$D:$D,'Data International'!$P:$P,'Painel International'!$B46,'Data International'!$Q:$Q,"&gt;120",'Data International'!$Q:$Q,"&lt;=180")</f>
        <v>0</v>
      </c>
      <c r="M46" s="19">
        <f>SUMIFS('Data International'!$D:$D,'Data International'!$P:$P,'Painel International'!$B46,'Data International'!$Q:$Q,"&gt;180",'Data International'!$Q:$Q,"&lt;=360")</f>
        <v>0</v>
      </c>
      <c r="N46" s="23">
        <f>SUMIFS('Data International'!$D:$D,'Data International'!$P:$P,'Painel International'!$B46,'Data International'!$Q:$Q,"&gt;360")</f>
        <v>0</v>
      </c>
      <c r="O46" s="19">
        <f>SUMIFS('Data International'!$D:$D,'Data International'!$P:$P,'Painel International'!$B46,'Data International'!$Q:$Q,"&gt;0")</f>
        <v>0</v>
      </c>
      <c r="P46" s="19">
        <f t="shared" ref="P46" si="52">SUM(Q46:W46)</f>
        <v>0</v>
      </c>
      <c r="Q46" s="19">
        <f>SUMIFS('Data International'!$D:$D,'Data International'!$P:$P,'Painel International'!$B46,'Data International'!$Q:$Q,"&lt;=0",'Data International'!$Q:$Q,"&gt;=-30")</f>
        <v>0</v>
      </c>
      <c r="R46" s="19">
        <f>SUMIFS('Data International'!$D:$D,'Data International'!$P:$P,'Painel International'!$B46,'Data International'!$Q:$Q,"&lt;=-31",'Data International'!$Q:$Q,"&gt;=-60")</f>
        <v>0</v>
      </c>
      <c r="S46" s="19">
        <f>SUMIFS('Data International'!$D:$D,'Data International'!$P:$P,'Painel International'!$B46,'Data International'!$Q:$Q,"&lt;=-61",'Data International'!$Q:$Q,"&gt;=-90")</f>
        <v>0</v>
      </c>
      <c r="T46" s="19">
        <f>SUMIFS('Data International'!$D:$D,'Data International'!$P:$P,'Painel International'!$B46,'Data International'!$Q:$Q,"&lt;=-91",'Data International'!$Q:$Q,"&gt;=-120")</f>
        <v>0</v>
      </c>
      <c r="U46" s="19">
        <f>SUMIFS('Data International'!$D:$D,'Data International'!$P:$P,'Painel International'!$B46,'Data International'!$Q:$Q,"&lt;=-121",'Data International'!$Q:$Q,"&gt;=-180")</f>
        <v>0</v>
      </c>
      <c r="V46" s="19">
        <f>SUMIFS('Data International'!$D:$D,'Data International'!$P:$P,'Painel International'!$B46,'Data International'!$Q:$Q,"&lt;=-181",'Data International'!$Q:$Q,"&gt;=-360")</f>
        <v>0</v>
      </c>
      <c r="W46" s="23">
        <f>SUMIFS('Data International'!$D:$D,'Data International'!$P:$P,'Painel International'!$B46,'Data International'!$Q:$Q,"&lt;-360")</f>
        <v>0</v>
      </c>
      <c r="X46" s="19">
        <f>SUMIFS('Bad Debt Provision'!AB:AB,'Bad Debt Provision'!B:B,'Painel International'!B46)</f>
        <v>0</v>
      </c>
      <c r="Z46" s="5"/>
      <c r="AA46" s="19">
        <f>_xlfn.XLOOKUP(B46,'Limite de crédito'!C:C,'Limite de crédito'!O:O,0)</f>
        <v>275000</v>
      </c>
      <c r="AB46" s="19"/>
      <c r="AC46" s="20"/>
      <c r="AD46" s="22"/>
      <c r="AE46" s="22"/>
      <c r="AF46" s="5"/>
      <c r="AG46" s="28">
        <f t="shared" ref="AG46" si="53">AA46-G46</f>
        <v>275000</v>
      </c>
      <c r="AI46" s="259"/>
    </row>
    <row r="47" spans="2:35" x14ac:dyDescent="0.25">
      <c r="B47" s="41" t="s">
        <v>822</v>
      </c>
      <c r="C47" s="19">
        <f>IFERROR(_xlfn.XLOOKUP(B47,'Limite de crédito'!C:C,'Limite de crédito'!L:L,),0)</f>
        <v>0</v>
      </c>
      <c r="D47" s="19"/>
      <c r="E47" s="105">
        <f>_xlfn.XLOOKUP(B47,'Limite de crédito'!C:C,'Limite de crédito'!G:G,0)</f>
        <v>0</v>
      </c>
      <c r="F47" s="18">
        <f t="shared" ref="F47" si="54">E47-G47</f>
        <v>0</v>
      </c>
      <c r="G47" s="18">
        <f t="shared" si="39"/>
        <v>0</v>
      </c>
      <c r="H47" s="19">
        <f>SUMIFS('Data International'!$D:$D,'Data International'!$P:$P,'Painel International'!$B47,'Data International'!$Q:$Q,"&gt;0",'Data International'!$Q:$Q,"&lt;=30")</f>
        <v>0</v>
      </c>
      <c r="I47" s="19">
        <f>SUMIFS('Data International'!$D:$D,'Data International'!$P:$P,'Painel International'!$B47,'Data International'!$Q:$Q,"&gt;30",'Data International'!$Q:$Q,"&lt;=60")</f>
        <v>0</v>
      </c>
      <c r="J47" s="19">
        <f>SUMIFS('Data International'!$D:$D,'Data International'!$P:$P,'Painel International'!$B47,'Data International'!$Q:$Q,"&gt;60",'Data International'!$Q:$Q,"&lt;=90")</f>
        <v>0</v>
      </c>
      <c r="K47" s="19">
        <f>SUMIFS('Data International'!$D:$D,'Data International'!$P:$P,'Painel International'!$B47,'Data International'!$Q:$Q,"&gt;90",'Data International'!$Q:$Q,"&lt;=120")</f>
        <v>0</v>
      </c>
      <c r="L47" s="19">
        <f>SUMIFS('Data International'!$D:$D,'Data International'!$P:$P,'Painel International'!$B47,'Data International'!$Q:$Q,"&gt;120",'Data International'!$Q:$Q,"&lt;=180")</f>
        <v>0</v>
      </c>
      <c r="M47" s="19">
        <f>SUMIFS('Data International'!$D:$D,'Data International'!$P:$P,'Painel International'!$B47,'Data International'!$Q:$Q,"&gt;180",'Data International'!$Q:$Q,"&lt;=360")</f>
        <v>0</v>
      </c>
      <c r="N47" s="23">
        <f>SUMIFS('Data International'!$D:$D,'Data International'!$P:$P,'Painel International'!$B47,'Data International'!$Q:$Q,"&gt;360")</f>
        <v>0</v>
      </c>
      <c r="O47" s="19">
        <f>SUMIFS('Data International'!$D:$D,'Data International'!$P:$P,'Painel International'!$B47,'Data International'!$Q:$Q,"&gt;0")</f>
        <v>0</v>
      </c>
      <c r="P47" s="19">
        <f t="shared" ref="P47" si="55">SUM(Q47:W47)</f>
        <v>0</v>
      </c>
      <c r="Q47" s="19">
        <f>SUMIFS('Data International'!$D:$D,'Data International'!$P:$P,'Painel International'!$B47,'Data International'!$Q:$Q,"&lt;=0",'Data International'!$Q:$Q,"&gt;=-30")</f>
        <v>0</v>
      </c>
      <c r="R47" s="19">
        <f>SUMIFS('Data International'!$D:$D,'Data International'!$P:$P,'Painel International'!$B47,'Data International'!$Q:$Q,"&lt;=-31",'Data International'!$Q:$Q,"&gt;=-60")</f>
        <v>0</v>
      </c>
      <c r="S47" s="19">
        <f>SUMIFS('Data International'!$D:$D,'Data International'!$P:$P,'Painel International'!$B47,'Data International'!$Q:$Q,"&lt;=-61",'Data International'!$Q:$Q,"&gt;=-90")</f>
        <v>0</v>
      </c>
      <c r="T47" s="19">
        <f>SUMIFS('Data International'!$D:$D,'Data International'!$P:$P,'Painel International'!$B47,'Data International'!$Q:$Q,"&lt;=-91",'Data International'!$Q:$Q,"&gt;=-120")</f>
        <v>0</v>
      </c>
      <c r="U47" s="19">
        <f>SUMIFS('Data International'!$D:$D,'Data International'!$P:$P,'Painel International'!$B47,'Data International'!$Q:$Q,"&lt;=-121",'Data International'!$Q:$Q,"&gt;=-180")</f>
        <v>0</v>
      </c>
      <c r="V47" s="19">
        <f>SUMIFS('Data International'!$D:$D,'Data International'!$P:$P,'Painel International'!$B47,'Data International'!$Q:$Q,"&lt;=-181",'Data International'!$Q:$Q,"&gt;=-360")</f>
        <v>0</v>
      </c>
      <c r="W47" s="23">
        <f>SUMIFS('Data International'!$D:$D,'Data International'!$P:$P,'Painel International'!$B47,'Data International'!$Q:$Q,"&lt;-360")</f>
        <v>0</v>
      </c>
      <c r="X47" s="19">
        <f>SUMIFS('Bad Debt Provision'!AB:AB,'Bad Debt Provision'!B:B,'Painel International'!B47)</f>
        <v>0</v>
      </c>
      <c r="Z47" s="5"/>
      <c r="AA47" s="19">
        <f>_xlfn.XLOOKUP(B47,'Limite de crédito'!C:C,'Limite de crédito'!O:O,0)</f>
        <v>0</v>
      </c>
      <c r="AB47" s="19"/>
      <c r="AC47" s="20"/>
      <c r="AD47" s="22"/>
      <c r="AE47" s="22"/>
      <c r="AF47" s="5"/>
      <c r="AG47" s="28">
        <f t="shared" ref="AG47" si="56">AA47-G47</f>
        <v>0</v>
      </c>
      <c r="AI47" s="259"/>
    </row>
    <row r="48" spans="2:35" x14ac:dyDescent="0.25">
      <c r="B48" s="41" t="s">
        <v>826</v>
      </c>
      <c r="C48" s="19">
        <f>IFERROR(_xlfn.XLOOKUP(B48,'Limite de crédito'!C:C,'Limite de crédito'!L:L,),0)</f>
        <v>0</v>
      </c>
      <c r="D48" s="19"/>
      <c r="E48" s="105">
        <f>_xlfn.XLOOKUP(B48,'Limite de crédito'!C:C,'Limite de crédito'!G:G,0)</f>
        <v>0</v>
      </c>
      <c r="F48" s="18">
        <f t="shared" ref="F48" si="57">E48-G48</f>
        <v>-45718.46</v>
      </c>
      <c r="G48" s="18">
        <f t="shared" ref="G48" si="58">P48+O48</f>
        <v>45718.46</v>
      </c>
      <c r="H48" s="19">
        <f>SUMIFS('Data International'!$D:$D,'Data International'!$P:$P,'Painel International'!$B48,'Data International'!$Q:$Q,"&gt;0",'Data International'!$Q:$Q,"&lt;=30")</f>
        <v>0</v>
      </c>
      <c r="I48" s="19">
        <f>SUMIFS('Data International'!$D:$D,'Data International'!$P:$P,'Painel International'!$B48,'Data International'!$Q:$Q,"&gt;30",'Data International'!$Q:$Q,"&lt;=60")</f>
        <v>0</v>
      </c>
      <c r="J48" s="19">
        <f>SUMIFS('Data International'!$D:$D,'Data International'!$P:$P,'Painel International'!$B48,'Data International'!$Q:$Q,"&gt;60",'Data International'!$Q:$Q,"&lt;=90")</f>
        <v>0</v>
      </c>
      <c r="K48" s="19">
        <f>SUMIFS('Data International'!$D:$D,'Data International'!$P:$P,'Painel International'!$B48,'Data International'!$Q:$Q,"&gt;90",'Data International'!$Q:$Q,"&lt;=120")</f>
        <v>0</v>
      </c>
      <c r="L48" s="19">
        <f>SUMIFS('Data International'!$D:$D,'Data International'!$P:$P,'Painel International'!$B48,'Data International'!$Q:$Q,"&gt;120",'Data International'!$Q:$Q,"&lt;=180")</f>
        <v>0</v>
      </c>
      <c r="M48" s="19">
        <f>SUMIFS('Data International'!$D:$D,'Data International'!$P:$P,'Painel International'!$B48,'Data International'!$Q:$Q,"&gt;180",'Data International'!$Q:$Q,"&lt;=360")</f>
        <v>0</v>
      </c>
      <c r="N48" s="23">
        <f>SUMIFS('Data International'!$D:$D,'Data International'!$P:$P,'Painel International'!$B48,'Data International'!$Q:$Q,"&gt;360")</f>
        <v>0</v>
      </c>
      <c r="O48" s="19">
        <f>SUMIFS('Data International'!$D:$D,'Data International'!$P:$P,'Painel International'!$B48,'Data International'!$Q:$Q,"&gt;0")</f>
        <v>0</v>
      </c>
      <c r="P48" s="19">
        <f t="shared" ref="P48" si="59">SUM(Q48:W48)</f>
        <v>45718.46</v>
      </c>
      <c r="Q48" s="19">
        <f>SUMIFS('Data International'!$D:$D,'Data International'!$P:$P,'Painel International'!$B48,'Data International'!$Q:$Q,"&lt;=0",'Data International'!$Q:$Q,"&gt;=-30")</f>
        <v>0</v>
      </c>
      <c r="R48" s="19">
        <f>SUMIFS('Data International'!$D:$D,'Data International'!$P:$P,'Painel International'!$B48,'Data International'!$Q:$Q,"&lt;=-31",'Data International'!$Q:$Q,"&gt;=-60")</f>
        <v>45718.46</v>
      </c>
      <c r="S48" s="19">
        <f>SUMIFS('Data International'!$D:$D,'Data International'!$P:$P,'Painel International'!$B48,'Data International'!$Q:$Q,"&lt;=-61",'Data International'!$Q:$Q,"&gt;=-90")</f>
        <v>0</v>
      </c>
      <c r="T48" s="19">
        <f>SUMIFS('Data International'!$D:$D,'Data International'!$P:$P,'Painel International'!$B48,'Data International'!$Q:$Q,"&lt;=-91",'Data International'!$Q:$Q,"&gt;=-120")</f>
        <v>0</v>
      </c>
      <c r="U48" s="19">
        <f>SUMIFS('Data International'!$D:$D,'Data International'!$P:$P,'Painel International'!$B48,'Data International'!$Q:$Q,"&lt;=-121",'Data International'!$Q:$Q,"&gt;=-180")</f>
        <v>0</v>
      </c>
      <c r="V48" s="19">
        <f>SUMIFS('Data International'!$D:$D,'Data International'!$P:$P,'Painel International'!$B48,'Data International'!$Q:$Q,"&lt;=-181",'Data International'!$Q:$Q,"&gt;=-360")</f>
        <v>0</v>
      </c>
      <c r="W48" s="23">
        <f>SUMIFS('Data International'!$D:$D,'Data International'!$P:$P,'Painel International'!$B48,'Data International'!$Q:$Q,"&lt;-360")</f>
        <v>0</v>
      </c>
      <c r="X48" s="19">
        <f>SUMIFS('Bad Debt Provision'!AB:AB,'Bad Debt Provision'!B:B,'Painel International'!B48)</f>
        <v>0</v>
      </c>
      <c r="Z48" s="5"/>
      <c r="AA48" s="19">
        <f>_xlfn.XLOOKUP(B48,'Limite de crédito'!C:C,'Limite de crédito'!O:O,0)</f>
        <v>0</v>
      </c>
      <c r="AB48" s="19"/>
      <c r="AC48" s="20"/>
      <c r="AD48" s="22"/>
      <c r="AE48" s="22"/>
      <c r="AF48" s="5"/>
      <c r="AG48" s="28">
        <f t="shared" ref="AG48" si="60">AA48-G48</f>
        <v>-45718.46</v>
      </c>
      <c r="AI48" s="259"/>
    </row>
    <row r="49" spans="2:35" x14ac:dyDescent="0.25">
      <c r="B49" s="41" t="s">
        <v>873</v>
      </c>
      <c r="C49" s="19">
        <f>IFERROR(_xlfn.XLOOKUP(B49,'Limite de crédito'!C:C,'Limite de crédito'!L:L,),0)</f>
        <v>0</v>
      </c>
      <c r="D49" s="19"/>
      <c r="E49" s="105">
        <f>_xlfn.XLOOKUP(B49,'Limite de crédito'!C:C,'Limite de crédito'!G:G,0)</f>
        <v>0</v>
      </c>
      <c r="F49" s="18">
        <f t="shared" ref="F49" si="61">E49-G49</f>
        <v>0</v>
      </c>
      <c r="G49" s="18">
        <f t="shared" ref="G49" si="62">P49+O49</f>
        <v>0</v>
      </c>
      <c r="H49" s="19">
        <f>SUMIFS('Data International'!$D:$D,'Data International'!$P:$P,'Painel International'!$B49,'Data International'!$Q:$Q,"&gt;0",'Data International'!$Q:$Q,"&lt;=30")</f>
        <v>0</v>
      </c>
      <c r="I49" s="19">
        <f>SUMIFS('Data International'!$D:$D,'Data International'!$P:$P,'Painel International'!$B49,'Data International'!$Q:$Q,"&gt;30",'Data International'!$Q:$Q,"&lt;=60")</f>
        <v>0</v>
      </c>
      <c r="J49" s="19">
        <f>SUMIFS('Data International'!$D:$D,'Data International'!$P:$P,'Painel International'!$B49,'Data International'!$Q:$Q,"&gt;60",'Data International'!$Q:$Q,"&lt;=90")</f>
        <v>0</v>
      </c>
      <c r="K49" s="19">
        <f>SUMIFS('Data International'!$D:$D,'Data International'!$P:$P,'Painel International'!$B49,'Data International'!$Q:$Q,"&gt;90",'Data International'!$Q:$Q,"&lt;=120")</f>
        <v>0</v>
      </c>
      <c r="L49" s="19">
        <f>SUMIFS('Data International'!$D:$D,'Data International'!$P:$P,'Painel International'!$B49,'Data International'!$Q:$Q,"&gt;120",'Data International'!$Q:$Q,"&lt;=180")</f>
        <v>0</v>
      </c>
      <c r="M49" s="19">
        <f>SUMIFS('Data International'!$D:$D,'Data International'!$P:$P,'Painel International'!$B49,'Data International'!$Q:$Q,"&gt;180",'Data International'!$Q:$Q,"&lt;=360")</f>
        <v>0</v>
      </c>
      <c r="N49" s="23">
        <f>SUMIFS('Data International'!$D:$D,'Data International'!$P:$P,'Painel International'!$B49,'Data International'!$Q:$Q,"&gt;360")</f>
        <v>0</v>
      </c>
      <c r="O49" s="19">
        <f>SUMIFS('Data International'!$D:$D,'Data International'!$P:$P,'Painel International'!$B49,'Data International'!$Q:$Q,"&gt;0")</f>
        <v>0</v>
      </c>
      <c r="P49" s="19">
        <f t="shared" ref="P49" si="63">SUM(Q49:W49)</f>
        <v>0</v>
      </c>
      <c r="Q49" s="19">
        <f>SUMIFS('Data International'!$D:$D,'Data International'!$P:$P,'Painel International'!$B49,'Data International'!$Q:$Q,"&lt;=0",'Data International'!$Q:$Q,"&gt;=-30")</f>
        <v>0</v>
      </c>
      <c r="R49" s="19">
        <f>SUMIFS('Data International'!$D:$D,'Data International'!$P:$P,'Painel International'!$B49,'Data International'!$Q:$Q,"&lt;=-31",'Data International'!$Q:$Q,"&gt;=-60")</f>
        <v>0</v>
      </c>
      <c r="S49" s="19">
        <f>SUMIFS('Data International'!$D:$D,'Data International'!$P:$P,'Painel International'!$B49,'Data International'!$Q:$Q,"&lt;=-61",'Data International'!$Q:$Q,"&gt;=-90")</f>
        <v>0</v>
      </c>
      <c r="T49" s="19">
        <f>SUMIFS('Data International'!$D:$D,'Data International'!$P:$P,'Painel International'!$B49,'Data International'!$Q:$Q,"&lt;=-91",'Data International'!$Q:$Q,"&gt;=-120")</f>
        <v>0</v>
      </c>
      <c r="U49" s="19">
        <f>SUMIFS('Data International'!$D:$D,'Data International'!$P:$P,'Painel International'!$B49,'Data International'!$Q:$Q,"&lt;=-121",'Data International'!$Q:$Q,"&gt;=-180")</f>
        <v>0</v>
      </c>
      <c r="V49" s="19">
        <f>SUMIFS('Data International'!$D:$D,'Data International'!$P:$P,'Painel International'!$B49,'Data International'!$Q:$Q,"&lt;=-181",'Data International'!$Q:$Q,"&gt;=-360")</f>
        <v>0</v>
      </c>
      <c r="W49" s="23">
        <f>SUMIFS('Data International'!$D:$D,'Data International'!$P:$P,'Painel International'!$B49,'Data International'!$Q:$Q,"&lt;-360")</f>
        <v>0</v>
      </c>
      <c r="X49" s="19">
        <f>SUMIFS('Bad Debt Provision'!AB:AB,'Bad Debt Provision'!B:B,'Painel International'!B49)</f>
        <v>0</v>
      </c>
      <c r="Z49" s="5"/>
      <c r="AA49" s="19">
        <f>_xlfn.XLOOKUP(B49,'Limite de crédito'!C:C,'Limite de crédito'!O:O,0)</f>
        <v>0</v>
      </c>
      <c r="AB49" s="19"/>
      <c r="AC49" s="20"/>
      <c r="AD49" s="22"/>
      <c r="AE49" s="22"/>
      <c r="AF49" s="5"/>
      <c r="AG49" s="28">
        <f t="shared" ref="AG49" si="64">AA49-G49</f>
        <v>0</v>
      </c>
      <c r="AI49" s="259"/>
    </row>
  </sheetData>
  <autoFilter ref="A3:AL28" xr:uid="{8425CF93-5C5C-4FF0-82A9-E94788869630}"/>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39DC2-5FDB-4BE7-96C1-31ACE1BC57BA}">
  <dimension ref="A1:Q178"/>
  <sheetViews>
    <sheetView zoomScale="80" zoomScaleNormal="80" workbookViewId="0">
      <selection activeCell="C187" sqref="C187"/>
    </sheetView>
  </sheetViews>
  <sheetFormatPr defaultRowHeight="13.2" x14ac:dyDescent="0.25"/>
  <cols>
    <col min="1" max="1" width="16.77734375" bestFit="1" customWidth="1"/>
    <col min="2" max="2" width="20.21875" bestFit="1" customWidth="1"/>
    <col min="3" max="3" width="46" bestFit="1" customWidth="1"/>
    <col min="4" max="4" width="22.21875" bestFit="1" customWidth="1"/>
    <col min="5" max="5" width="62" customWidth="1"/>
    <col min="6" max="6" width="20.77734375" bestFit="1" customWidth="1"/>
    <col min="7" max="7" width="38.33203125" customWidth="1"/>
    <col min="8" max="8" width="27.33203125" customWidth="1"/>
    <col min="9" max="9" width="15.33203125" customWidth="1"/>
    <col min="10" max="10" width="16.33203125" bestFit="1" customWidth="1"/>
    <col min="11" max="11" width="18.5546875" bestFit="1" customWidth="1"/>
    <col min="13" max="13" width="14.5546875" customWidth="1"/>
    <col min="15" max="15" width="17.33203125" bestFit="1" customWidth="1"/>
    <col min="16" max="16" width="17.6640625" bestFit="1" customWidth="1"/>
    <col min="17" max="17" width="23.6640625" bestFit="1" customWidth="1"/>
  </cols>
  <sheetData>
    <row r="1" spans="1:17" ht="13.8" x14ac:dyDescent="0.25">
      <c r="A1" s="98" t="s">
        <v>579</v>
      </c>
      <c r="B1" s="98" t="s">
        <v>438</v>
      </c>
      <c r="C1" s="98" t="s">
        <v>439</v>
      </c>
      <c r="D1" s="98" t="s">
        <v>441</v>
      </c>
      <c r="E1" s="98" t="s">
        <v>443</v>
      </c>
      <c r="F1" s="98" t="s">
        <v>444</v>
      </c>
      <c r="G1" s="98" t="s">
        <v>442</v>
      </c>
      <c r="H1" s="98" t="s">
        <v>580</v>
      </c>
      <c r="I1" s="98" t="s">
        <v>445</v>
      </c>
      <c r="J1" s="98" t="s">
        <v>446</v>
      </c>
      <c r="K1" s="98" t="s">
        <v>581</v>
      </c>
      <c r="L1" s="98" t="s">
        <v>440</v>
      </c>
      <c r="M1" s="98" t="s">
        <v>582</v>
      </c>
      <c r="N1" s="98" t="s">
        <v>583</v>
      </c>
      <c r="O1" s="98" t="s">
        <v>584</v>
      </c>
      <c r="P1" s="98" t="s">
        <v>585</v>
      </c>
      <c r="Q1" s="98" t="s">
        <v>586</v>
      </c>
    </row>
    <row r="2" spans="1:17" x14ac:dyDescent="0.25">
      <c r="A2">
        <v>402</v>
      </c>
      <c r="B2">
        <v>16951</v>
      </c>
      <c r="C2" t="s">
        <v>733</v>
      </c>
      <c r="D2" s="258">
        <v>45979</v>
      </c>
      <c r="E2" t="s">
        <v>734</v>
      </c>
      <c r="F2" t="s">
        <v>447</v>
      </c>
      <c r="G2" s="25">
        <v>750000</v>
      </c>
      <c r="H2" s="25">
        <v>750000</v>
      </c>
      <c r="J2" s="258">
        <v>46344</v>
      </c>
      <c r="L2" t="s">
        <v>454</v>
      </c>
      <c r="M2" s="25">
        <v>750000</v>
      </c>
      <c r="N2" t="s">
        <v>447</v>
      </c>
      <c r="O2" s="25">
        <v>750000</v>
      </c>
      <c r="Q2" s="258">
        <v>46344</v>
      </c>
    </row>
    <row r="3" spans="1:17" x14ac:dyDescent="0.25">
      <c r="A3">
        <v>291</v>
      </c>
      <c r="B3">
        <v>4223</v>
      </c>
      <c r="C3" t="s">
        <v>690</v>
      </c>
      <c r="D3" s="258">
        <v>45903</v>
      </c>
      <c r="E3" t="s">
        <v>629</v>
      </c>
      <c r="F3" t="s">
        <v>447</v>
      </c>
      <c r="G3" s="25">
        <v>825000</v>
      </c>
      <c r="H3" s="25">
        <v>825000</v>
      </c>
      <c r="J3" s="258">
        <v>46268</v>
      </c>
      <c r="L3" t="s">
        <v>454</v>
      </c>
      <c r="M3" s="25"/>
      <c r="N3" t="s">
        <v>447</v>
      </c>
      <c r="O3" s="25">
        <v>825000</v>
      </c>
      <c r="Q3" s="258">
        <v>46268</v>
      </c>
    </row>
    <row r="4" spans="1:17" x14ac:dyDescent="0.25">
      <c r="A4">
        <v>222</v>
      </c>
      <c r="B4">
        <v>5882</v>
      </c>
      <c r="C4" t="s">
        <v>178</v>
      </c>
      <c r="D4" s="258">
        <v>45838</v>
      </c>
      <c r="E4" t="s">
        <v>635</v>
      </c>
      <c r="F4" t="s">
        <v>447</v>
      </c>
      <c r="G4" s="25">
        <v>275000</v>
      </c>
      <c r="H4" s="25">
        <v>275000</v>
      </c>
      <c r="J4" s="258"/>
      <c r="L4" t="s">
        <v>454</v>
      </c>
      <c r="M4" s="25"/>
      <c r="N4" t="s">
        <v>447</v>
      </c>
      <c r="O4" s="25">
        <v>275000</v>
      </c>
      <c r="Q4" s="258">
        <v>46203</v>
      </c>
    </row>
    <row r="5" spans="1:17" x14ac:dyDescent="0.25">
      <c r="A5">
        <v>400</v>
      </c>
      <c r="B5">
        <v>17497</v>
      </c>
      <c r="C5" t="s">
        <v>835</v>
      </c>
      <c r="D5" s="258">
        <v>46083</v>
      </c>
      <c r="E5" t="s">
        <v>836</v>
      </c>
      <c r="F5" t="s">
        <v>447</v>
      </c>
      <c r="G5" s="25">
        <v>300000</v>
      </c>
      <c r="H5" s="25">
        <v>300000</v>
      </c>
      <c r="J5" s="258">
        <v>46448</v>
      </c>
      <c r="L5" t="s">
        <v>454</v>
      </c>
      <c r="M5" s="25"/>
      <c r="N5" t="s">
        <v>447</v>
      </c>
      <c r="O5" s="25">
        <v>300000</v>
      </c>
      <c r="Q5" s="258">
        <v>46448</v>
      </c>
    </row>
    <row r="6" spans="1:17" x14ac:dyDescent="0.25">
      <c r="A6">
        <v>310</v>
      </c>
      <c r="B6">
        <v>1152</v>
      </c>
      <c r="C6" t="s">
        <v>358</v>
      </c>
      <c r="D6" s="258">
        <v>45943</v>
      </c>
      <c r="E6" t="s">
        <v>748</v>
      </c>
      <c r="F6" t="s">
        <v>447</v>
      </c>
      <c r="G6" s="25">
        <v>250000</v>
      </c>
      <c r="H6" s="25">
        <v>250000</v>
      </c>
      <c r="J6" s="258">
        <v>46309</v>
      </c>
      <c r="L6" t="s">
        <v>454</v>
      </c>
      <c r="M6" s="25"/>
      <c r="N6" t="s">
        <v>447</v>
      </c>
      <c r="O6" s="25">
        <v>250000</v>
      </c>
      <c r="Q6" s="258">
        <v>46308</v>
      </c>
    </row>
    <row r="7" spans="1:17" s="26" customFormat="1" x14ac:dyDescent="0.25">
      <c r="A7" s="26">
        <v>249</v>
      </c>
      <c r="B7" s="26">
        <v>5998</v>
      </c>
      <c r="C7" s="26" t="s">
        <v>654</v>
      </c>
      <c r="D7" s="415">
        <v>45869</v>
      </c>
      <c r="E7" s="26" t="s">
        <v>655</v>
      </c>
      <c r="F7" s="26" t="s">
        <v>447</v>
      </c>
      <c r="G7" s="416">
        <v>2500000</v>
      </c>
      <c r="H7" s="416">
        <v>2500000</v>
      </c>
      <c r="J7" s="415"/>
      <c r="L7" s="26" t="s">
        <v>454</v>
      </c>
      <c r="M7" s="416"/>
      <c r="N7" s="26" t="s">
        <v>447</v>
      </c>
      <c r="O7" s="416">
        <v>2500000</v>
      </c>
      <c r="Q7" s="415">
        <v>46234</v>
      </c>
    </row>
    <row r="8" spans="1:17" x14ac:dyDescent="0.25">
      <c r="A8">
        <v>418</v>
      </c>
      <c r="B8">
        <v>37</v>
      </c>
      <c r="C8" t="s">
        <v>863</v>
      </c>
      <c r="D8" s="258">
        <v>46094</v>
      </c>
      <c r="E8" t="s">
        <v>859</v>
      </c>
      <c r="F8" t="s">
        <v>447</v>
      </c>
      <c r="G8" s="25">
        <v>300000</v>
      </c>
      <c r="H8" s="25">
        <v>300000</v>
      </c>
      <c r="J8" s="258">
        <v>411701</v>
      </c>
      <c r="L8" t="s">
        <v>454</v>
      </c>
      <c r="M8" s="25"/>
      <c r="N8" t="s">
        <v>447</v>
      </c>
      <c r="O8" s="25">
        <v>300000</v>
      </c>
      <c r="Q8" s="258">
        <v>46459</v>
      </c>
    </row>
    <row r="9" spans="1:17" x14ac:dyDescent="0.25">
      <c r="A9">
        <v>455</v>
      </c>
      <c r="B9">
        <v>17696</v>
      </c>
      <c r="C9" t="s">
        <v>905</v>
      </c>
      <c r="D9" s="258">
        <v>46100</v>
      </c>
      <c r="E9" t="s">
        <v>880</v>
      </c>
      <c r="F9" t="s">
        <v>447</v>
      </c>
      <c r="G9" s="25">
        <v>3000000</v>
      </c>
      <c r="H9" s="25">
        <v>3000000</v>
      </c>
      <c r="J9" s="258">
        <v>46465</v>
      </c>
      <c r="L9" t="s">
        <v>454</v>
      </c>
      <c r="M9" s="25"/>
      <c r="N9" t="s">
        <v>447</v>
      </c>
      <c r="O9" s="25">
        <v>3000000</v>
      </c>
      <c r="Q9" s="258">
        <v>46465</v>
      </c>
    </row>
    <row r="10" spans="1:17" x14ac:dyDescent="0.25">
      <c r="A10">
        <v>420</v>
      </c>
      <c r="B10">
        <v>2622</v>
      </c>
      <c r="C10" t="s">
        <v>83</v>
      </c>
      <c r="D10" s="258">
        <v>46100</v>
      </c>
      <c r="E10" t="s">
        <v>880</v>
      </c>
      <c r="F10" t="s">
        <v>447</v>
      </c>
      <c r="G10" s="25">
        <v>3000000</v>
      </c>
      <c r="H10" s="25">
        <v>3000000</v>
      </c>
      <c r="J10" s="258">
        <v>46465</v>
      </c>
      <c r="L10" t="s">
        <v>454</v>
      </c>
      <c r="M10" s="25"/>
      <c r="N10" t="s">
        <v>447</v>
      </c>
      <c r="O10" s="25">
        <v>3000000</v>
      </c>
      <c r="Q10" s="258">
        <v>46465</v>
      </c>
    </row>
    <row r="11" spans="1:17" x14ac:dyDescent="0.25">
      <c r="A11">
        <v>206</v>
      </c>
      <c r="B11">
        <v>11580</v>
      </c>
      <c r="C11" t="s">
        <v>489</v>
      </c>
      <c r="D11" s="258">
        <v>45831</v>
      </c>
      <c r="E11" t="s">
        <v>636</v>
      </c>
      <c r="F11" t="s">
        <v>447</v>
      </c>
      <c r="G11" s="25">
        <v>302500</v>
      </c>
      <c r="H11" s="25">
        <v>302500</v>
      </c>
      <c r="J11" s="258"/>
      <c r="L11" t="s">
        <v>466</v>
      </c>
      <c r="M11" s="25"/>
      <c r="N11" t="s">
        <v>447</v>
      </c>
      <c r="O11" s="25">
        <v>302500</v>
      </c>
      <c r="Q11" s="258">
        <v>46196</v>
      </c>
    </row>
    <row r="12" spans="1:17" x14ac:dyDescent="0.25">
      <c r="A12">
        <v>76</v>
      </c>
      <c r="B12">
        <v>14667</v>
      </c>
      <c r="C12" t="s">
        <v>323</v>
      </c>
      <c r="D12" s="258">
        <v>45618</v>
      </c>
      <c r="E12" t="s">
        <v>459</v>
      </c>
      <c r="F12" t="s">
        <v>447</v>
      </c>
      <c r="G12" s="25">
        <v>1500000</v>
      </c>
      <c r="H12" s="25">
        <v>1800000</v>
      </c>
      <c r="I12" t="s">
        <v>460</v>
      </c>
      <c r="J12" s="258"/>
      <c r="M12" s="25">
        <v>0</v>
      </c>
      <c r="N12" t="s">
        <v>447</v>
      </c>
      <c r="O12" s="25">
        <v>1500000</v>
      </c>
      <c r="Q12" s="258">
        <v>45983</v>
      </c>
    </row>
    <row r="13" spans="1:17" x14ac:dyDescent="0.25">
      <c r="A13">
        <v>381</v>
      </c>
      <c r="B13">
        <v>14258</v>
      </c>
      <c r="C13" t="s">
        <v>298</v>
      </c>
      <c r="D13" s="258">
        <v>45981</v>
      </c>
      <c r="E13" t="s">
        <v>735</v>
      </c>
      <c r="F13" t="s">
        <v>447</v>
      </c>
      <c r="G13" s="25">
        <v>750000</v>
      </c>
      <c r="H13" s="25">
        <v>750000</v>
      </c>
      <c r="J13" s="258">
        <v>46347</v>
      </c>
      <c r="L13" t="s">
        <v>454</v>
      </c>
      <c r="M13" s="25"/>
      <c r="N13" t="s">
        <v>447</v>
      </c>
      <c r="O13" s="25">
        <v>100000</v>
      </c>
      <c r="Q13" s="258">
        <v>46347</v>
      </c>
    </row>
    <row r="14" spans="1:17" x14ac:dyDescent="0.25">
      <c r="A14">
        <v>395</v>
      </c>
      <c r="B14">
        <v>16318</v>
      </c>
      <c r="C14" t="s">
        <v>641</v>
      </c>
      <c r="D14" s="258">
        <v>46076</v>
      </c>
      <c r="E14" t="s">
        <v>837</v>
      </c>
      <c r="F14" t="s">
        <v>447</v>
      </c>
      <c r="G14" s="25">
        <v>650000</v>
      </c>
      <c r="H14" s="25">
        <v>650000</v>
      </c>
      <c r="J14" s="258">
        <v>46441</v>
      </c>
      <c r="L14" t="s">
        <v>454</v>
      </c>
      <c r="M14" s="25"/>
      <c r="N14" t="s">
        <v>447</v>
      </c>
      <c r="O14" s="25">
        <v>650000</v>
      </c>
      <c r="Q14" s="258">
        <v>46441</v>
      </c>
    </row>
    <row r="15" spans="1:17" x14ac:dyDescent="0.25">
      <c r="A15">
        <v>270</v>
      </c>
      <c r="B15">
        <v>8187</v>
      </c>
      <c r="C15" t="s">
        <v>549</v>
      </c>
      <c r="D15" s="258">
        <v>45897</v>
      </c>
      <c r="E15" t="s">
        <v>668</v>
      </c>
      <c r="F15" t="s">
        <v>447</v>
      </c>
      <c r="G15" s="25">
        <v>4000000</v>
      </c>
      <c r="H15" s="25">
        <v>4000000</v>
      </c>
      <c r="J15" s="258">
        <v>46262</v>
      </c>
      <c r="K15">
        <v>180</v>
      </c>
      <c r="L15" t="s">
        <v>454</v>
      </c>
      <c r="M15" s="25"/>
      <c r="N15" t="s">
        <v>447</v>
      </c>
      <c r="O15" s="25">
        <v>1000000</v>
      </c>
      <c r="Q15" s="258">
        <v>46262</v>
      </c>
    </row>
    <row r="16" spans="1:17" x14ac:dyDescent="0.25">
      <c r="A16">
        <v>447</v>
      </c>
      <c r="B16">
        <v>17644</v>
      </c>
      <c r="C16" t="s">
        <v>907</v>
      </c>
      <c r="D16" s="258">
        <v>46099</v>
      </c>
      <c r="E16" t="s">
        <v>908</v>
      </c>
      <c r="F16" t="s">
        <v>447</v>
      </c>
      <c r="G16" s="25">
        <v>300000</v>
      </c>
      <c r="H16" s="25">
        <v>300000</v>
      </c>
      <c r="J16" s="258"/>
      <c r="L16" t="s">
        <v>454</v>
      </c>
      <c r="M16" s="25"/>
      <c r="N16" t="s">
        <v>447</v>
      </c>
      <c r="O16" s="25">
        <v>300000</v>
      </c>
      <c r="Q16" s="258">
        <v>46464</v>
      </c>
    </row>
    <row r="17" spans="1:17" x14ac:dyDescent="0.25">
      <c r="A17">
        <v>394</v>
      </c>
      <c r="B17">
        <v>7060</v>
      </c>
      <c r="C17" t="s">
        <v>181</v>
      </c>
      <c r="D17" s="258">
        <v>45890</v>
      </c>
      <c r="E17" t="s">
        <v>448</v>
      </c>
      <c r="F17" t="s">
        <v>447</v>
      </c>
      <c r="G17" s="25">
        <v>1800000</v>
      </c>
      <c r="H17" s="25">
        <v>500000</v>
      </c>
      <c r="I17" t="s">
        <v>449</v>
      </c>
      <c r="J17" s="258">
        <v>46255</v>
      </c>
      <c r="L17" t="s">
        <v>454</v>
      </c>
      <c r="M17" s="25"/>
      <c r="N17" t="s">
        <v>447</v>
      </c>
      <c r="O17" s="25">
        <v>500000</v>
      </c>
      <c r="P17" t="s">
        <v>225</v>
      </c>
      <c r="Q17" s="258">
        <v>46255</v>
      </c>
    </row>
    <row r="18" spans="1:17" x14ac:dyDescent="0.25">
      <c r="A18">
        <v>451</v>
      </c>
      <c r="B18">
        <v>7060</v>
      </c>
      <c r="C18" t="s">
        <v>181</v>
      </c>
      <c r="D18" s="258">
        <v>46139</v>
      </c>
      <c r="E18" t="s">
        <v>765</v>
      </c>
      <c r="F18" t="s">
        <v>447</v>
      </c>
      <c r="G18" s="25">
        <v>500000</v>
      </c>
      <c r="H18" s="25">
        <v>500000</v>
      </c>
      <c r="J18" s="258">
        <v>46504</v>
      </c>
      <c r="L18" t="s">
        <v>454</v>
      </c>
      <c r="M18" s="25"/>
      <c r="N18" t="s">
        <v>447</v>
      </c>
      <c r="O18" s="25">
        <v>500000</v>
      </c>
      <c r="Q18" s="258">
        <v>46504</v>
      </c>
    </row>
    <row r="19" spans="1:17" x14ac:dyDescent="0.25">
      <c r="A19">
        <v>351</v>
      </c>
      <c r="B19">
        <v>15407</v>
      </c>
      <c r="C19" t="s">
        <v>755</v>
      </c>
      <c r="D19" s="258">
        <v>45980</v>
      </c>
      <c r="E19" t="s">
        <v>738</v>
      </c>
      <c r="F19" t="s">
        <v>447</v>
      </c>
      <c r="G19" s="25">
        <v>50000</v>
      </c>
      <c r="H19" s="25">
        <v>50000</v>
      </c>
      <c r="J19" s="258">
        <v>46345</v>
      </c>
      <c r="L19" t="s">
        <v>454</v>
      </c>
      <c r="M19" s="25"/>
      <c r="N19" t="s">
        <v>447</v>
      </c>
      <c r="O19" s="25">
        <v>50000</v>
      </c>
      <c r="Q19" s="258">
        <v>46345</v>
      </c>
    </row>
    <row r="20" spans="1:17" x14ac:dyDescent="0.25">
      <c r="A20">
        <v>194</v>
      </c>
      <c r="B20">
        <v>2645</v>
      </c>
      <c r="C20" t="s">
        <v>393</v>
      </c>
      <c r="D20" s="258">
        <v>45831</v>
      </c>
      <c r="E20" t="s">
        <v>629</v>
      </c>
      <c r="F20" t="s">
        <v>447</v>
      </c>
      <c r="G20" s="25">
        <v>825000</v>
      </c>
      <c r="H20" s="25">
        <v>825000</v>
      </c>
      <c r="J20" s="258"/>
      <c r="L20" t="s">
        <v>466</v>
      </c>
      <c r="M20" s="25"/>
      <c r="N20" t="s">
        <v>447</v>
      </c>
      <c r="O20" s="25">
        <v>825000</v>
      </c>
      <c r="Q20" s="258">
        <v>46196</v>
      </c>
    </row>
    <row r="21" spans="1:17" x14ac:dyDescent="0.25">
      <c r="A21">
        <v>183</v>
      </c>
      <c r="B21">
        <v>12653</v>
      </c>
      <c r="C21" t="s">
        <v>259</v>
      </c>
      <c r="D21" s="258">
        <v>45821</v>
      </c>
      <c r="E21" t="s">
        <v>619</v>
      </c>
      <c r="F21" t="s">
        <v>447</v>
      </c>
      <c r="G21" s="25">
        <v>7000000</v>
      </c>
      <c r="H21" s="25">
        <v>3000000</v>
      </c>
      <c r="J21" s="258">
        <v>46186</v>
      </c>
      <c r="K21">
        <v>180</v>
      </c>
      <c r="L21" t="s">
        <v>454</v>
      </c>
      <c r="M21" s="25"/>
      <c r="N21" t="s">
        <v>447</v>
      </c>
      <c r="O21" s="25">
        <v>7000000</v>
      </c>
      <c r="Q21" s="258">
        <v>46186</v>
      </c>
    </row>
    <row r="22" spans="1:17" x14ac:dyDescent="0.25">
      <c r="A22">
        <v>348</v>
      </c>
      <c r="B22">
        <v>2494</v>
      </c>
      <c r="C22" t="s">
        <v>373</v>
      </c>
      <c r="D22" s="258">
        <v>45982</v>
      </c>
      <c r="E22" t="s">
        <v>744</v>
      </c>
      <c r="F22" t="s">
        <v>447</v>
      </c>
      <c r="G22" s="25">
        <v>550000</v>
      </c>
      <c r="H22" s="25">
        <v>550000</v>
      </c>
      <c r="J22" s="258"/>
      <c r="L22" t="s">
        <v>473</v>
      </c>
      <c r="M22" s="25"/>
      <c r="N22" t="s">
        <v>447</v>
      </c>
      <c r="O22" s="25">
        <v>550000</v>
      </c>
      <c r="Q22" s="258"/>
    </row>
    <row r="23" spans="1:17" x14ac:dyDescent="0.25">
      <c r="A23">
        <v>278</v>
      </c>
      <c r="B23">
        <v>8217</v>
      </c>
      <c r="C23" t="s">
        <v>611</v>
      </c>
      <c r="D23" s="258">
        <v>45824</v>
      </c>
      <c r="E23" t="s">
        <v>620</v>
      </c>
      <c r="F23" t="s">
        <v>447</v>
      </c>
      <c r="G23" s="25">
        <v>700000</v>
      </c>
      <c r="H23" s="25">
        <v>700000</v>
      </c>
      <c r="J23" s="258"/>
      <c r="K23">
        <v>28</v>
      </c>
      <c r="L23" t="s">
        <v>454</v>
      </c>
      <c r="M23" s="25"/>
      <c r="N23" t="s">
        <v>447</v>
      </c>
      <c r="O23" s="25">
        <v>700000</v>
      </c>
      <c r="Q23" s="258">
        <v>46189</v>
      </c>
    </row>
    <row r="24" spans="1:17" x14ac:dyDescent="0.25">
      <c r="A24">
        <v>219</v>
      </c>
      <c r="B24">
        <v>14632</v>
      </c>
      <c r="C24" t="s">
        <v>462</v>
      </c>
      <c r="D24" s="258">
        <v>45835</v>
      </c>
      <c r="E24" t="s">
        <v>463</v>
      </c>
      <c r="F24" t="s">
        <v>447</v>
      </c>
      <c r="G24" s="25">
        <v>100000</v>
      </c>
      <c r="H24" s="25">
        <v>100000</v>
      </c>
      <c r="I24" t="s">
        <v>464</v>
      </c>
      <c r="J24" s="258">
        <v>46200</v>
      </c>
      <c r="K24">
        <v>28</v>
      </c>
      <c r="L24" t="s">
        <v>455</v>
      </c>
      <c r="M24" s="25"/>
      <c r="N24" t="s">
        <v>447</v>
      </c>
      <c r="O24" s="25"/>
      <c r="Q24" s="258">
        <v>46200</v>
      </c>
    </row>
    <row r="25" spans="1:17" x14ac:dyDescent="0.25">
      <c r="A25">
        <v>397</v>
      </c>
      <c r="B25">
        <v>17472</v>
      </c>
      <c r="C25" t="s">
        <v>838</v>
      </c>
      <c r="D25" s="258">
        <v>46072</v>
      </c>
      <c r="E25" t="s">
        <v>765</v>
      </c>
      <c r="F25" t="s">
        <v>447</v>
      </c>
      <c r="G25" s="25">
        <v>500000</v>
      </c>
      <c r="H25" s="25">
        <v>500000</v>
      </c>
      <c r="J25" s="258">
        <v>46437</v>
      </c>
      <c r="L25" t="s">
        <v>454</v>
      </c>
      <c r="M25" s="25">
        <v>500000</v>
      </c>
      <c r="N25" t="s">
        <v>447</v>
      </c>
      <c r="O25" s="25">
        <v>500000</v>
      </c>
      <c r="Q25" s="258">
        <v>46437</v>
      </c>
    </row>
    <row r="26" spans="1:17" x14ac:dyDescent="0.25">
      <c r="A26">
        <v>403</v>
      </c>
      <c r="B26">
        <v>2900</v>
      </c>
      <c r="C26" t="s">
        <v>546</v>
      </c>
      <c r="D26" s="258">
        <v>46090</v>
      </c>
      <c r="E26" t="s">
        <v>765</v>
      </c>
      <c r="F26" t="s">
        <v>447</v>
      </c>
      <c r="G26" s="25">
        <v>200000</v>
      </c>
      <c r="H26" s="25">
        <v>200000</v>
      </c>
      <c r="J26" s="258"/>
      <c r="L26" t="s">
        <v>454</v>
      </c>
      <c r="M26" s="25"/>
      <c r="N26" t="s">
        <v>447</v>
      </c>
      <c r="O26" s="25">
        <v>200000</v>
      </c>
      <c r="Q26" s="258">
        <v>46455</v>
      </c>
    </row>
    <row r="27" spans="1:17" x14ac:dyDescent="0.25">
      <c r="A27">
        <v>393</v>
      </c>
      <c r="B27">
        <v>2352</v>
      </c>
      <c r="C27" t="s">
        <v>78</v>
      </c>
      <c r="D27" s="258">
        <v>46023</v>
      </c>
      <c r="E27" t="s">
        <v>734</v>
      </c>
      <c r="F27" t="s">
        <v>447</v>
      </c>
      <c r="G27" s="25">
        <v>500000</v>
      </c>
      <c r="H27" s="25">
        <v>500000</v>
      </c>
      <c r="J27" s="258">
        <v>46388</v>
      </c>
      <c r="L27" t="s">
        <v>454</v>
      </c>
      <c r="M27" s="25"/>
      <c r="N27" t="s">
        <v>447</v>
      </c>
      <c r="O27" s="25">
        <v>500000</v>
      </c>
      <c r="Q27" s="258">
        <v>46388</v>
      </c>
    </row>
    <row r="28" spans="1:17" x14ac:dyDescent="0.25">
      <c r="A28">
        <v>345</v>
      </c>
      <c r="B28">
        <v>17165</v>
      </c>
      <c r="C28" t="s">
        <v>746</v>
      </c>
      <c r="D28" s="258">
        <v>45980</v>
      </c>
      <c r="E28" t="s">
        <v>747</v>
      </c>
      <c r="F28" t="s">
        <v>447</v>
      </c>
      <c r="G28" s="25">
        <v>500000</v>
      </c>
      <c r="H28" s="25">
        <v>500000</v>
      </c>
      <c r="J28" s="258"/>
      <c r="L28" t="s">
        <v>454</v>
      </c>
      <c r="M28" s="25"/>
      <c r="N28" t="s">
        <v>447</v>
      </c>
      <c r="O28" s="25">
        <v>500000</v>
      </c>
      <c r="Q28" s="258"/>
    </row>
    <row r="29" spans="1:17" x14ac:dyDescent="0.25">
      <c r="A29">
        <v>367</v>
      </c>
      <c r="B29">
        <v>2642</v>
      </c>
      <c r="C29" t="s">
        <v>766</v>
      </c>
      <c r="D29" s="258">
        <v>46001</v>
      </c>
      <c r="E29" t="s">
        <v>765</v>
      </c>
      <c r="F29" t="s">
        <v>447</v>
      </c>
      <c r="G29" s="25">
        <v>825000</v>
      </c>
      <c r="H29" s="25">
        <v>825000</v>
      </c>
      <c r="J29" s="258">
        <v>46366</v>
      </c>
      <c r="L29" t="s">
        <v>473</v>
      </c>
      <c r="M29" s="25"/>
      <c r="N29" t="s">
        <v>447</v>
      </c>
      <c r="O29" s="25">
        <v>825000</v>
      </c>
      <c r="Q29" s="258">
        <v>46366</v>
      </c>
    </row>
    <row r="30" spans="1:17" x14ac:dyDescent="0.25">
      <c r="A30">
        <v>180</v>
      </c>
      <c r="B30">
        <v>10413</v>
      </c>
      <c r="C30" t="s">
        <v>295</v>
      </c>
      <c r="D30" s="258">
        <v>45820</v>
      </c>
      <c r="E30" t="s">
        <v>617</v>
      </c>
      <c r="F30" t="s">
        <v>447</v>
      </c>
      <c r="G30" s="25">
        <v>800000</v>
      </c>
      <c r="H30" s="25">
        <v>800000</v>
      </c>
      <c r="J30" s="258"/>
      <c r="L30" t="s">
        <v>454</v>
      </c>
      <c r="M30" s="25"/>
      <c r="N30" t="s">
        <v>447</v>
      </c>
      <c r="O30" s="25">
        <v>800000</v>
      </c>
      <c r="Q30" s="258">
        <v>46186</v>
      </c>
    </row>
    <row r="31" spans="1:17" x14ac:dyDescent="0.25">
      <c r="A31">
        <v>355</v>
      </c>
      <c r="B31">
        <v>2287</v>
      </c>
      <c r="C31" t="s">
        <v>125</v>
      </c>
      <c r="D31" s="258">
        <v>45994</v>
      </c>
      <c r="E31" t="s">
        <v>756</v>
      </c>
      <c r="F31" t="s">
        <v>447</v>
      </c>
      <c r="G31" s="25">
        <v>962500</v>
      </c>
      <c r="H31" s="25">
        <v>962500</v>
      </c>
      <c r="J31" s="258">
        <v>46359</v>
      </c>
      <c r="L31" t="s">
        <v>454</v>
      </c>
      <c r="M31" s="25"/>
      <c r="N31" t="s">
        <v>447</v>
      </c>
      <c r="O31" s="25">
        <v>962500</v>
      </c>
      <c r="Q31" s="258">
        <v>46359</v>
      </c>
    </row>
    <row r="32" spans="1:17" x14ac:dyDescent="0.25">
      <c r="A32">
        <v>244</v>
      </c>
      <c r="B32">
        <v>3426</v>
      </c>
      <c r="C32" t="s">
        <v>402</v>
      </c>
      <c r="D32" s="258">
        <v>45831</v>
      </c>
      <c r="E32" t="s">
        <v>630</v>
      </c>
      <c r="F32" t="s">
        <v>447</v>
      </c>
      <c r="G32" s="25">
        <v>660000</v>
      </c>
      <c r="H32" s="25">
        <v>660000</v>
      </c>
      <c r="J32" s="258"/>
      <c r="L32" t="s">
        <v>466</v>
      </c>
      <c r="M32" s="25"/>
      <c r="N32" t="s">
        <v>447</v>
      </c>
      <c r="O32" s="25">
        <v>660000</v>
      </c>
      <c r="Q32" s="258">
        <v>46196</v>
      </c>
    </row>
    <row r="33" spans="1:17" x14ac:dyDescent="0.25">
      <c r="A33">
        <v>421</v>
      </c>
      <c r="B33">
        <v>16910</v>
      </c>
      <c r="C33" t="s">
        <v>686</v>
      </c>
      <c r="D33" s="258">
        <v>46107</v>
      </c>
      <c r="E33" t="s">
        <v>877</v>
      </c>
      <c r="F33" t="s">
        <v>447</v>
      </c>
      <c r="G33" s="25">
        <v>550000</v>
      </c>
      <c r="H33" s="25">
        <v>550000</v>
      </c>
      <c r="J33" s="258">
        <v>46444</v>
      </c>
      <c r="L33" t="s">
        <v>461</v>
      </c>
      <c r="M33" s="25"/>
      <c r="N33" t="s">
        <v>447</v>
      </c>
      <c r="O33" s="25">
        <v>550000</v>
      </c>
      <c r="Q33" s="258">
        <v>46472</v>
      </c>
    </row>
    <row r="34" spans="1:17" x14ac:dyDescent="0.25">
      <c r="A34">
        <v>193</v>
      </c>
      <c r="B34">
        <v>9708</v>
      </c>
      <c r="C34" t="s">
        <v>627</v>
      </c>
      <c r="D34" s="258">
        <v>45831</v>
      </c>
      <c r="E34" t="s">
        <v>628</v>
      </c>
      <c r="F34" t="s">
        <v>447</v>
      </c>
      <c r="G34" s="25">
        <v>1100000</v>
      </c>
      <c r="H34" s="25">
        <v>1100000</v>
      </c>
      <c r="J34" s="258"/>
      <c r="L34" t="s">
        <v>466</v>
      </c>
      <c r="M34" s="25"/>
      <c r="N34" t="s">
        <v>447</v>
      </c>
      <c r="O34" s="25">
        <v>1100000</v>
      </c>
      <c r="Q34" s="258">
        <v>46196</v>
      </c>
    </row>
    <row r="35" spans="1:17" x14ac:dyDescent="0.25">
      <c r="A35">
        <v>190</v>
      </c>
      <c r="B35">
        <v>13329</v>
      </c>
      <c r="C35" t="s">
        <v>397</v>
      </c>
      <c r="D35" s="258">
        <v>45831</v>
      </c>
      <c r="E35" t="s">
        <v>624</v>
      </c>
      <c r="F35" t="s">
        <v>447</v>
      </c>
      <c r="G35" s="25">
        <v>1100000</v>
      </c>
      <c r="H35" s="25">
        <v>1100000</v>
      </c>
      <c r="J35" s="258"/>
      <c r="L35" t="s">
        <v>454</v>
      </c>
      <c r="M35" s="25"/>
      <c r="N35" t="s">
        <v>447</v>
      </c>
      <c r="O35" s="25">
        <v>1100000</v>
      </c>
      <c r="Q35" s="258">
        <v>46196</v>
      </c>
    </row>
    <row r="36" spans="1:17" x14ac:dyDescent="0.25">
      <c r="A36">
        <v>199</v>
      </c>
      <c r="B36">
        <v>11768</v>
      </c>
      <c r="C36" t="s">
        <v>304</v>
      </c>
      <c r="D36" s="258">
        <v>45831</v>
      </c>
      <c r="E36" t="s">
        <v>632</v>
      </c>
      <c r="F36" t="s">
        <v>447</v>
      </c>
      <c r="G36" s="25">
        <v>550000</v>
      </c>
      <c r="H36" s="25">
        <v>550000</v>
      </c>
      <c r="J36" s="258"/>
      <c r="L36" t="s">
        <v>466</v>
      </c>
      <c r="M36" s="25"/>
      <c r="N36" t="s">
        <v>447</v>
      </c>
      <c r="O36" s="25">
        <v>550000</v>
      </c>
      <c r="Q36" s="258">
        <v>46196</v>
      </c>
    </row>
    <row r="37" spans="1:17" x14ac:dyDescent="0.25">
      <c r="A37">
        <v>305</v>
      </c>
      <c r="B37">
        <v>16288</v>
      </c>
      <c r="C37" t="s">
        <v>656</v>
      </c>
      <c r="D37" s="258">
        <v>45870</v>
      </c>
      <c r="E37" t="s">
        <v>711</v>
      </c>
      <c r="F37" t="s">
        <v>447</v>
      </c>
      <c r="G37" s="25">
        <v>750000</v>
      </c>
      <c r="H37" s="25">
        <v>750000</v>
      </c>
      <c r="J37" s="258">
        <v>46235</v>
      </c>
      <c r="L37" t="s">
        <v>454</v>
      </c>
      <c r="M37" s="25"/>
      <c r="N37" t="s">
        <v>447</v>
      </c>
      <c r="O37" s="25">
        <v>500000</v>
      </c>
      <c r="Q37" s="258">
        <v>46235</v>
      </c>
    </row>
    <row r="38" spans="1:17" x14ac:dyDescent="0.25">
      <c r="A38">
        <v>122</v>
      </c>
      <c r="B38">
        <v>15799</v>
      </c>
      <c r="C38" t="s">
        <v>589</v>
      </c>
      <c r="D38" s="258">
        <v>45709</v>
      </c>
      <c r="E38" t="s">
        <v>590</v>
      </c>
      <c r="F38" t="s">
        <v>447</v>
      </c>
      <c r="G38" s="25">
        <v>1500000</v>
      </c>
      <c r="H38" s="25">
        <v>1500000</v>
      </c>
      <c r="J38" s="258">
        <v>46074</v>
      </c>
      <c r="K38">
        <v>270</v>
      </c>
      <c r="L38" t="s">
        <v>454</v>
      </c>
      <c r="M38" s="25"/>
      <c r="N38" t="s">
        <v>447</v>
      </c>
      <c r="O38" s="25">
        <v>1500000</v>
      </c>
      <c r="Q38" s="258">
        <v>46074</v>
      </c>
    </row>
    <row r="39" spans="1:17" x14ac:dyDescent="0.25">
      <c r="A39">
        <v>439</v>
      </c>
      <c r="B39">
        <v>2809</v>
      </c>
      <c r="C39" t="s">
        <v>175</v>
      </c>
      <c r="D39" s="258">
        <v>46132</v>
      </c>
      <c r="E39" t="s">
        <v>909</v>
      </c>
      <c r="F39" t="s">
        <v>447</v>
      </c>
      <c r="G39" s="25">
        <v>600000</v>
      </c>
      <c r="H39" s="25">
        <v>600000</v>
      </c>
      <c r="J39" s="258"/>
      <c r="L39" t="s">
        <v>454</v>
      </c>
      <c r="M39" s="25"/>
      <c r="N39" t="s">
        <v>447</v>
      </c>
      <c r="O39" s="25">
        <v>600000</v>
      </c>
      <c r="Q39" s="258">
        <v>46497</v>
      </c>
    </row>
    <row r="40" spans="1:17" x14ac:dyDescent="0.25">
      <c r="A40">
        <v>349</v>
      </c>
      <c r="B40">
        <v>15699</v>
      </c>
      <c r="C40" t="s">
        <v>687</v>
      </c>
      <c r="D40" s="258">
        <v>45987</v>
      </c>
      <c r="E40" t="s">
        <v>736</v>
      </c>
      <c r="F40" t="s">
        <v>447</v>
      </c>
      <c r="G40" s="25">
        <v>1375000</v>
      </c>
      <c r="H40" s="25">
        <v>1375000</v>
      </c>
      <c r="J40" s="258"/>
      <c r="M40" s="25"/>
      <c r="N40" t="s">
        <v>447</v>
      </c>
      <c r="O40" s="25">
        <v>1375000</v>
      </c>
      <c r="Q40" s="258"/>
    </row>
    <row r="41" spans="1:17" x14ac:dyDescent="0.25">
      <c r="A41">
        <v>354</v>
      </c>
      <c r="B41">
        <v>12322</v>
      </c>
      <c r="C41" t="s">
        <v>757</v>
      </c>
      <c r="D41" s="258">
        <v>45994</v>
      </c>
      <c r="E41" t="s">
        <v>758</v>
      </c>
      <c r="F41" t="s">
        <v>447</v>
      </c>
      <c r="G41" s="25">
        <v>350000</v>
      </c>
      <c r="H41" s="25">
        <v>350000</v>
      </c>
      <c r="J41" s="258">
        <v>46359</v>
      </c>
      <c r="L41" t="s">
        <v>454</v>
      </c>
      <c r="M41" s="25"/>
      <c r="N41" t="s">
        <v>447</v>
      </c>
      <c r="O41" s="25">
        <v>350000</v>
      </c>
      <c r="Q41" s="258">
        <v>46359</v>
      </c>
    </row>
    <row r="42" spans="1:17" x14ac:dyDescent="0.25">
      <c r="A42">
        <v>334</v>
      </c>
      <c r="B42">
        <v>139</v>
      </c>
      <c r="C42" t="s">
        <v>40</v>
      </c>
      <c r="D42" s="258">
        <v>45980</v>
      </c>
      <c r="E42" t="s">
        <v>738</v>
      </c>
      <c r="F42" t="s">
        <v>447</v>
      </c>
      <c r="G42" s="25">
        <v>3000000</v>
      </c>
      <c r="H42" s="25">
        <v>3000000</v>
      </c>
      <c r="J42" s="258"/>
      <c r="L42" t="s">
        <v>454</v>
      </c>
      <c r="M42" s="25"/>
      <c r="N42" t="s">
        <v>447</v>
      </c>
      <c r="O42" s="25">
        <v>3000000</v>
      </c>
      <c r="Q42" s="258">
        <v>46345</v>
      </c>
    </row>
    <row r="43" spans="1:17" x14ac:dyDescent="0.25">
      <c r="A43">
        <v>213</v>
      </c>
      <c r="B43">
        <v>8265</v>
      </c>
      <c r="C43" t="s">
        <v>622</v>
      </c>
      <c r="D43" s="258">
        <v>45834</v>
      </c>
      <c r="E43" t="s">
        <v>623</v>
      </c>
      <c r="F43" t="s">
        <v>447</v>
      </c>
      <c r="G43" s="25">
        <v>750000</v>
      </c>
      <c r="H43" s="25">
        <v>750000</v>
      </c>
      <c r="J43" s="258">
        <v>46199</v>
      </c>
      <c r="K43">
        <v>180</v>
      </c>
      <c r="L43" t="s">
        <v>454</v>
      </c>
      <c r="M43" s="25"/>
      <c r="N43" t="s">
        <v>447</v>
      </c>
      <c r="O43" s="25">
        <v>750000</v>
      </c>
      <c r="Q43" s="258">
        <v>46199</v>
      </c>
    </row>
    <row r="44" spans="1:17" x14ac:dyDescent="0.25">
      <c r="A44">
        <v>145</v>
      </c>
      <c r="B44">
        <v>2975</v>
      </c>
      <c r="C44" t="s">
        <v>485</v>
      </c>
      <c r="D44" s="258">
        <v>45804</v>
      </c>
      <c r="E44" t="s">
        <v>596</v>
      </c>
      <c r="F44" t="s">
        <v>447</v>
      </c>
      <c r="G44" s="25">
        <v>2500000</v>
      </c>
      <c r="H44" s="25">
        <v>2500000</v>
      </c>
      <c r="J44" s="258"/>
      <c r="L44" t="s">
        <v>454</v>
      </c>
      <c r="M44" s="25"/>
      <c r="N44" t="s">
        <v>447</v>
      </c>
      <c r="O44" s="25">
        <v>2500000</v>
      </c>
      <c r="Q44" s="258">
        <v>46168</v>
      </c>
    </row>
    <row r="45" spans="1:17" x14ac:dyDescent="0.25">
      <c r="A45">
        <v>384</v>
      </c>
      <c r="B45">
        <v>2925</v>
      </c>
      <c r="C45" t="s">
        <v>392</v>
      </c>
      <c r="D45" s="258">
        <v>46030</v>
      </c>
      <c r="E45" t="s">
        <v>810</v>
      </c>
      <c r="F45" t="s">
        <v>447</v>
      </c>
      <c r="G45" s="25">
        <v>605000</v>
      </c>
      <c r="H45" s="25">
        <v>605000</v>
      </c>
      <c r="J45" s="258">
        <v>46395</v>
      </c>
      <c r="L45" t="s">
        <v>454</v>
      </c>
      <c r="M45" s="25"/>
      <c r="N45" t="s">
        <v>447</v>
      </c>
      <c r="O45" s="25">
        <v>605000</v>
      </c>
      <c r="Q45" s="258">
        <v>46395</v>
      </c>
    </row>
    <row r="46" spans="1:17" x14ac:dyDescent="0.25">
      <c r="A46">
        <v>396</v>
      </c>
      <c r="B46">
        <v>17473</v>
      </c>
      <c r="C46" t="s">
        <v>841</v>
      </c>
      <c r="D46" s="258">
        <v>46076</v>
      </c>
      <c r="E46" t="s">
        <v>765</v>
      </c>
      <c r="F46" t="s">
        <v>447</v>
      </c>
      <c r="G46" s="25">
        <v>300000</v>
      </c>
      <c r="H46" s="25">
        <v>300000</v>
      </c>
      <c r="J46" s="258">
        <v>46441</v>
      </c>
      <c r="L46" t="s">
        <v>454</v>
      </c>
      <c r="M46" s="25">
        <v>300000</v>
      </c>
      <c r="N46" t="s">
        <v>447</v>
      </c>
      <c r="O46" s="25">
        <v>300000</v>
      </c>
      <c r="Q46" s="258">
        <v>46441</v>
      </c>
    </row>
    <row r="47" spans="1:17" x14ac:dyDescent="0.25">
      <c r="A47">
        <v>198</v>
      </c>
      <c r="B47">
        <v>12596</v>
      </c>
      <c r="C47" t="s">
        <v>261</v>
      </c>
      <c r="D47" s="258">
        <v>45831</v>
      </c>
      <c r="E47" t="s">
        <v>631</v>
      </c>
      <c r="F47" t="s">
        <v>447</v>
      </c>
      <c r="G47" s="25">
        <v>1375000</v>
      </c>
      <c r="H47" s="25">
        <v>1375000</v>
      </c>
      <c r="J47" s="258"/>
      <c r="L47" t="s">
        <v>454</v>
      </c>
      <c r="M47" s="25"/>
      <c r="N47" t="s">
        <v>447</v>
      </c>
      <c r="O47" s="25">
        <v>1375000</v>
      </c>
      <c r="Q47" s="258">
        <v>46196</v>
      </c>
    </row>
    <row r="48" spans="1:17" x14ac:dyDescent="0.25">
      <c r="A48">
        <v>389</v>
      </c>
      <c r="B48">
        <v>14766</v>
      </c>
      <c r="C48" t="s">
        <v>800</v>
      </c>
      <c r="D48" s="258">
        <v>46035</v>
      </c>
      <c r="E48" t="s">
        <v>675</v>
      </c>
      <c r="F48" t="s">
        <v>447</v>
      </c>
      <c r="G48" s="25">
        <v>200000</v>
      </c>
      <c r="H48" s="25">
        <v>200000</v>
      </c>
      <c r="J48" s="258">
        <v>46400</v>
      </c>
      <c r="K48">
        <v>30</v>
      </c>
      <c r="L48" t="s">
        <v>454</v>
      </c>
      <c r="M48" s="25"/>
      <c r="N48" t="s">
        <v>447</v>
      </c>
      <c r="O48" s="25">
        <v>200000</v>
      </c>
      <c r="Q48" s="258">
        <v>46400</v>
      </c>
    </row>
    <row r="49" spans="1:17" x14ac:dyDescent="0.25">
      <c r="A49">
        <v>202</v>
      </c>
      <c r="B49">
        <v>2655</v>
      </c>
      <c r="C49" t="s">
        <v>359</v>
      </c>
      <c r="D49" s="258">
        <v>45831</v>
      </c>
      <c r="E49" t="s">
        <v>633</v>
      </c>
      <c r="F49" t="s">
        <v>447</v>
      </c>
      <c r="G49" s="25">
        <v>1100000</v>
      </c>
      <c r="H49" s="25">
        <v>1100000</v>
      </c>
      <c r="J49" s="258"/>
      <c r="L49" t="s">
        <v>454</v>
      </c>
      <c r="M49" s="25"/>
      <c r="N49" t="s">
        <v>447</v>
      </c>
      <c r="O49" s="25">
        <v>1100000</v>
      </c>
      <c r="Q49" s="258">
        <v>46196</v>
      </c>
    </row>
    <row r="50" spans="1:17" x14ac:dyDescent="0.25">
      <c r="A50">
        <v>147</v>
      </c>
      <c r="B50">
        <v>668</v>
      </c>
      <c r="C50" t="s">
        <v>390</v>
      </c>
      <c r="D50" s="258">
        <v>45804</v>
      </c>
      <c r="E50" t="s">
        <v>596</v>
      </c>
      <c r="F50" t="s">
        <v>447</v>
      </c>
      <c r="G50" s="25">
        <v>2800000</v>
      </c>
      <c r="H50" s="25">
        <v>500000</v>
      </c>
      <c r="J50" s="258"/>
      <c r="L50" t="s">
        <v>454</v>
      </c>
      <c r="M50" s="25"/>
      <c r="N50" t="s">
        <v>447</v>
      </c>
      <c r="O50" s="25">
        <v>2800000</v>
      </c>
      <c r="Q50" s="258">
        <v>46168</v>
      </c>
    </row>
    <row r="51" spans="1:17" x14ac:dyDescent="0.25">
      <c r="A51">
        <v>316</v>
      </c>
      <c r="B51">
        <v>7167</v>
      </c>
      <c r="C51" t="s">
        <v>150</v>
      </c>
      <c r="D51" s="258">
        <v>45966</v>
      </c>
      <c r="E51" t="s">
        <v>596</v>
      </c>
      <c r="F51" t="s">
        <v>447</v>
      </c>
      <c r="G51" s="25">
        <v>1000000</v>
      </c>
      <c r="H51" s="25">
        <v>1000000</v>
      </c>
      <c r="J51" s="258">
        <v>46331</v>
      </c>
      <c r="L51" t="s">
        <v>454</v>
      </c>
      <c r="M51" s="25"/>
      <c r="N51" t="s">
        <v>447</v>
      </c>
      <c r="O51" s="25">
        <v>1000000</v>
      </c>
      <c r="Q51" s="258">
        <v>46331</v>
      </c>
    </row>
    <row r="52" spans="1:17" x14ac:dyDescent="0.25">
      <c r="A52">
        <v>328</v>
      </c>
      <c r="B52">
        <v>14561</v>
      </c>
      <c r="C52" t="s">
        <v>326</v>
      </c>
      <c r="D52" s="258">
        <v>45980</v>
      </c>
      <c r="E52" t="s">
        <v>754</v>
      </c>
      <c r="F52" t="s">
        <v>447</v>
      </c>
      <c r="G52" s="25">
        <v>100000</v>
      </c>
      <c r="H52" s="25">
        <v>100000</v>
      </c>
      <c r="J52" s="258">
        <v>46345</v>
      </c>
      <c r="L52" t="s">
        <v>454</v>
      </c>
      <c r="M52" s="25"/>
      <c r="N52" t="s">
        <v>447</v>
      </c>
      <c r="O52" s="25">
        <v>100000</v>
      </c>
      <c r="Q52" s="258">
        <v>46345</v>
      </c>
    </row>
    <row r="53" spans="1:17" x14ac:dyDescent="0.25">
      <c r="A53">
        <v>127</v>
      </c>
      <c r="B53">
        <v>15749</v>
      </c>
      <c r="C53" t="s">
        <v>551</v>
      </c>
      <c r="D53" s="258">
        <v>45772</v>
      </c>
      <c r="E53" t="s">
        <v>592</v>
      </c>
      <c r="F53" t="s">
        <v>447</v>
      </c>
      <c r="G53" s="25">
        <v>1000000</v>
      </c>
      <c r="H53" s="25">
        <v>100000</v>
      </c>
      <c r="J53" s="258"/>
      <c r="M53" s="25"/>
      <c r="N53" t="s">
        <v>447</v>
      </c>
      <c r="O53" s="25">
        <v>1000000</v>
      </c>
      <c r="Q53" s="258">
        <v>46137</v>
      </c>
    </row>
    <row r="54" spans="1:17" x14ac:dyDescent="0.25">
      <c r="A54">
        <v>231</v>
      </c>
      <c r="B54">
        <v>16141</v>
      </c>
      <c r="C54" t="s">
        <v>573</v>
      </c>
      <c r="D54" s="258">
        <v>45867</v>
      </c>
      <c r="E54" t="s">
        <v>596</v>
      </c>
      <c r="F54" t="s">
        <v>447</v>
      </c>
      <c r="G54" s="25">
        <v>3000000</v>
      </c>
      <c r="H54" s="25">
        <v>3000000</v>
      </c>
      <c r="J54" s="258">
        <v>46232</v>
      </c>
      <c r="L54" t="s">
        <v>454</v>
      </c>
      <c r="M54" s="25"/>
      <c r="N54" t="s">
        <v>447</v>
      </c>
      <c r="O54" s="25">
        <v>3000000</v>
      </c>
      <c r="Q54" s="258">
        <v>46232</v>
      </c>
    </row>
    <row r="55" spans="1:17" x14ac:dyDescent="0.25">
      <c r="A55">
        <v>279</v>
      </c>
      <c r="B55">
        <v>2680</v>
      </c>
      <c r="C55" t="s">
        <v>354</v>
      </c>
      <c r="D55" s="258">
        <v>45831</v>
      </c>
      <c r="E55" t="s">
        <v>628</v>
      </c>
      <c r="F55" t="s">
        <v>447</v>
      </c>
      <c r="G55" s="25">
        <v>770000</v>
      </c>
      <c r="H55" s="25">
        <v>770000</v>
      </c>
      <c r="J55" s="258"/>
      <c r="L55" t="s">
        <v>466</v>
      </c>
      <c r="M55" s="25"/>
      <c r="N55" t="s">
        <v>447</v>
      </c>
      <c r="O55" s="25">
        <v>770000</v>
      </c>
      <c r="Q55" s="258">
        <v>46196</v>
      </c>
    </row>
    <row r="56" spans="1:17" x14ac:dyDescent="0.25">
      <c r="A56">
        <v>445</v>
      </c>
      <c r="B56">
        <v>17645</v>
      </c>
      <c r="C56" t="s">
        <v>910</v>
      </c>
      <c r="D56" s="258">
        <v>46099</v>
      </c>
      <c r="E56" t="s">
        <v>908</v>
      </c>
      <c r="F56" t="s">
        <v>447</v>
      </c>
      <c r="G56" s="25">
        <v>650000</v>
      </c>
      <c r="H56" s="25">
        <v>650000</v>
      </c>
      <c r="J56" s="258"/>
      <c r="L56" t="s">
        <v>454</v>
      </c>
      <c r="M56" s="25"/>
      <c r="N56" t="s">
        <v>447</v>
      </c>
      <c r="O56" s="25">
        <v>650000</v>
      </c>
      <c r="Q56" s="258">
        <v>46464</v>
      </c>
    </row>
    <row r="57" spans="1:17" x14ac:dyDescent="0.25">
      <c r="A57">
        <v>454</v>
      </c>
      <c r="B57">
        <v>13836</v>
      </c>
      <c r="C57" t="s">
        <v>401</v>
      </c>
      <c r="D57" s="258">
        <v>46147</v>
      </c>
      <c r="E57" t="s">
        <v>601</v>
      </c>
      <c r="F57" t="s">
        <v>447</v>
      </c>
      <c r="G57" s="25">
        <v>120000</v>
      </c>
      <c r="H57" s="25">
        <v>120000</v>
      </c>
      <c r="J57" s="258">
        <v>46512</v>
      </c>
      <c r="K57">
        <v>28</v>
      </c>
      <c r="L57" t="s">
        <v>454</v>
      </c>
      <c r="M57" s="25"/>
      <c r="N57" t="s">
        <v>447</v>
      </c>
      <c r="O57" s="25">
        <v>120000</v>
      </c>
      <c r="Q57" s="258">
        <v>46512</v>
      </c>
    </row>
    <row r="58" spans="1:17" x14ac:dyDescent="0.25">
      <c r="A58">
        <v>356</v>
      </c>
      <c r="B58">
        <v>2011</v>
      </c>
      <c r="C58" t="s">
        <v>712</v>
      </c>
      <c r="D58" s="258">
        <v>45994</v>
      </c>
      <c r="E58" t="s">
        <v>758</v>
      </c>
      <c r="F58" t="s">
        <v>447</v>
      </c>
      <c r="G58" s="25">
        <v>3500000</v>
      </c>
      <c r="H58" s="25">
        <v>3500000</v>
      </c>
      <c r="J58" s="258">
        <v>46359</v>
      </c>
      <c r="L58" t="s">
        <v>454</v>
      </c>
      <c r="M58" s="25"/>
      <c r="N58" t="s">
        <v>447</v>
      </c>
      <c r="O58" s="25">
        <v>3500000</v>
      </c>
      <c r="Q58" s="258">
        <v>46359</v>
      </c>
    </row>
    <row r="59" spans="1:17" x14ac:dyDescent="0.25">
      <c r="A59">
        <v>368</v>
      </c>
      <c r="B59">
        <v>15435</v>
      </c>
      <c r="C59" t="s">
        <v>767</v>
      </c>
      <c r="D59" s="258">
        <v>46001</v>
      </c>
      <c r="E59" t="s">
        <v>768</v>
      </c>
      <c r="F59" t="s">
        <v>447</v>
      </c>
      <c r="G59" s="25">
        <v>192500</v>
      </c>
      <c r="H59" s="25"/>
      <c r="J59" s="258">
        <v>46366</v>
      </c>
      <c r="L59" t="s">
        <v>454</v>
      </c>
      <c r="M59" s="25"/>
      <c r="N59" t="s">
        <v>447</v>
      </c>
      <c r="O59" s="25">
        <v>192500</v>
      </c>
      <c r="Q59" s="258">
        <v>46366</v>
      </c>
    </row>
    <row r="60" spans="1:17" x14ac:dyDescent="0.25">
      <c r="A60">
        <v>337</v>
      </c>
      <c r="B60">
        <v>507</v>
      </c>
      <c r="C60" t="s">
        <v>51</v>
      </c>
      <c r="D60" s="258">
        <v>45980</v>
      </c>
      <c r="E60" t="s">
        <v>738</v>
      </c>
      <c r="F60" t="s">
        <v>447</v>
      </c>
      <c r="G60" s="25">
        <v>200000</v>
      </c>
      <c r="H60" s="25">
        <v>200000</v>
      </c>
      <c r="J60" s="258"/>
      <c r="M60" s="25"/>
      <c r="N60" t="s">
        <v>447</v>
      </c>
      <c r="O60" s="25">
        <v>200000</v>
      </c>
      <c r="Q60" s="258"/>
    </row>
    <row r="61" spans="1:17" x14ac:dyDescent="0.25">
      <c r="A61">
        <v>205</v>
      </c>
      <c r="B61">
        <v>11770</v>
      </c>
      <c r="C61" t="s">
        <v>437</v>
      </c>
      <c r="D61" s="258">
        <v>45831</v>
      </c>
      <c r="E61" t="s">
        <v>635</v>
      </c>
      <c r="F61" t="s">
        <v>447</v>
      </c>
      <c r="G61" s="25">
        <v>275000</v>
      </c>
      <c r="H61" s="25">
        <v>275000</v>
      </c>
      <c r="J61" s="258"/>
      <c r="L61" t="s">
        <v>454</v>
      </c>
      <c r="M61" s="25"/>
      <c r="N61" t="s">
        <v>447</v>
      </c>
      <c r="O61" s="25">
        <v>275000</v>
      </c>
      <c r="Q61" s="258">
        <v>46196</v>
      </c>
    </row>
    <row r="62" spans="1:17" x14ac:dyDescent="0.25">
      <c r="A62">
        <v>412</v>
      </c>
      <c r="B62">
        <v>16921</v>
      </c>
      <c r="C62" t="s">
        <v>858</v>
      </c>
      <c r="D62" s="258">
        <v>46093</v>
      </c>
      <c r="E62" t="s">
        <v>859</v>
      </c>
      <c r="F62" t="s">
        <v>447</v>
      </c>
      <c r="G62" s="25">
        <v>250000</v>
      </c>
      <c r="H62" s="25">
        <v>250000</v>
      </c>
      <c r="J62" s="258">
        <v>46458</v>
      </c>
      <c r="L62" t="s">
        <v>454</v>
      </c>
      <c r="M62" s="25"/>
      <c r="N62" t="s">
        <v>447</v>
      </c>
      <c r="O62" s="25">
        <v>250000</v>
      </c>
      <c r="Q62" s="258">
        <v>46458</v>
      </c>
    </row>
    <row r="63" spans="1:17" x14ac:dyDescent="0.25">
      <c r="A63">
        <v>344</v>
      </c>
      <c r="B63">
        <v>1998</v>
      </c>
      <c r="C63" t="s">
        <v>740</v>
      </c>
      <c r="D63" s="258">
        <v>45980</v>
      </c>
      <c r="E63" t="s">
        <v>738</v>
      </c>
      <c r="F63" t="s">
        <v>447</v>
      </c>
      <c r="G63" s="25">
        <v>20000</v>
      </c>
      <c r="H63" s="25">
        <v>20000</v>
      </c>
      <c r="J63" s="258"/>
      <c r="M63" s="25"/>
      <c r="N63" t="s">
        <v>447</v>
      </c>
      <c r="O63" s="25">
        <v>20000</v>
      </c>
      <c r="Q63" s="258"/>
    </row>
    <row r="64" spans="1:17" x14ac:dyDescent="0.25">
      <c r="A64">
        <v>203</v>
      </c>
      <c r="B64">
        <v>2652</v>
      </c>
      <c r="C64" t="s">
        <v>128</v>
      </c>
      <c r="D64" s="258">
        <v>45831</v>
      </c>
      <c r="E64" t="s">
        <v>634</v>
      </c>
      <c r="F64" t="s">
        <v>447</v>
      </c>
      <c r="G64" s="25">
        <v>1375000</v>
      </c>
      <c r="H64" s="25">
        <v>1375000</v>
      </c>
      <c r="J64" s="258"/>
      <c r="L64" t="s">
        <v>466</v>
      </c>
      <c r="M64" s="25"/>
      <c r="N64" t="s">
        <v>447</v>
      </c>
      <c r="O64" s="25">
        <v>1375000</v>
      </c>
      <c r="Q64" s="258">
        <v>46196</v>
      </c>
    </row>
    <row r="65" spans="1:17" x14ac:dyDescent="0.25">
      <c r="A65">
        <v>152</v>
      </c>
      <c r="B65">
        <v>3273</v>
      </c>
      <c r="C65" t="s">
        <v>89</v>
      </c>
      <c r="D65" s="258">
        <v>45804</v>
      </c>
      <c r="E65" t="s">
        <v>596</v>
      </c>
      <c r="F65" t="s">
        <v>447</v>
      </c>
      <c r="G65" s="25">
        <v>1500000</v>
      </c>
      <c r="H65" s="25">
        <v>1500000</v>
      </c>
      <c r="J65" s="258"/>
      <c r="L65" t="s">
        <v>454</v>
      </c>
      <c r="M65" s="25"/>
      <c r="N65" t="s">
        <v>447</v>
      </c>
      <c r="O65" s="25">
        <v>1500000</v>
      </c>
      <c r="Q65" s="258">
        <v>46168</v>
      </c>
    </row>
    <row r="66" spans="1:17" x14ac:dyDescent="0.25">
      <c r="A66">
        <v>336</v>
      </c>
      <c r="B66">
        <v>505</v>
      </c>
      <c r="C66" t="s">
        <v>50</v>
      </c>
      <c r="D66" s="258">
        <v>45980</v>
      </c>
      <c r="E66" t="s">
        <v>738</v>
      </c>
      <c r="F66" t="s">
        <v>447</v>
      </c>
      <c r="G66" s="25">
        <v>150000</v>
      </c>
      <c r="H66" s="25">
        <v>150000</v>
      </c>
      <c r="J66" s="258"/>
      <c r="L66" t="s">
        <v>454</v>
      </c>
      <c r="M66" s="25"/>
      <c r="N66" t="s">
        <v>447</v>
      </c>
      <c r="O66" s="25">
        <v>150000</v>
      </c>
      <c r="Q66" s="258">
        <v>46345</v>
      </c>
    </row>
    <row r="67" spans="1:17" x14ac:dyDescent="0.25">
      <c r="A67">
        <v>419</v>
      </c>
      <c r="B67">
        <v>13773</v>
      </c>
      <c r="C67" t="s">
        <v>493</v>
      </c>
      <c r="D67" s="258">
        <v>46094</v>
      </c>
      <c r="E67" t="s">
        <v>758</v>
      </c>
      <c r="F67" t="s">
        <v>447</v>
      </c>
      <c r="G67" s="25">
        <v>200000</v>
      </c>
      <c r="H67" s="25">
        <v>200000</v>
      </c>
      <c r="J67" s="258">
        <v>46459</v>
      </c>
      <c r="L67" t="s">
        <v>454</v>
      </c>
      <c r="M67" s="25"/>
      <c r="N67" t="s">
        <v>447</v>
      </c>
      <c r="O67" s="25">
        <v>200000</v>
      </c>
      <c r="Q67" s="258">
        <v>46459</v>
      </c>
    </row>
    <row r="68" spans="1:17" x14ac:dyDescent="0.25">
      <c r="A68">
        <v>207</v>
      </c>
      <c r="B68">
        <v>6382</v>
      </c>
      <c r="C68" t="s">
        <v>488</v>
      </c>
      <c r="D68" s="258">
        <v>45831</v>
      </c>
      <c r="E68" t="s">
        <v>637</v>
      </c>
      <c r="F68" t="s">
        <v>447</v>
      </c>
      <c r="G68" s="25">
        <v>330000</v>
      </c>
      <c r="H68" s="25">
        <v>330000</v>
      </c>
      <c r="J68" s="258"/>
      <c r="L68" t="s">
        <v>454</v>
      </c>
      <c r="M68" s="25"/>
      <c r="N68" t="s">
        <v>447</v>
      </c>
      <c r="O68" s="25">
        <v>330000</v>
      </c>
      <c r="Q68" s="258">
        <v>46196</v>
      </c>
    </row>
    <row r="69" spans="1:17" x14ac:dyDescent="0.25">
      <c r="A69">
        <v>300</v>
      </c>
      <c r="B69">
        <v>6382</v>
      </c>
      <c r="C69" t="s">
        <v>488</v>
      </c>
      <c r="D69" s="258">
        <v>45936</v>
      </c>
      <c r="E69" t="s">
        <v>710</v>
      </c>
      <c r="F69" t="s">
        <v>447</v>
      </c>
      <c r="G69" s="25">
        <v>550000</v>
      </c>
      <c r="H69" s="25">
        <v>550000</v>
      </c>
      <c r="J69" s="258"/>
      <c r="M69" s="25"/>
      <c r="N69" t="s">
        <v>447</v>
      </c>
      <c r="O69" s="25">
        <v>550000</v>
      </c>
      <c r="Q69" s="258"/>
    </row>
    <row r="70" spans="1:17" x14ac:dyDescent="0.25">
      <c r="A70">
        <v>335</v>
      </c>
      <c r="B70">
        <v>16918</v>
      </c>
      <c r="C70" t="s">
        <v>741</v>
      </c>
      <c r="D70" s="258">
        <v>45980</v>
      </c>
      <c r="E70" t="s">
        <v>738</v>
      </c>
      <c r="F70" t="s">
        <v>447</v>
      </c>
      <c r="G70" s="25">
        <v>400000</v>
      </c>
      <c r="H70" s="25">
        <v>400000</v>
      </c>
      <c r="J70" s="258"/>
      <c r="L70" t="s">
        <v>454</v>
      </c>
      <c r="M70" s="25"/>
      <c r="N70" t="s">
        <v>447</v>
      </c>
      <c r="O70" s="25">
        <v>400000</v>
      </c>
      <c r="Q70" s="258">
        <v>46345</v>
      </c>
    </row>
    <row r="71" spans="1:17" s="119" customFormat="1" x14ac:dyDescent="0.25">
      <c r="A71">
        <v>263</v>
      </c>
      <c r="B71">
        <v>12337</v>
      </c>
      <c r="C71" t="s">
        <v>657</v>
      </c>
      <c r="D71" s="258">
        <v>45870</v>
      </c>
      <c r="E71" t="s">
        <v>658</v>
      </c>
      <c r="F71" t="s">
        <v>447</v>
      </c>
      <c r="G71" s="25">
        <v>275000</v>
      </c>
      <c r="H71" s="25">
        <v>275000</v>
      </c>
      <c r="I71"/>
      <c r="J71" s="258">
        <v>46253</v>
      </c>
      <c r="K71"/>
      <c r="L71" t="s">
        <v>454</v>
      </c>
      <c r="M71" s="25"/>
      <c r="N71" t="s">
        <v>447</v>
      </c>
      <c r="O71" s="25">
        <v>275000</v>
      </c>
      <c r="P71"/>
      <c r="Q71" s="258">
        <v>46253</v>
      </c>
    </row>
    <row r="72" spans="1:17" x14ac:dyDescent="0.25">
      <c r="A72">
        <v>159</v>
      </c>
      <c r="B72">
        <v>943</v>
      </c>
      <c r="C72" t="s">
        <v>167</v>
      </c>
      <c r="D72" s="258">
        <v>45804</v>
      </c>
      <c r="E72" t="s">
        <v>596</v>
      </c>
      <c r="F72" t="s">
        <v>447</v>
      </c>
      <c r="G72" s="25">
        <v>1500000</v>
      </c>
      <c r="H72" s="25">
        <v>1500000</v>
      </c>
      <c r="J72" s="258"/>
      <c r="L72" t="s">
        <v>454</v>
      </c>
      <c r="M72" s="25"/>
      <c r="N72" t="s">
        <v>447</v>
      </c>
      <c r="O72" s="25">
        <v>1500000</v>
      </c>
      <c r="Q72" s="258">
        <v>46168</v>
      </c>
    </row>
    <row r="73" spans="1:17" x14ac:dyDescent="0.25">
      <c r="A73">
        <v>359</v>
      </c>
      <c r="B73">
        <v>5300</v>
      </c>
      <c r="C73" t="s">
        <v>30</v>
      </c>
      <c r="D73" s="258">
        <v>45995</v>
      </c>
      <c r="E73" t="s">
        <v>758</v>
      </c>
      <c r="F73" t="s">
        <v>447</v>
      </c>
      <c r="G73" s="25">
        <v>2600000</v>
      </c>
      <c r="H73" s="25">
        <v>2600000</v>
      </c>
      <c r="J73" s="258">
        <v>46360</v>
      </c>
      <c r="L73" t="s">
        <v>454</v>
      </c>
      <c r="M73" s="25"/>
      <c r="N73" t="s">
        <v>447</v>
      </c>
      <c r="O73" s="25">
        <v>2600000</v>
      </c>
      <c r="Q73" s="258">
        <v>46360</v>
      </c>
    </row>
    <row r="74" spans="1:17" x14ac:dyDescent="0.25">
      <c r="A74">
        <v>407</v>
      </c>
      <c r="B74">
        <v>2619</v>
      </c>
      <c r="C74" t="s">
        <v>855</v>
      </c>
      <c r="D74" s="258">
        <v>46093</v>
      </c>
      <c r="E74" t="s">
        <v>765</v>
      </c>
      <c r="F74" t="s">
        <v>447</v>
      </c>
      <c r="G74" s="25">
        <v>650000</v>
      </c>
      <c r="H74" s="25">
        <v>650000</v>
      </c>
      <c r="J74" s="258"/>
      <c r="L74" t="s">
        <v>454</v>
      </c>
      <c r="M74" s="25"/>
      <c r="N74" t="s">
        <v>447</v>
      </c>
      <c r="O74" s="25">
        <v>650000</v>
      </c>
      <c r="Q74" s="258">
        <v>46458</v>
      </c>
    </row>
    <row r="75" spans="1:17" x14ac:dyDescent="0.25">
      <c r="A75">
        <v>333</v>
      </c>
      <c r="B75">
        <v>12930</v>
      </c>
      <c r="C75" t="s">
        <v>732</v>
      </c>
      <c r="D75" s="258">
        <v>45989</v>
      </c>
      <c r="E75" t="s">
        <v>745</v>
      </c>
      <c r="F75" t="s">
        <v>447</v>
      </c>
      <c r="G75" s="25">
        <v>650000</v>
      </c>
      <c r="H75" s="25">
        <v>650000</v>
      </c>
      <c r="J75" s="258"/>
      <c r="M75" s="25"/>
      <c r="N75" t="s">
        <v>447</v>
      </c>
      <c r="O75" s="25">
        <v>650000</v>
      </c>
      <c r="Q75" s="258">
        <v>46354</v>
      </c>
    </row>
    <row r="76" spans="1:17" x14ac:dyDescent="0.25">
      <c r="A76">
        <v>444</v>
      </c>
      <c r="B76">
        <v>17648</v>
      </c>
      <c r="C76" t="s">
        <v>911</v>
      </c>
      <c r="D76" s="258">
        <v>46099</v>
      </c>
      <c r="E76" t="s">
        <v>908</v>
      </c>
      <c r="F76" t="s">
        <v>447</v>
      </c>
      <c r="G76" s="25">
        <v>600000</v>
      </c>
      <c r="H76" s="25">
        <v>600000</v>
      </c>
      <c r="J76" s="258"/>
      <c r="L76" t="s">
        <v>454</v>
      </c>
      <c r="M76" s="25"/>
      <c r="N76" t="s">
        <v>447</v>
      </c>
      <c r="O76" s="25">
        <v>600000</v>
      </c>
      <c r="Q76" s="258">
        <v>46464</v>
      </c>
    </row>
    <row r="77" spans="1:17" x14ac:dyDescent="0.25">
      <c r="A77">
        <v>366</v>
      </c>
      <c r="B77">
        <v>14552</v>
      </c>
      <c r="C77" t="s">
        <v>334</v>
      </c>
      <c r="D77" s="258">
        <v>45999</v>
      </c>
      <c r="E77" t="s">
        <v>771</v>
      </c>
      <c r="F77" t="s">
        <v>447</v>
      </c>
      <c r="G77" s="25">
        <v>500000</v>
      </c>
      <c r="H77" s="25">
        <v>500000</v>
      </c>
      <c r="J77" s="258">
        <v>46364</v>
      </c>
      <c r="K77">
        <v>360</v>
      </c>
      <c r="L77" t="s">
        <v>461</v>
      </c>
      <c r="M77" s="25"/>
      <c r="N77" t="s">
        <v>447</v>
      </c>
      <c r="O77" s="25">
        <v>500000</v>
      </c>
      <c r="Q77" s="258">
        <v>45999</v>
      </c>
    </row>
    <row r="78" spans="1:17" x14ac:dyDescent="0.25">
      <c r="A78">
        <v>173</v>
      </c>
      <c r="B78">
        <v>14382</v>
      </c>
      <c r="C78" t="s">
        <v>271</v>
      </c>
      <c r="D78" s="258">
        <v>45799</v>
      </c>
      <c r="E78" t="s">
        <v>601</v>
      </c>
      <c r="F78" t="s">
        <v>447</v>
      </c>
      <c r="G78" s="25">
        <v>300000</v>
      </c>
      <c r="H78" s="25">
        <v>300000</v>
      </c>
      <c r="J78" s="258"/>
      <c r="M78" s="25"/>
      <c r="N78" t="s">
        <v>447</v>
      </c>
      <c r="O78" s="25">
        <v>300000</v>
      </c>
      <c r="Q78" s="258">
        <v>46164</v>
      </c>
    </row>
    <row r="79" spans="1:17" x14ac:dyDescent="0.25">
      <c r="A79">
        <v>339</v>
      </c>
      <c r="B79">
        <v>2607</v>
      </c>
      <c r="C79" t="s">
        <v>737</v>
      </c>
      <c r="D79" s="258">
        <v>45980</v>
      </c>
      <c r="E79" t="s">
        <v>738</v>
      </c>
      <c r="F79" t="s">
        <v>447</v>
      </c>
      <c r="G79" s="25">
        <v>300000</v>
      </c>
      <c r="H79" s="25">
        <v>300000</v>
      </c>
      <c r="J79" s="258"/>
      <c r="L79" t="s">
        <v>454</v>
      </c>
      <c r="M79" s="25"/>
      <c r="N79" t="s">
        <v>447</v>
      </c>
      <c r="O79" s="25">
        <v>300000</v>
      </c>
      <c r="Q79" s="258"/>
    </row>
    <row r="80" spans="1:17" x14ac:dyDescent="0.25">
      <c r="A80">
        <v>422</v>
      </c>
      <c r="B80">
        <v>17449</v>
      </c>
      <c r="C80" t="s">
        <v>878</v>
      </c>
      <c r="D80" s="258">
        <v>46114</v>
      </c>
      <c r="E80" t="s">
        <v>879</v>
      </c>
      <c r="F80" t="s">
        <v>447</v>
      </c>
      <c r="G80" s="25">
        <v>500000</v>
      </c>
      <c r="H80" s="25">
        <v>500000</v>
      </c>
      <c r="J80" s="258">
        <v>46479</v>
      </c>
      <c r="L80" t="s">
        <v>454</v>
      </c>
      <c r="M80" s="25"/>
      <c r="N80" t="s">
        <v>447</v>
      </c>
      <c r="O80" s="25">
        <v>500000</v>
      </c>
      <c r="Q80" s="258">
        <v>46479</v>
      </c>
    </row>
    <row r="81" spans="1:17" x14ac:dyDescent="0.25">
      <c r="A81">
        <v>323</v>
      </c>
      <c r="B81">
        <v>2601</v>
      </c>
      <c r="C81" t="s">
        <v>751</v>
      </c>
      <c r="D81" s="258">
        <v>45976</v>
      </c>
      <c r="E81" t="s">
        <v>752</v>
      </c>
      <c r="F81" t="s">
        <v>447</v>
      </c>
      <c r="G81" s="25">
        <v>500000</v>
      </c>
      <c r="H81" s="25">
        <v>500000</v>
      </c>
      <c r="J81" s="258">
        <v>46341</v>
      </c>
      <c r="L81" t="s">
        <v>454</v>
      </c>
      <c r="M81" s="25">
        <v>500000</v>
      </c>
      <c r="N81" t="s">
        <v>447</v>
      </c>
      <c r="O81" s="25">
        <v>500000</v>
      </c>
      <c r="Q81" s="258">
        <v>46341</v>
      </c>
    </row>
    <row r="82" spans="1:17" x14ac:dyDescent="0.25">
      <c r="A82">
        <v>225</v>
      </c>
      <c r="B82">
        <v>5519</v>
      </c>
      <c r="C82" t="s">
        <v>302</v>
      </c>
      <c r="D82" s="258">
        <v>45837</v>
      </c>
      <c r="E82" t="s">
        <v>618</v>
      </c>
      <c r="F82" t="s">
        <v>447</v>
      </c>
      <c r="G82" s="25">
        <v>300000</v>
      </c>
      <c r="H82" s="25">
        <v>300000</v>
      </c>
      <c r="J82" s="258"/>
      <c r="L82" t="s">
        <v>454</v>
      </c>
      <c r="M82" s="25"/>
      <c r="N82" t="s">
        <v>447</v>
      </c>
      <c r="O82" s="25">
        <v>300000</v>
      </c>
      <c r="Q82" s="258">
        <v>46205</v>
      </c>
    </row>
    <row r="83" spans="1:17" x14ac:dyDescent="0.25">
      <c r="A83">
        <v>406</v>
      </c>
      <c r="B83">
        <v>15319</v>
      </c>
      <c r="C83" t="s">
        <v>418</v>
      </c>
      <c r="D83" s="258">
        <v>46000</v>
      </c>
      <c r="E83" t="s">
        <v>773</v>
      </c>
      <c r="F83" t="s">
        <v>447</v>
      </c>
      <c r="G83" s="25">
        <v>500000</v>
      </c>
      <c r="H83" s="25">
        <v>500000</v>
      </c>
      <c r="J83" s="258">
        <v>46365</v>
      </c>
      <c r="L83" t="s">
        <v>454</v>
      </c>
      <c r="M83" s="25"/>
      <c r="N83" t="s">
        <v>447</v>
      </c>
      <c r="O83" s="25">
        <v>500000</v>
      </c>
      <c r="Q83" s="258">
        <v>46365</v>
      </c>
    </row>
    <row r="84" spans="1:17" x14ac:dyDescent="0.25">
      <c r="A84">
        <v>141</v>
      </c>
      <c r="B84">
        <v>15320</v>
      </c>
      <c r="C84" t="s">
        <v>413</v>
      </c>
      <c r="D84" s="258">
        <v>45803</v>
      </c>
      <c r="E84" t="s">
        <v>596</v>
      </c>
      <c r="F84" t="s">
        <v>447</v>
      </c>
      <c r="G84" s="25">
        <v>4000000</v>
      </c>
      <c r="H84" s="25">
        <v>4000000</v>
      </c>
      <c r="J84" s="258"/>
      <c r="L84" t="s">
        <v>454</v>
      </c>
      <c r="M84" s="25"/>
      <c r="N84" t="s">
        <v>447</v>
      </c>
      <c r="O84" s="25">
        <v>4000000</v>
      </c>
      <c r="Q84" s="258">
        <v>46168</v>
      </c>
    </row>
    <row r="85" spans="1:17" x14ac:dyDescent="0.25">
      <c r="A85">
        <v>250</v>
      </c>
      <c r="B85">
        <v>15355</v>
      </c>
      <c r="C85" t="s">
        <v>432</v>
      </c>
      <c r="D85" s="258">
        <v>45869</v>
      </c>
      <c r="E85" t="s">
        <v>659</v>
      </c>
      <c r="F85" t="s">
        <v>447</v>
      </c>
      <c r="G85" s="25">
        <v>1000000</v>
      </c>
      <c r="H85" s="25">
        <v>4200000</v>
      </c>
      <c r="J85" s="258">
        <v>46234</v>
      </c>
      <c r="K85">
        <v>270</v>
      </c>
      <c r="M85" s="25">
        <v>4200000</v>
      </c>
      <c r="N85" t="s">
        <v>447</v>
      </c>
      <c r="O85" s="25">
        <v>1000000</v>
      </c>
      <c r="P85" t="s">
        <v>225</v>
      </c>
      <c r="Q85" s="258">
        <v>46234</v>
      </c>
    </row>
    <row r="86" spans="1:17" x14ac:dyDescent="0.25">
      <c r="A86">
        <v>274</v>
      </c>
      <c r="B86">
        <v>15323</v>
      </c>
      <c r="C86" t="s">
        <v>685</v>
      </c>
      <c r="D86" s="258">
        <v>45904</v>
      </c>
      <c r="E86" t="s">
        <v>601</v>
      </c>
      <c r="F86" t="s">
        <v>447</v>
      </c>
      <c r="G86" s="25">
        <v>1000000</v>
      </c>
      <c r="H86" s="25">
        <v>1000000</v>
      </c>
      <c r="J86" s="258">
        <v>46269</v>
      </c>
      <c r="L86" t="s">
        <v>454</v>
      </c>
      <c r="M86" s="25"/>
      <c r="N86" t="s">
        <v>447</v>
      </c>
      <c r="O86" s="25">
        <v>1000000</v>
      </c>
      <c r="Q86" s="258">
        <v>46269</v>
      </c>
    </row>
    <row r="87" spans="1:17" x14ac:dyDescent="0.25">
      <c r="A87">
        <v>142</v>
      </c>
      <c r="B87">
        <v>15324</v>
      </c>
      <c r="C87" t="s">
        <v>417</v>
      </c>
      <c r="D87" s="258">
        <v>45803</v>
      </c>
      <c r="E87" t="s">
        <v>596</v>
      </c>
      <c r="F87" t="s">
        <v>447</v>
      </c>
      <c r="G87" s="25">
        <v>2000000</v>
      </c>
      <c r="H87" s="25">
        <v>2000000</v>
      </c>
      <c r="J87" s="258"/>
      <c r="L87" t="s">
        <v>454</v>
      </c>
      <c r="M87" s="25"/>
      <c r="N87" t="s">
        <v>447</v>
      </c>
      <c r="O87" s="25">
        <v>2000000</v>
      </c>
      <c r="Q87" s="258">
        <v>46168</v>
      </c>
    </row>
    <row r="88" spans="1:17" x14ac:dyDescent="0.25">
      <c r="A88">
        <v>96</v>
      </c>
      <c r="B88">
        <v>15325</v>
      </c>
      <c r="C88" t="s">
        <v>415</v>
      </c>
      <c r="D88" s="258">
        <v>45649</v>
      </c>
      <c r="E88" t="s">
        <v>468</v>
      </c>
      <c r="F88" t="s">
        <v>450</v>
      </c>
      <c r="G88" s="25">
        <v>6900000</v>
      </c>
      <c r="H88" s="25">
        <v>6900000</v>
      </c>
      <c r="J88" s="258"/>
      <c r="M88" s="25"/>
      <c r="N88" t="s">
        <v>447</v>
      </c>
      <c r="O88" s="25">
        <v>2315000</v>
      </c>
      <c r="Q88" s="258">
        <v>46014</v>
      </c>
    </row>
    <row r="89" spans="1:17" x14ac:dyDescent="0.25">
      <c r="A89">
        <v>154</v>
      </c>
      <c r="B89">
        <v>16145</v>
      </c>
      <c r="C89" t="s">
        <v>597</v>
      </c>
      <c r="D89" s="258">
        <v>45804</v>
      </c>
      <c r="E89" t="s">
        <v>596</v>
      </c>
      <c r="F89" t="s">
        <v>447</v>
      </c>
      <c r="G89" s="25">
        <v>250000</v>
      </c>
      <c r="H89" s="25">
        <v>250000</v>
      </c>
      <c r="J89" s="258"/>
      <c r="L89" t="s">
        <v>454</v>
      </c>
      <c r="M89" s="25"/>
      <c r="N89" t="s">
        <v>447</v>
      </c>
      <c r="O89" s="25">
        <v>250000</v>
      </c>
      <c r="Q89" s="258">
        <v>46168</v>
      </c>
    </row>
    <row r="90" spans="1:17" x14ac:dyDescent="0.25">
      <c r="A90">
        <v>151</v>
      </c>
      <c r="B90">
        <v>15330</v>
      </c>
      <c r="C90" t="s">
        <v>420</v>
      </c>
      <c r="D90" s="258">
        <v>45804</v>
      </c>
      <c r="E90" t="s">
        <v>596</v>
      </c>
      <c r="F90" t="s">
        <v>447</v>
      </c>
      <c r="G90" s="25">
        <v>1500000</v>
      </c>
      <c r="H90" s="25">
        <v>1500000</v>
      </c>
      <c r="J90" s="258"/>
      <c r="L90" t="s">
        <v>454</v>
      </c>
      <c r="M90" s="25"/>
      <c r="N90" t="s">
        <v>447</v>
      </c>
      <c r="O90" s="25">
        <v>750000</v>
      </c>
      <c r="Q90" s="258">
        <v>46168</v>
      </c>
    </row>
    <row r="91" spans="1:17" x14ac:dyDescent="0.25">
      <c r="A91">
        <v>329</v>
      </c>
      <c r="B91">
        <v>15331</v>
      </c>
      <c r="C91" t="s">
        <v>753</v>
      </c>
      <c r="D91" s="258">
        <v>45980</v>
      </c>
      <c r="E91" t="s">
        <v>738</v>
      </c>
      <c r="F91" t="s">
        <v>447</v>
      </c>
      <c r="G91" s="25">
        <v>50000</v>
      </c>
      <c r="H91" s="25">
        <v>50000</v>
      </c>
      <c r="J91" s="258"/>
      <c r="L91" t="s">
        <v>454</v>
      </c>
      <c r="M91" s="25"/>
      <c r="N91" t="s">
        <v>447</v>
      </c>
      <c r="O91" s="25">
        <v>50000</v>
      </c>
      <c r="Q91" s="258">
        <v>46345</v>
      </c>
    </row>
    <row r="92" spans="1:17" x14ac:dyDescent="0.25">
      <c r="A92">
        <v>153</v>
      </c>
      <c r="B92">
        <v>15945</v>
      </c>
      <c r="C92" t="s">
        <v>591</v>
      </c>
      <c r="D92" s="258">
        <v>45804</v>
      </c>
      <c r="E92" t="s">
        <v>596</v>
      </c>
      <c r="F92" t="s">
        <v>447</v>
      </c>
      <c r="G92" s="25">
        <v>1300000</v>
      </c>
      <c r="H92" s="25">
        <v>1300000</v>
      </c>
      <c r="J92" s="258"/>
      <c r="L92" t="s">
        <v>454</v>
      </c>
      <c r="M92" s="25"/>
      <c r="N92" t="s">
        <v>447</v>
      </c>
      <c r="O92" s="25">
        <v>1300000</v>
      </c>
      <c r="Q92" s="258">
        <v>46168</v>
      </c>
    </row>
    <row r="93" spans="1:17" x14ac:dyDescent="0.25">
      <c r="A93">
        <v>252</v>
      </c>
      <c r="B93">
        <v>16146</v>
      </c>
      <c r="C93" t="s">
        <v>650</v>
      </c>
      <c r="D93" s="258">
        <v>45869</v>
      </c>
      <c r="E93" t="s">
        <v>596</v>
      </c>
      <c r="F93" t="s">
        <v>447</v>
      </c>
      <c r="G93" s="25">
        <v>1000000</v>
      </c>
      <c r="H93" s="25">
        <v>1500000</v>
      </c>
      <c r="J93" s="258">
        <v>46234</v>
      </c>
      <c r="L93" t="s">
        <v>454</v>
      </c>
      <c r="M93" s="25"/>
      <c r="N93" t="s">
        <v>447</v>
      </c>
      <c r="O93" s="25">
        <v>1500000</v>
      </c>
      <c r="Q93" s="258">
        <v>46234</v>
      </c>
    </row>
    <row r="94" spans="1:17" x14ac:dyDescent="0.25">
      <c r="A94">
        <v>210</v>
      </c>
      <c r="B94">
        <v>16144</v>
      </c>
      <c r="C94" t="s">
        <v>574</v>
      </c>
      <c r="D94" s="258">
        <v>45831</v>
      </c>
      <c r="E94" t="s">
        <v>596</v>
      </c>
      <c r="F94" t="s">
        <v>447</v>
      </c>
      <c r="G94" s="25">
        <v>1472000</v>
      </c>
      <c r="H94" s="25">
        <v>1472000</v>
      </c>
      <c r="J94" s="258"/>
      <c r="L94" t="s">
        <v>454</v>
      </c>
      <c r="M94" s="25"/>
      <c r="N94" t="s">
        <v>447</v>
      </c>
      <c r="O94" s="25">
        <v>1472000</v>
      </c>
      <c r="Q94" s="258">
        <v>46196</v>
      </c>
    </row>
    <row r="95" spans="1:17" x14ac:dyDescent="0.25">
      <c r="A95">
        <v>156</v>
      </c>
      <c r="B95">
        <v>15332</v>
      </c>
      <c r="C95" t="s">
        <v>572</v>
      </c>
      <c r="D95" s="258">
        <v>45804</v>
      </c>
      <c r="E95" t="s">
        <v>596</v>
      </c>
      <c r="F95" t="s">
        <v>447</v>
      </c>
      <c r="G95" s="25">
        <v>1500000</v>
      </c>
      <c r="H95" s="25">
        <v>1500000</v>
      </c>
      <c r="J95" s="258"/>
      <c r="L95" t="s">
        <v>454</v>
      </c>
      <c r="M95" s="25"/>
      <c r="N95" t="s">
        <v>447</v>
      </c>
      <c r="O95" s="25">
        <v>1500000</v>
      </c>
      <c r="Q95" s="258">
        <v>46168</v>
      </c>
    </row>
    <row r="96" spans="1:17" x14ac:dyDescent="0.25">
      <c r="A96">
        <v>155</v>
      </c>
      <c r="B96">
        <v>16143</v>
      </c>
      <c r="C96" t="s">
        <v>598</v>
      </c>
      <c r="D96" s="258">
        <v>45804</v>
      </c>
      <c r="E96" t="s">
        <v>596</v>
      </c>
      <c r="F96" t="s">
        <v>447</v>
      </c>
      <c r="G96" s="25">
        <v>1500000</v>
      </c>
      <c r="H96" s="25">
        <v>1500000</v>
      </c>
      <c r="J96" s="258"/>
      <c r="L96" t="s">
        <v>454</v>
      </c>
      <c r="M96" s="25"/>
      <c r="N96" t="s">
        <v>447</v>
      </c>
      <c r="O96" s="25">
        <v>1500000</v>
      </c>
      <c r="Q96" s="258">
        <v>46168</v>
      </c>
    </row>
    <row r="97" spans="1:17" x14ac:dyDescent="0.25">
      <c r="A97">
        <v>158</v>
      </c>
      <c r="B97">
        <v>16147</v>
      </c>
      <c r="C97" t="s">
        <v>599</v>
      </c>
      <c r="D97" s="258">
        <v>45804</v>
      </c>
      <c r="E97" t="s">
        <v>596</v>
      </c>
      <c r="F97" t="s">
        <v>447</v>
      </c>
      <c r="G97" s="25">
        <v>500000</v>
      </c>
      <c r="H97" s="25">
        <v>500000</v>
      </c>
      <c r="J97" s="258"/>
      <c r="L97" t="s">
        <v>454</v>
      </c>
      <c r="M97" s="25"/>
      <c r="N97" t="s">
        <v>447</v>
      </c>
      <c r="O97" s="25">
        <v>500000</v>
      </c>
      <c r="Q97" s="258">
        <v>46168</v>
      </c>
    </row>
    <row r="98" spans="1:17" x14ac:dyDescent="0.25">
      <c r="A98">
        <v>161</v>
      </c>
      <c r="B98">
        <v>15333</v>
      </c>
      <c r="C98" t="s">
        <v>430</v>
      </c>
      <c r="D98" s="258">
        <v>45804</v>
      </c>
      <c r="E98" t="s">
        <v>596</v>
      </c>
      <c r="F98" t="s">
        <v>447</v>
      </c>
      <c r="G98" s="25">
        <v>2000000</v>
      </c>
      <c r="H98" s="25">
        <v>2000000</v>
      </c>
      <c r="J98" s="258"/>
      <c r="L98" t="s">
        <v>454</v>
      </c>
      <c r="M98" s="25"/>
      <c r="N98" t="s">
        <v>447</v>
      </c>
      <c r="O98" s="25">
        <v>2000000</v>
      </c>
      <c r="Q98" s="258">
        <v>46168</v>
      </c>
    </row>
    <row r="99" spans="1:17" x14ac:dyDescent="0.25">
      <c r="A99">
        <v>284</v>
      </c>
      <c r="B99">
        <v>15335</v>
      </c>
      <c r="C99" t="s">
        <v>429</v>
      </c>
      <c r="D99" s="258">
        <v>45834</v>
      </c>
      <c r="E99" t="s">
        <v>642</v>
      </c>
      <c r="F99" t="s">
        <v>447</v>
      </c>
      <c r="G99" s="25">
        <v>1000000</v>
      </c>
      <c r="H99" s="25">
        <v>1000000</v>
      </c>
      <c r="J99" s="258"/>
      <c r="L99" t="s">
        <v>454</v>
      </c>
      <c r="M99" s="25"/>
      <c r="N99" t="s">
        <v>447</v>
      </c>
      <c r="O99" s="25">
        <v>1000000</v>
      </c>
      <c r="Q99" s="258">
        <v>46199</v>
      </c>
    </row>
    <row r="100" spans="1:17" x14ac:dyDescent="0.25">
      <c r="A100">
        <v>163</v>
      </c>
      <c r="B100">
        <v>15327</v>
      </c>
      <c r="C100" t="s">
        <v>424</v>
      </c>
      <c r="D100" s="258">
        <v>45804</v>
      </c>
      <c r="E100" t="s">
        <v>596</v>
      </c>
      <c r="F100" t="s">
        <v>447</v>
      </c>
      <c r="G100" s="25">
        <v>1500000</v>
      </c>
      <c r="H100" s="25">
        <v>1500000</v>
      </c>
      <c r="J100" s="258">
        <v>46169</v>
      </c>
      <c r="L100" t="s">
        <v>454</v>
      </c>
      <c r="M100" s="25"/>
      <c r="N100" t="s">
        <v>447</v>
      </c>
      <c r="O100" s="25">
        <v>1500000</v>
      </c>
      <c r="Q100" s="258">
        <v>46168</v>
      </c>
    </row>
    <row r="101" spans="1:17" x14ac:dyDescent="0.25">
      <c r="A101">
        <v>448</v>
      </c>
      <c r="B101">
        <v>15327</v>
      </c>
      <c r="C101" t="s">
        <v>424</v>
      </c>
      <c r="D101" s="258">
        <v>45992</v>
      </c>
      <c r="E101" t="s">
        <v>912</v>
      </c>
      <c r="F101" t="s">
        <v>447</v>
      </c>
      <c r="G101" s="25">
        <v>1500000</v>
      </c>
      <c r="H101" s="25">
        <v>1500000</v>
      </c>
      <c r="J101" s="258">
        <v>46504</v>
      </c>
      <c r="L101" t="s">
        <v>454</v>
      </c>
      <c r="M101" s="25"/>
      <c r="N101" t="s">
        <v>447</v>
      </c>
      <c r="O101" s="25">
        <v>1500000</v>
      </c>
      <c r="Q101" s="258">
        <v>46504</v>
      </c>
    </row>
    <row r="102" spans="1:17" x14ac:dyDescent="0.25">
      <c r="A102">
        <v>95</v>
      </c>
      <c r="B102">
        <v>15336</v>
      </c>
      <c r="C102" t="s">
        <v>496</v>
      </c>
      <c r="D102" s="258">
        <v>45649</v>
      </c>
      <c r="E102" t="s">
        <v>468</v>
      </c>
      <c r="F102" t="s">
        <v>447</v>
      </c>
      <c r="G102" s="25">
        <v>15000000</v>
      </c>
      <c r="H102" s="25">
        <v>15000000</v>
      </c>
      <c r="J102" s="258">
        <v>46014</v>
      </c>
      <c r="M102" s="25"/>
      <c r="N102" t="s">
        <v>447</v>
      </c>
      <c r="O102" s="25">
        <v>15000000</v>
      </c>
      <c r="Q102" s="258">
        <v>46014</v>
      </c>
    </row>
    <row r="103" spans="1:17" x14ac:dyDescent="0.25">
      <c r="A103">
        <v>129</v>
      </c>
      <c r="B103">
        <v>15710</v>
      </c>
      <c r="C103" t="s">
        <v>527</v>
      </c>
      <c r="D103" s="258">
        <v>45707</v>
      </c>
      <c r="E103" t="s">
        <v>588</v>
      </c>
      <c r="F103" t="s">
        <v>447</v>
      </c>
      <c r="G103" s="25">
        <v>10000000</v>
      </c>
      <c r="H103" s="25">
        <v>10000000</v>
      </c>
      <c r="J103" s="258">
        <v>45771</v>
      </c>
      <c r="L103" t="s">
        <v>454</v>
      </c>
      <c r="M103" s="25"/>
      <c r="N103" t="s">
        <v>447</v>
      </c>
      <c r="O103" s="25">
        <v>10000000</v>
      </c>
      <c r="Q103" s="258">
        <v>46072</v>
      </c>
    </row>
    <row r="104" spans="1:17" x14ac:dyDescent="0.25">
      <c r="A104">
        <v>372</v>
      </c>
      <c r="B104">
        <v>16465</v>
      </c>
      <c r="C104" t="s">
        <v>790</v>
      </c>
      <c r="D104" s="258">
        <v>46001</v>
      </c>
      <c r="E104" t="s">
        <v>791</v>
      </c>
      <c r="F104" t="s">
        <v>447</v>
      </c>
      <c r="G104" s="25">
        <v>165000</v>
      </c>
      <c r="H104" s="25">
        <v>165000</v>
      </c>
      <c r="J104" s="258"/>
      <c r="L104" t="s">
        <v>454</v>
      </c>
      <c r="M104" s="25"/>
      <c r="N104" t="s">
        <v>447</v>
      </c>
      <c r="O104" s="25">
        <v>165000</v>
      </c>
      <c r="Q104" s="258">
        <v>46366</v>
      </c>
    </row>
    <row r="105" spans="1:17" x14ac:dyDescent="0.25">
      <c r="A105">
        <v>168</v>
      </c>
      <c r="B105">
        <v>15356</v>
      </c>
      <c r="C105" t="s">
        <v>425</v>
      </c>
      <c r="D105" s="258">
        <v>45804</v>
      </c>
      <c r="E105" t="s">
        <v>601</v>
      </c>
      <c r="F105" t="s">
        <v>447</v>
      </c>
      <c r="G105" s="25">
        <v>700000</v>
      </c>
      <c r="H105" s="25">
        <v>700000</v>
      </c>
      <c r="J105" s="258">
        <v>46169</v>
      </c>
      <c r="K105">
        <v>180</v>
      </c>
      <c r="L105" t="s">
        <v>454</v>
      </c>
      <c r="M105" s="25"/>
      <c r="N105" t="s">
        <v>447</v>
      </c>
      <c r="O105" s="25">
        <v>700000</v>
      </c>
      <c r="Q105" s="258">
        <v>46169</v>
      </c>
    </row>
    <row r="106" spans="1:17" x14ac:dyDescent="0.25">
      <c r="A106">
        <v>290</v>
      </c>
      <c r="B106">
        <v>15354</v>
      </c>
      <c r="C106" t="s">
        <v>431</v>
      </c>
      <c r="D106" s="258">
        <v>45926</v>
      </c>
      <c r="E106" t="s">
        <v>689</v>
      </c>
      <c r="F106" t="s">
        <v>447</v>
      </c>
      <c r="G106" s="25">
        <v>1500000</v>
      </c>
      <c r="H106" s="25">
        <v>1500000</v>
      </c>
      <c r="J106" s="258">
        <v>46291</v>
      </c>
      <c r="K106">
        <v>270</v>
      </c>
      <c r="L106" t="s">
        <v>454</v>
      </c>
      <c r="M106" s="25">
        <v>3300000</v>
      </c>
      <c r="N106" t="s">
        <v>447</v>
      </c>
      <c r="O106" s="25">
        <v>1000000</v>
      </c>
      <c r="P106" t="s">
        <v>225</v>
      </c>
      <c r="Q106" s="258">
        <v>46291</v>
      </c>
    </row>
    <row r="107" spans="1:17" x14ac:dyDescent="0.25">
      <c r="A107">
        <v>449</v>
      </c>
      <c r="B107">
        <v>15344</v>
      </c>
      <c r="C107" t="s">
        <v>416</v>
      </c>
      <c r="D107" s="258">
        <v>46139</v>
      </c>
      <c r="E107" t="s">
        <v>758</v>
      </c>
      <c r="F107" t="s">
        <v>447</v>
      </c>
      <c r="G107" s="25">
        <v>4500000</v>
      </c>
      <c r="H107" s="25">
        <v>4500000</v>
      </c>
      <c r="J107" s="258"/>
      <c r="L107" t="s">
        <v>454</v>
      </c>
      <c r="M107" s="25"/>
      <c r="N107" t="s">
        <v>447</v>
      </c>
      <c r="O107" s="25">
        <v>4500000</v>
      </c>
      <c r="Q107" s="258">
        <v>46504</v>
      </c>
    </row>
    <row r="108" spans="1:17" x14ac:dyDescent="0.25">
      <c r="A108">
        <v>361</v>
      </c>
      <c r="B108">
        <v>15345</v>
      </c>
      <c r="C108" t="s">
        <v>419</v>
      </c>
      <c r="D108" s="258">
        <v>45994</v>
      </c>
      <c r="E108" t="s">
        <v>765</v>
      </c>
      <c r="F108" t="s">
        <v>447</v>
      </c>
      <c r="G108" s="25">
        <v>6000000</v>
      </c>
      <c r="H108" s="25">
        <v>6000000</v>
      </c>
      <c r="J108" s="258">
        <v>46359</v>
      </c>
      <c r="K108">
        <v>28</v>
      </c>
      <c r="L108" t="s">
        <v>454</v>
      </c>
      <c r="M108" s="25"/>
      <c r="N108" t="s">
        <v>447</v>
      </c>
      <c r="O108" s="25">
        <v>6000000</v>
      </c>
      <c r="Q108" s="258">
        <v>46359</v>
      </c>
    </row>
    <row r="109" spans="1:17" x14ac:dyDescent="0.25">
      <c r="A109">
        <v>382</v>
      </c>
      <c r="B109">
        <v>11957</v>
      </c>
      <c r="C109" t="s">
        <v>782</v>
      </c>
      <c r="D109" s="258">
        <v>46028</v>
      </c>
      <c r="E109" t="s">
        <v>758</v>
      </c>
      <c r="F109" t="s">
        <v>447</v>
      </c>
      <c r="G109" s="25">
        <v>50000</v>
      </c>
      <c r="H109" s="25">
        <v>50000</v>
      </c>
      <c r="J109" s="258">
        <v>46393</v>
      </c>
      <c r="L109" t="s">
        <v>454</v>
      </c>
      <c r="M109" s="25"/>
      <c r="N109" t="s">
        <v>447</v>
      </c>
      <c r="O109" s="25">
        <v>50000</v>
      </c>
      <c r="Q109" s="258">
        <v>46393</v>
      </c>
    </row>
    <row r="110" spans="1:17" x14ac:dyDescent="0.25">
      <c r="A110">
        <v>261</v>
      </c>
      <c r="B110">
        <v>12365</v>
      </c>
      <c r="C110" t="s">
        <v>360</v>
      </c>
      <c r="D110" s="258">
        <v>45868</v>
      </c>
      <c r="E110" t="s">
        <v>660</v>
      </c>
      <c r="F110" t="s">
        <v>447</v>
      </c>
      <c r="G110" s="25">
        <v>1375000</v>
      </c>
      <c r="H110" s="25">
        <v>1375000</v>
      </c>
      <c r="J110" s="258">
        <v>46233</v>
      </c>
      <c r="M110" s="25"/>
      <c r="N110" t="s">
        <v>447</v>
      </c>
      <c r="O110" s="25">
        <v>1375000</v>
      </c>
      <c r="Q110" s="258">
        <v>46233</v>
      </c>
    </row>
    <row r="111" spans="1:17" x14ac:dyDescent="0.25">
      <c r="A111">
        <v>370</v>
      </c>
      <c r="B111">
        <v>2527</v>
      </c>
      <c r="C111" t="s">
        <v>391</v>
      </c>
      <c r="D111" s="258">
        <v>46001</v>
      </c>
      <c r="E111" t="s">
        <v>772</v>
      </c>
      <c r="F111" t="s">
        <v>447</v>
      </c>
      <c r="G111" s="25">
        <v>412500</v>
      </c>
      <c r="H111" s="25">
        <v>412500</v>
      </c>
      <c r="J111" s="258">
        <v>46366</v>
      </c>
      <c r="L111" t="s">
        <v>454</v>
      </c>
      <c r="M111" s="25"/>
      <c r="N111" t="s">
        <v>447</v>
      </c>
      <c r="O111" s="25">
        <v>412500</v>
      </c>
      <c r="Q111" s="258">
        <v>46366</v>
      </c>
    </row>
    <row r="112" spans="1:17" x14ac:dyDescent="0.25">
      <c r="A112">
        <v>136</v>
      </c>
      <c r="B112">
        <v>11212</v>
      </c>
      <c r="C112" t="s">
        <v>257</v>
      </c>
      <c r="D112" s="258">
        <v>45799</v>
      </c>
      <c r="E112" t="s">
        <v>465</v>
      </c>
      <c r="F112" t="s">
        <v>447</v>
      </c>
      <c r="G112" s="25">
        <v>400000</v>
      </c>
      <c r="H112" s="25">
        <v>400000</v>
      </c>
      <c r="J112" s="258"/>
      <c r="K112">
        <v>28</v>
      </c>
      <c r="L112" t="s">
        <v>454</v>
      </c>
      <c r="M112" s="25"/>
      <c r="N112" t="s">
        <v>447</v>
      </c>
      <c r="O112" s="25">
        <v>400000</v>
      </c>
      <c r="Q112" s="258">
        <v>46164</v>
      </c>
    </row>
    <row r="113" spans="1:17" x14ac:dyDescent="0.25">
      <c r="A113">
        <v>410</v>
      </c>
      <c r="B113">
        <v>16660</v>
      </c>
      <c r="C113" t="s">
        <v>749</v>
      </c>
      <c r="D113" s="258">
        <v>46093</v>
      </c>
      <c r="E113" t="s">
        <v>738</v>
      </c>
      <c r="F113" t="s">
        <v>447</v>
      </c>
      <c r="G113" s="25">
        <v>50000</v>
      </c>
      <c r="H113" s="25">
        <v>50000</v>
      </c>
      <c r="J113" s="258">
        <v>46458</v>
      </c>
      <c r="L113" t="s">
        <v>454</v>
      </c>
      <c r="M113" s="25"/>
      <c r="N113" t="s">
        <v>447</v>
      </c>
      <c r="O113" s="25">
        <v>50000</v>
      </c>
      <c r="Q113" s="258">
        <v>46458</v>
      </c>
    </row>
    <row r="114" spans="1:17" x14ac:dyDescent="0.25">
      <c r="A114">
        <v>392</v>
      </c>
      <c r="B114">
        <v>17224</v>
      </c>
      <c r="C114" t="s">
        <v>801</v>
      </c>
      <c r="D114" s="258">
        <v>46042</v>
      </c>
      <c r="E114" t="s">
        <v>812</v>
      </c>
      <c r="F114" t="s">
        <v>447</v>
      </c>
      <c r="G114" s="25">
        <v>550000</v>
      </c>
      <c r="H114" s="25">
        <v>550000</v>
      </c>
      <c r="J114" s="258">
        <v>46408</v>
      </c>
      <c r="K114">
        <v>78</v>
      </c>
      <c r="L114" t="s">
        <v>461</v>
      </c>
      <c r="M114" s="25"/>
      <c r="N114" t="s">
        <v>447</v>
      </c>
      <c r="O114" s="25">
        <v>550000</v>
      </c>
      <c r="Q114" s="258">
        <v>46408</v>
      </c>
    </row>
    <row r="115" spans="1:17" x14ac:dyDescent="0.25">
      <c r="A115">
        <v>411</v>
      </c>
      <c r="B115">
        <v>3142</v>
      </c>
      <c r="C115" t="s">
        <v>88</v>
      </c>
      <c r="D115" s="258">
        <v>46093</v>
      </c>
      <c r="E115" t="s">
        <v>859</v>
      </c>
      <c r="F115" t="s">
        <v>447</v>
      </c>
      <c r="G115" s="25">
        <v>200000</v>
      </c>
      <c r="H115" s="25">
        <v>200000</v>
      </c>
      <c r="J115" s="258">
        <v>46458</v>
      </c>
      <c r="L115" t="s">
        <v>454</v>
      </c>
      <c r="M115" s="25"/>
      <c r="N115" t="s">
        <v>447</v>
      </c>
      <c r="O115" s="25">
        <v>200000</v>
      </c>
      <c r="Q115" s="258">
        <v>46458</v>
      </c>
    </row>
    <row r="116" spans="1:17" x14ac:dyDescent="0.25">
      <c r="A116">
        <v>417</v>
      </c>
      <c r="B116">
        <v>12972</v>
      </c>
      <c r="C116" t="s">
        <v>750</v>
      </c>
      <c r="D116" s="258">
        <v>45980</v>
      </c>
      <c r="E116" t="s">
        <v>738</v>
      </c>
      <c r="F116" t="s">
        <v>447</v>
      </c>
      <c r="G116" s="25">
        <v>200000</v>
      </c>
      <c r="H116" s="25">
        <v>200000</v>
      </c>
      <c r="J116" s="258">
        <v>46345</v>
      </c>
      <c r="L116" t="s">
        <v>454</v>
      </c>
      <c r="M116" s="25"/>
      <c r="N116" t="s">
        <v>447</v>
      </c>
      <c r="O116" s="25">
        <v>200000</v>
      </c>
      <c r="Q116" s="258">
        <v>46345</v>
      </c>
    </row>
    <row r="117" spans="1:17" x14ac:dyDescent="0.25">
      <c r="A117">
        <v>166</v>
      </c>
      <c r="B117">
        <v>10646</v>
      </c>
      <c r="C117" t="s">
        <v>452</v>
      </c>
      <c r="D117" s="258">
        <v>45804</v>
      </c>
      <c r="E117" t="s">
        <v>600</v>
      </c>
      <c r="F117" t="s">
        <v>447</v>
      </c>
      <c r="G117" s="25">
        <v>500000</v>
      </c>
      <c r="H117" s="25">
        <v>500000</v>
      </c>
      <c r="J117" s="258">
        <v>46169</v>
      </c>
      <c r="L117" t="s">
        <v>454</v>
      </c>
      <c r="M117" s="25"/>
      <c r="N117" t="s">
        <v>447</v>
      </c>
      <c r="O117" s="25">
        <v>500000</v>
      </c>
      <c r="Q117" s="258">
        <v>46169</v>
      </c>
    </row>
    <row r="118" spans="1:17" x14ac:dyDescent="0.25">
      <c r="A118">
        <v>192</v>
      </c>
      <c r="B118">
        <v>2656</v>
      </c>
      <c r="C118" t="s">
        <v>129</v>
      </c>
      <c r="D118" s="258">
        <v>45831</v>
      </c>
      <c r="E118" t="s">
        <v>626</v>
      </c>
      <c r="F118" t="s">
        <v>447</v>
      </c>
      <c r="G118" s="25">
        <v>687500</v>
      </c>
      <c r="H118" s="25">
        <v>687500</v>
      </c>
      <c r="J118" s="258"/>
      <c r="L118" t="s">
        <v>466</v>
      </c>
      <c r="M118" s="25"/>
      <c r="N118" t="s">
        <v>447</v>
      </c>
      <c r="O118" s="25">
        <v>687500</v>
      </c>
      <c r="Q118" s="258">
        <v>46196</v>
      </c>
    </row>
    <row r="119" spans="1:17" x14ac:dyDescent="0.25">
      <c r="A119">
        <v>176</v>
      </c>
      <c r="B119">
        <v>2225</v>
      </c>
      <c r="C119" t="s">
        <v>839</v>
      </c>
      <c r="D119" s="258">
        <v>45812</v>
      </c>
      <c r="E119" t="s">
        <v>616</v>
      </c>
      <c r="F119" t="s">
        <v>447</v>
      </c>
      <c r="G119" s="25">
        <v>200000</v>
      </c>
      <c r="H119" s="25">
        <v>200000</v>
      </c>
      <c r="J119" s="258"/>
      <c r="K119">
        <v>28</v>
      </c>
      <c r="M119" s="25"/>
      <c r="N119" t="s">
        <v>447</v>
      </c>
      <c r="O119" s="25">
        <v>0</v>
      </c>
      <c r="Q119" s="258">
        <v>46177</v>
      </c>
    </row>
    <row r="120" spans="1:17" x14ac:dyDescent="0.25">
      <c r="A120">
        <v>262</v>
      </c>
      <c r="B120">
        <v>6269</v>
      </c>
      <c r="C120" t="s">
        <v>638</v>
      </c>
      <c r="D120" s="258">
        <v>45870</v>
      </c>
      <c r="E120" t="s">
        <v>661</v>
      </c>
      <c r="F120" t="s">
        <v>447</v>
      </c>
      <c r="G120" s="25">
        <v>1375000</v>
      </c>
      <c r="H120" s="25">
        <v>1375000</v>
      </c>
      <c r="J120" s="258">
        <v>46253</v>
      </c>
      <c r="L120" t="s">
        <v>454</v>
      </c>
      <c r="M120" s="25"/>
      <c r="N120" t="s">
        <v>447</v>
      </c>
      <c r="O120" s="25">
        <v>1375000</v>
      </c>
      <c r="Q120" s="258">
        <v>46253</v>
      </c>
    </row>
    <row r="121" spans="1:17" x14ac:dyDescent="0.25">
      <c r="A121">
        <v>273</v>
      </c>
      <c r="B121">
        <v>2678</v>
      </c>
      <c r="C121" t="s">
        <v>672</v>
      </c>
      <c r="D121" s="258">
        <v>45902</v>
      </c>
      <c r="E121" t="s">
        <v>673</v>
      </c>
      <c r="F121" t="s">
        <v>447</v>
      </c>
      <c r="G121" s="25">
        <v>275000</v>
      </c>
      <c r="H121" s="25">
        <v>275000</v>
      </c>
      <c r="J121" s="258">
        <v>46267</v>
      </c>
      <c r="L121" t="s">
        <v>454</v>
      </c>
      <c r="M121" s="25"/>
      <c r="N121" t="s">
        <v>447</v>
      </c>
      <c r="O121" s="25">
        <v>275000</v>
      </c>
      <c r="Q121" s="258">
        <v>46267</v>
      </c>
    </row>
    <row r="122" spans="1:17" x14ac:dyDescent="0.25">
      <c r="A122">
        <v>371</v>
      </c>
      <c r="B122">
        <v>10676</v>
      </c>
      <c r="C122" t="s">
        <v>132</v>
      </c>
      <c r="D122" s="258">
        <v>46001</v>
      </c>
      <c r="E122" t="s">
        <v>785</v>
      </c>
      <c r="F122" t="s">
        <v>447</v>
      </c>
      <c r="G122" s="25">
        <v>550000</v>
      </c>
      <c r="H122" s="25">
        <v>550000</v>
      </c>
      <c r="J122" s="258">
        <v>46366</v>
      </c>
      <c r="L122" t="s">
        <v>473</v>
      </c>
      <c r="M122" s="25"/>
      <c r="N122" t="s">
        <v>447</v>
      </c>
      <c r="O122" s="25">
        <v>550000</v>
      </c>
      <c r="Q122" s="258">
        <v>46366</v>
      </c>
    </row>
    <row r="123" spans="1:17" x14ac:dyDescent="0.25">
      <c r="A123">
        <v>374</v>
      </c>
      <c r="B123">
        <v>12249</v>
      </c>
      <c r="C123" t="s">
        <v>786</v>
      </c>
      <c r="D123" s="258">
        <v>46007</v>
      </c>
      <c r="E123" t="s">
        <v>787</v>
      </c>
      <c r="G123" s="25"/>
      <c r="H123" s="25">
        <v>110000</v>
      </c>
      <c r="J123" s="258"/>
      <c r="M123" s="25"/>
      <c r="N123" t="s">
        <v>447</v>
      </c>
      <c r="O123" s="25">
        <v>110000</v>
      </c>
      <c r="Q123" s="258"/>
    </row>
    <row r="124" spans="1:17" x14ac:dyDescent="0.25">
      <c r="A124">
        <v>450</v>
      </c>
      <c r="B124">
        <v>3297</v>
      </c>
      <c r="C124" t="s">
        <v>640</v>
      </c>
      <c r="D124" s="258">
        <v>46140</v>
      </c>
      <c r="E124" t="s">
        <v>913</v>
      </c>
      <c r="F124" t="s">
        <v>447</v>
      </c>
      <c r="G124" s="25">
        <v>990000</v>
      </c>
      <c r="H124" s="25">
        <v>990000</v>
      </c>
      <c r="J124" s="258"/>
      <c r="L124" t="s">
        <v>454</v>
      </c>
      <c r="M124" s="25"/>
      <c r="N124" t="s">
        <v>447</v>
      </c>
      <c r="O124" s="25">
        <v>990000</v>
      </c>
      <c r="Q124" s="258">
        <v>46505</v>
      </c>
    </row>
    <row r="125" spans="1:17" x14ac:dyDescent="0.25">
      <c r="A125">
        <v>442</v>
      </c>
      <c r="B125">
        <v>17649</v>
      </c>
      <c r="C125" t="s">
        <v>914</v>
      </c>
      <c r="D125" s="258">
        <v>46099</v>
      </c>
      <c r="E125" t="s">
        <v>915</v>
      </c>
      <c r="F125" t="s">
        <v>447</v>
      </c>
      <c r="G125" s="25">
        <v>650000</v>
      </c>
      <c r="H125" s="25">
        <v>650000</v>
      </c>
      <c r="J125" s="258"/>
      <c r="L125" t="s">
        <v>454</v>
      </c>
      <c r="M125" s="25"/>
      <c r="N125" t="s">
        <v>447</v>
      </c>
      <c r="O125" s="25">
        <v>650000</v>
      </c>
      <c r="Q125" s="258">
        <v>46464</v>
      </c>
    </row>
    <row r="126" spans="1:17" x14ac:dyDescent="0.25">
      <c r="A126">
        <v>385</v>
      </c>
      <c r="B126">
        <v>14116</v>
      </c>
      <c r="C126" t="s">
        <v>647</v>
      </c>
      <c r="D126" s="258">
        <v>46030</v>
      </c>
      <c r="E126" t="s">
        <v>813</v>
      </c>
      <c r="F126" t="s">
        <v>447</v>
      </c>
      <c r="G126" s="25">
        <v>330000</v>
      </c>
      <c r="H126" s="25">
        <v>330000</v>
      </c>
      <c r="J126" s="258">
        <v>46395</v>
      </c>
      <c r="L126" t="s">
        <v>454</v>
      </c>
      <c r="M126" s="25"/>
      <c r="N126" t="s">
        <v>447</v>
      </c>
      <c r="O126" s="25">
        <v>330000</v>
      </c>
      <c r="Q126" s="258">
        <v>46395</v>
      </c>
    </row>
    <row r="127" spans="1:17" x14ac:dyDescent="0.25">
      <c r="A127">
        <v>311</v>
      </c>
      <c r="B127">
        <v>15917</v>
      </c>
      <c r="C127" t="s">
        <v>662</v>
      </c>
      <c r="D127" s="258">
        <v>45912</v>
      </c>
      <c r="E127" t="s">
        <v>709</v>
      </c>
      <c r="F127" t="s">
        <v>447</v>
      </c>
      <c r="G127" s="25">
        <v>1200000</v>
      </c>
      <c r="H127" s="25">
        <v>1200000</v>
      </c>
      <c r="J127" s="258">
        <v>46277</v>
      </c>
      <c r="L127" t="s">
        <v>454</v>
      </c>
      <c r="M127" s="25"/>
      <c r="N127" t="s">
        <v>447</v>
      </c>
      <c r="O127" s="25">
        <v>500000</v>
      </c>
      <c r="Q127" s="258">
        <v>46277</v>
      </c>
    </row>
    <row r="128" spans="1:17" x14ac:dyDescent="0.25">
      <c r="A128">
        <v>386</v>
      </c>
      <c r="B128">
        <v>2696</v>
      </c>
      <c r="C128" t="s">
        <v>130</v>
      </c>
      <c r="D128" s="258">
        <v>46030</v>
      </c>
      <c r="E128" t="s">
        <v>807</v>
      </c>
      <c r="F128" t="s">
        <v>447</v>
      </c>
      <c r="G128" s="25">
        <v>660000</v>
      </c>
      <c r="H128" s="25">
        <v>660000</v>
      </c>
      <c r="J128" s="258">
        <v>46395</v>
      </c>
      <c r="L128" t="s">
        <v>454</v>
      </c>
      <c r="M128" s="25"/>
      <c r="N128" t="s">
        <v>447</v>
      </c>
      <c r="O128" s="25">
        <v>660000</v>
      </c>
      <c r="Q128" s="258">
        <v>46395</v>
      </c>
    </row>
    <row r="129" spans="1:17" x14ac:dyDescent="0.25">
      <c r="A129">
        <v>383</v>
      </c>
      <c r="B129">
        <v>17305</v>
      </c>
      <c r="C129" t="s">
        <v>797</v>
      </c>
      <c r="D129" s="258">
        <v>46031</v>
      </c>
      <c r="E129" t="s">
        <v>808</v>
      </c>
      <c r="F129" t="s">
        <v>447</v>
      </c>
      <c r="G129" s="25">
        <v>250000</v>
      </c>
      <c r="H129" s="25">
        <v>250000</v>
      </c>
      <c r="J129" s="258">
        <v>46396</v>
      </c>
      <c r="K129">
        <v>60</v>
      </c>
      <c r="M129" s="25"/>
      <c r="N129" t="s">
        <v>447</v>
      </c>
      <c r="O129" s="25"/>
      <c r="Q129" s="258">
        <v>46396</v>
      </c>
    </row>
    <row r="130" spans="1:17" x14ac:dyDescent="0.25">
      <c r="A130">
        <v>378</v>
      </c>
      <c r="B130">
        <v>11978</v>
      </c>
      <c r="C130" t="s">
        <v>307</v>
      </c>
      <c r="D130" s="258">
        <v>46001</v>
      </c>
      <c r="E130" t="s">
        <v>788</v>
      </c>
      <c r="F130" t="s">
        <v>447</v>
      </c>
      <c r="G130" s="25">
        <v>1925000</v>
      </c>
      <c r="H130" s="25">
        <v>192500</v>
      </c>
      <c r="J130" s="258"/>
      <c r="L130" t="s">
        <v>454</v>
      </c>
      <c r="M130" s="25"/>
      <c r="N130" t="s">
        <v>447</v>
      </c>
      <c r="O130" s="25">
        <v>192500</v>
      </c>
      <c r="Q130" s="258">
        <v>46366</v>
      </c>
    </row>
    <row r="131" spans="1:17" x14ac:dyDescent="0.25">
      <c r="A131">
        <v>167</v>
      </c>
      <c r="B131">
        <v>6431</v>
      </c>
      <c r="C131" t="s">
        <v>492</v>
      </c>
      <c r="D131" s="258">
        <v>45804</v>
      </c>
      <c r="E131" t="s">
        <v>601</v>
      </c>
      <c r="F131" t="s">
        <v>447</v>
      </c>
      <c r="G131" s="25">
        <v>800000</v>
      </c>
      <c r="H131" s="25">
        <v>800000</v>
      </c>
      <c r="J131" s="258">
        <v>46169</v>
      </c>
      <c r="K131">
        <v>270</v>
      </c>
      <c r="L131" t="s">
        <v>454</v>
      </c>
      <c r="M131" s="25"/>
      <c r="N131" t="s">
        <v>447</v>
      </c>
      <c r="O131" s="25">
        <v>800000</v>
      </c>
      <c r="Q131" s="258">
        <v>46080</v>
      </c>
    </row>
    <row r="132" spans="1:17" x14ac:dyDescent="0.25">
      <c r="A132">
        <v>267</v>
      </c>
      <c r="B132">
        <v>4737</v>
      </c>
      <c r="C132" t="s">
        <v>669</v>
      </c>
      <c r="D132" s="258">
        <v>45894</v>
      </c>
      <c r="E132" t="s">
        <v>601</v>
      </c>
      <c r="F132" t="s">
        <v>447</v>
      </c>
      <c r="G132" s="25">
        <v>150000</v>
      </c>
      <c r="H132" s="25">
        <v>150000</v>
      </c>
      <c r="J132" s="258">
        <v>46259</v>
      </c>
      <c r="L132" t="s">
        <v>454</v>
      </c>
      <c r="M132" s="25"/>
      <c r="N132" t="s">
        <v>447</v>
      </c>
      <c r="O132" s="25">
        <v>150000</v>
      </c>
      <c r="Q132" s="258">
        <v>46259</v>
      </c>
    </row>
    <row r="133" spans="1:17" x14ac:dyDescent="0.25">
      <c r="A133">
        <v>440</v>
      </c>
      <c r="B133">
        <v>17642</v>
      </c>
      <c r="C133" t="s">
        <v>916</v>
      </c>
      <c r="D133" s="258">
        <v>46084</v>
      </c>
      <c r="E133" t="s">
        <v>917</v>
      </c>
      <c r="F133" t="s">
        <v>447</v>
      </c>
      <c r="G133" s="25">
        <v>1000000</v>
      </c>
      <c r="H133" s="25">
        <v>1000000</v>
      </c>
      <c r="J133" s="258">
        <v>46449</v>
      </c>
      <c r="L133" t="s">
        <v>454</v>
      </c>
      <c r="M133" s="25"/>
      <c r="N133" t="s">
        <v>447</v>
      </c>
      <c r="O133" s="25">
        <v>1000000</v>
      </c>
      <c r="Q133" s="258">
        <v>46449</v>
      </c>
    </row>
    <row r="134" spans="1:17" x14ac:dyDescent="0.25">
      <c r="A134">
        <v>221</v>
      </c>
      <c r="B134">
        <v>1062</v>
      </c>
      <c r="C134" t="s">
        <v>587</v>
      </c>
      <c r="D134" s="258">
        <v>45834</v>
      </c>
      <c r="E134" t="s">
        <v>643</v>
      </c>
      <c r="F134" t="s">
        <v>447</v>
      </c>
      <c r="G134" s="25">
        <v>660000</v>
      </c>
      <c r="H134" s="25">
        <v>660000</v>
      </c>
      <c r="J134" s="258"/>
      <c r="L134" t="s">
        <v>466</v>
      </c>
      <c r="M134" s="25"/>
      <c r="N134" t="s">
        <v>447</v>
      </c>
      <c r="O134" s="25">
        <v>660000</v>
      </c>
      <c r="Q134" s="258">
        <v>45834</v>
      </c>
    </row>
    <row r="135" spans="1:17" x14ac:dyDescent="0.25">
      <c r="A135">
        <v>319</v>
      </c>
      <c r="B135">
        <v>6177</v>
      </c>
      <c r="C135" t="s">
        <v>729</v>
      </c>
      <c r="D135" s="258">
        <v>45957</v>
      </c>
      <c r="E135" t="s">
        <v>739</v>
      </c>
      <c r="F135" t="s">
        <v>447</v>
      </c>
      <c r="G135" s="25">
        <v>850000</v>
      </c>
      <c r="H135" s="25">
        <v>850000</v>
      </c>
      <c r="J135" s="258">
        <v>46343</v>
      </c>
      <c r="L135" t="s">
        <v>454</v>
      </c>
      <c r="M135" s="25"/>
      <c r="N135" t="s">
        <v>447</v>
      </c>
      <c r="O135" s="25">
        <v>850000</v>
      </c>
      <c r="Q135" s="258">
        <v>46343</v>
      </c>
    </row>
    <row r="136" spans="1:17" x14ac:dyDescent="0.25">
      <c r="A136">
        <v>133</v>
      </c>
      <c r="B136">
        <v>16042</v>
      </c>
      <c r="C136" t="s">
        <v>568</v>
      </c>
      <c r="D136" s="258">
        <v>45789</v>
      </c>
      <c r="E136" t="s">
        <v>593</v>
      </c>
      <c r="F136" t="s">
        <v>447</v>
      </c>
      <c r="G136" s="25">
        <v>500000</v>
      </c>
      <c r="H136" s="25">
        <v>500000</v>
      </c>
      <c r="J136" s="258">
        <v>46154</v>
      </c>
      <c r="K136">
        <v>15</v>
      </c>
      <c r="L136" t="s">
        <v>454</v>
      </c>
      <c r="M136" s="25"/>
      <c r="N136" t="s">
        <v>447</v>
      </c>
      <c r="O136" s="25">
        <v>500000</v>
      </c>
      <c r="Q136" s="258">
        <v>46154</v>
      </c>
    </row>
    <row r="137" spans="1:17" x14ac:dyDescent="0.25">
      <c r="A137">
        <v>276</v>
      </c>
      <c r="B137">
        <v>5209</v>
      </c>
      <c r="C137" t="s">
        <v>93</v>
      </c>
      <c r="D137" s="258">
        <v>45916</v>
      </c>
      <c r="E137" t="s">
        <v>684</v>
      </c>
      <c r="F137" t="s">
        <v>447</v>
      </c>
      <c r="G137" s="25">
        <v>100000</v>
      </c>
      <c r="H137" s="25">
        <v>100000</v>
      </c>
      <c r="J137" s="258">
        <v>46282</v>
      </c>
      <c r="L137" t="s">
        <v>454</v>
      </c>
      <c r="M137" s="25"/>
      <c r="N137" t="s">
        <v>447</v>
      </c>
      <c r="O137" s="25">
        <v>100000</v>
      </c>
      <c r="Q137" s="258">
        <v>46282</v>
      </c>
    </row>
    <row r="138" spans="1:17" x14ac:dyDescent="0.25">
      <c r="A138">
        <v>338</v>
      </c>
      <c r="B138">
        <v>6315</v>
      </c>
      <c r="C138" t="s">
        <v>96</v>
      </c>
      <c r="D138" s="258">
        <v>45980</v>
      </c>
      <c r="E138" t="s">
        <v>738</v>
      </c>
      <c r="F138" t="s">
        <v>447</v>
      </c>
      <c r="G138" s="25">
        <v>300000</v>
      </c>
      <c r="H138" s="25">
        <v>300000</v>
      </c>
      <c r="J138" s="258"/>
      <c r="L138" t="s">
        <v>454</v>
      </c>
      <c r="M138" s="25"/>
      <c r="N138" t="s">
        <v>447</v>
      </c>
      <c r="O138" s="25">
        <v>300000</v>
      </c>
      <c r="Q138" s="258"/>
    </row>
    <row r="139" spans="1:17" x14ac:dyDescent="0.25">
      <c r="A139">
        <v>343</v>
      </c>
      <c r="B139">
        <v>16645</v>
      </c>
      <c r="C139" t="s">
        <v>664</v>
      </c>
      <c r="D139" s="258">
        <v>45912</v>
      </c>
      <c r="E139" t="s">
        <v>738</v>
      </c>
      <c r="F139" t="s">
        <v>447</v>
      </c>
      <c r="G139" s="25">
        <v>400000</v>
      </c>
      <c r="H139" s="25">
        <v>400000</v>
      </c>
      <c r="J139" s="258">
        <v>46277</v>
      </c>
      <c r="L139" t="s">
        <v>454</v>
      </c>
      <c r="M139" s="25"/>
      <c r="N139" t="s">
        <v>447</v>
      </c>
      <c r="O139" s="25">
        <v>400000</v>
      </c>
      <c r="Q139" s="258"/>
    </row>
    <row r="140" spans="1:17" x14ac:dyDescent="0.25">
      <c r="A140">
        <v>423</v>
      </c>
      <c r="B140">
        <v>14596</v>
      </c>
      <c r="C140" t="s">
        <v>456</v>
      </c>
      <c r="D140" s="258">
        <v>45804</v>
      </c>
      <c r="E140" t="s">
        <v>457</v>
      </c>
      <c r="F140" t="s">
        <v>447</v>
      </c>
      <c r="G140" s="25">
        <v>1300000</v>
      </c>
      <c r="H140" s="25">
        <v>1300000</v>
      </c>
      <c r="I140" t="s">
        <v>458</v>
      </c>
      <c r="J140" s="258">
        <v>45883</v>
      </c>
      <c r="K140">
        <v>270</v>
      </c>
      <c r="L140" t="s">
        <v>454</v>
      </c>
      <c r="M140" s="25">
        <v>1300000</v>
      </c>
      <c r="N140" t="s">
        <v>447</v>
      </c>
      <c r="O140" s="25">
        <v>1400000</v>
      </c>
      <c r="P140" t="s">
        <v>225</v>
      </c>
      <c r="Q140" s="258">
        <v>46169</v>
      </c>
    </row>
    <row r="141" spans="1:17" x14ac:dyDescent="0.25">
      <c r="A141">
        <v>174</v>
      </c>
      <c r="B141">
        <v>12696</v>
      </c>
      <c r="C141" t="s">
        <v>453</v>
      </c>
      <c r="D141" s="258">
        <v>45566</v>
      </c>
      <c r="E141" t="s">
        <v>601</v>
      </c>
      <c r="F141" t="s">
        <v>447</v>
      </c>
      <c r="G141" s="25">
        <v>350000</v>
      </c>
      <c r="H141" s="25">
        <v>350000</v>
      </c>
      <c r="J141" s="258"/>
      <c r="M141" s="25"/>
      <c r="N141" t="s">
        <v>447</v>
      </c>
      <c r="O141" s="25">
        <v>350000</v>
      </c>
      <c r="Q141" s="258">
        <v>45931</v>
      </c>
    </row>
    <row r="142" spans="1:17" x14ac:dyDescent="0.25">
      <c r="A142">
        <v>258</v>
      </c>
      <c r="B142">
        <v>12190</v>
      </c>
      <c r="C142" t="s">
        <v>258</v>
      </c>
      <c r="D142" s="258">
        <v>45869</v>
      </c>
      <c r="E142" t="s">
        <v>601</v>
      </c>
      <c r="F142" t="s">
        <v>447</v>
      </c>
      <c r="G142" s="25">
        <v>1000000</v>
      </c>
      <c r="H142" s="25">
        <v>1000000</v>
      </c>
      <c r="J142" s="258">
        <v>46234</v>
      </c>
      <c r="L142" t="s">
        <v>454</v>
      </c>
      <c r="M142" s="25"/>
      <c r="N142" t="s">
        <v>447</v>
      </c>
      <c r="O142" s="25">
        <v>1000000</v>
      </c>
      <c r="Q142" s="258">
        <v>46234</v>
      </c>
    </row>
    <row r="143" spans="1:17" x14ac:dyDescent="0.25">
      <c r="A143">
        <v>369</v>
      </c>
      <c r="B143">
        <v>14011</v>
      </c>
      <c r="C143" t="s">
        <v>769</v>
      </c>
      <c r="D143" s="258">
        <v>46001</v>
      </c>
      <c r="E143" t="s">
        <v>770</v>
      </c>
      <c r="F143" t="s">
        <v>447</v>
      </c>
      <c r="G143" s="25"/>
      <c r="H143" s="25">
        <v>110000</v>
      </c>
      <c r="J143" s="258"/>
      <c r="L143" t="s">
        <v>473</v>
      </c>
      <c r="M143" s="25"/>
      <c r="N143" t="s">
        <v>447</v>
      </c>
      <c r="O143" s="25">
        <v>110000</v>
      </c>
      <c r="Q143" s="258"/>
    </row>
    <row r="144" spans="1:17" x14ac:dyDescent="0.25">
      <c r="A144">
        <v>191</v>
      </c>
      <c r="B144">
        <v>2410</v>
      </c>
      <c r="C144" t="s">
        <v>484</v>
      </c>
      <c r="D144" s="258">
        <v>45831</v>
      </c>
      <c r="E144" t="s">
        <v>625</v>
      </c>
      <c r="G144" s="25">
        <v>1375000</v>
      </c>
      <c r="H144" s="25">
        <v>1375000</v>
      </c>
      <c r="J144" s="258"/>
      <c r="L144" t="s">
        <v>466</v>
      </c>
      <c r="M144" s="25"/>
      <c r="N144" t="s">
        <v>447</v>
      </c>
      <c r="O144" s="25">
        <v>1375000</v>
      </c>
      <c r="Q144" s="258">
        <v>46196</v>
      </c>
    </row>
    <row r="145" spans="1:17" x14ac:dyDescent="0.25">
      <c r="A145">
        <v>399</v>
      </c>
      <c r="B145">
        <v>17341</v>
      </c>
      <c r="C145" t="s">
        <v>811</v>
      </c>
      <c r="D145" s="258">
        <v>46076</v>
      </c>
      <c r="E145" t="s">
        <v>758</v>
      </c>
      <c r="F145" t="s">
        <v>447</v>
      </c>
      <c r="G145" s="25">
        <v>700000</v>
      </c>
      <c r="H145" s="25">
        <v>700000</v>
      </c>
      <c r="J145" s="258">
        <v>46441</v>
      </c>
      <c r="L145" t="s">
        <v>454</v>
      </c>
      <c r="M145" s="25"/>
      <c r="N145" t="s">
        <v>447</v>
      </c>
      <c r="O145" s="25">
        <v>700000</v>
      </c>
      <c r="Q145" s="258">
        <v>46441</v>
      </c>
    </row>
    <row r="146" spans="1:17" x14ac:dyDescent="0.25">
      <c r="A146">
        <v>185</v>
      </c>
      <c r="B146">
        <v>12098</v>
      </c>
      <c r="C146" t="s">
        <v>613</v>
      </c>
      <c r="D146" s="258">
        <v>45824</v>
      </c>
      <c r="E146" t="s">
        <v>620</v>
      </c>
      <c r="F146" t="s">
        <v>447</v>
      </c>
      <c r="G146" s="25">
        <v>500000</v>
      </c>
      <c r="H146" s="25">
        <v>500000</v>
      </c>
      <c r="J146" s="258"/>
      <c r="K146">
        <v>28</v>
      </c>
      <c r="L146" t="s">
        <v>454</v>
      </c>
      <c r="M146" s="25"/>
      <c r="N146" t="s">
        <v>447</v>
      </c>
      <c r="O146" s="25">
        <v>500000</v>
      </c>
      <c r="Q146" s="258">
        <v>46189</v>
      </c>
    </row>
    <row r="147" spans="1:17" x14ac:dyDescent="0.25">
      <c r="A147">
        <v>259</v>
      </c>
      <c r="B147">
        <v>16646</v>
      </c>
      <c r="C147" t="s">
        <v>665</v>
      </c>
      <c r="D147" s="258">
        <v>45888</v>
      </c>
      <c r="E147" t="s">
        <v>601</v>
      </c>
      <c r="F147" t="s">
        <v>447</v>
      </c>
      <c r="G147" s="25">
        <v>500000</v>
      </c>
      <c r="H147" s="25">
        <v>500000</v>
      </c>
      <c r="J147" s="258">
        <v>46253</v>
      </c>
      <c r="K147">
        <v>360</v>
      </c>
      <c r="L147" t="s">
        <v>454</v>
      </c>
      <c r="M147" s="25"/>
      <c r="N147" t="s">
        <v>447</v>
      </c>
      <c r="O147" s="25">
        <v>500000</v>
      </c>
      <c r="Q147" s="258">
        <v>46253</v>
      </c>
    </row>
    <row r="148" spans="1:17" x14ac:dyDescent="0.25">
      <c r="A148">
        <v>140</v>
      </c>
      <c r="B148">
        <v>8001</v>
      </c>
      <c r="C148" t="s">
        <v>179</v>
      </c>
      <c r="D148" s="258">
        <v>45803</v>
      </c>
      <c r="E148" t="s">
        <v>595</v>
      </c>
      <c r="F148" t="s">
        <v>447</v>
      </c>
      <c r="G148" s="25">
        <v>700000</v>
      </c>
      <c r="H148" s="25">
        <v>700000</v>
      </c>
      <c r="J148" s="258"/>
      <c r="M148" s="25"/>
      <c r="N148" t="s">
        <v>447</v>
      </c>
      <c r="O148" s="25"/>
      <c r="Q148" s="258">
        <v>46168</v>
      </c>
    </row>
    <row r="149" spans="1:17" x14ac:dyDescent="0.25">
      <c r="A149">
        <v>441</v>
      </c>
      <c r="B149">
        <v>17646</v>
      </c>
      <c r="C149" t="s">
        <v>918</v>
      </c>
      <c r="D149" s="258">
        <v>46092</v>
      </c>
      <c r="E149" t="s">
        <v>908</v>
      </c>
      <c r="F149" t="s">
        <v>447</v>
      </c>
      <c r="G149" s="25">
        <v>300000</v>
      </c>
      <c r="H149" s="25">
        <v>300000</v>
      </c>
      <c r="J149" s="258"/>
      <c r="L149" t="s">
        <v>454</v>
      </c>
      <c r="M149" s="25"/>
      <c r="N149" t="s">
        <v>447</v>
      </c>
      <c r="O149" s="25">
        <v>300000</v>
      </c>
      <c r="Q149" s="258">
        <v>46092</v>
      </c>
    </row>
    <row r="150" spans="1:17" x14ac:dyDescent="0.25">
      <c r="A150">
        <v>182</v>
      </c>
      <c r="B150">
        <v>7420</v>
      </c>
      <c r="C150" t="s">
        <v>614</v>
      </c>
      <c r="D150" s="258">
        <v>45819</v>
      </c>
      <c r="E150" t="s">
        <v>618</v>
      </c>
      <c r="F150" t="s">
        <v>447</v>
      </c>
      <c r="G150" s="25">
        <v>300000</v>
      </c>
      <c r="H150" s="25">
        <v>300000</v>
      </c>
      <c r="J150" s="258"/>
      <c r="K150">
        <v>28</v>
      </c>
      <c r="M150" s="25"/>
      <c r="N150" t="s">
        <v>447</v>
      </c>
      <c r="O150" s="25">
        <v>300000</v>
      </c>
      <c r="Q150" s="258">
        <v>46184</v>
      </c>
    </row>
    <row r="151" spans="1:17" x14ac:dyDescent="0.25">
      <c r="A151">
        <v>169</v>
      </c>
      <c r="B151">
        <v>10941</v>
      </c>
      <c r="C151" t="s">
        <v>192</v>
      </c>
      <c r="D151" s="258">
        <v>45804</v>
      </c>
      <c r="E151" t="s">
        <v>596</v>
      </c>
      <c r="F151" t="s">
        <v>447</v>
      </c>
      <c r="G151" s="25">
        <v>800000</v>
      </c>
      <c r="H151" s="25">
        <v>800000</v>
      </c>
      <c r="J151" s="258">
        <v>46169</v>
      </c>
      <c r="L151" t="s">
        <v>454</v>
      </c>
      <c r="M151" s="25"/>
      <c r="N151" t="s">
        <v>447</v>
      </c>
      <c r="O151" s="25">
        <v>800000</v>
      </c>
      <c r="Q151" s="258">
        <v>46168</v>
      </c>
    </row>
    <row r="152" spans="1:17" x14ac:dyDescent="0.25">
      <c r="A152">
        <v>443</v>
      </c>
      <c r="B152">
        <v>17647</v>
      </c>
      <c r="C152" t="s">
        <v>919</v>
      </c>
      <c r="D152" s="258">
        <v>46099</v>
      </c>
      <c r="E152" t="s">
        <v>917</v>
      </c>
      <c r="F152" t="s">
        <v>447</v>
      </c>
      <c r="G152" s="25">
        <v>1200000</v>
      </c>
      <c r="H152" s="25">
        <v>1200000</v>
      </c>
      <c r="J152" s="258"/>
      <c r="L152" t="s">
        <v>454</v>
      </c>
      <c r="M152" s="25"/>
      <c r="N152" t="s">
        <v>447</v>
      </c>
      <c r="O152" s="25">
        <v>1200000</v>
      </c>
      <c r="Q152" s="258">
        <v>46464</v>
      </c>
    </row>
    <row r="153" spans="1:17" x14ac:dyDescent="0.25">
      <c r="A153">
        <v>164</v>
      </c>
      <c r="B153">
        <v>13114</v>
      </c>
      <c r="C153" t="s">
        <v>202</v>
      </c>
      <c r="D153" s="258">
        <v>45804</v>
      </c>
      <c r="E153" t="s">
        <v>596</v>
      </c>
      <c r="F153" t="s">
        <v>447</v>
      </c>
      <c r="G153" s="25">
        <v>310000</v>
      </c>
      <c r="H153" s="25">
        <v>310000</v>
      </c>
      <c r="J153" s="258">
        <v>46169</v>
      </c>
      <c r="L153" t="s">
        <v>454</v>
      </c>
      <c r="M153" s="25"/>
      <c r="N153" t="s">
        <v>447</v>
      </c>
      <c r="O153" s="25">
        <v>310000</v>
      </c>
      <c r="Q153" s="258">
        <v>46168</v>
      </c>
    </row>
    <row r="154" spans="1:17" x14ac:dyDescent="0.25">
      <c r="A154">
        <v>446</v>
      </c>
      <c r="B154">
        <v>17643</v>
      </c>
      <c r="C154" t="s">
        <v>920</v>
      </c>
      <c r="D154" s="258">
        <v>46099</v>
      </c>
      <c r="E154" t="s">
        <v>908</v>
      </c>
      <c r="F154" t="s">
        <v>447</v>
      </c>
      <c r="G154" s="25">
        <v>600000</v>
      </c>
      <c r="H154" s="25">
        <v>600000</v>
      </c>
      <c r="J154" s="258"/>
      <c r="L154" t="s">
        <v>454</v>
      </c>
      <c r="M154" s="25"/>
      <c r="N154" t="s">
        <v>447</v>
      </c>
      <c r="O154" s="25">
        <v>600000</v>
      </c>
      <c r="Q154" s="258">
        <v>46464</v>
      </c>
    </row>
    <row r="155" spans="1:17" x14ac:dyDescent="0.25">
      <c r="A155">
        <v>223</v>
      </c>
      <c r="B155">
        <v>9294</v>
      </c>
      <c r="C155" t="s">
        <v>494</v>
      </c>
      <c r="D155" s="258">
        <v>45838</v>
      </c>
      <c r="E155" t="s">
        <v>644</v>
      </c>
      <c r="F155" t="s">
        <v>447</v>
      </c>
      <c r="G155" s="25">
        <v>275000</v>
      </c>
      <c r="H155" s="25">
        <v>275000</v>
      </c>
      <c r="J155" s="258"/>
      <c r="L155" t="s">
        <v>473</v>
      </c>
      <c r="M155" s="25"/>
      <c r="N155" t="s">
        <v>447</v>
      </c>
      <c r="O155" s="25">
        <v>275000</v>
      </c>
      <c r="Q155" s="258">
        <v>46204</v>
      </c>
    </row>
    <row r="156" spans="1:17" x14ac:dyDescent="0.25">
      <c r="A156">
        <v>187</v>
      </c>
      <c r="B156">
        <v>15508</v>
      </c>
      <c r="C156" t="s">
        <v>567</v>
      </c>
      <c r="D156" s="258">
        <v>45825</v>
      </c>
      <c r="E156" t="s">
        <v>621</v>
      </c>
      <c r="F156" t="s">
        <v>447</v>
      </c>
      <c r="G156" s="25">
        <v>550000</v>
      </c>
      <c r="H156" s="25">
        <v>550000</v>
      </c>
      <c r="J156" s="258"/>
      <c r="L156" t="s">
        <v>454</v>
      </c>
      <c r="M156" s="25"/>
      <c r="N156" t="s">
        <v>447</v>
      </c>
      <c r="O156" s="25">
        <v>550000</v>
      </c>
      <c r="Q156" s="258">
        <v>46190</v>
      </c>
    </row>
    <row r="157" spans="1:17" x14ac:dyDescent="0.25">
      <c r="A157">
        <v>301</v>
      </c>
      <c r="B157">
        <v>2648</v>
      </c>
      <c r="C157" t="s">
        <v>530</v>
      </c>
      <c r="D157" s="258">
        <v>45933</v>
      </c>
      <c r="E157" t="s">
        <v>707</v>
      </c>
      <c r="F157" t="s">
        <v>447</v>
      </c>
      <c r="G157" s="25">
        <v>1375000</v>
      </c>
      <c r="H157" s="25">
        <v>1375000</v>
      </c>
      <c r="J157" s="258"/>
      <c r="L157" t="s">
        <v>708</v>
      </c>
      <c r="M157" s="25"/>
      <c r="N157" t="s">
        <v>447</v>
      </c>
      <c r="O157" s="25">
        <v>1375000</v>
      </c>
      <c r="Q157" s="258"/>
    </row>
    <row r="158" spans="1:17" x14ac:dyDescent="0.25">
      <c r="A158">
        <v>255</v>
      </c>
      <c r="B158">
        <v>7</v>
      </c>
      <c r="C158" t="s">
        <v>652</v>
      </c>
      <c r="D158" s="258">
        <v>45877</v>
      </c>
      <c r="E158" t="s">
        <v>663</v>
      </c>
      <c r="F158" t="s">
        <v>447</v>
      </c>
      <c r="G158" s="25">
        <v>50000</v>
      </c>
      <c r="H158" s="25">
        <v>50000</v>
      </c>
      <c r="J158" s="258">
        <v>46242</v>
      </c>
      <c r="L158" t="s">
        <v>454</v>
      </c>
      <c r="M158" s="25"/>
      <c r="N158" t="s">
        <v>447</v>
      </c>
      <c r="O158" s="25">
        <v>50000</v>
      </c>
      <c r="Q158" s="258">
        <v>46242</v>
      </c>
    </row>
    <row r="159" spans="1:17" x14ac:dyDescent="0.25">
      <c r="A159">
        <v>321</v>
      </c>
      <c r="B159">
        <v>7022</v>
      </c>
      <c r="C159" t="s">
        <v>774</v>
      </c>
      <c r="D159" s="258">
        <v>45978</v>
      </c>
      <c r="E159" t="s">
        <v>588</v>
      </c>
      <c r="F159" t="s">
        <v>447</v>
      </c>
      <c r="G159" s="25">
        <v>1500000</v>
      </c>
      <c r="H159" s="25">
        <v>1500000</v>
      </c>
      <c r="J159" s="258">
        <v>46343</v>
      </c>
      <c r="L159" t="s">
        <v>466</v>
      </c>
      <c r="M159" s="25"/>
      <c r="N159" t="s">
        <v>447</v>
      </c>
      <c r="O159" s="25">
        <v>1500000</v>
      </c>
      <c r="Q159" s="258">
        <v>46343</v>
      </c>
    </row>
    <row r="160" spans="1:17" x14ac:dyDescent="0.25">
      <c r="A160">
        <v>303</v>
      </c>
      <c r="B160">
        <v>31</v>
      </c>
      <c r="C160" t="s">
        <v>289</v>
      </c>
      <c r="D160" s="258">
        <v>45936</v>
      </c>
      <c r="E160" t="s">
        <v>706</v>
      </c>
      <c r="F160" t="s">
        <v>447</v>
      </c>
      <c r="G160" s="25">
        <v>500000</v>
      </c>
      <c r="H160" s="25">
        <v>500000</v>
      </c>
      <c r="J160" s="258"/>
      <c r="L160" t="s">
        <v>454</v>
      </c>
      <c r="M160" s="25"/>
      <c r="N160" t="s">
        <v>447</v>
      </c>
      <c r="O160" s="25">
        <v>500000</v>
      </c>
      <c r="Q160" s="258"/>
    </row>
    <row r="161" spans="1:17" x14ac:dyDescent="0.25">
      <c r="A161">
        <v>415</v>
      </c>
      <c r="B161">
        <v>210</v>
      </c>
      <c r="C161" t="s">
        <v>332</v>
      </c>
      <c r="D161" s="258">
        <v>45919</v>
      </c>
      <c r="E161" t="s">
        <v>856</v>
      </c>
      <c r="F161" t="s">
        <v>447</v>
      </c>
      <c r="G161" s="25">
        <v>100000</v>
      </c>
      <c r="H161" s="25">
        <v>100000</v>
      </c>
      <c r="J161" s="258">
        <v>46284</v>
      </c>
      <c r="M161" s="25"/>
      <c r="N161" t="s">
        <v>447</v>
      </c>
      <c r="O161" s="25">
        <v>100000</v>
      </c>
      <c r="Q161" s="258"/>
    </row>
    <row r="162" spans="1:17" x14ac:dyDescent="0.25">
      <c r="A162">
        <v>170</v>
      </c>
      <c r="B162">
        <v>10541</v>
      </c>
      <c r="C162" t="s">
        <v>374</v>
      </c>
      <c r="D162" s="258">
        <v>45804</v>
      </c>
      <c r="E162" t="s">
        <v>596</v>
      </c>
      <c r="F162" t="s">
        <v>447</v>
      </c>
      <c r="G162" s="25">
        <v>1023000</v>
      </c>
      <c r="H162" s="25">
        <v>1023000</v>
      </c>
      <c r="J162" s="258">
        <v>46169</v>
      </c>
      <c r="L162" t="s">
        <v>454</v>
      </c>
      <c r="M162" s="25"/>
      <c r="N162" t="s">
        <v>447</v>
      </c>
      <c r="O162" s="25">
        <v>1023000</v>
      </c>
      <c r="Q162" s="258">
        <v>46168</v>
      </c>
    </row>
    <row r="163" spans="1:17" x14ac:dyDescent="0.25">
      <c r="A163">
        <v>289</v>
      </c>
      <c r="B163">
        <v>13567</v>
      </c>
      <c r="C163" t="s">
        <v>377</v>
      </c>
      <c r="D163" s="258">
        <v>45926</v>
      </c>
      <c r="E163" t="s">
        <v>688</v>
      </c>
      <c r="F163" t="s">
        <v>447</v>
      </c>
      <c r="G163" s="25">
        <v>500000</v>
      </c>
      <c r="H163" s="25">
        <v>500000</v>
      </c>
      <c r="J163" s="258">
        <v>46291</v>
      </c>
      <c r="K163">
        <v>360</v>
      </c>
      <c r="L163" t="s">
        <v>454</v>
      </c>
      <c r="M163" s="25"/>
      <c r="N163" t="s">
        <v>447</v>
      </c>
      <c r="O163" s="25">
        <v>300000</v>
      </c>
      <c r="Q163" s="258">
        <v>46291</v>
      </c>
    </row>
    <row r="164" spans="1:17" x14ac:dyDescent="0.25">
      <c r="A164">
        <v>424</v>
      </c>
      <c r="B164">
        <v>14166</v>
      </c>
      <c r="C164" t="s">
        <v>122</v>
      </c>
      <c r="D164" s="258">
        <v>45882</v>
      </c>
      <c r="E164" t="s">
        <v>880</v>
      </c>
      <c r="F164" t="s">
        <v>447</v>
      </c>
      <c r="G164" s="25">
        <v>1000000</v>
      </c>
      <c r="H164" s="25">
        <v>1000000</v>
      </c>
      <c r="J164" s="258">
        <v>46247</v>
      </c>
      <c r="L164" t="s">
        <v>454</v>
      </c>
      <c r="M164" s="25"/>
      <c r="N164" t="s">
        <v>447</v>
      </c>
      <c r="O164" s="25">
        <v>1000000</v>
      </c>
      <c r="Q164" s="258">
        <v>46247</v>
      </c>
    </row>
    <row r="165" spans="1:17" x14ac:dyDescent="0.25">
      <c r="A165">
        <v>387</v>
      </c>
      <c r="B165">
        <v>9295</v>
      </c>
      <c r="C165" t="s">
        <v>381</v>
      </c>
      <c r="D165" s="258">
        <v>46030</v>
      </c>
      <c r="E165" t="s">
        <v>814</v>
      </c>
      <c r="F165" t="s">
        <v>447</v>
      </c>
      <c r="G165" s="25">
        <v>990000</v>
      </c>
      <c r="H165" s="25">
        <v>990000</v>
      </c>
      <c r="J165" s="258">
        <v>46395</v>
      </c>
      <c r="L165" t="s">
        <v>454</v>
      </c>
      <c r="M165" s="25"/>
      <c r="N165" t="s">
        <v>447</v>
      </c>
      <c r="O165" s="25">
        <v>990000</v>
      </c>
      <c r="Q165" s="258">
        <v>46395</v>
      </c>
    </row>
    <row r="166" spans="1:17" x14ac:dyDescent="0.25">
      <c r="A166">
        <v>404</v>
      </c>
      <c r="B166">
        <v>2346</v>
      </c>
      <c r="C166" t="s">
        <v>531</v>
      </c>
      <c r="D166" s="258">
        <v>46090</v>
      </c>
      <c r="E166" t="s">
        <v>860</v>
      </c>
      <c r="F166" t="s">
        <v>447</v>
      </c>
      <c r="G166" s="25">
        <v>1100000</v>
      </c>
      <c r="H166" s="25">
        <v>1100000</v>
      </c>
      <c r="J166" s="258"/>
      <c r="L166" t="s">
        <v>454</v>
      </c>
      <c r="M166" s="25"/>
      <c r="N166" t="s">
        <v>447</v>
      </c>
      <c r="O166" s="25">
        <v>550000</v>
      </c>
      <c r="Q166" s="258">
        <v>46455</v>
      </c>
    </row>
    <row r="167" spans="1:17" x14ac:dyDescent="0.25">
      <c r="A167">
        <v>340</v>
      </c>
      <c r="B167">
        <v>12323</v>
      </c>
      <c r="C167" t="s">
        <v>262</v>
      </c>
      <c r="D167" s="258">
        <v>45980</v>
      </c>
      <c r="E167" t="s">
        <v>738</v>
      </c>
      <c r="F167" t="s">
        <v>447</v>
      </c>
      <c r="G167" s="25">
        <v>100000</v>
      </c>
      <c r="H167" s="25">
        <v>100000</v>
      </c>
      <c r="J167" s="258"/>
      <c r="L167" t="s">
        <v>454</v>
      </c>
      <c r="M167" s="25"/>
      <c r="N167" t="s">
        <v>447</v>
      </c>
      <c r="O167" s="25">
        <v>100000</v>
      </c>
      <c r="Q167" s="258"/>
    </row>
    <row r="168" spans="1:17" x14ac:dyDescent="0.25">
      <c r="A168">
        <v>413</v>
      </c>
      <c r="B168">
        <v>8855</v>
      </c>
      <c r="C168" t="s">
        <v>861</v>
      </c>
      <c r="D168" s="258">
        <v>46093</v>
      </c>
      <c r="E168" t="s">
        <v>758</v>
      </c>
      <c r="F168" t="s">
        <v>447</v>
      </c>
      <c r="G168" s="25">
        <v>750000</v>
      </c>
      <c r="H168" s="25">
        <v>750000</v>
      </c>
      <c r="J168" s="258">
        <v>46458</v>
      </c>
      <c r="L168" t="s">
        <v>454</v>
      </c>
      <c r="M168" s="25"/>
      <c r="N168" t="s">
        <v>447</v>
      </c>
      <c r="O168" s="25">
        <v>750000</v>
      </c>
      <c r="Q168" s="258">
        <v>46458</v>
      </c>
    </row>
    <row r="169" spans="1:17" x14ac:dyDescent="0.25">
      <c r="A169">
        <v>332</v>
      </c>
      <c r="B169">
        <v>833</v>
      </c>
      <c r="C169" t="s">
        <v>240</v>
      </c>
      <c r="D169" s="258">
        <v>45980</v>
      </c>
      <c r="E169" t="s">
        <v>738</v>
      </c>
      <c r="F169" t="s">
        <v>447</v>
      </c>
      <c r="G169" s="25">
        <v>500000</v>
      </c>
      <c r="H169" s="25">
        <v>500000</v>
      </c>
      <c r="J169" s="258">
        <v>46345</v>
      </c>
      <c r="L169" t="s">
        <v>454</v>
      </c>
      <c r="M169" s="25"/>
      <c r="N169" t="s">
        <v>447</v>
      </c>
      <c r="O169" s="25">
        <v>500000</v>
      </c>
      <c r="Q169" s="258">
        <v>46345</v>
      </c>
    </row>
    <row r="170" spans="1:17" x14ac:dyDescent="0.25">
      <c r="A170">
        <v>388</v>
      </c>
      <c r="B170">
        <v>17310</v>
      </c>
      <c r="C170" t="s">
        <v>809</v>
      </c>
      <c r="D170" s="258">
        <v>46030</v>
      </c>
      <c r="E170" t="s">
        <v>765</v>
      </c>
      <c r="F170" t="s">
        <v>447</v>
      </c>
      <c r="G170" s="25">
        <v>500000</v>
      </c>
      <c r="H170" s="25">
        <v>500000</v>
      </c>
      <c r="J170" s="258">
        <v>46395</v>
      </c>
      <c r="L170" t="s">
        <v>454</v>
      </c>
      <c r="M170" s="25"/>
      <c r="N170" t="s">
        <v>447</v>
      </c>
      <c r="O170" s="25">
        <v>500000</v>
      </c>
      <c r="Q170" s="258">
        <v>46395</v>
      </c>
    </row>
    <row r="171" spans="1:17" x14ac:dyDescent="0.25">
      <c r="A171">
        <v>377</v>
      </c>
      <c r="B171">
        <v>17145</v>
      </c>
      <c r="C171" t="s">
        <v>742</v>
      </c>
      <c r="D171" s="258">
        <v>45986</v>
      </c>
      <c r="E171" t="s">
        <v>743</v>
      </c>
      <c r="F171" t="s">
        <v>447</v>
      </c>
      <c r="G171" s="25">
        <v>275000</v>
      </c>
      <c r="H171" s="25">
        <v>275000</v>
      </c>
      <c r="J171" s="258"/>
      <c r="M171" s="25"/>
      <c r="N171" t="s">
        <v>447</v>
      </c>
      <c r="O171" s="25">
        <v>275000</v>
      </c>
      <c r="Q171" s="258"/>
    </row>
    <row r="172" spans="1:17" x14ac:dyDescent="0.25">
      <c r="A172">
        <v>379</v>
      </c>
      <c r="B172">
        <v>17276</v>
      </c>
      <c r="C172" t="s">
        <v>789</v>
      </c>
      <c r="D172" s="258">
        <v>46020</v>
      </c>
      <c r="E172" t="s">
        <v>765</v>
      </c>
      <c r="F172" t="s">
        <v>447</v>
      </c>
      <c r="G172" s="25">
        <v>400000</v>
      </c>
      <c r="H172" s="25">
        <v>400000</v>
      </c>
      <c r="J172" s="258">
        <v>46385</v>
      </c>
      <c r="L172" t="s">
        <v>454</v>
      </c>
      <c r="M172" s="25"/>
      <c r="N172" t="s">
        <v>447</v>
      </c>
      <c r="O172" s="25">
        <v>400000</v>
      </c>
      <c r="Q172" s="258"/>
    </row>
    <row r="173" spans="1:17" x14ac:dyDescent="0.25">
      <c r="A173">
        <v>272</v>
      </c>
      <c r="B173">
        <v>16723</v>
      </c>
      <c r="C173" t="s">
        <v>674</v>
      </c>
      <c r="D173" s="258">
        <v>45898</v>
      </c>
      <c r="E173" t="s">
        <v>675</v>
      </c>
      <c r="F173" t="s">
        <v>447</v>
      </c>
      <c r="G173" s="25">
        <v>1500000</v>
      </c>
      <c r="H173" s="25">
        <v>1500000</v>
      </c>
      <c r="J173" s="258">
        <v>46263</v>
      </c>
      <c r="L173" t="s">
        <v>454</v>
      </c>
      <c r="M173" s="25"/>
      <c r="N173" t="s">
        <v>447</v>
      </c>
      <c r="O173" s="25">
        <v>1500000</v>
      </c>
      <c r="Q173" s="258">
        <v>46263</v>
      </c>
    </row>
    <row r="174" spans="1:17" x14ac:dyDescent="0.25">
      <c r="A174">
        <v>138</v>
      </c>
      <c r="B174">
        <v>15509</v>
      </c>
      <c r="C174" t="s">
        <v>576</v>
      </c>
      <c r="D174" s="258">
        <v>45800</v>
      </c>
      <c r="E174" t="s">
        <v>594</v>
      </c>
      <c r="F174" t="s">
        <v>447</v>
      </c>
      <c r="G174" s="25">
        <v>100000</v>
      </c>
      <c r="H174" s="25">
        <v>100000</v>
      </c>
      <c r="J174" s="258"/>
      <c r="K174">
        <v>5</v>
      </c>
      <c r="L174" t="s">
        <v>454</v>
      </c>
      <c r="M174" s="25"/>
      <c r="N174" t="s">
        <v>447</v>
      </c>
      <c r="O174" s="25">
        <v>100000</v>
      </c>
      <c r="Q174" s="258">
        <v>46165</v>
      </c>
    </row>
    <row r="175" spans="1:17" x14ac:dyDescent="0.25">
      <c r="A175">
        <v>360</v>
      </c>
      <c r="B175">
        <v>11326</v>
      </c>
      <c r="C175" t="s">
        <v>196</v>
      </c>
      <c r="D175" s="258">
        <v>45869</v>
      </c>
      <c r="E175" t="s">
        <v>764</v>
      </c>
      <c r="F175" t="s">
        <v>447</v>
      </c>
      <c r="G175" s="25">
        <v>1500000</v>
      </c>
      <c r="H175" s="25">
        <v>660000</v>
      </c>
      <c r="J175" s="258">
        <v>46234</v>
      </c>
      <c r="K175">
        <v>270</v>
      </c>
      <c r="M175" s="25"/>
      <c r="N175" t="s">
        <v>447</v>
      </c>
      <c r="O175" s="25">
        <v>660000</v>
      </c>
      <c r="Q175" s="258">
        <v>46234</v>
      </c>
    </row>
    <row r="176" spans="1:17" x14ac:dyDescent="0.25">
      <c r="A176">
        <v>408</v>
      </c>
      <c r="B176">
        <v>17511</v>
      </c>
      <c r="C176" t="s">
        <v>857</v>
      </c>
      <c r="D176" s="258">
        <v>46076</v>
      </c>
      <c r="E176" t="s">
        <v>765</v>
      </c>
      <c r="F176" t="s">
        <v>447</v>
      </c>
      <c r="G176" s="25">
        <v>300000</v>
      </c>
      <c r="H176" s="25">
        <v>300000</v>
      </c>
      <c r="J176" s="258"/>
      <c r="L176" t="s">
        <v>454</v>
      </c>
      <c r="M176" s="25"/>
      <c r="N176" t="s">
        <v>447</v>
      </c>
      <c r="O176" s="25">
        <v>300000</v>
      </c>
      <c r="Q176" s="258">
        <v>46076</v>
      </c>
    </row>
    <row r="177" spans="1:17" x14ac:dyDescent="0.25">
      <c r="A177">
        <v>409</v>
      </c>
      <c r="B177">
        <v>17512</v>
      </c>
      <c r="C177" t="s">
        <v>862</v>
      </c>
      <c r="D177" s="258">
        <v>46083</v>
      </c>
      <c r="E177" t="s">
        <v>765</v>
      </c>
      <c r="F177" t="s">
        <v>447</v>
      </c>
      <c r="G177" s="25">
        <v>400000</v>
      </c>
      <c r="H177" s="25">
        <v>400000</v>
      </c>
      <c r="J177" s="258">
        <v>46448</v>
      </c>
      <c r="L177" t="s">
        <v>454</v>
      </c>
      <c r="M177" s="25"/>
      <c r="N177" t="s">
        <v>447</v>
      </c>
      <c r="O177" s="25">
        <v>400000</v>
      </c>
      <c r="Q177" s="258">
        <v>46448</v>
      </c>
    </row>
    <row r="178" spans="1:17" x14ac:dyDescent="0.25">
      <c r="A178">
        <v>401</v>
      </c>
      <c r="B178">
        <v>6370</v>
      </c>
      <c r="C178" t="s">
        <v>294</v>
      </c>
      <c r="D178" s="258">
        <v>45994</v>
      </c>
      <c r="E178" t="s">
        <v>840</v>
      </c>
      <c r="F178" t="s">
        <v>447</v>
      </c>
      <c r="G178" s="25">
        <v>550000</v>
      </c>
      <c r="H178" s="25">
        <v>550000</v>
      </c>
      <c r="J178" s="258">
        <v>46359</v>
      </c>
      <c r="L178" t="s">
        <v>454</v>
      </c>
      <c r="M178" s="25"/>
      <c r="N178" t="s">
        <v>447</v>
      </c>
      <c r="O178" s="25">
        <v>550000</v>
      </c>
      <c r="Q178" s="258">
        <v>46359</v>
      </c>
    </row>
  </sheetData>
  <autoFilter ref="A1:Q178" xr:uid="{5B539DC2-5FDB-4BE7-96C1-31ACE1BC57B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CAFC8-EA45-48E8-B951-F717F15FEBAC}">
  <dimension ref="A3:D45"/>
  <sheetViews>
    <sheetView workbookViewId="0">
      <selection activeCell="H41" sqref="H41:H42"/>
    </sheetView>
  </sheetViews>
  <sheetFormatPr defaultRowHeight="13.2" x14ac:dyDescent="0.25"/>
  <cols>
    <col min="1" max="1" width="47.44140625" bestFit="1" customWidth="1"/>
    <col min="2" max="2" width="20.5546875" bestFit="1" customWidth="1"/>
    <col min="4" max="4" width="13.109375" bestFit="1" customWidth="1"/>
  </cols>
  <sheetData>
    <row r="3" spans="1:4" x14ac:dyDescent="0.25">
      <c r="A3" s="226" t="s">
        <v>681</v>
      </c>
      <c r="B3" t="s">
        <v>602</v>
      </c>
    </row>
    <row r="4" spans="1:4" x14ac:dyDescent="0.25">
      <c r="A4" s="227" t="s">
        <v>209</v>
      </c>
      <c r="B4" s="25">
        <v>91345.527599999972</v>
      </c>
      <c r="D4" s="32">
        <f>SUMIFS('AR - slide BoD'!$I:$I,'AR - slide BoD'!B:B,A4)</f>
        <v>3044850.9199999995</v>
      </c>
    </row>
    <row r="5" spans="1:4" x14ac:dyDescent="0.25">
      <c r="A5" s="227" t="s">
        <v>148</v>
      </c>
      <c r="B5" s="25">
        <v>3796</v>
      </c>
      <c r="D5" s="32">
        <f>SUMIFS('AR - slide BoD'!$I:$I,'AR - slide BoD'!B:B,A5)</f>
        <v>0</v>
      </c>
    </row>
    <row r="6" spans="1:4" x14ac:dyDescent="0.25">
      <c r="A6" s="227" t="s">
        <v>145</v>
      </c>
      <c r="B6" s="25">
        <v>15820</v>
      </c>
      <c r="D6" s="32">
        <f>SUMIFS('AR - slide BoD'!$I:$I,'AR - slide BoD'!B:B,A6)</f>
        <v>0</v>
      </c>
    </row>
    <row r="7" spans="1:4" x14ac:dyDescent="0.25">
      <c r="A7" s="227" t="s">
        <v>198</v>
      </c>
      <c r="B7" s="25">
        <v>1716645.3400000003</v>
      </c>
      <c r="D7" s="32">
        <f>SUMIFS('AR - slide BoD'!$I:$I,'AR - slide BoD'!B:B,A7)</f>
        <v>1704711.9409000003</v>
      </c>
    </row>
    <row r="8" spans="1:4" x14ac:dyDescent="0.25">
      <c r="A8" s="227" t="s">
        <v>206</v>
      </c>
      <c r="B8" s="25">
        <v>1010345</v>
      </c>
      <c r="D8" s="32">
        <f>SUMIFS('AR - slide BoD'!$I:$I,'AR - slide BoD'!B:B,A8)</f>
        <v>0</v>
      </c>
    </row>
    <row r="9" spans="1:4" x14ac:dyDescent="0.25">
      <c r="A9" s="227" t="s">
        <v>176</v>
      </c>
      <c r="B9" s="25">
        <v>3780363.9000000008</v>
      </c>
      <c r="D9" s="32">
        <f>SUMIFS('AR - slide BoD'!$I:$I,'AR - slide BoD'!B:B,A9)</f>
        <v>0</v>
      </c>
    </row>
    <row r="10" spans="1:4" x14ac:dyDescent="0.25">
      <c r="A10" s="227" t="s">
        <v>562</v>
      </c>
      <c r="B10" s="25">
        <v>84291.45</v>
      </c>
      <c r="D10" s="32">
        <f>SUMIFS('AR - slide BoD'!$I:$I,'AR - slide BoD'!B:B,A10)</f>
        <v>0</v>
      </c>
    </row>
    <row r="11" spans="1:4" x14ac:dyDescent="0.25">
      <c r="A11" s="227" t="s">
        <v>136</v>
      </c>
      <c r="B11" s="25">
        <v>259.37</v>
      </c>
      <c r="D11" s="32">
        <f>SUMIFS('AR - slide BoD'!$I:$I,'AR - slide BoD'!B:B,A11)</f>
        <v>0</v>
      </c>
    </row>
    <row r="12" spans="1:4" x14ac:dyDescent="0.25">
      <c r="A12" s="227" t="s">
        <v>150</v>
      </c>
      <c r="B12" s="25">
        <v>22222.25</v>
      </c>
      <c r="D12" s="32">
        <f>SUMIFS('AR - slide BoD'!$I:$I,'AR - slide BoD'!B:B,A12)</f>
        <v>0</v>
      </c>
    </row>
    <row r="13" spans="1:4" x14ac:dyDescent="0.25">
      <c r="A13" s="227" t="s">
        <v>151</v>
      </c>
      <c r="B13" s="25">
        <v>7900</v>
      </c>
      <c r="D13" s="32">
        <f>SUMIFS('AR - slide BoD'!$I:$I,'AR - slide BoD'!B:B,A13)</f>
        <v>0</v>
      </c>
    </row>
    <row r="14" spans="1:4" x14ac:dyDescent="0.25">
      <c r="A14" s="227" t="s">
        <v>152</v>
      </c>
      <c r="B14" s="25">
        <v>41379</v>
      </c>
      <c r="D14" s="32">
        <f>SUMIFS('AR - slide BoD'!$I:$I,'AR - slide BoD'!B:B,A14)</f>
        <v>0</v>
      </c>
    </row>
    <row r="15" spans="1:4" x14ac:dyDescent="0.25">
      <c r="A15" s="227" t="s">
        <v>90</v>
      </c>
      <c r="B15" s="25">
        <v>20940</v>
      </c>
      <c r="D15" s="32">
        <f>SUMIFS('AR - slide BoD'!$I:$I,'AR - slide BoD'!B:B,A15)</f>
        <v>20940</v>
      </c>
    </row>
    <row r="16" spans="1:4" x14ac:dyDescent="0.25">
      <c r="A16" s="227" t="s">
        <v>417</v>
      </c>
      <c r="B16" s="25">
        <v>267.27</v>
      </c>
      <c r="D16" s="32">
        <f>SUMIFS('AR - slide BoD'!$I:$I,'AR - slide BoD'!B:B,A16)</f>
        <v>0</v>
      </c>
    </row>
    <row r="17" spans="1:4" x14ac:dyDescent="0.25">
      <c r="A17" s="227" t="s">
        <v>415</v>
      </c>
      <c r="B17" s="25">
        <v>36</v>
      </c>
      <c r="D17" s="32">
        <f>SUMIFS('AR - slide BoD'!$I:$I,'AR - slide BoD'!B:B,A17)</f>
        <v>0</v>
      </c>
    </row>
    <row r="18" spans="1:4" x14ac:dyDescent="0.25">
      <c r="A18" s="227" t="s">
        <v>528</v>
      </c>
      <c r="B18" s="25">
        <v>36594</v>
      </c>
      <c r="D18" s="32">
        <f>SUMIFS('AR - slide BoD'!$I:$I,'AR - slide BoD'!B:B,A18)</f>
        <v>0</v>
      </c>
    </row>
    <row r="19" spans="1:4" x14ac:dyDescent="0.25">
      <c r="A19" s="227" t="s">
        <v>574</v>
      </c>
      <c r="B19" s="25">
        <v>1800</v>
      </c>
      <c r="D19" s="32">
        <f>SUMIFS('AR - slide BoD'!$I:$I,'AR - slide BoD'!B:B,A19)</f>
        <v>0</v>
      </c>
    </row>
    <row r="20" spans="1:4" x14ac:dyDescent="0.25">
      <c r="A20" s="227" t="s">
        <v>428</v>
      </c>
      <c r="B20" s="25">
        <v>3088531.0700000008</v>
      </c>
      <c r="D20" s="32">
        <f>SUMIFS('AR - slide BoD'!$I:$I,'AR - slide BoD'!B:B,A20)</f>
        <v>3088531.0700000008</v>
      </c>
    </row>
    <row r="21" spans="1:4" x14ac:dyDescent="0.25">
      <c r="A21" s="227" t="s">
        <v>496</v>
      </c>
      <c r="B21" s="25">
        <v>66396.317999999999</v>
      </c>
      <c r="D21" s="32">
        <f>SUMIFS('AR - slide BoD'!$I:$I,'AR - slide BoD'!B:B,A21)</f>
        <v>16756.646000000001</v>
      </c>
    </row>
    <row r="22" spans="1:4" x14ac:dyDescent="0.25">
      <c r="A22" s="227" t="s">
        <v>527</v>
      </c>
      <c r="B22" s="25">
        <v>15336</v>
      </c>
      <c r="D22" s="32">
        <f>SUMIFS('AR - slide BoD'!$I:$I,'AR - slide BoD'!B:B,A22)</f>
        <v>0</v>
      </c>
    </row>
    <row r="23" spans="1:4" x14ac:dyDescent="0.25">
      <c r="A23" s="227" t="s">
        <v>423</v>
      </c>
      <c r="B23" s="25">
        <v>19772.22</v>
      </c>
      <c r="D23" s="32">
        <f>SUMIFS('AR - slide BoD'!$I:$I,'AR - slide BoD'!B:B,A23)</f>
        <v>0</v>
      </c>
    </row>
    <row r="24" spans="1:4" x14ac:dyDescent="0.25">
      <c r="A24" s="227" t="s">
        <v>421</v>
      </c>
      <c r="B24" s="25">
        <v>3060.2459999999996</v>
      </c>
      <c r="D24" s="32">
        <f>SUMIFS('AR - slide BoD'!$I:$I,'AR - slide BoD'!B:B,A24)</f>
        <v>0</v>
      </c>
    </row>
    <row r="25" spans="1:4" x14ac:dyDescent="0.25">
      <c r="A25" s="227" t="s">
        <v>419</v>
      </c>
      <c r="B25" s="25">
        <v>51035.049599999991</v>
      </c>
      <c r="D25" s="32">
        <f>SUMIFS('AR - slide BoD'!$I:$I,'AR - slide BoD'!B:B,A25)</f>
        <v>5626.32</v>
      </c>
    </row>
    <row r="26" spans="1:4" x14ac:dyDescent="0.25">
      <c r="A26" s="227" t="s">
        <v>360</v>
      </c>
      <c r="B26" s="25">
        <v>5907.1142999999993</v>
      </c>
      <c r="D26" s="32">
        <f>SUMIFS('AR - slide BoD'!$I:$I,'AR - slide BoD'!B:B,A26)</f>
        <v>0</v>
      </c>
    </row>
    <row r="27" spans="1:4" x14ac:dyDescent="0.25">
      <c r="A27" s="227" t="s">
        <v>293</v>
      </c>
      <c r="B27" s="25">
        <v>6412.5</v>
      </c>
      <c r="D27" s="32">
        <f>SUMIFS('AR - slide BoD'!$I:$I,'AR - slide BoD'!B:B,A27)</f>
        <v>213750</v>
      </c>
    </row>
    <row r="28" spans="1:4" x14ac:dyDescent="0.25">
      <c r="A28" s="227" t="s">
        <v>153</v>
      </c>
      <c r="B28" s="25">
        <v>26080</v>
      </c>
      <c r="D28" s="32">
        <f>SUMIFS('AR - slide BoD'!$I:$I,'AR - slide BoD'!B:B,A28)</f>
        <v>0</v>
      </c>
    </row>
    <row r="29" spans="1:4" x14ac:dyDescent="0.25">
      <c r="A29" s="227" t="s">
        <v>272</v>
      </c>
      <c r="B29" s="25">
        <v>28.799999999999997</v>
      </c>
      <c r="D29" s="32">
        <f>SUMIFS('AR - slide BoD'!$I:$I,'AR - slide BoD'!B:B,A29)</f>
        <v>0</v>
      </c>
    </row>
    <row r="30" spans="1:4" x14ac:dyDescent="0.25">
      <c r="A30" s="227" t="s">
        <v>264</v>
      </c>
      <c r="B30" s="25">
        <v>3</v>
      </c>
      <c r="D30" s="32">
        <f>SUMIFS('AR - slide BoD'!$I:$I,'AR - slide BoD'!B:B,A30)</f>
        <v>100</v>
      </c>
    </row>
    <row r="31" spans="1:4" x14ac:dyDescent="0.25">
      <c r="A31" s="227" t="s">
        <v>142</v>
      </c>
      <c r="B31" s="25">
        <v>11589.61</v>
      </c>
      <c r="D31" s="32">
        <f>SUMIFS('AR - slide BoD'!$I:$I,'AR - slide BoD'!B:B,A31)</f>
        <v>0</v>
      </c>
    </row>
    <row r="32" spans="1:4" x14ac:dyDescent="0.25">
      <c r="A32" s="227" t="s">
        <v>132</v>
      </c>
      <c r="B32" s="25">
        <v>256935.85</v>
      </c>
      <c r="D32" s="32">
        <f>SUMIFS('AR - slide BoD'!$I:$I,'AR - slide BoD'!B:B,A32)</f>
        <v>0</v>
      </c>
    </row>
    <row r="33" spans="1:4" x14ac:dyDescent="0.25">
      <c r="A33" s="227" t="s">
        <v>154</v>
      </c>
      <c r="B33" s="25">
        <v>1547.9599999999998</v>
      </c>
      <c r="D33" s="32">
        <f>SUMIFS('AR - slide BoD'!$I:$I,'AR - slide BoD'!B:B,A33)</f>
        <v>0</v>
      </c>
    </row>
    <row r="34" spans="1:4" x14ac:dyDescent="0.25">
      <c r="A34" s="227" t="s">
        <v>308</v>
      </c>
      <c r="B34" s="25">
        <v>1.5</v>
      </c>
      <c r="D34" s="32">
        <f>SUMIFS('AR - slide BoD'!$I:$I,'AR - slide BoD'!B:B,A34)</f>
        <v>50</v>
      </c>
    </row>
    <row r="35" spans="1:4" x14ac:dyDescent="0.25">
      <c r="A35" s="227" t="s">
        <v>99</v>
      </c>
      <c r="B35" s="25">
        <v>1800</v>
      </c>
      <c r="D35" s="32">
        <f>SUMIFS('AR - slide BoD'!$I:$I,'AR - slide BoD'!B:B,A35)</f>
        <v>0</v>
      </c>
    </row>
    <row r="36" spans="1:4" x14ac:dyDescent="0.25">
      <c r="A36" s="227" t="s">
        <v>155</v>
      </c>
      <c r="B36" s="25">
        <v>140872.6</v>
      </c>
      <c r="D36" s="32">
        <f>SUMIFS('AR - slide BoD'!$I:$I,'AR - slide BoD'!B:B,A36)</f>
        <v>0</v>
      </c>
    </row>
    <row r="37" spans="1:4" x14ac:dyDescent="0.25">
      <c r="A37" s="227" t="s">
        <v>156</v>
      </c>
      <c r="B37" s="25">
        <v>110527.99999999999</v>
      </c>
      <c r="D37" s="32">
        <f>SUMIFS('AR - slide BoD'!$I:$I,'AR - slide BoD'!B:B,A37)</f>
        <v>0</v>
      </c>
    </row>
    <row r="38" spans="1:4" x14ac:dyDescent="0.25">
      <c r="A38" s="227" t="s">
        <v>174</v>
      </c>
      <c r="B38" s="25">
        <v>1390.8</v>
      </c>
      <c r="D38" s="32">
        <f>SUMIFS('AR - slide BoD'!$I:$I,'AR - slide BoD'!B:B,A38)</f>
        <v>0</v>
      </c>
    </row>
    <row r="39" spans="1:4" x14ac:dyDescent="0.25">
      <c r="A39" s="227" t="s">
        <v>382</v>
      </c>
      <c r="B39" s="25">
        <v>9</v>
      </c>
      <c r="D39" s="32">
        <f>SUMIFS('AR - slide BoD'!$I:$I,'AR - slide BoD'!B:B,A39)</f>
        <v>300</v>
      </c>
    </row>
    <row r="40" spans="1:4" x14ac:dyDescent="0.25">
      <c r="A40" s="227" t="s">
        <v>157</v>
      </c>
      <c r="B40" s="25">
        <v>3521.7599999999998</v>
      </c>
      <c r="D40" s="32">
        <f>SUMIFS('AR - slide BoD'!$I:$I,'AR - slide BoD'!B:B,A40)</f>
        <v>0</v>
      </c>
    </row>
    <row r="41" spans="1:4" x14ac:dyDescent="0.25">
      <c r="A41" s="227" t="s">
        <v>186</v>
      </c>
      <c r="B41" s="25">
        <v>89153.696699999986</v>
      </c>
      <c r="D41" s="32">
        <f>SUMIFS('AR - slide BoD'!$I:$I,'AR - slide BoD'!B:B,A41)</f>
        <v>0</v>
      </c>
    </row>
    <row r="42" spans="1:4" x14ac:dyDescent="0.25">
      <c r="A42" s="227" t="s">
        <v>53</v>
      </c>
      <c r="B42" s="25">
        <v>62226</v>
      </c>
      <c r="D42" s="32">
        <f>SUMIFS('AR - slide BoD'!$I:$I,'AR - slide BoD'!B:B,A42)</f>
        <v>226233.60000000001</v>
      </c>
    </row>
    <row r="43" spans="1:4" x14ac:dyDescent="0.25">
      <c r="A43" s="227" t="s">
        <v>144</v>
      </c>
      <c r="B43" s="25">
        <v>1515.4999999999998</v>
      </c>
      <c r="D43" s="32">
        <f>SUMIFS('AR - slide BoD'!$I:$I,'AR - slide BoD'!B:B,A43)</f>
        <v>0</v>
      </c>
    </row>
    <row r="44" spans="1:4" x14ac:dyDescent="0.25">
      <c r="A44" s="227" t="s">
        <v>682</v>
      </c>
      <c r="B44" s="25"/>
    </row>
    <row r="45" spans="1:4" x14ac:dyDescent="0.25">
      <c r="A45" s="227" t="s">
        <v>683</v>
      </c>
      <c r="B45" s="25">
        <v>10797659.702200001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E46A5-8BCE-4E4D-8CBB-A7B44C539DC2}">
  <dimension ref="A1:AE612"/>
  <sheetViews>
    <sheetView zoomScale="90" zoomScaleNormal="90" workbookViewId="0">
      <selection activeCell="L20" sqref="L20"/>
    </sheetView>
  </sheetViews>
  <sheetFormatPr defaultRowHeight="13.2" outlineLevelCol="1" x14ac:dyDescent="0.25"/>
  <cols>
    <col min="1" max="1" width="11.109375" bestFit="1" customWidth="1"/>
    <col min="2" max="2" width="48.33203125" bestFit="1" customWidth="1"/>
    <col min="3" max="3" width="18.33203125" bestFit="1" customWidth="1"/>
    <col min="4" max="4" width="15.109375" style="35" bestFit="1" customWidth="1"/>
    <col min="5" max="5" width="11.6640625" bestFit="1" customWidth="1"/>
    <col min="6" max="6" width="16" bestFit="1" customWidth="1"/>
    <col min="7" max="7" width="16" style="32" bestFit="1" customWidth="1"/>
    <col min="8" max="8" width="7.88671875" bestFit="1" customWidth="1"/>
    <col min="9" max="9" width="14.88671875" bestFit="1" customWidth="1"/>
    <col min="10" max="10" width="11.6640625" bestFit="1" customWidth="1"/>
    <col min="11" max="11" width="16" bestFit="1" customWidth="1"/>
    <col min="12" max="12" width="9.5546875" bestFit="1" customWidth="1"/>
    <col min="13" max="13" width="28.44140625" bestFit="1" customWidth="1"/>
    <col min="14" max="14" width="15" bestFit="1" customWidth="1"/>
    <col min="15" max="15" width="13.44140625" style="32" bestFit="1" customWidth="1"/>
    <col min="16" max="17" width="14.5546875" bestFit="1" customWidth="1"/>
    <col min="18" max="18" width="19.44140625" bestFit="1" customWidth="1" outlineLevel="1"/>
    <col min="19" max="19" width="21.6640625" bestFit="1" customWidth="1" outlineLevel="1"/>
    <col min="20" max="20" width="22.88671875" bestFit="1" customWidth="1" outlineLevel="1"/>
    <col min="21" max="21" width="14.6640625" bestFit="1" customWidth="1" outlineLevel="1"/>
    <col min="22" max="22" width="11.5546875" bestFit="1" customWidth="1"/>
    <col min="23" max="23" width="12.44140625" bestFit="1" customWidth="1"/>
    <col min="24" max="24" width="15.33203125" bestFit="1" customWidth="1"/>
    <col min="25" max="25" width="24.6640625" bestFit="1" customWidth="1"/>
    <col min="26" max="26" width="15.33203125" bestFit="1" customWidth="1"/>
    <col min="27" max="27" width="26" style="32" bestFit="1" customWidth="1"/>
    <col min="28" max="28" width="16.33203125" style="32" bestFit="1" customWidth="1"/>
    <col min="29" max="29" width="23.6640625" bestFit="1" customWidth="1"/>
    <col min="30" max="30" width="18.6640625" bestFit="1" customWidth="1"/>
    <col min="31" max="31" width="26.5546875" bestFit="1" customWidth="1"/>
  </cols>
  <sheetData>
    <row r="1" spans="1:31" s="274" customFormat="1" ht="15" thickBot="1" x14ac:dyDescent="0.35">
      <c r="A1" s="273"/>
      <c r="B1" s="273"/>
      <c r="C1" s="274">
        <f>A1+B1</f>
        <v>0</v>
      </c>
      <c r="D1" s="266">
        <f>SUBTOTAL(9,D4:D999868)</f>
        <v>59548325.870000005</v>
      </c>
      <c r="E1" s="267"/>
      <c r="F1" s="267"/>
      <c r="H1" s="274">
        <f>G1-B1</f>
        <v>0</v>
      </c>
      <c r="I1" s="275">
        <v>46053</v>
      </c>
      <c r="M1" s="266">
        <f>SUM(Q1:U1)</f>
        <v>59548325.870000005</v>
      </c>
      <c r="O1" s="274">
        <f t="shared" ref="O1" si="0">SUBTOTAL(9,O4:O999868)</f>
        <v>0</v>
      </c>
      <c r="P1" s="274">
        <f>SUBTOTAL(9,P4:P999868)</f>
        <v>11121009.775599996</v>
      </c>
      <c r="Q1" s="274">
        <f t="shared" ref="Q1:U1" si="1">SUBTOTAL(9,Q4:Q999868)</f>
        <v>36000490.859999999</v>
      </c>
      <c r="R1" s="274">
        <f t="shared" si="1"/>
        <v>587221.14</v>
      </c>
      <c r="S1" s="274">
        <f t="shared" si="1"/>
        <v>25348.35</v>
      </c>
      <c r="T1" s="274">
        <f t="shared" si="1"/>
        <v>912819.17</v>
      </c>
      <c r="U1" s="274">
        <f t="shared" si="1"/>
        <v>22022446.350000005</v>
      </c>
      <c r="V1" s="266"/>
      <c r="W1" s="266">
        <f t="shared" ref="W1" si="2">SUBTOTAL(9,W4:W999868)</f>
        <v>547324.15320000029</v>
      </c>
      <c r="X1" s="266">
        <f>SUBTOTAL(9,X4:X999868)</f>
        <v>16786791.792400002</v>
      </c>
      <c r="Y1" s="266">
        <f>SUBTOTAL(9,Y4:Y999868)</f>
        <v>16786791.792400002</v>
      </c>
      <c r="Z1" s="266">
        <f>SUBTOTAL(9,Z4:Z999868)</f>
        <v>17180404.18999999</v>
      </c>
      <c r="AA1" s="266">
        <f>SUBTOTAL(9,AA4:AA999868)</f>
        <v>-6213106.169999999</v>
      </c>
      <c r="AB1" s="266">
        <f>SUBTOTAL(9,AB4:AB999868)</f>
        <v>11121009.775599996</v>
      </c>
      <c r="AC1" s="266"/>
      <c r="AE1" s="266">
        <f>SUBTOTAL(9,AE4:AE869)</f>
        <v>8704255.3543999977</v>
      </c>
    </row>
    <row r="2" spans="1:31" s="268" customFormat="1" x14ac:dyDescent="0.25">
      <c r="I2" s="276"/>
      <c r="V2" s="169"/>
      <c r="W2" s="204"/>
      <c r="X2" s="205"/>
      <c r="Y2" s="169"/>
    </row>
    <row r="3" spans="1:31" ht="13.8" x14ac:dyDescent="0.25">
      <c r="A3" s="206" t="s">
        <v>4</v>
      </c>
      <c r="B3" s="206" t="s">
        <v>3</v>
      </c>
      <c r="C3" s="206" t="s">
        <v>0</v>
      </c>
      <c r="D3" s="207" t="s">
        <v>273</v>
      </c>
      <c r="E3" s="206" t="s">
        <v>216</v>
      </c>
      <c r="F3" s="206" t="s">
        <v>2</v>
      </c>
      <c r="G3" s="269" t="s">
        <v>215</v>
      </c>
      <c r="H3" s="206" t="s">
        <v>217</v>
      </c>
      <c r="I3" s="206" t="s">
        <v>218</v>
      </c>
      <c r="J3" s="206" t="s">
        <v>1</v>
      </c>
      <c r="K3" s="206" t="s">
        <v>219</v>
      </c>
      <c r="L3" s="206" t="s">
        <v>220</v>
      </c>
      <c r="M3" s="206" t="s">
        <v>221</v>
      </c>
      <c r="N3" s="208" t="s">
        <v>274</v>
      </c>
      <c r="O3" s="270" t="s">
        <v>724</v>
      </c>
      <c r="P3" s="208" t="s">
        <v>319</v>
      </c>
      <c r="Q3" s="208" t="s">
        <v>275</v>
      </c>
      <c r="R3" s="208" t="s">
        <v>276</v>
      </c>
      <c r="S3" s="208" t="s">
        <v>277</v>
      </c>
      <c r="T3" s="208" t="s">
        <v>278</v>
      </c>
      <c r="U3" s="208" t="s">
        <v>279</v>
      </c>
      <c r="V3" s="209" t="s">
        <v>280</v>
      </c>
      <c r="W3" s="209" t="s">
        <v>281</v>
      </c>
      <c r="X3" s="210" t="s">
        <v>282</v>
      </c>
      <c r="Y3" s="209" t="s">
        <v>283</v>
      </c>
      <c r="Z3" s="211" t="s">
        <v>284</v>
      </c>
      <c r="AA3" s="271" t="s">
        <v>285</v>
      </c>
      <c r="AB3" s="271" t="s">
        <v>286</v>
      </c>
      <c r="AC3" s="211" t="s">
        <v>534</v>
      </c>
      <c r="AD3" s="211" t="s">
        <v>535</v>
      </c>
      <c r="AE3" s="271" t="s">
        <v>695</v>
      </c>
    </row>
    <row r="4" spans="1:31" x14ac:dyDescent="0.25">
      <c r="A4">
        <v>205</v>
      </c>
      <c r="B4" t="s">
        <v>572</v>
      </c>
      <c r="C4" t="s">
        <v>544</v>
      </c>
      <c r="D4" s="35">
        <v>80589.600000000006</v>
      </c>
      <c r="E4">
        <v>1246271690</v>
      </c>
      <c r="F4" s="321">
        <v>46157</v>
      </c>
      <c r="G4" s="321"/>
      <c r="H4" t="s">
        <v>28</v>
      </c>
      <c r="I4" t="s">
        <v>29</v>
      </c>
      <c r="J4">
        <v>11158</v>
      </c>
      <c r="K4" s="321">
        <v>46129</v>
      </c>
      <c r="L4">
        <v>1010100</v>
      </c>
      <c r="M4" t="s">
        <v>35</v>
      </c>
      <c r="N4">
        <v>-15</v>
      </c>
      <c r="O4" s="32">
        <v>0</v>
      </c>
      <c r="P4" s="32">
        <v>0</v>
      </c>
      <c r="Q4" s="32">
        <v>80589.600000000006</v>
      </c>
      <c r="R4" s="32">
        <v>0</v>
      </c>
      <c r="S4" s="32">
        <v>0</v>
      </c>
      <c r="T4" s="32">
        <v>0</v>
      </c>
      <c r="U4" s="32">
        <v>0</v>
      </c>
      <c r="V4" s="32">
        <v>0</v>
      </c>
      <c r="W4" s="32">
        <v>0</v>
      </c>
      <c r="X4" s="32">
        <v>0</v>
      </c>
      <c r="Y4" s="32">
        <v>0</v>
      </c>
      <c r="Z4" s="32">
        <v>0</v>
      </c>
      <c r="AA4" s="32">
        <v>0</v>
      </c>
      <c r="AB4" s="32">
        <v>0</v>
      </c>
      <c r="AC4" s="32" t="s">
        <v>472</v>
      </c>
      <c r="AD4" s="32"/>
      <c r="AE4" s="32">
        <v>0</v>
      </c>
    </row>
    <row r="5" spans="1:31" x14ac:dyDescent="0.25">
      <c r="A5">
        <v>205</v>
      </c>
      <c r="B5" t="s">
        <v>572</v>
      </c>
      <c r="C5" t="s">
        <v>544</v>
      </c>
      <c r="D5" s="35">
        <v>81051.399999999994</v>
      </c>
      <c r="E5">
        <v>1246273002</v>
      </c>
      <c r="F5" s="321">
        <v>46168</v>
      </c>
      <c r="G5" s="321"/>
      <c r="H5" t="s">
        <v>28</v>
      </c>
      <c r="I5" t="s">
        <v>29</v>
      </c>
      <c r="J5">
        <v>11248</v>
      </c>
      <c r="K5" s="321">
        <v>46140</v>
      </c>
      <c r="L5">
        <v>1010100</v>
      </c>
      <c r="M5" t="s">
        <v>35</v>
      </c>
      <c r="N5">
        <v>-26</v>
      </c>
      <c r="O5" s="32">
        <v>0</v>
      </c>
      <c r="P5" s="32">
        <v>0</v>
      </c>
      <c r="Q5" s="32">
        <v>81051.399999999994</v>
      </c>
      <c r="R5" s="32">
        <v>0</v>
      </c>
      <c r="S5" s="32">
        <v>0</v>
      </c>
      <c r="T5" s="32">
        <v>0</v>
      </c>
      <c r="U5" s="32">
        <v>0</v>
      </c>
      <c r="V5" s="32">
        <v>0</v>
      </c>
      <c r="W5" s="32">
        <v>0</v>
      </c>
      <c r="X5" s="32">
        <v>0</v>
      </c>
      <c r="Y5" s="32">
        <v>0</v>
      </c>
      <c r="Z5" s="32">
        <v>0</v>
      </c>
      <c r="AA5" s="32">
        <v>0</v>
      </c>
      <c r="AB5" s="32">
        <v>0</v>
      </c>
      <c r="AC5" s="32" t="s">
        <v>472</v>
      </c>
      <c r="AD5" s="32"/>
      <c r="AE5" s="32">
        <v>0</v>
      </c>
    </row>
    <row r="6" spans="1:31" x14ac:dyDescent="0.25">
      <c r="A6">
        <v>1257</v>
      </c>
      <c r="B6" t="s">
        <v>496</v>
      </c>
      <c r="C6" t="s">
        <v>63</v>
      </c>
      <c r="D6" s="35">
        <v>1980.8</v>
      </c>
      <c r="E6">
        <v>1246032946</v>
      </c>
      <c r="F6" s="321">
        <v>44774</v>
      </c>
      <c r="G6" s="321"/>
      <c r="H6" t="s">
        <v>28</v>
      </c>
      <c r="I6" t="s">
        <v>29</v>
      </c>
      <c r="J6">
        <v>17935</v>
      </c>
      <c r="K6" s="321">
        <v>44714</v>
      </c>
      <c r="L6">
        <v>1010100</v>
      </c>
      <c r="M6" t="s">
        <v>35</v>
      </c>
      <c r="N6">
        <v>1368</v>
      </c>
      <c r="O6" s="32">
        <v>0</v>
      </c>
      <c r="P6" s="32">
        <v>1980.8</v>
      </c>
      <c r="Q6" s="32">
        <v>0</v>
      </c>
      <c r="R6" s="32">
        <v>0</v>
      </c>
      <c r="S6" s="32">
        <v>0</v>
      </c>
      <c r="T6" s="32">
        <v>0</v>
      </c>
      <c r="U6" s="32">
        <v>1980.8</v>
      </c>
      <c r="V6" s="32">
        <v>0</v>
      </c>
      <c r="W6" s="32">
        <v>59.423999999999999</v>
      </c>
      <c r="X6" s="32">
        <v>1921.376</v>
      </c>
      <c r="Y6" s="32">
        <v>1921.376</v>
      </c>
      <c r="Z6" s="32">
        <v>1980.8</v>
      </c>
      <c r="AA6" s="32">
        <v>0</v>
      </c>
      <c r="AB6" s="32">
        <v>1980.8</v>
      </c>
      <c r="AC6" s="32" t="s">
        <v>536</v>
      </c>
      <c r="AD6" s="32"/>
      <c r="AE6" s="32">
        <v>1980.8</v>
      </c>
    </row>
    <row r="7" spans="1:31" x14ac:dyDescent="0.25">
      <c r="A7">
        <v>1953</v>
      </c>
      <c r="B7" t="s">
        <v>413</v>
      </c>
      <c r="C7" t="s">
        <v>850</v>
      </c>
      <c r="D7" s="35">
        <v>58917.8</v>
      </c>
      <c r="E7">
        <v>1246267986</v>
      </c>
      <c r="F7" s="321">
        <v>46158</v>
      </c>
      <c r="G7" s="321"/>
      <c r="H7" t="s">
        <v>28</v>
      </c>
      <c r="I7" t="s">
        <v>29</v>
      </c>
      <c r="J7">
        <v>10907</v>
      </c>
      <c r="K7" s="321">
        <v>46098</v>
      </c>
      <c r="L7">
        <v>1010100</v>
      </c>
      <c r="M7" t="s">
        <v>35</v>
      </c>
      <c r="N7">
        <v>-16</v>
      </c>
      <c r="O7" s="32">
        <v>0</v>
      </c>
      <c r="P7" s="32">
        <v>0</v>
      </c>
      <c r="Q7" s="32">
        <v>58917.8</v>
      </c>
      <c r="R7" s="32">
        <v>0</v>
      </c>
      <c r="S7" s="32">
        <v>0</v>
      </c>
      <c r="T7" s="32">
        <v>0</v>
      </c>
      <c r="U7" s="32">
        <v>0</v>
      </c>
      <c r="V7" s="32">
        <v>0</v>
      </c>
      <c r="W7" s="32">
        <v>0</v>
      </c>
      <c r="X7" s="32">
        <v>0</v>
      </c>
      <c r="Y7" s="32">
        <v>0</v>
      </c>
      <c r="Z7" s="32">
        <v>0</v>
      </c>
      <c r="AA7" s="32">
        <v>0</v>
      </c>
      <c r="AB7" s="32">
        <v>0</v>
      </c>
      <c r="AC7" s="32" t="s">
        <v>472</v>
      </c>
      <c r="AD7" s="32"/>
      <c r="AE7" s="32">
        <v>0</v>
      </c>
    </row>
    <row r="8" spans="1:31" x14ac:dyDescent="0.25">
      <c r="A8">
        <v>1787</v>
      </c>
      <c r="B8" t="s">
        <v>527</v>
      </c>
      <c r="C8" t="s">
        <v>68</v>
      </c>
      <c r="D8" s="35">
        <v>107059.2</v>
      </c>
      <c r="E8">
        <v>1246262114</v>
      </c>
      <c r="F8" s="321">
        <v>46146</v>
      </c>
      <c r="G8" s="321">
        <v>46146</v>
      </c>
      <c r="H8" t="s">
        <v>28</v>
      </c>
      <c r="I8" t="s">
        <v>29</v>
      </c>
      <c r="J8">
        <v>10629</v>
      </c>
      <c r="K8" s="321">
        <v>46056</v>
      </c>
      <c r="L8">
        <v>1010100</v>
      </c>
      <c r="M8" t="s">
        <v>35</v>
      </c>
      <c r="N8">
        <v>-4</v>
      </c>
      <c r="O8" s="32">
        <v>0</v>
      </c>
      <c r="P8" s="32">
        <v>0</v>
      </c>
      <c r="Q8" s="32">
        <v>107059.2</v>
      </c>
      <c r="R8" s="32">
        <v>0</v>
      </c>
      <c r="S8" s="32">
        <v>0</v>
      </c>
      <c r="T8" s="32">
        <v>0</v>
      </c>
      <c r="U8" s="32">
        <v>0</v>
      </c>
      <c r="V8" s="32">
        <v>0</v>
      </c>
      <c r="W8" s="32">
        <v>0</v>
      </c>
      <c r="X8" s="32">
        <v>0</v>
      </c>
      <c r="Y8" s="32">
        <v>0</v>
      </c>
      <c r="Z8" s="32">
        <v>0</v>
      </c>
      <c r="AA8" s="32">
        <v>0</v>
      </c>
      <c r="AB8" s="32">
        <v>0</v>
      </c>
      <c r="AC8" s="32" t="s">
        <v>536</v>
      </c>
      <c r="AD8" s="32"/>
      <c r="AE8" s="32">
        <v>0</v>
      </c>
    </row>
    <row r="9" spans="1:31" x14ac:dyDescent="0.25">
      <c r="A9">
        <v>1787</v>
      </c>
      <c r="B9" t="s">
        <v>527</v>
      </c>
      <c r="C9" t="s">
        <v>68</v>
      </c>
      <c r="D9" s="35">
        <v>3600</v>
      </c>
      <c r="E9">
        <v>1246031589</v>
      </c>
      <c r="F9" s="321">
        <v>44784</v>
      </c>
      <c r="G9" s="321"/>
      <c r="H9" t="s">
        <v>28</v>
      </c>
      <c r="I9" t="s">
        <v>29</v>
      </c>
      <c r="J9">
        <v>1246031589</v>
      </c>
      <c r="K9" s="321">
        <v>44769</v>
      </c>
      <c r="L9">
        <v>3041000</v>
      </c>
      <c r="M9" t="s">
        <v>137</v>
      </c>
      <c r="N9">
        <v>1358</v>
      </c>
      <c r="O9" s="32">
        <v>0</v>
      </c>
      <c r="P9" s="32">
        <v>3600</v>
      </c>
      <c r="Q9" s="32">
        <v>0</v>
      </c>
      <c r="R9" s="32">
        <v>0</v>
      </c>
      <c r="S9" s="32">
        <v>0</v>
      </c>
      <c r="T9" s="32">
        <v>0</v>
      </c>
      <c r="U9" s="32">
        <v>3600</v>
      </c>
      <c r="V9" s="32">
        <v>0</v>
      </c>
      <c r="W9" s="32">
        <v>108</v>
      </c>
      <c r="X9" s="32">
        <v>3492</v>
      </c>
      <c r="Y9" s="32">
        <v>3492</v>
      </c>
      <c r="Z9" s="32">
        <v>3600</v>
      </c>
      <c r="AA9" s="32">
        <v>0</v>
      </c>
      <c r="AB9" s="32">
        <v>3600</v>
      </c>
      <c r="AC9" s="32" t="s">
        <v>536</v>
      </c>
      <c r="AD9" s="32"/>
      <c r="AE9" s="32">
        <v>3600</v>
      </c>
    </row>
    <row r="10" spans="1:31" x14ac:dyDescent="0.25">
      <c r="A10">
        <v>1787</v>
      </c>
      <c r="B10" t="s">
        <v>527</v>
      </c>
      <c r="C10" t="s">
        <v>68</v>
      </c>
      <c r="D10" s="35">
        <v>2700</v>
      </c>
      <c r="E10">
        <v>1246055596</v>
      </c>
      <c r="F10" s="321">
        <v>44889</v>
      </c>
      <c r="G10" s="321"/>
      <c r="H10" t="s">
        <v>28</v>
      </c>
      <c r="I10" t="s">
        <v>29</v>
      </c>
      <c r="J10">
        <v>1246055596</v>
      </c>
      <c r="K10" s="321">
        <v>44889</v>
      </c>
      <c r="L10">
        <v>3041000</v>
      </c>
      <c r="M10" t="s">
        <v>137</v>
      </c>
      <c r="N10">
        <v>1253</v>
      </c>
      <c r="O10" s="32">
        <v>0</v>
      </c>
      <c r="P10" s="32">
        <v>2700</v>
      </c>
      <c r="Q10" s="32">
        <v>0</v>
      </c>
      <c r="R10" s="32">
        <v>0</v>
      </c>
      <c r="S10" s="32">
        <v>0</v>
      </c>
      <c r="T10" s="32">
        <v>0</v>
      </c>
      <c r="U10" s="32">
        <v>2700</v>
      </c>
      <c r="V10" s="32">
        <v>0</v>
      </c>
      <c r="W10" s="32">
        <v>81</v>
      </c>
      <c r="X10" s="32">
        <v>2619</v>
      </c>
      <c r="Y10" s="32">
        <v>2619</v>
      </c>
      <c r="Z10" s="32">
        <v>2700</v>
      </c>
      <c r="AA10" s="32">
        <v>0</v>
      </c>
      <c r="AB10" s="32">
        <v>2700</v>
      </c>
      <c r="AC10" s="32" t="s">
        <v>536</v>
      </c>
      <c r="AD10" s="32"/>
      <c r="AE10" s="32">
        <v>2700</v>
      </c>
    </row>
    <row r="11" spans="1:31" x14ac:dyDescent="0.25">
      <c r="A11">
        <v>1787</v>
      </c>
      <c r="B11" t="s">
        <v>527</v>
      </c>
      <c r="C11" t="s">
        <v>68</v>
      </c>
      <c r="D11" s="35">
        <v>109862.39999999999</v>
      </c>
      <c r="E11">
        <v>1246271310</v>
      </c>
      <c r="F11" s="321">
        <v>46216</v>
      </c>
      <c r="G11" s="321"/>
      <c r="H11" t="s">
        <v>28</v>
      </c>
      <c r="I11" t="s">
        <v>29</v>
      </c>
      <c r="J11">
        <v>11116</v>
      </c>
      <c r="K11" s="321">
        <v>46126</v>
      </c>
      <c r="L11">
        <v>1010100</v>
      </c>
      <c r="M11" t="s">
        <v>35</v>
      </c>
      <c r="N11">
        <v>-74</v>
      </c>
      <c r="O11" s="32">
        <v>0</v>
      </c>
      <c r="P11" s="32">
        <v>0</v>
      </c>
      <c r="Q11" s="32">
        <v>109862.39999999999</v>
      </c>
      <c r="R11" s="32">
        <v>0</v>
      </c>
      <c r="S11" s="32">
        <v>0</v>
      </c>
      <c r="T11" s="32">
        <v>0</v>
      </c>
      <c r="U11" s="32">
        <v>0</v>
      </c>
      <c r="V11" s="32">
        <v>0</v>
      </c>
      <c r="W11" s="32">
        <v>0</v>
      </c>
      <c r="X11" s="32">
        <v>0</v>
      </c>
      <c r="Y11" s="32">
        <v>0</v>
      </c>
      <c r="Z11" s="32">
        <v>0</v>
      </c>
      <c r="AA11" s="32">
        <v>0</v>
      </c>
      <c r="AB11" s="32">
        <v>0</v>
      </c>
      <c r="AC11" s="32" t="s">
        <v>536</v>
      </c>
      <c r="AD11" s="32"/>
      <c r="AE11" s="32">
        <v>0</v>
      </c>
    </row>
    <row r="12" spans="1:31" x14ac:dyDescent="0.25">
      <c r="A12">
        <v>1787</v>
      </c>
      <c r="B12" t="s">
        <v>527</v>
      </c>
      <c r="C12" t="s">
        <v>68</v>
      </c>
      <c r="D12" s="35">
        <v>116928</v>
      </c>
      <c r="E12">
        <v>1246267948</v>
      </c>
      <c r="F12" s="321">
        <v>46187</v>
      </c>
      <c r="G12" s="321"/>
      <c r="H12" t="s">
        <v>28</v>
      </c>
      <c r="I12" t="s">
        <v>29</v>
      </c>
      <c r="J12">
        <v>10899</v>
      </c>
      <c r="K12" s="321">
        <v>46097</v>
      </c>
      <c r="L12">
        <v>1010100</v>
      </c>
      <c r="M12" t="s">
        <v>35</v>
      </c>
      <c r="N12">
        <v>-45</v>
      </c>
      <c r="O12" s="32">
        <v>0</v>
      </c>
      <c r="P12" s="32">
        <v>0</v>
      </c>
      <c r="Q12" s="32">
        <v>116928</v>
      </c>
      <c r="R12" s="32">
        <v>0</v>
      </c>
      <c r="S12" s="32">
        <v>0</v>
      </c>
      <c r="T12" s="32">
        <v>0</v>
      </c>
      <c r="U12" s="32">
        <v>0</v>
      </c>
      <c r="V12" s="32">
        <v>0</v>
      </c>
      <c r="W12" s="32">
        <v>0</v>
      </c>
      <c r="X12" s="32">
        <v>0</v>
      </c>
      <c r="Y12" s="32">
        <v>0</v>
      </c>
      <c r="Z12" s="32">
        <v>0</v>
      </c>
      <c r="AA12" s="32">
        <v>0</v>
      </c>
      <c r="AB12" s="32">
        <v>0</v>
      </c>
      <c r="AC12" s="32" t="s">
        <v>536</v>
      </c>
      <c r="AD12" s="32"/>
      <c r="AE12" s="32">
        <v>0</v>
      </c>
    </row>
    <row r="13" spans="1:31" x14ac:dyDescent="0.25">
      <c r="A13">
        <v>1787</v>
      </c>
      <c r="B13" t="s">
        <v>527</v>
      </c>
      <c r="C13" t="s">
        <v>68</v>
      </c>
      <c r="D13" s="35">
        <v>115891.2</v>
      </c>
      <c r="E13">
        <v>1246262540</v>
      </c>
      <c r="F13" s="321">
        <v>46149</v>
      </c>
      <c r="G13" s="321"/>
      <c r="H13" t="s">
        <v>28</v>
      </c>
      <c r="I13" t="s">
        <v>29</v>
      </c>
      <c r="J13">
        <v>10652</v>
      </c>
      <c r="K13" s="321">
        <v>46059</v>
      </c>
      <c r="L13">
        <v>1010100</v>
      </c>
      <c r="M13" t="s">
        <v>35</v>
      </c>
      <c r="N13">
        <v>-7</v>
      </c>
      <c r="O13" s="32">
        <v>0</v>
      </c>
      <c r="P13" s="32">
        <v>0</v>
      </c>
      <c r="Q13" s="32">
        <v>115891.2</v>
      </c>
      <c r="R13" s="32">
        <v>0</v>
      </c>
      <c r="S13" s="32">
        <v>0</v>
      </c>
      <c r="T13" s="32">
        <v>0</v>
      </c>
      <c r="U13" s="32">
        <v>0</v>
      </c>
      <c r="V13" s="32">
        <v>0</v>
      </c>
      <c r="W13" s="32">
        <v>0</v>
      </c>
      <c r="X13" s="32">
        <v>0</v>
      </c>
      <c r="Y13" s="32">
        <v>0</v>
      </c>
      <c r="Z13" s="32">
        <v>0</v>
      </c>
      <c r="AA13" s="32">
        <v>0</v>
      </c>
      <c r="AB13" s="32">
        <v>0</v>
      </c>
      <c r="AC13" s="32" t="s">
        <v>536</v>
      </c>
      <c r="AD13" s="32"/>
      <c r="AE13" s="32">
        <v>0</v>
      </c>
    </row>
    <row r="14" spans="1:31" x14ac:dyDescent="0.25">
      <c r="A14">
        <v>1787</v>
      </c>
      <c r="B14" t="s">
        <v>527</v>
      </c>
      <c r="C14" t="s">
        <v>68</v>
      </c>
      <c r="D14" s="35">
        <v>103795.2</v>
      </c>
      <c r="E14">
        <v>1246268633</v>
      </c>
      <c r="F14" s="321">
        <v>46194</v>
      </c>
      <c r="G14" s="321"/>
      <c r="H14" t="s">
        <v>28</v>
      </c>
      <c r="I14" t="s">
        <v>29</v>
      </c>
      <c r="J14">
        <v>10957</v>
      </c>
      <c r="K14" s="321">
        <v>46104</v>
      </c>
      <c r="L14">
        <v>1010100</v>
      </c>
      <c r="M14" t="s">
        <v>35</v>
      </c>
      <c r="N14">
        <v>-52</v>
      </c>
      <c r="O14" s="32">
        <v>0</v>
      </c>
      <c r="P14" s="32">
        <v>0</v>
      </c>
      <c r="Q14" s="32">
        <v>103795.2</v>
      </c>
      <c r="R14" s="32">
        <v>0</v>
      </c>
      <c r="S14" s="32">
        <v>0</v>
      </c>
      <c r="T14" s="32">
        <v>0</v>
      </c>
      <c r="U14" s="32">
        <v>0</v>
      </c>
      <c r="V14" s="32">
        <v>0</v>
      </c>
      <c r="W14" s="32">
        <v>0</v>
      </c>
      <c r="X14" s="32">
        <v>0</v>
      </c>
      <c r="Y14" s="32">
        <v>0</v>
      </c>
      <c r="Z14" s="32">
        <v>0</v>
      </c>
      <c r="AA14" s="32">
        <v>0</v>
      </c>
      <c r="AB14" s="32">
        <v>0</v>
      </c>
      <c r="AC14" s="32" t="s">
        <v>536</v>
      </c>
      <c r="AD14" s="32"/>
      <c r="AE14" s="32">
        <v>0</v>
      </c>
    </row>
    <row r="15" spans="1:31" x14ac:dyDescent="0.25">
      <c r="A15">
        <v>1787</v>
      </c>
      <c r="B15" t="s">
        <v>527</v>
      </c>
      <c r="C15" t="s">
        <v>68</v>
      </c>
      <c r="D15" s="35">
        <v>111360</v>
      </c>
      <c r="E15">
        <v>1246268748</v>
      </c>
      <c r="F15" s="321">
        <v>46195</v>
      </c>
      <c r="G15" s="321"/>
      <c r="H15" t="s">
        <v>28</v>
      </c>
      <c r="I15" t="s">
        <v>29</v>
      </c>
      <c r="J15">
        <v>10965</v>
      </c>
      <c r="K15" s="321">
        <v>46105</v>
      </c>
      <c r="L15">
        <v>1010100</v>
      </c>
      <c r="M15" t="s">
        <v>35</v>
      </c>
      <c r="N15">
        <v>-53</v>
      </c>
      <c r="O15" s="32">
        <v>0</v>
      </c>
      <c r="P15" s="32">
        <v>0</v>
      </c>
      <c r="Q15" s="32">
        <v>111360</v>
      </c>
      <c r="R15" s="32">
        <v>0</v>
      </c>
      <c r="S15" s="32">
        <v>0</v>
      </c>
      <c r="T15" s="32">
        <v>0</v>
      </c>
      <c r="U15" s="32">
        <v>0</v>
      </c>
      <c r="V15" s="32">
        <v>0</v>
      </c>
      <c r="W15" s="32">
        <v>0</v>
      </c>
      <c r="X15" s="32">
        <v>0</v>
      </c>
      <c r="Y15" s="32">
        <v>0</v>
      </c>
      <c r="Z15" s="32">
        <v>0</v>
      </c>
      <c r="AA15" s="32">
        <v>0</v>
      </c>
      <c r="AB15" s="32">
        <v>0</v>
      </c>
      <c r="AC15" s="32" t="s">
        <v>536</v>
      </c>
      <c r="AD15" s="32"/>
      <c r="AE15" s="32">
        <v>0</v>
      </c>
    </row>
    <row r="16" spans="1:31" x14ac:dyDescent="0.25">
      <c r="A16">
        <v>1787</v>
      </c>
      <c r="B16" t="s">
        <v>527</v>
      </c>
      <c r="C16" t="s">
        <v>68</v>
      </c>
      <c r="D16" s="35">
        <v>114662.39999999999</v>
      </c>
      <c r="E16">
        <v>1246268585</v>
      </c>
      <c r="F16" s="321">
        <v>46161</v>
      </c>
      <c r="G16" s="321"/>
      <c r="H16" t="s">
        <v>28</v>
      </c>
      <c r="I16" t="s">
        <v>29</v>
      </c>
      <c r="J16">
        <v>10953</v>
      </c>
      <c r="K16" s="321">
        <v>46101</v>
      </c>
      <c r="L16">
        <v>1010100</v>
      </c>
      <c r="M16" t="s">
        <v>35</v>
      </c>
      <c r="N16">
        <v>-19</v>
      </c>
      <c r="O16" s="32">
        <v>0</v>
      </c>
      <c r="P16" s="32">
        <v>0</v>
      </c>
      <c r="Q16" s="32">
        <v>114662.39999999999</v>
      </c>
      <c r="R16" s="32">
        <v>0</v>
      </c>
      <c r="S16" s="32">
        <v>0</v>
      </c>
      <c r="T16" s="32">
        <v>0</v>
      </c>
      <c r="U16" s="32">
        <v>0</v>
      </c>
      <c r="V16" s="32">
        <v>0</v>
      </c>
      <c r="W16" s="32">
        <v>0</v>
      </c>
      <c r="X16" s="32">
        <v>0</v>
      </c>
      <c r="Y16" s="32">
        <v>0</v>
      </c>
      <c r="Z16" s="32">
        <v>0</v>
      </c>
      <c r="AA16" s="32">
        <v>0</v>
      </c>
      <c r="AB16" s="32">
        <v>0</v>
      </c>
      <c r="AC16" s="32" t="s">
        <v>536</v>
      </c>
      <c r="AD16" s="32"/>
      <c r="AE16" s="32">
        <v>0</v>
      </c>
    </row>
    <row r="17" spans="1:31" x14ac:dyDescent="0.25">
      <c r="A17">
        <v>1787</v>
      </c>
      <c r="B17" t="s">
        <v>527</v>
      </c>
      <c r="C17" t="s">
        <v>68</v>
      </c>
      <c r="D17" s="35">
        <v>115852.8</v>
      </c>
      <c r="E17">
        <v>1246270635</v>
      </c>
      <c r="F17" s="321">
        <v>46210</v>
      </c>
      <c r="G17" s="321"/>
      <c r="H17" t="s">
        <v>28</v>
      </c>
      <c r="I17" t="s">
        <v>29</v>
      </c>
      <c r="J17">
        <v>11072</v>
      </c>
      <c r="K17" s="321">
        <v>46120</v>
      </c>
      <c r="L17">
        <v>1010100</v>
      </c>
      <c r="M17" t="s">
        <v>35</v>
      </c>
      <c r="N17">
        <v>-68</v>
      </c>
      <c r="O17" s="32">
        <v>0</v>
      </c>
      <c r="P17" s="32">
        <v>0</v>
      </c>
      <c r="Q17" s="32">
        <v>115852.8</v>
      </c>
      <c r="R17" s="32">
        <v>0</v>
      </c>
      <c r="S17" s="32">
        <v>0</v>
      </c>
      <c r="T17" s="32">
        <v>0</v>
      </c>
      <c r="U17" s="32">
        <v>0</v>
      </c>
      <c r="V17" s="32">
        <v>0</v>
      </c>
      <c r="W17" s="32">
        <v>0</v>
      </c>
      <c r="X17" s="32">
        <v>0</v>
      </c>
      <c r="Y17" s="32">
        <v>0</v>
      </c>
      <c r="Z17" s="32">
        <v>0</v>
      </c>
      <c r="AA17" s="32">
        <v>0</v>
      </c>
      <c r="AB17" s="32">
        <v>0</v>
      </c>
      <c r="AC17" s="32" t="s">
        <v>536</v>
      </c>
      <c r="AD17" s="32"/>
      <c r="AE17" s="32">
        <v>0</v>
      </c>
    </row>
    <row r="18" spans="1:31" x14ac:dyDescent="0.25">
      <c r="A18">
        <v>1787</v>
      </c>
      <c r="B18" t="s">
        <v>527</v>
      </c>
      <c r="C18" t="s">
        <v>68</v>
      </c>
      <c r="D18" s="35">
        <v>114739.2</v>
      </c>
      <c r="E18">
        <v>1246271165</v>
      </c>
      <c r="F18" s="321">
        <v>46215</v>
      </c>
      <c r="G18" s="321"/>
      <c r="H18" t="s">
        <v>28</v>
      </c>
      <c r="I18" t="s">
        <v>29</v>
      </c>
      <c r="J18">
        <v>11105</v>
      </c>
      <c r="K18" s="321">
        <v>46125</v>
      </c>
      <c r="L18">
        <v>1010100</v>
      </c>
      <c r="M18" t="s">
        <v>35</v>
      </c>
      <c r="N18">
        <v>-73</v>
      </c>
      <c r="O18" s="32">
        <v>0</v>
      </c>
      <c r="P18" s="32">
        <v>0</v>
      </c>
      <c r="Q18" s="32">
        <v>114739.2</v>
      </c>
      <c r="R18" s="32">
        <v>0</v>
      </c>
      <c r="S18" s="32">
        <v>0</v>
      </c>
      <c r="T18" s="32">
        <v>0</v>
      </c>
      <c r="U18" s="32">
        <v>0</v>
      </c>
      <c r="V18" s="32">
        <v>0</v>
      </c>
      <c r="W18" s="32">
        <v>0</v>
      </c>
      <c r="X18" s="32">
        <v>0</v>
      </c>
      <c r="Y18" s="32">
        <v>0</v>
      </c>
      <c r="Z18" s="32">
        <v>0</v>
      </c>
      <c r="AA18" s="32">
        <v>0</v>
      </c>
      <c r="AB18" s="32">
        <v>0</v>
      </c>
      <c r="AC18" s="32" t="s">
        <v>536</v>
      </c>
      <c r="AD18" s="32"/>
      <c r="AE18" s="32">
        <v>0</v>
      </c>
    </row>
    <row r="19" spans="1:31" x14ac:dyDescent="0.25">
      <c r="A19">
        <v>1787</v>
      </c>
      <c r="B19" t="s">
        <v>527</v>
      </c>
      <c r="C19" t="s">
        <v>68</v>
      </c>
      <c r="D19" s="35">
        <v>114969.60000000001</v>
      </c>
      <c r="E19">
        <v>1246264543</v>
      </c>
      <c r="F19" s="321">
        <v>46166</v>
      </c>
      <c r="G19" s="321"/>
      <c r="H19" t="s">
        <v>28</v>
      </c>
      <c r="I19" t="s">
        <v>29</v>
      </c>
      <c r="J19">
        <v>10746</v>
      </c>
      <c r="K19" s="321">
        <v>46076</v>
      </c>
      <c r="L19">
        <v>1010100</v>
      </c>
      <c r="M19" t="s">
        <v>35</v>
      </c>
      <c r="N19">
        <v>-24</v>
      </c>
      <c r="O19" s="32">
        <v>0</v>
      </c>
      <c r="P19" s="32">
        <v>0</v>
      </c>
      <c r="Q19" s="32">
        <v>114969.60000000001</v>
      </c>
      <c r="R19" s="32">
        <v>0</v>
      </c>
      <c r="S19" s="32">
        <v>0</v>
      </c>
      <c r="T19" s="32">
        <v>0</v>
      </c>
      <c r="U19" s="32">
        <v>0</v>
      </c>
      <c r="V19" s="32">
        <v>0</v>
      </c>
      <c r="W19" s="32">
        <v>0</v>
      </c>
      <c r="X19" s="32">
        <v>0</v>
      </c>
      <c r="Y19" s="32">
        <v>0</v>
      </c>
      <c r="Z19" s="32">
        <v>0</v>
      </c>
      <c r="AA19" s="32">
        <v>0</v>
      </c>
      <c r="AB19" s="32">
        <v>0</v>
      </c>
      <c r="AC19" s="32" t="s">
        <v>536</v>
      </c>
      <c r="AD19" s="32"/>
      <c r="AE19" s="32">
        <v>0</v>
      </c>
    </row>
    <row r="20" spans="1:31" x14ac:dyDescent="0.25">
      <c r="A20">
        <v>1787</v>
      </c>
      <c r="B20" t="s">
        <v>527</v>
      </c>
      <c r="C20" t="s">
        <v>68</v>
      </c>
      <c r="D20" s="35">
        <v>113356.8</v>
      </c>
      <c r="E20">
        <v>1246269731</v>
      </c>
      <c r="F20" s="321">
        <v>46202</v>
      </c>
      <c r="G20" s="321"/>
      <c r="H20" t="s">
        <v>28</v>
      </c>
      <c r="I20" t="s">
        <v>29</v>
      </c>
      <c r="J20">
        <v>11014</v>
      </c>
      <c r="K20" s="321">
        <v>46112</v>
      </c>
      <c r="L20">
        <v>1010100</v>
      </c>
      <c r="M20" t="s">
        <v>35</v>
      </c>
      <c r="N20">
        <v>-60</v>
      </c>
      <c r="O20" s="32">
        <v>0</v>
      </c>
      <c r="P20" s="32">
        <v>0</v>
      </c>
      <c r="Q20" s="32">
        <v>113356.8</v>
      </c>
      <c r="R20" s="32">
        <v>0</v>
      </c>
      <c r="S20" s="32">
        <v>0</v>
      </c>
      <c r="T20" s="32">
        <v>0</v>
      </c>
      <c r="U20" s="32">
        <v>0</v>
      </c>
      <c r="V20" s="32">
        <v>0</v>
      </c>
      <c r="W20" s="32">
        <v>0</v>
      </c>
      <c r="X20" s="32">
        <v>0</v>
      </c>
      <c r="Y20" s="32">
        <v>0</v>
      </c>
      <c r="Z20" s="32">
        <v>0</v>
      </c>
      <c r="AA20" s="32">
        <v>0</v>
      </c>
      <c r="AB20" s="32">
        <v>0</v>
      </c>
      <c r="AC20" s="32" t="s">
        <v>536</v>
      </c>
      <c r="AD20" s="32"/>
      <c r="AE20" s="32">
        <v>0</v>
      </c>
    </row>
    <row r="21" spans="1:31" x14ac:dyDescent="0.25">
      <c r="A21">
        <v>1787</v>
      </c>
      <c r="B21" t="s">
        <v>527</v>
      </c>
      <c r="C21" t="s">
        <v>68</v>
      </c>
      <c r="D21" s="35">
        <v>110246.39999999999</v>
      </c>
      <c r="E21">
        <v>1246272757</v>
      </c>
      <c r="F21" s="321">
        <v>46229</v>
      </c>
      <c r="G21" s="321"/>
      <c r="H21" t="s">
        <v>28</v>
      </c>
      <c r="I21" t="s">
        <v>29</v>
      </c>
      <c r="J21">
        <v>11229</v>
      </c>
      <c r="K21" s="321">
        <v>46139</v>
      </c>
      <c r="L21">
        <v>1010100</v>
      </c>
      <c r="M21" t="s">
        <v>35</v>
      </c>
      <c r="N21">
        <v>-87</v>
      </c>
      <c r="O21" s="32">
        <v>0</v>
      </c>
      <c r="P21" s="32">
        <v>0</v>
      </c>
      <c r="Q21" s="32">
        <v>110246.39999999999</v>
      </c>
      <c r="R21" s="32">
        <v>0</v>
      </c>
      <c r="S21" s="32">
        <v>0</v>
      </c>
      <c r="T21" s="32">
        <v>0</v>
      </c>
      <c r="U21" s="32">
        <v>0</v>
      </c>
      <c r="V21" s="32">
        <v>0</v>
      </c>
      <c r="W21" s="32">
        <v>0</v>
      </c>
      <c r="X21" s="32">
        <v>0</v>
      </c>
      <c r="Y21" s="32">
        <v>0</v>
      </c>
      <c r="Z21" s="32">
        <v>0</v>
      </c>
      <c r="AA21" s="32">
        <v>0</v>
      </c>
      <c r="AB21" s="32">
        <v>0</v>
      </c>
      <c r="AC21" s="32" t="s">
        <v>536</v>
      </c>
      <c r="AD21" s="32"/>
      <c r="AE21" s="32">
        <v>0</v>
      </c>
    </row>
    <row r="22" spans="1:31" x14ac:dyDescent="0.25">
      <c r="A22">
        <v>1787</v>
      </c>
      <c r="B22" t="s">
        <v>527</v>
      </c>
      <c r="C22" t="s">
        <v>68</v>
      </c>
      <c r="D22" s="35">
        <v>115392</v>
      </c>
      <c r="E22">
        <v>1246265885</v>
      </c>
      <c r="F22" s="321">
        <v>46173</v>
      </c>
      <c r="G22" s="321"/>
      <c r="H22" t="s">
        <v>28</v>
      </c>
      <c r="I22" t="s">
        <v>29</v>
      </c>
      <c r="J22">
        <v>10791</v>
      </c>
      <c r="K22" s="321">
        <v>46083</v>
      </c>
      <c r="L22">
        <v>1010100</v>
      </c>
      <c r="M22" t="s">
        <v>35</v>
      </c>
      <c r="N22">
        <v>-31</v>
      </c>
      <c r="O22" s="32">
        <v>0</v>
      </c>
      <c r="P22" s="32">
        <v>0</v>
      </c>
      <c r="Q22" s="32">
        <v>115392</v>
      </c>
      <c r="R22" s="32">
        <v>0</v>
      </c>
      <c r="S22" s="32">
        <v>0</v>
      </c>
      <c r="T22" s="32">
        <v>0</v>
      </c>
      <c r="U22" s="32">
        <v>0</v>
      </c>
      <c r="V22" s="32">
        <v>0</v>
      </c>
      <c r="W22" s="32">
        <v>0</v>
      </c>
      <c r="X22" s="32">
        <v>0</v>
      </c>
      <c r="Y22" s="32">
        <v>0</v>
      </c>
      <c r="Z22" s="32">
        <v>0</v>
      </c>
      <c r="AA22" s="32">
        <v>0</v>
      </c>
      <c r="AB22" s="32">
        <v>0</v>
      </c>
      <c r="AC22" s="32" t="s">
        <v>536</v>
      </c>
      <c r="AD22" s="32"/>
      <c r="AE22" s="32">
        <v>0</v>
      </c>
    </row>
    <row r="23" spans="1:31" x14ac:dyDescent="0.25">
      <c r="A23">
        <v>1787</v>
      </c>
      <c r="B23" t="s">
        <v>527</v>
      </c>
      <c r="C23" t="s">
        <v>68</v>
      </c>
      <c r="D23" s="35">
        <v>115046.39999999999</v>
      </c>
      <c r="E23">
        <v>1246267207</v>
      </c>
      <c r="F23" s="321">
        <v>46181</v>
      </c>
      <c r="G23" s="321"/>
      <c r="H23" t="s">
        <v>28</v>
      </c>
      <c r="I23" t="s">
        <v>29</v>
      </c>
      <c r="J23">
        <v>10856</v>
      </c>
      <c r="K23" s="321">
        <v>46091</v>
      </c>
      <c r="L23">
        <v>1010100</v>
      </c>
      <c r="M23" t="s">
        <v>35</v>
      </c>
      <c r="N23">
        <v>-39</v>
      </c>
      <c r="O23" s="32">
        <v>0</v>
      </c>
      <c r="P23" s="32">
        <v>0</v>
      </c>
      <c r="Q23" s="32">
        <v>115046.39999999999</v>
      </c>
      <c r="R23" s="32">
        <v>0</v>
      </c>
      <c r="S23" s="32">
        <v>0</v>
      </c>
      <c r="T23" s="32">
        <v>0</v>
      </c>
      <c r="U23" s="32">
        <v>0</v>
      </c>
      <c r="V23" s="32">
        <v>0</v>
      </c>
      <c r="W23" s="32">
        <v>0</v>
      </c>
      <c r="X23" s="32">
        <v>0</v>
      </c>
      <c r="Y23" s="32">
        <v>0</v>
      </c>
      <c r="Z23" s="32">
        <v>0</v>
      </c>
      <c r="AA23" s="32">
        <v>0</v>
      </c>
      <c r="AB23" s="32">
        <v>0</v>
      </c>
      <c r="AC23" s="32" t="s">
        <v>536</v>
      </c>
      <c r="AD23" s="32"/>
      <c r="AE23" s="32">
        <v>0</v>
      </c>
    </row>
    <row r="24" spans="1:31" x14ac:dyDescent="0.25">
      <c r="A24">
        <v>1787</v>
      </c>
      <c r="B24" t="s">
        <v>527</v>
      </c>
      <c r="C24" t="s">
        <v>68</v>
      </c>
      <c r="D24" s="35">
        <v>115968</v>
      </c>
      <c r="E24">
        <v>1246270152</v>
      </c>
      <c r="F24" s="321">
        <v>46204</v>
      </c>
      <c r="G24" s="321"/>
      <c r="H24" t="s">
        <v>28</v>
      </c>
      <c r="I24" t="s">
        <v>29</v>
      </c>
      <c r="J24">
        <v>11043</v>
      </c>
      <c r="K24" s="321">
        <v>46114</v>
      </c>
      <c r="L24">
        <v>1010100</v>
      </c>
      <c r="M24" t="s">
        <v>35</v>
      </c>
      <c r="N24">
        <v>-62</v>
      </c>
      <c r="O24" s="32">
        <v>0</v>
      </c>
      <c r="P24" s="32">
        <v>0</v>
      </c>
      <c r="Q24" s="32">
        <v>115968</v>
      </c>
      <c r="R24" s="32">
        <v>0</v>
      </c>
      <c r="S24" s="32">
        <v>0</v>
      </c>
      <c r="T24" s="32">
        <v>0</v>
      </c>
      <c r="U24" s="32">
        <v>0</v>
      </c>
      <c r="V24" s="32">
        <v>0</v>
      </c>
      <c r="W24" s="32">
        <v>0</v>
      </c>
      <c r="X24" s="32">
        <v>0</v>
      </c>
      <c r="Y24" s="32">
        <v>0</v>
      </c>
      <c r="Z24" s="32">
        <v>0</v>
      </c>
      <c r="AA24" s="32">
        <v>0</v>
      </c>
      <c r="AB24" s="32">
        <v>0</v>
      </c>
      <c r="AC24" s="32" t="s">
        <v>536</v>
      </c>
      <c r="AD24" s="32"/>
      <c r="AE24" s="32">
        <v>0</v>
      </c>
    </row>
    <row r="25" spans="1:31" x14ac:dyDescent="0.25">
      <c r="A25">
        <v>1787</v>
      </c>
      <c r="B25" t="s">
        <v>527</v>
      </c>
      <c r="C25" t="s">
        <v>68</v>
      </c>
      <c r="D25" s="35">
        <v>116889.60000000001</v>
      </c>
      <c r="E25">
        <v>1246271830</v>
      </c>
      <c r="F25" s="321">
        <v>46222</v>
      </c>
      <c r="G25" s="321"/>
      <c r="H25" t="s">
        <v>28</v>
      </c>
      <c r="I25" t="s">
        <v>29</v>
      </c>
      <c r="J25">
        <v>11172</v>
      </c>
      <c r="K25" s="321">
        <v>46132</v>
      </c>
      <c r="L25">
        <v>1010100</v>
      </c>
      <c r="M25" t="s">
        <v>35</v>
      </c>
      <c r="N25">
        <v>-80</v>
      </c>
      <c r="O25" s="32">
        <v>0</v>
      </c>
      <c r="P25" s="32">
        <v>0</v>
      </c>
      <c r="Q25" s="32">
        <v>116889.60000000001</v>
      </c>
      <c r="R25" s="32">
        <v>0</v>
      </c>
      <c r="S25" s="32">
        <v>0</v>
      </c>
      <c r="T25" s="32">
        <v>0</v>
      </c>
      <c r="U25" s="32">
        <v>0</v>
      </c>
      <c r="V25" s="32">
        <v>0</v>
      </c>
      <c r="W25" s="32">
        <v>0</v>
      </c>
      <c r="X25" s="32">
        <v>0</v>
      </c>
      <c r="Y25" s="32">
        <v>0</v>
      </c>
      <c r="Z25" s="32">
        <v>0</v>
      </c>
      <c r="AA25" s="32">
        <v>0</v>
      </c>
      <c r="AB25" s="32">
        <v>0</v>
      </c>
      <c r="AC25" s="32" t="s">
        <v>536</v>
      </c>
      <c r="AD25" s="32"/>
      <c r="AE25" s="32">
        <v>0</v>
      </c>
    </row>
    <row r="26" spans="1:31" x14ac:dyDescent="0.25">
      <c r="A26">
        <v>1787</v>
      </c>
      <c r="B26" t="s">
        <v>527</v>
      </c>
      <c r="C26" t="s">
        <v>68</v>
      </c>
      <c r="D26" s="35">
        <v>114201.60000000001</v>
      </c>
      <c r="E26">
        <v>1246262790</v>
      </c>
      <c r="F26" s="321">
        <v>46152</v>
      </c>
      <c r="G26" s="321"/>
      <c r="H26" t="s">
        <v>28</v>
      </c>
      <c r="I26" t="s">
        <v>29</v>
      </c>
      <c r="J26">
        <v>10666</v>
      </c>
      <c r="K26" s="321">
        <v>46062</v>
      </c>
      <c r="L26">
        <v>1010100</v>
      </c>
      <c r="M26" t="s">
        <v>35</v>
      </c>
      <c r="N26">
        <v>-10</v>
      </c>
      <c r="O26" s="32">
        <v>0</v>
      </c>
      <c r="P26" s="32">
        <v>0</v>
      </c>
      <c r="Q26" s="32">
        <v>114201.60000000001</v>
      </c>
      <c r="R26" s="32">
        <v>0</v>
      </c>
      <c r="S26" s="32">
        <v>0</v>
      </c>
      <c r="T26" s="32">
        <v>0</v>
      </c>
      <c r="U26" s="32">
        <v>0</v>
      </c>
      <c r="V26" s="32">
        <v>0</v>
      </c>
      <c r="W26" s="32">
        <v>0</v>
      </c>
      <c r="X26" s="32">
        <v>0</v>
      </c>
      <c r="Y26" s="32">
        <v>0</v>
      </c>
      <c r="Z26" s="32">
        <v>0</v>
      </c>
      <c r="AA26" s="32">
        <v>0</v>
      </c>
      <c r="AB26" s="32">
        <v>0</v>
      </c>
      <c r="AC26" s="32" t="s">
        <v>536</v>
      </c>
      <c r="AD26" s="32"/>
      <c r="AE26" s="32">
        <v>0</v>
      </c>
    </row>
    <row r="27" spans="1:31" x14ac:dyDescent="0.25">
      <c r="A27">
        <v>1787</v>
      </c>
      <c r="B27" t="s">
        <v>527</v>
      </c>
      <c r="C27" t="s">
        <v>68</v>
      </c>
      <c r="D27" s="35">
        <v>108864</v>
      </c>
      <c r="E27">
        <v>1246263600</v>
      </c>
      <c r="F27" s="321">
        <v>46156</v>
      </c>
      <c r="G27" s="321"/>
      <c r="H27" t="s">
        <v>28</v>
      </c>
      <c r="I27" t="s">
        <v>29</v>
      </c>
      <c r="J27">
        <v>10688</v>
      </c>
      <c r="K27" s="321">
        <v>46066</v>
      </c>
      <c r="L27">
        <v>1010100</v>
      </c>
      <c r="M27" t="s">
        <v>35</v>
      </c>
      <c r="N27">
        <v>-14</v>
      </c>
      <c r="O27" s="32">
        <v>0</v>
      </c>
      <c r="P27" s="32">
        <v>0</v>
      </c>
      <c r="Q27" s="32">
        <v>108864</v>
      </c>
      <c r="R27" s="32">
        <v>0</v>
      </c>
      <c r="S27" s="32">
        <v>0</v>
      </c>
      <c r="T27" s="32">
        <v>0</v>
      </c>
      <c r="U27" s="32">
        <v>0</v>
      </c>
      <c r="V27" s="32">
        <v>0</v>
      </c>
      <c r="W27" s="32">
        <v>0</v>
      </c>
      <c r="X27" s="32">
        <v>0</v>
      </c>
      <c r="Y27" s="32">
        <v>0</v>
      </c>
      <c r="Z27" s="32">
        <v>0</v>
      </c>
      <c r="AA27" s="32">
        <v>0</v>
      </c>
      <c r="AB27" s="32">
        <v>0</v>
      </c>
      <c r="AC27" s="32" t="s">
        <v>536</v>
      </c>
      <c r="AD27" s="32"/>
      <c r="AE27" s="32">
        <v>0</v>
      </c>
    </row>
    <row r="28" spans="1:31" x14ac:dyDescent="0.25">
      <c r="A28">
        <v>1787</v>
      </c>
      <c r="B28" t="s">
        <v>527</v>
      </c>
      <c r="C28" t="s">
        <v>68</v>
      </c>
      <c r="D28" s="35">
        <v>110937.60000000001</v>
      </c>
      <c r="E28">
        <v>1246268467</v>
      </c>
      <c r="F28" s="321">
        <v>46190</v>
      </c>
      <c r="G28" s="321"/>
      <c r="H28" t="s">
        <v>28</v>
      </c>
      <c r="I28" t="s">
        <v>29</v>
      </c>
      <c r="J28">
        <v>10936</v>
      </c>
      <c r="K28" s="321">
        <v>46100</v>
      </c>
      <c r="L28">
        <v>1010100</v>
      </c>
      <c r="M28" t="s">
        <v>35</v>
      </c>
      <c r="N28">
        <v>-48</v>
      </c>
      <c r="O28" s="32">
        <v>0</v>
      </c>
      <c r="P28" s="32">
        <v>0</v>
      </c>
      <c r="Q28" s="32">
        <v>110937.60000000001</v>
      </c>
      <c r="R28" s="32">
        <v>0</v>
      </c>
      <c r="S28" s="32">
        <v>0</v>
      </c>
      <c r="T28" s="32">
        <v>0</v>
      </c>
      <c r="U28" s="32">
        <v>0</v>
      </c>
      <c r="V28" s="32">
        <v>0</v>
      </c>
      <c r="W28" s="32">
        <v>0</v>
      </c>
      <c r="X28" s="32">
        <v>0</v>
      </c>
      <c r="Y28" s="32">
        <v>0</v>
      </c>
      <c r="Z28" s="32">
        <v>0</v>
      </c>
      <c r="AA28" s="32">
        <v>0</v>
      </c>
      <c r="AB28" s="32">
        <v>0</v>
      </c>
      <c r="AC28" s="32" t="s">
        <v>536</v>
      </c>
      <c r="AD28" s="32"/>
      <c r="AE28" s="32">
        <v>0</v>
      </c>
    </row>
    <row r="29" spans="1:31" x14ac:dyDescent="0.25">
      <c r="A29">
        <v>1787</v>
      </c>
      <c r="B29" t="s">
        <v>527</v>
      </c>
      <c r="C29" t="s">
        <v>68</v>
      </c>
      <c r="D29" s="35">
        <v>116889.60000000001</v>
      </c>
      <c r="E29">
        <v>1246271678</v>
      </c>
      <c r="F29" s="321">
        <v>46219</v>
      </c>
      <c r="G29" s="321"/>
      <c r="H29" t="s">
        <v>28</v>
      </c>
      <c r="I29" t="s">
        <v>29</v>
      </c>
      <c r="J29">
        <v>11157</v>
      </c>
      <c r="K29" s="321">
        <v>46129</v>
      </c>
      <c r="L29">
        <v>1010100</v>
      </c>
      <c r="M29" t="s">
        <v>35</v>
      </c>
      <c r="N29">
        <v>-77</v>
      </c>
      <c r="O29" s="32">
        <v>0</v>
      </c>
      <c r="P29" s="32">
        <v>0</v>
      </c>
      <c r="Q29" s="32">
        <v>116889.60000000001</v>
      </c>
      <c r="R29" s="32">
        <v>0</v>
      </c>
      <c r="S29" s="32">
        <v>0</v>
      </c>
      <c r="T29" s="32">
        <v>0</v>
      </c>
      <c r="U29" s="32">
        <v>0</v>
      </c>
      <c r="V29" s="32">
        <v>0</v>
      </c>
      <c r="W29" s="32">
        <v>0</v>
      </c>
      <c r="X29" s="32">
        <v>0</v>
      </c>
      <c r="Y29" s="32">
        <v>0</v>
      </c>
      <c r="Z29" s="32">
        <v>0</v>
      </c>
      <c r="AA29" s="32">
        <v>0</v>
      </c>
      <c r="AB29" s="32">
        <v>0</v>
      </c>
      <c r="AC29" s="32" t="s">
        <v>536</v>
      </c>
      <c r="AD29" s="32"/>
      <c r="AE29" s="32">
        <v>0</v>
      </c>
    </row>
    <row r="30" spans="1:31" x14ac:dyDescent="0.25">
      <c r="A30">
        <v>1787</v>
      </c>
      <c r="B30" t="s">
        <v>527</v>
      </c>
      <c r="C30" t="s">
        <v>68</v>
      </c>
      <c r="D30" s="35">
        <v>110131.2</v>
      </c>
      <c r="E30">
        <v>1246272134</v>
      </c>
      <c r="F30" s="321">
        <v>46224</v>
      </c>
      <c r="G30" s="321"/>
      <c r="H30" t="s">
        <v>28</v>
      </c>
      <c r="I30" t="s">
        <v>29</v>
      </c>
      <c r="J30">
        <v>11192</v>
      </c>
      <c r="K30" s="321">
        <v>46134</v>
      </c>
      <c r="L30">
        <v>1010100</v>
      </c>
      <c r="M30" t="s">
        <v>35</v>
      </c>
      <c r="N30">
        <v>-82</v>
      </c>
      <c r="O30" s="32">
        <v>0</v>
      </c>
      <c r="P30" s="32">
        <v>0</v>
      </c>
      <c r="Q30" s="32">
        <v>110131.2</v>
      </c>
      <c r="R30" s="32">
        <v>0</v>
      </c>
      <c r="S30" s="32">
        <v>0</v>
      </c>
      <c r="T30" s="32">
        <v>0</v>
      </c>
      <c r="U30" s="32">
        <v>0</v>
      </c>
      <c r="V30" s="32">
        <v>0</v>
      </c>
      <c r="W30" s="32">
        <v>0</v>
      </c>
      <c r="X30" s="32">
        <v>0</v>
      </c>
      <c r="Y30" s="32">
        <v>0</v>
      </c>
      <c r="Z30" s="32">
        <v>0</v>
      </c>
      <c r="AA30" s="32">
        <v>0</v>
      </c>
      <c r="AB30" s="32">
        <v>0</v>
      </c>
      <c r="AC30" s="32" t="s">
        <v>536</v>
      </c>
      <c r="AD30" s="32"/>
      <c r="AE30" s="32">
        <v>0</v>
      </c>
    </row>
    <row r="31" spans="1:31" x14ac:dyDescent="0.25">
      <c r="A31">
        <v>1787</v>
      </c>
      <c r="B31" t="s">
        <v>527</v>
      </c>
      <c r="C31" t="s">
        <v>68</v>
      </c>
      <c r="D31" s="35">
        <v>112358.39999999999</v>
      </c>
      <c r="E31">
        <v>1246272202</v>
      </c>
      <c r="F31" s="321">
        <v>46225</v>
      </c>
      <c r="G31" s="321"/>
      <c r="H31" t="s">
        <v>28</v>
      </c>
      <c r="I31" t="s">
        <v>29</v>
      </c>
      <c r="J31">
        <v>11197</v>
      </c>
      <c r="K31" s="321">
        <v>46135</v>
      </c>
      <c r="L31">
        <v>1010100</v>
      </c>
      <c r="M31" t="s">
        <v>35</v>
      </c>
      <c r="N31">
        <v>-83</v>
      </c>
      <c r="O31" s="32">
        <v>0</v>
      </c>
      <c r="P31" s="32">
        <v>0</v>
      </c>
      <c r="Q31" s="32">
        <v>112358.39999999999</v>
      </c>
      <c r="R31" s="32">
        <v>0</v>
      </c>
      <c r="S31" s="32">
        <v>0</v>
      </c>
      <c r="T31" s="32">
        <v>0</v>
      </c>
      <c r="U31" s="32">
        <v>0</v>
      </c>
      <c r="V31" s="32">
        <v>0</v>
      </c>
      <c r="W31" s="32">
        <v>0</v>
      </c>
      <c r="X31" s="32">
        <v>0</v>
      </c>
      <c r="Y31" s="32">
        <v>0</v>
      </c>
      <c r="Z31" s="32">
        <v>0</v>
      </c>
      <c r="AA31" s="32">
        <v>0</v>
      </c>
      <c r="AB31" s="32">
        <v>0</v>
      </c>
      <c r="AC31" s="32" t="s">
        <v>536</v>
      </c>
      <c r="AD31" s="32"/>
      <c r="AE31" s="32">
        <v>0</v>
      </c>
    </row>
    <row r="32" spans="1:31" x14ac:dyDescent="0.25">
      <c r="A32">
        <v>1787</v>
      </c>
      <c r="B32" t="s">
        <v>527</v>
      </c>
      <c r="C32" t="s">
        <v>68</v>
      </c>
      <c r="D32" s="35">
        <v>110592</v>
      </c>
      <c r="E32">
        <v>1246269420</v>
      </c>
      <c r="F32" s="321">
        <v>46198</v>
      </c>
      <c r="G32" s="321"/>
      <c r="H32" t="s">
        <v>28</v>
      </c>
      <c r="I32" t="s">
        <v>29</v>
      </c>
      <c r="J32">
        <v>10989</v>
      </c>
      <c r="K32" s="321">
        <v>46108</v>
      </c>
      <c r="L32">
        <v>1010100</v>
      </c>
      <c r="M32" t="s">
        <v>35</v>
      </c>
      <c r="N32">
        <v>-56</v>
      </c>
      <c r="O32" s="32">
        <v>0</v>
      </c>
      <c r="P32" s="32">
        <v>0</v>
      </c>
      <c r="Q32" s="32">
        <v>110592</v>
      </c>
      <c r="R32" s="32">
        <v>0</v>
      </c>
      <c r="S32" s="32">
        <v>0</v>
      </c>
      <c r="T32" s="32">
        <v>0</v>
      </c>
      <c r="U32" s="32">
        <v>0</v>
      </c>
      <c r="V32" s="32">
        <v>0</v>
      </c>
      <c r="W32" s="32">
        <v>0</v>
      </c>
      <c r="X32" s="32">
        <v>0</v>
      </c>
      <c r="Y32" s="32">
        <v>0</v>
      </c>
      <c r="Z32" s="32">
        <v>0</v>
      </c>
      <c r="AA32" s="32">
        <v>0</v>
      </c>
      <c r="AB32" s="32">
        <v>0</v>
      </c>
      <c r="AC32" s="32" t="s">
        <v>536</v>
      </c>
      <c r="AD32" s="32"/>
      <c r="AE32" s="32">
        <v>0</v>
      </c>
    </row>
    <row r="33" spans="1:31" x14ac:dyDescent="0.25">
      <c r="A33">
        <v>1787</v>
      </c>
      <c r="B33" t="s">
        <v>527</v>
      </c>
      <c r="C33" t="s">
        <v>68</v>
      </c>
      <c r="D33" s="35">
        <v>114393.60000000001</v>
      </c>
      <c r="E33">
        <v>1246263371</v>
      </c>
      <c r="F33" s="321">
        <v>46154</v>
      </c>
      <c r="G33" s="321"/>
      <c r="H33" t="s">
        <v>28</v>
      </c>
      <c r="I33" t="s">
        <v>29</v>
      </c>
      <c r="J33">
        <v>10678</v>
      </c>
      <c r="K33" s="321">
        <v>46064</v>
      </c>
      <c r="L33">
        <v>1010100</v>
      </c>
      <c r="M33" t="s">
        <v>35</v>
      </c>
      <c r="N33">
        <v>-12</v>
      </c>
      <c r="O33" s="32">
        <v>0</v>
      </c>
      <c r="P33" s="32">
        <v>0</v>
      </c>
      <c r="Q33" s="32">
        <v>114393.60000000001</v>
      </c>
      <c r="R33" s="32">
        <v>0</v>
      </c>
      <c r="S33" s="32">
        <v>0</v>
      </c>
      <c r="T33" s="32">
        <v>0</v>
      </c>
      <c r="U33" s="32">
        <v>0</v>
      </c>
      <c r="V33" s="32">
        <v>0</v>
      </c>
      <c r="W33" s="32">
        <v>0</v>
      </c>
      <c r="X33" s="32">
        <v>0</v>
      </c>
      <c r="Y33" s="32">
        <v>0</v>
      </c>
      <c r="Z33" s="32">
        <v>0</v>
      </c>
      <c r="AA33" s="32">
        <v>0</v>
      </c>
      <c r="AB33" s="32">
        <v>0</v>
      </c>
      <c r="AC33" s="32" t="s">
        <v>536</v>
      </c>
      <c r="AD33" s="32"/>
      <c r="AE33" s="32">
        <v>0</v>
      </c>
    </row>
    <row r="34" spans="1:31" x14ac:dyDescent="0.25">
      <c r="A34">
        <v>1787</v>
      </c>
      <c r="B34" t="s">
        <v>527</v>
      </c>
      <c r="C34" t="s">
        <v>68</v>
      </c>
      <c r="D34" s="35">
        <v>116006.39999999999</v>
      </c>
      <c r="E34">
        <v>1246267015</v>
      </c>
      <c r="F34" s="321">
        <v>46180</v>
      </c>
      <c r="G34" s="321"/>
      <c r="H34" t="s">
        <v>28</v>
      </c>
      <c r="I34" t="s">
        <v>29</v>
      </c>
      <c r="J34">
        <v>10844</v>
      </c>
      <c r="K34" s="321">
        <v>46090</v>
      </c>
      <c r="L34">
        <v>1010100</v>
      </c>
      <c r="M34" t="s">
        <v>35</v>
      </c>
      <c r="N34">
        <v>-38</v>
      </c>
      <c r="O34" s="32">
        <v>0</v>
      </c>
      <c r="P34" s="32">
        <v>0</v>
      </c>
      <c r="Q34" s="32">
        <v>116006.39999999999</v>
      </c>
      <c r="R34" s="32">
        <v>0</v>
      </c>
      <c r="S34" s="32">
        <v>0</v>
      </c>
      <c r="T34" s="32">
        <v>0</v>
      </c>
      <c r="U34" s="32">
        <v>0</v>
      </c>
      <c r="V34" s="32">
        <v>0</v>
      </c>
      <c r="W34" s="32">
        <v>0</v>
      </c>
      <c r="X34" s="32">
        <v>0</v>
      </c>
      <c r="Y34" s="32">
        <v>0</v>
      </c>
      <c r="Z34" s="32">
        <v>0</v>
      </c>
      <c r="AA34" s="32">
        <v>0</v>
      </c>
      <c r="AB34" s="32">
        <v>0</v>
      </c>
      <c r="AC34" s="32" t="s">
        <v>536</v>
      </c>
      <c r="AD34" s="32"/>
      <c r="AE34" s="32">
        <v>0</v>
      </c>
    </row>
    <row r="35" spans="1:31" x14ac:dyDescent="0.25">
      <c r="A35">
        <v>1787</v>
      </c>
      <c r="B35" t="s">
        <v>527</v>
      </c>
      <c r="C35" t="s">
        <v>68</v>
      </c>
      <c r="D35" s="35">
        <v>111552</v>
      </c>
      <c r="E35">
        <v>1246269890</v>
      </c>
      <c r="F35" s="321">
        <v>46203</v>
      </c>
      <c r="G35" s="321"/>
      <c r="H35" t="s">
        <v>28</v>
      </c>
      <c r="I35" t="s">
        <v>29</v>
      </c>
      <c r="J35">
        <v>11025</v>
      </c>
      <c r="K35" s="321">
        <v>46113</v>
      </c>
      <c r="L35">
        <v>1010100</v>
      </c>
      <c r="M35" t="s">
        <v>35</v>
      </c>
      <c r="N35">
        <v>-61</v>
      </c>
      <c r="O35" s="32">
        <v>0</v>
      </c>
      <c r="P35" s="32">
        <v>0</v>
      </c>
      <c r="Q35" s="32">
        <v>111552</v>
      </c>
      <c r="R35" s="32">
        <v>0</v>
      </c>
      <c r="S35" s="32">
        <v>0</v>
      </c>
      <c r="T35" s="32">
        <v>0</v>
      </c>
      <c r="U35" s="32">
        <v>0</v>
      </c>
      <c r="V35" s="32">
        <v>0</v>
      </c>
      <c r="W35" s="32">
        <v>0</v>
      </c>
      <c r="X35" s="32">
        <v>0</v>
      </c>
      <c r="Y35" s="32">
        <v>0</v>
      </c>
      <c r="Z35" s="32">
        <v>0</v>
      </c>
      <c r="AA35" s="32">
        <v>0</v>
      </c>
      <c r="AB35" s="32">
        <v>0</v>
      </c>
      <c r="AC35" s="32" t="s">
        <v>536</v>
      </c>
      <c r="AD35" s="32"/>
      <c r="AE35" s="32">
        <v>0</v>
      </c>
    </row>
    <row r="36" spans="1:31" x14ac:dyDescent="0.25">
      <c r="A36">
        <v>1787</v>
      </c>
      <c r="B36" t="s">
        <v>527</v>
      </c>
      <c r="C36" t="s">
        <v>68</v>
      </c>
      <c r="D36" s="35">
        <v>112204.8</v>
      </c>
      <c r="E36">
        <v>1246269591</v>
      </c>
      <c r="F36" s="321">
        <v>46201</v>
      </c>
      <c r="G36" s="321"/>
      <c r="H36" t="s">
        <v>28</v>
      </c>
      <c r="I36" t="s">
        <v>29</v>
      </c>
      <c r="J36">
        <v>11002</v>
      </c>
      <c r="K36" s="321">
        <v>46111</v>
      </c>
      <c r="L36">
        <v>1010100</v>
      </c>
      <c r="M36" t="s">
        <v>35</v>
      </c>
      <c r="N36">
        <v>-59</v>
      </c>
      <c r="O36" s="32">
        <v>0</v>
      </c>
      <c r="P36" s="32">
        <v>0</v>
      </c>
      <c r="Q36" s="32">
        <v>112204.8</v>
      </c>
      <c r="R36" s="32">
        <v>0</v>
      </c>
      <c r="S36" s="32">
        <v>0</v>
      </c>
      <c r="T36" s="32">
        <v>0</v>
      </c>
      <c r="U36" s="32">
        <v>0</v>
      </c>
      <c r="V36" s="32">
        <v>0</v>
      </c>
      <c r="W36" s="32">
        <v>0</v>
      </c>
      <c r="X36" s="32">
        <v>0</v>
      </c>
      <c r="Y36" s="32">
        <v>0</v>
      </c>
      <c r="Z36" s="32">
        <v>0</v>
      </c>
      <c r="AA36" s="32">
        <v>0</v>
      </c>
      <c r="AB36" s="32">
        <v>0</v>
      </c>
      <c r="AC36" s="32" t="s">
        <v>536</v>
      </c>
      <c r="AD36" s="32"/>
      <c r="AE36" s="32">
        <v>0</v>
      </c>
    </row>
    <row r="37" spans="1:31" x14ac:dyDescent="0.25">
      <c r="A37">
        <v>1787</v>
      </c>
      <c r="B37" t="s">
        <v>527</v>
      </c>
      <c r="C37" t="s">
        <v>68</v>
      </c>
      <c r="D37" s="35">
        <v>112588.8</v>
      </c>
      <c r="E37">
        <v>1246263994</v>
      </c>
      <c r="F37" s="321">
        <v>46161</v>
      </c>
      <c r="G37" s="321"/>
      <c r="H37" t="s">
        <v>28</v>
      </c>
      <c r="I37" t="s">
        <v>29</v>
      </c>
      <c r="J37">
        <v>10714</v>
      </c>
      <c r="K37" s="321">
        <v>46071</v>
      </c>
      <c r="L37">
        <v>1010100</v>
      </c>
      <c r="M37" t="s">
        <v>35</v>
      </c>
      <c r="N37">
        <v>-19</v>
      </c>
      <c r="O37" s="32">
        <v>0</v>
      </c>
      <c r="P37" s="32">
        <v>0</v>
      </c>
      <c r="Q37" s="32">
        <v>112588.8</v>
      </c>
      <c r="R37" s="32">
        <v>0</v>
      </c>
      <c r="S37" s="32">
        <v>0</v>
      </c>
      <c r="T37" s="32">
        <v>0</v>
      </c>
      <c r="U37" s="32">
        <v>0</v>
      </c>
      <c r="V37" s="32">
        <v>0</v>
      </c>
      <c r="W37" s="32">
        <v>0</v>
      </c>
      <c r="X37" s="32">
        <v>0</v>
      </c>
      <c r="Y37" s="32">
        <v>0</v>
      </c>
      <c r="Z37" s="32">
        <v>0</v>
      </c>
      <c r="AA37" s="32">
        <v>0</v>
      </c>
      <c r="AB37" s="32">
        <v>0</v>
      </c>
      <c r="AC37" s="32" t="s">
        <v>536</v>
      </c>
      <c r="AD37" s="32"/>
      <c r="AE37" s="32">
        <v>0</v>
      </c>
    </row>
    <row r="38" spans="1:31" x14ac:dyDescent="0.25">
      <c r="A38">
        <v>1787</v>
      </c>
      <c r="B38" t="s">
        <v>527</v>
      </c>
      <c r="C38" t="s">
        <v>68</v>
      </c>
      <c r="D38" s="35">
        <v>116121.60000000001</v>
      </c>
      <c r="E38">
        <v>1246270879</v>
      </c>
      <c r="F38" s="321">
        <v>46211</v>
      </c>
      <c r="G38" s="321"/>
      <c r="H38" t="s">
        <v>28</v>
      </c>
      <c r="I38" t="s">
        <v>29</v>
      </c>
      <c r="J38">
        <v>11080</v>
      </c>
      <c r="K38" s="321">
        <v>46121</v>
      </c>
      <c r="L38">
        <v>1010100</v>
      </c>
      <c r="M38" t="s">
        <v>35</v>
      </c>
      <c r="N38">
        <v>-69</v>
      </c>
      <c r="O38" s="32">
        <v>0</v>
      </c>
      <c r="P38" s="32">
        <v>0</v>
      </c>
      <c r="Q38" s="32">
        <v>116121.60000000001</v>
      </c>
      <c r="R38" s="32">
        <v>0</v>
      </c>
      <c r="S38" s="32">
        <v>0</v>
      </c>
      <c r="T38" s="32">
        <v>0</v>
      </c>
      <c r="U38" s="32">
        <v>0</v>
      </c>
      <c r="V38" s="32">
        <v>0</v>
      </c>
      <c r="W38" s="32">
        <v>0</v>
      </c>
      <c r="X38" s="32">
        <v>0</v>
      </c>
      <c r="Y38" s="32">
        <v>0</v>
      </c>
      <c r="Z38" s="32">
        <v>0</v>
      </c>
      <c r="AA38" s="32">
        <v>0</v>
      </c>
      <c r="AB38" s="32">
        <v>0</v>
      </c>
      <c r="AC38" s="32" t="s">
        <v>536</v>
      </c>
      <c r="AD38" s="32"/>
      <c r="AE38" s="32">
        <v>0</v>
      </c>
    </row>
    <row r="39" spans="1:31" x14ac:dyDescent="0.25">
      <c r="A39">
        <v>1787</v>
      </c>
      <c r="B39" t="s">
        <v>527</v>
      </c>
      <c r="C39" t="s">
        <v>68</v>
      </c>
      <c r="D39" s="35">
        <v>115315.2</v>
      </c>
      <c r="E39">
        <v>1246265189</v>
      </c>
      <c r="F39" s="321">
        <v>46168</v>
      </c>
      <c r="G39" s="321"/>
      <c r="H39" t="s">
        <v>28</v>
      </c>
      <c r="I39" t="s">
        <v>29</v>
      </c>
      <c r="J39">
        <v>10768</v>
      </c>
      <c r="K39" s="321">
        <v>46078</v>
      </c>
      <c r="L39">
        <v>1010100</v>
      </c>
      <c r="M39" t="s">
        <v>35</v>
      </c>
      <c r="N39">
        <v>-26</v>
      </c>
      <c r="O39" s="32">
        <v>0</v>
      </c>
      <c r="P39" s="32">
        <v>0</v>
      </c>
      <c r="Q39" s="32">
        <v>115315.2</v>
      </c>
      <c r="R39" s="32">
        <v>0</v>
      </c>
      <c r="S39" s="32">
        <v>0</v>
      </c>
      <c r="T39" s="32">
        <v>0</v>
      </c>
      <c r="U39" s="32">
        <v>0</v>
      </c>
      <c r="V39" s="32">
        <v>0</v>
      </c>
      <c r="W39" s="32">
        <v>0</v>
      </c>
      <c r="X39" s="32">
        <v>0</v>
      </c>
      <c r="Y39" s="32">
        <v>0</v>
      </c>
      <c r="Z39" s="32">
        <v>0</v>
      </c>
      <c r="AA39" s="32">
        <v>0</v>
      </c>
      <c r="AB39" s="32">
        <v>0</v>
      </c>
      <c r="AC39" s="32" t="s">
        <v>536</v>
      </c>
      <c r="AD39" s="32"/>
      <c r="AE39" s="32">
        <v>0</v>
      </c>
    </row>
    <row r="40" spans="1:31" x14ac:dyDescent="0.25">
      <c r="A40">
        <v>1787</v>
      </c>
      <c r="B40" t="s">
        <v>527</v>
      </c>
      <c r="C40" t="s">
        <v>68</v>
      </c>
      <c r="D40" s="35">
        <v>115468.8</v>
      </c>
      <c r="E40">
        <v>1246266348</v>
      </c>
      <c r="F40" s="321">
        <v>46175</v>
      </c>
      <c r="G40" s="321"/>
      <c r="H40" t="s">
        <v>28</v>
      </c>
      <c r="I40" t="s">
        <v>29</v>
      </c>
      <c r="J40">
        <v>10811</v>
      </c>
      <c r="K40" s="321">
        <v>46085</v>
      </c>
      <c r="L40">
        <v>1010100</v>
      </c>
      <c r="M40" t="s">
        <v>35</v>
      </c>
      <c r="N40">
        <v>-33</v>
      </c>
      <c r="O40" s="32">
        <v>0</v>
      </c>
      <c r="P40" s="32">
        <v>0</v>
      </c>
      <c r="Q40" s="32">
        <v>115468.8</v>
      </c>
      <c r="R40" s="32">
        <v>0</v>
      </c>
      <c r="S40" s="32">
        <v>0</v>
      </c>
      <c r="T40" s="32">
        <v>0</v>
      </c>
      <c r="U40" s="32">
        <v>0</v>
      </c>
      <c r="V40" s="32">
        <v>0</v>
      </c>
      <c r="W40" s="32">
        <v>0</v>
      </c>
      <c r="X40" s="32">
        <v>0</v>
      </c>
      <c r="Y40" s="32">
        <v>0</v>
      </c>
      <c r="Z40" s="32">
        <v>0</v>
      </c>
      <c r="AA40" s="32">
        <v>0</v>
      </c>
      <c r="AB40" s="32">
        <v>0</v>
      </c>
      <c r="AC40" s="32" t="s">
        <v>536</v>
      </c>
      <c r="AD40" s="32"/>
      <c r="AE40" s="32">
        <v>0</v>
      </c>
    </row>
    <row r="41" spans="1:31" x14ac:dyDescent="0.25">
      <c r="A41">
        <v>1787</v>
      </c>
      <c r="B41" t="s">
        <v>527</v>
      </c>
      <c r="C41" t="s">
        <v>68</v>
      </c>
      <c r="D41" s="35">
        <v>114086.39999999999</v>
      </c>
      <c r="E41">
        <v>1246267743</v>
      </c>
      <c r="F41" s="321">
        <v>46184</v>
      </c>
      <c r="G41" s="321"/>
      <c r="H41" t="s">
        <v>28</v>
      </c>
      <c r="I41" t="s">
        <v>29</v>
      </c>
      <c r="J41">
        <v>10882</v>
      </c>
      <c r="K41" s="321">
        <v>46094</v>
      </c>
      <c r="L41">
        <v>1010100</v>
      </c>
      <c r="M41" t="s">
        <v>35</v>
      </c>
      <c r="N41">
        <v>-42</v>
      </c>
      <c r="O41" s="32">
        <v>0</v>
      </c>
      <c r="P41" s="32">
        <v>0</v>
      </c>
      <c r="Q41" s="32">
        <v>114086.39999999999</v>
      </c>
      <c r="R41" s="32">
        <v>0</v>
      </c>
      <c r="S41" s="32">
        <v>0</v>
      </c>
      <c r="T41" s="32">
        <v>0</v>
      </c>
      <c r="U41" s="32">
        <v>0</v>
      </c>
      <c r="V41" s="32">
        <v>0</v>
      </c>
      <c r="W41" s="32">
        <v>0</v>
      </c>
      <c r="X41" s="32">
        <v>0</v>
      </c>
      <c r="Y41" s="32">
        <v>0</v>
      </c>
      <c r="Z41" s="32">
        <v>0</v>
      </c>
      <c r="AA41" s="32">
        <v>0</v>
      </c>
      <c r="AB41" s="32">
        <v>0</v>
      </c>
      <c r="AC41" s="32" t="s">
        <v>536</v>
      </c>
      <c r="AD41" s="32"/>
      <c r="AE41" s="32">
        <v>0</v>
      </c>
    </row>
    <row r="42" spans="1:31" x14ac:dyDescent="0.25">
      <c r="A42">
        <v>1788</v>
      </c>
      <c r="B42" t="s">
        <v>527</v>
      </c>
      <c r="C42" t="s">
        <v>70</v>
      </c>
      <c r="D42" s="35">
        <v>5400</v>
      </c>
      <c r="E42">
        <v>1246055599</v>
      </c>
      <c r="F42" s="321">
        <v>44889</v>
      </c>
      <c r="G42" s="321"/>
      <c r="H42" t="s">
        <v>28</v>
      </c>
      <c r="I42" t="s">
        <v>29</v>
      </c>
      <c r="J42">
        <v>1246055599</v>
      </c>
      <c r="K42" s="321">
        <v>44889</v>
      </c>
      <c r="L42">
        <v>3041000</v>
      </c>
      <c r="M42" t="s">
        <v>137</v>
      </c>
      <c r="N42">
        <v>1253</v>
      </c>
      <c r="O42" s="32">
        <v>0</v>
      </c>
      <c r="P42" s="32">
        <v>5400</v>
      </c>
      <c r="Q42" s="32">
        <v>0</v>
      </c>
      <c r="R42" s="32">
        <v>0</v>
      </c>
      <c r="S42" s="32">
        <v>0</v>
      </c>
      <c r="T42" s="32">
        <v>0</v>
      </c>
      <c r="U42" s="32">
        <v>5400</v>
      </c>
      <c r="V42" s="32">
        <v>0</v>
      </c>
      <c r="W42" s="32">
        <v>162</v>
      </c>
      <c r="X42" s="32">
        <v>5238</v>
      </c>
      <c r="Y42" s="32">
        <v>5238</v>
      </c>
      <c r="Z42" s="32">
        <v>5400</v>
      </c>
      <c r="AA42" s="32">
        <v>0</v>
      </c>
      <c r="AB42" s="32">
        <v>5400</v>
      </c>
      <c r="AC42" s="32" t="s">
        <v>536</v>
      </c>
      <c r="AD42" s="32"/>
      <c r="AE42" s="32">
        <v>5400</v>
      </c>
    </row>
    <row r="43" spans="1:31" x14ac:dyDescent="0.25">
      <c r="A43">
        <v>1788</v>
      </c>
      <c r="B43" t="s">
        <v>527</v>
      </c>
      <c r="C43" t="s">
        <v>70</v>
      </c>
      <c r="D43" s="35">
        <v>1200</v>
      </c>
      <c r="E43">
        <v>1246190701</v>
      </c>
      <c r="F43" s="321">
        <v>45674</v>
      </c>
      <c r="G43" s="321"/>
      <c r="H43" t="s">
        <v>28</v>
      </c>
      <c r="I43" t="s">
        <v>29</v>
      </c>
      <c r="J43">
        <v>1246190701</v>
      </c>
      <c r="K43" s="321">
        <v>45659</v>
      </c>
      <c r="L43">
        <v>3041000</v>
      </c>
      <c r="M43" t="s">
        <v>137</v>
      </c>
      <c r="N43">
        <v>468</v>
      </c>
      <c r="O43" s="32">
        <v>0</v>
      </c>
      <c r="P43" s="32">
        <v>1200</v>
      </c>
      <c r="Q43" s="32">
        <v>0</v>
      </c>
      <c r="R43" s="32">
        <v>0</v>
      </c>
      <c r="S43" s="32">
        <v>0</v>
      </c>
      <c r="T43" s="32">
        <v>0</v>
      </c>
      <c r="U43" s="32">
        <v>1200</v>
      </c>
      <c r="V43" s="32">
        <v>0</v>
      </c>
      <c r="W43" s="32">
        <v>36</v>
      </c>
      <c r="X43" s="32">
        <v>1164</v>
      </c>
      <c r="Y43" s="32">
        <v>1164</v>
      </c>
      <c r="Z43" s="32">
        <v>1200</v>
      </c>
      <c r="AA43" s="32">
        <v>0</v>
      </c>
      <c r="AB43" s="32">
        <v>1200</v>
      </c>
      <c r="AC43" s="32" t="s">
        <v>536</v>
      </c>
      <c r="AD43" s="32"/>
      <c r="AE43" s="32">
        <v>1200</v>
      </c>
    </row>
    <row r="44" spans="1:31" x14ac:dyDescent="0.25">
      <c r="A44">
        <v>1788</v>
      </c>
      <c r="B44" t="s">
        <v>527</v>
      </c>
      <c r="C44" t="s">
        <v>70</v>
      </c>
      <c r="D44" s="35">
        <v>116928</v>
      </c>
      <c r="E44">
        <v>1246267567</v>
      </c>
      <c r="F44" s="321">
        <v>46183</v>
      </c>
      <c r="G44" s="321"/>
      <c r="H44" t="s">
        <v>28</v>
      </c>
      <c r="I44" t="s">
        <v>29</v>
      </c>
      <c r="J44">
        <v>10870</v>
      </c>
      <c r="K44" s="321">
        <v>46093</v>
      </c>
      <c r="L44">
        <v>1010100</v>
      </c>
      <c r="M44" t="s">
        <v>35</v>
      </c>
      <c r="N44">
        <v>-41</v>
      </c>
      <c r="O44" s="32">
        <v>0</v>
      </c>
      <c r="P44" s="32">
        <v>0</v>
      </c>
      <c r="Q44" s="32">
        <v>116928</v>
      </c>
      <c r="R44" s="32">
        <v>0</v>
      </c>
      <c r="S44" s="32">
        <v>0</v>
      </c>
      <c r="T44" s="32">
        <v>0</v>
      </c>
      <c r="U44" s="32">
        <v>0</v>
      </c>
      <c r="V44" s="32">
        <v>0</v>
      </c>
      <c r="W44" s="32">
        <v>0</v>
      </c>
      <c r="X44" s="32">
        <v>0</v>
      </c>
      <c r="Y44" s="32">
        <v>0</v>
      </c>
      <c r="Z44" s="32">
        <v>0</v>
      </c>
      <c r="AA44" s="32">
        <v>0</v>
      </c>
      <c r="AB44" s="32">
        <v>0</v>
      </c>
      <c r="AC44" s="32" t="s">
        <v>536</v>
      </c>
      <c r="AD44" s="32"/>
      <c r="AE44" s="32">
        <v>0</v>
      </c>
    </row>
    <row r="45" spans="1:31" x14ac:dyDescent="0.25">
      <c r="A45">
        <v>1788</v>
      </c>
      <c r="B45" t="s">
        <v>527</v>
      </c>
      <c r="C45" t="s">
        <v>70</v>
      </c>
      <c r="D45" s="35">
        <v>117120</v>
      </c>
      <c r="E45">
        <v>1246270425</v>
      </c>
      <c r="F45" s="321">
        <v>46208</v>
      </c>
      <c r="G45" s="321"/>
      <c r="H45" t="s">
        <v>28</v>
      </c>
      <c r="I45" t="s">
        <v>29</v>
      </c>
      <c r="J45">
        <v>11060</v>
      </c>
      <c r="K45" s="321">
        <v>46118</v>
      </c>
      <c r="L45">
        <v>1010100</v>
      </c>
      <c r="M45" t="s">
        <v>35</v>
      </c>
      <c r="N45">
        <v>-66</v>
      </c>
      <c r="O45" s="32">
        <v>0</v>
      </c>
      <c r="P45" s="32">
        <v>0</v>
      </c>
      <c r="Q45" s="32">
        <v>117120</v>
      </c>
      <c r="R45" s="32">
        <v>0</v>
      </c>
      <c r="S45" s="32">
        <v>0</v>
      </c>
      <c r="T45" s="32">
        <v>0</v>
      </c>
      <c r="U45" s="32">
        <v>0</v>
      </c>
      <c r="V45" s="32">
        <v>0</v>
      </c>
      <c r="W45" s="32">
        <v>0</v>
      </c>
      <c r="X45" s="32">
        <v>0</v>
      </c>
      <c r="Y45" s="32">
        <v>0</v>
      </c>
      <c r="Z45" s="32">
        <v>0</v>
      </c>
      <c r="AA45" s="32">
        <v>0</v>
      </c>
      <c r="AB45" s="32">
        <v>0</v>
      </c>
      <c r="AC45" s="32" t="s">
        <v>536</v>
      </c>
      <c r="AD45" s="32"/>
      <c r="AE45" s="32">
        <v>0</v>
      </c>
    </row>
    <row r="46" spans="1:31" x14ac:dyDescent="0.25">
      <c r="A46">
        <v>1789</v>
      </c>
      <c r="B46" t="s">
        <v>527</v>
      </c>
      <c r="C46" t="s">
        <v>72</v>
      </c>
      <c r="D46" s="35">
        <v>2700</v>
      </c>
      <c r="E46">
        <v>1246120461</v>
      </c>
      <c r="F46" s="321">
        <v>45294</v>
      </c>
      <c r="G46" s="321"/>
      <c r="H46" t="s">
        <v>28</v>
      </c>
      <c r="I46" t="s">
        <v>29</v>
      </c>
      <c r="J46">
        <v>191223</v>
      </c>
      <c r="K46" s="321">
        <v>45279</v>
      </c>
      <c r="L46">
        <v>3041000</v>
      </c>
      <c r="M46" t="s">
        <v>137</v>
      </c>
      <c r="N46">
        <v>848</v>
      </c>
      <c r="O46" s="32">
        <v>0</v>
      </c>
      <c r="P46" s="32">
        <v>2700</v>
      </c>
      <c r="Q46" s="32">
        <v>0</v>
      </c>
      <c r="R46" s="32">
        <v>0</v>
      </c>
      <c r="S46" s="32">
        <v>0</v>
      </c>
      <c r="T46" s="32">
        <v>0</v>
      </c>
      <c r="U46" s="32">
        <v>2700</v>
      </c>
      <c r="V46" s="32">
        <v>0</v>
      </c>
      <c r="W46" s="32">
        <v>81</v>
      </c>
      <c r="X46" s="32">
        <v>2619</v>
      </c>
      <c r="Y46" s="32">
        <v>2619</v>
      </c>
      <c r="Z46" s="32">
        <v>2700</v>
      </c>
      <c r="AA46" s="32">
        <v>0</v>
      </c>
      <c r="AB46" s="32">
        <v>2700</v>
      </c>
      <c r="AC46" s="32" t="s">
        <v>536</v>
      </c>
      <c r="AD46" s="32"/>
      <c r="AE46" s="32">
        <v>2700</v>
      </c>
    </row>
    <row r="47" spans="1:31" x14ac:dyDescent="0.25">
      <c r="A47">
        <v>1789</v>
      </c>
      <c r="B47" t="s">
        <v>527</v>
      </c>
      <c r="C47" t="s">
        <v>72</v>
      </c>
      <c r="D47" s="35">
        <v>900</v>
      </c>
      <c r="E47">
        <v>1246146095</v>
      </c>
      <c r="F47" s="321">
        <v>45428</v>
      </c>
      <c r="G47" s="321"/>
      <c r="H47" t="s">
        <v>28</v>
      </c>
      <c r="I47" t="s">
        <v>29</v>
      </c>
      <c r="J47">
        <v>1246120461</v>
      </c>
      <c r="K47" s="321">
        <v>45428</v>
      </c>
      <c r="L47">
        <v>3041000</v>
      </c>
      <c r="M47" t="s">
        <v>137</v>
      </c>
      <c r="N47">
        <v>714</v>
      </c>
      <c r="O47" s="32">
        <v>0</v>
      </c>
      <c r="P47" s="32">
        <v>900</v>
      </c>
      <c r="Q47" s="32">
        <v>0</v>
      </c>
      <c r="R47" s="32">
        <v>0</v>
      </c>
      <c r="S47" s="32">
        <v>0</v>
      </c>
      <c r="T47" s="32">
        <v>0</v>
      </c>
      <c r="U47" s="32">
        <v>900</v>
      </c>
      <c r="V47" s="32">
        <v>0</v>
      </c>
      <c r="W47" s="32">
        <v>27</v>
      </c>
      <c r="X47" s="32">
        <v>873</v>
      </c>
      <c r="Y47" s="32">
        <v>873</v>
      </c>
      <c r="Z47" s="32">
        <v>900</v>
      </c>
      <c r="AA47" s="32">
        <v>0</v>
      </c>
      <c r="AB47" s="32">
        <v>900</v>
      </c>
      <c r="AC47" s="32" t="s">
        <v>536</v>
      </c>
      <c r="AD47" s="32"/>
      <c r="AE47" s="32">
        <v>900</v>
      </c>
    </row>
    <row r="48" spans="1:31" x14ac:dyDescent="0.25">
      <c r="A48">
        <v>1789</v>
      </c>
      <c r="B48" t="s">
        <v>527</v>
      </c>
      <c r="C48" t="s">
        <v>72</v>
      </c>
      <c r="D48" s="35">
        <v>116044.8</v>
      </c>
      <c r="E48">
        <v>1246267816</v>
      </c>
      <c r="F48" s="321">
        <v>46187</v>
      </c>
      <c r="G48" s="321"/>
      <c r="H48" t="s">
        <v>28</v>
      </c>
      <c r="I48" t="s">
        <v>29</v>
      </c>
      <c r="J48">
        <v>10889</v>
      </c>
      <c r="K48" s="321">
        <v>46097</v>
      </c>
      <c r="L48">
        <v>1010100</v>
      </c>
      <c r="M48" t="s">
        <v>35</v>
      </c>
      <c r="N48">
        <v>-45</v>
      </c>
      <c r="O48" s="32">
        <v>0</v>
      </c>
      <c r="P48" s="32">
        <v>0</v>
      </c>
      <c r="Q48" s="32">
        <v>116044.8</v>
      </c>
      <c r="R48" s="32">
        <v>0</v>
      </c>
      <c r="S48" s="32">
        <v>0</v>
      </c>
      <c r="T48" s="32">
        <v>0</v>
      </c>
      <c r="U48" s="32">
        <v>0</v>
      </c>
      <c r="V48" s="32">
        <v>0</v>
      </c>
      <c r="W48" s="32">
        <v>0</v>
      </c>
      <c r="X48" s="32">
        <v>0</v>
      </c>
      <c r="Y48" s="32">
        <v>0</v>
      </c>
      <c r="Z48" s="32">
        <v>0</v>
      </c>
      <c r="AA48" s="32">
        <v>0</v>
      </c>
      <c r="AB48" s="32">
        <v>0</v>
      </c>
      <c r="AC48" s="32" t="s">
        <v>536</v>
      </c>
      <c r="AD48" s="32"/>
      <c r="AE48" s="32">
        <v>0</v>
      </c>
    </row>
    <row r="49" spans="1:31" x14ac:dyDescent="0.25">
      <c r="A49">
        <v>1789</v>
      </c>
      <c r="B49" t="s">
        <v>527</v>
      </c>
      <c r="C49" t="s">
        <v>72</v>
      </c>
      <c r="D49" s="35">
        <v>115507.2</v>
      </c>
      <c r="E49">
        <v>1246269759</v>
      </c>
      <c r="F49" s="321">
        <v>46202</v>
      </c>
      <c r="G49" s="321"/>
      <c r="H49" t="s">
        <v>28</v>
      </c>
      <c r="I49" t="s">
        <v>29</v>
      </c>
      <c r="J49">
        <v>11017</v>
      </c>
      <c r="K49" s="321">
        <v>46112</v>
      </c>
      <c r="L49">
        <v>1010100</v>
      </c>
      <c r="M49" t="s">
        <v>35</v>
      </c>
      <c r="N49">
        <v>-60</v>
      </c>
      <c r="O49" s="32">
        <v>0</v>
      </c>
      <c r="P49" s="32">
        <v>0</v>
      </c>
      <c r="Q49" s="32">
        <v>115507.2</v>
      </c>
      <c r="R49" s="32">
        <v>0</v>
      </c>
      <c r="S49" s="32">
        <v>0</v>
      </c>
      <c r="T49" s="32">
        <v>0</v>
      </c>
      <c r="U49" s="32">
        <v>0</v>
      </c>
      <c r="V49" s="32">
        <v>0</v>
      </c>
      <c r="W49" s="32">
        <v>0</v>
      </c>
      <c r="X49" s="32">
        <v>0</v>
      </c>
      <c r="Y49" s="32">
        <v>0</v>
      </c>
      <c r="Z49" s="32">
        <v>0</v>
      </c>
      <c r="AA49" s="32">
        <v>0</v>
      </c>
      <c r="AB49" s="32">
        <v>0</v>
      </c>
      <c r="AC49" s="32" t="s">
        <v>536</v>
      </c>
      <c r="AD49" s="32"/>
      <c r="AE49" s="32">
        <v>0</v>
      </c>
    </row>
    <row r="50" spans="1:31" x14ac:dyDescent="0.25">
      <c r="A50">
        <v>1789</v>
      </c>
      <c r="B50" t="s">
        <v>527</v>
      </c>
      <c r="C50" t="s">
        <v>72</v>
      </c>
      <c r="D50" s="35">
        <v>114432</v>
      </c>
      <c r="E50">
        <v>1246270845</v>
      </c>
      <c r="F50" s="321">
        <v>46181</v>
      </c>
      <c r="G50" s="321"/>
      <c r="H50" t="s">
        <v>28</v>
      </c>
      <c r="I50" t="s">
        <v>29</v>
      </c>
      <c r="J50">
        <v>11079</v>
      </c>
      <c r="K50" s="321">
        <v>46121</v>
      </c>
      <c r="L50">
        <v>1010100</v>
      </c>
      <c r="M50" t="s">
        <v>35</v>
      </c>
      <c r="N50">
        <v>-39</v>
      </c>
      <c r="O50" s="32">
        <v>0</v>
      </c>
      <c r="P50" s="32">
        <v>0</v>
      </c>
      <c r="Q50" s="32">
        <v>114432</v>
      </c>
      <c r="R50" s="32">
        <v>0</v>
      </c>
      <c r="S50" s="32">
        <v>0</v>
      </c>
      <c r="T50" s="32">
        <v>0</v>
      </c>
      <c r="U50" s="32">
        <v>0</v>
      </c>
      <c r="V50" s="32">
        <v>0</v>
      </c>
      <c r="W50" s="32">
        <v>0</v>
      </c>
      <c r="X50" s="32">
        <v>0</v>
      </c>
      <c r="Y50" s="32">
        <v>0</v>
      </c>
      <c r="Z50" s="32">
        <v>0</v>
      </c>
      <c r="AA50" s="32">
        <v>0</v>
      </c>
      <c r="AB50" s="32">
        <v>0</v>
      </c>
      <c r="AC50" s="32" t="s">
        <v>536</v>
      </c>
      <c r="AD50" s="32"/>
      <c r="AE50" s="32">
        <v>0</v>
      </c>
    </row>
    <row r="51" spans="1:31" x14ac:dyDescent="0.25">
      <c r="A51">
        <v>1789</v>
      </c>
      <c r="B51" t="s">
        <v>527</v>
      </c>
      <c r="C51" t="s">
        <v>72</v>
      </c>
      <c r="D51" s="35">
        <v>114470.39999999999</v>
      </c>
      <c r="E51">
        <v>1246268819</v>
      </c>
      <c r="F51" s="321">
        <v>46195</v>
      </c>
      <c r="G51" s="321"/>
      <c r="H51" t="s">
        <v>28</v>
      </c>
      <c r="I51" t="s">
        <v>29</v>
      </c>
      <c r="J51">
        <v>10967</v>
      </c>
      <c r="K51" s="321">
        <v>46105</v>
      </c>
      <c r="L51">
        <v>1010100</v>
      </c>
      <c r="M51" t="s">
        <v>35</v>
      </c>
      <c r="N51">
        <v>-53</v>
      </c>
      <c r="O51" s="32">
        <v>0</v>
      </c>
      <c r="P51" s="32">
        <v>0</v>
      </c>
      <c r="Q51" s="32">
        <v>114470.39999999999</v>
      </c>
      <c r="R51" s="32">
        <v>0</v>
      </c>
      <c r="S51" s="32">
        <v>0</v>
      </c>
      <c r="T51" s="32">
        <v>0</v>
      </c>
      <c r="U51" s="32">
        <v>0</v>
      </c>
      <c r="V51" s="32">
        <v>0</v>
      </c>
      <c r="W51" s="32">
        <v>0</v>
      </c>
      <c r="X51" s="32">
        <v>0</v>
      </c>
      <c r="Y51" s="32">
        <v>0</v>
      </c>
      <c r="Z51" s="32">
        <v>0</v>
      </c>
      <c r="AA51" s="32">
        <v>0</v>
      </c>
      <c r="AB51" s="32">
        <v>0</v>
      </c>
      <c r="AC51" s="32" t="s">
        <v>536</v>
      </c>
      <c r="AD51" s="32"/>
      <c r="AE51" s="32">
        <v>0</v>
      </c>
    </row>
    <row r="52" spans="1:31" x14ac:dyDescent="0.25">
      <c r="A52">
        <v>1789</v>
      </c>
      <c r="B52" t="s">
        <v>527</v>
      </c>
      <c r="C52" t="s">
        <v>72</v>
      </c>
      <c r="D52" s="35">
        <v>114662.39999999999</v>
      </c>
      <c r="E52">
        <v>1246271452</v>
      </c>
      <c r="F52" s="321">
        <v>46187</v>
      </c>
      <c r="G52" s="321"/>
      <c r="H52" t="s">
        <v>28</v>
      </c>
      <c r="I52" t="s">
        <v>29</v>
      </c>
      <c r="J52">
        <v>11126</v>
      </c>
      <c r="K52" s="321">
        <v>46127</v>
      </c>
      <c r="L52">
        <v>1010100</v>
      </c>
      <c r="M52" t="s">
        <v>35</v>
      </c>
      <c r="N52">
        <v>-45</v>
      </c>
      <c r="O52" s="32">
        <v>0</v>
      </c>
      <c r="P52" s="32">
        <v>0</v>
      </c>
      <c r="Q52" s="32">
        <v>114662.39999999999</v>
      </c>
      <c r="R52" s="32">
        <v>0</v>
      </c>
      <c r="S52" s="32">
        <v>0</v>
      </c>
      <c r="T52" s="32">
        <v>0</v>
      </c>
      <c r="U52" s="32">
        <v>0</v>
      </c>
      <c r="V52" s="32">
        <v>0</v>
      </c>
      <c r="W52" s="32">
        <v>0</v>
      </c>
      <c r="X52" s="32">
        <v>0</v>
      </c>
      <c r="Y52" s="32">
        <v>0</v>
      </c>
      <c r="Z52" s="32">
        <v>0</v>
      </c>
      <c r="AA52" s="32">
        <v>0</v>
      </c>
      <c r="AB52" s="32">
        <v>0</v>
      </c>
      <c r="AC52" s="32" t="s">
        <v>536</v>
      </c>
      <c r="AD52" s="32"/>
      <c r="AE52" s="32">
        <v>0</v>
      </c>
    </row>
    <row r="53" spans="1:31" x14ac:dyDescent="0.25">
      <c r="A53">
        <v>1789</v>
      </c>
      <c r="B53" t="s">
        <v>527</v>
      </c>
      <c r="C53" t="s">
        <v>72</v>
      </c>
      <c r="D53" s="35">
        <v>115123.2</v>
      </c>
      <c r="E53">
        <v>1246269430</v>
      </c>
      <c r="F53" s="321">
        <v>46198</v>
      </c>
      <c r="G53" s="321"/>
      <c r="H53" t="s">
        <v>28</v>
      </c>
      <c r="I53" t="s">
        <v>29</v>
      </c>
      <c r="J53">
        <v>10992</v>
      </c>
      <c r="K53" s="321">
        <v>46108</v>
      </c>
      <c r="L53">
        <v>1010100</v>
      </c>
      <c r="M53" t="s">
        <v>35</v>
      </c>
      <c r="N53">
        <v>-56</v>
      </c>
      <c r="O53" s="32">
        <v>0</v>
      </c>
      <c r="P53" s="32">
        <v>0</v>
      </c>
      <c r="Q53" s="32">
        <v>115123.2</v>
      </c>
      <c r="R53" s="32">
        <v>0</v>
      </c>
      <c r="S53" s="32">
        <v>0</v>
      </c>
      <c r="T53" s="32">
        <v>0</v>
      </c>
      <c r="U53" s="32">
        <v>0</v>
      </c>
      <c r="V53" s="32">
        <v>0</v>
      </c>
      <c r="W53" s="32">
        <v>0</v>
      </c>
      <c r="X53" s="32">
        <v>0</v>
      </c>
      <c r="Y53" s="32">
        <v>0</v>
      </c>
      <c r="Z53" s="32">
        <v>0</v>
      </c>
      <c r="AA53" s="32">
        <v>0</v>
      </c>
      <c r="AB53" s="32">
        <v>0</v>
      </c>
      <c r="AC53" s="32" t="s">
        <v>536</v>
      </c>
      <c r="AD53" s="32"/>
      <c r="AE53" s="32">
        <v>0</v>
      </c>
    </row>
    <row r="54" spans="1:31" x14ac:dyDescent="0.25">
      <c r="A54">
        <v>1789</v>
      </c>
      <c r="B54" t="s">
        <v>527</v>
      </c>
      <c r="C54" t="s">
        <v>72</v>
      </c>
      <c r="D54" s="35">
        <v>115584</v>
      </c>
      <c r="E54">
        <v>1246272745</v>
      </c>
      <c r="F54" s="321">
        <v>46229</v>
      </c>
      <c r="G54" s="321"/>
      <c r="H54" t="s">
        <v>28</v>
      </c>
      <c r="I54" t="s">
        <v>29</v>
      </c>
      <c r="J54">
        <v>11224</v>
      </c>
      <c r="K54" s="321">
        <v>46139</v>
      </c>
      <c r="L54">
        <v>1010100</v>
      </c>
      <c r="M54" t="s">
        <v>35</v>
      </c>
      <c r="N54">
        <v>-87</v>
      </c>
      <c r="O54" s="32">
        <v>0</v>
      </c>
      <c r="P54" s="32">
        <v>0</v>
      </c>
      <c r="Q54" s="32">
        <v>115584</v>
      </c>
      <c r="R54" s="32">
        <v>0</v>
      </c>
      <c r="S54" s="32">
        <v>0</v>
      </c>
      <c r="T54" s="32">
        <v>0</v>
      </c>
      <c r="U54" s="32">
        <v>0</v>
      </c>
      <c r="V54" s="32">
        <v>0</v>
      </c>
      <c r="W54" s="32">
        <v>0</v>
      </c>
      <c r="X54" s="32">
        <v>0</v>
      </c>
      <c r="Y54" s="32">
        <v>0</v>
      </c>
      <c r="Z54" s="32">
        <v>0</v>
      </c>
      <c r="AA54" s="32">
        <v>0</v>
      </c>
      <c r="AB54" s="32">
        <v>0</v>
      </c>
      <c r="AC54" s="32" t="s">
        <v>536</v>
      </c>
      <c r="AD54" s="32"/>
      <c r="AE54" s="32">
        <v>0</v>
      </c>
    </row>
    <row r="55" spans="1:31" x14ac:dyDescent="0.25">
      <c r="A55">
        <v>1789</v>
      </c>
      <c r="B55" t="s">
        <v>527</v>
      </c>
      <c r="C55" t="s">
        <v>72</v>
      </c>
      <c r="D55" s="35">
        <v>116044.8</v>
      </c>
      <c r="E55">
        <v>1246268551</v>
      </c>
      <c r="F55" s="321">
        <v>46191</v>
      </c>
      <c r="G55" s="321"/>
      <c r="H55" t="s">
        <v>28</v>
      </c>
      <c r="I55" t="s">
        <v>29</v>
      </c>
      <c r="J55">
        <v>10945</v>
      </c>
      <c r="K55" s="321">
        <v>46101</v>
      </c>
      <c r="L55">
        <v>1010100</v>
      </c>
      <c r="M55" t="s">
        <v>35</v>
      </c>
      <c r="N55">
        <v>-49</v>
      </c>
      <c r="O55" s="32">
        <v>0</v>
      </c>
      <c r="P55" s="32">
        <v>0</v>
      </c>
      <c r="Q55" s="32">
        <v>116044.8</v>
      </c>
      <c r="R55" s="32">
        <v>0</v>
      </c>
      <c r="S55" s="32">
        <v>0</v>
      </c>
      <c r="T55" s="32">
        <v>0</v>
      </c>
      <c r="U55" s="32">
        <v>0</v>
      </c>
      <c r="V55" s="32">
        <v>0</v>
      </c>
      <c r="W55" s="32">
        <v>0</v>
      </c>
      <c r="X55" s="32">
        <v>0</v>
      </c>
      <c r="Y55" s="32">
        <v>0</v>
      </c>
      <c r="Z55" s="32">
        <v>0</v>
      </c>
      <c r="AA55" s="32">
        <v>0</v>
      </c>
      <c r="AB55" s="32">
        <v>0</v>
      </c>
      <c r="AC55" s="32" t="s">
        <v>536</v>
      </c>
      <c r="AD55" s="32"/>
      <c r="AE55" s="32">
        <v>0</v>
      </c>
    </row>
    <row r="56" spans="1:31" x14ac:dyDescent="0.25">
      <c r="A56">
        <v>1789</v>
      </c>
      <c r="B56" t="s">
        <v>527</v>
      </c>
      <c r="C56" t="s">
        <v>72</v>
      </c>
      <c r="D56" s="35">
        <v>115814.39999999999</v>
      </c>
      <c r="E56">
        <v>1246270360</v>
      </c>
      <c r="F56" s="321">
        <v>46178</v>
      </c>
      <c r="G56" s="321"/>
      <c r="H56" t="s">
        <v>28</v>
      </c>
      <c r="I56" t="s">
        <v>29</v>
      </c>
      <c r="J56">
        <v>11053</v>
      </c>
      <c r="K56" s="321">
        <v>46118</v>
      </c>
      <c r="L56">
        <v>1010100</v>
      </c>
      <c r="M56" t="s">
        <v>35</v>
      </c>
      <c r="N56">
        <v>-36</v>
      </c>
      <c r="O56" s="32">
        <v>0</v>
      </c>
      <c r="P56" s="32">
        <v>0</v>
      </c>
      <c r="Q56" s="32">
        <v>115814.39999999999</v>
      </c>
      <c r="R56" s="32">
        <v>0</v>
      </c>
      <c r="S56" s="32">
        <v>0</v>
      </c>
      <c r="T56" s="32">
        <v>0</v>
      </c>
      <c r="U56" s="32">
        <v>0</v>
      </c>
      <c r="V56" s="32">
        <v>0</v>
      </c>
      <c r="W56" s="32">
        <v>0</v>
      </c>
      <c r="X56" s="32">
        <v>0</v>
      </c>
      <c r="Y56" s="32">
        <v>0</v>
      </c>
      <c r="Z56" s="32">
        <v>0</v>
      </c>
      <c r="AA56" s="32">
        <v>0</v>
      </c>
      <c r="AB56" s="32">
        <v>0</v>
      </c>
      <c r="AC56" s="32" t="s">
        <v>536</v>
      </c>
      <c r="AD56" s="32"/>
      <c r="AE56" s="32">
        <v>0</v>
      </c>
    </row>
    <row r="57" spans="1:31" x14ac:dyDescent="0.25">
      <c r="A57">
        <v>1789</v>
      </c>
      <c r="B57" t="s">
        <v>527</v>
      </c>
      <c r="C57" t="s">
        <v>72</v>
      </c>
      <c r="D57" s="35">
        <v>115353.60000000001</v>
      </c>
      <c r="E57">
        <v>1246266246</v>
      </c>
      <c r="F57" s="321">
        <v>46174</v>
      </c>
      <c r="G57" s="321"/>
      <c r="H57" t="s">
        <v>28</v>
      </c>
      <c r="I57" t="s">
        <v>29</v>
      </c>
      <c r="J57">
        <v>10804</v>
      </c>
      <c r="K57" s="321">
        <v>46084</v>
      </c>
      <c r="L57">
        <v>1010100</v>
      </c>
      <c r="M57" t="s">
        <v>35</v>
      </c>
      <c r="N57">
        <v>-32</v>
      </c>
      <c r="O57" s="32">
        <v>0</v>
      </c>
      <c r="P57" s="32">
        <v>0</v>
      </c>
      <c r="Q57" s="32">
        <v>115353.60000000001</v>
      </c>
      <c r="R57" s="32">
        <v>0</v>
      </c>
      <c r="S57" s="32">
        <v>0</v>
      </c>
      <c r="T57" s="32">
        <v>0</v>
      </c>
      <c r="U57" s="32">
        <v>0</v>
      </c>
      <c r="V57" s="32">
        <v>0</v>
      </c>
      <c r="W57" s="32">
        <v>0</v>
      </c>
      <c r="X57" s="32">
        <v>0</v>
      </c>
      <c r="Y57" s="32">
        <v>0</v>
      </c>
      <c r="Z57" s="32">
        <v>0</v>
      </c>
      <c r="AA57" s="32">
        <v>0</v>
      </c>
      <c r="AB57" s="32">
        <v>0</v>
      </c>
      <c r="AC57" s="32" t="s">
        <v>536</v>
      </c>
      <c r="AD57" s="32"/>
      <c r="AE57" s="32">
        <v>0</v>
      </c>
    </row>
    <row r="58" spans="1:31" x14ac:dyDescent="0.25">
      <c r="A58">
        <v>1789</v>
      </c>
      <c r="B58" t="s">
        <v>527</v>
      </c>
      <c r="C58" t="s">
        <v>72</v>
      </c>
      <c r="D58" s="35">
        <v>114048</v>
      </c>
      <c r="E58">
        <v>1246268138</v>
      </c>
      <c r="F58" s="321">
        <v>46188</v>
      </c>
      <c r="G58" s="321"/>
      <c r="H58" t="s">
        <v>28</v>
      </c>
      <c r="I58" t="s">
        <v>29</v>
      </c>
      <c r="J58">
        <v>10914</v>
      </c>
      <c r="K58" s="321">
        <v>46098</v>
      </c>
      <c r="L58">
        <v>1010100</v>
      </c>
      <c r="M58" t="s">
        <v>35</v>
      </c>
      <c r="N58">
        <v>-46</v>
      </c>
      <c r="O58" s="32">
        <v>0</v>
      </c>
      <c r="P58" s="32">
        <v>0</v>
      </c>
      <c r="Q58" s="32">
        <v>114048</v>
      </c>
      <c r="R58" s="32">
        <v>0</v>
      </c>
      <c r="S58" s="32">
        <v>0</v>
      </c>
      <c r="T58" s="32">
        <v>0</v>
      </c>
      <c r="U58" s="32">
        <v>0</v>
      </c>
      <c r="V58" s="32">
        <v>0</v>
      </c>
      <c r="W58" s="32">
        <v>0</v>
      </c>
      <c r="X58" s="32">
        <v>0</v>
      </c>
      <c r="Y58" s="32">
        <v>0</v>
      </c>
      <c r="Z58" s="32">
        <v>0</v>
      </c>
      <c r="AA58" s="32">
        <v>0</v>
      </c>
      <c r="AB58" s="32">
        <v>0</v>
      </c>
      <c r="AC58" s="32" t="s">
        <v>536</v>
      </c>
      <c r="AD58" s="32"/>
      <c r="AE58" s="32">
        <v>0</v>
      </c>
    </row>
    <row r="59" spans="1:31" x14ac:dyDescent="0.25">
      <c r="A59">
        <v>1789</v>
      </c>
      <c r="B59" t="s">
        <v>527</v>
      </c>
      <c r="C59" t="s">
        <v>72</v>
      </c>
      <c r="D59" s="35">
        <v>115468.8</v>
      </c>
      <c r="E59">
        <v>1246267594</v>
      </c>
      <c r="F59" s="321">
        <v>46183</v>
      </c>
      <c r="G59" s="321"/>
      <c r="H59" t="s">
        <v>28</v>
      </c>
      <c r="I59" t="s">
        <v>29</v>
      </c>
      <c r="J59">
        <v>10873</v>
      </c>
      <c r="K59" s="321">
        <v>46093</v>
      </c>
      <c r="L59">
        <v>1010100</v>
      </c>
      <c r="M59" t="s">
        <v>35</v>
      </c>
      <c r="N59">
        <v>-41</v>
      </c>
      <c r="O59" s="32">
        <v>0</v>
      </c>
      <c r="P59" s="32">
        <v>0</v>
      </c>
      <c r="Q59" s="32">
        <v>115468.8</v>
      </c>
      <c r="R59" s="32">
        <v>0</v>
      </c>
      <c r="S59" s="32">
        <v>0</v>
      </c>
      <c r="T59" s="32">
        <v>0</v>
      </c>
      <c r="U59" s="32">
        <v>0</v>
      </c>
      <c r="V59" s="32">
        <v>0</v>
      </c>
      <c r="W59" s="32">
        <v>0</v>
      </c>
      <c r="X59" s="32">
        <v>0</v>
      </c>
      <c r="Y59" s="32">
        <v>0</v>
      </c>
      <c r="Z59" s="32">
        <v>0</v>
      </c>
      <c r="AA59" s="32">
        <v>0</v>
      </c>
      <c r="AB59" s="32">
        <v>0</v>
      </c>
      <c r="AC59" s="32" t="s">
        <v>536</v>
      </c>
      <c r="AD59" s="32"/>
      <c r="AE59" s="32">
        <v>0</v>
      </c>
    </row>
    <row r="60" spans="1:31" x14ac:dyDescent="0.25">
      <c r="A60">
        <v>97</v>
      </c>
      <c r="B60" t="s">
        <v>573</v>
      </c>
      <c r="C60" t="s">
        <v>843</v>
      </c>
      <c r="D60" s="35">
        <v>95687.8</v>
      </c>
      <c r="E60">
        <v>1246273059</v>
      </c>
      <c r="F60" s="321">
        <v>46169</v>
      </c>
      <c r="G60" s="321"/>
      <c r="H60" t="s">
        <v>28</v>
      </c>
      <c r="I60" t="s">
        <v>29</v>
      </c>
      <c r="J60">
        <v>11255</v>
      </c>
      <c r="K60" s="321">
        <v>46141</v>
      </c>
      <c r="L60">
        <v>1010100</v>
      </c>
      <c r="M60" t="s">
        <v>35</v>
      </c>
      <c r="N60">
        <v>-27</v>
      </c>
      <c r="O60" s="32">
        <v>0</v>
      </c>
      <c r="P60" s="32">
        <v>0</v>
      </c>
      <c r="Q60" s="32">
        <v>95687.8</v>
      </c>
      <c r="R60" s="32">
        <v>0</v>
      </c>
      <c r="S60" s="32">
        <v>0</v>
      </c>
      <c r="T60" s="32">
        <v>0</v>
      </c>
      <c r="U60" s="32">
        <v>0</v>
      </c>
      <c r="V60" s="32">
        <v>0</v>
      </c>
      <c r="W60" s="32">
        <v>0</v>
      </c>
      <c r="X60" s="32">
        <v>0</v>
      </c>
      <c r="Y60" s="32">
        <v>0</v>
      </c>
      <c r="Z60" s="32">
        <v>0</v>
      </c>
      <c r="AA60" s="32">
        <v>0</v>
      </c>
      <c r="AB60" s="32">
        <v>0</v>
      </c>
      <c r="AC60" s="32" t="s">
        <v>472</v>
      </c>
      <c r="AD60" s="32"/>
      <c r="AE60" s="32">
        <v>0</v>
      </c>
    </row>
    <row r="61" spans="1:31" x14ac:dyDescent="0.25">
      <c r="A61">
        <v>97</v>
      </c>
      <c r="B61" t="s">
        <v>573</v>
      </c>
      <c r="C61" t="s">
        <v>843</v>
      </c>
      <c r="D61" s="35">
        <v>47888.6</v>
      </c>
      <c r="E61">
        <v>1246272517</v>
      </c>
      <c r="F61" s="321">
        <v>46164</v>
      </c>
      <c r="G61" s="321"/>
      <c r="H61" t="s">
        <v>28</v>
      </c>
      <c r="I61" t="s">
        <v>29</v>
      </c>
      <c r="J61">
        <v>11216</v>
      </c>
      <c r="K61" s="321">
        <v>46136</v>
      </c>
      <c r="L61">
        <v>1010100</v>
      </c>
      <c r="M61" t="s">
        <v>35</v>
      </c>
      <c r="N61">
        <v>-22</v>
      </c>
      <c r="O61" s="32">
        <v>0</v>
      </c>
      <c r="P61" s="32">
        <v>0</v>
      </c>
      <c r="Q61" s="32">
        <v>47888.6</v>
      </c>
      <c r="R61" s="32">
        <v>0</v>
      </c>
      <c r="S61" s="32">
        <v>0</v>
      </c>
      <c r="T61" s="32">
        <v>0</v>
      </c>
      <c r="U61" s="32">
        <v>0</v>
      </c>
      <c r="V61" s="32">
        <v>0</v>
      </c>
      <c r="W61" s="32">
        <v>0</v>
      </c>
      <c r="X61" s="32">
        <v>0</v>
      </c>
      <c r="Y61" s="32">
        <v>0</v>
      </c>
      <c r="Z61" s="32">
        <v>0</v>
      </c>
      <c r="AA61" s="32">
        <v>0</v>
      </c>
      <c r="AB61" s="32">
        <v>0</v>
      </c>
      <c r="AC61" s="32" t="s">
        <v>472</v>
      </c>
      <c r="AD61" s="32"/>
      <c r="AE61" s="32">
        <v>0</v>
      </c>
    </row>
    <row r="62" spans="1:31" x14ac:dyDescent="0.25">
      <c r="A62">
        <v>97</v>
      </c>
      <c r="B62" t="s">
        <v>573</v>
      </c>
      <c r="C62" t="s">
        <v>843</v>
      </c>
      <c r="D62" s="35">
        <v>414764.93</v>
      </c>
      <c r="E62">
        <v>1246271365</v>
      </c>
      <c r="F62" s="321">
        <v>46154</v>
      </c>
      <c r="G62" s="321"/>
      <c r="H62" t="s">
        <v>28</v>
      </c>
      <c r="I62" t="s">
        <v>29</v>
      </c>
      <c r="J62">
        <v>2874</v>
      </c>
      <c r="K62" s="321">
        <v>46126</v>
      </c>
      <c r="L62">
        <v>1010100</v>
      </c>
      <c r="M62" t="s">
        <v>35</v>
      </c>
      <c r="N62">
        <v>-12</v>
      </c>
      <c r="O62" s="32">
        <v>0</v>
      </c>
      <c r="P62" s="32">
        <v>0</v>
      </c>
      <c r="Q62" s="32">
        <v>414764.93</v>
      </c>
      <c r="R62" s="32">
        <v>0</v>
      </c>
      <c r="S62" s="32">
        <v>0</v>
      </c>
      <c r="T62" s="32">
        <v>0</v>
      </c>
      <c r="U62" s="32">
        <v>0</v>
      </c>
      <c r="V62" s="32">
        <v>0</v>
      </c>
      <c r="W62" s="32">
        <v>0</v>
      </c>
      <c r="X62" s="32">
        <v>0</v>
      </c>
      <c r="Y62" s="32">
        <v>0</v>
      </c>
      <c r="Z62" s="32">
        <v>0</v>
      </c>
      <c r="AA62" s="32">
        <v>0</v>
      </c>
      <c r="AB62" s="32">
        <v>0</v>
      </c>
      <c r="AC62" s="32" t="s">
        <v>472</v>
      </c>
      <c r="AD62" s="32"/>
      <c r="AE62" s="32">
        <v>0</v>
      </c>
    </row>
    <row r="63" spans="1:31" x14ac:dyDescent="0.25">
      <c r="A63">
        <v>97</v>
      </c>
      <c r="B63" t="s">
        <v>573</v>
      </c>
      <c r="C63" t="s">
        <v>843</v>
      </c>
      <c r="D63" s="35">
        <v>96194.4</v>
      </c>
      <c r="E63">
        <v>1246271092</v>
      </c>
      <c r="F63" s="321">
        <v>46150</v>
      </c>
      <c r="G63" s="321"/>
      <c r="H63" t="s">
        <v>28</v>
      </c>
      <c r="I63" t="s">
        <v>29</v>
      </c>
      <c r="J63">
        <v>11101</v>
      </c>
      <c r="K63" s="321">
        <v>46122</v>
      </c>
      <c r="L63">
        <v>1010100</v>
      </c>
      <c r="M63" t="s">
        <v>35</v>
      </c>
      <c r="N63">
        <v>-8</v>
      </c>
      <c r="O63" s="32">
        <v>0</v>
      </c>
      <c r="P63" s="32">
        <v>0</v>
      </c>
      <c r="Q63" s="32">
        <v>96194.4</v>
      </c>
      <c r="R63" s="32">
        <v>0</v>
      </c>
      <c r="S63" s="32">
        <v>0</v>
      </c>
      <c r="T63" s="32">
        <v>0</v>
      </c>
      <c r="U63" s="32">
        <v>0</v>
      </c>
      <c r="V63" s="32">
        <v>0</v>
      </c>
      <c r="W63" s="32">
        <v>0</v>
      </c>
      <c r="X63" s="32">
        <v>0</v>
      </c>
      <c r="Y63" s="32">
        <v>0</v>
      </c>
      <c r="Z63" s="32">
        <v>0</v>
      </c>
      <c r="AA63" s="32">
        <v>0</v>
      </c>
      <c r="AB63" s="32">
        <v>0</v>
      </c>
      <c r="AC63" s="32" t="s">
        <v>472</v>
      </c>
      <c r="AD63" s="32"/>
      <c r="AE63" s="32">
        <v>0</v>
      </c>
    </row>
    <row r="64" spans="1:31" x14ac:dyDescent="0.25">
      <c r="A64">
        <v>43</v>
      </c>
      <c r="B64" t="s">
        <v>415</v>
      </c>
      <c r="C64" t="s">
        <v>37</v>
      </c>
      <c r="D64" s="35">
        <v>3600</v>
      </c>
      <c r="E64">
        <v>1246271938</v>
      </c>
      <c r="F64" s="321">
        <v>46147</v>
      </c>
      <c r="G64" s="321"/>
      <c r="H64" t="s">
        <v>28</v>
      </c>
      <c r="I64" t="s">
        <v>29</v>
      </c>
      <c r="J64">
        <v>1246271938</v>
      </c>
      <c r="K64" s="321">
        <v>46132</v>
      </c>
      <c r="L64">
        <v>3042200</v>
      </c>
      <c r="M64" t="s">
        <v>830</v>
      </c>
      <c r="N64">
        <v>-5</v>
      </c>
      <c r="O64" s="32">
        <v>0</v>
      </c>
      <c r="P64" s="32">
        <v>0</v>
      </c>
      <c r="Q64" s="32">
        <v>3600</v>
      </c>
      <c r="R64" s="32">
        <v>0</v>
      </c>
      <c r="S64" s="32">
        <v>0</v>
      </c>
      <c r="T64" s="32">
        <v>0</v>
      </c>
      <c r="U64" s="32">
        <v>0</v>
      </c>
      <c r="V64" s="32">
        <v>0</v>
      </c>
      <c r="W64" s="32">
        <v>0</v>
      </c>
      <c r="X64" s="32">
        <v>0</v>
      </c>
      <c r="Y64" s="32">
        <v>0</v>
      </c>
      <c r="Z64" s="32">
        <v>0</v>
      </c>
      <c r="AA64" s="32">
        <v>0</v>
      </c>
      <c r="AB64" s="32">
        <v>0</v>
      </c>
      <c r="AC64" s="32" t="s">
        <v>536</v>
      </c>
      <c r="AD64" s="32"/>
      <c r="AE64" s="32">
        <v>0</v>
      </c>
    </row>
    <row r="65" spans="1:31" x14ac:dyDescent="0.25">
      <c r="A65">
        <v>43</v>
      </c>
      <c r="B65" t="s">
        <v>415</v>
      </c>
      <c r="C65" t="s">
        <v>37</v>
      </c>
      <c r="D65" s="35">
        <v>71341.5</v>
      </c>
      <c r="E65">
        <v>1246273286</v>
      </c>
      <c r="F65" s="321">
        <v>46170</v>
      </c>
      <c r="G65" s="321"/>
      <c r="H65" t="s">
        <v>28</v>
      </c>
      <c r="I65" t="s">
        <v>29</v>
      </c>
      <c r="J65">
        <v>11275</v>
      </c>
      <c r="K65" s="321">
        <v>46142</v>
      </c>
      <c r="L65">
        <v>1010100</v>
      </c>
      <c r="M65" t="s">
        <v>35</v>
      </c>
      <c r="N65">
        <v>-28</v>
      </c>
      <c r="O65" s="32">
        <v>0</v>
      </c>
      <c r="P65" s="32">
        <v>0</v>
      </c>
      <c r="Q65" s="32">
        <v>71341.5</v>
      </c>
      <c r="R65" s="32">
        <v>0</v>
      </c>
      <c r="S65" s="32">
        <v>0</v>
      </c>
      <c r="T65" s="32">
        <v>0</v>
      </c>
      <c r="U65" s="32">
        <v>0</v>
      </c>
      <c r="V65" s="32">
        <v>0</v>
      </c>
      <c r="W65" s="32">
        <v>0</v>
      </c>
      <c r="X65" s="32">
        <v>0</v>
      </c>
      <c r="Y65" s="32">
        <v>0</v>
      </c>
      <c r="Z65" s="32">
        <v>0</v>
      </c>
      <c r="AA65" s="32">
        <v>0</v>
      </c>
      <c r="AB65" s="32">
        <v>0</v>
      </c>
      <c r="AC65" s="32" t="s">
        <v>536</v>
      </c>
      <c r="AD65" s="32"/>
      <c r="AE65" s="32">
        <v>0</v>
      </c>
    </row>
    <row r="66" spans="1:31" x14ac:dyDescent="0.25">
      <c r="A66">
        <v>43</v>
      </c>
      <c r="B66" t="s">
        <v>415</v>
      </c>
      <c r="C66" t="s">
        <v>37</v>
      </c>
      <c r="D66" s="35">
        <v>71431.8</v>
      </c>
      <c r="E66">
        <v>1246271493</v>
      </c>
      <c r="F66" s="321">
        <v>46155</v>
      </c>
      <c r="G66" s="321"/>
      <c r="H66" t="s">
        <v>28</v>
      </c>
      <c r="I66" t="s">
        <v>29</v>
      </c>
      <c r="J66">
        <v>11132</v>
      </c>
      <c r="K66" s="321">
        <v>46127</v>
      </c>
      <c r="L66">
        <v>1010100</v>
      </c>
      <c r="M66" t="s">
        <v>35</v>
      </c>
      <c r="N66">
        <v>-13</v>
      </c>
      <c r="O66" s="32">
        <v>0</v>
      </c>
      <c r="P66" s="32">
        <v>0</v>
      </c>
      <c r="Q66" s="32">
        <v>71431.8</v>
      </c>
      <c r="R66" s="32">
        <v>0</v>
      </c>
      <c r="S66" s="32">
        <v>0</v>
      </c>
      <c r="T66" s="32">
        <v>0</v>
      </c>
      <c r="U66" s="32">
        <v>0</v>
      </c>
      <c r="V66" s="32">
        <v>0</v>
      </c>
      <c r="W66" s="32">
        <v>0</v>
      </c>
      <c r="X66" s="32">
        <v>0</v>
      </c>
      <c r="Y66" s="32">
        <v>0</v>
      </c>
      <c r="Z66" s="32">
        <v>0</v>
      </c>
      <c r="AA66" s="32">
        <v>0</v>
      </c>
      <c r="AB66" s="32">
        <v>0</v>
      </c>
      <c r="AC66" s="32" t="s">
        <v>536</v>
      </c>
      <c r="AD66" s="32"/>
      <c r="AE66" s="32">
        <v>0</v>
      </c>
    </row>
    <row r="67" spans="1:31" x14ac:dyDescent="0.25">
      <c r="A67">
        <v>43</v>
      </c>
      <c r="B67" t="s">
        <v>415</v>
      </c>
      <c r="C67" t="s">
        <v>37</v>
      </c>
      <c r="D67" s="35">
        <v>3600</v>
      </c>
      <c r="E67">
        <v>1246271937</v>
      </c>
      <c r="F67" s="321">
        <v>46147</v>
      </c>
      <c r="G67" s="321"/>
      <c r="H67" t="s">
        <v>28</v>
      </c>
      <c r="I67" t="s">
        <v>29</v>
      </c>
      <c r="J67">
        <v>1246271937</v>
      </c>
      <c r="K67" s="321">
        <v>46132</v>
      </c>
      <c r="L67">
        <v>3042200</v>
      </c>
      <c r="M67" t="s">
        <v>830</v>
      </c>
      <c r="N67">
        <v>-5</v>
      </c>
      <c r="O67" s="32">
        <v>0</v>
      </c>
      <c r="P67" s="32">
        <v>0</v>
      </c>
      <c r="Q67" s="32">
        <v>3600</v>
      </c>
      <c r="R67" s="32">
        <v>0</v>
      </c>
      <c r="S67" s="32">
        <v>0</v>
      </c>
      <c r="T67" s="32">
        <v>0</v>
      </c>
      <c r="U67" s="32">
        <v>0</v>
      </c>
      <c r="V67" s="32">
        <v>0</v>
      </c>
      <c r="W67" s="32">
        <v>0</v>
      </c>
      <c r="X67" s="32">
        <v>0</v>
      </c>
      <c r="Y67" s="32">
        <v>0</v>
      </c>
      <c r="Z67" s="32">
        <v>0</v>
      </c>
      <c r="AA67" s="32">
        <v>0</v>
      </c>
      <c r="AB67" s="32">
        <v>0</v>
      </c>
      <c r="AC67" s="32" t="s">
        <v>536</v>
      </c>
      <c r="AD67" s="32"/>
      <c r="AE67" s="32">
        <v>0</v>
      </c>
    </row>
    <row r="68" spans="1:31" x14ac:dyDescent="0.25">
      <c r="A68">
        <v>43</v>
      </c>
      <c r="B68" t="s">
        <v>415</v>
      </c>
      <c r="C68" t="s">
        <v>37</v>
      </c>
      <c r="D68" s="35">
        <v>3600</v>
      </c>
      <c r="E68">
        <v>1246271931</v>
      </c>
      <c r="F68" s="321">
        <v>46147</v>
      </c>
      <c r="G68" s="321"/>
      <c r="H68" t="s">
        <v>28</v>
      </c>
      <c r="I68" t="s">
        <v>29</v>
      </c>
      <c r="J68">
        <v>1246271931</v>
      </c>
      <c r="K68" s="321">
        <v>46132</v>
      </c>
      <c r="L68">
        <v>3042200</v>
      </c>
      <c r="M68" t="s">
        <v>830</v>
      </c>
      <c r="N68">
        <v>-5</v>
      </c>
      <c r="O68" s="32">
        <v>0</v>
      </c>
      <c r="P68" s="32">
        <v>0</v>
      </c>
      <c r="Q68" s="32">
        <v>3600</v>
      </c>
      <c r="R68" s="32">
        <v>0</v>
      </c>
      <c r="S68" s="32">
        <v>0</v>
      </c>
      <c r="T68" s="32">
        <v>0</v>
      </c>
      <c r="U68" s="32">
        <v>0</v>
      </c>
      <c r="V68" s="32">
        <v>0</v>
      </c>
      <c r="W68" s="32">
        <v>0</v>
      </c>
      <c r="X68" s="32">
        <v>0</v>
      </c>
      <c r="Y68" s="32">
        <v>0</v>
      </c>
      <c r="Z68" s="32">
        <v>0</v>
      </c>
      <c r="AA68" s="32">
        <v>0</v>
      </c>
      <c r="AB68" s="32">
        <v>0</v>
      </c>
      <c r="AC68" s="32" t="s">
        <v>536</v>
      </c>
      <c r="AD68" s="32"/>
      <c r="AE68" s="32">
        <v>0</v>
      </c>
    </row>
    <row r="69" spans="1:31" x14ac:dyDescent="0.25">
      <c r="A69">
        <v>43</v>
      </c>
      <c r="B69" t="s">
        <v>415</v>
      </c>
      <c r="C69" t="s">
        <v>37</v>
      </c>
      <c r="D69" s="35">
        <v>6000</v>
      </c>
      <c r="E69">
        <v>1246271936</v>
      </c>
      <c r="F69" s="321">
        <v>46147</v>
      </c>
      <c r="G69" s="321"/>
      <c r="H69" t="s">
        <v>28</v>
      </c>
      <c r="I69" t="s">
        <v>29</v>
      </c>
      <c r="J69">
        <v>1246271936</v>
      </c>
      <c r="K69" s="321">
        <v>46132</v>
      </c>
      <c r="L69">
        <v>3042200</v>
      </c>
      <c r="M69" t="s">
        <v>830</v>
      </c>
      <c r="N69">
        <v>-5</v>
      </c>
      <c r="O69" s="32">
        <v>0</v>
      </c>
      <c r="P69" s="32">
        <v>0</v>
      </c>
      <c r="Q69" s="32">
        <v>6000</v>
      </c>
      <c r="R69" s="32">
        <v>0</v>
      </c>
      <c r="S69" s="32">
        <v>0</v>
      </c>
      <c r="T69" s="32">
        <v>0</v>
      </c>
      <c r="U69" s="32">
        <v>0</v>
      </c>
      <c r="V69" s="32">
        <v>0</v>
      </c>
      <c r="W69" s="32">
        <v>0</v>
      </c>
      <c r="X69" s="32">
        <v>0</v>
      </c>
      <c r="Y69" s="32">
        <v>0</v>
      </c>
      <c r="Z69" s="32">
        <v>0</v>
      </c>
      <c r="AA69" s="32">
        <v>0</v>
      </c>
      <c r="AB69" s="32">
        <v>0</v>
      </c>
      <c r="AC69" s="32" t="s">
        <v>536</v>
      </c>
      <c r="AD69" s="32"/>
      <c r="AE69" s="32">
        <v>0</v>
      </c>
    </row>
    <row r="70" spans="1:31" x14ac:dyDescent="0.25">
      <c r="A70">
        <v>43</v>
      </c>
      <c r="B70" t="s">
        <v>415</v>
      </c>
      <c r="C70" t="s">
        <v>37</v>
      </c>
      <c r="D70" s="35">
        <v>2400</v>
      </c>
      <c r="E70">
        <v>1246271921</v>
      </c>
      <c r="F70" s="321">
        <v>46147</v>
      </c>
      <c r="G70" s="321"/>
      <c r="H70" t="s">
        <v>28</v>
      </c>
      <c r="I70" t="s">
        <v>29</v>
      </c>
      <c r="J70">
        <v>1246271921</v>
      </c>
      <c r="K70" s="321">
        <v>46132</v>
      </c>
      <c r="L70">
        <v>3042200</v>
      </c>
      <c r="M70" t="s">
        <v>830</v>
      </c>
      <c r="N70">
        <v>-5</v>
      </c>
      <c r="O70" s="32">
        <v>0</v>
      </c>
      <c r="P70" s="32">
        <v>0</v>
      </c>
      <c r="Q70" s="32">
        <v>2400</v>
      </c>
      <c r="R70" s="32">
        <v>0</v>
      </c>
      <c r="S70" s="32">
        <v>0</v>
      </c>
      <c r="T70" s="32">
        <v>0</v>
      </c>
      <c r="U70" s="32">
        <v>0</v>
      </c>
      <c r="V70" s="32">
        <v>0</v>
      </c>
      <c r="W70" s="32">
        <v>0</v>
      </c>
      <c r="X70" s="32">
        <v>0</v>
      </c>
      <c r="Y70" s="32">
        <v>0</v>
      </c>
      <c r="Z70" s="32">
        <v>0</v>
      </c>
      <c r="AA70" s="32">
        <v>0</v>
      </c>
      <c r="AB70" s="32">
        <v>0</v>
      </c>
      <c r="AC70" s="32" t="s">
        <v>536</v>
      </c>
      <c r="AD70" s="32"/>
      <c r="AE70" s="32">
        <v>0</v>
      </c>
    </row>
    <row r="71" spans="1:31" x14ac:dyDescent="0.25">
      <c r="A71">
        <v>43</v>
      </c>
      <c r="B71" t="s">
        <v>415</v>
      </c>
      <c r="C71" t="s">
        <v>37</v>
      </c>
      <c r="D71" s="35">
        <v>71289.600000000006</v>
      </c>
      <c r="E71">
        <v>1246270729</v>
      </c>
      <c r="F71" s="321">
        <v>46148</v>
      </c>
      <c r="G71" s="321"/>
      <c r="H71" t="s">
        <v>28</v>
      </c>
      <c r="I71" t="s">
        <v>29</v>
      </c>
      <c r="J71">
        <v>11076</v>
      </c>
      <c r="K71" s="321">
        <v>46120</v>
      </c>
      <c r="L71">
        <v>1010100</v>
      </c>
      <c r="M71" t="s">
        <v>35</v>
      </c>
      <c r="N71">
        <v>-6</v>
      </c>
      <c r="O71" s="32">
        <v>0</v>
      </c>
      <c r="P71" s="32">
        <v>0</v>
      </c>
      <c r="Q71" s="32">
        <v>71289.600000000006</v>
      </c>
      <c r="R71" s="32">
        <v>0</v>
      </c>
      <c r="S71" s="32">
        <v>0</v>
      </c>
      <c r="T71" s="32">
        <v>0</v>
      </c>
      <c r="U71" s="32">
        <v>0</v>
      </c>
      <c r="V71" s="32">
        <v>0</v>
      </c>
      <c r="W71" s="32">
        <v>0</v>
      </c>
      <c r="X71" s="32">
        <v>0</v>
      </c>
      <c r="Y71" s="32">
        <v>0</v>
      </c>
      <c r="Z71" s="32">
        <v>0</v>
      </c>
      <c r="AA71" s="32">
        <v>0</v>
      </c>
      <c r="AB71" s="32">
        <v>0</v>
      </c>
      <c r="AC71" s="32" t="s">
        <v>536</v>
      </c>
      <c r="AD71" s="32"/>
      <c r="AE71" s="32">
        <v>0</v>
      </c>
    </row>
    <row r="72" spans="1:31" x14ac:dyDescent="0.25">
      <c r="A72">
        <v>43</v>
      </c>
      <c r="B72" t="s">
        <v>415</v>
      </c>
      <c r="C72" t="s">
        <v>37</v>
      </c>
      <c r="D72" s="35">
        <v>71652.2</v>
      </c>
      <c r="E72">
        <v>1246272199</v>
      </c>
      <c r="F72" s="321">
        <v>46163</v>
      </c>
      <c r="G72" s="321"/>
      <c r="H72" t="s">
        <v>28</v>
      </c>
      <c r="I72" t="s">
        <v>29</v>
      </c>
      <c r="J72">
        <v>11195</v>
      </c>
      <c r="K72" s="321">
        <v>46135</v>
      </c>
      <c r="L72">
        <v>1010100</v>
      </c>
      <c r="M72" t="s">
        <v>35</v>
      </c>
      <c r="N72">
        <v>-21</v>
      </c>
      <c r="O72" s="32">
        <v>0</v>
      </c>
      <c r="P72" s="32">
        <v>0</v>
      </c>
      <c r="Q72" s="32">
        <v>71652.2</v>
      </c>
      <c r="R72" s="32">
        <v>0</v>
      </c>
      <c r="S72" s="32">
        <v>0</v>
      </c>
      <c r="T72" s="32">
        <v>0</v>
      </c>
      <c r="U72" s="32">
        <v>0</v>
      </c>
      <c r="V72" s="32">
        <v>0</v>
      </c>
      <c r="W72" s="32">
        <v>0</v>
      </c>
      <c r="X72" s="32">
        <v>0</v>
      </c>
      <c r="Y72" s="32">
        <v>0</v>
      </c>
      <c r="Z72" s="32">
        <v>0</v>
      </c>
      <c r="AA72" s="32">
        <v>0</v>
      </c>
      <c r="AB72" s="32">
        <v>0</v>
      </c>
      <c r="AC72" s="32" t="s">
        <v>536</v>
      </c>
      <c r="AD72" s="32"/>
      <c r="AE72" s="32">
        <v>0</v>
      </c>
    </row>
    <row r="73" spans="1:31" x14ac:dyDescent="0.25">
      <c r="A73">
        <v>43</v>
      </c>
      <c r="B73" t="s">
        <v>415</v>
      </c>
      <c r="C73" t="s">
        <v>37</v>
      </c>
      <c r="D73" s="35">
        <v>71652.2</v>
      </c>
      <c r="E73">
        <v>1246272852</v>
      </c>
      <c r="F73" s="321">
        <v>46167</v>
      </c>
      <c r="G73" s="321"/>
      <c r="H73" t="s">
        <v>28</v>
      </c>
      <c r="I73" t="s">
        <v>29</v>
      </c>
      <c r="J73">
        <v>11238</v>
      </c>
      <c r="K73" s="321">
        <v>46139</v>
      </c>
      <c r="L73">
        <v>1010100</v>
      </c>
      <c r="M73" t="s">
        <v>35</v>
      </c>
      <c r="N73">
        <v>-25</v>
      </c>
      <c r="O73" s="32">
        <v>0</v>
      </c>
      <c r="P73" s="32">
        <v>0</v>
      </c>
      <c r="Q73" s="32">
        <v>71652.2</v>
      </c>
      <c r="R73" s="32">
        <v>0</v>
      </c>
      <c r="S73" s="32">
        <v>0</v>
      </c>
      <c r="T73" s="32">
        <v>0</v>
      </c>
      <c r="U73" s="32">
        <v>0</v>
      </c>
      <c r="V73" s="32">
        <v>0</v>
      </c>
      <c r="W73" s="32">
        <v>0</v>
      </c>
      <c r="X73" s="32">
        <v>0</v>
      </c>
      <c r="Y73" s="32">
        <v>0</v>
      </c>
      <c r="Z73" s="32">
        <v>0</v>
      </c>
      <c r="AA73" s="32">
        <v>0</v>
      </c>
      <c r="AB73" s="32">
        <v>0</v>
      </c>
      <c r="AC73" s="32" t="s">
        <v>536</v>
      </c>
      <c r="AD73" s="32"/>
      <c r="AE73" s="32">
        <v>0</v>
      </c>
    </row>
    <row r="74" spans="1:31" x14ac:dyDescent="0.25">
      <c r="A74">
        <v>1936</v>
      </c>
      <c r="B74" t="s">
        <v>415</v>
      </c>
      <c r="C74" t="s">
        <v>75</v>
      </c>
      <c r="D74" s="35">
        <v>54000</v>
      </c>
      <c r="E74">
        <v>1246271887</v>
      </c>
      <c r="F74" s="321">
        <v>46160</v>
      </c>
      <c r="G74" s="321"/>
      <c r="H74" t="s">
        <v>28</v>
      </c>
      <c r="I74" t="s">
        <v>29</v>
      </c>
      <c r="J74">
        <v>11175</v>
      </c>
      <c r="K74" s="321">
        <v>46132</v>
      </c>
      <c r="L74">
        <v>1010100</v>
      </c>
      <c r="M74" t="s">
        <v>35</v>
      </c>
      <c r="N74">
        <v>-18</v>
      </c>
      <c r="O74" s="32">
        <v>0</v>
      </c>
      <c r="P74" s="32">
        <v>0</v>
      </c>
      <c r="Q74" s="32">
        <v>54000</v>
      </c>
      <c r="R74" s="32">
        <v>0</v>
      </c>
      <c r="S74" s="32">
        <v>0</v>
      </c>
      <c r="T74" s="32">
        <v>0</v>
      </c>
      <c r="U74" s="32">
        <v>0</v>
      </c>
      <c r="V74" s="32">
        <v>0</v>
      </c>
      <c r="W74" s="32">
        <v>0</v>
      </c>
      <c r="X74" s="32">
        <v>0</v>
      </c>
      <c r="Y74" s="32">
        <v>0</v>
      </c>
      <c r="Z74" s="32">
        <v>0</v>
      </c>
      <c r="AA74" s="32">
        <v>0</v>
      </c>
      <c r="AB74" s="32">
        <v>0</v>
      </c>
      <c r="AC74" s="32" t="s">
        <v>536</v>
      </c>
      <c r="AD74" s="32"/>
      <c r="AE74" s="32">
        <v>0</v>
      </c>
    </row>
    <row r="75" spans="1:31" x14ac:dyDescent="0.25">
      <c r="A75">
        <v>1936</v>
      </c>
      <c r="B75" t="s">
        <v>415</v>
      </c>
      <c r="C75" t="s">
        <v>75</v>
      </c>
      <c r="D75" s="35">
        <v>39900</v>
      </c>
      <c r="E75">
        <v>1246271562</v>
      </c>
      <c r="F75" s="321">
        <v>46156</v>
      </c>
      <c r="G75" s="321"/>
      <c r="H75" t="s">
        <v>28</v>
      </c>
      <c r="I75" t="s">
        <v>29</v>
      </c>
      <c r="J75">
        <v>11139</v>
      </c>
      <c r="K75" s="321">
        <v>46128</v>
      </c>
      <c r="L75">
        <v>1010100</v>
      </c>
      <c r="M75" t="s">
        <v>35</v>
      </c>
      <c r="N75">
        <v>-14</v>
      </c>
      <c r="O75" s="32">
        <v>0</v>
      </c>
      <c r="P75" s="32">
        <v>0</v>
      </c>
      <c r="Q75" s="32">
        <v>39900</v>
      </c>
      <c r="R75" s="32">
        <v>0</v>
      </c>
      <c r="S75" s="32">
        <v>0</v>
      </c>
      <c r="T75" s="32">
        <v>0</v>
      </c>
      <c r="U75" s="32">
        <v>0</v>
      </c>
      <c r="V75" s="32">
        <v>0</v>
      </c>
      <c r="W75" s="32">
        <v>0</v>
      </c>
      <c r="X75" s="32">
        <v>0</v>
      </c>
      <c r="Y75" s="32">
        <v>0</v>
      </c>
      <c r="Z75" s="32">
        <v>0</v>
      </c>
      <c r="AA75" s="32">
        <v>0</v>
      </c>
      <c r="AB75" s="32">
        <v>0</v>
      </c>
      <c r="AC75" s="32" t="s">
        <v>536</v>
      </c>
      <c r="AD75" s="32"/>
      <c r="AE75" s="32">
        <v>0</v>
      </c>
    </row>
    <row r="76" spans="1:31" x14ac:dyDescent="0.25">
      <c r="A76">
        <v>33</v>
      </c>
      <c r="B76" t="s">
        <v>526</v>
      </c>
      <c r="C76" t="s">
        <v>666</v>
      </c>
      <c r="D76" s="35">
        <v>52960</v>
      </c>
      <c r="E76">
        <v>1246272783</v>
      </c>
      <c r="F76" s="321">
        <v>46169</v>
      </c>
      <c r="G76" s="321"/>
      <c r="H76" t="s">
        <v>28</v>
      </c>
      <c r="I76" t="s">
        <v>29</v>
      </c>
      <c r="J76">
        <v>11230</v>
      </c>
      <c r="K76" s="321">
        <v>46139</v>
      </c>
      <c r="L76">
        <v>1010100</v>
      </c>
      <c r="M76" t="s">
        <v>35</v>
      </c>
      <c r="N76">
        <v>-27</v>
      </c>
      <c r="O76" s="32">
        <v>0</v>
      </c>
      <c r="P76" s="32">
        <v>0</v>
      </c>
      <c r="Q76" s="32">
        <v>52960</v>
      </c>
      <c r="R76" s="32">
        <v>0</v>
      </c>
      <c r="S76" s="32">
        <v>0</v>
      </c>
      <c r="T76" s="32">
        <v>0</v>
      </c>
      <c r="U76" s="32">
        <v>0</v>
      </c>
      <c r="V76" s="32">
        <v>0</v>
      </c>
      <c r="W76" s="32">
        <v>0</v>
      </c>
      <c r="X76" s="32">
        <v>0</v>
      </c>
      <c r="Y76" s="32">
        <v>0</v>
      </c>
      <c r="Z76" s="32">
        <v>0</v>
      </c>
      <c r="AA76" s="32">
        <v>0</v>
      </c>
      <c r="AB76" s="32">
        <v>0</v>
      </c>
      <c r="AC76" s="32" t="s">
        <v>472</v>
      </c>
      <c r="AD76" s="32"/>
      <c r="AE76" s="32">
        <v>0</v>
      </c>
    </row>
    <row r="77" spans="1:31" x14ac:dyDescent="0.25">
      <c r="A77">
        <v>33</v>
      </c>
      <c r="B77" t="s">
        <v>526</v>
      </c>
      <c r="C77" t="s">
        <v>666</v>
      </c>
      <c r="D77" s="35">
        <v>99167.6</v>
      </c>
      <c r="E77">
        <v>1246271248</v>
      </c>
      <c r="F77" s="321">
        <v>46155</v>
      </c>
      <c r="G77" s="321"/>
      <c r="H77" t="s">
        <v>28</v>
      </c>
      <c r="I77" t="s">
        <v>29</v>
      </c>
      <c r="J77">
        <v>11114</v>
      </c>
      <c r="K77" s="321">
        <v>46125</v>
      </c>
      <c r="L77">
        <v>1010100</v>
      </c>
      <c r="M77" t="s">
        <v>35</v>
      </c>
      <c r="N77">
        <v>-13</v>
      </c>
      <c r="O77" s="32">
        <v>0</v>
      </c>
      <c r="P77" s="32">
        <v>0</v>
      </c>
      <c r="Q77" s="32">
        <v>99167.6</v>
      </c>
      <c r="R77" s="32">
        <v>0</v>
      </c>
      <c r="S77" s="32">
        <v>0</v>
      </c>
      <c r="T77" s="32">
        <v>0</v>
      </c>
      <c r="U77" s="32">
        <v>0</v>
      </c>
      <c r="V77" s="32">
        <v>0</v>
      </c>
      <c r="W77" s="32">
        <v>0</v>
      </c>
      <c r="X77" s="32">
        <v>0</v>
      </c>
      <c r="Y77" s="32">
        <v>0</v>
      </c>
      <c r="Z77" s="32">
        <v>0</v>
      </c>
      <c r="AA77" s="32">
        <v>0</v>
      </c>
      <c r="AB77" s="32">
        <v>0</v>
      </c>
      <c r="AC77" s="32" t="s">
        <v>472</v>
      </c>
      <c r="AD77" s="32"/>
      <c r="AE77" s="32">
        <v>0</v>
      </c>
    </row>
    <row r="78" spans="1:31" x14ac:dyDescent="0.25">
      <c r="A78">
        <v>214</v>
      </c>
      <c r="B78" t="s">
        <v>416</v>
      </c>
      <c r="C78" t="s">
        <v>818</v>
      </c>
      <c r="D78" s="35">
        <v>82931.8</v>
      </c>
      <c r="E78">
        <v>1246270505</v>
      </c>
      <c r="F78" s="321">
        <v>46147</v>
      </c>
      <c r="G78" s="321"/>
      <c r="H78" t="s">
        <v>28</v>
      </c>
      <c r="I78" t="s">
        <v>29</v>
      </c>
      <c r="J78">
        <v>11065</v>
      </c>
      <c r="K78" s="321">
        <v>46119</v>
      </c>
      <c r="L78">
        <v>1010100</v>
      </c>
      <c r="M78" t="s">
        <v>35</v>
      </c>
      <c r="N78">
        <v>-5</v>
      </c>
      <c r="O78" s="32">
        <v>0</v>
      </c>
      <c r="P78" s="32">
        <v>0</v>
      </c>
      <c r="Q78" s="32">
        <v>82931.8</v>
      </c>
      <c r="R78" s="32">
        <v>0</v>
      </c>
      <c r="S78" s="32">
        <v>0</v>
      </c>
      <c r="T78" s="32">
        <v>0</v>
      </c>
      <c r="U78" s="32">
        <v>0</v>
      </c>
      <c r="V78" s="32">
        <v>0</v>
      </c>
      <c r="W78" s="32">
        <v>0</v>
      </c>
      <c r="X78" s="32">
        <v>0</v>
      </c>
      <c r="Y78" s="32">
        <v>0</v>
      </c>
      <c r="Z78" s="32">
        <v>0</v>
      </c>
      <c r="AA78" s="32">
        <v>0</v>
      </c>
      <c r="AB78" s="32">
        <v>0</v>
      </c>
      <c r="AC78" s="32" t="s">
        <v>472</v>
      </c>
      <c r="AD78" s="32"/>
      <c r="AE78" s="32">
        <v>0</v>
      </c>
    </row>
    <row r="79" spans="1:31" x14ac:dyDescent="0.25">
      <c r="A79">
        <v>214</v>
      </c>
      <c r="B79" t="s">
        <v>416</v>
      </c>
      <c r="C79" t="s">
        <v>818</v>
      </c>
      <c r="D79" s="35">
        <v>82854.100000000006</v>
      </c>
      <c r="E79">
        <v>1246272851</v>
      </c>
      <c r="F79" s="321">
        <v>46167</v>
      </c>
      <c r="G79" s="321"/>
      <c r="H79" t="s">
        <v>28</v>
      </c>
      <c r="I79" t="s">
        <v>29</v>
      </c>
      <c r="J79">
        <v>11237</v>
      </c>
      <c r="K79" s="321">
        <v>46139</v>
      </c>
      <c r="L79">
        <v>1010100</v>
      </c>
      <c r="M79" t="s">
        <v>35</v>
      </c>
      <c r="N79">
        <v>-25</v>
      </c>
      <c r="O79" s="32">
        <v>0</v>
      </c>
      <c r="P79" s="32">
        <v>0</v>
      </c>
      <c r="Q79" s="32">
        <v>82854.100000000006</v>
      </c>
      <c r="R79" s="32">
        <v>0</v>
      </c>
      <c r="S79" s="32">
        <v>0</v>
      </c>
      <c r="T79" s="32">
        <v>0</v>
      </c>
      <c r="U79" s="32">
        <v>0</v>
      </c>
      <c r="V79" s="32">
        <v>0</v>
      </c>
      <c r="W79" s="32">
        <v>0</v>
      </c>
      <c r="X79" s="32">
        <v>0</v>
      </c>
      <c r="Y79" s="32">
        <v>0</v>
      </c>
      <c r="Z79" s="32">
        <v>0</v>
      </c>
      <c r="AA79" s="32">
        <v>0</v>
      </c>
      <c r="AB79" s="32">
        <v>0</v>
      </c>
      <c r="AC79" s="32" t="s">
        <v>472</v>
      </c>
      <c r="AD79" s="32"/>
      <c r="AE79" s="32">
        <v>0</v>
      </c>
    </row>
    <row r="80" spans="1:31" x14ac:dyDescent="0.25">
      <c r="A80">
        <v>214</v>
      </c>
      <c r="B80" t="s">
        <v>416</v>
      </c>
      <c r="C80" t="s">
        <v>818</v>
      </c>
      <c r="D80" s="35">
        <v>99281.7</v>
      </c>
      <c r="E80">
        <v>1246271672</v>
      </c>
      <c r="F80" s="321">
        <v>46157</v>
      </c>
      <c r="G80" s="321"/>
      <c r="H80" t="s">
        <v>28</v>
      </c>
      <c r="I80" t="s">
        <v>29</v>
      </c>
      <c r="J80">
        <v>11156</v>
      </c>
      <c r="K80" s="321">
        <v>46129</v>
      </c>
      <c r="L80">
        <v>1010100</v>
      </c>
      <c r="M80" t="s">
        <v>35</v>
      </c>
      <c r="N80">
        <v>-15</v>
      </c>
      <c r="O80" s="32">
        <v>0</v>
      </c>
      <c r="P80" s="32">
        <v>0</v>
      </c>
      <c r="Q80" s="32">
        <v>99281.7</v>
      </c>
      <c r="R80" s="32">
        <v>0</v>
      </c>
      <c r="S80" s="32">
        <v>0</v>
      </c>
      <c r="T80" s="32">
        <v>0</v>
      </c>
      <c r="U80" s="32">
        <v>0</v>
      </c>
      <c r="V80" s="32">
        <v>0</v>
      </c>
      <c r="W80" s="32">
        <v>0</v>
      </c>
      <c r="X80" s="32">
        <v>0</v>
      </c>
      <c r="Y80" s="32">
        <v>0</v>
      </c>
      <c r="Z80" s="32">
        <v>0</v>
      </c>
      <c r="AA80" s="32">
        <v>0</v>
      </c>
      <c r="AB80" s="32">
        <v>0</v>
      </c>
      <c r="AC80" s="32" t="s">
        <v>472</v>
      </c>
      <c r="AD80" s="32"/>
      <c r="AE80" s="32">
        <v>0</v>
      </c>
    </row>
    <row r="81" spans="1:31" x14ac:dyDescent="0.25">
      <c r="A81">
        <v>2</v>
      </c>
      <c r="B81" t="s">
        <v>417</v>
      </c>
      <c r="C81" t="s">
        <v>815</v>
      </c>
      <c r="D81" s="35">
        <v>13431</v>
      </c>
      <c r="E81">
        <v>1246272905</v>
      </c>
      <c r="F81" s="321">
        <v>46168</v>
      </c>
      <c r="G81" s="321">
        <v>46146</v>
      </c>
      <c r="H81" t="s">
        <v>816</v>
      </c>
      <c r="I81" t="s">
        <v>817</v>
      </c>
      <c r="J81">
        <v>2898</v>
      </c>
      <c r="K81" s="321">
        <v>46140</v>
      </c>
      <c r="L81">
        <v>1010100</v>
      </c>
      <c r="M81" t="s">
        <v>35</v>
      </c>
      <c r="N81">
        <v>-26</v>
      </c>
      <c r="O81" s="32">
        <v>0</v>
      </c>
      <c r="P81" s="32">
        <v>0</v>
      </c>
      <c r="Q81" s="32">
        <v>13431</v>
      </c>
      <c r="R81" s="32">
        <v>0</v>
      </c>
      <c r="S81" s="32">
        <v>0</v>
      </c>
      <c r="T81" s="32">
        <v>0</v>
      </c>
      <c r="U81" s="32">
        <v>0</v>
      </c>
      <c r="V81" s="32">
        <v>0</v>
      </c>
      <c r="W81" s="32">
        <v>0</v>
      </c>
      <c r="X81" s="32">
        <v>0</v>
      </c>
      <c r="Y81" s="32">
        <v>0</v>
      </c>
      <c r="Z81" s="32">
        <v>0</v>
      </c>
      <c r="AA81" s="32">
        <v>0</v>
      </c>
      <c r="AB81" s="32">
        <v>0</v>
      </c>
      <c r="AC81" s="32" t="s">
        <v>472</v>
      </c>
      <c r="AD81" s="32"/>
      <c r="AE81" s="32">
        <v>0</v>
      </c>
    </row>
    <row r="82" spans="1:31" x14ac:dyDescent="0.25">
      <c r="A82">
        <v>183</v>
      </c>
      <c r="B82" t="s">
        <v>526</v>
      </c>
      <c r="C82" t="s">
        <v>42</v>
      </c>
      <c r="D82" s="35">
        <v>4231.96</v>
      </c>
      <c r="E82">
        <v>1246014155</v>
      </c>
      <c r="F82" s="321">
        <v>47847</v>
      </c>
      <c r="G82" s="321"/>
      <c r="H82" t="s">
        <v>28</v>
      </c>
      <c r="I82" t="s">
        <v>29</v>
      </c>
      <c r="J82">
        <v>8361</v>
      </c>
      <c r="K82" s="321">
        <v>43384</v>
      </c>
      <c r="L82">
        <v>1010100</v>
      </c>
      <c r="M82" t="s">
        <v>35</v>
      </c>
      <c r="N82">
        <v>-1705</v>
      </c>
      <c r="O82" s="32">
        <v>0</v>
      </c>
      <c r="P82" s="32">
        <v>0</v>
      </c>
      <c r="Q82" s="32">
        <v>4231.96</v>
      </c>
      <c r="R82" s="32">
        <v>0</v>
      </c>
      <c r="S82" s="32">
        <v>0</v>
      </c>
      <c r="T82" s="32">
        <v>0</v>
      </c>
      <c r="U82" s="32">
        <v>0</v>
      </c>
      <c r="V82" s="32">
        <v>0</v>
      </c>
      <c r="W82" s="32">
        <v>0</v>
      </c>
      <c r="X82" s="32">
        <v>0</v>
      </c>
      <c r="Y82" s="32">
        <v>0</v>
      </c>
      <c r="Z82" s="32">
        <v>0</v>
      </c>
      <c r="AA82" s="32">
        <v>0</v>
      </c>
      <c r="AB82" s="32">
        <v>0</v>
      </c>
      <c r="AC82" s="32" t="s">
        <v>472</v>
      </c>
      <c r="AD82" s="32"/>
      <c r="AE82" s="32">
        <v>0</v>
      </c>
    </row>
    <row r="83" spans="1:31" x14ac:dyDescent="0.25">
      <c r="A83">
        <v>183</v>
      </c>
      <c r="B83" t="s">
        <v>526</v>
      </c>
      <c r="C83" t="s">
        <v>42</v>
      </c>
      <c r="D83" s="35">
        <v>4045.01</v>
      </c>
      <c r="E83">
        <v>1246014156</v>
      </c>
      <c r="F83" s="321">
        <v>48212</v>
      </c>
      <c r="G83" s="321"/>
      <c r="H83" t="s">
        <v>28</v>
      </c>
      <c r="I83" t="s">
        <v>29</v>
      </c>
      <c r="J83">
        <v>8361</v>
      </c>
      <c r="K83" s="321">
        <v>43384</v>
      </c>
      <c r="L83">
        <v>1010100</v>
      </c>
      <c r="M83" t="s">
        <v>35</v>
      </c>
      <c r="N83">
        <v>-2070</v>
      </c>
      <c r="O83" s="32">
        <v>0</v>
      </c>
      <c r="P83" s="32">
        <v>0</v>
      </c>
      <c r="Q83" s="32">
        <v>4045.01</v>
      </c>
      <c r="R83" s="32">
        <v>0</v>
      </c>
      <c r="S83" s="32">
        <v>0</v>
      </c>
      <c r="T83" s="32">
        <v>0</v>
      </c>
      <c r="U83" s="32">
        <v>0</v>
      </c>
      <c r="V83" s="32">
        <v>0</v>
      </c>
      <c r="W83" s="32">
        <v>0</v>
      </c>
      <c r="X83" s="32">
        <v>0</v>
      </c>
      <c r="Y83" s="32">
        <v>0</v>
      </c>
      <c r="Z83" s="32">
        <v>0</v>
      </c>
      <c r="AA83" s="32">
        <v>0</v>
      </c>
      <c r="AB83" s="32">
        <v>0</v>
      </c>
      <c r="AC83" s="32" t="s">
        <v>472</v>
      </c>
      <c r="AD83" s="32"/>
      <c r="AE83" s="32">
        <v>0</v>
      </c>
    </row>
    <row r="84" spans="1:31" x14ac:dyDescent="0.25">
      <c r="A84">
        <v>183</v>
      </c>
      <c r="B84" t="s">
        <v>526</v>
      </c>
      <c r="C84" t="s">
        <v>42</v>
      </c>
      <c r="D84" s="35">
        <v>4339.6000000000004</v>
      </c>
      <c r="E84">
        <v>1246014157</v>
      </c>
      <c r="F84" s="321">
        <v>48578</v>
      </c>
      <c r="G84" s="321"/>
      <c r="H84" t="s">
        <v>28</v>
      </c>
      <c r="I84" t="s">
        <v>29</v>
      </c>
      <c r="J84">
        <v>8361</v>
      </c>
      <c r="K84" s="321">
        <v>43384</v>
      </c>
      <c r="L84">
        <v>1010100</v>
      </c>
      <c r="M84" t="s">
        <v>35</v>
      </c>
      <c r="N84">
        <v>-2436</v>
      </c>
      <c r="O84" s="32">
        <v>0</v>
      </c>
      <c r="P84" s="32">
        <v>0</v>
      </c>
      <c r="Q84" s="32">
        <v>4339.6000000000004</v>
      </c>
      <c r="R84" s="32">
        <v>0</v>
      </c>
      <c r="S84" s="32">
        <v>0</v>
      </c>
      <c r="T84" s="32">
        <v>0</v>
      </c>
      <c r="U84" s="32">
        <v>0</v>
      </c>
      <c r="V84" s="32">
        <v>0</v>
      </c>
      <c r="W84" s="32">
        <v>0</v>
      </c>
      <c r="X84" s="32">
        <v>0</v>
      </c>
      <c r="Y84" s="32">
        <v>0</v>
      </c>
      <c r="Z84" s="32">
        <v>0</v>
      </c>
      <c r="AA84" s="32">
        <v>0</v>
      </c>
      <c r="AB84" s="32">
        <v>0</v>
      </c>
      <c r="AC84" s="32" t="s">
        <v>472</v>
      </c>
      <c r="AD84" s="32"/>
      <c r="AE84" s="32">
        <v>0</v>
      </c>
    </row>
    <row r="85" spans="1:31" x14ac:dyDescent="0.25">
      <c r="A85">
        <v>183</v>
      </c>
      <c r="B85" t="s">
        <v>526</v>
      </c>
      <c r="C85" t="s">
        <v>42</v>
      </c>
      <c r="D85" s="35">
        <v>7512.16</v>
      </c>
      <c r="E85">
        <v>1246014158</v>
      </c>
      <c r="F85" s="321">
        <v>48943</v>
      </c>
      <c r="G85" s="321"/>
      <c r="H85" t="s">
        <v>28</v>
      </c>
      <c r="I85" t="s">
        <v>29</v>
      </c>
      <c r="J85">
        <v>8361</v>
      </c>
      <c r="K85" s="321">
        <v>43384</v>
      </c>
      <c r="L85">
        <v>1010100</v>
      </c>
      <c r="M85" t="s">
        <v>35</v>
      </c>
      <c r="N85">
        <v>-2801</v>
      </c>
      <c r="O85" s="32">
        <v>0</v>
      </c>
      <c r="P85" s="32">
        <v>0</v>
      </c>
      <c r="Q85" s="32">
        <v>7512.16</v>
      </c>
      <c r="R85" s="32">
        <v>0</v>
      </c>
      <c r="S85" s="32">
        <v>0</v>
      </c>
      <c r="T85" s="32">
        <v>0</v>
      </c>
      <c r="U85" s="32">
        <v>0</v>
      </c>
      <c r="V85" s="32">
        <v>0</v>
      </c>
      <c r="W85" s="32">
        <v>0</v>
      </c>
      <c r="X85" s="32">
        <v>0</v>
      </c>
      <c r="Y85" s="32">
        <v>0</v>
      </c>
      <c r="Z85" s="32">
        <v>0</v>
      </c>
      <c r="AA85" s="32">
        <v>0</v>
      </c>
      <c r="AB85" s="32">
        <v>0</v>
      </c>
      <c r="AC85" s="32" t="s">
        <v>472</v>
      </c>
      <c r="AD85" s="32"/>
      <c r="AE85" s="32">
        <v>0</v>
      </c>
    </row>
    <row r="86" spans="1:31" x14ac:dyDescent="0.25">
      <c r="A86">
        <v>183</v>
      </c>
      <c r="B86" t="s">
        <v>526</v>
      </c>
      <c r="C86" t="s">
        <v>42</v>
      </c>
      <c r="D86" s="35">
        <v>30552.86</v>
      </c>
      <c r="E86">
        <v>1246014159</v>
      </c>
      <c r="F86" s="321">
        <v>49308</v>
      </c>
      <c r="G86" s="321"/>
      <c r="H86" t="s">
        <v>28</v>
      </c>
      <c r="I86" t="s">
        <v>29</v>
      </c>
      <c r="J86">
        <v>8361</v>
      </c>
      <c r="K86" s="321">
        <v>43384</v>
      </c>
      <c r="L86">
        <v>1010100</v>
      </c>
      <c r="M86" t="s">
        <v>35</v>
      </c>
      <c r="N86">
        <v>-3166</v>
      </c>
      <c r="O86" s="32">
        <v>0</v>
      </c>
      <c r="P86" s="32">
        <v>0</v>
      </c>
      <c r="Q86" s="32">
        <v>30552.86</v>
      </c>
      <c r="R86" s="32">
        <v>0</v>
      </c>
      <c r="S86" s="32">
        <v>0</v>
      </c>
      <c r="T86" s="32">
        <v>0</v>
      </c>
      <c r="U86" s="32">
        <v>0</v>
      </c>
      <c r="V86" s="32">
        <v>0</v>
      </c>
      <c r="W86" s="32">
        <v>0</v>
      </c>
      <c r="X86" s="32">
        <v>0</v>
      </c>
      <c r="Y86" s="32">
        <v>0</v>
      </c>
      <c r="Z86" s="32">
        <v>0</v>
      </c>
      <c r="AA86" s="32">
        <v>0</v>
      </c>
      <c r="AB86" s="32">
        <v>0</v>
      </c>
      <c r="AC86" s="32" t="s">
        <v>472</v>
      </c>
      <c r="AD86" s="32"/>
      <c r="AE86" s="32">
        <v>0</v>
      </c>
    </row>
    <row r="87" spans="1:31" x14ac:dyDescent="0.25">
      <c r="A87">
        <v>183</v>
      </c>
      <c r="B87" t="s">
        <v>526</v>
      </c>
      <c r="C87" t="s">
        <v>42</v>
      </c>
      <c r="D87" s="35">
        <v>1512.63</v>
      </c>
      <c r="E87">
        <v>1246014161</v>
      </c>
      <c r="F87" s="321">
        <v>50039</v>
      </c>
      <c r="G87" s="321"/>
      <c r="H87" t="s">
        <v>28</v>
      </c>
      <c r="I87" t="s">
        <v>29</v>
      </c>
      <c r="J87">
        <v>8361</v>
      </c>
      <c r="K87" s="321">
        <v>43384</v>
      </c>
      <c r="L87">
        <v>1010100</v>
      </c>
      <c r="M87" t="s">
        <v>35</v>
      </c>
      <c r="N87">
        <v>-3897</v>
      </c>
      <c r="O87" s="32">
        <v>0</v>
      </c>
      <c r="P87" s="32">
        <v>0</v>
      </c>
      <c r="Q87" s="32">
        <v>1512.63</v>
      </c>
      <c r="R87" s="32">
        <v>0</v>
      </c>
      <c r="S87" s="32">
        <v>0</v>
      </c>
      <c r="T87" s="32">
        <v>0</v>
      </c>
      <c r="U87" s="32">
        <v>0</v>
      </c>
      <c r="V87" s="32">
        <v>0</v>
      </c>
      <c r="W87" s="32">
        <v>0</v>
      </c>
      <c r="X87" s="32">
        <v>0</v>
      </c>
      <c r="Y87" s="32">
        <v>0</v>
      </c>
      <c r="Z87" s="32">
        <v>0</v>
      </c>
      <c r="AA87" s="32">
        <v>0</v>
      </c>
      <c r="AB87" s="32">
        <v>0</v>
      </c>
      <c r="AC87" s="32" t="s">
        <v>472</v>
      </c>
      <c r="AD87" s="32"/>
      <c r="AE87" s="32">
        <v>0</v>
      </c>
    </row>
    <row r="88" spans="1:31" x14ac:dyDescent="0.25">
      <c r="A88">
        <v>183</v>
      </c>
      <c r="B88" t="s">
        <v>526</v>
      </c>
      <c r="C88" t="s">
        <v>42</v>
      </c>
      <c r="D88" s="35">
        <v>1982.85</v>
      </c>
      <c r="E88">
        <v>1246014162</v>
      </c>
      <c r="F88" s="321">
        <v>50404</v>
      </c>
      <c r="G88" s="321"/>
      <c r="H88" t="s">
        <v>28</v>
      </c>
      <c r="I88" t="s">
        <v>29</v>
      </c>
      <c r="J88">
        <v>8361</v>
      </c>
      <c r="K88" s="321">
        <v>43384</v>
      </c>
      <c r="L88">
        <v>1010100</v>
      </c>
      <c r="M88" t="s">
        <v>35</v>
      </c>
      <c r="N88">
        <v>-4262</v>
      </c>
      <c r="O88" s="32">
        <v>0</v>
      </c>
      <c r="P88" s="32">
        <v>0</v>
      </c>
      <c r="Q88" s="32">
        <v>1982.85</v>
      </c>
      <c r="R88" s="32">
        <v>0</v>
      </c>
      <c r="S88" s="32">
        <v>0</v>
      </c>
      <c r="T88" s="32">
        <v>0</v>
      </c>
      <c r="U88" s="32">
        <v>0</v>
      </c>
      <c r="V88" s="32">
        <v>0</v>
      </c>
      <c r="W88" s="32">
        <v>0</v>
      </c>
      <c r="X88" s="32">
        <v>0</v>
      </c>
      <c r="Y88" s="32">
        <v>0</v>
      </c>
      <c r="Z88" s="32">
        <v>0</v>
      </c>
      <c r="AA88" s="32">
        <v>0</v>
      </c>
      <c r="AB88" s="32">
        <v>0</v>
      </c>
      <c r="AC88" s="32" t="s">
        <v>472</v>
      </c>
      <c r="AD88" s="32"/>
      <c r="AE88" s="32">
        <v>0</v>
      </c>
    </row>
    <row r="89" spans="1:31" x14ac:dyDescent="0.25">
      <c r="A89">
        <v>183</v>
      </c>
      <c r="B89" t="s">
        <v>526</v>
      </c>
      <c r="C89" t="s">
        <v>42</v>
      </c>
      <c r="D89" s="35">
        <v>2549.38</v>
      </c>
      <c r="E89">
        <v>1246014163</v>
      </c>
      <c r="F89" s="321">
        <v>50769</v>
      </c>
      <c r="G89" s="321"/>
      <c r="H89" t="s">
        <v>28</v>
      </c>
      <c r="I89" t="s">
        <v>29</v>
      </c>
      <c r="J89">
        <v>8361</v>
      </c>
      <c r="K89" s="321">
        <v>43384</v>
      </c>
      <c r="L89">
        <v>1010100</v>
      </c>
      <c r="M89" t="s">
        <v>35</v>
      </c>
      <c r="N89">
        <v>-4627</v>
      </c>
      <c r="O89" s="32">
        <v>0</v>
      </c>
      <c r="P89" s="32">
        <v>0</v>
      </c>
      <c r="Q89" s="32">
        <v>2549.38</v>
      </c>
      <c r="R89" s="32">
        <v>0</v>
      </c>
      <c r="S89" s="32">
        <v>0</v>
      </c>
      <c r="T89" s="32">
        <v>0</v>
      </c>
      <c r="U89" s="32">
        <v>0</v>
      </c>
      <c r="V89" s="32">
        <v>0</v>
      </c>
      <c r="W89" s="32">
        <v>0</v>
      </c>
      <c r="X89" s="32">
        <v>0</v>
      </c>
      <c r="Y89" s="32">
        <v>0</v>
      </c>
      <c r="Z89" s="32">
        <v>0</v>
      </c>
      <c r="AA89" s="32">
        <v>0</v>
      </c>
      <c r="AB89" s="32">
        <v>0</v>
      </c>
      <c r="AC89" s="32" t="s">
        <v>472</v>
      </c>
      <c r="AD89" s="32"/>
      <c r="AE89" s="32">
        <v>0</v>
      </c>
    </row>
    <row r="90" spans="1:31" x14ac:dyDescent="0.25">
      <c r="A90">
        <v>183</v>
      </c>
      <c r="B90" t="s">
        <v>526</v>
      </c>
      <c r="C90" t="s">
        <v>42</v>
      </c>
      <c r="D90" s="35">
        <v>5546.31</v>
      </c>
      <c r="E90">
        <v>1246014165</v>
      </c>
      <c r="F90" s="321">
        <v>51500</v>
      </c>
      <c r="G90" s="321"/>
      <c r="H90" t="s">
        <v>28</v>
      </c>
      <c r="I90" t="s">
        <v>29</v>
      </c>
      <c r="J90">
        <v>8361</v>
      </c>
      <c r="K90" s="321">
        <v>43384</v>
      </c>
      <c r="L90">
        <v>1010100</v>
      </c>
      <c r="M90" t="s">
        <v>35</v>
      </c>
      <c r="N90">
        <v>-5358</v>
      </c>
      <c r="O90" s="32">
        <v>0</v>
      </c>
      <c r="P90" s="32">
        <v>0</v>
      </c>
      <c r="Q90" s="32">
        <v>5546.31</v>
      </c>
      <c r="R90" s="32">
        <v>0</v>
      </c>
      <c r="S90" s="32">
        <v>0</v>
      </c>
      <c r="T90" s="32">
        <v>0</v>
      </c>
      <c r="U90" s="32">
        <v>0</v>
      </c>
      <c r="V90" s="32">
        <v>0</v>
      </c>
      <c r="W90" s="32">
        <v>0</v>
      </c>
      <c r="X90" s="32">
        <v>0</v>
      </c>
      <c r="Y90" s="32">
        <v>0</v>
      </c>
      <c r="Z90" s="32">
        <v>0</v>
      </c>
      <c r="AA90" s="32">
        <v>0</v>
      </c>
      <c r="AB90" s="32">
        <v>0</v>
      </c>
      <c r="AC90" s="32" t="s">
        <v>472</v>
      </c>
      <c r="AD90" s="32"/>
      <c r="AE90" s="32">
        <v>0</v>
      </c>
    </row>
    <row r="91" spans="1:31" x14ac:dyDescent="0.25">
      <c r="A91">
        <v>183</v>
      </c>
      <c r="B91" t="s">
        <v>526</v>
      </c>
      <c r="C91" t="s">
        <v>42</v>
      </c>
      <c r="D91" s="35">
        <v>5546.31</v>
      </c>
      <c r="E91">
        <v>1246014166</v>
      </c>
      <c r="F91" s="321">
        <v>51865</v>
      </c>
      <c r="G91" s="321"/>
      <c r="H91" t="s">
        <v>28</v>
      </c>
      <c r="I91" t="s">
        <v>29</v>
      </c>
      <c r="J91">
        <v>8361</v>
      </c>
      <c r="K91" s="321">
        <v>43384</v>
      </c>
      <c r="L91">
        <v>1010100</v>
      </c>
      <c r="M91" t="s">
        <v>35</v>
      </c>
      <c r="N91">
        <v>-5723</v>
      </c>
      <c r="O91" s="32">
        <v>0</v>
      </c>
      <c r="P91" s="32">
        <v>0</v>
      </c>
      <c r="Q91" s="32">
        <v>5546.31</v>
      </c>
      <c r="R91" s="32">
        <v>0</v>
      </c>
      <c r="S91" s="32">
        <v>0</v>
      </c>
      <c r="T91" s="32">
        <v>0</v>
      </c>
      <c r="U91" s="32">
        <v>0</v>
      </c>
      <c r="V91" s="32">
        <v>0</v>
      </c>
      <c r="W91" s="32">
        <v>0</v>
      </c>
      <c r="X91" s="32">
        <v>0</v>
      </c>
      <c r="Y91" s="32">
        <v>0</v>
      </c>
      <c r="Z91" s="32">
        <v>0</v>
      </c>
      <c r="AA91" s="32">
        <v>0</v>
      </c>
      <c r="AB91" s="32">
        <v>0</v>
      </c>
      <c r="AC91" s="32" t="s">
        <v>472</v>
      </c>
      <c r="AD91" s="32"/>
      <c r="AE91" s="32">
        <v>0</v>
      </c>
    </row>
    <row r="92" spans="1:31" x14ac:dyDescent="0.25">
      <c r="A92">
        <v>183</v>
      </c>
      <c r="B92" t="s">
        <v>526</v>
      </c>
      <c r="C92" t="s">
        <v>42</v>
      </c>
      <c r="D92" s="35">
        <v>5546.31</v>
      </c>
      <c r="E92">
        <v>1246014167</v>
      </c>
      <c r="F92" s="321">
        <v>52230</v>
      </c>
      <c r="G92" s="321"/>
      <c r="H92" t="s">
        <v>28</v>
      </c>
      <c r="I92" t="s">
        <v>29</v>
      </c>
      <c r="J92">
        <v>8361</v>
      </c>
      <c r="K92" s="321">
        <v>43384</v>
      </c>
      <c r="L92">
        <v>1010100</v>
      </c>
      <c r="M92" t="s">
        <v>35</v>
      </c>
      <c r="N92">
        <v>-6088</v>
      </c>
      <c r="O92" s="32">
        <v>0</v>
      </c>
      <c r="P92" s="32">
        <v>0</v>
      </c>
      <c r="Q92" s="32">
        <v>5546.31</v>
      </c>
      <c r="R92" s="32">
        <v>0</v>
      </c>
      <c r="S92" s="32">
        <v>0</v>
      </c>
      <c r="T92" s="32">
        <v>0</v>
      </c>
      <c r="U92" s="32">
        <v>0</v>
      </c>
      <c r="V92" s="32">
        <v>0</v>
      </c>
      <c r="W92" s="32">
        <v>0</v>
      </c>
      <c r="X92" s="32">
        <v>0</v>
      </c>
      <c r="Y92" s="32">
        <v>0</v>
      </c>
      <c r="Z92" s="32">
        <v>0</v>
      </c>
      <c r="AA92" s="32">
        <v>0</v>
      </c>
      <c r="AB92" s="32">
        <v>0</v>
      </c>
      <c r="AC92" s="32" t="s">
        <v>472</v>
      </c>
      <c r="AD92" s="32"/>
      <c r="AE92" s="32">
        <v>0</v>
      </c>
    </row>
    <row r="93" spans="1:31" x14ac:dyDescent="0.25">
      <c r="A93">
        <v>183</v>
      </c>
      <c r="B93" t="s">
        <v>526</v>
      </c>
      <c r="C93" t="s">
        <v>42</v>
      </c>
      <c r="D93" s="35">
        <v>5546.31</v>
      </c>
      <c r="E93">
        <v>1246014168</v>
      </c>
      <c r="F93" s="321">
        <v>52595</v>
      </c>
      <c r="G93" s="321"/>
      <c r="H93" t="s">
        <v>28</v>
      </c>
      <c r="I93" t="s">
        <v>29</v>
      </c>
      <c r="J93">
        <v>8361</v>
      </c>
      <c r="K93" s="321">
        <v>43384</v>
      </c>
      <c r="L93">
        <v>1010100</v>
      </c>
      <c r="M93" t="s">
        <v>35</v>
      </c>
      <c r="N93">
        <v>-6453</v>
      </c>
      <c r="O93" s="32">
        <v>0</v>
      </c>
      <c r="P93" s="32">
        <v>0</v>
      </c>
      <c r="Q93" s="32">
        <v>5546.31</v>
      </c>
      <c r="R93" s="32">
        <v>0</v>
      </c>
      <c r="S93" s="32">
        <v>0</v>
      </c>
      <c r="T93" s="32">
        <v>0</v>
      </c>
      <c r="U93" s="32">
        <v>0</v>
      </c>
      <c r="V93" s="32">
        <v>0</v>
      </c>
      <c r="W93" s="32">
        <v>0</v>
      </c>
      <c r="X93" s="32">
        <v>0</v>
      </c>
      <c r="Y93" s="32">
        <v>0</v>
      </c>
      <c r="Z93" s="32">
        <v>0</v>
      </c>
      <c r="AA93" s="32">
        <v>0</v>
      </c>
      <c r="AB93" s="32">
        <v>0</v>
      </c>
      <c r="AC93" s="32" t="s">
        <v>472</v>
      </c>
      <c r="AD93" s="32"/>
      <c r="AE93" s="32">
        <v>0</v>
      </c>
    </row>
    <row r="94" spans="1:31" x14ac:dyDescent="0.25">
      <c r="A94">
        <v>183</v>
      </c>
      <c r="B94" t="s">
        <v>526</v>
      </c>
      <c r="C94" t="s">
        <v>42</v>
      </c>
      <c r="D94" s="35">
        <v>5546.31</v>
      </c>
      <c r="E94">
        <v>1246014169</v>
      </c>
      <c r="F94" s="321">
        <v>52961</v>
      </c>
      <c r="G94" s="321"/>
      <c r="H94" t="s">
        <v>28</v>
      </c>
      <c r="I94" t="s">
        <v>29</v>
      </c>
      <c r="J94">
        <v>8361</v>
      </c>
      <c r="K94" s="321">
        <v>43384</v>
      </c>
      <c r="L94">
        <v>1010100</v>
      </c>
      <c r="M94" t="s">
        <v>35</v>
      </c>
      <c r="N94">
        <v>-6819</v>
      </c>
      <c r="O94" s="32">
        <v>0</v>
      </c>
      <c r="P94" s="32">
        <v>0</v>
      </c>
      <c r="Q94" s="32">
        <v>5546.31</v>
      </c>
      <c r="R94" s="32">
        <v>0</v>
      </c>
      <c r="S94" s="32">
        <v>0</v>
      </c>
      <c r="T94" s="32">
        <v>0</v>
      </c>
      <c r="U94" s="32">
        <v>0</v>
      </c>
      <c r="V94" s="32">
        <v>0</v>
      </c>
      <c r="W94" s="32">
        <v>0</v>
      </c>
      <c r="X94" s="32">
        <v>0</v>
      </c>
      <c r="Y94" s="32">
        <v>0</v>
      </c>
      <c r="Z94" s="32">
        <v>0</v>
      </c>
      <c r="AA94" s="32">
        <v>0</v>
      </c>
      <c r="AB94" s="32">
        <v>0</v>
      </c>
      <c r="AC94" s="32" t="s">
        <v>472</v>
      </c>
      <c r="AD94" s="32"/>
      <c r="AE94" s="32">
        <v>0</v>
      </c>
    </row>
    <row r="95" spans="1:31" x14ac:dyDescent="0.25">
      <c r="A95">
        <v>183</v>
      </c>
      <c r="B95" t="s">
        <v>526</v>
      </c>
      <c r="C95" t="s">
        <v>42</v>
      </c>
      <c r="D95" s="35">
        <v>5568.96</v>
      </c>
      <c r="E95">
        <v>1246014170</v>
      </c>
      <c r="F95" s="321">
        <v>53326</v>
      </c>
      <c r="G95" s="321"/>
      <c r="H95" t="s">
        <v>28</v>
      </c>
      <c r="I95" t="s">
        <v>29</v>
      </c>
      <c r="J95">
        <v>8361</v>
      </c>
      <c r="K95" s="321">
        <v>43384</v>
      </c>
      <c r="L95">
        <v>1010100</v>
      </c>
      <c r="M95" t="s">
        <v>35</v>
      </c>
      <c r="N95">
        <v>-7184</v>
      </c>
      <c r="O95" s="32">
        <v>0</v>
      </c>
      <c r="P95" s="32">
        <v>0</v>
      </c>
      <c r="Q95" s="32">
        <v>5568.96</v>
      </c>
      <c r="R95" s="32">
        <v>0</v>
      </c>
      <c r="S95" s="32">
        <v>0</v>
      </c>
      <c r="T95" s="32">
        <v>0</v>
      </c>
      <c r="U95" s="32">
        <v>0</v>
      </c>
      <c r="V95" s="32">
        <v>0</v>
      </c>
      <c r="W95" s="32">
        <v>0</v>
      </c>
      <c r="X95" s="32">
        <v>0</v>
      </c>
      <c r="Y95" s="32">
        <v>0</v>
      </c>
      <c r="Z95" s="32">
        <v>0</v>
      </c>
      <c r="AA95" s="32">
        <v>0</v>
      </c>
      <c r="AB95" s="32">
        <v>0</v>
      </c>
      <c r="AC95" s="32" t="s">
        <v>472</v>
      </c>
      <c r="AD95" s="32"/>
      <c r="AE95" s="32">
        <v>0</v>
      </c>
    </row>
    <row r="96" spans="1:31" x14ac:dyDescent="0.25">
      <c r="A96">
        <v>183</v>
      </c>
      <c r="B96" t="s">
        <v>526</v>
      </c>
      <c r="C96" t="s">
        <v>42</v>
      </c>
      <c r="D96" s="35">
        <v>2487.06</v>
      </c>
      <c r="E96">
        <v>1246137877</v>
      </c>
      <c r="F96" s="321">
        <v>49673</v>
      </c>
      <c r="G96" s="321"/>
      <c r="H96" t="s">
        <v>28</v>
      </c>
      <c r="I96" t="s">
        <v>29</v>
      </c>
      <c r="J96">
        <v>8361</v>
      </c>
      <c r="K96" s="321">
        <v>43384</v>
      </c>
      <c r="L96">
        <v>1010100</v>
      </c>
      <c r="M96" t="s">
        <v>35</v>
      </c>
      <c r="N96">
        <v>-3531</v>
      </c>
      <c r="O96" s="32">
        <v>0</v>
      </c>
      <c r="P96" s="32">
        <v>0</v>
      </c>
      <c r="Q96" s="32">
        <v>2487.06</v>
      </c>
      <c r="R96" s="32">
        <v>0</v>
      </c>
      <c r="S96" s="32">
        <v>0</v>
      </c>
      <c r="T96" s="32">
        <v>0</v>
      </c>
      <c r="U96" s="32">
        <v>0</v>
      </c>
      <c r="V96" s="32">
        <v>0</v>
      </c>
      <c r="W96" s="32">
        <v>0</v>
      </c>
      <c r="X96" s="32">
        <v>0</v>
      </c>
      <c r="Y96" s="32">
        <v>0</v>
      </c>
      <c r="Z96" s="32">
        <v>0</v>
      </c>
      <c r="AA96" s="32">
        <v>0</v>
      </c>
      <c r="AB96" s="32">
        <v>0</v>
      </c>
      <c r="AC96" s="32" t="s">
        <v>472</v>
      </c>
      <c r="AD96" s="32"/>
      <c r="AE96" s="32">
        <v>0</v>
      </c>
    </row>
    <row r="97" spans="1:31" x14ac:dyDescent="0.25">
      <c r="A97">
        <v>183</v>
      </c>
      <c r="B97" t="s">
        <v>526</v>
      </c>
      <c r="C97" t="s">
        <v>42</v>
      </c>
      <c r="D97" s="35">
        <v>2151.75</v>
      </c>
      <c r="E97">
        <v>1246265345</v>
      </c>
      <c r="F97" s="321">
        <v>47482</v>
      </c>
      <c r="G97" s="321"/>
      <c r="H97" t="s">
        <v>28</v>
      </c>
      <c r="I97" t="s">
        <v>29</v>
      </c>
      <c r="J97">
        <v>8361</v>
      </c>
      <c r="K97" s="321">
        <v>43384</v>
      </c>
      <c r="L97">
        <v>1010100</v>
      </c>
      <c r="M97" t="s">
        <v>35</v>
      </c>
      <c r="N97">
        <v>-1340</v>
      </c>
      <c r="O97" s="32">
        <v>0</v>
      </c>
      <c r="P97" s="32">
        <v>0</v>
      </c>
      <c r="Q97" s="32">
        <v>2151.75</v>
      </c>
      <c r="R97" s="32">
        <v>0</v>
      </c>
      <c r="S97" s="32">
        <v>0</v>
      </c>
      <c r="T97" s="32">
        <v>0</v>
      </c>
      <c r="U97" s="32">
        <v>0</v>
      </c>
      <c r="V97" s="32">
        <v>0</v>
      </c>
      <c r="W97" s="32">
        <v>0</v>
      </c>
      <c r="X97" s="32">
        <v>0</v>
      </c>
      <c r="Y97" s="32">
        <v>0</v>
      </c>
      <c r="Z97" s="32">
        <v>0</v>
      </c>
      <c r="AA97" s="32">
        <v>0</v>
      </c>
      <c r="AB97" s="32">
        <v>0</v>
      </c>
      <c r="AC97" s="32" t="s">
        <v>472</v>
      </c>
      <c r="AD97" s="32"/>
      <c r="AE97" s="32">
        <v>0</v>
      </c>
    </row>
    <row r="98" spans="1:31" x14ac:dyDescent="0.25">
      <c r="A98">
        <v>183</v>
      </c>
      <c r="B98" t="s">
        <v>526</v>
      </c>
      <c r="C98" t="s">
        <v>42</v>
      </c>
      <c r="D98" s="35">
        <v>2104.2399999999998</v>
      </c>
      <c r="E98">
        <v>1246233818</v>
      </c>
      <c r="F98" s="321">
        <v>51134</v>
      </c>
      <c r="G98" s="321"/>
      <c r="H98" t="s">
        <v>28</v>
      </c>
      <c r="I98" t="s">
        <v>29</v>
      </c>
      <c r="J98">
        <v>8361</v>
      </c>
      <c r="K98" s="321">
        <v>43384</v>
      </c>
      <c r="L98">
        <v>1010100</v>
      </c>
      <c r="M98" t="s">
        <v>35</v>
      </c>
      <c r="N98">
        <v>-4992</v>
      </c>
      <c r="O98" s="32">
        <v>0</v>
      </c>
      <c r="P98" s="32">
        <v>0</v>
      </c>
      <c r="Q98" s="32">
        <v>2104.2399999999998</v>
      </c>
      <c r="R98" s="32">
        <v>0</v>
      </c>
      <c r="S98" s="32">
        <v>0</v>
      </c>
      <c r="T98" s="32">
        <v>0</v>
      </c>
      <c r="U98" s="32">
        <v>0</v>
      </c>
      <c r="V98" s="32">
        <v>0</v>
      </c>
      <c r="W98" s="32">
        <v>0</v>
      </c>
      <c r="X98" s="32">
        <v>0</v>
      </c>
      <c r="Y98" s="32">
        <v>0</v>
      </c>
      <c r="Z98" s="32">
        <v>0</v>
      </c>
      <c r="AA98" s="32">
        <v>0</v>
      </c>
      <c r="AB98" s="32">
        <v>0</v>
      </c>
      <c r="AC98" s="32" t="s">
        <v>472</v>
      </c>
      <c r="AD98" s="32"/>
      <c r="AE98" s="32">
        <v>0</v>
      </c>
    </row>
    <row r="99" spans="1:31" x14ac:dyDescent="0.25">
      <c r="A99">
        <v>1023</v>
      </c>
      <c r="B99" t="s">
        <v>418</v>
      </c>
      <c r="C99" t="s">
        <v>893</v>
      </c>
      <c r="D99" s="35">
        <v>29520</v>
      </c>
      <c r="E99">
        <v>1246273185</v>
      </c>
      <c r="F99" s="321">
        <v>46202</v>
      </c>
      <c r="G99" s="321"/>
      <c r="H99" t="s">
        <v>28</v>
      </c>
      <c r="I99" t="s">
        <v>29</v>
      </c>
      <c r="J99">
        <v>11269</v>
      </c>
      <c r="K99" s="321">
        <v>46142</v>
      </c>
      <c r="L99">
        <v>1010100</v>
      </c>
      <c r="M99" t="s">
        <v>35</v>
      </c>
      <c r="N99">
        <v>-60</v>
      </c>
      <c r="O99" s="32">
        <v>0</v>
      </c>
      <c r="P99" s="32">
        <v>0</v>
      </c>
      <c r="Q99" s="32">
        <v>29520</v>
      </c>
      <c r="R99" s="32">
        <v>0</v>
      </c>
      <c r="S99" s="32">
        <v>0</v>
      </c>
      <c r="T99" s="32">
        <v>0</v>
      </c>
      <c r="U99" s="32">
        <v>0</v>
      </c>
      <c r="V99" s="32">
        <v>0</v>
      </c>
      <c r="W99" s="32">
        <v>0</v>
      </c>
      <c r="X99" s="32">
        <v>0</v>
      </c>
      <c r="Y99" s="32">
        <v>0</v>
      </c>
      <c r="Z99" s="32">
        <v>0</v>
      </c>
      <c r="AA99" s="32">
        <v>0</v>
      </c>
      <c r="AB99" s="32">
        <v>0</v>
      </c>
      <c r="AC99" s="32" t="s">
        <v>472</v>
      </c>
      <c r="AD99" s="32"/>
      <c r="AE99" s="32">
        <v>0</v>
      </c>
    </row>
    <row r="100" spans="1:31" x14ac:dyDescent="0.25">
      <c r="A100">
        <v>1792</v>
      </c>
      <c r="B100" t="s">
        <v>527</v>
      </c>
      <c r="C100" t="s">
        <v>73</v>
      </c>
      <c r="D100" s="35">
        <v>116676.6</v>
      </c>
      <c r="E100">
        <v>1246272414</v>
      </c>
      <c r="F100" s="321">
        <v>46226</v>
      </c>
      <c r="G100" s="321"/>
      <c r="H100" t="s">
        <v>28</v>
      </c>
      <c r="I100" t="s">
        <v>29</v>
      </c>
      <c r="J100">
        <v>11211</v>
      </c>
      <c r="K100" s="321">
        <v>46136</v>
      </c>
      <c r="L100">
        <v>1010100</v>
      </c>
      <c r="M100" t="s">
        <v>35</v>
      </c>
      <c r="N100">
        <v>-84</v>
      </c>
      <c r="O100" s="32">
        <v>0</v>
      </c>
      <c r="P100" s="32">
        <v>0</v>
      </c>
      <c r="Q100" s="32">
        <v>116676.6</v>
      </c>
      <c r="R100" s="32">
        <v>0</v>
      </c>
      <c r="S100" s="32">
        <v>0</v>
      </c>
      <c r="T100" s="32">
        <v>0</v>
      </c>
      <c r="U100" s="32">
        <v>0</v>
      </c>
      <c r="V100" s="32">
        <v>0</v>
      </c>
      <c r="W100" s="32">
        <v>0</v>
      </c>
      <c r="X100" s="32">
        <v>0</v>
      </c>
      <c r="Y100" s="32">
        <v>0</v>
      </c>
      <c r="Z100" s="32">
        <v>0</v>
      </c>
      <c r="AA100" s="32">
        <v>0</v>
      </c>
      <c r="AB100" s="32">
        <v>0</v>
      </c>
      <c r="AC100" s="32" t="s">
        <v>536</v>
      </c>
      <c r="AD100" s="32"/>
      <c r="AE100" s="32">
        <v>0</v>
      </c>
    </row>
    <row r="101" spans="1:31" x14ac:dyDescent="0.25">
      <c r="A101">
        <v>1792</v>
      </c>
      <c r="B101" t="s">
        <v>527</v>
      </c>
      <c r="C101" t="s">
        <v>73</v>
      </c>
      <c r="D101" s="35">
        <v>118553.1</v>
      </c>
      <c r="E101">
        <v>1246265418</v>
      </c>
      <c r="F101" s="321">
        <v>46169</v>
      </c>
      <c r="G101" s="321"/>
      <c r="H101" t="s">
        <v>28</v>
      </c>
      <c r="I101" t="s">
        <v>29</v>
      </c>
      <c r="J101">
        <v>10776</v>
      </c>
      <c r="K101" s="321">
        <v>46079</v>
      </c>
      <c r="L101">
        <v>1010100</v>
      </c>
      <c r="M101" t="s">
        <v>35</v>
      </c>
      <c r="N101">
        <v>-27</v>
      </c>
      <c r="O101" s="32">
        <v>0</v>
      </c>
      <c r="P101" s="32">
        <v>0</v>
      </c>
      <c r="Q101" s="32">
        <v>118553.1</v>
      </c>
      <c r="R101" s="32">
        <v>0</v>
      </c>
      <c r="S101" s="32">
        <v>0</v>
      </c>
      <c r="T101" s="32">
        <v>0</v>
      </c>
      <c r="U101" s="32">
        <v>0</v>
      </c>
      <c r="V101" s="32">
        <v>0</v>
      </c>
      <c r="W101" s="32">
        <v>0</v>
      </c>
      <c r="X101" s="32">
        <v>0</v>
      </c>
      <c r="Y101" s="32">
        <v>0</v>
      </c>
      <c r="Z101" s="32">
        <v>0</v>
      </c>
      <c r="AA101" s="32">
        <v>0</v>
      </c>
      <c r="AB101" s="32">
        <v>0</v>
      </c>
      <c r="AC101" s="32" t="s">
        <v>536</v>
      </c>
      <c r="AD101" s="32"/>
      <c r="AE101" s="32">
        <v>0</v>
      </c>
    </row>
    <row r="102" spans="1:31" x14ac:dyDescent="0.25">
      <c r="A102">
        <v>1792</v>
      </c>
      <c r="B102" t="s">
        <v>527</v>
      </c>
      <c r="C102" t="s">
        <v>73</v>
      </c>
      <c r="D102" s="35">
        <v>116343</v>
      </c>
      <c r="E102">
        <v>1246267070</v>
      </c>
      <c r="F102" s="321">
        <v>46180</v>
      </c>
      <c r="G102" s="321"/>
      <c r="H102" t="s">
        <v>28</v>
      </c>
      <c r="I102" t="s">
        <v>29</v>
      </c>
      <c r="J102">
        <v>10846</v>
      </c>
      <c r="K102" s="321">
        <v>46090</v>
      </c>
      <c r="L102">
        <v>1010100</v>
      </c>
      <c r="M102" t="s">
        <v>35</v>
      </c>
      <c r="N102">
        <v>-38</v>
      </c>
      <c r="O102" s="32">
        <v>0</v>
      </c>
      <c r="P102" s="32">
        <v>0</v>
      </c>
      <c r="Q102" s="32">
        <v>116343</v>
      </c>
      <c r="R102" s="32">
        <v>0</v>
      </c>
      <c r="S102" s="32">
        <v>0</v>
      </c>
      <c r="T102" s="32">
        <v>0</v>
      </c>
      <c r="U102" s="32">
        <v>0</v>
      </c>
      <c r="V102" s="32">
        <v>0</v>
      </c>
      <c r="W102" s="32">
        <v>0</v>
      </c>
      <c r="X102" s="32">
        <v>0</v>
      </c>
      <c r="Y102" s="32">
        <v>0</v>
      </c>
      <c r="Z102" s="32">
        <v>0</v>
      </c>
      <c r="AA102" s="32">
        <v>0</v>
      </c>
      <c r="AB102" s="32">
        <v>0</v>
      </c>
      <c r="AC102" s="32" t="s">
        <v>536</v>
      </c>
      <c r="AD102" s="32"/>
      <c r="AE102" s="32">
        <v>0</v>
      </c>
    </row>
    <row r="103" spans="1:31" x14ac:dyDescent="0.25">
      <c r="A103">
        <v>1792</v>
      </c>
      <c r="B103" t="s">
        <v>527</v>
      </c>
      <c r="C103" t="s">
        <v>73</v>
      </c>
      <c r="D103" s="35">
        <v>118845</v>
      </c>
      <c r="E103">
        <v>1246269004</v>
      </c>
      <c r="F103" s="321">
        <v>46196</v>
      </c>
      <c r="G103" s="321"/>
      <c r="H103" t="s">
        <v>28</v>
      </c>
      <c r="I103" t="s">
        <v>29</v>
      </c>
      <c r="J103">
        <v>10975</v>
      </c>
      <c r="K103" s="321">
        <v>46106</v>
      </c>
      <c r="L103">
        <v>1010100</v>
      </c>
      <c r="M103" t="s">
        <v>35</v>
      </c>
      <c r="N103">
        <v>-54</v>
      </c>
      <c r="O103" s="32">
        <v>0</v>
      </c>
      <c r="P103" s="32">
        <v>0</v>
      </c>
      <c r="Q103" s="32">
        <v>118845</v>
      </c>
      <c r="R103" s="32">
        <v>0</v>
      </c>
      <c r="S103" s="32">
        <v>0</v>
      </c>
      <c r="T103" s="32">
        <v>0</v>
      </c>
      <c r="U103" s="32">
        <v>0</v>
      </c>
      <c r="V103" s="32">
        <v>0</v>
      </c>
      <c r="W103" s="32">
        <v>0</v>
      </c>
      <c r="X103" s="32">
        <v>0</v>
      </c>
      <c r="Y103" s="32">
        <v>0</v>
      </c>
      <c r="Z103" s="32">
        <v>0</v>
      </c>
      <c r="AA103" s="32">
        <v>0</v>
      </c>
      <c r="AB103" s="32">
        <v>0</v>
      </c>
      <c r="AC103" s="32" t="s">
        <v>536</v>
      </c>
      <c r="AD103" s="32"/>
      <c r="AE103" s="32">
        <v>0</v>
      </c>
    </row>
    <row r="104" spans="1:31" x14ac:dyDescent="0.25">
      <c r="A104">
        <v>1792</v>
      </c>
      <c r="B104" t="s">
        <v>527</v>
      </c>
      <c r="C104" t="s">
        <v>73</v>
      </c>
      <c r="D104" s="35">
        <v>117260.4</v>
      </c>
      <c r="E104">
        <v>1246270521</v>
      </c>
      <c r="F104" s="321">
        <v>46209</v>
      </c>
      <c r="G104" s="321"/>
      <c r="H104" t="s">
        <v>28</v>
      </c>
      <c r="I104" t="s">
        <v>29</v>
      </c>
      <c r="J104">
        <v>11066</v>
      </c>
      <c r="K104" s="321">
        <v>46119</v>
      </c>
      <c r="L104">
        <v>1010100</v>
      </c>
      <c r="M104" t="s">
        <v>35</v>
      </c>
      <c r="N104">
        <v>-67</v>
      </c>
      <c r="O104" s="32">
        <v>0</v>
      </c>
      <c r="P104" s="32">
        <v>0</v>
      </c>
      <c r="Q104" s="32">
        <v>117260.4</v>
      </c>
      <c r="R104" s="32">
        <v>0</v>
      </c>
      <c r="S104" s="32">
        <v>0</v>
      </c>
      <c r="T104" s="32">
        <v>0</v>
      </c>
      <c r="U104" s="32">
        <v>0</v>
      </c>
      <c r="V104" s="32">
        <v>0</v>
      </c>
      <c r="W104" s="32">
        <v>0</v>
      </c>
      <c r="X104" s="32">
        <v>0</v>
      </c>
      <c r="Y104" s="32">
        <v>0</v>
      </c>
      <c r="Z104" s="32">
        <v>0</v>
      </c>
      <c r="AA104" s="32">
        <v>0</v>
      </c>
      <c r="AB104" s="32">
        <v>0</v>
      </c>
      <c r="AC104" s="32" t="s">
        <v>536</v>
      </c>
      <c r="AD104" s="32"/>
      <c r="AE104" s="32">
        <v>0</v>
      </c>
    </row>
    <row r="105" spans="1:31" x14ac:dyDescent="0.25">
      <c r="A105">
        <v>1792</v>
      </c>
      <c r="B105" t="s">
        <v>527</v>
      </c>
      <c r="C105" t="s">
        <v>73</v>
      </c>
      <c r="D105" s="35">
        <v>118302.9</v>
      </c>
      <c r="E105">
        <v>1246266107</v>
      </c>
      <c r="F105" s="321">
        <v>46174</v>
      </c>
      <c r="G105" s="321"/>
      <c r="H105" t="s">
        <v>28</v>
      </c>
      <c r="I105" t="s">
        <v>29</v>
      </c>
      <c r="J105">
        <v>10803</v>
      </c>
      <c r="K105" s="321">
        <v>46084</v>
      </c>
      <c r="L105">
        <v>1010100</v>
      </c>
      <c r="M105" t="s">
        <v>35</v>
      </c>
      <c r="N105">
        <v>-32</v>
      </c>
      <c r="O105" s="32">
        <v>0</v>
      </c>
      <c r="P105" s="32">
        <v>0</v>
      </c>
      <c r="Q105" s="32">
        <v>118302.9</v>
      </c>
      <c r="R105" s="32">
        <v>0</v>
      </c>
      <c r="S105" s="32">
        <v>0</v>
      </c>
      <c r="T105" s="32">
        <v>0</v>
      </c>
      <c r="U105" s="32">
        <v>0</v>
      </c>
      <c r="V105" s="32">
        <v>0</v>
      </c>
      <c r="W105" s="32">
        <v>0</v>
      </c>
      <c r="X105" s="32">
        <v>0</v>
      </c>
      <c r="Y105" s="32">
        <v>0</v>
      </c>
      <c r="Z105" s="32">
        <v>0</v>
      </c>
      <c r="AA105" s="32">
        <v>0</v>
      </c>
      <c r="AB105" s="32">
        <v>0</v>
      </c>
      <c r="AC105" s="32" t="s">
        <v>536</v>
      </c>
      <c r="AD105" s="32"/>
      <c r="AE105" s="32">
        <v>0</v>
      </c>
    </row>
    <row r="106" spans="1:31" x14ac:dyDescent="0.25">
      <c r="A106">
        <v>1792</v>
      </c>
      <c r="B106" t="s">
        <v>527</v>
      </c>
      <c r="C106" t="s">
        <v>73</v>
      </c>
      <c r="D106" s="35">
        <v>116343</v>
      </c>
      <c r="E106">
        <v>1246268258</v>
      </c>
      <c r="F106" s="321">
        <v>46189</v>
      </c>
      <c r="G106" s="321"/>
      <c r="H106" t="s">
        <v>28</v>
      </c>
      <c r="I106" t="s">
        <v>29</v>
      </c>
      <c r="J106">
        <v>10918</v>
      </c>
      <c r="K106" s="321">
        <v>46099</v>
      </c>
      <c r="L106">
        <v>1010100</v>
      </c>
      <c r="M106" t="s">
        <v>35</v>
      </c>
      <c r="N106">
        <v>-47</v>
      </c>
      <c r="O106" s="32">
        <v>0</v>
      </c>
      <c r="P106" s="32">
        <v>0</v>
      </c>
      <c r="Q106" s="32">
        <v>116343</v>
      </c>
      <c r="R106" s="32">
        <v>0</v>
      </c>
      <c r="S106" s="32">
        <v>0</v>
      </c>
      <c r="T106" s="32">
        <v>0</v>
      </c>
      <c r="U106" s="32">
        <v>0</v>
      </c>
      <c r="V106" s="32">
        <v>0</v>
      </c>
      <c r="W106" s="32">
        <v>0</v>
      </c>
      <c r="X106" s="32">
        <v>0</v>
      </c>
      <c r="Y106" s="32">
        <v>0</v>
      </c>
      <c r="Z106" s="32">
        <v>0</v>
      </c>
      <c r="AA106" s="32">
        <v>0</v>
      </c>
      <c r="AB106" s="32">
        <v>0</v>
      </c>
      <c r="AC106" s="32" t="s">
        <v>536</v>
      </c>
      <c r="AD106" s="32"/>
      <c r="AE106" s="32">
        <v>0</v>
      </c>
    </row>
    <row r="107" spans="1:31" x14ac:dyDescent="0.25">
      <c r="A107">
        <v>1792</v>
      </c>
      <c r="B107" t="s">
        <v>527</v>
      </c>
      <c r="C107" t="s">
        <v>73</v>
      </c>
      <c r="D107" s="35">
        <v>116760</v>
      </c>
      <c r="E107">
        <v>1246270240</v>
      </c>
      <c r="F107" s="321">
        <v>46204</v>
      </c>
      <c r="G107" s="321"/>
      <c r="H107" t="s">
        <v>28</v>
      </c>
      <c r="I107" t="s">
        <v>29</v>
      </c>
      <c r="J107">
        <v>11049</v>
      </c>
      <c r="K107" s="321">
        <v>46114</v>
      </c>
      <c r="L107">
        <v>1010100</v>
      </c>
      <c r="M107" t="s">
        <v>35</v>
      </c>
      <c r="N107">
        <v>-62</v>
      </c>
      <c r="O107" s="32">
        <v>0</v>
      </c>
      <c r="P107" s="32">
        <v>0</v>
      </c>
      <c r="Q107" s="32">
        <v>116760</v>
      </c>
      <c r="R107" s="32">
        <v>0</v>
      </c>
      <c r="S107" s="32">
        <v>0</v>
      </c>
      <c r="T107" s="32">
        <v>0</v>
      </c>
      <c r="U107" s="32">
        <v>0</v>
      </c>
      <c r="V107" s="32">
        <v>0</v>
      </c>
      <c r="W107" s="32">
        <v>0</v>
      </c>
      <c r="X107" s="32">
        <v>0</v>
      </c>
      <c r="Y107" s="32">
        <v>0</v>
      </c>
      <c r="Z107" s="32">
        <v>0</v>
      </c>
      <c r="AA107" s="32">
        <v>0</v>
      </c>
      <c r="AB107" s="32">
        <v>0</v>
      </c>
      <c r="AC107" s="32" t="s">
        <v>536</v>
      </c>
      <c r="AD107" s="32"/>
      <c r="AE107" s="32">
        <v>0</v>
      </c>
    </row>
    <row r="108" spans="1:31" x14ac:dyDescent="0.25">
      <c r="A108">
        <v>1792</v>
      </c>
      <c r="B108" t="s">
        <v>527</v>
      </c>
      <c r="C108" t="s">
        <v>73</v>
      </c>
      <c r="D108" s="35">
        <v>117051.9</v>
      </c>
      <c r="E108">
        <v>1246269741</v>
      </c>
      <c r="F108" s="321">
        <v>46202</v>
      </c>
      <c r="G108" s="321"/>
      <c r="H108" t="s">
        <v>28</v>
      </c>
      <c r="I108" t="s">
        <v>29</v>
      </c>
      <c r="J108">
        <v>11015</v>
      </c>
      <c r="K108" s="321">
        <v>46112</v>
      </c>
      <c r="L108">
        <v>1010100</v>
      </c>
      <c r="M108" t="s">
        <v>35</v>
      </c>
      <c r="N108">
        <v>-60</v>
      </c>
      <c r="O108" s="32">
        <v>0</v>
      </c>
      <c r="P108" s="32">
        <v>0</v>
      </c>
      <c r="Q108" s="32">
        <v>117051.9</v>
      </c>
      <c r="R108" s="32">
        <v>0</v>
      </c>
      <c r="S108" s="32">
        <v>0</v>
      </c>
      <c r="T108" s="32">
        <v>0</v>
      </c>
      <c r="U108" s="32">
        <v>0</v>
      </c>
      <c r="V108" s="32">
        <v>0</v>
      </c>
      <c r="W108" s="32">
        <v>0</v>
      </c>
      <c r="X108" s="32">
        <v>0</v>
      </c>
      <c r="Y108" s="32">
        <v>0</v>
      </c>
      <c r="Z108" s="32">
        <v>0</v>
      </c>
      <c r="AA108" s="32">
        <v>0</v>
      </c>
      <c r="AB108" s="32">
        <v>0</v>
      </c>
      <c r="AC108" s="32" t="s">
        <v>536</v>
      </c>
      <c r="AD108" s="32"/>
      <c r="AE108" s="32">
        <v>0</v>
      </c>
    </row>
    <row r="109" spans="1:31" x14ac:dyDescent="0.25">
      <c r="A109">
        <v>1792</v>
      </c>
      <c r="B109" t="s">
        <v>527</v>
      </c>
      <c r="C109" t="s">
        <v>73</v>
      </c>
      <c r="D109" s="35">
        <v>115842.6</v>
      </c>
      <c r="E109">
        <v>1246271433</v>
      </c>
      <c r="F109" s="321">
        <v>46217</v>
      </c>
      <c r="G109" s="321"/>
      <c r="H109" t="s">
        <v>28</v>
      </c>
      <c r="I109" t="s">
        <v>29</v>
      </c>
      <c r="J109">
        <v>11125</v>
      </c>
      <c r="K109" s="321">
        <v>46127</v>
      </c>
      <c r="L109">
        <v>1010100</v>
      </c>
      <c r="M109" t="s">
        <v>35</v>
      </c>
      <c r="N109">
        <v>-75</v>
      </c>
      <c r="O109" s="32">
        <v>0</v>
      </c>
      <c r="P109" s="32">
        <v>0</v>
      </c>
      <c r="Q109" s="32">
        <v>115842.6</v>
      </c>
      <c r="R109" s="32">
        <v>0</v>
      </c>
      <c r="S109" s="32">
        <v>0</v>
      </c>
      <c r="T109" s="32">
        <v>0</v>
      </c>
      <c r="U109" s="32">
        <v>0</v>
      </c>
      <c r="V109" s="32">
        <v>0</v>
      </c>
      <c r="W109" s="32">
        <v>0</v>
      </c>
      <c r="X109" s="32">
        <v>0</v>
      </c>
      <c r="Y109" s="32">
        <v>0</v>
      </c>
      <c r="Z109" s="32">
        <v>0</v>
      </c>
      <c r="AA109" s="32">
        <v>0</v>
      </c>
      <c r="AB109" s="32">
        <v>0</v>
      </c>
      <c r="AC109" s="32" t="s">
        <v>536</v>
      </c>
      <c r="AD109" s="32"/>
      <c r="AE109" s="32">
        <v>0</v>
      </c>
    </row>
    <row r="110" spans="1:31" x14ac:dyDescent="0.25">
      <c r="A110">
        <v>1792</v>
      </c>
      <c r="B110" t="s">
        <v>527</v>
      </c>
      <c r="C110" t="s">
        <v>73</v>
      </c>
      <c r="D110" s="35">
        <v>116134.5</v>
      </c>
      <c r="E110">
        <v>1246271003</v>
      </c>
      <c r="F110" s="321">
        <v>46212</v>
      </c>
      <c r="G110" s="321"/>
      <c r="H110" t="s">
        <v>28</v>
      </c>
      <c r="I110" t="s">
        <v>29</v>
      </c>
      <c r="J110">
        <v>11092</v>
      </c>
      <c r="K110" s="321">
        <v>46122</v>
      </c>
      <c r="L110">
        <v>1010100</v>
      </c>
      <c r="M110" t="s">
        <v>35</v>
      </c>
      <c r="N110">
        <v>-70</v>
      </c>
      <c r="O110" s="32">
        <v>0</v>
      </c>
      <c r="P110" s="32">
        <v>0</v>
      </c>
      <c r="Q110" s="32">
        <v>116134.5</v>
      </c>
      <c r="R110" s="32">
        <v>0</v>
      </c>
      <c r="S110" s="32">
        <v>0</v>
      </c>
      <c r="T110" s="32">
        <v>0</v>
      </c>
      <c r="U110" s="32">
        <v>0</v>
      </c>
      <c r="V110" s="32">
        <v>0</v>
      </c>
      <c r="W110" s="32">
        <v>0</v>
      </c>
      <c r="X110" s="32">
        <v>0</v>
      </c>
      <c r="Y110" s="32">
        <v>0</v>
      </c>
      <c r="Z110" s="32">
        <v>0</v>
      </c>
      <c r="AA110" s="32">
        <v>0</v>
      </c>
      <c r="AB110" s="32">
        <v>0</v>
      </c>
      <c r="AC110" s="32" t="s">
        <v>536</v>
      </c>
      <c r="AD110" s="32"/>
      <c r="AE110" s="32">
        <v>0</v>
      </c>
    </row>
    <row r="111" spans="1:31" x14ac:dyDescent="0.25">
      <c r="A111">
        <v>1792</v>
      </c>
      <c r="B111" t="s">
        <v>527</v>
      </c>
      <c r="C111" t="s">
        <v>73</v>
      </c>
      <c r="D111" s="35">
        <v>120471.3</v>
      </c>
      <c r="E111">
        <v>1246272043</v>
      </c>
      <c r="F111" s="321">
        <v>46224</v>
      </c>
      <c r="G111" s="321"/>
      <c r="H111" t="s">
        <v>28</v>
      </c>
      <c r="I111" t="s">
        <v>29</v>
      </c>
      <c r="J111">
        <v>11190</v>
      </c>
      <c r="K111" s="321">
        <v>46134</v>
      </c>
      <c r="L111">
        <v>1010100</v>
      </c>
      <c r="M111" t="s">
        <v>35</v>
      </c>
      <c r="N111">
        <v>-82</v>
      </c>
      <c r="O111" s="32">
        <v>0</v>
      </c>
      <c r="P111" s="32">
        <v>0</v>
      </c>
      <c r="Q111" s="32">
        <v>120471.3</v>
      </c>
      <c r="R111" s="32">
        <v>0</v>
      </c>
      <c r="S111" s="32">
        <v>0</v>
      </c>
      <c r="T111" s="32">
        <v>0</v>
      </c>
      <c r="U111" s="32">
        <v>0</v>
      </c>
      <c r="V111" s="32">
        <v>0</v>
      </c>
      <c r="W111" s="32">
        <v>0</v>
      </c>
      <c r="X111" s="32">
        <v>0</v>
      </c>
      <c r="Y111" s="32">
        <v>0</v>
      </c>
      <c r="Z111" s="32">
        <v>0</v>
      </c>
      <c r="AA111" s="32">
        <v>0</v>
      </c>
      <c r="AB111" s="32">
        <v>0</v>
      </c>
      <c r="AC111" s="32" t="s">
        <v>536</v>
      </c>
      <c r="AD111" s="32"/>
      <c r="AE111" s="32">
        <v>0</v>
      </c>
    </row>
    <row r="112" spans="1:31" x14ac:dyDescent="0.25">
      <c r="A112">
        <v>1792</v>
      </c>
      <c r="B112" t="s">
        <v>527</v>
      </c>
      <c r="C112" t="s">
        <v>73</v>
      </c>
      <c r="D112" s="35">
        <v>116092.8</v>
      </c>
      <c r="E112">
        <v>1246267659</v>
      </c>
      <c r="F112" s="321">
        <v>46184</v>
      </c>
      <c r="G112" s="321"/>
      <c r="H112" t="s">
        <v>28</v>
      </c>
      <c r="I112" t="s">
        <v>29</v>
      </c>
      <c r="J112">
        <v>10876</v>
      </c>
      <c r="K112" s="321">
        <v>46094</v>
      </c>
      <c r="L112">
        <v>1010100</v>
      </c>
      <c r="M112" t="s">
        <v>35</v>
      </c>
      <c r="N112">
        <v>-42</v>
      </c>
      <c r="O112" s="32">
        <v>0</v>
      </c>
      <c r="P112" s="32">
        <v>0</v>
      </c>
      <c r="Q112" s="32">
        <v>116092.8</v>
      </c>
      <c r="R112" s="32">
        <v>0</v>
      </c>
      <c r="S112" s="32">
        <v>0</v>
      </c>
      <c r="T112" s="32">
        <v>0</v>
      </c>
      <c r="U112" s="32">
        <v>0</v>
      </c>
      <c r="V112" s="32">
        <v>0</v>
      </c>
      <c r="W112" s="32">
        <v>0</v>
      </c>
      <c r="X112" s="32">
        <v>0</v>
      </c>
      <c r="Y112" s="32">
        <v>0</v>
      </c>
      <c r="Z112" s="32">
        <v>0</v>
      </c>
      <c r="AA112" s="32">
        <v>0</v>
      </c>
      <c r="AB112" s="32">
        <v>0</v>
      </c>
      <c r="AC112" s="32" t="s">
        <v>536</v>
      </c>
      <c r="AD112" s="32"/>
      <c r="AE112" s="32">
        <v>0</v>
      </c>
    </row>
    <row r="113" spans="1:31" x14ac:dyDescent="0.25">
      <c r="A113">
        <v>201</v>
      </c>
      <c r="B113" t="s">
        <v>429</v>
      </c>
      <c r="C113" t="s">
        <v>875</v>
      </c>
      <c r="D113" s="35">
        <v>185040</v>
      </c>
      <c r="E113">
        <v>1246269671</v>
      </c>
      <c r="F113" s="321">
        <v>46231</v>
      </c>
      <c r="G113" s="321"/>
      <c r="H113" t="s">
        <v>28</v>
      </c>
      <c r="I113" t="s">
        <v>29</v>
      </c>
      <c r="J113">
        <v>2855</v>
      </c>
      <c r="K113" s="321">
        <v>46111</v>
      </c>
      <c r="L113">
        <v>1010100</v>
      </c>
      <c r="M113" t="s">
        <v>35</v>
      </c>
      <c r="N113">
        <v>-89</v>
      </c>
      <c r="O113" s="32">
        <v>0</v>
      </c>
      <c r="P113" s="32">
        <v>0</v>
      </c>
      <c r="Q113" s="32">
        <v>185040</v>
      </c>
      <c r="R113" s="32">
        <v>0</v>
      </c>
      <c r="S113" s="32">
        <v>0</v>
      </c>
      <c r="T113" s="32">
        <v>0</v>
      </c>
      <c r="U113" s="32">
        <v>0</v>
      </c>
      <c r="V113" s="32">
        <v>0</v>
      </c>
      <c r="W113" s="32">
        <v>0</v>
      </c>
      <c r="X113" s="32">
        <v>0</v>
      </c>
      <c r="Y113" s="32">
        <v>0</v>
      </c>
      <c r="Z113" s="32">
        <v>0</v>
      </c>
      <c r="AA113" s="32">
        <v>0</v>
      </c>
      <c r="AB113" s="32">
        <v>0</v>
      </c>
      <c r="AC113" s="32" t="s">
        <v>472</v>
      </c>
      <c r="AD113" s="32"/>
      <c r="AE113" s="32">
        <v>0</v>
      </c>
    </row>
    <row r="114" spans="1:31" x14ac:dyDescent="0.25">
      <c r="A114">
        <v>903</v>
      </c>
      <c r="B114" t="s">
        <v>419</v>
      </c>
      <c r="C114" t="s">
        <v>58</v>
      </c>
      <c r="D114" s="35">
        <v>133334.43</v>
      </c>
      <c r="E114">
        <v>1246268951</v>
      </c>
      <c r="F114" s="321">
        <v>46146</v>
      </c>
      <c r="G114" s="321">
        <v>46146</v>
      </c>
      <c r="H114" t="s">
        <v>28</v>
      </c>
      <c r="I114" t="s">
        <v>29</v>
      </c>
      <c r="J114">
        <v>10971</v>
      </c>
      <c r="K114" s="321">
        <v>46106</v>
      </c>
      <c r="L114">
        <v>1010100</v>
      </c>
      <c r="M114" t="s">
        <v>35</v>
      </c>
      <c r="N114">
        <v>-4</v>
      </c>
      <c r="O114" s="32">
        <v>0</v>
      </c>
      <c r="P114" s="32">
        <v>0</v>
      </c>
      <c r="Q114" s="32">
        <v>133334.43</v>
      </c>
      <c r="R114" s="32">
        <v>0</v>
      </c>
      <c r="S114" s="32">
        <v>0</v>
      </c>
      <c r="T114" s="32">
        <v>0</v>
      </c>
      <c r="U114" s="32">
        <v>0</v>
      </c>
      <c r="V114" s="32">
        <v>0</v>
      </c>
      <c r="W114" s="32">
        <v>0</v>
      </c>
      <c r="X114" s="32">
        <v>0</v>
      </c>
      <c r="Y114" s="32">
        <v>0</v>
      </c>
      <c r="Z114" s="32">
        <v>0</v>
      </c>
      <c r="AA114" s="32">
        <v>0</v>
      </c>
      <c r="AB114" s="32">
        <v>0</v>
      </c>
      <c r="AC114" s="32" t="s">
        <v>536</v>
      </c>
      <c r="AD114" s="32"/>
      <c r="AE114" s="32">
        <v>0</v>
      </c>
    </row>
    <row r="115" spans="1:31" x14ac:dyDescent="0.25">
      <c r="A115">
        <v>903</v>
      </c>
      <c r="B115" t="s">
        <v>419</v>
      </c>
      <c r="C115" t="s">
        <v>58</v>
      </c>
      <c r="D115" s="35">
        <v>135135.03</v>
      </c>
      <c r="E115">
        <v>1246272230</v>
      </c>
      <c r="F115" s="321">
        <v>46175</v>
      </c>
      <c r="G115" s="321"/>
      <c r="H115" t="s">
        <v>28</v>
      </c>
      <c r="I115" t="s">
        <v>29</v>
      </c>
      <c r="J115">
        <v>11199</v>
      </c>
      <c r="K115" s="321">
        <v>46135</v>
      </c>
      <c r="L115">
        <v>1010100</v>
      </c>
      <c r="M115" t="s">
        <v>35</v>
      </c>
      <c r="N115">
        <v>-33</v>
      </c>
      <c r="O115" s="32">
        <v>0</v>
      </c>
      <c r="P115" s="32">
        <v>0</v>
      </c>
      <c r="Q115" s="32">
        <v>135135.03</v>
      </c>
      <c r="R115" s="32">
        <v>0</v>
      </c>
      <c r="S115" s="32">
        <v>0</v>
      </c>
      <c r="T115" s="32">
        <v>0</v>
      </c>
      <c r="U115" s="32">
        <v>0</v>
      </c>
      <c r="V115" s="32">
        <v>0</v>
      </c>
      <c r="W115" s="32">
        <v>0</v>
      </c>
      <c r="X115" s="32">
        <v>0</v>
      </c>
      <c r="Y115" s="32">
        <v>0</v>
      </c>
      <c r="Z115" s="32">
        <v>0</v>
      </c>
      <c r="AA115" s="32">
        <v>0</v>
      </c>
      <c r="AB115" s="32">
        <v>0</v>
      </c>
      <c r="AC115" s="32" t="s">
        <v>536</v>
      </c>
      <c r="AD115" s="32"/>
      <c r="AE115" s="32">
        <v>0</v>
      </c>
    </row>
    <row r="116" spans="1:31" x14ac:dyDescent="0.25">
      <c r="A116">
        <v>903</v>
      </c>
      <c r="B116" t="s">
        <v>419</v>
      </c>
      <c r="C116" t="s">
        <v>58</v>
      </c>
      <c r="D116" s="35">
        <v>134594.85</v>
      </c>
      <c r="E116">
        <v>1246270087</v>
      </c>
      <c r="F116" s="321">
        <v>46154</v>
      </c>
      <c r="G116" s="321"/>
      <c r="H116" t="s">
        <v>28</v>
      </c>
      <c r="I116" t="s">
        <v>29</v>
      </c>
      <c r="J116">
        <v>11034</v>
      </c>
      <c r="K116" s="321">
        <v>46114</v>
      </c>
      <c r="L116">
        <v>1010100</v>
      </c>
      <c r="M116" t="s">
        <v>35</v>
      </c>
      <c r="N116">
        <v>-12</v>
      </c>
      <c r="O116" s="32">
        <v>0</v>
      </c>
      <c r="P116" s="32">
        <v>0</v>
      </c>
      <c r="Q116" s="32">
        <v>134594.85</v>
      </c>
      <c r="R116" s="32">
        <v>0</v>
      </c>
      <c r="S116" s="32">
        <v>0</v>
      </c>
      <c r="T116" s="32">
        <v>0</v>
      </c>
      <c r="U116" s="32">
        <v>0</v>
      </c>
      <c r="V116" s="32">
        <v>0</v>
      </c>
      <c r="W116" s="32">
        <v>0</v>
      </c>
      <c r="X116" s="32">
        <v>0</v>
      </c>
      <c r="Y116" s="32">
        <v>0</v>
      </c>
      <c r="Z116" s="32">
        <v>0</v>
      </c>
      <c r="AA116" s="32">
        <v>0</v>
      </c>
      <c r="AB116" s="32">
        <v>0</v>
      </c>
      <c r="AC116" s="32" t="s">
        <v>536</v>
      </c>
      <c r="AD116" s="32"/>
      <c r="AE116" s="32">
        <v>0</v>
      </c>
    </row>
    <row r="117" spans="1:31" x14ac:dyDescent="0.25">
      <c r="A117">
        <v>903</v>
      </c>
      <c r="B117" t="s">
        <v>419</v>
      </c>
      <c r="C117" t="s">
        <v>58</v>
      </c>
      <c r="D117" s="35">
        <v>134504.82</v>
      </c>
      <c r="E117">
        <v>1246271047</v>
      </c>
      <c r="F117" s="321">
        <v>46162</v>
      </c>
      <c r="G117" s="321"/>
      <c r="H117" t="s">
        <v>28</v>
      </c>
      <c r="I117" t="s">
        <v>29</v>
      </c>
      <c r="J117">
        <v>11098</v>
      </c>
      <c r="K117" s="321">
        <v>46122</v>
      </c>
      <c r="L117">
        <v>1010100</v>
      </c>
      <c r="M117" t="s">
        <v>35</v>
      </c>
      <c r="N117">
        <v>-20</v>
      </c>
      <c r="O117" s="32">
        <v>0</v>
      </c>
      <c r="P117" s="32">
        <v>0</v>
      </c>
      <c r="Q117" s="32">
        <v>134504.82</v>
      </c>
      <c r="R117" s="32">
        <v>0</v>
      </c>
      <c r="S117" s="32">
        <v>0</v>
      </c>
      <c r="T117" s="32">
        <v>0</v>
      </c>
      <c r="U117" s="32">
        <v>0</v>
      </c>
      <c r="V117" s="32">
        <v>0</v>
      </c>
      <c r="W117" s="32">
        <v>0</v>
      </c>
      <c r="X117" s="32">
        <v>0</v>
      </c>
      <c r="Y117" s="32">
        <v>0</v>
      </c>
      <c r="Z117" s="32">
        <v>0</v>
      </c>
      <c r="AA117" s="32">
        <v>0</v>
      </c>
      <c r="AB117" s="32">
        <v>0</v>
      </c>
      <c r="AC117" s="32" t="s">
        <v>536</v>
      </c>
      <c r="AD117" s="32"/>
      <c r="AE117" s="32">
        <v>0</v>
      </c>
    </row>
    <row r="118" spans="1:31" x14ac:dyDescent="0.25">
      <c r="A118">
        <v>903</v>
      </c>
      <c r="B118" t="s">
        <v>419</v>
      </c>
      <c r="C118" t="s">
        <v>58</v>
      </c>
      <c r="D118" s="35">
        <v>134864.94</v>
      </c>
      <c r="E118">
        <v>1246269425</v>
      </c>
      <c r="F118" s="321">
        <v>46148</v>
      </c>
      <c r="G118" s="321"/>
      <c r="H118" t="s">
        <v>28</v>
      </c>
      <c r="I118" t="s">
        <v>29</v>
      </c>
      <c r="J118">
        <v>10990</v>
      </c>
      <c r="K118" s="321">
        <v>46108</v>
      </c>
      <c r="L118">
        <v>1010100</v>
      </c>
      <c r="M118" t="s">
        <v>35</v>
      </c>
      <c r="N118">
        <v>-6</v>
      </c>
      <c r="O118" s="32">
        <v>0</v>
      </c>
      <c r="P118" s="32">
        <v>0</v>
      </c>
      <c r="Q118" s="32">
        <v>134864.94</v>
      </c>
      <c r="R118" s="32">
        <v>0</v>
      </c>
      <c r="S118" s="32">
        <v>0</v>
      </c>
      <c r="T118" s="32">
        <v>0</v>
      </c>
      <c r="U118" s="32">
        <v>0</v>
      </c>
      <c r="V118" s="32">
        <v>0</v>
      </c>
      <c r="W118" s="32">
        <v>0</v>
      </c>
      <c r="X118" s="32">
        <v>0</v>
      </c>
      <c r="Y118" s="32">
        <v>0</v>
      </c>
      <c r="Z118" s="32">
        <v>0</v>
      </c>
      <c r="AA118" s="32">
        <v>0</v>
      </c>
      <c r="AB118" s="32">
        <v>0</v>
      </c>
      <c r="AC118" s="32" t="s">
        <v>536</v>
      </c>
      <c r="AD118" s="32"/>
      <c r="AE118" s="32">
        <v>0</v>
      </c>
    </row>
    <row r="119" spans="1:31" x14ac:dyDescent="0.25">
      <c r="A119">
        <v>903</v>
      </c>
      <c r="B119" t="s">
        <v>419</v>
      </c>
      <c r="C119" t="s">
        <v>58</v>
      </c>
      <c r="D119" s="35">
        <v>134774.91</v>
      </c>
      <c r="E119">
        <v>1246273177</v>
      </c>
      <c r="F119" s="321">
        <v>46182</v>
      </c>
      <c r="G119" s="321"/>
      <c r="H119" t="s">
        <v>28</v>
      </c>
      <c r="I119" t="s">
        <v>29</v>
      </c>
      <c r="J119">
        <v>11266</v>
      </c>
      <c r="K119" s="321">
        <v>46142</v>
      </c>
      <c r="L119">
        <v>1010100</v>
      </c>
      <c r="M119" t="s">
        <v>35</v>
      </c>
      <c r="N119">
        <v>-40</v>
      </c>
      <c r="O119" s="32">
        <v>0</v>
      </c>
      <c r="P119" s="32">
        <v>0</v>
      </c>
      <c r="Q119" s="32">
        <v>134774.91</v>
      </c>
      <c r="R119" s="32">
        <v>0</v>
      </c>
      <c r="S119" s="32">
        <v>0</v>
      </c>
      <c r="T119" s="32">
        <v>0</v>
      </c>
      <c r="U119" s="32">
        <v>0</v>
      </c>
      <c r="V119" s="32">
        <v>0</v>
      </c>
      <c r="W119" s="32">
        <v>0</v>
      </c>
      <c r="X119" s="32">
        <v>0</v>
      </c>
      <c r="Y119" s="32">
        <v>0</v>
      </c>
      <c r="Z119" s="32">
        <v>0</v>
      </c>
      <c r="AA119" s="32">
        <v>0</v>
      </c>
      <c r="AB119" s="32">
        <v>0</v>
      </c>
      <c r="AC119" s="32" t="s">
        <v>536</v>
      </c>
      <c r="AD119" s="32"/>
      <c r="AE119" s="32">
        <v>0</v>
      </c>
    </row>
    <row r="120" spans="1:31" x14ac:dyDescent="0.25">
      <c r="A120">
        <v>86</v>
      </c>
      <c r="B120" t="s">
        <v>418</v>
      </c>
      <c r="C120" t="s">
        <v>894</v>
      </c>
      <c r="D120" s="35">
        <v>35810</v>
      </c>
      <c r="E120">
        <v>1246273225</v>
      </c>
      <c r="F120" s="321">
        <v>46202</v>
      </c>
      <c r="G120" s="321"/>
      <c r="H120" t="s">
        <v>28</v>
      </c>
      <c r="I120" t="s">
        <v>29</v>
      </c>
      <c r="J120">
        <v>11271</v>
      </c>
      <c r="K120" s="321">
        <v>46142</v>
      </c>
      <c r="L120">
        <v>1010100</v>
      </c>
      <c r="M120" t="s">
        <v>35</v>
      </c>
      <c r="N120">
        <v>-60</v>
      </c>
      <c r="O120" s="32">
        <v>0</v>
      </c>
      <c r="P120" s="32">
        <v>0</v>
      </c>
      <c r="Q120" s="32">
        <v>35810</v>
      </c>
      <c r="R120" s="32">
        <v>0</v>
      </c>
      <c r="S120" s="32">
        <v>0</v>
      </c>
      <c r="T120" s="32">
        <v>0</v>
      </c>
      <c r="U120" s="32">
        <v>0</v>
      </c>
      <c r="V120" s="32">
        <v>0</v>
      </c>
      <c r="W120" s="32">
        <v>0</v>
      </c>
      <c r="X120" s="32">
        <v>0</v>
      </c>
      <c r="Y120" s="32">
        <v>0</v>
      </c>
      <c r="Z120" s="32">
        <v>0</v>
      </c>
      <c r="AA120" s="32">
        <v>0</v>
      </c>
      <c r="AB120" s="32">
        <v>0</v>
      </c>
      <c r="AC120" s="32" t="s">
        <v>472</v>
      </c>
      <c r="AD120" s="32"/>
      <c r="AE120" s="32">
        <v>0</v>
      </c>
    </row>
    <row r="121" spans="1:31" x14ac:dyDescent="0.25">
      <c r="A121">
        <v>729</v>
      </c>
      <c r="B121" t="s">
        <v>528</v>
      </c>
      <c r="C121" t="s">
        <v>844</v>
      </c>
      <c r="D121" s="35">
        <v>69762.399999999994</v>
      </c>
      <c r="E121">
        <v>1246273030</v>
      </c>
      <c r="F121" s="321">
        <v>46201</v>
      </c>
      <c r="G121" s="321"/>
      <c r="H121" t="s">
        <v>28</v>
      </c>
      <c r="I121" t="s">
        <v>29</v>
      </c>
      <c r="J121">
        <v>11251</v>
      </c>
      <c r="K121" s="321">
        <v>46141</v>
      </c>
      <c r="L121">
        <v>1010100</v>
      </c>
      <c r="M121" t="s">
        <v>35</v>
      </c>
      <c r="N121">
        <v>-59</v>
      </c>
      <c r="O121" s="32">
        <v>0</v>
      </c>
      <c r="P121" s="32">
        <v>0</v>
      </c>
      <c r="Q121" s="32">
        <v>69762.399999999994</v>
      </c>
      <c r="R121" s="32">
        <v>0</v>
      </c>
      <c r="S121" s="32">
        <v>0</v>
      </c>
      <c r="T121" s="32">
        <v>0</v>
      </c>
      <c r="U121" s="32">
        <v>0</v>
      </c>
      <c r="V121" s="32">
        <v>0</v>
      </c>
      <c r="W121" s="32">
        <v>0</v>
      </c>
      <c r="X121" s="32">
        <v>0</v>
      </c>
      <c r="Y121" s="32">
        <v>0</v>
      </c>
      <c r="Z121" s="32">
        <v>0</v>
      </c>
      <c r="AA121" s="32">
        <v>0</v>
      </c>
      <c r="AB121" s="32">
        <v>0</v>
      </c>
      <c r="AC121" s="32" t="s">
        <v>472</v>
      </c>
      <c r="AD121" s="32"/>
      <c r="AE121" s="32">
        <v>0</v>
      </c>
    </row>
    <row r="122" spans="1:31" x14ac:dyDescent="0.25">
      <c r="A122">
        <v>1159</v>
      </c>
      <c r="B122" t="s">
        <v>419</v>
      </c>
      <c r="C122" t="s">
        <v>61</v>
      </c>
      <c r="D122" s="35">
        <v>272555.71999999997</v>
      </c>
      <c r="E122">
        <v>1246268636</v>
      </c>
      <c r="F122" s="321">
        <v>46144</v>
      </c>
      <c r="G122" s="321">
        <v>46146</v>
      </c>
      <c r="H122" t="s">
        <v>28</v>
      </c>
      <c r="I122" t="s">
        <v>29</v>
      </c>
      <c r="J122">
        <v>10958</v>
      </c>
      <c r="K122" s="321">
        <v>46104</v>
      </c>
      <c r="L122">
        <v>1010100</v>
      </c>
      <c r="M122" t="s">
        <v>35</v>
      </c>
      <c r="N122">
        <v>-2</v>
      </c>
      <c r="O122" s="32">
        <v>0</v>
      </c>
      <c r="P122" s="32">
        <v>0</v>
      </c>
      <c r="Q122" s="32">
        <v>272555.71999999997</v>
      </c>
      <c r="R122" s="32">
        <v>0</v>
      </c>
      <c r="S122" s="32">
        <v>0</v>
      </c>
      <c r="T122" s="32">
        <v>0</v>
      </c>
      <c r="U122" s="32">
        <v>0</v>
      </c>
      <c r="V122" s="32">
        <v>0</v>
      </c>
      <c r="W122" s="32">
        <v>0</v>
      </c>
      <c r="X122" s="32">
        <v>0</v>
      </c>
      <c r="Y122" s="32">
        <v>0</v>
      </c>
      <c r="Z122" s="32">
        <v>0</v>
      </c>
      <c r="AA122" s="32">
        <v>0</v>
      </c>
      <c r="AB122" s="32">
        <v>0</v>
      </c>
      <c r="AC122" s="32" t="s">
        <v>536</v>
      </c>
      <c r="AD122" s="32"/>
      <c r="AE122" s="32">
        <v>0</v>
      </c>
    </row>
    <row r="123" spans="1:31" x14ac:dyDescent="0.25">
      <c r="A123">
        <v>1159</v>
      </c>
      <c r="B123" t="s">
        <v>419</v>
      </c>
      <c r="C123" t="s">
        <v>61</v>
      </c>
      <c r="D123" s="35">
        <v>1800</v>
      </c>
      <c r="E123">
        <v>1246087936</v>
      </c>
      <c r="F123" s="321">
        <v>45112</v>
      </c>
      <c r="G123" s="321"/>
      <c r="H123" t="s">
        <v>28</v>
      </c>
      <c r="I123" t="s">
        <v>29</v>
      </c>
      <c r="J123">
        <v>1246087936</v>
      </c>
      <c r="K123" s="321">
        <v>45097</v>
      </c>
      <c r="L123">
        <v>3041000</v>
      </c>
      <c r="M123" t="s">
        <v>137</v>
      </c>
      <c r="N123">
        <v>1030</v>
      </c>
      <c r="O123" s="32">
        <v>0</v>
      </c>
      <c r="P123" s="32">
        <v>1800</v>
      </c>
      <c r="Q123" s="32">
        <v>0</v>
      </c>
      <c r="R123" s="32">
        <v>0</v>
      </c>
      <c r="S123" s="32">
        <v>0</v>
      </c>
      <c r="T123" s="32">
        <v>0</v>
      </c>
      <c r="U123" s="32">
        <v>1800</v>
      </c>
      <c r="V123" s="32">
        <v>0</v>
      </c>
      <c r="W123" s="32">
        <v>54</v>
      </c>
      <c r="X123" s="32">
        <v>1746</v>
      </c>
      <c r="Y123" s="32">
        <v>1746</v>
      </c>
      <c r="Z123" s="32">
        <v>1800</v>
      </c>
      <c r="AA123" s="32">
        <v>0</v>
      </c>
      <c r="AB123" s="32">
        <v>1800</v>
      </c>
      <c r="AC123" s="32" t="s">
        <v>536</v>
      </c>
      <c r="AD123" s="32"/>
      <c r="AE123" s="32">
        <v>1800</v>
      </c>
    </row>
    <row r="124" spans="1:31" x14ac:dyDescent="0.25">
      <c r="A124">
        <v>1159</v>
      </c>
      <c r="B124" t="s">
        <v>419</v>
      </c>
      <c r="C124" t="s">
        <v>61</v>
      </c>
      <c r="D124" s="35">
        <v>2700</v>
      </c>
      <c r="E124">
        <v>1246087941</v>
      </c>
      <c r="F124" s="321">
        <v>45112</v>
      </c>
      <c r="G124" s="321"/>
      <c r="H124" t="s">
        <v>28</v>
      </c>
      <c r="I124" t="s">
        <v>29</v>
      </c>
      <c r="J124">
        <v>1246087941</v>
      </c>
      <c r="K124" s="321">
        <v>45097</v>
      </c>
      <c r="L124">
        <v>3041000</v>
      </c>
      <c r="M124" t="s">
        <v>137</v>
      </c>
      <c r="N124">
        <v>1030</v>
      </c>
      <c r="O124" s="32">
        <v>0</v>
      </c>
      <c r="P124" s="32">
        <v>2700</v>
      </c>
      <c r="Q124" s="32">
        <v>0</v>
      </c>
      <c r="R124" s="32">
        <v>0</v>
      </c>
      <c r="S124" s="32">
        <v>0</v>
      </c>
      <c r="T124" s="32">
        <v>0</v>
      </c>
      <c r="U124" s="32">
        <v>2700</v>
      </c>
      <c r="V124" s="32">
        <v>0</v>
      </c>
      <c r="W124" s="32">
        <v>81</v>
      </c>
      <c r="X124" s="32">
        <v>2619</v>
      </c>
      <c r="Y124" s="32">
        <v>2619</v>
      </c>
      <c r="Z124" s="32">
        <v>2700</v>
      </c>
      <c r="AA124" s="32">
        <v>0</v>
      </c>
      <c r="AB124" s="32">
        <v>2700</v>
      </c>
      <c r="AC124" s="32" t="s">
        <v>536</v>
      </c>
      <c r="AD124" s="32"/>
      <c r="AE124" s="32">
        <v>2700</v>
      </c>
    </row>
    <row r="125" spans="1:31" x14ac:dyDescent="0.25">
      <c r="A125">
        <v>1159</v>
      </c>
      <c r="B125" t="s">
        <v>419</v>
      </c>
      <c r="C125" t="s">
        <v>61</v>
      </c>
      <c r="D125" s="35">
        <v>1800</v>
      </c>
      <c r="E125">
        <v>1246087939</v>
      </c>
      <c r="F125" s="321">
        <v>45112</v>
      </c>
      <c r="G125" s="321"/>
      <c r="H125" t="s">
        <v>28</v>
      </c>
      <c r="I125" t="s">
        <v>29</v>
      </c>
      <c r="J125">
        <v>1246087939</v>
      </c>
      <c r="K125" s="321">
        <v>45097</v>
      </c>
      <c r="L125">
        <v>3041000</v>
      </c>
      <c r="M125" t="s">
        <v>137</v>
      </c>
      <c r="N125">
        <v>1030</v>
      </c>
      <c r="O125" s="32">
        <v>0</v>
      </c>
      <c r="P125" s="32">
        <v>1800</v>
      </c>
      <c r="Q125" s="32">
        <v>0</v>
      </c>
      <c r="R125" s="32">
        <v>0</v>
      </c>
      <c r="S125" s="32">
        <v>0</v>
      </c>
      <c r="T125" s="32">
        <v>0</v>
      </c>
      <c r="U125" s="32">
        <v>1800</v>
      </c>
      <c r="V125" s="32">
        <v>0</v>
      </c>
      <c r="W125" s="32">
        <v>54</v>
      </c>
      <c r="X125" s="32">
        <v>1746</v>
      </c>
      <c r="Y125" s="32">
        <v>1746</v>
      </c>
      <c r="Z125" s="32">
        <v>1800</v>
      </c>
      <c r="AA125" s="32">
        <v>0</v>
      </c>
      <c r="AB125" s="32">
        <v>1800</v>
      </c>
      <c r="AC125" s="32" t="s">
        <v>536</v>
      </c>
      <c r="AD125" s="32"/>
      <c r="AE125" s="32">
        <v>1800</v>
      </c>
    </row>
    <row r="126" spans="1:31" x14ac:dyDescent="0.25">
      <c r="A126">
        <v>1159</v>
      </c>
      <c r="B126" t="s">
        <v>419</v>
      </c>
      <c r="C126" t="s">
        <v>61</v>
      </c>
      <c r="D126" s="35">
        <v>1800</v>
      </c>
      <c r="E126">
        <v>1246087937</v>
      </c>
      <c r="F126" s="321">
        <v>45112</v>
      </c>
      <c r="G126" s="321"/>
      <c r="H126" t="s">
        <v>28</v>
      </c>
      <c r="I126" t="s">
        <v>29</v>
      </c>
      <c r="J126">
        <v>1246087937</v>
      </c>
      <c r="K126" s="321">
        <v>45097</v>
      </c>
      <c r="L126">
        <v>3041000</v>
      </c>
      <c r="M126" t="s">
        <v>137</v>
      </c>
      <c r="N126">
        <v>1030</v>
      </c>
      <c r="O126" s="32">
        <v>0</v>
      </c>
      <c r="P126" s="32">
        <v>1800</v>
      </c>
      <c r="Q126" s="32">
        <v>0</v>
      </c>
      <c r="R126" s="32">
        <v>0</v>
      </c>
      <c r="S126" s="32">
        <v>0</v>
      </c>
      <c r="T126" s="32">
        <v>0</v>
      </c>
      <c r="U126" s="32">
        <v>1800</v>
      </c>
      <c r="V126" s="32">
        <v>0</v>
      </c>
      <c r="W126" s="32">
        <v>54</v>
      </c>
      <c r="X126" s="32">
        <v>1746</v>
      </c>
      <c r="Y126" s="32">
        <v>1746</v>
      </c>
      <c r="Z126" s="32">
        <v>1800</v>
      </c>
      <c r="AA126" s="32">
        <v>0</v>
      </c>
      <c r="AB126" s="32">
        <v>1800</v>
      </c>
      <c r="AC126" s="32" t="s">
        <v>536</v>
      </c>
      <c r="AD126" s="32"/>
      <c r="AE126" s="32">
        <v>1800</v>
      </c>
    </row>
    <row r="127" spans="1:31" x14ac:dyDescent="0.25">
      <c r="A127">
        <v>1159</v>
      </c>
      <c r="B127" t="s">
        <v>419</v>
      </c>
      <c r="C127" t="s">
        <v>61</v>
      </c>
      <c r="D127" s="35">
        <v>1800</v>
      </c>
      <c r="E127">
        <v>1246087943</v>
      </c>
      <c r="F127" s="321">
        <v>45112</v>
      </c>
      <c r="G127" s="321"/>
      <c r="H127" t="s">
        <v>28</v>
      </c>
      <c r="I127" t="s">
        <v>29</v>
      </c>
      <c r="J127">
        <v>1246087943</v>
      </c>
      <c r="K127" s="321">
        <v>45097</v>
      </c>
      <c r="L127">
        <v>3041000</v>
      </c>
      <c r="M127" t="s">
        <v>137</v>
      </c>
      <c r="N127">
        <v>1030</v>
      </c>
      <c r="O127" s="32">
        <v>0</v>
      </c>
      <c r="P127" s="32">
        <v>1800</v>
      </c>
      <c r="Q127" s="32">
        <v>0</v>
      </c>
      <c r="R127" s="32">
        <v>0</v>
      </c>
      <c r="S127" s="32">
        <v>0</v>
      </c>
      <c r="T127" s="32">
        <v>0</v>
      </c>
      <c r="U127" s="32">
        <v>1800</v>
      </c>
      <c r="V127" s="32">
        <v>0</v>
      </c>
      <c r="W127" s="32">
        <v>54</v>
      </c>
      <c r="X127" s="32">
        <v>1746</v>
      </c>
      <c r="Y127" s="32">
        <v>1746</v>
      </c>
      <c r="Z127" s="32">
        <v>1800</v>
      </c>
      <c r="AA127" s="32">
        <v>0</v>
      </c>
      <c r="AB127" s="32">
        <v>1800</v>
      </c>
      <c r="AC127" s="32" t="s">
        <v>536</v>
      </c>
      <c r="AD127" s="32"/>
      <c r="AE127" s="32">
        <v>1800</v>
      </c>
    </row>
    <row r="128" spans="1:31" x14ac:dyDescent="0.25">
      <c r="A128">
        <v>1159</v>
      </c>
      <c r="B128" t="s">
        <v>419</v>
      </c>
      <c r="C128" t="s">
        <v>61</v>
      </c>
      <c r="D128" s="35">
        <v>2700</v>
      </c>
      <c r="E128">
        <v>1246121301</v>
      </c>
      <c r="F128" s="321">
        <v>45297</v>
      </c>
      <c r="G128" s="321"/>
      <c r="H128" t="s">
        <v>28</v>
      </c>
      <c r="I128" t="s">
        <v>29</v>
      </c>
      <c r="J128">
        <v>1246121301</v>
      </c>
      <c r="K128" s="321">
        <v>45282</v>
      </c>
      <c r="L128">
        <v>3041000</v>
      </c>
      <c r="M128" t="s">
        <v>137</v>
      </c>
      <c r="N128">
        <v>845</v>
      </c>
      <c r="O128" s="32">
        <v>0</v>
      </c>
      <c r="P128" s="32">
        <v>2700</v>
      </c>
      <c r="Q128" s="32">
        <v>0</v>
      </c>
      <c r="R128" s="32">
        <v>0</v>
      </c>
      <c r="S128" s="32">
        <v>0</v>
      </c>
      <c r="T128" s="32">
        <v>0</v>
      </c>
      <c r="U128" s="32">
        <v>2700</v>
      </c>
      <c r="V128" s="32">
        <v>0</v>
      </c>
      <c r="W128" s="32">
        <v>81</v>
      </c>
      <c r="X128" s="32">
        <v>2619</v>
      </c>
      <c r="Y128" s="32">
        <v>2619</v>
      </c>
      <c r="Z128" s="32">
        <v>2700</v>
      </c>
      <c r="AA128" s="32">
        <v>0</v>
      </c>
      <c r="AB128" s="32">
        <v>2700</v>
      </c>
      <c r="AC128" s="32" t="s">
        <v>536</v>
      </c>
      <c r="AD128" s="32"/>
      <c r="AE128" s="32">
        <v>2700</v>
      </c>
    </row>
    <row r="129" spans="1:31" x14ac:dyDescent="0.25">
      <c r="A129">
        <v>1159</v>
      </c>
      <c r="B129" t="s">
        <v>419</v>
      </c>
      <c r="C129" t="s">
        <v>61</v>
      </c>
      <c r="D129" s="35">
        <v>4800</v>
      </c>
      <c r="E129">
        <v>1246121285</v>
      </c>
      <c r="F129" s="321">
        <v>45297</v>
      </c>
      <c r="G129" s="321"/>
      <c r="H129" t="s">
        <v>28</v>
      </c>
      <c r="I129" t="s">
        <v>29</v>
      </c>
      <c r="J129">
        <v>1246121285</v>
      </c>
      <c r="K129" s="321">
        <v>45282</v>
      </c>
      <c r="L129">
        <v>3041000</v>
      </c>
      <c r="M129" t="s">
        <v>137</v>
      </c>
      <c r="N129">
        <v>845</v>
      </c>
      <c r="O129" s="32">
        <v>0</v>
      </c>
      <c r="P129" s="32">
        <v>4800</v>
      </c>
      <c r="Q129" s="32">
        <v>0</v>
      </c>
      <c r="R129" s="32">
        <v>0</v>
      </c>
      <c r="S129" s="32">
        <v>0</v>
      </c>
      <c r="T129" s="32">
        <v>0</v>
      </c>
      <c r="U129" s="32">
        <v>4800</v>
      </c>
      <c r="V129" s="32">
        <v>0</v>
      </c>
      <c r="W129" s="32">
        <v>144</v>
      </c>
      <c r="X129" s="32">
        <v>4656</v>
      </c>
      <c r="Y129" s="32">
        <v>4656</v>
      </c>
      <c r="Z129" s="32">
        <v>4800</v>
      </c>
      <c r="AA129" s="32">
        <v>0</v>
      </c>
      <c r="AB129" s="32">
        <v>4800</v>
      </c>
      <c r="AC129" s="32" t="s">
        <v>536</v>
      </c>
      <c r="AD129" s="32"/>
      <c r="AE129" s="32">
        <v>4800</v>
      </c>
    </row>
    <row r="130" spans="1:31" x14ac:dyDescent="0.25">
      <c r="A130">
        <v>1159</v>
      </c>
      <c r="B130" t="s">
        <v>419</v>
      </c>
      <c r="C130" t="s">
        <v>61</v>
      </c>
      <c r="D130" s="35">
        <v>2700</v>
      </c>
      <c r="E130">
        <v>1246121300</v>
      </c>
      <c r="F130" s="321">
        <v>45297</v>
      </c>
      <c r="G130" s="321"/>
      <c r="H130" t="s">
        <v>28</v>
      </c>
      <c r="I130" t="s">
        <v>29</v>
      </c>
      <c r="J130">
        <v>1246121300</v>
      </c>
      <c r="K130" s="321">
        <v>45282</v>
      </c>
      <c r="L130">
        <v>3041000</v>
      </c>
      <c r="M130" t="s">
        <v>137</v>
      </c>
      <c r="N130">
        <v>845</v>
      </c>
      <c r="O130" s="32">
        <v>0</v>
      </c>
      <c r="P130" s="32">
        <v>2700</v>
      </c>
      <c r="Q130" s="32">
        <v>0</v>
      </c>
      <c r="R130" s="32">
        <v>0</v>
      </c>
      <c r="S130" s="32">
        <v>0</v>
      </c>
      <c r="T130" s="32">
        <v>0</v>
      </c>
      <c r="U130" s="32">
        <v>2700</v>
      </c>
      <c r="V130" s="32">
        <v>0</v>
      </c>
      <c r="W130" s="32">
        <v>81</v>
      </c>
      <c r="X130" s="32">
        <v>2619</v>
      </c>
      <c r="Y130" s="32">
        <v>2619</v>
      </c>
      <c r="Z130" s="32">
        <v>2700</v>
      </c>
      <c r="AA130" s="32">
        <v>0</v>
      </c>
      <c r="AB130" s="32">
        <v>2700</v>
      </c>
      <c r="AC130" s="32" t="s">
        <v>536</v>
      </c>
      <c r="AD130" s="32"/>
      <c r="AE130" s="32">
        <v>2700</v>
      </c>
    </row>
    <row r="131" spans="1:31" x14ac:dyDescent="0.25">
      <c r="A131">
        <v>1159</v>
      </c>
      <c r="B131" t="s">
        <v>419</v>
      </c>
      <c r="C131" t="s">
        <v>61</v>
      </c>
      <c r="D131" s="35">
        <v>1800</v>
      </c>
      <c r="E131">
        <v>1246121298</v>
      </c>
      <c r="F131" s="321">
        <v>45297</v>
      </c>
      <c r="G131" s="321"/>
      <c r="H131" t="s">
        <v>28</v>
      </c>
      <c r="I131" t="s">
        <v>29</v>
      </c>
      <c r="J131">
        <v>1246121298</v>
      </c>
      <c r="K131" s="321">
        <v>45282</v>
      </c>
      <c r="L131">
        <v>3041000</v>
      </c>
      <c r="M131" t="s">
        <v>137</v>
      </c>
      <c r="N131">
        <v>845</v>
      </c>
      <c r="O131" s="32">
        <v>0</v>
      </c>
      <c r="P131" s="32">
        <v>1800</v>
      </c>
      <c r="Q131" s="32">
        <v>0</v>
      </c>
      <c r="R131" s="32">
        <v>0</v>
      </c>
      <c r="S131" s="32">
        <v>0</v>
      </c>
      <c r="T131" s="32">
        <v>0</v>
      </c>
      <c r="U131" s="32">
        <v>1800</v>
      </c>
      <c r="V131" s="32">
        <v>0</v>
      </c>
      <c r="W131" s="32">
        <v>54</v>
      </c>
      <c r="X131" s="32">
        <v>1746</v>
      </c>
      <c r="Y131" s="32">
        <v>1746</v>
      </c>
      <c r="Z131" s="32">
        <v>1800</v>
      </c>
      <c r="AA131" s="32">
        <v>0</v>
      </c>
      <c r="AB131" s="32">
        <v>1800</v>
      </c>
      <c r="AC131" s="32" t="s">
        <v>536</v>
      </c>
      <c r="AD131" s="32"/>
      <c r="AE131" s="32">
        <v>1800</v>
      </c>
    </row>
    <row r="132" spans="1:31" x14ac:dyDescent="0.25">
      <c r="A132">
        <v>1159</v>
      </c>
      <c r="B132" t="s">
        <v>419</v>
      </c>
      <c r="C132" t="s">
        <v>61</v>
      </c>
      <c r="D132" s="35">
        <v>2700</v>
      </c>
      <c r="E132">
        <v>1246121302</v>
      </c>
      <c r="F132" s="321">
        <v>45297</v>
      </c>
      <c r="G132" s="321"/>
      <c r="H132" t="s">
        <v>28</v>
      </c>
      <c r="I132" t="s">
        <v>29</v>
      </c>
      <c r="J132">
        <v>1246121302</v>
      </c>
      <c r="K132" s="321">
        <v>45282</v>
      </c>
      <c r="L132">
        <v>3041000</v>
      </c>
      <c r="M132" t="s">
        <v>137</v>
      </c>
      <c r="N132">
        <v>845</v>
      </c>
      <c r="O132" s="32">
        <v>0</v>
      </c>
      <c r="P132" s="32">
        <v>2700</v>
      </c>
      <c r="Q132" s="32">
        <v>0</v>
      </c>
      <c r="R132" s="32">
        <v>0</v>
      </c>
      <c r="S132" s="32">
        <v>0</v>
      </c>
      <c r="T132" s="32">
        <v>0</v>
      </c>
      <c r="U132" s="32">
        <v>2700</v>
      </c>
      <c r="V132" s="32">
        <v>0</v>
      </c>
      <c r="W132" s="32">
        <v>81</v>
      </c>
      <c r="X132" s="32">
        <v>2619</v>
      </c>
      <c r="Y132" s="32">
        <v>2619</v>
      </c>
      <c r="Z132" s="32">
        <v>2700</v>
      </c>
      <c r="AA132" s="32">
        <v>0</v>
      </c>
      <c r="AB132" s="32">
        <v>2700</v>
      </c>
      <c r="AC132" s="32" t="s">
        <v>536</v>
      </c>
      <c r="AD132" s="32"/>
      <c r="AE132" s="32">
        <v>2700</v>
      </c>
    </row>
    <row r="133" spans="1:31" x14ac:dyDescent="0.25">
      <c r="A133">
        <v>1159</v>
      </c>
      <c r="B133" t="s">
        <v>419</v>
      </c>
      <c r="C133" t="s">
        <v>61</v>
      </c>
      <c r="D133" s="35">
        <v>1200</v>
      </c>
      <c r="E133">
        <v>1246121295</v>
      </c>
      <c r="F133" s="321">
        <v>45297</v>
      </c>
      <c r="G133" s="321"/>
      <c r="H133" t="s">
        <v>28</v>
      </c>
      <c r="I133" t="s">
        <v>29</v>
      </c>
      <c r="J133">
        <v>1246121295</v>
      </c>
      <c r="K133" s="321">
        <v>45282</v>
      </c>
      <c r="L133">
        <v>3041000</v>
      </c>
      <c r="M133" t="s">
        <v>137</v>
      </c>
      <c r="N133">
        <v>845</v>
      </c>
      <c r="O133" s="32">
        <v>0</v>
      </c>
      <c r="P133" s="32">
        <v>1200</v>
      </c>
      <c r="Q133" s="32">
        <v>0</v>
      </c>
      <c r="R133" s="32">
        <v>0</v>
      </c>
      <c r="S133" s="32">
        <v>0</v>
      </c>
      <c r="T133" s="32">
        <v>0</v>
      </c>
      <c r="U133" s="32">
        <v>1200</v>
      </c>
      <c r="V133" s="32">
        <v>0</v>
      </c>
      <c r="W133" s="32">
        <v>36</v>
      </c>
      <c r="X133" s="32">
        <v>1164</v>
      </c>
      <c r="Y133" s="32">
        <v>1164</v>
      </c>
      <c r="Z133" s="32">
        <v>1200</v>
      </c>
      <c r="AA133" s="32">
        <v>0</v>
      </c>
      <c r="AB133" s="32">
        <v>1200</v>
      </c>
      <c r="AC133" s="32" t="s">
        <v>536</v>
      </c>
      <c r="AD133" s="32"/>
      <c r="AE133" s="32">
        <v>1200</v>
      </c>
    </row>
    <row r="134" spans="1:31" x14ac:dyDescent="0.25">
      <c r="A134">
        <v>1159</v>
      </c>
      <c r="B134" t="s">
        <v>419</v>
      </c>
      <c r="C134" t="s">
        <v>61</v>
      </c>
      <c r="D134" s="35">
        <v>2700</v>
      </c>
      <c r="E134">
        <v>1246121297</v>
      </c>
      <c r="F134" s="321">
        <v>45297</v>
      </c>
      <c r="G134" s="321"/>
      <c r="H134" t="s">
        <v>28</v>
      </c>
      <c r="I134" t="s">
        <v>29</v>
      </c>
      <c r="J134">
        <v>1246121297</v>
      </c>
      <c r="K134" s="321">
        <v>45282</v>
      </c>
      <c r="L134">
        <v>3041000</v>
      </c>
      <c r="M134" t="s">
        <v>137</v>
      </c>
      <c r="N134">
        <v>845</v>
      </c>
      <c r="O134" s="32">
        <v>0</v>
      </c>
      <c r="P134" s="32">
        <v>2700</v>
      </c>
      <c r="Q134" s="32">
        <v>0</v>
      </c>
      <c r="R134" s="32">
        <v>0</v>
      </c>
      <c r="S134" s="32">
        <v>0</v>
      </c>
      <c r="T134" s="32">
        <v>0</v>
      </c>
      <c r="U134" s="32">
        <v>2700</v>
      </c>
      <c r="V134" s="32">
        <v>0</v>
      </c>
      <c r="W134" s="32">
        <v>81</v>
      </c>
      <c r="X134" s="32">
        <v>2619</v>
      </c>
      <c r="Y134" s="32">
        <v>2619</v>
      </c>
      <c r="Z134" s="32">
        <v>2700</v>
      </c>
      <c r="AA134" s="32">
        <v>0</v>
      </c>
      <c r="AB134" s="32">
        <v>2700</v>
      </c>
      <c r="AC134" s="32" t="s">
        <v>536</v>
      </c>
      <c r="AD134" s="32"/>
      <c r="AE134" s="32">
        <v>2700</v>
      </c>
    </row>
    <row r="135" spans="1:31" x14ac:dyDescent="0.25">
      <c r="A135">
        <v>1159</v>
      </c>
      <c r="B135" t="s">
        <v>419</v>
      </c>
      <c r="C135" t="s">
        <v>61</v>
      </c>
      <c r="D135" s="35">
        <v>6300</v>
      </c>
      <c r="E135">
        <v>1246121299</v>
      </c>
      <c r="F135" s="321">
        <v>45297</v>
      </c>
      <c r="G135" s="321"/>
      <c r="H135" t="s">
        <v>28</v>
      </c>
      <c r="I135" t="s">
        <v>29</v>
      </c>
      <c r="J135">
        <v>1246121299</v>
      </c>
      <c r="K135" s="321">
        <v>45282</v>
      </c>
      <c r="L135">
        <v>3041000</v>
      </c>
      <c r="M135" t="s">
        <v>137</v>
      </c>
      <c r="N135">
        <v>845</v>
      </c>
      <c r="O135" s="32">
        <v>0</v>
      </c>
      <c r="P135" s="32">
        <v>6300</v>
      </c>
      <c r="Q135" s="32">
        <v>0</v>
      </c>
      <c r="R135" s="32">
        <v>0</v>
      </c>
      <c r="S135" s="32">
        <v>0</v>
      </c>
      <c r="T135" s="32">
        <v>0</v>
      </c>
      <c r="U135" s="32">
        <v>6300</v>
      </c>
      <c r="V135" s="32">
        <v>0</v>
      </c>
      <c r="W135" s="32">
        <v>189</v>
      </c>
      <c r="X135" s="32">
        <v>6111</v>
      </c>
      <c r="Y135" s="32">
        <v>6111</v>
      </c>
      <c r="Z135" s="32">
        <v>6300</v>
      </c>
      <c r="AA135" s="32">
        <v>0</v>
      </c>
      <c r="AB135" s="32">
        <v>6300</v>
      </c>
      <c r="AC135" s="32" t="s">
        <v>536</v>
      </c>
      <c r="AD135" s="32"/>
      <c r="AE135" s="32">
        <v>6300</v>
      </c>
    </row>
    <row r="136" spans="1:31" x14ac:dyDescent="0.25">
      <c r="A136">
        <v>1159</v>
      </c>
      <c r="B136" t="s">
        <v>419</v>
      </c>
      <c r="C136" t="s">
        <v>61</v>
      </c>
      <c r="D136" s="35">
        <v>3600</v>
      </c>
      <c r="E136">
        <v>1246121296</v>
      </c>
      <c r="F136" s="321">
        <v>45297</v>
      </c>
      <c r="G136" s="321"/>
      <c r="H136" t="s">
        <v>28</v>
      </c>
      <c r="I136" t="s">
        <v>29</v>
      </c>
      <c r="J136">
        <v>1246121296</v>
      </c>
      <c r="K136" s="321">
        <v>45282</v>
      </c>
      <c r="L136">
        <v>3041000</v>
      </c>
      <c r="M136" t="s">
        <v>137</v>
      </c>
      <c r="N136">
        <v>845</v>
      </c>
      <c r="O136" s="32">
        <v>0</v>
      </c>
      <c r="P136" s="32">
        <v>3600</v>
      </c>
      <c r="Q136" s="32">
        <v>0</v>
      </c>
      <c r="R136" s="32">
        <v>0</v>
      </c>
      <c r="S136" s="32">
        <v>0</v>
      </c>
      <c r="T136" s="32">
        <v>0</v>
      </c>
      <c r="U136" s="32">
        <v>3600</v>
      </c>
      <c r="V136" s="32">
        <v>0</v>
      </c>
      <c r="W136" s="32">
        <v>108</v>
      </c>
      <c r="X136" s="32">
        <v>3492</v>
      </c>
      <c r="Y136" s="32">
        <v>3492</v>
      </c>
      <c r="Z136" s="32">
        <v>3600</v>
      </c>
      <c r="AA136" s="32">
        <v>0</v>
      </c>
      <c r="AB136" s="32">
        <v>3600</v>
      </c>
      <c r="AC136" s="32" t="s">
        <v>536</v>
      </c>
      <c r="AD136" s="32"/>
      <c r="AE136" s="32">
        <v>3600</v>
      </c>
    </row>
    <row r="137" spans="1:31" x14ac:dyDescent="0.25">
      <c r="A137">
        <v>1159</v>
      </c>
      <c r="B137" t="s">
        <v>419</v>
      </c>
      <c r="C137" t="s">
        <v>61</v>
      </c>
      <c r="D137" s="35">
        <v>1200</v>
      </c>
      <c r="E137">
        <v>1246135390</v>
      </c>
      <c r="F137" s="321">
        <v>45388</v>
      </c>
      <c r="G137" s="321"/>
      <c r="H137" t="s">
        <v>28</v>
      </c>
      <c r="I137" t="s">
        <v>29</v>
      </c>
      <c r="J137">
        <v>1246135390</v>
      </c>
      <c r="K137" s="321">
        <v>45373</v>
      </c>
      <c r="L137">
        <v>3041000</v>
      </c>
      <c r="M137" t="s">
        <v>137</v>
      </c>
      <c r="N137">
        <v>754</v>
      </c>
      <c r="O137" s="32">
        <v>0</v>
      </c>
      <c r="P137" s="32">
        <v>1200</v>
      </c>
      <c r="Q137" s="32">
        <v>0</v>
      </c>
      <c r="R137" s="32">
        <v>0</v>
      </c>
      <c r="S137" s="32">
        <v>0</v>
      </c>
      <c r="T137" s="32">
        <v>0</v>
      </c>
      <c r="U137" s="32">
        <v>1200</v>
      </c>
      <c r="V137" s="32">
        <v>0</v>
      </c>
      <c r="W137" s="32">
        <v>36</v>
      </c>
      <c r="X137" s="32">
        <v>1164</v>
      </c>
      <c r="Y137" s="32">
        <v>1164</v>
      </c>
      <c r="Z137" s="32">
        <v>1200</v>
      </c>
      <c r="AA137" s="32">
        <v>0</v>
      </c>
      <c r="AB137" s="32">
        <v>1200</v>
      </c>
      <c r="AC137" s="32" t="s">
        <v>536</v>
      </c>
      <c r="AD137" s="32"/>
      <c r="AE137" s="32">
        <v>1200</v>
      </c>
    </row>
    <row r="138" spans="1:31" x14ac:dyDescent="0.25">
      <c r="A138">
        <v>1159</v>
      </c>
      <c r="B138" t="s">
        <v>419</v>
      </c>
      <c r="C138" t="s">
        <v>61</v>
      </c>
      <c r="D138" s="35">
        <v>1458</v>
      </c>
      <c r="E138">
        <v>1246148463</v>
      </c>
      <c r="F138" s="321">
        <v>45443</v>
      </c>
      <c r="G138" s="321"/>
      <c r="H138" t="s">
        <v>28</v>
      </c>
      <c r="I138" t="s">
        <v>29</v>
      </c>
      <c r="J138">
        <v>3446</v>
      </c>
      <c r="K138" s="321">
        <v>45415</v>
      </c>
      <c r="L138">
        <v>1010100</v>
      </c>
      <c r="M138" t="s">
        <v>35</v>
      </c>
      <c r="N138">
        <v>699</v>
      </c>
      <c r="O138" s="32">
        <v>0</v>
      </c>
      <c r="P138" s="32">
        <v>1458</v>
      </c>
      <c r="Q138" s="32">
        <v>0</v>
      </c>
      <c r="R138" s="32">
        <v>0</v>
      </c>
      <c r="S138" s="32">
        <v>0</v>
      </c>
      <c r="T138" s="32">
        <v>0</v>
      </c>
      <c r="U138" s="32">
        <v>1458</v>
      </c>
      <c r="V138" s="32">
        <v>0</v>
      </c>
      <c r="W138" s="32">
        <v>43.739999999999995</v>
      </c>
      <c r="X138" s="32">
        <v>1414.26</v>
      </c>
      <c r="Y138" s="32">
        <v>1414.26</v>
      </c>
      <c r="Z138" s="32">
        <v>1458</v>
      </c>
      <c r="AA138" s="32">
        <v>0</v>
      </c>
      <c r="AB138" s="32">
        <v>1458</v>
      </c>
      <c r="AC138" s="32" t="s">
        <v>536</v>
      </c>
      <c r="AD138" s="32"/>
      <c r="AE138" s="32">
        <v>1458</v>
      </c>
    </row>
    <row r="139" spans="1:31" x14ac:dyDescent="0.25">
      <c r="A139">
        <v>1159</v>
      </c>
      <c r="B139" t="s">
        <v>419</v>
      </c>
      <c r="C139" t="s">
        <v>61</v>
      </c>
      <c r="D139" s="35">
        <v>2400</v>
      </c>
      <c r="E139">
        <v>1246135388</v>
      </c>
      <c r="F139" s="321">
        <v>45388</v>
      </c>
      <c r="G139" s="321"/>
      <c r="H139" t="s">
        <v>28</v>
      </c>
      <c r="I139" t="s">
        <v>29</v>
      </c>
      <c r="J139">
        <v>1246135388</v>
      </c>
      <c r="K139" s="321">
        <v>45373</v>
      </c>
      <c r="L139">
        <v>3041000</v>
      </c>
      <c r="M139" t="s">
        <v>137</v>
      </c>
      <c r="N139">
        <v>754</v>
      </c>
      <c r="O139" s="32">
        <v>0</v>
      </c>
      <c r="P139" s="32">
        <v>2400</v>
      </c>
      <c r="Q139" s="32">
        <v>0</v>
      </c>
      <c r="R139" s="32">
        <v>0</v>
      </c>
      <c r="S139" s="32">
        <v>0</v>
      </c>
      <c r="T139" s="32">
        <v>0</v>
      </c>
      <c r="U139" s="32">
        <v>2400</v>
      </c>
      <c r="V139" s="32">
        <v>0</v>
      </c>
      <c r="W139" s="32">
        <v>72</v>
      </c>
      <c r="X139" s="32">
        <v>2328</v>
      </c>
      <c r="Y139" s="32">
        <v>2328</v>
      </c>
      <c r="Z139" s="32">
        <v>2400</v>
      </c>
      <c r="AA139" s="32">
        <v>0</v>
      </c>
      <c r="AB139" s="32">
        <v>2400</v>
      </c>
      <c r="AC139" s="32" t="s">
        <v>536</v>
      </c>
      <c r="AD139" s="32"/>
      <c r="AE139" s="32">
        <v>2400</v>
      </c>
    </row>
    <row r="140" spans="1:31" x14ac:dyDescent="0.25">
      <c r="A140">
        <v>1159</v>
      </c>
      <c r="B140" t="s">
        <v>419</v>
      </c>
      <c r="C140" t="s">
        <v>61</v>
      </c>
      <c r="D140" s="35">
        <v>1200</v>
      </c>
      <c r="E140">
        <v>1246135385</v>
      </c>
      <c r="F140" s="321">
        <v>45388</v>
      </c>
      <c r="G140" s="321"/>
      <c r="H140" t="s">
        <v>28</v>
      </c>
      <c r="I140" t="s">
        <v>29</v>
      </c>
      <c r="J140">
        <v>1246135385</v>
      </c>
      <c r="K140" s="321">
        <v>45373</v>
      </c>
      <c r="L140">
        <v>3041000</v>
      </c>
      <c r="M140" t="s">
        <v>137</v>
      </c>
      <c r="N140">
        <v>754</v>
      </c>
      <c r="O140" s="32">
        <v>0</v>
      </c>
      <c r="P140" s="32">
        <v>1200</v>
      </c>
      <c r="Q140" s="32">
        <v>0</v>
      </c>
      <c r="R140" s="32">
        <v>0</v>
      </c>
      <c r="S140" s="32">
        <v>0</v>
      </c>
      <c r="T140" s="32">
        <v>0</v>
      </c>
      <c r="U140" s="32">
        <v>1200</v>
      </c>
      <c r="V140" s="32">
        <v>0</v>
      </c>
      <c r="W140" s="32">
        <v>36</v>
      </c>
      <c r="X140" s="32">
        <v>1164</v>
      </c>
      <c r="Y140" s="32">
        <v>1164</v>
      </c>
      <c r="Z140" s="32">
        <v>1200</v>
      </c>
      <c r="AA140" s="32">
        <v>0</v>
      </c>
      <c r="AB140" s="32">
        <v>1200</v>
      </c>
      <c r="AC140" s="32" t="s">
        <v>536</v>
      </c>
      <c r="AD140" s="32"/>
      <c r="AE140" s="32">
        <v>1200</v>
      </c>
    </row>
    <row r="141" spans="1:31" x14ac:dyDescent="0.25">
      <c r="A141">
        <v>1159</v>
      </c>
      <c r="B141" t="s">
        <v>419</v>
      </c>
      <c r="C141" t="s">
        <v>61</v>
      </c>
      <c r="D141" s="35">
        <v>3600</v>
      </c>
      <c r="E141">
        <v>1246135391</v>
      </c>
      <c r="F141" s="321">
        <v>45388</v>
      </c>
      <c r="G141" s="321"/>
      <c r="H141" t="s">
        <v>28</v>
      </c>
      <c r="I141" t="s">
        <v>29</v>
      </c>
      <c r="J141">
        <v>1246135391</v>
      </c>
      <c r="K141" s="321">
        <v>45373</v>
      </c>
      <c r="L141">
        <v>3041000</v>
      </c>
      <c r="M141" t="s">
        <v>137</v>
      </c>
      <c r="N141">
        <v>754</v>
      </c>
      <c r="O141" s="32">
        <v>0</v>
      </c>
      <c r="P141" s="32">
        <v>3600</v>
      </c>
      <c r="Q141" s="32">
        <v>0</v>
      </c>
      <c r="R141" s="32">
        <v>0</v>
      </c>
      <c r="S141" s="32">
        <v>0</v>
      </c>
      <c r="T141" s="32">
        <v>0</v>
      </c>
      <c r="U141" s="32">
        <v>3600</v>
      </c>
      <c r="V141" s="32">
        <v>0</v>
      </c>
      <c r="W141" s="32">
        <v>108</v>
      </c>
      <c r="X141" s="32">
        <v>3492</v>
      </c>
      <c r="Y141" s="32">
        <v>3492</v>
      </c>
      <c r="Z141" s="32">
        <v>3600</v>
      </c>
      <c r="AA141" s="32">
        <v>0</v>
      </c>
      <c r="AB141" s="32">
        <v>3600</v>
      </c>
      <c r="AC141" s="32" t="s">
        <v>536</v>
      </c>
      <c r="AD141" s="32"/>
      <c r="AE141" s="32">
        <v>3600</v>
      </c>
    </row>
    <row r="142" spans="1:31" x14ac:dyDescent="0.25">
      <c r="A142">
        <v>1159</v>
      </c>
      <c r="B142" t="s">
        <v>419</v>
      </c>
      <c r="C142" t="s">
        <v>61</v>
      </c>
      <c r="D142" s="35">
        <v>2400</v>
      </c>
      <c r="E142">
        <v>1246135382</v>
      </c>
      <c r="F142" s="321">
        <v>45388</v>
      </c>
      <c r="G142" s="321"/>
      <c r="H142" t="s">
        <v>28</v>
      </c>
      <c r="I142" t="s">
        <v>29</v>
      </c>
      <c r="J142">
        <v>1246135382</v>
      </c>
      <c r="K142" s="321">
        <v>45373</v>
      </c>
      <c r="L142">
        <v>3041000</v>
      </c>
      <c r="M142" t="s">
        <v>137</v>
      </c>
      <c r="N142">
        <v>754</v>
      </c>
      <c r="O142" s="32">
        <v>0</v>
      </c>
      <c r="P142" s="32">
        <v>2400</v>
      </c>
      <c r="Q142" s="32">
        <v>0</v>
      </c>
      <c r="R142" s="32">
        <v>0</v>
      </c>
      <c r="S142" s="32">
        <v>0</v>
      </c>
      <c r="T142" s="32">
        <v>0</v>
      </c>
      <c r="U142" s="32">
        <v>2400</v>
      </c>
      <c r="V142" s="32">
        <v>0</v>
      </c>
      <c r="W142" s="32">
        <v>72</v>
      </c>
      <c r="X142" s="32">
        <v>2328</v>
      </c>
      <c r="Y142" s="32">
        <v>2328</v>
      </c>
      <c r="Z142" s="32">
        <v>2400</v>
      </c>
      <c r="AA142" s="32">
        <v>0</v>
      </c>
      <c r="AB142" s="32">
        <v>2400</v>
      </c>
      <c r="AC142" s="32" t="s">
        <v>536</v>
      </c>
      <c r="AD142" s="32"/>
      <c r="AE142" s="32">
        <v>2400</v>
      </c>
    </row>
    <row r="143" spans="1:31" x14ac:dyDescent="0.25">
      <c r="A143">
        <v>1159</v>
      </c>
      <c r="B143" t="s">
        <v>419</v>
      </c>
      <c r="C143" t="s">
        <v>61</v>
      </c>
      <c r="D143" s="35">
        <v>3600</v>
      </c>
      <c r="E143">
        <v>1246173258</v>
      </c>
      <c r="F143" s="321">
        <v>45575</v>
      </c>
      <c r="G143" s="321"/>
      <c r="H143" t="s">
        <v>28</v>
      </c>
      <c r="I143" t="s">
        <v>29</v>
      </c>
      <c r="J143">
        <v>1246173258</v>
      </c>
      <c r="K143" s="321">
        <v>45560</v>
      </c>
      <c r="L143">
        <v>3041000</v>
      </c>
      <c r="M143" t="s">
        <v>137</v>
      </c>
      <c r="N143">
        <v>567</v>
      </c>
      <c r="O143" s="32">
        <v>0</v>
      </c>
      <c r="P143" s="32">
        <v>3600</v>
      </c>
      <c r="Q143" s="32">
        <v>0</v>
      </c>
      <c r="R143" s="32">
        <v>0</v>
      </c>
      <c r="S143" s="32">
        <v>0</v>
      </c>
      <c r="T143" s="32">
        <v>0</v>
      </c>
      <c r="U143" s="32">
        <v>3600</v>
      </c>
      <c r="V143" s="32">
        <v>0</v>
      </c>
      <c r="W143" s="32">
        <v>108</v>
      </c>
      <c r="X143" s="32">
        <v>3492</v>
      </c>
      <c r="Y143" s="32">
        <v>3492</v>
      </c>
      <c r="Z143" s="32">
        <v>3600</v>
      </c>
      <c r="AA143" s="32">
        <v>0</v>
      </c>
      <c r="AB143" s="32">
        <v>3600</v>
      </c>
      <c r="AC143" s="32" t="s">
        <v>536</v>
      </c>
      <c r="AD143" s="32"/>
      <c r="AE143" s="32">
        <v>3600</v>
      </c>
    </row>
    <row r="144" spans="1:31" x14ac:dyDescent="0.25">
      <c r="A144">
        <v>1159</v>
      </c>
      <c r="B144" t="s">
        <v>419</v>
      </c>
      <c r="C144" t="s">
        <v>61</v>
      </c>
      <c r="D144" s="35">
        <v>1200</v>
      </c>
      <c r="E144">
        <v>1246173256</v>
      </c>
      <c r="F144" s="321">
        <v>45575</v>
      </c>
      <c r="G144" s="321"/>
      <c r="H144" t="s">
        <v>28</v>
      </c>
      <c r="I144" t="s">
        <v>29</v>
      </c>
      <c r="J144">
        <v>1246173256</v>
      </c>
      <c r="K144" s="321">
        <v>45560</v>
      </c>
      <c r="L144">
        <v>3041000</v>
      </c>
      <c r="M144" t="s">
        <v>137</v>
      </c>
      <c r="N144">
        <v>567</v>
      </c>
      <c r="O144" s="32">
        <v>0</v>
      </c>
      <c r="P144" s="32">
        <v>1200</v>
      </c>
      <c r="Q144" s="32">
        <v>0</v>
      </c>
      <c r="R144" s="32">
        <v>0</v>
      </c>
      <c r="S144" s="32">
        <v>0</v>
      </c>
      <c r="T144" s="32">
        <v>0</v>
      </c>
      <c r="U144" s="32">
        <v>1200</v>
      </c>
      <c r="V144" s="32">
        <v>0</v>
      </c>
      <c r="W144" s="32">
        <v>36</v>
      </c>
      <c r="X144" s="32">
        <v>1164</v>
      </c>
      <c r="Y144" s="32">
        <v>1164</v>
      </c>
      <c r="Z144" s="32">
        <v>1200</v>
      </c>
      <c r="AA144" s="32">
        <v>0</v>
      </c>
      <c r="AB144" s="32">
        <v>1200</v>
      </c>
      <c r="AC144" s="32" t="s">
        <v>536</v>
      </c>
      <c r="AD144" s="32"/>
      <c r="AE144" s="32">
        <v>1200</v>
      </c>
    </row>
    <row r="145" spans="1:31" x14ac:dyDescent="0.25">
      <c r="A145">
        <v>1159</v>
      </c>
      <c r="B145" t="s">
        <v>419</v>
      </c>
      <c r="C145" t="s">
        <v>61</v>
      </c>
      <c r="D145" s="35">
        <v>2400</v>
      </c>
      <c r="E145">
        <v>1246173253</v>
      </c>
      <c r="F145" s="321">
        <v>45575</v>
      </c>
      <c r="G145" s="321"/>
      <c r="H145" t="s">
        <v>28</v>
      </c>
      <c r="I145" t="s">
        <v>29</v>
      </c>
      <c r="J145">
        <v>1246173253</v>
      </c>
      <c r="K145" s="321">
        <v>45560</v>
      </c>
      <c r="L145">
        <v>3041000</v>
      </c>
      <c r="M145" t="s">
        <v>137</v>
      </c>
      <c r="N145">
        <v>567</v>
      </c>
      <c r="O145" s="32">
        <v>0</v>
      </c>
      <c r="P145" s="32">
        <v>2400</v>
      </c>
      <c r="Q145" s="32">
        <v>0</v>
      </c>
      <c r="R145" s="32">
        <v>0</v>
      </c>
      <c r="S145" s="32">
        <v>0</v>
      </c>
      <c r="T145" s="32">
        <v>0</v>
      </c>
      <c r="U145" s="32">
        <v>2400</v>
      </c>
      <c r="V145" s="32">
        <v>0</v>
      </c>
      <c r="W145" s="32">
        <v>72</v>
      </c>
      <c r="X145" s="32">
        <v>2328</v>
      </c>
      <c r="Y145" s="32">
        <v>2328</v>
      </c>
      <c r="Z145" s="32">
        <v>2400</v>
      </c>
      <c r="AA145" s="32">
        <v>0</v>
      </c>
      <c r="AB145" s="32">
        <v>2400</v>
      </c>
      <c r="AC145" s="32" t="s">
        <v>536</v>
      </c>
      <c r="AD145" s="32"/>
      <c r="AE145" s="32">
        <v>2400</v>
      </c>
    </row>
    <row r="146" spans="1:31" x14ac:dyDescent="0.25">
      <c r="A146">
        <v>1159</v>
      </c>
      <c r="B146" t="s">
        <v>419</v>
      </c>
      <c r="C146" t="s">
        <v>61</v>
      </c>
      <c r="D146" s="35">
        <v>1200</v>
      </c>
      <c r="E146">
        <v>1246173257</v>
      </c>
      <c r="F146" s="321">
        <v>45575</v>
      </c>
      <c r="G146" s="321"/>
      <c r="H146" t="s">
        <v>28</v>
      </c>
      <c r="I146" t="s">
        <v>29</v>
      </c>
      <c r="J146">
        <v>1246173257</v>
      </c>
      <c r="K146" s="321">
        <v>45560</v>
      </c>
      <c r="L146">
        <v>3041000</v>
      </c>
      <c r="M146" t="s">
        <v>137</v>
      </c>
      <c r="N146">
        <v>567</v>
      </c>
      <c r="O146" s="32">
        <v>0</v>
      </c>
      <c r="P146" s="32">
        <v>1200</v>
      </c>
      <c r="Q146" s="32">
        <v>0</v>
      </c>
      <c r="R146" s="32">
        <v>0</v>
      </c>
      <c r="S146" s="32">
        <v>0</v>
      </c>
      <c r="T146" s="32">
        <v>0</v>
      </c>
      <c r="U146" s="32">
        <v>1200</v>
      </c>
      <c r="V146" s="32">
        <v>0</v>
      </c>
      <c r="W146" s="32">
        <v>36</v>
      </c>
      <c r="X146" s="32">
        <v>1164</v>
      </c>
      <c r="Y146" s="32">
        <v>1164</v>
      </c>
      <c r="Z146" s="32">
        <v>1200</v>
      </c>
      <c r="AA146" s="32">
        <v>0</v>
      </c>
      <c r="AB146" s="32">
        <v>1200</v>
      </c>
      <c r="AC146" s="32" t="s">
        <v>536</v>
      </c>
      <c r="AD146" s="32"/>
      <c r="AE146" s="32">
        <v>1200</v>
      </c>
    </row>
    <row r="147" spans="1:31" x14ac:dyDescent="0.25">
      <c r="A147">
        <v>1159</v>
      </c>
      <c r="B147" t="s">
        <v>419</v>
      </c>
      <c r="C147" t="s">
        <v>61</v>
      </c>
      <c r="D147" s="35">
        <v>274909.24</v>
      </c>
      <c r="E147">
        <v>1246271894</v>
      </c>
      <c r="F147" s="321">
        <v>46172</v>
      </c>
      <c r="G147" s="321"/>
      <c r="H147" t="s">
        <v>28</v>
      </c>
      <c r="I147" t="s">
        <v>29</v>
      </c>
      <c r="J147">
        <v>11179</v>
      </c>
      <c r="K147" s="321">
        <v>46132</v>
      </c>
      <c r="L147">
        <v>1010100</v>
      </c>
      <c r="M147" t="s">
        <v>35</v>
      </c>
      <c r="N147">
        <v>-30</v>
      </c>
      <c r="O147" s="32">
        <v>0</v>
      </c>
      <c r="P147" s="32">
        <v>0</v>
      </c>
      <c r="Q147" s="32">
        <v>274909.24</v>
      </c>
      <c r="R147" s="32">
        <v>0</v>
      </c>
      <c r="S147" s="32">
        <v>0</v>
      </c>
      <c r="T147" s="32">
        <v>0</v>
      </c>
      <c r="U147" s="32">
        <v>0</v>
      </c>
      <c r="V147" s="32">
        <v>0</v>
      </c>
      <c r="W147" s="32">
        <v>0</v>
      </c>
      <c r="X147" s="32">
        <v>0</v>
      </c>
      <c r="Y147" s="32">
        <v>0</v>
      </c>
      <c r="Z147" s="32">
        <v>0</v>
      </c>
      <c r="AA147" s="32">
        <v>0</v>
      </c>
      <c r="AB147" s="32">
        <v>0</v>
      </c>
      <c r="AC147" s="32" t="s">
        <v>536</v>
      </c>
      <c r="AD147" s="32"/>
      <c r="AE147" s="32">
        <v>0</v>
      </c>
    </row>
    <row r="148" spans="1:31" x14ac:dyDescent="0.25">
      <c r="A148">
        <v>1159</v>
      </c>
      <c r="B148" t="s">
        <v>419</v>
      </c>
      <c r="C148" t="s">
        <v>61</v>
      </c>
      <c r="D148" s="35">
        <v>271741.03999999998</v>
      </c>
      <c r="E148">
        <v>1246269608</v>
      </c>
      <c r="F148" s="321">
        <v>46151</v>
      </c>
      <c r="G148" s="321"/>
      <c r="H148" t="s">
        <v>28</v>
      </c>
      <c r="I148" t="s">
        <v>29</v>
      </c>
      <c r="J148">
        <v>11006</v>
      </c>
      <c r="K148" s="321">
        <v>46111</v>
      </c>
      <c r="L148">
        <v>1010100</v>
      </c>
      <c r="M148" t="s">
        <v>35</v>
      </c>
      <c r="N148">
        <v>-9</v>
      </c>
      <c r="O148" s="32">
        <v>0</v>
      </c>
      <c r="P148" s="32">
        <v>0</v>
      </c>
      <c r="Q148" s="32">
        <v>271741.03999999998</v>
      </c>
      <c r="R148" s="32">
        <v>0</v>
      </c>
      <c r="S148" s="32">
        <v>0</v>
      </c>
      <c r="T148" s="32">
        <v>0</v>
      </c>
      <c r="U148" s="32">
        <v>0</v>
      </c>
      <c r="V148" s="32">
        <v>0</v>
      </c>
      <c r="W148" s="32">
        <v>0</v>
      </c>
      <c r="X148" s="32">
        <v>0</v>
      </c>
      <c r="Y148" s="32">
        <v>0</v>
      </c>
      <c r="Z148" s="32">
        <v>0</v>
      </c>
      <c r="AA148" s="32">
        <v>0</v>
      </c>
      <c r="AB148" s="32">
        <v>0</v>
      </c>
      <c r="AC148" s="32" t="s">
        <v>536</v>
      </c>
      <c r="AD148" s="32"/>
      <c r="AE148" s="32">
        <v>0</v>
      </c>
    </row>
    <row r="149" spans="1:31" x14ac:dyDescent="0.25">
      <c r="A149">
        <v>1159</v>
      </c>
      <c r="B149" t="s">
        <v>419</v>
      </c>
      <c r="C149" t="s">
        <v>61</v>
      </c>
      <c r="D149" s="35">
        <v>272193.64</v>
      </c>
      <c r="E149">
        <v>1246269418</v>
      </c>
      <c r="F149" s="321">
        <v>46148</v>
      </c>
      <c r="G149" s="321"/>
      <c r="H149" t="s">
        <v>28</v>
      </c>
      <c r="I149" t="s">
        <v>29</v>
      </c>
      <c r="J149">
        <v>10988</v>
      </c>
      <c r="K149" s="321">
        <v>46108</v>
      </c>
      <c r="L149">
        <v>1010100</v>
      </c>
      <c r="M149" t="s">
        <v>35</v>
      </c>
      <c r="N149">
        <v>-6</v>
      </c>
      <c r="O149" s="32">
        <v>0</v>
      </c>
      <c r="P149" s="32">
        <v>0</v>
      </c>
      <c r="Q149" s="32">
        <v>272193.64</v>
      </c>
      <c r="R149" s="32">
        <v>0</v>
      </c>
      <c r="S149" s="32">
        <v>0</v>
      </c>
      <c r="T149" s="32">
        <v>0</v>
      </c>
      <c r="U149" s="32">
        <v>0</v>
      </c>
      <c r="V149" s="32">
        <v>0</v>
      </c>
      <c r="W149" s="32">
        <v>0</v>
      </c>
      <c r="X149" s="32">
        <v>0</v>
      </c>
      <c r="Y149" s="32">
        <v>0</v>
      </c>
      <c r="Z149" s="32">
        <v>0</v>
      </c>
      <c r="AA149" s="32">
        <v>0</v>
      </c>
      <c r="AB149" s="32">
        <v>0</v>
      </c>
      <c r="AC149" s="32" t="s">
        <v>536</v>
      </c>
      <c r="AD149" s="32"/>
      <c r="AE149" s="32">
        <v>0</v>
      </c>
    </row>
    <row r="150" spans="1:31" x14ac:dyDescent="0.25">
      <c r="A150">
        <v>1159</v>
      </c>
      <c r="B150" t="s">
        <v>419</v>
      </c>
      <c r="C150" t="s">
        <v>61</v>
      </c>
      <c r="D150" s="35">
        <v>271469.48</v>
      </c>
      <c r="E150">
        <v>1246270981</v>
      </c>
      <c r="F150" s="321">
        <v>46162</v>
      </c>
      <c r="G150" s="321"/>
      <c r="H150" t="s">
        <v>28</v>
      </c>
      <c r="I150" t="s">
        <v>29</v>
      </c>
      <c r="J150">
        <v>11089</v>
      </c>
      <c r="K150" s="321">
        <v>46122</v>
      </c>
      <c r="L150">
        <v>1010100</v>
      </c>
      <c r="M150" t="s">
        <v>35</v>
      </c>
      <c r="N150">
        <v>-20</v>
      </c>
      <c r="O150" s="32">
        <v>0</v>
      </c>
      <c r="P150" s="32">
        <v>0</v>
      </c>
      <c r="Q150" s="32">
        <v>271469.48</v>
      </c>
      <c r="R150" s="32">
        <v>0</v>
      </c>
      <c r="S150" s="32">
        <v>0</v>
      </c>
      <c r="T150" s="32">
        <v>0</v>
      </c>
      <c r="U150" s="32">
        <v>0</v>
      </c>
      <c r="V150" s="32">
        <v>0</v>
      </c>
      <c r="W150" s="32">
        <v>0</v>
      </c>
      <c r="X150" s="32">
        <v>0</v>
      </c>
      <c r="Y150" s="32">
        <v>0</v>
      </c>
      <c r="Z150" s="32">
        <v>0</v>
      </c>
      <c r="AA150" s="32">
        <v>0</v>
      </c>
      <c r="AB150" s="32">
        <v>0</v>
      </c>
      <c r="AC150" s="32" t="s">
        <v>536</v>
      </c>
      <c r="AD150" s="32"/>
      <c r="AE150" s="32">
        <v>0</v>
      </c>
    </row>
    <row r="151" spans="1:31" x14ac:dyDescent="0.25">
      <c r="A151">
        <v>1159</v>
      </c>
      <c r="B151" t="s">
        <v>419</v>
      </c>
      <c r="C151" t="s">
        <v>61</v>
      </c>
      <c r="D151" s="35">
        <v>271650.52</v>
      </c>
      <c r="E151">
        <v>1246270614</v>
      </c>
      <c r="F151" s="321">
        <v>46160</v>
      </c>
      <c r="G151" s="321"/>
      <c r="H151" t="s">
        <v>28</v>
      </c>
      <c r="I151" t="s">
        <v>29</v>
      </c>
      <c r="J151">
        <v>11070</v>
      </c>
      <c r="K151" s="321">
        <v>46120</v>
      </c>
      <c r="L151">
        <v>1010100</v>
      </c>
      <c r="M151" t="s">
        <v>35</v>
      </c>
      <c r="N151">
        <v>-18</v>
      </c>
      <c r="O151" s="32">
        <v>0</v>
      </c>
      <c r="P151" s="32">
        <v>0</v>
      </c>
      <c r="Q151" s="32">
        <v>271650.52</v>
      </c>
      <c r="R151" s="32">
        <v>0</v>
      </c>
      <c r="S151" s="32">
        <v>0</v>
      </c>
      <c r="T151" s="32">
        <v>0</v>
      </c>
      <c r="U151" s="32">
        <v>0</v>
      </c>
      <c r="V151" s="32">
        <v>0</v>
      </c>
      <c r="W151" s="32">
        <v>0</v>
      </c>
      <c r="X151" s="32">
        <v>0</v>
      </c>
      <c r="Y151" s="32">
        <v>0</v>
      </c>
      <c r="Z151" s="32">
        <v>0</v>
      </c>
      <c r="AA151" s="32">
        <v>0</v>
      </c>
      <c r="AB151" s="32">
        <v>0</v>
      </c>
      <c r="AC151" s="32" t="s">
        <v>536</v>
      </c>
      <c r="AD151" s="32"/>
      <c r="AE151" s="32">
        <v>0</v>
      </c>
    </row>
    <row r="152" spans="1:31" x14ac:dyDescent="0.25">
      <c r="A152">
        <v>1159</v>
      </c>
      <c r="B152" t="s">
        <v>419</v>
      </c>
      <c r="C152" t="s">
        <v>61</v>
      </c>
      <c r="D152" s="35">
        <v>271831.56</v>
      </c>
      <c r="E152">
        <v>1246269882</v>
      </c>
      <c r="F152" s="321">
        <v>46153</v>
      </c>
      <c r="G152" s="321"/>
      <c r="H152" t="s">
        <v>28</v>
      </c>
      <c r="I152" t="s">
        <v>29</v>
      </c>
      <c r="J152">
        <v>11024</v>
      </c>
      <c r="K152" s="321">
        <v>46113</v>
      </c>
      <c r="L152">
        <v>1010100</v>
      </c>
      <c r="M152" t="s">
        <v>35</v>
      </c>
      <c r="N152">
        <v>-11</v>
      </c>
      <c r="O152" s="32">
        <v>0</v>
      </c>
      <c r="P152" s="32">
        <v>0</v>
      </c>
      <c r="Q152" s="32">
        <v>271831.56</v>
      </c>
      <c r="R152" s="32">
        <v>0</v>
      </c>
      <c r="S152" s="32">
        <v>0</v>
      </c>
      <c r="T152" s="32">
        <v>0</v>
      </c>
      <c r="U152" s="32">
        <v>0</v>
      </c>
      <c r="V152" s="32">
        <v>0</v>
      </c>
      <c r="W152" s="32">
        <v>0</v>
      </c>
      <c r="X152" s="32">
        <v>0</v>
      </c>
      <c r="Y152" s="32">
        <v>0</v>
      </c>
      <c r="Z152" s="32">
        <v>0</v>
      </c>
      <c r="AA152" s="32">
        <v>0</v>
      </c>
      <c r="AB152" s="32">
        <v>0</v>
      </c>
      <c r="AC152" s="32" t="s">
        <v>536</v>
      </c>
      <c r="AD152" s="32"/>
      <c r="AE152" s="32">
        <v>0</v>
      </c>
    </row>
    <row r="153" spans="1:31" x14ac:dyDescent="0.25">
      <c r="A153">
        <v>1159</v>
      </c>
      <c r="B153" t="s">
        <v>419</v>
      </c>
      <c r="C153" t="s">
        <v>61</v>
      </c>
      <c r="D153" s="35">
        <v>271469.48</v>
      </c>
      <c r="E153">
        <v>1246273041</v>
      </c>
      <c r="F153" s="321">
        <v>46181</v>
      </c>
      <c r="G153" s="321"/>
      <c r="H153" t="s">
        <v>28</v>
      </c>
      <c r="I153" t="s">
        <v>29</v>
      </c>
      <c r="J153">
        <v>11254</v>
      </c>
      <c r="K153" s="321">
        <v>46141</v>
      </c>
      <c r="L153">
        <v>1010100</v>
      </c>
      <c r="M153" t="s">
        <v>35</v>
      </c>
      <c r="N153">
        <v>-39</v>
      </c>
      <c r="O153" s="32">
        <v>0</v>
      </c>
      <c r="P153" s="32">
        <v>0</v>
      </c>
      <c r="Q153" s="32">
        <v>271469.48</v>
      </c>
      <c r="R153" s="32">
        <v>0</v>
      </c>
      <c r="S153" s="32">
        <v>0</v>
      </c>
      <c r="T153" s="32">
        <v>0</v>
      </c>
      <c r="U153" s="32">
        <v>0</v>
      </c>
      <c r="V153" s="32">
        <v>0</v>
      </c>
      <c r="W153" s="32">
        <v>0</v>
      </c>
      <c r="X153" s="32">
        <v>0</v>
      </c>
      <c r="Y153" s="32">
        <v>0</v>
      </c>
      <c r="Z153" s="32">
        <v>0</v>
      </c>
      <c r="AA153" s="32">
        <v>0</v>
      </c>
      <c r="AB153" s="32">
        <v>0</v>
      </c>
      <c r="AC153" s="32" t="s">
        <v>536</v>
      </c>
      <c r="AD153" s="32"/>
      <c r="AE153" s="32">
        <v>0</v>
      </c>
    </row>
    <row r="154" spans="1:31" x14ac:dyDescent="0.25">
      <c r="A154">
        <v>1159</v>
      </c>
      <c r="B154" t="s">
        <v>419</v>
      </c>
      <c r="C154" t="s">
        <v>61</v>
      </c>
      <c r="D154" s="35">
        <v>272193.64</v>
      </c>
      <c r="E154">
        <v>1246273282</v>
      </c>
      <c r="F154" s="321">
        <v>46182</v>
      </c>
      <c r="G154" s="321"/>
      <c r="H154" t="s">
        <v>28</v>
      </c>
      <c r="I154" t="s">
        <v>29</v>
      </c>
      <c r="J154">
        <v>11274</v>
      </c>
      <c r="K154" s="321">
        <v>46142</v>
      </c>
      <c r="L154">
        <v>1010100</v>
      </c>
      <c r="M154" t="s">
        <v>35</v>
      </c>
      <c r="N154">
        <v>-40</v>
      </c>
      <c r="O154" s="32">
        <v>0</v>
      </c>
      <c r="P154" s="32">
        <v>0</v>
      </c>
      <c r="Q154" s="32">
        <v>272193.64</v>
      </c>
      <c r="R154" s="32">
        <v>0</v>
      </c>
      <c r="S154" s="32">
        <v>0</v>
      </c>
      <c r="T154" s="32">
        <v>0</v>
      </c>
      <c r="U154" s="32">
        <v>0</v>
      </c>
      <c r="V154" s="32">
        <v>0</v>
      </c>
      <c r="W154" s="32">
        <v>0</v>
      </c>
      <c r="X154" s="32">
        <v>0</v>
      </c>
      <c r="Y154" s="32">
        <v>0</v>
      </c>
      <c r="Z154" s="32">
        <v>0</v>
      </c>
      <c r="AA154" s="32">
        <v>0</v>
      </c>
      <c r="AB154" s="32">
        <v>0</v>
      </c>
      <c r="AC154" s="32" t="s">
        <v>536</v>
      </c>
      <c r="AD154" s="32"/>
      <c r="AE154" s="32">
        <v>0</v>
      </c>
    </row>
    <row r="155" spans="1:31" x14ac:dyDescent="0.25">
      <c r="A155">
        <v>1159</v>
      </c>
      <c r="B155" t="s">
        <v>419</v>
      </c>
      <c r="C155" t="s">
        <v>61</v>
      </c>
      <c r="D155" s="35">
        <v>272012.59999999998</v>
      </c>
      <c r="E155">
        <v>1246272754</v>
      </c>
      <c r="F155" s="321">
        <v>46179</v>
      </c>
      <c r="G155" s="321"/>
      <c r="H155" t="s">
        <v>28</v>
      </c>
      <c r="I155" t="s">
        <v>29</v>
      </c>
      <c r="J155">
        <v>11228</v>
      </c>
      <c r="K155" s="321">
        <v>46139</v>
      </c>
      <c r="L155">
        <v>1010100</v>
      </c>
      <c r="M155" t="s">
        <v>35</v>
      </c>
      <c r="N155">
        <v>-37</v>
      </c>
      <c r="O155" s="32">
        <v>0</v>
      </c>
      <c r="P155" s="32">
        <v>0</v>
      </c>
      <c r="Q155" s="32">
        <v>272012.59999999998</v>
      </c>
      <c r="R155" s="32">
        <v>0</v>
      </c>
      <c r="S155" s="32">
        <v>0</v>
      </c>
      <c r="T155" s="32">
        <v>0</v>
      </c>
      <c r="U155" s="32">
        <v>0</v>
      </c>
      <c r="V155" s="32">
        <v>0</v>
      </c>
      <c r="W155" s="32">
        <v>0</v>
      </c>
      <c r="X155" s="32">
        <v>0</v>
      </c>
      <c r="Y155" s="32">
        <v>0</v>
      </c>
      <c r="Z155" s="32">
        <v>0</v>
      </c>
      <c r="AA155" s="32">
        <v>0</v>
      </c>
      <c r="AB155" s="32">
        <v>0</v>
      </c>
      <c r="AC155" s="32" t="s">
        <v>536</v>
      </c>
      <c r="AD155" s="32"/>
      <c r="AE155" s="32">
        <v>0</v>
      </c>
    </row>
    <row r="156" spans="1:31" x14ac:dyDescent="0.25">
      <c r="A156">
        <v>1159</v>
      </c>
      <c r="B156" t="s">
        <v>419</v>
      </c>
      <c r="C156" t="s">
        <v>61</v>
      </c>
      <c r="D156" s="35">
        <v>271107.40000000002</v>
      </c>
      <c r="E156">
        <v>1246271171</v>
      </c>
      <c r="F156" s="321">
        <v>46165</v>
      </c>
      <c r="G156" s="321"/>
      <c r="H156" t="s">
        <v>28</v>
      </c>
      <c r="I156" t="s">
        <v>29</v>
      </c>
      <c r="J156">
        <v>11108</v>
      </c>
      <c r="K156" s="321">
        <v>46125</v>
      </c>
      <c r="L156">
        <v>1010100</v>
      </c>
      <c r="M156" t="s">
        <v>35</v>
      </c>
      <c r="N156">
        <v>-23</v>
      </c>
      <c r="O156" s="32">
        <v>0</v>
      </c>
      <c r="P156" s="32">
        <v>0</v>
      </c>
      <c r="Q156" s="32">
        <v>271107.40000000002</v>
      </c>
      <c r="R156" s="32">
        <v>0</v>
      </c>
      <c r="S156" s="32">
        <v>0</v>
      </c>
      <c r="T156" s="32">
        <v>0</v>
      </c>
      <c r="U156" s="32">
        <v>0</v>
      </c>
      <c r="V156" s="32">
        <v>0</v>
      </c>
      <c r="W156" s="32">
        <v>0</v>
      </c>
      <c r="X156" s="32">
        <v>0</v>
      </c>
      <c r="Y156" s="32">
        <v>0</v>
      </c>
      <c r="Z156" s="32">
        <v>0</v>
      </c>
      <c r="AA156" s="32">
        <v>0</v>
      </c>
      <c r="AB156" s="32">
        <v>0</v>
      </c>
      <c r="AC156" s="32" t="s">
        <v>536</v>
      </c>
      <c r="AD156" s="32"/>
      <c r="AE156" s="32">
        <v>0</v>
      </c>
    </row>
    <row r="157" spans="1:31" x14ac:dyDescent="0.25">
      <c r="A157">
        <v>1159</v>
      </c>
      <c r="B157" t="s">
        <v>419</v>
      </c>
      <c r="C157" t="s">
        <v>61</v>
      </c>
      <c r="D157" s="35">
        <v>11374.2</v>
      </c>
      <c r="E157">
        <v>1246272869</v>
      </c>
      <c r="F157" s="321">
        <v>46180</v>
      </c>
      <c r="G157" s="321"/>
      <c r="H157" t="s">
        <v>28</v>
      </c>
      <c r="I157" t="s">
        <v>29</v>
      </c>
      <c r="J157">
        <v>11240</v>
      </c>
      <c r="K157" s="321">
        <v>46140</v>
      </c>
      <c r="L157">
        <v>1010100</v>
      </c>
      <c r="M157" t="s">
        <v>35</v>
      </c>
      <c r="N157">
        <v>-38</v>
      </c>
      <c r="O157" s="32">
        <v>0</v>
      </c>
      <c r="P157" s="32">
        <v>0</v>
      </c>
      <c r="Q157" s="32">
        <v>11374.2</v>
      </c>
      <c r="R157" s="32">
        <v>0</v>
      </c>
      <c r="S157" s="32">
        <v>0</v>
      </c>
      <c r="T157" s="32">
        <v>0</v>
      </c>
      <c r="U157" s="32">
        <v>0</v>
      </c>
      <c r="V157" s="32">
        <v>0</v>
      </c>
      <c r="W157" s="32">
        <v>0</v>
      </c>
      <c r="X157" s="32">
        <v>0</v>
      </c>
      <c r="Y157" s="32">
        <v>0</v>
      </c>
      <c r="Z157" s="32">
        <v>0</v>
      </c>
      <c r="AA157" s="32">
        <v>0</v>
      </c>
      <c r="AB157" s="32">
        <v>0</v>
      </c>
      <c r="AC157" s="32" t="s">
        <v>536</v>
      </c>
      <c r="AD157" s="32"/>
      <c r="AE157" s="32">
        <v>0</v>
      </c>
    </row>
    <row r="158" spans="1:31" x14ac:dyDescent="0.25">
      <c r="A158">
        <v>1159</v>
      </c>
      <c r="B158" t="s">
        <v>419</v>
      </c>
      <c r="C158" t="s">
        <v>61</v>
      </c>
      <c r="D158" s="35">
        <v>272374.68</v>
      </c>
      <c r="E158">
        <v>1246272204</v>
      </c>
      <c r="F158" s="321">
        <v>46175</v>
      </c>
      <c r="G158" s="321"/>
      <c r="H158" t="s">
        <v>28</v>
      </c>
      <c r="I158" t="s">
        <v>29</v>
      </c>
      <c r="J158">
        <v>11198</v>
      </c>
      <c r="K158" s="321">
        <v>46135</v>
      </c>
      <c r="L158">
        <v>1010100</v>
      </c>
      <c r="M158" t="s">
        <v>35</v>
      </c>
      <c r="N158">
        <v>-33</v>
      </c>
      <c r="O158" s="32">
        <v>0</v>
      </c>
      <c r="P158" s="32">
        <v>0</v>
      </c>
      <c r="Q158" s="32">
        <v>272374.68</v>
      </c>
      <c r="R158" s="32">
        <v>0</v>
      </c>
      <c r="S158" s="32">
        <v>0</v>
      </c>
      <c r="T158" s="32">
        <v>0</v>
      </c>
      <c r="U158" s="32">
        <v>0</v>
      </c>
      <c r="V158" s="32">
        <v>0</v>
      </c>
      <c r="W158" s="32">
        <v>0</v>
      </c>
      <c r="X158" s="32">
        <v>0</v>
      </c>
      <c r="Y158" s="32">
        <v>0</v>
      </c>
      <c r="Z158" s="32">
        <v>0</v>
      </c>
      <c r="AA158" s="32">
        <v>0</v>
      </c>
      <c r="AB158" s="32">
        <v>0</v>
      </c>
      <c r="AC158" s="32" t="s">
        <v>536</v>
      </c>
      <c r="AD158" s="32"/>
      <c r="AE158" s="32">
        <v>0</v>
      </c>
    </row>
    <row r="159" spans="1:31" x14ac:dyDescent="0.25">
      <c r="A159">
        <v>452</v>
      </c>
      <c r="B159" t="s">
        <v>574</v>
      </c>
      <c r="C159" t="s">
        <v>48</v>
      </c>
      <c r="D159" s="35">
        <v>1800</v>
      </c>
      <c r="E159">
        <v>1246055195</v>
      </c>
      <c r="F159" s="321">
        <v>44902</v>
      </c>
      <c r="G159" s="321"/>
      <c r="H159" t="s">
        <v>28</v>
      </c>
      <c r="I159" t="s">
        <v>29</v>
      </c>
      <c r="J159">
        <v>1246055195</v>
      </c>
      <c r="K159" s="321">
        <v>44887</v>
      </c>
      <c r="L159">
        <v>3041000</v>
      </c>
      <c r="M159" t="s">
        <v>137</v>
      </c>
      <c r="N159">
        <v>1240</v>
      </c>
      <c r="O159" s="32">
        <v>0</v>
      </c>
      <c r="P159" s="32">
        <v>1800</v>
      </c>
      <c r="Q159" s="32">
        <v>0</v>
      </c>
      <c r="R159" s="32">
        <v>0</v>
      </c>
      <c r="S159" s="32">
        <v>0</v>
      </c>
      <c r="T159" s="32">
        <v>0</v>
      </c>
      <c r="U159" s="32">
        <v>1800</v>
      </c>
      <c r="V159" s="32">
        <v>0</v>
      </c>
      <c r="W159" s="32">
        <v>54</v>
      </c>
      <c r="X159" s="32">
        <v>1746</v>
      </c>
      <c r="Y159" s="32">
        <v>1746</v>
      </c>
      <c r="Z159" s="32">
        <v>1800</v>
      </c>
      <c r="AA159" s="32">
        <v>0</v>
      </c>
      <c r="AB159" s="32">
        <v>1800</v>
      </c>
      <c r="AC159" s="32" t="s">
        <v>536</v>
      </c>
      <c r="AD159" s="32"/>
      <c r="AE159" s="32">
        <v>1800</v>
      </c>
    </row>
    <row r="160" spans="1:31" x14ac:dyDescent="0.25">
      <c r="A160">
        <v>3232</v>
      </c>
      <c r="B160" t="s">
        <v>528</v>
      </c>
      <c r="C160" t="s">
        <v>474</v>
      </c>
      <c r="D160" s="35">
        <v>169206.9</v>
      </c>
      <c r="E160">
        <v>1246270989</v>
      </c>
      <c r="F160" s="321">
        <v>46182</v>
      </c>
      <c r="G160" s="321"/>
      <c r="H160" t="s">
        <v>28</v>
      </c>
      <c r="I160" t="s">
        <v>29</v>
      </c>
      <c r="J160">
        <v>11091</v>
      </c>
      <c r="K160" s="321">
        <v>46122</v>
      </c>
      <c r="L160">
        <v>1010100</v>
      </c>
      <c r="M160" t="s">
        <v>35</v>
      </c>
      <c r="N160">
        <v>-40</v>
      </c>
      <c r="O160" s="32">
        <v>0</v>
      </c>
      <c r="P160" s="32">
        <v>0</v>
      </c>
      <c r="Q160" s="32">
        <v>169206.9</v>
      </c>
      <c r="R160" s="32">
        <v>0</v>
      </c>
      <c r="S160" s="32">
        <v>0</v>
      </c>
      <c r="T160" s="32">
        <v>0</v>
      </c>
      <c r="U160" s="32">
        <v>0</v>
      </c>
      <c r="V160" s="32">
        <v>0</v>
      </c>
      <c r="W160" s="32">
        <v>0</v>
      </c>
      <c r="X160" s="32">
        <v>0</v>
      </c>
      <c r="Y160" s="32">
        <v>0</v>
      </c>
      <c r="Z160" s="32">
        <v>0</v>
      </c>
      <c r="AA160" s="32">
        <v>0</v>
      </c>
      <c r="AB160" s="32">
        <v>0</v>
      </c>
      <c r="AC160" s="32" t="s">
        <v>472</v>
      </c>
      <c r="AD160" s="32"/>
      <c r="AE160" s="32">
        <v>0</v>
      </c>
    </row>
    <row r="161" spans="1:31" x14ac:dyDescent="0.25">
      <c r="A161">
        <v>3232</v>
      </c>
      <c r="B161" t="s">
        <v>528</v>
      </c>
      <c r="C161" t="s">
        <v>474</v>
      </c>
      <c r="D161" s="35">
        <v>170582.1</v>
      </c>
      <c r="E161">
        <v>1246270155</v>
      </c>
      <c r="F161" s="321">
        <v>46174</v>
      </c>
      <c r="G161" s="321"/>
      <c r="H161" t="s">
        <v>28</v>
      </c>
      <c r="I161" t="s">
        <v>29</v>
      </c>
      <c r="J161">
        <v>11044</v>
      </c>
      <c r="K161" s="321">
        <v>46114</v>
      </c>
      <c r="L161">
        <v>1010100</v>
      </c>
      <c r="M161" t="s">
        <v>35</v>
      </c>
      <c r="N161">
        <v>-32</v>
      </c>
      <c r="O161" s="32">
        <v>0</v>
      </c>
      <c r="P161" s="32">
        <v>0</v>
      </c>
      <c r="Q161" s="32">
        <v>170582.1</v>
      </c>
      <c r="R161" s="32">
        <v>0</v>
      </c>
      <c r="S161" s="32">
        <v>0</v>
      </c>
      <c r="T161" s="32">
        <v>0</v>
      </c>
      <c r="U161" s="32">
        <v>0</v>
      </c>
      <c r="V161" s="32">
        <v>0</v>
      </c>
      <c r="W161" s="32">
        <v>0</v>
      </c>
      <c r="X161" s="32">
        <v>0</v>
      </c>
      <c r="Y161" s="32">
        <v>0</v>
      </c>
      <c r="Z161" s="32">
        <v>0</v>
      </c>
      <c r="AA161" s="32">
        <v>0</v>
      </c>
      <c r="AB161" s="32">
        <v>0</v>
      </c>
      <c r="AC161" s="32" t="s">
        <v>472</v>
      </c>
      <c r="AD161" s="32"/>
      <c r="AE161" s="32">
        <v>0</v>
      </c>
    </row>
    <row r="162" spans="1:31" x14ac:dyDescent="0.25">
      <c r="A162">
        <v>2603</v>
      </c>
      <c r="B162" t="s">
        <v>496</v>
      </c>
      <c r="C162" t="s">
        <v>82</v>
      </c>
      <c r="D162" s="35">
        <v>4522.16</v>
      </c>
      <c r="E162">
        <v>1246097965</v>
      </c>
      <c r="F162" s="321">
        <v>45152</v>
      </c>
      <c r="G162" s="321"/>
      <c r="H162" t="s">
        <v>28</v>
      </c>
      <c r="I162" t="s">
        <v>29</v>
      </c>
      <c r="J162">
        <v>21713</v>
      </c>
      <c r="K162" s="321">
        <v>45092</v>
      </c>
      <c r="L162">
        <v>1010100</v>
      </c>
      <c r="M162" t="s">
        <v>35</v>
      </c>
      <c r="N162">
        <v>990</v>
      </c>
      <c r="O162" s="32">
        <v>0</v>
      </c>
      <c r="P162" s="32">
        <v>4522.1599999999989</v>
      </c>
      <c r="Q162" s="32">
        <v>0</v>
      </c>
      <c r="R162" s="32">
        <v>0</v>
      </c>
      <c r="S162" s="32">
        <v>0</v>
      </c>
      <c r="T162" s="32">
        <v>0</v>
      </c>
      <c r="U162" s="32">
        <v>4522.16</v>
      </c>
      <c r="V162" s="32">
        <v>0</v>
      </c>
      <c r="W162" s="32">
        <v>135.66479999999999</v>
      </c>
      <c r="X162" s="32">
        <v>4386.4951999999994</v>
      </c>
      <c r="Y162" s="32">
        <v>4386.4951999999994</v>
      </c>
      <c r="Z162" s="32">
        <v>4522.16</v>
      </c>
      <c r="AA162" s="32">
        <v>0</v>
      </c>
      <c r="AB162" s="32">
        <v>4522.1599999999989</v>
      </c>
      <c r="AC162" s="32" t="s">
        <v>536</v>
      </c>
      <c r="AD162" s="32"/>
      <c r="AE162" s="32">
        <v>4522.1599999999989</v>
      </c>
    </row>
    <row r="163" spans="1:31" x14ac:dyDescent="0.25">
      <c r="A163">
        <v>2559</v>
      </c>
      <c r="B163" t="s">
        <v>496</v>
      </c>
      <c r="C163" t="s">
        <v>79</v>
      </c>
      <c r="D163" s="35">
        <v>1200</v>
      </c>
      <c r="E163">
        <v>1246203587</v>
      </c>
      <c r="F163" s="321">
        <v>45750</v>
      </c>
      <c r="G163" s="321"/>
      <c r="H163" t="s">
        <v>28</v>
      </c>
      <c r="I163" t="s">
        <v>29</v>
      </c>
      <c r="J163">
        <v>1246203587</v>
      </c>
      <c r="K163" s="321">
        <v>45735</v>
      </c>
      <c r="L163">
        <v>3041000</v>
      </c>
      <c r="M163" t="s">
        <v>137</v>
      </c>
      <c r="N163">
        <v>392</v>
      </c>
      <c r="O163" s="32">
        <v>0</v>
      </c>
      <c r="P163" s="32">
        <v>1200</v>
      </c>
      <c r="Q163" s="32">
        <v>0</v>
      </c>
      <c r="R163" s="32">
        <v>0</v>
      </c>
      <c r="S163" s="32">
        <v>0</v>
      </c>
      <c r="T163" s="32">
        <v>0</v>
      </c>
      <c r="U163" s="32">
        <v>1200</v>
      </c>
      <c r="V163" s="32">
        <v>0</v>
      </c>
      <c r="W163" s="32">
        <v>36</v>
      </c>
      <c r="X163" s="32">
        <v>1164</v>
      </c>
      <c r="Y163" s="32">
        <v>1164</v>
      </c>
      <c r="Z163" s="32">
        <v>1200</v>
      </c>
      <c r="AA163" s="32">
        <v>0</v>
      </c>
      <c r="AB163" s="32">
        <v>1200</v>
      </c>
      <c r="AC163" s="32" t="s">
        <v>536</v>
      </c>
      <c r="AD163" s="32"/>
      <c r="AE163" s="32">
        <v>1200</v>
      </c>
    </row>
    <row r="164" spans="1:31" x14ac:dyDescent="0.25">
      <c r="A164">
        <v>2559</v>
      </c>
      <c r="B164" t="s">
        <v>496</v>
      </c>
      <c r="C164" t="s">
        <v>79</v>
      </c>
      <c r="D164" s="35">
        <v>7200</v>
      </c>
      <c r="E164">
        <v>1246203586</v>
      </c>
      <c r="F164" s="321">
        <v>45750</v>
      </c>
      <c r="G164" s="321"/>
      <c r="H164" t="s">
        <v>28</v>
      </c>
      <c r="I164" t="s">
        <v>29</v>
      </c>
      <c r="J164">
        <v>1246203586</v>
      </c>
      <c r="K164" s="321">
        <v>45735</v>
      </c>
      <c r="L164">
        <v>3041000</v>
      </c>
      <c r="M164" t="s">
        <v>137</v>
      </c>
      <c r="N164">
        <v>392</v>
      </c>
      <c r="O164" s="32">
        <v>0</v>
      </c>
      <c r="P164" s="32">
        <v>7200</v>
      </c>
      <c r="Q164" s="32">
        <v>0</v>
      </c>
      <c r="R164" s="32">
        <v>0</v>
      </c>
      <c r="S164" s="32">
        <v>0</v>
      </c>
      <c r="T164" s="32">
        <v>0</v>
      </c>
      <c r="U164" s="32">
        <v>7200</v>
      </c>
      <c r="V164" s="32">
        <v>0</v>
      </c>
      <c r="W164" s="32">
        <v>216</v>
      </c>
      <c r="X164" s="32">
        <v>6984</v>
      </c>
      <c r="Y164" s="32">
        <v>6984</v>
      </c>
      <c r="Z164" s="32">
        <v>7200</v>
      </c>
      <c r="AA164" s="32">
        <v>0</v>
      </c>
      <c r="AB164" s="32">
        <v>7200</v>
      </c>
      <c r="AC164" s="32" t="s">
        <v>536</v>
      </c>
      <c r="AD164" s="32"/>
      <c r="AE164" s="32">
        <v>7200</v>
      </c>
    </row>
    <row r="165" spans="1:31" x14ac:dyDescent="0.25">
      <c r="A165">
        <v>2559</v>
      </c>
      <c r="B165" t="s">
        <v>496</v>
      </c>
      <c r="C165" t="s">
        <v>79</v>
      </c>
      <c r="D165" s="35">
        <v>1200</v>
      </c>
      <c r="E165">
        <v>1246203585</v>
      </c>
      <c r="F165" s="321">
        <v>45750</v>
      </c>
      <c r="G165" s="321"/>
      <c r="H165" t="s">
        <v>28</v>
      </c>
      <c r="I165" t="s">
        <v>29</v>
      </c>
      <c r="J165">
        <v>1246203585</v>
      </c>
      <c r="K165" s="321">
        <v>45735</v>
      </c>
      <c r="L165">
        <v>3041000</v>
      </c>
      <c r="M165" t="s">
        <v>137</v>
      </c>
      <c r="N165">
        <v>392</v>
      </c>
      <c r="O165" s="32">
        <v>0</v>
      </c>
      <c r="P165" s="32">
        <v>1200</v>
      </c>
      <c r="Q165" s="32">
        <v>0</v>
      </c>
      <c r="R165" s="32">
        <v>0</v>
      </c>
      <c r="S165" s="32">
        <v>0</v>
      </c>
      <c r="T165" s="32">
        <v>0</v>
      </c>
      <c r="U165" s="32">
        <v>1200</v>
      </c>
      <c r="V165" s="32">
        <v>0</v>
      </c>
      <c r="W165" s="32">
        <v>36</v>
      </c>
      <c r="X165" s="32">
        <v>1164</v>
      </c>
      <c r="Y165" s="32">
        <v>1164</v>
      </c>
      <c r="Z165" s="32">
        <v>1200</v>
      </c>
      <c r="AA165" s="32">
        <v>0</v>
      </c>
      <c r="AB165" s="32">
        <v>1200</v>
      </c>
      <c r="AC165" s="32" t="s">
        <v>536</v>
      </c>
      <c r="AD165" s="32"/>
      <c r="AE165" s="32">
        <v>1200</v>
      </c>
    </row>
    <row r="166" spans="1:31" x14ac:dyDescent="0.25">
      <c r="A166">
        <v>2559</v>
      </c>
      <c r="B166" t="s">
        <v>496</v>
      </c>
      <c r="C166" t="s">
        <v>79</v>
      </c>
      <c r="D166" s="35">
        <v>78390</v>
      </c>
      <c r="E166">
        <v>1246270082</v>
      </c>
      <c r="F166" s="321">
        <v>46204</v>
      </c>
      <c r="G166" s="321"/>
      <c r="H166" t="s">
        <v>28</v>
      </c>
      <c r="I166" t="s">
        <v>29</v>
      </c>
      <c r="J166">
        <v>11033</v>
      </c>
      <c r="K166" s="321">
        <v>46114</v>
      </c>
      <c r="L166">
        <v>1010100</v>
      </c>
      <c r="M166" t="s">
        <v>35</v>
      </c>
      <c r="N166">
        <v>-62</v>
      </c>
      <c r="O166" s="32">
        <v>0</v>
      </c>
      <c r="P166" s="32">
        <v>0</v>
      </c>
      <c r="Q166" s="32">
        <v>78390</v>
      </c>
      <c r="R166" s="32">
        <v>0</v>
      </c>
      <c r="S166" s="32">
        <v>0</v>
      </c>
      <c r="T166" s="32">
        <v>0</v>
      </c>
      <c r="U166" s="32">
        <v>0</v>
      </c>
      <c r="V166" s="32">
        <v>0</v>
      </c>
      <c r="W166" s="32">
        <v>0</v>
      </c>
      <c r="X166" s="32">
        <v>0</v>
      </c>
      <c r="Y166" s="32">
        <v>0</v>
      </c>
      <c r="Z166" s="32">
        <v>0</v>
      </c>
      <c r="AA166" s="32">
        <v>0</v>
      </c>
      <c r="AB166" s="32">
        <v>0</v>
      </c>
      <c r="AC166" s="32" t="s">
        <v>536</v>
      </c>
      <c r="AD166" s="32"/>
      <c r="AE166" s="32">
        <v>0</v>
      </c>
    </row>
    <row r="167" spans="1:31" x14ac:dyDescent="0.25">
      <c r="A167">
        <v>2559</v>
      </c>
      <c r="B167" t="s">
        <v>496</v>
      </c>
      <c r="C167" t="s">
        <v>79</v>
      </c>
      <c r="D167" s="35">
        <v>195730.4</v>
      </c>
      <c r="E167">
        <v>1246271698</v>
      </c>
      <c r="F167" s="321">
        <v>46219</v>
      </c>
      <c r="G167" s="321"/>
      <c r="H167" t="s">
        <v>28</v>
      </c>
      <c r="I167" t="s">
        <v>29</v>
      </c>
      <c r="J167">
        <v>11159</v>
      </c>
      <c r="K167" s="321">
        <v>46129</v>
      </c>
      <c r="L167">
        <v>1010100</v>
      </c>
      <c r="M167" t="s">
        <v>35</v>
      </c>
      <c r="N167">
        <v>-77</v>
      </c>
      <c r="O167" s="32">
        <v>0</v>
      </c>
      <c r="P167" s="32">
        <v>0</v>
      </c>
      <c r="Q167" s="32">
        <v>195730.4</v>
      </c>
      <c r="R167" s="32">
        <v>0</v>
      </c>
      <c r="S167" s="32">
        <v>0</v>
      </c>
      <c r="T167" s="32">
        <v>0</v>
      </c>
      <c r="U167" s="32">
        <v>0</v>
      </c>
      <c r="V167" s="32">
        <v>0</v>
      </c>
      <c r="W167" s="32">
        <v>0</v>
      </c>
      <c r="X167" s="32">
        <v>0</v>
      </c>
      <c r="Y167" s="32">
        <v>0</v>
      </c>
      <c r="Z167" s="32">
        <v>0</v>
      </c>
      <c r="AA167" s="32">
        <v>0</v>
      </c>
      <c r="AB167" s="32">
        <v>0</v>
      </c>
      <c r="AC167" s="32" t="s">
        <v>536</v>
      </c>
      <c r="AD167" s="32"/>
      <c r="AE167" s="32">
        <v>0</v>
      </c>
    </row>
    <row r="168" spans="1:31" x14ac:dyDescent="0.25">
      <c r="A168">
        <v>2559</v>
      </c>
      <c r="B168" t="s">
        <v>496</v>
      </c>
      <c r="C168" t="s">
        <v>79</v>
      </c>
      <c r="D168" s="35">
        <v>196447.6</v>
      </c>
      <c r="E168">
        <v>1246272595</v>
      </c>
      <c r="F168" s="321">
        <v>46226</v>
      </c>
      <c r="G168" s="321"/>
      <c r="H168" t="s">
        <v>28</v>
      </c>
      <c r="I168" t="s">
        <v>29</v>
      </c>
      <c r="J168">
        <v>11219</v>
      </c>
      <c r="K168" s="321">
        <v>46136</v>
      </c>
      <c r="L168">
        <v>1010100</v>
      </c>
      <c r="M168" t="s">
        <v>35</v>
      </c>
      <c r="N168">
        <v>-84</v>
      </c>
      <c r="O168" s="32">
        <v>0</v>
      </c>
      <c r="P168" s="32">
        <v>0</v>
      </c>
      <c r="Q168" s="32">
        <v>196447.6</v>
      </c>
      <c r="R168" s="32">
        <v>0</v>
      </c>
      <c r="S168" s="32">
        <v>0</v>
      </c>
      <c r="T168" s="32">
        <v>0</v>
      </c>
      <c r="U168" s="32">
        <v>0</v>
      </c>
      <c r="V168" s="32">
        <v>0</v>
      </c>
      <c r="W168" s="32">
        <v>0</v>
      </c>
      <c r="X168" s="32">
        <v>0</v>
      </c>
      <c r="Y168" s="32">
        <v>0</v>
      </c>
      <c r="Z168" s="32">
        <v>0</v>
      </c>
      <c r="AA168" s="32">
        <v>0</v>
      </c>
      <c r="AB168" s="32">
        <v>0</v>
      </c>
      <c r="AC168" s="32" t="s">
        <v>536</v>
      </c>
      <c r="AD168" s="32"/>
      <c r="AE168" s="32">
        <v>0</v>
      </c>
    </row>
    <row r="169" spans="1:31" x14ac:dyDescent="0.25">
      <c r="A169">
        <v>2559</v>
      </c>
      <c r="B169" t="s">
        <v>496</v>
      </c>
      <c r="C169" t="s">
        <v>79</v>
      </c>
      <c r="D169" s="35">
        <v>6000</v>
      </c>
      <c r="E169">
        <v>1246244748</v>
      </c>
      <c r="F169" s="321">
        <v>45968</v>
      </c>
      <c r="G169" s="321"/>
      <c r="H169" t="s">
        <v>28</v>
      </c>
      <c r="I169" t="s">
        <v>29</v>
      </c>
      <c r="J169">
        <v>1246244748</v>
      </c>
      <c r="K169" s="321">
        <v>45953</v>
      </c>
      <c r="L169">
        <v>3041000</v>
      </c>
      <c r="M169" t="s">
        <v>137</v>
      </c>
      <c r="N169">
        <v>174</v>
      </c>
      <c r="O169" s="32">
        <v>0</v>
      </c>
      <c r="P169" s="32">
        <v>180</v>
      </c>
      <c r="Q169" s="32">
        <v>0</v>
      </c>
      <c r="R169" s="32">
        <v>0</v>
      </c>
      <c r="S169" s="32">
        <v>6000</v>
      </c>
      <c r="T169" s="32">
        <v>0</v>
      </c>
      <c r="U169" s="32">
        <v>0</v>
      </c>
      <c r="V169" s="32">
        <v>0</v>
      </c>
      <c r="W169" s="32">
        <v>180</v>
      </c>
      <c r="X169" s="32">
        <v>0</v>
      </c>
      <c r="Y169" s="32">
        <v>0</v>
      </c>
      <c r="Z169" s="32">
        <v>0</v>
      </c>
      <c r="AA169" s="32">
        <v>0</v>
      </c>
      <c r="AB169" s="32">
        <v>180</v>
      </c>
      <c r="AC169" s="32" t="s">
        <v>536</v>
      </c>
      <c r="AD169" s="32"/>
      <c r="AE169" s="32">
        <v>0</v>
      </c>
    </row>
    <row r="170" spans="1:31" x14ac:dyDescent="0.25">
      <c r="A170">
        <v>215</v>
      </c>
      <c r="B170" t="s">
        <v>416</v>
      </c>
      <c r="C170" t="s">
        <v>851</v>
      </c>
      <c r="D170" s="35">
        <v>339600</v>
      </c>
      <c r="E170">
        <v>1246271897</v>
      </c>
      <c r="F170" s="321">
        <v>46160</v>
      </c>
      <c r="G170" s="321"/>
      <c r="H170" t="s">
        <v>28</v>
      </c>
      <c r="I170" t="s">
        <v>29</v>
      </c>
      <c r="J170">
        <v>2881</v>
      </c>
      <c r="K170" s="321">
        <v>46132</v>
      </c>
      <c r="L170">
        <v>1010100</v>
      </c>
      <c r="M170" t="s">
        <v>35</v>
      </c>
      <c r="N170">
        <v>-18</v>
      </c>
      <c r="O170" s="32">
        <v>0</v>
      </c>
      <c r="P170" s="32">
        <v>0</v>
      </c>
      <c r="Q170" s="32">
        <v>339600</v>
      </c>
      <c r="R170" s="32">
        <v>0</v>
      </c>
      <c r="S170" s="32">
        <v>0</v>
      </c>
      <c r="T170" s="32">
        <v>0</v>
      </c>
      <c r="U170" s="32">
        <v>0</v>
      </c>
      <c r="V170" s="32">
        <v>0</v>
      </c>
      <c r="W170" s="32">
        <v>0</v>
      </c>
      <c r="X170" s="32">
        <v>0</v>
      </c>
      <c r="Y170" s="32">
        <v>0</v>
      </c>
      <c r="Z170" s="32">
        <v>0</v>
      </c>
      <c r="AA170" s="32">
        <v>0</v>
      </c>
      <c r="AB170" s="32">
        <v>0</v>
      </c>
      <c r="AC170" s="32" t="s">
        <v>472</v>
      </c>
      <c r="AD170" s="32"/>
      <c r="AE170" s="32">
        <v>0</v>
      </c>
    </row>
    <row r="171" spans="1:31" x14ac:dyDescent="0.25">
      <c r="A171">
        <v>215</v>
      </c>
      <c r="B171" t="s">
        <v>416</v>
      </c>
      <c r="C171" t="s">
        <v>851</v>
      </c>
      <c r="D171" s="35">
        <v>1018800</v>
      </c>
      <c r="E171">
        <v>1246272741</v>
      </c>
      <c r="F171" s="321">
        <v>46167</v>
      </c>
      <c r="G171" s="321"/>
      <c r="H171" t="s">
        <v>28</v>
      </c>
      <c r="I171" t="s">
        <v>29</v>
      </c>
      <c r="J171">
        <v>2895</v>
      </c>
      <c r="K171" s="321">
        <v>46139</v>
      </c>
      <c r="L171">
        <v>1010100</v>
      </c>
      <c r="M171" t="s">
        <v>35</v>
      </c>
      <c r="N171">
        <v>-25</v>
      </c>
      <c r="O171" s="32">
        <v>0</v>
      </c>
      <c r="P171" s="32">
        <v>0</v>
      </c>
      <c r="Q171" s="32">
        <v>1018800</v>
      </c>
      <c r="R171" s="32">
        <v>0</v>
      </c>
      <c r="S171" s="32">
        <v>0</v>
      </c>
      <c r="T171" s="32">
        <v>0</v>
      </c>
      <c r="U171" s="32">
        <v>0</v>
      </c>
      <c r="V171" s="32">
        <v>0</v>
      </c>
      <c r="W171" s="32">
        <v>0</v>
      </c>
      <c r="X171" s="32">
        <v>0</v>
      </c>
      <c r="Y171" s="32">
        <v>0</v>
      </c>
      <c r="Z171" s="32">
        <v>0</v>
      </c>
      <c r="AA171" s="32">
        <v>0</v>
      </c>
      <c r="AB171" s="32">
        <v>0</v>
      </c>
      <c r="AC171" s="32" t="s">
        <v>472</v>
      </c>
      <c r="AD171" s="32"/>
      <c r="AE171" s="32">
        <v>0</v>
      </c>
    </row>
    <row r="172" spans="1:31" x14ac:dyDescent="0.25">
      <c r="A172">
        <v>2949</v>
      </c>
      <c r="B172" t="s">
        <v>496</v>
      </c>
      <c r="C172" t="s">
        <v>832</v>
      </c>
      <c r="D172" s="35">
        <v>67841.5</v>
      </c>
      <c r="E172">
        <v>1246265741</v>
      </c>
      <c r="F172" s="321">
        <v>46170</v>
      </c>
      <c r="G172" s="321"/>
      <c r="H172" t="s">
        <v>28</v>
      </c>
      <c r="I172" t="s">
        <v>29</v>
      </c>
      <c r="J172">
        <v>10785</v>
      </c>
      <c r="K172" s="321">
        <v>46080</v>
      </c>
      <c r="L172">
        <v>1010100</v>
      </c>
      <c r="M172" t="s">
        <v>35</v>
      </c>
      <c r="N172">
        <v>-28</v>
      </c>
      <c r="O172" s="32">
        <v>0</v>
      </c>
      <c r="P172" s="32">
        <v>0</v>
      </c>
      <c r="Q172" s="32">
        <v>67841.5</v>
      </c>
      <c r="R172" s="32">
        <v>0</v>
      </c>
      <c r="S172" s="32">
        <v>0</v>
      </c>
      <c r="T172" s="32">
        <v>0</v>
      </c>
      <c r="U172" s="32">
        <v>0</v>
      </c>
      <c r="V172" s="32">
        <v>0</v>
      </c>
      <c r="W172" s="32">
        <v>0</v>
      </c>
      <c r="X172" s="32">
        <v>0</v>
      </c>
      <c r="Y172" s="32">
        <v>0</v>
      </c>
      <c r="Z172" s="32">
        <v>0</v>
      </c>
      <c r="AA172" s="32">
        <v>0</v>
      </c>
      <c r="AB172" s="32">
        <v>0</v>
      </c>
      <c r="AC172" s="32" t="s">
        <v>536</v>
      </c>
      <c r="AD172" s="32"/>
      <c r="AE172" s="32">
        <v>0</v>
      </c>
    </row>
    <row r="173" spans="1:31" x14ac:dyDescent="0.25">
      <c r="A173">
        <v>5182</v>
      </c>
      <c r="B173" t="s">
        <v>572</v>
      </c>
      <c r="C173" t="s">
        <v>892</v>
      </c>
      <c r="D173" s="35">
        <v>81872</v>
      </c>
      <c r="E173">
        <v>1246273036</v>
      </c>
      <c r="F173" s="321">
        <v>46169</v>
      </c>
      <c r="G173" s="321"/>
      <c r="H173" t="s">
        <v>28</v>
      </c>
      <c r="I173" t="s">
        <v>29</v>
      </c>
      <c r="J173">
        <v>11252</v>
      </c>
      <c r="K173" s="321">
        <v>46141</v>
      </c>
      <c r="L173">
        <v>1010100</v>
      </c>
      <c r="M173" t="s">
        <v>35</v>
      </c>
      <c r="N173">
        <v>-27</v>
      </c>
      <c r="O173" s="32">
        <v>0</v>
      </c>
      <c r="P173" s="32">
        <v>0</v>
      </c>
      <c r="Q173" s="32">
        <v>81872</v>
      </c>
      <c r="R173" s="32">
        <v>0</v>
      </c>
      <c r="S173" s="32">
        <v>0</v>
      </c>
      <c r="T173" s="32">
        <v>0</v>
      </c>
      <c r="U173" s="32">
        <v>0</v>
      </c>
      <c r="V173" s="32">
        <v>0</v>
      </c>
      <c r="W173" s="32">
        <v>0</v>
      </c>
      <c r="X173" s="32">
        <v>0</v>
      </c>
      <c r="Y173" s="32">
        <v>0</v>
      </c>
      <c r="Z173" s="32">
        <v>0</v>
      </c>
      <c r="AA173" s="32">
        <v>0</v>
      </c>
      <c r="AB173" s="32">
        <v>0</v>
      </c>
      <c r="AC173" s="32" t="s">
        <v>472</v>
      </c>
      <c r="AD173" s="32"/>
      <c r="AE173" s="32">
        <v>0</v>
      </c>
    </row>
    <row r="174" spans="1:31" x14ac:dyDescent="0.25">
      <c r="A174">
        <v>6124</v>
      </c>
      <c r="B174" t="s">
        <v>496</v>
      </c>
      <c r="C174" t="s">
        <v>95</v>
      </c>
      <c r="D174" s="35">
        <v>417259.92</v>
      </c>
      <c r="E174">
        <v>1246267573</v>
      </c>
      <c r="F174" s="321">
        <v>46153</v>
      </c>
      <c r="G174" s="321"/>
      <c r="H174" t="s">
        <v>28</v>
      </c>
      <c r="I174" t="s">
        <v>29</v>
      </c>
      <c r="J174">
        <v>2808</v>
      </c>
      <c r="K174" s="321">
        <v>46093</v>
      </c>
      <c r="L174">
        <v>1010100</v>
      </c>
      <c r="M174" t="s">
        <v>35</v>
      </c>
      <c r="N174">
        <v>-11</v>
      </c>
      <c r="O174" s="32">
        <v>0</v>
      </c>
      <c r="P174" s="32">
        <v>0</v>
      </c>
      <c r="Q174" s="32">
        <v>417259.92</v>
      </c>
      <c r="R174" s="32">
        <v>0</v>
      </c>
      <c r="S174" s="32">
        <v>0</v>
      </c>
      <c r="T174" s="32">
        <v>0</v>
      </c>
      <c r="U174" s="32">
        <v>0</v>
      </c>
      <c r="V174" s="32">
        <v>0</v>
      </c>
      <c r="W174" s="32">
        <v>0</v>
      </c>
      <c r="X174" s="32">
        <v>0</v>
      </c>
      <c r="Y174" s="32">
        <v>0</v>
      </c>
      <c r="Z174" s="32">
        <v>0</v>
      </c>
      <c r="AA174" s="32">
        <v>0</v>
      </c>
      <c r="AB174" s="32">
        <v>0</v>
      </c>
      <c r="AC174" s="32" t="s">
        <v>536</v>
      </c>
      <c r="AD174" s="32"/>
      <c r="AE174" s="32">
        <v>0</v>
      </c>
    </row>
    <row r="175" spans="1:31" x14ac:dyDescent="0.25">
      <c r="A175">
        <v>6124</v>
      </c>
      <c r="B175" t="s">
        <v>496</v>
      </c>
      <c r="C175" t="s">
        <v>95</v>
      </c>
      <c r="D175" s="35">
        <v>51634.400000000001</v>
      </c>
      <c r="E175">
        <v>1246271329</v>
      </c>
      <c r="F175" s="321">
        <v>46216</v>
      </c>
      <c r="G175" s="321"/>
      <c r="H175" t="s">
        <v>28</v>
      </c>
      <c r="I175" t="s">
        <v>29</v>
      </c>
      <c r="J175">
        <v>11119</v>
      </c>
      <c r="K175" s="321">
        <v>46126</v>
      </c>
      <c r="L175">
        <v>1010100</v>
      </c>
      <c r="M175" t="s">
        <v>35</v>
      </c>
      <c r="N175">
        <v>-74</v>
      </c>
      <c r="O175" s="32">
        <v>0</v>
      </c>
      <c r="P175" s="32">
        <v>0</v>
      </c>
      <c r="Q175" s="32">
        <v>51634.400000000001</v>
      </c>
      <c r="R175" s="32">
        <v>0</v>
      </c>
      <c r="S175" s="32">
        <v>0</v>
      </c>
      <c r="T175" s="32">
        <v>0</v>
      </c>
      <c r="U175" s="32">
        <v>0</v>
      </c>
      <c r="V175" s="32">
        <v>0</v>
      </c>
      <c r="W175" s="32">
        <v>0</v>
      </c>
      <c r="X175" s="32">
        <v>0</v>
      </c>
      <c r="Y175" s="32">
        <v>0</v>
      </c>
      <c r="Z175" s="32">
        <v>0</v>
      </c>
      <c r="AA175" s="32">
        <v>0</v>
      </c>
      <c r="AB175" s="32">
        <v>0</v>
      </c>
      <c r="AC175" s="32" t="s">
        <v>536</v>
      </c>
      <c r="AD175" s="32"/>
      <c r="AE175" s="32">
        <v>0</v>
      </c>
    </row>
    <row r="176" spans="1:31" x14ac:dyDescent="0.25">
      <c r="A176">
        <v>6124</v>
      </c>
      <c r="B176" t="s">
        <v>496</v>
      </c>
      <c r="C176" t="s">
        <v>95</v>
      </c>
      <c r="D176" s="35">
        <v>55246.400000000001</v>
      </c>
      <c r="E176">
        <v>1246264147</v>
      </c>
      <c r="F176" s="321">
        <v>46162</v>
      </c>
      <c r="G176" s="321"/>
      <c r="H176" t="s">
        <v>28</v>
      </c>
      <c r="I176" t="s">
        <v>29</v>
      </c>
      <c r="J176">
        <v>10720</v>
      </c>
      <c r="K176" s="321">
        <v>46072</v>
      </c>
      <c r="L176">
        <v>1010100</v>
      </c>
      <c r="M176" t="s">
        <v>35</v>
      </c>
      <c r="N176">
        <v>-20</v>
      </c>
      <c r="O176" s="32">
        <v>0</v>
      </c>
      <c r="P176" s="32">
        <v>0</v>
      </c>
      <c r="Q176" s="32">
        <v>55246.400000000001</v>
      </c>
      <c r="R176" s="32">
        <v>0</v>
      </c>
      <c r="S176" s="32">
        <v>0</v>
      </c>
      <c r="T176" s="32">
        <v>0</v>
      </c>
      <c r="U176" s="32">
        <v>0</v>
      </c>
      <c r="V176" s="32">
        <v>0</v>
      </c>
      <c r="W176" s="32">
        <v>0</v>
      </c>
      <c r="X176" s="32">
        <v>0</v>
      </c>
      <c r="Y176" s="32">
        <v>0</v>
      </c>
      <c r="Z176" s="32">
        <v>0</v>
      </c>
      <c r="AA176" s="32">
        <v>0</v>
      </c>
      <c r="AB176" s="32">
        <v>0</v>
      </c>
      <c r="AC176" s="32" t="s">
        <v>536</v>
      </c>
      <c r="AD176" s="32"/>
      <c r="AE176" s="32">
        <v>0</v>
      </c>
    </row>
    <row r="177" spans="1:31" x14ac:dyDescent="0.25">
      <c r="A177">
        <v>6124</v>
      </c>
      <c r="B177" t="s">
        <v>496</v>
      </c>
      <c r="C177" t="s">
        <v>95</v>
      </c>
      <c r="D177" s="35">
        <v>52374</v>
      </c>
      <c r="E177">
        <v>1246267926</v>
      </c>
      <c r="F177" s="321">
        <v>46187</v>
      </c>
      <c r="G177" s="321"/>
      <c r="H177" t="s">
        <v>28</v>
      </c>
      <c r="I177" t="s">
        <v>29</v>
      </c>
      <c r="J177">
        <v>10897</v>
      </c>
      <c r="K177" s="321">
        <v>46097</v>
      </c>
      <c r="L177">
        <v>1010100</v>
      </c>
      <c r="M177" t="s">
        <v>35</v>
      </c>
      <c r="N177">
        <v>-45</v>
      </c>
      <c r="O177" s="32">
        <v>0</v>
      </c>
      <c r="P177" s="32">
        <v>0</v>
      </c>
      <c r="Q177" s="32">
        <v>52374</v>
      </c>
      <c r="R177" s="32">
        <v>0</v>
      </c>
      <c r="S177" s="32">
        <v>0</v>
      </c>
      <c r="T177" s="32">
        <v>0</v>
      </c>
      <c r="U177" s="32">
        <v>0</v>
      </c>
      <c r="V177" s="32">
        <v>0</v>
      </c>
      <c r="W177" s="32">
        <v>0</v>
      </c>
      <c r="X177" s="32">
        <v>0</v>
      </c>
      <c r="Y177" s="32">
        <v>0</v>
      </c>
      <c r="Z177" s="32">
        <v>0</v>
      </c>
      <c r="AA177" s="32">
        <v>0</v>
      </c>
      <c r="AB177" s="32">
        <v>0</v>
      </c>
      <c r="AC177" s="32" t="s">
        <v>536</v>
      </c>
      <c r="AD177" s="32"/>
      <c r="AE177" s="32">
        <v>0</v>
      </c>
    </row>
    <row r="178" spans="1:31" x14ac:dyDescent="0.25">
      <c r="A178">
        <v>7102</v>
      </c>
      <c r="B178" t="s">
        <v>496</v>
      </c>
      <c r="C178" t="s">
        <v>563</v>
      </c>
      <c r="D178" s="35">
        <v>62553.7</v>
      </c>
      <c r="E178">
        <v>1246262017</v>
      </c>
      <c r="F178" s="321">
        <v>46145</v>
      </c>
      <c r="G178" s="321">
        <v>46146</v>
      </c>
      <c r="H178" t="s">
        <v>28</v>
      </c>
      <c r="I178" t="s">
        <v>29</v>
      </c>
      <c r="J178">
        <v>10626</v>
      </c>
      <c r="K178" s="321">
        <v>46055</v>
      </c>
      <c r="L178">
        <v>1010100</v>
      </c>
      <c r="M178" t="s">
        <v>35</v>
      </c>
      <c r="N178">
        <v>-3</v>
      </c>
      <c r="O178" s="32">
        <v>0</v>
      </c>
      <c r="P178" s="32">
        <v>0</v>
      </c>
      <c r="Q178" s="32">
        <v>62553.7</v>
      </c>
      <c r="R178" s="32">
        <v>0</v>
      </c>
      <c r="S178" s="32">
        <v>0</v>
      </c>
      <c r="T178" s="32">
        <v>0</v>
      </c>
      <c r="U178" s="32">
        <v>0</v>
      </c>
      <c r="V178" s="32">
        <v>0</v>
      </c>
      <c r="W178" s="32">
        <v>0</v>
      </c>
      <c r="X178" s="32">
        <v>0</v>
      </c>
      <c r="Y178" s="32">
        <v>0</v>
      </c>
      <c r="Z178" s="32">
        <v>0</v>
      </c>
      <c r="AA178" s="32">
        <v>0</v>
      </c>
      <c r="AB178" s="32">
        <v>0</v>
      </c>
      <c r="AC178" s="32" t="s">
        <v>536</v>
      </c>
      <c r="AD178" s="32"/>
      <c r="AE178" s="32">
        <v>0</v>
      </c>
    </row>
    <row r="179" spans="1:31" x14ac:dyDescent="0.25">
      <c r="A179">
        <v>7102</v>
      </c>
      <c r="B179" t="s">
        <v>496</v>
      </c>
      <c r="C179" t="s">
        <v>563</v>
      </c>
      <c r="D179" s="35">
        <v>63327</v>
      </c>
      <c r="E179">
        <v>1246270569</v>
      </c>
      <c r="F179" s="321">
        <v>46210</v>
      </c>
      <c r="G179" s="321"/>
      <c r="H179" t="s">
        <v>28</v>
      </c>
      <c r="I179" t="s">
        <v>29</v>
      </c>
      <c r="J179">
        <v>11069</v>
      </c>
      <c r="K179" s="321">
        <v>46120</v>
      </c>
      <c r="L179">
        <v>1010100</v>
      </c>
      <c r="M179" t="s">
        <v>35</v>
      </c>
      <c r="N179">
        <v>-68</v>
      </c>
      <c r="O179" s="32">
        <v>0</v>
      </c>
      <c r="P179" s="32">
        <v>0</v>
      </c>
      <c r="Q179" s="32">
        <v>63327</v>
      </c>
      <c r="R179" s="32">
        <v>0</v>
      </c>
      <c r="S179" s="32">
        <v>0</v>
      </c>
      <c r="T179" s="32">
        <v>0</v>
      </c>
      <c r="U179" s="32">
        <v>0</v>
      </c>
      <c r="V179" s="32">
        <v>0</v>
      </c>
      <c r="W179" s="32">
        <v>0</v>
      </c>
      <c r="X179" s="32">
        <v>0</v>
      </c>
      <c r="Y179" s="32">
        <v>0</v>
      </c>
      <c r="Z179" s="32">
        <v>0</v>
      </c>
      <c r="AA179" s="32">
        <v>0</v>
      </c>
      <c r="AB179" s="32">
        <v>0</v>
      </c>
      <c r="AC179" s="32" t="s">
        <v>536</v>
      </c>
      <c r="AD179" s="32"/>
      <c r="AE179" s="32">
        <v>0</v>
      </c>
    </row>
    <row r="180" spans="1:31" x14ac:dyDescent="0.25">
      <c r="A180">
        <v>7102</v>
      </c>
      <c r="B180" t="s">
        <v>496</v>
      </c>
      <c r="C180" t="s">
        <v>563</v>
      </c>
      <c r="D180" s="35">
        <v>62637.3</v>
      </c>
      <c r="E180">
        <v>1246268784</v>
      </c>
      <c r="F180" s="321">
        <v>46195</v>
      </c>
      <c r="G180" s="321"/>
      <c r="H180" t="s">
        <v>28</v>
      </c>
      <c r="I180" t="s">
        <v>29</v>
      </c>
      <c r="J180">
        <v>10966</v>
      </c>
      <c r="K180" s="321">
        <v>46105</v>
      </c>
      <c r="L180">
        <v>1010100</v>
      </c>
      <c r="M180" t="s">
        <v>35</v>
      </c>
      <c r="N180">
        <v>-53</v>
      </c>
      <c r="O180" s="32">
        <v>0</v>
      </c>
      <c r="P180" s="32">
        <v>0</v>
      </c>
      <c r="Q180" s="32">
        <v>62637.3</v>
      </c>
      <c r="R180" s="32">
        <v>0</v>
      </c>
      <c r="S180" s="32">
        <v>0</v>
      </c>
      <c r="T180" s="32">
        <v>0</v>
      </c>
      <c r="U180" s="32">
        <v>0</v>
      </c>
      <c r="V180" s="32">
        <v>0</v>
      </c>
      <c r="W180" s="32">
        <v>0</v>
      </c>
      <c r="X180" s="32">
        <v>0</v>
      </c>
      <c r="Y180" s="32">
        <v>0</v>
      </c>
      <c r="Z180" s="32">
        <v>0</v>
      </c>
      <c r="AA180" s="32">
        <v>0</v>
      </c>
      <c r="AB180" s="32">
        <v>0</v>
      </c>
      <c r="AC180" s="32" t="s">
        <v>536</v>
      </c>
      <c r="AD180" s="32"/>
      <c r="AE180" s="32">
        <v>0</v>
      </c>
    </row>
    <row r="181" spans="1:31" x14ac:dyDescent="0.25">
      <c r="A181">
        <v>7102</v>
      </c>
      <c r="B181" t="s">
        <v>496</v>
      </c>
      <c r="C181" t="s">
        <v>563</v>
      </c>
      <c r="D181" s="35">
        <v>62700</v>
      </c>
      <c r="E181">
        <v>1246262728</v>
      </c>
      <c r="F181" s="321">
        <v>46152</v>
      </c>
      <c r="G181" s="321"/>
      <c r="H181" t="s">
        <v>28</v>
      </c>
      <c r="I181" t="s">
        <v>29</v>
      </c>
      <c r="J181">
        <v>10663</v>
      </c>
      <c r="K181" s="321">
        <v>46062</v>
      </c>
      <c r="L181">
        <v>1010100</v>
      </c>
      <c r="M181" t="s">
        <v>35</v>
      </c>
      <c r="N181">
        <v>-10</v>
      </c>
      <c r="O181" s="32">
        <v>0</v>
      </c>
      <c r="P181" s="32">
        <v>0</v>
      </c>
      <c r="Q181" s="32">
        <v>62700</v>
      </c>
      <c r="R181" s="32">
        <v>0</v>
      </c>
      <c r="S181" s="32">
        <v>0</v>
      </c>
      <c r="T181" s="32">
        <v>0</v>
      </c>
      <c r="U181" s="32">
        <v>0</v>
      </c>
      <c r="V181" s="32">
        <v>0</v>
      </c>
      <c r="W181" s="32">
        <v>0</v>
      </c>
      <c r="X181" s="32">
        <v>0</v>
      </c>
      <c r="Y181" s="32">
        <v>0</v>
      </c>
      <c r="Z181" s="32">
        <v>0</v>
      </c>
      <c r="AA181" s="32">
        <v>0</v>
      </c>
      <c r="AB181" s="32">
        <v>0</v>
      </c>
      <c r="AC181" s="32" t="s">
        <v>536</v>
      </c>
      <c r="AD181" s="32"/>
      <c r="AE181" s="32">
        <v>0</v>
      </c>
    </row>
    <row r="182" spans="1:31" x14ac:dyDescent="0.25">
      <c r="A182">
        <v>7102</v>
      </c>
      <c r="B182" t="s">
        <v>496</v>
      </c>
      <c r="C182" t="s">
        <v>563</v>
      </c>
      <c r="D182" s="35">
        <v>4800</v>
      </c>
      <c r="E182">
        <v>1246247639</v>
      </c>
      <c r="F182" s="321">
        <v>45982</v>
      </c>
      <c r="G182" s="321"/>
      <c r="H182" t="s">
        <v>28</v>
      </c>
      <c r="I182" t="s">
        <v>29</v>
      </c>
      <c r="J182">
        <v>1246247639</v>
      </c>
      <c r="K182" s="321">
        <v>45967</v>
      </c>
      <c r="L182">
        <v>3041000</v>
      </c>
      <c r="M182" t="s">
        <v>137</v>
      </c>
      <c r="N182">
        <v>160</v>
      </c>
      <c r="O182" s="32">
        <v>0</v>
      </c>
      <c r="P182" s="32">
        <v>144</v>
      </c>
      <c r="Q182" s="32">
        <v>0</v>
      </c>
      <c r="R182" s="32">
        <v>0</v>
      </c>
      <c r="S182" s="32">
        <v>4800</v>
      </c>
      <c r="T182" s="32">
        <v>0</v>
      </c>
      <c r="U182" s="32">
        <v>0</v>
      </c>
      <c r="V182" s="32">
        <v>0</v>
      </c>
      <c r="W182" s="32">
        <v>144</v>
      </c>
      <c r="X182" s="32">
        <v>0</v>
      </c>
      <c r="Y182" s="32">
        <v>0</v>
      </c>
      <c r="Z182" s="32">
        <v>0</v>
      </c>
      <c r="AA182" s="32">
        <v>0</v>
      </c>
      <c r="AB182" s="32">
        <v>144</v>
      </c>
      <c r="AC182" s="32" t="s">
        <v>536</v>
      </c>
      <c r="AD182" s="32"/>
      <c r="AE182" s="32">
        <v>0</v>
      </c>
    </row>
    <row r="183" spans="1:31" x14ac:dyDescent="0.25">
      <c r="A183">
        <v>7662</v>
      </c>
      <c r="B183" t="s">
        <v>611</v>
      </c>
      <c r="C183" t="s">
        <v>548</v>
      </c>
      <c r="D183" s="35">
        <v>57795</v>
      </c>
      <c r="E183">
        <v>1246266876</v>
      </c>
      <c r="F183" s="321">
        <v>46147</v>
      </c>
      <c r="G183" s="321">
        <v>46147</v>
      </c>
      <c r="H183" t="s">
        <v>28</v>
      </c>
      <c r="I183" t="s">
        <v>29</v>
      </c>
      <c r="J183">
        <v>2799</v>
      </c>
      <c r="K183" s="321">
        <v>46087</v>
      </c>
      <c r="L183">
        <v>1010100</v>
      </c>
      <c r="M183" t="s">
        <v>35</v>
      </c>
      <c r="N183">
        <v>-5</v>
      </c>
      <c r="O183" s="32">
        <v>0</v>
      </c>
      <c r="P183" s="32">
        <v>0</v>
      </c>
      <c r="Q183" s="32">
        <v>57795</v>
      </c>
      <c r="R183" s="32">
        <v>0</v>
      </c>
      <c r="S183" s="32">
        <v>0</v>
      </c>
      <c r="T183" s="32">
        <v>0</v>
      </c>
      <c r="U183" s="32">
        <v>0</v>
      </c>
      <c r="V183" s="32">
        <v>0</v>
      </c>
      <c r="W183" s="32">
        <v>0</v>
      </c>
      <c r="X183" s="32">
        <v>0</v>
      </c>
      <c r="Y183" s="32">
        <v>0</v>
      </c>
      <c r="Z183" s="32">
        <v>0</v>
      </c>
      <c r="AA183" s="32">
        <v>0</v>
      </c>
      <c r="AB183" s="32">
        <v>0</v>
      </c>
      <c r="AC183" s="32" t="s">
        <v>472</v>
      </c>
      <c r="AD183" s="32"/>
      <c r="AE183" s="32">
        <v>0</v>
      </c>
    </row>
    <row r="184" spans="1:31" x14ac:dyDescent="0.25">
      <c r="A184">
        <v>7662</v>
      </c>
      <c r="B184" t="s">
        <v>611</v>
      </c>
      <c r="C184" t="s">
        <v>548</v>
      </c>
      <c r="D184" s="35">
        <v>91675</v>
      </c>
      <c r="E184">
        <v>1246273180</v>
      </c>
      <c r="F184" s="321">
        <v>46202</v>
      </c>
      <c r="G184" s="321"/>
      <c r="H184" t="s">
        <v>28</v>
      </c>
      <c r="I184" t="s">
        <v>29</v>
      </c>
      <c r="J184">
        <v>2902</v>
      </c>
      <c r="K184" s="321">
        <v>46142</v>
      </c>
      <c r="L184">
        <v>1010100</v>
      </c>
      <c r="M184" t="s">
        <v>35</v>
      </c>
      <c r="N184">
        <v>-60</v>
      </c>
      <c r="O184" s="32">
        <v>0</v>
      </c>
      <c r="P184" s="32">
        <v>0</v>
      </c>
      <c r="Q184" s="32">
        <v>91675</v>
      </c>
      <c r="R184" s="32">
        <v>0</v>
      </c>
      <c r="S184" s="32">
        <v>0</v>
      </c>
      <c r="T184" s="32">
        <v>0</v>
      </c>
      <c r="U184" s="32">
        <v>0</v>
      </c>
      <c r="V184" s="32">
        <v>0</v>
      </c>
      <c r="W184" s="32">
        <v>0</v>
      </c>
      <c r="X184" s="32">
        <v>0</v>
      </c>
      <c r="Y184" s="32">
        <v>0</v>
      </c>
      <c r="Z184" s="32">
        <v>0</v>
      </c>
      <c r="AA184" s="32">
        <v>0</v>
      </c>
      <c r="AB184" s="32">
        <v>0</v>
      </c>
      <c r="AC184" s="32" t="s">
        <v>472</v>
      </c>
      <c r="AD184" s="32"/>
      <c r="AE184" s="32">
        <v>0</v>
      </c>
    </row>
    <row r="185" spans="1:31" x14ac:dyDescent="0.25">
      <c r="A185">
        <v>7662</v>
      </c>
      <c r="B185" t="s">
        <v>611</v>
      </c>
      <c r="C185" t="s">
        <v>548</v>
      </c>
      <c r="D185" s="35">
        <v>91675</v>
      </c>
      <c r="E185">
        <v>1246273179</v>
      </c>
      <c r="F185" s="321">
        <v>46187</v>
      </c>
      <c r="G185" s="321"/>
      <c r="H185" t="s">
        <v>28</v>
      </c>
      <c r="I185" t="s">
        <v>29</v>
      </c>
      <c r="J185">
        <v>2902</v>
      </c>
      <c r="K185" s="321">
        <v>46142</v>
      </c>
      <c r="L185">
        <v>1010100</v>
      </c>
      <c r="M185" t="s">
        <v>35</v>
      </c>
      <c r="N185">
        <v>-45</v>
      </c>
      <c r="O185" s="32">
        <v>0</v>
      </c>
      <c r="P185" s="32">
        <v>0</v>
      </c>
      <c r="Q185" s="32">
        <v>91675</v>
      </c>
      <c r="R185" s="32">
        <v>0</v>
      </c>
      <c r="S185" s="32">
        <v>0</v>
      </c>
      <c r="T185" s="32">
        <v>0</v>
      </c>
      <c r="U185" s="32">
        <v>0</v>
      </c>
      <c r="V185" s="32">
        <v>0</v>
      </c>
      <c r="W185" s="32">
        <v>0</v>
      </c>
      <c r="X185" s="32">
        <v>0</v>
      </c>
      <c r="Y185" s="32">
        <v>0</v>
      </c>
      <c r="Z185" s="32">
        <v>0</v>
      </c>
      <c r="AA185" s="32">
        <v>0</v>
      </c>
      <c r="AB185" s="32">
        <v>0</v>
      </c>
      <c r="AC185" s="32" t="s">
        <v>472</v>
      </c>
      <c r="AD185" s="32"/>
      <c r="AE185" s="32">
        <v>0</v>
      </c>
    </row>
    <row r="186" spans="1:31" x14ac:dyDescent="0.25">
      <c r="A186">
        <v>7662</v>
      </c>
      <c r="B186" t="s">
        <v>611</v>
      </c>
      <c r="C186" t="s">
        <v>548</v>
      </c>
      <c r="D186" s="35">
        <v>77060</v>
      </c>
      <c r="E186">
        <v>1246269689</v>
      </c>
      <c r="F186" s="321">
        <v>46157</v>
      </c>
      <c r="G186" s="321"/>
      <c r="H186" t="s">
        <v>28</v>
      </c>
      <c r="I186" t="s">
        <v>29</v>
      </c>
      <c r="J186">
        <v>2856</v>
      </c>
      <c r="K186" s="321">
        <v>46112</v>
      </c>
      <c r="L186">
        <v>1010100</v>
      </c>
      <c r="M186" t="s">
        <v>35</v>
      </c>
      <c r="N186">
        <v>-15</v>
      </c>
      <c r="O186" s="32">
        <v>0</v>
      </c>
      <c r="P186" s="32">
        <v>0</v>
      </c>
      <c r="Q186" s="32">
        <v>77060</v>
      </c>
      <c r="R186" s="32">
        <v>0</v>
      </c>
      <c r="S186" s="32">
        <v>0</v>
      </c>
      <c r="T186" s="32">
        <v>0</v>
      </c>
      <c r="U186" s="32">
        <v>0</v>
      </c>
      <c r="V186" s="32">
        <v>0</v>
      </c>
      <c r="W186" s="32">
        <v>0</v>
      </c>
      <c r="X186" s="32">
        <v>0</v>
      </c>
      <c r="Y186" s="32">
        <v>0</v>
      </c>
      <c r="Z186" s="32">
        <v>0</v>
      </c>
      <c r="AA186" s="32">
        <v>0</v>
      </c>
      <c r="AB186" s="32">
        <v>0</v>
      </c>
      <c r="AC186" s="32" t="s">
        <v>472</v>
      </c>
      <c r="AD186" s="32"/>
      <c r="AE186" s="32">
        <v>0</v>
      </c>
    </row>
    <row r="187" spans="1:31" x14ac:dyDescent="0.25">
      <c r="A187">
        <v>7662</v>
      </c>
      <c r="B187" t="s">
        <v>611</v>
      </c>
      <c r="C187" t="s">
        <v>548</v>
      </c>
      <c r="D187" s="35">
        <v>77060</v>
      </c>
      <c r="E187">
        <v>1246269690</v>
      </c>
      <c r="F187" s="321">
        <v>46172</v>
      </c>
      <c r="G187" s="321"/>
      <c r="H187" t="s">
        <v>28</v>
      </c>
      <c r="I187" t="s">
        <v>29</v>
      </c>
      <c r="J187">
        <v>2856</v>
      </c>
      <c r="K187" s="321">
        <v>46112</v>
      </c>
      <c r="L187">
        <v>1010100</v>
      </c>
      <c r="M187" t="s">
        <v>35</v>
      </c>
      <c r="N187">
        <v>-30</v>
      </c>
      <c r="O187" s="32">
        <v>0</v>
      </c>
      <c r="P187" s="32">
        <v>0</v>
      </c>
      <c r="Q187" s="32">
        <v>77060</v>
      </c>
      <c r="R187" s="32">
        <v>0</v>
      </c>
      <c r="S187" s="32">
        <v>0</v>
      </c>
      <c r="T187" s="32">
        <v>0</v>
      </c>
      <c r="U187" s="32">
        <v>0</v>
      </c>
      <c r="V187" s="32">
        <v>0</v>
      </c>
      <c r="W187" s="32">
        <v>0</v>
      </c>
      <c r="X187" s="32">
        <v>0</v>
      </c>
      <c r="Y187" s="32">
        <v>0</v>
      </c>
      <c r="Z187" s="32">
        <v>0</v>
      </c>
      <c r="AA187" s="32">
        <v>0</v>
      </c>
      <c r="AB187" s="32">
        <v>0</v>
      </c>
      <c r="AC187" s="32" t="s">
        <v>472</v>
      </c>
      <c r="AD187" s="32"/>
      <c r="AE187" s="32">
        <v>0</v>
      </c>
    </row>
    <row r="188" spans="1:31" x14ac:dyDescent="0.25">
      <c r="A188">
        <v>7479</v>
      </c>
      <c r="B188" t="s">
        <v>496</v>
      </c>
      <c r="C188" t="s">
        <v>825</v>
      </c>
      <c r="D188" s="35">
        <v>64104.800000000003</v>
      </c>
      <c r="E188">
        <v>1246264518</v>
      </c>
      <c r="F188" s="321">
        <v>46166</v>
      </c>
      <c r="G188" s="321"/>
      <c r="H188" t="s">
        <v>28</v>
      </c>
      <c r="I188" t="s">
        <v>29</v>
      </c>
      <c r="J188">
        <v>10739</v>
      </c>
      <c r="K188" s="321">
        <v>46076</v>
      </c>
      <c r="L188">
        <v>1010100</v>
      </c>
      <c r="M188" t="s">
        <v>35</v>
      </c>
      <c r="N188">
        <v>-24</v>
      </c>
      <c r="O188" s="32">
        <v>0</v>
      </c>
      <c r="P188" s="32">
        <v>0</v>
      </c>
      <c r="Q188" s="32">
        <v>64104.800000000003</v>
      </c>
      <c r="R188" s="32">
        <v>0</v>
      </c>
      <c r="S188" s="32">
        <v>0</v>
      </c>
      <c r="T188" s="32">
        <v>0</v>
      </c>
      <c r="U188" s="32">
        <v>0</v>
      </c>
      <c r="V188" s="32">
        <v>0</v>
      </c>
      <c r="W188" s="32">
        <v>0</v>
      </c>
      <c r="X188" s="32">
        <v>0</v>
      </c>
      <c r="Y188" s="32">
        <v>0</v>
      </c>
      <c r="Z188" s="32">
        <v>0</v>
      </c>
      <c r="AA188" s="32">
        <v>0</v>
      </c>
      <c r="AB188" s="32">
        <v>0</v>
      </c>
      <c r="AC188" s="32" t="s">
        <v>536</v>
      </c>
      <c r="AD188" s="32"/>
      <c r="AE188" s="32">
        <v>0</v>
      </c>
    </row>
    <row r="189" spans="1:31" x14ac:dyDescent="0.25">
      <c r="A189">
        <v>6477</v>
      </c>
      <c r="B189" t="s">
        <v>496</v>
      </c>
      <c r="C189" t="s">
        <v>98</v>
      </c>
      <c r="D189" s="35">
        <v>167720</v>
      </c>
      <c r="E189">
        <v>1246262010</v>
      </c>
      <c r="F189" s="321">
        <v>46145</v>
      </c>
      <c r="G189" s="321">
        <v>46146</v>
      </c>
      <c r="H189" t="s">
        <v>28</v>
      </c>
      <c r="I189" t="s">
        <v>29</v>
      </c>
      <c r="J189">
        <v>10625</v>
      </c>
      <c r="K189" s="321">
        <v>46055</v>
      </c>
      <c r="L189">
        <v>1010100</v>
      </c>
      <c r="M189" t="s">
        <v>35</v>
      </c>
      <c r="N189">
        <v>-3</v>
      </c>
      <c r="O189" s="32">
        <v>0</v>
      </c>
      <c r="P189" s="32">
        <v>0</v>
      </c>
      <c r="Q189" s="32">
        <v>167720</v>
      </c>
      <c r="R189" s="32">
        <v>0</v>
      </c>
      <c r="S189" s="32">
        <v>0</v>
      </c>
      <c r="T189" s="32">
        <v>0</v>
      </c>
      <c r="U189" s="32">
        <v>0</v>
      </c>
      <c r="V189" s="32">
        <v>0</v>
      </c>
      <c r="W189" s="32">
        <v>0</v>
      </c>
      <c r="X189" s="32">
        <v>0</v>
      </c>
      <c r="Y189" s="32">
        <v>0</v>
      </c>
      <c r="Z189" s="32">
        <v>0</v>
      </c>
      <c r="AA189" s="32">
        <v>0</v>
      </c>
      <c r="AB189" s="32">
        <v>0</v>
      </c>
      <c r="AC189" s="32" t="s">
        <v>536</v>
      </c>
      <c r="AD189" s="32"/>
      <c r="AE189" s="32">
        <v>0</v>
      </c>
    </row>
    <row r="190" spans="1:31" x14ac:dyDescent="0.25">
      <c r="A190">
        <v>6477</v>
      </c>
      <c r="B190" t="s">
        <v>496</v>
      </c>
      <c r="C190" t="s">
        <v>98</v>
      </c>
      <c r="D190" s="35">
        <v>5400</v>
      </c>
      <c r="E190">
        <v>1246054441</v>
      </c>
      <c r="F190" s="321">
        <v>44897</v>
      </c>
      <c r="G190" s="321"/>
      <c r="H190" t="s">
        <v>28</v>
      </c>
      <c r="I190" t="s">
        <v>29</v>
      </c>
      <c r="J190">
        <v>1246054441</v>
      </c>
      <c r="K190" s="321">
        <v>44882</v>
      </c>
      <c r="L190">
        <v>3041000</v>
      </c>
      <c r="M190" t="s">
        <v>137</v>
      </c>
      <c r="N190">
        <v>1245</v>
      </c>
      <c r="O190" s="32">
        <v>0</v>
      </c>
      <c r="P190" s="32">
        <v>5400</v>
      </c>
      <c r="Q190" s="32">
        <v>0</v>
      </c>
      <c r="R190" s="32">
        <v>0</v>
      </c>
      <c r="S190" s="32">
        <v>0</v>
      </c>
      <c r="T190" s="32">
        <v>0</v>
      </c>
      <c r="U190" s="32">
        <v>5400</v>
      </c>
      <c r="V190" s="32">
        <v>0</v>
      </c>
      <c r="W190" s="32">
        <v>162</v>
      </c>
      <c r="X190" s="32">
        <v>5238</v>
      </c>
      <c r="Y190" s="32">
        <v>5238</v>
      </c>
      <c r="Z190" s="32">
        <v>5400</v>
      </c>
      <c r="AA190" s="32">
        <v>0</v>
      </c>
      <c r="AB190" s="32">
        <v>5400</v>
      </c>
      <c r="AC190" s="32" t="s">
        <v>536</v>
      </c>
      <c r="AD190" s="32"/>
      <c r="AE190" s="32">
        <v>5400</v>
      </c>
    </row>
    <row r="191" spans="1:31" x14ac:dyDescent="0.25">
      <c r="A191">
        <v>6477</v>
      </c>
      <c r="B191" t="s">
        <v>496</v>
      </c>
      <c r="C191" t="s">
        <v>98</v>
      </c>
      <c r="D191" s="35">
        <v>166320</v>
      </c>
      <c r="E191">
        <v>1246263184</v>
      </c>
      <c r="F191" s="321">
        <v>46153</v>
      </c>
      <c r="G191" s="321"/>
      <c r="H191" t="s">
        <v>28</v>
      </c>
      <c r="I191" t="s">
        <v>29</v>
      </c>
      <c r="J191">
        <v>10673</v>
      </c>
      <c r="K191" s="321">
        <v>46063</v>
      </c>
      <c r="L191">
        <v>1010100</v>
      </c>
      <c r="M191" t="s">
        <v>35</v>
      </c>
      <c r="N191">
        <v>-11</v>
      </c>
      <c r="O191" s="32">
        <v>0</v>
      </c>
      <c r="P191" s="32">
        <v>0</v>
      </c>
      <c r="Q191" s="32">
        <v>166320</v>
      </c>
      <c r="R191" s="32">
        <v>0</v>
      </c>
      <c r="S191" s="32">
        <v>0</v>
      </c>
      <c r="T191" s="32">
        <v>0</v>
      </c>
      <c r="U191" s="32">
        <v>0</v>
      </c>
      <c r="V191" s="32">
        <v>0</v>
      </c>
      <c r="W191" s="32">
        <v>0</v>
      </c>
      <c r="X191" s="32">
        <v>0</v>
      </c>
      <c r="Y191" s="32">
        <v>0</v>
      </c>
      <c r="Z191" s="32">
        <v>0</v>
      </c>
      <c r="AA191" s="32">
        <v>0</v>
      </c>
      <c r="AB191" s="32">
        <v>0</v>
      </c>
      <c r="AC191" s="32" t="s">
        <v>536</v>
      </c>
      <c r="AD191" s="32"/>
      <c r="AE191" s="32">
        <v>0</v>
      </c>
    </row>
    <row r="192" spans="1:31" x14ac:dyDescent="0.25">
      <c r="A192">
        <v>6477</v>
      </c>
      <c r="B192" t="s">
        <v>496</v>
      </c>
      <c r="C192" t="s">
        <v>98</v>
      </c>
      <c r="D192" s="35">
        <v>6302.6</v>
      </c>
      <c r="E192">
        <v>1246212732</v>
      </c>
      <c r="F192" s="321">
        <v>45682</v>
      </c>
      <c r="G192" s="321"/>
      <c r="H192" t="s">
        <v>28</v>
      </c>
      <c r="I192" t="s">
        <v>29</v>
      </c>
      <c r="J192">
        <v>6197</v>
      </c>
      <c r="K192" s="321">
        <v>45622</v>
      </c>
      <c r="L192">
        <v>1010100</v>
      </c>
      <c r="M192" t="s">
        <v>35</v>
      </c>
      <c r="N192">
        <v>460</v>
      </c>
      <c r="O192" s="32">
        <v>0</v>
      </c>
      <c r="P192" s="32">
        <v>6302.6</v>
      </c>
      <c r="Q192" s="32">
        <v>0</v>
      </c>
      <c r="R192" s="32">
        <v>0</v>
      </c>
      <c r="S192" s="32">
        <v>0</v>
      </c>
      <c r="T192" s="32">
        <v>0</v>
      </c>
      <c r="U192" s="32">
        <v>6302.6</v>
      </c>
      <c r="V192" s="32">
        <v>0</v>
      </c>
      <c r="W192" s="32">
        <v>189.078</v>
      </c>
      <c r="X192" s="32">
        <v>6113.5219999999999</v>
      </c>
      <c r="Y192" s="32">
        <v>6113.5219999999999</v>
      </c>
      <c r="Z192" s="32">
        <v>6302.6</v>
      </c>
      <c r="AA192" s="32">
        <v>0</v>
      </c>
      <c r="AB192" s="32">
        <v>6302.6</v>
      </c>
      <c r="AC192" s="32" t="s">
        <v>536</v>
      </c>
      <c r="AD192" s="32"/>
      <c r="AE192" s="32">
        <v>6302.6</v>
      </c>
    </row>
    <row r="193" spans="1:31" x14ac:dyDescent="0.25">
      <c r="A193">
        <v>7097</v>
      </c>
      <c r="B193" t="s">
        <v>496</v>
      </c>
      <c r="C193" t="s">
        <v>102</v>
      </c>
      <c r="D193" s="35">
        <v>177977.8</v>
      </c>
      <c r="E193">
        <v>1246265921</v>
      </c>
      <c r="F193" s="321">
        <v>46173</v>
      </c>
      <c r="G193" s="321">
        <v>46146</v>
      </c>
      <c r="H193" t="s">
        <v>28</v>
      </c>
      <c r="I193" t="s">
        <v>29</v>
      </c>
      <c r="J193">
        <v>10795</v>
      </c>
      <c r="K193" s="321">
        <v>46083</v>
      </c>
      <c r="L193">
        <v>1010100</v>
      </c>
      <c r="M193" t="s">
        <v>35</v>
      </c>
      <c r="N193">
        <v>-31</v>
      </c>
      <c r="O193" s="32">
        <v>0</v>
      </c>
      <c r="P193" s="32">
        <v>0</v>
      </c>
      <c r="Q193" s="32">
        <v>177977.8</v>
      </c>
      <c r="R193" s="32">
        <v>0</v>
      </c>
      <c r="S193" s="32">
        <v>0</v>
      </c>
      <c r="T193" s="32">
        <v>0</v>
      </c>
      <c r="U193" s="32">
        <v>0</v>
      </c>
      <c r="V193" s="32">
        <v>0</v>
      </c>
      <c r="W193" s="32">
        <v>0</v>
      </c>
      <c r="X193" s="32">
        <v>0</v>
      </c>
      <c r="Y193" s="32">
        <v>0</v>
      </c>
      <c r="Z193" s="32">
        <v>0</v>
      </c>
      <c r="AA193" s="32">
        <v>0</v>
      </c>
      <c r="AB193" s="32">
        <v>0</v>
      </c>
      <c r="AC193" s="32" t="s">
        <v>536</v>
      </c>
      <c r="AD193" s="32"/>
      <c r="AE193" s="32">
        <v>0</v>
      </c>
    </row>
    <row r="194" spans="1:31" x14ac:dyDescent="0.25">
      <c r="A194">
        <v>7097</v>
      </c>
      <c r="B194" t="s">
        <v>496</v>
      </c>
      <c r="C194" t="s">
        <v>102</v>
      </c>
      <c r="D194" s="35">
        <v>11300</v>
      </c>
      <c r="E194">
        <v>1246058687</v>
      </c>
      <c r="F194" s="321">
        <v>44925</v>
      </c>
      <c r="G194" s="321"/>
      <c r="H194" t="s">
        <v>28</v>
      </c>
      <c r="I194" t="s">
        <v>29</v>
      </c>
      <c r="J194">
        <v>1246058687</v>
      </c>
      <c r="K194" s="321">
        <v>44910</v>
      </c>
      <c r="L194">
        <v>3041000</v>
      </c>
      <c r="M194" t="s">
        <v>137</v>
      </c>
      <c r="N194">
        <v>1217</v>
      </c>
      <c r="O194" s="32">
        <v>0</v>
      </c>
      <c r="P194" s="32">
        <v>11300</v>
      </c>
      <c r="Q194" s="32">
        <v>0</v>
      </c>
      <c r="R194" s="32">
        <v>0</v>
      </c>
      <c r="S194" s="32">
        <v>0</v>
      </c>
      <c r="T194" s="32">
        <v>0</v>
      </c>
      <c r="U194" s="32">
        <v>11300</v>
      </c>
      <c r="V194" s="32">
        <v>0</v>
      </c>
      <c r="W194" s="32">
        <v>339</v>
      </c>
      <c r="X194" s="32">
        <v>10961</v>
      </c>
      <c r="Y194" s="32">
        <v>10961</v>
      </c>
      <c r="Z194" s="32">
        <v>11300</v>
      </c>
      <c r="AA194" s="32">
        <v>0</v>
      </c>
      <c r="AB194" s="32">
        <v>11300</v>
      </c>
      <c r="AC194" s="32" t="s">
        <v>536</v>
      </c>
      <c r="AD194" s="32"/>
      <c r="AE194" s="32">
        <v>11300</v>
      </c>
    </row>
    <row r="195" spans="1:31" x14ac:dyDescent="0.25">
      <c r="A195">
        <v>7097</v>
      </c>
      <c r="B195" t="s">
        <v>496</v>
      </c>
      <c r="C195" t="s">
        <v>102</v>
      </c>
      <c r="D195" s="35">
        <v>10183.120000000001</v>
      </c>
      <c r="E195">
        <v>1246057240</v>
      </c>
      <c r="F195" s="321">
        <v>44922</v>
      </c>
      <c r="G195" s="321"/>
      <c r="H195" t="s">
        <v>28</v>
      </c>
      <c r="I195" t="s">
        <v>29</v>
      </c>
      <c r="J195">
        <v>71222</v>
      </c>
      <c r="K195" s="321">
        <v>44902</v>
      </c>
      <c r="L195">
        <v>3041000</v>
      </c>
      <c r="M195" t="s">
        <v>137</v>
      </c>
      <c r="N195">
        <v>1220</v>
      </c>
      <c r="O195" s="32">
        <v>0</v>
      </c>
      <c r="P195" s="32">
        <v>10183.120000000001</v>
      </c>
      <c r="Q195" s="32">
        <v>0</v>
      </c>
      <c r="R195" s="32">
        <v>0</v>
      </c>
      <c r="S195" s="32">
        <v>0</v>
      </c>
      <c r="T195" s="32">
        <v>0</v>
      </c>
      <c r="U195" s="32">
        <v>10183.120000000001</v>
      </c>
      <c r="V195" s="32">
        <v>0</v>
      </c>
      <c r="W195" s="32">
        <v>305.49360000000001</v>
      </c>
      <c r="X195" s="32">
        <v>9877.626400000001</v>
      </c>
      <c r="Y195" s="32">
        <v>9877.626400000001</v>
      </c>
      <c r="Z195" s="32">
        <v>10183.120000000001</v>
      </c>
      <c r="AA195" s="32">
        <v>0</v>
      </c>
      <c r="AB195" s="32">
        <v>10183.120000000001</v>
      </c>
      <c r="AC195" s="32" t="s">
        <v>536</v>
      </c>
      <c r="AD195" s="32"/>
      <c r="AE195" s="32">
        <v>10183.120000000001</v>
      </c>
    </row>
    <row r="196" spans="1:31" x14ac:dyDescent="0.25">
      <c r="A196">
        <v>7443</v>
      </c>
      <c r="B196" t="s">
        <v>496</v>
      </c>
      <c r="C196" t="s">
        <v>252</v>
      </c>
      <c r="D196" s="35">
        <v>1200</v>
      </c>
      <c r="E196">
        <v>1246156403</v>
      </c>
      <c r="F196" s="321">
        <v>45496</v>
      </c>
      <c r="G196" s="321"/>
      <c r="H196" t="s">
        <v>28</v>
      </c>
      <c r="I196" t="s">
        <v>29</v>
      </c>
      <c r="J196">
        <v>1246156403</v>
      </c>
      <c r="K196" s="321">
        <v>45481</v>
      </c>
      <c r="L196">
        <v>3041000</v>
      </c>
      <c r="M196" t="s">
        <v>137</v>
      </c>
      <c r="N196">
        <v>646</v>
      </c>
      <c r="O196" s="32">
        <v>0</v>
      </c>
      <c r="P196" s="32">
        <v>1200</v>
      </c>
      <c r="Q196" s="32">
        <v>0</v>
      </c>
      <c r="R196" s="32">
        <v>0</v>
      </c>
      <c r="S196" s="32">
        <v>0</v>
      </c>
      <c r="T196" s="32">
        <v>0</v>
      </c>
      <c r="U196" s="32">
        <v>1200</v>
      </c>
      <c r="V196" s="32">
        <v>0</v>
      </c>
      <c r="W196" s="32">
        <v>36</v>
      </c>
      <c r="X196" s="32">
        <v>1164</v>
      </c>
      <c r="Y196" s="32">
        <v>1164</v>
      </c>
      <c r="Z196" s="32">
        <v>1200</v>
      </c>
      <c r="AA196" s="32">
        <v>0</v>
      </c>
      <c r="AB196" s="32">
        <v>1200</v>
      </c>
      <c r="AC196" s="32" t="s">
        <v>536</v>
      </c>
      <c r="AD196" s="32"/>
      <c r="AE196" s="32">
        <v>1200</v>
      </c>
    </row>
    <row r="197" spans="1:31" x14ac:dyDescent="0.25">
      <c r="A197">
        <v>7443</v>
      </c>
      <c r="B197" t="s">
        <v>496</v>
      </c>
      <c r="C197" t="s">
        <v>252</v>
      </c>
      <c r="D197" s="35">
        <v>1200</v>
      </c>
      <c r="E197">
        <v>1246156396</v>
      </c>
      <c r="F197" s="321">
        <v>45496</v>
      </c>
      <c r="G197" s="321"/>
      <c r="H197" t="s">
        <v>28</v>
      </c>
      <c r="I197" t="s">
        <v>29</v>
      </c>
      <c r="J197">
        <v>1246156396</v>
      </c>
      <c r="K197" s="321">
        <v>45481</v>
      </c>
      <c r="L197">
        <v>3041000</v>
      </c>
      <c r="M197" t="s">
        <v>137</v>
      </c>
      <c r="N197">
        <v>646</v>
      </c>
      <c r="O197" s="32">
        <v>0</v>
      </c>
      <c r="P197" s="32">
        <v>1200</v>
      </c>
      <c r="Q197" s="32">
        <v>0</v>
      </c>
      <c r="R197" s="32">
        <v>0</v>
      </c>
      <c r="S197" s="32">
        <v>0</v>
      </c>
      <c r="T197" s="32">
        <v>0</v>
      </c>
      <c r="U197" s="32">
        <v>1200</v>
      </c>
      <c r="V197" s="32">
        <v>0</v>
      </c>
      <c r="W197" s="32">
        <v>36</v>
      </c>
      <c r="X197" s="32">
        <v>1164</v>
      </c>
      <c r="Y197" s="32">
        <v>1164</v>
      </c>
      <c r="Z197" s="32">
        <v>1200</v>
      </c>
      <c r="AA197" s="32">
        <v>0</v>
      </c>
      <c r="AB197" s="32">
        <v>1200</v>
      </c>
      <c r="AC197" s="32" t="s">
        <v>536</v>
      </c>
      <c r="AD197" s="32"/>
      <c r="AE197" s="32">
        <v>1200</v>
      </c>
    </row>
    <row r="198" spans="1:31" x14ac:dyDescent="0.25">
      <c r="A198">
        <v>7024</v>
      </c>
      <c r="B198" t="s">
        <v>496</v>
      </c>
      <c r="C198" t="s">
        <v>834</v>
      </c>
      <c r="D198" s="35">
        <v>70855.199999999997</v>
      </c>
      <c r="E198">
        <v>1246269662</v>
      </c>
      <c r="F198" s="321">
        <v>46201</v>
      </c>
      <c r="G198" s="321"/>
      <c r="H198" t="s">
        <v>28</v>
      </c>
      <c r="I198" t="s">
        <v>29</v>
      </c>
      <c r="J198">
        <v>11011</v>
      </c>
      <c r="K198" s="321">
        <v>46111</v>
      </c>
      <c r="L198">
        <v>1010100</v>
      </c>
      <c r="M198" t="s">
        <v>35</v>
      </c>
      <c r="N198">
        <v>-59</v>
      </c>
      <c r="O198" s="32">
        <v>0</v>
      </c>
      <c r="P198" s="32">
        <v>0</v>
      </c>
      <c r="Q198" s="32">
        <v>70855.199999999997</v>
      </c>
      <c r="R198" s="32">
        <v>0</v>
      </c>
      <c r="S198" s="32">
        <v>0</v>
      </c>
      <c r="T198" s="32">
        <v>0</v>
      </c>
      <c r="U198" s="32">
        <v>0</v>
      </c>
      <c r="V198" s="32">
        <v>0</v>
      </c>
      <c r="W198" s="32">
        <v>0</v>
      </c>
      <c r="X198" s="32">
        <v>0</v>
      </c>
      <c r="Y198" s="32">
        <v>0</v>
      </c>
      <c r="Z198" s="32">
        <v>0</v>
      </c>
      <c r="AA198" s="32">
        <v>0</v>
      </c>
      <c r="AB198" s="32">
        <v>0</v>
      </c>
      <c r="AC198" s="32" t="s">
        <v>536</v>
      </c>
      <c r="AD198" s="32"/>
      <c r="AE198" s="32">
        <v>0</v>
      </c>
    </row>
    <row r="199" spans="1:31" x14ac:dyDescent="0.25">
      <c r="A199">
        <v>7024</v>
      </c>
      <c r="B199" t="s">
        <v>496</v>
      </c>
      <c r="C199" t="s">
        <v>834</v>
      </c>
      <c r="D199" s="35">
        <v>71323.199999999997</v>
      </c>
      <c r="E199">
        <v>1246270943</v>
      </c>
      <c r="F199" s="321">
        <v>46212</v>
      </c>
      <c r="G199" s="321"/>
      <c r="H199" t="s">
        <v>28</v>
      </c>
      <c r="I199" t="s">
        <v>29</v>
      </c>
      <c r="J199">
        <v>11084</v>
      </c>
      <c r="K199" s="321">
        <v>46122</v>
      </c>
      <c r="L199">
        <v>1010100</v>
      </c>
      <c r="M199" t="s">
        <v>35</v>
      </c>
      <c r="N199">
        <v>-70</v>
      </c>
      <c r="O199" s="32">
        <v>0</v>
      </c>
      <c r="P199" s="32">
        <v>0</v>
      </c>
      <c r="Q199" s="32">
        <v>71323.199999999997</v>
      </c>
      <c r="R199" s="32">
        <v>0</v>
      </c>
      <c r="S199" s="32">
        <v>0</v>
      </c>
      <c r="T199" s="32">
        <v>0</v>
      </c>
      <c r="U199" s="32">
        <v>0</v>
      </c>
      <c r="V199" s="32">
        <v>0</v>
      </c>
      <c r="W199" s="32">
        <v>0</v>
      </c>
      <c r="X199" s="32">
        <v>0</v>
      </c>
      <c r="Y199" s="32">
        <v>0</v>
      </c>
      <c r="Z199" s="32">
        <v>0</v>
      </c>
      <c r="AA199" s="32">
        <v>0</v>
      </c>
      <c r="AB199" s="32">
        <v>0</v>
      </c>
      <c r="AC199" s="32" t="s">
        <v>536</v>
      </c>
      <c r="AD199" s="32"/>
      <c r="AE199" s="32">
        <v>0</v>
      </c>
    </row>
    <row r="200" spans="1:31" x14ac:dyDescent="0.25">
      <c r="A200">
        <v>7024</v>
      </c>
      <c r="B200" t="s">
        <v>496</v>
      </c>
      <c r="C200" t="s">
        <v>834</v>
      </c>
      <c r="D200" s="35">
        <v>70410.600000000006</v>
      </c>
      <c r="E200">
        <v>1246265856</v>
      </c>
      <c r="F200" s="321">
        <v>46170</v>
      </c>
      <c r="G200" s="321"/>
      <c r="H200" t="s">
        <v>28</v>
      </c>
      <c r="I200" t="s">
        <v>29</v>
      </c>
      <c r="J200">
        <v>10790</v>
      </c>
      <c r="K200" s="321">
        <v>46080</v>
      </c>
      <c r="L200">
        <v>1010100</v>
      </c>
      <c r="M200" t="s">
        <v>35</v>
      </c>
      <c r="N200">
        <v>-28</v>
      </c>
      <c r="O200" s="32">
        <v>0</v>
      </c>
      <c r="P200" s="32">
        <v>0</v>
      </c>
      <c r="Q200" s="32">
        <v>70410.600000000006</v>
      </c>
      <c r="R200" s="32">
        <v>0</v>
      </c>
      <c r="S200" s="32">
        <v>0</v>
      </c>
      <c r="T200" s="32">
        <v>0</v>
      </c>
      <c r="U200" s="32">
        <v>0</v>
      </c>
      <c r="V200" s="32">
        <v>0</v>
      </c>
      <c r="W200" s="32">
        <v>0</v>
      </c>
      <c r="X200" s="32">
        <v>0</v>
      </c>
      <c r="Y200" s="32">
        <v>0</v>
      </c>
      <c r="Z200" s="32">
        <v>0</v>
      </c>
      <c r="AA200" s="32">
        <v>0</v>
      </c>
      <c r="AB200" s="32">
        <v>0</v>
      </c>
      <c r="AC200" s="32" t="s">
        <v>536</v>
      </c>
      <c r="AD200" s="32"/>
      <c r="AE200" s="32">
        <v>0</v>
      </c>
    </row>
    <row r="201" spans="1:31" x14ac:dyDescent="0.25">
      <c r="A201">
        <v>7302</v>
      </c>
      <c r="B201" t="s">
        <v>496</v>
      </c>
      <c r="C201" t="s">
        <v>104</v>
      </c>
      <c r="D201" s="35">
        <v>167720</v>
      </c>
      <c r="E201">
        <v>1246262004</v>
      </c>
      <c r="F201" s="321">
        <v>46145</v>
      </c>
      <c r="G201" s="321">
        <v>46146</v>
      </c>
      <c r="H201" t="s">
        <v>28</v>
      </c>
      <c r="I201" t="s">
        <v>29</v>
      </c>
      <c r="J201">
        <v>10622</v>
      </c>
      <c r="K201" s="321">
        <v>46055</v>
      </c>
      <c r="L201">
        <v>1010100</v>
      </c>
      <c r="M201" t="s">
        <v>35</v>
      </c>
      <c r="N201">
        <v>-3</v>
      </c>
      <c r="O201" s="32">
        <v>0</v>
      </c>
      <c r="P201" s="32">
        <v>0</v>
      </c>
      <c r="Q201" s="32">
        <v>167720</v>
      </c>
      <c r="R201" s="32">
        <v>0</v>
      </c>
      <c r="S201" s="32">
        <v>0</v>
      </c>
      <c r="T201" s="32">
        <v>0</v>
      </c>
      <c r="U201" s="32">
        <v>0</v>
      </c>
      <c r="V201" s="32">
        <v>0</v>
      </c>
      <c r="W201" s="32">
        <v>0</v>
      </c>
      <c r="X201" s="32">
        <v>0</v>
      </c>
      <c r="Y201" s="32">
        <v>0</v>
      </c>
      <c r="Z201" s="32">
        <v>0</v>
      </c>
      <c r="AA201" s="32">
        <v>0</v>
      </c>
      <c r="AB201" s="32">
        <v>0</v>
      </c>
      <c r="AC201" s="32" t="s">
        <v>536</v>
      </c>
      <c r="AD201" s="32"/>
      <c r="AE201" s="32">
        <v>0</v>
      </c>
    </row>
    <row r="202" spans="1:31" x14ac:dyDescent="0.25">
      <c r="A202">
        <v>7302</v>
      </c>
      <c r="B202" t="s">
        <v>496</v>
      </c>
      <c r="C202" t="s">
        <v>104</v>
      </c>
      <c r="D202" s="35">
        <v>1800</v>
      </c>
      <c r="E202">
        <v>1246045752</v>
      </c>
      <c r="F202" s="321">
        <v>44848</v>
      </c>
      <c r="G202" s="321"/>
      <c r="H202" t="s">
        <v>28</v>
      </c>
      <c r="I202" t="s">
        <v>29</v>
      </c>
      <c r="J202">
        <v>290922</v>
      </c>
      <c r="K202" s="321">
        <v>44833</v>
      </c>
      <c r="L202">
        <v>3041000</v>
      </c>
      <c r="M202" t="s">
        <v>137</v>
      </c>
      <c r="N202">
        <v>1294</v>
      </c>
      <c r="O202" s="32">
        <v>0</v>
      </c>
      <c r="P202" s="32">
        <v>1800</v>
      </c>
      <c r="Q202" s="32">
        <v>0</v>
      </c>
      <c r="R202" s="32">
        <v>0</v>
      </c>
      <c r="S202" s="32">
        <v>0</v>
      </c>
      <c r="T202" s="32">
        <v>0</v>
      </c>
      <c r="U202" s="32">
        <v>1800</v>
      </c>
      <c r="V202" s="32">
        <v>0</v>
      </c>
      <c r="W202" s="32">
        <v>54</v>
      </c>
      <c r="X202" s="32">
        <v>1746</v>
      </c>
      <c r="Y202" s="32">
        <v>1746</v>
      </c>
      <c r="Z202" s="32">
        <v>1800</v>
      </c>
      <c r="AA202" s="32">
        <v>0</v>
      </c>
      <c r="AB202" s="32">
        <v>1800</v>
      </c>
      <c r="AC202" s="32" t="s">
        <v>536</v>
      </c>
      <c r="AD202" s="32"/>
      <c r="AE202" s="32">
        <v>1800</v>
      </c>
    </row>
    <row r="203" spans="1:31" x14ac:dyDescent="0.25">
      <c r="A203">
        <v>7302</v>
      </c>
      <c r="B203" t="s">
        <v>496</v>
      </c>
      <c r="C203" t="s">
        <v>104</v>
      </c>
      <c r="D203" s="35">
        <v>7200</v>
      </c>
      <c r="E203">
        <v>1246033417</v>
      </c>
      <c r="F203" s="321">
        <v>44792</v>
      </c>
      <c r="G203" s="321"/>
      <c r="H203" t="s">
        <v>28</v>
      </c>
      <c r="I203" t="s">
        <v>29</v>
      </c>
      <c r="J203">
        <v>1246033417</v>
      </c>
      <c r="K203" s="321">
        <v>44777</v>
      </c>
      <c r="L203">
        <v>3041000</v>
      </c>
      <c r="M203" t="s">
        <v>137</v>
      </c>
      <c r="N203">
        <v>1350</v>
      </c>
      <c r="O203" s="32">
        <v>0</v>
      </c>
      <c r="P203" s="32">
        <v>7200</v>
      </c>
      <c r="Q203" s="32">
        <v>0</v>
      </c>
      <c r="R203" s="32">
        <v>0</v>
      </c>
      <c r="S203" s="32">
        <v>0</v>
      </c>
      <c r="T203" s="32">
        <v>0</v>
      </c>
      <c r="U203" s="32">
        <v>7200</v>
      </c>
      <c r="V203" s="32">
        <v>0</v>
      </c>
      <c r="W203" s="32">
        <v>216</v>
      </c>
      <c r="X203" s="32">
        <v>6984</v>
      </c>
      <c r="Y203" s="32">
        <v>6984</v>
      </c>
      <c r="Z203" s="32">
        <v>7200</v>
      </c>
      <c r="AA203" s="32">
        <v>0</v>
      </c>
      <c r="AB203" s="32">
        <v>7200</v>
      </c>
      <c r="AC203" s="32" t="s">
        <v>536</v>
      </c>
      <c r="AD203" s="32"/>
      <c r="AE203" s="32">
        <v>7200</v>
      </c>
    </row>
    <row r="204" spans="1:31" x14ac:dyDescent="0.25">
      <c r="A204">
        <v>7302</v>
      </c>
      <c r="B204" t="s">
        <v>496</v>
      </c>
      <c r="C204" t="s">
        <v>104</v>
      </c>
      <c r="D204" s="35">
        <v>1431.76</v>
      </c>
      <c r="E204">
        <v>1246062794</v>
      </c>
      <c r="F204" s="321">
        <v>44939</v>
      </c>
      <c r="G204" s="321"/>
      <c r="H204" t="s">
        <v>28</v>
      </c>
      <c r="I204" t="s">
        <v>29</v>
      </c>
      <c r="J204">
        <v>19884</v>
      </c>
      <c r="K204" s="321">
        <v>44879</v>
      </c>
      <c r="L204">
        <v>1010100</v>
      </c>
      <c r="M204" t="s">
        <v>35</v>
      </c>
      <c r="N204">
        <v>1203</v>
      </c>
      <c r="O204" s="32">
        <v>0</v>
      </c>
      <c r="P204" s="32">
        <v>1431.76</v>
      </c>
      <c r="Q204" s="32">
        <v>0</v>
      </c>
      <c r="R204" s="32">
        <v>0</v>
      </c>
      <c r="S204" s="32">
        <v>0</v>
      </c>
      <c r="T204" s="32">
        <v>0</v>
      </c>
      <c r="U204" s="32">
        <v>1431.76</v>
      </c>
      <c r="V204" s="32">
        <v>0</v>
      </c>
      <c r="W204" s="32">
        <v>42.952799999999996</v>
      </c>
      <c r="X204" s="32">
        <v>1388.8072</v>
      </c>
      <c r="Y204" s="32">
        <v>1388.8072</v>
      </c>
      <c r="Z204" s="32">
        <v>1431.76</v>
      </c>
      <c r="AA204" s="32">
        <v>0</v>
      </c>
      <c r="AB204" s="32">
        <v>1431.76</v>
      </c>
      <c r="AC204" s="32" t="s">
        <v>536</v>
      </c>
      <c r="AD204" s="32"/>
      <c r="AE204" s="32">
        <v>1431.76</v>
      </c>
    </row>
    <row r="205" spans="1:31" x14ac:dyDescent="0.25">
      <c r="A205">
        <v>7302</v>
      </c>
      <c r="B205" t="s">
        <v>496</v>
      </c>
      <c r="C205" t="s">
        <v>104</v>
      </c>
      <c r="D205" s="35">
        <v>9000</v>
      </c>
      <c r="E205">
        <v>1246054438</v>
      </c>
      <c r="F205" s="321">
        <v>44897</v>
      </c>
      <c r="G205" s="321"/>
      <c r="H205" t="s">
        <v>28</v>
      </c>
      <c r="I205" t="s">
        <v>29</v>
      </c>
      <c r="J205">
        <v>1246054438</v>
      </c>
      <c r="K205" s="321">
        <v>44882</v>
      </c>
      <c r="L205">
        <v>3041000</v>
      </c>
      <c r="M205" t="s">
        <v>137</v>
      </c>
      <c r="N205">
        <v>1245</v>
      </c>
      <c r="O205" s="32">
        <v>0</v>
      </c>
      <c r="P205" s="32">
        <v>9000</v>
      </c>
      <c r="Q205" s="32">
        <v>0</v>
      </c>
      <c r="R205" s="32">
        <v>0</v>
      </c>
      <c r="S205" s="32">
        <v>0</v>
      </c>
      <c r="T205" s="32">
        <v>0</v>
      </c>
      <c r="U205" s="32">
        <v>9000</v>
      </c>
      <c r="V205" s="32">
        <v>0</v>
      </c>
      <c r="W205" s="32">
        <v>270</v>
      </c>
      <c r="X205" s="32">
        <v>8730</v>
      </c>
      <c r="Y205" s="32">
        <v>8730</v>
      </c>
      <c r="Z205" s="32">
        <v>9000</v>
      </c>
      <c r="AA205" s="32">
        <v>0</v>
      </c>
      <c r="AB205" s="32">
        <v>9000</v>
      </c>
      <c r="AC205" s="32" t="s">
        <v>536</v>
      </c>
      <c r="AD205" s="32"/>
      <c r="AE205" s="32">
        <v>9000</v>
      </c>
    </row>
    <row r="206" spans="1:31" x14ac:dyDescent="0.25">
      <c r="A206">
        <v>7302</v>
      </c>
      <c r="B206" t="s">
        <v>496</v>
      </c>
      <c r="C206" t="s">
        <v>104</v>
      </c>
      <c r="D206" s="35">
        <v>7200</v>
      </c>
      <c r="E206">
        <v>1246057914</v>
      </c>
      <c r="F206" s="321">
        <v>44922</v>
      </c>
      <c r="G206" s="321"/>
      <c r="H206" t="s">
        <v>28</v>
      </c>
      <c r="I206" t="s">
        <v>29</v>
      </c>
      <c r="J206">
        <v>1246057914</v>
      </c>
      <c r="K206" s="321">
        <v>44907</v>
      </c>
      <c r="L206">
        <v>3041000</v>
      </c>
      <c r="M206" t="s">
        <v>137</v>
      </c>
      <c r="N206">
        <v>1220</v>
      </c>
      <c r="O206" s="32">
        <v>0</v>
      </c>
      <c r="P206" s="32">
        <v>7200</v>
      </c>
      <c r="Q206" s="32">
        <v>0</v>
      </c>
      <c r="R206" s="32">
        <v>0</v>
      </c>
      <c r="S206" s="32">
        <v>0</v>
      </c>
      <c r="T206" s="32">
        <v>0</v>
      </c>
      <c r="U206" s="32">
        <v>7200</v>
      </c>
      <c r="V206" s="32">
        <v>0</v>
      </c>
      <c r="W206" s="32">
        <v>216</v>
      </c>
      <c r="X206" s="32">
        <v>6984</v>
      </c>
      <c r="Y206" s="32">
        <v>6984</v>
      </c>
      <c r="Z206" s="32">
        <v>7200</v>
      </c>
      <c r="AA206" s="32">
        <v>0</v>
      </c>
      <c r="AB206" s="32">
        <v>7200</v>
      </c>
      <c r="AC206" s="32" t="s">
        <v>536</v>
      </c>
      <c r="AD206" s="32"/>
      <c r="AE206" s="32">
        <v>7200</v>
      </c>
    </row>
    <row r="207" spans="1:31" x14ac:dyDescent="0.25">
      <c r="A207">
        <v>7302</v>
      </c>
      <c r="B207" t="s">
        <v>496</v>
      </c>
      <c r="C207" t="s">
        <v>104</v>
      </c>
      <c r="D207" s="35">
        <v>2517.4</v>
      </c>
      <c r="E207">
        <v>1246055324</v>
      </c>
      <c r="F207" s="321">
        <v>44887</v>
      </c>
      <c r="G207" s="321"/>
      <c r="H207" t="s">
        <v>28</v>
      </c>
      <c r="I207" t="s">
        <v>29</v>
      </c>
      <c r="J207">
        <v>19314</v>
      </c>
      <c r="K207" s="321">
        <v>44827</v>
      </c>
      <c r="L207">
        <v>1010100</v>
      </c>
      <c r="M207" t="s">
        <v>35</v>
      </c>
      <c r="N207">
        <v>1255</v>
      </c>
      <c r="O207" s="32">
        <v>0</v>
      </c>
      <c r="P207" s="32">
        <v>2517.4</v>
      </c>
      <c r="Q207" s="32">
        <v>0</v>
      </c>
      <c r="R207" s="32">
        <v>0</v>
      </c>
      <c r="S207" s="32">
        <v>0</v>
      </c>
      <c r="T207" s="32">
        <v>0</v>
      </c>
      <c r="U207" s="32">
        <v>2517.4</v>
      </c>
      <c r="V207" s="32">
        <v>0</v>
      </c>
      <c r="W207" s="32">
        <v>75.522000000000006</v>
      </c>
      <c r="X207" s="32">
        <v>2441.8780000000002</v>
      </c>
      <c r="Y207" s="32">
        <v>2441.8780000000002</v>
      </c>
      <c r="Z207" s="32">
        <v>2517.4</v>
      </c>
      <c r="AA207" s="32">
        <v>0</v>
      </c>
      <c r="AB207" s="32">
        <v>2517.4</v>
      </c>
      <c r="AC207" s="32" t="s">
        <v>536</v>
      </c>
      <c r="AD207" s="32"/>
      <c r="AE207" s="32">
        <v>2517.4</v>
      </c>
    </row>
    <row r="208" spans="1:31" x14ac:dyDescent="0.25">
      <c r="A208">
        <v>7302</v>
      </c>
      <c r="B208" t="s">
        <v>496</v>
      </c>
      <c r="C208" t="s">
        <v>104</v>
      </c>
      <c r="D208" s="35">
        <v>36679.800000000003</v>
      </c>
      <c r="E208">
        <v>1246272740</v>
      </c>
      <c r="F208" s="321">
        <v>46229</v>
      </c>
      <c r="G208" s="321"/>
      <c r="H208" t="s">
        <v>28</v>
      </c>
      <c r="I208" t="s">
        <v>29</v>
      </c>
      <c r="J208">
        <v>11223</v>
      </c>
      <c r="K208" s="321">
        <v>46139</v>
      </c>
      <c r="L208">
        <v>1010100</v>
      </c>
      <c r="M208" t="s">
        <v>35</v>
      </c>
      <c r="N208">
        <v>-87</v>
      </c>
      <c r="O208" s="32">
        <v>0</v>
      </c>
      <c r="P208" s="32">
        <v>0</v>
      </c>
      <c r="Q208" s="32">
        <v>36679.800000000003</v>
      </c>
      <c r="R208" s="32">
        <v>0</v>
      </c>
      <c r="S208" s="32">
        <v>0</v>
      </c>
      <c r="T208" s="32">
        <v>0</v>
      </c>
      <c r="U208" s="32">
        <v>0</v>
      </c>
      <c r="V208" s="32">
        <v>0</v>
      </c>
      <c r="W208" s="32">
        <v>0</v>
      </c>
      <c r="X208" s="32">
        <v>0</v>
      </c>
      <c r="Y208" s="32">
        <v>0</v>
      </c>
      <c r="Z208" s="32">
        <v>0</v>
      </c>
      <c r="AA208" s="32">
        <v>0</v>
      </c>
      <c r="AB208" s="32">
        <v>0</v>
      </c>
      <c r="AC208" s="32" t="s">
        <v>536</v>
      </c>
      <c r="AD208" s="32"/>
      <c r="AE208" s="32">
        <v>0</v>
      </c>
    </row>
    <row r="209" spans="1:31" x14ac:dyDescent="0.25">
      <c r="A209">
        <v>7302</v>
      </c>
      <c r="B209" t="s">
        <v>496</v>
      </c>
      <c r="C209" t="s">
        <v>104</v>
      </c>
      <c r="D209" s="35">
        <v>166320</v>
      </c>
      <c r="E209">
        <v>1246263181</v>
      </c>
      <c r="F209" s="321">
        <v>46153</v>
      </c>
      <c r="G209" s="321"/>
      <c r="H209" t="s">
        <v>28</v>
      </c>
      <c r="I209" t="s">
        <v>29</v>
      </c>
      <c r="J209">
        <v>10672</v>
      </c>
      <c r="K209" s="321">
        <v>46063</v>
      </c>
      <c r="L209">
        <v>1010100</v>
      </c>
      <c r="M209" t="s">
        <v>35</v>
      </c>
      <c r="N209">
        <v>-11</v>
      </c>
      <c r="O209" s="32">
        <v>0</v>
      </c>
      <c r="P209" s="32">
        <v>0</v>
      </c>
      <c r="Q209" s="32">
        <v>166320</v>
      </c>
      <c r="R209" s="32">
        <v>0</v>
      </c>
      <c r="S209" s="32">
        <v>0</v>
      </c>
      <c r="T209" s="32">
        <v>0</v>
      </c>
      <c r="U209" s="32">
        <v>0</v>
      </c>
      <c r="V209" s="32">
        <v>0</v>
      </c>
      <c r="W209" s="32">
        <v>0</v>
      </c>
      <c r="X209" s="32">
        <v>0</v>
      </c>
      <c r="Y209" s="32">
        <v>0</v>
      </c>
      <c r="Z209" s="32">
        <v>0</v>
      </c>
      <c r="AA209" s="32">
        <v>0</v>
      </c>
      <c r="AB209" s="32">
        <v>0</v>
      </c>
      <c r="AC209" s="32" t="s">
        <v>536</v>
      </c>
      <c r="AD209" s="32"/>
      <c r="AE209" s="32">
        <v>0</v>
      </c>
    </row>
    <row r="210" spans="1:31" x14ac:dyDescent="0.25">
      <c r="A210">
        <v>7302</v>
      </c>
      <c r="B210" t="s">
        <v>496</v>
      </c>
      <c r="C210" t="s">
        <v>104</v>
      </c>
      <c r="D210" s="35">
        <v>67867.8</v>
      </c>
      <c r="E210">
        <v>1246270495</v>
      </c>
      <c r="F210" s="321">
        <v>46209</v>
      </c>
      <c r="G210" s="321"/>
      <c r="H210" t="s">
        <v>28</v>
      </c>
      <c r="I210" t="s">
        <v>29</v>
      </c>
      <c r="J210">
        <v>11064</v>
      </c>
      <c r="K210" s="321">
        <v>46119</v>
      </c>
      <c r="L210">
        <v>1010100</v>
      </c>
      <c r="M210" t="s">
        <v>35</v>
      </c>
      <c r="N210">
        <v>-67</v>
      </c>
      <c r="O210" s="32">
        <v>0</v>
      </c>
      <c r="P210" s="32">
        <v>0</v>
      </c>
      <c r="Q210" s="32">
        <v>67867.8</v>
      </c>
      <c r="R210" s="32">
        <v>0</v>
      </c>
      <c r="S210" s="32">
        <v>0</v>
      </c>
      <c r="T210" s="32">
        <v>0</v>
      </c>
      <c r="U210" s="32">
        <v>0</v>
      </c>
      <c r="V210" s="32">
        <v>0</v>
      </c>
      <c r="W210" s="32">
        <v>0</v>
      </c>
      <c r="X210" s="32">
        <v>0</v>
      </c>
      <c r="Y210" s="32">
        <v>0</v>
      </c>
      <c r="Z210" s="32">
        <v>0</v>
      </c>
      <c r="AA210" s="32">
        <v>0</v>
      </c>
      <c r="AB210" s="32">
        <v>0</v>
      </c>
      <c r="AC210" s="32" t="s">
        <v>536</v>
      </c>
      <c r="AD210" s="32"/>
      <c r="AE210" s="32">
        <v>0</v>
      </c>
    </row>
    <row r="211" spans="1:31" x14ac:dyDescent="0.25">
      <c r="A211">
        <v>7302</v>
      </c>
      <c r="B211" t="s">
        <v>496</v>
      </c>
      <c r="C211" t="s">
        <v>104</v>
      </c>
      <c r="D211" s="35">
        <v>181231</v>
      </c>
      <c r="E211">
        <v>1246273299</v>
      </c>
      <c r="F211" s="321">
        <v>46232</v>
      </c>
      <c r="G211" s="321"/>
      <c r="H211" t="s">
        <v>28</v>
      </c>
      <c r="I211" t="s">
        <v>29</v>
      </c>
      <c r="J211">
        <v>11276</v>
      </c>
      <c r="K211" s="321">
        <v>46142</v>
      </c>
      <c r="L211">
        <v>1010100</v>
      </c>
      <c r="M211" t="s">
        <v>35</v>
      </c>
      <c r="N211">
        <v>-90</v>
      </c>
      <c r="O211" s="32">
        <v>0</v>
      </c>
      <c r="P211" s="32">
        <v>0</v>
      </c>
      <c r="Q211" s="32">
        <v>181231</v>
      </c>
      <c r="R211" s="32">
        <v>0</v>
      </c>
      <c r="S211" s="32">
        <v>0</v>
      </c>
      <c r="T211" s="32">
        <v>0</v>
      </c>
      <c r="U211" s="32">
        <v>0</v>
      </c>
      <c r="V211" s="32">
        <v>0</v>
      </c>
      <c r="W211" s="32">
        <v>0</v>
      </c>
      <c r="X211" s="32">
        <v>0</v>
      </c>
      <c r="Y211" s="32">
        <v>0</v>
      </c>
      <c r="Z211" s="32">
        <v>0</v>
      </c>
      <c r="AA211" s="32">
        <v>0</v>
      </c>
      <c r="AB211" s="32">
        <v>0</v>
      </c>
      <c r="AC211" s="32" t="s">
        <v>536</v>
      </c>
      <c r="AD211" s="32"/>
      <c r="AE211" s="32">
        <v>0</v>
      </c>
    </row>
    <row r="212" spans="1:31" x14ac:dyDescent="0.25">
      <c r="A212">
        <v>7302</v>
      </c>
      <c r="B212" t="s">
        <v>496</v>
      </c>
      <c r="C212" t="s">
        <v>104</v>
      </c>
      <c r="D212" s="35">
        <v>129924</v>
      </c>
      <c r="E212">
        <v>1246268530</v>
      </c>
      <c r="F212" s="321">
        <v>46191</v>
      </c>
      <c r="G212" s="321"/>
      <c r="H212" t="s">
        <v>28</v>
      </c>
      <c r="I212" t="s">
        <v>29</v>
      </c>
      <c r="J212">
        <v>10941</v>
      </c>
      <c r="K212" s="321">
        <v>46101</v>
      </c>
      <c r="L212">
        <v>1010100</v>
      </c>
      <c r="M212" t="s">
        <v>35</v>
      </c>
      <c r="N212">
        <v>-49</v>
      </c>
      <c r="O212" s="32">
        <v>0</v>
      </c>
      <c r="P212" s="32">
        <v>0</v>
      </c>
      <c r="Q212" s="32">
        <v>129924</v>
      </c>
      <c r="R212" s="32">
        <v>0</v>
      </c>
      <c r="S212" s="32">
        <v>0</v>
      </c>
      <c r="T212" s="32">
        <v>0</v>
      </c>
      <c r="U212" s="32">
        <v>0</v>
      </c>
      <c r="V212" s="32">
        <v>0</v>
      </c>
      <c r="W212" s="32">
        <v>0</v>
      </c>
      <c r="X212" s="32">
        <v>0</v>
      </c>
      <c r="Y212" s="32">
        <v>0</v>
      </c>
      <c r="Z212" s="32">
        <v>0</v>
      </c>
      <c r="AA212" s="32">
        <v>0</v>
      </c>
      <c r="AB212" s="32">
        <v>0</v>
      </c>
      <c r="AC212" s="32" t="s">
        <v>536</v>
      </c>
      <c r="AD212" s="32"/>
      <c r="AE212" s="32">
        <v>0</v>
      </c>
    </row>
    <row r="213" spans="1:31" x14ac:dyDescent="0.25">
      <c r="A213">
        <v>7302</v>
      </c>
      <c r="B213" t="s">
        <v>496</v>
      </c>
      <c r="C213" t="s">
        <v>104</v>
      </c>
      <c r="D213" s="35">
        <v>64.2</v>
      </c>
      <c r="E213">
        <v>1246226087</v>
      </c>
      <c r="F213" s="321">
        <v>45919</v>
      </c>
      <c r="G213" s="321"/>
      <c r="H213" t="s">
        <v>28</v>
      </c>
      <c r="I213" t="s">
        <v>29</v>
      </c>
      <c r="J213">
        <v>8559</v>
      </c>
      <c r="K213" s="321">
        <v>45859</v>
      </c>
      <c r="L213">
        <v>1010100</v>
      </c>
      <c r="M213" t="s">
        <v>35</v>
      </c>
      <c r="N213">
        <v>223</v>
      </c>
      <c r="O213" s="32">
        <v>0</v>
      </c>
      <c r="P213" s="32">
        <v>1.9259999999999999</v>
      </c>
      <c r="Q213" s="32">
        <v>0</v>
      </c>
      <c r="R213" s="32">
        <v>0</v>
      </c>
      <c r="S213" s="32">
        <v>0</v>
      </c>
      <c r="T213" s="32">
        <v>64.2</v>
      </c>
      <c r="U213" s="32">
        <v>0</v>
      </c>
      <c r="V213" s="32">
        <v>0</v>
      </c>
      <c r="W213" s="32">
        <v>1.9259999999999999</v>
      </c>
      <c r="X213" s="32">
        <v>0</v>
      </c>
      <c r="Y213" s="32">
        <v>0</v>
      </c>
      <c r="Z213" s="32">
        <v>64.2</v>
      </c>
      <c r="AA213" s="32">
        <v>0</v>
      </c>
      <c r="AB213" s="32">
        <v>1.9259999999999999</v>
      </c>
      <c r="AC213" s="32" t="s">
        <v>536</v>
      </c>
      <c r="AD213" s="32"/>
      <c r="AE213" s="32">
        <v>1.9259999999999999</v>
      </c>
    </row>
    <row r="214" spans="1:31" x14ac:dyDescent="0.25">
      <c r="A214">
        <v>6415</v>
      </c>
      <c r="B214" t="s">
        <v>496</v>
      </c>
      <c r="C214" t="s">
        <v>139</v>
      </c>
      <c r="D214" s="35">
        <v>3600</v>
      </c>
      <c r="E214">
        <v>1245985693</v>
      </c>
      <c r="F214" s="321">
        <v>44692</v>
      </c>
      <c r="G214" s="321"/>
      <c r="H214" t="s">
        <v>28</v>
      </c>
      <c r="I214" t="s">
        <v>29</v>
      </c>
      <c r="J214">
        <v>1245985693</v>
      </c>
      <c r="K214" s="321">
        <v>44531</v>
      </c>
      <c r="L214">
        <v>3041000</v>
      </c>
      <c r="M214" t="s">
        <v>137</v>
      </c>
      <c r="N214">
        <v>1450</v>
      </c>
      <c r="O214" s="32">
        <v>0</v>
      </c>
      <c r="P214" s="32">
        <v>3600</v>
      </c>
      <c r="Q214" s="32">
        <v>0</v>
      </c>
      <c r="R214" s="32">
        <v>0</v>
      </c>
      <c r="S214" s="32">
        <v>0</v>
      </c>
      <c r="T214" s="32">
        <v>0</v>
      </c>
      <c r="U214" s="32">
        <v>3600</v>
      </c>
      <c r="V214" s="32">
        <v>0</v>
      </c>
      <c r="W214" s="32">
        <v>108</v>
      </c>
      <c r="X214" s="32">
        <v>3492</v>
      </c>
      <c r="Y214" s="32">
        <v>3492</v>
      </c>
      <c r="Z214" s="32">
        <v>3600</v>
      </c>
      <c r="AA214" s="32">
        <v>0</v>
      </c>
      <c r="AB214" s="32">
        <v>3600</v>
      </c>
      <c r="AC214" s="32" t="s">
        <v>536</v>
      </c>
      <c r="AD214" s="32"/>
      <c r="AE214" s="32">
        <v>3600</v>
      </c>
    </row>
    <row r="215" spans="1:31" x14ac:dyDescent="0.25">
      <c r="A215">
        <v>7103</v>
      </c>
      <c r="B215" t="s">
        <v>496</v>
      </c>
      <c r="C215" t="s">
        <v>566</v>
      </c>
      <c r="D215" s="35">
        <v>57019</v>
      </c>
      <c r="E215">
        <v>1246269403</v>
      </c>
      <c r="F215" s="321">
        <v>46198</v>
      </c>
      <c r="G215" s="321"/>
      <c r="H215" t="s">
        <v>28</v>
      </c>
      <c r="I215" t="s">
        <v>29</v>
      </c>
      <c r="J215">
        <v>10985</v>
      </c>
      <c r="K215" s="321">
        <v>46108</v>
      </c>
      <c r="L215">
        <v>1010100</v>
      </c>
      <c r="M215" t="s">
        <v>35</v>
      </c>
      <c r="N215">
        <v>-56</v>
      </c>
      <c r="O215" s="32">
        <v>0</v>
      </c>
      <c r="P215" s="32">
        <v>0</v>
      </c>
      <c r="Q215" s="32">
        <v>57019</v>
      </c>
      <c r="R215" s="32">
        <v>0</v>
      </c>
      <c r="S215" s="32">
        <v>0</v>
      </c>
      <c r="T215" s="32">
        <v>0</v>
      </c>
      <c r="U215" s="32">
        <v>0</v>
      </c>
      <c r="V215" s="32">
        <v>0</v>
      </c>
      <c r="W215" s="32">
        <v>0</v>
      </c>
      <c r="X215" s="32">
        <v>0</v>
      </c>
      <c r="Y215" s="32">
        <v>0</v>
      </c>
      <c r="Z215" s="32">
        <v>0</v>
      </c>
      <c r="AA215" s="32">
        <v>0</v>
      </c>
      <c r="AB215" s="32">
        <v>0</v>
      </c>
      <c r="AC215" s="32" t="s">
        <v>536</v>
      </c>
      <c r="AD215" s="32"/>
      <c r="AE215" s="32">
        <v>0</v>
      </c>
    </row>
    <row r="216" spans="1:31" x14ac:dyDescent="0.25">
      <c r="A216">
        <v>8413</v>
      </c>
      <c r="B216" t="s">
        <v>413</v>
      </c>
      <c r="C216" t="s">
        <v>895</v>
      </c>
      <c r="D216" s="35">
        <v>94346</v>
      </c>
      <c r="E216">
        <v>1246273107</v>
      </c>
      <c r="F216" s="321">
        <v>46201</v>
      </c>
      <c r="G216" s="321"/>
      <c r="H216" t="s">
        <v>28</v>
      </c>
      <c r="I216" t="s">
        <v>29</v>
      </c>
      <c r="J216">
        <v>11262</v>
      </c>
      <c r="K216" s="321">
        <v>46141</v>
      </c>
      <c r="L216">
        <v>1010100</v>
      </c>
      <c r="M216" t="s">
        <v>35</v>
      </c>
      <c r="N216">
        <v>-59</v>
      </c>
      <c r="O216" s="32">
        <v>0</v>
      </c>
      <c r="P216" s="32">
        <v>0</v>
      </c>
      <c r="Q216" s="32">
        <v>94346</v>
      </c>
      <c r="R216" s="32">
        <v>0</v>
      </c>
      <c r="S216" s="32">
        <v>0</v>
      </c>
      <c r="T216" s="32">
        <v>0</v>
      </c>
      <c r="U216" s="32">
        <v>0</v>
      </c>
      <c r="V216" s="32">
        <v>0</v>
      </c>
      <c r="W216" s="32">
        <v>0</v>
      </c>
      <c r="X216" s="32">
        <v>0</v>
      </c>
      <c r="Y216" s="32">
        <v>0</v>
      </c>
      <c r="Z216" s="32">
        <v>0</v>
      </c>
      <c r="AA216" s="32">
        <v>0</v>
      </c>
      <c r="AB216" s="32">
        <v>0</v>
      </c>
      <c r="AC216" s="32" t="s">
        <v>472</v>
      </c>
      <c r="AD216" s="32"/>
      <c r="AE216" s="32">
        <v>0</v>
      </c>
    </row>
    <row r="217" spans="1:31" x14ac:dyDescent="0.25">
      <c r="A217">
        <v>9824</v>
      </c>
      <c r="B217" t="s">
        <v>426</v>
      </c>
      <c r="C217" t="s">
        <v>189</v>
      </c>
      <c r="D217" s="35">
        <v>69971.199999999997</v>
      </c>
      <c r="E217">
        <v>1246154720</v>
      </c>
      <c r="F217" s="321">
        <v>45738</v>
      </c>
      <c r="G217" s="321"/>
      <c r="H217" t="s">
        <v>172</v>
      </c>
      <c r="I217" t="s">
        <v>173</v>
      </c>
      <c r="J217">
        <v>4113</v>
      </c>
      <c r="K217" s="321">
        <v>45475</v>
      </c>
      <c r="L217">
        <v>1010100</v>
      </c>
      <c r="M217" t="s">
        <v>35</v>
      </c>
      <c r="N217">
        <v>404</v>
      </c>
      <c r="O217" s="32">
        <v>0</v>
      </c>
      <c r="P217" s="32">
        <v>69971.199999999997</v>
      </c>
      <c r="Q217" s="32">
        <v>0</v>
      </c>
      <c r="R217" s="32">
        <v>0</v>
      </c>
      <c r="S217" s="32">
        <v>0</v>
      </c>
      <c r="T217" s="32">
        <v>0</v>
      </c>
      <c r="U217" s="32">
        <v>69971.199999999997</v>
      </c>
      <c r="V217" s="32">
        <v>0</v>
      </c>
      <c r="W217" s="32">
        <v>2099.136</v>
      </c>
      <c r="X217" s="32">
        <v>67872.063999999998</v>
      </c>
      <c r="Y217" s="32">
        <v>67872.063999999998</v>
      </c>
      <c r="Z217" s="32">
        <v>69971.199999999997</v>
      </c>
      <c r="AA217" s="32">
        <v>0</v>
      </c>
      <c r="AB217" s="32">
        <v>69971.199999999997</v>
      </c>
      <c r="AC217" s="32" t="s">
        <v>537</v>
      </c>
      <c r="AD217" s="32"/>
      <c r="AE217" s="32">
        <v>69971.199999999997</v>
      </c>
    </row>
    <row r="218" spans="1:31" x14ac:dyDescent="0.25">
      <c r="A218">
        <v>9824</v>
      </c>
      <c r="B218" t="s">
        <v>426</v>
      </c>
      <c r="C218" t="s">
        <v>189</v>
      </c>
      <c r="D218" s="35">
        <v>60656</v>
      </c>
      <c r="E218">
        <v>1246154724</v>
      </c>
      <c r="F218" s="321">
        <v>45738</v>
      </c>
      <c r="G218" s="321"/>
      <c r="H218" t="s">
        <v>172</v>
      </c>
      <c r="I218" t="s">
        <v>173</v>
      </c>
      <c r="J218">
        <v>4114</v>
      </c>
      <c r="K218" s="321">
        <v>45475</v>
      </c>
      <c r="L218">
        <v>1010100</v>
      </c>
      <c r="M218" t="s">
        <v>35</v>
      </c>
      <c r="N218">
        <v>404</v>
      </c>
      <c r="O218" s="32">
        <v>0</v>
      </c>
      <c r="P218" s="32">
        <v>60656</v>
      </c>
      <c r="Q218" s="32">
        <v>0</v>
      </c>
      <c r="R218" s="32">
        <v>0</v>
      </c>
      <c r="S218" s="32">
        <v>0</v>
      </c>
      <c r="T218" s="32">
        <v>0</v>
      </c>
      <c r="U218" s="32">
        <v>60656</v>
      </c>
      <c r="V218" s="32">
        <v>0</v>
      </c>
      <c r="W218" s="32">
        <v>1819.6799999999998</v>
      </c>
      <c r="X218" s="32">
        <v>58836.32</v>
      </c>
      <c r="Y218" s="32">
        <v>58836.32</v>
      </c>
      <c r="Z218" s="32">
        <v>60656</v>
      </c>
      <c r="AA218" s="32">
        <v>0</v>
      </c>
      <c r="AB218" s="32">
        <v>60656</v>
      </c>
      <c r="AC218" s="32" t="s">
        <v>537</v>
      </c>
      <c r="AD218" s="32"/>
      <c r="AE218" s="32">
        <v>60656</v>
      </c>
    </row>
    <row r="219" spans="1:31" x14ac:dyDescent="0.25">
      <c r="A219">
        <v>10473</v>
      </c>
      <c r="B219" t="s">
        <v>424</v>
      </c>
      <c r="C219" t="s">
        <v>889</v>
      </c>
      <c r="D219" s="35">
        <v>62566.400000000001</v>
      </c>
      <c r="E219">
        <v>1246272889</v>
      </c>
      <c r="F219" s="321">
        <v>46175</v>
      </c>
      <c r="G219" s="321"/>
      <c r="H219" t="s">
        <v>28</v>
      </c>
      <c r="I219" t="s">
        <v>29</v>
      </c>
      <c r="J219">
        <v>11243</v>
      </c>
      <c r="K219" s="321">
        <v>46140</v>
      </c>
      <c r="L219">
        <v>1010100</v>
      </c>
      <c r="M219" t="s">
        <v>35</v>
      </c>
      <c r="N219">
        <v>-33</v>
      </c>
      <c r="O219" s="32">
        <v>0</v>
      </c>
      <c r="P219" s="32">
        <v>0</v>
      </c>
      <c r="Q219" s="32">
        <v>62566.400000000001</v>
      </c>
      <c r="R219" s="32">
        <v>0</v>
      </c>
      <c r="S219" s="32">
        <v>0</v>
      </c>
      <c r="T219" s="32">
        <v>0</v>
      </c>
      <c r="U219" s="32">
        <v>0</v>
      </c>
      <c r="V219" s="32">
        <v>0</v>
      </c>
      <c r="W219" s="32">
        <v>0</v>
      </c>
      <c r="X219" s="32">
        <v>0</v>
      </c>
      <c r="Y219" s="32">
        <v>0</v>
      </c>
      <c r="Z219" s="32">
        <v>0</v>
      </c>
      <c r="AA219" s="32">
        <v>0</v>
      </c>
      <c r="AB219" s="32">
        <v>0</v>
      </c>
      <c r="AC219" s="32" t="s">
        <v>472</v>
      </c>
      <c r="AD219" s="32"/>
      <c r="AE219" s="32">
        <v>0</v>
      </c>
    </row>
    <row r="220" spans="1:31" x14ac:dyDescent="0.25">
      <c r="A220">
        <v>11724</v>
      </c>
      <c r="B220" t="s">
        <v>427</v>
      </c>
      <c r="C220" t="s">
        <v>118</v>
      </c>
      <c r="D220" s="35">
        <v>143868</v>
      </c>
      <c r="E220">
        <v>1246267487</v>
      </c>
      <c r="F220" s="321">
        <v>46167</v>
      </c>
      <c r="G220" s="321"/>
      <c r="H220" t="s">
        <v>28</v>
      </c>
      <c r="I220" t="s">
        <v>29</v>
      </c>
      <c r="J220">
        <v>10867</v>
      </c>
      <c r="K220" s="321">
        <v>46092</v>
      </c>
      <c r="L220">
        <v>1010100</v>
      </c>
      <c r="M220" t="s">
        <v>35</v>
      </c>
      <c r="N220">
        <v>-25</v>
      </c>
      <c r="O220" s="32">
        <v>0</v>
      </c>
      <c r="P220" s="32">
        <v>0</v>
      </c>
      <c r="Q220" s="32">
        <v>143868</v>
      </c>
      <c r="R220" s="32">
        <v>0</v>
      </c>
      <c r="S220" s="32">
        <v>0</v>
      </c>
      <c r="T220" s="32">
        <v>0</v>
      </c>
      <c r="U220" s="32">
        <v>0</v>
      </c>
      <c r="V220" s="32">
        <v>0</v>
      </c>
      <c r="W220" s="32">
        <v>0</v>
      </c>
      <c r="X220" s="32">
        <v>0</v>
      </c>
      <c r="Y220" s="32">
        <v>0</v>
      </c>
      <c r="Z220" s="32">
        <v>0</v>
      </c>
      <c r="AA220" s="32">
        <v>0</v>
      </c>
      <c r="AB220" s="32">
        <v>0</v>
      </c>
      <c r="AC220" s="32" t="s">
        <v>472</v>
      </c>
      <c r="AD220" s="32"/>
      <c r="AE220" s="32">
        <v>0</v>
      </c>
    </row>
    <row r="221" spans="1:31" x14ac:dyDescent="0.25">
      <c r="A221">
        <v>11724</v>
      </c>
      <c r="B221" t="s">
        <v>427</v>
      </c>
      <c r="C221" t="s">
        <v>118</v>
      </c>
      <c r="D221" s="35">
        <v>72162</v>
      </c>
      <c r="E221">
        <v>1246271964</v>
      </c>
      <c r="F221" s="321">
        <v>46198</v>
      </c>
      <c r="G221" s="321"/>
      <c r="H221" t="s">
        <v>28</v>
      </c>
      <c r="I221" t="s">
        <v>29</v>
      </c>
      <c r="J221">
        <v>11187</v>
      </c>
      <c r="K221" s="321">
        <v>46132</v>
      </c>
      <c r="L221">
        <v>1010100</v>
      </c>
      <c r="M221" t="s">
        <v>35</v>
      </c>
      <c r="N221">
        <v>-56</v>
      </c>
      <c r="O221" s="32">
        <v>0</v>
      </c>
      <c r="P221" s="32">
        <v>0</v>
      </c>
      <c r="Q221" s="32">
        <v>72162</v>
      </c>
      <c r="R221" s="32">
        <v>0</v>
      </c>
      <c r="S221" s="32">
        <v>0</v>
      </c>
      <c r="T221" s="32">
        <v>0</v>
      </c>
      <c r="U221" s="32">
        <v>0</v>
      </c>
      <c r="V221" s="32">
        <v>0</v>
      </c>
      <c r="W221" s="32">
        <v>0</v>
      </c>
      <c r="X221" s="32">
        <v>0</v>
      </c>
      <c r="Y221" s="32">
        <v>0</v>
      </c>
      <c r="Z221" s="32">
        <v>0</v>
      </c>
      <c r="AA221" s="32">
        <v>0</v>
      </c>
      <c r="AB221" s="32">
        <v>0</v>
      </c>
      <c r="AC221" s="32" t="s">
        <v>472</v>
      </c>
      <c r="AD221" s="32"/>
      <c r="AE221" s="32">
        <v>0</v>
      </c>
    </row>
    <row r="222" spans="1:31" x14ac:dyDescent="0.25">
      <c r="A222">
        <v>11724</v>
      </c>
      <c r="B222" t="s">
        <v>427</v>
      </c>
      <c r="C222" t="s">
        <v>118</v>
      </c>
      <c r="D222" s="35">
        <v>72162</v>
      </c>
      <c r="E222">
        <v>1246271962</v>
      </c>
      <c r="F222" s="321">
        <v>46198</v>
      </c>
      <c r="G222" s="321"/>
      <c r="H222" t="s">
        <v>28</v>
      </c>
      <c r="I222" t="s">
        <v>29</v>
      </c>
      <c r="J222">
        <v>11186</v>
      </c>
      <c r="K222" s="321">
        <v>46132</v>
      </c>
      <c r="L222">
        <v>1010100</v>
      </c>
      <c r="M222" t="s">
        <v>35</v>
      </c>
      <c r="N222">
        <v>-56</v>
      </c>
      <c r="O222" s="32">
        <v>0</v>
      </c>
      <c r="P222" s="32">
        <v>0</v>
      </c>
      <c r="Q222" s="32">
        <v>72162</v>
      </c>
      <c r="R222" s="32">
        <v>0</v>
      </c>
      <c r="S222" s="32">
        <v>0</v>
      </c>
      <c r="T222" s="32">
        <v>0</v>
      </c>
      <c r="U222" s="32">
        <v>0</v>
      </c>
      <c r="V222" s="32">
        <v>0</v>
      </c>
      <c r="W222" s="32">
        <v>0</v>
      </c>
      <c r="X222" s="32">
        <v>0</v>
      </c>
      <c r="Y222" s="32">
        <v>0</v>
      </c>
      <c r="Z222" s="32">
        <v>0</v>
      </c>
      <c r="AA222" s="32">
        <v>0</v>
      </c>
      <c r="AB222" s="32">
        <v>0</v>
      </c>
      <c r="AC222" s="32" t="s">
        <v>472</v>
      </c>
      <c r="AD222" s="32"/>
      <c r="AE222" s="32">
        <v>0</v>
      </c>
    </row>
    <row r="223" spans="1:31" x14ac:dyDescent="0.25">
      <c r="A223">
        <v>11724</v>
      </c>
      <c r="B223" t="s">
        <v>427</v>
      </c>
      <c r="C223" t="s">
        <v>118</v>
      </c>
      <c r="D223" s="35">
        <v>178561.9</v>
      </c>
      <c r="E223">
        <v>1246270926</v>
      </c>
      <c r="F223" s="321">
        <v>46183</v>
      </c>
      <c r="G223" s="321"/>
      <c r="H223" t="s">
        <v>28</v>
      </c>
      <c r="I223" t="s">
        <v>29</v>
      </c>
      <c r="J223">
        <v>11082</v>
      </c>
      <c r="K223" s="321">
        <v>46121</v>
      </c>
      <c r="L223">
        <v>1010100</v>
      </c>
      <c r="M223" t="s">
        <v>35</v>
      </c>
      <c r="N223">
        <v>-41</v>
      </c>
      <c r="O223" s="32">
        <v>0</v>
      </c>
      <c r="P223" s="32">
        <v>0</v>
      </c>
      <c r="Q223" s="32">
        <v>178561.9</v>
      </c>
      <c r="R223" s="32">
        <v>0</v>
      </c>
      <c r="S223" s="32">
        <v>0</v>
      </c>
      <c r="T223" s="32">
        <v>0</v>
      </c>
      <c r="U223" s="32">
        <v>0</v>
      </c>
      <c r="V223" s="32">
        <v>0</v>
      </c>
      <c r="W223" s="32">
        <v>0</v>
      </c>
      <c r="X223" s="32">
        <v>0</v>
      </c>
      <c r="Y223" s="32">
        <v>0</v>
      </c>
      <c r="Z223" s="32">
        <v>0</v>
      </c>
      <c r="AA223" s="32">
        <v>0</v>
      </c>
      <c r="AB223" s="32">
        <v>0</v>
      </c>
      <c r="AC223" s="32" t="s">
        <v>472</v>
      </c>
      <c r="AD223" s="32"/>
      <c r="AE223" s="32">
        <v>0</v>
      </c>
    </row>
    <row r="224" spans="1:31" x14ac:dyDescent="0.25">
      <c r="A224">
        <v>10371</v>
      </c>
      <c r="B224" t="s">
        <v>426</v>
      </c>
      <c r="C224" t="s">
        <v>255</v>
      </c>
      <c r="D224" s="35">
        <v>56674.77</v>
      </c>
      <c r="E224">
        <v>1246161059</v>
      </c>
      <c r="F224" s="321">
        <v>45736</v>
      </c>
      <c r="G224" s="321"/>
      <c r="H224" t="s">
        <v>172</v>
      </c>
      <c r="I224" t="s">
        <v>173</v>
      </c>
      <c r="J224">
        <v>4516</v>
      </c>
      <c r="K224" s="321">
        <v>45502</v>
      </c>
      <c r="L224">
        <v>1010100</v>
      </c>
      <c r="M224" t="s">
        <v>35</v>
      </c>
      <c r="N224">
        <v>406</v>
      </c>
      <c r="O224" s="32">
        <v>0</v>
      </c>
      <c r="P224" s="32">
        <v>56674.77</v>
      </c>
      <c r="Q224" s="32">
        <v>0</v>
      </c>
      <c r="R224" s="32">
        <v>0</v>
      </c>
      <c r="S224" s="32">
        <v>0</v>
      </c>
      <c r="T224" s="32">
        <v>0</v>
      </c>
      <c r="U224" s="32">
        <v>56674.77</v>
      </c>
      <c r="V224" s="32">
        <v>0</v>
      </c>
      <c r="W224" s="32">
        <v>1700.2430999999999</v>
      </c>
      <c r="X224" s="32">
        <v>54974.526899999997</v>
      </c>
      <c r="Y224" s="32">
        <v>54974.526899999997</v>
      </c>
      <c r="Z224" s="32">
        <v>56674.77</v>
      </c>
      <c r="AA224" s="32">
        <v>0</v>
      </c>
      <c r="AB224" s="32">
        <v>56674.77</v>
      </c>
      <c r="AC224" s="32" t="s">
        <v>537</v>
      </c>
      <c r="AD224" s="32"/>
      <c r="AE224" s="32">
        <v>56674.77</v>
      </c>
    </row>
    <row r="225" spans="1:31" x14ac:dyDescent="0.25">
      <c r="A225">
        <v>10371</v>
      </c>
      <c r="B225" t="s">
        <v>426</v>
      </c>
      <c r="C225" t="s">
        <v>255</v>
      </c>
      <c r="D225" s="35">
        <v>50007.15</v>
      </c>
      <c r="E225">
        <v>1246161057</v>
      </c>
      <c r="F225" s="321">
        <v>45736</v>
      </c>
      <c r="G225" s="321"/>
      <c r="H225" t="s">
        <v>172</v>
      </c>
      <c r="I225" t="s">
        <v>173</v>
      </c>
      <c r="J225">
        <v>4515</v>
      </c>
      <c r="K225" s="321">
        <v>45502</v>
      </c>
      <c r="L225">
        <v>1010100</v>
      </c>
      <c r="M225" t="s">
        <v>35</v>
      </c>
      <c r="N225">
        <v>406</v>
      </c>
      <c r="O225" s="32">
        <v>0</v>
      </c>
      <c r="P225" s="32">
        <v>50007.15</v>
      </c>
      <c r="Q225" s="32">
        <v>0</v>
      </c>
      <c r="R225" s="32">
        <v>0</v>
      </c>
      <c r="S225" s="32">
        <v>0</v>
      </c>
      <c r="T225" s="32">
        <v>0</v>
      </c>
      <c r="U225" s="32">
        <v>50007.15</v>
      </c>
      <c r="V225" s="32">
        <v>0</v>
      </c>
      <c r="W225" s="32">
        <v>1500.2145</v>
      </c>
      <c r="X225" s="32">
        <v>48506.9355</v>
      </c>
      <c r="Y225" s="32">
        <v>48506.9355</v>
      </c>
      <c r="Z225" s="32">
        <v>50007.15</v>
      </c>
      <c r="AA225" s="32">
        <v>0</v>
      </c>
      <c r="AB225" s="32">
        <v>50007.15</v>
      </c>
      <c r="AC225" s="32" t="s">
        <v>537</v>
      </c>
      <c r="AD225" s="32"/>
      <c r="AE225" s="32">
        <v>50007.15</v>
      </c>
    </row>
    <row r="226" spans="1:31" x14ac:dyDescent="0.25">
      <c r="A226">
        <v>10660</v>
      </c>
      <c r="B226" t="s">
        <v>419</v>
      </c>
      <c r="C226" t="s">
        <v>113</v>
      </c>
      <c r="D226" s="35">
        <v>1282.56</v>
      </c>
      <c r="E226">
        <v>1246157883</v>
      </c>
      <c r="F226" s="321">
        <v>45472</v>
      </c>
      <c r="G226" s="321"/>
      <c r="H226" t="s">
        <v>28</v>
      </c>
      <c r="I226" t="s">
        <v>29</v>
      </c>
      <c r="J226">
        <v>3740</v>
      </c>
      <c r="K226" s="321">
        <v>45444</v>
      </c>
      <c r="L226">
        <v>1010100</v>
      </c>
      <c r="M226" t="s">
        <v>35</v>
      </c>
      <c r="N226">
        <v>670</v>
      </c>
      <c r="O226" s="32">
        <v>0</v>
      </c>
      <c r="P226" s="32">
        <v>1282.5599999999997</v>
      </c>
      <c r="Q226" s="32">
        <v>0</v>
      </c>
      <c r="R226" s="32">
        <v>0</v>
      </c>
      <c r="S226" s="32">
        <v>0</v>
      </c>
      <c r="T226" s="32">
        <v>0</v>
      </c>
      <c r="U226" s="32">
        <v>1282.56</v>
      </c>
      <c r="V226" s="32">
        <v>0</v>
      </c>
      <c r="W226" s="32">
        <v>38.476799999999997</v>
      </c>
      <c r="X226" s="32">
        <v>1244.0831999999998</v>
      </c>
      <c r="Y226" s="32">
        <v>1244.0831999999998</v>
      </c>
      <c r="Z226" s="32">
        <v>1282.56</v>
      </c>
      <c r="AA226" s="32">
        <v>0</v>
      </c>
      <c r="AB226" s="32">
        <v>1282.5599999999997</v>
      </c>
      <c r="AC226" s="32" t="s">
        <v>536</v>
      </c>
      <c r="AD226" s="32"/>
      <c r="AE226" s="32">
        <v>1282.5599999999997</v>
      </c>
    </row>
    <row r="227" spans="1:31" x14ac:dyDescent="0.25">
      <c r="A227">
        <v>10660</v>
      </c>
      <c r="B227" t="s">
        <v>419</v>
      </c>
      <c r="C227" t="s">
        <v>113</v>
      </c>
      <c r="D227" s="35">
        <v>1603.2</v>
      </c>
      <c r="E227">
        <v>1246176576</v>
      </c>
      <c r="F227" s="321">
        <v>45577</v>
      </c>
      <c r="G227" s="321"/>
      <c r="H227" t="s">
        <v>28</v>
      </c>
      <c r="I227" t="s">
        <v>29</v>
      </c>
      <c r="J227">
        <v>5264</v>
      </c>
      <c r="K227" s="321">
        <v>45549</v>
      </c>
      <c r="L227">
        <v>1010100</v>
      </c>
      <c r="M227" t="s">
        <v>35</v>
      </c>
      <c r="N227">
        <v>565</v>
      </c>
      <c r="O227" s="32">
        <v>0</v>
      </c>
      <c r="P227" s="32">
        <v>1603.2</v>
      </c>
      <c r="Q227" s="32">
        <v>0</v>
      </c>
      <c r="R227" s="32">
        <v>0</v>
      </c>
      <c r="S227" s="32">
        <v>0</v>
      </c>
      <c r="T227" s="32">
        <v>0</v>
      </c>
      <c r="U227" s="32">
        <v>1603.2</v>
      </c>
      <c r="V227" s="32">
        <v>0</v>
      </c>
      <c r="W227" s="32">
        <v>48.095999999999997</v>
      </c>
      <c r="X227" s="32">
        <v>1555.104</v>
      </c>
      <c r="Y227" s="32">
        <v>1555.104</v>
      </c>
      <c r="Z227" s="32">
        <v>1603.2</v>
      </c>
      <c r="AA227" s="32">
        <v>0</v>
      </c>
      <c r="AB227" s="32">
        <v>1603.2</v>
      </c>
      <c r="AC227" s="32" t="s">
        <v>536</v>
      </c>
      <c r="AD227" s="32"/>
      <c r="AE227" s="32">
        <v>1603.2</v>
      </c>
    </row>
    <row r="228" spans="1:31" x14ac:dyDescent="0.25">
      <c r="A228">
        <v>10660</v>
      </c>
      <c r="B228" t="s">
        <v>419</v>
      </c>
      <c r="C228" t="s">
        <v>113</v>
      </c>
      <c r="D228" s="35">
        <v>1282.56</v>
      </c>
      <c r="E228">
        <v>1246184893</v>
      </c>
      <c r="F228" s="321">
        <v>45623</v>
      </c>
      <c r="G228" s="321"/>
      <c r="H228" t="s">
        <v>28</v>
      </c>
      <c r="I228" t="s">
        <v>29</v>
      </c>
      <c r="J228">
        <v>5907</v>
      </c>
      <c r="K228" s="321">
        <v>45595</v>
      </c>
      <c r="L228">
        <v>1010100</v>
      </c>
      <c r="M228" t="s">
        <v>35</v>
      </c>
      <c r="N228">
        <v>519</v>
      </c>
      <c r="O228" s="32">
        <v>0</v>
      </c>
      <c r="P228" s="32">
        <v>1282.5599999999997</v>
      </c>
      <c r="Q228" s="32">
        <v>0</v>
      </c>
      <c r="R228" s="32">
        <v>0</v>
      </c>
      <c r="S228" s="32">
        <v>0</v>
      </c>
      <c r="T228" s="32">
        <v>0</v>
      </c>
      <c r="U228" s="32">
        <v>1282.56</v>
      </c>
      <c r="V228" s="32">
        <v>0</v>
      </c>
      <c r="W228" s="32">
        <v>38.476799999999997</v>
      </c>
      <c r="X228" s="32">
        <v>1244.0831999999998</v>
      </c>
      <c r="Y228" s="32">
        <v>1244.0831999999998</v>
      </c>
      <c r="Z228" s="32">
        <v>1282.56</v>
      </c>
      <c r="AA228" s="32">
        <v>0</v>
      </c>
      <c r="AB228" s="32">
        <v>1282.5599999999997</v>
      </c>
      <c r="AC228" s="32" t="s">
        <v>536</v>
      </c>
      <c r="AD228" s="32"/>
      <c r="AE228" s="32">
        <v>1282.5599999999997</v>
      </c>
    </row>
    <row r="229" spans="1:31" x14ac:dyDescent="0.25">
      <c r="A229">
        <v>10434</v>
      </c>
      <c r="B229" t="s">
        <v>415</v>
      </c>
      <c r="C229" t="s">
        <v>110</v>
      </c>
      <c r="D229" s="35">
        <v>1200</v>
      </c>
      <c r="E229">
        <v>1246180341</v>
      </c>
      <c r="F229" s="321">
        <v>45615</v>
      </c>
      <c r="G229" s="321"/>
      <c r="H229" t="s">
        <v>28</v>
      </c>
      <c r="I229" t="s">
        <v>29</v>
      </c>
      <c r="J229">
        <v>1246180341</v>
      </c>
      <c r="K229" s="321">
        <v>45600</v>
      </c>
      <c r="L229">
        <v>3041000</v>
      </c>
      <c r="M229" t="s">
        <v>137</v>
      </c>
      <c r="N229">
        <v>527</v>
      </c>
      <c r="O229" s="32">
        <v>0</v>
      </c>
      <c r="P229" s="32">
        <v>1200</v>
      </c>
      <c r="Q229" s="32">
        <v>0</v>
      </c>
      <c r="R229" s="32">
        <v>0</v>
      </c>
      <c r="S229" s="32">
        <v>0</v>
      </c>
      <c r="T229" s="32">
        <v>0</v>
      </c>
      <c r="U229" s="32">
        <v>1200</v>
      </c>
      <c r="V229" s="32">
        <v>0</v>
      </c>
      <c r="W229" s="32">
        <v>36</v>
      </c>
      <c r="X229" s="32">
        <v>1164</v>
      </c>
      <c r="Y229" s="32">
        <v>1164</v>
      </c>
      <c r="Z229" s="32">
        <v>1200</v>
      </c>
      <c r="AA229" s="32">
        <v>0</v>
      </c>
      <c r="AB229" s="32">
        <v>1200</v>
      </c>
      <c r="AC229" s="32" t="s">
        <v>536</v>
      </c>
      <c r="AD229" s="32"/>
      <c r="AE229" s="32">
        <v>1200</v>
      </c>
    </row>
    <row r="230" spans="1:31" x14ac:dyDescent="0.25">
      <c r="A230">
        <v>10434</v>
      </c>
      <c r="B230" t="s">
        <v>415</v>
      </c>
      <c r="C230" t="s">
        <v>110</v>
      </c>
      <c r="D230" s="35">
        <v>101696.4</v>
      </c>
      <c r="E230">
        <v>1246272407</v>
      </c>
      <c r="F230" s="321">
        <v>46164</v>
      </c>
      <c r="G230" s="321"/>
      <c r="H230" t="s">
        <v>28</v>
      </c>
      <c r="I230" t="s">
        <v>29</v>
      </c>
      <c r="J230">
        <v>11209</v>
      </c>
      <c r="K230" s="321">
        <v>46136</v>
      </c>
      <c r="L230">
        <v>1010100</v>
      </c>
      <c r="M230" t="s">
        <v>35</v>
      </c>
      <c r="N230">
        <v>-22</v>
      </c>
      <c r="O230" s="32">
        <v>0</v>
      </c>
      <c r="P230" s="32">
        <v>0</v>
      </c>
      <c r="Q230" s="32">
        <v>101696.4</v>
      </c>
      <c r="R230" s="32">
        <v>0</v>
      </c>
      <c r="S230" s="32">
        <v>0</v>
      </c>
      <c r="T230" s="32">
        <v>0</v>
      </c>
      <c r="U230" s="32">
        <v>0</v>
      </c>
      <c r="V230" s="32">
        <v>0</v>
      </c>
      <c r="W230" s="32">
        <v>0</v>
      </c>
      <c r="X230" s="32">
        <v>0</v>
      </c>
      <c r="Y230" s="32">
        <v>0</v>
      </c>
      <c r="Z230" s="32">
        <v>0</v>
      </c>
      <c r="AA230" s="32">
        <v>0</v>
      </c>
      <c r="AB230" s="32">
        <v>0</v>
      </c>
      <c r="AC230" s="32" t="s">
        <v>536</v>
      </c>
      <c r="AD230" s="32"/>
      <c r="AE230" s="32">
        <v>0</v>
      </c>
    </row>
    <row r="231" spans="1:31" x14ac:dyDescent="0.25">
      <c r="A231">
        <v>10434</v>
      </c>
      <c r="B231" t="s">
        <v>415</v>
      </c>
      <c r="C231" t="s">
        <v>110</v>
      </c>
      <c r="D231" s="35">
        <v>101052</v>
      </c>
      <c r="E231">
        <v>1246271891</v>
      </c>
      <c r="F231" s="321">
        <v>46160</v>
      </c>
      <c r="G231" s="321"/>
      <c r="H231" t="s">
        <v>28</v>
      </c>
      <c r="I231" t="s">
        <v>29</v>
      </c>
      <c r="J231">
        <v>11178</v>
      </c>
      <c r="K231" s="321">
        <v>46132</v>
      </c>
      <c r="L231">
        <v>1010100</v>
      </c>
      <c r="M231" t="s">
        <v>35</v>
      </c>
      <c r="N231">
        <v>-18</v>
      </c>
      <c r="O231" s="32">
        <v>0</v>
      </c>
      <c r="P231" s="32">
        <v>0</v>
      </c>
      <c r="Q231" s="32">
        <v>101052</v>
      </c>
      <c r="R231" s="32">
        <v>0</v>
      </c>
      <c r="S231" s="32">
        <v>0</v>
      </c>
      <c r="T231" s="32">
        <v>0</v>
      </c>
      <c r="U231" s="32">
        <v>0</v>
      </c>
      <c r="V231" s="32">
        <v>0</v>
      </c>
      <c r="W231" s="32">
        <v>0</v>
      </c>
      <c r="X231" s="32">
        <v>0</v>
      </c>
      <c r="Y231" s="32">
        <v>0</v>
      </c>
      <c r="Z231" s="32">
        <v>0</v>
      </c>
      <c r="AA231" s="32">
        <v>0</v>
      </c>
      <c r="AB231" s="32">
        <v>0</v>
      </c>
      <c r="AC231" s="32" t="s">
        <v>536</v>
      </c>
      <c r="AD231" s="32"/>
      <c r="AE231" s="32">
        <v>0</v>
      </c>
    </row>
    <row r="232" spans="1:31" x14ac:dyDescent="0.25">
      <c r="A232">
        <v>11207</v>
      </c>
      <c r="B232" t="s">
        <v>428</v>
      </c>
      <c r="C232" t="s">
        <v>193</v>
      </c>
      <c r="D232" s="35">
        <v>153825.49</v>
      </c>
      <c r="E232">
        <v>1246067872</v>
      </c>
      <c r="F232" s="321">
        <v>45412</v>
      </c>
      <c r="G232" s="321"/>
      <c r="H232" t="s">
        <v>172</v>
      </c>
      <c r="I232" t="s">
        <v>173</v>
      </c>
      <c r="J232">
        <v>20696</v>
      </c>
      <c r="K232" s="321">
        <v>44973</v>
      </c>
      <c r="L232">
        <v>1010100</v>
      </c>
      <c r="M232" t="s">
        <v>35</v>
      </c>
      <c r="N232">
        <v>730</v>
      </c>
      <c r="O232" s="32">
        <v>0</v>
      </c>
      <c r="P232" s="32">
        <v>153825.49</v>
      </c>
      <c r="Q232" s="32">
        <v>0</v>
      </c>
      <c r="R232" s="32">
        <v>0</v>
      </c>
      <c r="S232" s="32">
        <v>0</v>
      </c>
      <c r="T232" s="32">
        <v>0</v>
      </c>
      <c r="U232" s="32">
        <v>153825.49</v>
      </c>
      <c r="V232" s="32">
        <v>0</v>
      </c>
      <c r="W232" s="32">
        <v>0</v>
      </c>
      <c r="X232" s="32">
        <v>0</v>
      </c>
      <c r="Y232" s="32">
        <v>0</v>
      </c>
      <c r="Z232" s="32">
        <v>153825.49</v>
      </c>
      <c r="AA232" s="32">
        <v>153825.49</v>
      </c>
      <c r="AB232" s="32">
        <v>153825.49</v>
      </c>
      <c r="AC232" s="32" t="s">
        <v>537</v>
      </c>
      <c r="AD232" s="32"/>
      <c r="AE232" s="32">
        <v>153825.49</v>
      </c>
    </row>
    <row r="233" spans="1:31" x14ac:dyDescent="0.25">
      <c r="A233">
        <v>11207</v>
      </c>
      <c r="B233" t="s">
        <v>428</v>
      </c>
      <c r="C233" t="s">
        <v>193</v>
      </c>
      <c r="D233" s="35">
        <v>118231.86</v>
      </c>
      <c r="E233">
        <v>1246074301</v>
      </c>
      <c r="F233" s="321">
        <v>45412</v>
      </c>
      <c r="G233" s="321"/>
      <c r="H233" t="s">
        <v>172</v>
      </c>
      <c r="I233" t="s">
        <v>173</v>
      </c>
      <c r="J233">
        <v>21005</v>
      </c>
      <c r="K233" s="321">
        <v>45015</v>
      </c>
      <c r="L233">
        <v>1010100</v>
      </c>
      <c r="M233" t="s">
        <v>35</v>
      </c>
      <c r="N233">
        <v>730</v>
      </c>
      <c r="O233" s="32">
        <v>0</v>
      </c>
      <c r="P233" s="32">
        <v>118231.86</v>
      </c>
      <c r="Q233" s="32">
        <v>0</v>
      </c>
      <c r="R233" s="32">
        <v>0</v>
      </c>
      <c r="S233" s="32">
        <v>0</v>
      </c>
      <c r="T233" s="32">
        <v>0</v>
      </c>
      <c r="U233" s="32">
        <v>118231.86</v>
      </c>
      <c r="V233" s="32">
        <v>0</v>
      </c>
      <c r="W233" s="32">
        <v>0</v>
      </c>
      <c r="X233" s="32">
        <v>0</v>
      </c>
      <c r="Y233" s="32">
        <v>0</v>
      </c>
      <c r="Z233" s="32">
        <v>118231.86</v>
      </c>
      <c r="AA233" s="32">
        <v>118231.86</v>
      </c>
      <c r="AB233" s="32">
        <v>118231.86</v>
      </c>
      <c r="AC233" s="32" t="s">
        <v>537</v>
      </c>
      <c r="AD233" s="32"/>
      <c r="AE233" s="32">
        <v>118231.86</v>
      </c>
    </row>
    <row r="234" spans="1:31" x14ac:dyDescent="0.25">
      <c r="A234">
        <v>11207</v>
      </c>
      <c r="B234" t="s">
        <v>428</v>
      </c>
      <c r="C234" t="s">
        <v>193</v>
      </c>
      <c r="D234" s="35">
        <v>91167.15</v>
      </c>
      <c r="E234">
        <v>1246075550</v>
      </c>
      <c r="F234" s="321">
        <v>45412</v>
      </c>
      <c r="G234" s="321"/>
      <c r="H234" t="s">
        <v>172</v>
      </c>
      <c r="I234" t="s">
        <v>173</v>
      </c>
      <c r="J234">
        <v>21053</v>
      </c>
      <c r="K234" s="321">
        <v>45022</v>
      </c>
      <c r="L234">
        <v>1010100</v>
      </c>
      <c r="M234" t="s">
        <v>35</v>
      </c>
      <c r="N234">
        <v>730</v>
      </c>
      <c r="O234" s="32">
        <v>0</v>
      </c>
      <c r="P234" s="32">
        <v>91167.15</v>
      </c>
      <c r="Q234" s="32">
        <v>0</v>
      </c>
      <c r="R234" s="32">
        <v>0</v>
      </c>
      <c r="S234" s="32">
        <v>0</v>
      </c>
      <c r="T234" s="32">
        <v>0</v>
      </c>
      <c r="U234" s="32">
        <v>91167.15</v>
      </c>
      <c r="V234" s="32">
        <v>0</v>
      </c>
      <c r="W234" s="32">
        <v>0</v>
      </c>
      <c r="X234" s="32">
        <v>0</v>
      </c>
      <c r="Y234" s="32">
        <v>0</v>
      </c>
      <c r="Z234" s="32">
        <v>91167.15</v>
      </c>
      <c r="AA234" s="32">
        <v>91167.15</v>
      </c>
      <c r="AB234" s="32">
        <v>91167.15</v>
      </c>
      <c r="AC234" s="32" t="s">
        <v>537</v>
      </c>
      <c r="AD234" s="32"/>
      <c r="AE234" s="32">
        <v>91167.15</v>
      </c>
    </row>
    <row r="235" spans="1:31" x14ac:dyDescent="0.25">
      <c r="A235">
        <v>11207</v>
      </c>
      <c r="B235" t="s">
        <v>428</v>
      </c>
      <c r="C235" t="s">
        <v>193</v>
      </c>
      <c r="D235" s="35">
        <v>43771.16</v>
      </c>
      <c r="E235">
        <v>1246094423</v>
      </c>
      <c r="F235" s="321">
        <v>45423</v>
      </c>
      <c r="G235" s="321"/>
      <c r="H235" t="s">
        <v>172</v>
      </c>
      <c r="I235" t="s">
        <v>173</v>
      </c>
      <c r="J235">
        <v>356</v>
      </c>
      <c r="K235" s="321">
        <v>45133</v>
      </c>
      <c r="L235">
        <v>1010100</v>
      </c>
      <c r="M235" t="s">
        <v>35</v>
      </c>
      <c r="N235">
        <v>719</v>
      </c>
      <c r="O235" s="32">
        <v>0</v>
      </c>
      <c r="P235" s="32">
        <v>43771.16</v>
      </c>
      <c r="Q235" s="32">
        <v>0</v>
      </c>
      <c r="R235" s="32">
        <v>0</v>
      </c>
      <c r="S235" s="32">
        <v>0</v>
      </c>
      <c r="T235" s="32">
        <v>0</v>
      </c>
      <c r="U235" s="32">
        <v>43771.16</v>
      </c>
      <c r="V235" s="32">
        <v>0</v>
      </c>
      <c r="W235" s="32">
        <v>0</v>
      </c>
      <c r="X235" s="32">
        <v>0</v>
      </c>
      <c r="Y235" s="32">
        <v>0</v>
      </c>
      <c r="Z235" s="32">
        <v>43771.16</v>
      </c>
      <c r="AA235" s="32">
        <v>43771.16</v>
      </c>
      <c r="AB235" s="32">
        <v>43771.16</v>
      </c>
      <c r="AC235" s="32" t="s">
        <v>537</v>
      </c>
      <c r="AD235" s="32"/>
      <c r="AE235" s="32">
        <v>43771.16</v>
      </c>
    </row>
    <row r="236" spans="1:31" x14ac:dyDescent="0.25">
      <c r="A236">
        <v>11207</v>
      </c>
      <c r="B236" t="s">
        <v>428</v>
      </c>
      <c r="C236" t="s">
        <v>193</v>
      </c>
      <c r="D236" s="35">
        <v>44760.26</v>
      </c>
      <c r="E236">
        <v>1246092027</v>
      </c>
      <c r="F236" s="321">
        <v>45504</v>
      </c>
      <c r="G236" s="321"/>
      <c r="H236" t="s">
        <v>172</v>
      </c>
      <c r="I236" t="s">
        <v>173</v>
      </c>
      <c r="J236">
        <v>138</v>
      </c>
      <c r="K236" s="321">
        <v>45119</v>
      </c>
      <c r="L236">
        <v>1010100</v>
      </c>
      <c r="M236" t="s">
        <v>35</v>
      </c>
      <c r="N236">
        <v>638</v>
      </c>
      <c r="O236" s="32">
        <v>0</v>
      </c>
      <c r="P236" s="32">
        <v>44760.26</v>
      </c>
      <c r="Q236" s="32">
        <v>0</v>
      </c>
      <c r="R236" s="32">
        <v>0</v>
      </c>
      <c r="S236" s="32">
        <v>0</v>
      </c>
      <c r="T236" s="32">
        <v>0</v>
      </c>
      <c r="U236" s="32">
        <v>44760.26</v>
      </c>
      <c r="V236" s="32">
        <v>0</v>
      </c>
      <c r="W236" s="32">
        <v>0</v>
      </c>
      <c r="X236" s="32">
        <v>0</v>
      </c>
      <c r="Y236" s="32">
        <v>0</v>
      </c>
      <c r="Z236" s="32">
        <v>44760.26</v>
      </c>
      <c r="AA236" s="32">
        <v>44760.26</v>
      </c>
      <c r="AB236" s="32">
        <v>44760.26</v>
      </c>
      <c r="AC236" s="32" t="s">
        <v>537</v>
      </c>
      <c r="AD236" s="32"/>
      <c r="AE236" s="32">
        <v>44760.26</v>
      </c>
    </row>
    <row r="237" spans="1:31" x14ac:dyDescent="0.25">
      <c r="A237">
        <v>11207</v>
      </c>
      <c r="B237" t="s">
        <v>428</v>
      </c>
      <c r="C237" t="s">
        <v>193</v>
      </c>
      <c r="D237" s="35">
        <v>43771.16</v>
      </c>
      <c r="E237">
        <v>1246093362</v>
      </c>
      <c r="F237" s="321">
        <v>45417</v>
      </c>
      <c r="G237" s="321"/>
      <c r="H237" t="s">
        <v>172</v>
      </c>
      <c r="I237" t="s">
        <v>173</v>
      </c>
      <c r="J237">
        <v>253</v>
      </c>
      <c r="K237" s="321">
        <v>45127</v>
      </c>
      <c r="L237">
        <v>1010100</v>
      </c>
      <c r="M237" t="s">
        <v>35</v>
      </c>
      <c r="N237">
        <v>725</v>
      </c>
      <c r="O237" s="32">
        <v>0</v>
      </c>
      <c r="P237" s="32">
        <v>43771.16</v>
      </c>
      <c r="Q237" s="32">
        <v>0</v>
      </c>
      <c r="R237" s="32">
        <v>0</v>
      </c>
      <c r="S237" s="32">
        <v>0</v>
      </c>
      <c r="T237" s="32">
        <v>0</v>
      </c>
      <c r="U237" s="32">
        <v>43771.16</v>
      </c>
      <c r="V237" s="32">
        <v>0</v>
      </c>
      <c r="W237" s="32">
        <v>0</v>
      </c>
      <c r="X237" s="32">
        <v>0</v>
      </c>
      <c r="Y237" s="32">
        <v>0</v>
      </c>
      <c r="Z237" s="32">
        <v>43771.16</v>
      </c>
      <c r="AA237" s="32">
        <v>43771.16</v>
      </c>
      <c r="AB237" s="32">
        <v>43771.16</v>
      </c>
      <c r="AC237" s="32" t="s">
        <v>537</v>
      </c>
      <c r="AD237" s="32"/>
      <c r="AE237" s="32">
        <v>43771.16</v>
      </c>
    </row>
    <row r="238" spans="1:31" x14ac:dyDescent="0.25">
      <c r="A238">
        <v>11207</v>
      </c>
      <c r="B238" t="s">
        <v>428</v>
      </c>
      <c r="C238" t="s">
        <v>193</v>
      </c>
      <c r="D238" s="35">
        <v>47925.4</v>
      </c>
      <c r="E238">
        <v>1246094864</v>
      </c>
      <c r="F238" s="321">
        <v>45544</v>
      </c>
      <c r="G238" s="321"/>
      <c r="H238" t="s">
        <v>172</v>
      </c>
      <c r="I238" t="s">
        <v>173</v>
      </c>
      <c r="J238">
        <v>407</v>
      </c>
      <c r="K238" s="321">
        <v>45135</v>
      </c>
      <c r="L238">
        <v>1010100</v>
      </c>
      <c r="M238" t="s">
        <v>35</v>
      </c>
      <c r="N238">
        <v>598</v>
      </c>
      <c r="O238" s="32">
        <v>0</v>
      </c>
      <c r="P238" s="32">
        <v>47925.4</v>
      </c>
      <c r="Q238" s="32">
        <v>0</v>
      </c>
      <c r="R238" s="32">
        <v>0</v>
      </c>
      <c r="S238" s="32">
        <v>0</v>
      </c>
      <c r="T238" s="32">
        <v>0</v>
      </c>
      <c r="U238" s="32">
        <v>47925.4</v>
      </c>
      <c r="V238" s="32">
        <v>0</v>
      </c>
      <c r="W238" s="32">
        <v>0</v>
      </c>
      <c r="X238" s="32">
        <v>0</v>
      </c>
      <c r="Y238" s="32">
        <v>0</v>
      </c>
      <c r="Z238" s="32">
        <v>47925.4</v>
      </c>
      <c r="AA238" s="32">
        <v>47925.4</v>
      </c>
      <c r="AB238" s="32">
        <v>47925.4</v>
      </c>
      <c r="AC238" s="32" t="s">
        <v>537</v>
      </c>
      <c r="AD238" s="32"/>
      <c r="AE238" s="32">
        <v>47925.4</v>
      </c>
    </row>
    <row r="239" spans="1:31" x14ac:dyDescent="0.25">
      <c r="A239">
        <v>11207</v>
      </c>
      <c r="B239" t="s">
        <v>428</v>
      </c>
      <c r="C239" t="s">
        <v>193</v>
      </c>
      <c r="D239" s="35">
        <v>106301.38</v>
      </c>
      <c r="E239">
        <v>1246094863</v>
      </c>
      <c r="F239" s="321">
        <v>45425</v>
      </c>
      <c r="G239" s="321"/>
      <c r="H239" t="s">
        <v>172</v>
      </c>
      <c r="I239" t="s">
        <v>173</v>
      </c>
      <c r="J239">
        <v>406</v>
      </c>
      <c r="K239" s="321">
        <v>45135</v>
      </c>
      <c r="L239">
        <v>1010100</v>
      </c>
      <c r="M239" t="s">
        <v>35</v>
      </c>
      <c r="N239">
        <v>717</v>
      </c>
      <c r="O239" s="32">
        <v>0</v>
      </c>
      <c r="P239" s="32">
        <v>106301.38</v>
      </c>
      <c r="Q239" s="32">
        <v>0</v>
      </c>
      <c r="R239" s="32">
        <v>0</v>
      </c>
      <c r="S239" s="32">
        <v>0</v>
      </c>
      <c r="T239" s="32">
        <v>0</v>
      </c>
      <c r="U239" s="32">
        <v>106301.38</v>
      </c>
      <c r="V239" s="32">
        <v>0</v>
      </c>
      <c r="W239" s="32">
        <v>0</v>
      </c>
      <c r="X239" s="32">
        <v>0</v>
      </c>
      <c r="Y239" s="32">
        <v>0</v>
      </c>
      <c r="Z239" s="32">
        <v>106301.38</v>
      </c>
      <c r="AA239" s="32">
        <v>106301.38</v>
      </c>
      <c r="AB239" s="32">
        <v>106301.38</v>
      </c>
      <c r="AC239" s="32" t="s">
        <v>537</v>
      </c>
      <c r="AD239" s="32"/>
      <c r="AE239" s="32">
        <v>106301.38</v>
      </c>
    </row>
    <row r="240" spans="1:31" x14ac:dyDescent="0.25">
      <c r="A240">
        <v>11207</v>
      </c>
      <c r="B240" t="s">
        <v>428</v>
      </c>
      <c r="C240" t="s">
        <v>193</v>
      </c>
      <c r="D240" s="35">
        <v>150072.54</v>
      </c>
      <c r="E240">
        <v>1246095554</v>
      </c>
      <c r="F240" s="321">
        <v>45415</v>
      </c>
      <c r="G240" s="321"/>
      <c r="H240" t="s">
        <v>172</v>
      </c>
      <c r="I240" t="s">
        <v>173</v>
      </c>
      <c r="J240">
        <v>485</v>
      </c>
      <c r="K240" s="321">
        <v>45140</v>
      </c>
      <c r="L240">
        <v>1010100</v>
      </c>
      <c r="M240" t="s">
        <v>35</v>
      </c>
      <c r="N240">
        <v>727</v>
      </c>
      <c r="O240" s="32">
        <v>0</v>
      </c>
      <c r="P240" s="32">
        <v>150072.54</v>
      </c>
      <c r="Q240" s="32">
        <v>0</v>
      </c>
      <c r="R240" s="32">
        <v>0</v>
      </c>
      <c r="S240" s="32">
        <v>0</v>
      </c>
      <c r="T240" s="32">
        <v>0</v>
      </c>
      <c r="U240" s="32">
        <v>150072.54</v>
      </c>
      <c r="V240" s="32">
        <v>0</v>
      </c>
      <c r="W240" s="32">
        <v>0</v>
      </c>
      <c r="X240" s="32">
        <v>0</v>
      </c>
      <c r="Y240" s="32">
        <v>0</v>
      </c>
      <c r="Z240" s="32">
        <v>150072.54</v>
      </c>
      <c r="AA240" s="32">
        <v>150072.54</v>
      </c>
      <c r="AB240" s="32">
        <v>150072.54</v>
      </c>
      <c r="AC240" s="32" t="s">
        <v>537</v>
      </c>
      <c r="AD240" s="32"/>
      <c r="AE240" s="32">
        <v>150072.54</v>
      </c>
    </row>
    <row r="241" spans="1:31" x14ac:dyDescent="0.25">
      <c r="A241">
        <v>11207</v>
      </c>
      <c r="B241" t="s">
        <v>428</v>
      </c>
      <c r="C241" t="s">
        <v>193</v>
      </c>
      <c r="D241" s="35">
        <v>150072.54999999999</v>
      </c>
      <c r="E241">
        <v>1246098101</v>
      </c>
      <c r="F241" s="321">
        <v>45414</v>
      </c>
      <c r="G241" s="321"/>
      <c r="H241" t="s">
        <v>172</v>
      </c>
      <c r="I241" t="s">
        <v>173</v>
      </c>
      <c r="J241">
        <v>151</v>
      </c>
      <c r="K241" s="321">
        <v>45154</v>
      </c>
      <c r="L241">
        <v>1010100</v>
      </c>
      <c r="M241" t="s">
        <v>35</v>
      </c>
      <c r="N241">
        <v>728</v>
      </c>
      <c r="O241" s="32">
        <v>0</v>
      </c>
      <c r="P241" s="32">
        <v>150072.54999999999</v>
      </c>
      <c r="Q241" s="32">
        <v>0</v>
      </c>
      <c r="R241" s="32">
        <v>0</v>
      </c>
      <c r="S241" s="32">
        <v>0</v>
      </c>
      <c r="T241" s="32">
        <v>0</v>
      </c>
      <c r="U241" s="32">
        <v>150072.54999999999</v>
      </c>
      <c r="V241" s="32">
        <v>0</v>
      </c>
      <c r="W241" s="32">
        <v>0</v>
      </c>
      <c r="X241" s="32">
        <v>0</v>
      </c>
      <c r="Y241" s="32">
        <v>0</v>
      </c>
      <c r="Z241" s="32">
        <v>150072.54999999999</v>
      </c>
      <c r="AA241" s="32">
        <v>150072.54999999999</v>
      </c>
      <c r="AB241" s="32">
        <v>150072.54999999999</v>
      </c>
      <c r="AC241" s="32" t="s">
        <v>537</v>
      </c>
      <c r="AD241" s="32"/>
      <c r="AE241" s="32">
        <v>150072.54999999999</v>
      </c>
    </row>
    <row r="242" spans="1:31" x14ac:dyDescent="0.25">
      <c r="A242">
        <v>11207</v>
      </c>
      <c r="B242" t="s">
        <v>428</v>
      </c>
      <c r="C242" t="s">
        <v>193</v>
      </c>
      <c r="D242" s="35">
        <v>43771.16</v>
      </c>
      <c r="E242">
        <v>1246098102</v>
      </c>
      <c r="F242" s="321">
        <v>45414</v>
      </c>
      <c r="G242" s="321"/>
      <c r="H242" t="s">
        <v>172</v>
      </c>
      <c r="I242" t="s">
        <v>173</v>
      </c>
      <c r="J242">
        <v>152</v>
      </c>
      <c r="K242" s="321">
        <v>45154</v>
      </c>
      <c r="L242">
        <v>1010100</v>
      </c>
      <c r="M242" t="s">
        <v>35</v>
      </c>
      <c r="N242">
        <v>728</v>
      </c>
      <c r="O242" s="32">
        <v>0</v>
      </c>
      <c r="P242" s="32">
        <v>43771.16</v>
      </c>
      <c r="Q242" s="32">
        <v>0</v>
      </c>
      <c r="R242" s="32">
        <v>0</v>
      </c>
      <c r="S242" s="32">
        <v>0</v>
      </c>
      <c r="T242" s="32">
        <v>0</v>
      </c>
      <c r="U242" s="32">
        <v>43771.16</v>
      </c>
      <c r="V242" s="32">
        <v>0</v>
      </c>
      <c r="W242" s="32">
        <v>0</v>
      </c>
      <c r="X242" s="32">
        <v>0</v>
      </c>
      <c r="Y242" s="32">
        <v>0</v>
      </c>
      <c r="Z242" s="32">
        <v>43771.16</v>
      </c>
      <c r="AA242" s="32">
        <v>43771.16</v>
      </c>
      <c r="AB242" s="32">
        <v>43771.16</v>
      </c>
      <c r="AC242" s="32" t="s">
        <v>537</v>
      </c>
      <c r="AD242" s="32"/>
      <c r="AE242" s="32">
        <v>43771.16</v>
      </c>
    </row>
    <row r="243" spans="1:31" x14ac:dyDescent="0.25">
      <c r="A243">
        <v>11207</v>
      </c>
      <c r="B243" t="s">
        <v>428</v>
      </c>
      <c r="C243" t="s">
        <v>193</v>
      </c>
      <c r="D243" s="35">
        <v>150072.54</v>
      </c>
      <c r="E243">
        <v>1246096042</v>
      </c>
      <c r="F243" s="321">
        <v>45417</v>
      </c>
      <c r="G243" s="321"/>
      <c r="H243" t="s">
        <v>172</v>
      </c>
      <c r="I243" t="s">
        <v>173</v>
      </c>
      <c r="J243">
        <v>520</v>
      </c>
      <c r="K243" s="321">
        <v>45142</v>
      </c>
      <c r="L243">
        <v>1010100</v>
      </c>
      <c r="M243" t="s">
        <v>35</v>
      </c>
      <c r="N243">
        <v>725</v>
      </c>
      <c r="O243" s="32">
        <v>0</v>
      </c>
      <c r="P243" s="32">
        <v>150072.54</v>
      </c>
      <c r="Q243" s="32">
        <v>0</v>
      </c>
      <c r="R243" s="32">
        <v>0</v>
      </c>
      <c r="S243" s="32">
        <v>0</v>
      </c>
      <c r="T243" s="32">
        <v>0</v>
      </c>
      <c r="U243" s="32">
        <v>150072.54</v>
      </c>
      <c r="V243" s="32">
        <v>0</v>
      </c>
      <c r="W243" s="32">
        <v>0</v>
      </c>
      <c r="X243" s="32">
        <v>0</v>
      </c>
      <c r="Y243" s="32">
        <v>0</v>
      </c>
      <c r="Z243" s="32">
        <v>150072.54</v>
      </c>
      <c r="AA243" s="32">
        <v>150072.54</v>
      </c>
      <c r="AB243" s="32">
        <v>150072.54</v>
      </c>
      <c r="AC243" s="32" t="s">
        <v>537</v>
      </c>
      <c r="AD243" s="32"/>
      <c r="AE243" s="32">
        <v>150072.54</v>
      </c>
    </row>
    <row r="244" spans="1:31" x14ac:dyDescent="0.25">
      <c r="A244">
        <v>11207</v>
      </c>
      <c r="B244" t="s">
        <v>428</v>
      </c>
      <c r="C244" t="s">
        <v>193</v>
      </c>
      <c r="D244" s="35">
        <v>150072.54999999999</v>
      </c>
      <c r="E244">
        <v>1246098739</v>
      </c>
      <c r="F244" s="321">
        <v>45446</v>
      </c>
      <c r="G244" s="321"/>
      <c r="H244" t="s">
        <v>172</v>
      </c>
      <c r="I244" t="s">
        <v>173</v>
      </c>
      <c r="J244">
        <v>161</v>
      </c>
      <c r="K244" s="321">
        <v>45156</v>
      </c>
      <c r="L244">
        <v>1010100</v>
      </c>
      <c r="M244" t="s">
        <v>35</v>
      </c>
      <c r="N244">
        <v>696</v>
      </c>
      <c r="O244" s="32">
        <v>0</v>
      </c>
      <c r="P244" s="32">
        <v>150072.54999999999</v>
      </c>
      <c r="Q244" s="32">
        <v>0</v>
      </c>
      <c r="R244" s="32">
        <v>0</v>
      </c>
      <c r="S244" s="32">
        <v>0</v>
      </c>
      <c r="T244" s="32">
        <v>0</v>
      </c>
      <c r="U244" s="32">
        <v>150072.54999999999</v>
      </c>
      <c r="V244" s="32">
        <v>0</v>
      </c>
      <c r="W244" s="32">
        <v>0</v>
      </c>
      <c r="X244" s="32">
        <v>0</v>
      </c>
      <c r="Y244" s="32">
        <v>0</v>
      </c>
      <c r="Z244" s="32">
        <v>150072.54999999999</v>
      </c>
      <c r="AA244" s="32">
        <v>150072.54999999999</v>
      </c>
      <c r="AB244" s="32">
        <v>150072.54999999999</v>
      </c>
      <c r="AC244" s="32" t="s">
        <v>537</v>
      </c>
      <c r="AD244" s="32"/>
      <c r="AE244" s="32">
        <v>150072.54999999999</v>
      </c>
    </row>
    <row r="245" spans="1:31" x14ac:dyDescent="0.25">
      <c r="A245">
        <v>11207</v>
      </c>
      <c r="B245" t="s">
        <v>428</v>
      </c>
      <c r="C245" t="s">
        <v>193</v>
      </c>
      <c r="D245" s="35">
        <v>150072.54</v>
      </c>
      <c r="E245">
        <v>1246103409</v>
      </c>
      <c r="F245" s="321">
        <v>45421</v>
      </c>
      <c r="G245" s="321"/>
      <c r="H245" t="s">
        <v>172</v>
      </c>
      <c r="I245" t="s">
        <v>173</v>
      </c>
      <c r="J245">
        <v>231</v>
      </c>
      <c r="K245" s="321">
        <v>45181</v>
      </c>
      <c r="L245">
        <v>1010100</v>
      </c>
      <c r="M245" t="s">
        <v>35</v>
      </c>
      <c r="N245">
        <v>721</v>
      </c>
      <c r="O245" s="32">
        <v>0</v>
      </c>
      <c r="P245" s="32">
        <v>150072.54</v>
      </c>
      <c r="Q245" s="32">
        <v>0</v>
      </c>
      <c r="R245" s="32">
        <v>0</v>
      </c>
      <c r="S245" s="32">
        <v>0</v>
      </c>
      <c r="T245" s="32">
        <v>0</v>
      </c>
      <c r="U245" s="32">
        <v>150072.54</v>
      </c>
      <c r="V245" s="32">
        <v>0</v>
      </c>
      <c r="W245" s="32">
        <v>0</v>
      </c>
      <c r="X245" s="32">
        <v>0</v>
      </c>
      <c r="Y245" s="32">
        <v>0</v>
      </c>
      <c r="Z245" s="32">
        <v>150072.54</v>
      </c>
      <c r="AA245" s="32">
        <v>150072.54</v>
      </c>
      <c r="AB245" s="32">
        <v>150072.54</v>
      </c>
      <c r="AC245" s="32" t="s">
        <v>537</v>
      </c>
      <c r="AD245" s="32"/>
      <c r="AE245" s="32">
        <v>150072.54</v>
      </c>
    </row>
    <row r="246" spans="1:31" x14ac:dyDescent="0.25">
      <c r="A246">
        <v>11207</v>
      </c>
      <c r="B246" t="s">
        <v>428</v>
      </c>
      <c r="C246" t="s">
        <v>193</v>
      </c>
      <c r="D246" s="35">
        <v>150072.54999999999</v>
      </c>
      <c r="E246">
        <v>1246104480</v>
      </c>
      <c r="F246" s="321">
        <v>45427</v>
      </c>
      <c r="G246" s="321"/>
      <c r="H246" t="s">
        <v>172</v>
      </c>
      <c r="I246" t="s">
        <v>173</v>
      </c>
      <c r="J246">
        <v>1209</v>
      </c>
      <c r="K246" s="321">
        <v>45187</v>
      </c>
      <c r="L246">
        <v>1010100</v>
      </c>
      <c r="M246" t="s">
        <v>35</v>
      </c>
      <c r="N246">
        <v>715</v>
      </c>
      <c r="O246" s="32">
        <v>0</v>
      </c>
      <c r="P246" s="32">
        <v>150072.54999999999</v>
      </c>
      <c r="Q246" s="32">
        <v>0</v>
      </c>
      <c r="R246" s="32">
        <v>0</v>
      </c>
      <c r="S246" s="32">
        <v>0</v>
      </c>
      <c r="T246" s="32">
        <v>0</v>
      </c>
      <c r="U246" s="32">
        <v>150072.54999999999</v>
      </c>
      <c r="V246" s="32">
        <v>0</v>
      </c>
      <c r="W246" s="32">
        <v>0</v>
      </c>
      <c r="X246" s="32">
        <v>0</v>
      </c>
      <c r="Y246" s="32">
        <v>0</v>
      </c>
      <c r="Z246" s="32">
        <v>150072.54999999999</v>
      </c>
      <c r="AA246" s="32">
        <v>150072.54999999999</v>
      </c>
      <c r="AB246" s="32">
        <v>150072.54999999999</v>
      </c>
      <c r="AC246" s="32" t="s">
        <v>537</v>
      </c>
      <c r="AD246" s="32"/>
      <c r="AE246" s="32">
        <v>150072.54999999999</v>
      </c>
    </row>
    <row r="247" spans="1:31" x14ac:dyDescent="0.25">
      <c r="A247">
        <v>11207</v>
      </c>
      <c r="B247" t="s">
        <v>428</v>
      </c>
      <c r="C247" t="s">
        <v>193</v>
      </c>
      <c r="D247" s="35">
        <v>98152.42</v>
      </c>
      <c r="E247">
        <v>1246128194</v>
      </c>
      <c r="F247" s="321">
        <v>45595</v>
      </c>
      <c r="G247" s="321"/>
      <c r="H247" t="s">
        <v>172</v>
      </c>
      <c r="I247" t="s">
        <v>173</v>
      </c>
      <c r="J247">
        <v>2705</v>
      </c>
      <c r="K247" s="321">
        <v>45327</v>
      </c>
      <c r="L247">
        <v>1010100</v>
      </c>
      <c r="M247" t="s">
        <v>35</v>
      </c>
      <c r="N247">
        <v>547</v>
      </c>
      <c r="O247" s="32">
        <v>0</v>
      </c>
      <c r="P247" s="32">
        <v>98152.42</v>
      </c>
      <c r="Q247" s="32">
        <v>0</v>
      </c>
      <c r="R247" s="32">
        <v>0</v>
      </c>
      <c r="S247" s="32">
        <v>0</v>
      </c>
      <c r="T247" s="32">
        <v>0</v>
      </c>
      <c r="U247" s="32">
        <v>98152.42</v>
      </c>
      <c r="V247" s="32">
        <v>0</v>
      </c>
      <c r="W247" s="32">
        <v>0</v>
      </c>
      <c r="X247" s="32">
        <v>0</v>
      </c>
      <c r="Y247" s="32">
        <v>0</v>
      </c>
      <c r="Z247" s="32">
        <v>98152.42</v>
      </c>
      <c r="AA247" s="32">
        <v>98152.42</v>
      </c>
      <c r="AB247" s="32">
        <v>98152.42</v>
      </c>
      <c r="AC247" s="32" t="s">
        <v>537</v>
      </c>
      <c r="AD247" s="32"/>
      <c r="AE247" s="32">
        <v>98152.42</v>
      </c>
    </row>
    <row r="248" spans="1:31" x14ac:dyDescent="0.25">
      <c r="A248">
        <v>11207</v>
      </c>
      <c r="B248" t="s">
        <v>428</v>
      </c>
      <c r="C248" t="s">
        <v>193</v>
      </c>
      <c r="D248" s="35">
        <v>98152.43</v>
      </c>
      <c r="E248">
        <v>1246128212</v>
      </c>
      <c r="F248" s="321">
        <v>45595</v>
      </c>
      <c r="G248" s="321"/>
      <c r="H248" t="s">
        <v>172</v>
      </c>
      <c r="I248" t="s">
        <v>173</v>
      </c>
      <c r="J248">
        <v>2708</v>
      </c>
      <c r="K248" s="321">
        <v>45327</v>
      </c>
      <c r="L248">
        <v>1010100</v>
      </c>
      <c r="M248" t="s">
        <v>35</v>
      </c>
      <c r="N248">
        <v>547</v>
      </c>
      <c r="O248" s="32">
        <v>0</v>
      </c>
      <c r="P248" s="32">
        <v>98152.43</v>
      </c>
      <c r="Q248" s="32">
        <v>0</v>
      </c>
      <c r="R248" s="32">
        <v>0</v>
      </c>
      <c r="S248" s="32">
        <v>0</v>
      </c>
      <c r="T248" s="32">
        <v>0</v>
      </c>
      <c r="U248" s="32">
        <v>98152.43</v>
      </c>
      <c r="V248" s="32">
        <v>0</v>
      </c>
      <c r="W248" s="32">
        <v>0</v>
      </c>
      <c r="X248" s="32">
        <v>0</v>
      </c>
      <c r="Y248" s="32">
        <v>0</v>
      </c>
      <c r="Z248" s="32">
        <v>98152.43</v>
      </c>
      <c r="AA248" s="32">
        <v>98152.43</v>
      </c>
      <c r="AB248" s="32">
        <v>98152.43</v>
      </c>
      <c r="AC248" s="32" t="s">
        <v>537</v>
      </c>
      <c r="AD248" s="32"/>
      <c r="AE248" s="32">
        <v>98152.43</v>
      </c>
    </row>
    <row r="249" spans="1:31" x14ac:dyDescent="0.25">
      <c r="A249">
        <v>11207</v>
      </c>
      <c r="B249" t="s">
        <v>428</v>
      </c>
      <c r="C249" t="s">
        <v>193</v>
      </c>
      <c r="D249" s="35">
        <v>43771.16</v>
      </c>
      <c r="E249">
        <v>1246102312</v>
      </c>
      <c r="F249" s="321">
        <v>45414</v>
      </c>
      <c r="G249" s="321"/>
      <c r="H249" t="s">
        <v>172</v>
      </c>
      <c r="I249" t="s">
        <v>173</v>
      </c>
      <c r="J249">
        <v>1038</v>
      </c>
      <c r="K249" s="321">
        <v>45174</v>
      </c>
      <c r="L249">
        <v>1010100</v>
      </c>
      <c r="M249" t="s">
        <v>35</v>
      </c>
      <c r="N249">
        <v>728</v>
      </c>
      <c r="O249" s="32">
        <v>0</v>
      </c>
      <c r="P249" s="32">
        <v>43771.16</v>
      </c>
      <c r="Q249" s="32">
        <v>0</v>
      </c>
      <c r="R249" s="32">
        <v>0</v>
      </c>
      <c r="S249" s="32">
        <v>0</v>
      </c>
      <c r="T249" s="32">
        <v>0</v>
      </c>
      <c r="U249" s="32">
        <v>43771.16</v>
      </c>
      <c r="V249" s="32">
        <v>0</v>
      </c>
      <c r="W249" s="32">
        <v>0</v>
      </c>
      <c r="X249" s="32">
        <v>0</v>
      </c>
      <c r="Y249" s="32">
        <v>0</v>
      </c>
      <c r="Z249" s="32">
        <v>43771.16</v>
      </c>
      <c r="AA249" s="32">
        <v>43771.16</v>
      </c>
      <c r="AB249" s="32">
        <v>43771.16</v>
      </c>
      <c r="AC249" s="32" t="s">
        <v>537</v>
      </c>
      <c r="AD249" s="32"/>
      <c r="AE249" s="32">
        <v>43771.16</v>
      </c>
    </row>
    <row r="250" spans="1:31" x14ac:dyDescent="0.25">
      <c r="A250">
        <v>11207</v>
      </c>
      <c r="B250" t="s">
        <v>428</v>
      </c>
      <c r="C250" t="s">
        <v>193</v>
      </c>
      <c r="D250" s="35">
        <v>43771.16</v>
      </c>
      <c r="E250">
        <v>1246103425</v>
      </c>
      <c r="F250" s="321">
        <v>45421</v>
      </c>
      <c r="G250" s="321"/>
      <c r="H250" t="s">
        <v>172</v>
      </c>
      <c r="I250" t="s">
        <v>173</v>
      </c>
      <c r="J250">
        <v>232</v>
      </c>
      <c r="K250" s="321">
        <v>45181</v>
      </c>
      <c r="L250">
        <v>1010100</v>
      </c>
      <c r="M250" t="s">
        <v>35</v>
      </c>
      <c r="N250">
        <v>721</v>
      </c>
      <c r="O250" s="32">
        <v>0</v>
      </c>
      <c r="P250" s="32">
        <v>43771.16</v>
      </c>
      <c r="Q250" s="32">
        <v>0</v>
      </c>
      <c r="R250" s="32">
        <v>0</v>
      </c>
      <c r="S250" s="32">
        <v>0</v>
      </c>
      <c r="T250" s="32">
        <v>0</v>
      </c>
      <c r="U250" s="32">
        <v>43771.16</v>
      </c>
      <c r="V250" s="32">
        <v>0</v>
      </c>
      <c r="W250" s="32">
        <v>0</v>
      </c>
      <c r="X250" s="32">
        <v>0</v>
      </c>
      <c r="Y250" s="32">
        <v>0</v>
      </c>
      <c r="Z250" s="32">
        <v>43771.16</v>
      </c>
      <c r="AA250" s="32">
        <v>43771.16</v>
      </c>
      <c r="AB250" s="32">
        <v>43771.16</v>
      </c>
      <c r="AC250" s="32" t="s">
        <v>537</v>
      </c>
      <c r="AD250" s="32"/>
      <c r="AE250" s="32">
        <v>43771.16</v>
      </c>
    </row>
    <row r="251" spans="1:31" x14ac:dyDescent="0.25">
      <c r="A251">
        <v>11207</v>
      </c>
      <c r="B251" t="s">
        <v>428</v>
      </c>
      <c r="C251" t="s">
        <v>193</v>
      </c>
      <c r="D251" s="35">
        <v>85883.37</v>
      </c>
      <c r="E251">
        <v>1246128634</v>
      </c>
      <c r="F251" s="321">
        <v>45597</v>
      </c>
      <c r="G251" s="321"/>
      <c r="H251" t="s">
        <v>172</v>
      </c>
      <c r="I251" t="s">
        <v>173</v>
      </c>
      <c r="J251">
        <v>2731</v>
      </c>
      <c r="K251" s="321">
        <v>45329</v>
      </c>
      <c r="L251">
        <v>1010100</v>
      </c>
      <c r="M251" t="s">
        <v>35</v>
      </c>
      <c r="N251">
        <v>545</v>
      </c>
      <c r="O251" s="32">
        <v>0</v>
      </c>
      <c r="P251" s="32">
        <v>85883.37</v>
      </c>
      <c r="Q251" s="32">
        <v>0</v>
      </c>
      <c r="R251" s="32">
        <v>0</v>
      </c>
      <c r="S251" s="32">
        <v>0</v>
      </c>
      <c r="T251" s="32">
        <v>0</v>
      </c>
      <c r="U251" s="32">
        <v>85883.37</v>
      </c>
      <c r="V251" s="32">
        <v>0</v>
      </c>
      <c r="W251" s="32">
        <v>0</v>
      </c>
      <c r="X251" s="32">
        <v>0</v>
      </c>
      <c r="Y251" s="32">
        <v>0</v>
      </c>
      <c r="Z251" s="32">
        <v>85883.37</v>
      </c>
      <c r="AA251" s="32">
        <v>85883.37</v>
      </c>
      <c r="AB251" s="32">
        <v>85883.37</v>
      </c>
      <c r="AC251" s="32" t="s">
        <v>537</v>
      </c>
      <c r="AD251" s="32"/>
      <c r="AE251" s="32">
        <v>85883.37</v>
      </c>
    </row>
    <row r="252" spans="1:31" x14ac:dyDescent="0.25">
      <c r="A252">
        <v>11207</v>
      </c>
      <c r="B252" t="s">
        <v>428</v>
      </c>
      <c r="C252" t="s">
        <v>193</v>
      </c>
      <c r="D252" s="35">
        <v>150072.54</v>
      </c>
      <c r="E252">
        <v>1246106013</v>
      </c>
      <c r="F252" s="321">
        <v>45416</v>
      </c>
      <c r="G252" s="321"/>
      <c r="H252" t="s">
        <v>172</v>
      </c>
      <c r="I252" t="s">
        <v>173</v>
      </c>
      <c r="J252">
        <v>1329</v>
      </c>
      <c r="K252" s="321">
        <v>45194</v>
      </c>
      <c r="L252">
        <v>1010100</v>
      </c>
      <c r="M252" t="s">
        <v>35</v>
      </c>
      <c r="N252">
        <v>726</v>
      </c>
      <c r="O252" s="32">
        <v>0</v>
      </c>
      <c r="P252" s="32">
        <v>150072.54</v>
      </c>
      <c r="Q252" s="32">
        <v>0</v>
      </c>
      <c r="R252" s="32">
        <v>0</v>
      </c>
      <c r="S252" s="32">
        <v>0</v>
      </c>
      <c r="T252" s="32">
        <v>0</v>
      </c>
      <c r="U252" s="32">
        <v>150072.54</v>
      </c>
      <c r="V252" s="32">
        <v>0</v>
      </c>
      <c r="W252" s="32">
        <v>0</v>
      </c>
      <c r="X252" s="32">
        <v>0</v>
      </c>
      <c r="Y252" s="32">
        <v>0</v>
      </c>
      <c r="Z252" s="32">
        <v>150072.54</v>
      </c>
      <c r="AA252" s="32">
        <v>150072.54</v>
      </c>
      <c r="AB252" s="32">
        <v>150072.54</v>
      </c>
      <c r="AC252" s="32" t="s">
        <v>537</v>
      </c>
      <c r="AD252" s="32"/>
      <c r="AE252" s="32">
        <v>150072.54</v>
      </c>
    </row>
    <row r="253" spans="1:31" x14ac:dyDescent="0.25">
      <c r="A253">
        <v>11207</v>
      </c>
      <c r="B253" t="s">
        <v>428</v>
      </c>
      <c r="C253" t="s">
        <v>193</v>
      </c>
      <c r="D253" s="35">
        <v>150072.54</v>
      </c>
      <c r="E253">
        <v>1246102752</v>
      </c>
      <c r="F253" s="321">
        <v>45415</v>
      </c>
      <c r="G253" s="321"/>
      <c r="H253" t="s">
        <v>172</v>
      </c>
      <c r="I253" t="s">
        <v>173</v>
      </c>
      <c r="J253">
        <v>1071</v>
      </c>
      <c r="K253" s="321">
        <v>45175</v>
      </c>
      <c r="L253">
        <v>1010100</v>
      </c>
      <c r="M253" t="s">
        <v>35</v>
      </c>
      <c r="N253">
        <v>727</v>
      </c>
      <c r="O253" s="32">
        <v>0</v>
      </c>
      <c r="P253" s="32">
        <v>150072.54</v>
      </c>
      <c r="Q253" s="32">
        <v>0</v>
      </c>
      <c r="R253" s="32">
        <v>0</v>
      </c>
      <c r="S253" s="32">
        <v>0</v>
      </c>
      <c r="T253" s="32">
        <v>0</v>
      </c>
      <c r="U253" s="32">
        <v>150072.54</v>
      </c>
      <c r="V253" s="32">
        <v>0</v>
      </c>
      <c r="W253" s="32">
        <v>0</v>
      </c>
      <c r="X253" s="32">
        <v>0</v>
      </c>
      <c r="Y253" s="32">
        <v>0</v>
      </c>
      <c r="Z253" s="32">
        <v>150072.54</v>
      </c>
      <c r="AA253" s="32">
        <v>150072.54</v>
      </c>
      <c r="AB253" s="32">
        <v>150072.54</v>
      </c>
      <c r="AC253" s="32" t="s">
        <v>537</v>
      </c>
      <c r="AD253" s="32"/>
      <c r="AE253" s="32">
        <v>150072.54</v>
      </c>
    </row>
    <row r="254" spans="1:31" x14ac:dyDescent="0.25">
      <c r="A254">
        <v>11207</v>
      </c>
      <c r="B254" t="s">
        <v>428</v>
      </c>
      <c r="C254" t="s">
        <v>193</v>
      </c>
      <c r="D254" s="35">
        <v>43771.16</v>
      </c>
      <c r="E254">
        <v>1246103933</v>
      </c>
      <c r="F254" s="321">
        <v>45423</v>
      </c>
      <c r="G254" s="321"/>
      <c r="H254" t="s">
        <v>172</v>
      </c>
      <c r="I254" t="s">
        <v>173</v>
      </c>
      <c r="J254">
        <v>1167</v>
      </c>
      <c r="K254" s="321">
        <v>45183</v>
      </c>
      <c r="L254">
        <v>1010100</v>
      </c>
      <c r="M254" t="s">
        <v>35</v>
      </c>
      <c r="N254">
        <v>719</v>
      </c>
      <c r="O254" s="32">
        <v>0</v>
      </c>
      <c r="P254" s="32">
        <v>43771.16</v>
      </c>
      <c r="Q254" s="32">
        <v>0</v>
      </c>
      <c r="R254" s="32">
        <v>0</v>
      </c>
      <c r="S254" s="32">
        <v>0</v>
      </c>
      <c r="T254" s="32">
        <v>0</v>
      </c>
      <c r="U254" s="32">
        <v>43771.16</v>
      </c>
      <c r="V254" s="32">
        <v>0</v>
      </c>
      <c r="W254" s="32">
        <v>0</v>
      </c>
      <c r="X254" s="32">
        <v>0</v>
      </c>
      <c r="Y254" s="32">
        <v>0</v>
      </c>
      <c r="Z254" s="32">
        <v>43771.16</v>
      </c>
      <c r="AA254" s="32">
        <v>43771.16</v>
      </c>
      <c r="AB254" s="32">
        <v>43771.16</v>
      </c>
      <c r="AC254" s="32" t="s">
        <v>537</v>
      </c>
      <c r="AD254" s="32"/>
      <c r="AE254" s="32">
        <v>43771.16</v>
      </c>
    </row>
    <row r="255" spans="1:31" x14ac:dyDescent="0.25">
      <c r="A255">
        <v>11207</v>
      </c>
      <c r="B255" t="s">
        <v>428</v>
      </c>
      <c r="C255" t="s">
        <v>193</v>
      </c>
      <c r="D255" s="35">
        <v>150072.54</v>
      </c>
      <c r="E255">
        <v>1246105096</v>
      </c>
      <c r="F255" s="321">
        <v>45429</v>
      </c>
      <c r="G255" s="321"/>
      <c r="H255" t="s">
        <v>172</v>
      </c>
      <c r="I255" t="s">
        <v>173</v>
      </c>
      <c r="J255">
        <v>1263</v>
      </c>
      <c r="K255" s="321">
        <v>45189</v>
      </c>
      <c r="L255">
        <v>1010100</v>
      </c>
      <c r="M255" t="s">
        <v>35</v>
      </c>
      <c r="N255">
        <v>713</v>
      </c>
      <c r="O255" s="32">
        <v>0</v>
      </c>
      <c r="P255" s="32">
        <v>150072.54</v>
      </c>
      <c r="Q255" s="32">
        <v>0</v>
      </c>
      <c r="R255" s="32">
        <v>0</v>
      </c>
      <c r="S255" s="32">
        <v>0</v>
      </c>
      <c r="T255" s="32">
        <v>0</v>
      </c>
      <c r="U255" s="32">
        <v>150072.54</v>
      </c>
      <c r="V255" s="32">
        <v>0</v>
      </c>
      <c r="W255" s="32">
        <v>0</v>
      </c>
      <c r="X255" s="32">
        <v>0</v>
      </c>
      <c r="Y255" s="32">
        <v>0</v>
      </c>
      <c r="Z255" s="32">
        <v>150072.54</v>
      </c>
      <c r="AA255" s="32">
        <v>150072.54</v>
      </c>
      <c r="AB255" s="32">
        <v>150072.54</v>
      </c>
      <c r="AC255" s="32" t="s">
        <v>537</v>
      </c>
      <c r="AD255" s="32"/>
      <c r="AE255" s="32">
        <v>150072.54</v>
      </c>
    </row>
    <row r="256" spans="1:31" x14ac:dyDescent="0.25">
      <c r="A256">
        <v>11207</v>
      </c>
      <c r="B256" t="s">
        <v>428</v>
      </c>
      <c r="C256" t="s">
        <v>193</v>
      </c>
      <c r="D256" s="35">
        <v>85883.37</v>
      </c>
      <c r="E256">
        <v>1246131973</v>
      </c>
      <c r="F256" s="321">
        <v>45595</v>
      </c>
      <c r="G256" s="321"/>
      <c r="H256" t="s">
        <v>172</v>
      </c>
      <c r="I256" t="s">
        <v>173</v>
      </c>
      <c r="J256">
        <v>2972</v>
      </c>
      <c r="K256" s="321">
        <v>45352</v>
      </c>
      <c r="L256">
        <v>1010100</v>
      </c>
      <c r="M256" t="s">
        <v>35</v>
      </c>
      <c r="N256">
        <v>547</v>
      </c>
      <c r="O256" s="32">
        <v>0</v>
      </c>
      <c r="P256" s="32">
        <v>85883.37</v>
      </c>
      <c r="Q256" s="32">
        <v>0</v>
      </c>
      <c r="R256" s="32">
        <v>0</v>
      </c>
      <c r="S256" s="32">
        <v>0</v>
      </c>
      <c r="T256" s="32">
        <v>0</v>
      </c>
      <c r="U256" s="32">
        <v>85883.37</v>
      </c>
      <c r="V256" s="32">
        <v>0</v>
      </c>
      <c r="W256" s="32">
        <v>0</v>
      </c>
      <c r="X256" s="32">
        <v>0</v>
      </c>
      <c r="Y256" s="32">
        <v>0</v>
      </c>
      <c r="Z256" s="32">
        <v>85883.37</v>
      </c>
      <c r="AA256" s="32">
        <v>85883.37</v>
      </c>
      <c r="AB256" s="32">
        <v>85883.37</v>
      </c>
      <c r="AC256" s="32" t="s">
        <v>537</v>
      </c>
      <c r="AD256" s="32"/>
      <c r="AE256" s="32">
        <v>85883.37</v>
      </c>
    </row>
    <row r="257" spans="1:31" x14ac:dyDescent="0.25">
      <c r="A257">
        <v>11456</v>
      </c>
      <c r="B257" t="s">
        <v>428</v>
      </c>
      <c r="C257" t="s">
        <v>201</v>
      </c>
      <c r="D257" s="35">
        <v>108608.88999999998</v>
      </c>
      <c r="E257">
        <v>1246074872</v>
      </c>
      <c r="F257" s="321">
        <v>45412</v>
      </c>
      <c r="G257" s="321"/>
      <c r="H257" t="s">
        <v>172</v>
      </c>
      <c r="I257" t="s">
        <v>173</v>
      </c>
      <c r="J257">
        <v>21029</v>
      </c>
      <c r="K257" s="321">
        <v>45019</v>
      </c>
      <c r="L257">
        <v>1010100</v>
      </c>
      <c r="M257" t="s">
        <v>35</v>
      </c>
      <c r="N257">
        <v>730</v>
      </c>
      <c r="O257" s="32">
        <v>0</v>
      </c>
      <c r="P257" s="32">
        <v>108608.88999999998</v>
      </c>
      <c r="Q257" s="32">
        <v>0</v>
      </c>
      <c r="R257" s="32">
        <v>0</v>
      </c>
      <c r="S257" s="32">
        <v>0</v>
      </c>
      <c r="T257" s="32">
        <v>0</v>
      </c>
      <c r="U257" s="32">
        <v>108608.88999999998</v>
      </c>
      <c r="V257" s="32">
        <v>0</v>
      </c>
      <c r="W257" s="32">
        <v>0</v>
      </c>
      <c r="X257" s="32">
        <v>0</v>
      </c>
      <c r="Y257" s="32">
        <v>0</v>
      </c>
      <c r="Z257" s="32">
        <v>108608.88999999998</v>
      </c>
      <c r="AA257" s="32">
        <v>108608.88999999998</v>
      </c>
      <c r="AB257" s="32">
        <v>108608.88999999998</v>
      </c>
      <c r="AC257" s="32" t="s">
        <v>537</v>
      </c>
      <c r="AD257" s="32"/>
      <c r="AE257" s="32">
        <v>108608.88999999998</v>
      </c>
    </row>
    <row r="258" spans="1:31" x14ac:dyDescent="0.25">
      <c r="A258">
        <v>11456</v>
      </c>
      <c r="B258" t="s">
        <v>428</v>
      </c>
      <c r="C258" t="s">
        <v>201</v>
      </c>
      <c r="D258" s="35">
        <v>136139</v>
      </c>
      <c r="E258">
        <v>1246074571</v>
      </c>
      <c r="F258" s="321">
        <v>45412</v>
      </c>
      <c r="G258" s="321"/>
      <c r="H258" t="s">
        <v>172</v>
      </c>
      <c r="I258" t="s">
        <v>173</v>
      </c>
      <c r="J258">
        <v>21023</v>
      </c>
      <c r="K258" s="321">
        <v>45017</v>
      </c>
      <c r="L258">
        <v>1010100</v>
      </c>
      <c r="M258" t="s">
        <v>35</v>
      </c>
      <c r="N258">
        <v>730</v>
      </c>
      <c r="O258" s="32">
        <v>0</v>
      </c>
      <c r="P258" s="32">
        <v>136139</v>
      </c>
      <c r="Q258" s="32">
        <v>0</v>
      </c>
      <c r="R258" s="32">
        <v>0</v>
      </c>
      <c r="S258" s="32">
        <v>0</v>
      </c>
      <c r="T258" s="32">
        <v>0</v>
      </c>
      <c r="U258" s="32">
        <v>136139</v>
      </c>
      <c r="V258" s="32">
        <v>0</v>
      </c>
      <c r="W258" s="32">
        <v>0</v>
      </c>
      <c r="X258" s="32">
        <v>0</v>
      </c>
      <c r="Y258" s="32">
        <v>0</v>
      </c>
      <c r="Z258" s="32">
        <v>136139</v>
      </c>
      <c r="AA258" s="32">
        <v>136139</v>
      </c>
      <c r="AB258" s="32">
        <v>136139</v>
      </c>
      <c r="AC258" s="32" t="s">
        <v>537</v>
      </c>
      <c r="AD258" s="32"/>
      <c r="AE258" s="32">
        <v>136139</v>
      </c>
    </row>
    <row r="259" spans="1:31" x14ac:dyDescent="0.25">
      <c r="A259">
        <v>11456</v>
      </c>
      <c r="B259" t="s">
        <v>428</v>
      </c>
      <c r="C259" t="s">
        <v>201</v>
      </c>
      <c r="D259" s="35">
        <v>150110.1</v>
      </c>
      <c r="E259">
        <v>1246127149</v>
      </c>
      <c r="F259" s="321">
        <v>45615</v>
      </c>
      <c r="G259" s="321"/>
      <c r="H259" t="s">
        <v>172</v>
      </c>
      <c r="I259" t="s">
        <v>173</v>
      </c>
      <c r="J259">
        <v>2634</v>
      </c>
      <c r="K259" s="321">
        <v>45320</v>
      </c>
      <c r="L259">
        <v>1010100</v>
      </c>
      <c r="M259" t="s">
        <v>35</v>
      </c>
      <c r="N259">
        <v>527</v>
      </c>
      <c r="O259" s="32">
        <v>0</v>
      </c>
      <c r="P259" s="32">
        <v>150110.1</v>
      </c>
      <c r="Q259" s="32">
        <v>0</v>
      </c>
      <c r="R259" s="32">
        <v>0</v>
      </c>
      <c r="S259" s="32">
        <v>0</v>
      </c>
      <c r="T259" s="32">
        <v>0</v>
      </c>
      <c r="U259" s="32">
        <v>150110.1</v>
      </c>
      <c r="V259" s="32">
        <v>0</v>
      </c>
      <c r="W259" s="32">
        <v>0</v>
      </c>
      <c r="X259" s="32">
        <v>0</v>
      </c>
      <c r="Y259" s="32">
        <v>0</v>
      </c>
      <c r="Z259" s="32">
        <v>150110.1</v>
      </c>
      <c r="AA259" s="32">
        <v>150110.1</v>
      </c>
      <c r="AB259" s="32">
        <v>150110.1</v>
      </c>
      <c r="AC259" s="32" t="s">
        <v>537</v>
      </c>
      <c r="AD259" s="32"/>
      <c r="AE259" s="32">
        <v>150110.1</v>
      </c>
    </row>
    <row r="260" spans="1:31" x14ac:dyDescent="0.25">
      <c r="A260">
        <v>11456</v>
      </c>
      <c r="B260" t="s">
        <v>428</v>
      </c>
      <c r="C260" t="s">
        <v>201</v>
      </c>
      <c r="D260" s="35">
        <v>150110.1</v>
      </c>
      <c r="E260">
        <v>1246128463</v>
      </c>
      <c r="F260" s="321">
        <v>45623</v>
      </c>
      <c r="G260" s="321"/>
      <c r="H260" t="s">
        <v>172</v>
      </c>
      <c r="I260" t="s">
        <v>173</v>
      </c>
      <c r="J260">
        <v>2720</v>
      </c>
      <c r="K260" s="321">
        <v>45328</v>
      </c>
      <c r="L260">
        <v>1010100</v>
      </c>
      <c r="M260" t="s">
        <v>35</v>
      </c>
      <c r="N260">
        <v>519</v>
      </c>
      <c r="O260" s="32">
        <v>0</v>
      </c>
      <c r="P260" s="32">
        <v>150110.1</v>
      </c>
      <c r="Q260" s="32">
        <v>0</v>
      </c>
      <c r="R260" s="32">
        <v>0</v>
      </c>
      <c r="S260" s="32">
        <v>0</v>
      </c>
      <c r="T260" s="32">
        <v>0</v>
      </c>
      <c r="U260" s="32">
        <v>150110.1</v>
      </c>
      <c r="V260" s="32">
        <v>0</v>
      </c>
      <c r="W260" s="32">
        <v>0</v>
      </c>
      <c r="X260" s="32">
        <v>0</v>
      </c>
      <c r="Y260" s="32">
        <v>0</v>
      </c>
      <c r="Z260" s="32">
        <v>150110.1</v>
      </c>
      <c r="AA260" s="32">
        <v>150110.1</v>
      </c>
      <c r="AB260" s="32">
        <v>150110.1</v>
      </c>
      <c r="AC260" s="32" t="s">
        <v>537</v>
      </c>
      <c r="AD260" s="32"/>
      <c r="AE260" s="32">
        <v>150110.1</v>
      </c>
    </row>
    <row r="261" spans="1:31" x14ac:dyDescent="0.25">
      <c r="A261">
        <v>10492</v>
      </c>
      <c r="B261" t="s">
        <v>416</v>
      </c>
      <c r="C261" t="s">
        <v>845</v>
      </c>
      <c r="D261" s="35">
        <v>83061.3</v>
      </c>
      <c r="E261">
        <v>1246271169</v>
      </c>
      <c r="F261" s="321">
        <v>46153</v>
      </c>
      <c r="G261" s="321"/>
      <c r="H261" t="s">
        <v>28</v>
      </c>
      <c r="I261" t="s">
        <v>29</v>
      </c>
      <c r="J261">
        <v>11106</v>
      </c>
      <c r="K261" s="321">
        <v>46125</v>
      </c>
      <c r="L261">
        <v>1010100</v>
      </c>
      <c r="M261" t="s">
        <v>35</v>
      </c>
      <c r="N261">
        <v>-11</v>
      </c>
      <c r="O261" s="32">
        <v>0</v>
      </c>
      <c r="P261" s="32">
        <v>0</v>
      </c>
      <c r="Q261" s="32">
        <v>83061.3</v>
      </c>
      <c r="R261" s="32">
        <v>0</v>
      </c>
      <c r="S261" s="32">
        <v>0</v>
      </c>
      <c r="T261" s="32">
        <v>0</v>
      </c>
      <c r="U261" s="32">
        <v>0</v>
      </c>
      <c r="V261" s="32">
        <v>0</v>
      </c>
      <c r="W261" s="32">
        <v>0</v>
      </c>
      <c r="X261" s="32">
        <v>0</v>
      </c>
      <c r="Y261" s="32">
        <v>0</v>
      </c>
      <c r="Z261" s="32">
        <v>0</v>
      </c>
      <c r="AA261" s="32">
        <v>0</v>
      </c>
      <c r="AB261" s="32">
        <v>0</v>
      </c>
      <c r="AC261" s="32" t="s">
        <v>472</v>
      </c>
      <c r="AD261" s="32"/>
      <c r="AE261" s="32">
        <v>0</v>
      </c>
    </row>
    <row r="262" spans="1:31" x14ac:dyDescent="0.25">
      <c r="A262">
        <v>10492</v>
      </c>
      <c r="B262" t="s">
        <v>416</v>
      </c>
      <c r="C262" t="s">
        <v>845</v>
      </c>
      <c r="D262" s="35">
        <v>1698000</v>
      </c>
      <c r="E262">
        <v>1246272739</v>
      </c>
      <c r="F262" s="321">
        <v>46167</v>
      </c>
      <c r="G262" s="321"/>
      <c r="H262" t="s">
        <v>28</v>
      </c>
      <c r="I262" t="s">
        <v>29</v>
      </c>
      <c r="J262">
        <v>2894</v>
      </c>
      <c r="K262" s="321">
        <v>46139</v>
      </c>
      <c r="L262">
        <v>1010100</v>
      </c>
      <c r="M262" t="s">
        <v>35</v>
      </c>
      <c r="N262">
        <v>-25</v>
      </c>
      <c r="O262" s="32">
        <v>0</v>
      </c>
      <c r="P262" s="32">
        <v>0</v>
      </c>
      <c r="Q262" s="32">
        <v>1698000</v>
      </c>
      <c r="R262" s="32">
        <v>0</v>
      </c>
      <c r="S262" s="32">
        <v>0</v>
      </c>
      <c r="T262" s="32">
        <v>0</v>
      </c>
      <c r="U262" s="32">
        <v>0</v>
      </c>
      <c r="V262" s="32">
        <v>0</v>
      </c>
      <c r="W262" s="32">
        <v>0</v>
      </c>
      <c r="X262" s="32">
        <v>0</v>
      </c>
      <c r="Y262" s="32">
        <v>0</v>
      </c>
      <c r="Z262" s="32">
        <v>0</v>
      </c>
      <c r="AA262" s="32">
        <v>0</v>
      </c>
      <c r="AB262" s="32">
        <v>0</v>
      </c>
      <c r="AC262" s="32" t="s">
        <v>472</v>
      </c>
      <c r="AD262" s="32"/>
      <c r="AE262" s="32">
        <v>0</v>
      </c>
    </row>
    <row r="263" spans="1:31" x14ac:dyDescent="0.25">
      <c r="A263">
        <v>10492</v>
      </c>
      <c r="B263" t="s">
        <v>416</v>
      </c>
      <c r="C263" t="s">
        <v>845</v>
      </c>
      <c r="D263" s="35">
        <v>352080</v>
      </c>
      <c r="E263">
        <v>1246271663</v>
      </c>
      <c r="F263" s="321">
        <v>46157</v>
      </c>
      <c r="G263" s="321"/>
      <c r="H263" t="s">
        <v>28</v>
      </c>
      <c r="I263" t="s">
        <v>29</v>
      </c>
      <c r="J263">
        <v>2875</v>
      </c>
      <c r="K263" s="321">
        <v>46129</v>
      </c>
      <c r="L263">
        <v>1010100</v>
      </c>
      <c r="M263" t="s">
        <v>35</v>
      </c>
      <c r="N263">
        <v>-15</v>
      </c>
      <c r="O263" s="32">
        <v>0</v>
      </c>
      <c r="P263" s="32">
        <v>0</v>
      </c>
      <c r="Q263" s="32">
        <v>352080</v>
      </c>
      <c r="R263" s="32">
        <v>0</v>
      </c>
      <c r="S263" s="32">
        <v>0</v>
      </c>
      <c r="T263" s="32">
        <v>0</v>
      </c>
      <c r="U263" s="32">
        <v>0</v>
      </c>
      <c r="V263" s="32">
        <v>0</v>
      </c>
      <c r="W263" s="32">
        <v>0</v>
      </c>
      <c r="X263" s="32">
        <v>0</v>
      </c>
      <c r="Y263" s="32">
        <v>0</v>
      </c>
      <c r="Z263" s="32">
        <v>0</v>
      </c>
      <c r="AA263" s="32">
        <v>0</v>
      </c>
      <c r="AB263" s="32">
        <v>0</v>
      </c>
      <c r="AC263" s="32" t="s">
        <v>472</v>
      </c>
      <c r="AD263" s="32"/>
      <c r="AE263" s="32">
        <v>0</v>
      </c>
    </row>
    <row r="264" spans="1:31" x14ac:dyDescent="0.25">
      <c r="A264">
        <v>13018</v>
      </c>
      <c r="B264" t="s">
        <v>674</v>
      </c>
      <c r="C264" t="s">
        <v>677</v>
      </c>
      <c r="D264" s="35">
        <v>63625.599999999999</v>
      </c>
      <c r="E264">
        <v>1246271772</v>
      </c>
      <c r="F264" s="321">
        <v>46157</v>
      </c>
      <c r="G264" s="321"/>
      <c r="H264" t="s">
        <v>28</v>
      </c>
      <c r="I264" t="s">
        <v>29</v>
      </c>
      <c r="J264">
        <v>11167</v>
      </c>
      <c r="K264" s="321">
        <v>46129</v>
      </c>
      <c r="L264">
        <v>1010100</v>
      </c>
      <c r="M264" t="s">
        <v>35</v>
      </c>
      <c r="N264">
        <v>-15</v>
      </c>
      <c r="O264" s="32">
        <v>0</v>
      </c>
      <c r="P264" s="32">
        <v>0</v>
      </c>
      <c r="Q264" s="32">
        <v>63625.599999999999</v>
      </c>
      <c r="R264" s="32">
        <v>0</v>
      </c>
      <c r="S264" s="32">
        <v>0</v>
      </c>
      <c r="T264" s="32">
        <v>0</v>
      </c>
      <c r="U264" s="32">
        <v>0</v>
      </c>
      <c r="V264" s="32">
        <v>0</v>
      </c>
      <c r="W264" s="32">
        <v>0</v>
      </c>
      <c r="X264" s="32">
        <v>0</v>
      </c>
      <c r="Y264" s="32">
        <v>0</v>
      </c>
      <c r="Z264" s="32">
        <v>0</v>
      </c>
      <c r="AA264" s="32">
        <v>0</v>
      </c>
      <c r="AB264" s="32">
        <v>0</v>
      </c>
      <c r="AC264" s="32" t="s">
        <v>472</v>
      </c>
      <c r="AD264" s="32"/>
      <c r="AE264" s="32">
        <v>0</v>
      </c>
    </row>
    <row r="265" spans="1:31" x14ac:dyDescent="0.25">
      <c r="A265">
        <v>13018</v>
      </c>
      <c r="B265" t="s">
        <v>674</v>
      </c>
      <c r="C265" t="s">
        <v>677</v>
      </c>
      <c r="D265" s="35">
        <v>61407.199999999997</v>
      </c>
      <c r="E265">
        <v>1246271899</v>
      </c>
      <c r="F265" s="321">
        <v>46160</v>
      </c>
      <c r="G265" s="321"/>
      <c r="H265" t="s">
        <v>28</v>
      </c>
      <c r="I265" t="s">
        <v>29</v>
      </c>
      <c r="J265">
        <v>11180</v>
      </c>
      <c r="K265" s="321">
        <v>46132</v>
      </c>
      <c r="L265">
        <v>1010100</v>
      </c>
      <c r="M265" t="s">
        <v>35</v>
      </c>
      <c r="N265">
        <v>-18</v>
      </c>
      <c r="O265" s="32">
        <v>0</v>
      </c>
      <c r="P265" s="32">
        <v>0</v>
      </c>
      <c r="Q265" s="32">
        <v>61407.199999999997</v>
      </c>
      <c r="R265" s="32">
        <v>0</v>
      </c>
      <c r="S265" s="32">
        <v>0</v>
      </c>
      <c r="T265" s="32">
        <v>0</v>
      </c>
      <c r="U265" s="32">
        <v>0</v>
      </c>
      <c r="V265" s="32">
        <v>0</v>
      </c>
      <c r="W265" s="32">
        <v>0</v>
      </c>
      <c r="X265" s="32">
        <v>0</v>
      </c>
      <c r="Y265" s="32">
        <v>0</v>
      </c>
      <c r="Z265" s="32">
        <v>0</v>
      </c>
      <c r="AA265" s="32">
        <v>0</v>
      </c>
      <c r="AB265" s="32">
        <v>0</v>
      </c>
      <c r="AC265" s="32" t="s">
        <v>472</v>
      </c>
      <c r="AD265" s="32"/>
      <c r="AE265" s="32">
        <v>0</v>
      </c>
    </row>
    <row r="266" spans="1:31" x14ac:dyDescent="0.25">
      <c r="A266">
        <v>13018</v>
      </c>
      <c r="B266" t="s">
        <v>674</v>
      </c>
      <c r="C266" t="s">
        <v>677</v>
      </c>
      <c r="D266" s="35">
        <v>63838</v>
      </c>
      <c r="E266">
        <v>1246271508</v>
      </c>
      <c r="F266" s="321">
        <v>46155</v>
      </c>
      <c r="G266" s="321"/>
      <c r="H266" t="s">
        <v>28</v>
      </c>
      <c r="I266" t="s">
        <v>29</v>
      </c>
      <c r="J266">
        <v>11134</v>
      </c>
      <c r="K266" s="321">
        <v>46127</v>
      </c>
      <c r="L266">
        <v>1010100</v>
      </c>
      <c r="M266" t="s">
        <v>35</v>
      </c>
      <c r="N266">
        <v>-13</v>
      </c>
      <c r="O266" s="32">
        <v>0</v>
      </c>
      <c r="P266" s="32">
        <v>0</v>
      </c>
      <c r="Q266" s="32">
        <v>63838</v>
      </c>
      <c r="R266" s="32">
        <v>0</v>
      </c>
      <c r="S266" s="32">
        <v>0</v>
      </c>
      <c r="T266" s="32">
        <v>0</v>
      </c>
      <c r="U266" s="32">
        <v>0</v>
      </c>
      <c r="V266" s="32">
        <v>0</v>
      </c>
      <c r="W266" s="32">
        <v>0</v>
      </c>
      <c r="X266" s="32">
        <v>0</v>
      </c>
      <c r="Y266" s="32">
        <v>0</v>
      </c>
      <c r="Z266" s="32">
        <v>0</v>
      </c>
      <c r="AA266" s="32">
        <v>0</v>
      </c>
      <c r="AB266" s="32">
        <v>0</v>
      </c>
      <c r="AC266" s="32" t="s">
        <v>472</v>
      </c>
      <c r="AD266" s="32"/>
      <c r="AE266" s="32">
        <v>0</v>
      </c>
    </row>
    <row r="267" spans="1:31" x14ac:dyDescent="0.25">
      <c r="A267">
        <v>13018</v>
      </c>
      <c r="B267" t="s">
        <v>674</v>
      </c>
      <c r="C267" t="s">
        <v>677</v>
      </c>
      <c r="D267" s="35">
        <v>327740.59999999998</v>
      </c>
      <c r="E267">
        <v>1246272485</v>
      </c>
      <c r="F267" s="321">
        <v>46164</v>
      </c>
      <c r="G267" s="321"/>
      <c r="H267" t="s">
        <v>28</v>
      </c>
      <c r="I267" t="s">
        <v>29</v>
      </c>
      <c r="J267">
        <v>11214</v>
      </c>
      <c r="K267" s="321">
        <v>46136</v>
      </c>
      <c r="L267">
        <v>1010100</v>
      </c>
      <c r="M267" t="s">
        <v>35</v>
      </c>
      <c r="N267">
        <v>-22</v>
      </c>
      <c r="O267" s="32">
        <v>0</v>
      </c>
      <c r="P267" s="32">
        <v>0</v>
      </c>
      <c r="Q267" s="32">
        <v>327740.59999999998</v>
      </c>
      <c r="R267" s="32">
        <v>0</v>
      </c>
      <c r="S267" s="32">
        <v>0</v>
      </c>
      <c r="T267" s="32">
        <v>0</v>
      </c>
      <c r="U267" s="32">
        <v>0</v>
      </c>
      <c r="V267" s="32">
        <v>0</v>
      </c>
      <c r="W267" s="32">
        <v>0</v>
      </c>
      <c r="X267" s="32">
        <v>0</v>
      </c>
      <c r="Y267" s="32">
        <v>0</v>
      </c>
      <c r="Z267" s="32">
        <v>0</v>
      </c>
      <c r="AA267" s="32">
        <v>0</v>
      </c>
      <c r="AB267" s="32">
        <v>0</v>
      </c>
      <c r="AC267" s="32" t="s">
        <v>472</v>
      </c>
      <c r="AD267" s="32"/>
      <c r="AE267" s="32">
        <v>0</v>
      </c>
    </row>
    <row r="268" spans="1:31" x14ac:dyDescent="0.25">
      <c r="A268">
        <v>12741</v>
      </c>
      <c r="B268" t="s">
        <v>427</v>
      </c>
      <c r="C268" t="s">
        <v>854</v>
      </c>
      <c r="D268" s="35">
        <v>137256</v>
      </c>
      <c r="E268">
        <v>1246268240</v>
      </c>
      <c r="F268" s="321">
        <v>46167</v>
      </c>
      <c r="G268" s="321"/>
      <c r="H268" t="s">
        <v>28</v>
      </c>
      <c r="I268" t="s">
        <v>29</v>
      </c>
      <c r="J268">
        <v>10917</v>
      </c>
      <c r="K268" s="321">
        <v>46099</v>
      </c>
      <c r="L268">
        <v>1010100</v>
      </c>
      <c r="M268" t="s">
        <v>35</v>
      </c>
      <c r="N268">
        <v>-25</v>
      </c>
      <c r="O268" s="32">
        <v>0</v>
      </c>
      <c r="P268" s="32">
        <v>0</v>
      </c>
      <c r="Q268" s="32">
        <v>137256</v>
      </c>
      <c r="R268" s="32">
        <v>0</v>
      </c>
      <c r="S268" s="32">
        <v>0</v>
      </c>
      <c r="T268" s="32">
        <v>0</v>
      </c>
      <c r="U268" s="32">
        <v>0</v>
      </c>
      <c r="V268" s="32">
        <v>0</v>
      </c>
      <c r="W268" s="32">
        <v>0</v>
      </c>
      <c r="X268" s="32">
        <v>0</v>
      </c>
      <c r="Y268" s="32">
        <v>0</v>
      </c>
      <c r="Z268" s="32">
        <v>0</v>
      </c>
      <c r="AA268" s="32">
        <v>0</v>
      </c>
      <c r="AB268" s="32">
        <v>0</v>
      </c>
      <c r="AC268" s="32" t="s">
        <v>472</v>
      </c>
      <c r="AD268" s="32"/>
      <c r="AE268" s="32">
        <v>0</v>
      </c>
    </row>
    <row r="269" spans="1:31" x14ac:dyDescent="0.25">
      <c r="A269">
        <v>14166</v>
      </c>
      <c r="B269" t="s">
        <v>431</v>
      </c>
      <c r="C269" t="s">
        <v>123</v>
      </c>
      <c r="D269" s="35">
        <v>82152</v>
      </c>
      <c r="E269">
        <v>1246231876</v>
      </c>
      <c r="F269" s="321">
        <v>46144</v>
      </c>
      <c r="G269" s="321">
        <v>46146</v>
      </c>
      <c r="H269" t="s">
        <v>172</v>
      </c>
      <c r="I269" t="s">
        <v>173</v>
      </c>
      <c r="J269">
        <v>8933</v>
      </c>
      <c r="K269" s="321">
        <v>45888</v>
      </c>
      <c r="L269">
        <v>1010100</v>
      </c>
      <c r="M269" t="s">
        <v>35</v>
      </c>
      <c r="N269">
        <v>-2</v>
      </c>
      <c r="O269" s="32">
        <v>0</v>
      </c>
      <c r="P269" s="32">
        <v>0</v>
      </c>
      <c r="Q269" s="32">
        <v>82152</v>
      </c>
      <c r="R269" s="32">
        <v>0</v>
      </c>
      <c r="S269" s="32">
        <v>0</v>
      </c>
      <c r="T269" s="32">
        <v>0</v>
      </c>
      <c r="U269" s="32">
        <v>0</v>
      </c>
      <c r="V269" s="32">
        <v>0</v>
      </c>
      <c r="W269" s="32">
        <v>0</v>
      </c>
      <c r="X269" s="32">
        <v>0</v>
      </c>
      <c r="Y269" s="32">
        <v>0</v>
      </c>
      <c r="Z269" s="32">
        <v>0</v>
      </c>
      <c r="AA269" s="32">
        <v>0</v>
      </c>
      <c r="AB269" s="32">
        <v>0</v>
      </c>
      <c r="AC269" s="32" t="s">
        <v>472</v>
      </c>
      <c r="AD269" s="32"/>
      <c r="AE269" s="32">
        <v>0</v>
      </c>
    </row>
    <row r="270" spans="1:31" x14ac:dyDescent="0.25">
      <c r="A270">
        <v>14166</v>
      </c>
      <c r="B270" t="s">
        <v>431</v>
      </c>
      <c r="C270" t="s">
        <v>123</v>
      </c>
      <c r="D270" s="35">
        <v>93462.6</v>
      </c>
      <c r="E270">
        <v>1246231878</v>
      </c>
      <c r="F270" s="321">
        <v>46144</v>
      </c>
      <c r="G270" s="321">
        <v>46146</v>
      </c>
      <c r="H270" t="s">
        <v>172</v>
      </c>
      <c r="I270" t="s">
        <v>173</v>
      </c>
      <c r="J270">
        <v>8934</v>
      </c>
      <c r="K270" s="321">
        <v>45888</v>
      </c>
      <c r="L270">
        <v>1010100</v>
      </c>
      <c r="M270" t="s">
        <v>35</v>
      </c>
      <c r="N270">
        <v>-2</v>
      </c>
      <c r="O270" s="32">
        <v>0</v>
      </c>
      <c r="P270" s="32">
        <v>0</v>
      </c>
      <c r="Q270" s="32">
        <v>93462.6</v>
      </c>
      <c r="R270" s="32">
        <v>0</v>
      </c>
      <c r="S270" s="32">
        <v>0</v>
      </c>
      <c r="T270" s="32">
        <v>0</v>
      </c>
      <c r="U270" s="32">
        <v>0</v>
      </c>
      <c r="V270" s="32">
        <v>0</v>
      </c>
      <c r="W270" s="32">
        <v>0</v>
      </c>
      <c r="X270" s="32">
        <v>0</v>
      </c>
      <c r="Y270" s="32">
        <v>0</v>
      </c>
      <c r="Z270" s="32">
        <v>0</v>
      </c>
      <c r="AA270" s="32">
        <v>0</v>
      </c>
      <c r="AB270" s="32">
        <v>0</v>
      </c>
      <c r="AC270" s="32" t="s">
        <v>472</v>
      </c>
      <c r="AD270" s="32"/>
      <c r="AE270" s="32">
        <v>0</v>
      </c>
    </row>
    <row r="271" spans="1:31" x14ac:dyDescent="0.25">
      <c r="A271">
        <v>14166</v>
      </c>
      <c r="B271" t="s">
        <v>431</v>
      </c>
      <c r="C271" t="s">
        <v>123</v>
      </c>
      <c r="D271" s="35">
        <v>131112.51999999999</v>
      </c>
      <c r="E271">
        <v>1246231981</v>
      </c>
      <c r="F271" s="321">
        <v>46143</v>
      </c>
      <c r="G271" s="321">
        <v>46146</v>
      </c>
      <c r="H271" t="s">
        <v>172</v>
      </c>
      <c r="I271" t="s">
        <v>173</v>
      </c>
      <c r="J271">
        <v>8941</v>
      </c>
      <c r="K271" s="321">
        <v>45889</v>
      </c>
      <c r="L271">
        <v>1010100</v>
      </c>
      <c r="M271" t="s">
        <v>35</v>
      </c>
      <c r="N271">
        <v>-1</v>
      </c>
      <c r="O271" s="32">
        <v>0</v>
      </c>
      <c r="P271" s="32">
        <v>0</v>
      </c>
      <c r="Q271" s="32">
        <v>131112.51999999999</v>
      </c>
      <c r="R271" s="32">
        <v>0</v>
      </c>
      <c r="S271" s="32">
        <v>0</v>
      </c>
      <c r="T271" s="32">
        <v>0</v>
      </c>
      <c r="U271" s="32">
        <v>0</v>
      </c>
      <c r="V271" s="32">
        <v>0</v>
      </c>
      <c r="W271" s="32">
        <v>0</v>
      </c>
      <c r="X271" s="32">
        <v>0</v>
      </c>
      <c r="Y271" s="32">
        <v>0</v>
      </c>
      <c r="Z271" s="32">
        <v>0</v>
      </c>
      <c r="AA271" s="32">
        <v>0</v>
      </c>
      <c r="AB271" s="32">
        <v>0</v>
      </c>
      <c r="AC271" s="32" t="s">
        <v>472</v>
      </c>
      <c r="AD271" s="32"/>
      <c r="AE271" s="32">
        <v>0</v>
      </c>
    </row>
    <row r="272" spans="1:31" x14ac:dyDescent="0.25">
      <c r="A272">
        <v>14849</v>
      </c>
      <c r="B272" t="s">
        <v>432</v>
      </c>
      <c r="C272" t="s">
        <v>612</v>
      </c>
      <c r="D272" s="35">
        <v>133718</v>
      </c>
      <c r="E272">
        <v>1246222953</v>
      </c>
      <c r="F272" s="321">
        <v>46143</v>
      </c>
      <c r="G272" s="321">
        <v>46146</v>
      </c>
      <c r="H272" t="s">
        <v>172</v>
      </c>
      <c r="I272" t="s">
        <v>173</v>
      </c>
      <c r="J272">
        <v>8360</v>
      </c>
      <c r="K272" s="321">
        <v>45841</v>
      </c>
      <c r="L272">
        <v>1010100</v>
      </c>
      <c r="M272" t="s">
        <v>35</v>
      </c>
      <c r="N272">
        <v>-1</v>
      </c>
      <c r="O272" s="32">
        <v>0</v>
      </c>
      <c r="P272" s="32">
        <v>0</v>
      </c>
      <c r="Q272" s="32">
        <v>133718</v>
      </c>
      <c r="R272" s="32">
        <v>0</v>
      </c>
      <c r="S272" s="32">
        <v>0</v>
      </c>
      <c r="T272" s="32">
        <v>0</v>
      </c>
      <c r="U272" s="32">
        <v>0</v>
      </c>
      <c r="V272" s="32">
        <v>0</v>
      </c>
      <c r="W272" s="32">
        <v>0</v>
      </c>
      <c r="X272" s="32">
        <v>0</v>
      </c>
      <c r="Y272" s="32">
        <v>0</v>
      </c>
      <c r="Z272" s="32">
        <v>0</v>
      </c>
      <c r="AA272" s="32">
        <v>0</v>
      </c>
      <c r="AB272" s="32">
        <v>0</v>
      </c>
      <c r="AC272" s="32" t="s">
        <v>472</v>
      </c>
      <c r="AD272" s="32"/>
      <c r="AE272" s="32">
        <v>0</v>
      </c>
    </row>
    <row r="273" spans="1:31" x14ac:dyDescent="0.25">
      <c r="A273">
        <v>15908</v>
      </c>
      <c r="B273" t="s">
        <v>905</v>
      </c>
      <c r="C273" t="s">
        <v>866</v>
      </c>
      <c r="D273" s="35">
        <v>152185.74</v>
      </c>
      <c r="E273">
        <v>1246268845</v>
      </c>
      <c r="F273" s="321">
        <v>46195</v>
      </c>
      <c r="G273" s="321"/>
      <c r="H273" t="s">
        <v>172</v>
      </c>
      <c r="I273" t="s">
        <v>173</v>
      </c>
      <c r="J273">
        <v>10968</v>
      </c>
      <c r="K273" s="321">
        <v>46105</v>
      </c>
      <c r="L273">
        <v>1010100</v>
      </c>
      <c r="M273" t="s">
        <v>35</v>
      </c>
      <c r="N273">
        <v>-53</v>
      </c>
      <c r="O273" s="32">
        <v>0</v>
      </c>
      <c r="P273" s="32">
        <v>0</v>
      </c>
      <c r="Q273" s="32">
        <v>152185.74</v>
      </c>
      <c r="R273" s="32">
        <v>0</v>
      </c>
      <c r="S273" s="32">
        <v>0</v>
      </c>
      <c r="T273" s="32">
        <v>0</v>
      </c>
      <c r="U273" s="32">
        <v>0</v>
      </c>
      <c r="V273" s="32">
        <v>0</v>
      </c>
      <c r="W273" s="32">
        <v>0</v>
      </c>
      <c r="X273" s="32">
        <v>0</v>
      </c>
      <c r="Y273" s="32">
        <v>0</v>
      </c>
      <c r="Z273" s="32">
        <v>0</v>
      </c>
      <c r="AA273" s="32">
        <v>0</v>
      </c>
      <c r="AB273" s="32">
        <v>0</v>
      </c>
      <c r="AC273" s="32" t="s">
        <v>472</v>
      </c>
      <c r="AD273" s="32"/>
      <c r="AE273" s="32">
        <v>0</v>
      </c>
    </row>
    <row r="274" spans="1:31" x14ac:dyDescent="0.25">
      <c r="A274">
        <v>15908</v>
      </c>
      <c r="B274" t="s">
        <v>905</v>
      </c>
      <c r="C274" t="s">
        <v>866</v>
      </c>
      <c r="D274" s="35">
        <v>38698.71</v>
      </c>
      <c r="E274">
        <v>1246268455</v>
      </c>
      <c r="F274" s="321">
        <v>46190</v>
      </c>
      <c r="G274" s="321"/>
      <c r="H274" t="s">
        <v>172</v>
      </c>
      <c r="I274" t="s">
        <v>173</v>
      </c>
      <c r="J274">
        <v>10935</v>
      </c>
      <c r="K274" s="321">
        <v>46100</v>
      </c>
      <c r="L274">
        <v>1010100</v>
      </c>
      <c r="M274" t="s">
        <v>35</v>
      </c>
      <c r="N274">
        <v>-48</v>
      </c>
      <c r="O274" s="32">
        <v>0</v>
      </c>
      <c r="P274" s="32">
        <v>0</v>
      </c>
      <c r="Q274" s="32">
        <v>38698.71</v>
      </c>
      <c r="R274" s="32">
        <v>0</v>
      </c>
      <c r="S274" s="32">
        <v>0</v>
      </c>
      <c r="T274" s="32">
        <v>0</v>
      </c>
      <c r="U274" s="32">
        <v>0</v>
      </c>
      <c r="V274" s="32">
        <v>0</v>
      </c>
      <c r="W274" s="32">
        <v>0</v>
      </c>
      <c r="X274" s="32">
        <v>0</v>
      </c>
      <c r="Y274" s="32">
        <v>0</v>
      </c>
      <c r="Z274" s="32">
        <v>0</v>
      </c>
      <c r="AA274" s="32">
        <v>0</v>
      </c>
      <c r="AB274" s="32">
        <v>0</v>
      </c>
      <c r="AC274" s="32" t="s">
        <v>472</v>
      </c>
      <c r="AD274" s="32"/>
      <c r="AE274" s="32">
        <v>0</v>
      </c>
    </row>
    <row r="275" spans="1:31" x14ac:dyDescent="0.25">
      <c r="A275">
        <v>15905</v>
      </c>
      <c r="B275" t="s">
        <v>905</v>
      </c>
      <c r="C275" t="s">
        <v>868</v>
      </c>
      <c r="D275" s="35">
        <v>51551.06</v>
      </c>
      <c r="E275">
        <v>1246268473</v>
      </c>
      <c r="F275" s="321">
        <v>46190</v>
      </c>
      <c r="G275" s="321"/>
      <c r="H275" t="s">
        <v>172</v>
      </c>
      <c r="I275" t="s">
        <v>173</v>
      </c>
      <c r="J275">
        <v>10938</v>
      </c>
      <c r="K275" s="321">
        <v>46100</v>
      </c>
      <c r="L275">
        <v>1010100</v>
      </c>
      <c r="M275" t="s">
        <v>35</v>
      </c>
      <c r="N275">
        <v>-48</v>
      </c>
      <c r="O275" s="32">
        <v>0</v>
      </c>
      <c r="P275" s="32">
        <v>0</v>
      </c>
      <c r="Q275" s="32">
        <v>51551.06</v>
      </c>
      <c r="R275" s="32">
        <v>0</v>
      </c>
      <c r="S275" s="32">
        <v>0</v>
      </c>
      <c r="T275" s="32">
        <v>0</v>
      </c>
      <c r="U275" s="32">
        <v>0</v>
      </c>
      <c r="V275" s="32">
        <v>0</v>
      </c>
      <c r="W275" s="32">
        <v>0</v>
      </c>
      <c r="X275" s="32">
        <v>0</v>
      </c>
      <c r="Y275" s="32">
        <v>0</v>
      </c>
      <c r="Z275" s="32">
        <v>0</v>
      </c>
      <c r="AA275" s="32">
        <v>0</v>
      </c>
      <c r="AB275" s="32">
        <v>0</v>
      </c>
      <c r="AC275" s="32" t="s">
        <v>472</v>
      </c>
      <c r="AD275" s="32"/>
      <c r="AE275" s="32">
        <v>0</v>
      </c>
    </row>
    <row r="276" spans="1:31" x14ac:dyDescent="0.25">
      <c r="A276">
        <v>15905</v>
      </c>
      <c r="B276" t="s">
        <v>905</v>
      </c>
      <c r="C276" t="s">
        <v>868</v>
      </c>
      <c r="D276" s="35">
        <v>177522.26</v>
      </c>
      <c r="E276">
        <v>1246268967</v>
      </c>
      <c r="F276" s="321">
        <v>46196</v>
      </c>
      <c r="G276" s="321"/>
      <c r="H276" t="s">
        <v>172</v>
      </c>
      <c r="I276" t="s">
        <v>173</v>
      </c>
      <c r="J276">
        <v>10973</v>
      </c>
      <c r="K276" s="321">
        <v>46106</v>
      </c>
      <c r="L276">
        <v>1010100</v>
      </c>
      <c r="M276" t="s">
        <v>35</v>
      </c>
      <c r="N276">
        <v>-54</v>
      </c>
      <c r="O276" s="32">
        <v>0</v>
      </c>
      <c r="P276" s="32">
        <v>0</v>
      </c>
      <c r="Q276" s="32">
        <v>177522.26</v>
      </c>
      <c r="R276" s="32">
        <v>0</v>
      </c>
      <c r="S276" s="32">
        <v>0</v>
      </c>
      <c r="T276" s="32">
        <v>0</v>
      </c>
      <c r="U276" s="32">
        <v>0</v>
      </c>
      <c r="V276" s="32">
        <v>0</v>
      </c>
      <c r="W276" s="32">
        <v>0</v>
      </c>
      <c r="X276" s="32">
        <v>0</v>
      </c>
      <c r="Y276" s="32">
        <v>0</v>
      </c>
      <c r="Z276" s="32">
        <v>0</v>
      </c>
      <c r="AA276" s="32">
        <v>0</v>
      </c>
      <c r="AB276" s="32">
        <v>0</v>
      </c>
      <c r="AC276" s="32" t="s">
        <v>472</v>
      </c>
      <c r="AD276" s="32"/>
      <c r="AE276" s="32">
        <v>0</v>
      </c>
    </row>
    <row r="277" spans="1:31" x14ac:dyDescent="0.25">
      <c r="A277">
        <v>15905</v>
      </c>
      <c r="B277" t="s">
        <v>905</v>
      </c>
      <c r="C277" t="s">
        <v>868</v>
      </c>
      <c r="D277" s="35">
        <v>72587.789999999994</v>
      </c>
      <c r="E277">
        <v>1246271194</v>
      </c>
      <c r="F277" s="321">
        <v>46215</v>
      </c>
      <c r="G277" s="321"/>
      <c r="H277" t="s">
        <v>172</v>
      </c>
      <c r="I277" t="s">
        <v>173</v>
      </c>
      <c r="J277">
        <v>11111</v>
      </c>
      <c r="K277" s="321">
        <v>46125</v>
      </c>
      <c r="L277">
        <v>1010100</v>
      </c>
      <c r="M277" t="s">
        <v>35</v>
      </c>
      <c r="N277">
        <v>-73</v>
      </c>
      <c r="O277" s="32">
        <v>0</v>
      </c>
      <c r="P277" s="32">
        <v>0</v>
      </c>
      <c r="Q277" s="32">
        <v>72587.789999999994</v>
      </c>
      <c r="R277" s="32">
        <v>0</v>
      </c>
      <c r="S277" s="32">
        <v>0</v>
      </c>
      <c r="T277" s="32">
        <v>0</v>
      </c>
      <c r="U277" s="32">
        <v>0</v>
      </c>
      <c r="V277" s="32">
        <v>0</v>
      </c>
      <c r="W277" s="32">
        <v>0</v>
      </c>
      <c r="X277" s="32">
        <v>0</v>
      </c>
      <c r="Y277" s="32">
        <v>0</v>
      </c>
      <c r="Z277" s="32">
        <v>0</v>
      </c>
      <c r="AA277" s="32">
        <v>0</v>
      </c>
      <c r="AB277" s="32">
        <v>0</v>
      </c>
      <c r="AC277" s="32" t="s">
        <v>472</v>
      </c>
      <c r="AD277" s="32"/>
      <c r="AE277" s="32">
        <v>0</v>
      </c>
    </row>
    <row r="278" spans="1:31" x14ac:dyDescent="0.25">
      <c r="A278">
        <v>16387</v>
      </c>
      <c r="B278" t="s">
        <v>425</v>
      </c>
      <c r="C278" t="s">
        <v>731</v>
      </c>
      <c r="D278" s="35">
        <v>5030.5</v>
      </c>
      <c r="E278">
        <v>1246250305</v>
      </c>
      <c r="F278" s="321">
        <v>46254</v>
      </c>
      <c r="G278" s="321"/>
      <c r="H278" t="s">
        <v>172</v>
      </c>
      <c r="I278" t="s">
        <v>173</v>
      </c>
      <c r="J278">
        <v>10088</v>
      </c>
      <c r="K278" s="321">
        <v>45982</v>
      </c>
      <c r="L278">
        <v>1010100</v>
      </c>
      <c r="M278" t="s">
        <v>35</v>
      </c>
      <c r="N278">
        <v>-112</v>
      </c>
      <c r="O278" s="32">
        <v>0</v>
      </c>
      <c r="P278" s="32">
        <v>0</v>
      </c>
      <c r="Q278" s="32">
        <v>5030.5</v>
      </c>
      <c r="R278" s="32">
        <v>0</v>
      </c>
      <c r="S278" s="32">
        <v>0</v>
      </c>
      <c r="T278" s="32">
        <v>0</v>
      </c>
      <c r="U278" s="32">
        <v>0</v>
      </c>
      <c r="V278" s="32">
        <v>0</v>
      </c>
      <c r="W278" s="32">
        <v>0</v>
      </c>
      <c r="X278" s="32">
        <v>0</v>
      </c>
      <c r="Y278" s="32">
        <v>0</v>
      </c>
      <c r="Z278" s="32">
        <v>0</v>
      </c>
      <c r="AA278" s="32">
        <v>0</v>
      </c>
      <c r="AB278" s="32">
        <v>0</v>
      </c>
      <c r="AC278" s="32" t="s">
        <v>472</v>
      </c>
      <c r="AD278" s="32"/>
      <c r="AE278" s="32">
        <v>0</v>
      </c>
    </row>
    <row r="279" spans="1:31" x14ac:dyDescent="0.25">
      <c r="A279">
        <v>15906</v>
      </c>
      <c r="B279" t="s">
        <v>905</v>
      </c>
      <c r="C279" t="s">
        <v>870</v>
      </c>
      <c r="D279" s="35">
        <v>51551.06</v>
      </c>
      <c r="E279">
        <v>1246268468</v>
      </c>
      <c r="F279" s="321">
        <v>46190</v>
      </c>
      <c r="G279" s="321"/>
      <c r="H279" t="s">
        <v>172</v>
      </c>
      <c r="I279" t="s">
        <v>173</v>
      </c>
      <c r="J279">
        <v>10937</v>
      </c>
      <c r="K279" s="321">
        <v>46100</v>
      </c>
      <c r="L279">
        <v>1010100</v>
      </c>
      <c r="M279" t="s">
        <v>35</v>
      </c>
      <c r="N279">
        <v>-48</v>
      </c>
      <c r="O279" s="32">
        <v>0</v>
      </c>
      <c r="P279" s="32">
        <v>0</v>
      </c>
      <c r="Q279" s="32">
        <v>51551.06</v>
      </c>
      <c r="R279" s="32">
        <v>0</v>
      </c>
      <c r="S279" s="32">
        <v>0</v>
      </c>
      <c r="T279" s="32">
        <v>0</v>
      </c>
      <c r="U279" s="32">
        <v>0</v>
      </c>
      <c r="V279" s="32">
        <v>0</v>
      </c>
      <c r="W279" s="32">
        <v>0</v>
      </c>
      <c r="X279" s="32">
        <v>0</v>
      </c>
      <c r="Y279" s="32">
        <v>0</v>
      </c>
      <c r="Z279" s="32">
        <v>0</v>
      </c>
      <c r="AA279" s="32">
        <v>0</v>
      </c>
      <c r="AB279" s="32">
        <v>0</v>
      </c>
      <c r="AC279" s="32" t="s">
        <v>472</v>
      </c>
      <c r="AD279" s="32"/>
      <c r="AE279" s="32">
        <v>0</v>
      </c>
    </row>
    <row r="280" spans="1:31" x14ac:dyDescent="0.25">
      <c r="A280">
        <v>15904</v>
      </c>
      <c r="B280" t="s">
        <v>905</v>
      </c>
      <c r="C280" t="s">
        <v>872</v>
      </c>
      <c r="D280" s="35">
        <v>38698.71</v>
      </c>
      <c r="E280">
        <v>1246268475</v>
      </c>
      <c r="F280" s="321">
        <v>46190</v>
      </c>
      <c r="G280" s="321"/>
      <c r="H280" t="s">
        <v>172</v>
      </c>
      <c r="I280" t="s">
        <v>173</v>
      </c>
      <c r="J280">
        <v>10939</v>
      </c>
      <c r="K280" s="321">
        <v>46100</v>
      </c>
      <c r="L280">
        <v>1010100</v>
      </c>
      <c r="M280" t="s">
        <v>35</v>
      </c>
      <c r="N280">
        <v>-48</v>
      </c>
      <c r="O280" s="32">
        <v>0</v>
      </c>
      <c r="P280" s="32">
        <v>0</v>
      </c>
      <c r="Q280" s="32">
        <v>38698.71</v>
      </c>
      <c r="R280" s="32">
        <v>0</v>
      </c>
      <c r="S280" s="32">
        <v>0</v>
      </c>
      <c r="T280" s="32">
        <v>0</v>
      </c>
      <c r="U280" s="32">
        <v>0</v>
      </c>
      <c r="V280" s="32">
        <v>0</v>
      </c>
      <c r="W280" s="32">
        <v>0</v>
      </c>
      <c r="X280" s="32">
        <v>0</v>
      </c>
      <c r="Y280" s="32">
        <v>0</v>
      </c>
      <c r="Z280" s="32">
        <v>0</v>
      </c>
      <c r="AA280" s="32">
        <v>0</v>
      </c>
      <c r="AB280" s="32">
        <v>0</v>
      </c>
      <c r="AC280" s="32" t="s">
        <v>472</v>
      </c>
      <c r="AD280" s="32"/>
      <c r="AE280" s="32">
        <v>0</v>
      </c>
    </row>
    <row r="281" spans="1:31" x14ac:dyDescent="0.25">
      <c r="A281">
        <v>15904</v>
      </c>
      <c r="B281" t="s">
        <v>905</v>
      </c>
      <c r="C281" t="s">
        <v>872</v>
      </c>
      <c r="D281" s="35">
        <v>152158.14000000001</v>
      </c>
      <c r="E281">
        <v>1246269114</v>
      </c>
      <c r="F281" s="321">
        <v>46196</v>
      </c>
      <c r="G281" s="321"/>
      <c r="H281" t="s">
        <v>172</v>
      </c>
      <c r="I281" t="s">
        <v>173</v>
      </c>
      <c r="J281">
        <v>10978</v>
      </c>
      <c r="K281" s="321">
        <v>46106</v>
      </c>
      <c r="L281">
        <v>1010100</v>
      </c>
      <c r="M281" t="s">
        <v>35</v>
      </c>
      <c r="N281">
        <v>-54</v>
      </c>
      <c r="O281" s="32">
        <v>0</v>
      </c>
      <c r="P281" s="32">
        <v>0</v>
      </c>
      <c r="Q281" s="32">
        <v>152158.14000000001</v>
      </c>
      <c r="R281" s="32">
        <v>0</v>
      </c>
      <c r="S281" s="32">
        <v>0</v>
      </c>
      <c r="T281" s="32">
        <v>0</v>
      </c>
      <c r="U281" s="32">
        <v>0</v>
      </c>
      <c r="V281" s="32">
        <v>0</v>
      </c>
      <c r="W281" s="32">
        <v>0</v>
      </c>
      <c r="X281" s="32">
        <v>0</v>
      </c>
      <c r="Y281" s="32">
        <v>0</v>
      </c>
      <c r="Z281" s="32">
        <v>0</v>
      </c>
      <c r="AA281" s="32">
        <v>0</v>
      </c>
      <c r="AB281" s="32">
        <v>0</v>
      </c>
      <c r="AC281" s="32" t="s">
        <v>472</v>
      </c>
      <c r="AD281" s="32"/>
      <c r="AE281" s="32">
        <v>0</v>
      </c>
    </row>
    <row r="282" spans="1:31" x14ac:dyDescent="0.25">
      <c r="A282">
        <v>707</v>
      </c>
      <c r="B282" t="s">
        <v>53</v>
      </c>
      <c r="C282" t="s">
        <v>54</v>
      </c>
      <c r="D282" s="35">
        <v>40320</v>
      </c>
      <c r="E282">
        <v>1246146706</v>
      </c>
      <c r="F282" s="321">
        <v>45461</v>
      </c>
      <c r="G282" s="321"/>
      <c r="H282" t="s">
        <v>28</v>
      </c>
      <c r="I282" t="s">
        <v>29</v>
      </c>
      <c r="J282">
        <v>3619</v>
      </c>
      <c r="K282" s="321">
        <v>45433</v>
      </c>
      <c r="L282">
        <v>1010100</v>
      </c>
      <c r="M282" t="s">
        <v>35</v>
      </c>
      <c r="N282">
        <v>681</v>
      </c>
      <c r="O282" s="32">
        <v>0</v>
      </c>
      <c r="P282" s="32">
        <v>40320</v>
      </c>
      <c r="Q282" s="32">
        <v>0</v>
      </c>
      <c r="R282" s="32">
        <v>0</v>
      </c>
      <c r="S282" s="32">
        <v>0</v>
      </c>
      <c r="T282" s="32">
        <v>0</v>
      </c>
      <c r="U282" s="32">
        <v>40320</v>
      </c>
      <c r="V282" s="32">
        <v>0</v>
      </c>
      <c r="W282" s="32">
        <v>1209.5999999999999</v>
      </c>
      <c r="X282" s="32">
        <v>39110.400000000001</v>
      </c>
      <c r="Y282" s="32">
        <v>39110.400000000001</v>
      </c>
      <c r="Z282" s="32">
        <v>40320</v>
      </c>
      <c r="AA282" s="32">
        <v>0</v>
      </c>
      <c r="AB282" s="32">
        <v>40320</v>
      </c>
      <c r="AC282" s="32" t="s">
        <v>537</v>
      </c>
      <c r="AD282" s="32"/>
      <c r="AE282" s="32">
        <v>40320</v>
      </c>
    </row>
    <row r="283" spans="1:31" x14ac:dyDescent="0.25">
      <c r="A283">
        <v>707</v>
      </c>
      <c r="B283" t="s">
        <v>53</v>
      </c>
      <c r="C283" t="s">
        <v>54</v>
      </c>
      <c r="D283" s="35">
        <v>14640</v>
      </c>
      <c r="E283">
        <v>1246145696</v>
      </c>
      <c r="F283" s="321">
        <v>45454</v>
      </c>
      <c r="G283" s="321"/>
      <c r="H283" t="s">
        <v>28</v>
      </c>
      <c r="I283" t="s">
        <v>29</v>
      </c>
      <c r="J283">
        <v>3538</v>
      </c>
      <c r="K283" s="321">
        <v>45426</v>
      </c>
      <c r="L283">
        <v>1010100</v>
      </c>
      <c r="M283" t="s">
        <v>35</v>
      </c>
      <c r="N283">
        <v>688</v>
      </c>
      <c r="O283" s="32">
        <v>0</v>
      </c>
      <c r="P283" s="32">
        <v>14640</v>
      </c>
      <c r="Q283" s="32">
        <v>0</v>
      </c>
      <c r="R283" s="32">
        <v>0</v>
      </c>
      <c r="S283" s="32">
        <v>0</v>
      </c>
      <c r="T283" s="32">
        <v>0</v>
      </c>
      <c r="U283" s="32">
        <v>14640</v>
      </c>
      <c r="V283" s="32">
        <v>0</v>
      </c>
      <c r="W283" s="32">
        <v>439.2</v>
      </c>
      <c r="X283" s="32">
        <v>14200.8</v>
      </c>
      <c r="Y283" s="32">
        <v>14200.8</v>
      </c>
      <c r="Z283" s="32">
        <v>14640</v>
      </c>
      <c r="AA283" s="32">
        <v>0</v>
      </c>
      <c r="AB283" s="32">
        <v>14640</v>
      </c>
      <c r="AC283" s="32" t="s">
        <v>537</v>
      </c>
      <c r="AD283" s="32"/>
      <c r="AE283" s="32">
        <v>14640</v>
      </c>
    </row>
    <row r="284" spans="1:31" x14ac:dyDescent="0.25">
      <c r="A284">
        <v>707</v>
      </c>
      <c r="B284" t="s">
        <v>53</v>
      </c>
      <c r="C284" t="s">
        <v>54</v>
      </c>
      <c r="D284" s="35">
        <v>43920</v>
      </c>
      <c r="E284">
        <v>1246148035</v>
      </c>
      <c r="F284" s="321">
        <v>45469</v>
      </c>
      <c r="G284" s="321"/>
      <c r="H284" t="s">
        <v>28</v>
      </c>
      <c r="I284" t="s">
        <v>29</v>
      </c>
      <c r="J284">
        <v>3722</v>
      </c>
      <c r="K284" s="321">
        <v>45441</v>
      </c>
      <c r="L284">
        <v>1010100</v>
      </c>
      <c r="M284" t="s">
        <v>35</v>
      </c>
      <c r="N284">
        <v>673</v>
      </c>
      <c r="O284" s="32">
        <v>0</v>
      </c>
      <c r="P284" s="32">
        <v>43920</v>
      </c>
      <c r="Q284" s="32">
        <v>0</v>
      </c>
      <c r="R284" s="32">
        <v>0</v>
      </c>
      <c r="S284" s="32">
        <v>0</v>
      </c>
      <c r="T284" s="32">
        <v>0</v>
      </c>
      <c r="U284" s="32">
        <v>43920</v>
      </c>
      <c r="V284" s="32">
        <v>0</v>
      </c>
      <c r="W284" s="32">
        <v>1317.6</v>
      </c>
      <c r="X284" s="32">
        <v>42602.400000000001</v>
      </c>
      <c r="Y284" s="32">
        <v>42602.400000000001</v>
      </c>
      <c r="Z284" s="32">
        <v>43920</v>
      </c>
      <c r="AA284" s="32">
        <v>0</v>
      </c>
      <c r="AB284" s="32">
        <v>43920</v>
      </c>
      <c r="AC284" s="32" t="s">
        <v>537</v>
      </c>
      <c r="AD284" s="32"/>
      <c r="AE284" s="32">
        <v>43920</v>
      </c>
    </row>
    <row r="285" spans="1:31" x14ac:dyDescent="0.25">
      <c r="A285">
        <v>707</v>
      </c>
      <c r="B285" t="s">
        <v>53</v>
      </c>
      <c r="C285" t="s">
        <v>54</v>
      </c>
      <c r="D285" s="35">
        <v>36600</v>
      </c>
      <c r="E285">
        <v>1246146938</v>
      </c>
      <c r="F285" s="321">
        <v>45462</v>
      </c>
      <c r="G285" s="321"/>
      <c r="H285" t="s">
        <v>28</v>
      </c>
      <c r="I285" t="s">
        <v>29</v>
      </c>
      <c r="J285">
        <v>3637</v>
      </c>
      <c r="K285" s="321">
        <v>45434</v>
      </c>
      <c r="L285">
        <v>1010100</v>
      </c>
      <c r="M285" t="s">
        <v>35</v>
      </c>
      <c r="N285">
        <v>680</v>
      </c>
      <c r="O285" s="32">
        <v>0</v>
      </c>
      <c r="P285" s="32">
        <v>36600</v>
      </c>
      <c r="Q285" s="32">
        <v>0</v>
      </c>
      <c r="R285" s="32">
        <v>0</v>
      </c>
      <c r="S285" s="32">
        <v>0</v>
      </c>
      <c r="T285" s="32">
        <v>0</v>
      </c>
      <c r="U285" s="32">
        <v>36600</v>
      </c>
      <c r="V285" s="32">
        <v>0</v>
      </c>
      <c r="W285" s="32">
        <v>1098</v>
      </c>
      <c r="X285" s="32">
        <v>35502</v>
      </c>
      <c r="Y285" s="32">
        <v>35502</v>
      </c>
      <c r="Z285" s="32">
        <v>36600</v>
      </c>
      <c r="AA285" s="32">
        <v>0</v>
      </c>
      <c r="AB285" s="32">
        <v>36600</v>
      </c>
      <c r="AC285" s="32" t="s">
        <v>537</v>
      </c>
      <c r="AD285" s="32"/>
      <c r="AE285" s="32">
        <v>36600</v>
      </c>
    </row>
    <row r="286" spans="1:31" x14ac:dyDescent="0.25">
      <c r="A286">
        <v>707</v>
      </c>
      <c r="B286" t="s">
        <v>53</v>
      </c>
      <c r="C286" t="s">
        <v>54</v>
      </c>
      <c r="D286" s="35">
        <v>33600</v>
      </c>
      <c r="E286">
        <v>1246148036</v>
      </c>
      <c r="F286" s="321">
        <v>45469</v>
      </c>
      <c r="G286" s="321"/>
      <c r="H286" t="s">
        <v>28</v>
      </c>
      <c r="I286" t="s">
        <v>29</v>
      </c>
      <c r="J286">
        <v>3723</v>
      </c>
      <c r="K286" s="321">
        <v>45441</v>
      </c>
      <c r="L286">
        <v>1010100</v>
      </c>
      <c r="M286" t="s">
        <v>35</v>
      </c>
      <c r="N286">
        <v>673</v>
      </c>
      <c r="O286" s="32">
        <v>0</v>
      </c>
      <c r="P286" s="32">
        <v>33600</v>
      </c>
      <c r="Q286" s="32">
        <v>0</v>
      </c>
      <c r="R286" s="32">
        <v>0</v>
      </c>
      <c r="S286" s="32">
        <v>0</v>
      </c>
      <c r="T286" s="32">
        <v>0</v>
      </c>
      <c r="U286" s="32">
        <v>33600</v>
      </c>
      <c r="V286" s="32">
        <v>0</v>
      </c>
      <c r="W286" s="32">
        <v>1008</v>
      </c>
      <c r="X286" s="32">
        <v>32592</v>
      </c>
      <c r="Y286" s="32">
        <v>32592</v>
      </c>
      <c r="Z286" s="32">
        <v>33600</v>
      </c>
      <c r="AA286" s="32">
        <v>0</v>
      </c>
      <c r="AB286" s="32">
        <v>33600</v>
      </c>
      <c r="AC286" s="32" t="s">
        <v>537</v>
      </c>
      <c r="AD286" s="32"/>
      <c r="AE286" s="32">
        <v>33600</v>
      </c>
    </row>
    <row r="287" spans="1:31" x14ac:dyDescent="0.25">
      <c r="A287">
        <v>707</v>
      </c>
      <c r="B287" t="s">
        <v>53</v>
      </c>
      <c r="C287" t="s">
        <v>54</v>
      </c>
      <c r="D287" s="35">
        <v>16800</v>
      </c>
      <c r="E287">
        <v>1246141445</v>
      </c>
      <c r="F287" s="321">
        <v>45433</v>
      </c>
      <c r="G287" s="321"/>
      <c r="H287" t="s">
        <v>28</v>
      </c>
      <c r="I287" t="s">
        <v>29</v>
      </c>
      <c r="J287">
        <v>3345</v>
      </c>
      <c r="K287" s="321">
        <v>45405</v>
      </c>
      <c r="L287">
        <v>1010100</v>
      </c>
      <c r="M287" t="s">
        <v>35</v>
      </c>
      <c r="N287">
        <v>709</v>
      </c>
      <c r="O287" s="32">
        <v>0</v>
      </c>
      <c r="P287" s="32">
        <v>16800</v>
      </c>
      <c r="Q287" s="32">
        <v>0</v>
      </c>
      <c r="R287" s="32">
        <v>0</v>
      </c>
      <c r="S287" s="32">
        <v>0</v>
      </c>
      <c r="T287" s="32">
        <v>0</v>
      </c>
      <c r="U287" s="32">
        <v>16800</v>
      </c>
      <c r="V287" s="32">
        <v>0</v>
      </c>
      <c r="W287" s="32">
        <v>504</v>
      </c>
      <c r="X287" s="32">
        <v>16296</v>
      </c>
      <c r="Y287" s="32">
        <v>16296</v>
      </c>
      <c r="Z287" s="32">
        <v>16800</v>
      </c>
      <c r="AA287" s="32">
        <v>0</v>
      </c>
      <c r="AB287" s="32">
        <v>16800</v>
      </c>
      <c r="AC287" s="32" t="s">
        <v>537</v>
      </c>
      <c r="AD287" s="32"/>
      <c r="AE287" s="32">
        <v>16800</v>
      </c>
    </row>
    <row r="288" spans="1:31" x14ac:dyDescent="0.25">
      <c r="A288">
        <v>707</v>
      </c>
      <c r="B288" t="s">
        <v>53</v>
      </c>
      <c r="C288" t="s">
        <v>54</v>
      </c>
      <c r="D288" s="35">
        <v>40353.599999999999</v>
      </c>
      <c r="E288">
        <v>1246143397</v>
      </c>
      <c r="F288" s="321">
        <v>45443</v>
      </c>
      <c r="G288" s="321"/>
      <c r="H288" t="s">
        <v>28</v>
      </c>
      <c r="I288" t="s">
        <v>29</v>
      </c>
      <c r="J288">
        <v>3448</v>
      </c>
      <c r="K288" s="321">
        <v>45415</v>
      </c>
      <c r="L288">
        <v>1010100</v>
      </c>
      <c r="M288" t="s">
        <v>35</v>
      </c>
      <c r="N288">
        <v>699</v>
      </c>
      <c r="O288" s="32">
        <v>0</v>
      </c>
      <c r="P288" s="32">
        <v>40353.599999999999</v>
      </c>
      <c r="Q288" s="32">
        <v>0</v>
      </c>
      <c r="R288" s="32">
        <v>0</v>
      </c>
      <c r="S288" s="32">
        <v>0</v>
      </c>
      <c r="T288" s="32">
        <v>0</v>
      </c>
      <c r="U288" s="32">
        <v>40353.599999999999</v>
      </c>
      <c r="V288" s="32">
        <v>0</v>
      </c>
      <c r="W288" s="32">
        <v>1210.6079999999999</v>
      </c>
      <c r="X288" s="32">
        <v>39142.991999999998</v>
      </c>
      <c r="Y288" s="32">
        <v>39142.991999999998</v>
      </c>
      <c r="Z288" s="32">
        <v>40353.599999999999</v>
      </c>
      <c r="AA288" s="32">
        <v>0</v>
      </c>
      <c r="AB288" s="32">
        <v>40353.599999999999</v>
      </c>
      <c r="AC288" s="32" t="s">
        <v>537</v>
      </c>
      <c r="AD288" s="32"/>
      <c r="AE288" s="32">
        <v>40353.599999999999</v>
      </c>
    </row>
    <row r="289" spans="1:31" x14ac:dyDescent="0.25">
      <c r="A289">
        <v>1462</v>
      </c>
      <c r="B289" t="s">
        <v>65</v>
      </c>
      <c r="C289" t="s">
        <v>66</v>
      </c>
      <c r="D289" s="35">
        <v>37608.400000000001</v>
      </c>
      <c r="E289">
        <v>1246266894</v>
      </c>
      <c r="F289" s="321">
        <v>46147</v>
      </c>
      <c r="G289" s="321"/>
      <c r="H289" t="s">
        <v>28</v>
      </c>
      <c r="I289" t="s">
        <v>29</v>
      </c>
      <c r="J289">
        <v>10834</v>
      </c>
      <c r="K289" s="321">
        <v>46087</v>
      </c>
      <c r="L289">
        <v>1010100</v>
      </c>
      <c r="M289" t="s">
        <v>35</v>
      </c>
      <c r="N289">
        <v>-5</v>
      </c>
      <c r="O289" s="32">
        <v>0</v>
      </c>
      <c r="P289" s="32">
        <v>0</v>
      </c>
      <c r="Q289" s="32">
        <v>37608.400000000001</v>
      </c>
      <c r="R289" s="32">
        <v>0</v>
      </c>
      <c r="S289" s="32">
        <v>0</v>
      </c>
      <c r="T289" s="32">
        <v>0</v>
      </c>
      <c r="U289" s="32">
        <v>0</v>
      </c>
      <c r="V289" s="32">
        <v>0</v>
      </c>
      <c r="W289" s="32">
        <v>0</v>
      </c>
      <c r="X289" s="32">
        <v>0</v>
      </c>
      <c r="Y289" s="32">
        <v>0</v>
      </c>
      <c r="Z289" s="32">
        <v>0</v>
      </c>
      <c r="AA289" s="32">
        <v>0</v>
      </c>
      <c r="AB289" s="32">
        <v>0</v>
      </c>
      <c r="AC289" s="32" t="s">
        <v>472</v>
      </c>
      <c r="AD289" s="32"/>
      <c r="AE289" s="32">
        <v>0</v>
      </c>
    </row>
    <row r="290" spans="1:31" x14ac:dyDescent="0.25">
      <c r="A290">
        <v>1462</v>
      </c>
      <c r="B290" t="s">
        <v>65</v>
      </c>
      <c r="C290" t="s">
        <v>66</v>
      </c>
      <c r="D290" s="35">
        <v>37608.400000000001</v>
      </c>
      <c r="E290">
        <v>1246266895</v>
      </c>
      <c r="F290" s="321">
        <v>46157</v>
      </c>
      <c r="G290" s="321"/>
      <c r="H290" t="s">
        <v>28</v>
      </c>
      <c r="I290" t="s">
        <v>29</v>
      </c>
      <c r="J290">
        <v>10834</v>
      </c>
      <c r="K290" s="321">
        <v>46087</v>
      </c>
      <c r="L290">
        <v>1010100</v>
      </c>
      <c r="M290" t="s">
        <v>35</v>
      </c>
      <c r="N290">
        <v>-15</v>
      </c>
      <c r="O290" s="32">
        <v>0</v>
      </c>
      <c r="P290" s="32">
        <v>0</v>
      </c>
      <c r="Q290" s="32">
        <v>37608.400000000001</v>
      </c>
      <c r="R290" s="32">
        <v>0</v>
      </c>
      <c r="S290" s="32">
        <v>0</v>
      </c>
      <c r="T290" s="32">
        <v>0</v>
      </c>
      <c r="U290" s="32">
        <v>0</v>
      </c>
      <c r="V290" s="32">
        <v>0</v>
      </c>
      <c r="W290" s="32">
        <v>0</v>
      </c>
      <c r="X290" s="32">
        <v>0</v>
      </c>
      <c r="Y290" s="32">
        <v>0</v>
      </c>
      <c r="Z290" s="32">
        <v>0</v>
      </c>
      <c r="AA290" s="32">
        <v>0</v>
      </c>
      <c r="AB290" s="32">
        <v>0</v>
      </c>
      <c r="AC290" s="32" t="s">
        <v>472</v>
      </c>
      <c r="AD290" s="32"/>
      <c r="AE290" s="32">
        <v>0</v>
      </c>
    </row>
    <row r="291" spans="1:31" x14ac:dyDescent="0.25">
      <c r="A291">
        <v>1462</v>
      </c>
      <c r="B291" t="s">
        <v>65</v>
      </c>
      <c r="C291" t="s">
        <v>66</v>
      </c>
      <c r="D291" s="35">
        <v>38160.199999999997</v>
      </c>
      <c r="E291">
        <v>1246270126</v>
      </c>
      <c r="F291" s="321">
        <v>46174</v>
      </c>
      <c r="G291" s="321"/>
      <c r="H291" t="s">
        <v>28</v>
      </c>
      <c r="I291" t="s">
        <v>29</v>
      </c>
      <c r="J291">
        <v>11041</v>
      </c>
      <c r="K291" s="321">
        <v>46114</v>
      </c>
      <c r="L291">
        <v>1010100</v>
      </c>
      <c r="M291" t="s">
        <v>35</v>
      </c>
      <c r="N291">
        <v>-32</v>
      </c>
      <c r="O291" s="32">
        <v>0</v>
      </c>
      <c r="P291" s="32">
        <v>0</v>
      </c>
      <c r="Q291" s="32">
        <v>38160.199999999997</v>
      </c>
      <c r="R291" s="32">
        <v>0</v>
      </c>
      <c r="S291" s="32">
        <v>0</v>
      </c>
      <c r="T291" s="32">
        <v>0</v>
      </c>
      <c r="U291" s="32">
        <v>0</v>
      </c>
      <c r="V291" s="32">
        <v>0</v>
      </c>
      <c r="W291" s="32">
        <v>0</v>
      </c>
      <c r="X291" s="32">
        <v>0</v>
      </c>
      <c r="Y291" s="32">
        <v>0</v>
      </c>
      <c r="Z291" s="32">
        <v>0</v>
      </c>
      <c r="AA291" s="32">
        <v>0</v>
      </c>
      <c r="AB291" s="32">
        <v>0</v>
      </c>
      <c r="AC291" s="32" t="s">
        <v>472</v>
      </c>
      <c r="AD291" s="32"/>
      <c r="AE291" s="32">
        <v>0</v>
      </c>
    </row>
    <row r="292" spans="1:31" x14ac:dyDescent="0.25">
      <c r="A292">
        <v>1462</v>
      </c>
      <c r="B292" t="s">
        <v>65</v>
      </c>
      <c r="C292" t="s">
        <v>66</v>
      </c>
      <c r="D292" s="35">
        <v>38160.199999999997</v>
      </c>
      <c r="E292">
        <v>1246270127</v>
      </c>
      <c r="F292" s="321">
        <v>46184</v>
      </c>
      <c r="G292" s="321"/>
      <c r="H292" t="s">
        <v>28</v>
      </c>
      <c r="I292" t="s">
        <v>29</v>
      </c>
      <c r="J292">
        <v>11041</v>
      </c>
      <c r="K292" s="321">
        <v>46114</v>
      </c>
      <c r="L292">
        <v>1010100</v>
      </c>
      <c r="M292" t="s">
        <v>35</v>
      </c>
      <c r="N292">
        <v>-42</v>
      </c>
      <c r="O292" s="32">
        <v>0</v>
      </c>
      <c r="P292" s="32">
        <v>0</v>
      </c>
      <c r="Q292" s="32">
        <v>38160.199999999997</v>
      </c>
      <c r="R292" s="32">
        <v>0</v>
      </c>
      <c r="S292" s="32">
        <v>0</v>
      </c>
      <c r="T292" s="32">
        <v>0</v>
      </c>
      <c r="U292" s="32">
        <v>0</v>
      </c>
      <c r="V292" s="32">
        <v>0</v>
      </c>
      <c r="W292" s="32">
        <v>0</v>
      </c>
      <c r="X292" s="32">
        <v>0</v>
      </c>
      <c r="Y292" s="32">
        <v>0</v>
      </c>
      <c r="Z292" s="32">
        <v>0</v>
      </c>
      <c r="AA292" s="32">
        <v>0</v>
      </c>
      <c r="AB292" s="32">
        <v>0</v>
      </c>
      <c r="AC292" s="32" t="s">
        <v>472</v>
      </c>
      <c r="AD292" s="32"/>
      <c r="AE292" s="32">
        <v>0</v>
      </c>
    </row>
    <row r="293" spans="1:31" x14ac:dyDescent="0.25">
      <c r="A293">
        <v>1462</v>
      </c>
      <c r="B293" t="s">
        <v>65</v>
      </c>
      <c r="C293" t="s">
        <v>66</v>
      </c>
      <c r="D293" s="35">
        <v>37491.5</v>
      </c>
      <c r="E293">
        <v>1246262009</v>
      </c>
      <c r="F293" s="321">
        <v>46125</v>
      </c>
      <c r="G293" s="321"/>
      <c r="H293" t="s">
        <v>28</v>
      </c>
      <c r="I293" t="s">
        <v>29</v>
      </c>
      <c r="J293">
        <v>10624</v>
      </c>
      <c r="K293" s="321">
        <v>46055</v>
      </c>
      <c r="L293">
        <v>1010100</v>
      </c>
      <c r="M293" t="s">
        <v>35</v>
      </c>
      <c r="N293">
        <v>17</v>
      </c>
      <c r="O293" s="32">
        <v>0</v>
      </c>
      <c r="P293" s="32">
        <v>0</v>
      </c>
      <c r="Q293" s="32">
        <v>0</v>
      </c>
      <c r="R293" s="32">
        <v>37491.5</v>
      </c>
      <c r="S293" s="32">
        <v>0</v>
      </c>
      <c r="T293" s="32">
        <v>0</v>
      </c>
      <c r="U293" s="32">
        <v>0</v>
      </c>
      <c r="V293" s="32">
        <v>0</v>
      </c>
      <c r="W293" s="32">
        <v>0</v>
      </c>
      <c r="X293" s="32">
        <v>0</v>
      </c>
      <c r="Y293" s="32">
        <v>0</v>
      </c>
      <c r="Z293" s="32">
        <v>0</v>
      </c>
      <c r="AA293" s="32">
        <v>0</v>
      </c>
      <c r="AB293" s="32">
        <v>0</v>
      </c>
      <c r="AC293" s="32" t="s">
        <v>472</v>
      </c>
      <c r="AD293" s="32"/>
      <c r="AE293" s="32">
        <v>0</v>
      </c>
    </row>
    <row r="294" spans="1:31" x14ac:dyDescent="0.25">
      <c r="A294">
        <v>2011</v>
      </c>
      <c r="B294" t="s">
        <v>712</v>
      </c>
      <c r="C294" t="s">
        <v>545</v>
      </c>
      <c r="D294" s="35">
        <v>105829.4</v>
      </c>
      <c r="E294">
        <v>1246271331</v>
      </c>
      <c r="F294" s="321">
        <v>46154</v>
      </c>
      <c r="G294" s="321"/>
      <c r="H294" t="s">
        <v>28</v>
      </c>
      <c r="I294" t="s">
        <v>29</v>
      </c>
      <c r="J294">
        <v>11121</v>
      </c>
      <c r="K294" s="321">
        <v>46126</v>
      </c>
      <c r="L294">
        <v>1010100</v>
      </c>
      <c r="M294" t="s">
        <v>35</v>
      </c>
      <c r="N294">
        <v>-12</v>
      </c>
      <c r="O294" s="32">
        <v>0</v>
      </c>
      <c r="P294" s="32">
        <v>0</v>
      </c>
      <c r="Q294" s="32">
        <v>105829.4</v>
      </c>
      <c r="R294" s="32">
        <v>0</v>
      </c>
      <c r="S294" s="32">
        <v>0</v>
      </c>
      <c r="T294" s="32">
        <v>0</v>
      </c>
      <c r="U294" s="32">
        <v>0</v>
      </c>
      <c r="V294" s="32">
        <v>0</v>
      </c>
      <c r="W294" s="32">
        <v>0</v>
      </c>
      <c r="X294" s="32">
        <v>0</v>
      </c>
      <c r="Y294" s="32">
        <v>0</v>
      </c>
      <c r="Z294" s="32">
        <v>0</v>
      </c>
      <c r="AA294" s="32">
        <v>0</v>
      </c>
      <c r="AB294" s="32">
        <v>0</v>
      </c>
      <c r="AC294" s="32" t="s">
        <v>472</v>
      </c>
      <c r="AD294" s="32"/>
      <c r="AE294" s="32">
        <v>0</v>
      </c>
    </row>
    <row r="295" spans="1:31" x14ac:dyDescent="0.25">
      <c r="A295">
        <v>3297</v>
      </c>
      <c r="B295" t="s">
        <v>640</v>
      </c>
      <c r="C295" t="s">
        <v>31</v>
      </c>
      <c r="D295" s="35">
        <v>49956.68</v>
      </c>
      <c r="E295">
        <v>1246271355</v>
      </c>
      <c r="F295" s="321">
        <v>46186</v>
      </c>
      <c r="G295" s="321"/>
      <c r="H295" t="s">
        <v>28</v>
      </c>
      <c r="I295" t="s">
        <v>29</v>
      </c>
      <c r="J295">
        <v>11123</v>
      </c>
      <c r="K295" s="321">
        <v>46126</v>
      </c>
      <c r="L295">
        <v>1010200</v>
      </c>
      <c r="M295" t="s">
        <v>124</v>
      </c>
      <c r="N295">
        <v>-44</v>
      </c>
      <c r="O295" s="32">
        <v>0</v>
      </c>
      <c r="P295" s="32">
        <v>0</v>
      </c>
      <c r="Q295" s="32">
        <v>49956.68</v>
      </c>
      <c r="R295" s="32">
        <v>0</v>
      </c>
      <c r="S295" s="32">
        <v>0</v>
      </c>
      <c r="T295" s="32">
        <v>0</v>
      </c>
      <c r="U295" s="32">
        <v>0</v>
      </c>
      <c r="V295" s="32">
        <v>0</v>
      </c>
      <c r="W295" s="32">
        <v>0</v>
      </c>
      <c r="X295" s="32">
        <v>0</v>
      </c>
      <c r="Y295" s="32">
        <v>0</v>
      </c>
      <c r="Z295" s="32">
        <v>0</v>
      </c>
      <c r="AA295" s="32">
        <v>0</v>
      </c>
      <c r="AB295" s="32">
        <v>0</v>
      </c>
      <c r="AC295" s="32" t="s">
        <v>472</v>
      </c>
      <c r="AD295" s="32"/>
      <c r="AE295" s="32">
        <v>0</v>
      </c>
    </row>
    <row r="296" spans="1:31" x14ac:dyDescent="0.25">
      <c r="A296">
        <v>3426</v>
      </c>
      <c r="B296" t="s">
        <v>402</v>
      </c>
      <c r="C296" t="s">
        <v>32</v>
      </c>
      <c r="D296" s="35">
        <v>250261.53</v>
      </c>
      <c r="E296">
        <v>1246272081</v>
      </c>
      <c r="F296" s="321">
        <v>46194</v>
      </c>
      <c r="G296" s="321"/>
      <c r="H296" t="s">
        <v>28</v>
      </c>
      <c r="I296" t="s">
        <v>29</v>
      </c>
      <c r="J296">
        <v>2886</v>
      </c>
      <c r="K296" s="321">
        <v>46134</v>
      </c>
      <c r="L296">
        <v>1010200</v>
      </c>
      <c r="M296" t="s">
        <v>124</v>
      </c>
      <c r="N296">
        <v>-52</v>
      </c>
      <c r="O296" s="32">
        <v>0</v>
      </c>
      <c r="P296" s="32">
        <v>0</v>
      </c>
      <c r="Q296" s="32">
        <v>250261.53</v>
      </c>
      <c r="R296" s="32">
        <v>0</v>
      </c>
      <c r="S296" s="32">
        <v>0</v>
      </c>
      <c r="T296" s="32">
        <v>0</v>
      </c>
      <c r="U296" s="32">
        <v>0</v>
      </c>
      <c r="V296" s="32">
        <v>0</v>
      </c>
      <c r="W296" s="32">
        <v>0</v>
      </c>
      <c r="X296" s="32">
        <v>0</v>
      </c>
      <c r="Y296" s="32">
        <v>0</v>
      </c>
      <c r="Z296" s="32">
        <v>0</v>
      </c>
      <c r="AA296" s="32">
        <v>0</v>
      </c>
      <c r="AB296" s="32">
        <v>0</v>
      </c>
      <c r="AC296" s="32" t="s">
        <v>472</v>
      </c>
      <c r="AD296" s="32"/>
      <c r="AE296" s="32">
        <v>0</v>
      </c>
    </row>
    <row r="297" spans="1:31" x14ac:dyDescent="0.25">
      <c r="A297">
        <v>2247</v>
      </c>
      <c r="B297" t="s">
        <v>490</v>
      </c>
      <c r="C297" t="s">
        <v>887</v>
      </c>
      <c r="D297" s="35">
        <v>12189</v>
      </c>
      <c r="E297">
        <v>1246272759</v>
      </c>
      <c r="F297" s="321">
        <v>46167</v>
      </c>
      <c r="G297" s="321"/>
      <c r="H297" t="s">
        <v>28</v>
      </c>
      <c r="I297" t="s">
        <v>29</v>
      </c>
      <c r="J297">
        <v>2896</v>
      </c>
      <c r="K297" s="321">
        <v>46139</v>
      </c>
      <c r="L297">
        <v>1010100</v>
      </c>
      <c r="M297" t="s">
        <v>35</v>
      </c>
      <c r="N297">
        <v>-25</v>
      </c>
      <c r="O297" s="32">
        <v>0</v>
      </c>
      <c r="P297" s="32">
        <v>0</v>
      </c>
      <c r="Q297" s="32">
        <v>12189</v>
      </c>
      <c r="R297" s="32">
        <v>0</v>
      </c>
      <c r="S297" s="32">
        <v>0</v>
      </c>
      <c r="T297" s="32">
        <v>0</v>
      </c>
      <c r="U297" s="32">
        <v>0</v>
      </c>
      <c r="V297" s="32">
        <v>0</v>
      </c>
      <c r="W297" s="32">
        <v>0</v>
      </c>
      <c r="X297" s="32">
        <v>0</v>
      </c>
      <c r="Y297" s="32">
        <v>0</v>
      </c>
      <c r="Z297" s="32">
        <v>0</v>
      </c>
      <c r="AA297" s="32">
        <v>0</v>
      </c>
      <c r="AB297" s="32">
        <v>0</v>
      </c>
      <c r="AC297" s="32" t="s">
        <v>472</v>
      </c>
      <c r="AD297" s="32"/>
      <c r="AE297" s="32">
        <v>0</v>
      </c>
    </row>
    <row r="298" spans="1:31" x14ac:dyDescent="0.25">
      <c r="A298">
        <v>2247</v>
      </c>
      <c r="B298" t="s">
        <v>490</v>
      </c>
      <c r="C298" t="s">
        <v>887</v>
      </c>
      <c r="D298" s="35">
        <v>12189</v>
      </c>
      <c r="E298">
        <v>1246272760</v>
      </c>
      <c r="F298" s="321">
        <v>46195</v>
      </c>
      <c r="G298" s="321"/>
      <c r="H298" t="s">
        <v>28</v>
      </c>
      <c r="I298" t="s">
        <v>29</v>
      </c>
      <c r="J298">
        <v>2896</v>
      </c>
      <c r="K298" s="321">
        <v>46139</v>
      </c>
      <c r="L298">
        <v>1010100</v>
      </c>
      <c r="M298" t="s">
        <v>35</v>
      </c>
      <c r="N298">
        <v>-53</v>
      </c>
      <c r="O298" s="32">
        <v>0</v>
      </c>
      <c r="P298" s="32">
        <v>0</v>
      </c>
      <c r="Q298" s="32">
        <v>12189</v>
      </c>
      <c r="R298" s="32">
        <v>0</v>
      </c>
      <c r="S298" s="32">
        <v>0</v>
      </c>
      <c r="T298" s="32">
        <v>0</v>
      </c>
      <c r="U298" s="32">
        <v>0</v>
      </c>
      <c r="V298" s="32">
        <v>0</v>
      </c>
      <c r="W298" s="32">
        <v>0</v>
      </c>
      <c r="X298" s="32">
        <v>0</v>
      </c>
      <c r="Y298" s="32">
        <v>0</v>
      </c>
      <c r="Z298" s="32">
        <v>0</v>
      </c>
      <c r="AA298" s="32">
        <v>0</v>
      </c>
      <c r="AB298" s="32">
        <v>0</v>
      </c>
      <c r="AC298" s="32" t="s">
        <v>472</v>
      </c>
      <c r="AD298" s="32"/>
      <c r="AE298" s="32">
        <v>0</v>
      </c>
    </row>
    <row r="299" spans="1:31" x14ac:dyDescent="0.25">
      <c r="A299">
        <v>2247</v>
      </c>
      <c r="B299" t="s">
        <v>490</v>
      </c>
      <c r="C299" t="s">
        <v>887</v>
      </c>
      <c r="D299" s="35">
        <v>956</v>
      </c>
      <c r="E299">
        <v>1246272577</v>
      </c>
      <c r="F299" s="321">
        <v>46164</v>
      </c>
      <c r="G299" s="321"/>
      <c r="H299" t="s">
        <v>28</v>
      </c>
      <c r="I299" t="s">
        <v>29</v>
      </c>
      <c r="J299">
        <v>2892</v>
      </c>
      <c r="K299" s="321">
        <v>46136</v>
      </c>
      <c r="L299">
        <v>1010100</v>
      </c>
      <c r="M299" t="s">
        <v>35</v>
      </c>
      <c r="N299">
        <v>-22</v>
      </c>
      <c r="O299" s="32">
        <v>0</v>
      </c>
      <c r="P299" s="32">
        <v>0</v>
      </c>
      <c r="Q299" s="32">
        <v>956</v>
      </c>
      <c r="R299" s="32">
        <v>0</v>
      </c>
      <c r="S299" s="32">
        <v>0</v>
      </c>
      <c r="T299" s="32">
        <v>0</v>
      </c>
      <c r="U299" s="32">
        <v>0</v>
      </c>
      <c r="V299" s="32">
        <v>0</v>
      </c>
      <c r="W299" s="32">
        <v>0</v>
      </c>
      <c r="X299" s="32">
        <v>0</v>
      </c>
      <c r="Y299" s="32">
        <v>0</v>
      </c>
      <c r="Z299" s="32">
        <v>0</v>
      </c>
      <c r="AA299" s="32">
        <v>0</v>
      </c>
      <c r="AB299" s="32">
        <v>0</v>
      </c>
      <c r="AC299" s="32" t="s">
        <v>472</v>
      </c>
      <c r="AD299" s="32"/>
      <c r="AE299" s="32">
        <v>0</v>
      </c>
    </row>
    <row r="300" spans="1:31" x14ac:dyDescent="0.25">
      <c r="A300">
        <v>2247</v>
      </c>
      <c r="B300" t="s">
        <v>490</v>
      </c>
      <c r="C300" t="s">
        <v>887</v>
      </c>
      <c r="D300" s="35">
        <v>956</v>
      </c>
      <c r="E300">
        <v>1246272578</v>
      </c>
      <c r="F300" s="321">
        <v>46192</v>
      </c>
      <c r="G300" s="321"/>
      <c r="H300" t="s">
        <v>28</v>
      </c>
      <c r="I300" t="s">
        <v>29</v>
      </c>
      <c r="J300">
        <v>2892</v>
      </c>
      <c r="K300" s="321">
        <v>46136</v>
      </c>
      <c r="L300">
        <v>1010100</v>
      </c>
      <c r="M300" t="s">
        <v>35</v>
      </c>
      <c r="N300">
        <v>-50</v>
      </c>
      <c r="O300" s="32">
        <v>0</v>
      </c>
      <c r="P300" s="32">
        <v>0</v>
      </c>
      <c r="Q300" s="32">
        <v>956</v>
      </c>
      <c r="R300" s="32">
        <v>0</v>
      </c>
      <c r="S300" s="32">
        <v>0</v>
      </c>
      <c r="T300" s="32">
        <v>0</v>
      </c>
      <c r="U300" s="32">
        <v>0</v>
      </c>
      <c r="V300" s="32">
        <v>0</v>
      </c>
      <c r="W300" s="32">
        <v>0</v>
      </c>
      <c r="X300" s="32">
        <v>0</v>
      </c>
      <c r="Y300" s="32">
        <v>0</v>
      </c>
      <c r="Z300" s="32">
        <v>0</v>
      </c>
      <c r="AA300" s="32">
        <v>0</v>
      </c>
      <c r="AB300" s="32">
        <v>0</v>
      </c>
      <c r="AC300" s="32" t="s">
        <v>472</v>
      </c>
      <c r="AD300" s="32"/>
      <c r="AE300" s="32">
        <v>0</v>
      </c>
    </row>
    <row r="301" spans="1:31" x14ac:dyDescent="0.25">
      <c r="A301">
        <v>2680</v>
      </c>
      <c r="B301" t="s">
        <v>354</v>
      </c>
      <c r="C301" t="s">
        <v>31</v>
      </c>
      <c r="D301" s="35">
        <v>224812.61</v>
      </c>
      <c r="E301">
        <v>1246263810</v>
      </c>
      <c r="F301" s="321">
        <v>46144</v>
      </c>
      <c r="G301" s="321"/>
      <c r="H301" t="s">
        <v>28</v>
      </c>
      <c r="I301" t="s">
        <v>29</v>
      </c>
      <c r="J301">
        <v>2743</v>
      </c>
      <c r="K301" s="321">
        <v>46069</v>
      </c>
      <c r="L301">
        <v>1010200</v>
      </c>
      <c r="M301" t="s">
        <v>124</v>
      </c>
      <c r="N301">
        <v>-2</v>
      </c>
      <c r="O301" s="32">
        <v>0</v>
      </c>
      <c r="P301" s="32">
        <v>0</v>
      </c>
      <c r="Q301" s="32">
        <v>224812.61</v>
      </c>
      <c r="R301" s="32">
        <v>0</v>
      </c>
      <c r="S301" s="32">
        <v>0</v>
      </c>
      <c r="T301" s="32">
        <v>0</v>
      </c>
      <c r="U301" s="32">
        <v>0</v>
      </c>
      <c r="V301" s="32">
        <v>0</v>
      </c>
      <c r="W301" s="32">
        <v>0</v>
      </c>
      <c r="X301" s="32">
        <v>0</v>
      </c>
      <c r="Y301" s="32">
        <v>0</v>
      </c>
      <c r="Z301" s="32">
        <v>0</v>
      </c>
      <c r="AA301" s="32">
        <v>0</v>
      </c>
      <c r="AB301" s="32">
        <v>0</v>
      </c>
      <c r="AC301" s="32" t="s">
        <v>472</v>
      </c>
      <c r="AD301" s="32"/>
      <c r="AE301" s="32">
        <v>0</v>
      </c>
    </row>
    <row r="302" spans="1:31" x14ac:dyDescent="0.25">
      <c r="A302">
        <v>2680</v>
      </c>
      <c r="B302" t="s">
        <v>354</v>
      </c>
      <c r="C302" t="s">
        <v>31</v>
      </c>
      <c r="D302" s="35">
        <v>175275.24</v>
      </c>
      <c r="E302">
        <v>1246272069</v>
      </c>
      <c r="F302" s="321">
        <v>46194</v>
      </c>
      <c r="G302" s="321"/>
      <c r="H302" t="s">
        <v>28</v>
      </c>
      <c r="I302" t="s">
        <v>29</v>
      </c>
      <c r="J302">
        <v>11191</v>
      </c>
      <c r="K302" s="321">
        <v>46134</v>
      </c>
      <c r="L302">
        <v>1010200</v>
      </c>
      <c r="M302" t="s">
        <v>124</v>
      </c>
      <c r="N302">
        <v>-52</v>
      </c>
      <c r="O302" s="32">
        <v>0</v>
      </c>
      <c r="P302" s="32">
        <v>0</v>
      </c>
      <c r="Q302" s="32">
        <v>175275.24</v>
      </c>
      <c r="R302" s="32">
        <v>0</v>
      </c>
      <c r="S302" s="32">
        <v>0</v>
      </c>
      <c r="T302" s="32">
        <v>0</v>
      </c>
      <c r="U302" s="32">
        <v>0</v>
      </c>
      <c r="V302" s="32">
        <v>0</v>
      </c>
      <c r="W302" s="32">
        <v>0</v>
      </c>
      <c r="X302" s="32">
        <v>0</v>
      </c>
      <c r="Y302" s="32">
        <v>0</v>
      </c>
      <c r="Z302" s="32">
        <v>0</v>
      </c>
      <c r="AA302" s="32">
        <v>0</v>
      </c>
      <c r="AB302" s="32">
        <v>0</v>
      </c>
      <c r="AC302" s="32" t="s">
        <v>472</v>
      </c>
      <c r="AD302" s="32"/>
      <c r="AE302" s="32">
        <v>0</v>
      </c>
    </row>
    <row r="303" spans="1:31" x14ac:dyDescent="0.25">
      <c r="A303">
        <v>3142</v>
      </c>
      <c r="B303" t="s">
        <v>88</v>
      </c>
      <c r="C303" t="s">
        <v>849</v>
      </c>
      <c r="D303" s="35">
        <v>44919</v>
      </c>
      <c r="E303">
        <v>1246272504</v>
      </c>
      <c r="F303" s="321">
        <v>46164</v>
      </c>
      <c r="G303" s="321"/>
      <c r="H303" t="s">
        <v>28</v>
      </c>
      <c r="I303" t="s">
        <v>29</v>
      </c>
      <c r="J303">
        <v>11215</v>
      </c>
      <c r="K303" s="321">
        <v>46136</v>
      </c>
      <c r="L303">
        <v>1010100</v>
      </c>
      <c r="M303" t="s">
        <v>35</v>
      </c>
      <c r="N303">
        <v>-22</v>
      </c>
      <c r="O303" s="32">
        <v>0</v>
      </c>
      <c r="P303" s="32">
        <v>0</v>
      </c>
      <c r="Q303" s="32">
        <v>44919</v>
      </c>
      <c r="R303" s="32">
        <v>0</v>
      </c>
      <c r="S303" s="32">
        <v>0</v>
      </c>
      <c r="T303" s="32">
        <v>0</v>
      </c>
      <c r="U303" s="32">
        <v>0</v>
      </c>
      <c r="V303" s="32">
        <v>0</v>
      </c>
      <c r="W303" s="32">
        <v>0</v>
      </c>
      <c r="X303" s="32">
        <v>0</v>
      </c>
      <c r="Y303" s="32">
        <v>0</v>
      </c>
      <c r="Z303" s="32">
        <v>0</v>
      </c>
      <c r="AA303" s="32">
        <v>0</v>
      </c>
      <c r="AB303" s="32">
        <v>0</v>
      </c>
      <c r="AC303" s="32" t="s">
        <v>472</v>
      </c>
      <c r="AD303" s="32"/>
      <c r="AE303" s="32">
        <v>0</v>
      </c>
    </row>
    <row r="304" spans="1:31" x14ac:dyDescent="0.25">
      <c r="A304">
        <v>2900</v>
      </c>
      <c r="B304" t="s">
        <v>546</v>
      </c>
      <c r="C304" t="s">
        <v>852</v>
      </c>
      <c r="D304" s="35">
        <v>46001.19</v>
      </c>
      <c r="E304">
        <v>1246272842</v>
      </c>
      <c r="F304" s="321">
        <v>46167</v>
      </c>
      <c r="G304" s="321"/>
      <c r="H304" t="s">
        <v>28</v>
      </c>
      <c r="I304" t="s">
        <v>29</v>
      </c>
      <c r="J304">
        <v>11234</v>
      </c>
      <c r="K304" s="321">
        <v>46139</v>
      </c>
      <c r="L304">
        <v>1010100</v>
      </c>
      <c r="M304" t="s">
        <v>35</v>
      </c>
      <c r="N304">
        <v>-25</v>
      </c>
      <c r="O304" s="32">
        <v>0</v>
      </c>
      <c r="P304" s="32">
        <v>0</v>
      </c>
      <c r="Q304" s="32">
        <v>46001.19</v>
      </c>
      <c r="R304" s="32">
        <v>0</v>
      </c>
      <c r="S304" s="32">
        <v>0</v>
      </c>
      <c r="T304" s="32">
        <v>0</v>
      </c>
      <c r="U304" s="32">
        <v>0</v>
      </c>
      <c r="V304" s="32">
        <v>0</v>
      </c>
      <c r="W304" s="32">
        <v>0</v>
      </c>
      <c r="X304" s="32">
        <v>0</v>
      </c>
      <c r="Y304" s="32">
        <v>0</v>
      </c>
      <c r="Z304" s="32">
        <v>0</v>
      </c>
      <c r="AA304" s="32">
        <v>0</v>
      </c>
      <c r="AB304" s="32">
        <v>0</v>
      </c>
      <c r="AC304" s="32" t="s">
        <v>472</v>
      </c>
      <c r="AD304" s="32"/>
      <c r="AE304" s="32">
        <v>0</v>
      </c>
    </row>
    <row r="305" spans="1:31" x14ac:dyDescent="0.25">
      <c r="A305">
        <v>2900</v>
      </c>
      <c r="B305" t="s">
        <v>546</v>
      </c>
      <c r="C305" t="s">
        <v>852</v>
      </c>
      <c r="D305" s="35">
        <v>46001.18</v>
      </c>
      <c r="E305">
        <v>1246272843</v>
      </c>
      <c r="F305" s="321">
        <v>46195</v>
      </c>
      <c r="G305" s="321"/>
      <c r="H305" t="s">
        <v>28</v>
      </c>
      <c r="I305" t="s">
        <v>29</v>
      </c>
      <c r="J305">
        <v>11234</v>
      </c>
      <c r="K305" s="321">
        <v>46139</v>
      </c>
      <c r="L305">
        <v>1010100</v>
      </c>
      <c r="M305" t="s">
        <v>35</v>
      </c>
      <c r="N305">
        <v>-53</v>
      </c>
      <c r="O305" s="32">
        <v>0</v>
      </c>
      <c r="P305" s="32">
        <v>0</v>
      </c>
      <c r="Q305" s="32">
        <v>46001.18</v>
      </c>
      <c r="R305" s="32">
        <v>0</v>
      </c>
      <c r="S305" s="32">
        <v>0</v>
      </c>
      <c r="T305" s="32">
        <v>0</v>
      </c>
      <c r="U305" s="32">
        <v>0</v>
      </c>
      <c r="V305" s="32">
        <v>0</v>
      </c>
      <c r="W305" s="32">
        <v>0</v>
      </c>
      <c r="X305" s="32">
        <v>0</v>
      </c>
      <c r="Y305" s="32">
        <v>0</v>
      </c>
      <c r="Z305" s="32">
        <v>0</v>
      </c>
      <c r="AA305" s="32">
        <v>0</v>
      </c>
      <c r="AB305" s="32">
        <v>0</v>
      </c>
      <c r="AC305" s="32" t="s">
        <v>472</v>
      </c>
      <c r="AD305" s="32"/>
      <c r="AE305" s="32">
        <v>0</v>
      </c>
    </row>
    <row r="306" spans="1:31" x14ac:dyDescent="0.25">
      <c r="A306">
        <v>2900</v>
      </c>
      <c r="B306" t="s">
        <v>546</v>
      </c>
      <c r="C306" t="s">
        <v>852</v>
      </c>
      <c r="D306" s="35">
        <v>17017.16</v>
      </c>
      <c r="E306">
        <v>1246267967</v>
      </c>
      <c r="F306" s="321">
        <v>46157</v>
      </c>
      <c r="G306" s="321"/>
      <c r="H306" t="s">
        <v>28</v>
      </c>
      <c r="I306" t="s">
        <v>29</v>
      </c>
      <c r="J306">
        <v>10901</v>
      </c>
      <c r="K306" s="321">
        <v>46097</v>
      </c>
      <c r="L306">
        <v>1010100</v>
      </c>
      <c r="M306" t="s">
        <v>35</v>
      </c>
      <c r="N306">
        <v>-15</v>
      </c>
      <c r="O306" s="32">
        <v>0</v>
      </c>
      <c r="P306" s="32">
        <v>0</v>
      </c>
      <c r="Q306" s="32">
        <v>17017.16</v>
      </c>
      <c r="R306" s="32">
        <v>0</v>
      </c>
      <c r="S306" s="32">
        <v>0</v>
      </c>
      <c r="T306" s="32">
        <v>0</v>
      </c>
      <c r="U306" s="32">
        <v>0</v>
      </c>
      <c r="V306" s="32">
        <v>0</v>
      </c>
      <c r="W306" s="32">
        <v>0</v>
      </c>
      <c r="X306" s="32">
        <v>0</v>
      </c>
      <c r="Y306" s="32">
        <v>0</v>
      </c>
      <c r="Z306" s="32">
        <v>0</v>
      </c>
      <c r="AA306" s="32">
        <v>0</v>
      </c>
      <c r="AB306" s="32">
        <v>0</v>
      </c>
      <c r="AC306" s="32" t="s">
        <v>472</v>
      </c>
      <c r="AD306" s="32"/>
      <c r="AE306" s="32">
        <v>0</v>
      </c>
    </row>
    <row r="307" spans="1:31" x14ac:dyDescent="0.25">
      <c r="A307">
        <v>2900</v>
      </c>
      <c r="B307" t="s">
        <v>546</v>
      </c>
      <c r="C307" t="s">
        <v>852</v>
      </c>
      <c r="D307" s="35">
        <v>17017.16</v>
      </c>
      <c r="E307">
        <v>1246267968</v>
      </c>
      <c r="F307" s="321">
        <v>46187</v>
      </c>
      <c r="G307" s="321"/>
      <c r="H307" t="s">
        <v>28</v>
      </c>
      <c r="I307" t="s">
        <v>29</v>
      </c>
      <c r="J307">
        <v>10901</v>
      </c>
      <c r="K307" s="321">
        <v>46097</v>
      </c>
      <c r="L307">
        <v>1010100</v>
      </c>
      <c r="M307" t="s">
        <v>35</v>
      </c>
      <c r="N307">
        <v>-45</v>
      </c>
      <c r="O307" s="32">
        <v>0</v>
      </c>
      <c r="P307" s="32">
        <v>0</v>
      </c>
      <c r="Q307" s="32">
        <v>17017.16</v>
      </c>
      <c r="R307" s="32">
        <v>0</v>
      </c>
      <c r="S307" s="32">
        <v>0</v>
      </c>
      <c r="T307" s="32">
        <v>0</v>
      </c>
      <c r="U307" s="32">
        <v>0</v>
      </c>
      <c r="V307" s="32">
        <v>0</v>
      </c>
      <c r="W307" s="32">
        <v>0</v>
      </c>
      <c r="X307" s="32">
        <v>0</v>
      </c>
      <c r="Y307" s="32">
        <v>0</v>
      </c>
      <c r="Z307" s="32">
        <v>0</v>
      </c>
      <c r="AA307" s="32">
        <v>0</v>
      </c>
      <c r="AB307" s="32">
        <v>0</v>
      </c>
      <c r="AC307" s="32" t="s">
        <v>472</v>
      </c>
      <c r="AD307" s="32"/>
      <c r="AE307" s="32">
        <v>0</v>
      </c>
    </row>
    <row r="308" spans="1:31" x14ac:dyDescent="0.25">
      <c r="A308">
        <v>2900</v>
      </c>
      <c r="B308" t="s">
        <v>546</v>
      </c>
      <c r="C308" t="s">
        <v>852</v>
      </c>
      <c r="D308" s="35">
        <v>10112.23</v>
      </c>
      <c r="E308">
        <v>1246272847</v>
      </c>
      <c r="F308" s="321">
        <v>46167</v>
      </c>
      <c r="G308" s="321"/>
      <c r="H308" t="s">
        <v>28</v>
      </c>
      <c r="I308" t="s">
        <v>29</v>
      </c>
      <c r="J308">
        <v>11236</v>
      </c>
      <c r="K308" s="321">
        <v>46139</v>
      </c>
      <c r="L308">
        <v>1010100</v>
      </c>
      <c r="M308" t="s">
        <v>35</v>
      </c>
      <c r="N308">
        <v>-25</v>
      </c>
      <c r="O308" s="32">
        <v>0</v>
      </c>
      <c r="P308" s="32">
        <v>0</v>
      </c>
      <c r="Q308" s="32">
        <v>10112.23</v>
      </c>
      <c r="R308" s="32">
        <v>0</v>
      </c>
      <c r="S308" s="32">
        <v>0</v>
      </c>
      <c r="T308" s="32">
        <v>0</v>
      </c>
      <c r="U308" s="32">
        <v>0</v>
      </c>
      <c r="V308" s="32">
        <v>0</v>
      </c>
      <c r="W308" s="32">
        <v>0</v>
      </c>
      <c r="X308" s="32">
        <v>0</v>
      </c>
      <c r="Y308" s="32">
        <v>0</v>
      </c>
      <c r="Z308" s="32">
        <v>0</v>
      </c>
      <c r="AA308" s="32">
        <v>0</v>
      </c>
      <c r="AB308" s="32">
        <v>0</v>
      </c>
      <c r="AC308" s="32" t="s">
        <v>472</v>
      </c>
      <c r="AD308" s="32"/>
      <c r="AE308" s="32">
        <v>0</v>
      </c>
    </row>
    <row r="309" spans="1:31" x14ac:dyDescent="0.25">
      <c r="A309">
        <v>2900</v>
      </c>
      <c r="B309" t="s">
        <v>546</v>
      </c>
      <c r="C309" t="s">
        <v>852</v>
      </c>
      <c r="D309" s="35">
        <v>10112.23</v>
      </c>
      <c r="E309">
        <v>1246272848</v>
      </c>
      <c r="F309" s="321">
        <v>46195</v>
      </c>
      <c r="G309" s="321"/>
      <c r="H309" t="s">
        <v>28</v>
      </c>
      <c r="I309" t="s">
        <v>29</v>
      </c>
      <c r="J309">
        <v>11236</v>
      </c>
      <c r="K309" s="321">
        <v>46139</v>
      </c>
      <c r="L309">
        <v>1010100</v>
      </c>
      <c r="M309" t="s">
        <v>35</v>
      </c>
      <c r="N309">
        <v>-53</v>
      </c>
      <c r="O309" s="32">
        <v>0</v>
      </c>
      <c r="P309" s="32">
        <v>0</v>
      </c>
      <c r="Q309" s="32">
        <v>10112.23</v>
      </c>
      <c r="R309" s="32">
        <v>0</v>
      </c>
      <c r="S309" s="32">
        <v>0</v>
      </c>
      <c r="T309" s="32">
        <v>0</v>
      </c>
      <c r="U309" s="32">
        <v>0</v>
      </c>
      <c r="V309" s="32">
        <v>0</v>
      </c>
      <c r="W309" s="32">
        <v>0</v>
      </c>
      <c r="X309" s="32">
        <v>0</v>
      </c>
      <c r="Y309" s="32">
        <v>0</v>
      </c>
      <c r="Z309" s="32">
        <v>0</v>
      </c>
      <c r="AA309" s="32">
        <v>0</v>
      </c>
      <c r="AB309" s="32">
        <v>0</v>
      </c>
      <c r="AC309" s="32" t="s">
        <v>472</v>
      </c>
      <c r="AD309" s="32"/>
      <c r="AE309" s="32">
        <v>0</v>
      </c>
    </row>
    <row r="310" spans="1:31" x14ac:dyDescent="0.25">
      <c r="A310">
        <v>2900</v>
      </c>
      <c r="B310" t="s">
        <v>546</v>
      </c>
      <c r="C310" t="s">
        <v>852</v>
      </c>
      <c r="D310" s="35">
        <v>2225.04</v>
      </c>
      <c r="E310">
        <v>1246272845</v>
      </c>
      <c r="F310" s="321">
        <v>46167</v>
      </c>
      <c r="G310" s="321"/>
      <c r="H310" t="s">
        <v>28</v>
      </c>
      <c r="I310" t="s">
        <v>29</v>
      </c>
      <c r="J310">
        <v>11235</v>
      </c>
      <c r="K310" s="321">
        <v>46139</v>
      </c>
      <c r="L310">
        <v>1010100</v>
      </c>
      <c r="M310" t="s">
        <v>35</v>
      </c>
      <c r="N310">
        <v>-25</v>
      </c>
      <c r="O310" s="32">
        <v>0</v>
      </c>
      <c r="P310" s="32">
        <v>0</v>
      </c>
      <c r="Q310" s="32">
        <v>2225.04</v>
      </c>
      <c r="R310" s="32">
        <v>0</v>
      </c>
      <c r="S310" s="32">
        <v>0</v>
      </c>
      <c r="T310" s="32">
        <v>0</v>
      </c>
      <c r="U310" s="32">
        <v>0</v>
      </c>
      <c r="V310" s="32">
        <v>0</v>
      </c>
      <c r="W310" s="32">
        <v>0</v>
      </c>
      <c r="X310" s="32">
        <v>0</v>
      </c>
      <c r="Y310" s="32">
        <v>0</v>
      </c>
      <c r="Z310" s="32">
        <v>0</v>
      </c>
      <c r="AA310" s="32">
        <v>0</v>
      </c>
      <c r="AB310" s="32">
        <v>0</v>
      </c>
      <c r="AC310" s="32" t="s">
        <v>472</v>
      </c>
      <c r="AD310" s="32"/>
      <c r="AE310" s="32">
        <v>0</v>
      </c>
    </row>
    <row r="311" spans="1:31" x14ac:dyDescent="0.25">
      <c r="A311">
        <v>2900</v>
      </c>
      <c r="B311" t="s">
        <v>546</v>
      </c>
      <c r="C311" t="s">
        <v>852</v>
      </c>
      <c r="D311" s="35">
        <v>2225.04</v>
      </c>
      <c r="E311">
        <v>1246272846</v>
      </c>
      <c r="F311" s="321">
        <v>46195</v>
      </c>
      <c r="G311" s="321"/>
      <c r="H311" t="s">
        <v>28</v>
      </c>
      <c r="I311" t="s">
        <v>29</v>
      </c>
      <c r="J311">
        <v>11235</v>
      </c>
      <c r="K311" s="321">
        <v>46139</v>
      </c>
      <c r="L311">
        <v>1010100</v>
      </c>
      <c r="M311" t="s">
        <v>35</v>
      </c>
      <c r="N311">
        <v>-53</v>
      </c>
      <c r="O311" s="32">
        <v>0</v>
      </c>
      <c r="P311" s="32">
        <v>0</v>
      </c>
      <c r="Q311" s="32">
        <v>2225.04</v>
      </c>
      <c r="R311" s="32">
        <v>0</v>
      </c>
      <c r="S311" s="32">
        <v>0</v>
      </c>
      <c r="T311" s="32">
        <v>0</v>
      </c>
      <c r="U311" s="32">
        <v>0</v>
      </c>
      <c r="V311" s="32">
        <v>0</v>
      </c>
      <c r="W311" s="32">
        <v>0</v>
      </c>
      <c r="X311" s="32">
        <v>0</v>
      </c>
      <c r="Y311" s="32">
        <v>0</v>
      </c>
      <c r="Z311" s="32">
        <v>0</v>
      </c>
      <c r="AA311" s="32">
        <v>0</v>
      </c>
      <c r="AB311" s="32">
        <v>0</v>
      </c>
      <c r="AC311" s="32" t="s">
        <v>472</v>
      </c>
      <c r="AD311" s="32"/>
      <c r="AE311" s="32">
        <v>0</v>
      </c>
    </row>
    <row r="312" spans="1:31" x14ac:dyDescent="0.25">
      <c r="A312">
        <v>2900</v>
      </c>
      <c r="B312" t="s">
        <v>546</v>
      </c>
      <c r="C312" t="s">
        <v>852</v>
      </c>
      <c r="D312" s="35">
        <v>32495.81</v>
      </c>
      <c r="E312">
        <v>1246267972</v>
      </c>
      <c r="F312" s="321">
        <v>46157</v>
      </c>
      <c r="G312" s="321"/>
      <c r="H312" t="s">
        <v>28</v>
      </c>
      <c r="I312" t="s">
        <v>29</v>
      </c>
      <c r="J312">
        <v>10902</v>
      </c>
      <c r="K312" s="321">
        <v>46097</v>
      </c>
      <c r="L312">
        <v>1010100</v>
      </c>
      <c r="M312" t="s">
        <v>35</v>
      </c>
      <c r="N312">
        <v>-15</v>
      </c>
      <c r="O312" s="32">
        <v>0</v>
      </c>
      <c r="P312" s="32">
        <v>0</v>
      </c>
      <c r="Q312" s="32">
        <v>32495.81</v>
      </c>
      <c r="R312" s="32">
        <v>0</v>
      </c>
      <c r="S312" s="32">
        <v>0</v>
      </c>
      <c r="T312" s="32">
        <v>0</v>
      </c>
      <c r="U312" s="32">
        <v>0</v>
      </c>
      <c r="V312" s="32">
        <v>0</v>
      </c>
      <c r="W312" s="32">
        <v>0</v>
      </c>
      <c r="X312" s="32">
        <v>0</v>
      </c>
      <c r="Y312" s="32">
        <v>0</v>
      </c>
      <c r="Z312" s="32">
        <v>0</v>
      </c>
      <c r="AA312" s="32">
        <v>0</v>
      </c>
      <c r="AB312" s="32">
        <v>0</v>
      </c>
      <c r="AC312" s="32" t="s">
        <v>472</v>
      </c>
      <c r="AD312" s="32"/>
      <c r="AE312" s="32">
        <v>0</v>
      </c>
    </row>
    <row r="313" spans="1:31" x14ac:dyDescent="0.25">
      <c r="A313">
        <v>2900</v>
      </c>
      <c r="B313" t="s">
        <v>546</v>
      </c>
      <c r="C313" t="s">
        <v>852</v>
      </c>
      <c r="D313" s="35">
        <v>32495.82</v>
      </c>
      <c r="E313">
        <v>1246267973</v>
      </c>
      <c r="F313" s="321">
        <v>46187</v>
      </c>
      <c r="G313" s="321"/>
      <c r="H313" t="s">
        <v>28</v>
      </c>
      <c r="I313" t="s">
        <v>29</v>
      </c>
      <c r="J313">
        <v>10902</v>
      </c>
      <c r="K313" s="321">
        <v>46097</v>
      </c>
      <c r="L313">
        <v>1010100</v>
      </c>
      <c r="M313" t="s">
        <v>35</v>
      </c>
      <c r="N313">
        <v>-45</v>
      </c>
      <c r="O313" s="32">
        <v>0</v>
      </c>
      <c r="P313" s="32">
        <v>0</v>
      </c>
      <c r="Q313" s="32">
        <v>32495.82</v>
      </c>
      <c r="R313" s="32">
        <v>0</v>
      </c>
      <c r="S313" s="32">
        <v>0</v>
      </c>
      <c r="T313" s="32">
        <v>0</v>
      </c>
      <c r="U313" s="32">
        <v>0</v>
      </c>
      <c r="V313" s="32">
        <v>0</v>
      </c>
      <c r="W313" s="32">
        <v>0</v>
      </c>
      <c r="X313" s="32">
        <v>0</v>
      </c>
      <c r="Y313" s="32">
        <v>0</v>
      </c>
      <c r="Z313" s="32">
        <v>0</v>
      </c>
      <c r="AA313" s="32">
        <v>0</v>
      </c>
      <c r="AB313" s="32">
        <v>0</v>
      </c>
      <c r="AC313" s="32" t="s">
        <v>472</v>
      </c>
      <c r="AD313" s="32"/>
      <c r="AE313" s="32">
        <v>0</v>
      </c>
    </row>
    <row r="314" spans="1:31" x14ac:dyDescent="0.25">
      <c r="A314">
        <v>2925</v>
      </c>
      <c r="B314" t="s">
        <v>392</v>
      </c>
      <c r="C314" t="s">
        <v>31</v>
      </c>
      <c r="D314" s="35">
        <v>92361.18</v>
      </c>
      <c r="E314">
        <v>1246273169</v>
      </c>
      <c r="F314" s="321">
        <v>46172</v>
      </c>
      <c r="G314" s="321"/>
      <c r="H314" t="s">
        <v>28</v>
      </c>
      <c r="I314" t="s">
        <v>29</v>
      </c>
      <c r="J314">
        <v>11264</v>
      </c>
      <c r="K314" s="321">
        <v>46142</v>
      </c>
      <c r="L314">
        <v>1010200</v>
      </c>
      <c r="M314" t="s">
        <v>124</v>
      </c>
      <c r="N314">
        <v>-30</v>
      </c>
      <c r="O314" s="32">
        <v>0</v>
      </c>
      <c r="P314" s="32">
        <v>0</v>
      </c>
      <c r="Q314" s="32">
        <v>92361.18</v>
      </c>
      <c r="R314" s="32">
        <v>0</v>
      </c>
      <c r="S314" s="32">
        <v>0</v>
      </c>
      <c r="T314" s="32">
        <v>0</v>
      </c>
      <c r="U314" s="32">
        <v>0</v>
      </c>
      <c r="V314" s="32">
        <v>0</v>
      </c>
      <c r="W314" s="32">
        <v>0</v>
      </c>
      <c r="X314" s="32">
        <v>0</v>
      </c>
      <c r="Y314" s="32">
        <v>0</v>
      </c>
      <c r="Z314" s="32">
        <v>0</v>
      </c>
      <c r="AA314" s="32">
        <v>0</v>
      </c>
      <c r="AB314" s="32">
        <v>0</v>
      </c>
      <c r="AC314" s="32" t="s">
        <v>472</v>
      </c>
      <c r="AD314" s="32"/>
      <c r="AE314" s="32">
        <v>0</v>
      </c>
    </row>
    <row r="315" spans="1:31" x14ac:dyDescent="0.25">
      <c r="A315">
        <v>2622</v>
      </c>
      <c r="B315" t="s">
        <v>83</v>
      </c>
      <c r="C315" t="s">
        <v>561</v>
      </c>
      <c r="D315" s="35">
        <v>410856.52</v>
      </c>
      <c r="E315">
        <v>1246268936</v>
      </c>
      <c r="F315" s="321">
        <v>46196</v>
      </c>
      <c r="G315" s="321"/>
      <c r="H315" t="s">
        <v>28</v>
      </c>
      <c r="I315" t="s">
        <v>29</v>
      </c>
      <c r="J315">
        <v>2842</v>
      </c>
      <c r="K315" s="321">
        <v>46106</v>
      </c>
      <c r="L315">
        <v>1010100</v>
      </c>
      <c r="M315" t="s">
        <v>35</v>
      </c>
      <c r="N315">
        <v>-54</v>
      </c>
      <c r="O315" s="32">
        <v>0</v>
      </c>
      <c r="P315" s="32">
        <v>0</v>
      </c>
      <c r="Q315" s="32">
        <v>410856.52</v>
      </c>
      <c r="R315" s="32">
        <v>0</v>
      </c>
      <c r="S315" s="32">
        <v>0</v>
      </c>
      <c r="T315" s="32">
        <v>0</v>
      </c>
      <c r="U315" s="32">
        <v>0</v>
      </c>
      <c r="V315" s="32">
        <v>0</v>
      </c>
      <c r="W315" s="32">
        <v>0</v>
      </c>
      <c r="X315" s="32">
        <v>0</v>
      </c>
      <c r="Y315" s="32">
        <v>0</v>
      </c>
      <c r="Z315" s="32">
        <v>0</v>
      </c>
      <c r="AA315" s="32">
        <v>0</v>
      </c>
      <c r="AB315" s="32">
        <v>0</v>
      </c>
      <c r="AC315" s="32" t="s">
        <v>472</v>
      </c>
      <c r="AD315" s="32"/>
      <c r="AE315" s="32">
        <v>0</v>
      </c>
    </row>
    <row r="316" spans="1:31" x14ac:dyDescent="0.25">
      <c r="A316">
        <v>2975</v>
      </c>
      <c r="B316" t="s">
        <v>485</v>
      </c>
      <c r="C316" t="s">
        <v>86</v>
      </c>
      <c r="D316" s="35">
        <v>80079.3</v>
      </c>
      <c r="E316">
        <v>1246271560</v>
      </c>
      <c r="F316" s="321">
        <v>46156</v>
      </c>
      <c r="G316" s="321"/>
      <c r="H316" t="s">
        <v>28</v>
      </c>
      <c r="I316" t="s">
        <v>29</v>
      </c>
      <c r="J316">
        <v>11138</v>
      </c>
      <c r="K316" s="321">
        <v>46128</v>
      </c>
      <c r="L316">
        <v>1010100</v>
      </c>
      <c r="M316" t="s">
        <v>35</v>
      </c>
      <c r="N316">
        <v>-14</v>
      </c>
      <c r="O316" s="32">
        <v>0</v>
      </c>
      <c r="P316" s="32">
        <v>0</v>
      </c>
      <c r="Q316" s="32">
        <v>80079.3</v>
      </c>
      <c r="R316" s="32">
        <v>0</v>
      </c>
      <c r="S316" s="32">
        <v>0</v>
      </c>
      <c r="T316" s="32">
        <v>0</v>
      </c>
      <c r="U316" s="32">
        <v>0</v>
      </c>
      <c r="V316" s="32">
        <v>0</v>
      </c>
      <c r="W316" s="32">
        <v>0</v>
      </c>
      <c r="X316" s="32">
        <v>0</v>
      </c>
      <c r="Y316" s="32">
        <v>0</v>
      </c>
      <c r="Z316" s="32">
        <v>0</v>
      </c>
      <c r="AA316" s="32">
        <v>0</v>
      </c>
      <c r="AB316" s="32">
        <v>0</v>
      </c>
      <c r="AC316" s="32" t="s">
        <v>472</v>
      </c>
      <c r="AD316" s="32"/>
      <c r="AE316" s="32">
        <v>0</v>
      </c>
    </row>
    <row r="317" spans="1:31" x14ac:dyDescent="0.25">
      <c r="A317">
        <v>2346</v>
      </c>
      <c r="B317" t="s">
        <v>531</v>
      </c>
      <c r="C317" t="s">
        <v>792</v>
      </c>
      <c r="D317" s="35">
        <v>103419.88999999998</v>
      </c>
      <c r="E317">
        <v>1246265843</v>
      </c>
      <c r="F317" s="321">
        <v>46170</v>
      </c>
      <c r="G317" s="321"/>
      <c r="H317" t="s">
        <v>28</v>
      </c>
      <c r="I317" t="s">
        <v>29</v>
      </c>
      <c r="J317">
        <v>2789</v>
      </c>
      <c r="K317" s="321">
        <v>46080</v>
      </c>
      <c r="L317">
        <v>1010200</v>
      </c>
      <c r="M317" t="s">
        <v>124</v>
      </c>
      <c r="N317">
        <v>-28</v>
      </c>
      <c r="O317" s="32">
        <v>0</v>
      </c>
      <c r="P317" s="32">
        <v>0</v>
      </c>
      <c r="Q317" s="32">
        <v>103419.88999999998</v>
      </c>
      <c r="R317" s="32">
        <v>0</v>
      </c>
      <c r="S317" s="32">
        <v>0</v>
      </c>
      <c r="T317" s="32">
        <v>0</v>
      </c>
      <c r="U317" s="32">
        <v>0</v>
      </c>
      <c r="V317" s="32">
        <v>0</v>
      </c>
      <c r="W317" s="32">
        <v>0</v>
      </c>
      <c r="X317" s="32">
        <v>0</v>
      </c>
      <c r="Y317" s="32">
        <v>0</v>
      </c>
      <c r="Z317" s="32">
        <v>0</v>
      </c>
      <c r="AA317" s="32">
        <v>0</v>
      </c>
      <c r="AB317" s="32">
        <v>0</v>
      </c>
      <c r="AC317" s="32" t="s">
        <v>472</v>
      </c>
      <c r="AD317" s="32"/>
      <c r="AE317" s="32">
        <v>0</v>
      </c>
    </row>
    <row r="318" spans="1:31" x14ac:dyDescent="0.25">
      <c r="A318">
        <v>2651</v>
      </c>
      <c r="B318" t="s">
        <v>127</v>
      </c>
      <c r="C318" t="s">
        <v>31</v>
      </c>
      <c r="D318" s="35">
        <v>252226.12</v>
      </c>
      <c r="E318">
        <v>1246223341</v>
      </c>
      <c r="F318" s="321">
        <v>45935</v>
      </c>
      <c r="G318" s="321"/>
      <c r="H318" t="s">
        <v>28</v>
      </c>
      <c r="I318" t="s">
        <v>29</v>
      </c>
      <c r="J318">
        <v>8388</v>
      </c>
      <c r="K318" s="321">
        <v>45845</v>
      </c>
      <c r="L318">
        <v>1010200</v>
      </c>
      <c r="M318" t="s">
        <v>124</v>
      </c>
      <c r="N318">
        <v>207</v>
      </c>
      <c r="O318" s="32">
        <v>0</v>
      </c>
      <c r="P318" s="32">
        <v>7566.7835999999998</v>
      </c>
      <c r="Q318" s="32">
        <v>0</v>
      </c>
      <c r="R318" s="32">
        <v>0</v>
      </c>
      <c r="S318" s="32">
        <v>0</v>
      </c>
      <c r="T318" s="32">
        <v>252226.12</v>
      </c>
      <c r="U318" s="32">
        <v>0</v>
      </c>
      <c r="V318" s="32">
        <v>0</v>
      </c>
      <c r="W318" s="32">
        <v>7566.7835999999998</v>
      </c>
      <c r="X318" s="32">
        <v>0</v>
      </c>
      <c r="Y318" s="32">
        <v>0</v>
      </c>
      <c r="Z318" s="32">
        <v>0</v>
      </c>
      <c r="AA318" s="32">
        <v>0</v>
      </c>
      <c r="AB318" s="32">
        <v>7566.7835999999998</v>
      </c>
      <c r="AC318" s="32" t="s">
        <v>472</v>
      </c>
      <c r="AD318" s="32"/>
      <c r="AE318" s="32">
        <v>0</v>
      </c>
    </row>
    <row r="319" spans="1:31" x14ac:dyDescent="0.25">
      <c r="A319">
        <v>2651</v>
      </c>
      <c r="B319" t="s">
        <v>127</v>
      </c>
      <c r="C319" t="s">
        <v>31</v>
      </c>
      <c r="D319" s="35">
        <v>197281.56999999998</v>
      </c>
      <c r="E319">
        <v>1246213269</v>
      </c>
      <c r="F319" s="321">
        <v>45849</v>
      </c>
      <c r="G319" s="321"/>
      <c r="H319" t="s">
        <v>28</v>
      </c>
      <c r="I319" t="s">
        <v>29</v>
      </c>
      <c r="J319">
        <v>1965</v>
      </c>
      <c r="K319" s="321">
        <v>45789</v>
      </c>
      <c r="L319">
        <v>1010200</v>
      </c>
      <c r="M319" t="s">
        <v>124</v>
      </c>
      <c r="N319">
        <v>293</v>
      </c>
      <c r="O319" s="32">
        <v>0</v>
      </c>
      <c r="P319" s="32">
        <v>5918.4470999999994</v>
      </c>
      <c r="Q319" s="32">
        <v>0</v>
      </c>
      <c r="R319" s="32">
        <v>0</v>
      </c>
      <c r="S319" s="32">
        <v>0</v>
      </c>
      <c r="T319" s="32">
        <v>197281.56999999998</v>
      </c>
      <c r="U319" s="32">
        <v>0</v>
      </c>
      <c r="V319" s="32">
        <v>0</v>
      </c>
      <c r="W319" s="32">
        <v>5918.4470999999994</v>
      </c>
      <c r="X319" s="32">
        <v>0</v>
      </c>
      <c r="Y319" s="32">
        <v>0</v>
      </c>
      <c r="Z319" s="32">
        <v>0</v>
      </c>
      <c r="AA319" s="32">
        <v>0</v>
      </c>
      <c r="AB319" s="32">
        <v>5918.4470999999994</v>
      </c>
      <c r="AC319" s="32" t="s">
        <v>472</v>
      </c>
      <c r="AD319" s="32"/>
      <c r="AE319" s="32">
        <v>0</v>
      </c>
    </row>
    <row r="320" spans="1:31" x14ac:dyDescent="0.25">
      <c r="A320">
        <v>2652</v>
      </c>
      <c r="B320" t="s">
        <v>128</v>
      </c>
      <c r="C320" t="s">
        <v>31</v>
      </c>
      <c r="D320" s="35">
        <v>157149.47</v>
      </c>
      <c r="E320">
        <v>1246271559</v>
      </c>
      <c r="F320" s="321">
        <v>46158</v>
      </c>
      <c r="G320" s="321"/>
      <c r="H320" t="s">
        <v>28</v>
      </c>
      <c r="I320" t="s">
        <v>29</v>
      </c>
      <c r="J320">
        <v>11137</v>
      </c>
      <c r="K320" s="321">
        <v>46128</v>
      </c>
      <c r="L320">
        <v>1010200</v>
      </c>
      <c r="M320" t="s">
        <v>124</v>
      </c>
      <c r="N320">
        <v>-16</v>
      </c>
      <c r="O320" s="32">
        <v>0</v>
      </c>
      <c r="P320" s="32">
        <v>0</v>
      </c>
      <c r="Q320" s="32">
        <v>157149.47</v>
      </c>
      <c r="R320" s="32">
        <v>0</v>
      </c>
      <c r="S320" s="32">
        <v>0</v>
      </c>
      <c r="T320" s="32">
        <v>0</v>
      </c>
      <c r="U320" s="32">
        <v>0</v>
      </c>
      <c r="V320" s="32">
        <v>0</v>
      </c>
      <c r="W320" s="32">
        <v>0</v>
      </c>
      <c r="X320" s="32">
        <v>0</v>
      </c>
      <c r="Y320" s="32">
        <v>0</v>
      </c>
      <c r="Z320" s="32">
        <v>0</v>
      </c>
      <c r="AA320" s="32">
        <v>0</v>
      </c>
      <c r="AB320" s="32">
        <v>0</v>
      </c>
      <c r="AC320" s="32" t="s">
        <v>472</v>
      </c>
      <c r="AD320" s="32"/>
      <c r="AE320" s="32">
        <v>0</v>
      </c>
    </row>
    <row r="321" spans="1:31" x14ac:dyDescent="0.25">
      <c r="A321">
        <v>2287</v>
      </c>
      <c r="B321" t="s">
        <v>125</v>
      </c>
      <c r="C321" t="s">
        <v>126</v>
      </c>
      <c r="D321" s="35">
        <v>150064.82999999999</v>
      </c>
      <c r="E321">
        <v>1246273103</v>
      </c>
      <c r="F321" s="321">
        <v>46171</v>
      </c>
      <c r="G321" s="321"/>
      <c r="H321" t="s">
        <v>28</v>
      </c>
      <c r="I321" t="s">
        <v>29</v>
      </c>
      <c r="J321">
        <v>11261</v>
      </c>
      <c r="K321" s="321">
        <v>46141</v>
      </c>
      <c r="L321">
        <v>1010200</v>
      </c>
      <c r="M321" t="s">
        <v>124</v>
      </c>
      <c r="N321">
        <v>-29</v>
      </c>
      <c r="O321" s="32">
        <v>0</v>
      </c>
      <c r="P321" s="32">
        <v>0</v>
      </c>
      <c r="Q321" s="32">
        <v>150064.82999999999</v>
      </c>
      <c r="R321" s="32">
        <v>0</v>
      </c>
      <c r="S321" s="32">
        <v>0</v>
      </c>
      <c r="T321" s="32">
        <v>0</v>
      </c>
      <c r="U321" s="32">
        <v>0</v>
      </c>
      <c r="V321" s="32">
        <v>0</v>
      </c>
      <c r="W321" s="32">
        <v>0</v>
      </c>
      <c r="X321" s="32">
        <v>0</v>
      </c>
      <c r="Y321" s="32">
        <v>0</v>
      </c>
      <c r="Z321" s="32">
        <v>0</v>
      </c>
      <c r="AA321" s="32">
        <v>0</v>
      </c>
      <c r="AB321" s="32">
        <v>0</v>
      </c>
      <c r="AC321" s="32" t="s">
        <v>472</v>
      </c>
      <c r="AD321" s="32"/>
      <c r="AE321" s="32">
        <v>0</v>
      </c>
    </row>
    <row r="322" spans="1:31" x14ac:dyDescent="0.25">
      <c r="A322">
        <v>2655</v>
      </c>
      <c r="B322" t="s">
        <v>359</v>
      </c>
      <c r="C322" t="s">
        <v>31</v>
      </c>
      <c r="D322" s="35">
        <v>40017.64</v>
      </c>
      <c r="E322">
        <v>1246268741</v>
      </c>
      <c r="F322" s="321">
        <v>46165</v>
      </c>
      <c r="G322" s="321"/>
      <c r="H322" t="s">
        <v>28</v>
      </c>
      <c r="I322" t="s">
        <v>29</v>
      </c>
      <c r="J322">
        <v>10964</v>
      </c>
      <c r="K322" s="321">
        <v>46105</v>
      </c>
      <c r="L322">
        <v>1010200</v>
      </c>
      <c r="M322" t="s">
        <v>124</v>
      </c>
      <c r="N322">
        <v>-23</v>
      </c>
      <c r="O322" s="32">
        <v>0</v>
      </c>
      <c r="P322" s="32">
        <v>0</v>
      </c>
      <c r="Q322" s="32">
        <v>40017.64</v>
      </c>
      <c r="R322" s="32">
        <v>0</v>
      </c>
      <c r="S322" s="32">
        <v>0</v>
      </c>
      <c r="T322" s="32">
        <v>0</v>
      </c>
      <c r="U322" s="32">
        <v>0</v>
      </c>
      <c r="V322" s="32">
        <v>0</v>
      </c>
      <c r="W322" s="32">
        <v>0</v>
      </c>
      <c r="X322" s="32">
        <v>0</v>
      </c>
      <c r="Y322" s="32">
        <v>0</v>
      </c>
      <c r="Z322" s="32">
        <v>0</v>
      </c>
      <c r="AA322" s="32">
        <v>0</v>
      </c>
      <c r="AB322" s="32">
        <v>0</v>
      </c>
      <c r="AC322" s="32" t="s">
        <v>472</v>
      </c>
      <c r="AD322" s="32"/>
      <c r="AE322" s="32">
        <v>0</v>
      </c>
    </row>
    <row r="323" spans="1:31" x14ac:dyDescent="0.25">
      <c r="A323">
        <v>2656</v>
      </c>
      <c r="B323" t="s">
        <v>129</v>
      </c>
      <c r="C323" t="s">
        <v>31</v>
      </c>
      <c r="D323" s="35">
        <v>131960.06</v>
      </c>
      <c r="E323">
        <v>1246271948</v>
      </c>
      <c r="F323" s="321">
        <v>46162</v>
      </c>
      <c r="G323" s="321"/>
      <c r="H323" t="s">
        <v>28</v>
      </c>
      <c r="I323" t="s">
        <v>29</v>
      </c>
      <c r="J323">
        <v>11185</v>
      </c>
      <c r="K323" s="321">
        <v>46132</v>
      </c>
      <c r="L323">
        <v>1010200</v>
      </c>
      <c r="M323" t="s">
        <v>124</v>
      </c>
      <c r="N323">
        <v>-20</v>
      </c>
      <c r="O323" s="32">
        <v>0</v>
      </c>
      <c r="P323" s="32">
        <v>0</v>
      </c>
      <c r="Q323" s="32">
        <v>131960.06</v>
      </c>
      <c r="R323" s="32">
        <v>0</v>
      </c>
      <c r="S323" s="32">
        <v>0</v>
      </c>
      <c r="T323" s="32">
        <v>0</v>
      </c>
      <c r="U323" s="32">
        <v>0</v>
      </c>
      <c r="V323" s="32">
        <v>0</v>
      </c>
      <c r="W323" s="32">
        <v>0</v>
      </c>
      <c r="X323" s="32">
        <v>0</v>
      </c>
      <c r="Y323" s="32">
        <v>0</v>
      </c>
      <c r="Z323" s="32">
        <v>0</v>
      </c>
      <c r="AA323" s="32">
        <v>0</v>
      </c>
      <c r="AB323" s="32">
        <v>0</v>
      </c>
      <c r="AC323" s="32" t="s">
        <v>472</v>
      </c>
      <c r="AD323" s="32"/>
      <c r="AE323" s="32">
        <v>0</v>
      </c>
    </row>
    <row r="324" spans="1:31" x14ac:dyDescent="0.25">
      <c r="A324">
        <v>6132</v>
      </c>
      <c r="B324" t="s">
        <v>176</v>
      </c>
      <c r="C324" t="s">
        <v>177</v>
      </c>
      <c r="D324" s="35">
        <v>131993.79999999999</v>
      </c>
      <c r="E324">
        <v>1246090615</v>
      </c>
      <c r="F324" s="321">
        <v>45471</v>
      </c>
      <c r="G324" s="321"/>
      <c r="H324" t="s">
        <v>172</v>
      </c>
      <c r="I324" t="s">
        <v>173</v>
      </c>
      <c r="J324">
        <v>33</v>
      </c>
      <c r="K324" s="321">
        <v>45111</v>
      </c>
      <c r="L324">
        <v>1010100</v>
      </c>
      <c r="M324" t="s">
        <v>35</v>
      </c>
      <c r="N324">
        <v>671</v>
      </c>
      <c r="O324" s="32">
        <v>0</v>
      </c>
      <c r="P324" s="32">
        <v>0</v>
      </c>
      <c r="Q324" s="32">
        <v>0</v>
      </c>
      <c r="R324" s="32">
        <v>0</v>
      </c>
      <c r="S324" s="32">
        <v>0</v>
      </c>
      <c r="T324" s="32">
        <v>0</v>
      </c>
      <c r="U324" s="32">
        <v>131993.79999999999</v>
      </c>
      <c r="V324" s="32">
        <v>0</v>
      </c>
      <c r="W324" s="32">
        <v>3959.8139999999994</v>
      </c>
      <c r="X324" s="32">
        <v>128033.98599999999</v>
      </c>
      <c r="Y324" s="32">
        <v>128033.98599999999</v>
      </c>
      <c r="Z324" s="32">
        <v>131993.79999999999</v>
      </c>
      <c r="AA324" s="32">
        <v>-131993.79999999999</v>
      </c>
      <c r="AB324" s="32">
        <v>0</v>
      </c>
      <c r="AC324" s="32" t="s">
        <v>538</v>
      </c>
      <c r="AD324" s="32"/>
      <c r="AE324" s="32">
        <v>0</v>
      </c>
    </row>
    <row r="325" spans="1:31" x14ac:dyDescent="0.25">
      <c r="A325">
        <v>6132</v>
      </c>
      <c r="B325" t="s">
        <v>176</v>
      </c>
      <c r="C325" t="s">
        <v>177</v>
      </c>
      <c r="D325" s="35">
        <v>178370</v>
      </c>
      <c r="E325">
        <v>1246091907</v>
      </c>
      <c r="F325" s="321">
        <v>45437</v>
      </c>
      <c r="G325" s="321"/>
      <c r="H325" t="s">
        <v>172</v>
      </c>
      <c r="I325" t="s">
        <v>173</v>
      </c>
      <c r="J325">
        <v>129</v>
      </c>
      <c r="K325" s="321">
        <v>45119</v>
      </c>
      <c r="L325">
        <v>1010100</v>
      </c>
      <c r="M325" t="s">
        <v>35</v>
      </c>
      <c r="N325">
        <v>705</v>
      </c>
      <c r="O325" s="32">
        <v>0</v>
      </c>
      <c r="P325" s="32">
        <v>0</v>
      </c>
      <c r="Q325" s="32">
        <v>0</v>
      </c>
      <c r="R325" s="32">
        <v>0</v>
      </c>
      <c r="S325" s="32">
        <v>0</v>
      </c>
      <c r="T325" s="32">
        <v>0</v>
      </c>
      <c r="U325" s="32">
        <v>178370</v>
      </c>
      <c r="V325" s="32">
        <v>0</v>
      </c>
      <c r="W325" s="32">
        <v>5351.0999999999995</v>
      </c>
      <c r="X325" s="32">
        <v>173018.9</v>
      </c>
      <c r="Y325" s="32">
        <v>173018.9</v>
      </c>
      <c r="Z325" s="32">
        <v>178370</v>
      </c>
      <c r="AA325" s="32">
        <v>-178370</v>
      </c>
      <c r="AB325" s="32">
        <v>0</v>
      </c>
      <c r="AC325" s="32" t="s">
        <v>538</v>
      </c>
      <c r="AD325" s="32"/>
      <c r="AE325" s="32">
        <v>0</v>
      </c>
    </row>
    <row r="326" spans="1:31" x14ac:dyDescent="0.25">
      <c r="A326">
        <v>6132</v>
      </c>
      <c r="B326" t="s">
        <v>176</v>
      </c>
      <c r="C326" t="s">
        <v>177</v>
      </c>
      <c r="D326" s="35">
        <v>178370</v>
      </c>
      <c r="E326">
        <v>1246090579</v>
      </c>
      <c r="F326" s="321">
        <v>45470</v>
      </c>
      <c r="G326" s="321"/>
      <c r="H326" t="s">
        <v>172</v>
      </c>
      <c r="I326" t="s">
        <v>173</v>
      </c>
      <c r="J326">
        <v>28</v>
      </c>
      <c r="K326" s="321">
        <v>45110</v>
      </c>
      <c r="L326">
        <v>1010100</v>
      </c>
      <c r="M326" t="s">
        <v>35</v>
      </c>
      <c r="N326">
        <v>672</v>
      </c>
      <c r="O326" s="32">
        <v>0</v>
      </c>
      <c r="P326" s="32">
        <v>0</v>
      </c>
      <c r="Q326" s="32">
        <v>0</v>
      </c>
      <c r="R326" s="32">
        <v>0</v>
      </c>
      <c r="S326" s="32">
        <v>0</v>
      </c>
      <c r="T326" s="32">
        <v>0</v>
      </c>
      <c r="U326" s="32">
        <v>178370</v>
      </c>
      <c r="V326" s="32">
        <v>0</v>
      </c>
      <c r="W326" s="32">
        <v>5351.0999999999995</v>
      </c>
      <c r="X326" s="32">
        <v>173018.9</v>
      </c>
      <c r="Y326" s="32">
        <v>173018.9</v>
      </c>
      <c r="Z326" s="32">
        <v>178370</v>
      </c>
      <c r="AA326" s="32">
        <v>-178370</v>
      </c>
      <c r="AB326" s="32">
        <v>0</v>
      </c>
      <c r="AC326" s="32" t="s">
        <v>538</v>
      </c>
      <c r="AD326" s="32"/>
      <c r="AE326" s="32">
        <v>0</v>
      </c>
    </row>
    <row r="327" spans="1:31" x14ac:dyDescent="0.25">
      <c r="A327">
        <v>6132</v>
      </c>
      <c r="B327" t="s">
        <v>176</v>
      </c>
      <c r="C327" t="s">
        <v>177</v>
      </c>
      <c r="D327" s="35">
        <v>142696</v>
      </c>
      <c r="E327">
        <v>1246091833</v>
      </c>
      <c r="F327" s="321">
        <v>45436</v>
      </c>
      <c r="G327" s="321"/>
      <c r="H327" t="s">
        <v>172</v>
      </c>
      <c r="I327" t="s">
        <v>173</v>
      </c>
      <c r="J327">
        <v>116</v>
      </c>
      <c r="K327" s="321">
        <v>45118</v>
      </c>
      <c r="L327">
        <v>1010100</v>
      </c>
      <c r="M327" t="s">
        <v>35</v>
      </c>
      <c r="N327">
        <v>706</v>
      </c>
      <c r="O327" s="32">
        <v>0</v>
      </c>
      <c r="P327" s="32">
        <v>0</v>
      </c>
      <c r="Q327" s="32">
        <v>0</v>
      </c>
      <c r="R327" s="32">
        <v>0</v>
      </c>
      <c r="S327" s="32">
        <v>0</v>
      </c>
      <c r="T327" s="32">
        <v>0</v>
      </c>
      <c r="U327" s="32">
        <v>142696</v>
      </c>
      <c r="V327" s="32">
        <v>0</v>
      </c>
      <c r="W327" s="32">
        <v>4280.88</v>
      </c>
      <c r="X327" s="32">
        <v>138415.12</v>
      </c>
      <c r="Y327" s="32">
        <v>138415.12</v>
      </c>
      <c r="Z327" s="32">
        <v>142696</v>
      </c>
      <c r="AA327" s="32">
        <v>-142696</v>
      </c>
      <c r="AB327" s="32">
        <v>0</v>
      </c>
      <c r="AC327" s="32" t="s">
        <v>538</v>
      </c>
      <c r="AD327" s="32"/>
      <c r="AE327" s="32">
        <v>0</v>
      </c>
    </row>
    <row r="328" spans="1:31" x14ac:dyDescent="0.25">
      <c r="A328">
        <v>6132</v>
      </c>
      <c r="B328" t="s">
        <v>176</v>
      </c>
      <c r="C328" t="s">
        <v>177</v>
      </c>
      <c r="D328" s="35">
        <v>60766.2</v>
      </c>
      <c r="E328">
        <v>1246095119</v>
      </c>
      <c r="F328" s="321">
        <v>45447</v>
      </c>
      <c r="G328" s="321"/>
      <c r="H328" t="s">
        <v>172</v>
      </c>
      <c r="I328" t="s">
        <v>173</v>
      </c>
      <c r="J328">
        <v>93</v>
      </c>
      <c r="K328" s="321">
        <v>45138</v>
      </c>
      <c r="L328">
        <v>1010100</v>
      </c>
      <c r="M328" t="s">
        <v>35</v>
      </c>
      <c r="N328">
        <v>695</v>
      </c>
      <c r="O328" s="32">
        <v>0</v>
      </c>
      <c r="P328" s="32">
        <v>0</v>
      </c>
      <c r="Q328" s="32">
        <v>0</v>
      </c>
      <c r="R328" s="32">
        <v>0</v>
      </c>
      <c r="S328" s="32">
        <v>0</v>
      </c>
      <c r="T328" s="32">
        <v>0</v>
      </c>
      <c r="U328" s="32">
        <v>60766.2</v>
      </c>
      <c r="V328" s="32">
        <v>0</v>
      </c>
      <c r="W328" s="32">
        <v>1822.9859999999999</v>
      </c>
      <c r="X328" s="32">
        <v>58943.213999999993</v>
      </c>
      <c r="Y328" s="32">
        <v>58943.213999999993</v>
      </c>
      <c r="Z328" s="32">
        <v>60766.2</v>
      </c>
      <c r="AA328" s="32">
        <v>-60766.2</v>
      </c>
      <c r="AB328" s="32">
        <v>0</v>
      </c>
      <c r="AC328" s="32" t="s">
        <v>538</v>
      </c>
      <c r="AD328" s="32"/>
      <c r="AE328" s="32">
        <v>0</v>
      </c>
    </row>
    <row r="329" spans="1:31" x14ac:dyDescent="0.25">
      <c r="A329">
        <v>6132</v>
      </c>
      <c r="B329" t="s">
        <v>176</v>
      </c>
      <c r="C329" t="s">
        <v>177</v>
      </c>
      <c r="D329" s="35">
        <v>178260</v>
      </c>
      <c r="E329">
        <v>1246091832</v>
      </c>
      <c r="F329" s="321">
        <v>45436</v>
      </c>
      <c r="G329" s="321"/>
      <c r="H329" t="s">
        <v>172</v>
      </c>
      <c r="I329" t="s">
        <v>173</v>
      </c>
      <c r="J329">
        <v>115</v>
      </c>
      <c r="K329" s="321">
        <v>45118</v>
      </c>
      <c r="L329">
        <v>1010100</v>
      </c>
      <c r="M329" t="s">
        <v>35</v>
      </c>
      <c r="N329">
        <v>706</v>
      </c>
      <c r="O329" s="32">
        <v>0</v>
      </c>
      <c r="P329" s="32">
        <v>0</v>
      </c>
      <c r="Q329" s="32">
        <v>0</v>
      </c>
      <c r="R329" s="32">
        <v>0</v>
      </c>
      <c r="S329" s="32">
        <v>0</v>
      </c>
      <c r="T329" s="32">
        <v>0</v>
      </c>
      <c r="U329" s="32">
        <v>178260</v>
      </c>
      <c r="V329" s="32">
        <v>0</v>
      </c>
      <c r="W329" s="32">
        <v>5347.8</v>
      </c>
      <c r="X329" s="32">
        <v>172912.19999999998</v>
      </c>
      <c r="Y329" s="32">
        <v>172912.19999999998</v>
      </c>
      <c r="Z329" s="32">
        <v>178260</v>
      </c>
      <c r="AA329" s="32">
        <v>-178260</v>
      </c>
      <c r="AB329" s="32">
        <v>0</v>
      </c>
      <c r="AC329" s="32" t="s">
        <v>538</v>
      </c>
      <c r="AD329" s="32"/>
      <c r="AE329" s="32">
        <v>0</v>
      </c>
    </row>
    <row r="330" spans="1:31" x14ac:dyDescent="0.25">
      <c r="A330">
        <v>6132</v>
      </c>
      <c r="B330" t="s">
        <v>176</v>
      </c>
      <c r="C330" t="s">
        <v>177</v>
      </c>
      <c r="D330" s="35">
        <v>151915.50000000003</v>
      </c>
      <c r="E330">
        <v>1246095049</v>
      </c>
      <c r="F330" s="321">
        <v>45447</v>
      </c>
      <c r="G330" s="321"/>
      <c r="H330" t="s">
        <v>172</v>
      </c>
      <c r="I330" t="s">
        <v>173</v>
      </c>
      <c r="J330">
        <v>92</v>
      </c>
      <c r="K330" s="321">
        <v>45138</v>
      </c>
      <c r="L330">
        <v>1010100</v>
      </c>
      <c r="M330" t="s">
        <v>35</v>
      </c>
      <c r="N330">
        <v>695</v>
      </c>
      <c r="O330" s="32">
        <v>0</v>
      </c>
      <c r="P330" s="32">
        <v>0</v>
      </c>
      <c r="Q330" s="32">
        <v>0</v>
      </c>
      <c r="R330" s="32">
        <v>0</v>
      </c>
      <c r="S330" s="32">
        <v>0</v>
      </c>
      <c r="T330" s="32">
        <v>0</v>
      </c>
      <c r="U330" s="32">
        <v>151915.50000000003</v>
      </c>
      <c r="V330" s="32">
        <v>0</v>
      </c>
      <c r="W330" s="32">
        <v>4557.4650000000011</v>
      </c>
      <c r="X330" s="32">
        <v>147358.03500000003</v>
      </c>
      <c r="Y330" s="32">
        <v>147358.03500000003</v>
      </c>
      <c r="Z330" s="32">
        <v>151915.50000000003</v>
      </c>
      <c r="AA330" s="32">
        <v>-151915.50000000003</v>
      </c>
      <c r="AB330" s="32">
        <v>0</v>
      </c>
      <c r="AC330" s="32" t="s">
        <v>538</v>
      </c>
      <c r="AD330" s="32"/>
      <c r="AE330" s="32">
        <v>0</v>
      </c>
    </row>
    <row r="331" spans="1:31" x14ac:dyDescent="0.25">
      <c r="A331">
        <v>6132</v>
      </c>
      <c r="B331" t="s">
        <v>176</v>
      </c>
      <c r="C331" t="s">
        <v>177</v>
      </c>
      <c r="D331" s="35">
        <v>91149.3</v>
      </c>
      <c r="E331">
        <v>1246095124</v>
      </c>
      <c r="F331" s="321">
        <v>45447</v>
      </c>
      <c r="G331" s="321"/>
      <c r="H331" t="s">
        <v>172</v>
      </c>
      <c r="I331" t="s">
        <v>173</v>
      </c>
      <c r="J331">
        <v>94</v>
      </c>
      <c r="K331" s="321">
        <v>45138</v>
      </c>
      <c r="L331">
        <v>1010100</v>
      </c>
      <c r="M331" t="s">
        <v>35</v>
      </c>
      <c r="N331">
        <v>695</v>
      </c>
      <c r="O331" s="32">
        <v>0</v>
      </c>
      <c r="P331" s="32">
        <v>0</v>
      </c>
      <c r="Q331" s="32">
        <v>0</v>
      </c>
      <c r="R331" s="32">
        <v>0</v>
      </c>
      <c r="S331" s="32">
        <v>0</v>
      </c>
      <c r="T331" s="32">
        <v>0</v>
      </c>
      <c r="U331" s="32">
        <v>91149.3</v>
      </c>
      <c r="V331" s="32">
        <v>0</v>
      </c>
      <c r="W331" s="32">
        <v>2734.4789999999998</v>
      </c>
      <c r="X331" s="32">
        <v>88414.820999999996</v>
      </c>
      <c r="Y331" s="32">
        <v>88414.820999999996</v>
      </c>
      <c r="Z331" s="32">
        <v>91149.3</v>
      </c>
      <c r="AA331" s="32">
        <v>-91149.3</v>
      </c>
      <c r="AB331" s="32">
        <v>0</v>
      </c>
      <c r="AC331" s="32" t="s">
        <v>538</v>
      </c>
      <c r="AD331" s="32"/>
      <c r="AE331" s="32">
        <v>0</v>
      </c>
    </row>
    <row r="332" spans="1:31" x14ac:dyDescent="0.25">
      <c r="A332">
        <v>6132</v>
      </c>
      <c r="B332" t="s">
        <v>176</v>
      </c>
      <c r="C332" t="s">
        <v>177</v>
      </c>
      <c r="D332" s="35">
        <v>85223.34</v>
      </c>
      <c r="E332">
        <v>1246097799</v>
      </c>
      <c r="F332" s="321">
        <v>45442</v>
      </c>
      <c r="G332" s="321"/>
      <c r="H332" t="s">
        <v>172</v>
      </c>
      <c r="I332" t="s">
        <v>173</v>
      </c>
      <c r="J332">
        <v>678</v>
      </c>
      <c r="K332" s="321">
        <v>45152</v>
      </c>
      <c r="L332">
        <v>1010100</v>
      </c>
      <c r="M332" t="s">
        <v>35</v>
      </c>
      <c r="N332">
        <v>700</v>
      </c>
      <c r="O332" s="32">
        <v>0</v>
      </c>
      <c r="P332" s="32">
        <v>0</v>
      </c>
      <c r="Q332" s="32">
        <v>0</v>
      </c>
      <c r="R332" s="32">
        <v>0</v>
      </c>
      <c r="S332" s="32">
        <v>0</v>
      </c>
      <c r="T332" s="32">
        <v>0</v>
      </c>
      <c r="U332" s="32">
        <v>85223.34</v>
      </c>
      <c r="V332" s="32">
        <v>0</v>
      </c>
      <c r="W332" s="32">
        <v>2556.7001999999998</v>
      </c>
      <c r="X332" s="32">
        <v>82666.63979999999</v>
      </c>
      <c r="Y332" s="32">
        <v>82666.63979999999</v>
      </c>
      <c r="Z332" s="32">
        <v>85223.34</v>
      </c>
      <c r="AA332" s="32">
        <v>-85223.34</v>
      </c>
      <c r="AB332" s="32">
        <v>0</v>
      </c>
      <c r="AC332" s="32" t="s">
        <v>538</v>
      </c>
      <c r="AD332" s="32"/>
      <c r="AE332" s="32">
        <v>0</v>
      </c>
    </row>
    <row r="333" spans="1:31" x14ac:dyDescent="0.25">
      <c r="A333">
        <v>6132</v>
      </c>
      <c r="B333" t="s">
        <v>176</v>
      </c>
      <c r="C333" t="s">
        <v>177</v>
      </c>
      <c r="D333" s="35">
        <v>84323.41</v>
      </c>
      <c r="E333">
        <v>1246121990</v>
      </c>
      <c r="F333" s="321">
        <v>45557</v>
      </c>
      <c r="G333" s="321"/>
      <c r="H333" t="s">
        <v>172</v>
      </c>
      <c r="I333" t="s">
        <v>173</v>
      </c>
      <c r="J333">
        <v>2361</v>
      </c>
      <c r="K333" s="321">
        <v>45289</v>
      </c>
      <c r="L333">
        <v>1010100</v>
      </c>
      <c r="M333" t="s">
        <v>35</v>
      </c>
      <c r="N333">
        <v>585</v>
      </c>
      <c r="O333" s="32">
        <v>0</v>
      </c>
      <c r="P333" s="32">
        <v>0</v>
      </c>
      <c r="Q333" s="32">
        <v>0</v>
      </c>
      <c r="R333" s="32">
        <v>0</v>
      </c>
      <c r="S333" s="32">
        <v>0</v>
      </c>
      <c r="T333" s="32">
        <v>0</v>
      </c>
      <c r="U333" s="32">
        <v>84323.41</v>
      </c>
      <c r="V333" s="32">
        <v>0</v>
      </c>
      <c r="W333" s="32">
        <v>2529.7022999999999</v>
      </c>
      <c r="X333" s="32">
        <v>81793.707699999999</v>
      </c>
      <c r="Y333" s="32">
        <v>81793.707699999999</v>
      </c>
      <c r="Z333" s="32">
        <v>84323.41</v>
      </c>
      <c r="AA333" s="32">
        <v>-84323.41</v>
      </c>
      <c r="AB333" s="32">
        <v>0</v>
      </c>
      <c r="AC333" s="32" t="s">
        <v>538</v>
      </c>
      <c r="AD333" s="32"/>
      <c r="AE333" s="32">
        <v>0</v>
      </c>
    </row>
    <row r="334" spans="1:31" x14ac:dyDescent="0.25">
      <c r="A334">
        <v>6132</v>
      </c>
      <c r="B334" t="s">
        <v>176</v>
      </c>
      <c r="C334" t="s">
        <v>177</v>
      </c>
      <c r="D334" s="35">
        <v>63251.12</v>
      </c>
      <c r="E334">
        <v>1246128996</v>
      </c>
      <c r="F334" s="321">
        <v>45571</v>
      </c>
      <c r="G334" s="321"/>
      <c r="H334" t="s">
        <v>172</v>
      </c>
      <c r="I334" t="s">
        <v>173</v>
      </c>
      <c r="J334">
        <v>2766</v>
      </c>
      <c r="K334" s="321">
        <v>45331</v>
      </c>
      <c r="L334">
        <v>1010100</v>
      </c>
      <c r="M334" t="s">
        <v>35</v>
      </c>
      <c r="N334">
        <v>571</v>
      </c>
      <c r="O334" s="32">
        <v>0</v>
      </c>
      <c r="P334" s="32">
        <v>0</v>
      </c>
      <c r="Q334" s="32">
        <v>0</v>
      </c>
      <c r="R334" s="32">
        <v>0</v>
      </c>
      <c r="S334" s="32">
        <v>0</v>
      </c>
      <c r="T334" s="32">
        <v>0</v>
      </c>
      <c r="U334" s="32">
        <v>63251.12</v>
      </c>
      <c r="V334" s="32">
        <v>0</v>
      </c>
      <c r="W334" s="32">
        <v>1897.5336</v>
      </c>
      <c r="X334" s="32">
        <v>61353.5864</v>
      </c>
      <c r="Y334" s="32">
        <v>61353.5864</v>
      </c>
      <c r="Z334" s="32">
        <v>63251.12</v>
      </c>
      <c r="AA334" s="32">
        <v>-63251.12</v>
      </c>
      <c r="AB334" s="32">
        <v>0</v>
      </c>
      <c r="AC334" s="32" t="s">
        <v>538</v>
      </c>
      <c r="AD334" s="32"/>
      <c r="AE334" s="32">
        <v>0</v>
      </c>
    </row>
    <row r="335" spans="1:31" x14ac:dyDescent="0.25">
      <c r="A335">
        <v>6132</v>
      </c>
      <c r="B335" t="s">
        <v>176</v>
      </c>
      <c r="C335" t="s">
        <v>177</v>
      </c>
      <c r="D335" s="35">
        <v>52062</v>
      </c>
      <c r="E335">
        <v>1246115169</v>
      </c>
      <c r="F335" s="321">
        <v>45466</v>
      </c>
      <c r="G335" s="321"/>
      <c r="H335" t="s">
        <v>172</v>
      </c>
      <c r="I335" t="s">
        <v>173</v>
      </c>
      <c r="J335">
        <v>1974</v>
      </c>
      <c r="K335" s="321">
        <v>45244</v>
      </c>
      <c r="L335">
        <v>1010100</v>
      </c>
      <c r="M335" t="s">
        <v>35</v>
      </c>
      <c r="N335">
        <v>676</v>
      </c>
      <c r="O335" s="32">
        <v>0</v>
      </c>
      <c r="P335" s="32">
        <v>0</v>
      </c>
      <c r="Q335" s="32">
        <v>0</v>
      </c>
      <c r="R335" s="32">
        <v>0</v>
      </c>
      <c r="S335" s="32">
        <v>0</v>
      </c>
      <c r="T335" s="32">
        <v>0</v>
      </c>
      <c r="U335" s="32">
        <v>52062</v>
      </c>
      <c r="V335" s="32">
        <v>0</v>
      </c>
      <c r="W335" s="32">
        <v>1561.86</v>
      </c>
      <c r="X335" s="32">
        <v>50500.14</v>
      </c>
      <c r="Y335" s="32">
        <v>50500.14</v>
      </c>
      <c r="Z335" s="32">
        <v>52062</v>
      </c>
      <c r="AA335" s="32">
        <v>-52062</v>
      </c>
      <c r="AB335" s="32">
        <v>0</v>
      </c>
      <c r="AC335" s="32" t="s">
        <v>538</v>
      </c>
      <c r="AD335" s="32"/>
      <c r="AE335" s="32">
        <v>0</v>
      </c>
    </row>
    <row r="336" spans="1:31" x14ac:dyDescent="0.25">
      <c r="A336">
        <v>6132</v>
      </c>
      <c r="B336" t="s">
        <v>176</v>
      </c>
      <c r="C336" t="s">
        <v>177</v>
      </c>
      <c r="D336" s="35">
        <v>32002.66</v>
      </c>
      <c r="E336">
        <v>1246120211</v>
      </c>
      <c r="F336" s="321">
        <v>45518</v>
      </c>
      <c r="G336" s="321"/>
      <c r="H336" t="s">
        <v>172</v>
      </c>
      <c r="I336" t="s">
        <v>173</v>
      </c>
      <c r="J336">
        <v>2284</v>
      </c>
      <c r="K336" s="321">
        <v>45278</v>
      </c>
      <c r="L336">
        <v>1010100</v>
      </c>
      <c r="M336" t="s">
        <v>35</v>
      </c>
      <c r="N336">
        <v>624</v>
      </c>
      <c r="O336" s="32">
        <v>0</v>
      </c>
      <c r="P336" s="32">
        <v>0</v>
      </c>
      <c r="Q336" s="32">
        <v>0</v>
      </c>
      <c r="R336" s="32">
        <v>0</v>
      </c>
      <c r="S336" s="32">
        <v>0</v>
      </c>
      <c r="T336" s="32">
        <v>0</v>
      </c>
      <c r="U336" s="32">
        <v>32002.66</v>
      </c>
      <c r="V336" s="32">
        <v>0</v>
      </c>
      <c r="W336" s="32">
        <v>960.07979999999998</v>
      </c>
      <c r="X336" s="32">
        <v>31042.5802</v>
      </c>
      <c r="Y336" s="32">
        <v>31042.5802</v>
      </c>
      <c r="Z336" s="32">
        <v>32002.66</v>
      </c>
      <c r="AA336" s="32">
        <v>-32002.66</v>
      </c>
      <c r="AB336" s="32">
        <v>0</v>
      </c>
      <c r="AC336" s="32" t="s">
        <v>538</v>
      </c>
      <c r="AD336" s="32"/>
      <c r="AE336" s="32">
        <v>0</v>
      </c>
    </row>
    <row r="337" spans="1:31" x14ac:dyDescent="0.25">
      <c r="A337">
        <v>6132</v>
      </c>
      <c r="B337" t="s">
        <v>176</v>
      </c>
      <c r="C337" t="s">
        <v>177</v>
      </c>
      <c r="D337" s="35">
        <v>112435.2</v>
      </c>
      <c r="E337">
        <v>1246116054</v>
      </c>
      <c r="F337" s="321">
        <v>45491</v>
      </c>
      <c r="G337" s="321"/>
      <c r="H337" t="s">
        <v>172</v>
      </c>
      <c r="I337" t="s">
        <v>173</v>
      </c>
      <c r="J337">
        <v>2046</v>
      </c>
      <c r="K337" s="321">
        <v>45251</v>
      </c>
      <c r="L337">
        <v>1010100</v>
      </c>
      <c r="M337" t="s">
        <v>35</v>
      </c>
      <c r="N337">
        <v>651</v>
      </c>
      <c r="O337" s="32">
        <v>0</v>
      </c>
      <c r="P337" s="32">
        <v>0</v>
      </c>
      <c r="Q337" s="32">
        <v>0</v>
      </c>
      <c r="R337" s="32">
        <v>0</v>
      </c>
      <c r="S337" s="32">
        <v>0</v>
      </c>
      <c r="T337" s="32">
        <v>0</v>
      </c>
      <c r="U337" s="32">
        <v>112435.2</v>
      </c>
      <c r="V337" s="32">
        <v>0</v>
      </c>
      <c r="W337" s="32">
        <v>3373.0559999999996</v>
      </c>
      <c r="X337" s="32">
        <v>109062.144</v>
      </c>
      <c r="Y337" s="32">
        <v>109062.144</v>
      </c>
      <c r="Z337" s="32">
        <v>112435.2</v>
      </c>
      <c r="AA337" s="32">
        <v>-112435.2</v>
      </c>
      <c r="AB337" s="32">
        <v>0</v>
      </c>
      <c r="AC337" s="32" t="s">
        <v>538</v>
      </c>
      <c r="AD337" s="32"/>
      <c r="AE337" s="32">
        <v>0</v>
      </c>
    </row>
    <row r="338" spans="1:31" x14ac:dyDescent="0.25">
      <c r="A338">
        <v>6132</v>
      </c>
      <c r="B338" t="s">
        <v>176</v>
      </c>
      <c r="C338" t="s">
        <v>177</v>
      </c>
      <c r="D338" s="35">
        <v>29450.6</v>
      </c>
      <c r="E338">
        <v>1246128801</v>
      </c>
      <c r="F338" s="321">
        <v>45605</v>
      </c>
      <c r="G338" s="321"/>
      <c r="H338" t="s">
        <v>172</v>
      </c>
      <c r="I338" t="s">
        <v>173</v>
      </c>
      <c r="J338">
        <v>2746</v>
      </c>
      <c r="K338" s="321">
        <v>45330</v>
      </c>
      <c r="L338">
        <v>1010100</v>
      </c>
      <c r="M338" t="s">
        <v>35</v>
      </c>
      <c r="N338">
        <v>537</v>
      </c>
      <c r="O338" s="32">
        <v>0</v>
      </c>
      <c r="P338" s="32">
        <v>0</v>
      </c>
      <c r="Q338" s="32">
        <v>0</v>
      </c>
      <c r="R338" s="32">
        <v>0</v>
      </c>
      <c r="S338" s="32">
        <v>0</v>
      </c>
      <c r="T338" s="32">
        <v>0</v>
      </c>
      <c r="U338" s="32">
        <v>29450.6</v>
      </c>
      <c r="V338" s="32">
        <v>0</v>
      </c>
      <c r="W338" s="32">
        <v>883.51799999999992</v>
      </c>
      <c r="X338" s="32">
        <v>28567.081999999999</v>
      </c>
      <c r="Y338" s="32">
        <v>28567.081999999999</v>
      </c>
      <c r="Z338" s="32">
        <v>29450.6</v>
      </c>
      <c r="AA338" s="32">
        <v>-29450.6</v>
      </c>
      <c r="AB338" s="32">
        <v>0</v>
      </c>
      <c r="AC338" s="32" t="s">
        <v>538</v>
      </c>
      <c r="AD338" s="32"/>
      <c r="AE338" s="32">
        <v>0</v>
      </c>
    </row>
    <row r="339" spans="1:31" x14ac:dyDescent="0.25">
      <c r="A339">
        <v>6132</v>
      </c>
      <c r="B339" t="s">
        <v>176</v>
      </c>
      <c r="C339" t="s">
        <v>177</v>
      </c>
      <c r="D339" s="35">
        <v>87840</v>
      </c>
      <c r="E339">
        <v>1246113431</v>
      </c>
      <c r="F339" s="321">
        <v>45476</v>
      </c>
      <c r="G339" s="321"/>
      <c r="H339" t="s">
        <v>172</v>
      </c>
      <c r="I339" t="s">
        <v>173</v>
      </c>
      <c r="J339">
        <v>1852</v>
      </c>
      <c r="K339" s="321">
        <v>45236</v>
      </c>
      <c r="L339">
        <v>1010100</v>
      </c>
      <c r="M339" t="s">
        <v>35</v>
      </c>
      <c r="N339">
        <v>666</v>
      </c>
      <c r="O339" s="32">
        <v>0</v>
      </c>
      <c r="P339" s="32">
        <v>0</v>
      </c>
      <c r="Q339" s="32">
        <v>0</v>
      </c>
      <c r="R339" s="32">
        <v>0</v>
      </c>
      <c r="S339" s="32">
        <v>0</v>
      </c>
      <c r="T339" s="32">
        <v>0</v>
      </c>
      <c r="U339" s="32">
        <v>87840</v>
      </c>
      <c r="V339" s="32">
        <v>0</v>
      </c>
      <c r="W339" s="32">
        <v>2635.2</v>
      </c>
      <c r="X339" s="32">
        <v>85204.800000000003</v>
      </c>
      <c r="Y339" s="32">
        <v>85204.800000000003</v>
      </c>
      <c r="Z339" s="32">
        <v>87840</v>
      </c>
      <c r="AA339" s="32">
        <v>-87840</v>
      </c>
      <c r="AB339" s="32">
        <v>0</v>
      </c>
      <c r="AC339" s="32" t="s">
        <v>538</v>
      </c>
      <c r="AD339" s="32"/>
      <c r="AE339" s="32">
        <v>0</v>
      </c>
    </row>
    <row r="340" spans="1:31" x14ac:dyDescent="0.25">
      <c r="A340">
        <v>6132</v>
      </c>
      <c r="B340" t="s">
        <v>176</v>
      </c>
      <c r="C340" t="s">
        <v>177</v>
      </c>
      <c r="D340" s="35">
        <v>27201.1</v>
      </c>
      <c r="E340">
        <v>1246124199</v>
      </c>
      <c r="F340" s="321">
        <v>45557</v>
      </c>
      <c r="G340" s="321"/>
      <c r="H340" t="s">
        <v>172</v>
      </c>
      <c r="I340" t="s">
        <v>173</v>
      </c>
      <c r="J340">
        <v>2454</v>
      </c>
      <c r="K340" s="321">
        <v>45301</v>
      </c>
      <c r="L340">
        <v>1010100</v>
      </c>
      <c r="M340" t="s">
        <v>35</v>
      </c>
      <c r="N340">
        <v>585</v>
      </c>
      <c r="O340" s="32">
        <v>0</v>
      </c>
      <c r="P340" s="32">
        <v>0</v>
      </c>
      <c r="Q340" s="32">
        <v>0</v>
      </c>
      <c r="R340" s="32">
        <v>0</v>
      </c>
      <c r="S340" s="32">
        <v>0</v>
      </c>
      <c r="T340" s="32">
        <v>0</v>
      </c>
      <c r="U340" s="32">
        <v>27201.1</v>
      </c>
      <c r="V340" s="32">
        <v>0</v>
      </c>
      <c r="W340" s="32">
        <v>816.0329999999999</v>
      </c>
      <c r="X340" s="32">
        <v>26385.066999999999</v>
      </c>
      <c r="Y340" s="32">
        <v>26385.066999999999</v>
      </c>
      <c r="Z340" s="32">
        <v>27201.1</v>
      </c>
      <c r="AA340" s="32">
        <v>-27201.1</v>
      </c>
      <c r="AB340" s="32">
        <v>0</v>
      </c>
      <c r="AC340" s="32" t="s">
        <v>538</v>
      </c>
      <c r="AD340" s="32"/>
      <c r="AE340" s="32">
        <v>0</v>
      </c>
    </row>
    <row r="341" spans="1:31" x14ac:dyDescent="0.25">
      <c r="A341">
        <v>6132</v>
      </c>
      <c r="B341" t="s">
        <v>176</v>
      </c>
      <c r="C341" t="s">
        <v>177</v>
      </c>
      <c r="D341" s="35">
        <v>86529.600000000006</v>
      </c>
      <c r="E341">
        <v>1246116354</v>
      </c>
      <c r="F341" s="321">
        <v>45475</v>
      </c>
      <c r="G341" s="321"/>
      <c r="H341" t="s">
        <v>172</v>
      </c>
      <c r="I341" t="s">
        <v>173</v>
      </c>
      <c r="J341">
        <v>2068</v>
      </c>
      <c r="K341" s="321">
        <v>45253</v>
      </c>
      <c r="L341">
        <v>1010100</v>
      </c>
      <c r="M341" t="s">
        <v>35</v>
      </c>
      <c r="N341">
        <v>667</v>
      </c>
      <c r="O341" s="32">
        <v>0</v>
      </c>
      <c r="P341" s="32">
        <v>0</v>
      </c>
      <c r="Q341" s="32">
        <v>0</v>
      </c>
      <c r="R341" s="32">
        <v>0</v>
      </c>
      <c r="S341" s="32">
        <v>0</v>
      </c>
      <c r="T341" s="32">
        <v>0</v>
      </c>
      <c r="U341" s="32">
        <v>86529.600000000006</v>
      </c>
      <c r="V341" s="32">
        <v>0</v>
      </c>
      <c r="W341" s="32">
        <v>2595.8879999999999</v>
      </c>
      <c r="X341" s="32">
        <v>83933.712</v>
      </c>
      <c r="Y341" s="32">
        <v>83933.712</v>
      </c>
      <c r="Z341" s="32">
        <v>86529.600000000006</v>
      </c>
      <c r="AA341" s="32">
        <v>-86529.600000000006</v>
      </c>
      <c r="AB341" s="32">
        <v>0</v>
      </c>
      <c r="AC341" s="32" t="s">
        <v>538</v>
      </c>
      <c r="AD341" s="32"/>
      <c r="AE341" s="32">
        <v>0</v>
      </c>
    </row>
    <row r="342" spans="1:31" x14ac:dyDescent="0.25">
      <c r="A342">
        <v>6132</v>
      </c>
      <c r="B342" t="s">
        <v>176</v>
      </c>
      <c r="C342" t="s">
        <v>177</v>
      </c>
      <c r="D342" s="35">
        <v>171010</v>
      </c>
      <c r="E342">
        <v>1246117256</v>
      </c>
      <c r="F342" s="321">
        <v>45474</v>
      </c>
      <c r="G342" s="321"/>
      <c r="H342" t="s">
        <v>172</v>
      </c>
      <c r="I342" t="s">
        <v>173</v>
      </c>
      <c r="J342">
        <v>2130</v>
      </c>
      <c r="K342" s="321">
        <v>45260</v>
      </c>
      <c r="L342">
        <v>1010100</v>
      </c>
      <c r="M342" t="s">
        <v>35</v>
      </c>
      <c r="N342">
        <v>668</v>
      </c>
      <c r="O342" s="32">
        <v>0</v>
      </c>
      <c r="P342" s="32">
        <v>0</v>
      </c>
      <c r="Q342" s="32">
        <v>0</v>
      </c>
      <c r="R342" s="32">
        <v>0</v>
      </c>
      <c r="S342" s="32">
        <v>0</v>
      </c>
      <c r="T342" s="32">
        <v>0</v>
      </c>
      <c r="U342" s="32">
        <v>171010</v>
      </c>
      <c r="V342" s="32">
        <v>0</v>
      </c>
      <c r="W342" s="32">
        <v>5130.3</v>
      </c>
      <c r="X342" s="32">
        <v>165879.69999999998</v>
      </c>
      <c r="Y342" s="32">
        <v>165879.69999999998</v>
      </c>
      <c r="Z342" s="32">
        <v>171010</v>
      </c>
      <c r="AA342" s="32">
        <v>-171010</v>
      </c>
      <c r="AB342" s="32">
        <v>0</v>
      </c>
      <c r="AC342" s="32" t="s">
        <v>538</v>
      </c>
      <c r="AD342" s="32"/>
      <c r="AE342" s="32">
        <v>0</v>
      </c>
    </row>
    <row r="343" spans="1:31" x14ac:dyDescent="0.25">
      <c r="A343">
        <v>6132</v>
      </c>
      <c r="B343" t="s">
        <v>176</v>
      </c>
      <c r="C343" t="s">
        <v>177</v>
      </c>
      <c r="D343" s="35">
        <v>94461</v>
      </c>
      <c r="E343">
        <v>1246125716</v>
      </c>
      <c r="F343" s="321">
        <v>45578</v>
      </c>
      <c r="G343" s="321"/>
      <c r="H343" t="s">
        <v>172</v>
      </c>
      <c r="I343" t="s">
        <v>173</v>
      </c>
      <c r="J343">
        <v>2541</v>
      </c>
      <c r="K343" s="321">
        <v>45310</v>
      </c>
      <c r="L343">
        <v>1010100</v>
      </c>
      <c r="M343" t="s">
        <v>35</v>
      </c>
      <c r="N343">
        <v>564</v>
      </c>
      <c r="O343" s="32">
        <v>0</v>
      </c>
      <c r="P343" s="32">
        <v>0</v>
      </c>
      <c r="Q343" s="32">
        <v>0</v>
      </c>
      <c r="R343" s="32">
        <v>0</v>
      </c>
      <c r="S343" s="32">
        <v>0</v>
      </c>
      <c r="T343" s="32">
        <v>0</v>
      </c>
      <c r="U343" s="32">
        <v>94461</v>
      </c>
      <c r="V343" s="32">
        <v>0</v>
      </c>
      <c r="W343" s="32">
        <v>2833.83</v>
      </c>
      <c r="X343" s="32">
        <v>91627.17</v>
      </c>
      <c r="Y343" s="32">
        <v>91627.17</v>
      </c>
      <c r="Z343" s="32">
        <v>94461</v>
      </c>
      <c r="AA343" s="32">
        <v>-94461</v>
      </c>
      <c r="AB343" s="32">
        <v>0</v>
      </c>
      <c r="AC343" s="32" t="s">
        <v>538</v>
      </c>
      <c r="AD343" s="32"/>
      <c r="AE343" s="32">
        <v>0</v>
      </c>
    </row>
    <row r="344" spans="1:31" x14ac:dyDescent="0.25">
      <c r="A344">
        <v>6132</v>
      </c>
      <c r="B344" t="s">
        <v>176</v>
      </c>
      <c r="C344" t="s">
        <v>177</v>
      </c>
      <c r="D344" s="35">
        <v>67967</v>
      </c>
      <c r="E344">
        <v>1246128327</v>
      </c>
      <c r="F344" s="321">
        <v>45567</v>
      </c>
      <c r="G344" s="321"/>
      <c r="H344" t="s">
        <v>172</v>
      </c>
      <c r="I344" t="s">
        <v>173</v>
      </c>
      <c r="J344">
        <v>2712</v>
      </c>
      <c r="K344" s="321">
        <v>45327</v>
      </c>
      <c r="L344">
        <v>1010100</v>
      </c>
      <c r="M344" t="s">
        <v>35</v>
      </c>
      <c r="N344">
        <v>575</v>
      </c>
      <c r="O344" s="32">
        <v>0</v>
      </c>
      <c r="P344" s="32">
        <v>0</v>
      </c>
      <c r="Q344" s="32">
        <v>0</v>
      </c>
      <c r="R344" s="32">
        <v>0</v>
      </c>
      <c r="S344" s="32">
        <v>0</v>
      </c>
      <c r="T344" s="32">
        <v>0</v>
      </c>
      <c r="U344" s="32">
        <v>67967</v>
      </c>
      <c r="V344" s="32">
        <v>0</v>
      </c>
      <c r="W344" s="32">
        <v>2039.01</v>
      </c>
      <c r="X344" s="32">
        <v>65927.990000000005</v>
      </c>
      <c r="Y344" s="32">
        <v>65927.990000000005</v>
      </c>
      <c r="Z344" s="32">
        <v>67967</v>
      </c>
      <c r="AA344" s="32">
        <v>-67967</v>
      </c>
      <c r="AB344" s="32">
        <v>0</v>
      </c>
      <c r="AC344" s="32" t="s">
        <v>538</v>
      </c>
      <c r="AD344" s="32"/>
      <c r="AE344" s="32">
        <v>0</v>
      </c>
    </row>
    <row r="345" spans="1:31" x14ac:dyDescent="0.25">
      <c r="A345">
        <v>6132</v>
      </c>
      <c r="B345" t="s">
        <v>176</v>
      </c>
      <c r="C345" t="s">
        <v>177</v>
      </c>
      <c r="D345" s="35">
        <v>77852.5</v>
      </c>
      <c r="E345">
        <v>1246128328</v>
      </c>
      <c r="F345" s="321">
        <v>45567</v>
      </c>
      <c r="G345" s="321"/>
      <c r="H345" t="s">
        <v>172</v>
      </c>
      <c r="I345" t="s">
        <v>173</v>
      </c>
      <c r="J345">
        <v>2713</v>
      </c>
      <c r="K345" s="321">
        <v>45327</v>
      </c>
      <c r="L345">
        <v>1010100</v>
      </c>
      <c r="M345" t="s">
        <v>35</v>
      </c>
      <c r="N345">
        <v>575</v>
      </c>
      <c r="O345" s="32">
        <v>0</v>
      </c>
      <c r="P345" s="32">
        <v>0</v>
      </c>
      <c r="Q345" s="32">
        <v>0</v>
      </c>
      <c r="R345" s="32">
        <v>0</v>
      </c>
      <c r="S345" s="32">
        <v>0</v>
      </c>
      <c r="T345" s="32">
        <v>0</v>
      </c>
      <c r="U345" s="32">
        <v>77852.5</v>
      </c>
      <c r="V345" s="32">
        <v>0</v>
      </c>
      <c r="W345" s="32">
        <v>2335.5749999999998</v>
      </c>
      <c r="X345" s="32">
        <v>75516.925000000003</v>
      </c>
      <c r="Y345" s="32">
        <v>75516.925000000003</v>
      </c>
      <c r="Z345" s="32">
        <v>77852.5</v>
      </c>
      <c r="AA345" s="32">
        <v>-77852.5</v>
      </c>
      <c r="AB345" s="32">
        <v>0</v>
      </c>
      <c r="AC345" s="32" t="s">
        <v>538</v>
      </c>
      <c r="AD345" s="32"/>
      <c r="AE345" s="32">
        <v>0</v>
      </c>
    </row>
    <row r="346" spans="1:31" x14ac:dyDescent="0.25">
      <c r="A346">
        <v>6132</v>
      </c>
      <c r="B346" t="s">
        <v>176</v>
      </c>
      <c r="C346" t="s">
        <v>177</v>
      </c>
      <c r="D346" s="35">
        <v>41610.269999999997</v>
      </c>
      <c r="E346">
        <v>1246128682</v>
      </c>
      <c r="F346" s="321">
        <v>45604</v>
      </c>
      <c r="G346" s="321"/>
      <c r="H346" t="s">
        <v>172</v>
      </c>
      <c r="I346" t="s">
        <v>173</v>
      </c>
      <c r="J346">
        <v>2737</v>
      </c>
      <c r="K346" s="321">
        <v>45329</v>
      </c>
      <c r="L346">
        <v>1010100</v>
      </c>
      <c r="M346" t="s">
        <v>35</v>
      </c>
      <c r="N346">
        <v>538</v>
      </c>
      <c r="O346" s="32">
        <v>0</v>
      </c>
      <c r="P346" s="32">
        <v>0</v>
      </c>
      <c r="Q346" s="32">
        <v>0</v>
      </c>
      <c r="R346" s="32">
        <v>0</v>
      </c>
      <c r="S346" s="32">
        <v>0</v>
      </c>
      <c r="T346" s="32">
        <v>0</v>
      </c>
      <c r="U346" s="32">
        <v>41610.269999999997</v>
      </c>
      <c r="V346" s="32">
        <v>0</v>
      </c>
      <c r="W346" s="32">
        <v>1248.3081</v>
      </c>
      <c r="X346" s="32">
        <v>40361.961899999995</v>
      </c>
      <c r="Y346" s="32">
        <v>40361.961899999995</v>
      </c>
      <c r="Z346" s="32">
        <v>41610.269999999997</v>
      </c>
      <c r="AA346" s="32">
        <v>-41610.269999999997</v>
      </c>
      <c r="AB346" s="32">
        <v>0</v>
      </c>
      <c r="AC346" s="32" t="s">
        <v>538</v>
      </c>
      <c r="AD346" s="32"/>
      <c r="AE346" s="32">
        <v>0</v>
      </c>
    </row>
    <row r="347" spans="1:31" x14ac:dyDescent="0.25">
      <c r="A347">
        <v>6132</v>
      </c>
      <c r="B347" t="s">
        <v>176</v>
      </c>
      <c r="C347" t="s">
        <v>177</v>
      </c>
      <c r="D347" s="35">
        <v>107254.39999999999</v>
      </c>
      <c r="E347">
        <v>1246126442</v>
      </c>
      <c r="F347" s="321">
        <v>45565</v>
      </c>
      <c r="G347" s="321"/>
      <c r="H347" t="s">
        <v>172</v>
      </c>
      <c r="I347" t="s">
        <v>173</v>
      </c>
      <c r="J347">
        <v>2587</v>
      </c>
      <c r="K347" s="321">
        <v>45315</v>
      </c>
      <c r="L347">
        <v>1010100</v>
      </c>
      <c r="M347" t="s">
        <v>35</v>
      </c>
      <c r="N347">
        <v>577</v>
      </c>
      <c r="O347" s="32">
        <v>0</v>
      </c>
      <c r="P347" s="32">
        <v>0</v>
      </c>
      <c r="Q347" s="32">
        <v>0</v>
      </c>
      <c r="R347" s="32">
        <v>0</v>
      </c>
      <c r="S347" s="32">
        <v>0</v>
      </c>
      <c r="T347" s="32">
        <v>0</v>
      </c>
      <c r="U347" s="32">
        <v>107254.39999999999</v>
      </c>
      <c r="V347" s="32">
        <v>0</v>
      </c>
      <c r="W347" s="32">
        <v>3217.6319999999996</v>
      </c>
      <c r="X347" s="32">
        <v>104036.768</v>
      </c>
      <c r="Y347" s="32">
        <v>104036.768</v>
      </c>
      <c r="Z347" s="32">
        <v>107254.39999999999</v>
      </c>
      <c r="AA347" s="32">
        <v>-107254.39999999999</v>
      </c>
      <c r="AB347" s="32">
        <v>0</v>
      </c>
      <c r="AC347" s="32" t="s">
        <v>538</v>
      </c>
      <c r="AD347" s="32"/>
      <c r="AE347" s="32">
        <v>0</v>
      </c>
    </row>
    <row r="348" spans="1:31" x14ac:dyDescent="0.25">
      <c r="A348">
        <v>6132</v>
      </c>
      <c r="B348" t="s">
        <v>176</v>
      </c>
      <c r="C348" t="s">
        <v>177</v>
      </c>
      <c r="D348" s="35">
        <v>56218.2</v>
      </c>
      <c r="E348">
        <v>1246128800</v>
      </c>
      <c r="F348" s="321">
        <v>45605</v>
      </c>
      <c r="G348" s="321"/>
      <c r="H348" t="s">
        <v>172</v>
      </c>
      <c r="I348" t="s">
        <v>173</v>
      </c>
      <c r="J348">
        <v>2745</v>
      </c>
      <c r="K348" s="321">
        <v>45330</v>
      </c>
      <c r="L348">
        <v>1010100</v>
      </c>
      <c r="M348" t="s">
        <v>35</v>
      </c>
      <c r="N348">
        <v>537</v>
      </c>
      <c r="O348" s="32">
        <v>0</v>
      </c>
      <c r="P348" s="32">
        <v>0</v>
      </c>
      <c r="Q348" s="32">
        <v>0</v>
      </c>
      <c r="R348" s="32">
        <v>0</v>
      </c>
      <c r="S348" s="32">
        <v>0</v>
      </c>
      <c r="T348" s="32">
        <v>0</v>
      </c>
      <c r="U348" s="32">
        <v>56218.2</v>
      </c>
      <c r="V348" s="32">
        <v>0</v>
      </c>
      <c r="W348" s="32">
        <v>1686.5459999999998</v>
      </c>
      <c r="X348" s="32">
        <v>54531.653999999995</v>
      </c>
      <c r="Y348" s="32">
        <v>54531.653999999995</v>
      </c>
      <c r="Z348" s="32">
        <v>56218.2</v>
      </c>
      <c r="AA348" s="32">
        <v>-56218.2</v>
      </c>
      <c r="AB348" s="32">
        <v>0</v>
      </c>
      <c r="AC348" s="32" t="s">
        <v>538</v>
      </c>
      <c r="AD348" s="32"/>
      <c r="AE348" s="32">
        <v>0</v>
      </c>
    </row>
    <row r="349" spans="1:31" x14ac:dyDescent="0.25">
      <c r="A349">
        <v>6132</v>
      </c>
      <c r="B349" t="s">
        <v>176</v>
      </c>
      <c r="C349" t="s">
        <v>177</v>
      </c>
      <c r="D349" s="35">
        <v>24480.99</v>
      </c>
      <c r="E349">
        <v>1246127802</v>
      </c>
      <c r="F349" s="321">
        <v>45603</v>
      </c>
      <c r="G349" s="321"/>
      <c r="H349" t="s">
        <v>172</v>
      </c>
      <c r="I349" t="s">
        <v>173</v>
      </c>
      <c r="J349">
        <v>2674</v>
      </c>
      <c r="K349" s="321">
        <v>45323</v>
      </c>
      <c r="L349">
        <v>1010100</v>
      </c>
      <c r="M349" t="s">
        <v>35</v>
      </c>
      <c r="N349">
        <v>539</v>
      </c>
      <c r="O349" s="32">
        <v>0</v>
      </c>
      <c r="P349" s="32">
        <v>0</v>
      </c>
      <c r="Q349" s="32">
        <v>0</v>
      </c>
      <c r="R349" s="32">
        <v>0</v>
      </c>
      <c r="S349" s="32">
        <v>0</v>
      </c>
      <c r="T349" s="32">
        <v>0</v>
      </c>
      <c r="U349" s="32">
        <v>24480.99</v>
      </c>
      <c r="V349" s="32">
        <v>0</v>
      </c>
      <c r="W349" s="32">
        <v>734.42970000000003</v>
      </c>
      <c r="X349" s="32">
        <v>23746.560300000001</v>
      </c>
      <c r="Y349" s="32">
        <v>23746.560300000001</v>
      </c>
      <c r="Z349" s="32">
        <v>24480.99</v>
      </c>
      <c r="AA349" s="32">
        <v>-24480.99</v>
      </c>
      <c r="AB349" s="32">
        <v>0</v>
      </c>
      <c r="AC349" s="32" t="s">
        <v>538</v>
      </c>
      <c r="AD349" s="32"/>
      <c r="AE349" s="32">
        <v>0</v>
      </c>
    </row>
    <row r="350" spans="1:31" x14ac:dyDescent="0.25">
      <c r="A350">
        <v>6132</v>
      </c>
      <c r="B350" t="s">
        <v>176</v>
      </c>
      <c r="C350" t="s">
        <v>177</v>
      </c>
      <c r="D350" s="35">
        <v>87043.520000000004</v>
      </c>
      <c r="E350">
        <v>1246120531</v>
      </c>
      <c r="F350" s="321">
        <v>45559</v>
      </c>
      <c r="G350" s="321"/>
      <c r="H350" t="s">
        <v>172</v>
      </c>
      <c r="I350" t="s">
        <v>173</v>
      </c>
      <c r="J350">
        <v>2295</v>
      </c>
      <c r="K350" s="321">
        <v>45279</v>
      </c>
      <c r="L350">
        <v>1010100</v>
      </c>
      <c r="M350" t="s">
        <v>35</v>
      </c>
      <c r="N350">
        <v>583</v>
      </c>
      <c r="O350" s="32">
        <v>0</v>
      </c>
      <c r="P350" s="32">
        <v>0</v>
      </c>
      <c r="Q350" s="32">
        <v>0</v>
      </c>
      <c r="R350" s="32">
        <v>0</v>
      </c>
      <c r="S350" s="32">
        <v>0</v>
      </c>
      <c r="T350" s="32">
        <v>0</v>
      </c>
      <c r="U350" s="32">
        <v>87043.520000000004</v>
      </c>
      <c r="V350" s="32">
        <v>0</v>
      </c>
      <c r="W350" s="32">
        <v>2611.3056000000001</v>
      </c>
      <c r="X350" s="32">
        <v>84432.214399999997</v>
      </c>
      <c r="Y350" s="32">
        <v>84432.214399999997</v>
      </c>
      <c r="Z350" s="32">
        <v>87043.520000000004</v>
      </c>
      <c r="AA350" s="32">
        <v>-87043.520000000004</v>
      </c>
      <c r="AB350" s="32">
        <v>0</v>
      </c>
      <c r="AC350" s="32" t="s">
        <v>538</v>
      </c>
      <c r="AD350" s="32"/>
      <c r="AE350" s="32">
        <v>0</v>
      </c>
    </row>
    <row r="351" spans="1:31" x14ac:dyDescent="0.25">
      <c r="A351">
        <v>6132</v>
      </c>
      <c r="B351" t="s">
        <v>176</v>
      </c>
      <c r="C351" t="s">
        <v>177</v>
      </c>
      <c r="D351" s="35">
        <v>87504.97</v>
      </c>
      <c r="E351">
        <v>1246119910</v>
      </c>
      <c r="F351" s="321">
        <v>45555</v>
      </c>
      <c r="G351" s="321"/>
      <c r="H351" t="s">
        <v>172</v>
      </c>
      <c r="I351" t="s">
        <v>173</v>
      </c>
      <c r="J351">
        <v>2248</v>
      </c>
      <c r="K351" s="321">
        <v>45275</v>
      </c>
      <c r="L351">
        <v>1010100</v>
      </c>
      <c r="M351" t="s">
        <v>35</v>
      </c>
      <c r="N351">
        <v>587</v>
      </c>
      <c r="O351" s="32">
        <v>0</v>
      </c>
      <c r="P351" s="32">
        <v>0</v>
      </c>
      <c r="Q351" s="32">
        <v>0</v>
      </c>
      <c r="R351" s="32">
        <v>0</v>
      </c>
      <c r="S351" s="32">
        <v>0</v>
      </c>
      <c r="T351" s="32">
        <v>0</v>
      </c>
      <c r="U351" s="32">
        <v>87504.97</v>
      </c>
      <c r="V351" s="32">
        <v>0</v>
      </c>
      <c r="W351" s="32">
        <v>2625.1491000000001</v>
      </c>
      <c r="X351" s="32">
        <v>84879.820899999992</v>
      </c>
      <c r="Y351" s="32">
        <v>84879.820899999992</v>
      </c>
      <c r="Z351" s="32">
        <v>87504.97</v>
      </c>
      <c r="AA351" s="32">
        <v>-87504.97</v>
      </c>
      <c r="AB351" s="32">
        <v>0</v>
      </c>
      <c r="AC351" s="32" t="s">
        <v>538</v>
      </c>
      <c r="AD351" s="32"/>
      <c r="AE351" s="32">
        <v>0</v>
      </c>
    </row>
    <row r="352" spans="1:31" x14ac:dyDescent="0.25">
      <c r="A352">
        <v>6132</v>
      </c>
      <c r="B352" t="s">
        <v>176</v>
      </c>
      <c r="C352" t="s">
        <v>177</v>
      </c>
      <c r="D352" s="35">
        <v>22997.32</v>
      </c>
      <c r="E352">
        <v>1246119982</v>
      </c>
      <c r="F352" s="321">
        <v>45515</v>
      </c>
      <c r="G352" s="321"/>
      <c r="H352" t="s">
        <v>172</v>
      </c>
      <c r="I352" t="s">
        <v>173</v>
      </c>
      <c r="J352">
        <v>2263</v>
      </c>
      <c r="K352" s="321">
        <v>45275</v>
      </c>
      <c r="L352">
        <v>1010100</v>
      </c>
      <c r="M352" t="s">
        <v>35</v>
      </c>
      <c r="N352">
        <v>627</v>
      </c>
      <c r="O352" s="32">
        <v>0</v>
      </c>
      <c r="P352" s="32">
        <v>0</v>
      </c>
      <c r="Q352" s="32">
        <v>0</v>
      </c>
      <c r="R352" s="32">
        <v>0</v>
      </c>
      <c r="S352" s="32">
        <v>0</v>
      </c>
      <c r="T352" s="32">
        <v>0</v>
      </c>
      <c r="U352" s="32">
        <v>22997.32</v>
      </c>
      <c r="V352" s="32">
        <v>0</v>
      </c>
      <c r="W352" s="32">
        <v>689.91959999999995</v>
      </c>
      <c r="X352" s="32">
        <v>22307.400399999999</v>
      </c>
      <c r="Y352" s="32">
        <v>22307.400399999999</v>
      </c>
      <c r="Z352" s="32">
        <v>22997.32</v>
      </c>
      <c r="AA352" s="32">
        <v>-22997.32</v>
      </c>
      <c r="AB352" s="32">
        <v>0</v>
      </c>
      <c r="AC352" s="32" t="s">
        <v>538</v>
      </c>
      <c r="AD352" s="32"/>
      <c r="AE352" s="32">
        <v>0</v>
      </c>
    </row>
    <row r="353" spans="1:31" x14ac:dyDescent="0.25">
      <c r="A353">
        <v>6132</v>
      </c>
      <c r="B353" t="s">
        <v>176</v>
      </c>
      <c r="C353" t="s">
        <v>177</v>
      </c>
      <c r="D353" s="35">
        <v>10860</v>
      </c>
      <c r="E353">
        <v>1246122169</v>
      </c>
      <c r="F353" s="321">
        <v>45469</v>
      </c>
      <c r="G353" s="321"/>
      <c r="H353" t="s">
        <v>172</v>
      </c>
      <c r="I353" t="s">
        <v>173</v>
      </c>
      <c r="J353">
        <v>2373</v>
      </c>
      <c r="K353" s="321">
        <v>45289</v>
      </c>
      <c r="L353">
        <v>1010100</v>
      </c>
      <c r="M353" t="s">
        <v>35</v>
      </c>
      <c r="N353">
        <v>673</v>
      </c>
      <c r="O353" s="32">
        <v>0</v>
      </c>
      <c r="P353" s="32">
        <v>0</v>
      </c>
      <c r="Q353" s="32">
        <v>0</v>
      </c>
      <c r="R353" s="32">
        <v>0</v>
      </c>
      <c r="S353" s="32">
        <v>0</v>
      </c>
      <c r="T353" s="32">
        <v>0</v>
      </c>
      <c r="U353" s="32">
        <v>10860</v>
      </c>
      <c r="V353" s="32">
        <v>0</v>
      </c>
      <c r="W353" s="32">
        <v>325.8</v>
      </c>
      <c r="X353" s="32">
        <v>10534.199999999999</v>
      </c>
      <c r="Y353" s="32">
        <v>10534.199999999999</v>
      </c>
      <c r="Z353" s="32">
        <v>10860</v>
      </c>
      <c r="AA353" s="32">
        <v>-10860</v>
      </c>
      <c r="AB353" s="32">
        <v>0</v>
      </c>
      <c r="AC353" s="32" t="s">
        <v>538</v>
      </c>
      <c r="AD353" s="32"/>
      <c r="AE353" s="32">
        <v>0</v>
      </c>
    </row>
    <row r="354" spans="1:31" x14ac:dyDescent="0.25">
      <c r="A354">
        <v>6132</v>
      </c>
      <c r="B354" t="s">
        <v>176</v>
      </c>
      <c r="C354" t="s">
        <v>177</v>
      </c>
      <c r="D354" s="35">
        <v>57205.5</v>
      </c>
      <c r="E354">
        <v>1246122168</v>
      </c>
      <c r="F354" s="321">
        <v>45557</v>
      </c>
      <c r="G354" s="321"/>
      <c r="H354" t="s">
        <v>172</v>
      </c>
      <c r="I354" t="s">
        <v>173</v>
      </c>
      <c r="J354">
        <v>2372</v>
      </c>
      <c r="K354" s="321">
        <v>45289</v>
      </c>
      <c r="L354">
        <v>1010100</v>
      </c>
      <c r="M354" t="s">
        <v>35</v>
      </c>
      <c r="N354">
        <v>585</v>
      </c>
      <c r="O354" s="32">
        <v>0</v>
      </c>
      <c r="P354" s="32">
        <v>0</v>
      </c>
      <c r="Q354" s="32">
        <v>0</v>
      </c>
      <c r="R354" s="32">
        <v>0</v>
      </c>
      <c r="S354" s="32">
        <v>0</v>
      </c>
      <c r="T354" s="32">
        <v>0</v>
      </c>
      <c r="U354" s="32">
        <v>57205.5</v>
      </c>
      <c r="V354" s="32">
        <v>0</v>
      </c>
      <c r="W354" s="32">
        <v>1716.165</v>
      </c>
      <c r="X354" s="32">
        <v>55489.334999999999</v>
      </c>
      <c r="Y354" s="32">
        <v>55489.334999999999</v>
      </c>
      <c r="Z354" s="32">
        <v>57205.5</v>
      </c>
      <c r="AA354" s="32">
        <v>-57205.5</v>
      </c>
      <c r="AB354" s="32">
        <v>0</v>
      </c>
      <c r="AC354" s="32" t="s">
        <v>538</v>
      </c>
      <c r="AD354" s="32"/>
      <c r="AE354" s="32">
        <v>0</v>
      </c>
    </row>
    <row r="355" spans="1:31" x14ac:dyDescent="0.25">
      <c r="A355">
        <v>6132</v>
      </c>
      <c r="B355" t="s">
        <v>176</v>
      </c>
      <c r="C355" t="s">
        <v>177</v>
      </c>
      <c r="D355" s="35">
        <v>109750.39999999999</v>
      </c>
      <c r="E355">
        <v>1246117165</v>
      </c>
      <c r="F355" s="321">
        <v>45473</v>
      </c>
      <c r="G355" s="321"/>
      <c r="H355" t="s">
        <v>172</v>
      </c>
      <c r="I355" t="s">
        <v>173</v>
      </c>
      <c r="J355">
        <v>2128</v>
      </c>
      <c r="K355" s="321">
        <v>45259</v>
      </c>
      <c r="L355">
        <v>1010100</v>
      </c>
      <c r="M355" t="s">
        <v>35</v>
      </c>
      <c r="N355">
        <v>669</v>
      </c>
      <c r="O355" s="32">
        <v>0</v>
      </c>
      <c r="P355" s="32">
        <v>0</v>
      </c>
      <c r="Q355" s="32">
        <v>0</v>
      </c>
      <c r="R355" s="32">
        <v>0</v>
      </c>
      <c r="S355" s="32">
        <v>0</v>
      </c>
      <c r="T355" s="32">
        <v>0</v>
      </c>
      <c r="U355" s="32">
        <v>109750.39999999999</v>
      </c>
      <c r="V355" s="32">
        <v>0</v>
      </c>
      <c r="W355" s="32">
        <v>3292.5119999999997</v>
      </c>
      <c r="X355" s="32">
        <v>106457.88799999999</v>
      </c>
      <c r="Y355" s="32">
        <v>106457.88799999999</v>
      </c>
      <c r="Z355" s="32">
        <v>109750.39999999999</v>
      </c>
      <c r="AA355" s="32">
        <v>-109750.39999999999</v>
      </c>
      <c r="AB355" s="32">
        <v>0</v>
      </c>
      <c r="AC355" s="32" t="s">
        <v>538</v>
      </c>
      <c r="AD355" s="32"/>
      <c r="AE355" s="32">
        <v>0</v>
      </c>
    </row>
    <row r="356" spans="1:31" x14ac:dyDescent="0.25">
      <c r="A356">
        <v>6132</v>
      </c>
      <c r="B356" t="s">
        <v>176</v>
      </c>
      <c r="C356" t="s">
        <v>177</v>
      </c>
      <c r="D356" s="35">
        <v>111644.8</v>
      </c>
      <c r="E356">
        <v>1246117516</v>
      </c>
      <c r="F356" s="321">
        <v>45536</v>
      </c>
      <c r="G356" s="321"/>
      <c r="H356" t="s">
        <v>172</v>
      </c>
      <c r="I356" t="s">
        <v>173</v>
      </c>
      <c r="J356">
        <v>2140</v>
      </c>
      <c r="K356" s="321">
        <v>45261</v>
      </c>
      <c r="L356">
        <v>1010100</v>
      </c>
      <c r="M356" t="s">
        <v>35</v>
      </c>
      <c r="N356">
        <v>606</v>
      </c>
      <c r="O356" s="32">
        <v>0</v>
      </c>
      <c r="P356" s="32">
        <v>0</v>
      </c>
      <c r="Q356" s="32">
        <v>0</v>
      </c>
      <c r="R356" s="32">
        <v>0</v>
      </c>
      <c r="S356" s="32">
        <v>0</v>
      </c>
      <c r="T356" s="32">
        <v>0</v>
      </c>
      <c r="U356" s="32">
        <v>111644.8</v>
      </c>
      <c r="V356" s="32">
        <v>0</v>
      </c>
      <c r="W356" s="32">
        <v>3349.3440000000001</v>
      </c>
      <c r="X356" s="32">
        <v>108295.45600000001</v>
      </c>
      <c r="Y356" s="32">
        <v>108295.45600000001</v>
      </c>
      <c r="Z356" s="32">
        <v>111644.8</v>
      </c>
      <c r="AA356" s="32">
        <v>-111644.8</v>
      </c>
      <c r="AB356" s="32">
        <v>0</v>
      </c>
      <c r="AC356" s="32" t="s">
        <v>538</v>
      </c>
      <c r="AD356" s="32"/>
      <c r="AE356" s="32">
        <v>0</v>
      </c>
    </row>
    <row r="357" spans="1:31" x14ac:dyDescent="0.25">
      <c r="A357">
        <v>6132</v>
      </c>
      <c r="B357" t="s">
        <v>176</v>
      </c>
      <c r="C357" t="s">
        <v>177</v>
      </c>
      <c r="D357" s="35">
        <v>136005.5</v>
      </c>
      <c r="E357">
        <v>1246120768</v>
      </c>
      <c r="F357" s="321">
        <v>45560</v>
      </c>
      <c r="G357" s="321"/>
      <c r="H357" t="s">
        <v>172</v>
      </c>
      <c r="I357" t="s">
        <v>173</v>
      </c>
      <c r="J357">
        <v>2299</v>
      </c>
      <c r="K357" s="321">
        <v>45280</v>
      </c>
      <c r="L357">
        <v>1010100</v>
      </c>
      <c r="M357" t="s">
        <v>35</v>
      </c>
      <c r="N357">
        <v>582</v>
      </c>
      <c r="O357" s="32">
        <v>0</v>
      </c>
      <c r="P357" s="32">
        <v>0</v>
      </c>
      <c r="Q357" s="32">
        <v>0</v>
      </c>
      <c r="R357" s="32">
        <v>0</v>
      </c>
      <c r="S357" s="32">
        <v>0</v>
      </c>
      <c r="T357" s="32">
        <v>0</v>
      </c>
      <c r="U357" s="32">
        <v>136005.5</v>
      </c>
      <c r="V357" s="32">
        <v>0</v>
      </c>
      <c r="W357" s="32">
        <v>4080.165</v>
      </c>
      <c r="X357" s="32">
        <v>131925.33499999999</v>
      </c>
      <c r="Y357" s="32">
        <v>131925.33499999999</v>
      </c>
      <c r="Z357" s="32">
        <v>136005.5</v>
      </c>
      <c r="AA357" s="32">
        <v>-136005.5</v>
      </c>
      <c r="AB357" s="32">
        <v>0</v>
      </c>
      <c r="AC357" s="32" t="s">
        <v>538</v>
      </c>
      <c r="AD357" s="32"/>
      <c r="AE357" s="32">
        <v>0</v>
      </c>
    </row>
    <row r="358" spans="1:31" x14ac:dyDescent="0.25">
      <c r="A358">
        <v>6132</v>
      </c>
      <c r="B358" t="s">
        <v>176</v>
      </c>
      <c r="C358" t="s">
        <v>177</v>
      </c>
      <c r="D358" s="35">
        <v>136005.5</v>
      </c>
      <c r="E358">
        <v>1246124946</v>
      </c>
      <c r="F358" s="321">
        <v>45566</v>
      </c>
      <c r="G358" s="321"/>
      <c r="H358" t="s">
        <v>172</v>
      </c>
      <c r="I358" t="s">
        <v>173</v>
      </c>
      <c r="J358">
        <v>2498</v>
      </c>
      <c r="K358" s="321">
        <v>45306</v>
      </c>
      <c r="L358">
        <v>1010100</v>
      </c>
      <c r="M358" t="s">
        <v>35</v>
      </c>
      <c r="N358">
        <v>576</v>
      </c>
      <c r="O358" s="32">
        <v>0</v>
      </c>
      <c r="P358" s="32">
        <v>0</v>
      </c>
      <c r="Q358" s="32">
        <v>0</v>
      </c>
      <c r="R358" s="32">
        <v>0</v>
      </c>
      <c r="S358" s="32">
        <v>0</v>
      </c>
      <c r="T358" s="32">
        <v>0</v>
      </c>
      <c r="U358" s="32">
        <v>136005.5</v>
      </c>
      <c r="V358" s="32">
        <v>0</v>
      </c>
      <c r="W358" s="32">
        <v>4080.165</v>
      </c>
      <c r="X358" s="32">
        <v>131925.33499999999</v>
      </c>
      <c r="Y358" s="32">
        <v>131925.33499999999</v>
      </c>
      <c r="Z358" s="32">
        <v>136005.5</v>
      </c>
      <c r="AA358" s="32">
        <v>-136005.5</v>
      </c>
      <c r="AB358" s="32">
        <v>0</v>
      </c>
      <c r="AC358" s="32" t="s">
        <v>538</v>
      </c>
      <c r="AD358" s="32"/>
      <c r="AE358" s="32">
        <v>0</v>
      </c>
    </row>
    <row r="359" spans="1:31" x14ac:dyDescent="0.25">
      <c r="A359">
        <v>6132</v>
      </c>
      <c r="B359" t="s">
        <v>176</v>
      </c>
      <c r="C359" t="s">
        <v>177</v>
      </c>
      <c r="D359" s="35">
        <v>87043.520000000004</v>
      </c>
      <c r="E359">
        <v>1246120099</v>
      </c>
      <c r="F359" s="321">
        <v>45558</v>
      </c>
      <c r="G359" s="321"/>
      <c r="H359" t="s">
        <v>172</v>
      </c>
      <c r="I359" t="s">
        <v>173</v>
      </c>
      <c r="J359">
        <v>2279</v>
      </c>
      <c r="K359" s="321">
        <v>45278</v>
      </c>
      <c r="L359">
        <v>1010100</v>
      </c>
      <c r="M359" t="s">
        <v>35</v>
      </c>
      <c r="N359">
        <v>584</v>
      </c>
      <c r="O359" s="32">
        <v>0</v>
      </c>
      <c r="P359" s="32">
        <v>0</v>
      </c>
      <c r="Q359" s="32">
        <v>0</v>
      </c>
      <c r="R359" s="32">
        <v>0</v>
      </c>
      <c r="S359" s="32">
        <v>0</v>
      </c>
      <c r="T359" s="32">
        <v>0</v>
      </c>
      <c r="U359" s="32">
        <v>87043.520000000004</v>
      </c>
      <c r="V359" s="32">
        <v>0</v>
      </c>
      <c r="W359" s="32">
        <v>2611.3056000000001</v>
      </c>
      <c r="X359" s="32">
        <v>84432.214399999997</v>
      </c>
      <c r="Y359" s="32">
        <v>84432.214399999997</v>
      </c>
      <c r="Z359" s="32">
        <v>87043.520000000004</v>
      </c>
      <c r="AA359" s="32">
        <v>-87043.520000000004</v>
      </c>
      <c r="AB359" s="32">
        <v>0</v>
      </c>
      <c r="AC359" s="32" t="s">
        <v>538</v>
      </c>
      <c r="AD359" s="32"/>
      <c r="AE359" s="32">
        <v>0</v>
      </c>
    </row>
    <row r="360" spans="1:31" x14ac:dyDescent="0.25">
      <c r="A360">
        <v>6132</v>
      </c>
      <c r="B360" t="s">
        <v>176</v>
      </c>
      <c r="C360" t="s">
        <v>177</v>
      </c>
      <c r="D360" s="35">
        <v>111465.88</v>
      </c>
      <c r="E360">
        <v>1246127801</v>
      </c>
      <c r="F360" s="321">
        <v>45603</v>
      </c>
      <c r="G360" s="321"/>
      <c r="H360" t="s">
        <v>172</v>
      </c>
      <c r="I360" t="s">
        <v>173</v>
      </c>
      <c r="J360">
        <v>2673</v>
      </c>
      <c r="K360" s="321">
        <v>45323</v>
      </c>
      <c r="L360">
        <v>1010100</v>
      </c>
      <c r="M360" t="s">
        <v>35</v>
      </c>
      <c r="N360">
        <v>539</v>
      </c>
      <c r="O360" s="32">
        <v>0</v>
      </c>
      <c r="P360" s="32">
        <v>0</v>
      </c>
      <c r="Q360" s="32">
        <v>0</v>
      </c>
      <c r="R360" s="32">
        <v>0</v>
      </c>
      <c r="S360" s="32">
        <v>0</v>
      </c>
      <c r="T360" s="32">
        <v>0</v>
      </c>
      <c r="U360" s="32">
        <v>111465.88</v>
      </c>
      <c r="V360" s="32">
        <v>0</v>
      </c>
      <c r="W360" s="32">
        <v>3343.9764</v>
      </c>
      <c r="X360" s="32">
        <v>108121.90360000001</v>
      </c>
      <c r="Y360" s="32">
        <v>108121.90360000001</v>
      </c>
      <c r="Z360" s="32">
        <v>111465.88</v>
      </c>
      <c r="AA360" s="32">
        <v>-111465.88</v>
      </c>
      <c r="AB360" s="32">
        <v>0</v>
      </c>
      <c r="AC360" s="32" t="s">
        <v>538</v>
      </c>
      <c r="AD360" s="32"/>
      <c r="AE360" s="32">
        <v>0</v>
      </c>
    </row>
    <row r="361" spans="1:31" x14ac:dyDescent="0.25">
      <c r="A361">
        <v>6132</v>
      </c>
      <c r="B361" t="s">
        <v>176</v>
      </c>
      <c r="C361" t="s">
        <v>177</v>
      </c>
      <c r="D361" s="35">
        <v>47937.4</v>
      </c>
      <c r="E361">
        <v>1246118354</v>
      </c>
      <c r="F361" s="321">
        <v>45541</v>
      </c>
      <c r="G361" s="321"/>
      <c r="H361" t="s">
        <v>172</v>
      </c>
      <c r="I361" t="s">
        <v>173</v>
      </c>
      <c r="J361">
        <v>2184</v>
      </c>
      <c r="K361" s="321">
        <v>45266</v>
      </c>
      <c r="L361">
        <v>1010100</v>
      </c>
      <c r="M361" t="s">
        <v>35</v>
      </c>
      <c r="N361">
        <v>601</v>
      </c>
      <c r="O361" s="32">
        <v>0</v>
      </c>
      <c r="P361" s="32">
        <v>0</v>
      </c>
      <c r="Q361" s="32">
        <v>0</v>
      </c>
      <c r="R361" s="32">
        <v>0</v>
      </c>
      <c r="S361" s="32">
        <v>0</v>
      </c>
      <c r="T361" s="32">
        <v>0</v>
      </c>
      <c r="U361" s="32">
        <v>47937.4</v>
      </c>
      <c r="V361" s="32">
        <v>0</v>
      </c>
      <c r="W361" s="32">
        <v>1438.1220000000001</v>
      </c>
      <c r="X361" s="32">
        <v>46499.277999999998</v>
      </c>
      <c r="Y361" s="32">
        <v>46499.277999999998</v>
      </c>
      <c r="Z361" s="32">
        <v>47937.4</v>
      </c>
      <c r="AA361" s="32">
        <v>-47937.4</v>
      </c>
      <c r="AB361" s="32">
        <v>0</v>
      </c>
      <c r="AC361" s="32" t="s">
        <v>538</v>
      </c>
      <c r="AD361" s="32"/>
      <c r="AE361" s="32">
        <v>0</v>
      </c>
    </row>
    <row r="362" spans="1:31" x14ac:dyDescent="0.25">
      <c r="A362">
        <v>6132</v>
      </c>
      <c r="B362" t="s">
        <v>176</v>
      </c>
      <c r="C362" t="s">
        <v>177</v>
      </c>
      <c r="D362" s="35">
        <v>155705</v>
      </c>
      <c r="E362">
        <v>1246129974</v>
      </c>
      <c r="F362" s="321">
        <v>45568</v>
      </c>
      <c r="G362" s="321"/>
      <c r="H362" t="s">
        <v>172</v>
      </c>
      <c r="I362" t="s">
        <v>173</v>
      </c>
      <c r="J362">
        <v>2839</v>
      </c>
      <c r="K362" s="321">
        <v>45341</v>
      </c>
      <c r="L362">
        <v>1010100</v>
      </c>
      <c r="M362" t="s">
        <v>35</v>
      </c>
      <c r="N362">
        <v>574</v>
      </c>
      <c r="O362" s="32">
        <v>0</v>
      </c>
      <c r="P362" s="32">
        <v>0</v>
      </c>
      <c r="Q362" s="32">
        <v>0</v>
      </c>
      <c r="R362" s="32">
        <v>0</v>
      </c>
      <c r="S362" s="32">
        <v>0</v>
      </c>
      <c r="T362" s="32">
        <v>0</v>
      </c>
      <c r="U362" s="32">
        <v>155705</v>
      </c>
      <c r="V362" s="32">
        <v>0</v>
      </c>
      <c r="W362" s="32">
        <v>4671.1499999999996</v>
      </c>
      <c r="X362" s="32">
        <v>151033.85</v>
      </c>
      <c r="Y362" s="32">
        <v>151033.85</v>
      </c>
      <c r="Z362" s="32">
        <v>155705</v>
      </c>
      <c r="AA362" s="32">
        <v>-155705</v>
      </c>
      <c r="AB362" s="32">
        <v>0</v>
      </c>
      <c r="AC362" s="32" t="s">
        <v>538</v>
      </c>
      <c r="AD362" s="32"/>
      <c r="AE362" s="32">
        <v>0</v>
      </c>
    </row>
    <row r="363" spans="1:31" x14ac:dyDescent="0.25">
      <c r="A363">
        <v>6132</v>
      </c>
      <c r="B363" t="s">
        <v>176</v>
      </c>
      <c r="C363" t="s">
        <v>177</v>
      </c>
      <c r="D363" s="35">
        <v>42163.65</v>
      </c>
      <c r="E363">
        <v>1246124200</v>
      </c>
      <c r="F363" s="321">
        <v>45569</v>
      </c>
      <c r="G363" s="321"/>
      <c r="H363" t="s">
        <v>172</v>
      </c>
      <c r="I363" t="s">
        <v>173</v>
      </c>
      <c r="J363">
        <v>2455</v>
      </c>
      <c r="K363" s="321">
        <v>45301</v>
      </c>
      <c r="L363">
        <v>1010100</v>
      </c>
      <c r="M363" t="s">
        <v>35</v>
      </c>
      <c r="N363">
        <v>573</v>
      </c>
      <c r="O363" s="32">
        <v>0</v>
      </c>
      <c r="P363" s="32">
        <v>0</v>
      </c>
      <c r="Q363" s="32">
        <v>0</v>
      </c>
      <c r="R363" s="32">
        <v>0</v>
      </c>
      <c r="S363" s="32">
        <v>0</v>
      </c>
      <c r="T363" s="32">
        <v>0</v>
      </c>
      <c r="U363" s="32">
        <v>42163.65</v>
      </c>
      <c r="V363" s="32">
        <v>0</v>
      </c>
      <c r="W363" s="32">
        <v>1264.9095</v>
      </c>
      <c r="X363" s="32">
        <v>40898.7405</v>
      </c>
      <c r="Y363" s="32">
        <v>40898.7405</v>
      </c>
      <c r="Z363" s="32">
        <v>42163.65</v>
      </c>
      <c r="AA363" s="32">
        <v>-42163.65</v>
      </c>
      <c r="AB363" s="32">
        <v>0</v>
      </c>
      <c r="AC363" s="32" t="s">
        <v>538</v>
      </c>
      <c r="AD363" s="32"/>
      <c r="AE363" s="32">
        <v>0</v>
      </c>
    </row>
    <row r="364" spans="1:31" x14ac:dyDescent="0.25">
      <c r="A364">
        <v>6132</v>
      </c>
      <c r="B364" t="s">
        <v>176</v>
      </c>
      <c r="C364" t="s">
        <v>177</v>
      </c>
      <c r="D364" s="35">
        <v>111065.60000000001</v>
      </c>
      <c r="E364">
        <v>1246114703</v>
      </c>
      <c r="F364" s="321">
        <v>45463</v>
      </c>
      <c r="G364" s="321"/>
      <c r="H364" t="s">
        <v>172</v>
      </c>
      <c r="I364" t="s">
        <v>173</v>
      </c>
      <c r="J364">
        <v>1937</v>
      </c>
      <c r="K364" s="321">
        <v>45241</v>
      </c>
      <c r="L364">
        <v>1010100</v>
      </c>
      <c r="M364" t="s">
        <v>35</v>
      </c>
      <c r="N364">
        <v>679</v>
      </c>
      <c r="O364" s="32">
        <v>0</v>
      </c>
      <c r="P364" s="32">
        <v>0</v>
      </c>
      <c r="Q364" s="32">
        <v>0</v>
      </c>
      <c r="R364" s="32">
        <v>0</v>
      </c>
      <c r="S364" s="32">
        <v>0</v>
      </c>
      <c r="T364" s="32">
        <v>0</v>
      </c>
      <c r="U364" s="32">
        <v>111065.60000000001</v>
      </c>
      <c r="V364" s="32">
        <v>0</v>
      </c>
      <c r="W364" s="32">
        <v>3331.9679999999998</v>
      </c>
      <c r="X364" s="32">
        <v>107733.632</v>
      </c>
      <c r="Y364" s="32">
        <v>107733.632</v>
      </c>
      <c r="Z364" s="32">
        <v>111065.60000000001</v>
      </c>
      <c r="AA364" s="32">
        <v>-111065.60000000001</v>
      </c>
      <c r="AB364" s="32">
        <v>0</v>
      </c>
      <c r="AC364" s="32" t="s">
        <v>538</v>
      </c>
      <c r="AD364" s="32"/>
      <c r="AE364" s="32">
        <v>0</v>
      </c>
    </row>
    <row r="365" spans="1:31" x14ac:dyDescent="0.25">
      <c r="A365">
        <v>6132</v>
      </c>
      <c r="B365" t="s">
        <v>176</v>
      </c>
      <c r="C365" t="s">
        <v>177</v>
      </c>
      <c r="D365" s="35">
        <v>27201.1</v>
      </c>
      <c r="E365">
        <v>1246125717</v>
      </c>
      <c r="F365" s="321">
        <v>45566</v>
      </c>
      <c r="G365" s="321"/>
      <c r="H365" t="s">
        <v>172</v>
      </c>
      <c r="I365" t="s">
        <v>173</v>
      </c>
      <c r="J365">
        <v>2542</v>
      </c>
      <c r="K365" s="321">
        <v>45310</v>
      </c>
      <c r="L365">
        <v>1010100</v>
      </c>
      <c r="M365" t="s">
        <v>35</v>
      </c>
      <c r="N365">
        <v>576</v>
      </c>
      <c r="O365" s="32">
        <v>0</v>
      </c>
      <c r="P365" s="32">
        <v>0</v>
      </c>
      <c r="Q365" s="32">
        <v>0</v>
      </c>
      <c r="R365" s="32">
        <v>0</v>
      </c>
      <c r="S365" s="32">
        <v>0</v>
      </c>
      <c r="T365" s="32">
        <v>0</v>
      </c>
      <c r="U365" s="32">
        <v>27201.1</v>
      </c>
      <c r="V365" s="32">
        <v>0</v>
      </c>
      <c r="W365" s="32">
        <v>816.0329999999999</v>
      </c>
      <c r="X365" s="32">
        <v>26385.066999999999</v>
      </c>
      <c r="Y365" s="32">
        <v>26385.066999999999</v>
      </c>
      <c r="Z365" s="32">
        <v>27201.1</v>
      </c>
      <c r="AA365" s="32">
        <v>-27201.1</v>
      </c>
      <c r="AB365" s="32">
        <v>0</v>
      </c>
      <c r="AC365" s="32" t="s">
        <v>538</v>
      </c>
      <c r="AD365" s="32"/>
      <c r="AE365" s="32">
        <v>0</v>
      </c>
    </row>
    <row r="366" spans="1:31" x14ac:dyDescent="0.25">
      <c r="A366">
        <v>6132</v>
      </c>
      <c r="B366" t="s">
        <v>176</v>
      </c>
      <c r="C366" t="s">
        <v>177</v>
      </c>
      <c r="D366" s="35">
        <v>136005.5</v>
      </c>
      <c r="E366">
        <v>1246124718</v>
      </c>
      <c r="F366" s="321">
        <v>45563</v>
      </c>
      <c r="G366" s="321"/>
      <c r="H366" t="s">
        <v>172</v>
      </c>
      <c r="I366" t="s">
        <v>173</v>
      </c>
      <c r="J366">
        <v>2489</v>
      </c>
      <c r="K366" s="321">
        <v>45303</v>
      </c>
      <c r="L366">
        <v>1010100</v>
      </c>
      <c r="M366" t="s">
        <v>35</v>
      </c>
      <c r="N366">
        <v>579</v>
      </c>
      <c r="O366" s="32">
        <v>0</v>
      </c>
      <c r="P366" s="32">
        <v>0</v>
      </c>
      <c r="Q366" s="32">
        <v>0</v>
      </c>
      <c r="R366" s="32">
        <v>0</v>
      </c>
      <c r="S366" s="32">
        <v>0</v>
      </c>
      <c r="T366" s="32">
        <v>0</v>
      </c>
      <c r="U366" s="32">
        <v>136005.5</v>
      </c>
      <c r="V366" s="32">
        <v>0</v>
      </c>
      <c r="W366" s="32">
        <v>4080.165</v>
      </c>
      <c r="X366" s="32">
        <v>131925.33499999999</v>
      </c>
      <c r="Y366" s="32">
        <v>131925.33499999999</v>
      </c>
      <c r="Z366" s="32">
        <v>136005.5</v>
      </c>
      <c r="AA366" s="32">
        <v>-136005.5</v>
      </c>
      <c r="AB366" s="32">
        <v>0</v>
      </c>
      <c r="AC366" s="32" t="s">
        <v>538</v>
      </c>
      <c r="AD366" s="32"/>
      <c r="AE366" s="32">
        <v>0</v>
      </c>
    </row>
    <row r="367" spans="1:31" x14ac:dyDescent="0.25">
      <c r="A367">
        <v>6132</v>
      </c>
      <c r="B367" t="s">
        <v>176</v>
      </c>
      <c r="C367" t="s">
        <v>177</v>
      </c>
      <c r="D367" s="35">
        <v>45093</v>
      </c>
      <c r="E367">
        <v>1246128683</v>
      </c>
      <c r="F367" s="321">
        <v>45604</v>
      </c>
      <c r="G367" s="321"/>
      <c r="H367" t="s">
        <v>172</v>
      </c>
      <c r="I367" t="s">
        <v>173</v>
      </c>
      <c r="J367">
        <v>2738</v>
      </c>
      <c r="K367" s="321">
        <v>45329</v>
      </c>
      <c r="L367">
        <v>1010100</v>
      </c>
      <c r="M367" t="s">
        <v>35</v>
      </c>
      <c r="N367">
        <v>538</v>
      </c>
      <c r="O367" s="32">
        <v>0</v>
      </c>
      <c r="P367" s="32">
        <v>0</v>
      </c>
      <c r="Q367" s="32">
        <v>0</v>
      </c>
      <c r="R367" s="32">
        <v>0</v>
      </c>
      <c r="S367" s="32">
        <v>0</v>
      </c>
      <c r="T367" s="32">
        <v>0</v>
      </c>
      <c r="U367" s="32">
        <v>45093</v>
      </c>
      <c r="V367" s="32">
        <v>0</v>
      </c>
      <c r="W367" s="32">
        <v>1352.79</v>
      </c>
      <c r="X367" s="32">
        <v>43740.21</v>
      </c>
      <c r="Y367" s="32">
        <v>43740.21</v>
      </c>
      <c r="Z367" s="32">
        <v>45093</v>
      </c>
      <c r="AA367" s="32">
        <v>-45093</v>
      </c>
      <c r="AB367" s="32">
        <v>0</v>
      </c>
      <c r="AC367" s="32" t="s">
        <v>538</v>
      </c>
      <c r="AD367" s="32"/>
      <c r="AE367" s="32">
        <v>0</v>
      </c>
    </row>
    <row r="368" spans="1:31" x14ac:dyDescent="0.25">
      <c r="A368">
        <v>6132</v>
      </c>
      <c r="B368" t="s">
        <v>176</v>
      </c>
      <c r="C368" t="s">
        <v>177</v>
      </c>
      <c r="D368" s="35">
        <v>82986.649999999994</v>
      </c>
      <c r="E368">
        <v>1246113430</v>
      </c>
      <c r="F368" s="321">
        <v>45476</v>
      </c>
      <c r="G368" s="321"/>
      <c r="H368" t="s">
        <v>172</v>
      </c>
      <c r="I368" t="s">
        <v>173</v>
      </c>
      <c r="J368">
        <v>1851</v>
      </c>
      <c r="K368" s="321">
        <v>45236</v>
      </c>
      <c r="L368">
        <v>1010100</v>
      </c>
      <c r="M368" t="s">
        <v>35</v>
      </c>
      <c r="N368">
        <v>666</v>
      </c>
      <c r="O368" s="32">
        <v>0</v>
      </c>
      <c r="P368" s="32">
        <v>0</v>
      </c>
      <c r="Q368" s="32">
        <v>0</v>
      </c>
      <c r="R368" s="32">
        <v>0</v>
      </c>
      <c r="S368" s="32">
        <v>0</v>
      </c>
      <c r="T368" s="32">
        <v>0</v>
      </c>
      <c r="U368" s="32">
        <v>82986.649999999994</v>
      </c>
      <c r="V368" s="32">
        <v>0</v>
      </c>
      <c r="W368" s="32">
        <v>2489.5994999999998</v>
      </c>
      <c r="X368" s="32">
        <v>80497.050499999998</v>
      </c>
      <c r="Y368" s="32">
        <v>80497.050499999998</v>
      </c>
      <c r="Z368" s="32">
        <v>82986.649999999994</v>
      </c>
      <c r="AA368" s="32">
        <v>-82986.649999999994</v>
      </c>
      <c r="AB368" s="32">
        <v>0</v>
      </c>
      <c r="AC368" s="32" t="s">
        <v>538</v>
      </c>
      <c r="AD368" s="32"/>
      <c r="AE368" s="32">
        <v>0</v>
      </c>
    </row>
    <row r="369" spans="1:31" x14ac:dyDescent="0.25">
      <c r="A369">
        <v>6132</v>
      </c>
      <c r="B369" t="s">
        <v>176</v>
      </c>
      <c r="C369" t="s">
        <v>177</v>
      </c>
      <c r="D369" s="35">
        <v>174445</v>
      </c>
      <c r="E369">
        <v>1246116577</v>
      </c>
      <c r="F369" s="321">
        <v>45468</v>
      </c>
      <c r="G369" s="321"/>
      <c r="H369" t="s">
        <v>172</v>
      </c>
      <c r="I369" t="s">
        <v>173</v>
      </c>
      <c r="J369">
        <v>2091</v>
      </c>
      <c r="K369" s="321">
        <v>45254</v>
      </c>
      <c r="L369">
        <v>1010100</v>
      </c>
      <c r="M369" t="s">
        <v>35</v>
      </c>
      <c r="N369">
        <v>674</v>
      </c>
      <c r="O369" s="32">
        <v>0</v>
      </c>
      <c r="P369" s="32">
        <v>0</v>
      </c>
      <c r="Q369" s="32">
        <v>0</v>
      </c>
      <c r="R369" s="32">
        <v>0</v>
      </c>
      <c r="S369" s="32">
        <v>0</v>
      </c>
      <c r="T369" s="32">
        <v>0</v>
      </c>
      <c r="U369" s="32">
        <v>174445</v>
      </c>
      <c r="V369" s="32">
        <v>0</v>
      </c>
      <c r="W369" s="32">
        <v>5233.3499999999995</v>
      </c>
      <c r="X369" s="32">
        <v>169211.65</v>
      </c>
      <c r="Y369" s="32">
        <v>169211.65</v>
      </c>
      <c r="Z369" s="32">
        <v>174445</v>
      </c>
      <c r="AA369" s="32">
        <v>-174445</v>
      </c>
      <c r="AB369" s="32">
        <v>0</v>
      </c>
      <c r="AC369" s="32" t="s">
        <v>538</v>
      </c>
      <c r="AD369" s="32"/>
      <c r="AE369" s="32">
        <v>0</v>
      </c>
    </row>
    <row r="370" spans="1:31" x14ac:dyDescent="0.25">
      <c r="A370">
        <v>6132</v>
      </c>
      <c r="B370" t="s">
        <v>176</v>
      </c>
      <c r="C370" t="s">
        <v>177</v>
      </c>
      <c r="D370" s="35">
        <v>158956.25</v>
      </c>
      <c r="E370">
        <v>1246104181</v>
      </c>
      <c r="F370" s="321">
        <v>45444</v>
      </c>
      <c r="G370" s="321"/>
      <c r="H370" t="s">
        <v>172</v>
      </c>
      <c r="I370" t="s">
        <v>173</v>
      </c>
      <c r="J370">
        <v>1180</v>
      </c>
      <c r="K370" s="321">
        <v>45184</v>
      </c>
      <c r="L370">
        <v>1010100</v>
      </c>
      <c r="M370" t="s">
        <v>35</v>
      </c>
      <c r="N370">
        <v>698</v>
      </c>
      <c r="O370" s="32">
        <v>0</v>
      </c>
      <c r="P370" s="32">
        <v>0</v>
      </c>
      <c r="Q370" s="32">
        <v>0</v>
      </c>
      <c r="R370" s="32">
        <v>0</v>
      </c>
      <c r="S370" s="32">
        <v>0</v>
      </c>
      <c r="T370" s="32">
        <v>0</v>
      </c>
      <c r="U370" s="32">
        <v>158956.25</v>
      </c>
      <c r="V370" s="32">
        <v>0</v>
      </c>
      <c r="W370" s="32">
        <v>4768.6875</v>
      </c>
      <c r="X370" s="32">
        <v>154187.5625</v>
      </c>
      <c r="Y370" s="32">
        <v>154187.5625</v>
      </c>
      <c r="Z370" s="32">
        <v>158956.25</v>
      </c>
      <c r="AA370" s="32">
        <v>-158956.25</v>
      </c>
      <c r="AB370" s="32">
        <v>0</v>
      </c>
      <c r="AC370" s="32" t="s">
        <v>538</v>
      </c>
      <c r="AD370" s="32"/>
      <c r="AE370" s="32">
        <v>0</v>
      </c>
    </row>
    <row r="371" spans="1:31" x14ac:dyDescent="0.25">
      <c r="A371">
        <v>6132</v>
      </c>
      <c r="B371" t="s">
        <v>176</v>
      </c>
      <c r="C371" t="s">
        <v>177</v>
      </c>
      <c r="D371" s="35">
        <v>171662.49999999997</v>
      </c>
      <c r="E371">
        <v>1246112815</v>
      </c>
      <c r="F371" s="321">
        <v>45471</v>
      </c>
      <c r="G371" s="321"/>
      <c r="H371" t="s">
        <v>172</v>
      </c>
      <c r="I371" t="s">
        <v>173</v>
      </c>
      <c r="J371">
        <v>1799</v>
      </c>
      <c r="K371" s="321">
        <v>45231</v>
      </c>
      <c r="L371">
        <v>1010100</v>
      </c>
      <c r="M371" t="s">
        <v>35</v>
      </c>
      <c r="N371">
        <v>671</v>
      </c>
      <c r="O371" s="32">
        <v>0</v>
      </c>
      <c r="P371" s="32">
        <v>0</v>
      </c>
      <c r="Q371" s="32">
        <v>0</v>
      </c>
      <c r="R371" s="32">
        <v>0</v>
      </c>
      <c r="S371" s="32">
        <v>0</v>
      </c>
      <c r="T371" s="32">
        <v>0</v>
      </c>
      <c r="U371" s="32">
        <v>171662.49999999997</v>
      </c>
      <c r="V371" s="32">
        <v>0</v>
      </c>
      <c r="W371" s="32">
        <v>5149.8749999999991</v>
      </c>
      <c r="X371" s="32">
        <v>166512.62499999997</v>
      </c>
      <c r="Y371" s="32">
        <v>166512.62499999997</v>
      </c>
      <c r="Z371" s="32">
        <v>171662.49999999997</v>
      </c>
      <c r="AA371" s="32">
        <v>-171662.49999999997</v>
      </c>
      <c r="AB371" s="32">
        <v>0</v>
      </c>
      <c r="AC371" s="32" t="s">
        <v>538</v>
      </c>
      <c r="AD371" s="32"/>
      <c r="AE371" s="32">
        <v>0</v>
      </c>
    </row>
    <row r="372" spans="1:31" x14ac:dyDescent="0.25">
      <c r="A372">
        <v>6132</v>
      </c>
      <c r="B372" t="s">
        <v>176</v>
      </c>
      <c r="C372" t="s">
        <v>177</v>
      </c>
      <c r="D372" s="35">
        <v>174610</v>
      </c>
      <c r="E372">
        <v>1246113736</v>
      </c>
      <c r="F372" s="321">
        <v>45478</v>
      </c>
      <c r="G372" s="321"/>
      <c r="H372" t="s">
        <v>172</v>
      </c>
      <c r="I372" t="s">
        <v>173</v>
      </c>
      <c r="J372">
        <v>1878</v>
      </c>
      <c r="K372" s="321">
        <v>45238</v>
      </c>
      <c r="L372">
        <v>1010100</v>
      </c>
      <c r="M372" t="s">
        <v>35</v>
      </c>
      <c r="N372">
        <v>664</v>
      </c>
      <c r="O372" s="32">
        <v>0</v>
      </c>
      <c r="P372" s="32">
        <v>0</v>
      </c>
      <c r="Q372" s="32">
        <v>0</v>
      </c>
      <c r="R372" s="32">
        <v>0</v>
      </c>
      <c r="S372" s="32">
        <v>0</v>
      </c>
      <c r="T372" s="32">
        <v>0</v>
      </c>
      <c r="U372" s="32">
        <v>174610</v>
      </c>
      <c r="V372" s="32">
        <v>0</v>
      </c>
      <c r="W372" s="32">
        <v>5238.3</v>
      </c>
      <c r="X372" s="32">
        <v>169371.69999999998</v>
      </c>
      <c r="Y372" s="32">
        <v>169371.69999999998</v>
      </c>
      <c r="Z372" s="32">
        <v>174610</v>
      </c>
      <c r="AA372" s="32">
        <v>-174610</v>
      </c>
      <c r="AB372" s="32">
        <v>0</v>
      </c>
      <c r="AC372" s="32" t="s">
        <v>538</v>
      </c>
      <c r="AD372" s="32"/>
      <c r="AE372" s="32">
        <v>0</v>
      </c>
    </row>
    <row r="373" spans="1:31" x14ac:dyDescent="0.25">
      <c r="A373">
        <v>6132</v>
      </c>
      <c r="B373" t="s">
        <v>176</v>
      </c>
      <c r="C373" t="s">
        <v>177</v>
      </c>
      <c r="D373" s="35">
        <v>87840</v>
      </c>
      <c r="E373">
        <v>1246111212</v>
      </c>
      <c r="F373" s="321">
        <v>45464</v>
      </c>
      <c r="G373" s="321"/>
      <c r="H373" t="s">
        <v>172</v>
      </c>
      <c r="I373" t="s">
        <v>173</v>
      </c>
      <c r="J373">
        <v>1720</v>
      </c>
      <c r="K373" s="321">
        <v>45224</v>
      </c>
      <c r="L373">
        <v>1010100</v>
      </c>
      <c r="M373" t="s">
        <v>35</v>
      </c>
      <c r="N373">
        <v>678</v>
      </c>
      <c r="O373" s="32">
        <v>0</v>
      </c>
      <c r="P373" s="32">
        <v>0</v>
      </c>
      <c r="Q373" s="32">
        <v>0</v>
      </c>
      <c r="R373" s="32">
        <v>0</v>
      </c>
      <c r="S373" s="32">
        <v>0</v>
      </c>
      <c r="T373" s="32">
        <v>0</v>
      </c>
      <c r="U373" s="32">
        <v>87840</v>
      </c>
      <c r="V373" s="32">
        <v>0</v>
      </c>
      <c r="W373" s="32">
        <v>2635.2</v>
      </c>
      <c r="X373" s="32">
        <v>85204.800000000003</v>
      </c>
      <c r="Y373" s="32">
        <v>85204.800000000003</v>
      </c>
      <c r="Z373" s="32">
        <v>87840</v>
      </c>
      <c r="AA373" s="32">
        <v>-87840</v>
      </c>
      <c r="AB373" s="32">
        <v>0</v>
      </c>
      <c r="AC373" s="32" t="s">
        <v>538</v>
      </c>
      <c r="AD373" s="32"/>
      <c r="AE373" s="32">
        <v>0</v>
      </c>
    </row>
    <row r="374" spans="1:31" x14ac:dyDescent="0.25">
      <c r="A374">
        <v>6132</v>
      </c>
      <c r="B374" t="s">
        <v>176</v>
      </c>
      <c r="C374" t="s">
        <v>177</v>
      </c>
      <c r="D374" s="35">
        <v>23787.68</v>
      </c>
      <c r="E374">
        <v>1246115170</v>
      </c>
      <c r="F374" s="321">
        <v>45466</v>
      </c>
      <c r="G374" s="321"/>
      <c r="H374" t="s">
        <v>172</v>
      </c>
      <c r="I374" t="s">
        <v>173</v>
      </c>
      <c r="J374">
        <v>1975</v>
      </c>
      <c r="K374" s="321">
        <v>45244</v>
      </c>
      <c r="L374">
        <v>1010100</v>
      </c>
      <c r="M374" t="s">
        <v>35</v>
      </c>
      <c r="N374">
        <v>676</v>
      </c>
      <c r="O374" s="32">
        <v>0</v>
      </c>
      <c r="P374" s="32">
        <v>0</v>
      </c>
      <c r="Q374" s="32">
        <v>0</v>
      </c>
      <c r="R374" s="32">
        <v>0</v>
      </c>
      <c r="S374" s="32">
        <v>0</v>
      </c>
      <c r="T374" s="32">
        <v>0</v>
      </c>
      <c r="U374" s="32">
        <v>23787.68</v>
      </c>
      <c r="V374" s="32">
        <v>0</v>
      </c>
      <c r="W374" s="32">
        <v>713.63040000000001</v>
      </c>
      <c r="X374" s="32">
        <v>23074.049599999998</v>
      </c>
      <c r="Y374" s="32">
        <v>23074.049599999998</v>
      </c>
      <c r="Z374" s="32">
        <v>23787.68</v>
      </c>
      <c r="AA374" s="32">
        <v>-23787.68</v>
      </c>
      <c r="AB374" s="32">
        <v>0</v>
      </c>
      <c r="AC374" s="32" t="s">
        <v>538</v>
      </c>
      <c r="AD374" s="32"/>
      <c r="AE374" s="32">
        <v>0</v>
      </c>
    </row>
    <row r="375" spans="1:31" x14ac:dyDescent="0.25">
      <c r="A375">
        <v>6132</v>
      </c>
      <c r="B375" t="s">
        <v>176</v>
      </c>
      <c r="C375" t="s">
        <v>177</v>
      </c>
      <c r="D375" s="35">
        <v>30381.599999999999</v>
      </c>
      <c r="E375">
        <v>1246115171</v>
      </c>
      <c r="F375" s="321">
        <v>45466</v>
      </c>
      <c r="G375" s="321"/>
      <c r="H375" t="s">
        <v>172</v>
      </c>
      <c r="I375" t="s">
        <v>173</v>
      </c>
      <c r="J375">
        <v>1976</v>
      </c>
      <c r="K375" s="321">
        <v>45244</v>
      </c>
      <c r="L375">
        <v>1010100</v>
      </c>
      <c r="M375" t="s">
        <v>35</v>
      </c>
      <c r="N375">
        <v>676</v>
      </c>
      <c r="O375" s="32">
        <v>0</v>
      </c>
      <c r="P375" s="32">
        <v>0</v>
      </c>
      <c r="Q375" s="32">
        <v>0</v>
      </c>
      <c r="R375" s="32">
        <v>0</v>
      </c>
      <c r="S375" s="32">
        <v>0</v>
      </c>
      <c r="T375" s="32">
        <v>0</v>
      </c>
      <c r="U375" s="32">
        <v>30381.599999999999</v>
      </c>
      <c r="V375" s="32">
        <v>0</v>
      </c>
      <c r="W375" s="32">
        <v>911.44799999999998</v>
      </c>
      <c r="X375" s="32">
        <v>29470.151999999998</v>
      </c>
      <c r="Y375" s="32">
        <v>29470.151999999998</v>
      </c>
      <c r="Z375" s="32">
        <v>30381.599999999999</v>
      </c>
      <c r="AA375" s="32">
        <v>-30381.599999999999</v>
      </c>
      <c r="AB375" s="32">
        <v>0</v>
      </c>
      <c r="AC375" s="32" t="s">
        <v>538</v>
      </c>
      <c r="AD375" s="32"/>
      <c r="AE375" s="32">
        <v>0</v>
      </c>
    </row>
    <row r="376" spans="1:31" x14ac:dyDescent="0.25">
      <c r="A376">
        <v>6132</v>
      </c>
      <c r="B376" t="s">
        <v>176</v>
      </c>
      <c r="C376" t="s">
        <v>177</v>
      </c>
      <c r="D376" s="35">
        <v>107022</v>
      </c>
      <c r="E376">
        <v>1246110109</v>
      </c>
      <c r="F376" s="321">
        <v>45439</v>
      </c>
      <c r="G376" s="321"/>
      <c r="H376" t="s">
        <v>172</v>
      </c>
      <c r="I376" t="s">
        <v>173</v>
      </c>
      <c r="J376">
        <v>347</v>
      </c>
      <c r="K376" s="321">
        <v>45217</v>
      </c>
      <c r="L376">
        <v>1010100</v>
      </c>
      <c r="M376" t="s">
        <v>35</v>
      </c>
      <c r="N376">
        <v>703</v>
      </c>
      <c r="O376" s="32">
        <v>0</v>
      </c>
      <c r="P376" s="32">
        <v>0</v>
      </c>
      <c r="Q376" s="32">
        <v>0</v>
      </c>
      <c r="R376" s="32">
        <v>0</v>
      </c>
      <c r="S376" s="32">
        <v>0</v>
      </c>
      <c r="T376" s="32">
        <v>0</v>
      </c>
      <c r="U376" s="32">
        <v>107022</v>
      </c>
      <c r="V376" s="32">
        <v>0</v>
      </c>
      <c r="W376" s="32">
        <v>3210.66</v>
      </c>
      <c r="X376" s="32">
        <v>103811.34</v>
      </c>
      <c r="Y376" s="32">
        <v>103811.34</v>
      </c>
      <c r="Z376" s="32">
        <v>107022</v>
      </c>
      <c r="AA376" s="32">
        <v>-107022</v>
      </c>
      <c r="AB376" s="32">
        <v>0</v>
      </c>
      <c r="AC376" s="32" t="s">
        <v>538</v>
      </c>
      <c r="AD376" s="32"/>
      <c r="AE376" s="32">
        <v>0</v>
      </c>
    </row>
    <row r="377" spans="1:31" x14ac:dyDescent="0.25">
      <c r="A377">
        <v>6132</v>
      </c>
      <c r="B377" t="s">
        <v>176</v>
      </c>
      <c r="C377" t="s">
        <v>177</v>
      </c>
      <c r="D377" s="35">
        <v>83822.5</v>
      </c>
      <c r="E377">
        <v>1246111211</v>
      </c>
      <c r="F377" s="321">
        <v>45464</v>
      </c>
      <c r="G377" s="321"/>
      <c r="H377" t="s">
        <v>172</v>
      </c>
      <c r="I377" t="s">
        <v>173</v>
      </c>
      <c r="J377">
        <v>1719</v>
      </c>
      <c r="K377" s="321">
        <v>45224</v>
      </c>
      <c r="L377">
        <v>1010100</v>
      </c>
      <c r="M377" t="s">
        <v>35</v>
      </c>
      <c r="N377">
        <v>678</v>
      </c>
      <c r="O377" s="32">
        <v>0</v>
      </c>
      <c r="P377" s="32">
        <v>0</v>
      </c>
      <c r="Q377" s="32">
        <v>0</v>
      </c>
      <c r="R377" s="32">
        <v>0</v>
      </c>
      <c r="S377" s="32">
        <v>0</v>
      </c>
      <c r="T377" s="32">
        <v>0</v>
      </c>
      <c r="U377" s="32">
        <v>83822.5</v>
      </c>
      <c r="V377" s="32">
        <v>0</v>
      </c>
      <c r="W377" s="32">
        <v>2514.6749999999997</v>
      </c>
      <c r="X377" s="32">
        <v>81307.824999999997</v>
      </c>
      <c r="Y377" s="32">
        <v>81307.824999999997</v>
      </c>
      <c r="Z377" s="32">
        <v>83822.5</v>
      </c>
      <c r="AA377" s="32">
        <v>-83822.5</v>
      </c>
      <c r="AB377" s="32">
        <v>0</v>
      </c>
      <c r="AC377" s="32" t="s">
        <v>538</v>
      </c>
      <c r="AD377" s="32"/>
      <c r="AE377" s="32">
        <v>0</v>
      </c>
    </row>
    <row r="378" spans="1:31" x14ac:dyDescent="0.25">
      <c r="A378">
        <v>6132</v>
      </c>
      <c r="B378" t="s">
        <v>176</v>
      </c>
      <c r="C378" t="s">
        <v>177</v>
      </c>
      <c r="D378" s="35">
        <v>169458.49999999997</v>
      </c>
      <c r="E378">
        <v>1246110264</v>
      </c>
      <c r="F378" s="321">
        <v>45440</v>
      </c>
      <c r="G378" s="321"/>
      <c r="H378" t="s">
        <v>172</v>
      </c>
      <c r="I378" t="s">
        <v>173</v>
      </c>
      <c r="J378">
        <v>1662</v>
      </c>
      <c r="K378" s="321">
        <v>45218</v>
      </c>
      <c r="L378">
        <v>1010100</v>
      </c>
      <c r="M378" t="s">
        <v>35</v>
      </c>
      <c r="N378">
        <v>702</v>
      </c>
      <c r="O378" s="32">
        <v>0</v>
      </c>
      <c r="P378" s="32">
        <v>0</v>
      </c>
      <c r="Q378" s="32">
        <v>0</v>
      </c>
      <c r="R378" s="32">
        <v>0</v>
      </c>
      <c r="S378" s="32">
        <v>0</v>
      </c>
      <c r="T378" s="32">
        <v>0</v>
      </c>
      <c r="U378" s="32">
        <v>169458.49999999997</v>
      </c>
      <c r="V378" s="32">
        <v>0</v>
      </c>
      <c r="W378" s="32">
        <v>5083.7549999999992</v>
      </c>
      <c r="X378" s="32">
        <v>164374.74499999997</v>
      </c>
      <c r="Y378" s="32">
        <v>164374.74499999997</v>
      </c>
      <c r="Z378" s="32">
        <v>169458.49999999997</v>
      </c>
      <c r="AA378" s="32">
        <v>-169458.49999999997</v>
      </c>
      <c r="AB378" s="32">
        <v>0</v>
      </c>
      <c r="AC378" s="32" t="s">
        <v>538</v>
      </c>
      <c r="AD378" s="32"/>
      <c r="AE378" s="32">
        <v>0</v>
      </c>
    </row>
    <row r="379" spans="1:31" x14ac:dyDescent="0.25">
      <c r="A379">
        <v>6132</v>
      </c>
      <c r="B379" t="s">
        <v>176</v>
      </c>
      <c r="C379" t="s">
        <v>177</v>
      </c>
      <c r="D379" s="35">
        <v>135934</v>
      </c>
      <c r="E379">
        <v>1246131961</v>
      </c>
      <c r="F379" s="321">
        <v>45566</v>
      </c>
      <c r="G379" s="321"/>
      <c r="H379" t="s">
        <v>172</v>
      </c>
      <c r="I379" t="s">
        <v>173</v>
      </c>
      <c r="J379">
        <v>2969</v>
      </c>
      <c r="K379" s="321">
        <v>45352</v>
      </c>
      <c r="L379">
        <v>1010100</v>
      </c>
      <c r="M379" t="s">
        <v>35</v>
      </c>
      <c r="N379">
        <v>576</v>
      </c>
      <c r="O379" s="32">
        <v>0</v>
      </c>
      <c r="P379" s="32">
        <v>0</v>
      </c>
      <c r="Q379" s="32">
        <v>0</v>
      </c>
      <c r="R379" s="32">
        <v>0</v>
      </c>
      <c r="S379" s="32">
        <v>0</v>
      </c>
      <c r="T379" s="32">
        <v>0</v>
      </c>
      <c r="U379" s="32">
        <v>135934</v>
      </c>
      <c r="V379" s="32">
        <v>0</v>
      </c>
      <c r="W379" s="32">
        <v>4078.02</v>
      </c>
      <c r="X379" s="32">
        <v>131855.98000000001</v>
      </c>
      <c r="Y379" s="32">
        <v>131855.98000000001</v>
      </c>
      <c r="Z379" s="32">
        <v>135934</v>
      </c>
      <c r="AA379" s="32">
        <v>-135934</v>
      </c>
      <c r="AB379" s="32">
        <v>0</v>
      </c>
      <c r="AC379" s="32" t="s">
        <v>538</v>
      </c>
      <c r="AD379" s="32"/>
      <c r="AE379" s="32">
        <v>0</v>
      </c>
    </row>
    <row r="380" spans="1:31" x14ac:dyDescent="0.25">
      <c r="A380">
        <v>6132</v>
      </c>
      <c r="B380" t="s">
        <v>176</v>
      </c>
      <c r="C380" t="s">
        <v>177</v>
      </c>
      <c r="D380" s="35">
        <v>108747.2</v>
      </c>
      <c r="E380">
        <v>1246132951</v>
      </c>
      <c r="F380" s="321">
        <v>45572</v>
      </c>
      <c r="G380" s="321"/>
      <c r="H380" t="s">
        <v>172</v>
      </c>
      <c r="I380" t="s">
        <v>173</v>
      </c>
      <c r="J380">
        <v>3007</v>
      </c>
      <c r="K380" s="321">
        <v>45358</v>
      </c>
      <c r="L380">
        <v>1010100</v>
      </c>
      <c r="M380" t="s">
        <v>35</v>
      </c>
      <c r="N380">
        <v>570</v>
      </c>
      <c r="O380" s="32">
        <v>0</v>
      </c>
      <c r="P380" s="32">
        <v>0</v>
      </c>
      <c r="Q380" s="32">
        <v>0</v>
      </c>
      <c r="R380" s="32">
        <v>0</v>
      </c>
      <c r="S380" s="32">
        <v>0</v>
      </c>
      <c r="T380" s="32">
        <v>0</v>
      </c>
      <c r="U380" s="32">
        <v>108747.2</v>
      </c>
      <c r="V380" s="32">
        <v>0</v>
      </c>
      <c r="W380" s="32">
        <v>3262.4159999999997</v>
      </c>
      <c r="X380" s="32">
        <v>105484.784</v>
      </c>
      <c r="Y380" s="32">
        <v>105484.784</v>
      </c>
      <c r="Z380" s="32">
        <v>108747.2</v>
      </c>
      <c r="AA380" s="32">
        <v>-108747.2</v>
      </c>
      <c r="AB380" s="32">
        <v>0</v>
      </c>
      <c r="AC380" s="32" t="s">
        <v>538</v>
      </c>
      <c r="AD380" s="32"/>
      <c r="AE380" s="32">
        <v>0</v>
      </c>
    </row>
    <row r="381" spans="1:31" x14ac:dyDescent="0.25">
      <c r="A381">
        <v>6132</v>
      </c>
      <c r="B381" t="s">
        <v>176</v>
      </c>
      <c r="C381" t="s">
        <v>177</v>
      </c>
      <c r="D381" s="35">
        <v>86997.759999999995</v>
      </c>
      <c r="E381">
        <v>1246131102</v>
      </c>
      <c r="F381" s="321">
        <v>45570</v>
      </c>
      <c r="G381" s="321"/>
      <c r="H381" t="s">
        <v>172</v>
      </c>
      <c r="I381" t="s">
        <v>173</v>
      </c>
      <c r="J381">
        <v>2917</v>
      </c>
      <c r="K381" s="321">
        <v>45348</v>
      </c>
      <c r="L381">
        <v>1010100</v>
      </c>
      <c r="M381" t="s">
        <v>35</v>
      </c>
      <c r="N381">
        <v>572</v>
      </c>
      <c r="O381" s="32">
        <v>0</v>
      </c>
      <c r="P381" s="32">
        <v>0</v>
      </c>
      <c r="Q381" s="32">
        <v>0</v>
      </c>
      <c r="R381" s="32">
        <v>0</v>
      </c>
      <c r="S381" s="32">
        <v>0</v>
      </c>
      <c r="T381" s="32">
        <v>0</v>
      </c>
      <c r="U381" s="32">
        <v>86997.759999999995</v>
      </c>
      <c r="V381" s="32">
        <v>0</v>
      </c>
      <c r="W381" s="32">
        <v>2609.9327999999996</v>
      </c>
      <c r="X381" s="32">
        <v>84387.8272</v>
      </c>
      <c r="Y381" s="32">
        <v>84387.8272</v>
      </c>
      <c r="Z381" s="32">
        <v>86997.759999999995</v>
      </c>
      <c r="AA381" s="32">
        <v>-86997.759999999995</v>
      </c>
      <c r="AB381" s="32">
        <v>0</v>
      </c>
      <c r="AC381" s="32" t="s">
        <v>538</v>
      </c>
      <c r="AD381" s="32"/>
      <c r="AE381" s="32">
        <v>0</v>
      </c>
    </row>
    <row r="382" spans="1:31" x14ac:dyDescent="0.25">
      <c r="A382">
        <v>6132</v>
      </c>
      <c r="B382" t="s">
        <v>176</v>
      </c>
      <c r="C382" t="s">
        <v>177</v>
      </c>
      <c r="D382" s="35">
        <v>29450.6</v>
      </c>
      <c r="E382">
        <v>1246146931</v>
      </c>
      <c r="F382" s="321">
        <v>45584</v>
      </c>
      <c r="G382" s="321"/>
      <c r="H382" t="s">
        <v>172</v>
      </c>
      <c r="I382" t="s">
        <v>173</v>
      </c>
      <c r="J382">
        <v>3632</v>
      </c>
      <c r="K382" s="321">
        <v>45434</v>
      </c>
      <c r="L382">
        <v>1010100</v>
      </c>
      <c r="M382" t="s">
        <v>35</v>
      </c>
      <c r="N382">
        <v>558</v>
      </c>
      <c r="O382" s="32">
        <v>0</v>
      </c>
      <c r="P382" s="32">
        <v>0</v>
      </c>
      <c r="Q382" s="32">
        <v>0</v>
      </c>
      <c r="R382" s="32">
        <v>0</v>
      </c>
      <c r="S382" s="32">
        <v>0</v>
      </c>
      <c r="T382" s="32">
        <v>0</v>
      </c>
      <c r="U382" s="32">
        <v>29450.6</v>
      </c>
      <c r="V382" s="32">
        <v>0</v>
      </c>
      <c r="W382" s="32">
        <v>883.51799999999992</v>
      </c>
      <c r="X382" s="32">
        <v>28567.081999999999</v>
      </c>
      <c r="Y382" s="32">
        <v>28567.081999999999</v>
      </c>
      <c r="Z382" s="32">
        <v>29450.6</v>
      </c>
      <c r="AA382" s="32">
        <v>-29450.6</v>
      </c>
      <c r="AB382" s="32">
        <v>0</v>
      </c>
      <c r="AC382" s="32" t="s">
        <v>538</v>
      </c>
      <c r="AD382" s="32"/>
      <c r="AE382" s="32">
        <v>0</v>
      </c>
    </row>
    <row r="383" spans="1:31" x14ac:dyDescent="0.25">
      <c r="A383">
        <v>6132</v>
      </c>
      <c r="B383" t="s">
        <v>176</v>
      </c>
      <c r="C383" t="s">
        <v>177</v>
      </c>
      <c r="D383" s="35">
        <v>38061.519999999997</v>
      </c>
      <c r="E383">
        <v>1246146932</v>
      </c>
      <c r="F383" s="321">
        <v>45569</v>
      </c>
      <c r="G383" s="321"/>
      <c r="H383" t="s">
        <v>172</v>
      </c>
      <c r="I383" t="s">
        <v>173</v>
      </c>
      <c r="J383">
        <v>3633</v>
      </c>
      <c r="K383" s="321">
        <v>45434</v>
      </c>
      <c r="L383">
        <v>1010100</v>
      </c>
      <c r="M383" t="s">
        <v>35</v>
      </c>
      <c r="N383">
        <v>573</v>
      </c>
      <c r="O383" s="32">
        <v>0</v>
      </c>
      <c r="P383" s="32">
        <v>0</v>
      </c>
      <c r="Q383" s="32">
        <v>0</v>
      </c>
      <c r="R383" s="32">
        <v>0</v>
      </c>
      <c r="S383" s="32">
        <v>0</v>
      </c>
      <c r="T383" s="32">
        <v>0</v>
      </c>
      <c r="U383" s="32">
        <v>38061.519999999997</v>
      </c>
      <c r="V383" s="32">
        <v>0</v>
      </c>
      <c r="W383" s="32">
        <v>1141.8455999999999</v>
      </c>
      <c r="X383" s="32">
        <v>36919.674399999996</v>
      </c>
      <c r="Y383" s="32">
        <v>36919.674399999996</v>
      </c>
      <c r="Z383" s="32">
        <v>38061.519999999997</v>
      </c>
      <c r="AA383" s="32">
        <v>-38061.519999999997</v>
      </c>
      <c r="AB383" s="32">
        <v>0</v>
      </c>
      <c r="AC383" s="32" t="s">
        <v>538</v>
      </c>
      <c r="AD383" s="32"/>
      <c r="AE383" s="32">
        <v>0</v>
      </c>
    </row>
    <row r="384" spans="1:31" x14ac:dyDescent="0.25">
      <c r="A384">
        <v>6132</v>
      </c>
      <c r="B384" t="s">
        <v>176</v>
      </c>
      <c r="C384" t="s">
        <v>177</v>
      </c>
      <c r="D384" s="35">
        <v>8760</v>
      </c>
      <c r="E384">
        <v>1246146933</v>
      </c>
      <c r="F384" s="321">
        <v>45462</v>
      </c>
      <c r="G384" s="321"/>
      <c r="H384" t="s">
        <v>172</v>
      </c>
      <c r="I384" t="s">
        <v>173</v>
      </c>
      <c r="J384">
        <v>3634</v>
      </c>
      <c r="K384" s="321">
        <v>45434</v>
      </c>
      <c r="L384">
        <v>1010100</v>
      </c>
      <c r="M384" t="s">
        <v>35</v>
      </c>
      <c r="N384">
        <v>680</v>
      </c>
      <c r="O384" s="32">
        <v>0</v>
      </c>
      <c r="P384" s="32">
        <v>0</v>
      </c>
      <c r="Q384" s="32">
        <v>0</v>
      </c>
      <c r="R384" s="32">
        <v>0</v>
      </c>
      <c r="S384" s="32">
        <v>0</v>
      </c>
      <c r="T384" s="32">
        <v>0</v>
      </c>
      <c r="U384" s="32">
        <v>8760</v>
      </c>
      <c r="V384" s="32">
        <v>0</v>
      </c>
      <c r="W384" s="32">
        <v>262.8</v>
      </c>
      <c r="X384" s="32">
        <v>8497.1999999999989</v>
      </c>
      <c r="Y384" s="32">
        <v>8497.1999999999989</v>
      </c>
      <c r="Z384" s="32">
        <v>8760</v>
      </c>
      <c r="AA384" s="32">
        <v>-8760</v>
      </c>
      <c r="AB384" s="32">
        <v>0</v>
      </c>
      <c r="AC384" s="32" t="s">
        <v>538</v>
      </c>
      <c r="AD384" s="32"/>
      <c r="AE384" s="32">
        <v>0</v>
      </c>
    </row>
    <row r="385" spans="1:31" x14ac:dyDescent="0.25">
      <c r="A385">
        <v>6132</v>
      </c>
      <c r="B385" t="s">
        <v>176</v>
      </c>
      <c r="C385" t="s">
        <v>177</v>
      </c>
      <c r="D385" s="35">
        <v>14851.85</v>
      </c>
      <c r="E385">
        <v>1246132474</v>
      </c>
      <c r="F385" s="321">
        <v>45570</v>
      </c>
      <c r="G385" s="321"/>
      <c r="H385" t="s">
        <v>172</v>
      </c>
      <c r="I385" t="s">
        <v>173</v>
      </c>
      <c r="J385">
        <v>2989</v>
      </c>
      <c r="K385" s="321">
        <v>45356</v>
      </c>
      <c r="L385">
        <v>1010100</v>
      </c>
      <c r="M385" t="s">
        <v>35</v>
      </c>
      <c r="N385">
        <v>572</v>
      </c>
      <c r="O385" s="32">
        <v>0</v>
      </c>
      <c r="P385" s="32">
        <v>0</v>
      </c>
      <c r="Q385" s="32">
        <v>0</v>
      </c>
      <c r="R385" s="32">
        <v>0</v>
      </c>
      <c r="S385" s="32">
        <v>0</v>
      </c>
      <c r="T385" s="32">
        <v>0</v>
      </c>
      <c r="U385" s="32">
        <v>14851.85</v>
      </c>
      <c r="V385" s="32">
        <v>0</v>
      </c>
      <c r="W385" s="32">
        <v>445.55549999999999</v>
      </c>
      <c r="X385" s="32">
        <v>14406.2945</v>
      </c>
      <c r="Y385" s="32">
        <v>14406.2945</v>
      </c>
      <c r="Z385" s="32">
        <v>14851.85</v>
      </c>
      <c r="AA385" s="32">
        <v>-14851.85</v>
      </c>
      <c r="AB385" s="32">
        <v>0</v>
      </c>
      <c r="AC385" s="32" t="s">
        <v>538</v>
      </c>
      <c r="AD385" s="32"/>
      <c r="AE385" s="32">
        <v>0</v>
      </c>
    </row>
    <row r="386" spans="1:31" x14ac:dyDescent="0.25">
      <c r="A386">
        <v>6132</v>
      </c>
      <c r="B386" t="s">
        <v>176</v>
      </c>
      <c r="C386" t="s">
        <v>177</v>
      </c>
      <c r="D386" s="35">
        <v>99200.52</v>
      </c>
      <c r="E386">
        <v>1246147269</v>
      </c>
      <c r="F386" s="321">
        <v>45571</v>
      </c>
      <c r="G386" s="321"/>
      <c r="H386" t="s">
        <v>172</v>
      </c>
      <c r="I386" t="s">
        <v>173</v>
      </c>
      <c r="J386">
        <v>3665</v>
      </c>
      <c r="K386" s="321">
        <v>45436</v>
      </c>
      <c r="L386">
        <v>1010100</v>
      </c>
      <c r="M386" t="s">
        <v>35</v>
      </c>
      <c r="N386">
        <v>571</v>
      </c>
      <c r="O386" s="32">
        <v>0</v>
      </c>
      <c r="P386" s="32">
        <v>0</v>
      </c>
      <c r="Q386" s="32">
        <v>0</v>
      </c>
      <c r="R386" s="32">
        <v>0</v>
      </c>
      <c r="S386" s="32">
        <v>0</v>
      </c>
      <c r="T386" s="32">
        <v>0</v>
      </c>
      <c r="U386" s="32">
        <v>99200.52</v>
      </c>
      <c r="V386" s="32">
        <v>0</v>
      </c>
      <c r="W386" s="32">
        <v>2976.0156000000002</v>
      </c>
      <c r="X386" s="32">
        <v>96224.504400000005</v>
      </c>
      <c r="Y386" s="32">
        <v>96224.504400000005</v>
      </c>
      <c r="Z386" s="32">
        <v>99200.52</v>
      </c>
      <c r="AA386" s="32">
        <v>-99200.52</v>
      </c>
      <c r="AB386" s="32">
        <v>0</v>
      </c>
      <c r="AC386" s="32" t="s">
        <v>538</v>
      </c>
      <c r="AD386" s="32"/>
      <c r="AE386" s="32">
        <v>0</v>
      </c>
    </row>
    <row r="387" spans="1:31" x14ac:dyDescent="0.25">
      <c r="A387">
        <v>6132</v>
      </c>
      <c r="B387" t="s">
        <v>176</v>
      </c>
      <c r="C387" t="s">
        <v>177</v>
      </c>
      <c r="D387" s="35">
        <v>33509.519999999997</v>
      </c>
      <c r="E387">
        <v>1246148020</v>
      </c>
      <c r="F387" s="321">
        <v>45576</v>
      </c>
      <c r="G387" s="321"/>
      <c r="H387" t="s">
        <v>172</v>
      </c>
      <c r="I387" t="s">
        <v>173</v>
      </c>
      <c r="J387">
        <v>3714</v>
      </c>
      <c r="K387" s="321">
        <v>45441</v>
      </c>
      <c r="L387">
        <v>1010100</v>
      </c>
      <c r="M387" t="s">
        <v>35</v>
      </c>
      <c r="N387">
        <v>566</v>
      </c>
      <c r="O387" s="32">
        <v>0</v>
      </c>
      <c r="P387" s="32">
        <v>0</v>
      </c>
      <c r="Q387" s="32">
        <v>0</v>
      </c>
      <c r="R387" s="32">
        <v>0</v>
      </c>
      <c r="S387" s="32">
        <v>0</v>
      </c>
      <c r="T387" s="32">
        <v>0</v>
      </c>
      <c r="U387" s="32">
        <v>33509.519999999997</v>
      </c>
      <c r="V387" s="32">
        <v>0</v>
      </c>
      <c r="W387" s="32">
        <v>1005.2855999999998</v>
      </c>
      <c r="X387" s="32">
        <v>32504.234399999998</v>
      </c>
      <c r="Y387" s="32">
        <v>32504.234399999998</v>
      </c>
      <c r="Z387" s="32">
        <v>33509.519999999997</v>
      </c>
      <c r="AA387" s="32">
        <v>-33509.519999999997</v>
      </c>
      <c r="AB387" s="32">
        <v>0</v>
      </c>
      <c r="AC387" s="32" t="s">
        <v>538</v>
      </c>
      <c r="AD387" s="32"/>
      <c r="AE387" s="32">
        <v>0</v>
      </c>
    </row>
    <row r="388" spans="1:31" x14ac:dyDescent="0.25">
      <c r="A388">
        <v>6132</v>
      </c>
      <c r="B388" t="s">
        <v>176</v>
      </c>
      <c r="C388" t="s">
        <v>177</v>
      </c>
      <c r="D388" s="35">
        <v>56218.2</v>
      </c>
      <c r="E388">
        <v>1246148019</v>
      </c>
      <c r="F388" s="321">
        <v>45576</v>
      </c>
      <c r="G388" s="321"/>
      <c r="H388" t="s">
        <v>172</v>
      </c>
      <c r="I388" t="s">
        <v>173</v>
      </c>
      <c r="J388">
        <v>3713</v>
      </c>
      <c r="K388" s="321">
        <v>45441</v>
      </c>
      <c r="L388">
        <v>1010100</v>
      </c>
      <c r="M388" t="s">
        <v>35</v>
      </c>
      <c r="N388">
        <v>566</v>
      </c>
      <c r="O388" s="32">
        <v>0</v>
      </c>
      <c r="P388" s="32">
        <v>0</v>
      </c>
      <c r="Q388" s="32">
        <v>0</v>
      </c>
      <c r="R388" s="32">
        <v>0</v>
      </c>
      <c r="S388" s="32">
        <v>0</v>
      </c>
      <c r="T388" s="32">
        <v>0</v>
      </c>
      <c r="U388" s="32">
        <v>56218.2</v>
      </c>
      <c r="V388" s="32">
        <v>0</v>
      </c>
      <c r="W388" s="32">
        <v>1686.5459999999998</v>
      </c>
      <c r="X388" s="32">
        <v>54531.653999999995</v>
      </c>
      <c r="Y388" s="32">
        <v>54531.653999999995</v>
      </c>
      <c r="Z388" s="32">
        <v>56218.2</v>
      </c>
      <c r="AA388" s="32">
        <v>-56218.2</v>
      </c>
      <c r="AB388" s="32">
        <v>0</v>
      </c>
      <c r="AC388" s="32" t="s">
        <v>538</v>
      </c>
      <c r="AD388" s="32"/>
      <c r="AE388" s="32">
        <v>0</v>
      </c>
    </row>
    <row r="389" spans="1:31" x14ac:dyDescent="0.25">
      <c r="A389">
        <v>6132</v>
      </c>
      <c r="B389" t="s">
        <v>176</v>
      </c>
      <c r="C389" t="s">
        <v>177</v>
      </c>
      <c r="D389" s="35">
        <v>95220.3</v>
      </c>
      <c r="E389">
        <v>1246135170</v>
      </c>
      <c r="F389" s="321">
        <v>45566</v>
      </c>
      <c r="G389" s="321"/>
      <c r="H389" t="s">
        <v>172</v>
      </c>
      <c r="I389" t="s">
        <v>173</v>
      </c>
      <c r="J389">
        <v>3136</v>
      </c>
      <c r="K389" s="321">
        <v>45372</v>
      </c>
      <c r="L389">
        <v>1010100</v>
      </c>
      <c r="M389" t="s">
        <v>35</v>
      </c>
      <c r="N389">
        <v>576</v>
      </c>
      <c r="O389" s="32">
        <v>0</v>
      </c>
      <c r="P389" s="32">
        <v>0</v>
      </c>
      <c r="Q389" s="32">
        <v>0</v>
      </c>
      <c r="R389" s="32">
        <v>0</v>
      </c>
      <c r="S389" s="32">
        <v>0</v>
      </c>
      <c r="T389" s="32">
        <v>0</v>
      </c>
      <c r="U389" s="32">
        <v>95220.3</v>
      </c>
      <c r="V389" s="32">
        <v>0</v>
      </c>
      <c r="W389" s="32">
        <v>2856.6089999999999</v>
      </c>
      <c r="X389" s="32">
        <v>92363.691000000006</v>
      </c>
      <c r="Y389" s="32">
        <v>92363.691000000006</v>
      </c>
      <c r="Z389" s="32">
        <v>95220.3</v>
      </c>
      <c r="AA389" s="32">
        <v>-95220.3</v>
      </c>
      <c r="AB389" s="32">
        <v>0</v>
      </c>
      <c r="AC389" s="32" t="s">
        <v>538</v>
      </c>
      <c r="AD389" s="32"/>
      <c r="AE389" s="32">
        <v>0</v>
      </c>
    </row>
    <row r="390" spans="1:31" x14ac:dyDescent="0.25">
      <c r="A390">
        <v>6132</v>
      </c>
      <c r="B390" t="s">
        <v>176</v>
      </c>
      <c r="C390" t="s">
        <v>177</v>
      </c>
      <c r="D390" s="35">
        <v>29542.9</v>
      </c>
      <c r="E390">
        <v>1246135172</v>
      </c>
      <c r="F390" s="321">
        <v>45566</v>
      </c>
      <c r="G390" s="321"/>
      <c r="H390" t="s">
        <v>172</v>
      </c>
      <c r="I390" t="s">
        <v>173</v>
      </c>
      <c r="J390">
        <v>3137</v>
      </c>
      <c r="K390" s="321">
        <v>45372</v>
      </c>
      <c r="L390">
        <v>1010100</v>
      </c>
      <c r="M390" t="s">
        <v>35</v>
      </c>
      <c r="N390">
        <v>576</v>
      </c>
      <c r="O390" s="32">
        <v>0</v>
      </c>
      <c r="P390" s="32">
        <v>0</v>
      </c>
      <c r="Q390" s="32">
        <v>0</v>
      </c>
      <c r="R390" s="32">
        <v>0</v>
      </c>
      <c r="S390" s="32">
        <v>0</v>
      </c>
      <c r="T390" s="32">
        <v>0</v>
      </c>
      <c r="U390" s="32">
        <v>29542.9</v>
      </c>
      <c r="V390" s="32">
        <v>0</v>
      </c>
      <c r="W390" s="32">
        <v>886.28700000000003</v>
      </c>
      <c r="X390" s="32">
        <v>28656.613000000001</v>
      </c>
      <c r="Y390" s="32">
        <v>28656.613000000001</v>
      </c>
      <c r="Z390" s="32">
        <v>29542.9</v>
      </c>
      <c r="AA390" s="32">
        <v>-29542.9</v>
      </c>
      <c r="AB390" s="32">
        <v>0</v>
      </c>
      <c r="AC390" s="32" t="s">
        <v>538</v>
      </c>
      <c r="AD390" s="32"/>
      <c r="AE390" s="32">
        <v>0</v>
      </c>
    </row>
    <row r="391" spans="1:31" x14ac:dyDescent="0.25">
      <c r="A391">
        <v>6132</v>
      </c>
      <c r="B391" t="s">
        <v>176</v>
      </c>
      <c r="C391" t="s">
        <v>177</v>
      </c>
      <c r="D391" s="35">
        <v>92588.02</v>
      </c>
      <c r="E391">
        <v>1246138275</v>
      </c>
      <c r="F391" s="321">
        <v>45570</v>
      </c>
      <c r="G391" s="321"/>
      <c r="H391" t="s">
        <v>172</v>
      </c>
      <c r="I391" t="s">
        <v>173</v>
      </c>
      <c r="J391">
        <v>3249</v>
      </c>
      <c r="K391" s="321">
        <v>45390</v>
      </c>
      <c r="L391">
        <v>1010100</v>
      </c>
      <c r="M391" t="s">
        <v>35</v>
      </c>
      <c r="N391">
        <v>572</v>
      </c>
      <c r="O391" s="32">
        <v>0</v>
      </c>
      <c r="P391" s="32">
        <v>0</v>
      </c>
      <c r="Q391" s="32">
        <v>0</v>
      </c>
      <c r="R391" s="32">
        <v>0</v>
      </c>
      <c r="S391" s="32">
        <v>0</v>
      </c>
      <c r="T391" s="32">
        <v>0</v>
      </c>
      <c r="U391" s="32">
        <v>92588.02</v>
      </c>
      <c r="V391" s="32">
        <v>0</v>
      </c>
      <c r="W391" s="32">
        <v>2777.6406000000002</v>
      </c>
      <c r="X391" s="32">
        <v>89810.379400000005</v>
      </c>
      <c r="Y391" s="32">
        <v>89810.379400000005</v>
      </c>
      <c r="Z391" s="32">
        <v>92588.02</v>
      </c>
      <c r="AA391" s="32">
        <v>-92588.02</v>
      </c>
      <c r="AB391" s="32">
        <v>0</v>
      </c>
      <c r="AC391" s="32" t="s">
        <v>538</v>
      </c>
      <c r="AD391" s="32"/>
      <c r="AE391" s="32">
        <v>0</v>
      </c>
    </row>
    <row r="392" spans="1:31" x14ac:dyDescent="0.25">
      <c r="A392">
        <v>6132</v>
      </c>
      <c r="B392" t="s">
        <v>176</v>
      </c>
      <c r="C392" t="s">
        <v>177</v>
      </c>
      <c r="D392" s="35">
        <v>97872.48</v>
      </c>
      <c r="E392">
        <v>1246135813</v>
      </c>
      <c r="F392" s="321">
        <v>45570</v>
      </c>
      <c r="G392" s="321"/>
      <c r="H392" t="s">
        <v>172</v>
      </c>
      <c r="I392" t="s">
        <v>173</v>
      </c>
      <c r="J392">
        <v>3160</v>
      </c>
      <c r="K392" s="321">
        <v>45376</v>
      </c>
      <c r="L392">
        <v>1010100</v>
      </c>
      <c r="M392" t="s">
        <v>35</v>
      </c>
      <c r="N392">
        <v>572</v>
      </c>
      <c r="O392" s="32">
        <v>0</v>
      </c>
      <c r="P392" s="32">
        <v>0</v>
      </c>
      <c r="Q392" s="32">
        <v>0</v>
      </c>
      <c r="R392" s="32">
        <v>0</v>
      </c>
      <c r="S392" s="32">
        <v>0</v>
      </c>
      <c r="T392" s="32">
        <v>0</v>
      </c>
      <c r="U392" s="32">
        <v>97872.48</v>
      </c>
      <c r="V392" s="32">
        <v>0</v>
      </c>
      <c r="W392" s="32">
        <v>2936.1743999999999</v>
      </c>
      <c r="X392" s="32">
        <v>94936.305599999992</v>
      </c>
      <c r="Y392" s="32">
        <v>94936.305599999992</v>
      </c>
      <c r="Z392" s="32">
        <v>97872.48</v>
      </c>
      <c r="AA392" s="32">
        <v>-97872.48</v>
      </c>
      <c r="AB392" s="32">
        <v>0</v>
      </c>
      <c r="AC392" s="32" t="s">
        <v>538</v>
      </c>
      <c r="AD392" s="32"/>
      <c r="AE392" s="32">
        <v>0</v>
      </c>
    </row>
    <row r="393" spans="1:31" x14ac:dyDescent="0.25">
      <c r="A393">
        <v>6132</v>
      </c>
      <c r="B393" t="s">
        <v>176</v>
      </c>
      <c r="C393" t="s">
        <v>177</v>
      </c>
      <c r="D393" s="35">
        <v>155705</v>
      </c>
      <c r="E393">
        <v>1246130904</v>
      </c>
      <c r="F393" s="321">
        <v>45567</v>
      </c>
      <c r="G393" s="321"/>
      <c r="H393" t="s">
        <v>172</v>
      </c>
      <c r="I393" t="s">
        <v>173</v>
      </c>
      <c r="J393">
        <v>2906</v>
      </c>
      <c r="K393" s="321">
        <v>45345</v>
      </c>
      <c r="L393">
        <v>1010100</v>
      </c>
      <c r="M393" t="s">
        <v>35</v>
      </c>
      <c r="N393">
        <v>575</v>
      </c>
      <c r="O393" s="32">
        <v>0</v>
      </c>
      <c r="P393" s="32">
        <v>0</v>
      </c>
      <c r="Q393" s="32">
        <v>0</v>
      </c>
      <c r="R393" s="32">
        <v>0</v>
      </c>
      <c r="S393" s="32">
        <v>0</v>
      </c>
      <c r="T393" s="32">
        <v>0</v>
      </c>
      <c r="U393" s="32">
        <v>155705</v>
      </c>
      <c r="V393" s="32">
        <v>0</v>
      </c>
      <c r="W393" s="32">
        <v>4671.1499999999996</v>
      </c>
      <c r="X393" s="32">
        <v>151033.85</v>
      </c>
      <c r="Y393" s="32">
        <v>151033.85</v>
      </c>
      <c r="Z393" s="32">
        <v>155705</v>
      </c>
      <c r="AA393" s="32">
        <v>-155705</v>
      </c>
      <c r="AB393" s="32">
        <v>0</v>
      </c>
      <c r="AC393" s="32" t="s">
        <v>538</v>
      </c>
      <c r="AD393" s="32"/>
      <c r="AE393" s="32">
        <v>0</v>
      </c>
    </row>
    <row r="394" spans="1:31" x14ac:dyDescent="0.25">
      <c r="A394">
        <v>6132</v>
      </c>
      <c r="B394" t="s">
        <v>176</v>
      </c>
      <c r="C394" t="s">
        <v>177</v>
      </c>
      <c r="D394" s="35">
        <v>86997.759999999995</v>
      </c>
      <c r="E394">
        <v>1246137598</v>
      </c>
      <c r="F394" s="321">
        <v>45566</v>
      </c>
      <c r="G394" s="321"/>
      <c r="H394" t="s">
        <v>172</v>
      </c>
      <c r="I394" t="s">
        <v>173</v>
      </c>
      <c r="J394">
        <v>3223</v>
      </c>
      <c r="K394" s="321">
        <v>45386</v>
      </c>
      <c r="L394">
        <v>1010100</v>
      </c>
      <c r="M394" t="s">
        <v>35</v>
      </c>
      <c r="N394">
        <v>576</v>
      </c>
      <c r="O394" s="32">
        <v>0</v>
      </c>
      <c r="P394" s="32">
        <v>0</v>
      </c>
      <c r="Q394" s="32">
        <v>0</v>
      </c>
      <c r="R394" s="32">
        <v>0</v>
      </c>
      <c r="S394" s="32">
        <v>0</v>
      </c>
      <c r="T394" s="32">
        <v>0</v>
      </c>
      <c r="U394" s="32">
        <v>86997.759999999995</v>
      </c>
      <c r="V394" s="32">
        <v>0</v>
      </c>
      <c r="W394" s="32">
        <v>2609.9327999999996</v>
      </c>
      <c r="X394" s="32">
        <v>84387.8272</v>
      </c>
      <c r="Y394" s="32">
        <v>84387.8272</v>
      </c>
      <c r="Z394" s="32">
        <v>86997.759999999995</v>
      </c>
      <c r="AA394" s="32">
        <v>-86997.759999999995</v>
      </c>
      <c r="AB394" s="32">
        <v>0</v>
      </c>
      <c r="AC394" s="32" t="s">
        <v>538</v>
      </c>
      <c r="AD394" s="32"/>
      <c r="AE394" s="32">
        <v>0</v>
      </c>
    </row>
    <row r="395" spans="1:31" x14ac:dyDescent="0.25">
      <c r="A395">
        <v>6132</v>
      </c>
      <c r="B395" t="s">
        <v>176</v>
      </c>
      <c r="C395" t="s">
        <v>177</v>
      </c>
      <c r="D395" s="35">
        <v>55849.2</v>
      </c>
      <c r="E395">
        <v>1246147270</v>
      </c>
      <c r="F395" s="321">
        <v>45571</v>
      </c>
      <c r="G395" s="321"/>
      <c r="H395" t="s">
        <v>172</v>
      </c>
      <c r="I395" t="s">
        <v>173</v>
      </c>
      <c r="J395">
        <v>3666</v>
      </c>
      <c r="K395" s="321">
        <v>45436</v>
      </c>
      <c r="L395">
        <v>1010100</v>
      </c>
      <c r="M395" t="s">
        <v>35</v>
      </c>
      <c r="N395">
        <v>571</v>
      </c>
      <c r="O395" s="32">
        <v>0</v>
      </c>
      <c r="P395" s="32">
        <v>0</v>
      </c>
      <c r="Q395" s="32">
        <v>0</v>
      </c>
      <c r="R395" s="32">
        <v>0</v>
      </c>
      <c r="S395" s="32">
        <v>0</v>
      </c>
      <c r="T395" s="32">
        <v>0</v>
      </c>
      <c r="U395" s="32">
        <v>55849.2</v>
      </c>
      <c r="V395" s="32">
        <v>0</v>
      </c>
      <c r="W395" s="32">
        <v>1675.4759999999999</v>
      </c>
      <c r="X395" s="32">
        <v>54173.723999999995</v>
      </c>
      <c r="Y395" s="32">
        <v>54173.723999999995</v>
      </c>
      <c r="Z395" s="32">
        <v>55849.2</v>
      </c>
      <c r="AA395" s="32">
        <v>-55849.2</v>
      </c>
      <c r="AB395" s="32">
        <v>0</v>
      </c>
      <c r="AC395" s="32" t="s">
        <v>538</v>
      </c>
      <c r="AD395" s="32"/>
      <c r="AE395" s="32">
        <v>0</v>
      </c>
    </row>
    <row r="396" spans="1:31" x14ac:dyDescent="0.25">
      <c r="A396">
        <v>6132</v>
      </c>
      <c r="B396" t="s">
        <v>176</v>
      </c>
      <c r="C396" t="s">
        <v>177</v>
      </c>
      <c r="D396" s="35">
        <v>97872.48</v>
      </c>
      <c r="E396">
        <v>1246131241</v>
      </c>
      <c r="F396" s="321">
        <v>45571</v>
      </c>
      <c r="G396" s="321"/>
      <c r="H396" t="s">
        <v>172</v>
      </c>
      <c r="I396" t="s">
        <v>173</v>
      </c>
      <c r="J396">
        <v>2928</v>
      </c>
      <c r="K396" s="321">
        <v>45349</v>
      </c>
      <c r="L396">
        <v>1010100</v>
      </c>
      <c r="M396" t="s">
        <v>35</v>
      </c>
      <c r="N396">
        <v>571</v>
      </c>
      <c r="O396" s="32">
        <v>0</v>
      </c>
      <c r="P396" s="32">
        <v>0</v>
      </c>
      <c r="Q396" s="32">
        <v>0</v>
      </c>
      <c r="R396" s="32">
        <v>0</v>
      </c>
      <c r="S396" s="32">
        <v>0</v>
      </c>
      <c r="T396" s="32">
        <v>0</v>
      </c>
      <c r="U396" s="32">
        <v>97872.48</v>
      </c>
      <c r="V396" s="32">
        <v>0</v>
      </c>
      <c r="W396" s="32">
        <v>2936.1743999999999</v>
      </c>
      <c r="X396" s="32">
        <v>94936.305599999992</v>
      </c>
      <c r="Y396" s="32">
        <v>94936.305599999992</v>
      </c>
      <c r="Z396" s="32">
        <v>97872.48</v>
      </c>
      <c r="AA396" s="32">
        <v>-97872.48</v>
      </c>
      <c r="AB396" s="32">
        <v>0</v>
      </c>
      <c r="AC396" s="32" t="s">
        <v>538</v>
      </c>
      <c r="AD396" s="32"/>
      <c r="AE396" s="32">
        <v>0</v>
      </c>
    </row>
    <row r="397" spans="1:31" x14ac:dyDescent="0.25">
      <c r="A397">
        <v>6132</v>
      </c>
      <c r="B397" t="s">
        <v>176</v>
      </c>
      <c r="C397" t="s">
        <v>177</v>
      </c>
      <c r="D397" s="35">
        <v>57092.28</v>
      </c>
      <c r="E397">
        <v>1246133070</v>
      </c>
      <c r="F397" s="321">
        <v>45573</v>
      </c>
      <c r="G397" s="321"/>
      <c r="H397" t="s">
        <v>172</v>
      </c>
      <c r="I397" t="s">
        <v>173</v>
      </c>
      <c r="J397">
        <v>3012</v>
      </c>
      <c r="K397" s="321">
        <v>45359</v>
      </c>
      <c r="L397">
        <v>1010100</v>
      </c>
      <c r="M397" t="s">
        <v>35</v>
      </c>
      <c r="N397">
        <v>569</v>
      </c>
      <c r="O397" s="32">
        <v>0</v>
      </c>
      <c r="P397" s="32">
        <v>0</v>
      </c>
      <c r="Q397" s="32">
        <v>0</v>
      </c>
      <c r="R397" s="32">
        <v>0</v>
      </c>
      <c r="S397" s="32">
        <v>0</v>
      </c>
      <c r="T397" s="32">
        <v>0</v>
      </c>
      <c r="U397" s="32">
        <v>57092.28</v>
      </c>
      <c r="V397" s="32">
        <v>0</v>
      </c>
      <c r="W397" s="32">
        <v>1712.7683999999999</v>
      </c>
      <c r="X397" s="32">
        <v>55379.511599999998</v>
      </c>
      <c r="Y397" s="32">
        <v>55379.511599999998</v>
      </c>
      <c r="Z397" s="32">
        <v>57092.28</v>
      </c>
      <c r="AA397" s="32">
        <v>-57092.28</v>
      </c>
      <c r="AB397" s="32">
        <v>0</v>
      </c>
      <c r="AC397" s="32" t="s">
        <v>538</v>
      </c>
      <c r="AD397" s="32"/>
      <c r="AE397" s="32">
        <v>0</v>
      </c>
    </row>
    <row r="398" spans="1:31" x14ac:dyDescent="0.25">
      <c r="A398">
        <v>6132</v>
      </c>
      <c r="B398" t="s">
        <v>176</v>
      </c>
      <c r="C398" t="s">
        <v>177</v>
      </c>
      <c r="D398" s="35">
        <v>86997.759999999995</v>
      </c>
      <c r="E398">
        <v>1246131594</v>
      </c>
      <c r="F398" s="321">
        <v>45573</v>
      </c>
      <c r="G398" s="321"/>
      <c r="H398" t="s">
        <v>172</v>
      </c>
      <c r="I398" t="s">
        <v>173</v>
      </c>
      <c r="J398">
        <v>2956</v>
      </c>
      <c r="K398" s="321">
        <v>45351</v>
      </c>
      <c r="L398">
        <v>1010100</v>
      </c>
      <c r="M398" t="s">
        <v>35</v>
      </c>
      <c r="N398">
        <v>569</v>
      </c>
      <c r="O398" s="32">
        <v>0</v>
      </c>
      <c r="P398" s="32">
        <v>0</v>
      </c>
      <c r="Q398" s="32">
        <v>0</v>
      </c>
      <c r="R398" s="32">
        <v>0</v>
      </c>
      <c r="S398" s="32">
        <v>0</v>
      </c>
      <c r="T398" s="32">
        <v>0</v>
      </c>
      <c r="U398" s="32">
        <v>86997.759999999995</v>
      </c>
      <c r="V398" s="32">
        <v>0</v>
      </c>
      <c r="W398" s="32">
        <v>2609.9327999999996</v>
      </c>
      <c r="X398" s="32">
        <v>84387.8272</v>
      </c>
      <c r="Y398" s="32">
        <v>84387.8272</v>
      </c>
      <c r="Z398" s="32">
        <v>86997.759999999995</v>
      </c>
      <c r="AA398" s="32">
        <v>-86997.759999999995</v>
      </c>
      <c r="AB398" s="32">
        <v>0</v>
      </c>
      <c r="AC398" s="32" t="s">
        <v>538</v>
      </c>
      <c r="AD398" s="32"/>
      <c r="AE398" s="32">
        <v>0</v>
      </c>
    </row>
    <row r="399" spans="1:31" x14ac:dyDescent="0.25">
      <c r="A399">
        <v>6132</v>
      </c>
      <c r="B399" t="s">
        <v>176</v>
      </c>
      <c r="C399" t="s">
        <v>177</v>
      </c>
      <c r="D399" s="35">
        <v>86997.759999999995</v>
      </c>
      <c r="E399">
        <v>1246133332</v>
      </c>
      <c r="F399" s="321">
        <v>45576</v>
      </c>
      <c r="G399" s="321"/>
      <c r="H399" t="s">
        <v>172</v>
      </c>
      <c r="I399" t="s">
        <v>173</v>
      </c>
      <c r="J399">
        <v>3028</v>
      </c>
      <c r="K399" s="321">
        <v>45362</v>
      </c>
      <c r="L399">
        <v>1010100</v>
      </c>
      <c r="M399" t="s">
        <v>35</v>
      </c>
      <c r="N399">
        <v>566</v>
      </c>
      <c r="O399" s="32">
        <v>0</v>
      </c>
      <c r="P399" s="32">
        <v>0</v>
      </c>
      <c r="Q399" s="32">
        <v>0</v>
      </c>
      <c r="R399" s="32">
        <v>0</v>
      </c>
      <c r="S399" s="32">
        <v>0</v>
      </c>
      <c r="T399" s="32">
        <v>0</v>
      </c>
      <c r="U399" s="32">
        <v>86997.759999999995</v>
      </c>
      <c r="V399" s="32">
        <v>0</v>
      </c>
      <c r="W399" s="32">
        <v>2609.9327999999996</v>
      </c>
      <c r="X399" s="32">
        <v>84387.8272</v>
      </c>
      <c r="Y399" s="32">
        <v>84387.8272</v>
      </c>
      <c r="Z399" s="32">
        <v>86997.759999999995</v>
      </c>
      <c r="AA399" s="32">
        <v>-86997.759999999995</v>
      </c>
      <c r="AB399" s="32">
        <v>0</v>
      </c>
      <c r="AC399" s="32" t="s">
        <v>538</v>
      </c>
      <c r="AD399" s="32"/>
      <c r="AE399" s="32">
        <v>0</v>
      </c>
    </row>
    <row r="400" spans="1:31" x14ac:dyDescent="0.25">
      <c r="A400">
        <v>6132</v>
      </c>
      <c r="B400" t="s">
        <v>176</v>
      </c>
      <c r="C400" t="s">
        <v>177</v>
      </c>
      <c r="D400" s="35">
        <v>95153.8</v>
      </c>
      <c r="E400">
        <v>1246133718</v>
      </c>
      <c r="F400" s="321">
        <v>45578</v>
      </c>
      <c r="G400" s="321"/>
      <c r="H400" t="s">
        <v>172</v>
      </c>
      <c r="I400" t="s">
        <v>173</v>
      </c>
      <c r="J400">
        <v>3051</v>
      </c>
      <c r="K400" s="321">
        <v>45364</v>
      </c>
      <c r="L400">
        <v>1010100</v>
      </c>
      <c r="M400" t="s">
        <v>35</v>
      </c>
      <c r="N400">
        <v>564</v>
      </c>
      <c r="O400" s="32">
        <v>0</v>
      </c>
      <c r="P400" s="32">
        <v>0</v>
      </c>
      <c r="Q400" s="32">
        <v>0</v>
      </c>
      <c r="R400" s="32">
        <v>0</v>
      </c>
      <c r="S400" s="32">
        <v>0</v>
      </c>
      <c r="T400" s="32">
        <v>0</v>
      </c>
      <c r="U400" s="32">
        <v>95153.8</v>
      </c>
      <c r="V400" s="32">
        <v>0</v>
      </c>
      <c r="W400" s="32">
        <v>2854.614</v>
      </c>
      <c r="X400" s="32">
        <v>92299.186000000002</v>
      </c>
      <c r="Y400" s="32">
        <v>92299.186000000002</v>
      </c>
      <c r="Z400" s="32">
        <v>95153.8</v>
      </c>
      <c r="AA400" s="32">
        <v>-95153.8</v>
      </c>
      <c r="AB400" s="32">
        <v>0</v>
      </c>
      <c r="AC400" s="32" t="s">
        <v>538</v>
      </c>
      <c r="AD400" s="32"/>
      <c r="AE400" s="32">
        <v>0</v>
      </c>
    </row>
    <row r="401" spans="1:31" x14ac:dyDescent="0.25">
      <c r="A401">
        <v>6132</v>
      </c>
      <c r="B401" t="s">
        <v>176</v>
      </c>
      <c r="C401" t="s">
        <v>177</v>
      </c>
      <c r="D401" s="35">
        <v>116501.9</v>
      </c>
      <c r="E401">
        <v>1246138114</v>
      </c>
      <c r="F401" s="321">
        <v>45570</v>
      </c>
      <c r="G401" s="321"/>
      <c r="H401" t="s">
        <v>172</v>
      </c>
      <c r="I401" t="s">
        <v>173</v>
      </c>
      <c r="J401">
        <v>3243</v>
      </c>
      <c r="K401" s="321">
        <v>45390</v>
      </c>
      <c r="L401">
        <v>1010100</v>
      </c>
      <c r="M401" t="s">
        <v>35</v>
      </c>
      <c r="N401">
        <v>572</v>
      </c>
      <c r="O401" s="32">
        <v>0</v>
      </c>
      <c r="P401" s="32">
        <v>0</v>
      </c>
      <c r="Q401" s="32">
        <v>0</v>
      </c>
      <c r="R401" s="32">
        <v>0</v>
      </c>
      <c r="S401" s="32">
        <v>0</v>
      </c>
      <c r="T401" s="32">
        <v>0</v>
      </c>
      <c r="U401" s="32">
        <v>116501.9</v>
      </c>
      <c r="V401" s="32">
        <v>0</v>
      </c>
      <c r="W401" s="32">
        <v>3495.0569999999998</v>
      </c>
      <c r="X401" s="32">
        <v>113006.84299999999</v>
      </c>
      <c r="Y401" s="32">
        <v>113006.84299999999</v>
      </c>
      <c r="Z401" s="32">
        <v>116501.9</v>
      </c>
      <c r="AA401" s="32">
        <v>-116501.9</v>
      </c>
      <c r="AB401" s="32">
        <v>0</v>
      </c>
      <c r="AC401" s="32" t="s">
        <v>538</v>
      </c>
      <c r="AD401" s="32"/>
      <c r="AE401" s="32">
        <v>0</v>
      </c>
    </row>
    <row r="402" spans="1:31" x14ac:dyDescent="0.25">
      <c r="A402">
        <v>6132</v>
      </c>
      <c r="B402" t="s">
        <v>176</v>
      </c>
      <c r="C402" t="s">
        <v>177</v>
      </c>
      <c r="D402" s="35">
        <v>134954</v>
      </c>
      <c r="E402">
        <v>1246130651</v>
      </c>
      <c r="F402" s="321">
        <v>45566</v>
      </c>
      <c r="G402" s="321"/>
      <c r="H402" t="s">
        <v>172</v>
      </c>
      <c r="I402" t="s">
        <v>173</v>
      </c>
      <c r="J402">
        <v>2889</v>
      </c>
      <c r="K402" s="321">
        <v>45344</v>
      </c>
      <c r="L402">
        <v>1010100</v>
      </c>
      <c r="M402" t="s">
        <v>35</v>
      </c>
      <c r="N402">
        <v>576</v>
      </c>
      <c r="O402" s="32">
        <v>0</v>
      </c>
      <c r="P402" s="32">
        <v>0</v>
      </c>
      <c r="Q402" s="32">
        <v>0</v>
      </c>
      <c r="R402" s="32">
        <v>0</v>
      </c>
      <c r="S402" s="32">
        <v>0</v>
      </c>
      <c r="T402" s="32">
        <v>0</v>
      </c>
      <c r="U402" s="32">
        <v>134954</v>
      </c>
      <c r="V402" s="32">
        <v>0</v>
      </c>
      <c r="W402" s="32">
        <v>4048.62</v>
      </c>
      <c r="X402" s="32">
        <v>130905.37999999999</v>
      </c>
      <c r="Y402" s="32">
        <v>130905.37999999999</v>
      </c>
      <c r="Z402" s="32">
        <v>134954</v>
      </c>
      <c r="AA402" s="32">
        <v>-134954</v>
      </c>
      <c r="AB402" s="32">
        <v>0</v>
      </c>
      <c r="AC402" s="32" t="s">
        <v>538</v>
      </c>
      <c r="AD402" s="32"/>
      <c r="AE402" s="32">
        <v>0</v>
      </c>
    </row>
    <row r="403" spans="1:31" x14ac:dyDescent="0.25">
      <c r="A403">
        <v>6132</v>
      </c>
      <c r="B403" t="s">
        <v>176</v>
      </c>
      <c r="C403" t="s">
        <v>177</v>
      </c>
      <c r="D403" s="35">
        <v>86997.759999999995</v>
      </c>
      <c r="E403">
        <v>1246131630</v>
      </c>
      <c r="F403" s="321">
        <v>45573</v>
      </c>
      <c r="G403" s="321"/>
      <c r="H403" t="s">
        <v>172</v>
      </c>
      <c r="I403" t="s">
        <v>173</v>
      </c>
      <c r="J403">
        <v>2958</v>
      </c>
      <c r="K403" s="321">
        <v>45351</v>
      </c>
      <c r="L403">
        <v>1010100</v>
      </c>
      <c r="M403" t="s">
        <v>35</v>
      </c>
      <c r="N403">
        <v>569</v>
      </c>
      <c r="O403" s="32">
        <v>0</v>
      </c>
      <c r="P403" s="32">
        <v>0</v>
      </c>
      <c r="Q403" s="32">
        <v>0</v>
      </c>
      <c r="R403" s="32">
        <v>0</v>
      </c>
      <c r="S403" s="32">
        <v>0</v>
      </c>
      <c r="T403" s="32">
        <v>0</v>
      </c>
      <c r="U403" s="32">
        <v>86997.759999999995</v>
      </c>
      <c r="V403" s="32">
        <v>0</v>
      </c>
      <c r="W403" s="32">
        <v>2609.9327999999996</v>
      </c>
      <c r="X403" s="32">
        <v>84387.8272</v>
      </c>
      <c r="Y403" s="32">
        <v>84387.8272</v>
      </c>
      <c r="Z403" s="32">
        <v>86997.759999999995</v>
      </c>
      <c r="AA403" s="32">
        <v>-86997.759999999995</v>
      </c>
      <c r="AB403" s="32">
        <v>0</v>
      </c>
      <c r="AC403" s="32" t="s">
        <v>538</v>
      </c>
      <c r="AD403" s="32"/>
      <c r="AE403" s="32">
        <v>0</v>
      </c>
    </row>
    <row r="404" spans="1:31" x14ac:dyDescent="0.25">
      <c r="A404">
        <v>6132</v>
      </c>
      <c r="B404" t="s">
        <v>176</v>
      </c>
      <c r="C404" t="s">
        <v>177</v>
      </c>
      <c r="D404" s="35">
        <v>29949.599999999999</v>
      </c>
      <c r="E404">
        <v>1246133071</v>
      </c>
      <c r="F404" s="321">
        <v>45573</v>
      </c>
      <c r="G404" s="321"/>
      <c r="H404" t="s">
        <v>172</v>
      </c>
      <c r="I404" t="s">
        <v>173</v>
      </c>
      <c r="J404">
        <v>3013</v>
      </c>
      <c r="K404" s="321">
        <v>45359</v>
      </c>
      <c r="L404">
        <v>1010100</v>
      </c>
      <c r="M404" t="s">
        <v>35</v>
      </c>
      <c r="N404">
        <v>569</v>
      </c>
      <c r="O404" s="32">
        <v>0</v>
      </c>
      <c r="P404" s="32">
        <v>0</v>
      </c>
      <c r="Q404" s="32">
        <v>0</v>
      </c>
      <c r="R404" s="32">
        <v>0</v>
      </c>
      <c r="S404" s="32">
        <v>0</v>
      </c>
      <c r="T404" s="32">
        <v>0</v>
      </c>
      <c r="U404" s="32">
        <v>29949.599999999999</v>
      </c>
      <c r="V404" s="32">
        <v>0</v>
      </c>
      <c r="W404" s="32">
        <v>898.48799999999994</v>
      </c>
      <c r="X404" s="32">
        <v>29051.111999999997</v>
      </c>
      <c r="Y404" s="32">
        <v>29051.111999999997</v>
      </c>
      <c r="Z404" s="32">
        <v>29949.599999999999</v>
      </c>
      <c r="AA404" s="32">
        <v>-29949.599999999999</v>
      </c>
      <c r="AB404" s="32">
        <v>0</v>
      </c>
      <c r="AC404" s="32" t="s">
        <v>538</v>
      </c>
      <c r="AD404" s="32"/>
      <c r="AE404" s="32">
        <v>0</v>
      </c>
    </row>
    <row r="405" spans="1:31" x14ac:dyDescent="0.25">
      <c r="A405">
        <v>6132</v>
      </c>
      <c r="B405" t="s">
        <v>176</v>
      </c>
      <c r="C405" t="s">
        <v>177</v>
      </c>
      <c r="D405" s="35">
        <v>54275.6</v>
      </c>
      <c r="E405">
        <v>1246132475</v>
      </c>
      <c r="F405" s="321">
        <v>45570</v>
      </c>
      <c r="G405" s="321"/>
      <c r="H405" t="s">
        <v>172</v>
      </c>
      <c r="I405" t="s">
        <v>173</v>
      </c>
      <c r="J405">
        <v>2990</v>
      </c>
      <c r="K405" s="321">
        <v>45356</v>
      </c>
      <c r="L405">
        <v>1010100</v>
      </c>
      <c r="M405" t="s">
        <v>35</v>
      </c>
      <c r="N405">
        <v>572</v>
      </c>
      <c r="O405" s="32">
        <v>0</v>
      </c>
      <c r="P405" s="32">
        <v>0</v>
      </c>
      <c r="Q405" s="32">
        <v>0</v>
      </c>
      <c r="R405" s="32">
        <v>0</v>
      </c>
      <c r="S405" s="32">
        <v>0</v>
      </c>
      <c r="T405" s="32">
        <v>0</v>
      </c>
      <c r="U405" s="32">
        <v>54275.6</v>
      </c>
      <c r="V405" s="32">
        <v>0</v>
      </c>
      <c r="W405" s="32">
        <v>1628.2679999999998</v>
      </c>
      <c r="X405" s="32">
        <v>52647.331999999995</v>
      </c>
      <c r="Y405" s="32">
        <v>52647.331999999995</v>
      </c>
      <c r="Z405" s="32">
        <v>54275.6</v>
      </c>
      <c r="AA405" s="32">
        <v>-54275.6</v>
      </c>
      <c r="AB405" s="32">
        <v>0</v>
      </c>
      <c r="AC405" s="32" t="s">
        <v>538</v>
      </c>
      <c r="AD405" s="32"/>
      <c r="AE405" s="32">
        <v>0</v>
      </c>
    </row>
    <row r="406" spans="1:31" x14ac:dyDescent="0.25">
      <c r="A406">
        <v>6132</v>
      </c>
      <c r="B406" t="s">
        <v>176</v>
      </c>
      <c r="C406" t="s">
        <v>177</v>
      </c>
      <c r="D406" s="35">
        <v>97872.48</v>
      </c>
      <c r="E406">
        <v>1246132869</v>
      </c>
      <c r="F406" s="321">
        <v>45572</v>
      </c>
      <c r="G406" s="321"/>
      <c r="H406" t="s">
        <v>172</v>
      </c>
      <c r="I406" t="s">
        <v>173</v>
      </c>
      <c r="J406">
        <v>3001</v>
      </c>
      <c r="K406" s="321">
        <v>45358</v>
      </c>
      <c r="L406">
        <v>1010100</v>
      </c>
      <c r="M406" t="s">
        <v>35</v>
      </c>
      <c r="N406">
        <v>570</v>
      </c>
      <c r="O406" s="32">
        <v>0</v>
      </c>
      <c r="P406" s="32">
        <v>0</v>
      </c>
      <c r="Q406" s="32">
        <v>0</v>
      </c>
      <c r="R406" s="32">
        <v>0</v>
      </c>
      <c r="S406" s="32">
        <v>0</v>
      </c>
      <c r="T406" s="32">
        <v>0</v>
      </c>
      <c r="U406" s="32">
        <v>97872.48</v>
      </c>
      <c r="V406" s="32">
        <v>0</v>
      </c>
      <c r="W406" s="32">
        <v>2936.1743999999999</v>
      </c>
      <c r="X406" s="32">
        <v>94936.305599999992</v>
      </c>
      <c r="Y406" s="32">
        <v>94936.305599999992</v>
      </c>
      <c r="Z406" s="32">
        <v>97872.48</v>
      </c>
      <c r="AA406" s="32">
        <v>-97872.48</v>
      </c>
      <c r="AB406" s="32">
        <v>0</v>
      </c>
      <c r="AC406" s="32" t="s">
        <v>538</v>
      </c>
      <c r="AD406" s="32"/>
      <c r="AE406" s="32">
        <v>0</v>
      </c>
    </row>
    <row r="407" spans="1:31" x14ac:dyDescent="0.25">
      <c r="A407">
        <v>6132</v>
      </c>
      <c r="B407" t="s">
        <v>176</v>
      </c>
      <c r="C407" t="s">
        <v>177</v>
      </c>
      <c r="D407" s="35">
        <v>86997.759999999995</v>
      </c>
      <c r="E407">
        <v>1246147192</v>
      </c>
      <c r="F407" s="321">
        <v>45571</v>
      </c>
      <c r="G407" s="321"/>
      <c r="H407" t="s">
        <v>172</v>
      </c>
      <c r="I407" t="s">
        <v>173</v>
      </c>
      <c r="J407">
        <v>3654</v>
      </c>
      <c r="K407" s="321">
        <v>45436</v>
      </c>
      <c r="L407">
        <v>1010100</v>
      </c>
      <c r="M407" t="s">
        <v>35</v>
      </c>
      <c r="N407">
        <v>571</v>
      </c>
      <c r="O407" s="32">
        <v>0</v>
      </c>
      <c r="P407" s="32">
        <v>0</v>
      </c>
      <c r="Q407" s="32">
        <v>0</v>
      </c>
      <c r="R407" s="32">
        <v>0</v>
      </c>
      <c r="S407" s="32">
        <v>0</v>
      </c>
      <c r="T407" s="32">
        <v>0</v>
      </c>
      <c r="U407" s="32">
        <v>86997.759999999995</v>
      </c>
      <c r="V407" s="32">
        <v>0</v>
      </c>
      <c r="W407" s="32">
        <v>2609.9327999999996</v>
      </c>
      <c r="X407" s="32">
        <v>84387.8272</v>
      </c>
      <c r="Y407" s="32">
        <v>84387.8272</v>
      </c>
      <c r="Z407" s="32">
        <v>86997.759999999995</v>
      </c>
      <c r="AA407" s="32">
        <v>-86997.759999999995</v>
      </c>
      <c r="AB407" s="32">
        <v>0</v>
      </c>
      <c r="AC407" s="32" t="s">
        <v>538</v>
      </c>
      <c r="AD407" s="32"/>
      <c r="AE407" s="32">
        <v>0</v>
      </c>
    </row>
    <row r="408" spans="1:31" x14ac:dyDescent="0.25">
      <c r="A408">
        <v>6132</v>
      </c>
      <c r="B408" t="s">
        <v>176</v>
      </c>
      <c r="C408" t="s">
        <v>177</v>
      </c>
      <c r="D408" s="35">
        <v>101192.76</v>
      </c>
      <c r="E408">
        <v>1246148270</v>
      </c>
      <c r="F408" s="321">
        <v>45578</v>
      </c>
      <c r="G408" s="321"/>
      <c r="H408" t="s">
        <v>172</v>
      </c>
      <c r="I408" t="s">
        <v>173</v>
      </c>
      <c r="J408">
        <v>3731</v>
      </c>
      <c r="K408" s="321">
        <v>45443</v>
      </c>
      <c r="L408">
        <v>1010100</v>
      </c>
      <c r="M408" t="s">
        <v>35</v>
      </c>
      <c r="N408">
        <v>564</v>
      </c>
      <c r="O408" s="32">
        <v>0</v>
      </c>
      <c r="P408" s="32">
        <v>0</v>
      </c>
      <c r="Q408" s="32">
        <v>0</v>
      </c>
      <c r="R408" s="32">
        <v>0</v>
      </c>
      <c r="S408" s="32">
        <v>0</v>
      </c>
      <c r="T408" s="32">
        <v>0</v>
      </c>
      <c r="U408" s="32">
        <v>101192.76</v>
      </c>
      <c r="V408" s="32">
        <v>0</v>
      </c>
      <c r="W408" s="32">
        <v>3035.7828</v>
      </c>
      <c r="X408" s="32">
        <v>98156.977199999994</v>
      </c>
      <c r="Y408" s="32">
        <v>98156.977199999994</v>
      </c>
      <c r="Z408" s="32">
        <v>101192.76</v>
      </c>
      <c r="AA408" s="32">
        <v>-101192.76</v>
      </c>
      <c r="AB408" s="32">
        <v>0</v>
      </c>
      <c r="AC408" s="32" t="s">
        <v>538</v>
      </c>
      <c r="AD408" s="32"/>
      <c r="AE408" s="32">
        <v>0</v>
      </c>
    </row>
    <row r="409" spans="1:31" x14ac:dyDescent="0.25">
      <c r="A409">
        <v>5519</v>
      </c>
      <c r="B409" t="s">
        <v>302</v>
      </c>
      <c r="C409" t="s">
        <v>876</v>
      </c>
      <c r="D409" s="35">
        <v>43569.75</v>
      </c>
      <c r="E409">
        <v>1246269683</v>
      </c>
      <c r="F409" s="321">
        <v>46172</v>
      </c>
      <c r="G409" s="321"/>
      <c r="H409" t="s">
        <v>28</v>
      </c>
      <c r="I409" t="s">
        <v>29</v>
      </c>
      <c r="J409">
        <v>11012</v>
      </c>
      <c r="K409" s="321">
        <v>46112</v>
      </c>
      <c r="L409">
        <v>1010100</v>
      </c>
      <c r="M409" t="s">
        <v>35</v>
      </c>
      <c r="N409">
        <v>-30</v>
      </c>
      <c r="O409" s="32">
        <v>0</v>
      </c>
      <c r="P409" s="32">
        <v>0</v>
      </c>
      <c r="Q409" s="32">
        <v>43569.75</v>
      </c>
      <c r="R409" s="32">
        <v>0</v>
      </c>
      <c r="S409" s="32">
        <v>0</v>
      </c>
      <c r="T409" s="32">
        <v>0</v>
      </c>
      <c r="U409" s="32">
        <v>0</v>
      </c>
      <c r="V409" s="32">
        <v>0</v>
      </c>
      <c r="W409" s="32">
        <v>0</v>
      </c>
      <c r="X409" s="32">
        <v>0</v>
      </c>
      <c r="Y409" s="32">
        <v>0</v>
      </c>
      <c r="Z409" s="32">
        <v>0</v>
      </c>
      <c r="AA409" s="32">
        <v>0</v>
      </c>
      <c r="AB409" s="32">
        <v>0</v>
      </c>
      <c r="AC409" s="32" t="s">
        <v>472</v>
      </c>
      <c r="AD409" s="32"/>
      <c r="AE409" s="32">
        <v>0</v>
      </c>
    </row>
    <row r="410" spans="1:31" x14ac:dyDescent="0.25">
      <c r="A410">
        <v>6177</v>
      </c>
      <c r="B410" t="s">
        <v>729</v>
      </c>
      <c r="C410" t="s">
        <v>799</v>
      </c>
      <c r="D410" s="35">
        <v>122180</v>
      </c>
      <c r="E410">
        <v>1246273001</v>
      </c>
      <c r="F410" s="321">
        <v>46200</v>
      </c>
      <c r="G410" s="321"/>
      <c r="H410" t="s">
        <v>28</v>
      </c>
      <c r="I410" t="s">
        <v>29</v>
      </c>
      <c r="J410">
        <v>11247</v>
      </c>
      <c r="K410" s="321">
        <v>46140</v>
      </c>
      <c r="L410">
        <v>1010100</v>
      </c>
      <c r="M410" t="s">
        <v>35</v>
      </c>
      <c r="N410">
        <v>-58</v>
      </c>
      <c r="O410" s="32">
        <v>0</v>
      </c>
      <c r="P410" s="32">
        <v>0</v>
      </c>
      <c r="Q410" s="32">
        <v>122180</v>
      </c>
      <c r="R410" s="32">
        <v>0</v>
      </c>
      <c r="S410" s="32">
        <v>0</v>
      </c>
      <c r="T410" s="32">
        <v>0</v>
      </c>
      <c r="U410" s="32">
        <v>0</v>
      </c>
      <c r="V410" s="32">
        <v>0</v>
      </c>
      <c r="W410" s="32">
        <v>0</v>
      </c>
      <c r="X410" s="32">
        <v>0</v>
      </c>
      <c r="Y410" s="32">
        <v>0</v>
      </c>
      <c r="Z410" s="32">
        <v>0</v>
      </c>
      <c r="AA410" s="32">
        <v>0</v>
      </c>
      <c r="AB410" s="32">
        <v>0</v>
      </c>
      <c r="AC410" s="32" t="s">
        <v>472</v>
      </c>
      <c r="AD410" s="32"/>
      <c r="AE410" s="32">
        <v>0</v>
      </c>
    </row>
    <row r="411" spans="1:31" x14ac:dyDescent="0.25">
      <c r="A411">
        <v>6177</v>
      </c>
      <c r="B411" t="s">
        <v>729</v>
      </c>
      <c r="C411" t="s">
        <v>799</v>
      </c>
      <c r="D411" s="35">
        <v>121852</v>
      </c>
      <c r="E411">
        <v>1246269467</v>
      </c>
      <c r="F411" s="321">
        <v>46168</v>
      </c>
      <c r="G411" s="321"/>
      <c r="H411" t="s">
        <v>28</v>
      </c>
      <c r="I411" t="s">
        <v>29</v>
      </c>
      <c r="J411">
        <v>10994</v>
      </c>
      <c r="K411" s="321">
        <v>46108</v>
      </c>
      <c r="L411">
        <v>1010100</v>
      </c>
      <c r="M411" t="s">
        <v>35</v>
      </c>
      <c r="N411">
        <v>-26</v>
      </c>
      <c r="O411" s="32">
        <v>0</v>
      </c>
      <c r="P411" s="32">
        <v>0</v>
      </c>
      <c r="Q411" s="32">
        <v>121852</v>
      </c>
      <c r="R411" s="32">
        <v>0</v>
      </c>
      <c r="S411" s="32">
        <v>0</v>
      </c>
      <c r="T411" s="32">
        <v>0</v>
      </c>
      <c r="U411" s="32">
        <v>0</v>
      </c>
      <c r="V411" s="32">
        <v>0</v>
      </c>
      <c r="W411" s="32">
        <v>0</v>
      </c>
      <c r="X411" s="32">
        <v>0</v>
      </c>
      <c r="Y411" s="32">
        <v>0</v>
      </c>
      <c r="Z411" s="32">
        <v>0</v>
      </c>
      <c r="AA411" s="32">
        <v>0</v>
      </c>
      <c r="AB411" s="32">
        <v>0</v>
      </c>
      <c r="AC411" s="32" t="s">
        <v>472</v>
      </c>
      <c r="AD411" s="32"/>
      <c r="AE411" s="32">
        <v>0</v>
      </c>
    </row>
    <row r="412" spans="1:31" x14ac:dyDescent="0.25">
      <c r="A412">
        <v>5300</v>
      </c>
      <c r="B412" t="s">
        <v>30</v>
      </c>
      <c r="C412" t="s">
        <v>547</v>
      </c>
      <c r="D412" s="35">
        <v>175004.1</v>
      </c>
      <c r="E412">
        <v>1246270198</v>
      </c>
      <c r="F412" s="321">
        <v>46142</v>
      </c>
      <c r="G412" s="321">
        <v>46146</v>
      </c>
      <c r="H412" t="s">
        <v>28</v>
      </c>
      <c r="I412" t="s">
        <v>29</v>
      </c>
      <c r="J412">
        <v>11048</v>
      </c>
      <c r="K412" s="321">
        <v>46114</v>
      </c>
      <c r="L412">
        <v>1010100</v>
      </c>
      <c r="M412" t="s">
        <v>35</v>
      </c>
      <c r="N412">
        <v>0</v>
      </c>
      <c r="O412" s="32">
        <v>0</v>
      </c>
      <c r="P412" s="32">
        <v>0</v>
      </c>
      <c r="Q412" s="32">
        <v>175004.1</v>
      </c>
      <c r="R412" s="32">
        <v>0</v>
      </c>
      <c r="S412" s="32">
        <v>0</v>
      </c>
      <c r="T412" s="32">
        <v>0</v>
      </c>
      <c r="U412" s="32">
        <v>0</v>
      </c>
      <c r="V412" s="32">
        <v>0</v>
      </c>
      <c r="W412" s="32">
        <v>0</v>
      </c>
      <c r="X412" s="32">
        <v>0</v>
      </c>
      <c r="Y412" s="32">
        <v>0</v>
      </c>
      <c r="Z412" s="32">
        <v>0</v>
      </c>
      <c r="AA412" s="32">
        <v>0</v>
      </c>
      <c r="AB412" s="32">
        <v>0</v>
      </c>
      <c r="AC412" s="32" t="s">
        <v>472</v>
      </c>
      <c r="AD412" s="32"/>
      <c r="AE412" s="32">
        <v>0</v>
      </c>
    </row>
    <row r="413" spans="1:31" x14ac:dyDescent="0.25">
      <c r="A413">
        <v>5300</v>
      </c>
      <c r="B413" t="s">
        <v>30</v>
      </c>
      <c r="C413" t="s">
        <v>547</v>
      </c>
      <c r="D413" s="35">
        <v>169176.4</v>
      </c>
      <c r="E413">
        <v>1246273181</v>
      </c>
      <c r="F413" s="321">
        <v>46170</v>
      </c>
      <c r="G413" s="321"/>
      <c r="H413" t="s">
        <v>28</v>
      </c>
      <c r="I413" t="s">
        <v>29</v>
      </c>
      <c r="J413">
        <v>11268</v>
      </c>
      <c r="K413" s="321">
        <v>46142</v>
      </c>
      <c r="L413">
        <v>1010100</v>
      </c>
      <c r="M413" t="s">
        <v>35</v>
      </c>
      <c r="N413">
        <v>-28</v>
      </c>
      <c r="O413" s="32">
        <v>0</v>
      </c>
      <c r="P413" s="32">
        <v>0</v>
      </c>
      <c r="Q413" s="32">
        <v>169176.4</v>
      </c>
      <c r="R413" s="32">
        <v>0</v>
      </c>
      <c r="S413" s="32">
        <v>0</v>
      </c>
      <c r="T413" s="32">
        <v>0</v>
      </c>
      <c r="U413" s="32">
        <v>0</v>
      </c>
      <c r="V413" s="32">
        <v>0</v>
      </c>
      <c r="W413" s="32">
        <v>0</v>
      </c>
      <c r="X413" s="32">
        <v>0</v>
      </c>
      <c r="Y413" s="32">
        <v>0</v>
      </c>
      <c r="Z413" s="32">
        <v>0</v>
      </c>
      <c r="AA413" s="32">
        <v>0</v>
      </c>
      <c r="AB413" s="32">
        <v>0</v>
      </c>
      <c r="AC413" s="32" t="s">
        <v>472</v>
      </c>
      <c r="AD413" s="32"/>
      <c r="AE413" s="32">
        <v>0</v>
      </c>
    </row>
    <row r="414" spans="1:31" x14ac:dyDescent="0.25">
      <c r="A414">
        <v>5300</v>
      </c>
      <c r="B414" t="s">
        <v>30</v>
      </c>
      <c r="C414" t="s">
        <v>547</v>
      </c>
      <c r="D414" s="35">
        <v>173157.7</v>
      </c>
      <c r="E414">
        <v>1246271143</v>
      </c>
      <c r="F414" s="321">
        <v>46153</v>
      </c>
      <c r="G414" s="321"/>
      <c r="H414" t="s">
        <v>28</v>
      </c>
      <c r="I414" t="s">
        <v>29</v>
      </c>
      <c r="J414">
        <v>11104</v>
      </c>
      <c r="K414" s="321">
        <v>46125</v>
      </c>
      <c r="L414">
        <v>1010100</v>
      </c>
      <c r="M414" t="s">
        <v>35</v>
      </c>
      <c r="N414">
        <v>-11</v>
      </c>
      <c r="O414" s="32">
        <v>0</v>
      </c>
      <c r="P414" s="32">
        <v>0</v>
      </c>
      <c r="Q414" s="32">
        <v>173157.7</v>
      </c>
      <c r="R414" s="32">
        <v>0</v>
      </c>
      <c r="S414" s="32">
        <v>0</v>
      </c>
      <c r="T414" s="32">
        <v>0</v>
      </c>
      <c r="U414" s="32">
        <v>0</v>
      </c>
      <c r="V414" s="32">
        <v>0</v>
      </c>
      <c r="W414" s="32">
        <v>0</v>
      </c>
      <c r="X414" s="32">
        <v>0</v>
      </c>
      <c r="Y414" s="32">
        <v>0</v>
      </c>
      <c r="Z414" s="32">
        <v>0</v>
      </c>
      <c r="AA414" s="32">
        <v>0</v>
      </c>
      <c r="AB414" s="32">
        <v>0</v>
      </c>
      <c r="AC414" s="32" t="s">
        <v>472</v>
      </c>
      <c r="AD414" s="32"/>
      <c r="AE414" s="32">
        <v>0</v>
      </c>
    </row>
    <row r="415" spans="1:31" x14ac:dyDescent="0.25">
      <c r="A415">
        <v>4575</v>
      </c>
      <c r="B415" t="s">
        <v>90</v>
      </c>
      <c r="C415" t="s">
        <v>91</v>
      </c>
      <c r="D415" s="35">
        <v>20940</v>
      </c>
      <c r="E415">
        <v>1246113043</v>
      </c>
      <c r="F415" s="321">
        <v>45311</v>
      </c>
      <c r="G415" s="321"/>
      <c r="H415" t="s">
        <v>28</v>
      </c>
      <c r="I415" t="s">
        <v>29</v>
      </c>
      <c r="J415">
        <v>1821</v>
      </c>
      <c r="K415" s="321">
        <v>45233</v>
      </c>
      <c r="L415">
        <v>1010100</v>
      </c>
      <c r="M415" t="s">
        <v>35</v>
      </c>
      <c r="N415">
        <v>831</v>
      </c>
      <c r="O415" s="32">
        <v>0</v>
      </c>
      <c r="P415" s="32">
        <v>20940</v>
      </c>
      <c r="Q415" s="32">
        <v>0</v>
      </c>
      <c r="R415" s="32">
        <v>0</v>
      </c>
      <c r="S415" s="32">
        <v>0</v>
      </c>
      <c r="T415" s="32">
        <v>0</v>
      </c>
      <c r="U415" s="32">
        <v>20940</v>
      </c>
      <c r="V415" s="32">
        <v>0</v>
      </c>
      <c r="W415" s="32">
        <v>628.19999999999993</v>
      </c>
      <c r="X415" s="32">
        <v>20311.8</v>
      </c>
      <c r="Y415" s="32">
        <v>20311.8</v>
      </c>
      <c r="Z415" s="32">
        <v>20940</v>
      </c>
      <c r="AA415" s="32">
        <v>0</v>
      </c>
      <c r="AB415" s="32">
        <v>20940</v>
      </c>
      <c r="AC415" s="32" t="s">
        <v>538</v>
      </c>
      <c r="AD415" s="32"/>
      <c r="AE415" s="32">
        <v>20940</v>
      </c>
    </row>
    <row r="416" spans="1:31" x14ac:dyDescent="0.25">
      <c r="A416">
        <v>7022</v>
      </c>
      <c r="B416" t="s">
        <v>774</v>
      </c>
      <c r="C416" t="s">
        <v>100</v>
      </c>
      <c r="D416" s="35">
        <v>1800</v>
      </c>
      <c r="E416">
        <v>1246054442</v>
      </c>
      <c r="F416" s="321">
        <v>44897</v>
      </c>
      <c r="G416" s="321"/>
      <c r="H416" t="s">
        <v>28</v>
      </c>
      <c r="I416" t="s">
        <v>29</v>
      </c>
      <c r="J416">
        <v>1246054442</v>
      </c>
      <c r="K416" s="321">
        <v>44882</v>
      </c>
      <c r="L416">
        <v>3041000</v>
      </c>
      <c r="M416" t="s">
        <v>137</v>
      </c>
      <c r="N416">
        <v>1245</v>
      </c>
      <c r="O416" s="32">
        <v>0</v>
      </c>
      <c r="P416" s="32">
        <v>1800</v>
      </c>
      <c r="Q416" s="32">
        <v>0</v>
      </c>
      <c r="R416" s="32">
        <v>0</v>
      </c>
      <c r="S416" s="32">
        <v>0</v>
      </c>
      <c r="T416" s="32">
        <v>0</v>
      </c>
      <c r="U416" s="32">
        <v>1800</v>
      </c>
      <c r="V416" s="32">
        <v>0</v>
      </c>
      <c r="W416" s="32">
        <v>54</v>
      </c>
      <c r="X416" s="32">
        <v>1746</v>
      </c>
      <c r="Y416" s="32">
        <v>1746</v>
      </c>
      <c r="Z416" s="32">
        <v>1800</v>
      </c>
      <c r="AA416" s="32">
        <v>0</v>
      </c>
      <c r="AB416" s="32">
        <v>1800</v>
      </c>
      <c r="AC416" s="32" t="s">
        <v>472</v>
      </c>
      <c r="AD416" s="32"/>
      <c r="AE416" s="32">
        <v>1800</v>
      </c>
    </row>
    <row r="417" spans="1:31" x14ac:dyDescent="0.25">
      <c r="A417">
        <v>7022</v>
      </c>
      <c r="B417" t="s">
        <v>774</v>
      </c>
      <c r="C417" t="s">
        <v>100</v>
      </c>
      <c r="D417" s="35">
        <v>70658.399999999994</v>
      </c>
      <c r="E417">
        <v>1246270917</v>
      </c>
      <c r="F417" s="321">
        <v>46211</v>
      </c>
      <c r="G417" s="321"/>
      <c r="H417" t="s">
        <v>28</v>
      </c>
      <c r="I417" t="s">
        <v>29</v>
      </c>
      <c r="J417">
        <v>11081</v>
      </c>
      <c r="K417" s="321">
        <v>46121</v>
      </c>
      <c r="L417">
        <v>1010100</v>
      </c>
      <c r="M417" t="s">
        <v>35</v>
      </c>
      <c r="N417">
        <v>-69</v>
      </c>
      <c r="O417" s="32">
        <v>0</v>
      </c>
      <c r="P417" s="32">
        <v>0</v>
      </c>
      <c r="Q417" s="32">
        <v>70658.399999999994</v>
      </c>
      <c r="R417" s="32">
        <v>0</v>
      </c>
      <c r="S417" s="32">
        <v>0</v>
      </c>
      <c r="T417" s="32">
        <v>0</v>
      </c>
      <c r="U417" s="32">
        <v>0</v>
      </c>
      <c r="V417" s="32">
        <v>0</v>
      </c>
      <c r="W417" s="32">
        <v>0</v>
      </c>
      <c r="X417" s="32">
        <v>0</v>
      </c>
      <c r="Y417" s="32">
        <v>0</v>
      </c>
      <c r="Z417" s="32">
        <v>0</v>
      </c>
      <c r="AA417" s="32">
        <v>0</v>
      </c>
      <c r="AB417" s="32">
        <v>0</v>
      </c>
      <c r="AC417" s="32" t="s">
        <v>472</v>
      </c>
      <c r="AD417" s="32"/>
      <c r="AE417" s="32">
        <v>0</v>
      </c>
    </row>
    <row r="418" spans="1:31" x14ac:dyDescent="0.25">
      <c r="A418">
        <v>7022</v>
      </c>
      <c r="B418" t="s">
        <v>774</v>
      </c>
      <c r="C418" t="s">
        <v>100</v>
      </c>
      <c r="D418" s="35">
        <v>70894.399999999994</v>
      </c>
      <c r="E418">
        <v>1246270966</v>
      </c>
      <c r="F418" s="321">
        <v>46212</v>
      </c>
      <c r="G418" s="321"/>
      <c r="H418" t="s">
        <v>28</v>
      </c>
      <c r="I418" t="s">
        <v>29</v>
      </c>
      <c r="J418">
        <v>11087</v>
      </c>
      <c r="K418" s="321">
        <v>46122</v>
      </c>
      <c r="L418">
        <v>1010100</v>
      </c>
      <c r="M418" t="s">
        <v>35</v>
      </c>
      <c r="N418">
        <v>-70</v>
      </c>
      <c r="O418" s="32">
        <v>0</v>
      </c>
      <c r="P418" s="32">
        <v>0</v>
      </c>
      <c r="Q418" s="32">
        <v>70894.399999999994</v>
      </c>
      <c r="R418" s="32">
        <v>0</v>
      </c>
      <c r="S418" s="32">
        <v>0</v>
      </c>
      <c r="T418" s="32">
        <v>0</v>
      </c>
      <c r="U418" s="32">
        <v>0</v>
      </c>
      <c r="V418" s="32">
        <v>0</v>
      </c>
      <c r="W418" s="32">
        <v>0</v>
      </c>
      <c r="X418" s="32">
        <v>0</v>
      </c>
      <c r="Y418" s="32">
        <v>0</v>
      </c>
      <c r="Z418" s="32">
        <v>0</v>
      </c>
      <c r="AA418" s="32">
        <v>0</v>
      </c>
      <c r="AB418" s="32">
        <v>0</v>
      </c>
      <c r="AC418" s="32" t="s">
        <v>472</v>
      </c>
      <c r="AD418" s="32"/>
      <c r="AE418" s="32">
        <v>0</v>
      </c>
    </row>
    <row r="419" spans="1:31" x14ac:dyDescent="0.25">
      <c r="A419">
        <v>7022</v>
      </c>
      <c r="B419" t="s">
        <v>774</v>
      </c>
      <c r="C419" t="s">
        <v>100</v>
      </c>
      <c r="D419" s="35">
        <v>70894.399999999994</v>
      </c>
      <c r="E419">
        <v>1246269324</v>
      </c>
      <c r="F419" s="321">
        <v>46197</v>
      </c>
      <c r="G419" s="321"/>
      <c r="H419" t="s">
        <v>28</v>
      </c>
      <c r="I419" t="s">
        <v>29</v>
      </c>
      <c r="J419">
        <v>10982</v>
      </c>
      <c r="K419" s="321">
        <v>46107</v>
      </c>
      <c r="L419">
        <v>1010100</v>
      </c>
      <c r="M419" t="s">
        <v>35</v>
      </c>
      <c r="N419">
        <v>-55</v>
      </c>
      <c r="O419" s="32">
        <v>0</v>
      </c>
      <c r="P419" s="32">
        <v>0</v>
      </c>
      <c r="Q419" s="32">
        <v>70894.399999999994</v>
      </c>
      <c r="R419" s="32">
        <v>0</v>
      </c>
      <c r="S419" s="32">
        <v>0</v>
      </c>
      <c r="T419" s="32">
        <v>0</v>
      </c>
      <c r="U419" s="32">
        <v>0</v>
      </c>
      <c r="V419" s="32">
        <v>0</v>
      </c>
      <c r="W419" s="32">
        <v>0</v>
      </c>
      <c r="X419" s="32">
        <v>0</v>
      </c>
      <c r="Y419" s="32">
        <v>0</v>
      </c>
      <c r="Z419" s="32">
        <v>0</v>
      </c>
      <c r="AA419" s="32">
        <v>0</v>
      </c>
      <c r="AB419" s="32">
        <v>0</v>
      </c>
      <c r="AC419" s="32" t="s">
        <v>472</v>
      </c>
      <c r="AD419" s="32"/>
      <c r="AE419" s="32">
        <v>0</v>
      </c>
    </row>
    <row r="420" spans="1:31" x14ac:dyDescent="0.25">
      <c r="A420">
        <v>7022</v>
      </c>
      <c r="B420" t="s">
        <v>774</v>
      </c>
      <c r="C420" t="s">
        <v>100</v>
      </c>
      <c r="D420" s="35">
        <v>70705.600000000006</v>
      </c>
      <c r="E420">
        <v>1246268533</v>
      </c>
      <c r="F420" s="321">
        <v>46191</v>
      </c>
      <c r="G420" s="321"/>
      <c r="H420" t="s">
        <v>28</v>
      </c>
      <c r="I420" t="s">
        <v>29</v>
      </c>
      <c r="J420">
        <v>10943</v>
      </c>
      <c r="K420" s="321">
        <v>46101</v>
      </c>
      <c r="L420">
        <v>1010100</v>
      </c>
      <c r="M420" t="s">
        <v>35</v>
      </c>
      <c r="N420">
        <v>-49</v>
      </c>
      <c r="O420" s="32">
        <v>0</v>
      </c>
      <c r="P420" s="32">
        <v>0</v>
      </c>
      <c r="Q420" s="32">
        <v>70705.600000000006</v>
      </c>
      <c r="R420" s="32">
        <v>0</v>
      </c>
      <c r="S420" s="32">
        <v>0</v>
      </c>
      <c r="T420" s="32">
        <v>0</v>
      </c>
      <c r="U420" s="32">
        <v>0</v>
      </c>
      <c r="V420" s="32">
        <v>0</v>
      </c>
      <c r="W420" s="32">
        <v>0</v>
      </c>
      <c r="X420" s="32">
        <v>0</v>
      </c>
      <c r="Y420" s="32">
        <v>0</v>
      </c>
      <c r="Z420" s="32">
        <v>0</v>
      </c>
      <c r="AA420" s="32">
        <v>0</v>
      </c>
      <c r="AB420" s="32">
        <v>0</v>
      </c>
      <c r="AC420" s="32" t="s">
        <v>472</v>
      </c>
      <c r="AD420" s="32"/>
      <c r="AE420" s="32">
        <v>0</v>
      </c>
    </row>
    <row r="421" spans="1:31" x14ac:dyDescent="0.25">
      <c r="A421">
        <v>7022</v>
      </c>
      <c r="B421" t="s">
        <v>774</v>
      </c>
      <c r="C421" t="s">
        <v>100</v>
      </c>
      <c r="D421" s="35">
        <v>70516.800000000003</v>
      </c>
      <c r="E421">
        <v>1246270817</v>
      </c>
      <c r="F421" s="321">
        <v>46211</v>
      </c>
      <c r="G421" s="321"/>
      <c r="H421" t="s">
        <v>28</v>
      </c>
      <c r="I421" t="s">
        <v>29</v>
      </c>
      <c r="J421">
        <v>11077</v>
      </c>
      <c r="K421" s="321">
        <v>46121</v>
      </c>
      <c r="L421">
        <v>1010100</v>
      </c>
      <c r="M421" t="s">
        <v>35</v>
      </c>
      <c r="N421">
        <v>-69</v>
      </c>
      <c r="O421" s="32">
        <v>0</v>
      </c>
      <c r="P421" s="32">
        <v>0</v>
      </c>
      <c r="Q421" s="32">
        <v>70516.800000000003</v>
      </c>
      <c r="R421" s="32">
        <v>0</v>
      </c>
      <c r="S421" s="32">
        <v>0</v>
      </c>
      <c r="T421" s="32">
        <v>0</v>
      </c>
      <c r="U421" s="32">
        <v>0</v>
      </c>
      <c r="V421" s="32">
        <v>0</v>
      </c>
      <c r="W421" s="32">
        <v>0</v>
      </c>
      <c r="X421" s="32">
        <v>0</v>
      </c>
      <c r="Y421" s="32">
        <v>0</v>
      </c>
      <c r="Z421" s="32">
        <v>0</v>
      </c>
      <c r="AA421" s="32">
        <v>0</v>
      </c>
      <c r="AB421" s="32">
        <v>0</v>
      </c>
      <c r="AC421" s="32" t="s">
        <v>472</v>
      </c>
      <c r="AD421" s="32"/>
      <c r="AE421" s="32">
        <v>0</v>
      </c>
    </row>
    <row r="422" spans="1:31" x14ac:dyDescent="0.25">
      <c r="A422">
        <v>7022</v>
      </c>
      <c r="B422" t="s">
        <v>774</v>
      </c>
      <c r="C422" t="s">
        <v>100</v>
      </c>
      <c r="D422" s="35">
        <v>71012.399999999994</v>
      </c>
      <c r="E422">
        <v>1246272359</v>
      </c>
      <c r="F422" s="321">
        <v>46226</v>
      </c>
      <c r="G422" s="321"/>
      <c r="H422" t="s">
        <v>28</v>
      </c>
      <c r="I422" t="s">
        <v>29</v>
      </c>
      <c r="J422">
        <v>11207</v>
      </c>
      <c r="K422" s="321">
        <v>46136</v>
      </c>
      <c r="L422">
        <v>1010100</v>
      </c>
      <c r="M422" t="s">
        <v>35</v>
      </c>
      <c r="N422">
        <v>-84</v>
      </c>
      <c r="O422" s="32">
        <v>0</v>
      </c>
      <c r="P422" s="32">
        <v>0</v>
      </c>
      <c r="Q422" s="32">
        <v>71012.399999999994</v>
      </c>
      <c r="R422" s="32">
        <v>0</v>
      </c>
      <c r="S422" s="32">
        <v>0</v>
      </c>
      <c r="T422" s="32">
        <v>0</v>
      </c>
      <c r="U422" s="32">
        <v>0</v>
      </c>
      <c r="V422" s="32">
        <v>0</v>
      </c>
      <c r="W422" s="32">
        <v>0</v>
      </c>
      <c r="X422" s="32">
        <v>0</v>
      </c>
      <c r="Y422" s="32">
        <v>0</v>
      </c>
      <c r="Z422" s="32">
        <v>0</v>
      </c>
      <c r="AA422" s="32">
        <v>0</v>
      </c>
      <c r="AB422" s="32">
        <v>0</v>
      </c>
      <c r="AC422" s="32" t="s">
        <v>472</v>
      </c>
      <c r="AD422" s="32"/>
      <c r="AE422" s="32">
        <v>0</v>
      </c>
    </row>
    <row r="423" spans="1:31" x14ac:dyDescent="0.25">
      <c r="A423">
        <v>7022</v>
      </c>
      <c r="B423" t="s">
        <v>774</v>
      </c>
      <c r="C423" t="s">
        <v>100</v>
      </c>
      <c r="D423" s="35">
        <v>70705.600000000006</v>
      </c>
      <c r="E423">
        <v>1246267824</v>
      </c>
      <c r="F423" s="321">
        <v>46157</v>
      </c>
      <c r="G423" s="321"/>
      <c r="H423" t="s">
        <v>28</v>
      </c>
      <c r="I423" t="s">
        <v>29</v>
      </c>
      <c r="J423">
        <v>10891</v>
      </c>
      <c r="K423" s="321">
        <v>46097</v>
      </c>
      <c r="L423">
        <v>1010100</v>
      </c>
      <c r="M423" t="s">
        <v>35</v>
      </c>
      <c r="N423">
        <v>-15</v>
      </c>
      <c r="O423" s="32">
        <v>0</v>
      </c>
      <c r="P423" s="32">
        <v>0</v>
      </c>
      <c r="Q423" s="32">
        <v>70705.600000000006</v>
      </c>
      <c r="R423" s="32">
        <v>0</v>
      </c>
      <c r="S423" s="32">
        <v>0</v>
      </c>
      <c r="T423" s="32">
        <v>0</v>
      </c>
      <c r="U423" s="32">
        <v>0</v>
      </c>
      <c r="V423" s="32">
        <v>0</v>
      </c>
      <c r="W423" s="32">
        <v>0</v>
      </c>
      <c r="X423" s="32">
        <v>0</v>
      </c>
      <c r="Y423" s="32">
        <v>0</v>
      </c>
      <c r="Z423" s="32">
        <v>0</v>
      </c>
      <c r="AA423" s="32">
        <v>0</v>
      </c>
      <c r="AB423" s="32">
        <v>0</v>
      </c>
      <c r="AC423" s="32" t="s">
        <v>472</v>
      </c>
      <c r="AD423" s="32"/>
      <c r="AE423" s="32">
        <v>0</v>
      </c>
    </row>
    <row r="424" spans="1:31" x14ac:dyDescent="0.25">
      <c r="A424">
        <v>7022</v>
      </c>
      <c r="B424" t="s">
        <v>774</v>
      </c>
      <c r="C424" t="s">
        <v>100</v>
      </c>
      <c r="D424" s="35">
        <v>70516.800000000003</v>
      </c>
      <c r="E424">
        <v>1246270344</v>
      </c>
      <c r="F424" s="321">
        <v>46208</v>
      </c>
      <c r="G424" s="321"/>
      <c r="H424" t="s">
        <v>28</v>
      </c>
      <c r="I424" t="s">
        <v>29</v>
      </c>
      <c r="J424">
        <v>11052</v>
      </c>
      <c r="K424" s="321">
        <v>46118</v>
      </c>
      <c r="L424">
        <v>1010100</v>
      </c>
      <c r="M424" t="s">
        <v>35</v>
      </c>
      <c r="N424">
        <v>-66</v>
      </c>
      <c r="O424" s="32">
        <v>0</v>
      </c>
      <c r="P424" s="32">
        <v>0</v>
      </c>
      <c r="Q424" s="32">
        <v>70516.800000000003</v>
      </c>
      <c r="R424" s="32">
        <v>0</v>
      </c>
      <c r="S424" s="32">
        <v>0</v>
      </c>
      <c r="T424" s="32">
        <v>0</v>
      </c>
      <c r="U424" s="32">
        <v>0</v>
      </c>
      <c r="V424" s="32">
        <v>0</v>
      </c>
      <c r="W424" s="32">
        <v>0</v>
      </c>
      <c r="X424" s="32">
        <v>0</v>
      </c>
      <c r="Y424" s="32">
        <v>0</v>
      </c>
      <c r="Z424" s="32">
        <v>0</v>
      </c>
      <c r="AA424" s="32">
        <v>0</v>
      </c>
      <c r="AB424" s="32">
        <v>0</v>
      </c>
      <c r="AC424" s="32" t="s">
        <v>472</v>
      </c>
      <c r="AD424" s="32"/>
      <c r="AE424" s="32">
        <v>0</v>
      </c>
    </row>
    <row r="425" spans="1:31" x14ac:dyDescent="0.25">
      <c r="A425">
        <v>7022</v>
      </c>
      <c r="B425" t="s">
        <v>774</v>
      </c>
      <c r="C425" t="s">
        <v>100</v>
      </c>
      <c r="D425" s="35">
        <v>70705.600000000006</v>
      </c>
      <c r="E425">
        <v>1246271135</v>
      </c>
      <c r="F425" s="321">
        <v>46215</v>
      </c>
      <c r="G425" s="321"/>
      <c r="H425" t="s">
        <v>28</v>
      </c>
      <c r="I425" t="s">
        <v>29</v>
      </c>
      <c r="J425">
        <v>11102</v>
      </c>
      <c r="K425" s="321">
        <v>46125</v>
      </c>
      <c r="L425">
        <v>1010100</v>
      </c>
      <c r="M425" t="s">
        <v>35</v>
      </c>
      <c r="N425">
        <v>-73</v>
      </c>
      <c r="O425" s="32">
        <v>0</v>
      </c>
      <c r="P425" s="32">
        <v>0</v>
      </c>
      <c r="Q425" s="32">
        <v>70705.600000000006</v>
      </c>
      <c r="R425" s="32">
        <v>0</v>
      </c>
      <c r="S425" s="32">
        <v>0</v>
      </c>
      <c r="T425" s="32">
        <v>0</v>
      </c>
      <c r="U425" s="32">
        <v>0</v>
      </c>
      <c r="V425" s="32">
        <v>0</v>
      </c>
      <c r="W425" s="32">
        <v>0</v>
      </c>
      <c r="X425" s="32">
        <v>0</v>
      </c>
      <c r="Y425" s="32">
        <v>0</v>
      </c>
      <c r="Z425" s="32">
        <v>0</v>
      </c>
      <c r="AA425" s="32">
        <v>0</v>
      </c>
      <c r="AB425" s="32">
        <v>0</v>
      </c>
      <c r="AC425" s="32" t="s">
        <v>472</v>
      </c>
      <c r="AD425" s="32"/>
      <c r="AE425" s="32">
        <v>0</v>
      </c>
    </row>
    <row r="426" spans="1:31" x14ac:dyDescent="0.25">
      <c r="A426">
        <v>7022</v>
      </c>
      <c r="B426" t="s">
        <v>774</v>
      </c>
      <c r="C426" t="s">
        <v>100</v>
      </c>
      <c r="D426" s="35">
        <v>70941.600000000006</v>
      </c>
      <c r="E426">
        <v>1246271888</v>
      </c>
      <c r="F426" s="321">
        <v>46222</v>
      </c>
      <c r="G426" s="321"/>
      <c r="H426" t="s">
        <v>28</v>
      </c>
      <c r="I426" t="s">
        <v>29</v>
      </c>
      <c r="J426">
        <v>11176</v>
      </c>
      <c r="K426" s="321">
        <v>46132</v>
      </c>
      <c r="L426">
        <v>1010100</v>
      </c>
      <c r="M426" t="s">
        <v>35</v>
      </c>
      <c r="N426">
        <v>-80</v>
      </c>
      <c r="O426" s="32">
        <v>0</v>
      </c>
      <c r="P426" s="32">
        <v>0</v>
      </c>
      <c r="Q426" s="32">
        <v>70941.600000000006</v>
      </c>
      <c r="R426" s="32">
        <v>0</v>
      </c>
      <c r="S426" s="32">
        <v>0</v>
      </c>
      <c r="T426" s="32">
        <v>0</v>
      </c>
      <c r="U426" s="32">
        <v>0</v>
      </c>
      <c r="V426" s="32">
        <v>0</v>
      </c>
      <c r="W426" s="32">
        <v>0</v>
      </c>
      <c r="X426" s="32">
        <v>0</v>
      </c>
      <c r="Y426" s="32">
        <v>0</v>
      </c>
      <c r="Z426" s="32">
        <v>0</v>
      </c>
      <c r="AA426" s="32">
        <v>0</v>
      </c>
      <c r="AB426" s="32">
        <v>0</v>
      </c>
      <c r="AC426" s="32" t="s">
        <v>472</v>
      </c>
      <c r="AD426" s="32"/>
      <c r="AE426" s="32">
        <v>0</v>
      </c>
    </row>
    <row r="427" spans="1:31" x14ac:dyDescent="0.25">
      <c r="A427">
        <v>7060</v>
      </c>
      <c r="B427" t="s">
        <v>181</v>
      </c>
      <c r="C427" t="s">
        <v>182</v>
      </c>
      <c r="D427" s="35">
        <v>130331.92</v>
      </c>
      <c r="E427">
        <v>1246232349</v>
      </c>
      <c r="F427" s="321">
        <v>46144</v>
      </c>
      <c r="G427" s="321">
        <v>46146</v>
      </c>
      <c r="H427" t="s">
        <v>172</v>
      </c>
      <c r="I427" t="s">
        <v>173</v>
      </c>
      <c r="J427">
        <v>8975</v>
      </c>
      <c r="K427" s="321">
        <v>45890</v>
      </c>
      <c r="L427">
        <v>1010100</v>
      </c>
      <c r="M427" t="s">
        <v>35</v>
      </c>
      <c r="N427">
        <v>-2</v>
      </c>
      <c r="O427" s="32">
        <v>0</v>
      </c>
      <c r="P427" s="32">
        <v>0</v>
      </c>
      <c r="Q427" s="32">
        <v>130331.92</v>
      </c>
      <c r="R427" s="32">
        <v>0</v>
      </c>
      <c r="S427" s="32">
        <v>0</v>
      </c>
      <c r="T427" s="32">
        <v>0</v>
      </c>
      <c r="U427" s="32">
        <v>0</v>
      </c>
      <c r="V427" s="32">
        <v>0</v>
      </c>
      <c r="W427" s="32">
        <v>0</v>
      </c>
      <c r="X427" s="32">
        <v>0</v>
      </c>
      <c r="Y427" s="32">
        <v>0</v>
      </c>
      <c r="Z427" s="32">
        <v>0</v>
      </c>
      <c r="AA427" s="32">
        <v>0</v>
      </c>
      <c r="AB427" s="32">
        <v>0</v>
      </c>
      <c r="AC427" s="32" t="s">
        <v>472</v>
      </c>
      <c r="AD427" s="32"/>
      <c r="AE427" s="32">
        <v>0</v>
      </c>
    </row>
    <row r="428" spans="1:31" x14ac:dyDescent="0.25">
      <c r="A428">
        <v>7060</v>
      </c>
      <c r="B428" t="s">
        <v>181</v>
      </c>
      <c r="C428" t="s">
        <v>182</v>
      </c>
      <c r="D428" s="35">
        <v>6817.24</v>
      </c>
      <c r="E428">
        <v>1246232336</v>
      </c>
      <c r="F428" s="321">
        <v>46144</v>
      </c>
      <c r="G428" s="321">
        <v>46146</v>
      </c>
      <c r="H428" t="s">
        <v>172</v>
      </c>
      <c r="I428" t="s">
        <v>173</v>
      </c>
      <c r="J428">
        <v>8973</v>
      </c>
      <c r="K428" s="321">
        <v>45890</v>
      </c>
      <c r="L428">
        <v>1010100</v>
      </c>
      <c r="M428" t="s">
        <v>35</v>
      </c>
      <c r="N428">
        <v>-2</v>
      </c>
      <c r="O428" s="32">
        <v>0</v>
      </c>
      <c r="P428" s="32">
        <v>0</v>
      </c>
      <c r="Q428" s="32">
        <v>6817.24</v>
      </c>
      <c r="R428" s="32">
        <v>0</v>
      </c>
      <c r="S428" s="32">
        <v>0</v>
      </c>
      <c r="T428" s="32">
        <v>0</v>
      </c>
      <c r="U428" s="32">
        <v>0</v>
      </c>
      <c r="V428" s="32">
        <v>0</v>
      </c>
      <c r="W428" s="32">
        <v>0</v>
      </c>
      <c r="X428" s="32">
        <v>0</v>
      </c>
      <c r="Y428" s="32">
        <v>0</v>
      </c>
      <c r="Z428" s="32">
        <v>0</v>
      </c>
      <c r="AA428" s="32">
        <v>0</v>
      </c>
      <c r="AB428" s="32">
        <v>0</v>
      </c>
      <c r="AC428" s="32" t="s">
        <v>472</v>
      </c>
      <c r="AD428" s="32"/>
      <c r="AE428" s="32">
        <v>0</v>
      </c>
    </row>
    <row r="429" spans="1:31" x14ac:dyDescent="0.25">
      <c r="A429">
        <v>7060</v>
      </c>
      <c r="B429" t="s">
        <v>181</v>
      </c>
      <c r="C429" t="s">
        <v>182</v>
      </c>
      <c r="D429" s="35">
        <v>5180.3999999999996</v>
      </c>
      <c r="E429">
        <v>1246254161</v>
      </c>
      <c r="F429" s="321">
        <v>46281</v>
      </c>
      <c r="G429" s="321"/>
      <c r="H429" t="s">
        <v>172</v>
      </c>
      <c r="I429" t="s">
        <v>173</v>
      </c>
      <c r="J429">
        <v>10278</v>
      </c>
      <c r="K429" s="321">
        <v>46006</v>
      </c>
      <c r="L429">
        <v>1010100</v>
      </c>
      <c r="M429" t="s">
        <v>35</v>
      </c>
      <c r="N429">
        <v>-139</v>
      </c>
      <c r="O429" s="32">
        <v>0</v>
      </c>
      <c r="P429" s="32">
        <v>0</v>
      </c>
      <c r="Q429" s="32">
        <v>5180.3999999999996</v>
      </c>
      <c r="R429" s="32">
        <v>0</v>
      </c>
      <c r="S429" s="32">
        <v>0</v>
      </c>
      <c r="T429" s="32">
        <v>0</v>
      </c>
      <c r="U429" s="32">
        <v>0</v>
      </c>
      <c r="V429" s="32">
        <v>0</v>
      </c>
      <c r="W429" s="32">
        <v>0</v>
      </c>
      <c r="X429" s="32">
        <v>0</v>
      </c>
      <c r="Y429" s="32">
        <v>0</v>
      </c>
      <c r="Z429" s="32">
        <v>0</v>
      </c>
      <c r="AA429" s="32">
        <v>0</v>
      </c>
      <c r="AB429" s="32">
        <v>0</v>
      </c>
      <c r="AC429" s="32" t="s">
        <v>472</v>
      </c>
      <c r="AD429" s="32"/>
      <c r="AE429" s="32">
        <v>0</v>
      </c>
    </row>
    <row r="430" spans="1:31" x14ac:dyDescent="0.25">
      <c r="A430">
        <v>7060</v>
      </c>
      <c r="B430" t="s">
        <v>181</v>
      </c>
      <c r="C430" t="s">
        <v>182</v>
      </c>
      <c r="D430" s="35">
        <v>8288.64</v>
      </c>
      <c r="E430">
        <v>1246252321</v>
      </c>
      <c r="F430" s="321">
        <v>46269</v>
      </c>
      <c r="G430" s="321"/>
      <c r="H430" t="s">
        <v>172</v>
      </c>
      <c r="I430" t="s">
        <v>173</v>
      </c>
      <c r="J430">
        <v>10183</v>
      </c>
      <c r="K430" s="321">
        <v>45994</v>
      </c>
      <c r="L430">
        <v>1010100</v>
      </c>
      <c r="M430" t="s">
        <v>35</v>
      </c>
      <c r="N430">
        <v>-127</v>
      </c>
      <c r="O430" s="32">
        <v>0</v>
      </c>
      <c r="P430" s="32">
        <v>0</v>
      </c>
      <c r="Q430" s="32">
        <v>8288.64</v>
      </c>
      <c r="R430" s="32">
        <v>0</v>
      </c>
      <c r="S430" s="32">
        <v>0</v>
      </c>
      <c r="T430" s="32">
        <v>0</v>
      </c>
      <c r="U430" s="32">
        <v>0</v>
      </c>
      <c r="V430" s="32">
        <v>0</v>
      </c>
      <c r="W430" s="32">
        <v>0</v>
      </c>
      <c r="X430" s="32">
        <v>0</v>
      </c>
      <c r="Y430" s="32">
        <v>0</v>
      </c>
      <c r="Z430" s="32">
        <v>0</v>
      </c>
      <c r="AA430" s="32">
        <v>0</v>
      </c>
      <c r="AB430" s="32">
        <v>0</v>
      </c>
      <c r="AC430" s="32" t="s">
        <v>472</v>
      </c>
      <c r="AD430" s="32"/>
      <c r="AE430" s="32">
        <v>0</v>
      </c>
    </row>
    <row r="431" spans="1:31" x14ac:dyDescent="0.25">
      <c r="A431">
        <v>7060</v>
      </c>
      <c r="B431" t="s">
        <v>181</v>
      </c>
      <c r="C431" t="s">
        <v>182</v>
      </c>
      <c r="D431" s="35">
        <v>67383.5</v>
      </c>
      <c r="E431">
        <v>1246254471</v>
      </c>
      <c r="F431" s="321">
        <v>46279</v>
      </c>
      <c r="G431" s="321"/>
      <c r="H431" t="s">
        <v>172</v>
      </c>
      <c r="I431" t="s">
        <v>173</v>
      </c>
      <c r="J431">
        <v>10301</v>
      </c>
      <c r="K431" s="321">
        <v>46007</v>
      </c>
      <c r="L431">
        <v>1010100</v>
      </c>
      <c r="M431" t="s">
        <v>35</v>
      </c>
      <c r="N431">
        <v>-137</v>
      </c>
      <c r="O431" s="32">
        <v>0</v>
      </c>
      <c r="P431" s="32">
        <v>0</v>
      </c>
      <c r="Q431" s="32">
        <v>67383.5</v>
      </c>
      <c r="R431" s="32">
        <v>0</v>
      </c>
      <c r="S431" s="32">
        <v>0</v>
      </c>
      <c r="T431" s="32">
        <v>0</v>
      </c>
      <c r="U431" s="32">
        <v>0</v>
      </c>
      <c r="V431" s="32">
        <v>0</v>
      </c>
      <c r="W431" s="32">
        <v>0</v>
      </c>
      <c r="X431" s="32">
        <v>0</v>
      </c>
      <c r="Y431" s="32">
        <v>0</v>
      </c>
      <c r="Z431" s="32">
        <v>0</v>
      </c>
      <c r="AA431" s="32">
        <v>0</v>
      </c>
      <c r="AB431" s="32">
        <v>0</v>
      </c>
      <c r="AC431" s="32" t="s">
        <v>472</v>
      </c>
      <c r="AD431" s="32"/>
      <c r="AE431" s="32">
        <v>0</v>
      </c>
    </row>
    <row r="432" spans="1:31" x14ac:dyDescent="0.25">
      <c r="A432">
        <v>7060</v>
      </c>
      <c r="B432" t="s">
        <v>181</v>
      </c>
      <c r="C432" t="s">
        <v>182</v>
      </c>
      <c r="D432" s="35">
        <v>202489.44</v>
      </c>
      <c r="E432">
        <v>1246233024</v>
      </c>
      <c r="F432" s="321">
        <v>46264</v>
      </c>
      <c r="G432" s="321"/>
      <c r="H432" t="s">
        <v>172</v>
      </c>
      <c r="I432" t="s">
        <v>173</v>
      </c>
      <c r="J432">
        <v>9046</v>
      </c>
      <c r="K432" s="321">
        <v>45895</v>
      </c>
      <c r="L432">
        <v>1010100</v>
      </c>
      <c r="M432" t="s">
        <v>35</v>
      </c>
      <c r="N432">
        <v>-122</v>
      </c>
      <c r="O432" s="32">
        <v>0</v>
      </c>
      <c r="P432" s="32">
        <v>0</v>
      </c>
      <c r="Q432" s="32">
        <v>202489.44</v>
      </c>
      <c r="R432" s="32">
        <v>0</v>
      </c>
      <c r="S432" s="32">
        <v>0</v>
      </c>
      <c r="T432" s="32">
        <v>0</v>
      </c>
      <c r="U432" s="32">
        <v>0</v>
      </c>
      <c r="V432" s="32">
        <v>0</v>
      </c>
      <c r="W432" s="32">
        <v>0</v>
      </c>
      <c r="X432" s="32">
        <v>0</v>
      </c>
      <c r="Y432" s="32">
        <v>0</v>
      </c>
      <c r="Z432" s="32">
        <v>0</v>
      </c>
      <c r="AA432" s="32">
        <v>0</v>
      </c>
      <c r="AB432" s="32">
        <v>0</v>
      </c>
      <c r="AC432" s="32" t="s">
        <v>472</v>
      </c>
      <c r="AD432" s="32"/>
      <c r="AE432" s="32">
        <v>0</v>
      </c>
    </row>
    <row r="433" spans="1:31" x14ac:dyDescent="0.25">
      <c r="A433">
        <v>7060</v>
      </c>
      <c r="B433" t="s">
        <v>181</v>
      </c>
      <c r="C433" t="s">
        <v>182</v>
      </c>
      <c r="D433" s="35">
        <v>210926.49999999997</v>
      </c>
      <c r="E433">
        <v>1246232491</v>
      </c>
      <c r="F433" s="321">
        <v>46264</v>
      </c>
      <c r="G433" s="321"/>
      <c r="H433" t="s">
        <v>172</v>
      </c>
      <c r="I433" t="s">
        <v>173</v>
      </c>
      <c r="J433">
        <v>9006</v>
      </c>
      <c r="K433" s="321">
        <v>45891</v>
      </c>
      <c r="L433">
        <v>1010100</v>
      </c>
      <c r="M433" t="s">
        <v>35</v>
      </c>
      <c r="N433">
        <v>-122</v>
      </c>
      <c r="O433" s="32">
        <v>0</v>
      </c>
      <c r="P433" s="32">
        <v>0</v>
      </c>
      <c r="Q433" s="32">
        <v>210926.49999999997</v>
      </c>
      <c r="R433" s="32">
        <v>0</v>
      </c>
      <c r="S433" s="32">
        <v>0</v>
      </c>
      <c r="T433" s="32">
        <v>0</v>
      </c>
      <c r="U433" s="32">
        <v>0</v>
      </c>
      <c r="V433" s="32">
        <v>0</v>
      </c>
      <c r="W433" s="32">
        <v>0</v>
      </c>
      <c r="X433" s="32">
        <v>0</v>
      </c>
      <c r="Y433" s="32">
        <v>0</v>
      </c>
      <c r="Z433" s="32">
        <v>0</v>
      </c>
      <c r="AA433" s="32">
        <v>0</v>
      </c>
      <c r="AB433" s="32">
        <v>0</v>
      </c>
      <c r="AC433" s="32" t="s">
        <v>472</v>
      </c>
      <c r="AD433" s="32"/>
      <c r="AE433" s="32">
        <v>0</v>
      </c>
    </row>
    <row r="434" spans="1:31" x14ac:dyDescent="0.25">
      <c r="A434">
        <v>7060</v>
      </c>
      <c r="B434" t="s">
        <v>181</v>
      </c>
      <c r="C434" t="s">
        <v>182</v>
      </c>
      <c r="D434" s="35">
        <v>135891.48000000001</v>
      </c>
      <c r="E434">
        <v>1246233319</v>
      </c>
      <c r="F434" s="321">
        <v>46266</v>
      </c>
      <c r="G434" s="321"/>
      <c r="H434" t="s">
        <v>172</v>
      </c>
      <c r="I434" t="s">
        <v>173</v>
      </c>
      <c r="J434">
        <v>9076</v>
      </c>
      <c r="K434" s="321">
        <v>45896</v>
      </c>
      <c r="L434">
        <v>1010100</v>
      </c>
      <c r="M434" t="s">
        <v>35</v>
      </c>
      <c r="N434">
        <v>-124</v>
      </c>
      <c r="O434" s="32">
        <v>0</v>
      </c>
      <c r="P434" s="32">
        <v>0</v>
      </c>
      <c r="Q434" s="32">
        <v>135891.48000000001</v>
      </c>
      <c r="R434" s="32">
        <v>0</v>
      </c>
      <c r="S434" s="32">
        <v>0</v>
      </c>
      <c r="T434" s="32">
        <v>0</v>
      </c>
      <c r="U434" s="32">
        <v>0</v>
      </c>
      <c r="V434" s="32">
        <v>0</v>
      </c>
      <c r="W434" s="32">
        <v>0</v>
      </c>
      <c r="X434" s="32">
        <v>0</v>
      </c>
      <c r="Y434" s="32">
        <v>0</v>
      </c>
      <c r="Z434" s="32">
        <v>0</v>
      </c>
      <c r="AA434" s="32">
        <v>0</v>
      </c>
      <c r="AB434" s="32">
        <v>0</v>
      </c>
      <c r="AC434" s="32" t="s">
        <v>472</v>
      </c>
      <c r="AD434" s="32"/>
      <c r="AE434" s="32">
        <v>0</v>
      </c>
    </row>
    <row r="435" spans="1:31" x14ac:dyDescent="0.25">
      <c r="A435">
        <v>7060</v>
      </c>
      <c r="B435" t="s">
        <v>181</v>
      </c>
      <c r="C435" t="s">
        <v>182</v>
      </c>
      <c r="D435" s="35">
        <v>137584.20000000001</v>
      </c>
      <c r="E435">
        <v>1246232316</v>
      </c>
      <c r="F435" s="321">
        <v>46144</v>
      </c>
      <c r="G435" s="321"/>
      <c r="H435" t="s">
        <v>172</v>
      </c>
      <c r="I435" t="s">
        <v>173</v>
      </c>
      <c r="J435">
        <v>8971</v>
      </c>
      <c r="K435" s="321">
        <v>45890</v>
      </c>
      <c r="L435">
        <v>1010100</v>
      </c>
      <c r="M435" t="s">
        <v>35</v>
      </c>
      <c r="N435">
        <v>-2</v>
      </c>
      <c r="O435" s="32">
        <v>0</v>
      </c>
      <c r="P435" s="32">
        <v>0</v>
      </c>
      <c r="Q435" s="32">
        <v>137584.20000000001</v>
      </c>
      <c r="R435" s="32">
        <v>0</v>
      </c>
      <c r="S435" s="32">
        <v>0</v>
      </c>
      <c r="T435" s="32">
        <v>0</v>
      </c>
      <c r="U435" s="32">
        <v>0</v>
      </c>
      <c r="V435" s="32">
        <v>0</v>
      </c>
      <c r="W435" s="32">
        <v>0</v>
      </c>
      <c r="X435" s="32">
        <v>0</v>
      </c>
      <c r="Y435" s="32">
        <v>0</v>
      </c>
      <c r="Z435" s="32">
        <v>0</v>
      </c>
      <c r="AA435" s="32">
        <v>0</v>
      </c>
      <c r="AB435" s="32">
        <v>0</v>
      </c>
      <c r="AC435" s="32" t="s">
        <v>472</v>
      </c>
      <c r="AD435" s="32"/>
      <c r="AE435" s="32">
        <v>0</v>
      </c>
    </row>
    <row r="436" spans="1:31" x14ac:dyDescent="0.25">
      <c r="A436">
        <v>7060</v>
      </c>
      <c r="B436" t="s">
        <v>181</v>
      </c>
      <c r="C436" t="s">
        <v>182</v>
      </c>
      <c r="D436" s="35">
        <v>160304.14000000001</v>
      </c>
      <c r="E436">
        <v>1246232724</v>
      </c>
      <c r="F436" s="321">
        <v>46264</v>
      </c>
      <c r="G436" s="321"/>
      <c r="H436" t="s">
        <v>172</v>
      </c>
      <c r="I436" t="s">
        <v>173</v>
      </c>
      <c r="J436">
        <v>9023</v>
      </c>
      <c r="K436" s="321">
        <v>45894</v>
      </c>
      <c r="L436">
        <v>1010100</v>
      </c>
      <c r="M436" t="s">
        <v>35</v>
      </c>
      <c r="N436">
        <v>-122</v>
      </c>
      <c r="O436" s="32">
        <v>0</v>
      </c>
      <c r="P436" s="32">
        <v>0</v>
      </c>
      <c r="Q436" s="32">
        <v>160304.14000000001</v>
      </c>
      <c r="R436" s="32">
        <v>0</v>
      </c>
      <c r="S436" s="32">
        <v>0</v>
      </c>
      <c r="T436" s="32">
        <v>0</v>
      </c>
      <c r="U436" s="32">
        <v>0</v>
      </c>
      <c r="V436" s="32">
        <v>0</v>
      </c>
      <c r="W436" s="32">
        <v>0</v>
      </c>
      <c r="X436" s="32">
        <v>0</v>
      </c>
      <c r="Y436" s="32">
        <v>0</v>
      </c>
      <c r="Z436" s="32">
        <v>0</v>
      </c>
      <c r="AA436" s="32">
        <v>0</v>
      </c>
      <c r="AB436" s="32">
        <v>0</v>
      </c>
      <c r="AC436" s="32" t="s">
        <v>472</v>
      </c>
      <c r="AD436" s="32"/>
      <c r="AE436" s="32">
        <v>0</v>
      </c>
    </row>
    <row r="437" spans="1:31" x14ac:dyDescent="0.25">
      <c r="A437">
        <v>7060</v>
      </c>
      <c r="B437" t="s">
        <v>181</v>
      </c>
      <c r="C437" t="s">
        <v>182</v>
      </c>
      <c r="D437" s="35">
        <v>134992.95999999999</v>
      </c>
      <c r="E437">
        <v>1246233318</v>
      </c>
      <c r="F437" s="321">
        <v>46265</v>
      </c>
      <c r="G437" s="321"/>
      <c r="H437" t="s">
        <v>172</v>
      </c>
      <c r="I437" t="s">
        <v>173</v>
      </c>
      <c r="J437">
        <v>9075</v>
      </c>
      <c r="K437" s="321">
        <v>45896</v>
      </c>
      <c r="L437">
        <v>1010100</v>
      </c>
      <c r="M437" t="s">
        <v>35</v>
      </c>
      <c r="N437">
        <v>-123</v>
      </c>
      <c r="O437" s="32">
        <v>0</v>
      </c>
      <c r="P437" s="32">
        <v>0</v>
      </c>
      <c r="Q437" s="32">
        <v>134992.95999999999</v>
      </c>
      <c r="R437" s="32">
        <v>0</v>
      </c>
      <c r="S437" s="32">
        <v>0</v>
      </c>
      <c r="T437" s="32">
        <v>0</v>
      </c>
      <c r="U437" s="32">
        <v>0</v>
      </c>
      <c r="V437" s="32">
        <v>0</v>
      </c>
      <c r="W437" s="32">
        <v>0</v>
      </c>
      <c r="X437" s="32">
        <v>0</v>
      </c>
      <c r="Y437" s="32">
        <v>0</v>
      </c>
      <c r="Z437" s="32">
        <v>0</v>
      </c>
      <c r="AA437" s="32">
        <v>0</v>
      </c>
      <c r="AB437" s="32">
        <v>0</v>
      </c>
      <c r="AC437" s="32" t="s">
        <v>472</v>
      </c>
      <c r="AD437" s="32"/>
      <c r="AE437" s="32">
        <v>0</v>
      </c>
    </row>
    <row r="438" spans="1:31" x14ac:dyDescent="0.25">
      <c r="A438">
        <v>6370</v>
      </c>
      <c r="B438" t="s">
        <v>294</v>
      </c>
      <c r="C438" t="s">
        <v>32</v>
      </c>
      <c r="D438" s="35">
        <v>177202.68</v>
      </c>
      <c r="E438">
        <v>1246270149</v>
      </c>
      <c r="F438" s="321">
        <v>46144</v>
      </c>
      <c r="G438" s="321"/>
      <c r="H438" t="s">
        <v>28</v>
      </c>
      <c r="I438" t="s">
        <v>29</v>
      </c>
      <c r="J438">
        <v>11042</v>
      </c>
      <c r="K438" s="321">
        <v>46114</v>
      </c>
      <c r="L438">
        <v>1010200</v>
      </c>
      <c r="M438" t="s">
        <v>124</v>
      </c>
      <c r="N438">
        <v>-2</v>
      </c>
      <c r="O438" s="32">
        <v>0</v>
      </c>
      <c r="P438" s="32">
        <v>0</v>
      </c>
      <c r="Q438" s="32">
        <v>177202.68</v>
      </c>
      <c r="R438" s="32">
        <v>0</v>
      </c>
      <c r="S438" s="32">
        <v>0</v>
      </c>
      <c r="T438" s="32">
        <v>0</v>
      </c>
      <c r="U438" s="32">
        <v>0</v>
      </c>
      <c r="V438" s="32">
        <v>0</v>
      </c>
      <c r="W438" s="32">
        <v>0</v>
      </c>
      <c r="X438" s="32">
        <v>0</v>
      </c>
      <c r="Y438" s="32">
        <v>0</v>
      </c>
      <c r="Z438" s="32">
        <v>0</v>
      </c>
      <c r="AA438" s="32">
        <v>0</v>
      </c>
      <c r="AB438" s="32">
        <v>0</v>
      </c>
      <c r="AC438" s="32" t="s">
        <v>472</v>
      </c>
      <c r="AD438" s="32"/>
      <c r="AE438" s="32">
        <v>0</v>
      </c>
    </row>
    <row r="439" spans="1:31" x14ac:dyDescent="0.25">
      <c r="A439">
        <v>6370</v>
      </c>
      <c r="B439" t="s">
        <v>294</v>
      </c>
      <c r="C439" t="s">
        <v>32</v>
      </c>
      <c r="D439" s="35">
        <v>172806.77</v>
      </c>
      <c r="E439">
        <v>1246272162</v>
      </c>
      <c r="F439" s="321">
        <v>46164</v>
      </c>
      <c r="G439" s="321"/>
      <c r="H439" t="s">
        <v>28</v>
      </c>
      <c r="I439" t="s">
        <v>29</v>
      </c>
      <c r="J439">
        <v>11193</v>
      </c>
      <c r="K439" s="321">
        <v>46134</v>
      </c>
      <c r="L439">
        <v>1010200</v>
      </c>
      <c r="M439" t="s">
        <v>124</v>
      </c>
      <c r="N439">
        <v>-22</v>
      </c>
      <c r="O439" s="32">
        <v>0</v>
      </c>
      <c r="P439" s="32">
        <v>0</v>
      </c>
      <c r="Q439" s="32">
        <v>172806.77</v>
      </c>
      <c r="R439" s="32">
        <v>0</v>
      </c>
      <c r="S439" s="32">
        <v>0</v>
      </c>
      <c r="T439" s="32">
        <v>0</v>
      </c>
      <c r="U439" s="32">
        <v>0</v>
      </c>
      <c r="V439" s="32">
        <v>0</v>
      </c>
      <c r="W439" s="32">
        <v>0</v>
      </c>
      <c r="X439" s="32">
        <v>0</v>
      </c>
      <c r="Y439" s="32">
        <v>0</v>
      </c>
      <c r="Z439" s="32">
        <v>0</v>
      </c>
      <c r="AA439" s="32">
        <v>0</v>
      </c>
      <c r="AB439" s="32">
        <v>0</v>
      </c>
      <c r="AC439" s="32" t="s">
        <v>472</v>
      </c>
      <c r="AD439" s="32"/>
      <c r="AE439" s="32">
        <v>0</v>
      </c>
    </row>
    <row r="440" spans="1:31" x14ac:dyDescent="0.25">
      <c r="A440">
        <v>9708</v>
      </c>
      <c r="B440" t="s">
        <v>627</v>
      </c>
      <c r="C440" t="s">
        <v>31</v>
      </c>
      <c r="D440" s="35">
        <v>687688.91</v>
      </c>
      <c r="E440">
        <v>1246271322</v>
      </c>
      <c r="F440" s="321">
        <v>46186</v>
      </c>
      <c r="G440" s="321"/>
      <c r="I440" t="s">
        <v>372</v>
      </c>
      <c r="J440">
        <v>11122</v>
      </c>
      <c r="K440" s="321">
        <v>46126</v>
      </c>
      <c r="L440">
        <v>1010200</v>
      </c>
      <c r="M440" t="s">
        <v>124</v>
      </c>
      <c r="N440">
        <v>-44</v>
      </c>
      <c r="O440" s="32">
        <v>0</v>
      </c>
      <c r="P440" s="32">
        <v>0</v>
      </c>
      <c r="Q440" s="32">
        <v>687688.91</v>
      </c>
      <c r="R440" s="32">
        <v>0</v>
      </c>
      <c r="S440" s="32">
        <v>0</v>
      </c>
      <c r="T440" s="32">
        <v>0</v>
      </c>
      <c r="U440" s="32">
        <v>0</v>
      </c>
      <c r="V440" s="32">
        <v>0</v>
      </c>
      <c r="W440" s="32">
        <v>0</v>
      </c>
      <c r="X440" s="32">
        <v>0</v>
      </c>
      <c r="Y440" s="32">
        <v>0</v>
      </c>
      <c r="Z440" s="32">
        <v>0</v>
      </c>
      <c r="AA440" s="32">
        <v>0</v>
      </c>
      <c r="AB440" s="32">
        <v>0</v>
      </c>
      <c r="AC440" s="32" t="s">
        <v>472</v>
      </c>
      <c r="AD440" s="32"/>
      <c r="AE440" s="32">
        <v>0</v>
      </c>
    </row>
    <row r="441" spans="1:31" x14ac:dyDescent="0.25">
      <c r="A441">
        <v>8187</v>
      </c>
      <c r="B441" t="s">
        <v>549</v>
      </c>
      <c r="C441" t="s">
        <v>314</v>
      </c>
      <c r="D441" s="35">
        <v>299642.08</v>
      </c>
      <c r="E441">
        <v>1246270723</v>
      </c>
      <c r="F441" s="321">
        <v>46357</v>
      </c>
      <c r="G441" s="321"/>
      <c r="H441" t="s">
        <v>172</v>
      </c>
      <c r="I441" t="s">
        <v>173</v>
      </c>
      <c r="J441">
        <v>11075</v>
      </c>
      <c r="K441" s="321">
        <v>46120</v>
      </c>
      <c r="L441">
        <v>1010100</v>
      </c>
      <c r="M441" t="s">
        <v>35</v>
      </c>
      <c r="N441">
        <v>-215</v>
      </c>
      <c r="O441" s="32">
        <v>0</v>
      </c>
      <c r="P441" s="32">
        <v>0</v>
      </c>
      <c r="Q441" s="32">
        <v>299642.08</v>
      </c>
      <c r="R441" s="32">
        <v>0</v>
      </c>
      <c r="S441" s="32">
        <v>0</v>
      </c>
      <c r="T441" s="32">
        <v>0</v>
      </c>
      <c r="U441" s="32">
        <v>0</v>
      </c>
      <c r="V441" s="32">
        <v>0</v>
      </c>
      <c r="W441" s="32">
        <v>0</v>
      </c>
      <c r="X441" s="32">
        <v>0</v>
      </c>
      <c r="Y441" s="32">
        <v>0</v>
      </c>
      <c r="Z441" s="32">
        <v>0</v>
      </c>
      <c r="AA441" s="32">
        <v>0</v>
      </c>
      <c r="AB441" s="32">
        <v>0</v>
      </c>
      <c r="AC441" s="32" t="s">
        <v>472</v>
      </c>
      <c r="AD441" s="32"/>
      <c r="AE441" s="32">
        <v>0</v>
      </c>
    </row>
    <row r="442" spans="1:31" x14ac:dyDescent="0.25">
      <c r="A442">
        <v>9295</v>
      </c>
      <c r="B442" t="s">
        <v>381</v>
      </c>
      <c r="C442" t="s">
        <v>126</v>
      </c>
      <c r="D442" s="35">
        <v>130127.06</v>
      </c>
      <c r="E442">
        <v>1246270982</v>
      </c>
      <c r="F442" s="321">
        <v>46152</v>
      </c>
      <c r="G442" s="321"/>
      <c r="H442" t="s">
        <v>28</v>
      </c>
      <c r="I442" t="s">
        <v>29</v>
      </c>
      <c r="J442">
        <v>11090</v>
      </c>
      <c r="K442" s="321">
        <v>46122</v>
      </c>
      <c r="L442">
        <v>1010200</v>
      </c>
      <c r="M442" t="s">
        <v>124</v>
      </c>
      <c r="N442">
        <v>-10</v>
      </c>
      <c r="O442" s="32">
        <v>0</v>
      </c>
      <c r="P442" s="32">
        <v>0</v>
      </c>
      <c r="Q442" s="32">
        <v>130127.06</v>
      </c>
      <c r="R442" s="32">
        <v>0</v>
      </c>
      <c r="S442" s="32">
        <v>0</v>
      </c>
      <c r="T442" s="32">
        <v>0</v>
      </c>
      <c r="U442" s="32">
        <v>0</v>
      </c>
      <c r="V442" s="32">
        <v>0</v>
      </c>
      <c r="W442" s="32">
        <v>0</v>
      </c>
      <c r="X442" s="32">
        <v>0</v>
      </c>
      <c r="Y442" s="32">
        <v>0</v>
      </c>
      <c r="Z442" s="32">
        <v>0</v>
      </c>
      <c r="AA442" s="32">
        <v>0</v>
      </c>
      <c r="AB442" s="32">
        <v>0</v>
      </c>
      <c r="AC442" s="32" t="s">
        <v>472</v>
      </c>
      <c r="AD442" s="32"/>
      <c r="AE442" s="32">
        <v>0</v>
      </c>
    </row>
    <row r="443" spans="1:31" x14ac:dyDescent="0.25">
      <c r="A443">
        <v>9295</v>
      </c>
      <c r="B443" t="s">
        <v>381</v>
      </c>
      <c r="C443" t="s">
        <v>126</v>
      </c>
      <c r="D443" s="35">
        <v>132185.95000000001</v>
      </c>
      <c r="E443">
        <v>1246270621</v>
      </c>
      <c r="F443" s="321">
        <v>46150</v>
      </c>
      <c r="G443" s="321"/>
      <c r="H443" t="s">
        <v>28</v>
      </c>
      <c r="I443" t="s">
        <v>29</v>
      </c>
      <c r="J443">
        <v>11071</v>
      </c>
      <c r="K443" s="321">
        <v>46120</v>
      </c>
      <c r="L443">
        <v>1010200</v>
      </c>
      <c r="M443" t="s">
        <v>124</v>
      </c>
      <c r="N443">
        <v>-8</v>
      </c>
      <c r="O443" s="32">
        <v>0</v>
      </c>
      <c r="P443" s="32">
        <v>0</v>
      </c>
      <c r="Q443" s="32">
        <v>132185.95000000001</v>
      </c>
      <c r="R443" s="32">
        <v>0</v>
      </c>
      <c r="S443" s="32">
        <v>0</v>
      </c>
      <c r="T443" s="32">
        <v>0</v>
      </c>
      <c r="U443" s="32">
        <v>0</v>
      </c>
      <c r="V443" s="32">
        <v>0</v>
      </c>
      <c r="W443" s="32">
        <v>0</v>
      </c>
      <c r="X443" s="32">
        <v>0</v>
      </c>
      <c r="Y443" s="32">
        <v>0</v>
      </c>
      <c r="Z443" s="32">
        <v>0</v>
      </c>
      <c r="AA443" s="32">
        <v>0</v>
      </c>
      <c r="AB443" s="32">
        <v>0</v>
      </c>
      <c r="AC443" s="32" t="s">
        <v>472</v>
      </c>
      <c r="AD443" s="32"/>
      <c r="AE443" s="32">
        <v>0</v>
      </c>
    </row>
    <row r="444" spans="1:31" x14ac:dyDescent="0.25">
      <c r="A444">
        <v>9298</v>
      </c>
      <c r="B444" t="s">
        <v>186</v>
      </c>
      <c r="C444" t="s">
        <v>187</v>
      </c>
      <c r="D444" s="35">
        <v>111799</v>
      </c>
      <c r="E444">
        <v>1246070436</v>
      </c>
      <c r="F444" s="321">
        <v>45555</v>
      </c>
      <c r="G444" s="321"/>
      <c r="H444" t="s">
        <v>172</v>
      </c>
      <c r="I444" t="s">
        <v>173</v>
      </c>
      <c r="J444">
        <v>20815</v>
      </c>
      <c r="K444" s="321">
        <v>44991</v>
      </c>
      <c r="L444">
        <v>1010100</v>
      </c>
      <c r="M444" t="s">
        <v>35</v>
      </c>
      <c r="N444">
        <v>587</v>
      </c>
      <c r="O444" s="32">
        <v>0</v>
      </c>
      <c r="P444" s="32">
        <v>0</v>
      </c>
      <c r="Q444" s="32">
        <v>0</v>
      </c>
      <c r="R444" s="32">
        <v>0</v>
      </c>
      <c r="S444" s="32">
        <v>0</v>
      </c>
      <c r="T444" s="32">
        <v>0</v>
      </c>
      <c r="U444" s="32">
        <v>111799</v>
      </c>
      <c r="V444" s="32">
        <v>0</v>
      </c>
      <c r="W444" s="32">
        <v>3353.97</v>
      </c>
      <c r="X444" s="32">
        <v>108445.03</v>
      </c>
      <c r="Y444" s="32">
        <v>108445.03</v>
      </c>
      <c r="Z444" s="32">
        <v>0</v>
      </c>
      <c r="AA444" s="32">
        <v>-111799</v>
      </c>
      <c r="AB444" s="32">
        <v>0</v>
      </c>
      <c r="AC444" s="32" t="s">
        <v>472</v>
      </c>
      <c r="AD444" s="32"/>
      <c r="AE444" s="32">
        <v>0</v>
      </c>
    </row>
    <row r="445" spans="1:31" x14ac:dyDescent="0.25">
      <c r="A445">
        <v>9298</v>
      </c>
      <c r="B445" t="s">
        <v>186</v>
      </c>
      <c r="C445" t="s">
        <v>187</v>
      </c>
      <c r="D445" s="35">
        <v>65548</v>
      </c>
      <c r="E445">
        <v>1246070905</v>
      </c>
      <c r="F445" s="321">
        <v>45555</v>
      </c>
      <c r="G445" s="321"/>
      <c r="H445" t="s">
        <v>172</v>
      </c>
      <c r="I445" t="s">
        <v>173</v>
      </c>
      <c r="J445">
        <v>20839</v>
      </c>
      <c r="K445" s="321">
        <v>44994</v>
      </c>
      <c r="L445">
        <v>1010100</v>
      </c>
      <c r="M445" t="s">
        <v>35</v>
      </c>
      <c r="N445">
        <v>587</v>
      </c>
      <c r="O445" s="32">
        <v>0</v>
      </c>
      <c r="P445" s="32">
        <v>0</v>
      </c>
      <c r="Q445" s="32">
        <v>0</v>
      </c>
      <c r="R445" s="32">
        <v>0</v>
      </c>
      <c r="S445" s="32">
        <v>0</v>
      </c>
      <c r="T445" s="32">
        <v>0</v>
      </c>
      <c r="U445" s="32">
        <v>65548</v>
      </c>
      <c r="V445" s="32">
        <v>0</v>
      </c>
      <c r="W445" s="32">
        <v>1966.4399999999998</v>
      </c>
      <c r="X445" s="32">
        <v>63581.56</v>
      </c>
      <c r="Y445" s="32">
        <v>63581.56</v>
      </c>
      <c r="Z445" s="32">
        <v>0</v>
      </c>
      <c r="AA445" s="32">
        <v>-65548</v>
      </c>
      <c r="AB445" s="32">
        <v>0</v>
      </c>
      <c r="AC445" s="32" t="s">
        <v>472</v>
      </c>
      <c r="AD445" s="32"/>
      <c r="AE445" s="32">
        <v>0</v>
      </c>
    </row>
    <row r="446" spans="1:31" x14ac:dyDescent="0.25">
      <c r="A446">
        <v>9298</v>
      </c>
      <c r="B446" t="s">
        <v>186</v>
      </c>
      <c r="C446" t="s">
        <v>187</v>
      </c>
      <c r="D446" s="35">
        <v>112475</v>
      </c>
      <c r="E446">
        <v>1246068948</v>
      </c>
      <c r="F446" s="321">
        <v>45555</v>
      </c>
      <c r="G446" s="321"/>
      <c r="H446" t="s">
        <v>172</v>
      </c>
      <c r="I446" t="s">
        <v>173</v>
      </c>
      <c r="J446">
        <v>20763</v>
      </c>
      <c r="K446" s="321">
        <v>44984</v>
      </c>
      <c r="L446">
        <v>1010100</v>
      </c>
      <c r="M446" t="s">
        <v>35</v>
      </c>
      <c r="N446">
        <v>587</v>
      </c>
      <c r="O446" s="32">
        <v>0</v>
      </c>
      <c r="P446" s="32">
        <v>0</v>
      </c>
      <c r="Q446" s="32">
        <v>0</v>
      </c>
      <c r="R446" s="32">
        <v>0</v>
      </c>
      <c r="S446" s="32">
        <v>0</v>
      </c>
      <c r="T446" s="32">
        <v>0</v>
      </c>
      <c r="U446" s="32">
        <v>112475</v>
      </c>
      <c r="V446" s="32">
        <v>0</v>
      </c>
      <c r="W446" s="32">
        <v>3374.25</v>
      </c>
      <c r="X446" s="32">
        <v>109100.75</v>
      </c>
      <c r="Y446" s="32">
        <v>109100.75</v>
      </c>
      <c r="Z446" s="32">
        <v>0</v>
      </c>
      <c r="AA446" s="32">
        <v>-112475</v>
      </c>
      <c r="AB446" s="32">
        <v>0</v>
      </c>
      <c r="AC446" s="32" t="s">
        <v>472</v>
      </c>
      <c r="AD446" s="32"/>
      <c r="AE446" s="32">
        <v>0</v>
      </c>
    </row>
    <row r="447" spans="1:31" x14ac:dyDescent="0.25">
      <c r="A447">
        <v>9298</v>
      </c>
      <c r="B447" t="s">
        <v>186</v>
      </c>
      <c r="C447" t="s">
        <v>187</v>
      </c>
      <c r="D447" s="35">
        <v>149824</v>
      </c>
      <c r="E447">
        <v>1246068778</v>
      </c>
      <c r="F447" s="321">
        <v>45555</v>
      </c>
      <c r="G447" s="321"/>
      <c r="H447" t="s">
        <v>172</v>
      </c>
      <c r="I447" t="s">
        <v>173</v>
      </c>
      <c r="J447">
        <v>20750</v>
      </c>
      <c r="K447" s="321">
        <v>44981</v>
      </c>
      <c r="L447">
        <v>1010100</v>
      </c>
      <c r="M447" t="s">
        <v>35</v>
      </c>
      <c r="N447">
        <v>587</v>
      </c>
      <c r="O447" s="32">
        <v>0</v>
      </c>
      <c r="P447" s="32">
        <v>0</v>
      </c>
      <c r="Q447" s="32">
        <v>0</v>
      </c>
      <c r="R447" s="32">
        <v>0</v>
      </c>
      <c r="S447" s="32">
        <v>0</v>
      </c>
      <c r="T447" s="32">
        <v>0</v>
      </c>
      <c r="U447" s="32">
        <v>149824</v>
      </c>
      <c r="V447" s="32">
        <v>0</v>
      </c>
      <c r="W447" s="32">
        <v>4494.72</v>
      </c>
      <c r="X447" s="32">
        <v>145329.28</v>
      </c>
      <c r="Y447" s="32">
        <v>145329.28</v>
      </c>
      <c r="Z447" s="32">
        <v>0</v>
      </c>
      <c r="AA447" s="32">
        <v>-149824</v>
      </c>
      <c r="AB447" s="32">
        <v>0</v>
      </c>
      <c r="AC447" s="32" t="s">
        <v>472</v>
      </c>
      <c r="AD447" s="32"/>
      <c r="AE447" s="32">
        <v>0</v>
      </c>
    </row>
    <row r="448" spans="1:31" x14ac:dyDescent="0.25">
      <c r="A448">
        <v>9298</v>
      </c>
      <c r="B448" t="s">
        <v>186</v>
      </c>
      <c r="C448" t="s">
        <v>187</v>
      </c>
      <c r="D448" s="35">
        <v>131203</v>
      </c>
      <c r="E448">
        <v>1246070820</v>
      </c>
      <c r="F448" s="321">
        <v>45555</v>
      </c>
      <c r="G448" s="321"/>
      <c r="H448" t="s">
        <v>172</v>
      </c>
      <c r="I448" t="s">
        <v>173</v>
      </c>
      <c r="J448">
        <v>20836</v>
      </c>
      <c r="K448" s="321">
        <v>44993</v>
      </c>
      <c r="L448">
        <v>1010100</v>
      </c>
      <c r="M448" t="s">
        <v>35</v>
      </c>
      <c r="N448">
        <v>587</v>
      </c>
      <c r="O448" s="32">
        <v>0</v>
      </c>
      <c r="P448" s="32">
        <v>0</v>
      </c>
      <c r="Q448" s="32">
        <v>0</v>
      </c>
      <c r="R448" s="32">
        <v>0</v>
      </c>
      <c r="S448" s="32">
        <v>0</v>
      </c>
      <c r="T448" s="32">
        <v>0</v>
      </c>
      <c r="U448" s="32">
        <v>131203</v>
      </c>
      <c r="V448" s="32">
        <v>0</v>
      </c>
      <c r="W448" s="32">
        <v>3936.0899999999997</v>
      </c>
      <c r="X448" s="32">
        <v>127266.91</v>
      </c>
      <c r="Y448" s="32">
        <v>127266.91</v>
      </c>
      <c r="Z448" s="32">
        <v>0</v>
      </c>
      <c r="AA448" s="32">
        <v>-131203</v>
      </c>
      <c r="AB448" s="32">
        <v>0</v>
      </c>
      <c r="AC448" s="32" t="s">
        <v>472</v>
      </c>
      <c r="AD448" s="32"/>
      <c r="AE448" s="32">
        <v>0</v>
      </c>
    </row>
    <row r="449" spans="1:31" x14ac:dyDescent="0.25">
      <c r="A449">
        <v>9298</v>
      </c>
      <c r="B449" t="s">
        <v>186</v>
      </c>
      <c r="C449" t="s">
        <v>187</v>
      </c>
      <c r="D449" s="35">
        <v>119356.2</v>
      </c>
      <c r="E449">
        <v>1246068614</v>
      </c>
      <c r="F449" s="321">
        <v>45555</v>
      </c>
      <c r="G449" s="321"/>
      <c r="H449" t="s">
        <v>172</v>
      </c>
      <c r="I449" t="s">
        <v>173</v>
      </c>
      <c r="J449">
        <v>20734</v>
      </c>
      <c r="K449" s="321">
        <v>44980</v>
      </c>
      <c r="L449">
        <v>1010100</v>
      </c>
      <c r="M449" t="s">
        <v>35</v>
      </c>
      <c r="N449">
        <v>587</v>
      </c>
      <c r="O449" s="32">
        <v>0</v>
      </c>
      <c r="P449" s="32">
        <v>0</v>
      </c>
      <c r="Q449" s="32">
        <v>0</v>
      </c>
      <c r="R449" s="32">
        <v>0</v>
      </c>
      <c r="S449" s="32">
        <v>0</v>
      </c>
      <c r="T449" s="32">
        <v>0</v>
      </c>
      <c r="U449" s="32">
        <v>119356.2</v>
      </c>
      <c r="V449" s="32">
        <v>0</v>
      </c>
      <c r="W449" s="32">
        <v>3580.6859999999997</v>
      </c>
      <c r="X449" s="32">
        <v>115775.514</v>
      </c>
      <c r="Y449" s="32">
        <v>115775.514</v>
      </c>
      <c r="Z449" s="32">
        <v>0</v>
      </c>
      <c r="AA449" s="32">
        <v>-119356.2</v>
      </c>
      <c r="AB449" s="32">
        <v>0</v>
      </c>
      <c r="AC449" s="32" t="s">
        <v>472</v>
      </c>
      <c r="AD449" s="32"/>
      <c r="AE449" s="32">
        <v>0</v>
      </c>
    </row>
    <row r="450" spans="1:31" x14ac:dyDescent="0.25">
      <c r="A450">
        <v>9298</v>
      </c>
      <c r="B450" t="s">
        <v>186</v>
      </c>
      <c r="C450" t="s">
        <v>187</v>
      </c>
      <c r="D450" s="35">
        <v>122521</v>
      </c>
      <c r="E450">
        <v>1246068997</v>
      </c>
      <c r="F450" s="321">
        <v>45555</v>
      </c>
      <c r="G450" s="321"/>
      <c r="H450" t="s">
        <v>172</v>
      </c>
      <c r="I450" t="s">
        <v>173</v>
      </c>
      <c r="J450">
        <v>20767</v>
      </c>
      <c r="K450" s="321">
        <v>44984</v>
      </c>
      <c r="L450">
        <v>1010100</v>
      </c>
      <c r="M450" t="s">
        <v>35</v>
      </c>
      <c r="N450">
        <v>587</v>
      </c>
      <c r="O450" s="32">
        <v>0</v>
      </c>
      <c r="P450" s="32">
        <v>0</v>
      </c>
      <c r="Q450" s="32">
        <v>0</v>
      </c>
      <c r="R450" s="32">
        <v>0</v>
      </c>
      <c r="S450" s="32">
        <v>0</v>
      </c>
      <c r="T450" s="32">
        <v>0</v>
      </c>
      <c r="U450" s="32">
        <v>122521</v>
      </c>
      <c r="V450" s="32">
        <v>0</v>
      </c>
      <c r="W450" s="32">
        <v>3675.6299999999997</v>
      </c>
      <c r="X450" s="32">
        <v>118845.37</v>
      </c>
      <c r="Y450" s="32">
        <v>118845.37</v>
      </c>
      <c r="Z450" s="32">
        <v>0</v>
      </c>
      <c r="AA450" s="32">
        <v>-122521</v>
      </c>
      <c r="AB450" s="32">
        <v>0</v>
      </c>
      <c r="AC450" s="32" t="s">
        <v>472</v>
      </c>
      <c r="AD450" s="32"/>
      <c r="AE450" s="32">
        <v>0</v>
      </c>
    </row>
    <row r="451" spans="1:31" x14ac:dyDescent="0.25">
      <c r="A451">
        <v>9298</v>
      </c>
      <c r="B451" t="s">
        <v>186</v>
      </c>
      <c r="C451" t="s">
        <v>187</v>
      </c>
      <c r="D451" s="35">
        <v>118731.49</v>
      </c>
      <c r="E451">
        <v>1246083500</v>
      </c>
      <c r="F451" s="321">
        <v>45555</v>
      </c>
      <c r="G451" s="321"/>
      <c r="H451" t="s">
        <v>172</v>
      </c>
      <c r="I451" t="s">
        <v>173</v>
      </c>
      <c r="J451">
        <v>21456</v>
      </c>
      <c r="K451" s="321">
        <v>45070</v>
      </c>
      <c r="L451">
        <v>1010100</v>
      </c>
      <c r="M451" t="s">
        <v>35</v>
      </c>
      <c r="N451">
        <v>587</v>
      </c>
      <c r="O451" s="32">
        <v>0</v>
      </c>
      <c r="P451" s="32">
        <v>0</v>
      </c>
      <c r="Q451" s="32">
        <v>0</v>
      </c>
      <c r="R451" s="32">
        <v>0</v>
      </c>
      <c r="S451" s="32">
        <v>0</v>
      </c>
      <c r="T451" s="32">
        <v>0</v>
      </c>
      <c r="U451" s="32">
        <v>118731.49</v>
      </c>
      <c r="V451" s="32">
        <v>0</v>
      </c>
      <c r="W451" s="32">
        <v>3561.9447</v>
      </c>
      <c r="X451" s="32">
        <v>115169.5453</v>
      </c>
      <c r="Y451" s="32">
        <v>115169.5453</v>
      </c>
      <c r="Z451" s="32">
        <v>0</v>
      </c>
      <c r="AA451" s="32">
        <v>-118731.49</v>
      </c>
      <c r="AB451" s="32">
        <v>0</v>
      </c>
      <c r="AC451" s="32" t="s">
        <v>472</v>
      </c>
      <c r="AD451" s="32"/>
      <c r="AE451" s="32">
        <v>0</v>
      </c>
    </row>
    <row r="452" spans="1:31" x14ac:dyDescent="0.25">
      <c r="A452">
        <v>9298</v>
      </c>
      <c r="B452" t="s">
        <v>186</v>
      </c>
      <c r="C452" t="s">
        <v>187</v>
      </c>
      <c r="D452" s="35">
        <v>52557.4</v>
      </c>
      <c r="E452">
        <v>1246083593</v>
      </c>
      <c r="F452" s="321">
        <v>45555</v>
      </c>
      <c r="G452" s="321"/>
      <c r="H452" t="s">
        <v>172</v>
      </c>
      <c r="I452" t="s">
        <v>173</v>
      </c>
      <c r="J452">
        <v>21460</v>
      </c>
      <c r="K452" s="321">
        <v>45070</v>
      </c>
      <c r="L452">
        <v>1010100</v>
      </c>
      <c r="M452" t="s">
        <v>35</v>
      </c>
      <c r="N452">
        <v>587</v>
      </c>
      <c r="O452" s="32">
        <v>0</v>
      </c>
      <c r="P452" s="32">
        <v>0</v>
      </c>
      <c r="Q452" s="32">
        <v>0</v>
      </c>
      <c r="R452" s="32">
        <v>0</v>
      </c>
      <c r="S452" s="32">
        <v>0</v>
      </c>
      <c r="T452" s="32">
        <v>0</v>
      </c>
      <c r="U452" s="32">
        <v>52557.4</v>
      </c>
      <c r="V452" s="32">
        <v>0</v>
      </c>
      <c r="W452" s="32">
        <v>1576.722</v>
      </c>
      <c r="X452" s="32">
        <v>50980.678</v>
      </c>
      <c r="Y452" s="32">
        <v>50980.678</v>
      </c>
      <c r="Z452" s="32">
        <v>0</v>
      </c>
      <c r="AA452" s="32">
        <v>-52557.4</v>
      </c>
      <c r="AB452" s="32">
        <v>0</v>
      </c>
      <c r="AC452" s="32" t="s">
        <v>472</v>
      </c>
      <c r="AD452" s="32"/>
      <c r="AE452" s="32">
        <v>0</v>
      </c>
    </row>
    <row r="453" spans="1:31" x14ac:dyDescent="0.25">
      <c r="A453">
        <v>9298</v>
      </c>
      <c r="B453" t="s">
        <v>186</v>
      </c>
      <c r="C453" t="s">
        <v>187</v>
      </c>
      <c r="D453" s="35">
        <v>52557.4</v>
      </c>
      <c r="E453">
        <v>1246083373</v>
      </c>
      <c r="F453" s="321">
        <v>45555</v>
      </c>
      <c r="G453" s="321"/>
      <c r="H453" t="s">
        <v>172</v>
      </c>
      <c r="I453" t="s">
        <v>173</v>
      </c>
      <c r="J453">
        <v>21444</v>
      </c>
      <c r="K453" s="321">
        <v>45069</v>
      </c>
      <c r="L453">
        <v>1010100</v>
      </c>
      <c r="M453" t="s">
        <v>35</v>
      </c>
      <c r="N453">
        <v>587</v>
      </c>
      <c r="O453" s="32">
        <v>0</v>
      </c>
      <c r="P453" s="32">
        <v>0</v>
      </c>
      <c r="Q453" s="32">
        <v>0</v>
      </c>
      <c r="R453" s="32">
        <v>0</v>
      </c>
      <c r="S453" s="32">
        <v>0</v>
      </c>
      <c r="T453" s="32">
        <v>0</v>
      </c>
      <c r="U453" s="32">
        <v>52557.4</v>
      </c>
      <c r="V453" s="32">
        <v>0</v>
      </c>
      <c r="W453" s="32">
        <v>1576.722</v>
      </c>
      <c r="X453" s="32">
        <v>50980.678</v>
      </c>
      <c r="Y453" s="32">
        <v>50980.678</v>
      </c>
      <c r="Z453" s="32">
        <v>0</v>
      </c>
      <c r="AA453" s="32">
        <v>-52557.4</v>
      </c>
      <c r="AB453" s="32">
        <v>0</v>
      </c>
      <c r="AC453" s="32" t="s">
        <v>472</v>
      </c>
      <c r="AD453" s="32"/>
      <c r="AE453" s="32">
        <v>0</v>
      </c>
    </row>
    <row r="454" spans="1:31" x14ac:dyDescent="0.25">
      <c r="A454">
        <v>9298</v>
      </c>
      <c r="B454" t="s">
        <v>186</v>
      </c>
      <c r="C454" t="s">
        <v>187</v>
      </c>
      <c r="D454" s="35">
        <v>13957.5</v>
      </c>
      <c r="E454">
        <v>1246084673</v>
      </c>
      <c r="F454" s="321">
        <v>45555</v>
      </c>
      <c r="G454" s="321"/>
      <c r="H454" t="s">
        <v>172</v>
      </c>
      <c r="I454" t="s">
        <v>173</v>
      </c>
      <c r="J454">
        <v>21538</v>
      </c>
      <c r="K454" s="321">
        <v>45077</v>
      </c>
      <c r="L454">
        <v>1010100</v>
      </c>
      <c r="M454" t="s">
        <v>35</v>
      </c>
      <c r="N454">
        <v>587</v>
      </c>
      <c r="O454" s="32">
        <v>0</v>
      </c>
      <c r="P454" s="32">
        <v>0</v>
      </c>
      <c r="Q454" s="32">
        <v>0</v>
      </c>
      <c r="R454" s="32">
        <v>0</v>
      </c>
      <c r="S454" s="32">
        <v>0</v>
      </c>
      <c r="T454" s="32">
        <v>0</v>
      </c>
      <c r="U454" s="32">
        <v>13957.5</v>
      </c>
      <c r="V454" s="32">
        <v>0</v>
      </c>
      <c r="W454" s="32">
        <v>418.72499999999997</v>
      </c>
      <c r="X454" s="32">
        <v>13538.775</v>
      </c>
      <c r="Y454" s="32">
        <v>13538.775</v>
      </c>
      <c r="Z454" s="32">
        <v>13957.5</v>
      </c>
      <c r="AA454" s="32">
        <v>-13957.5</v>
      </c>
      <c r="AB454" s="32">
        <v>0</v>
      </c>
      <c r="AC454" s="32" t="s">
        <v>472</v>
      </c>
      <c r="AD454" s="32"/>
      <c r="AE454" s="32">
        <v>0</v>
      </c>
    </row>
    <row r="455" spans="1:31" x14ac:dyDescent="0.25">
      <c r="A455">
        <v>9298</v>
      </c>
      <c r="B455" t="s">
        <v>186</v>
      </c>
      <c r="C455" t="s">
        <v>187</v>
      </c>
      <c r="D455" s="35">
        <v>40756.75</v>
      </c>
      <c r="E455">
        <v>1246084671</v>
      </c>
      <c r="F455" s="321">
        <v>45555</v>
      </c>
      <c r="G455" s="321"/>
      <c r="H455" t="s">
        <v>172</v>
      </c>
      <c r="I455" t="s">
        <v>173</v>
      </c>
      <c r="J455">
        <v>21537</v>
      </c>
      <c r="K455" s="321">
        <v>45077</v>
      </c>
      <c r="L455">
        <v>1010100</v>
      </c>
      <c r="M455" t="s">
        <v>35</v>
      </c>
      <c r="N455">
        <v>587</v>
      </c>
      <c r="O455" s="32">
        <v>0</v>
      </c>
      <c r="P455" s="32">
        <v>0</v>
      </c>
      <c r="Q455" s="32">
        <v>0</v>
      </c>
      <c r="R455" s="32">
        <v>0</v>
      </c>
      <c r="S455" s="32">
        <v>0</v>
      </c>
      <c r="T455" s="32">
        <v>0</v>
      </c>
      <c r="U455" s="32">
        <v>40756.75</v>
      </c>
      <c r="V455" s="32">
        <v>0</v>
      </c>
      <c r="W455" s="32">
        <v>1222.7024999999999</v>
      </c>
      <c r="X455" s="32">
        <v>39534.047500000001</v>
      </c>
      <c r="Y455" s="32">
        <v>39534.047500000001</v>
      </c>
      <c r="Z455" s="32">
        <v>0</v>
      </c>
      <c r="AA455" s="32">
        <v>-40756.75</v>
      </c>
      <c r="AB455" s="32">
        <v>0</v>
      </c>
      <c r="AC455" s="32" t="s">
        <v>472</v>
      </c>
      <c r="AD455" s="32"/>
      <c r="AE455" s="32">
        <v>0</v>
      </c>
    </row>
    <row r="456" spans="1:31" x14ac:dyDescent="0.25">
      <c r="A456">
        <v>9298</v>
      </c>
      <c r="B456" t="s">
        <v>186</v>
      </c>
      <c r="C456" t="s">
        <v>187</v>
      </c>
      <c r="D456" s="35">
        <v>13238.05</v>
      </c>
      <c r="E456">
        <v>1246088994</v>
      </c>
      <c r="F456" s="321">
        <v>45555</v>
      </c>
      <c r="G456" s="321"/>
      <c r="H456" t="s">
        <v>172</v>
      </c>
      <c r="I456" t="s">
        <v>173</v>
      </c>
      <c r="J456">
        <v>20723</v>
      </c>
      <c r="K456" s="321">
        <v>44979</v>
      </c>
      <c r="L456">
        <v>1010100</v>
      </c>
      <c r="M456" t="s">
        <v>35</v>
      </c>
      <c r="N456">
        <v>587</v>
      </c>
      <c r="O456" s="32">
        <v>0</v>
      </c>
      <c r="P456" s="32">
        <v>0</v>
      </c>
      <c r="Q456" s="32">
        <v>0</v>
      </c>
      <c r="R456" s="32">
        <v>0</v>
      </c>
      <c r="S456" s="32">
        <v>0</v>
      </c>
      <c r="T456" s="32">
        <v>0</v>
      </c>
      <c r="U456" s="32">
        <v>13238.05</v>
      </c>
      <c r="V456" s="32">
        <v>0</v>
      </c>
      <c r="W456" s="32">
        <v>397.14149999999995</v>
      </c>
      <c r="X456" s="32">
        <v>12840.9085</v>
      </c>
      <c r="Y456" s="32">
        <v>12840.9085</v>
      </c>
      <c r="Z456" s="32">
        <v>13238.05</v>
      </c>
      <c r="AA456" s="32">
        <v>-13238.05</v>
      </c>
      <c r="AB456" s="32">
        <v>0</v>
      </c>
      <c r="AC456" s="32" t="s">
        <v>472</v>
      </c>
      <c r="AD456" s="32"/>
      <c r="AE456" s="32">
        <v>0</v>
      </c>
    </row>
    <row r="457" spans="1:31" x14ac:dyDescent="0.25">
      <c r="A457">
        <v>9298</v>
      </c>
      <c r="B457" t="s">
        <v>186</v>
      </c>
      <c r="C457" t="s">
        <v>187</v>
      </c>
      <c r="D457" s="35">
        <v>118788.8</v>
      </c>
      <c r="E457">
        <v>1246099199</v>
      </c>
      <c r="F457" s="321">
        <v>45562</v>
      </c>
      <c r="G457" s="321"/>
      <c r="H457" t="s">
        <v>172</v>
      </c>
      <c r="I457" t="s">
        <v>173</v>
      </c>
      <c r="J457">
        <v>768</v>
      </c>
      <c r="K457" s="321">
        <v>45159</v>
      </c>
      <c r="L457">
        <v>1010100</v>
      </c>
      <c r="M457" t="s">
        <v>35</v>
      </c>
      <c r="N457">
        <v>580</v>
      </c>
      <c r="O457" s="32">
        <v>0</v>
      </c>
      <c r="P457" s="32">
        <v>0</v>
      </c>
      <c r="Q457" s="32">
        <v>0</v>
      </c>
      <c r="R457" s="32">
        <v>0</v>
      </c>
      <c r="S457" s="32">
        <v>0</v>
      </c>
      <c r="T457" s="32">
        <v>0</v>
      </c>
      <c r="U457" s="32">
        <v>118788.8</v>
      </c>
      <c r="V457" s="32">
        <v>0</v>
      </c>
      <c r="W457" s="32">
        <v>3563.6639999999998</v>
      </c>
      <c r="X457" s="32">
        <v>115225.136</v>
      </c>
      <c r="Y457" s="32">
        <v>115225.136</v>
      </c>
      <c r="Z457" s="32">
        <v>0</v>
      </c>
      <c r="AA457" s="32">
        <v>-118788.8</v>
      </c>
      <c r="AB457" s="32">
        <v>0</v>
      </c>
      <c r="AC457" s="32" t="s">
        <v>472</v>
      </c>
      <c r="AD457" s="32"/>
      <c r="AE457" s="32">
        <v>0</v>
      </c>
    </row>
    <row r="458" spans="1:31" x14ac:dyDescent="0.25">
      <c r="A458">
        <v>9298</v>
      </c>
      <c r="B458" t="s">
        <v>186</v>
      </c>
      <c r="C458" t="s">
        <v>187</v>
      </c>
      <c r="D458" s="35">
        <v>118788.8</v>
      </c>
      <c r="E458">
        <v>1246099294</v>
      </c>
      <c r="F458" s="321">
        <v>45562</v>
      </c>
      <c r="G458" s="321"/>
      <c r="H458" t="s">
        <v>172</v>
      </c>
      <c r="I458" t="s">
        <v>173</v>
      </c>
      <c r="J458">
        <v>777</v>
      </c>
      <c r="K458" s="321">
        <v>45159</v>
      </c>
      <c r="L458">
        <v>1010100</v>
      </c>
      <c r="M458" t="s">
        <v>35</v>
      </c>
      <c r="N458">
        <v>580</v>
      </c>
      <c r="O458" s="32">
        <v>0</v>
      </c>
      <c r="P458" s="32">
        <v>0</v>
      </c>
      <c r="Q458" s="32">
        <v>0</v>
      </c>
      <c r="R458" s="32">
        <v>0</v>
      </c>
      <c r="S458" s="32">
        <v>0</v>
      </c>
      <c r="T458" s="32">
        <v>0</v>
      </c>
      <c r="U458" s="32">
        <v>118788.8</v>
      </c>
      <c r="V458" s="32">
        <v>0</v>
      </c>
      <c r="W458" s="32">
        <v>3563.6639999999998</v>
      </c>
      <c r="X458" s="32">
        <v>115225.136</v>
      </c>
      <c r="Y458" s="32">
        <v>115225.136</v>
      </c>
      <c r="Z458" s="32">
        <v>0</v>
      </c>
      <c r="AA458" s="32">
        <v>-118788.8</v>
      </c>
      <c r="AB458" s="32">
        <v>0</v>
      </c>
      <c r="AC458" s="32" t="s">
        <v>472</v>
      </c>
      <c r="AD458" s="32"/>
      <c r="AE458" s="32">
        <v>0</v>
      </c>
    </row>
    <row r="459" spans="1:31" x14ac:dyDescent="0.25">
      <c r="A459">
        <v>9298</v>
      </c>
      <c r="B459" t="s">
        <v>186</v>
      </c>
      <c r="C459" t="s">
        <v>187</v>
      </c>
      <c r="D459" s="35">
        <v>148492.1</v>
      </c>
      <c r="E459">
        <v>1246105304</v>
      </c>
      <c r="F459" s="321">
        <v>45555</v>
      </c>
      <c r="G459" s="321"/>
      <c r="H459" t="s">
        <v>172</v>
      </c>
      <c r="I459" t="s">
        <v>173</v>
      </c>
      <c r="J459">
        <v>1270</v>
      </c>
      <c r="K459" s="321">
        <v>45190</v>
      </c>
      <c r="L459">
        <v>1010100</v>
      </c>
      <c r="M459" t="s">
        <v>35</v>
      </c>
      <c r="N459">
        <v>587</v>
      </c>
      <c r="O459" s="32">
        <v>0</v>
      </c>
      <c r="P459" s="32">
        <v>0</v>
      </c>
      <c r="Q459" s="32">
        <v>0</v>
      </c>
      <c r="R459" s="32">
        <v>0</v>
      </c>
      <c r="S459" s="32">
        <v>0</v>
      </c>
      <c r="T459" s="32">
        <v>0</v>
      </c>
      <c r="U459" s="32">
        <v>148492.1</v>
      </c>
      <c r="V459" s="32">
        <v>0</v>
      </c>
      <c r="W459" s="32">
        <v>4454.7629999999999</v>
      </c>
      <c r="X459" s="32">
        <v>144037.337</v>
      </c>
      <c r="Y459" s="32">
        <v>144037.337</v>
      </c>
      <c r="Z459" s="32">
        <v>0</v>
      </c>
      <c r="AA459" s="32">
        <v>-148492.1</v>
      </c>
      <c r="AB459" s="32">
        <v>0</v>
      </c>
      <c r="AC459" s="32" t="s">
        <v>472</v>
      </c>
      <c r="AD459" s="32"/>
      <c r="AE459" s="32">
        <v>0</v>
      </c>
    </row>
    <row r="460" spans="1:31" x14ac:dyDescent="0.25">
      <c r="A460">
        <v>9298</v>
      </c>
      <c r="B460" t="s">
        <v>186</v>
      </c>
      <c r="C460" t="s">
        <v>187</v>
      </c>
      <c r="D460" s="35">
        <v>79894</v>
      </c>
      <c r="E460">
        <v>1246114860</v>
      </c>
      <c r="F460" s="321">
        <v>45555</v>
      </c>
      <c r="G460" s="321"/>
      <c r="H460" t="s">
        <v>172</v>
      </c>
      <c r="I460" t="s">
        <v>173</v>
      </c>
      <c r="J460">
        <v>1951</v>
      </c>
      <c r="K460" s="321">
        <v>45243</v>
      </c>
      <c r="L460">
        <v>1010100</v>
      </c>
      <c r="M460" t="s">
        <v>35</v>
      </c>
      <c r="N460">
        <v>587</v>
      </c>
      <c r="O460" s="32">
        <v>0</v>
      </c>
      <c r="P460" s="32">
        <v>0</v>
      </c>
      <c r="Q460" s="32">
        <v>0</v>
      </c>
      <c r="R460" s="32">
        <v>0</v>
      </c>
      <c r="S460" s="32">
        <v>0</v>
      </c>
      <c r="T460" s="32">
        <v>0</v>
      </c>
      <c r="U460" s="32">
        <v>79894</v>
      </c>
      <c r="V460" s="32">
        <v>0</v>
      </c>
      <c r="W460" s="32">
        <v>2396.8199999999997</v>
      </c>
      <c r="X460" s="32">
        <v>77497.179999999993</v>
      </c>
      <c r="Y460" s="32">
        <v>77497.179999999993</v>
      </c>
      <c r="Z460" s="32">
        <v>0</v>
      </c>
      <c r="AA460" s="32">
        <v>-79894</v>
      </c>
      <c r="AB460" s="32">
        <v>0</v>
      </c>
      <c r="AC460" s="32" t="s">
        <v>472</v>
      </c>
      <c r="AD460" s="32"/>
      <c r="AE460" s="32">
        <v>0</v>
      </c>
    </row>
    <row r="461" spans="1:31" x14ac:dyDescent="0.25">
      <c r="A461">
        <v>9298</v>
      </c>
      <c r="B461" t="s">
        <v>186</v>
      </c>
      <c r="C461" t="s">
        <v>187</v>
      </c>
      <c r="D461" s="35">
        <v>123567.8</v>
      </c>
      <c r="E461">
        <v>1246103672</v>
      </c>
      <c r="F461" s="321">
        <v>45567</v>
      </c>
      <c r="G461" s="321"/>
      <c r="H461" t="s">
        <v>172</v>
      </c>
      <c r="I461" t="s">
        <v>173</v>
      </c>
      <c r="J461">
        <v>1150</v>
      </c>
      <c r="K461" s="321">
        <v>45182</v>
      </c>
      <c r="L461">
        <v>1010100</v>
      </c>
      <c r="M461" t="s">
        <v>35</v>
      </c>
      <c r="N461">
        <v>575</v>
      </c>
      <c r="O461" s="32">
        <v>0</v>
      </c>
      <c r="P461" s="32">
        <v>0</v>
      </c>
      <c r="Q461" s="32">
        <v>0</v>
      </c>
      <c r="R461" s="32">
        <v>0</v>
      </c>
      <c r="S461" s="32">
        <v>0</v>
      </c>
      <c r="T461" s="32">
        <v>0</v>
      </c>
      <c r="U461" s="32">
        <v>123567.8</v>
      </c>
      <c r="V461" s="32">
        <v>0</v>
      </c>
      <c r="W461" s="32">
        <v>3707.0340000000001</v>
      </c>
      <c r="X461" s="32">
        <v>119860.766</v>
      </c>
      <c r="Y461" s="32">
        <v>119860.766</v>
      </c>
      <c r="Z461" s="32">
        <v>0</v>
      </c>
      <c r="AA461" s="32">
        <v>-123567.8</v>
      </c>
      <c r="AB461" s="32">
        <v>0</v>
      </c>
      <c r="AC461" s="32" t="s">
        <v>472</v>
      </c>
      <c r="AD461" s="32"/>
      <c r="AE461" s="32">
        <v>0</v>
      </c>
    </row>
    <row r="462" spans="1:31" x14ac:dyDescent="0.25">
      <c r="A462">
        <v>9298</v>
      </c>
      <c r="B462" t="s">
        <v>186</v>
      </c>
      <c r="C462" t="s">
        <v>187</v>
      </c>
      <c r="D462" s="35">
        <v>113355.6</v>
      </c>
      <c r="E462">
        <v>1246116199</v>
      </c>
      <c r="F462" s="321">
        <v>45561</v>
      </c>
      <c r="G462" s="321"/>
      <c r="H462" t="s">
        <v>172</v>
      </c>
      <c r="I462" t="s">
        <v>173</v>
      </c>
      <c r="J462">
        <v>2054</v>
      </c>
      <c r="K462" s="321">
        <v>45252</v>
      </c>
      <c r="L462">
        <v>1010100</v>
      </c>
      <c r="M462" t="s">
        <v>35</v>
      </c>
      <c r="N462">
        <v>581</v>
      </c>
      <c r="O462" s="32">
        <v>0</v>
      </c>
      <c r="P462" s="32">
        <v>0</v>
      </c>
      <c r="Q462" s="32">
        <v>0</v>
      </c>
      <c r="R462" s="32">
        <v>0</v>
      </c>
      <c r="S462" s="32">
        <v>0</v>
      </c>
      <c r="T462" s="32">
        <v>0</v>
      </c>
      <c r="U462" s="32">
        <v>113355.6</v>
      </c>
      <c r="V462" s="32">
        <v>0</v>
      </c>
      <c r="W462" s="32">
        <v>3400.6680000000001</v>
      </c>
      <c r="X462" s="32">
        <v>109954.932</v>
      </c>
      <c r="Y462" s="32">
        <v>109954.932</v>
      </c>
      <c r="Z462" s="32">
        <v>0</v>
      </c>
      <c r="AA462" s="32">
        <v>-113355.6</v>
      </c>
      <c r="AB462" s="32">
        <v>0</v>
      </c>
      <c r="AC462" s="32" t="s">
        <v>472</v>
      </c>
      <c r="AD462" s="32"/>
      <c r="AE462" s="32">
        <v>0</v>
      </c>
    </row>
    <row r="463" spans="1:31" x14ac:dyDescent="0.25">
      <c r="A463">
        <v>9298</v>
      </c>
      <c r="B463" t="s">
        <v>186</v>
      </c>
      <c r="C463" t="s">
        <v>187</v>
      </c>
      <c r="D463" s="35">
        <v>143583.76</v>
      </c>
      <c r="E463">
        <v>1246106222</v>
      </c>
      <c r="F463" s="321">
        <v>45560</v>
      </c>
      <c r="G463" s="321"/>
      <c r="H463" t="s">
        <v>172</v>
      </c>
      <c r="I463" t="s">
        <v>173</v>
      </c>
      <c r="J463">
        <v>1341</v>
      </c>
      <c r="K463" s="321">
        <v>45195</v>
      </c>
      <c r="L463">
        <v>1010100</v>
      </c>
      <c r="M463" t="s">
        <v>35</v>
      </c>
      <c r="N463">
        <v>582</v>
      </c>
      <c r="O463" s="32">
        <v>0</v>
      </c>
      <c r="P463" s="32">
        <v>0</v>
      </c>
      <c r="Q463" s="32">
        <v>0</v>
      </c>
      <c r="R463" s="32">
        <v>0</v>
      </c>
      <c r="S463" s="32">
        <v>0</v>
      </c>
      <c r="T463" s="32">
        <v>0</v>
      </c>
      <c r="U463" s="32">
        <v>143583.76</v>
      </c>
      <c r="V463" s="32">
        <v>0</v>
      </c>
      <c r="W463" s="32">
        <v>4307.5128000000004</v>
      </c>
      <c r="X463" s="32">
        <v>139276.24720000001</v>
      </c>
      <c r="Y463" s="32">
        <v>139276.24720000001</v>
      </c>
      <c r="Z463" s="32">
        <v>0</v>
      </c>
      <c r="AA463" s="32">
        <v>-143583.76</v>
      </c>
      <c r="AB463" s="32">
        <v>0</v>
      </c>
      <c r="AC463" s="32" t="s">
        <v>472</v>
      </c>
      <c r="AD463" s="32"/>
      <c r="AE463" s="32">
        <v>0</v>
      </c>
    </row>
    <row r="464" spans="1:31" x14ac:dyDescent="0.25">
      <c r="A464">
        <v>9298</v>
      </c>
      <c r="B464" t="s">
        <v>186</v>
      </c>
      <c r="C464" t="s">
        <v>187</v>
      </c>
      <c r="D464" s="35">
        <v>55612.2</v>
      </c>
      <c r="E464">
        <v>1246104999</v>
      </c>
      <c r="F464" s="321">
        <v>45555</v>
      </c>
      <c r="G464" s="321"/>
      <c r="H464" t="s">
        <v>172</v>
      </c>
      <c r="I464" t="s">
        <v>173</v>
      </c>
      <c r="J464">
        <v>1249</v>
      </c>
      <c r="K464" s="321">
        <v>45189</v>
      </c>
      <c r="L464">
        <v>1010100</v>
      </c>
      <c r="M464" t="s">
        <v>35</v>
      </c>
      <c r="N464">
        <v>587</v>
      </c>
      <c r="O464" s="32">
        <v>0</v>
      </c>
      <c r="P464" s="32">
        <v>0</v>
      </c>
      <c r="Q464" s="32">
        <v>0</v>
      </c>
      <c r="R464" s="32">
        <v>0</v>
      </c>
      <c r="S464" s="32">
        <v>0</v>
      </c>
      <c r="T464" s="32">
        <v>0</v>
      </c>
      <c r="U464" s="32">
        <v>55612.2</v>
      </c>
      <c r="V464" s="32">
        <v>0</v>
      </c>
      <c r="W464" s="32">
        <v>1668.3659999999998</v>
      </c>
      <c r="X464" s="32">
        <v>53943.833999999995</v>
      </c>
      <c r="Y464" s="32">
        <v>53943.833999999995</v>
      </c>
      <c r="Z464" s="32">
        <v>0</v>
      </c>
      <c r="AA464" s="32">
        <v>-55612.2</v>
      </c>
      <c r="AB464" s="32">
        <v>0</v>
      </c>
      <c r="AC464" s="32" t="s">
        <v>472</v>
      </c>
      <c r="AD464" s="32"/>
      <c r="AE464" s="32">
        <v>0</v>
      </c>
    </row>
    <row r="465" spans="1:31" x14ac:dyDescent="0.25">
      <c r="A465">
        <v>9298</v>
      </c>
      <c r="B465" t="s">
        <v>186</v>
      </c>
      <c r="C465" t="s">
        <v>187</v>
      </c>
      <c r="D465" s="35">
        <v>64234.84</v>
      </c>
      <c r="E465">
        <v>1246115394</v>
      </c>
      <c r="F465" s="321">
        <v>45555</v>
      </c>
      <c r="G465" s="321"/>
      <c r="H465" t="s">
        <v>172</v>
      </c>
      <c r="I465" t="s">
        <v>173</v>
      </c>
      <c r="J465">
        <v>1991</v>
      </c>
      <c r="K465" s="321">
        <v>45246</v>
      </c>
      <c r="L465">
        <v>1010100</v>
      </c>
      <c r="M465" t="s">
        <v>35</v>
      </c>
      <c r="N465">
        <v>587</v>
      </c>
      <c r="O465" s="32">
        <v>0</v>
      </c>
      <c r="P465" s="32">
        <v>0</v>
      </c>
      <c r="Q465" s="32">
        <v>0</v>
      </c>
      <c r="R465" s="32">
        <v>0</v>
      </c>
      <c r="S465" s="32">
        <v>0</v>
      </c>
      <c r="T465" s="32">
        <v>0</v>
      </c>
      <c r="U465" s="32">
        <v>64234.84</v>
      </c>
      <c r="V465" s="32">
        <v>0</v>
      </c>
      <c r="W465" s="32">
        <v>1927.0451999999998</v>
      </c>
      <c r="X465" s="32">
        <v>62307.794799999996</v>
      </c>
      <c r="Y465" s="32">
        <v>62307.794799999996</v>
      </c>
      <c r="Z465" s="32">
        <v>0</v>
      </c>
      <c r="AA465" s="32">
        <v>-64234.84</v>
      </c>
      <c r="AB465" s="32">
        <v>0</v>
      </c>
      <c r="AC465" s="32" t="s">
        <v>472</v>
      </c>
      <c r="AD465" s="32"/>
      <c r="AE465" s="32">
        <v>0</v>
      </c>
    </row>
    <row r="466" spans="1:31" x14ac:dyDescent="0.25">
      <c r="A466">
        <v>9298</v>
      </c>
      <c r="B466" t="s">
        <v>186</v>
      </c>
      <c r="C466" t="s">
        <v>187</v>
      </c>
      <c r="D466" s="35">
        <v>54534.2</v>
      </c>
      <c r="E466">
        <v>1246115392</v>
      </c>
      <c r="F466" s="321">
        <v>45555</v>
      </c>
      <c r="G466" s="321"/>
      <c r="H466" t="s">
        <v>172</v>
      </c>
      <c r="I466" t="s">
        <v>173</v>
      </c>
      <c r="J466">
        <v>1990</v>
      </c>
      <c r="K466" s="321">
        <v>45246</v>
      </c>
      <c r="L466">
        <v>1010100</v>
      </c>
      <c r="M466" t="s">
        <v>35</v>
      </c>
      <c r="N466">
        <v>587</v>
      </c>
      <c r="O466" s="32">
        <v>0</v>
      </c>
      <c r="P466" s="32">
        <v>0</v>
      </c>
      <c r="Q466" s="32">
        <v>0</v>
      </c>
      <c r="R466" s="32">
        <v>0</v>
      </c>
      <c r="S466" s="32">
        <v>0</v>
      </c>
      <c r="T466" s="32">
        <v>0</v>
      </c>
      <c r="U466" s="32">
        <v>54534.2</v>
      </c>
      <c r="V466" s="32">
        <v>0</v>
      </c>
      <c r="W466" s="32">
        <v>1636.0259999999998</v>
      </c>
      <c r="X466" s="32">
        <v>52898.173999999999</v>
      </c>
      <c r="Y466" s="32">
        <v>52898.173999999999</v>
      </c>
      <c r="Z466" s="32">
        <v>0</v>
      </c>
      <c r="AA466" s="32">
        <v>-54534.2</v>
      </c>
      <c r="AB466" s="32">
        <v>0</v>
      </c>
      <c r="AC466" s="32" t="s">
        <v>472</v>
      </c>
      <c r="AD466" s="32"/>
      <c r="AE466" s="32">
        <v>0</v>
      </c>
    </row>
    <row r="467" spans="1:31" x14ac:dyDescent="0.25">
      <c r="A467">
        <v>9298</v>
      </c>
      <c r="B467" t="s">
        <v>186</v>
      </c>
      <c r="C467" t="s">
        <v>187</v>
      </c>
      <c r="D467" s="35">
        <v>139293.64000000001</v>
      </c>
      <c r="E467">
        <v>1246105902</v>
      </c>
      <c r="F467" s="321">
        <v>45559</v>
      </c>
      <c r="G467" s="321"/>
      <c r="H467" t="s">
        <v>172</v>
      </c>
      <c r="I467" t="s">
        <v>173</v>
      </c>
      <c r="J467">
        <v>1319</v>
      </c>
      <c r="K467" s="321">
        <v>45194</v>
      </c>
      <c r="L467">
        <v>1010100</v>
      </c>
      <c r="M467" t="s">
        <v>35</v>
      </c>
      <c r="N467">
        <v>583</v>
      </c>
      <c r="O467" s="32">
        <v>0</v>
      </c>
      <c r="P467" s="32">
        <v>0</v>
      </c>
      <c r="Q467" s="32">
        <v>0</v>
      </c>
      <c r="R467" s="32">
        <v>0</v>
      </c>
      <c r="S467" s="32">
        <v>0</v>
      </c>
      <c r="T467" s="32">
        <v>0</v>
      </c>
      <c r="U467" s="32">
        <v>139293.64000000001</v>
      </c>
      <c r="V467" s="32">
        <v>0</v>
      </c>
      <c r="W467" s="32">
        <v>4178.8092000000006</v>
      </c>
      <c r="X467" s="32">
        <v>135114.8308</v>
      </c>
      <c r="Y467" s="32">
        <v>135114.8308</v>
      </c>
      <c r="Z467" s="32">
        <v>0</v>
      </c>
      <c r="AA467" s="32">
        <v>-139293.64000000001</v>
      </c>
      <c r="AB467" s="32">
        <v>0</v>
      </c>
      <c r="AC467" s="32" t="s">
        <v>472</v>
      </c>
      <c r="AD467" s="32"/>
      <c r="AE467" s="32">
        <v>0</v>
      </c>
    </row>
    <row r="468" spans="1:31" x14ac:dyDescent="0.25">
      <c r="A468">
        <v>9298</v>
      </c>
      <c r="B468" t="s">
        <v>186</v>
      </c>
      <c r="C468" t="s">
        <v>187</v>
      </c>
      <c r="D468" s="35">
        <v>68013.36</v>
      </c>
      <c r="E468">
        <v>1246114866</v>
      </c>
      <c r="F468" s="321">
        <v>45555</v>
      </c>
      <c r="G468" s="321"/>
      <c r="H468" t="s">
        <v>172</v>
      </c>
      <c r="I468" t="s">
        <v>173</v>
      </c>
      <c r="J468">
        <v>1952</v>
      </c>
      <c r="K468" s="321">
        <v>45243</v>
      </c>
      <c r="L468">
        <v>1010100</v>
      </c>
      <c r="M468" t="s">
        <v>35</v>
      </c>
      <c r="N468">
        <v>587</v>
      </c>
      <c r="O468" s="32">
        <v>0</v>
      </c>
      <c r="P468" s="32">
        <v>0</v>
      </c>
      <c r="Q468" s="32">
        <v>0</v>
      </c>
      <c r="R468" s="32">
        <v>0</v>
      </c>
      <c r="S468" s="32">
        <v>0</v>
      </c>
      <c r="T468" s="32">
        <v>0</v>
      </c>
      <c r="U468" s="32">
        <v>68013.36</v>
      </c>
      <c r="V468" s="32">
        <v>0</v>
      </c>
      <c r="W468" s="32">
        <v>2040.4007999999999</v>
      </c>
      <c r="X468" s="32">
        <v>65972.959199999998</v>
      </c>
      <c r="Y468" s="32">
        <v>65972.959199999998</v>
      </c>
      <c r="Z468" s="32">
        <v>0</v>
      </c>
      <c r="AA468" s="32">
        <v>-68013.36</v>
      </c>
      <c r="AB468" s="32">
        <v>0</v>
      </c>
      <c r="AC468" s="32" t="s">
        <v>472</v>
      </c>
      <c r="AD468" s="32"/>
      <c r="AE468" s="32">
        <v>0</v>
      </c>
    </row>
    <row r="469" spans="1:31" x14ac:dyDescent="0.25">
      <c r="A469">
        <v>9298</v>
      </c>
      <c r="B469" t="s">
        <v>186</v>
      </c>
      <c r="C469" t="s">
        <v>187</v>
      </c>
      <c r="D469" s="35">
        <v>55611.199999999997</v>
      </c>
      <c r="E469">
        <v>1246167304</v>
      </c>
      <c r="F469" s="321">
        <v>45555</v>
      </c>
      <c r="G469" s="321"/>
      <c r="H469" t="s">
        <v>172</v>
      </c>
      <c r="I469" t="s">
        <v>173</v>
      </c>
      <c r="J469">
        <v>1244</v>
      </c>
      <c r="K469" s="321">
        <v>45189</v>
      </c>
      <c r="L469">
        <v>1010100</v>
      </c>
      <c r="M469" t="s">
        <v>35</v>
      </c>
      <c r="N469">
        <v>587</v>
      </c>
      <c r="O469" s="32">
        <v>0</v>
      </c>
      <c r="P469" s="32">
        <v>0</v>
      </c>
      <c r="Q469" s="32">
        <v>0</v>
      </c>
      <c r="R469" s="32">
        <v>0</v>
      </c>
      <c r="S469" s="32">
        <v>0</v>
      </c>
      <c r="T469" s="32">
        <v>0</v>
      </c>
      <c r="U469" s="32">
        <v>55611.199999999997</v>
      </c>
      <c r="V469" s="32">
        <v>0</v>
      </c>
      <c r="W469" s="32">
        <v>1668.3359999999998</v>
      </c>
      <c r="X469" s="32">
        <v>53942.863999999994</v>
      </c>
      <c r="Y469" s="32">
        <v>53942.863999999994</v>
      </c>
      <c r="Z469" s="32">
        <v>0</v>
      </c>
      <c r="AA469" s="32">
        <v>-55611.199999999997</v>
      </c>
      <c r="AB469" s="32">
        <v>0</v>
      </c>
      <c r="AC469" s="32" t="s">
        <v>472</v>
      </c>
      <c r="AD469" s="32"/>
      <c r="AE469" s="32">
        <v>0</v>
      </c>
    </row>
    <row r="470" spans="1:31" x14ac:dyDescent="0.25">
      <c r="A470">
        <v>9298</v>
      </c>
      <c r="B470" t="s">
        <v>186</v>
      </c>
      <c r="C470" t="s">
        <v>187</v>
      </c>
      <c r="D470" s="35">
        <v>104546.96</v>
      </c>
      <c r="E470">
        <v>1246244742</v>
      </c>
      <c r="F470" s="321">
        <v>45555</v>
      </c>
      <c r="G470" s="321"/>
      <c r="H470" t="s">
        <v>172</v>
      </c>
      <c r="I470" t="s">
        <v>173</v>
      </c>
      <c r="J470">
        <v>20726</v>
      </c>
      <c r="K470" s="321">
        <v>44979</v>
      </c>
      <c r="L470">
        <v>1010100</v>
      </c>
      <c r="M470" t="s">
        <v>35</v>
      </c>
      <c r="N470">
        <v>587</v>
      </c>
      <c r="O470" s="32">
        <v>0</v>
      </c>
      <c r="P470" s="32">
        <v>0</v>
      </c>
      <c r="Q470" s="32">
        <v>0</v>
      </c>
      <c r="R470" s="32">
        <v>0</v>
      </c>
      <c r="S470" s="32">
        <v>0</v>
      </c>
      <c r="T470" s="32">
        <v>0</v>
      </c>
      <c r="U470" s="32">
        <v>104546.96</v>
      </c>
      <c r="V470" s="32">
        <v>0</v>
      </c>
      <c r="W470" s="32">
        <v>3136.4088000000002</v>
      </c>
      <c r="X470" s="32">
        <v>101410.5512</v>
      </c>
      <c r="Y470" s="32">
        <v>101410.5512</v>
      </c>
      <c r="Z470" s="32">
        <v>0</v>
      </c>
      <c r="AA470" s="32">
        <v>-104546.96</v>
      </c>
      <c r="AB470" s="32">
        <v>0</v>
      </c>
      <c r="AC470" s="32" t="s">
        <v>472</v>
      </c>
      <c r="AD470" s="32"/>
      <c r="AE470" s="32">
        <v>0</v>
      </c>
    </row>
    <row r="471" spans="1:31" x14ac:dyDescent="0.25">
      <c r="A471">
        <v>9355</v>
      </c>
      <c r="B471" t="s">
        <v>336</v>
      </c>
      <c r="C471" t="s">
        <v>31</v>
      </c>
      <c r="D471" s="35">
        <v>604265.81999999983</v>
      </c>
      <c r="E471">
        <v>1246264749</v>
      </c>
      <c r="F471" s="321">
        <v>46177</v>
      </c>
      <c r="G471" s="321"/>
      <c r="H471" t="s">
        <v>28</v>
      </c>
      <c r="I471" t="s">
        <v>29</v>
      </c>
      <c r="J471">
        <v>2768</v>
      </c>
      <c r="K471" s="321">
        <v>46077</v>
      </c>
      <c r="L471">
        <v>1010200</v>
      </c>
      <c r="M471" t="s">
        <v>124</v>
      </c>
      <c r="N471">
        <v>-35</v>
      </c>
      <c r="O471" s="32">
        <v>0</v>
      </c>
      <c r="P471" s="32">
        <v>0</v>
      </c>
      <c r="Q471" s="32">
        <v>604265.81999999983</v>
      </c>
      <c r="R471" s="32">
        <v>0</v>
      </c>
      <c r="S471" s="32">
        <v>0</v>
      </c>
      <c r="T471" s="32">
        <v>0</v>
      </c>
      <c r="U471" s="32">
        <v>0</v>
      </c>
      <c r="V471" s="32">
        <v>0</v>
      </c>
      <c r="W471" s="32">
        <v>0</v>
      </c>
      <c r="X471" s="32">
        <v>0</v>
      </c>
      <c r="Y471" s="32">
        <v>0</v>
      </c>
      <c r="Z471" s="32">
        <v>0</v>
      </c>
      <c r="AA471" s="32">
        <v>0</v>
      </c>
      <c r="AB471" s="32">
        <v>0</v>
      </c>
      <c r="AC471" s="32" t="s">
        <v>472</v>
      </c>
      <c r="AD471" s="32"/>
      <c r="AE471" s="32">
        <v>0</v>
      </c>
    </row>
    <row r="472" spans="1:31" x14ac:dyDescent="0.25">
      <c r="A472">
        <v>9355</v>
      </c>
      <c r="B472" t="s">
        <v>336</v>
      </c>
      <c r="C472" t="s">
        <v>31</v>
      </c>
      <c r="D472" s="35">
        <v>1191855.2599999998</v>
      </c>
      <c r="E472">
        <v>1246265046</v>
      </c>
      <c r="F472" s="321">
        <v>46180</v>
      </c>
      <c r="G472" s="321"/>
      <c r="H472" t="s">
        <v>28</v>
      </c>
      <c r="I472" t="s">
        <v>29</v>
      </c>
      <c r="J472">
        <v>10762</v>
      </c>
      <c r="K472" s="321">
        <v>46078</v>
      </c>
      <c r="L472">
        <v>1010200</v>
      </c>
      <c r="M472" t="s">
        <v>124</v>
      </c>
      <c r="N472">
        <v>-38</v>
      </c>
      <c r="O472" s="32">
        <v>0</v>
      </c>
      <c r="P472" s="32">
        <v>0</v>
      </c>
      <c r="Q472" s="32">
        <v>1191855.2599999998</v>
      </c>
      <c r="R472" s="32">
        <v>0</v>
      </c>
      <c r="S472" s="32">
        <v>0</v>
      </c>
      <c r="T472" s="32">
        <v>0</v>
      </c>
      <c r="U472" s="32">
        <v>0</v>
      </c>
      <c r="V472" s="32">
        <v>0</v>
      </c>
      <c r="W472" s="32">
        <v>0</v>
      </c>
      <c r="X472" s="32">
        <v>0</v>
      </c>
      <c r="Y472" s="32">
        <v>0</v>
      </c>
      <c r="Z472" s="32">
        <v>0</v>
      </c>
      <c r="AA472" s="32">
        <v>0</v>
      </c>
      <c r="AB472" s="32">
        <v>0</v>
      </c>
      <c r="AC472" s="32" t="s">
        <v>472</v>
      </c>
      <c r="AD472" s="32"/>
      <c r="AE472" s="32">
        <v>0</v>
      </c>
    </row>
    <row r="473" spans="1:31" x14ac:dyDescent="0.25">
      <c r="A473">
        <v>9355</v>
      </c>
      <c r="B473" t="s">
        <v>336</v>
      </c>
      <c r="C473" t="s">
        <v>31</v>
      </c>
      <c r="D473" s="35">
        <v>292178.84000000003</v>
      </c>
      <c r="E473">
        <v>1246264769</v>
      </c>
      <c r="F473" s="321">
        <v>46180</v>
      </c>
      <c r="G473" s="321"/>
      <c r="H473" t="s">
        <v>28</v>
      </c>
      <c r="I473" t="s">
        <v>29</v>
      </c>
      <c r="J473">
        <v>10753</v>
      </c>
      <c r="K473" s="321">
        <v>46077</v>
      </c>
      <c r="L473">
        <v>1010200</v>
      </c>
      <c r="M473" t="s">
        <v>124</v>
      </c>
      <c r="N473">
        <v>-38</v>
      </c>
      <c r="O473" s="32">
        <v>0</v>
      </c>
      <c r="P473" s="32">
        <v>0</v>
      </c>
      <c r="Q473" s="32">
        <v>292178.84000000003</v>
      </c>
      <c r="R473" s="32">
        <v>0</v>
      </c>
      <c r="S473" s="32">
        <v>0</v>
      </c>
      <c r="T473" s="32">
        <v>0</v>
      </c>
      <c r="U473" s="32">
        <v>0</v>
      </c>
      <c r="V473" s="32">
        <v>0</v>
      </c>
      <c r="W473" s="32">
        <v>0</v>
      </c>
      <c r="X473" s="32">
        <v>0</v>
      </c>
      <c r="Y473" s="32">
        <v>0</v>
      </c>
      <c r="Z473" s="32">
        <v>0</v>
      </c>
      <c r="AA473" s="32">
        <v>0</v>
      </c>
      <c r="AB473" s="32">
        <v>0</v>
      </c>
      <c r="AC473" s="32" t="s">
        <v>472</v>
      </c>
      <c r="AD473" s="32"/>
      <c r="AE473" s="32">
        <v>0</v>
      </c>
    </row>
    <row r="474" spans="1:31" x14ac:dyDescent="0.25">
      <c r="A474">
        <v>9355</v>
      </c>
      <c r="B474" t="s">
        <v>336</v>
      </c>
      <c r="C474" t="s">
        <v>31</v>
      </c>
      <c r="D474" s="35">
        <v>1191855.2599999998</v>
      </c>
      <c r="E474">
        <v>1246265200</v>
      </c>
      <c r="F474" s="321">
        <v>46177</v>
      </c>
      <c r="G474" s="321"/>
      <c r="H474" t="s">
        <v>28</v>
      </c>
      <c r="I474" t="s">
        <v>29</v>
      </c>
      <c r="J474">
        <v>2778</v>
      </c>
      <c r="K474" s="321">
        <v>46078</v>
      </c>
      <c r="L474">
        <v>1010200</v>
      </c>
      <c r="M474" t="s">
        <v>124</v>
      </c>
      <c r="N474">
        <v>-35</v>
      </c>
      <c r="O474" s="32">
        <v>0</v>
      </c>
      <c r="P474" s="32">
        <v>0</v>
      </c>
      <c r="Q474" s="32">
        <v>1191855.2599999998</v>
      </c>
      <c r="R474" s="32">
        <v>0</v>
      </c>
      <c r="S474" s="32">
        <v>0</v>
      </c>
      <c r="T474" s="32">
        <v>0</v>
      </c>
      <c r="U474" s="32">
        <v>0</v>
      </c>
      <c r="V474" s="32">
        <v>0</v>
      </c>
      <c r="W474" s="32">
        <v>0</v>
      </c>
      <c r="X474" s="32">
        <v>0</v>
      </c>
      <c r="Y474" s="32">
        <v>0</v>
      </c>
      <c r="Z474" s="32">
        <v>0</v>
      </c>
      <c r="AA474" s="32">
        <v>0</v>
      </c>
      <c r="AB474" s="32">
        <v>0</v>
      </c>
      <c r="AC474" s="32" t="s">
        <v>472</v>
      </c>
      <c r="AD474" s="32"/>
      <c r="AE474" s="32">
        <v>0</v>
      </c>
    </row>
    <row r="475" spans="1:31" x14ac:dyDescent="0.25">
      <c r="A475">
        <v>9830</v>
      </c>
      <c r="B475" t="s">
        <v>846</v>
      </c>
      <c r="C475" t="s">
        <v>847</v>
      </c>
      <c r="D475" s="35">
        <v>331</v>
      </c>
      <c r="E475">
        <v>1246266368</v>
      </c>
      <c r="F475" s="321">
        <v>46175</v>
      </c>
      <c r="G475" s="321"/>
      <c r="I475" t="s">
        <v>372</v>
      </c>
      <c r="J475">
        <v>10813</v>
      </c>
      <c r="K475" s="321">
        <v>46085</v>
      </c>
      <c r="L475">
        <v>4011600</v>
      </c>
      <c r="M475" t="s">
        <v>692</v>
      </c>
      <c r="N475">
        <v>-33</v>
      </c>
      <c r="O475" s="32">
        <v>0</v>
      </c>
      <c r="P475" s="32">
        <v>0</v>
      </c>
      <c r="Q475" s="32">
        <v>331</v>
      </c>
      <c r="R475" s="32">
        <v>0</v>
      </c>
      <c r="S475" s="32">
        <v>0</v>
      </c>
      <c r="T475" s="32">
        <v>0</v>
      </c>
      <c r="U475" s="32">
        <v>0</v>
      </c>
      <c r="V475" s="32">
        <v>0</v>
      </c>
      <c r="W475" s="32">
        <v>0</v>
      </c>
      <c r="X475" s="32">
        <v>0</v>
      </c>
      <c r="Y475" s="32">
        <v>0</v>
      </c>
      <c r="Z475" s="32">
        <v>0</v>
      </c>
      <c r="AA475" s="32">
        <v>0</v>
      </c>
      <c r="AB475" s="32">
        <v>0</v>
      </c>
      <c r="AC475" s="32" t="s">
        <v>472</v>
      </c>
      <c r="AD475" s="32"/>
      <c r="AE475" s="32">
        <v>0</v>
      </c>
    </row>
    <row r="476" spans="1:31" x14ac:dyDescent="0.25">
      <c r="A476">
        <v>10677</v>
      </c>
      <c r="B476" t="s">
        <v>890</v>
      </c>
      <c r="C476" t="s">
        <v>891</v>
      </c>
      <c r="D476" s="35">
        <v>581</v>
      </c>
      <c r="E476">
        <v>1246272911</v>
      </c>
      <c r="F476" s="321">
        <v>46170</v>
      </c>
      <c r="G476" s="321"/>
      <c r="I476" t="s">
        <v>372</v>
      </c>
      <c r="J476">
        <v>11244</v>
      </c>
      <c r="K476" s="321">
        <v>46140</v>
      </c>
      <c r="L476">
        <v>4011600</v>
      </c>
      <c r="M476" t="s">
        <v>692</v>
      </c>
      <c r="N476">
        <v>-28</v>
      </c>
      <c r="O476" s="32">
        <v>0</v>
      </c>
      <c r="P476" s="32">
        <v>0</v>
      </c>
      <c r="Q476" s="32">
        <v>581</v>
      </c>
      <c r="R476" s="32">
        <v>0</v>
      </c>
      <c r="S476" s="32">
        <v>0</v>
      </c>
      <c r="T476" s="32">
        <v>0</v>
      </c>
      <c r="U476" s="32">
        <v>0</v>
      </c>
      <c r="V476" s="32">
        <v>0</v>
      </c>
      <c r="W476" s="32">
        <v>0</v>
      </c>
      <c r="X476" s="32">
        <v>0</v>
      </c>
      <c r="Y476" s="32">
        <v>0</v>
      </c>
      <c r="Z476" s="32">
        <v>0</v>
      </c>
      <c r="AA476" s="32">
        <v>0</v>
      </c>
      <c r="AB476" s="32">
        <v>0</v>
      </c>
      <c r="AC476" s="32" t="s">
        <v>472</v>
      </c>
      <c r="AD476" s="32"/>
      <c r="AE476" s="32">
        <v>0</v>
      </c>
    </row>
    <row r="477" spans="1:31" x14ac:dyDescent="0.25">
      <c r="A477">
        <v>10677</v>
      </c>
      <c r="B477" t="s">
        <v>890</v>
      </c>
      <c r="C477" t="s">
        <v>891</v>
      </c>
      <c r="D477" s="35">
        <v>581</v>
      </c>
      <c r="E477">
        <v>1246272912</v>
      </c>
      <c r="F477" s="321">
        <v>46200</v>
      </c>
      <c r="G477" s="321"/>
      <c r="I477" t="s">
        <v>372</v>
      </c>
      <c r="J477">
        <v>11244</v>
      </c>
      <c r="K477" s="321">
        <v>46140</v>
      </c>
      <c r="L477">
        <v>4011600</v>
      </c>
      <c r="M477" t="s">
        <v>692</v>
      </c>
      <c r="N477">
        <v>-58</v>
      </c>
      <c r="O477" s="32">
        <v>0</v>
      </c>
      <c r="P477" s="32">
        <v>0</v>
      </c>
      <c r="Q477" s="32">
        <v>581</v>
      </c>
      <c r="R477" s="32">
        <v>0</v>
      </c>
      <c r="S477" s="32">
        <v>0</v>
      </c>
      <c r="T477" s="32">
        <v>0</v>
      </c>
      <c r="U477" s="32">
        <v>0</v>
      </c>
      <c r="V477" s="32">
        <v>0</v>
      </c>
      <c r="W477" s="32">
        <v>0</v>
      </c>
      <c r="X477" s="32">
        <v>0</v>
      </c>
      <c r="Y477" s="32">
        <v>0</v>
      </c>
      <c r="Z477" s="32">
        <v>0</v>
      </c>
      <c r="AA477" s="32">
        <v>0</v>
      </c>
      <c r="AB477" s="32">
        <v>0</v>
      </c>
      <c r="AC477" s="32" t="s">
        <v>472</v>
      </c>
      <c r="AD477" s="32"/>
      <c r="AE477" s="32">
        <v>0</v>
      </c>
    </row>
    <row r="478" spans="1:31" x14ac:dyDescent="0.25">
      <c r="A478">
        <v>10677</v>
      </c>
      <c r="B478" t="s">
        <v>890</v>
      </c>
      <c r="C478" t="s">
        <v>891</v>
      </c>
      <c r="D478" s="35">
        <v>581</v>
      </c>
      <c r="E478">
        <v>1246272913</v>
      </c>
      <c r="F478" s="321">
        <v>46230</v>
      </c>
      <c r="G478" s="321"/>
      <c r="I478" t="s">
        <v>372</v>
      </c>
      <c r="J478">
        <v>11244</v>
      </c>
      <c r="K478" s="321">
        <v>46140</v>
      </c>
      <c r="L478">
        <v>4011600</v>
      </c>
      <c r="M478" t="s">
        <v>692</v>
      </c>
      <c r="N478">
        <v>-88</v>
      </c>
      <c r="O478" s="32">
        <v>0</v>
      </c>
      <c r="P478" s="32">
        <v>0</v>
      </c>
      <c r="Q478" s="32">
        <v>581</v>
      </c>
      <c r="R478" s="32">
        <v>0</v>
      </c>
      <c r="S478" s="32">
        <v>0</v>
      </c>
      <c r="T478" s="32">
        <v>0</v>
      </c>
      <c r="U478" s="32">
        <v>0</v>
      </c>
      <c r="V478" s="32">
        <v>0</v>
      </c>
      <c r="W478" s="32">
        <v>0</v>
      </c>
      <c r="X478" s="32">
        <v>0</v>
      </c>
      <c r="Y478" s="32">
        <v>0</v>
      </c>
      <c r="Z478" s="32">
        <v>0</v>
      </c>
      <c r="AA478" s="32">
        <v>0</v>
      </c>
      <c r="AB478" s="32">
        <v>0</v>
      </c>
      <c r="AC478" s="32" t="s">
        <v>472</v>
      </c>
      <c r="AD478" s="32"/>
      <c r="AE478" s="32">
        <v>0</v>
      </c>
    </row>
    <row r="479" spans="1:31" x14ac:dyDescent="0.25">
      <c r="A479">
        <v>11768</v>
      </c>
      <c r="B479" t="s">
        <v>304</v>
      </c>
      <c r="C479" t="s">
        <v>31</v>
      </c>
      <c r="D479" s="35">
        <v>86689.1</v>
      </c>
      <c r="E479">
        <v>1246264534</v>
      </c>
      <c r="F479" s="321">
        <v>46158</v>
      </c>
      <c r="G479" s="321"/>
      <c r="H479" t="s">
        <v>28</v>
      </c>
      <c r="I479" t="s">
        <v>29</v>
      </c>
      <c r="J479">
        <v>10744</v>
      </c>
      <c r="K479" s="321">
        <v>46076</v>
      </c>
      <c r="L479">
        <v>1010200</v>
      </c>
      <c r="M479" t="s">
        <v>124</v>
      </c>
      <c r="N479">
        <v>-16</v>
      </c>
      <c r="O479" s="32">
        <v>0</v>
      </c>
      <c r="P479" s="32">
        <v>0</v>
      </c>
      <c r="Q479" s="32">
        <v>86689.1</v>
      </c>
      <c r="R479" s="32">
        <v>0</v>
      </c>
      <c r="S479" s="32">
        <v>0</v>
      </c>
      <c r="T479" s="32">
        <v>0</v>
      </c>
      <c r="U479" s="32">
        <v>0</v>
      </c>
      <c r="V479" s="32">
        <v>0</v>
      </c>
      <c r="W479" s="32">
        <v>0</v>
      </c>
      <c r="X479" s="32">
        <v>0</v>
      </c>
      <c r="Y479" s="32">
        <v>0</v>
      </c>
      <c r="Z479" s="32">
        <v>0</v>
      </c>
      <c r="AA479" s="32">
        <v>0</v>
      </c>
      <c r="AB479" s="32">
        <v>0</v>
      </c>
      <c r="AC479" s="32" t="s">
        <v>472</v>
      </c>
      <c r="AD479" s="32"/>
      <c r="AE479" s="32">
        <v>0</v>
      </c>
    </row>
    <row r="480" spans="1:31" x14ac:dyDescent="0.25">
      <c r="A480">
        <v>11770</v>
      </c>
      <c r="B480" t="s">
        <v>437</v>
      </c>
      <c r="C480" t="s">
        <v>31</v>
      </c>
      <c r="D480" s="35">
        <v>14548.35</v>
      </c>
      <c r="E480">
        <v>1246263524</v>
      </c>
      <c r="F480" s="321">
        <v>46039</v>
      </c>
      <c r="G480" s="321"/>
      <c r="H480" t="s">
        <v>28</v>
      </c>
      <c r="I480" t="s">
        <v>29</v>
      </c>
      <c r="J480">
        <v>9853</v>
      </c>
      <c r="K480" s="321">
        <v>45959</v>
      </c>
      <c r="L480">
        <v>1010200</v>
      </c>
      <c r="M480" t="s">
        <v>124</v>
      </c>
      <c r="N480">
        <v>103</v>
      </c>
      <c r="O480" s="32">
        <v>0</v>
      </c>
      <c r="P480" s="32">
        <v>436.45049999999998</v>
      </c>
      <c r="Q480" s="32">
        <v>0</v>
      </c>
      <c r="R480" s="32">
        <v>0</v>
      </c>
      <c r="S480" s="32">
        <v>14548.35</v>
      </c>
      <c r="T480" s="32">
        <v>0</v>
      </c>
      <c r="U480" s="32">
        <v>0</v>
      </c>
      <c r="V480" s="32">
        <v>0</v>
      </c>
      <c r="W480" s="32">
        <v>436.45049999999998</v>
      </c>
      <c r="X480" s="32">
        <v>0</v>
      </c>
      <c r="Y480" s="32">
        <v>0</v>
      </c>
      <c r="Z480" s="32">
        <v>0</v>
      </c>
      <c r="AA480" s="32">
        <v>0</v>
      </c>
      <c r="AB480" s="32">
        <v>436.45049999999998</v>
      </c>
      <c r="AC480" s="32" t="s">
        <v>472</v>
      </c>
      <c r="AD480" s="32"/>
      <c r="AE480" s="32">
        <v>0</v>
      </c>
    </row>
    <row r="481" spans="1:31" x14ac:dyDescent="0.25">
      <c r="A481">
        <v>10454</v>
      </c>
      <c r="B481" t="s">
        <v>194</v>
      </c>
      <c r="C481" t="s">
        <v>195</v>
      </c>
      <c r="D481" s="35">
        <v>144418.20000000001</v>
      </c>
      <c r="E481">
        <v>1246051128</v>
      </c>
      <c r="F481" s="321">
        <v>45229</v>
      </c>
      <c r="G481" s="321"/>
      <c r="H481" t="s">
        <v>172</v>
      </c>
      <c r="I481" t="s">
        <v>173</v>
      </c>
      <c r="J481">
        <v>19700</v>
      </c>
      <c r="K481" s="321">
        <v>44860</v>
      </c>
      <c r="L481">
        <v>1010100</v>
      </c>
      <c r="M481" t="s">
        <v>35</v>
      </c>
      <c r="N481">
        <v>913</v>
      </c>
      <c r="O481" s="32">
        <v>0</v>
      </c>
      <c r="P481" s="32">
        <v>144418.20000000001</v>
      </c>
      <c r="Q481" s="32">
        <v>0</v>
      </c>
      <c r="R481" s="32">
        <v>0</v>
      </c>
      <c r="S481" s="32">
        <v>0</v>
      </c>
      <c r="T481" s="32">
        <v>0</v>
      </c>
      <c r="U481" s="32">
        <v>144418.20000000001</v>
      </c>
      <c r="V481" s="32">
        <v>0</v>
      </c>
      <c r="W481" s="32">
        <v>4332.5460000000003</v>
      </c>
      <c r="X481" s="32">
        <v>140085.65400000001</v>
      </c>
      <c r="Y481" s="32">
        <v>140085.65400000001</v>
      </c>
      <c r="Z481" s="32">
        <v>0</v>
      </c>
      <c r="AA481" s="32">
        <v>0</v>
      </c>
      <c r="AB481" s="32">
        <v>144418.20000000001</v>
      </c>
      <c r="AC481" s="32" t="s">
        <v>472</v>
      </c>
      <c r="AD481" s="32"/>
      <c r="AE481" s="32">
        <v>0</v>
      </c>
    </row>
    <row r="482" spans="1:31" x14ac:dyDescent="0.25">
      <c r="A482">
        <v>10454</v>
      </c>
      <c r="B482" t="s">
        <v>194</v>
      </c>
      <c r="C482" t="s">
        <v>195</v>
      </c>
      <c r="D482" s="35">
        <v>144418.20000000001</v>
      </c>
      <c r="E482">
        <v>1246049220</v>
      </c>
      <c r="F482" s="321">
        <v>45229</v>
      </c>
      <c r="G482" s="321"/>
      <c r="H482" t="s">
        <v>172</v>
      </c>
      <c r="I482" t="s">
        <v>173</v>
      </c>
      <c r="J482">
        <v>19589</v>
      </c>
      <c r="K482" s="321">
        <v>44852</v>
      </c>
      <c r="L482">
        <v>1010100</v>
      </c>
      <c r="M482" t="s">
        <v>35</v>
      </c>
      <c r="N482">
        <v>913</v>
      </c>
      <c r="O482" s="32">
        <v>0</v>
      </c>
      <c r="P482" s="32">
        <v>144418.20000000001</v>
      </c>
      <c r="Q482" s="32">
        <v>0</v>
      </c>
      <c r="R482" s="32">
        <v>0</v>
      </c>
      <c r="S482" s="32">
        <v>0</v>
      </c>
      <c r="T482" s="32">
        <v>0</v>
      </c>
      <c r="U482" s="32">
        <v>144418.20000000001</v>
      </c>
      <c r="V482" s="32">
        <v>0</v>
      </c>
      <c r="W482" s="32">
        <v>4332.5460000000003</v>
      </c>
      <c r="X482" s="32">
        <v>140085.65400000001</v>
      </c>
      <c r="Y482" s="32">
        <v>140085.65400000001</v>
      </c>
      <c r="Z482" s="32">
        <v>0</v>
      </c>
      <c r="AA482" s="32">
        <v>0</v>
      </c>
      <c r="AB482" s="32">
        <v>144418.20000000001</v>
      </c>
      <c r="AC482" s="32" t="s">
        <v>472</v>
      </c>
      <c r="AD482" s="32"/>
      <c r="AE482" s="32">
        <v>0</v>
      </c>
    </row>
    <row r="483" spans="1:31" x14ac:dyDescent="0.25">
      <c r="A483">
        <v>10454</v>
      </c>
      <c r="B483" t="s">
        <v>194</v>
      </c>
      <c r="C483" t="s">
        <v>195</v>
      </c>
      <c r="D483" s="35">
        <v>149099.07999999999</v>
      </c>
      <c r="E483">
        <v>1246058414</v>
      </c>
      <c r="F483" s="321">
        <v>45229</v>
      </c>
      <c r="G483" s="321"/>
      <c r="H483" t="s">
        <v>172</v>
      </c>
      <c r="I483" t="s">
        <v>173</v>
      </c>
      <c r="J483">
        <v>20191</v>
      </c>
      <c r="K483" s="321">
        <v>44909</v>
      </c>
      <c r="L483">
        <v>1010100</v>
      </c>
      <c r="M483" t="s">
        <v>35</v>
      </c>
      <c r="N483">
        <v>913</v>
      </c>
      <c r="O483" s="32">
        <v>0</v>
      </c>
      <c r="P483" s="32">
        <v>149099.07999999999</v>
      </c>
      <c r="Q483" s="32">
        <v>0</v>
      </c>
      <c r="R483" s="32">
        <v>0</v>
      </c>
      <c r="S483" s="32">
        <v>0</v>
      </c>
      <c r="T483" s="32">
        <v>0</v>
      </c>
      <c r="U483" s="32">
        <v>149099.07999999999</v>
      </c>
      <c r="V483" s="32">
        <v>0</v>
      </c>
      <c r="W483" s="32">
        <v>4472.9723999999997</v>
      </c>
      <c r="X483" s="32">
        <v>144626.10759999999</v>
      </c>
      <c r="Y483" s="32">
        <v>144626.10759999999</v>
      </c>
      <c r="Z483" s="32">
        <v>0</v>
      </c>
      <c r="AA483" s="32">
        <v>0</v>
      </c>
      <c r="AB483" s="32">
        <v>149099.07999999999</v>
      </c>
      <c r="AC483" s="32" t="s">
        <v>472</v>
      </c>
      <c r="AD483" s="32"/>
      <c r="AE483" s="32">
        <v>0</v>
      </c>
    </row>
    <row r="484" spans="1:31" x14ac:dyDescent="0.25">
      <c r="A484">
        <v>10454</v>
      </c>
      <c r="B484" t="s">
        <v>194</v>
      </c>
      <c r="C484" t="s">
        <v>195</v>
      </c>
      <c r="D484" s="35">
        <v>151022.07999999999</v>
      </c>
      <c r="E484">
        <v>1246066481</v>
      </c>
      <c r="F484" s="321">
        <v>45229</v>
      </c>
      <c r="G484" s="321"/>
      <c r="H484" t="s">
        <v>172</v>
      </c>
      <c r="I484" t="s">
        <v>173</v>
      </c>
      <c r="J484">
        <v>20644</v>
      </c>
      <c r="K484" s="321">
        <v>44965</v>
      </c>
      <c r="L484">
        <v>1010100</v>
      </c>
      <c r="M484" t="s">
        <v>35</v>
      </c>
      <c r="N484">
        <v>913</v>
      </c>
      <c r="O484" s="32">
        <v>0</v>
      </c>
      <c r="P484" s="32">
        <v>151022.07999999999</v>
      </c>
      <c r="Q484" s="32">
        <v>0</v>
      </c>
      <c r="R484" s="32">
        <v>0</v>
      </c>
      <c r="S484" s="32">
        <v>0</v>
      </c>
      <c r="T484" s="32">
        <v>0</v>
      </c>
      <c r="U484" s="32">
        <v>151022.07999999999</v>
      </c>
      <c r="V484" s="32">
        <v>0</v>
      </c>
      <c r="W484" s="32">
        <v>4530.6623999999993</v>
      </c>
      <c r="X484" s="32">
        <v>146491.41759999999</v>
      </c>
      <c r="Y484" s="32">
        <v>146491.41759999999</v>
      </c>
      <c r="Z484" s="32">
        <v>0</v>
      </c>
      <c r="AA484" s="32">
        <v>0</v>
      </c>
      <c r="AB484" s="32">
        <v>151022.07999999999</v>
      </c>
      <c r="AC484" s="32" t="s">
        <v>472</v>
      </c>
      <c r="AD484" s="32"/>
      <c r="AE484" s="32">
        <v>0</v>
      </c>
    </row>
    <row r="485" spans="1:31" x14ac:dyDescent="0.25">
      <c r="A485">
        <v>10454</v>
      </c>
      <c r="B485" t="s">
        <v>194</v>
      </c>
      <c r="C485" t="s">
        <v>195</v>
      </c>
      <c r="D485" s="35">
        <v>248498.47</v>
      </c>
      <c r="E485">
        <v>1246058556</v>
      </c>
      <c r="F485" s="321">
        <v>45229</v>
      </c>
      <c r="G485" s="321"/>
      <c r="H485" t="s">
        <v>172</v>
      </c>
      <c r="I485" t="s">
        <v>173</v>
      </c>
      <c r="J485">
        <v>20197</v>
      </c>
      <c r="K485" s="321">
        <v>44909</v>
      </c>
      <c r="L485">
        <v>1010100</v>
      </c>
      <c r="M485" t="s">
        <v>35</v>
      </c>
      <c r="N485">
        <v>913</v>
      </c>
      <c r="O485" s="32">
        <v>0</v>
      </c>
      <c r="P485" s="32">
        <v>248498.47</v>
      </c>
      <c r="Q485" s="32">
        <v>0</v>
      </c>
      <c r="R485" s="32">
        <v>0</v>
      </c>
      <c r="S485" s="32">
        <v>0</v>
      </c>
      <c r="T485" s="32">
        <v>0</v>
      </c>
      <c r="U485" s="32">
        <v>248498.47</v>
      </c>
      <c r="V485" s="32">
        <v>0</v>
      </c>
      <c r="W485" s="32">
        <v>7454.9540999999999</v>
      </c>
      <c r="X485" s="32">
        <v>241043.5159</v>
      </c>
      <c r="Y485" s="32">
        <v>241043.5159</v>
      </c>
      <c r="Z485" s="32">
        <v>0</v>
      </c>
      <c r="AA485" s="32">
        <v>0</v>
      </c>
      <c r="AB485" s="32">
        <v>248498.47</v>
      </c>
      <c r="AC485" s="32" t="s">
        <v>472</v>
      </c>
      <c r="AD485" s="32"/>
      <c r="AE485" s="32">
        <v>0</v>
      </c>
    </row>
    <row r="486" spans="1:31" x14ac:dyDescent="0.25">
      <c r="A486">
        <v>10454</v>
      </c>
      <c r="B486" t="s">
        <v>194</v>
      </c>
      <c r="C486" t="s">
        <v>195</v>
      </c>
      <c r="D486" s="35">
        <v>122816.13</v>
      </c>
      <c r="E486">
        <v>1246065495</v>
      </c>
      <c r="F486" s="321">
        <v>45229</v>
      </c>
      <c r="G486" s="321"/>
      <c r="H486" t="s">
        <v>172</v>
      </c>
      <c r="I486" t="s">
        <v>173</v>
      </c>
      <c r="J486">
        <v>20599</v>
      </c>
      <c r="K486" s="321">
        <v>44958</v>
      </c>
      <c r="L486">
        <v>1010100</v>
      </c>
      <c r="M486" t="s">
        <v>35</v>
      </c>
      <c r="N486">
        <v>913</v>
      </c>
      <c r="O486" s="32">
        <v>0</v>
      </c>
      <c r="P486" s="32">
        <v>122816.13</v>
      </c>
      <c r="Q486" s="32">
        <v>0</v>
      </c>
      <c r="R486" s="32">
        <v>0</v>
      </c>
      <c r="S486" s="32">
        <v>0</v>
      </c>
      <c r="T486" s="32">
        <v>0</v>
      </c>
      <c r="U486" s="32">
        <v>122816.13</v>
      </c>
      <c r="V486" s="32">
        <v>0</v>
      </c>
      <c r="W486" s="32">
        <v>3684.4839000000002</v>
      </c>
      <c r="X486" s="32">
        <v>119131.6461</v>
      </c>
      <c r="Y486" s="32">
        <v>119131.6461</v>
      </c>
      <c r="Z486" s="32">
        <v>0</v>
      </c>
      <c r="AA486" s="32">
        <v>0</v>
      </c>
      <c r="AB486" s="32">
        <v>122816.13</v>
      </c>
      <c r="AC486" s="32" t="s">
        <v>472</v>
      </c>
      <c r="AD486" s="32"/>
      <c r="AE486" s="32">
        <v>0</v>
      </c>
    </row>
    <row r="487" spans="1:31" x14ac:dyDescent="0.25">
      <c r="A487">
        <v>10454</v>
      </c>
      <c r="B487" t="s">
        <v>194</v>
      </c>
      <c r="C487" t="s">
        <v>195</v>
      </c>
      <c r="D487" s="35">
        <v>97567.15</v>
      </c>
      <c r="E487">
        <v>1246059110</v>
      </c>
      <c r="F487" s="321">
        <v>45229</v>
      </c>
      <c r="G487" s="321"/>
      <c r="H487" t="s">
        <v>172</v>
      </c>
      <c r="I487" t="s">
        <v>173</v>
      </c>
      <c r="J487">
        <v>20229</v>
      </c>
      <c r="K487" s="321">
        <v>44911</v>
      </c>
      <c r="L487">
        <v>1010100</v>
      </c>
      <c r="M487" t="s">
        <v>35</v>
      </c>
      <c r="N487">
        <v>913</v>
      </c>
      <c r="O487" s="32">
        <v>0</v>
      </c>
      <c r="P487" s="32">
        <v>97567.15</v>
      </c>
      <c r="Q487" s="32">
        <v>0</v>
      </c>
      <c r="R487" s="32">
        <v>0</v>
      </c>
      <c r="S487" s="32">
        <v>0</v>
      </c>
      <c r="T487" s="32">
        <v>0</v>
      </c>
      <c r="U487" s="32">
        <v>97567.15</v>
      </c>
      <c r="V487" s="32">
        <v>0</v>
      </c>
      <c r="W487" s="32">
        <v>2927.0144999999998</v>
      </c>
      <c r="X487" s="32">
        <v>94640.135499999989</v>
      </c>
      <c r="Y487" s="32">
        <v>94640.135499999989</v>
      </c>
      <c r="Z487" s="32">
        <v>0</v>
      </c>
      <c r="AA487" s="32">
        <v>0</v>
      </c>
      <c r="AB487" s="32">
        <v>97567.15</v>
      </c>
      <c r="AC487" s="32" t="s">
        <v>472</v>
      </c>
      <c r="AD487" s="32"/>
      <c r="AE487" s="32">
        <v>0</v>
      </c>
    </row>
    <row r="488" spans="1:31" x14ac:dyDescent="0.25">
      <c r="A488">
        <v>10454</v>
      </c>
      <c r="B488" t="s">
        <v>194</v>
      </c>
      <c r="C488" t="s">
        <v>195</v>
      </c>
      <c r="D488" s="35">
        <v>145199.79999999999</v>
      </c>
      <c r="E488">
        <v>1246057926</v>
      </c>
      <c r="F488" s="321">
        <v>45229</v>
      </c>
      <c r="G488" s="321"/>
      <c r="H488" t="s">
        <v>172</v>
      </c>
      <c r="I488" t="s">
        <v>173</v>
      </c>
      <c r="J488">
        <v>20177</v>
      </c>
      <c r="K488" s="321">
        <v>44907</v>
      </c>
      <c r="L488">
        <v>1010100</v>
      </c>
      <c r="M488" t="s">
        <v>35</v>
      </c>
      <c r="N488">
        <v>913</v>
      </c>
      <c r="O488" s="32">
        <v>0</v>
      </c>
      <c r="P488" s="32">
        <v>145199.79999999999</v>
      </c>
      <c r="Q488" s="32">
        <v>0</v>
      </c>
      <c r="R488" s="32">
        <v>0</v>
      </c>
      <c r="S488" s="32">
        <v>0</v>
      </c>
      <c r="T488" s="32">
        <v>0</v>
      </c>
      <c r="U488" s="32">
        <v>145199.79999999999</v>
      </c>
      <c r="V488" s="32">
        <v>0</v>
      </c>
      <c r="W488" s="32">
        <v>4355.9939999999997</v>
      </c>
      <c r="X488" s="32">
        <v>140843.80599999998</v>
      </c>
      <c r="Y488" s="32">
        <v>140843.80599999998</v>
      </c>
      <c r="Z488" s="32">
        <v>0</v>
      </c>
      <c r="AA488" s="32">
        <v>0</v>
      </c>
      <c r="AB488" s="32">
        <v>145199.79999999999</v>
      </c>
      <c r="AC488" s="32" t="s">
        <v>472</v>
      </c>
      <c r="AD488" s="32"/>
      <c r="AE488" s="32">
        <v>0</v>
      </c>
    </row>
    <row r="489" spans="1:31" x14ac:dyDescent="0.25">
      <c r="A489">
        <v>10454</v>
      </c>
      <c r="B489" t="s">
        <v>194</v>
      </c>
      <c r="C489" t="s">
        <v>195</v>
      </c>
      <c r="D489" s="35">
        <v>85824.21</v>
      </c>
      <c r="E489">
        <v>1246058924</v>
      </c>
      <c r="F489" s="321">
        <v>45229</v>
      </c>
      <c r="G489" s="321"/>
      <c r="H489" t="s">
        <v>172</v>
      </c>
      <c r="I489" t="s">
        <v>173</v>
      </c>
      <c r="J489">
        <v>20209</v>
      </c>
      <c r="K489" s="321">
        <v>44910</v>
      </c>
      <c r="L489">
        <v>1010100</v>
      </c>
      <c r="M489" t="s">
        <v>35</v>
      </c>
      <c r="N489">
        <v>913</v>
      </c>
      <c r="O489" s="32">
        <v>0</v>
      </c>
      <c r="P489" s="32">
        <v>85824.209999999992</v>
      </c>
      <c r="Q489" s="32">
        <v>0</v>
      </c>
      <c r="R489" s="32">
        <v>0</v>
      </c>
      <c r="S489" s="32">
        <v>0</v>
      </c>
      <c r="T489" s="32">
        <v>0</v>
      </c>
      <c r="U489" s="32">
        <v>85824.21</v>
      </c>
      <c r="V489" s="32">
        <v>0</v>
      </c>
      <c r="W489" s="32">
        <v>2574.7263000000003</v>
      </c>
      <c r="X489" s="32">
        <v>83249.483699999997</v>
      </c>
      <c r="Y489" s="32">
        <v>83249.483699999997</v>
      </c>
      <c r="Z489" s="32">
        <v>0</v>
      </c>
      <c r="AA489" s="32">
        <v>0</v>
      </c>
      <c r="AB489" s="32">
        <v>85824.209999999992</v>
      </c>
      <c r="AC489" s="32" t="s">
        <v>472</v>
      </c>
      <c r="AD489" s="32"/>
      <c r="AE489" s="32">
        <v>0</v>
      </c>
    </row>
    <row r="490" spans="1:31" x14ac:dyDescent="0.25">
      <c r="A490">
        <v>10454</v>
      </c>
      <c r="B490" t="s">
        <v>194</v>
      </c>
      <c r="C490" t="s">
        <v>195</v>
      </c>
      <c r="D490" s="35">
        <v>154779.14000000001</v>
      </c>
      <c r="E490">
        <v>1246058289</v>
      </c>
      <c r="F490" s="321">
        <v>45229</v>
      </c>
      <c r="G490" s="321"/>
      <c r="H490" t="s">
        <v>172</v>
      </c>
      <c r="I490" t="s">
        <v>173</v>
      </c>
      <c r="J490">
        <v>20187</v>
      </c>
      <c r="K490" s="321">
        <v>44908</v>
      </c>
      <c r="L490">
        <v>1010100</v>
      </c>
      <c r="M490" t="s">
        <v>35</v>
      </c>
      <c r="N490">
        <v>913</v>
      </c>
      <c r="O490" s="32">
        <v>0</v>
      </c>
      <c r="P490" s="32">
        <v>154779.14000000001</v>
      </c>
      <c r="Q490" s="32">
        <v>0</v>
      </c>
      <c r="R490" s="32">
        <v>0</v>
      </c>
      <c r="S490" s="32">
        <v>0</v>
      </c>
      <c r="T490" s="32">
        <v>0</v>
      </c>
      <c r="U490" s="32">
        <v>154779.14000000001</v>
      </c>
      <c r="V490" s="32">
        <v>0</v>
      </c>
      <c r="W490" s="32">
        <v>4643.3742000000002</v>
      </c>
      <c r="X490" s="32">
        <v>150135.76580000002</v>
      </c>
      <c r="Y490" s="32">
        <v>150135.76580000002</v>
      </c>
      <c r="Z490" s="32">
        <v>0</v>
      </c>
      <c r="AA490" s="32">
        <v>0</v>
      </c>
      <c r="AB490" s="32">
        <v>154779.14000000001</v>
      </c>
      <c r="AC490" s="32" t="s">
        <v>472</v>
      </c>
      <c r="AD490" s="32"/>
      <c r="AE490" s="32">
        <v>0</v>
      </c>
    </row>
    <row r="491" spans="1:31" x14ac:dyDescent="0.25">
      <c r="A491">
        <v>10454</v>
      </c>
      <c r="B491" t="s">
        <v>194</v>
      </c>
      <c r="C491" t="s">
        <v>195</v>
      </c>
      <c r="D491" s="35">
        <v>166124.28999999998</v>
      </c>
      <c r="E491">
        <v>1246066059</v>
      </c>
      <c r="F491" s="321">
        <v>45229</v>
      </c>
      <c r="G491" s="321"/>
      <c r="H491" t="s">
        <v>172</v>
      </c>
      <c r="I491" t="s">
        <v>173</v>
      </c>
      <c r="J491">
        <v>20622</v>
      </c>
      <c r="K491" s="321">
        <v>44963</v>
      </c>
      <c r="L491">
        <v>1010100</v>
      </c>
      <c r="M491" t="s">
        <v>35</v>
      </c>
      <c r="N491">
        <v>913</v>
      </c>
      <c r="O491" s="32">
        <v>0</v>
      </c>
      <c r="P491" s="32">
        <v>166124.28999999998</v>
      </c>
      <c r="Q491" s="32">
        <v>0</v>
      </c>
      <c r="R491" s="32">
        <v>0</v>
      </c>
      <c r="S491" s="32">
        <v>0</v>
      </c>
      <c r="T491" s="32">
        <v>0</v>
      </c>
      <c r="U491" s="32">
        <v>166124.28999999998</v>
      </c>
      <c r="V491" s="32">
        <v>0</v>
      </c>
      <c r="W491" s="32">
        <v>4983.7286999999988</v>
      </c>
      <c r="X491" s="32">
        <v>161140.56129999997</v>
      </c>
      <c r="Y491" s="32">
        <v>161140.56129999997</v>
      </c>
      <c r="Z491" s="32">
        <v>0</v>
      </c>
      <c r="AA491" s="32">
        <v>0</v>
      </c>
      <c r="AB491" s="32">
        <v>166124.28999999998</v>
      </c>
      <c r="AC491" s="32" t="s">
        <v>472</v>
      </c>
      <c r="AD491" s="32"/>
      <c r="AE491" s="32">
        <v>0</v>
      </c>
    </row>
    <row r="492" spans="1:31" x14ac:dyDescent="0.25">
      <c r="A492">
        <v>10454</v>
      </c>
      <c r="B492" t="s">
        <v>194</v>
      </c>
      <c r="C492" t="s">
        <v>195</v>
      </c>
      <c r="D492" s="35">
        <v>151240.47</v>
      </c>
      <c r="E492">
        <v>1246059634</v>
      </c>
      <c r="F492" s="321">
        <v>45229</v>
      </c>
      <c r="G492" s="321"/>
      <c r="H492" t="s">
        <v>172</v>
      </c>
      <c r="I492" t="s">
        <v>173</v>
      </c>
      <c r="J492">
        <v>20268</v>
      </c>
      <c r="K492" s="321">
        <v>44916</v>
      </c>
      <c r="L492">
        <v>1010100</v>
      </c>
      <c r="M492" t="s">
        <v>35</v>
      </c>
      <c r="N492">
        <v>913</v>
      </c>
      <c r="O492" s="32">
        <v>0</v>
      </c>
      <c r="P492" s="32">
        <v>151240.47</v>
      </c>
      <c r="Q492" s="32">
        <v>0</v>
      </c>
      <c r="R492" s="32">
        <v>0</v>
      </c>
      <c r="S492" s="32">
        <v>0</v>
      </c>
      <c r="T492" s="32">
        <v>0</v>
      </c>
      <c r="U492" s="32">
        <v>151240.47</v>
      </c>
      <c r="V492" s="32">
        <v>0</v>
      </c>
      <c r="W492" s="32">
        <v>4537.2141000000001</v>
      </c>
      <c r="X492" s="32">
        <v>146703.25589999999</v>
      </c>
      <c r="Y492" s="32">
        <v>146703.25589999999</v>
      </c>
      <c r="Z492" s="32">
        <v>0</v>
      </c>
      <c r="AA492" s="32">
        <v>0</v>
      </c>
      <c r="AB492" s="32">
        <v>151240.47</v>
      </c>
      <c r="AC492" s="32" t="s">
        <v>472</v>
      </c>
      <c r="AD492" s="32"/>
      <c r="AE492" s="32">
        <v>0</v>
      </c>
    </row>
    <row r="493" spans="1:31" x14ac:dyDescent="0.25">
      <c r="A493">
        <v>10454</v>
      </c>
      <c r="B493" t="s">
        <v>194</v>
      </c>
      <c r="C493" t="s">
        <v>195</v>
      </c>
      <c r="D493" s="35">
        <v>102193.68</v>
      </c>
      <c r="E493">
        <v>1246216830</v>
      </c>
      <c r="F493" s="321">
        <v>45168</v>
      </c>
      <c r="G493" s="321"/>
      <c r="H493" t="s">
        <v>172</v>
      </c>
      <c r="I493" t="s">
        <v>173</v>
      </c>
      <c r="J493">
        <v>19263</v>
      </c>
      <c r="K493" s="321">
        <v>44824</v>
      </c>
      <c r="L493">
        <v>1010100</v>
      </c>
      <c r="M493" t="s">
        <v>35</v>
      </c>
      <c r="N493">
        <v>974</v>
      </c>
      <c r="O493" s="32">
        <v>0</v>
      </c>
      <c r="P493" s="32">
        <v>102193.68</v>
      </c>
      <c r="Q493" s="32">
        <v>0</v>
      </c>
      <c r="R493" s="32">
        <v>0</v>
      </c>
      <c r="S493" s="32">
        <v>0</v>
      </c>
      <c r="T493" s="32">
        <v>0</v>
      </c>
      <c r="U493" s="32">
        <v>102193.68</v>
      </c>
      <c r="V493" s="32">
        <v>0</v>
      </c>
      <c r="W493" s="32">
        <v>3065.8103999999998</v>
      </c>
      <c r="X493" s="32">
        <v>99127.869599999991</v>
      </c>
      <c r="Y493" s="32">
        <v>99127.869599999991</v>
      </c>
      <c r="Z493" s="32">
        <v>0</v>
      </c>
      <c r="AA493" s="32">
        <v>0</v>
      </c>
      <c r="AB493" s="32">
        <v>102193.68</v>
      </c>
      <c r="AC493" s="32" t="s">
        <v>472</v>
      </c>
      <c r="AD493" s="32"/>
      <c r="AE493" s="32">
        <v>0</v>
      </c>
    </row>
    <row r="494" spans="1:31" x14ac:dyDescent="0.25">
      <c r="A494">
        <v>11326</v>
      </c>
      <c r="B494" t="s">
        <v>196</v>
      </c>
      <c r="C494" t="s">
        <v>197</v>
      </c>
      <c r="D494" s="35">
        <v>131680</v>
      </c>
      <c r="E494">
        <v>1246234342</v>
      </c>
      <c r="F494" s="321">
        <v>46264</v>
      </c>
      <c r="G494" s="321"/>
      <c r="H494" t="s">
        <v>172</v>
      </c>
      <c r="I494" t="s">
        <v>173</v>
      </c>
      <c r="J494">
        <v>9141</v>
      </c>
      <c r="K494" s="321">
        <v>45901</v>
      </c>
      <c r="L494">
        <v>1010100</v>
      </c>
      <c r="M494" t="s">
        <v>35</v>
      </c>
      <c r="N494">
        <v>-122</v>
      </c>
      <c r="O494" s="32">
        <v>0</v>
      </c>
      <c r="P494" s="32">
        <v>0</v>
      </c>
      <c r="Q494" s="32">
        <v>131680</v>
      </c>
      <c r="R494" s="32">
        <v>0</v>
      </c>
      <c r="S494" s="32">
        <v>0</v>
      </c>
      <c r="T494" s="32">
        <v>0</v>
      </c>
      <c r="U494" s="32">
        <v>0</v>
      </c>
      <c r="V494" s="32">
        <v>0</v>
      </c>
      <c r="W494" s="32">
        <v>0</v>
      </c>
      <c r="X494" s="32">
        <v>0</v>
      </c>
      <c r="Y494" s="32">
        <v>0</v>
      </c>
      <c r="Z494" s="32">
        <v>0</v>
      </c>
      <c r="AA494" s="32">
        <v>0</v>
      </c>
      <c r="AB494" s="32">
        <v>0</v>
      </c>
      <c r="AC494" s="32" t="s">
        <v>472</v>
      </c>
      <c r="AD494" s="32"/>
      <c r="AE494" s="32">
        <v>0</v>
      </c>
    </row>
    <row r="495" spans="1:31" x14ac:dyDescent="0.25">
      <c r="A495">
        <v>11580</v>
      </c>
      <c r="B495" t="s">
        <v>489</v>
      </c>
      <c r="C495" t="s">
        <v>31</v>
      </c>
      <c r="D495" s="35">
        <v>76480.23</v>
      </c>
      <c r="E495">
        <v>1246268734</v>
      </c>
      <c r="F495" s="321">
        <v>46440</v>
      </c>
      <c r="G495" s="321"/>
      <c r="H495" t="s">
        <v>28</v>
      </c>
      <c r="I495" t="s">
        <v>29</v>
      </c>
      <c r="J495">
        <v>2837</v>
      </c>
      <c r="K495" s="321">
        <v>46105</v>
      </c>
      <c r="L495">
        <v>1010200</v>
      </c>
      <c r="M495" t="s">
        <v>124</v>
      </c>
      <c r="N495">
        <v>-298</v>
      </c>
      <c r="O495" s="32">
        <v>0</v>
      </c>
      <c r="P495" s="32">
        <v>0</v>
      </c>
      <c r="Q495" s="32">
        <v>76480.23</v>
      </c>
      <c r="R495" s="32">
        <v>0</v>
      </c>
      <c r="S495" s="32">
        <v>0</v>
      </c>
      <c r="T495" s="32">
        <v>0</v>
      </c>
      <c r="U495" s="32">
        <v>0</v>
      </c>
      <c r="V495" s="32">
        <v>0</v>
      </c>
      <c r="W495" s="32">
        <v>0</v>
      </c>
      <c r="X495" s="32">
        <v>0</v>
      </c>
      <c r="Y495" s="32">
        <v>0</v>
      </c>
      <c r="Z495" s="32">
        <v>0</v>
      </c>
      <c r="AA495" s="32">
        <v>0</v>
      </c>
      <c r="AB495" s="32">
        <v>0</v>
      </c>
      <c r="AC495" s="32" t="s">
        <v>472</v>
      </c>
      <c r="AD495" s="32"/>
      <c r="AE495" s="32">
        <v>0</v>
      </c>
    </row>
    <row r="496" spans="1:31" x14ac:dyDescent="0.25">
      <c r="A496">
        <v>10456</v>
      </c>
      <c r="B496" t="s">
        <v>198</v>
      </c>
      <c r="C496" t="s">
        <v>199</v>
      </c>
      <c r="D496" s="35">
        <v>111322.27</v>
      </c>
      <c r="E496">
        <v>1246093334</v>
      </c>
      <c r="F496" s="321">
        <v>45537</v>
      </c>
      <c r="G496" s="321"/>
      <c r="H496" t="s">
        <v>172</v>
      </c>
      <c r="I496" t="s">
        <v>173</v>
      </c>
      <c r="J496">
        <v>251</v>
      </c>
      <c r="K496" s="321">
        <v>45127</v>
      </c>
      <c r="L496">
        <v>1010100</v>
      </c>
      <c r="M496" t="s">
        <v>35</v>
      </c>
      <c r="N496">
        <v>605</v>
      </c>
      <c r="O496" s="32">
        <v>0</v>
      </c>
      <c r="P496" s="32">
        <v>111322.27</v>
      </c>
      <c r="Q496" s="32">
        <v>0</v>
      </c>
      <c r="R496" s="32">
        <v>0</v>
      </c>
      <c r="S496" s="32">
        <v>0</v>
      </c>
      <c r="T496" s="32">
        <v>0</v>
      </c>
      <c r="U496" s="32">
        <v>111322.27</v>
      </c>
      <c r="V496" s="32">
        <v>0</v>
      </c>
      <c r="W496" s="32">
        <v>0</v>
      </c>
      <c r="X496" s="32">
        <v>0</v>
      </c>
      <c r="Y496" s="32">
        <v>0</v>
      </c>
      <c r="Z496" s="32">
        <v>111322.27</v>
      </c>
      <c r="AA496" s="32">
        <v>111322.27</v>
      </c>
      <c r="AB496" s="32">
        <v>111322.27</v>
      </c>
      <c r="AC496" s="32" t="s">
        <v>537</v>
      </c>
      <c r="AD496" s="32"/>
      <c r="AE496" s="32">
        <v>111322.27</v>
      </c>
    </row>
    <row r="497" spans="1:31" x14ac:dyDescent="0.25">
      <c r="A497">
        <v>10456</v>
      </c>
      <c r="B497" t="s">
        <v>198</v>
      </c>
      <c r="C497" t="s">
        <v>199</v>
      </c>
      <c r="D497" s="35">
        <v>118491.86</v>
      </c>
      <c r="E497">
        <v>1246097861</v>
      </c>
      <c r="F497" s="321">
        <v>45565</v>
      </c>
      <c r="G497" s="321"/>
      <c r="H497" t="s">
        <v>172</v>
      </c>
      <c r="I497" t="s">
        <v>173</v>
      </c>
      <c r="J497">
        <v>683</v>
      </c>
      <c r="K497" s="321">
        <v>45152</v>
      </c>
      <c r="L497">
        <v>1010100</v>
      </c>
      <c r="M497" t="s">
        <v>35</v>
      </c>
      <c r="N497">
        <v>577</v>
      </c>
      <c r="O497" s="32">
        <v>0</v>
      </c>
      <c r="P497" s="32">
        <v>118491.86</v>
      </c>
      <c r="Q497" s="32">
        <v>0</v>
      </c>
      <c r="R497" s="32">
        <v>0</v>
      </c>
      <c r="S497" s="32">
        <v>0</v>
      </c>
      <c r="T497" s="32">
        <v>0</v>
      </c>
      <c r="U497" s="32">
        <v>118491.86</v>
      </c>
      <c r="V497" s="32">
        <v>0</v>
      </c>
      <c r="W497" s="32">
        <v>0</v>
      </c>
      <c r="X497" s="32">
        <v>0</v>
      </c>
      <c r="Y497" s="32">
        <v>0</v>
      </c>
      <c r="Z497" s="32">
        <v>118491.86</v>
      </c>
      <c r="AA497" s="32">
        <v>118491.86</v>
      </c>
      <c r="AB497" s="32">
        <v>118491.86</v>
      </c>
      <c r="AC497" s="32" t="s">
        <v>537</v>
      </c>
      <c r="AD497" s="32"/>
      <c r="AE497" s="32">
        <v>118491.86</v>
      </c>
    </row>
    <row r="498" spans="1:31" x14ac:dyDescent="0.25">
      <c r="A498">
        <v>10456</v>
      </c>
      <c r="B498" t="s">
        <v>198</v>
      </c>
      <c r="C498" t="s">
        <v>199</v>
      </c>
      <c r="D498" s="35">
        <v>117498.04</v>
      </c>
      <c r="E498">
        <v>1246099432</v>
      </c>
      <c r="F498" s="321">
        <v>45545</v>
      </c>
      <c r="G498" s="321"/>
      <c r="H498" t="s">
        <v>172</v>
      </c>
      <c r="I498" t="s">
        <v>173</v>
      </c>
      <c r="J498">
        <v>787</v>
      </c>
      <c r="K498" s="321">
        <v>45160</v>
      </c>
      <c r="L498">
        <v>1010100</v>
      </c>
      <c r="M498" t="s">
        <v>35</v>
      </c>
      <c r="N498">
        <v>597</v>
      </c>
      <c r="O498" s="32">
        <v>0</v>
      </c>
      <c r="P498" s="32">
        <v>117498.04</v>
      </c>
      <c r="Q498" s="32">
        <v>0</v>
      </c>
      <c r="R498" s="32">
        <v>0</v>
      </c>
      <c r="S498" s="32">
        <v>0</v>
      </c>
      <c r="T498" s="32">
        <v>0</v>
      </c>
      <c r="U498" s="32">
        <v>117498.04</v>
      </c>
      <c r="V498" s="32">
        <v>0</v>
      </c>
      <c r="W498" s="32">
        <v>0</v>
      </c>
      <c r="X498" s="32">
        <v>0</v>
      </c>
      <c r="Y498" s="32">
        <v>0</v>
      </c>
      <c r="Z498" s="32">
        <v>117498.04</v>
      </c>
      <c r="AA498" s="32">
        <v>117498.04</v>
      </c>
      <c r="AB498" s="32">
        <v>117498.04</v>
      </c>
      <c r="AC498" s="32" t="s">
        <v>537</v>
      </c>
      <c r="AD498" s="32"/>
      <c r="AE498" s="32">
        <v>117498.04</v>
      </c>
    </row>
    <row r="499" spans="1:31" x14ac:dyDescent="0.25">
      <c r="A499">
        <v>10456</v>
      </c>
      <c r="B499" t="s">
        <v>198</v>
      </c>
      <c r="C499" t="s">
        <v>199</v>
      </c>
      <c r="D499" s="35">
        <v>100560.82</v>
      </c>
      <c r="E499">
        <v>1246100417</v>
      </c>
      <c r="F499" s="321">
        <v>45548</v>
      </c>
      <c r="G499" s="321"/>
      <c r="H499" t="s">
        <v>172</v>
      </c>
      <c r="I499" t="s">
        <v>173</v>
      </c>
      <c r="J499">
        <v>183</v>
      </c>
      <c r="K499" s="321">
        <v>45163</v>
      </c>
      <c r="L499">
        <v>1010100</v>
      </c>
      <c r="M499" t="s">
        <v>35</v>
      </c>
      <c r="N499">
        <v>594</v>
      </c>
      <c r="O499" s="32">
        <v>0</v>
      </c>
      <c r="P499" s="32">
        <v>100560.82</v>
      </c>
      <c r="Q499" s="32">
        <v>0</v>
      </c>
      <c r="R499" s="32">
        <v>0</v>
      </c>
      <c r="S499" s="32">
        <v>0</v>
      </c>
      <c r="T499" s="32">
        <v>0</v>
      </c>
      <c r="U499" s="32">
        <v>100560.82</v>
      </c>
      <c r="V499" s="32">
        <v>0</v>
      </c>
      <c r="W499" s="32">
        <v>0</v>
      </c>
      <c r="X499" s="32">
        <v>0</v>
      </c>
      <c r="Y499" s="32">
        <v>0</v>
      </c>
      <c r="Z499" s="32">
        <v>100560.82</v>
      </c>
      <c r="AA499" s="32">
        <v>100560.82</v>
      </c>
      <c r="AB499" s="32">
        <v>100560.82</v>
      </c>
      <c r="AC499" s="32" t="s">
        <v>537</v>
      </c>
      <c r="AD499" s="32"/>
      <c r="AE499" s="32">
        <v>100560.82</v>
      </c>
    </row>
    <row r="500" spans="1:31" x14ac:dyDescent="0.25">
      <c r="A500">
        <v>10456</v>
      </c>
      <c r="B500" t="s">
        <v>198</v>
      </c>
      <c r="C500" t="s">
        <v>199</v>
      </c>
      <c r="D500" s="35">
        <v>61416.78</v>
      </c>
      <c r="E500">
        <v>1246065449</v>
      </c>
      <c r="F500" s="321">
        <v>45199</v>
      </c>
      <c r="G500" s="321"/>
      <c r="H500" t="s">
        <v>172</v>
      </c>
      <c r="I500" t="s">
        <v>173</v>
      </c>
      <c r="J500">
        <v>20596</v>
      </c>
      <c r="K500" s="321">
        <v>44958</v>
      </c>
      <c r="L500">
        <v>1010100</v>
      </c>
      <c r="M500" t="s">
        <v>35</v>
      </c>
      <c r="N500">
        <v>943</v>
      </c>
      <c r="O500" s="32">
        <v>0</v>
      </c>
      <c r="P500" s="32">
        <v>61416.78</v>
      </c>
      <c r="Q500" s="32">
        <v>0</v>
      </c>
      <c r="R500" s="32">
        <v>0</v>
      </c>
      <c r="S500" s="32">
        <v>0</v>
      </c>
      <c r="T500" s="32">
        <v>0</v>
      </c>
      <c r="U500" s="32">
        <v>61416.78</v>
      </c>
      <c r="V500" s="32">
        <v>0</v>
      </c>
      <c r="W500" s="32">
        <v>0</v>
      </c>
      <c r="X500" s="32">
        <v>0</v>
      </c>
      <c r="Y500" s="32">
        <v>0</v>
      </c>
      <c r="Z500" s="32">
        <v>61416.78</v>
      </c>
      <c r="AA500" s="32">
        <v>61416.78</v>
      </c>
      <c r="AB500" s="32">
        <v>61416.78</v>
      </c>
      <c r="AC500" s="32" t="s">
        <v>537</v>
      </c>
      <c r="AD500" s="32"/>
      <c r="AE500" s="32">
        <v>61416.78</v>
      </c>
    </row>
    <row r="501" spans="1:31" x14ac:dyDescent="0.25">
      <c r="A501">
        <v>10456</v>
      </c>
      <c r="B501" t="s">
        <v>198</v>
      </c>
      <c r="C501" t="s">
        <v>199</v>
      </c>
      <c r="D501" s="35">
        <v>106537.82</v>
      </c>
      <c r="E501">
        <v>1246110763</v>
      </c>
      <c r="F501" s="321">
        <v>45534</v>
      </c>
      <c r="G501" s="321"/>
      <c r="H501" t="s">
        <v>172</v>
      </c>
      <c r="I501" t="s">
        <v>173</v>
      </c>
      <c r="J501">
        <v>1702</v>
      </c>
      <c r="K501" s="321">
        <v>45222</v>
      </c>
      <c r="L501">
        <v>1010100</v>
      </c>
      <c r="M501" t="s">
        <v>35</v>
      </c>
      <c r="N501">
        <v>608</v>
      </c>
      <c r="O501" s="32">
        <v>0</v>
      </c>
      <c r="P501" s="32">
        <v>106537.82</v>
      </c>
      <c r="Q501" s="32">
        <v>0</v>
      </c>
      <c r="R501" s="32">
        <v>0</v>
      </c>
      <c r="S501" s="32">
        <v>0</v>
      </c>
      <c r="T501" s="32">
        <v>0</v>
      </c>
      <c r="U501" s="32">
        <v>106537.82</v>
      </c>
      <c r="V501" s="32">
        <v>0</v>
      </c>
      <c r="W501" s="32">
        <v>0</v>
      </c>
      <c r="X501" s="32">
        <v>0</v>
      </c>
      <c r="Y501" s="32">
        <v>0</v>
      </c>
      <c r="Z501" s="32">
        <v>106537.82</v>
      </c>
      <c r="AA501" s="32">
        <v>106537.82</v>
      </c>
      <c r="AB501" s="32">
        <v>106537.82</v>
      </c>
      <c r="AC501" s="32" t="s">
        <v>537</v>
      </c>
      <c r="AD501" s="32"/>
      <c r="AE501" s="32">
        <v>106537.82</v>
      </c>
    </row>
    <row r="502" spans="1:31" x14ac:dyDescent="0.25">
      <c r="A502">
        <v>10456</v>
      </c>
      <c r="B502" t="s">
        <v>198</v>
      </c>
      <c r="C502" t="s">
        <v>199</v>
      </c>
      <c r="D502" s="35">
        <v>110173.77</v>
      </c>
      <c r="E502">
        <v>1246067444</v>
      </c>
      <c r="F502" s="321">
        <v>45199</v>
      </c>
      <c r="G502" s="321"/>
      <c r="H502" t="s">
        <v>172</v>
      </c>
      <c r="I502" t="s">
        <v>173</v>
      </c>
      <c r="J502">
        <v>20680</v>
      </c>
      <c r="K502" s="321">
        <v>44971</v>
      </c>
      <c r="L502">
        <v>1010100</v>
      </c>
      <c r="M502" t="s">
        <v>35</v>
      </c>
      <c r="N502">
        <v>943</v>
      </c>
      <c r="O502" s="32">
        <v>0</v>
      </c>
      <c r="P502" s="32">
        <v>110173.77</v>
      </c>
      <c r="Q502" s="32">
        <v>0</v>
      </c>
      <c r="R502" s="32">
        <v>0</v>
      </c>
      <c r="S502" s="32">
        <v>0</v>
      </c>
      <c r="T502" s="32">
        <v>0</v>
      </c>
      <c r="U502" s="32">
        <v>110173.77</v>
      </c>
      <c r="V502" s="32">
        <v>0</v>
      </c>
      <c r="W502" s="32">
        <v>0</v>
      </c>
      <c r="X502" s="32">
        <v>0</v>
      </c>
      <c r="Y502" s="32">
        <v>0</v>
      </c>
      <c r="Z502" s="32">
        <v>110173.77</v>
      </c>
      <c r="AA502" s="32">
        <v>110173.77</v>
      </c>
      <c r="AB502" s="32">
        <v>110173.77</v>
      </c>
      <c r="AC502" s="32" t="s">
        <v>537</v>
      </c>
      <c r="AD502" s="32"/>
      <c r="AE502" s="32">
        <v>110173.77</v>
      </c>
    </row>
    <row r="503" spans="1:31" x14ac:dyDescent="0.25">
      <c r="A503">
        <v>10456</v>
      </c>
      <c r="B503" t="s">
        <v>198</v>
      </c>
      <c r="C503" t="s">
        <v>199</v>
      </c>
      <c r="D503" s="35">
        <v>153644.62</v>
      </c>
      <c r="E503">
        <v>1246066037</v>
      </c>
      <c r="F503" s="321">
        <v>45199</v>
      </c>
      <c r="G503" s="321"/>
      <c r="H503" t="s">
        <v>172</v>
      </c>
      <c r="I503" t="s">
        <v>173</v>
      </c>
      <c r="J503">
        <v>20619</v>
      </c>
      <c r="K503" s="321">
        <v>44963</v>
      </c>
      <c r="L503">
        <v>1010100</v>
      </c>
      <c r="M503" t="s">
        <v>35</v>
      </c>
      <c r="N503">
        <v>943</v>
      </c>
      <c r="O503" s="32">
        <v>0</v>
      </c>
      <c r="P503" s="32">
        <v>153644.62</v>
      </c>
      <c r="Q503" s="32">
        <v>0</v>
      </c>
      <c r="R503" s="32">
        <v>0</v>
      </c>
      <c r="S503" s="32">
        <v>0</v>
      </c>
      <c r="T503" s="32">
        <v>0</v>
      </c>
      <c r="U503" s="32">
        <v>153644.62</v>
      </c>
      <c r="V503" s="32">
        <v>0</v>
      </c>
      <c r="W503" s="32">
        <v>0</v>
      </c>
      <c r="X503" s="32">
        <v>0</v>
      </c>
      <c r="Y503" s="32">
        <v>0</v>
      </c>
      <c r="Z503" s="32">
        <v>153644.62</v>
      </c>
      <c r="AA503" s="32">
        <v>153644.62</v>
      </c>
      <c r="AB503" s="32">
        <v>153644.62</v>
      </c>
      <c r="AC503" s="32" t="s">
        <v>537</v>
      </c>
      <c r="AD503" s="32"/>
      <c r="AE503" s="32">
        <v>153644.62</v>
      </c>
    </row>
    <row r="504" spans="1:31" x14ac:dyDescent="0.25">
      <c r="A504">
        <v>10456</v>
      </c>
      <c r="B504" t="s">
        <v>198</v>
      </c>
      <c r="C504" t="s">
        <v>199</v>
      </c>
      <c r="D504" s="35">
        <v>121627.64</v>
      </c>
      <c r="E504">
        <v>1246061337</v>
      </c>
      <c r="F504" s="321">
        <v>45199</v>
      </c>
      <c r="G504" s="321"/>
      <c r="H504" t="s">
        <v>172</v>
      </c>
      <c r="I504" t="s">
        <v>173</v>
      </c>
      <c r="J504">
        <v>20371</v>
      </c>
      <c r="K504" s="321">
        <v>44930</v>
      </c>
      <c r="L504">
        <v>1010100</v>
      </c>
      <c r="M504" t="s">
        <v>35</v>
      </c>
      <c r="N504">
        <v>943</v>
      </c>
      <c r="O504" s="32">
        <v>0</v>
      </c>
      <c r="P504" s="32">
        <v>121627.64</v>
      </c>
      <c r="Q504" s="32">
        <v>0</v>
      </c>
      <c r="R504" s="32">
        <v>0</v>
      </c>
      <c r="S504" s="32">
        <v>0</v>
      </c>
      <c r="T504" s="32">
        <v>0</v>
      </c>
      <c r="U504" s="32">
        <v>121627.64</v>
      </c>
      <c r="V504" s="32">
        <v>0</v>
      </c>
      <c r="W504" s="32">
        <v>0</v>
      </c>
      <c r="X504" s="32">
        <v>0</v>
      </c>
      <c r="Y504" s="32">
        <v>0</v>
      </c>
      <c r="Z504" s="32">
        <v>121627.64</v>
      </c>
      <c r="AA504" s="32">
        <v>121627.64</v>
      </c>
      <c r="AB504" s="32">
        <v>121627.64</v>
      </c>
      <c r="AC504" s="32" t="s">
        <v>537</v>
      </c>
      <c r="AD504" s="32"/>
      <c r="AE504" s="32">
        <v>121627.64</v>
      </c>
    </row>
    <row r="505" spans="1:31" x14ac:dyDescent="0.25">
      <c r="A505">
        <v>10456</v>
      </c>
      <c r="B505" t="s">
        <v>198</v>
      </c>
      <c r="C505" t="s">
        <v>199</v>
      </c>
      <c r="D505" s="35">
        <v>119763.56</v>
      </c>
      <c r="E505">
        <v>1246107272</v>
      </c>
      <c r="F505" s="321">
        <v>45536</v>
      </c>
      <c r="G505" s="321"/>
      <c r="H505" t="s">
        <v>172</v>
      </c>
      <c r="I505" t="s">
        <v>173</v>
      </c>
      <c r="J505">
        <v>1444</v>
      </c>
      <c r="K505" s="321">
        <v>45201</v>
      </c>
      <c r="L505">
        <v>1010100</v>
      </c>
      <c r="M505" t="s">
        <v>35</v>
      </c>
      <c r="N505">
        <v>606</v>
      </c>
      <c r="O505" s="32">
        <v>0</v>
      </c>
      <c r="P505" s="32">
        <v>119763.56</v>
      </c>
      <c r="Q505" s="32">
        <v>0</v>
      </c>
      <c r="R505" s="32">
        <v>0</v>
      </c>
      <c r="S505" s="32">
        <v>0</v>
      </c>
      <c r="T505" s="32">
        <v>0</v>
      </c>
      <c r="U505" s="32">
        <v>119763.56</v>
      </c>
      <c r="V505" s="32">
        <v>0</v>
      </c>
      <c r="W505" s="32">
        <v>0</v>
      </c>
      <c r="X505" s="32">
        <v>0</v>
      </c>
      <c r="Y505" s="32">
        <v>0</v>
      </c>
      <c r="Z505" s="32">
        <v>119763.56</v>
      </c>
      <c r="AA505" s="32">
        <v>119763.56</v>
      </c>
      <c r="AB505" s="32">
        <v>119763.56</v>
      </c>
      <c r="AC505" s="32" t="s">
        <v>537</v>
      </c>
      <c r="AD505" s="32"/>
      <c r="AE505" s="32">
        <v>119763.56</v>
      </c>
    </row>
    <row r="506" spans="1:31" x14ac:dyDescent="0.25">
      <c r="A506">
        <v>10456</v>
      </c>
      <c r="B506" t="s">
        <v>198</v>
      </c>
      <c r="C506" t="s">
        <v>199</v>
      </c>
      <c r="D506" s="35">
        <v>129996.55</v>
      </c>
      <c r="E506">
        <v>1246063009</v>
      </c>
      <c r="F506" s="321">
        <v>45199</v>
      </c>
      <c r="G506" s="321"/>
      <c r="H506" t="s">
        <v>172</v>
      </c>
      <c r="I506" t="s">
        <v>173</v>
      </c>
      <c r="J506">
        <v>20458</v>
      </c>
      <c r="K506" s="321">
        <v>44943</v>
      </c>
      <c r="L506">
        <v>1010100</v>
      </c>
      <c r="M506" t="s">
        <v>35</v>
      </c>
      <c r="N506">
        <v>943</v>
      </c>
      <c r="O506" s="32">
        <v>0</v>
      </c>
      <c r="P506" s="32">
        <v>129996.55</v>
      </c>
      <c r="Q506" s="32">
        <v>0</v>
      </c>
      <c r="R506" s="32">
        <v>0</v>
      </c>
      <c r="S506" s="32">
        <v>0</v>
      </c>
      <c r="T506" s="32">
        <v>0</v>
      </c>
      <c r="U506" s="32">
        <v>129996.55</v>
      </c>
      <c r="V506" s="32">
        <v>0</v>
      </c>
      <c r="W506" s="32">
        <v>0</v>
      </c>
      <c r="X506" s="32">
        <v>0</v>
      </c>
      <c r="Y506" s="32">
        <v>0</v>
      </c>
      <c r="Z506" s="32">
        <v>129996.55</v>
      </c>
      <c r="AA506" s="32">
        <v>129996.55</v>
      </c>
      <c r="AB506" s="32">
        <v>129996.55</v>
      </c>
      <c r="AC506" s="32" t="s">
        <v>537</v>
      </c>
      <c r="AD506" s="32"/>
      <c r="AE506" s="32">
        <v>129996.55</v>
      </c>
    </row>
    <row r="507" spans="1:31" x14ac:dyDescent="0.25">
      <c r="A507">
        <v>10456</v>
      </c>
      <c r="B507" t="s">
        <v>198</v>
      </c>
      <c r="C507" t="s">
        <v>199</v>
      </c>
      <c r="D507" s="35">
        <v>61021.61</v>
      </c>
      <c r="E507">
        <v>1246063058</v>
      </c>
      <c r="F507" s="321">
        <v>45199</v>
      </c>
      <c r="G507" s="321"/>
      <c r="H507" t="s">
        <v>172</v>
      </c>
      <c r="I507" t="s">
        <v>173</v>
      </c>
      <c r="J507">
        <v>20480</v>
      </c>
      <c r="K507" s="321">
        <v>44943</v>
      </c>
      <c r="L507">
        <v>1010100</v>
      </c>
      <c r="M507" t="s">
        <v>35</v>
      </c>
      <c r="N507">
        <v>943</v>
      </c>
      <c r="O507" s="32">
        <v>0</v>
      </c>
      <c r="P507" s="32">
        <v>61021.61</v>
      </c>
      <c r="Q507" s="32">
        <v>0</v>
      </c>
      <c r="R507" s="32">
        <v>0</v>
      </c>
      <c r="S507" s="32">
        <v>0</v>
      </c>
      <c r="T507" s="32">
        <v>0</v>
      </c>
      <c r="U507" s="32">
        <v>61021.61</v>
      </c>
      <c r="V507" s="32">
        <v>0</v>
      </c>
      <c r="W507" s="32">
        <v>0</v>
      </c>
      <c r="X507" s="32">
        <v>0</v>
      </c>
      <c r="Y507" s="32">
        <v>0</v>
      </c>
      <c r="Z507" s="32">
        <v>61021.61</v>
      </c>
      <c r="AA507" s="32">
        <v>61021.61</v>
      </c>
      <c r="AB507" s="32">
        <v>61021.61</v>
      </c>
      <c r="AC507" s="32" t="s">
        <v>537</v>
      </c>
      <c r="AD507" s="32"/>
      <c r="AE507" s="32">
        <v>61021.61</v>
      </c>
    </row>
    <row r="508" spans="1:31" x14ac:dyDescent="0.25">
      <c r="A508">
        <v>10456</v>
      </c>
      <c r="B508" t="s">
        <v>198</v>
      </c>
      <c r="C508" t="s">
        <v>199</v>
      </c>
      <c r="D508" s="35">
        <v>111090.76</v>
      </c>
      <c r="E508">
        <v>1246063995</v>
      </c>
      <c r="F508" s="321">
        <v>45199</v>
      </c>
      <c r="G508" s="321"/>
      <c r="H508" t="s">
        <v>172</v>
      </c>
      <c r="I508" t="s">
        <v>173</v>
      </c>
      <c r="J508">
        <v>20513</v>
      </c>
      <c r="K508" s="321">
        <v>44949</v>
      </c>
      <c r="L508">
        <v>1010100</v>
      </c>
      <c r="M508" t="s">
        <v>35</v>
      </c>
      <c r="N508">
        <v>943</v>
      </c>
      <c r="O508" s="32">
        <v>0</v>
      </c>
      <c r="P508" s="32">
        <v>111090.76</v>
      </c>
      <c r="Q508" s="32">
        <v>0</v>
      </c>
      <c r="R508" s="32">
        <v>0</v>
      </c>
      <c r="S508" s="32">
        <v>0</v>
      </c>
      <c r="T508" s="32">
        <v>0</v>
      </c>
      <c r="U508" s="32">
        <v>111090.76</v>
      </c>
      <c r="V508" s="32">
        <v>0</v>
      </c>
      <c r="W508" s="32">
        <v>0</v>
      </c>
      <c r="X508" s="32">
        <v>0</v>
      </c>
      <c r="Y508" s="32">
        <v>0</v>
      </c>
      <c r="Z508" s="32">
        <v>111090.76</v>
      </c>
      <c r="AA508" s="32">
        <v>111090.76</v>
      </c>
      <c r="AB508" s="32">
        <v>111090.76</v>
      </c>
      <c r="AC508" s="32" t="s">
        <v>537</v>
      </c>
      <c r="AD508" s="32"/>
      <c r="AE508" s="32">
        <v>111090.76</v>
      </c>
    </row>
    <row r="509" spans="1:31" x14ac:dyDescent="0.25">
      <c r="A509">
        <v>10456</v>
      </c>
      <c r="B509" t="s">
        <v>198</v>
      </c>
      <c r="C509" t="s">
        <v>199</v>
      </c>
      <c r="D509" s="35">
        <v>110522.5</v>
      </c>
      <c r="E509">
        <v>1246106689</v>
      </c>
      <c r="F509" s="321">
        <v>45557</v>
      </c>
      <c r="G509" s="321"/>
      <c r="H509" t="s">
        <v>172</v>
      </c>
      <c r="I509" t="s">
        <v>173</v>
      </c>
      <c r="J509">
        <v>1400</v>
      </c>
      <c r="K509" s="321">
        <v>45197</v>
      </c>
      <c r="L509">
        <v>1010100</v>
      </c>
      <c r="M509" t="s">
        <v>35</v>
      </c>
      <c r="N509">
        <v>585</v>
      </c>
      <c r="O509" s="32">
        <v>0</v>
      </c>
      <c r="P509" s="32">
        <v>110522.5</v>
      </c>
      <c r="Q509" s="32">
        <v>0</v>
      </c>
      <c r="R509" s="32">
        <v>0</v>
      </c>
      <c r="S509" s="32">
        <v>0</v>
      </c>
      <c r="T509" s="32">
        <v>0</v>
      </c>
      <c r="U509" s="32">
        <v>110522.5</v>
      </c>
      <c r="V509" s="32">
        <v>0</v>
      </c>
      <c r="W509" s="32">
        <v>0</v>
      </c>
      <c r="X509" s="32">
        <v>0</v>
      </c>
      <c r="Y509" s="32">
        <v>0</v>
      </c>
      <c r="Z509" s="32">
        <v>110522.5</v>
      </c>
      <c r="AA509" s="32">
        <v>110522.5</v>
      </c>
      <c r="AB509" s="32">
        <v>110522.5</v>
      </c>
      <c r="AC509" s="32" t="s">
        <v>537</v>
      </c>
      <c r="AD509" s="32"/>
      <c r="AE509" s="32">
        <v>110522.5</v>
      </c>
    </row>
    <row r="510" spans="1:31" x14ac:dyDescent="0.25">
      <c r="A510">
        <v>10456</v>
      </c>
      <c r="B510" t="s">
        <v>198</v>
      </c>
      <c r="C510" t="s">
        <v>199</v>
      </c>
      <c r="D510" s="35">
        <v>94275.76</v>
      </c>
      <c r="E510">
        <v>1246103838</v>
      </c>
      <c r="F510" s="321">
        <v>45543</v>
      </c>
      <c r="G510" s="321"/>
      <c r="H510" t="s">
        <v>172</v>
      </c>
      <c r="I510" t="s">
        <v>173</v>
      </c>
      <c r="J510">
        <v>1159</v>
      </c>
      <c r="K510" s="321">
        <v>45183</v>
      </c>
      <c r="L510">
        <v>1010100</v>
      </c>
      <c r="M510" t="s">
        <v>35</v>
      </c>
      <c r="N510">
        <v>599</v>
      </c>
      <c r="O510" s="32">
        <v>0</v>
      </c>
      <c r="P510" s="32">
        <v>94275.76</v>
      </c>
      <c r="Q510" s="32">
        <v>0</v>
      </c>
      <c r="R510" s="32">
        <v>0</v>
      </c>
      <c r="S510" s="32">
        <v>0</v>
      </c>
      <c r="T510" s="32">
        <v>0</v>
      </c>
      <c r="U510" s="32">
        <v>94275.76</v>
      </c>
      <c r="V510" s="32">
        <v>0</v>
      </c>
      <c r="W510" s="32">
        <v>0</v>
      </c>
      <c r="X510" s="32">
        <v>0</v>
      </c>
      <c r="Y510" s="32">
        <v>0</v>
      </c>
      <c r="Z510" s="32">
        <v>94275.76</v>
      </c>
      <c r="AA510" s="32">
        <v>94275.76</v>
      </c>
      <c r="AB510" s="32">
        <v>94275.76</v>
      </c>
      <c r="AC510" s="32" t="s">
        <v>537</v>
      </c>
      <c r="AD510" s="32"/>
      <c r="AE510" s="32">
        <v>94275.76</v>
      </c>
    </row>
    <row r="511" spans="1:31" x14ac:dyDescent="0.25">
      <c r="A511">
        <v>10456</v>
      </c>
      <c r="B511" t="s">
        <v>198</v>
      </c>
      <c r="C511" t="s">
        <v>199</v>
      </c>
      <c r="D511" s="35">
        <v>74904.38</v>
      </c>
      <c r="E511">
        <v>1246269261</v>
      </c>
      <c r="F511" s="321">
        <v>45199</v>
      </c>
      <c r="G511" s="321"/>
      <c r="H511" t="s">
        <v>172</v>
      </c>
      <c r="I511" t="s">
        <v>173</v>
      </c>
      <c r="J511">
        <v>20898</v>
      </c>
      <c r="K511" s="321">
        <v>45000</v>
      </c>
      <c r="L511">
        <v>1010100</v>
      </c>
      <c r="M511" t="s">
        <v>35</v>
      </c>
      <c r="N511">
        <v>943</v>
      </c>
      <c r="O511" s="32">
        <v>0</v>
      </c>
      <c r="P511" s="32">
        <v>74904.38</v>
      </c>
      <c r="Q511" s="32">
        <v>0</v>
      </c>
      <c r="R511" s="32">
        <v>0</v>
      </c>
      <c r="S511" s="32">
        <v>0</v>
      </c>
      <c r="T511" s="32">
        <v>0</v>
      </c>
      <c r="U511" s="32">
        <v>74904.38</v>
      </c>
      <c r="V511" s="32">
        <v>0</v>
      </c>
      <c r="W511" s="32">
        <v>2247.1314000000002</v>
      </c>
      <c r="X511" s="32">
        <v>72657.248600000006</v>
      </c>
      <c r="Y511" s="32">
        <v>72657.248600000006</v>
      </c>
      <c r="Z511" s="32">
        <v>74904.38</v>
      </c>
      <c r="AA511" s="32">
        <v>0</v>
      </c>
      <c r="AB511" s="32">
        <v>74904.38</v>
      </c>
      <c r="AC511" s="32" t="s">
        <v>537</v>
      </c>
      <c r="AD511" s="32"/>
      <c r="AE511" s="32">
        <v>74904.38</v>
      </c>
    </row>
    <row r="512" spans="1:31" x14ac:dyDescent="0.25">
      <c r="A512">
        <v>11637</v>
      </c>
      <c r="B512" t="s">
        <v>721</v>
      </c>
      <c r="C512" t="s">
        <v>864</v>
      </c>
      <c r="D512" s="35">
        <v>290220</v>
      </c>
      <c r="E512">
        <v>1246272018</v>
      </c>
      <c r="F512" s="321">
        <v>46162</v>
      </c>
      <c r="G512" s="321"/>
      <c r="H512" t="s">
        <v>28</v>
      </c>
      <c r="I512" t="s">
        <v>29</v>
      </c>
      <c r="J512">
        <v>2884</v>
      </c>
      <c r="K512" s="321">
        <v>46134</v>
      </c>
      <c r="L512">
        <v>1010100</v>
      </c>
      <c r="M512" t="s">
        <v>35</v>
      </c>
      <c r="N512">
        <v>-20</v>
      </c>
      <c r="O512" s="32">
        <v>0</v>
      </c>
      <c r="P512" s="32">
        <v>0</v>
      </c>
      <c r="Q512" s="32">
        <v>290220</v>
      </c>
      <c r="R512" s="32">
        <v>0</v>
      </c>
      <c r="S512" s="32">
        <v>0</v>
      </c>
      <c r="T512" s="32">
        <v>0</v>
      </c>
      <c r="U512" s="32">
        <v>0</v>
      </c>
      <c r="V512" s="32">
        <v>0</v>
      </c>
      <c r="W512" s="32">
        <v>0</v>
      </c>
      <c r="X512" s="32">
        <v>0</v>
      </c>
      <c r="Y512" s="32">
        <v>0</v>
      </c>
      <c r="Z512" s="32">
        <v>0</v>
      </c>
      <c r="AA512" s="32">
        <v>0</v>
      </c>
      <c r="AB512" s="32">
        <v>0</v>
      </c>
      <c r="AC512" s="32" t="s">
        <v>472</v>
      </c>
      <c r="AD512" s="32"/>
      <c r="AE512" s="32">
        <v>0</v>
      </c>
    </row>
    <row r="513" spans="1:31" x14ac:dyDescent="0.25">
      <c r="A513">
        <v>12943</v>
      </c>
      <c r="B513" t="s">
        <v>293</v>
      </c>
      <c r="C513" t="s">
        <v>400</v>
      </c>
      <c r="D513" s="35">
        <v>82290</v>
      </c>
      <c r="E513">
        <v>1246187828</v>
      </c>
      <c r="F513" s="321">
        <v>45667</v>
      </c>
      <c r="G513" s="321"/>
      <c r="H513" t="s">
        <v>28</v>
      </c>
      <c r="I513" t="s">
        <v>29</v>
      </c>
      <c r="J513">
        <v>1585</v>
      </c>
      <c r="K513" s="321">
        <v>45639</v>
      </c>
      <c r="L513">
        <v>1010100</v>
      </c>
      <c r="M513" t="s">
        <v>35</v>
      </c>
      <c r="N513">
        <v>475</v>
      </c>
      <c r="O513" s="32">
        <v>0</v>
      </c>
      <c r="P513" s="32">
        <v>82290</v>
      </c>
      <c r="Q513" s="32">
        <v>0</v>
      </c>
      <c r="R513" s="32">
        <v>0</v>
      </c>
      <c r="S513" s="32">
        <v>0</v>
      </c>
      <c r="T513" s="32">
        <v>0</v>
      </c>
      <c r="U513" s="32">
        <v>82290</v>
      </c>
      <c r="V513" s="32">
        <v>0</v>
      </c>
      <c r="W513" s="32">
        <v>2468.6999999999998</v>
      </c>
      <c r="X513" s="32">
        <v>79821.3</v>
      </c>
      <c r="Y513" s="32">
        <v>79821.3</v>
      </c>
      <c r="Z513" s="32">
        <v>82290</v>
      </c>
      <c r="AA513" s="32">
        <v>0</v>
      </c>
      <c r="AB513" s="32">
        <v>82290</v>
      </c>
      <c r="AC513" s="32" t="s">
        <v>536</v>
      </c>
      <c r="AD513" s="32"/>
      <c r="AE513" s="32">
        <v>82290</v>
      </c>
    </row>
    <row r="514" spans="1:31" x14ac:dyDescent="0.25">
      <c r="A514">
        <v>12943</v>
      </c>
      <c r="B514" t="s">
        <v>293</v>
      </c>
      <c r="C514" t="s">
        <v>400</v>
      </c>
      <c r="D514" s="35">
        <v>82290</v>
      </c>
      <c r="E514">
        <v>1246187829</v>
      </c>
      <c r="F514" s="321">
        <v>45695</v>
      </c>
      <c r="G514" s="321"/>
      <c r="H514" t="s">
        <v>28</v>
      </c>
      <c r="I514" t="s">
        <v>29</v>
      </c>
      <c r="J514">
        <v>1585</v>
      </c>
      <c r="K514" s="321">
        <v>45639</v>
      </c>
      <c r="L514">
        <v>1010100</v>
      </c>
      <c r="M514" t="s">
        <v>35</v>
      </c>
      <c r="N514">
        <v>447</v>
      </c>
      <c r="O514" s="32">
        <v>0</v>
      </c>
      <c r="P514" s="32">
        <v>82290</v>
      </c>
      <c r="Q514" s="32">
        <v>0</v>
      </c>
      <c r="R514" s="32">
        <v>0</v>
      </c>
      <c r="S514" s="32">
        <v>0</v>
      </c>
      <c r="T514" s="32">
        <v>0</v>
      </c>
      <c r="U514" s="32">
        <v>82290</v>
      </c>
      <c r="V514" s="32">
        <v>0</v>
      </c>
      <c r="W514" s="32">
        <v>2468.6999999999998</v>
      </c>
      <c r="X514" s="32">
        <v>79821.3</v>
      </c>
      <c r="Y514" s="32">
        <v>79821.3</v>
      </c>
      <c r="Z514" s="32">
        <v>82290</v>
      </c>
      <c r="AA514" s="32">
        <v>0</v>
      </c>
      <c r="AB514" s="32">
        <v>82290</v>
      </c>
      <c r="AC514" s="32" t="s">
        <v>536</v>
      </c>
      <c r="AD514" s="32"/>
      <c r="AE514" s="32">
        <v>82290</v>
      </c>
    </row>
    <row r="515" spans="1:31" x14ac:dyDescent="0.25">
      <c r="A515">
        <v>12943</v>
      </c>
      <c r="B515" t="s">
        <v>293</v>
      </c>
      <c r="C515" t="s">
        <v>400</v>
      </c>
      <c r="D515" s="35">
        <v>49170</v>
      </c>
      <c r="E515">
        <v>1246183176</v>
      </c>
      <c r="F515" s="321">
        <v>45642</v>
      </c>
      <c r="G515" s="321"/>
      <c r="H515" t="s">
        <v>28</v>
      </c>
      <c r="I515" t="s">
        <v>29</v>
      </c>
      <c r="J515">
        <v>6129</v>
      </c>
      <c r="K515" s="321">
        <v>45614</v>
      </c>
      <c r="L515">
        <v>1010100</v>
      </c>
      <c r="M515" t="s">
        <v>35</v>
      </c>
      <c r="N515">
        <v>500</v>
      </c>
      <c r="O515" s="32">
        <v>0</v>
      </c>
      <c r="P515" s="32">
        <v>49170</v>
      </c>
      <c r="Q515" s="32">
        <v>0</v>
      </c>
      <c r="R515" s="32">
        <v>0</v>
      </c>
      <c r="S515" s="32">
        <v>0</v>
      </c>
      <c r="T515" s="32">
        <v>0</v>
      </c>
      <c r="U515" s="32">
        <v>49170</v>
      </c>
      <c r="V515" s="32">
        <v>0</v>
      </c>
      <c r="W515" s="32">
        <v>1475.1</v>
      </c>
      <c r="X515" s="32">
        <v>47694.9</v>
      </c>
      <c r="Y515" s="32">
        <v>47694.9</v>
      </c>
      <c r="Z515" s="32">
        <v>49170</v>
      </c>
      <c r="AA515" s="32">
        <v>0</v>
      </c>
      <c r="AB515" s="32">
        <v>49170</v>
      </c>
      <c r="AC515" s="32" t="s">
        <v>536</v>
      </c>
      <c r="AD515" s="32"/>
      <c r="AE515" s="32">
        <v>49170</v>
      </c>
    </row>
    <row r="516" spans="1:31" x14ac:dyDescent="0.25">
      <c r="A516">
        <v>12629</v>
      </c>
      <c r="B516" t="s">
        <v>119</v>
      </c>
      <c r="C516" t="s">
        <v>471</v>
      </c>
      <c r="D516" s="35">
        <v>153506.1</v>
      </c>
      <c r="E516">
        <v>1246268563</v>
      </c>
      <c r="F516" s="321">
        <v>46131</v>
      </c>
      <c r="G516" s="321">
        <v>46146</v>
      </c>
      <c r="H516" t="s">
        <v>28</v>
      </c>
      <c r="I516" t="s">
        <v>29</v>
      </c>
      <c r="J516">
        <v>10948</v>
      </c>
      <c r="K516" s="321">
        <v>46101</v>
      </c>
      <c r="L516">
        <v>1010100</v>
      </c>
      <c r="M516" t="s">
        <v>35</v>
      </c>
      <c r="N516">
        <v>11</v>
      </c>
      <c r="O516" s="32">
        <v>0</v>
      </c>
      <c r="P516" s="32">
        <v>0</v>
      </c>
      <c r="Q516" s="32">
        <v>0</v>
      </c>
      <c r="R516" s="32">
        <v>153506.1</v>
      </c>
      <c r="S516" s="32">
        <v>0</v>
      </c>
      <c r="T516" s="32">
        <v>0</v>
      </c>
      <c r="U516" s="32">
        <v>0</v>
      </c>
      <c r="V516" s="32">
        <v>0</v>
      </c>
      <c r="W516" s="32">
        <v>0</v>
      </c>
      <c r="X516" s="32">
        <v>0</v>
      </c>
      <c r="Y516" s="32">
        <v>0</v>
      </c>
      <c r="Z516" s="32">
        <v>0</v>
      </c>
      <c r="AA516" s="32">
        <v>0</v>
      </c>
      <c r="AB516" s="32">
        <v>0</v>
      </c>
      <c r="AC516" s="32" t="s">
        <v>472</v>
      </c>
      <c r="AD516" s="32"/>
      <c r="AE516" s="32">
        <v>0</v>
      </c>
    </row>
    <row r="517" spans="1:31" x14ac:dyDescent="0.25">
      <c r="A517">
        <v>12629</v>
      </c>
      <c r="B517" t="s">
        <v>119</v>
      </c>
      <c r="C517" t="s">
        <v>471</v>
      </c>
      <c r="D517" s="35">
        <v>162357</v>
      </c>
      <c r="E517">
        <v>1246269970</v>
      </c>
      <c r="F517" s="321">
        <v>46143</v>
      </c>
      <c r="G517" s="321"/>
      <c r="H517" t="s">
        <v>28</v>
      </c>
      <c r="I517" t="s">
        <v>29</v>
      </c>
      <c r="J517">
        <v>11028</v>
      </c>
      <c r="K517" s="321">
        <v>46113</v>
      </c>
      <c r="L517">
        <v>1010100</v>
      </c>
      <c r="M517" t="s">
        <v>35</v>
      </c>
      <c r="N517">
        <v>-1</v>
      </c>
      <c r="O517" s="32">
        <v>0</v>
      </c>
      <c r="P517" s="32">
        <v>0</v>
      </c>
      <c r="Q517" s="32">
        <v>162357</v>
      </c>
      <c r="R517" s="32">
        <v>0</v>
      </c>
      <c r="S517" s="32">
        <v>0</v>
      </c>
      <c r="T517" s="32">
        <v>0</v>
      </c>
      <c r="U517" s="32">
        <v>0</v>
      </c>
      <c r="V517" s="32">
        <v>0</v>
      </c>
      <c r="W517" s="32">
        <v>0</v>
      </c>
      <c r="X517" s="32">
        <v>0</v>
      </c>
      <c r="Y517" s="32">
        <v>0</v>
      </c>
      <c r="Z517" s="32">
        <v>0</v>
      </c>
      <c r="AA517" s="32">
        <v>0</v>
      </c>
      <c r="AB517" s="32">
        <v>0</v>
      </c>
      <c r="AC517" s="32" t="s">
        <v>472</v>
      </c>
      <c r="AD517" s="32"/>
      <c r="AE517" s="32">
        <v>0</v>
      </c>
    </row>
    <row r="518" spans="1:31" x14ac:dyDescent="0.25">
      <c r="A518">
        <v>12629</v>
      </c>
      <c r="B518" t="s">
        <v>119</v>
      </c>
      <c r="C518" t="s">
        <v>471</v>
      </c>
      <c r="D518" s="35">
        <v>162465.60000000001</v>
      </c>
      <c r="E518">
        <v>1246269412</v>
      </c>
      <c r="F518" s="321">
        <v>46138</v>
      </c>
      <c r="G518" s="321"/>
      <c r="H518" t="s">
        <v>28</v>
      </c>
      <c r="I518" t="s">
        <v>29</v>
      </c>
      <c r="J518">
        <v>10987</v>
      </c>
      <c r="K518" s="321">
        <v>46108</v>
      </c>
      <c r="L518">
        <v>1010100</v>
      </c>
      <c r="M518" t="s">
        <v>35</v>
      </c>
      <c r="N518">
        <v>4</v>
      </c>
      <c r="O518" s="32">
        <v>0</v>
      </c>
      <c r="P518" s="32">
        <v>0</v>
      </c>
      <c r="Q518" s="32">
        <v>0</v>
      </c>
      <c r="R518" s="32">
        <v>162465.60000000001</v>
      </c>
      <c r="S518" s="32">
        <v>0</v>
      </c>
      <c r="T518" s="32">
        <v>0</v>
      </c>
      <c r="U518" s="32">
        <v>0</v>
      </c>
      <c r="V518" s="32">
        <v>0</v>
      </c>
      <c r="W518" s="32">
        <v>0</v>
      </c>
      <c r="X518" s="32">
        <v>0</v>
      </c>
      <c r="Y518" s="32">
        <v>0</v>
      </c>
      <c r="Z518" s="32">
        <v>0</v>
      </c>
      <c r="AA518" s="32">
        <v>0</v>
      </c>
      <c r="AB518" s="32">
        <v>0</v>
      </c>
      <c r="AC518" s="32" t="s">
        <v>472</v>
      </c>
      <c r="AD518" s="32"/>
      <c r="AE518" s="32">
        <v>0</v>
      </c>
    </row>
    <row r="519" spans="1:31" x14ac:dyDescent="0.25">
      <c r="A519">
        <v>12629</v>
      </c>
      <c r="B519" t="s">
        <v>119</v>
      </c>
      <c r="C519" t="s">
        <v>471</v>
      </c>
      <c r="D519" s="35">
        <v>153451.79999999999</v>
      </c>
      <c r="E519">
        <v>1246270416</v>
      </c>
      <c r="F519" s="321">
        <v>46148</v>
      </c>
      <c r="G519" s="321"/>
      <c r="H519" t="s">
        <v>28</v>
      </c>
      <c r="I519" t="s">
        <v>29</v>
      </c>
      <c r="J519">
        <v>11059</v>
      </c>
      <c r="K519" s="321">
        <v>46118</v>
      </c>
      <c r="L519">
        <v>1010100</v>
      </c>
      <c r="M519" t="s">
        <v>35</v>
      </c>
      <c r="N519">
        <v>-6</v>
      </c>
      <c r="O519" s="32">
        <v>0</v>
      </c>
      <c r="P519" s="32">
        <v>0</v>
      </c>
      <c r="Q519" s="32">
        <v>153451.79999999999</v>
      </c>
      <c r="R519" s="32">
        <v>0</v>
      </c>
      <c r="S519" s="32">
        <v>0</v>
      </c>
      <c r="T519" s="32">
        <v>0</v>
      </c>
      <c r="U519" s="32">
        <v>0</v>
      </c>
      <c r="V519" s="32">
        <v>0</v>
      </c>
      <c r="W519" s="32">
        <v>0</v>
      </c>
      <c r="X519" s="32">
        <v>0</v>
      </c>
      <c r="Y519" s="32">
        <v>0</v>
      </c>
      <c r="Z519" s="32">
        <v>0</v>
      </c>
      <c r="AA519" s="32">
        <v>0</v>
      </c>
      <c r="AB519" s="32">
        <v>0</v>
      </c>
      <c r="AC519" s="32" t="s">
        <v>472</v>
      </c>
      <c r="AD519" s="32"/>
      <c r="AE519" s="32">
        <v>0</v>
      </c>
    </row>
    <row r="520" spans="1:31" x14ac:dyDescent="0.25">
      <c r="A520">
        <v>12629</v>
      </c>
      <c r="B520" t="s">
        <v>119</v>
      </c>
      <c r="C520" t="s">
        <v>471</v>
      </c>
      <c r="D520" s="35">
        <v>162031.20000000001</v>
      </c>
      <c r="E520">
        <v>1246271940</v>
      </c>
      <c r="F520" s="321">
        <v>46162</v>
      </c>
      <c r="G520" s="321"/>
      <c r="H520" t="s">
        <v>28</v>
      </c>
      <c r="I520" t="s">
        <v>29</v>
      </c>
      <c r="J520">
        <v>11184</v>
      </c>
      <c r="K520" s="321">
        <v>46132</v>
      </c>
      <c r="L520">
        <v>1010100</v>
      </c>
      <c r="M520" t="s">
        <v>35</v>
      </c>
      <c r="N520">
        <v>-20</v>
      </c>
      <c r="O520" s="32">
        <v>0</v>
      </c>
      <c r="P520" s="32">
        <v>0</v>
      </c>
      <c r="Q520" s="32">
        <v>162031.20000000001</v>
      </c>
      <c r="R520" s="32">
        <v>0</v>
      </c>
      <c r="S520" s="32">
        <v>0</v>
      </c>
      <c r="T520" s="32">
        <v>0</v>
      </c>
      <c r="U520" s="32">
        <v>0</v>
      </c>
      <c r="V520" s="32">
        <v>0</v>
      </c>
      <c r="W520" s="32">
        <v>0</v>
      </c>
      <c r="X520" s="32">
        <v>0</v>
      </c>
      <c r="Y520" s="32">
        <v>0</v>
      </c>
      <c r="Z520" s="32">
        <v>0</v>
      </c>
      <c r="AA520" s="32">
        <v>0</v>
      </c>
      <c r="AB520" s="32">
        <v>0</v>
      </c>
      <c r="AC520" s="32" t="s">
        <v>472</v>
      </c>
      <c r="AD520" s="32"/>
      <c r="AE520" s="32">
        <v>0</v>
      </c>
    </row>
    <row r="521" spans="1:31" x14ac:dyDescent="0.25">
      <c r="A521">
        <v>13330</v>
      </c>
      <c r="B521" t="s">
        <v>670</v>
      </c>
      <c r="C521" t="s">
        <v>671</v>
      </c>
      <c r="D521" s="35">
        <v>853.24</v>
      </c>
      <c r="E521">
        <v>1246272264</v>
      </c>
      <c r="F521" s="321">
        <v>46148</v>
      </c>
      <c r="G521" s="321"/>
      <c r="I521" t="s">
        <v>372</v>
      </c>
      <c r="J521">
        <v>11057</v>
      </c>
      <c r="K521" s="321">
        <v>46118</v>
      </c>
      <c r="L521">
        <v>1010200</v>
      </c>
      <c r="M521" t="s">
        <v>124</v>
      </c>
      <c r="N521">
        <v>-6</v>
      </c>
      <c r="O521" s="32">
        <v>0</v>
      </c>
      <c r="P521" s="32">
        <v>0</v>
      </c>
      <c r="Q521" s="32">
        <v>853.24</v>
      </c>
      <c r="R521" s="32">
        <v>0</v>
      </c>
      <c r="S521" s="32">
        <v>0</v>
      </c>
      <c r="T521" s="32">
        <v>0</v>
      </c>
      <c r="U521" s="32">
        <v>0</v>
      </c>
      <c r="V521" s="32">
        <v>0</v>
      </c>
      <c r="W521" s="32">
        <v>0</v>
      </c>
      <c r="X521" s="32">
        <v>0</v>
      </c>
      <c r="Y521" s="32">
        <v>0</v>
      </c>
      <c r="Z521" s="32">
        <v>0</v>
      </c>
      <c r="AA521" s="32">
        <v>0</v>
      </c>
      <c r="AB521" s="32">
        <v>0</v>
      </c>
      <c r="AC521" s="32" t="s">
        <v>472</v>
      </c>
      <c r="AD521" s="32"/>
      <c r="AE521" s="32">
        <v>0</v>
      </c>
    </row>
    <row r="522" spans="1:31" x14ac:dyDescent="0.25">
      <c r="A522">
        <v>13330</v>
      </c>
      <c r="B522" t="s">
        <v>670</v>
      </c>
      <c r="C522" t="s">
        <v>671</v>
      </c>
      <c r="D522" s="35">
        <v>527.28</v>
      </c>
      <c r="E522">
        <v>1246238356</v>
      </c>
      <c r="F522" s="321">
        <v>45927</v>
      </c>
      <c r="G522" s="321"/>
      <c r="I522" t="s">
        <v>372</v>
      </c>
      <c r="J522">
        <v>9092</v>
      </c>
      <c r="K522" s="321">
        <v>45897</v>
      </c>
      <c r="L522">
        <v>1010200</v>
      </c>
      <c r="M522" t="s">
        <v>124</v>
      </c>
      <c r="N522">
        <v>215</v>
      </c>
      <c r="O522" s="32">
        <v>0</v>
      </c>
      <c r="P522" s="32">
        <v>15.818399999999999</v>
      </c>
      <c r="Q522" s="32">
        <v>0</v>
      </c>
      <c r="R522" s="32">
        <v>0</v>
      </c>
      <c r="S522" s="32">
        <v>0</v>
      </c>
      <c r="T522" s="32">
        <v>527.28</v>
      </c>
      <c r="U522" s="32">
        <v>0</v>
      </c>
      <c r="V522" s="32">
        <v>0</v>
      </c>
      <c r="W522" s="32">
        <v>15.818399999999999</v>
      </c>
      <c r="X522" s="32">
        <v>0</v>
      </c>
      <c r="Y522" s="32">
        <v>0</v>
      </c>
      <c r="Z522" s="32">
        <v>527.28</v>
      </c>
      <c r="AA522" s="32">
        <v>0</v>
      </c>
      <c r="AB522" s="32">
        <v>15.818399999999999</v>
      </c>
      <c r="AC522" s="32" t="s">
        <v>472</v>
      </c>
      <c r="AD522" s="32"/>
      <c r="AE522" s="32">
        <v>15.818399999999999</v>
      </c>
    </row>
    <row r="523" spans="1:31" x14ac:dyDescent="0.25">
      <c r="A523">
        <v>12295</v>
      </c>
      <c r="B523" t="s">
        <v>206</v>
      </c>
      <c r="C523" t="s">
        <v>207</v>
      </c>
      <c r="D523" s="35">
        <v>129728</v>
      </c>
      <c r="E523">
        <v>1246100036</v>
      </c>
      <c r="F523" s="321">
        <v>45547</v>
      </c>
      <c r="G523" s="321"/>
      <c r="H523" t="s">
        <v>172</v>
      </c>
      <c r="I523" t="s">
        <v>173</v>
      </c>
      <c r="J523">
        <v>843</v>
      </c>
      <c r="K523" s="321">
        <v>45162</v>
      </c>
      <c r="L523">
        <v>1010100</v>
      </c>
      <c r="M523" t="s">
        <v>35</v>
      </c>
      <c r="N523">
        <v>595</v>
      </c>
      <c r="O523" s="32">
        <v>0</v>
      </c>
      <c r="P523" s="32">
        <v>0</v>
      </c>
      <c r="Q523" s="32">
        <v>0</v>
      </c>
      <c r="R523" s="32">
        <v>0</v>
      </c>
      <c r="S523" s="32">
        <v>0</v>
      </c>
      <c r="T523" s="32">
        <v>0</v>
      </c>
      <c r="U523" s="32">
        <v>129728</v>
      </c>
      <c r="V523" s="32">
        <v>0</v>
      </c>
      <c r="W523" s="32">
        <v>3891.8399999999997</v>
      </c>
      <c r="X523" s="32">
        <v>125836.16</v>
      </c>
      <c r="Y523" s="32">
        <v>125836.16</v>
      </c>
      <c r="Z523" s="32">
        <v>129728</v>
      </c>
      <c r="AA523" s="32">
        <v>-129728</v>
      </c>
      <c r="AB523" s="32">
        <v>0</v>
      </c>
      <c r="AC523" s="32" t="s">
        <v>537</v>
      </c>
      <c r="AD523" s="32"/>
      <c r="AE523" s="32">
        <v>0</v>
      </c>
    </row>
    <row r="524" spans="1:31" x14ac:dyDescent="0.25">
      <c r="A524">
        <v>12295</v>
      </c>
      <c r="B524" t="s">
        <v>206</v>
      </c>
      <c r="C524" t="s">
        <v>207</v>
      </c>
      <c r="D524" s="35">
        <v>126208</v>
      </c>
      <c r="E524">
        <v>1246106003</v>
      </c>
      <c r="F524" s="321">
        <v>45559</v>
      </c>
      <c r="G524" s="321"/>
      <c r="H524" t="s">
        <v>172</v>
      </c>
      <c r="I524" t="s">
        <v>173</v>
      </c>
      <c r="J524">
        <v>1328</v>
      </c>
      <c r="K524" s="321">
        <v>45194</v>
      </c>
      <c r="L524">
        <v>1010100</v>
      </c>
      <c r="M524" t="s">
        <v>35</v>
      </c>
      <c r="N524">
        <v>583</v>
      </c>
      <c r="O524" s="32">
        <v>0</v>
      </c>
      <c r="P524" s="32">
        <v>0</v>
      </c>
      <c r="Q524" s="32">
        <v>0</v>
      </c>
      <c r="R524" s="32">
        <v>0</v>
      </c>
      <c r="S524" s="32">
        <v>0</v>
      </c>
      <c r="T524" s="32">
        <v>0</v>
      </c>
      <c r="U524" s="32">
        <v>126208</v>
      </c>
      <c r="V524" s="32">
        <v>0</v>
      </c>
      <c r="W524" s="32">
        <v>3786.24</v>
      </c>
      <c r="X524" s="32">
        <v>122421.75999999999</v>
      </c>
      <c r="Y524" s="32">
        <v>122421.75999999999</v>
      </c>
      <c r="Z524" s="32">
        <v>126208</v>
      </c>
      <c r="AA524" s="32">
        <v>-126208</v>
      </c>
      <c r="AB524" s="32">
        <v>0</v>
      </c>
      <c r="AC524" s="32" t="s">
        <v>537</v>
      </c>
      <c r="AD524" s="32"/>
      <c r="AE524" s="32">
        <v>0</v>
      </c>
    </row>
    <row r="525" spans="1:31" x14ac:dyDescent="0.25">
      <c r="A525">
        <v>12295</v>
      </c>
      <c r="B525" t="s">
        <v>206</v>
      </c>
      <c r="C525" t="s">
        <v>207</v>
      </c>
      <c r="D525" s="35">
        <v>19965</v>
      </c>
      <c r="E525">
        <v>1246100409</v>
      </c>
      <c r="F525" s="321">
        <v>45548</v>
      </c>
      <c r="G525" s="321"/>
      <c r="H525" t="s">
        <v>172</v>
      </c>
      <c r="I525" t="s">
        <v>173</v>
      </c>
      <c r="J525">
        <v>864</v>
      </c>
      <c r="K525" s="321">
        <v>45163</v>
      </c>
      <c r="L525">
        <v>1010100</v>
      </c>
      <c r="M525" t="s">
        <v>35</v>
      </c>
      <c r="N525">
        <v>594</v>
      </c>
      <c r="O525" s="32">
        <v>0</v>
      </c>
      <c r="P525" s="32">
        <v>0</v>
      </c>
      <c r="Q525" s="32">
        <v>0</v>
      </c>
      <c r="R525" s="32">
        <v>0</v>
      </c>
      <c r="S525" s="32">
        <v>0</v>
      </c>
      <c r="T525" s="32">
        <v>0</v>
      </c>
      <c r="U525" s="32">
        <v>19965</v>
      </c>
      <c r="V525" s="32">
        <v>0</v>
      </c>
      <c r="W525" s="32">
        <v>598.94999999999993</v>
      </c>
      <c r="X525" s="32">
        <v>19366.05</v>
      </c>
      <c r="Y525" s="32">
        <v>19366.05</v>
      </c>
      <c r="Z525" s="32">
        <v>19965</v>
      </c>
      <c r="AA525" s="32">
        <v>-19965</v>
      </c>
      <c r="AB525" s="32">
        <v>0</v>
      </c>
      <c r="AC525" s="32" t="s">
        <v>537</v>
      </c>
      <c r="AD525" s="32"/>
      <c r="AE525" s="32">
        <v>0</v>
      </c>
    </row>
    <row r="526" spans="1:31" x14ac:dyDescent="0.25">
      <c r="A526">
        <v>12295</v>
      </c>
      <c r="B526" t="s">
        <v>206</v>
      </c>
      <c r="C526" t="s">
        <v>207</v>
      </c>
      <c r="D526" s="35">
        <v>102625</v>
      </c>
      <c r="E526">
        <v>1246100411</v>
      </c>
      <c r="F526" s="321">
        <v>45548</v>
      </c>
      <c r="G526" s="321"/>
      <c r="H526" t="s">
        <v>172</v>
      </c>
      <c r="I526" t="s">
        <v>173</v>
      </c>
      <c r="J526">
        <v>865</v>
      </c>
      <c r="K526" s="321">
        <v>45163</v>
      </c>
      <c r="L526">
        <v>1010100</v>
      </c>
      <c r="M526" t="s">
        <v>35</v>
      </c>
      <c r="N526">
        <v>594</v>
      </c>
      <c r="O526" s="32">
        <v>0</v>
      </c>
      <c r="P526" s="32">
        <v>0</v>
      </c>
      <c r="Q526" s="32">
        <v>0</v>
      </c>
      <c r="R526" s="32">
        <v>0</v>
      </c>
      <c r="S526" s="32">
        <v>0</v>
      </c>
      <c r="T526" s="32">
        <v>0</v>
      </c>
      <c r="U526" s="32">
        <v>102625</v>
      </c>
      <c r="V526" s="32">
        <v>0</v>
      </c>
      <c r="W526" s="32">
        <v>3078.75</v>
      </c>
      <c r="X526" s="32">
        <v>99546.25</v>
      </c>
      <c r="Y526" s="32">
        <v>99546.25</v>
      </c>
      <c r="Z526" s="32">
        <v>102625</v>
      </c>
      <c r="AA526" s="32">
        <v>-102625</v>
      </c>
      <c r="AB526" s="32">
        <v>0</v>
      </c>
      <c r="AC526" s="32" t="s">
        <v>537</v>
      </c>
      <c r="AD526" s="32"/>
      <c r="AE526" s="32">
        <v>0</v>
      </c>
    </row>
    <row r="527" spans="1:31" x14ac:dyDescent="0.25">
      <c r="A527">
        <v>12295</v>
      </c>
      <c r="B527" t="s">
        <v>206</v>
      </c>
      <c r="C527" t="s">
        <v>207</v>
      </c>
      <c r="D527" s="35">
        <v>23664</v>
      </c>
      <c r="E527">
        <v>1246100034</v>
      </c>
      <c r="F527" s="321">
        <v>45547</v>
      </c>
      <c r="G527" s="321"/>
      <c r="H527" t="s">
        <v>172</v>
      </c>
      <c r="I527" t="s">
        <v>173</v>
      </c>
      <c r="J527">
        <v>842</v>
      </c>
      <c r="K527" s="321">
        <v>45162</v>
      </c>
      <c r="L527">
        <v>1010100</v>
      </c>
      <c r="M527" t="s">
        <v>35</v>
      </c>
      <c r="N527">
        <v>595</v>
      </c>
      <c r="O527" s="32">
        <v>0</v>
      </c>
      <c r="P527" s="32">
        <v>0</v>
      </c>
      <c r="Q527" s="32">
        <v>0</v>
      </c>
      <c r="R527" s="32">
        <v>0</v>
      </c>
      <c r="S527" s="32">
        <v>0</v>
      </c>
      <c r="T527" s="32">
        <v>0</v>
      </c>
      <c r="U527" s="32">
        <v>23664</v>
      </c>
      <c r="V527" s="32">
        <v>0</v>
      </c>
      <c r="W527" s="32">
        <v>709.92</v>
      </c>
      <c r="X527" s="32">
        <v>22954.079999999998</v>
      </c>
      <c r="Y527" s="32">
        <v>22954.079999999998</v>
      </c>
      <c r="Z527" s="32">
        <v>23664</v>
      </c>
      <c r="AA527" s="32">
        <v>-23664</v>
      </c>
      <c r="AB527" s="32">
        <v>0</v>
      </c>
      <c r="AC527" s="32" t="s">
        <v>537</v>
      </c>
      <c r="AD527" s="32"/>
      <c r="AE527" s="32">
        <v>0</v>
      </c>
    </row>
    <row r="528" spans="1:31" x14ac:dyDescent="0.25">
      <c r="A528">
        <v>12295</v>
      </c>
      <c r="B528" t="s">
        <v>206</v>
      </c>
      <c r="C528" t="s">
        <v>207</v>
      </c>
      <c r="D528" s="35">
        <v>126845</v>
      </c>
      <c r="E528">
        <v>1246102685</v>
      </c>
      <c r="F528" s="321">
        <v>45560</v>
      </c>
      <c r="G528" s="321"/>
      <c r="H528" t="s">
        <v>172</v>
      </c>
      <c r="I528" t="s">
        <v>173</v>
      </c>
      <c r="J528">
        <v>1060</v>
      </c>
      <c r="K528" s="321">
        <v>45175</v>
      </c>
      <c r="L528">
        <v>1010100</v>
      </c>
      <c r="M528" t="s">
        <v>35</v>
      </c>
      <c r="N528">
        <v>582</v>
      </c>
      <c r="O528" s="32">
        <v>0</v>
      </c>
      <c r="P528" s="32">
        <v>0</v>
      </c>
      <c r="Q528" s="32">
        <v>0</v>
      </c>
      <c r="R528" s="32">
        <v>0</v>
      </c>
      <c r="S528" s="32">
        <v>0</v>
      </c>
      <c r="T528" s="32">
        <v>0</v>
      </c>
      <c r="U528" s="32">
        <v>126845</v>
      </c>
      <c r="V528" s="32">
        <v>0</v>
      </c>
      <c r="W528" s="32">
        <v>3805.35</v>
      </c>
      <c r="X528" s="32">
        <v>123039.65</v>
      </c>
      <c r="Y528" s="32">
        <v>123039.65</v>
      </c>
      <c r="Z528" s="32">
        <v>126845</v>
      </c>
      <c r="AA528" s="32">
        <v>-126845</v>
      </c>
      <c r="AB528" s="32">
        <v>0</v>
      </c>
      <c r="AC528" s="32" t="s">
        <v>537</v>
      </c>
      <c r="AD528" s="32"/>
      <c r="AE528" s="32">
        <v>0</v>
      </c>
    </row>
    <row r="529" spans="1:31" x14ac:dyDescent="0.25">
      <c r="A529">
        <v>12295</v>
      </c>
      <c r="B529" t="s">
        <v>206</v>
      </c>
      <c r="C529" t="s">
        <v>207</v>
      </c>
      <c r="D529" s="35">
        <v>119790</v>
      </c>
      <c r="E529">
        <v>1246100311</v>
      </c>
      <c r="F529" s="321">
        <v>45548</v>
      </c>
      <c r="G529" s="321"/>
      <c r="H529" t="s">
        <v>172</v>
      </c>
      <c r="I529" t="s">
        <v>173</v>
      </c>
      <c r="J529">
        <v>851</v>
      </c>
      <c r="K529" s="321">
        <v>45163</v>
      </c>
      <c r="L529">
        <v>1010100</v>
      </c>
      <c r="M529" t="s">
        <v>35</v>
      </c>
      <c r="N529">
        <v>594</v>
      </c>
      <c r="O529" s="32">
        <v>0</v>
      </c>
      <c r="P529" s="32">
        <v>0</v>
      </c>
      <c r="Q529" s="32">
        <v>0</v>
      </c>
      <c r="R529" s="32">
        <v>0</v>
      </c>
      <c r="S529" s="32">
        <v>0</v>
      </c>
      <c r="T529" s="32">
        <v>0</v>
      </c>
      <c r="U529" s="32">
        <v>119790</v>
      </c>
      <c r="V529" s="32">
        <v>0</v>
      </c>
      <c r="W529" s="32">
        <v>3593.7</v>
      </c>
      <c r="X529" s="32">
        <v>116196.3</v>
      </c>
      <c r="Y529" s="32">
        <v>116196.3</v>
      </c>
      <c r="Z529" s="32">
        <v>119790</v>
      </c>
      <c r="AA529" s="32">
        <v>-119790</v>
      </c>
      <c r="AB529" s="32">
        <v>0</v>
      </c>
      <c r="AC529" s="32" t="s">
        <v>537</v>
      </c>
      <c r="AD529" s="32"/>
      <c r="AE529" s="32">
        <v>0</v>
      </c>
    </row>
    <row r="530" spans="1:31" x14ac:dyDescent="0.25">
      <c r="A530">
        <v>12295</v>
      </c>
      <c r="B530" t="s">
        <v>206</v>
      </c>
      <c r="C530" t="s">
        <v>207</v>
      </c>
      <c r="D530" s="35">
        <v>127776</v>
      </c>
      <c r="E530">
        <v>1246102654</v>
      </c>
      <c r="F530" s="321">
        <v>45560</v>
      </c>
      <c r="G530" s="321"/>
      <c r="H530" t="s">
        <v>172</v>
      </c>
      <c r="I530" t="s">
        <v>173</v>
      </c>
      <c r="J530">
        <v>1053</v>
      </c>
      <c r="K530" s="321">
        <v>45175</v>
      </c>
      <c r="L530">
        <v>1010100</v>
      </c>
      <c r="M530" t="s">
        <v>35</v>
      </c>
      <c r="N530">
        <v>582</v>
      </c>
      <c r="O530" s="32">
        <v>0</v>
      </c>
      <c r="P530" s="32">
        <v>0</v>
      </c>
      <c r="Q530" s="32">
        <v>0</v>
      </c>
      <c r="R530" s="32">
        <v>0</v>
      </c>
      <c r="S530" s="32">
        <v>0</v>
      </c>
      <c r="T530" s="32">
        <v>0</v>
      </c>
      <c r="U530" s="32">
        <v>127776</v>
      </c>
      <c r="V530" s="32">
        <v>0</v>
      </c>
      <c r="W530" s="32">
        <v>3833.2799999999997</v>
      </c>
      <c r="X530" s="32">
        <v>123942.72</v>
      </c>
      <c r="Y530" s="32">
        <v>123942.72</v>
      </c>
      <c r="Z530" s="32">
        <v>127776</v>
      </c>
      <c r="AA530" s="32">
        <v>-127776</v>
      </c>
      <c r="AB530" s="32">
        <v>0</v>
      </c>
      <c r="AC530" s="32" t="s">
        <v>537</v>
      </c>
      <c r="AD530" s="32"/>
      <c r="AE530" s="32">
        <v>0</v>
      </c>
    </row>
    <row r="531" spans="1:31" x14ac:dyDescent="0.25">
      <c r="A531">
        <v>12295</v>
      </c>
      <c r="B531" t="s">
        <v>206</v>
      </c>
      <c r="C531" t="s">
        <v>207</v>
      </c>
      <c r="D531" s="35">
        <v>99410.750000000015</v>
      </c>
      <c r="E531">
        <v>1246240412</v>
      </c>
      <c r="F531" s="321">
        <v>45546</v>
      </c>
      <c r="G531" s="321"/>
      <c r="H531" t="s">
        <v>172</v>
      </c>
      <c r="I531" t="s">
        <v>173</v>
      </c>
      <c r="J531">
        <v>176</v>
      </c>
      <c r="K531" s="321">
        <v>45161</v>
      </c>
      <c r="L531">
        <v>1010100</v>
      </c>
      <c r="M531" t="s">
        <v>35</v>
      </c>
      <c r="N531">
        <v>596</v>
      </c>
      <c r="O531" s="32">
        <v>0</v>
      </c>
      <c r="P531" s="32">
        <v>0</v>
      </c>
      <c r="Q531" s="32">
        <v>0</v>
      </c>
      <c r="R531" s="32">
        <v>0</v>
      </c>
      <c r="S531" s="32">
        <v>0</v>
      </c>
      <c r="T531" s="32">
        <v>0</v>
      </c>
      <c r="U531" s="32">
        <v>99410.750000000015</v>
      </c>
      <c r="V531" s="32">
        <v>0</v>
      </c>
      <c r="W531" s="32">
        <v>2982.3225000000002</v>
      </c>
      <c r="X531" s="32">
        <v>96428.427500000005</v>
      </c>
      <c r="Y531" s="32">
        <v>96428.427500000005</v>
      </c>
      <c r="Z531" s="32">
        <v>99410.750000000015</v>
      </c>
      <c r="AA531" s="32">
        <v>-99410.750000000015</v>
      </c>
      <c r="AB531" s="32">
        <v>0</v>
      </c>
      <c r="AC531" s="32" t="s">
        <v>537</v>
      </c>
      <c r="AD531" s="32"/>
      <c r="AE531" s="32">
        <v>0</v>
      </c>
    </row>
    <row r="532" spans="1:31" x14ac:dyDescent="0.25">
      <c r="A532">
        <v>13069</v>
      </c>
      <c r="B532" t="s">
        <v>533</v>
      </c>
      <c r="C532" t="s">
        <v>793</v>
      </c>
      <c r="D532" s="35">
        <v>100</v>
      </c>
      <c r="E532">
        <v>1246258365</v>
      </c>
      <c r="F532" s="321">
        <v>46118</v>
      </c>
      <c r="G532" s="321"/>
      <c r="I532" t="s">
        <v>372</v>
      </c>
      <c r="J532">
        <v>10425</v>
      </c>
      <c r="K532" s="321">
        <v>46028</v>
      </c>
      <c r="L532">
        <v>4010300</v>
      </c>
      <c r="M532" t="s">
        <v>141</v>
      </c>
      <c r="N532">
        <v>24</v>
      </c>
      <c r="O532" s="32">
        <v>0</v>
      </c>
      <c r="P532" s="32">
        <v>0</v>
      </c>
      <c r="Q532" s="32">
        <v>0</v>
      </c>
      <c r="R532" s="32">
        <v>100</v>
      </c>
      <c r="S532" s="32">
        <v>0</v>
      </c>
      <c r="T532" s="32">
        <v>0</v>
      </c>
      <c r="U532" s="32">
        <v>0</v>
      </c>
      <c r="V532" s="32">
        <v>0</v>
      </c>
      <c r="W532" s="32">
        <v>0</v>
      </c>
      <c r="X532" s="32">
        <v>0</v>
      </c>
      <c r="Y532" s="32">
        <v>0</v>
      </c>
      <c r="Z532" s="32">
        <v>0</v>
      </c>
      <c r="AA532" s="32">
        <v>0</v>
      </c>
      <c r="AB532" s="32">
        <v>0</v>
      </c>
      <c r="AC532" s="32" t="s">
        <v>472</v>
      </c>
      <c r="AD532" s="32"/>
      <c r="AE532" s="32">
        <v>0</v>
      </c>
    </row>
    <row r="533" spans="1:31" x14ac:dyDescent="0.25">
      <c r="A533">
        <v>13193</v>
      </c>
      <c r="B533" t="s">
        <v>209</v>
      </c>
      <c r="C533" t="s">
        <v>210</v>
      </c>
      <c r="D533" s="35">
        <v>39218.19</v>
      </c>
      <c r="E533">
        <v>1246129675</v>
      </c>
      <c r="F533" s="321">
        <v>45598</v>
      </c>
      <c r="G533" s="321"/>
      <c r="H533" t="s">
        <v>172</v>
      </c>
      <c r="I533" t="s">
        <v>173</v>
      </c>
      <c r="J533">
        <v>2817</v>
      </c>
      <c r="K533" s="321">
        <v>45338</v>
      </c>
      <c r="L533">
        <v>1010100</v>
      </c>
      <c r="M533" t="s">
        <v>35</v>
      </c>
      <c r="N533">
        <v>544</v>
      </c>
      <c r="O533" s="32">
        <v>0</v>
      </c>
      <c r="P533" s="32">
        <v>39218.19</v>
      </c>
      <c r="Q533" s="32">
        <v>0</v>
      </c>
      <c r="R533" s="32">
        <v>0</v>
      </c>
      <c r="S533" s="32">
        <v>0</v>
      </c>
      <c r="T533" s="32">
        <v>0</v>
      </c>
      <c r="U533" s="32">
        <v>39218.19</v>
      </c>
      <c r="V533" s="32">
        <v>0</v>
      </c>
      <c r="W533" s="32">
        <v>1176.5457000000001</v>
      </c>
      <c r="X533" s="32">
        <v>38041.6443</v>
      </c>
      <c r="Y533" s="32">
        <v>38041.6443</v>
      </c>
      <c r="Z533" s="32">
        <v>39218.19</v>
      </c>
      <c r="AA533" s="32">
        <v>0</v>
      </c>
      <c r="AB533" s="32">
        <v>39218.19</v>
      </c>
      <c r="AC533" s="32" t="s">
        <v>537</v>
      </c>
      <c r="AD533" s="32"/>
      <c r="AE533" s="32">
        <v>39218.19</v>
      </c>
    </row>
    <row r="534" spans="1:31" x14ac:dyDescent="0.25">
      <c r="A534">
        <v>13193</v>
      </c>
      <c r="B534" t="s">
        <v>209</v>
      </c>
      <c r="C534" t="s">
        <v>210</v>
      </c>
      <c r="D534" s="35">
        <v>96537.1</v>
      </c>
      <c r="E534">
        <v>1246128994</v>
      </c>
      <c r="F534" s="321">
        <v>45599</v>
      </c>
      <c r="G534" s="321"/>
      <c r="H534" t="s">
        <v>172</v>
      </c>
      <c r="I534" t="s">
        <v>173</v>
      </c>
      <c r="J534">
        <v>2765</v>
      </c>
      <c r="K534" s="321">
        <v>45331</v>
      </c>
      <c r="L534">
        <v>1010100</v>
      </c>
      <c r="M534" t="s">
        <v>35</v>
      </c>
      <c r="N534">
        <v>543</v>
      </c>
      <c r="O534" s="32">
        <v>0</v>
      </c>
      <c r="P534" s="32">
        <v>96537.1</v>
      </c>
      <c r="Q534" s="32">
        <v>0</v>
      </c>
      <c r="R534" s="32">
        <v>0</v>
      </c>
      <c r="S534" s="32">
        <v>0</v>
      </c>
      <c r="T534" s="32">
        <v>0</v>
      </c>
      <c r="U534" s="32">
        <v>96537.1</v>
      </c>
      <c r="V534" s="32">
        <v>0</v>
      </c>
      <c r="W534" s="32">
        <v>2896.1130000000003</v>
      </c>
      <c r="X534" s="32">
        <v>93640.987000000008</v>
      </c>
      <c r="Y534" s="32">
        <v>93640.987000000008</v>
      </c>
      <c r="Z534" s="32">
        <v>96537.1</v>
      </c>
      <c r="AA534" s="32">
        <v>0</v>
      </c>
      <c r="AB534" s="32">
        <v>96537.1</v>
      </c>
      <c r="AC534" s="32" t="s">
        <v>537</v>
      </c>
      <c r="AD534" s="32"/>
      <c r="AE534" s="32">
        <v>96537.1</v>
      </c>
    </row>
    <row r="535" spans="1:31" x14ac:dyDescent="0.25">
      <c r="A535">
        <v>13193</v>
      </c>
      <c r="B535" t="s">
        <v>209</v>
      </c>
      <c r="C535" t="s">
        <v>210</v>
      </c>
      <c r="D535" s="35">
        <v>14369.79</v>
      </c>
      <c r="E535">
        <v>1246129687</v>
      </c>
      <c r="F535" s="321">
        <v>45594</v>
      </c>
      <c r="G535" s="321"/>
      <c r="H535" t="s">
        <v>172</v>
      </c>
      <c r="I535" t="s">
        <v>173</v>
      </c>
      <c r="J535">
        <v>2824</v>
      </c>
      <c r="K535" s="321">
        <v>45338</v>
      </c>
      <c r="L535">
        <v>1010100</v>
      </c>
      <c r="M535" t="s">
        <v>35</v>
      </c>
      <c r="N535">
        <v>548</v>
      </c>
      <c r="O535" s="32">
        <v>0</v>
      </c>
      <c r="P535" s="32">
        <v>14369.789999999999</v>
      </c>
      <c r="Q535" s="32">
        <v>0</v>
      </c>
      <c r="R535" s="32">
        <v>0</v>
      </c>
      <c r="S535" s="32">
        <v>0</v>
      </c>
      <c r="T535" s="32">
        <v>0</v>
      </c>
      <c r="U535" s="32">
        <v>14369.79</v>
      </c>
      <c r="V535" s="32">
        <v>0</v>
      </c>
      <c r="W535" s="32">
        <v>431.09370000000001</v>
      </c>
      <c r="X535" s="32">
        <v>13938.6963</v>
      </c>
      <c r="Y535" s="32">
        <v>13938.6963</v>
      </c>
      <c r="Z535" s="32">
        <v>14369.79</v>
      </c>
      <c r="AA535" s="32">
        <v>0</v>
      </c>
      <c r="AB535" s="32">
        <v>14369.789999999999</v>
      </c>
      <c r="AC535" s="32" t="s">
        <v>537</v>
      </c>
      <c r="AD535" s="32"/>
      <c r="AE535" s="32">
        <v>14369.789999999999</v>
      </c>
    </row>
    <row r="536" spans="1:31" x14ac:dyDescent="0.25">
      <c r="A536">
        <v>13193</v>
      </c>
      <c r="B536" t="s">
        <v>209</v>
      </c>
      <c r="C536" t="s">
        <v>210</v>
      </c>
      <c r="D536" s="35">
        <v>102482.69</v>
      </c>
      <c r="E536">
        <v>1246129689</v>
      </c>
      <c r="F536" s="321">
        <v>45594</v>
      </c>
      <c r="G536" s="321"/>
      <c r="H536" t="s">
        <v>172</v>
      </c>
      <c r="I536" t="s">
        <v>173</v>
      </c>
      <c r="J536">
        <v>2825</v>
      </c>
      <c r="K536" s="321">
        <v>45338</v>
      </c>
      <c r="L536">
        <v>1010100</v>
      </c>
      <c r="M536" t="s">
        <v>35</v>
      </c>
      <c r="N536">
        <v>548</v>
      </c>
      <c r="O536" s="32">
        <v>0</v>
      </c>
      <c r="P536" s="32">
        <v>102482.69</v>
      </c>
      <c r="Q536" s="32">
        <v>0</v>
      </c>
      <c r="R536" s="32">
        <v>0</v>
      </c>
      <c r="S536" s="32">
        <v>0</v>
      </c>
      <c r="T536" s="32">
        <v>0</v>
      </c>
      <c r="U536" s="32">
        <v>102482.69</v>
      </c>
      <c r="V536" s="32">
        <v>0</v>
      </c>
      <c r="W536" s="32">
        <v>3074.4807000000001</v>
      </c>
      <c r="X536" s="32">
        <v>99408.209300000002</v>
      </c>
      <c r="Y536" s="32">
        <v>99408.209300000002</v>
      </c>
      <c r="Z536" s="32">
        <v>102482.69</v>
      </c>
      <c r="AA536" s="32">
        <v>0</v>
      </c>
      <c r="AB536" s="32">
        <v>102482.69</v>
      </c>
      <c r="AC536" s="32" t="s">
        <v>537</v>
      </c>
      <c r="AD536" s="32"/>
      <c r="AE536" s="32">
        <v>102482.69</v>
      </c>
    </row>
    <row r="537" spans="1:31" x14ac:dyDescent="0.25">
      <c r="A537">
        <v>13193</v>
      </c>
      <c r="B537" t="s">
        <v>209</v>
      </c>
      <c r="C537" t="s">
        <v>210</v>
      </c>
      <c r="D537" s="35">
        <v>96537.1</v>
      </c>
      <c r="E537">
        <v>1246128030</v>
      </c>
      <c r="F537" s="321">
        <v>45604</v>
      </c>
      <c r="G537" s="321"/>
      <c r="H537" t="s">
        <v>172</v>
      </c>
      <c r="I537" t="s">
        <v>173</v>
      </c>
      <c r="J537">
        <v>2691</v>
      </c>
      <c r="K537" s="321">
        <v>45324</v>
      </c>
      <c r="L537">
        <v>1010100</v>
      </c>
      <c r="M537" t="s">
        <v>35</v>
      </c>
      <c r="N537">
        <v>538</v>
      </c>
      <c r="O537" s="32">
        <v>0</v>
      </c>
      <c r="P537" s="32">
        <v>96537.1</v>
      </c>
      <c r="Q537" s="32">
        <v>0</v>
      </c>
      <c r="R537" s="32">
        <v>0</v>
      </c>
      <c r="S537" s="32">
        <v>0</v>
      </c>
      <c r="T537" s="32">
        <v>0</v>
      </c>
      <c r="U537" s="32">
        <v>96537.1</v>
      </c>
      <c r="V537" s="32">
        <v>0</v>
      </c>
      <c r="W537" s="32">
        <v>2896.1130000000003</v>
      </c>
      <c r="X537" s="32">
        <v>93640.987000000008</v>
      </c>
      <c r="Y537" s="32">
        <v>93640.987000000008</v>
      </c>
      <c r="Z537" s="32">
        <v>96537.1</v>
      </c>
      <c r="AA537" s="32">
        <v>0</v>
      </c>
      <c r="AB537" s="32">
        <v>96537.1</v>
      </c>
      <c r="AC537" s="32" t="s">
        <v>537</v>
      </c>
      <c r="AD537" s="32"/>
      <c r="AE537" s="32">
        <v>96537.1</v>
      </c>
    </row>
    <row r="538" spans="1:31" x14ac:dyDescent="0.25">
      <c r="A538">
        <v>13193</v>
      </c>
      <c r="B538" t="s">
        <v>209</v>
      </c>
      <c r="C538" t="s">
        <v>210</v>
      </c>
      <c r="D538" s="35">
        <v>96537.1</v>
      </c>
      <c r="E538">
        <v>1246129535</v>
      </c>
      <c r="F538" s="321">
        <v>45597</v>
      </c>
      <c r="G538" s="321"/>
      <c r="H538" t="s">
        <v>172</v>
      </c>
      <c r="I538" t="s">
        <v>173</v>
      </c>
      <c r="J538">
        <v>2797</v>
      </c>
      <c r="K538" s="321">
        <v>45337</v>
      </c>
      <c r="L538">
        <v>1010100</v>
      </c>
      <c r="M538" t="s">
        <v>35</v>
      </c>
      <c r="N538">
        <v>545</v>
      </c>
      <c r="O538" s="32">
        <v>0</v>
      </c>
      <c r="P538" s="32">
        <v>96537.1</v>
      </c>
      <c r="Q538" s="32">
        <v>0</v>
      </c>
      <c r="R538" s="32">
        <v>0</v>
      </c>
      <c r="S538" s="32">
        <v>0</v>
      </c>
      <c r="T538" s="32">
        <v>0</v>
      </c>
      <c r="U538" s="32">
        <v>96537.1</v>
      </c>
      <c r="V538" s="32">
        <v>0</v>
      </c>
      <c r="W538" s="32">
        <v>2896.1130000000003</v>
      </c>
      <c r="X538" s="32">
        <v>93640.987000000008</v>
      </c>
      <c r="Y538" s="32">
        <v>93640.987000000008</v>
      </c>
      <c r="Z538" s="32">
        <v>96537.1</v>
      </c>
      <c r="AA538" s="32">
        <v>0</v>
      </c>
      <c r="AB538" s="32">
        <v>96537.1</v>
      </c>
      <c r="AC538" s="32" t="s">
        <v>537</v>
      </c>
      <c r="AD538" s="32"/>
      <c r="AE538" s="32">
        <v>96537.1</v>
      </c>
    </row>
    <row r="539" spans="1:31" x14ac:dyDescent="0.25">
      <c r="A539">
        <v>13193</v>
      </c>
      <c r="B539" t="s">
        <v>209</v>
      </c>
      <c r="C539" t="s">
        <v>210</v>
      </c>
      <c r="D539" s="35">
        <v>12586.97</v>
      </c>
      <c r="E539">
        <v>1246129615</v>
      </c>
      <c r="F539" s="321">
        <v>45594</v>
      </c>
      <c r="G539" s="321"/>
      <c r="H539" t="s">
        <v>172</v>
      </c>
      <c r="I539" t="s">
        <v>173</v>
      </c>
      <c r="J539">
        <v>2804</v>
      </c>
      <c r="K539" s="321">
        <v>45338</v>
      </c>
      <c r="L539">
        <v>1010100</v>
      </c>
      <c r="M539" t="s">
        <v>35</v>
      </c>
      <c r="N539">
        <v>548</v>
      </c>
      <c r="O539" s="32">
        <v>0</v>
      </c>
      <c r="P539" s="32">
        <v>12586.97</v>
      </c>
      <c r="Q539" s="32">
        <v>0</v>
      </c>
      <c r="R539" s="32">
        <v>0</v>
      </c>
      <c r="S539" s="32">
        <v>0</v>
      </c>
      <c r="T539" s="32">
        <v>0</v>
      </c>
      <c r="U539" s="32">
        <v>12586.97</v>
      </c>
      <c r="V539" s="32">
        <v>0</v>
      </c>
      <c r="W539" s="32">
        <v>377.60909999999996</v>
      </c>
      <c r="X539" s="32">
        <v>12209.3609</v>
      </c>
      <c r="Y539" s="32">
        <v>12209.3609</v>
      </c>
      <c r="Z539" s="32">
        <v>12586.97</v>
      </c>
      <c r="AA539" s="32">
        <v>0</v>
      </c>
      <c r="AB539" s="32">
        <v>12586.97</v>
      </c>
      <c r="AC539" s="32" t="s">
        <v>537</v>
      </c>
      <c r="AD539" s="32"/>
      <c r="AE539" s="32">
        <v>12586.97</v>
      </c>
    </row>
    <row r="540" spans="1:31" x14ac:dyDescent="0.25">
      <c r="A540">
        <v>13193</v>
      </c>
      <c r="B540" t="s">
        <v>209</v>
      </c>
      <c r="C540" t="s">
        <v>210</v>
      </c>
      <c r="D540" s="35">
        <v>96537.1</v>
      </c>
      <c r="E540">
        <v>1246129423</v>
      </c>
      <c r="F540" s="321">
        <v>45597</v>
      </c>
      <c r="G540" s="321"/>
      <c r="H540" t="s">
        <v>172</v>
      </c>
      <c r="I540" t="s">
        <v>173</v>
      </c>
      <c r="J540">
        <v>2793</v>
      </c>
      <c r="K540" s="321">
        <v>45337</v>
      </c>
      <c r="L540">
        <v>1010100</v>
      </c>
      <c r="M540" t="s">
        <v>35</v>
      </c>
      <c r="N540">
        <v>545</v>
      </c>
      <c r="O540" s="32">
        <v>0</v>
      </c>
      <c r="P540" s="32">
        <v>96537.1</v>
      </c>
      <c r="Q540" s="32">
        <v>0</v>
      </c>
      <c r="R540" s="32">
        <v>0</v>
      </c>
      <c r="S540" s="32">
        <v>0</v>
      </c>
      <c r="T540" s="32">
        <v>0</v>
      </c>
      <c r="U540" s="32">
        <v>96537.1</v>
      </c>
      <c r="V540" s="32">
        <v>0</v>
      </c>
      <c r="W540" s="32">
        <v>2896.1130000000003</v>
      </c>
      <c r="X540" s="32">
        <v>93640.987000000008</v>
      </c>
      <c r="Y540" s="32">
        <v>93640.987000000008</v>
      </c>
      <c r="Z540" s="32">
        <v>96537.1</v>
      </c>
      <c r="AA540" s="32">
        <v>0</v>
      </c>
      <c r="AB540" s="32">
        <v>96537.1</v>
      </c>
      <c r="AC540" s="32" t="s">
        <v>537</v>
      </c>
      <c r="AD540" s="32"/>
      <c r="AE540" s="32">
        <v>96537.1</v>
      </c>
    </row>
    <row r="541" spans="1:31" x14ac:dyDescent="0.25">
      <c r="A541">
        <v>13193</v>
      </c>
      <c r="B541" t="s">
        <v>209</v>
      </c>
      <c r="C541" t="s">
        <v>210</v>
      </c>
      <c r="D541" s="35">
        <v>96537.1</v>
      </c>
      <c r="E541">
        <v>1246129513</v>
      </c>
      <c r="F541" s="321">
        <v>45605</v>
      </c>
      <c r="G541" s="321"/>
      <c r="H541" t="s">
        <v>172</v>
      </c>
      <c r="I541" t="s">
        <v>173</v>
      </c>
      <c r="J541">
        <v>2795</v>
      </c>
      <c r="K541" s="321">
        <v>45337</v>
      </c>
      <c r="L541">
        <v>1010100</v>
      </c>
      <c r="M541" t="s">
        <v>35</v>
      </c>
      <c r="N541">
        <v>537</v>
      </c>
      <c r="O541" s="32">
        <v>0</v>
      </c>
      <c r="P541" s="32">
        <v>96537.1</v>
      </c>
      <c r="Q541" s="32">
        <v>0</v>
      </c>
      <c r="R541" s="32">
        <v>0</v>
      </c>
      <c r="S541" s="32">
        <v>0</v>
      </c>
      <c r="T541" s="32">
        <v>0</v>
      </c>
      <c r="U541" s="32">
        <v>96537.1</v>
      </c>
      <c r="V541" s="32">
        <v>0</v>
      </c>
      <c r="W541" s="32">
        <v>2896.1130000000003</v>
      </c>
      <c r="X541" s="32">
        <v>93640.987000000008</v>
      </c>
      <c r="Y541" s="32">
        <v>93640.987000000008</v>
      </c>
      <c r="Z541" s="32">
        <v>96537.1</v>
      </c>
      <c r="AA541" s="32">
        <v>0</v>
      </c>
      <c r="AB541" s="32">
        <v>96537.1</v>
      </c>
      <c r="AC541" s="32" t="s">
        <v>537</v>
      </c>
      <c r="AD541" s="32"/>
      <c r="AE541" s="32">
        <v>96537.1</v>
      </c>
    </row>
    <row r="542" spans="1:31" x14ac:dyDescent="0.25">
      <c r="A542">
        <v>13193</v>
      </c>
      <c r="B542" t="s">
        <v>209</v>
      </c>
      <c r="C542" t="s">
        <v>210</v>
      </c>
      <c r="D542" s="35">
        <v>100695.77</v>
      </c>
      <c r="E542">
        <v>1246129348</v>
      </c>
      <c r="F542" s="321">
        <v>45592</v>
      </c>
      <c r="G542" s="321"/>
      <c r="H542" t="s">
        <v>172</v>
      </c>
      <c r="I542" t="s">
        <v>173</v>
      </c>
      <c r="J542">
        <v>2788</v>
      </c>
      <c r="K542" s="321">
        <v>45336</v>
      </c>
      <c r="L542">
        <v>1010100</v>
      </c>
      <c r="M542" t="s">
        <v>35</v>
      </c>
      <c r="N542">
        <v>550</v>
      </c>
      <c r="O542" s="32">
        <v>0</v>
      </c>
      <c r="P542" s="32">
        <v>100695.77</v>
      </c>
      <c r="Q542" s="32">
        <v>0</v>
      </c>
      <c r="R542" s="32">
        <v>0</v>
      </c>
      <c r="S542" s="32">
        <v>0</v>
      </c>
      <c r="T542" s="32">
        <v>0</v>
      </c>
      <c r="U542" s="32">
        <v>100695.77</v>
      </c>
      <c r="V542" s="32">
        <v>0</v>
      </c>
      <c r="W542" s="32">
        <v>3020.8730999999998</v>
      </c>
      <c r="X542" s="32">
        <v>97674.896900000007</v>
      </c>
      <c r="Y542" s="32">
        <v>97674.896900000007</v>
      </c>
      <c r="Z542" s="32">
        <v>100695.77</v>
      </c>
      <c r="AA542" s="32">
        <v>0</v>
      </c>
      <c r="AB542" s="32">
        <v>100695.77</v>
      </c>
      <c r="AC542" s="32" t="s">
        <v>537</v>
      </c>
      <c r="AD542" s="32"/>
      <c r="AE542" s="32">
        <v>100695.77</v>
      </c>
    </row>
    <row r="543" spans="1:31" x14ac:dyDescent="0.25">
      <c r="A543">
        <v>13193</v>
      </c>
      <c r="B543" t="s">
        <v>209</v>
      </c>
      <c r="C543" t="s">
        <v>210</v>
      </c>
      <c r="D543" s="35">
        <v>96537.12</v>
      </c>
      <c r="E543">
        <v>1246129613</v>
      </c>
      <c r="F543" s="321">
        <v>45598</v>
      </c>
      <c r="G543" s="321"/>
      <c r="H543" t="s">
        <v>172</v>
      </c>
      <c r="I543" t="s">
        <v>173</v>
      </c>
      <c r="J543">
        <v>2803</v>
      </c>
      <c r="K543" s="321">
        <v>45338</v>
      </c>
      <c r="L543">
        <v>1010100</v>
      </c>
      <c r="M543" t="s">
        <v>35</v>
      </c>
      <c r="N543">
        <v>544</v>
      </c>
      <c r="O543" s="32">
        <v>0</v>
      </c>
      <c r="P543" s="32">
        <v>96537.12</v>
      </c>
      <c r="Q543" s="32">
        <v>0</v>
      </c>
      <c r="R543" s="32">
        <v>0</v>
      </c>
      <c r="S543" s="32">
        <v>0</v>
      </c>
      <c r="T543" s="32">
        <v>0</v>
      </c>
      <c r="U543" s="32">
        <v>96537.12</v>
      </c>
      <c r="V543" s="32">
        <v>0</v>
      </c>
      <c r="W543" s="32">
        <v>2896.1135999999997</v>
      </c>
      <c r="X543" s="32">
        <v>93641.006399999998</v>
      </c>
      <c r="Y543" s="32">
        <v>93641.006399999998</v>
      </c>
      <c r="Z543" s="32">
        <v>96537.12</v>
      </c>
      <c r="AA543" s="32">
        <v>0</v>
      </c>
      <c r="AB543" s="32">
        <v>96537.12</v>
      </c>
      <c r="AC543" s="32" t="s">
        <v>537</v>
      </c>
      <c r="AD543" s="32"/>
      <c r="AE543" s="32">
        <v>96537.12</v>
      </c>
    </row>
    <row r="544" spans="1:31" x14ac:dyDescent="0.25">
      <c r="A544">
        <v>13193</v>
      </c>
      <c r="B544" t="s">
        <v>209</v>
      </c>
      <c r="C544" t="s">
        <v>210</v>
      </c>
      <c r="D544" s="35">
        <v>114958.38999999998</v>
      </c>
      <c r="E544">
        <v>1246126152</v>
      </c>
      <c r="F544" s="321">
        <v>45594</v>
      </c>
      <c r="G544" s="321"/>
      <c r="H544" t="s">
        <v>172</v>
      </c>
      <c r="I544" t="s">
        <v>173</v>
      </c>
      <c r="J544">
        <v>2568</v>
      </c>
      <c r="K544" s="321">
        <v>45314</v>
      </c>
      <c r="L544">
        <v>1010100</v>
      </c>
      <c r="M544" t="s">
        <v>35</v>
      </c>
      <c r="N544">
        <v>548</v>
      </c>
      <c r="O544" s="32">
        <v>0</v>
      </c>
      <c r="P544" s="32">
        <v>114958.38999999997</v>
      </c>
      <c r="Q544" s="32">
        <v>0</v>
      </c>
      <c r="R544" s="32">
        <v>0</v>
      </c>
      <c r="S544" s="32">
        <v>0</v>
      </c>
      <c r="T544" s="32">
        <v>0</v>
      </c>
      <c r="U544" s="32">
        <v>114958.38999999998</v>
      </c>
      <c r="V544" s="32">
        <v>0</v>
      </c>
      <c r="W544" s="32">
        <v>3448.7516999999993</v>
      </c>
      <c r="X544" s="32">
        <v>111509.63829999998</v>
      </c>
      <c r="Y544" s="32">
        <v>111509.63829999998</v>
      </c>
      <c r="Z544" s="32">
        <v>114958.38999999998</v>
      </c>
      <c r="AA544" s="32">
        <v>0</v>
      </c>
      <c r="AB544" s="32">
        <v>114958.38999999997</v>
      </c>
      <c r="AC544" s="32" t="s">
        <v>537</v>
      </c>
      <c r="AD544" s="32"/>
      <c r="AE544" s="32">
        <v>114958.38999999997</v>
      </c>
    </row>
    <row r="545" spans="1:31" x14ac:dyDescent="0.25">
      <c r="A545">
        <v>13193</v>
      </c>
      <c r="B545" t="s">
        <v>209</v>
      </c>
      <c r="C545" t="s">
        <v>210</v>
      </c>
      <c r="D545" s="35">
        <v>111898.75000000001</v>
      </c>
      <c r="E545">
        <v>1246126325</v>
      </c>
      <c r="F545" s="321">
        <v>45595</v>
      </c>
      <c r="G545" s="321"/>
      <c r="H545" t="s">
        <v>172</v>
      </c>
      <c r="I545" t="s">
        <v>173</v>
      </c>
      <c r="J545">
        <v>2581</v>
      </c>
      <c r="K545" s="321">
        <v>45315</v>
      </c>
      <c r="L545">
        <v>1010100</v>
      </c>
      <c r="M545" t="s">
        <v>35</v>
      </c>
      <c r="N545">
        <v>547</v>
      </c>
      <c r="O545" s="32">
        <v>0</v>
      </c>
      <c r="P545" s="32">
        <v>111898.75</v>
      </c>
      <c r="Q545" s="32">
        <v>0</v>
      </c>
      <c r="R545" s="32">
        <v>0</v>
      </c>
      <c r="S545" s="32">
        <v>0</v>
      </c>
      <c r="T545" s="32">
        <v>0</v>
      </c>
      <c r="U545" s="32">
        <v>111898.75000000001</v>
      </c>
      <c r="V545" s="32">
        <v>0</v>
      </c>
      <c r="W545" s="32">
        <v>3356.9625000000001</v>
      </c>
      <c r="X545" s="32">
        <v>108541.78750000001</v>
      </c>
      <c r="Y545" s="32">
        <v>108541.78750000001</v>
      </c>
      <c r="Z545" s="32">
        <v>111898.75000000001</v>
      </c>
      <c r="AA545" s="32">
        <v>0</v>
      </c>
      <c r="AB545" s="32">
        <v>111898.75</v>
      </c>
      <c r="AC545" s="32" t="s">
        <v>537</v>
      </c>
      <c r="AD545" s="32"/>
      <c r="AE545" s="32">
        <v>111898.75</v>
      </c>
    </row>
    <row r="546" spans="1:31" x14ac:dyDescent="0.25">
      <c r="A546">
        <v>13193</v>
      </c>
      <c r="B546" t="s">
        <v>209</v>
      </c>
      <c r="C546" t="s">
        <v>210</v>
      </c>
      <c r="D546" s="35">
        <v>108604.24</v>
      </c>
      <c r="E546">
        <v>1246126878</v>
      </c>
      <c r="F546" s="321">
        <v>45597</v>
      </c>
      <c r="G546" s="321"/>
      <c r="H546" t="s">
        <v>172</v>
      </c>
      <c r="I546" t="s">
        <v>173</v>
      </c>
      <c r="J546">
        <v>2614</v>
      </c>
      <c r="K546" s="321">
        <v>45317</v>
      </c>
      <c r="L546">
        <v>1010100</v>
      </c>
      <c r="M546" t="s">
        <v>35</v>
      </c>
      <c r="N546">
        <v>545</v>
      </c>
      <c r="O546" s="32">
        <v>0</v>
      </c>
      <c r="P546" s="32">
        <v>108604.24</v>
      </c>
      <c r="Q546" s="32">
        <v>0</v>
      </c>
      <c r="R546" s="32">
        <v>0</v>
      </c>
      <c r="S546" s="32">
        <v>0</v>
      </c>
      <c r="T546" s="32">
        <v>0</v>
      </c>
      <c r="U546" s="32">
        <v>108604.24</v>
      </c>
      <c r="V546" s="32">
        <v>0</v>
      </c>
      <c r="W546" s="32">
        <v>3258.1271999999999</v>
      </c>
      <c r="X546" s="32">
        <v>105346.1128</v>
      </c>
      <c r="Y546" s="32">
        <v>105346.1128</v>
      </c>
      <c r="Z546" s="32">
        <v>108604.24</v>
      </c>
      <c r="AA546" s="32">
        <v>0</v>
      </c>
      <c r="AB546" s="32">
        <v>108604.24</v>
      </c>
      <c r="AC546" s="32" t="s">
        <v>537</v>
      </c>
      <c r="AD546" s="32"/>
      <c r="AE546" s="32">
        <v>108604.24</v>
      </c>
    </row>
    <row r="547" spans="1:31" x14ac:dyDescent="0.25">
      <c r="A547">
        <v>13193</v>
      </c>
      <c r="B547" t="s">
        <v>209</v>
      </c>
      <c r="C547" t="s">
        <v>210</v>
      </c>
      <c r="D547" s="35">
        <v>110524.44</v>
      </c>
      <c r="E547">
        <v>1246126771</v>
      </c>
      <c r="F547" s="321">
        <v>45597</v>
      </c>
      <c r="G547" s="321"/>
      <c r="H547" t="s">
        <v>172</v>
      </c>
      <c r="I547" t="s">
        <v>173</v>
      </c>
      <c r="J547">
        <v>2605</v>
      </c>
      <c r="K547" s="321">
        <v>45317</v>
      </c>
      <c r="L547">
        <v>1010100</v>
      </c>
      <c r="M547" t="s">
        <v>35</v>
      </c>
      <c r="N547">
        <v>545</v>
      </c>
      <c r="O547" s="32">
        <v>0</v>
      </c>
      <c r="P547" s="32">
        <v>110524.44</v>
      </c>
      <c r="Q547" s="32">
        <v>0</v>
      </c>
      <c r="R547" s="32">
        <v>0</v>
      </c>
      <c r="S547" s="32">
        <v>0</v>
      </c>
      <c r="T547" s="32">
        <v>0</v>
      </c>
      <c r="U547" s="32">
        <v>110524.44</v>
      </c>
      <c r="V547" s="32">
        <v>0</v>
      </c>
      <c r="W547" s="32">
        <v>3315.7332000000001</v>
      </c>
      <c r="X547" s="32">
        <v>107208.7068</v>
      </c>
      <c r="Y547" s="32">
        <v>107208.7068</v>
      </c>
      <c r="Z547" s="32">
        <v>110524.44</v>
      </c>
      <c r="AA547" s="32">
        <v>0</v>
      </c>
      <c r="AB547" s="32">
        <v>110524.44</v>
      </c>
      <c r="AC547" s="32" t="s">
        <v>537</v>
      </c>
      <c r="AD547" s="32"/>
      <c r="AE547" s="32">
        <v>110524.44</v>
      </c>
    </row>
    <row r="548" spans="1:31" x14ac:dyDescent="0.25">
      <c r="A548">
        <v>13193</v>
      </c>
      <c r="B548" t="s">
        <v>209</v>
      </c>
      <c r="C548" t="s">
        <v>210</v>
      </c>
      <c r="D548" s="35">
        <v>81453.179999999993</v>
      </c>
      <c r="E548">
        <v>1246126682</v>
      </c>
      <c r="F548" s="321">
        <v>45596</v>
      </c>
      <c r="G548" s="321"/>
      <c r="H548" t="s">
        <v>172</v>
      </c>
      <c r="I548" t="s">
        <v>173</v>
      </c>
      <c r="J548">
        <v>2598</v>
      </c>
      <c r="K548" s="321">
        <v>45316</v>
      </c>
      <c r="L548">
        <v>1010100</v>
      </c>
      <c r="M548" t="s">
        <v>35</v>
      </c>
      <c r="N548">
        <v>546</v>
      </c>
      <c r="O548" s="32">
        <v>0</v>
      </c>
      <c r="P548" s="32">
        <v>81453.179999999993</v>
      </c>
      <c r="Q548" s="32">
        <v>0</v>
      </c>
      <c r="R548" s="32">
        <v>0</v>
      </c>
      <c r="S548" s="32">
        <v>0</v>
      </c>
      <c r="T548" s="32">
        <v>0</v>
      </c>
      <c r="U548" s="32">
        <v>81453.179999999993</v>
      </c>
      <c r="V548" s="32">
        <v>0</v>
      </c>
      <c r="W548" s="32">
        <v>2443.5953999999997</v>
      </c>
      <c r="X548" s="32">
        <v>79009.584599999987</v>
      </c>
      <c r="Y548" s="32">
        <v>79009.584599999987</v>
      </c>
      <c r="Z548" s="32">
        <v>81453.179999999993</v>
      </c>
      <c r="AA548" s="32">
        <v>0</v>
      </c>
      <c r="AB548" s="32">
        <v>81453.179999999993</v>
      </c>
      <c r="AC548" s="32" t="s">
        <v>537</v>
      </c>
      <c r="AD548" s="32"/>
      <c r="AE548" s="32">
        <v>81453.179999999993</v>
      </c>
    </row>
    <row r="549" spans="1:31" x14ac:dyDescent="0.25">
      <c r="A549">
        <v>13193</v>
      </c>
      <c r="B549" t="s">
        <v>209</v>
      </c>
      <c r="C549" t="s">
        <v>210</v>
      </c>
      <c r="D549" s="35">
        <v>97994.5</v>
      </c>
      <c r="E549">
        <v>1246124699</v>
      </c>
      <c r="F549" s="321">
        <v>45593</v>
      </c>
      <c r="G549" s="321"/>
      <c r="H549" t="s">
        <v>172</v>
      </c>
      <c r="I549" t="s">
        <v>173</v>
      </c>
      <c r="J549">
        <v>2485</v>
      </c>
      <c r="K549" s="321">
        <v>45303</v>
      </c>
      <c r="L549">
        <v>1010100</v>
      </c>
      <c r="M549" t="s">
        <v>35</v>
      </c>
      <c r="N549">
        <v>549</v>
      </c>
      <c r="O549" s="32">
        <v>0</v>
      </c>
      <c r="P549" s="32">
        <v>97994.5</v>
      </c>
      <c r="Q549" s="32">
        <v>0</v>
      </c>
      <c r="R549" s="32">
        <v>0</v>
      </c>
      <c r="S549" s="32">
        <v>0</v>
      </c>
      <c r="T549" s="32">
        <v>0</v>
      </c>
      <c r="U549" s="32">
        <v>97994.5</v>
      </c>
      <c r="V549" s="32">
        <v>0</v>
      </c>
      <c r="W549" s="32">
        <v>2939.835</v>
      </c>
      <c r="X549" s="32">
        <v>95054.664999999994</v>
      </c>
      <c r="Y549" s="32">
        <v>95054.664999999994</v>
      </c>
      <c r="Z549" s="32">
        <v>97994.5</v>
      </c>
      <c r="AA549" s="32">
        <v>0</v>
      </c>
      <c r="AB549" s="32">
        <v>97994.5</v>
      </c>
      <c r="AC549" s="32" t="s">
        <v>537</v>
      </c>
      <c r="AD549" s="32"/>
      <c r="AE549" s="32">
        <v>97994.5</v>
      </c>
    </row>
    <row r="550" spans="1:31" x14ac:dyDescent="0.25">
      <c r="A550">
        <v>13193</v>
      </c>
      <c r="B550" t="s">
        <v>209</v>
      </c>
      <c r="C550" t="s">
        <v>210</v>
      </c>
      <c r="D550" s="35">
        <v>102482.69</v>
      </c>
      <c r="E550">
        <v>1246129677</v>
      </c>
      <c r="F550" s="321">
        <v>45594</v>
      </c>
      <c r="G550" s="321"/>
      <c r="H550" t="s">
        <v>172</v>
      </c>
      <c r="I550" t="s">
        <v>173</v>
      </c>
      <c r="J550">
        <v>2818</v>
      </c>
      <c r="K550" s="321">
        <v>45338</v>
      </c>
      <c r="L550">
        <v>1010100</v>
      </c>
      <c r="M550" t="s">
        <v>35</v>
      </c>
      <c r="N550">
        <v>548</v>
      </c>
      <c r="O550" s="32">
        <v>0</v>
      </c>
      <c r="P550" s="32">
        <v>102482.69</v>
      </c>
      <c r="Q550" s="32">
        <v>0</v>
      </c>
      <c r="R550" s="32">
        <v>0</v>
      </c>
      <c r="S550" s="32">
        <v>0</v>
      </c>
      <c r="T550" s="32">
        <v>0</v>
      </c>
      <c r="U550" s="32">
        <v>102482.69</v>
      </c>
      <c r="V550" s="32">
        <v>0</v>
      </c>
      <c r="W550" s="32">
        <v>3074.4807000000001</v>
      </c>
      <c r="X550" s="32">
        <v>99408.209300000002</v>
      </c>
      <c r="Y550" s="32">
        <v>99408.209300000002</v>
      </c>
      <c r="Z550" s="32">
        <v>102482.69</v>
      </c>
      <c r="AA550" s="32">
        <v>0</v>
      </c>
      <c r="AB550" s="32">
        <v>102482.69</v>
      </c>
      <c r="AC550" s="32" t="s">
        <v>537</v>
      </c>
      <c r="AD550" s="32"/>
      <c r="AE550" s="32">
        <v>102482.69</v>
      </c>
    </row>
    <row r="551" spans="1:31" x14ac:dyDescent="0.25">
      <c r="A551">
        <v>13193</v>
      </c>
      <c r="B551" t="s">
        <v>209</v>
      </c>
      <c r="C551" t="s">
        <v>210</v>
      </c>
      <c r="D551" s="35">
        <v>140175.09</v>
      </c>
      <c r="E551">
        <v>1246130332</v>
      </c>
      <c r="F551" s="321">
        <v>45599</v>
      </c>
      <c r="G551" s="321"/>
      <c r="H551" t="s">
        <v>172</v>
      </c>
      <c r="I551" t="s">
        <v>173</v>
      </c>
      <c r="J551">
        <v>2873</v>
      </c>
      <c r="K551" s="321">
        <v>45343</v>
      </c>
      <c r="L551">
        <v>1010100</v>
      </c>
      <c r="M551" t="s">
        <v>35</v>
      </c>
      <c r="N551">
        <v>543</v>
      </c>
      <c r="O551" s="32">
        <v>0</v>
      </c>
      <c r="P551" s="32">
        <v>140175.09</v>
      </c>
      <c r="Q551" s="32">
        <v>0</v>
      </c>
      <c r="R551" s="32">
        <v>0</v>
      </c>
      <c r="S551" s="32">
        <v>0</v>
      </c>
      <c r="T551" s="32">
        <v>0</v>
      </c>
      <c r="U551" s="32">
        <v>140175.09</v>
      </c>
      <c r="V551" s="32">
        <v>0</v>
      </c>
      <c r="W551" s="32">
        <v>4205.2527</v>
      </c>
      <c r="X551" s="32">
        <v>135969.83729999998</v>
      </c>
      <c r="Y551" s="32">
        <v>135969.83729999998</v>
      </c>
      <c r="Z551" s="32">
        <v>140175.09</v>
      </c>
      <c r="AA551" s="32">
        <v>0</v>
      </c>
      <c r="AB551" s="32">
        <v>140175.09</v>
      </c>
      <c r="AC551" s="32" t="s">
        <v>537</v>
      </c>
      <c r="AD551" s="32"/>
      <c r="AE551" s="32">
        <v>140175.09</v>
      </c>
    </row>
    <row r="552" spans="1:31" x14ac:dyDescent="0.25">
      <c r="A552">
        <v>13193</v>
      </c>
      <c r="B552" t="s">
        <v>209</v>
      </c>
      <c r="C552" t="s">
        <v>210</v>
      </c>
      <c r="D552" s="35">
        <v>112140.07</v>
      </c>
      <c r="E552">
        <v>1246130309</v>
      </c>
      <c r="F552" s="321">
        <v>45599</v>
      </c>
      <c r="G552" s="321"/>
      <c r="H552" t="s">
        <v>172</v>
      </c>
      <c r="I552" t="s">
        <v>173</v>
      </c>
      <c r="J552">
        <v>2867</v>
      </c>
      <c r="K552" s="321">
        <v>45343</v>
      </c>
      <c r="L552">
        <v>1010100</v>
      </c>
      <c r="M552" t="s">
        <v>35</v>
      </c>
      <c r="N552">
        <v>543</v>
      </c>
      <c r="O552" s="32">
        <v>0</v>
      </c>
      <c r="P552" s="32">
        <v>112140.06999999999</v>
      </c>
      <c r="Q552" s="32">
        <v>0</v>
      </c>
      <c r="R552" s="32">
        <v>0</v>
      </c>
      <c r="S552" s="32">
        <v>0</v>
      </c>
      <c r="T552" s="32">
        <v>0</v>
      </c>
      <c r="U552" s="32">
        <v>112140.07</v>
      </c>
      <c r="V552" s="32">
        <v>0</v>
      </c>
      <c r="W552" s="32">
        <v>3364.2021</v>
      </c>
      <c r="X552" s="32">
        <v>108775.8679</v>
      </c>
      <c r="Y552" s="32">
        <v>108775.8679</v>
      </c>
      <c r="Z552" s="32">
        <v>112140.07</v>
      </c>
      <c r="AA552" s="32">
        <v>0</v>
      </c>
      <c r="AB552" s="32">
        <v>112140.06999999999</v>
      </c>
      <c r="AC552" s="32" t="s">
        <v>537</v>
      </c>
      <c r="AD552" s="32"/>
      <c r="AE552" s="32">
        <v>112140.06999999999</v>
      </c>
    </row>
    <row r="553" spans="1:31" x14ac:dyDescent="0.25">
      <c r="A553">
        <v>13193</v>
      </c>
      <c r="B553" t="s">
        <v>209</v>
      </c>
      <c r="C553" t="s">
        <v>210</v>
      </c>
      <c r="D553" s="35">
        <v>105131.31</v>
      </c>
      <c r="E553">
        <v>1246132575</v>
      </c>
      <c r="F553" s="321">
        <v>45597</v>
      </c>
      <c r="G553" s="321"/>
      <c r="H553" t="s">
        <v>172</v>
      </c>
      <c r="I553" t="s">
        <v>173</v>
      </c>
      <c r="J553">
        <v>2994</v>
      </c>
      <c r="K553" s="321">
        <v>45357</v>
      </c>
      <c r="L553">
        <v>1010100</v>
      </c>
      <c r="M553" t="s">
        <v>35</v>
      </c>
      <c r="N553">
        <v>545</v>
      </c>
      <c r="O553" s="32">
        <v>0</v>
      </c>
      <c r="P553" s="32">
        <v>105131.31</v>
      </c>
      <c r="Q553" s="32">
        <v>0</v>
      </c>
      <c r="R553" s="32">
        <v>0</v>
      </c>
      <c r="S553" s="32">
        <v>0</v>
      </c>
      <c r="T553" s="32">
        <v>0</v>
      </c>
      <c r="U553" s="32">
        <v>105131.31</v>
      </c>
      <c r="V553" s="32">
        <v>0</v>
      </c>
      <c r="W553" s="32">
        <v>3153.9393</v>
      </c>
      <c r="X553" s="32">
        <v>101977.3707</v>
      </c>
      <c r="Y553" s="32">
        <v>101977.3707</v>
      </c>
      <c r="Z553" s="32">
        <v>105131.31</v>
      </c>
      <c r="AA553" s="32">
        <v>0</v>
      </c>
      <c r="AB553" s="32">
        <v>105131.31</v>
      </c>
      <c r="AC553" s="32" t="s">
        <v>537</v>
      </c>
      <c r="AD553" s="32"/>
      <c r="AE553" s="32">
        <v>105131.31</v>
      </c>
    </row>
    <row r="554" spans="1:31" x14ac:dyDescent="0.25">
      <c r="A554">
        <v>13193</v>
      </c>
      <c r="B554" t="s">
        <v>209</v>
      </c>
      <c r="C554" t="s">
        <v>210</v>
      </c>
      <c r="D554" s="35">
        <v>97257.29</v>
      </c>
      <c r="E554">
        <v>1246139180</v>
      </c>
      <c r="F554" s="321">
        <v>45573</v>
      </c>
      <c r="G554" s="321"/>
      <c r="H554" t="s">
        <v>172</v>
      </c>
      <c r="I554" t="s">
        <v>173</v>
      </c>
      <c r="J554">
        <v>3265</v>
      </c>
      <c r="K554" s="321">
        <v>45393</v>
      </c>
      <c r="L554">
        <v>1010100</v>
      </c>
      <c r="M554" t="s">
        <v>35</v>
      </c>
      <c r="N554">
        <v>569</v>
      </c>
      <c r="O554" s="32">
        <v>0</v>
      </c>
      <c r="P554" s="32">
        <v>97257.29</v>
      </c>
      <c r="Q554" s="32">
        <v>0</v>
      </c>
      <c r="R554" s="32">
        <v>0</v>
      </c>
      <c r="S554" s="32">
        <v>0</v>
      </c>
      <c r="T554" s="32">
        <v>0</v>
      </c>
      <c r="U554" s="32">
        <v>97257.29</v>
      </c>
      <c r="V554" s="32">
        <v>0</v>
      </c>
      <c r="W554" s="32">
        <v>2917.7186999999999</v>
      </c>
      <c r="X554" s="32">
        <v>94339.571299999996</v>
      </c>
      <c r="Y554" s="32">
        <v>94339.571299999996</v>
      </c>
      <c r="Z554" s="32">
        <v>97257.29</v>
      </c>
      <c r="AA554" s="32">
        <v>0</v>
      </c>
      <c r="AB554" s="32">
        <v>97257.29</v>
      </c>
      <c r="AC554" s="32" t="s">
        <v>537</v>
      </c>
      <c r="AD554" s="32"/>
      <c r="AE554" s="32">
        <v>97257.29</v>
      </c>
    </row>
    <row r="555" spans="1:31" x14ac:dyDescent="0.25">
      <c r="A555">
        <v>13193</v>
      </c>
      <c r="B555" t="s">
        <v>209</v>
      </c>
      <c r="C555" t="s">
        <v>210</v>
      </c>
      <c r="D555" s="35">
        <v>104293.46</v>
      </c>
      <c r="E555">
        <v>1246135519</v>
      </c>
      <c r="F555" s="321">
        <v>45600</v>
      </c>
      <c r="G555" s="321"/>
      <c r="H555" t="s">
        <v>172</v>
      </c>
      <c r="I555" t="s">
        <v>173</v>
      </c>
      <c r="J555">
        <v>3146</v>
      </c>
      <c r="K555" s="321">
        <v>45373</v>
      </c>
      <c r="L555">
        <v>1010100</v>
      </c>
      <c r="M555" t="s">
        <v>35</v>
      </c>
      <c r="N555">
        <v>542</v>
      </c>
      <c r="O555" s="32">
        <v>0</v>
      </c>
      <c r="P555" s="32">
        <v>104293.45999999999</v>
      </c>
      <c r="Q555" s="32">
        <v>0</v>
      </c>
      <c r="R555" s="32">
        <v>0</v>
      </c>
      <c r="S555" s="32">
        <v>0</v>
      </c>
      <c r="T555" s="32">
        <v>0</v>
      </c>
      <c r="U555" s="32">
        <v>104293.46</v>
      </c>
      <c r="V555" s="32">
        <v>0</v>
      </c>
      <c r="W555" s="32">
        <v>3128.8038000000001</v>
      </c>
      <c r="X555" s="32">
        <v>101164.6562</v>
      </c>
      <c r="Y555" s="32">
        <v>101164.6562</v>
      </c>
      <c r="Z555" s="32">
        <v>104293.46</v>
      </c>
      <c r="AA555" s="32">
        <v>0</v>
      </c>
      <c r="AB555" s="32">
        <v>104293.45999999999</v>
      </c>
      <c r="AC555" s="32" t="s">
        <v>537</v>
      </c>
      <c r="AD555" s="32"/>
      <c r="AE555" s="32">
        <v>104293.45999999999</v>
      </c>
    </row>
    <row r="556" spans="1:31" x14ac:dyDescent="0.25">
      <c r="A556">
        <v>13193</v>
      </c>
      <c r="B556" t="s">
        <v>209</v>
      </c>
      <c r="C556" t="s">
        <v>210</v>
      </c>
      <c r="D556" s="35">
        <v>120980.73</v>
      </c>
      <c r="E556">
        <v>1246138904</v>
      </c>
      <c r="F556" s="321">
        <v>45572</v>
      </c>
      <c r="G556" s="321"/>
      <c r="H556" t="s">
        <v>172</v>
      </c>
      <c r="I556" t="s">
        <v>173</v>
      </c>
      <c r="J556">
        <v>3260</v>
      </c>
      <c r="K556" s="321">
        <v>45392</v>
      </c>
      <c r="L556">
        <v>1010100</v>
      </c>
      <c r="M556" t="s">
        <v>35</v>
      </c>
      <c r="N556">
        <v>570</v>
      </c>
      <c r="O556" s="32">
        <v>0</v>
      </c>
      <c r="P556" s="32">
        <v>120980.73</v>
      </c>
      <c r="Q556" s="32">
        <v>0</v>
      </c>
      <c r="R556" s="32">
        <v>0</v>
      </c>
      <c r="S556" s="32">
        <v>0</v>
      </c>
      <c r="T556" s="32">
        <v>0</v>
      </c>
      <c r="U556" s="32">
        <v>120980.73</v>
      </c>
      <c r="V556" s="32">
        <v>0</v>
      </c>
      <c r="W556" s="32">
        <v>3629.4218999999998</v>
      </c>
      <c r="X556" s="32">
        <v>117351.30809999999</v>
      </c>
      <c r="Y556" s="32">
        <v>117351.30809999999</v>
      </c>
      <c r="Z556" s="32">
        <v>120980.73</v>
      </c>
      <c r="AA556" s="32">
        <v>0</v>
      </c>
      <c r="AB556" s="32">
        <v>120980.73</v>
      </c>
      <c r="AC556" s="32" t="s">
        <v>537</v>
      </c>
      <c r="AD556" s="32"/>
      <c r="AE556" s="32">
        <v>120980.73</v>
      </c>
    </row>
    <row r="557" spans="1:31" x14ac:dyDescent="0.25">
      <c r="A557">
        <v>13193</v>
      </c>
      <c r="B557" t="s">
        <v>209</v>
      </c>
      <c r="C557" t="s">
        <v>210</v>
      </c>
      <c r="D557" s="35">
        <v>142145.26999999999</v>
      </c>
      <c r="E557">
        <v>1246138695</v>
      </c>
      <c r="F557" s="321">
        <v>45571</v>
      </c>
      <c r="G557" s="321"/>
      <c r="H557" t="s">
        <v>172</v>
      </c>
      <c r="I557" t="s">
        <v>173</v>
      </c>
      <c r="J557">
        <v>3255</v>
      </c>
      <c r="K557" s="321">
        <v>45391</v>
      </c>
      <c r="L557">
        <v>1010100</v>
      </c>
      <c r="M557" t="s">
        <v>35</v>
      </c>
      <c r="N557">
        <v>571</v>
      </c>
      <c r="O557" s="32">
        <v>0</v>
      </c>
      <c r="P557" s="32">
        <v>142145.26999999999</v>
      </c>
      <c r="Q557" s="32">
        <v>0</v>
      </c>
      <c r="R557" s="32">
        <v>0</v>
      </c>
      <c r="S557" s="32">
        <v>0</v>
      </c>
      <c r="T557" s="32">
        <v>0</v>
      </c>
      <c r="U557" s="32">
        <v>142145.26999999999</v>
      </c>
      <c r="V557" s="32">
        <v>0</v>
      </c>
      <c r="W557" s="32">
        <v>4264.3580999999995</v>
      </c>
      <c r="X557" s="32">
        <v>137880.91189999998</v>
      </c>
      <c r="Y557" s="32">
        <v>137880.91189999998</v>
      </c>
      <c r="Z557" s="32">
        <v>142145.26999999999</v>
      </c>
      <c r="AA557" s="32">
        <v>0</v>
      </c>
      <c r="AB557" s="32">
        <v>142145.26999999999</v>
      </c>
      <c r="AC557" s="32" t="s">
        <v>537</v>
      </c>
      <c r="AD557" s="32"/>
      <c r="AE557" s="32">
        <v>142145.26999999999</v>
      </c>
    </row>
    <row r="558" spans="1:31" x14ac:dyDescent="0.25">
      <c r="A558">
        <v>13193</v>
      </c>
      <c r="B558" t="s">
        <v>209</v>
      </c>
      <c r="C558" t="s">
        <v>210</v>
      </c>
      <c r="D558" s="35">
        <v>30167.84</v>
      </c>
      <c r="E558">
        <v>1246134824</v>
      </c>
      <c r="F558" s="321">
        <v>45597</v>
      </c>
      <c r="G558" s="321"/>
      <c r="H558" t="s">
        <v>172</v>
      </c>
      <c r="I558" t="s">
        <v>173</v>
      </c>
      <c r="J558">
        <v>3122</v>
      </c>
      <c r="K558" s="321">
        <v>45370</v>
      </c>
      <c r="L558">
        <v>1010100</v>
      </c>
      <c r="M558" t="s">
        <v>35</v>
      </c>
      <c r="N558">
        <v>545</v>
      </c>
      <c r="O558" s="32">
        <v>0</v>
      </c>
      <c r="P558" s="32">
        <v>30167.839999999997</v>
      </c>
      <c r="Q558" s="32">
        <v>0</v>
      </c>
      <c r="R558" s="32">
        <v>0</v>
      </c>
      <c r="S558" s="32">
        <v>0</v>
      </c>
      <c r="T558" s="32">
        <v>0</v>
      </c>
      <c r="U558" s="32">
        <v>30167.84</v>
      </c>
      <c r="V558" s="32">
        <v>0</v>
      </c>
      <c r="W558" s="32">
        <v>905.03519999999992</v>
      </c>
      <c r="X558" s="32">
        <v>29262.804799999998</v>
      </c>
      <c r="Y558" s="32">
        <v>29262.804799999998</v>
      </c>
      <c r="Z558" s="32">
        <v>30167.84</v>
      </c>
      <c r="AA558" s="32">
        <v>0</v>
      </c>
      <c r="AB558" s="32">
        <v>30167.839999999997</v>
      </c>
      <c r="AC558" s="32" t="s">
        <v>537</v>
      </c>
      <c r="AD558" s="32"/>
      <c r="AE558" s="32">
        <v>30167.839999999997</v>
      </c>
    </row>
    <row r="559" spans="1:31" x14ac:dyDescent="0.25">
      <c r="A559">
        <v>13193</v>
      </c>
      <c r="B559" t="s">
        <v>209</v>
      </c>
      <c r="C559" t="s">
        <v>210</v>
      </c>
      <c r="D559" s="35">
        <v>96077.53</v>
      </c>
      <c r="E559">
        <v>1246134935</v>
      </c>
      <c r="F559" s="321">
        <v>45598</v>
      </c>
      <c r="G559" s="321"/>
      <c r="H559" t="s">
        <v>172</v>
      </c>
      <c r="I559" t="s">
        <v>173</v>
      </c>
      <c r="J559">
        <v>3128</v>
      </c>
      <c r="K559" s="321">
        <v>45371</v>
      </c>
      <c r="L559">
        <v>1010100</v>
      </c>
      <c r="M559" t="s">
        <v>35</v>
      </c>
      <c r="N559">
        <v>544</v>
      </c>
      <c r="O559" s="32">
        <v>0</v>
      </c>
      <c r="P559" s="32">
        <v>96077.53</v>
      </c>
      <c r="Q559" s="32">
        <v>0</v>
      </c>
      <c r="R559" s="32">
        <v>0</v>
      </c>
      <c r="S559" s="32">
        <v>0</v>
      </c>
      <c r="T559" s="32">
        <v>0</v>
      </c>
      <c r="U559" s="32">
        <v>96077.53</v>
      </c>
      <c r="V559" s="32">
        <v>0</v>
      </c>
      <c r="W559" s="32">
        <v>2882.3258999999998</v>
      </c>
      <c r="X559" s="32">
        <v>93195.204100000003</v>
      </c>
      <c r="Y559" s="32">
        <v>93195.204100000003</v>
      </c>
      <c r="Z559" s="32">
        <v>96077.53</v>
      </c>
      <c r="AA559" s="32">
        <v>0</v>
      </c>
      <c r="AB559" s="32">
        <v>96077.53</v>
      </c>
      <c r="AC559" s="32" t="s">
        <v>537</v>
      </c>
      <c r="AD559" s="32"/>
      <c r="AE559" s="32">
        <v>96077.53</v>
      </c>
    </row>
    <row r="560" spans="1:31" x14ac:dyDescent="0.25">
      <c r="A560">
        <v>13193</v>
      </c>
      <c r="B560" t="s">
        <v>209</v>
      </c>
      <c r="C560" t="s">
        <v>210</v>
      </c>
      <c r="D560" s="35">
        <v>90503.54</v>
      </c>
      <c r="E560">
        <v>1246134807</v>
      </c>
      <c r="F560" s="321">
        <v>45597</v>
      </c>
      <c r="G560" s="321"/>
      <c r="H560" t="s">
        <v>172</v>
      </c>
      <c r="I560" t="s">
        <v>173</v>
      </c>
      <c r="J560">
        <v>3119</v>
      </c>
      <c r="K560" s="321">
        <v>45370</v>
      </c>
      <c r="L560">
        <v>1010100</v>
      </c>
      <c r="M560" t="s">
        <v>35</v>
      </c>
      <c r="N560">
        <v>545</v>
      </c>
      <c r="O560" s="32">
        <v>0</v>
      </c>
      <c r="P560" s="32">
        <v>90503.539999999979</v>
      </c>
      <c r="Q560" s="32">
        <v>0</v>
      </c>
      <c r="R560" s="32">
        <v>0</v>
      </c>
      <c r="S560" s="32">
        <v>0</v>
      </c>
      <c r="T560" s="32">
        <v>0</v>
      </c>
      <c r="U560" s="32">
        <v>90503.54</v>
      </c>
      <c r="V560" s="32">
        <v>0</v>
      </c>
      <c r="W560" s="32">
        <v>2715.1061999999997</v>
      </c>
      <c r="X560" s="32">
        <v>87788.433799999984</v>
      </c>
      <c r="Y560" s="32">
        <v>87788.433799999984</v>
      </c>
      <c r="Z560" s="32">
        <v>90503.54</v>
      </c>
      <c r="AA560" s="32">
        <v>0</v>
      </c>
      <c r="AB560" s="32">
        <v>90503.539999999979</v>
      </c>
      <c r="AC560" s="32" t="s">
        <v>537</v>
      </c>
      <c r="AD560" s="32"/>
      <c r="AE560" s="32">
        <v>90503.539999999979</v>
      </c>
    </row>
    <row r="561" spans="1:31" x14ac:dyDescent="0.25">
      <c r="A561">
        <v>13193</v>
      </c>
      <c r="B561" t="s">
        <v>209</v>
      </c>
      <c r="C561" t="s">
        <v>210</v>
      </c>
      <c r="D561" s="35">
        <v>90503.54</v>
      </c>
      <c r="E561">
        <v>1246134540</v>
      </c>
      <c r="F561" s="321">
        <v>45596</v>
      </c>
      <c r="G561" s="321"/>
      <c r="H561" t="s">
        <v>172</v>
      </c>
      <c r="I561" t="s">
        <v>173</v>
      </c>
      <c r="J561">
        <v>3110</v>
      </c>
      <c r="K561" s="321">
        <v>45369</v>
      </c>
      <c r="L561">
        <v>1010100</v>
      </c>
      <c r="M561" t="s">
        <v>35</v>
      </c>
      <c r="N561">
        <v>546</v>
      </c>
      <c r="O561" s="32">
        <v>0</v>
      </c>
      <c r="P561" s="32">
        <v>90503.539999999979</v>
      </c>
      <c r="Q561" s="32">
        <v>0</v>
      </c>
      <c r="R561" s="32">
        <v>0</v>
      </c>
      <c r="S561" s="32">
        <v>0</v>
      </c>
      <c r="T561" s="32">
        <v>0</v>
      </c>
      <c r="U561" s="32">
        <v>90503.54</v>
      </c>
      <c r="V561" s="32">
        <v>0</v>
      </c>
      <c r="W561" s="32">
        <v>2715.1061999999997</v>
      </c>
      <c r="X561" s="32">
        <v>87788.433799999984</v>
      </c>
      <c r="Y561" s="32">
        <v>87788.433799999984</v>
      </c>
      <c r="Z561" s="32">
        <v>90503.54</v>
      </c>
      <c r="AA561" s="32">
        <v>0</v>
      </c>
      <c r="AB561" s="32">
        <v>90503.539999999979</v>
      </c>
      <c r="AC561" s="32" t="s">
        <v>537</v>
      </c>
      <c r="AD561" s="32"/>
      <c r="AE561" s="32">
        <v>90503.539999999979</v>
      </c>
    </row>
    <row r="562" spans="1:31" x14ac:dyDescent="0.25">
      <c r="A562">
        <v>13193</v>
      </c>
      <c r="B562" t="s">
        <v>209</v>
      </c>
      <c r="C562" t="s">
        <v>210</v>
      </c>
      <c r="D562" s="35">
        <v>82776.289999999994</v>
      </c>
      <c r="E562">
        <v>1246139327</v>
      </c>
      <c r="F562" s="321">
        <v>45573</v>
      </c>
      <c r="G562" s="321"/>
      <c r="H562" t="s">
        <v>172</v>
      </c>
      <c r="I562" t="s">
        <v>173</v>
      </c>
      <c r="J562">
        <v>3272</v>
      </c>
      <c r="K562" s="321">
        <v>45393</v>
      </c>
      <c r="L562">
        <v>1010100</v>
      </c>
      <c r="M562" t="s">
        <v>35</v>
      </c>
      <c r="N562">
        <v>569</v>
      </c>
      <c r="O562" s="32">
        <v>0</v>
      </c>
      <c r="P562" s="32">
        <v>82776.289999999994</v>
      </c>
      <c r="Q562" s="32">
        <v>0</v>
      </c>
      <c r="R562" s="32">
        <v>0</v>
      </c>
      <c r="S562" s="32">
        <v>0</v>
      </c>
      <c r="T562" s="32">
        <v>0</v>
      </c>
      <c r="U562" s="32">
        <v>82776.289999999994</v>
      </c>
      <c r="V562" s="32">
        <v>0</v>
      </c>
      <c r="W562" s="32">
        <v>2483.2886999999996</v>
      </c>
      <c r="X562" s="32">
        <v>80293.001299999989</v>
      </c>
      <c r="Y562" s="32">
        <v>80293.001299999989</v>
      </c>
      <c r="Z562" s="32">
        <v>82776.289999999994</v>
      </c>
      <c r="AA562" s="32">
        <v>0</v>
      </c>
      <c r="AB562" s="32">
        <v>82776.289999999994</v>
      </c>
      <c r="AC562" s="32" t="s">
        <v>537</v>
      </c>
      <c r="AD562" s="32"/>
      <c r="AE562" s="32">
        <v>82776.289999999994</v>
      </c>
    </row>
    <row r="563" spans="1:31" x14ac:dyDescent="0.25">
      <c r="A563">
        <v>13193</v>
      </c>
      <c r="B563" t="s">
        <v>209</v>
      </c>
      <c r="C563" t="s">
        <v>210</v>
      </c>
      <c r="D563" s="35">
        <v>64051.68</v>
      </c>
      <c r="E563">
        <v>1246134828</v>
      </c>
      <c r="F563" s="321">
        <v>45597</v>
      </c>
      <c r="G563" s="321"/>
      <c r="H563" t="s">
        <v>172</v>
      </c>
      <c r="I563" t="s">
        <v>173</v>
      </c>
      <c r="J563">
        <v>3123</v>
      </c>
      <c r="K563" s="321">
        <v>45370</v>
      </c>
      <c r="L563">
        <v>1010100</v>
      </c>
      <c r="M563" t="s">
        <v>35</v>
      </c>
      <c r="N563">
        <v>545</v>
      </c>
      <c r="O563" s="32">
        <v>0</v>
      </c>
      <c r="P563" s="32">
        <v>64051.68</v>
      </c>
      <c r="Q563" s="32">
        <v>0</v>
      </c>
      <c r="R563" s="32">
        <v>0</v>
      </c>
      <c r="S563" s="32">
        <v>0</v>
      </c>
      <c r="T563" s="32">
        <v>0</v>
      </c>
      <c r="U563" s="32">
        <v>64051.68</v>
      </c>
      <c r="V563" s="32">
        <v>0</v>
      </c>
      <c r="W563" s="32">
        <v>1921.5503999999999</v>
      </c>
      <c r="X563" s="32">
        <v>62130.1296</v>
      </c>
      <c r="Y563" s="32">
        <v>62130.1296</v>
      </c>
      <c r="Z563" s="32">
        <v>64051.68</v>
      </c>
      <c r="AA563" s="32">
        <v>0</v>
      </c>
      <c r="AB563" s="32">
        <v>64051.68</v>
      </c>
      <c r="AC563" s="32" t="s">
        <v>537</v>
      </c>
      <c r="AD563" s="32"/>
      <c r="AE563" s="32">
        <v>64051.68</v>
      </c>
    </row>
    <row r="564" spans="1:31" x14ac:dyDescent="0.25">
      <c r="A564">
        <v>13193</v>
      </c>
      <c r="B564" t="s">
        <v>209</v>
      </c>
      <c r="C564" t="s">
        <v>210</v>
      </c>
      <c r="D564" s="35">
        <v>96077.53</v>
      </c>
      <c r="E564">
        <v>1246134926</v>
      </c>
      <c r="F564" s="321">
        <v>45598</v>
      </c>
      <c r="G564" s="321"/>
      <c r="H564" t="s">
        <v>172</v>
      </c>
      <c r="I564" t="s">
        <v>173</v>
      </c>
      <c r="J564">
        <v>3126</v>
      </c>
      <c r="K564" s="321">
        <v>45371</v>
      </c>
      <c r="L564">
        <v>1010100</v>
      </c>
      <c r="M564" t="s">
        <v>35</v>
      </c>
      <c r="N564">
        <v>544</v>
      </c>
      <c r="O564" s="32">
        <v>0</v>
      </c>
      <c r="P564" s="32">
        <v>96077.53</v>
      </c>
      <c r="Q564" s="32">
        <v>0</v>
      </c>
      <c r="R564" s="32">
        <v>0</v>
      </c>
      <c r="S564" s="32">
        <v>0</v>
      </c>
      <c r="T564" s="32">
        <v>0</v>
      </c>
      <c r="U564" s="32">
        <v>96077.53</v>
      </c>
      <c r="V564" s="32">
        <v>0</v>
      </c>
      <c r="W564" s="32">
        <v>2882.3258999999998</v>
      </c>
      <c r="X564" s="32">
        <v>93195.204100000003</v>
      </c>
      <c r="Y564" s="32">
        <v>93195.204100000003</v>
      </c>
      <c r="Z564" s="32">
        <v>96077.53</v>
      </c>
      <c r="AA564" s="32">
        <v>0</v>
      </c>
      <c r="AB564" s="32">
        <v>96077.53</v>
      </c>
      <c r="AC564" s="32" t="s">
        <v>537</v>
      </c>
      <c r="AD564" s="32"/>
      <c r="AE564" s="32">
        <v>96077.53</v>
      </c>
    </row>
    <row r="565" spans="1:31" x14ac:dyDescent="0.25">
      <c r="A565">
        <v>13193</v>
      </c>
      <c r="B565" t="s">
        <v>209</v>
      </c>
      <c r="C565" t="s">
        <v>210</v>
      </c>
      <c r="D565" s="35">
        <v>96077.53</v>
      </c>
      <c r="E565">
        <v>1246135475</v>
      </c>
      <c r="F565" s="321">
        <v>45600</v>
      </c>
      <c r="G565" s="321"/>
      <c r="H565" t="s">
        <v>172</v>
      </c>
      <c r="I565" t="s">
        <v>173</v>
      </c>
      <c r="J565">
        <v>3143</v>
      </c>
      <c r="K565" s="321">
        <v>45373</v>
      </c>
      <c r="L565">
        <v>1010100</v>
      </c>
      <c r="M565" t="s">
        <v>35</v>
      </c>
      <c r="N565">
        <v>542</v>
      </c>
      <c r="O565" s="32">
        <v>0</v>
      </c>
      <c r="P565" s="32">
        <v>96077.53</v>
      </c>
      <c r="Q565" s="32">
        <v>0</v>
      </c>
      <c r="R565" s="32">
        <v>0</v>
      </c>
      <c r="S565" s="32">
        <v>0</v>
      </c>
      <c r="T565" s="32">
        <v>0</v>
      </c>
      <c r="U565" s="32">
        <v>96077.53</v>
      </c>
      <c r="V565" s="32">
        <v>0</v>
      </c>
      <c r="W565" s="32">
        <v>2882.3258999999998</v>
      </c>
      <c r="X565" s="32">
        <v>93195.204100000003</v>
      </c>
      <c r="Y565" s="32">
        <v>93195.204100000003</v>
      </c>
      <c r="Z565" s="32">
        <v>96077.53</v>
      </c>
      <c r="AA565" s="32">
        <v>0</v>
      </c>
      <c r="AB565" s="32">
        <v>96077.53</v>
      </c>
      <c r="AC565" s="32" t="s">
        <v>537</v>
      </c>
      <c r="AD565" s="32"/>
      <c r="AE565" s="32">
        <v>96077.53</v>
      </c>
    </row>
    <row r="566" spans="1:31" x14ac:dyDescent="0.25">
      <c r="A566">
        <v>14094</v>
      </c>
      <c r="B566" t="s">
        <v>264</v>
      </c>
      <c r="C566" t="s">
        <v>265</v>
      </c>
      <c r="D566" s="35">
        <v>100</v>
      </c>
      <c r="E566">
        <v>1246154530</v>
      </c>
      <c r="F566" s="321">
        <v>45474</v>
      </c>
      <c r="G566" s="321"/>
      <c r="I566" t="s">
        <v>372</v>
      </c>
      <c r="J566">
        <v>4088</v>
      </c>
      <c r="K566" s="321">
        <v>45474</v>
      </c>
      <c r="L566">
        <v>4010300</v>
      </c>
      <c r="M566" t="s">
        <v>141</v>
      </c>
      <c r="N566">
        <v>668</v>
      </c>
      <c r="O566" s="32">
        <v>0</v>
      </c>
      <c r="P566" s="32">
        <v>100</v>
      </c>
      <c r="Q566" s="32">
        <v>0</v>
      </c>
      <c r="R566" s="32">
        <v>0</v>
      </c>
      <c r="S566" s="32">
        <v>0</v>
      </c>
      <c r="T566" s="32">
        <v>0</v>
      </c>
      <c r="U566" s="32">
        <v>100</v>
      </c>
      <c r="V566" s="32">
        <v>0</v>
      </c>
      <c r="W566" s="32">
        <v>3</v>
      </c>
      <c r="X566" s="32">
        <v>97</v>
      </c>
      <c r="Y566" s="32">
        <v>97</v>
      </c>
      <c r="Z566" s="32">
        <v>100</v>
      </c>
      <c r="AA566" s="32">
        <v>0</v>
      </c>
      <c r="AB566" s="32">
        <v>100</v>
      </c>
      <c r="AC566" s="32" t="s">
        <v>694</v>
      </c>
      <c r="AD566" s="32"/>
      <c r="AE566" s="32">
        <v>100</v>
      </c>
    </row>
    <row r="567" spans="1:31" x14ac:dyDescent="0.25">
      <c r="A567">
        <v>13873</v>
      </c>
      <c r="B567" t="s">
        <v>308</v>
      </c>
      <c r="C567" t="s">
        <v>309</v>
      </c>
      <c r="D567" s="35">
        <v>50</v>
      </c>
      <c r="E567">
        <v>1246166396</v>
      </c>
      <c r="F567" s="321">
        <v>45525</v>
      </c>
      <c r="G567" s="321"/>
      <c r="I567" t="s">
        <v>372</v>
      </c>
      <c r="J567">
        <v>4854</v>
      </c>
      <c r="K567" s="321">
        <v>45525</v>
      </c>
      <c r="L567">
        <v>4010300</v>
      </c>
      <c r="M567" t="s">
        <v>141</v>
      </c>
      <c r="N567">
        <v>617</v>
      </c>
      <c r="O567" s="32">
        <v>0</v>
      </c>
      <c r="P567" s="32">
        <v>50</v>
      </c>
      <c r="Q567" s="32">
        <v>0</v>
      </c>
      <c r="R567" s="32">
        <v>0</v>
      </c>
      <c r="S567" s="32">
        <v>0</v>
      </c>
      <c r="T567" s="32">
        <v>0</v>
      </c>
      <c r="U567" s="32">
        <v>50</v>
      </c>
      <c r="V567" s="32">
        <v>0</v>
      </c>
      <c r="W567" s="32">
        <v>1.5</v>
      </c>
      <c r="X567" s="32">
        <v>48.5</v>
      </c>
      <c r="Y567" s="32">
        <v>48.5</v>
      </c>
      <c r="Z567" s="32">
        <v>50</v>
      </c>
      <c r="AA567" s="32">
        <v>0</v>
      </c>
      <c r="AB567" s="32">
        <v>50</v>
      </c>
      <c r="AC567" s="32" t="s">
        <v>694</v>
      </c>
      <c r="AD567" s="32"/>
      <c r="AE567" s="32">
        <v>50</v>
      </c>
    </row>
    <row r="568" spans="1:31" x14ac:dyDescent="0.25">
      <c r="A568">
        <v>14106</v>
      </c>
      <c r="B568" t="s">
        <v>382</v>
      </c>
      <c r="C568" t="s">
        <v>383</v>
      </c>
      <c r="D568" s="35">
        <v>300</v>
      </c>
      <c r="E568">
        <v>1246182736</v>
      </c>
      <c r="F568" s="321">
        <v>45625</v>
      </c>
      <c r="G568" s="321"/>
      <c r="I568" t="s">
        <v>372</v>
      </c>
      <c r="J568">
        <v>6092</v>
      </c>
      <c r="K568" s="321">
        <v>45610</v>
      </c>
      <c r="L568">
        <v>1020400</v>
      </c>
      <c r="M568" t="s">
        <v>143</v>
      </c>
      <c r="N568">
        <v>517</v>
      </c>
      <c r="O568" s="32">
        <v>0</v>
      </c>
      <c r="P568" s="32">
        <v>300</v>
      </c>
      <c r="Q568" s="32">
        <v>0</v>
      </c>
      <c r="R568" s="32">
        <v>0</v>
      </c>
      <c r="S568" s="32">
        <v>0</v>
      </c>
      <c r="T568" s="32">
        <v>0</v>
      </c>
      <c r="U568" s="32">
        <v>300</v>
      </c>
      <c r="V568" s="32">
        <v>0</v>
      </c>
      <c r="W568" s="32">
        <v>9</v>
      </c>
      <c r="X568" s="32">
        <v>291</v>
      </c>
      <c r="Y568" s="32">
        <v>291</v>
      </c>
      <c r="Z568" s="32">
        <v>300</v>
      </c>
      <c r="AA568" s="32">
        <v>0</v>
      </c>
      <c r="AB568" s="32">
        <v>300</v>
      </c>
      <c r="AC568" s="32" t="s">
        <v>536</v>
      </c>
      <c r="AD568" s="32"/>
      <c r="AE568" s="32">
        <v>300</v>
      </c>
    </row>
    <row r="569" spans="1:31" x14ac:dyDescent="0.25">
      <c r="A569">
        <v>13567</v>
      </c>
      <c r="B569" t="s">
        <v>377</v>
      </c>
      <c r="C569" t="s">
        <v>378</v>
      </c>
      <c r="D569" s="35">
        <v>108547.57</v>
      </c>
      <c r="E569">
        <v>1246235061</v>
      </c>
      <c r="F569" s="321">
        <v>46143</v>
      </c>
      <c r="G569" s="321">
        <v>46146</v>
      </c>
      <c r="H569" t="s">
        <v>172</v>
      </c>
      <c r="I569" t="s">
        <v>173</v>
      </c>
      <c r="J569">
        <v>9184</v>
      </c>
      <c r="K569" s="321">
        <v>45904</v>
      </c>
      <c r="L569">
        <v>1010100</v>
      </c>
      <c r="M569" t="s">
        <v>35</v>
      </c>
      <c r="N569">
        <v>-1</v>
      </c>
      <c r="O569" s="32">
        <v>0</v>
      </c>
      <c r="P569" s="32">
        <v>0</v>
      </c>
      <c r="Q569" s="32">
        <v>108547.57</v>
      </c>
      <c r="R569" s="32">
        <v>0</v>
      </c>
      <c r="S569" s="32">
        <v>0</v>
      </c>
      <c r="T569" s="32">
        <v>0</v>
      </c>
      <c r="U569" s="32">
        <v>0</v>
      </c>
      <c r="V569" s="32">
        <v>0</v>
      </c>
      <c r="W569" s="32">
        <v>0</v>
      </c>
      <c r="X569" s="32">
        <v>0</v>
      </c>
      <c r="Y569" s="32">
        <v>0</v>
      </c>
      <c r="Z569" s="32">
        <v>0</v>
      </c>
      <c r="AA569" s="32">
        <v>0</v>
      </c>
      <c r="AB569" s="32">
        <v>0</v>
      </c>
      <c r="AC569" s="32" t="s">
        <v>472</v>
      </c>
      <c r="AD569" s="32"/>
      <c r="AE569" s="32">
        <v>0</v>
      </c>
    </row>
    <row r="570" spans="1:31" x14ac:dyDescent="0.25">
      <c r="A570">
        <v>13567</v>
      </c>
      <c r="B570" t="s">
        <v>377</v>
      </c>
      <c r="C570" t="s">
        <v>378</v>
      </c>
      <c r="D570" s="35">
        <v>114260.6</v>
      </c>
      <c r="E570">
        <v>1246235060</v>
      </c>
      <c r="F570" s="321">
        <v>46143</v>
      </c>
      <c r="G570" s="321">
        <v>46146</v>
      </c>
      <c r="H570" t="s">
        <v>172</v>
      </c>
      <c r="I570" t="s">
        <v>173</v>
      </c>
      <c r="J570">
        <v>9183</v>
      </c>
      <c r="K570" s="321">
        <v>45904</v>
      </c>
      <c r="L570">
        <v>1010100</v>
      </c>
      <c r="M570" t="s">
        <v>35</v>
      </c>
      <c r="N570">
        <v>-1</v>
      </c>
      <c r="O570" s="32">
        <v>0</v>
      </c>
      <c r="P570" s="32">
        <v>0</v>
      </c>
      <c r="Q570" s="32">
        <v>114260.6</v>
      </c>
      <c r="R570" s="32">
        <v>0</v>
      </c>
      <c r="S570" s="32">
        <v>0</v>
      </c>
      <c r="T570" s="32">
        <v>0</v>
      </c>
      <c r="U570" s="32">
        <v>0</v>
      </c>
      <c r="V570" s="32">
        <v>0</v>
      </c>
      <c r="W570" s="32">
        <v>0</v>
      </c>
      <c r="X570" s="32">
        <v>0</v>
      </c>
      <c r="Y570" s="32">
        <v>0</v>
      </c>
      <c r="Z570" s="32">
        <v>0</v>
      </c>
      <c r="AA570" s="32">
        <v>0</v>
      </c>
      <c r="AB570" s="32">
        <v>0</v>
      </c>
      <c r="AC570" s="32" t="s">
        <v>472</v>
      </c>
      <c r="AD570" s="32"/>
      <c r="AE570" s="32">
        <v>0</v>
      </c>
    </row>
    <row r="571" spans="1:31" x14ac:dyDescent="0.25">
      <c r="A571">
        <v>14948</v>
      </c>
      <c r="B571" t="s">
        <v>379</v>
      </c>
      <c r="C571" t="s">
        <v>380</v>
      </c>
      <c r="D571" s="35">
        <v>184217.94</v>
      </c>
      <c r="E571">
        <v>1246221983</v>
      </c>
      <c r="F571" s="321">
        <v>46138</v>
      </c>
      <c r="G571" s="321"/>
      <c r="H571" t="s">
        <v>172</v>
      </c>
      <c r="I571" t="s">
        <v>173</v>
      </c>
      <c r="J571">
        <v>8306</v>
      </c>
      <c r="K571" s="321">
        <v>45838</v>
      </c>
      <c r="L571">
        <v>1010100</v>
      </c>
      <c r="M571" t="s">
        <v>35</v>
      </c>
      <c r="N571">
        <v>4</v>
      </c>
      <c r="O571" s="32">
        <v>0</v>
      </c>
      <c r="P571" s="32">
        <v>0</v>
      </c>
      <c r="Q571" s="32">
        <v>0</v>
      </c>
      <c r="R571" s="32">
        <v>184217.94</v>
      </c>
      <c r="S571" s="32">
        <v>0</v>
      </c>
      <c r="T571" s="32">
        <v>0</v>
      </c>
      <c r="U571" s="32">
        <v>0</v>
      </c>
      <c r="V571" s="32">
        <v>0</v>
      </c>
      <c r="W571" s="32">
        <v>0</v>
      </c>
      <c r="X571" s="32">
        <v>0</v>
      </c>
      <c r="Y571" s="32">
        <v>0</v>
      </c>
      <c r="Z571" s="32">
        <v>0</v>
      </c>
      <c r="AA571" s="32">
        <v>0</v>
      </c>
      <c r="AB571" s="32">
        <v>0</v>
      </c>
      <c r="AC571" s="32" t="s">
        <v>472</v>
      </c>
      <c r="AD571" s="32"/>
      <c r="AE571" s="32">
        <v>0</v>
      </c>
    </row>
    <row r="572" spans="1:31" x14ac:dyDescent="0.25">
      <c r="A572">
        <v>15508</v>
      </c>
      <c r="B572" t="s">
        <v>567</v>
      </c>
      <c r="C572" t="s">
        <v>884</v>
      </c>
      <c r="D572" s="35">
        <v>137716.91</v>
      </c>
      <c r="E572">
        <v>1246270312</v>
      </c>
      <c r="F572" s="321">
        <v>46148</v>
      </c>
      <c r="G572" s="321"/>
      <c r="H572" t="s">
        <v>28</v>
      </c>
      <c r="I572" t="s">
        <v>29</v>
      </c>
      <c r="J572">
        <v>11050</v>
      </c>
      <c r="K572" s="321">
        <v>46118</v>
      </c>
      <c r="L572">
        <v>1010200</v>
      </c>
      <c r="M572" t="s">
        <v>124</v>
      </c>
      <c r="N572">
        <v>-6</v>
      </c>
      <c r="O572" s="32">
        <v>0</v>
      </c>
      <c r="P572" s="32">
        <v>0</v>
      </c>
      <c r="Q572" s="32">
        <v>137716.91</v>
      </c>
      <c r="R572" s="32">
        <v>0</v>
      </c>
      <c r="S572" s="32">
        <v>0</v>
      </c>
      <c r="T572" s="32">
        <v>0</v>
      </c>
      <c r="U572" s="32">
        <v>0</v>
      </c>
      <c r="V572" s="32">
        <v>0</v>
      </c>
      <c r="W572" s="32">
        <v>0</v>
      </c>
      <c r="X572" s="32">
        <v>0</v>
      </c>
      <c r="Y572" s="32">
        <v>0</v>
      </c>
      <c r="Z572" s="32">
        <v>0</v>
      </c>
      <c r="AA572" s="32">
        <v>0</v>
      </c>
      <c r="AB572" s="32">
        <v>0</v>
      </c>
      <c r="AC572" s="32" t="s">
        <v>472</v>
      </c>
      <c r="AD572" s="32"/>
      <c r="AE572" s="32">
        <v>0</v>
      </c>
    </row>
    <row r="573" spans="1:31" x14ac:dyDescent="0.25">
      <c r="A573">
        <v>14552</v>
      </c>
      <c r="B573" t="s">
        <v>334</v>
      </c>
      <c r="C573" t="s">
        <v>335</v>
      </c>
      <c r="D573" s="35">
        <v>194626</v>
      </c>
      <c r="E573">
        <v>1246240017</v>
      </c>
      <c r="F573" s="321">
        <v>46143</v>
      </c>
      <c r="G573" s="321">
        <v>46146</v>
      </c>
      <c r="H573" t="s">
        <v>172</v>
      </c>
      <c r="I573" t="s">
        <v>173</v>
      </c>
      <c r="J573">
        <v>9500</v>
      </c>
      <c r="K573" s="321">
        <v>45929</v>
      </c>
      <c r="L573">
        <v>1010100</v>
      </c>
      <c r="M573" t="s">
        <v>35</v>
      </c>
      <c r="N573">
        <v>-1</v>
      </c>
      <c r="O573" s="32">
        <v>0</v>
      </c>
      <c r="P573" s="32">
        <v>0</v>
      </c>
      <c r="Q573" s="32">
        <v>194626</v>
      </c>
      <c r="R573" s="32">
        <v>0</v>
      </c>
      <c r="S573" s="32">
        <v>0</v>
      </c>
      <c r="T573" s="32">
        <v>0</v>
      </c>
      <c r="U573" s="32">
        <v>0</v>
      </c>
      <c r="V573" s="32">
        <v>0</v>
      </c>
      <c r="W573" s="32">
        <v>0</v>
      </c>
      <c r="X573" s="32">
        <v>0</v>
      </c>
      <c r="Y573" s="32">
        <v>0</v>
      </c>
      <c r="Z573" s="32">
        <v>0</v>
      </c>
      <c r="AA573" s="32">
        <v>0</v>
      </c>
      <c r="AB573" s="32">
        <v>0</v>
      </c>
      <c r="AC573" s="32" t="s">
        <v>472</v>
      </c>
      <c r="AD573" s="32"/>
      <c r="AE573" s="32">
        <v>0</v>
      </c>
    </row>
    <row r="574" spans="1:31" x14ac:dyDescent="0.25">
      <c r="A574">
        <v>14552</v>
      </c>
      <c r="B574" t="s">
        <v>334</v>
      </c>
      <c r="C574" t="s">
        <v>335</v>
      </c>
      <c r="D574" s="35">
        <v>176320</v>
      </c>
      <c r="E574">
        <v>1246225706</v>
      </c>
      <c r="F574" s="321">
        <v>46145</v>
      </c>
      <c r="G574" s="321">
        <v>46146</v>
      </c>
      <c r="H574" t="s">
        <v>172</v>
      </c>
      <c r="I574" t="s">
        <v>173</v>
      </c>
      <c r="J574">
        <v>8525</v>
      </c>
      <c r="K574" s="321">
        <v>45855</v>
      </c>
      <c r="L574">
        <v>1010100</v>
      </c>
      <c r="M574" t="s">
        <v>35</v>
      </c>
      <c r="N574">
        <v>-3</v>
      </c>
      <c r="O574" s="32">
        <v>0</v>
      </c>
      <c r="P574" s="32">
        <v>0</v>
      </c>
      <c r="Q574" s="32">
        <v>176320</v>
      </c>
      <c r="R574" s="32">
        <v>0</v>
      </c>
      <c r="S574" s="32">
        <v>0</v>
      </c>
      <c r="T574" s="32">
        <v>0</v>
      </c>
      <c r="U574" s="32">
        <v>0</v>
      </c>
      <c r="V574" s="32">
        <v>0</v>
      </c>
      <c r="W574" s="32">
        <v>0</v>
      </c>
      <c r="X574" s="32">
        <v>0</v>
      </c>
      <c r="Y574" s="32">
        <v>0</v>
      </c>
      <c r="Z574" s="32">
        <v>0</v>
      </c>
      <c r="AA574" s="32">
        <v>0</v>
      </c>
      <c r="AB574" s="32">
        <v>0</v>
      </c>
      <c r="AC574" s="32" t="s">
        <v>472</v>
      </c>
      <c r="AD574" s="32"/>
      <c r="AE574" s="32">
        <v>0</v>
      </c>
    </row>
    <row r="575" spans="1:31" x14ac:dyDescent="0.25">
      <c r="A575">
        <v>14552</v>
      </c>
      <c r="B575" t="s">
        <v>334</v>
      </c>
      <c r="C575" t="s">
        <v>335</v>
      </c>
      <c r="D575" s="35">
        <v>112043</v>
      </c>
      <c r="E575">
        <v>1246240517</v>
      </c>
      <c r="F575" s="321">
        <v>46144</v>
      </c>
      <c r="G575" s="321">
        <v>46146</v>
      </c>
      <c r="H575" t="s">
        <v>172</v>
      </c>
      <c r="I575" t="s">
        <v>173</v>
      </c>
      <c r="J575">
        <v>9522</v>
      </c>
      <c r="K575" s="321">
        <v>45930</v>
      </c>
      <c r="L575">
        <v>1010100</v>
      </c>
      <c r="M575" t="s">
        <v>35</v>
      </c>
      <c r="N575">
        <v>-2</v>
      </c>
      <c r="O575" s="32">
        <v>0</v>
      </c>
      <c r="P575" s="32">
        <v>0</v>
      </c>
      <c r="Q575" s="32">
        <v>112043</v>
      </c>
      <c r="R575" s="32">
        <v>0</v>
      </c>
      <c r="S575" s="32">
        <v>0</v>
      </c>
      <c r="T575" s="32">
        <v>0</v>
      </c>
      <c r="U575" s="32">
        <v>0</v>
      </c>
      <c r="V575" s="32">
        <v>0</v>
      </c>
      <c r="W575" s="32">
        <v>0</v>
      </c>
      <c r="X575" s="32">
        <v>0</v>
      </c>
      <c r="Y575" s="32">
        <v>0</v>
      </c>
      <c r="Z575" s="32">
        <v>0</v>
      </c>
      <c r="AA575" s="32">
        <v>0</v>
      </c>
      <c r="AB575" s="32">
        <v>0</v>
      </c>
      <c r="AC575" s="32" t="s">
        <v>472</v>
      </c>
      <c r="AD575" s="32"/>
      <c r="AE575" s="32">
        <v>0</v>
      </c>
    </row>
    <row r="576" spans="1:31" x14ac:dyDescent="0.25">
      <c r="A576">
        <v>14848</v>
      </c>
      <c r="B576" t="s">
        <v>376</v>
      </c>
      <c r="C576" t="s">
        <v>651</v>
      </c>
      <c r="D576" s="35">
        <v>207773.56999999998</v>
      </c>
      <c r="E576">
        <v>1246230064</v>
      </c>
      <c r="F576" s="321">
        <v>46162</v>
      </c>
      <c r="G576" s="321"/>
      <c r="H576" t="s">
        <v>172</v>
      </c>
      <c r="I576" t="s">
        <v>173</v>
      </c>
      <c r="J576">
        <v>8811</v>
      </c>
      <c r="K576" s="321">
        <v>45877</v>
      </c>
      <c r="L576">
        <v>1010100</v>
      </c>
      <c r="M576" t="s">
        <v>35</v>
      </c>
      <c r="N576">
        <v>-20</v>
      </c>
      <c r="O576" s="32">
        <v>0</v>
      </c>
      <c r="P576" s="32">
        <v>0</v>
      </c>
      <c r="Q576" s="32">
        <v>207773.56999999998</v>
      </c>
      <c r="R576" s="32">
        <v>0</v>
      </c>
      <c r="S576" s="32">
        <v>0</v>
      </c>
      <c r="T576" s="32">
        <v>0</v>
      </c>
      <c r="U576" s="32">
        <v>0</v>
      </c>
      <c r="V576" s="32">
        <v>0</v>
      </c>
      <c r="W576" s="32">
        <v>0</v>
      </c>
      <c r="X576" s="32">
        <v>0</v>
      </c>
      <c r="Y576" s="32">
        <v>0</v>
      </c>
      <c r="Z576" s="32">
        <v>0</v>
      </c>
      <c r="AA576" s="32">
        <v>0</v>
      </c>
      <c r="AB576" s="32">
        <v>0</v>
      </c>
      <c r="AC576" s="32" t="s">
        <v>472</v>
      </c>
      <c r="AD576" s="32"/>
      <c r="AE576" s="32">
        <v>0</v>
      </c>
    </row>
    <row r="577" spans="1:31" x14ac:dyDescent="0.25">
      <c r="A577">
        <v>14848</v>
      </c>
      <c r="B577" t="s">
        <v>376</v>
      </c>
      <c r="C577" t="s">
        <v>651</v>
      </c>
      <c r="D577" s="35">
        <v>121554.34</v>
      </c>
      <c r="E577">
        <v>1246230701</v>
      </c>
      <c r="F577" s="321">
        <v>46164</v>
      </c>
      <c r="G577" s="321"/>
      <c r="H577" t="s">
        <v>172</v>
      </c>
      <c r="I577" t="s">
        <v>173</v>
      </c>
      <c r="J577">
        <v>8856</v>
      </c>
      <c r="K577" s="321">
        <v>45881</v>
      </c>
      <c r="L577">
        <v>1010100</v>
      </c>
      <c r="M577" t="s">
        <v>35</v>
      </c>
      <c r="N577">
        <v>-22</v>
      </c>
      <c r="O577" s="32">
        <v>0</v>
      </c>
      <c r="P577" s="32">
        <v>0</v>
      </c>
      <c r="Q577" s="32">
        <v>121554.34</v>
      </c>
      <c r="R577" s="32">
        <v>0</v>
      </c>
      <c r="S577" s="32">
        <v>0</v>
      </c>
      <c r="T577" s="32">
        <v>0</v>
      </c>
      <c r="U577" s="32">
        <v>0</v>
      </c>
      <c r="V577" s="32">
        <v>0</v>
      </c>
      <c r="W577" s="32">
        <v>0</v>
      </c>
      <c r="X577" s="32">
        <v>0</v>
      </c>
      <c r="Y577" s="32">
        <v>0</v>
      </c>
      <c r="Z577" s="32">
        <v>0</v>
      </c>
      <c r="AA577" s="32">
        <v>0</v>
      </c>
      <c r="AB577" s="32">
        <v>0</v>
      </c>
      <c r="AC577" s="32" t="s">
        <v>472</v>
      </c>
      <c r="AD577" s="32"/>
      <c r="AE577" s="32">
        <v>0</v>
      </c>
    </row>
    <row r="578" spans="1:31" x14ac:dyDescent="0.25">
      <c r="A578">
        <v>14396</v>
      </c>
      <c r="B578" t="s">
        <v>269</v>
      </c>
      <c r="C578" t="s">
        <v>270</v>
      </c>
      <c r="D578" s="35">
        <v>137598</v>
      </c>
      <c r="E578">
        <v>1246163527</v>
      </c>
      <c r="F578" s="321">
        <v>45779</v>
      </c>
      <c r="G578" s="321"/>
      <c r="H578" t="s">
        <v>172</v>
      </c>
      <c r="I578" t="s">
        <v>173</v>
      </c>
      <c r="J578">
        <v>4649</v>
      </c>
      <c r="K578" s="321">
        <v>45511</v>
      </c>
      <c r="L578">
        <v>1010100</v>
      </c>
      <c r="M578" t="s">
        <v>35</v>
      </c>
      <c r="N578">
        <v>363</v>
      </c>
      <c r="O578" s="32">
        <v>0</v>
      </c>
      <c r="P578" s="32">
        <v>137598</v>
      </c>
      <c r="Q578" s="32">
        <v>0</v>
      </c>
      <c r="R578" s="32">
        <v>0</v>
      </c>
      <c r="S578" s="32">
        <v>0</v>
      </c>
      <c r="T578" s="32">
        <v>0</v>
      </c>
      <c r="U578" s="32">
        <v>137598</v>
      </c>
      <c r="V578" s="32">
        <v>0</v>
      </c>
      <c r="W578" s="32">
        <v>4127.9399999999996</v>
      </c>
      <c r="X578" s="32">
        <v>133470.06</v>
      </c>
      <c r="Y578" s="32">
        <v>133470.06</v>
      </c>
      <c r="Z578" s="32">
        <v>0</v>
      </c>
      <c r="AA578" s="32">
        <v>0</v>
      </c>
      <c r="AB578" s="32">
        <v>137598</v>
      </c>
      <c r="AC578" s="32" t="s">
        <v>536</v>
      </c>
      <c r="AD578" s="32"/>
      <c r="AE578" s="32">
        <v>0</v>
      </c>
    </row>
    <row r="579" spans="1:31" x14ac:dyDescent="0.25">
      <c r="A579">
        <v>14396</v>
      </c>
      <c r="B579" t="s">
        <v>269</v>
      </c>
      <c r="C579" t="s">
        <v>270</v>
      </c>
      <c r="D579" s="35">
        <v>121086.24</v>
      </c>
      <c r="E579">
        <v>1246160799</v>
      </c>
      <c r="F579" s="321">
        <v>45779</v>
      </c>
      <c r="G579" s="321"/>
      <c r="H579" t="s">
        <v>172</v>
      </c>
      <c r="I579" t="s">
        <v>173</v>
      </c>
      <c r="J579">
        <v>4489</v>
      </c>
      <c r="K579" s="321">
        <v>45499</v>
      </c>
      <c r="L579">
        <v>1010100</v>
      </c>
      <c r="M579" t="s">
        <v>35</v>
      </c>
      <c r="N579">
        <v>363</v>
      </c>
      <c r="O579" s="32">
        <v>0</v>
      </c>
      <c r="P579" s="32">
        <v>121086.23999999999</v>
      </c>
      <c r="Q579" s="32">
        <v>0</v>
      </c>
      <c r="R579" s="32">
        <v>0</v>
      </c>
      <c r="S579" s="32">
        <v>0</v>
      </c>
      <c r="T579" s="32">
        <v>0</v>
      </c>
      <c r="U579" s="32">
        <v>121086.24</v>
      </c>
      <c r="V579" s="32">
        <v>0</v>
      </c>
      <c r="W579" s="32">
        <v>3632.5871999999999</v>
      </c>
      <c r="X579" s="32">
        <v>117453.6528</v>
      </c>
      <c r="Y579" s="32">
        <v>117453.6528</v>
      </c>
      <c r="Z579" s="32">
        <v>0</v>
      </c>
      <c r="AA579" s="32">
        <v>0</v>
      </c>
      <c r="AB579" s="32">
        <v>121086.23999999999</v>
      </c>
      <c r="AC579" s="32" t="s">
        <v>536</v>
      </c>
      <c r="AD579" s="32"/>
      <c r="AE579" s="32">
        <v>0</v>
      </c>
    </row>
    <row r="580" spans="1:31" x14ac:dyDescent="0.25">
      <c r="A580">
        <v>14396</v>
      </c>
      <c r="B580" t="s">
        <v>269</v>
      </c>
      <c r="C580" t="s">
        <v>270</v>
      </c>
      <c r="D580" s="35">
        <v>145692</v>
      </c>
      <c r="E580">
        <v>1246160793</v>
      </c>
      <c r="F580" s="321">
        <v>45779</v>
      </c>
      <c r="G580" s="321"/>
      <c r="H580" t="s">
        <v>172</v>
      </c>
      <c r="I580" t="s">
        <v>173</v>
      </c>
      <c r="J580">
        <v>4485</v>
      </c>
      <c r="K580" s="321">
        <v>45499</v>
      </c>
      <c r="L580">
        <v>1010100</v>
      </c>
      <c r="M580" t="s">
        <v>35</v>
      </c>
      <c r="N580">
        <v>363</v>
      </c>
      <c r="O580" s="32">
        <v>0</v>
      </c>
      <c r="P580" s="32">
        <v>145692</v>
      </c>
      <c r="Q580" s="32">
        <v>0</v>
      </c>
      <c r="R580" s="32">
        <v>0</v>
      </c>
      <c r="S580" s="32">
        <v>0</v>
      </c>
      <c r="T580" s="32">
        <v>0</v>
      </c>
      <c r="U580" s="32">
        <v>145692</v>
      </c>
      <c r="V580" s="32">
        <v>0</v>
      </c>
      <c r="W580" s="32">
        <v>4370.76</v>
      </c>
      <c r="X580" s="32">
        <v>141321.24</v>
      </c>
      <c r="Y580" s="32">
        <v>141321.24</v>
      </c>
      <c r="Z580" s="32">
        <v>0</v>
      </c>
      <c r="AA580" s="32">
        <v>0</v>
      </c>
      <c r="AB580" s="32">
        <v>145692</v>
      </c>
      <c r="AC580" s="32" t="s">
        <v>536</v>
      </c>
      <c r="AD580" s="32"/>
      <c r="AE580" s="32">
        <v>0</v>
      </c>
    </row>
    <row r="581" spans="1:31" x14ac:dyDescent="0.25">
      <c r="A581">
        <v>14396</v>
      </c>
      <c r="B581" t="s">
        <v>269</v>
      </c>
      <c r="C581" t="s">
        <v>270</v>
      </c>
      <c r="D581" s="35">
        <v>121410</v>
      </c>
      <c r="E581">
        <v>1246180565</v>
      </c>
      <c r="F581" s="321">
        <v>45776</v>
      </c>
      <c r="G581" s="321"/>
      <c r="H581" t="s">
        <v>172</v>
      </c>
      <c r="I581" t="s">
        <v>173</v>
      </c>
      <c r="J581">
        <v>5953</v>
      </c>
      <c r="K581" s="321">
        <v>45600</v>
      </c>
      <c r="L581">
        <v>1010100</v>
      </c>
      <c r="M581" t="s">
        <v>35</v>
      </c>
      <c r="N581">
        <v>366</v>
      </c>
      <c r="O581" s="32">
        <v>0</v>
      </c>
      <c r="P581" s="32">
        <v>121410</v>
      </c>
      <c r="Q581" s="32">
        <v>0</v>
      </c>
      <c r="R581" s="32">
        <v>0</v>
      </c>
      <c r="S581" s="32">
        <v>0</v>
      </c>
      <c r="T581" s="32">
        <v>0</v>
      </c>
      <c r="U581" s="32">
        <v>121410</v>
      </c>
      <c r="V581" s="32">
        <v>0</v>
      </c>
      <c r="W581" s="32">
        <v>3642.2999999999997</v>
      </c>
      <c r="X581" s="32">
        <v>117767.7</v>
      </c>
      <c r="Y581" s="32">
        <v>117767.7</v>
      </c>
      <c r="Z581" s="32">
        <v>0</v>
      </c>
      <c r="AA581" s="32">
        <v>0</v>
      </c>
      <c r="AB581" s="32">
        <v>121410</v>
      </c>
      <c r="AC581" s="32" t="s">
        <v>536</v>
      </c>
      <c r="AD581" s="32"/>
      <c r="AE581" s="32">
        <v>0</v>
      </c>
    </row>
    <row r="582" spans="1:31" x14ac:dyDescent="0.25">
      <c r="A582">
        <v>14396</v>
      </c>
      <c r="B582" t="s">
        <v>269</v>
      </c>
      <c r="C582" t="s">
        <v>270</v>
      </c>
      <c r="D582" s="35">
        <v>171360</v>
      </c>
      <c r="E582">
        <v>1246202562</v>
      </c>
      <c r="F582" s="321">
        <v>45930</v>
      </c>
      <c r="G582" s="321"/>
      <c r="H582" t="s">
        <v>172</v>
      </c>
      <c r="I582" t="s">
        <v>173</v>
      </c>
      <c r="J582">
        <v>7204</v>
      </c>
      <c r="K582" s="321">
        <v>45728</v>
      </c>
      <c r="L582">
        <v>1010100</v>
      </c>
      <c r="M582" t="s">
        <v>35</v>
      </c>
      <c r="N582">
        <v>212</v>
      </c>
      <c r="O582" s="32">
        <v>0</v>
      </c>
      <c r="P582" s="32">
        <v>5140.8</v>
      </c>
      <c r="Q582" s="32">
        <v>0</v>
      </c>
      <c r="R582" s="32">
        <v>0</v>
      </c>
      <c r="S582" s="32">
        <v>0</v>
      </c>
      <c r="T582" s="32">
        <v>171360</v>
      </c>
      <c r="U582" s="32">
        <v>0</v>
      </c>
      <c r="V582" s="32">
        <v>0</v>
      </c>
      <c r="W582" s="32">
        <v>5140.8</v>
      </c>
      <c r="X582" s="32">
        <v>0</v>
      </c>
      <c r="Y582" s="32">
        <v>0</v>
      </c>
      <c r="Z582" s="32">
        <v>0</v>
      </c>
      <c r="AA582" s="32">
        <v>0</v>
      </c>
      <c r="AB582" s="32">
        <v>5140.8</v>
      </c>
      <c r="AC582" s="32" t="s">
        <v>536</v>
      </c>
      <c r="AD582" s="32"/>
      <c r="AE582" s="32">
        <v>0</v>
      </c>
    </row>
    <row r="583" spans="1:31" x14ac:dyDescent="0.25">
      <c r="A583">
        <v>14396</v>
      </c>
      <c r="B583" t="s">
        <v>269</v>
      </c>
      <c r="C583" t="s">
        <v>270</v>
      </c>
      <c r="D583" s="35">
        <v>4000</v>
      </c>
      <c r="E583">
        <v>1246203613</v>
      </c>
      <c r="F583" s="321">
        <v>45920</v>
      </c>
      <c r="G583" s="321"/>
      <c r="H583" t="s">
        <v>172</v>
      </c>
      <c r="I583" t="s">
        <v>173</v>
      </c>
      <c r="J583">
        <v>7286</v>
      </c>
      <c r="K583" s="321">
        <v>45735</v>
      </c>
      <c r="L583">
        <v>1010100</v>
      </c>
      <c r="M583" t="s">
        <v>35</v>
      </c>
      <c r="N583">
        <v>222</v>
      </c>
      <c r="O583" s="32">
        <v>0</v>
      </c>
      <c r="P583" s="32">
        <v>120</v>
      </c>
      <c r="Q583" s="32">
        <v>0</v>
      </c>
      <c r="R583" s="32">
        <v>0</v>
      </c>
      <c r="S583" s="32">
        <v>0</v>
      </c>
      <c r="T583" s="32">
        <v>4000</v>
      </c>
      <c r="U583" s="32">
        <v>0</v>
      </c>
      <c r="V583" s="32">
        <v>0</v>
      </c>
      <c r="W583" s="32">
        <v>120</v>
      </c>
      <c r="X583" s="32">
        <v>0</v>
      </c>
      <c r="Y583" s="32">
        <v>0</v>
      </c>
      <c r="Z583" s="32">
        <v>4000</v>
      </c>
      <c r="AA583" s="32">
        <v>0</v>
      </c>
      <c r="AB583" s="32">
        <v>120</v>
      </c>
      <c r="AC583" s="32" t="s">
        <v>536</v>
      </c>
      <c r="AD583" s="32"/>
      <c r="AE583" s="32">
        <v>120</v>
      </c>
    </row>
    <row r="584" spans="1:31" x14ac:dyDescent="0.25">
      <c r="A584">
        <v>14396</v>
      </c>
      <c r="B584" t="s">
        <v>269</v>
      </c>
      <c r="C584" t="s">
        <v>270</v>
      </c>
      <c r="D584" s="35">
        <v>139680</v>
      </c>
      <c r="E584">
        <v>1246199147</v>
      </c>
      <c r="F584" s="321">
        <v>45889</v>
      </c>
      <c r="G584" s="321"/>
      <c r="H584" t="s">
        <v>172</v>
      </c>
      <c r="I584" t="s">
        <v>173</v>
      </c>
      <c r="J584">
        <v>6996</v>
      </c>
      <c r="K584" s="321">
        <v>45706</v>
      </c>
      <c r="L584">
        <v>1010100</v>
      </c>
      <c r="M584" t="s">
        <v>35</v>
      </c>
      <c r="N584">
        <v>253</v>
      </c>
      <c r="O584" s="32">
        <v>0</v>
      </c>
      <c r="P584" s="32">
        <v>4190.3999999999996</v>
      </c>
      <c r="Q584" s="32">
        <v>0</v>
      </c>
      <c r="R584" s="32">
        <v>0</v>
      </c>
      <c r="S584" s="32">
        <v>0</v>
      </c>
      <c r="T584" s="32">
        <v>139680</v>
      </c>
      <c r="U584" s="32">
        <v>0</v>
      </c>
      <c r="V584" s="32">
        <v>0</v>
      </c>
      <c r="W584" s="32">
        <v>4190.3999999999996</v>
      </c>
      <c r="X584" s="32">
        <v>0</v>
      </c>
      <c r="Y584" s="32">
        <v>0</v>
      </c>
      <c r="Z584" s="32">
        <v>0</v>
      </c>
      <c r="AA584" s="32">
        <v>0</v>
      </c>
      <c r="AB584" s="32">
        <v>4190.3999999999996</v>
      </c>
      <c r="AC584" s="32" t="s">
        <v>536</v>
      </c>
      <c r="AD584" s="32"/>
      <c r="AE584" s="32">
        <v>0</v>
      </c>
    </row>
    <row r="585" spans="1:31" x14ac:dyDescent="0.25">
      <c r="A585">
        <v>14396</v>
      </c>
      <c r="B585" t="s">
        <v>269</v>
      </c>
      <c r="C585" t="s">
        <v>270</v>
      </c>
      <c r="D585" s="35">
        <v>139680</v>
      </c>
      <c r="E585">
        <v>1246199209</v>
      </c>
      <c r="F585" s="321">
        <v>45889</v>
      </c>
      <c r="G585" s="321"/>
      <c r="H585" t="s">
        <v>172</v>
      </c>
      <c r="I585" t="s">
        <v>173</v>
      </c>
      <c r="J585">
        <v>7005</v>
      </c>
      <c r="K585" s="321">
        <v>45706</v>
      </c>
      <c r="L585">
        <v>1010100</v>
      </c>
      <c r="M585" t="s">
        <v>35</v>
      </c>
      <c r="N585">
        <v>253</v>
      </c>
      <c r="O585" s="32">
        <v>0</v>
      </c>
      <c r="P585" s="32">
        <v>4190.3999999999996</v>
      </c>
      <c r="Q585" s="32">
        <v>0</v>
      </c>
      <c r="R585" s="32">
        <v>0</v>
      </c>
      <c r="S585" s="32">
        <v>0</v>
      </c>
      <c r="T585" s="32">
        <v>139680</v>
      </c>
      <c r="U585" s="32">
        <v>0</v>
      </c>
      <c r="V585" s="32">
        <v>0</v>
      </c>
      <c r="W585" s="32">
        <v>4190.3999999999996</v>
      </c>
      <c r="X585" s="32">
        <v>0</v>
      </c>
      <c r="Y585" s="32">
        <v>0</v>
      </c>
      <c r="Z585" s="32">
        <v>0</v>
      </c>
      <c r="AA585" s="32">
        <v>0</v>
      </c>
      <c r="AB585" s="32">
        <v>4190.3999999999996</v>
      </c>
      <c r="AC585" s="32" t="s">
        <v>536</v>
      </c>
      <c r="AD585" s="32"/>
      <c r="AE585" s="32">
        <v>0</v>
      </c>
    </row>
    <row r="586" spans="1:31" x14ac:dyDescent="0.25">
      <c r="A586">
        <v>14396</v>
      </c>
      <c r="B586" t="s">
        <v>269</v>
      </c>
      <c r="C586" t="s">
        <v>270</v>
      </c>
      <c r="D586" s="35">
        <v>8000</v>
      </c>
      <c r="E586">
        <v>1246205781</v>
      </c>
      <c r="F586" s="321">
        <v>45920</v>
      </c>
      <c r="G586" s="321"/>
      <c r="H586" t="s">
        <v>172</v>
      </c>
      <c r="I586" t="s">
        <v>173</v>
      </c>
      <c r="J586">
        <v>7423</v>
      </c>
      <c r="K586" s="321">
        <v>45744</v>
      </c>
      <c r="L586">
        <v>1010100</v>
      </c>
      <c r="M586" t="s">
        <v>35</v>
      </c>
      <c r="N586">
        <v>222</v>
      </c>
      <c r="O586" s="32">
        <v>0</v>
      </c>
      <c r="P586" s="32">
        <v>240</v>
      </c>
      <c r="Q586" s="32">
        <v>0</v>
      </c>
      <c r="R586" s="32">
        <v>0</v>
      </c>
      <c r="S586" s="32">
        <v>0</v>
      </c>
      <c r="T586" s="32">
        <v>8000</v>
      </c>
      <c r="U586" s="32">
        <v>0</v>
      </c>
      <c r="V586" s="32">
        <v>0</v>
      </c>
      <c r="W586" s="32">
        <v>240</v>
      </c>
      <c r="X586" s="32">
        <v>0</v>
      </c>
      <c r="Y586" s="32">
        <v>0</v>
      </c>
      <c r="Z586" s="32">
        <v>8000</v>
      </c>
      <c r="AA586" s="32">
        <v>0</v>
      </c>
      <c r="AB586" s="32">
        <v>240</v>
      </c>
      <c r="AC586" s="32" t="s">
        <v>536</v>
      </c>
      <c r="AD586" s="32"/>
      <c r="AE586" s="32">
        <v>240</v>
      </c>
    </row>
    <row r="587" spans="1:31" x14ac:dyDescent="0.25">
      <c r="A587">
        <v>15543</v>
      </c>
      <c r="B587" t="s">
        <v>826</v>
      </c>
      <c r="C587" t="s">
        <v>827</v>
      </c>
      <c r="D587" s="35">
        <v>45718.46</v>
      </c>
      <c r="E587">
        <v>1246264533</v>
      </c>
      <c r="F587" s="321">
        <v>46181</v>
      </c>
      <c r="G587" s="321"/>
      <c r="I587" t="s">
        <v>372</v>
      </c>
      <c r="J587">
        <v>10745</v>
      </c>
      <c r="K587" s="321">
        <v>46076</v>
      </c>
      <c r="L587">
        <v>1010200</v>
      </c>
      <c r="M587" t="s">
        <v>124</v>
      </c>
      <c r="N587">
        <v>-39</v>
      </c>
      <c r="O587" s="32">
        <v>0</v>
      </c>
      <c r="P587" s="32">
        <v>0</v>
      </c>
      <c r="Q587" s="32">
        <v>45718.46</v>
      </c>
      <c r="R587" s="32">
        <v>0</v>
      </c>
      <c r="S587" s="32">
        <v>0</v>
      </c>
      <c r="T587" s="32">
        <v>0</v>
      </c>
      <c r="U587" s="32">
        <v>0</v>
      </c>
      <c r="V587" s="32">
        <v>0</v>
      </c>
      <c r="W587" s="32">
        <v>0</v>
      </c>
      <c r="X587" s="32">
        <v>0</v>
      </c>
      <c r="Y587" s="32">
        <v>0</v>
      </c>
      <c r="Z587" s="32">
        <v>0</v>
      </c>
      <c r="AA587" s="32">
        <v>0</v>
      </c>
      <c r="AB587" s="32">
        <v>0</v>
      </c>
      <c r="AC587" s="32" t="s">
        <v>472</v>
      </c>
      <c r="AD587" s="32"/>
      <c r="AE587" s="32">
        <v>0</v>
      </c>
    </row>
    <row r="588" spans="1:31" x14ac:dyDescent="0.25">
      <c r="A588">
        <v>16032</v>
      </c>
      <c r="B588" t="s">
        <v>828</v>
      </c>
      <c r="C588" t="s">
        <v>829</v>
      </c>
      <c r="D588" s="35">
        <v>583.34</v>
      </c>
      <c r="E588">
        <v>1246264383</v>
      </c>
      <c r="F588" s="321">
        <v>46163</v>
      </c>
      <c r="G588" s="321"/>
      <c r="I588" t="s">
        <v>372</v>
      </c>
      <c r="J588">
        <v>10732</v>
      </c>
      <c r="K588" s="321">
        <v>46073</v>
      </c>
      <c r="L588">
        <v>4011600</v>
      </c>
      <c r="M588" t="s">
        <v>692</v>
      </c>
      <c r="N588">
        <v>-21</v>
      </c>
      <c r="O588" s="32">
        <v>0</v>
      </c>
      <c r="P588" s="32">
        <v>0</v>
      </c>
      <c r="Q588" s="32">
        <v>583.34</v>
      </c>
      <c r="R588" s="32">
        <v>0</v>
      </c>
      <c r="S588" s="32">
        <v>0</v>
      </c>
      <c r="T588" s="32">
        <v>0</v>
      </c>
      <c r="U588" s="32">
        <v>0</v>
      </c>
      <c r="V588" s="32">
        <v>0</v>
      </c>
      <c r="W588" s="32">
        <v>0</v>
      </c>
      <c r="X588" s="32">
        <v>0</v>
      </c>
      <c r="Y588" s="32">
        <v>0</v>
      </c>
      <c r="Z588" s="32">
        <v>0</v>
      </c>
      <c r="AA588" s="32">
        <v>0</v>
      </c>
      <c r="AB588" s="32">
        <v>0</v>
      </c>
      <c r="AC588" s="32" t="s">
        <v>472</v>
      </c>
      <c r="AD588" s="32"/>
      <c r="AE588" s="32">
        <v>0</v>
      </c>
    </row>
    <row r="589" spans="1:31" x14ac:dyDescent="0.25">
      <c r="A589">
        <v>16107</v>
      </c>
      <c r="B589" t="s">
        <v>577</v>
      </c>
      <c r="C589" t="s">
        <v>578</v>
      </c>
      <c r="D589" s="35">
        <v>58579.74</v>
      </c>
      <c r="E589">
        <v>1246235692</v>
      </c>
      <c r="F589" s="321">
        <v>46265</v>
      </c>
      <c r="G589" s="321"/>
      <c r="H589" t="s">
        <v>172</v>
      </c>
      <c r="I589" t="s">
        <v>173</v>
      </c>
      <c r="J589">
        <v>9246</v>
      </c>
      <c r="K589" s="321">
        <v>45908</v>
      </c>
      <c r="L589">
        <v>1010100</v>
      </c>
      <c r="M589" t="s">
        <v>35</v>
      </c>
      <c r="N589">
        <v>-123</v>
      </c>
      <c r="O589" s="32">
        <v>0</v>
      </c>
      <c r="P589" s="32">
        <v>0</v>
      </c>
      <c r="Q589" s="32">
        <v>58579.74</v>
      </c>
      <c r="R589" s="32">
        <v>0</v>
      </c>
      <c r="S589" s="32">
        <v>0</v>
      </c>
      <c r="T589" s="32">
        <v>0</v>
      </c>
      <c r="U589" s="32">
        <v>0</v>
      </c>
      <c r="V589" s="32">
        <v>0</v>
      </c>
      <c r="W589" s="32">
        <v>0</v>
      </c>
      <c r="X589" s="32">
        <v>0</v>
      </c>
      <c r="Y589" s="32">
        <v>0</v>
      </c>
      <c r="Z589" s="32">
        <v>0</v>
      </c>
      <c r="AA589" s="32">
        <v>0</v>
      </c>
      <c r="AB589" s="32">
        <v>0</v>
      </c>
      <c r="AC589" s="32" t="s">
        <v>472</v>
      </c>
      <c r="AD589" s="32"/>
      <c r="AE589" s="32">
        <v>0</v>
      </c>
    </row>
    <row r="590" spans="1:31" x14ac:dyDescent="0.25">
      <c r="A590">
        <v>16107</v>
      </c>
      <c r="B590" t="s">
        <v>577</v>
      </c>
      <c r="C590" t="s">
        <v>578</v>
      </c>
      <c r="D590" s="35">
        <v>120293.94</v>
      </c>
      <c r="E590">
        <v>1246234013</v>
      </c>
      <c r="F590" s="321">
        <v>46265</v>
      </c>
      <c r="G590" s="321"/>
      <c r="H590" t="s">
        <v>172</v>
      </c>
      <c r="I590" t="s">
        <v>173</v>
      </c>
      <c r="J590">
        <v>9130</v>
      </c>
      <c r="K590" s="321">
        <v>45898</v>
      </c>
      <c r="L590">
        <v>1010100</v>
      </c>
      <c r="M590" t="s">
        <v>35</v>
      </c>
      <c r="N590">
        <v>-123</v>
      </c>
      <c r="O590" s="32">
        <v>0</v>
      </c>
      <c r="P590" s="32">
        <v>0</v>
      </c>
      <c r="Q590" s="32">
        <v>120293.94</v>
      </c>
      <c r="R590" s="32">
        <v>0</v>
      </c>
      <c r="S590" s="32">
        <v>0</v>
      </c>
      <c r="T590" s="32">
        <v>0</v>
      </c>
      <c r="U590" s="32">
        <v>0</v>
      </c>
      <c r="V590" s="32">
        <v>0</v>
      </c>
      <c r="W590" s="32">
        <v>0</v>
      </c>
      <c r="X590" s="32">
        <v>0</v>
      </c>
      <c r="Y590" s="32">
        <v>0</v>
      </c>
      <c r="Z590" s="32">
        <v>0</v>
      </c>
      <c r="AA590" s="32">
        <v>0</v>
      </c>
      <c r="AB590" s="32">
        <v>0</v>
      </c>
      <c r="AC590" s="32" t="s">
        <v>472</v>
      </c>
      <c r="AD590" s="32"/>
      <c r="AE590" s="32">
        <v>0</v>
      </c>
    </row>
    <row r="591" spans="1:31" x14ac:dyDescent="0.25">
      <c r="A591">
        <v>16107</v>
      </c>
      <c r="B591" t="s">
        <v>577</v>
      </c>
      <c r="C591" t="s">
        <v>578</v>
      </c>
      <c r="D591" s="35">
        <v>52795.360000000001</v>
      </c>
      <c r="E591">
        <v>1246231811</v>
      </c>
      <c r="F591" s="321">
        <v>46265</v>
      </c>
      <c r="G591" s="321"/>
      <c r="H591" t="s">
        <v>172</v>
      </c>
      <c r="I591" t="s">
        <v>173</v>
      </c>
      <c r="J591">
        <v>8929</v>
      </c>
      <c r="K591" s="321">
        <v>45888</v>
      </c>
      <c r="L591">
        <v>1010100</v>
      </c>
      <c r="M591" t="s">
        <v>35</v>
      </c>
      <c r="N591">
        <v>-123</v>
      </c>
      <c r="O591" s="32">
        <v>0</v>
      </c>
      <c r="P591" s="32">
        <v>0</v>
      </c>
      <c r="Q591" s="32">
        <v>52795.360000000001</v>
      </c>
      <c r="R591" s="32">
        <v>0</v>
      </c>
      <c r="S591" s="32">
        <v>0</v>
      </c>
      <c r="T591" s="32">
        <v>0</v>
      </c>
      <c r="U591" s="32">
        <v>0</v>
      </c>
      <c r="V591" s="32">
        <v>0</v>
      </c>
      <c r="W591" s="32">
        <v>0</v>
      </c>
      <c r="X591" s="32">
        <v>0</v>
      </c>
      <c r="Y591" s="32">
        <v>0</v>
      </c>
      <c r="Z591" s="32">
        <v>0</v>
      </c>
      <c r="AA591" s="32">
        <v>0</v>
      </c>
      <c r="AB591" s="32">
        <v>0</v>
      </c>
      <c r="AC591" s="32" t="s">
        <v>472</v>
      </c>
      <c r="AD591" s="32"/>
      <c r="AE591" s="32">
        <v>0</v>
      </c>
    </row>
    <row r="592" spans="1:31" x14ac:dyDescent="0.25">
      <c r="A592">
        <v>16107</v>
      </c>
      <c r="B592" t="s">
        <v>577</v>
      </c>
      <c r="C592" t="s">
        <v>578</v>
      </c>
      <c r="D592" s="35">
        <v>92391.88</v>
      </c>
      <c r="E592">
        <v>1246232362</v>
      </c>
      <c r="F592" s="321">
        <v>46265</v>
      </c>
      <c r="G592" s="321"/>
      <c r="H592" t="s">
        <v>172</v>
      </c>
      <c r="I592" t="s">
        <v>173</v>
      </c>
      <c r="J592">
        <v>8978</v>
      </c>
      <c r="K592" s="321">
        <v>45890</v>
      </c>
      <c r="L592">
        <v>1010100</v>
      </c>
      <c r="M592" t="s">
        <v>35</v>
      </c>
      <c r="N592">
        <v>-123</v>
      </c>
      <c r="O592" s="32">
        <v>0</v>
      </c>
      <c r="P592" s="32">
        <v>0</v>
      </c>
      <c r="Q592" s="32">
        <v>92391.88</v>
      </c>
      <c r="R592" s="32">
        <v>0</v>
      </c>
      <c r="S592" s="32">
        <v>0</v>
      </c>
      <c r="T592" s="32">
        <v>0</v>
      </c>
      <c r="U592" s="32">
        <v>0</v>
      </c>
      <c r="V592" s="32">
        <v>0</v>
      </c>
      <c r="W592" s="32">
        <v>0</v>
      </c>
      <c r="X592" s="32">
        <v>0</v>
      </c>
      <c r="Y592" s="32">
        <v>0</v>
      </c>
      <c r="Z592" s="32">
        <v>0</v>
      </c>
      <c r="AA592" s="32">
        <v>0</v>
      </c>
      <c r="AB592" s="32">
        <v>0</v>
      </c>
      <c r="AC592" s="32" t="s">
        <v>472</v>
      </c>
      <c r="AD592" s="32"/>
      <c r="AE592" s="32">
        <v>0</v>
      </c>
    </row>
    <row r="593" spans="1:31" x14ac:dyDescent="0.25">
      <c r="A593">
        <v>16107</v>
      </c>
      <c r="B593" t="s">
        <v>577</v>
      </c>
      <c r="C593" t="s">
        <v>578</v>
      </c>
      <c r="D593" s="35">
        <v>94968.9</v>
      </c>
      <c r="E593">
        <v>1246234271</v>
      </c>
      <c r="F593" s="321">
        <v>46265</v>
      </c>
      <c r="G593" s="321"/>
      <c r="H593" t="s">
        <v>172</v>
      </c>
      <c r="I593" t="s">
        <v>173</v>
      </c>
      <c r="J593">
        <v>9136</v>
      </c>
      <c r="K593" s="321">
        <v>45901</v>
      </c>
      <c r="L593">
        <v>1010100</v>
      </c>
      <c r="M593" t="s">
        <v>35</v>
      </c>
      <c r="N593">
        <v>-123</v>
      </c>
      <c r="O593" s="32">
        <v>0</v>
      </c>
      <c r="P593" s="32">
        <v>0</v>
      </c>
      <c r="Q593" s="32">
        <v>94968.9</v>
      </c>
      <c r="R593" s="32">
        <v>0</v>
      </c>
      <c r="S593" s="32">
        <v>0</v>
      </c>
      <c r="T593" s="32">
        <v>0</v>
      </c>
      <c r="U593" s="32">
        <v>0</v>
      </c>
      <c r="V593" s="32">
        <v>0</v>
      </c>
      <c r="W593" s="32">
        <v>0</v>
      </c>
      <c r="X593" s="32">
        <v>0</v>
      </c>
      <c r="Y593" s="32">
        <v>0</v>
      </c>
      <c r="Z593" s="32">
        <v>0</v>
      </c>
      <c r="AA593" s="32">
        <v>0</v>
      </c>
      <c r="AB593" s="32">
        <v>0</v>
      </c>
      <c r="AC593" s="32" t="s">
        <v>472</v>
      </c>
      <c r="AD593" s="32"/>
      <c r="AE593" s="32">
        <v>0</v>
      </c>
    </row>
    <row r="594" spans="1:31" x14ac:dyDescent="0.25">
      <c r="A594">
        <v>16107</v>
      </c>
      <c r="B594" t="s">
        <v>577</v>
      </c>
      <c r="C594" t="s">
        <v>578</v>
      </c>
      <c r="D594" s="35">
        <v>101300.16</v>
      </c>
      <c r="E594">
        <v>1246233237</v>
      </c>
      <c r="F594" s="321">
        <v>46265</v>
      </c>
      <c r="G594" s="321"/>
      <c r="H594" t="s">
        <v>172</v>
      </c>
      <c r="I594" t="s">
        <v>173</v>
      </c>
      <c r="J594">
        <v>9072</v>
      </c>
      <c r="K594" s="321">
        <v>45896</v>
      </c>
      <c r="L594">
        <v>1010100</v>
      </c>
      <c r="M594" t="s">
        <v>35</v>
      </c>
      <c r="N594">
        <v>-123</v>
      </c>
      <c r="O594" s="32">
        <v>0</v>
      </c>
      <c r="P594" s="32">
        <v>0</v>
      </c>
      <c r="Q594" s="32">
        <v>101300.16</v>
      </c>
      <c r="R594" s="32">
        <v>0</v>
      </c>
      <c r="S594" s="32">
        <v>0</v>
      </c>
      <c r="T594" s="32">
        <v>0</v>
      </c>
      <c r="U594" s="32">
        <v>0</v>
      </c>
      <c r="V594" s="32">
        <v>0</v>
      </c>
      <c r="W594" s="32">
        <v>0</v>
      </c>
      <c r="X594" s="32">
        <v>0</v>
      </c>
      <c r="Y594" s="32">
        <v>0</v>
      </c>
      <c r="Z594" s="32">
        <v>0</v>
      </c>
      <c r="AA594" s="32">
        <v>0</v>
      </c>
      <c r="AB594" s="32">
        <v>0</v>
      </c>
      <c r="AC594" s="32" t="s">
        <v>472</v>
      </c>
      <c r="AD594" s="32"/>
      <c r="AE594" s="32">
        <v>0</v>
      </c>
    </row>
    <row r="595" spans="1:31" x14ac:dyDescent="0.25">
      <c r="A595">
        <v>16107</v>
      </c>
      <c r="B595" t="s">
        <v>577</v>
      </c>
      <c r="C595" t="s">
        <v>578</v>
      </c>
      <c r="D595" s="35">
        <v>27054.5</v>
      </c>
      <c r="E595">
        <v>1246235694</v>
      </c>
      <c r="F595" s="321">
        <v>46265</v>
      </c>
      <c r="G595" s="321"/>
      <c r="H595" t="s">
        <v>172</v>
      </c>
      <c r="I595" t="s">
        <v>173</v>
      </c>
      <c r="J595">
        <v>9247</v>
      </c>
      <c r="K595" s="321">
        <v>45908</v>
      </c>
      <c r="L595">
        <v>1010100</v>
      </c>
      <c r="M595" t="s">
        <v>35</v>
      </c>
      <c r="N595">
        <v>-123</v>
      </c>
      <c r="O595" s="32">
        <v>0</v>
      </c>
      <c r="P595" s="32">
        <v>0</v>
      </c>
      <c r="Q595" s="32">
        <v>27054.5</v>
      </c>
      <c r="R595" s="32">
        <v>0</v>
      </c>
      <c r="S595" s="32">
        <v>0</v>
      </c>
      <c r="T595" s="32">
        <v>0</v>
      </c>
      <c r="U595" s="32">
        <v>0</v>
      </c>
      <c r="V595" s="32">
        <v>0</v>
      </c>
      <c r="W595" s="32">
        <v>0</v>
      </c>
      <c r="X595" s="32">
        <v>0</v>
      </c>
      <c r="Y595" s="32">
        <v>0</v>
      </c>
      <c r="Z595" s="32">
        <v>0</v>
      </c>
      <c r="AA595" s="32">
        <v>0</v>
      </c>
      <c r="AB595" s="32">
        <v>0</v>
      </c>
      <c r="AC595" s="32" t="s">
        <v>472</v>
      </c>
      <c r="AD595" s="32"/>
      <c r="AE595" s="32">
        <v>0</v>
      </c>
    </row>
    <row r="596" spans="1:31" x14ac:dyDescent="0.25">
      <c r="A596">
        <v>16107</v>
      </c>
      <c r="B596" t="s">
        <v>577</v>
      </c>
      <c r="C596" t="s">
        <v>578</v>
      </c>
      <c r="D596" s="35">
        <v>94968.9</v>
      </c>
      <c r="E596">
        <v>1246233894</v>
      </c>
      <c r="F596" s="321">
        <v>46265</v>
      </c>
      <c r="G596" s="321"/>
      <c r="H596" t="s">
        <v>172</v>
      </c>
      <c r="I596" t="s">
        <v>173</v>
      </c>
      <c r="J596">
        <v>9120</v>
      </c>
      <c r="K596" s="321">
        <v>45898</v>
      </c>
      <c r="L596">
        <v>1010100</v>
      </c>
      <c r="M596" t="s">
        <v>35</v>
      </c>
      <c r="N596">
        <v>-123</v>
      </c>
      <c r="O596" s="32">
        <v>0</v>
      </c>
      <c r="P596" s="32">
        <v>0</v>
      </c>
      <c r="Q596" s="32">
        <v>94968.9</v>
      </c>
      <c r="R596" s="32">
        <v>0</v>
      </c>
      <c r="S596" s="32">
        <v>0</v>
      </c>
      <c r="T596" s="32">
        <v>0</v>
      </c>
      <c r="U596" s="32">
        <v>0</v>
      </c>
      <c r="V596" s="32">
        <v>0</v>
      </c>
      <c r="W596" s="32">
        <v>0</v>
      </c>
      <c r="X596" s="32">
        <v>0</v>
      </c>
      <c r="Y596" s="32">
        <v>0</v>
      </c>
      <c r="Z596" s="32">
        <v>0</v>
      </c>
      <c r="AA596" s="32">
        <v>0</v>
      </c>
      <c r="AB596" s="32">
        <v>0</v>
      </c>
      <c r="AC596" s="32" t="s">
        <v>472</v>
      </c>
      <c r="AD596" s="32"/>
      <c r="AE596" s="32">
        <v>0</v>
      </c>
    </row>
    <row r="597" spans="1:31" x14ac:dyDescent="0.25">
      <c r="A597">
        <v>16107</v>
      </c>
      <c r="B597" t="s">
        <v>577</v>
      </c>
      <c r="C597" t="s">
        <v>578</v>
      </c>
      <c r="D597" s="35">
        <v>94968.9</v>
      </c>
      <c r="E597">
        <v>1246238555</v>
      </c>
      <c r="F597" s="321">
        <v>46265</v>
      </c>
      <c r="G597" s="321"/>
      <c r="H597" t="s">
        <v>172</v>
      </c>
      <c r="I597" t="s">
        <v>173</v>
      </c>
      <c r="J597">
        <v>9444</v>
      </c>
      <c r="K597" s="321">
        <v>45924</v>
      </c>
      <c r="L597">
        <v>1010100</v>
      </c>
      <c r="M597" t="s">
        <v>35</v>
      </c>
      <c r="N597">
        <v>-123</v>
      </c>
      <c r="O597" s="32">
        <v>0</v>
      </c>
      <c r="P597" s="32">
        <v>0</v>
      </c>
      <c r="Q597" s="32">
        <v>94968.9</v>
      </c>
      <c r="R597" s="32">
        <v>0</v>
      </c>
      <c r="S597" s="32">
        <v>0</v>
      </c>
      <c r="T597" s="32">
        <v>0</v>
      </c>
      <c r="U597" s="32">
        <v>0</v>
      </c>
      <c r="V597" s="32">
        <v>0</v>
      </c>
      <c r="W597" s="32">
        <v>0</v>
      </c>
      <c r="X597" s="32">
        <v>0</v>
      </c>
      <c r="Y597" s="32">
        <v>0</v>
      </c>
      <c r="Z597" s="32">
        <v>0</v>
      </c>
      <c r="AA597" s="32">
        <v>0</v>
      </c>
      <c r="AB597" s="32">
        <v>0</v>
      </c>
      <c r="AC597" s="32" t="s">
        <v>472</v>
      </c>
      <c r="AD597" s="32"/>
      <c r="AE597" s="32">
        <v>0</v>
      </c>
    </row>
    <row r="598" spans="1:31" x14ac:dyDescent="0.25">
      <c r="A598">
        <v>16107</v>
      </c>
      <c r="B598" t="s">
        <v>577</v>
      </c>
      <c r="C598" t="s">
        <v>578</v>
      </c>
      <c r="D598" s="35">
        <v>2217.7800000000002</v>
      </c>
      <c r="E598">
        <v>1246235696</v>
      </c>
      <c r="F598" s="321">
        <v>46265</v>
      </c>
      <c r="G598" s="321"/>
      <c r="H598" t="s">
        <v>172</v>
      </c>
      <c r="I598" t="s">
        <v>173</v>
      </c>
      <c r="J598">
        <v>9248</v>
      </c>
      <c r="K598" s="321">
        <v>45908</v>
      </c>
      <c r="L598">
        <v>1010100</v>
      </c>
      <c r="M598" t="s">
        <v>35</v>
      </c>
      <c r="N598">
        <v>-123</v>
      </c>
      <c r="O598" s="32">
        <v>0</v>
      </c>
      <c r="P598" s="32">
        <v>0</v>
      </c>
      <c r="Q598" s="32">
        <v>2217.7800000000002</v>
      </c>
      <c r="R598" s="32">
        <v>0</v>
      </c>
      <c r="S598" s="32">
        <v>0</v>
      </c>
      <c r="T598" s="32">
        <v>0</v>
      </c>
      <c r="U598" s="32">
        <v>0</v>
      </c>
      <c r="V598" s="32">
        <v>0</v>
      </c>
      <c r="W598" s="32">
        <v>0</v>
      </c>
      <c r="X598" s="32">
        <v>0</v>
      </c>
      <c r="Y598" s="32">
        <v>0</v>
      </c>
      <c r="Z598" s="32">
        <v>0</v>
      </c>
      <c r="AA598" s="32">
        <v>0</v>
      </c>
      <c r="AB598" s="32">
        <v>0</v>
      </c>
      <c r="AC598" s="32" t="s">
        <v>472</v>
      </c>
      <c r="AD598" s="32"/>
      <c r="AE598" s="32">
        <v>0</v>
      </c>
    </row>
    <row r="599" spans="1:31" x14ac:dyDescent="0.25">
      <c r="A599">
        <v>16189</v>
      </c>
      <c r="B599" t="s">
        <v>819</v>
      </c>
      <c r="C599" t="s">
        <v>820</v>
      </c>
      <c r="D599" s="35">
        <v>49440</v>
      </c>
      <c r="E599">
        <v>1246261824</v>
      </c>
      <c r="F599" s="321">
        <v>46087</v>
      </c>
      <c r="G599" s="321"/>
      <c r="I599" t="s">
        <v>372</v>
      </c>
      <c r="J599">
        <v>1246261824</v>
      </c>
      <c r="K599" s="321">
        <v>46055</v>
      </c>
      <c r="L599">
        <v>7240000</v>
      </c>
      <c r="M599" t="s">
        <v>821</v>
      </c>
      <c r="N599">
        <v>55</v>
      </c>
      <c r="O599" s="32">
        <v>0</v>
      </c>
      <c r="P599" s="32">
        <v>0</v>
      </c>
      <c r="Q599" s="32">
        <v>0</v>
      </c>
      <c r="R599" s="32">
        <v>49440</v>
      </c>
      <c r="S599" s="32">
        <v>0</v>
      </c>
      <c r="T599" s="32">
        <v>0</v>
      </c>
      <c r="U599" s="32">
        <v>0</v>
      </c>
      <c r="V599" s="32">
        <v>0</v>
      </c>
      <c r="W599" s="32">
        <v>0</v>
      </c>
      <c r="X599" s="32">
        <v>0</v>
      </c>
      <c r="Y599" s="32">
        <v>0</v>
      </c>
      <c r="Z599" s="32">
        <v>0</v>
      </c>
      <c r="AA599" s="32">
        <v>0</v>
      </c>
      <c r="AB599" s="32">
        <v>0</v>
      </c>
      <c r="AC599" s="32" t="s">
        <v>472</v>
      </c>
      <c r="AD599" s="32"/>
      <c r="AE599" s="32">
        <v>0</v>
      </c>
    </row>
    <row r="600" spans="1:31" x14ac:dyDescent="0.25">
      <c r="F600" s="321"/>
      <c r="K600" s="321"/>
      <c r="P600" s="32"/>
      <c r="Q600" s="32"/>
      <c r="R600" s="32"/>
      <c r="S600" s="32"/>
      <c r="T600" s="32"/>
      <c r="U600" s="32"/>
      <c r="V600" s="32"/>
      <c r="W600" s="32"/>
      <c r="X600" s="32"/>
      <c r="Y600" s="32"/>
      <c r="Z600" s="32"/>
      <c r="AC600" s="32"/>
      <c r="AD600" s="32"/>
      <c r="AE600" s="32"/>
    </row>
    <row r="601" spans="1:31" x14ac:dyDescent="0.25">
      <c r="F601" s="321"/>
      <c r="K601" s="321"/>
      <c r="P601" s="32"/>
      <c r="Q601" s="32"/>
      <c r="R601" s="32"/>
      <c r="S601" s="32"/>
      <c r="T601" s="32"/>
      <c r="U601" s="32"/>
      <c r="V601" s="32"/>
      <c r="W601" s="32"/>
      <c r="X601" s="32"/>
      <c r="Y601" s="32"/>
      <c r="Z601" s="32"/>
      <c r="AC601" s="32"/>
      <c r="AD601" s="32"/>
      <c r="AE601" s="32"/>
    </row>
    <row r="602" spans="1:31" x14ac:dyDescent="0.25">
      <c r="F602" s="321"/>
      <c r="K602" s="321"/>
      <c r="P602" s="32"/>
      <c r="Q602" s="32"/>
      <c r="R602" s="32"/>
      <c r="S602" s="32"/>
      <c r="T602" s="32"/>
      <c r="U602" s="32"/>
      <c r="V602" s="32"/>
      <c r="W602" s="32"/>
      <c r="X602" s="32"/>
      <c r="Y602" s="32"/>
      <c r="Z602" s="32"/>
      <c r="AC602" s="32"/>
      <c r="AD602" s="32"/>
      <c r="AE602" s="32"/>
    </row>
    <row r="603" spans="1:31" x14ac:dyDescent="0.25">
      <c r="F603" s="321"/>
      <c r="K603" s="321"/>
      <c r="P603" s="32"/>
      <c r="Q603" s="32"/>
      <c r="R603" s="32"/>
      <c r="S603" s="32"/>
      <c r="T603" s="32"/>
      <c r="U603" s="32"/>
      <c r="V603" s="32"/>
      <c r="W603" s="32"/>
      <c r="X603" s="32"/>
      <c r="Y603" s="32"/>
      <c r="Z603" s="32"/>
      <c r="AC603" s="32"/>
      <c r="AD603" s="32"/>
      <c r="AE603" s="32"/>
    </row>
    <row r="604" spans="1:31" x14ac:dyDescent="0.25">
      <c r="F604" s="321"/>
      <c r="K604" s="321"/>
      <c r="P604" s="32"/>
      <c r="Q604" s="32"/>
      <c r="R604" s="32"/>
      <c r="S604" s="32"/>
      <c r="T604" s="32"/>
      <c r="U604" s="32"/>
      <c r="V604" s="32"/>
      <c r="W604" s="32"/>
      <c r="X604" s="32"/>
      <c r="Y604" s="32"/>
      <c r="Z604" s="32"/>
      <c r="AC604" s="32"/>
      <c r="AD604" s="32"/>
      <c r="AE604" s="32"/>
    </row>
    <row r="605" spans="1:31" x14ac:dyDescent="0.25">
      <c r="F605" s="321"/>
      <c r="K605" s="321"/>
      <c r="P605" s="32"/>
      <c r="Q605" s="32"/>
      <c r="R605" s="32"/>
      <c r="S605" s="32"/>
      <c r="T605" s="32"/>
      <c r="U605" s="32"/>
      <c r="V605" s="32"/>
      <c r="W605" s="32"/>
      <c r="X605" s="32"/>
      <c r="Y605" s="32"/>
      <c r="Z605" s="32"/>
      <c r="AC605" s="32"/>
      <c r="AD605" s="32"/>
      <c r="AE605" s="32"/>
    </row>
    <row r="606" spans="1:31" x14ac:dyDescent="0.25">
      <c r="F606" s="321"/>
      <c r="K606" s="321"/>
      <c r="P606" s="32"/>
      <c r="Q606" s="32"/>
      <c r="R606" s="32"/>
      <c r="S606" s="32"/>
      <c r="T606" s="32"/>
      <c r="U606" s="32"/>
      <c r="V606" s="32"/>
      <c r="W606" s="32"/>
      <c r="X606" s="32"/>
      <c r="Y606" s="32"/>
      <c r="Z606" s="32"/>
      <c r="AC606" s="32"/>
      <c r="AD606" s="32"/>
      <c r="AE606" s="32"/>
    </row>
    <row r="607" spans="1:31" x14ac:dyDescent="0.25">
      <c r="F607" s="321"/>
      <c r="K607" s="321"/>
      <c r="P607" s="32"/>
      <c r="Q607" s="32"/>
      <c r="R607" s="32"/>
      <c r="S607" s="32"/>
      <c r="T607" s="32"/>
      <c r="U607" s="32"/>
      <c r="V607" s="32"/>
      <c r="W607" s="32"/>
      <c r="X607" s="32"/>
      <c r="Y607" s="32"/>
      <c r="Z607" s="32"/>
      <c r="AC607" s="32"/>
      <c r="AD607" s="32"/>
      <c r="AE607" s="32"/>
    </row>
    <row r="608" spans="1:31" x14ac:dyDescent="0.25">
      <c r="F608" s="321"/>
      <c r="K608" s="321"/>
      <c r="P608" s="32"/>
      <c r="Q608" s="32"/>
      <c r="R608" s="32"/>
      <c r="S608" s="32"/>
      <c r="T608" s="32"/>
      <c r="U608" s="32"/>
      <c r="V608" s="32"/>
      <c r="W608" s="32"/>
      <c r="X608" s="32"/>
      <c r="Y608" s="32"/>
      <c r="Z608" s="32"/>
      <c r="AC608" s="32"/>
      <c r="AD608" s="32"/>
      <c r="AE608" s="32"/>
    </row>
    <row r="609" spans="6:31" x14ac:dyDescent="0.25">
      <c r="F609" s="321"/>
      <c r="K609" s="321"/>
      <c r="P609" s="32"/>
      <c r="Q609" s="32"/>
      <c r="R609" s="32"/>
      <c r="S609" s="32"/>
      <c r="T609" s="32"/>
      <c r="U609" s="32"/>
      <c r="V609" s="32"/>
      <c r="W609" s="32"/>
      <c r="X609" s="32"/>
      <c r="Y609" s="32"/>
      <c r="Z609" s="32"/>
      <c r="AC609" s="32"/>
      <c r="AD609" s="32"/>
      <c r="AE609" s="32"/>
    </row>
    <row r="610" spans="6:31" x14ac:dyDescent="0.25">
      <c r="F610" s="321"/>
      <c r="K610" s="321"/>
      <c r="P610" s="32"/>
      <c r="Q610" s="32"/>
      <c r="R610" s="32"/>
      <c r="S610" s="32"/>
      <c r="T610" s="32"/>
      <c r="U610" s="32"/>
      <c r="V610" s="32"/>
      <c r="W610" s="32"/>
      <c r="X610" s="32"/>
      <c r="Y610" s="32"/>
      <c r="Z610" s="32"/>
      <c r="AC610" s="32"/>
      <c r="AD610" s="32"/>
      <c r="AE610" s="32"/>
    </row>
    <row r="611" spans="6:31" x14ac:dyDescent="0.25">
      <c r="F611" s="321"/>
      <c r="K611" s="321"/>
      <c r="P611" s="32"/>
      <c r="Q611" s="32"/>
      <c r="R611" s="32"/>
      <c r="S611" s="32"/>
      <c r="T611" s="32"/>
      <c r="U611" s="32"/>
      <c r="V611" s="32"/>
      <c r="W611" s="32"/>
      <c r="X611" s="32"/>
      <c r="Y611" s="32"/>
      <c r="Z611" s="32"/>
      <c r="AC611" s="32"/>
      <c r="AD611" s="32"/>
      <c r="AE611" s="32"/>
    </row>
    <row r="612" spans="6:31" x14ac:dyDescent="0.25">
      <c r="F612" s="321"/>
      <c r="K612" s="321"/>
      <c r="P612" s="32"/>
      <c r="Q612" s="32"/>
      <c r="R612" s="32"/>
      <c r="S612" s="32"/>
      <c r="T612" s="32"/>
      <c r="U612" s="32"/>
      <c r="V612" s="32"/>
      <c r="W612" s="32"/>
      <c r="X612" s="32"/>
      <c r="Y612" s="32"/>
      <c r="Z612" s="32"/>
      <c r="AC612" s="32"/>
      <c r="AD612" s="32"/>
      <c r="AE612" s="32"/>
    </row>
  </sheetData>
  <autoFilter ref="A3:AE607" xr:uid="{7FBE46A5-8BCE-4E4D-8CBB-A7B44C539DC2}"/>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53EFB-BA25-4110-B43F-73E1353AC39C}">
  <dimension ref="A1:C240"/>
  <sheetViews>
    <sheetView showGridLines="0" workbookViewId="0">
      <selection activeCell="D41" sqref="D41"/>
    </sheetView>
  </sheetViews>
  <sheetFormatPr defaultRowHeight="13.2" x14ac:dyDescent="0.25"/>
  <cols>
    <col min="1" max="1" width="49.88671875" style="169" customWidth="1"/>
    <col min="2" max="2" width="17" style="169" customWidth="1"/>
    <col min="3" max="3" width="34.21875" customWidth="1"/>
    <col min="4" max="4" width="17.77734375" customWidth="1"/>
  </cols>
  <sheetData>
    <row r="1" spans="1:3" x14ac:dyDescent="0.25">
      <c r="A1" s="401" t="s">
        <v>903</v>
      </c>
      <c r="B1" s="401" t="s">
        <v>338</v>
      </c>
      <c r="C1" s="413" t="s">
        <v>906</v>
      </c>
    </row>
    <row r="2" spans="1:3" x14ac:dyDescent="0.25">
      <c r="A2" s="169" t="s">
        <v>496</v>
      </c>
      <c r="B2" s="169" t="s">
        <v>543</v>
      </c>
      <c r="C2" t="str">
        <f>_xlfn.LET(
_xlpm.cliente,TRIM(UPPER(A2)),
_xlpm.bu,TRIM(UPPER(B2)),
_xlpm.limite,_xlfn.XLOOKUP(A2,'Limite de crédito'!C:C,'Limite de crédito'!G:G,""),
_xlpm.seguro,_xlfn.XLOOKUP(A2,'Limite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3" spans="1:3" x14ac:dyDescent="0.25">
      <c r="A3" s="169" t="s">
        <v>415</v>
      </c>
      <c r="B3" s="169" t="s">
        <v>543</v>
      </c>
      <c r="C3" t="str">
        <f>_xlfn.LET(
_xlpm.cliente,TRIM(UPPER(A3)),
_xlpm.bu,TRIM(UPPER(B3)),
_xlpm.limite,_xlfn.XLOOKUP(A3,'Limite de crédito'!C:C,'Limite de crédito'!G:G,""),
_xlpm.seguro,_xlfn.XLOOKUP(A3,'Limite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4" spans="1:3" x14ac:dyDescent="0.25">
      <c r="A4" s="169" t="s">
        <v>419</v>
      </c>
      <c r="B4" s="169" t="s">
        <v>543</v>
      </c>
      <c r="C4" t="str">
        <f>_xlfn.LET(
_xlpm.cliente,TRIM(UPPER(A4)),
_xlpm.bu,TRIM(UPPER(B4)),
_xlpm.limite,_xlfn.XLOOKUP(A4,'Limite de crédito'!C:C,'Limite de crédito'!G:G,""),
_xlpm.seguro,_xlfn.XLOOKUP(A4,'Limite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5" spans="1:3" x14ac:dyDescent="0.25">
      <c r="A5" s="169" t="s">
        <v>418</v>
      </c>
      <c r="B5" s="169" t="s">
        <v>543</v>
      </c>
      <c r="C5" t="str">
        <f>_xlfn.LET(
_xlpm.cliente,TRIM(UPPER(A5)),
_xlpm.bu,TRIM(UPPER(B5)),
_xlpm.limite,_xlfn.XLOOKUP(A5,'Limite de crédito'!C:C,'Limite de crédito'!G:G,""),
_xlpm.seguro,_xlfn.XLOOKUP(A5,'Limite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6" spans="1:3" x14ac:dyDescent="0.25">
      <c r="A6" s="169" t="s">
        <v>413</v>
      </c>
      <c r="B6" s="169" t="s">
        <v>543</v>
      </c>
      <c r="C6" t="str">
        <f>_xlfn.LET(
_xlpm.cliente,TRIM(UPPER(A6)),
_xlpm.bu,TRIM(UPPER(B6)),
_xlpm.limite,_xlfn.XLOOKUP(A6,'Limite de crédito'!C:C,'Limite de crédito'!G:G,""),
_xlpm.seguro,_xlfn.XLOOKUP(A6,'Limite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 spans="1:3" x14ac:dyDescent="0.25">
      <c r="A7" s="169" t="s">
        <v>416</v>
      </c>
      <c r="B7" s="169" t="s">
        <v>543</v>
      </c>
      <c r="C7" t="str">
        <f>_xlfn.LET(
_xlpm.cliente,TRIM(UPPER(A7)),
_xlpm.bu,TRIM(UPPER(B7)),
_xlpm.limite,_xlfn.XLOOKUP(A7,'Limite de crédito'!C:C,'Limite de crédito'!G:G,""),
_xlpm.seguro,_xlfn.XLOOKUP(A7,'Limite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8" spans="1:3" x14ac:dyDescent="0.25">
      <c r="A8" s="169" t="s">
        <v>427</v>
      </c>
      <c r="B8" s="169" t="s">
        <v>543</v>
      </c>
      <c r="C8" t="str">
        <f>_xlfn.LET(
_xlpm.cliente,TRIM(UPPER(A8)),
_xlpm.bu,TRIM(UPPER(B8)),
_xlpm.limite,_xlfn.XLOOKUP(A8,'Limite de crédito'!C:C,'Limite de crédito'!G:G,""),
_xlpm.seguro,_xlfn.XLOOKUP(A8,'Limite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9" spans="1:3" x14ac:dyDescent="0.25">
      <c r="A9" s="169" t="s">
        <v>77</v>
      </c>
      <c r="B9" s="169" t="s">
        <v>543</v>
      </c>
      <c r="C9" t="str">
        <f>_xlfn.LET(
_xlpm.cliente,TRIM(UPPER(A9)),
_xlpm.bu,TRIM(UPPER(B9)),
_xlpm.limite,_xlfn.XLOOKUP(A9,'Limite de crédito'!C:C,'Limite de crédito'!G:G,""),
_xlpm.seguro,_xlfn.XLOOKUP(A9,'Limite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 spans="1:3" x14ac:dyDescent="0.25">
      <c r="A10" s="169" t="s">
        <v>430</v>
      </c>
      <c r="B10" s="169" t="s">
        <v>543</v>
      </c>
      <c r="C10" t="str">
        <f>_xlfn.LET(
_xlpm.cliente,TRIM(UPPER(A10)),
_xlpm.bu,TRIM(UPPER(B10)),
_xlpm.limite,_xlfn.XLOOKUP(A10,'Limite de crédito'!C:C,'Limite de crédito'!G:G,""),
_xlpm.seguro,_xlfn.XLOOKUP(A10,'Limite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1" spans="1:3" x14ac:dyDescent="0.25">
      <c r="A11" s="169" t="s">
        <v>30</v>
      </c>
      <c r="B11" s="169" t="s">
        <v>543</v>
      </c>
      <c r="C11" t="str">
        <f>_xlfn.LET(
_xlpm.cliente,TRIM(UPPER(A11)),
_xlpm.bu,TRIM(UPPER(B11)),
_xlpm.limite,_xlfn.XLOOKUP(A11,'Limite de crédito'!C:C,'Limite de crédito'!G:G,""),
_xlpm.seguro,_xlfn.XLOOKUP(A11,'Limite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2" spans="1:3" x14ac:dyDescent="0.25">
      <c r="A12" s="169" t="s">
        <v>83</v>
      </c>
      <c r="B12" s="169" t="s">
        <v>543</v>
      </c>
      <c r="C12" t="str">
        <f>_xlfn.LET(
_xlpm.cliente,TRIM(UPPER(A12)),
_xlpm.bu,TRIM(UPPER(B12)),
_xlpm.limite,_xlfn.XLOOKUP(A12,'Limite de crédito'!C:C,'Limite de crédito'!G:G,""),
_xlpm.seguro,_xlfn.XLOOKUP(A12,'Limite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3" spans="1:3" x14ac:dyDescent="0.25">
      <c r="A13" s="169" t="s">
        <v>65</v>
      </c>
      <c r="B13" s="169" t="s">
        <v>543</v>
      </c>
      <c r="C13" t="str">
        <f>_xlfn.LET(
_xlpm.cliente,TRIM(UPPER(A13)),
_xlpm.bu,TRIM(UPPER(B13)),
_xlpm.limite,_xlfn.XLOOKUP(A13,'Limite de crédito'!C:C,'Limite de crédito'!G:G,""),
_xlpm.seguro,_xlfn.XLOOKUP(A13,'Limite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4" spans="1:3" x14ac:dyDescent="0.25">
      <c r="A14" s="169" t="s">
        <v>485</v>
      </c>
      <c r="B14" s="169" t="s">
        <v>543</v>
      </c>
      <c r="C14" t="str">
        <f>_xlfn.LET(
_xlpm.cliente,TRIM(UPPER(A14)),
_xlpm.bu,TRIM(UPPER(B14)),
_xlpm.limite,_xlfn.XLOOKUP(A14,'Limite de crédito'!C:C,'Limite de crédito'!G:G,""),
_xlpm.seguro,_xlfn.XLOOKUP(A14,'Limite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5" spans="1:3" x14ac:dyDescent="0.25">
      <c r="A15" s="169" t="s">
        <v>53</v>
      </c>
      <c r="B15" t="s">
        <v>886</v>
      </c>
      <c r="C15" t="str">
        <f>_xlfn.LET(
_xlpm.cliente,TRIM(UPPER(A15)),
_xlpm.bu,TRIM(UPPER(B15)),
_xlpm.limite,_xlfn.XLOOKUP(A15,'Limite de crédito'!C:C,'Limite de crédito'!G:G,""),
_xlpm.seguro,_xlfn.XLOOKUP(A15,'Limite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6" spans="1:3" x14ac:dyDescent="0.25">
      <c r="A16" s="169" t="s">
        <v>293</v>
      </c>
      <c r="B16" t="s">
        <v>886</v>
      </c>
      <c r="C16" t="str">
        <f>_xlfn.LET(
_xlpm.cliente,TRIM(UPPER(A16)),
_xlpm.bu,TRIM(UPPER(B16)),
_xlpm.limite,_xlfn.XLOOKUP(A16,'Limite de crédito'!C:C,'Limite de crédito'!G:G,""),
_xlpm.seguro,_xlfn.XLOOKUP(A16,'Limite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7" spans="1:3" x14ac:dyDescent="0.25">
      <c r="A17" s="169" t="s">
        <v>420</v>
      </c>
      <c r="B17" t="s">
        <v>543</v>
      </c>
      <c r="C17" t="str">
        <f>_xlfn.LET(
_xlpm.cliente,TRIM(UPPER(A17)),
_xlpm.bu,TRIM(UPPER(B17)),
_xlpm.limite,_xlfn.XLOOKUP(A17,'Limite de crédito'!C:C,'Limite de crédito'!G:G,""),
_xlpm.seguro,_xlfn.XLOOKUP(A17,'Limite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18" spans="1:3" x14ac:dyDescent="0.25">
      <c r="A18" s="169" t="s">
        <v>424</v>
      </c>
      <c r="B18" t="s">
        <v>543</v>
      </c>
      <c r="C18" t="str">
        <f>_xlfn.LET(
_xlpm.cliente,TRIM(UPPER(A18)),
_xlpm.bu,TRIM(UPPER(B18)),
_xlpm.limite,_xlfn.XLOOKUP(A18,'Limite de crédito'!C:C,'Limite de crédito'!G:G,""),
_xlpm.seguro,_xlfn.XLOOKUP(A18,'Limite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 spans="1:3" x14ac:dyDescent="0.25">
      <c r="A19" s="169" t="s">
        <v>89</v>
      </c>
      <c r="B19" t="s">
        <v>543</v>
      </c>
      <c r="C19" t="str">
        <f>_xlfn.LET(
_xlpm.cliente,TRIM(UPPER(A19)),
_xlpm.bu,TRIM(UPPER(B19)),
_xlpm.limite,_xlfn.XLOOKUP(A19,'Limite de crédito'!C:C,'Limite de crédito'!G:G,""),
_xlpm.seguro,_xlfn.XLOOKUP(A19,'Limite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 spans="1:3" x14ac:dyDescent="0.25">
      <c r="A20" s="169" t="s">
        <v>167</v>
      </c>
      <c r="B20" t="s">
        <v>543</v>
      </c>
      <c r="C20" t="str">
        <f>_xlfn.LET(
_xlpm.cliente,TRIM(UPPER(A20)),
_xlpm.bu,TRIM(UPPER(B20)),
_xlpm.limite,_xlfn.XLOOKUP(A20,'Limite de crédito'!C:C,'Limite de crédito'!G:G,""),
_xlpm.seguro,_xlfn.XLOOKUP(A20,'Limite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1" spans="1:3" x14ac:dyDescent="0.25">
      <c r="A21" s="169" t="s">
        <v>155</v>
      </c>
      <c r="B21" t="s">
        <v>543</v>
      </c>
      <c r="C21" t="str">
        <f>_xlfn.LET(
_xlpm.cliente,TRIM(UPPER(A21)),
_xlpm.bu,TRIM(UPPER(B21)),
_xlpm.limite,_xlfn.XLOOKUP(A21,'Limite de crédito'!C:C,'Limite de crédito'!G:G,""),
_xlpm.seguro,_xlfn.XLOOKUP(A21,'Limite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2" spans="1:3" x14ac:dyDescent="0.25">
      <c r="A22" s="169" t="s">
        <v>289</v>
      </c>
      <c r="B22" t="s">
        <v>543</v>
      </c>
      <c r="C22" t="str">
        <f>_xlfn.LET(
_xlpm.cliente,TRIM(UPPER(A22)),
_xlpm.bu,TRIM(UPPER(B22)),
_xlpm.limite,_xlfn.XLOOKUP(A22,'Limite de crédito'!C:C,'Limite de crédito'!G:G,""),
_xlpm.seguro,_xlfn.XLOOKUP(A22,'Limite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3" spans="1:3" x14ac:dyDescent="0.25">
      <c r="A23" s="169" t="s">
        <v>421</v>
      </c>
      <c r="B23" t="s">
        <v>543</v>
      </c>
      <c r="C23" t="str">
        <f>_xlfn.LET(
_xlpm.cliente,TRIM(UPPER(A23)),
_xlpm.bu,TRIM(UPPER(B23)),
_xlpm.limite,_xlfn.XLOOKUP(A23,'Limite de crédito'!C:C,'Limite de crédito'!G:G,""),
_xlpm.seguro,_xlfn.XLOOKUP(A23,'Limite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4" spans="1:3" x14ac:dyDescent="0.25">
      <c r="A24" s="169" t="s">
        <v>562</v>
      </c>
      <c r="B24" t="s">
        <v>543</v>
      </c>
      <c r="C24" t="str">
        <f>_xlfn.LET(
_xlpm.cliente,TRIM(UPPER(A24)),
_xlpm.bu,TRIM(UPPER(B24)),
_xlpm.limite,_xlfn.XLOOKUP(A24,'Limite de crédito'!C:C,'Limite de crédito'!G:G,""),
_xlpm.seguro,_xlfn.XLOOKUP(A24,'Limite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5" spans="1:3" x14ac:dyDescent="0.25">
      <c r="A25" s="169" t="s">
        <v>486</v>
      </c>
      <c r="B25" t="s">
        <v>543</v>
      </c>
      <c r="C25" t="str">
        <f>_xlfn.LET(
_xlpm.cliente,TRIM(UPPER(A25)),
_xlpm.bu,TRIM(UPPER(B25)),
_xlpm.limite,_xlfn.XLOOKUP(A25,'Limite de crédito'!C:C,'Limite de crédito'!G:G,""),
_xlpm.seguro,_xlfn.XLOOKUP(A25,'Limite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6" spans="1:3" x14ac:dyDescent="0.25">
      <c r="A26" s="169" t="s">
        <v>417</v>
      </c>
      <c r="B26" t="s">
        <v>543</v>
      </c>
      <c r="C26" t="str">
        <f>_xlfn.LET(
_xlpm.cliente,TRIM(UPPER(A26)),
_xlpm.bu,TRIM(UPPER(B26)),
_xlpm.limite,_xlfn.XLOOKUP(A26,'Limite de crédito'!C:C,'Limite de crédito'!G:G,""),
_xlpm.seguro,_xlfn.XLOOKUP(A26,'Limite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7" spans="1:3" x14ac:dyDescent="0.25">
      <c r="A27" s="169" t="s">
        <v>152</v>
      </c>
      <c r="B27" t="s">
        <v>543</v>
      </c>
      <c r="C27" t="str">
        <f>_xlfn.LET(
_xlpm.cliente,TRIM(UPPER(A27)),
_xlpm.bu,TRIM(UPPER(B27)),
_xlpm.limite,_xlfn.XLOOKUP(A27,'Limite de crédito'!C:C,'Limite de crédito'!G:G,""),
_xlpm.seguro,_xlfn.XLOOKUP(A27,'Limite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8" spans="1:3" x14ac:dyDescent="0.25">
      <c r="A28" s="169" t="s">
        <v>153</v>
      </c>
      <c r="B28" t="s">
        <v>543</v>
      </c>
      <c r="C28" t="str">
        <f>_xlfn.LET(
_xlpm.cliente,TRIM(UPPER(A28)),
_xlpm.bu,TRIM(UPPER(B28)),
_xlpm.limite,_xlfn.XLOOKUP(A28,'Limite de crédito'!C:C,'Limite de crédito'!G:G,""),
_xlpm.seguro,_xlfn.XLOOKUP(A28,'Limite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9" spans="1:3" x14ac:dyDescent="0.25">
      <c r="A29" s="169" t="s">
        <v>490</v>
      </c>
      <c r="B29" t="s">
        <v>543</v>
      </c>
      <c r="C29" t="str">
        <f>_xlfn.LET(
_xlpm.cliente,TRIM(UPPER(A29)),
_xlpm.bu,TRIM(UPPER(B29)),
_xlpm.limite,_xlfn.XLOOKUP(A29,'Limite de crédito'!C:C,'Limite de crédito'!G:G,""),
_xlpm.seguro,_xlfn.XLOOKUP(A29,'Limite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0" spans="1:3" x14ac:dyDescent="0.25">
      <c r="A30" s="169" t="s">
        <v>90</v>
      </c>
      <c r="B30" t="s">
        <v>886</v>
      </c>
      <c r="C30" t="str">
        <f>_xlfn.LET(
_xlpm.cliente,TRIM(UPPER(A30)),
_xlpm.bu,TRIM(UPPER(B30)),
_xlpm.limite,_xlfn.XLOOKUP(A30,'Limite de crédito'!C:C,'Limite de crédito'!G:G,""),
_xlpm.seguro,_xlfn.XLOOKUP(A30,'Limite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31" spans="1:3" x14ac:dyDescent="0.25">
      <c r="A31" s="169" t="s">
        <v>145</v>
      </c>
      <c r="B31" t="s">
        <v>543</v>
      </c>
      <c r="C31" t="str">
        <f>_xlfn.LET(
_xlpm.cliente,TRIM(UPPER(A31)),
_xlpm.bu,TRIM(UPPER(B31)),
_xlpm.limite,_xlfn.XLOOKUP(A31,'Limite de crédito'!C:C,'Limite de crédito'!G:G,""),
_xlpm.seguro,_xlfn.XLOOKUP(A31,'Limite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2" spans="1:3" x14ac:dyDescent="0.25">
      <c r="A32" s="169" t="s">
        <v>142</v>
      </c>
      <c r="B32" t="s">
        <v>543</v>
      </c>
      <c r="C32" t="str">
        <f>_xlfn.LET(
_xlpm.cliente,TRIM(UPPER(A32)),
_xlpm.bu,TRIM(UPPER(B32)),
_xlpm.limite,_xlfn.XLOOKUP(A32,'Limite de crédito'!C:C,'Limite de crédito'!G:G,""),
_xlpm.seguro,_xlfn.XLOOKUP(A32,'Limite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3" spans="1:3" x14ac:dyDescent="0.25">
      <c r="A33" s="169" t="s">
        <v>151</v>
      </c>
      <c r="B33" t="s">
        <v>543</v>
      </c>
      <c r="C33" t="str">
        <f>_xlfn.LET(
_xlpm.cliente,TRIM(UPPER(A33)),
_xlpm.bu,TRIM(UPPER(B33)),
_xlpm.limite,_xlfn.XLOOKUP(A33,'Limite de crédito'!C:C,'Limite de crédito'!G:G,""),
_xlpm.seguro,_xlfn.XLOOKUP(A33,'Limite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4" spans="1:3" x14ac:dyDescent="0.25">
      <c r="A34" s="169" t="s">
        <v>148</v>
      </c>
      <c r="B34" t="s">
        <v>543</v>
      </c>
      <c r="C34" t="str">
        <f>_xlfn.LET(
_xlpm.cliente,TRIM(UPPER(A34)),
_xlpm.bu,TRIM(UPPER(B34)),
_xlpm.limite,_xlfn.XLOOKUP(A34,'Limite de crédito'!C:C,'Limite de crédito'!G:G,""),
_xlpm.seguro,_xlfn.XLOOKUP(A34,'Limite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5" spans="1:3" x14ac:dyDescent="0.25">
      <c r="A35" s="169" t="s">
        <v>157</v>
      </c>
      <c r="B35" t="s">
        <v>543</v>
      </c>
      <c r="C35" t="str">
        <f>_xlfn.LET(
_xlpm.cliente,TRIM(UPPER(A35)),
_xlpm.bu,TRIM(UPPER(B35)),
_xlpm.limite,_xlfn.XLOOKUP(A35,'Limite de crédito'!C:C,'Limite de crédito'!G:G,""),
_xlpm.seguro,_xlfn.XLOOKUP(A35,'Limite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6" spans="1:3" x14ac:dyDescent="0.25">
      <c r="A36" s="169" t="s">
        <v>154</v>
      </c>
      <c r="B36" t="s">
        <v>543</v>
      </c>
      <c r="C36" t="str">
        <f>_xlfn.LET(
_xlpm.cliente,TRIM(UPPER(A36)),
_xlpm.bu,TRIM(UPPER(B36)),
_xlpm.limite,_xlfn.XLOOKUP(A36,'Limite de crédito'!C:C,'Limite de crédito'!G:G,""),
_xlpm.seguro,_xlfn.XLOOKUP(A36,'Limite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7" spans="1:3" x14ac:dyDescent="0.25">
      <c r="A37" s="169" t="s">
        <v>144</v>
      </c>
      <c r="B37" t="s">
        <v>543</v>
      </c>
      <c r="C37" t="str">
        <f>_xlfn.LET(
_xlpm.cliente,TRIM(UPPER(A37)),
_xlpm.bu,TRIM(UPPER(B37)),
_xlpm.limite,_xlfn.XLOOKUP(A37,'Limite de crédito'!C:C,'Limite de crédito'!G:G,""),
_xlpm.seguro,_xlfn.XLOOKUP(A37,'Limite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8" spans="1:3" x14ac:dyDescent="0.25">
      <c r="A38" s="169" t="s">
        <v>174</v>
      </c>
      <c r="B38" t="s">
        <v>543</v>
      </c>
      <c r="C38" t="str">
        <f>_xlfn.LET(
_xlpm.cliente,TRIM(UPPER(A38)),
_xlpm.bu,TRIM(UPPER(B38)),
_xlpm.limite,_xlfn.XLOOKUP(A38,'Limite de crédito'!C:C,'Limite de crédito'!G:G,""),
_xlpm.seguro,_xlfn.XLOOKUP(A38,'Limite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9" spans="1:3" x14ac:dyDescent="0.25">
      <c r="A39" s="169" t="s">
        <v>272</v>
      </c>
      <c r="B39" t="s">
        <v>543</v>
      </c>
      <c r="C39" t="str">
        <f>_xlfn.LET(
_xlpm.cliente,TRIM(UPPER(A39)),
_xlpm.bu,TRIM(UPPER(B39)),
_xlpm.limite,_xlfn.XLOOKUP(A39,'Limite de crédito'!C:C,'Limite de crédito'!G:G,""),
_xlpm.seguro,_xlfn.XLOOKUP(A39,'Limite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40" spans="1:3" x14ac:dyDescent="0.25">
      <c r="A40" s="169" t="s">
        <v>382</v>
      </c>
      <c r="B40" t="s">
        <v>543</v>
      </c>
      <c r="C40" t="str">
        <f>_xlfn.LET(
_xlpm.cliente,TRIM(UPPER(A40)),
_xlpm.bu,TRIM(UPPER(B40)),
_xlpm.limite,_xlfn.XLOOKUP(A40,'Limite de crédito'!C:C,'Limite de crédito'!G:G,""),
_xlpm.seguro,_xlfn.XLOOKUP(A40,'Limite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41" spans="1:3" x14ac:dyDescent="0.25">
      <c r="A41" s="169" t="s">
        <v>136</v>
      </c>
      <c r="B41" t="s">
        <v>543</v>
      </c>
      <c r="C41" t="str">
        <f>_xlfn.LET(
_xlpm.cliente,TRIM(UPPER(A41)),
_xlpm.bu,TRIM(UPPER(B41)),
_xlpm.limite,_xlfn.XLOOKUP(A41,'Limite de crédito'!C:C,'Limite de crédito'!G:G,""),
_xlpm.seguro,_xlfn.XLOOKUP(A41,'Limite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42" spans="1:3" x14ac:dyDescent="0.25">
      <c r="A42" s="169" t="s">
        <v>264</v>
      </c>
      <c r="B42" t="s">
        <v>543</v>
      </c>
      <c r="C42" t="str">
        <f>_xlfn.LET(
_xlpm.cliente,TRIM(UPPER(A42)),
_xlpm.bu,TRIM(UPPER(B42)),
_xlpm.limite,_xlfn.XLOOKUP(A42,'Limite de crédito'!C:C,'Limite de crédito'!G:G,""),
_xlpm.seguro,_xlfn.XLOOKUP(A42,'Limite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row>
    <row r="43" spans="1:3" x14ac:dyDescent="0.25">
      <c r="A43" s="169" t="s">
        <v>308</v>
      </c>
      <c r="B43" t="s">
        <v>543</v>
      </c>
      <c r="C43" t="str">
        <f>_xlfn.LET(
_xlpm.cliente,TRIM(UPPER(A43)),
_xlpm.bu,TRIM(UPPER(B43)),
_xlpm.limite,_xlfn.XLOOKUP(A43,'Limite de crédito'!C:C,'Limite de crédito'!G:G,""),
_xlpm.seguro,_xlfn.XLOOKUP(A43,'Limite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row>
    <row r="44" spans="1:3" x14ac:dyDescent="0.25">
      <c r="A44" s="169" t="s">
        <v>40</v>
      </c>
      <c r="B44" t="s">
        <v>543</v>
      </c>
      <c r="C44" t="str">
        <f>_xlfn.LET(
_xlpm.cliente,TRIM(UPPER(A44)),
_xlpm.bu,TRIM(UPPER(B44)),
_xlpm.limite,_xlfn.XLOOKUP(A44,'Limite de crédito'!C:C,'Limite de crédito'!G:G,""),
_xlpm.seguro,_xlfn.XLOOKUP(A44,'Limite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45" spans="1:3" x14ac:dyDescent="0.25">
      <c r="A45" s="169" t="s">
        <v>119</v>
      </c>
      <c r="B45" t="s">
        <v>543</v>
      </c>
      <c r="C45" t="str">
        <f>_xlfn.LET(
_xlpm.cliente,TRIM(UPPER(A45)),
_xlpm.bu,TRIM(UPPER(B45)),
_xlpm.limite,_xlfn.XLOOKUP(A45,'Limite de crédito'!C:C,'Limite de crédito'!G:G,""),
_xlpm.seguro,_xlfn.XLOOKUP(A45,'Limite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46" spans="1:3" x14ac:dyDescent="0.25">
      <c r="A46" s="169" t="s">
        <v>487</v>
      </c>
      <c r="B46" t="s">
        <v>543</v>
      </c>
      <c r="C46" t="str">
        <f>_xlfn.LET(
_xlpm.cliente,TRIM(UPPER(A46)),
_xlpm.bu,TRIM(UPPER(B46)),
_xlpm.limite,_xlfn.XLOOKUP(A46,'Limite de crédito'!C:C,'Limite de crédito'!G:G,""),
_xlpm.seguro,_xlfn.XLOOKUP(A46,'Limite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47" spans="1:3" x14ac:dyDescent="0.25">
      <c r="A47" s="169" t="s">
        <v>493</v>
      </c>
      <c r="B47" t="s">
        <v>543</v>
      </c>
      <c r="C47" t="str">
        <f>_xlfn.LET(
_xlpm.cliente,TRIM(UPPER(A47)),
_xlpm.bu,TRIM(UPPER(B47)),
_xlpm.limite,_xlfn.XLOOKUP(A47,'Limite de crédito'!C:C,'Limite de crédito'!G:G,""),
_xlpm.seguro,_xlfn.XLOOKUP(A47,'Limite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48" spans="1:3" x14ac:dyDescent="0.25">
      <c r="A48" s="169" t="s">
        <v>99</v>
      </c>
      <c r="B48" t="s">
        <v>543</v>
      </c>
      <c r="C48" t="str">
        <f>_xlfn.LET(
_xlpm.cliente,TRIM(UPPER(A48)),
_xlpm.bu,TRIM(UPPER(B48)),
_xlpm.limite,_xlfn.XLOOKUP(A48,'Limite de crédito'!C:C,'Limite de crédito'!G:G,""),
_xlpm.seguro,_xlfn.XLOOKUP(A48,'Limite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49" spans="1:3" x14ac:dyDescent="0.25">
      <c r="A49" s="169" t="s">
        <v>528</v>
      </c>
      <c r="B49" t="s">
        <v>543</v>
      </c>
      <c r="C49" t="str">
        <f>_xlfn.LET(
_xlpm.cliente,TRIM(UPPER(A49)),
_xlpm.bu,TRIM(UPPER(B49)),
_xlpm.limite,_xlfn.XLOOKUP(A49,'Limite de crédito'!C:C,'Limite de crédito'!G:G,""),
_xlpm.seguro,_xlfn.XLOOKUP(A49,'Limite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50" spans="1:3" x14ac:dyDescent="0.25">
      <c r="A50" s="169" t="s">
        <v>526</v>
      </c>
      <c r="B50" t="s">
        <v>543</v>
      </c>
      <c r="C50" t="str">
        <f>_xlfn.LET(
_xlpm.cliente,TRIM(UPPER(A50)),
_xlpm.bu,TRIM(UPPER(B50)),
_xlpm.limite,_xlfn.XLOOKUP(A50,'Limite de crédito'!C:C,'Limite de crédito'!G:G,""),
_xlpm.seguro,_xlfn.XLOOKUP(A50,'Limite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51" spans="1:3" x14ac:dyDescent="0.25">
      <c r="A51" s="169" t="s">
        <v>527</v>
      </c>
      <c r="B51" t="s">
        <v>543</v>
      </c>
      <c r="C51" t="str">
        <f>_xlfn.LET(
_xlpm.cliente,TRIM(UPPER(A51)),
_xlpm.bu,TRIM(UPPER(B51)),
_xlpm.limite,_xlfn.XLOOKUP(A51,'Limite de crédito'!C:C,'Limite de crédito'!G:G,""),
_xlpm.seguro,_xlfn.XLOOKUP(A51,'Limite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52" spans="1:3" x14ac:dyDescent="0.25">
      <c r="A52" s="169" t="s">
        <v>88</v>
      </c>
      <c r="B52" t="s">
        <v>543</v>
      </c>
      <c r="C52" t="str">
        <f>_xlfn.LET(
_xlpm.cliente,TRIM(UPPER(A52)),
_xlpm.bu,TRIM(UPPER(B52)),
_xlpm.limite,_xlfn.XLOOKUP(A52,'Limite de crédito'!C:C,'Limite de crédito'!G:G,""),
_xlpm.seguro,_xlfn.XLOOKUP(A52,'Limite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53" spans="1:3" x14ac:dyDescent="0.25">
      <c r="A53" s="169" t="s">
        <v>165</v>
      </c>
      <c r="B53" t="s">
        <v>543</v>
      </c>
      <c r="C53" t="str">
        <f>_xlfn.LET(
_xlpm.cliente,TRIM(UPPER(A53)),
_xlpm.bu,TRIM(UPPER(B53)),
_xlpm.limite,_xlfn.XLOOKUP(A53,'Limite de crédito'!C:C,'Limite de crédito'!G:G,""),
_xlpm.seguro,_xlfn.XLOOKUP(A53,'Limite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54" spans="1:3" x14ac:dyDescent="0.25">
      <c r="A54" s="169" t="s">
        <v>302</v>
      </c>
      <c r="B54" t="s">
        <v>543</v>
      </c>
      <c r="C54" t="str">
        <f>_xlfn.LET(
_xlpm.cliente,TRIM(UPPER(A54)),
_xlpm.bu,TRIM(UPPER(B54)),
_xlpm.limite,_xlfn.XLOOKUP(A54,'Limite de crédito'!C:C,'Limite de crédito'!G:G,""),
_xlpm.seguro,_xlfn.XLOOKUP(A54,'Limite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55" spans="1:3" x14ac:dyDescent="0.25">
      <c r="A55" s="169" t="s">
        <v>251</v>
      </c>
      <c r="B55" t="s">
        <v>543</v>
      </c>
      <c r="C55" t="str">
        <f>_xlfn.LET(
_xlpm.cliente,TRIM(UPPER(A55)),
_xlpm.bu,TRIM(UPPER(B55)),
_xlpm.limite,_xlfn.XLOOKUP(A55,'Limite de crédito'!C:C,'Limite de crédito'!G:G,""),
_xlpm.seguro,_xlfn.XLOOKUP(A55,'Limite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56" spans="1:3" x14ac:dyDescent="0.25">
      <c r="A56" s="169" t="s">
        <v>533</v>
      </c>
      <c r="B56" t="s">
        <v>543</v>
      </c>
      <c r="C56" t="str">
        <f>_xlfn.LET(
_xlpm.cliente,TRIM(UPPER(A56)),
_xlpm.bu,TRIM(UPPER(B56)),
_xlpm.limite,_xlfn.XLOOKUP(A56,'Limite de crédito'!C:C,'Limite de crédito'!G:G,""),
_xlpm.seguro,_xlfn.XLOOKUP(A56,'Limite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row>
    <row r="57" spans="1:3" x14ac:dyDescent="0.25">
      <c r="A57" s="169" t="s">
        <v>546</v>
      </c>
      <c r="B57" t="s">
        <v>543</v>
      </c>
      <c r="C57" t="str">
        <f>_xlfn.LET(
_xlpm.cliente,TRIM(UPPER(A57)),
_xlpm.bu,TRIM(UPPER(B57)),
_xlpm.limite,_xlfn.XLOOKUP(A57,'Limite de crédito'!C:C,'Limite de crédito'!G:G,""),
_xlpm.seguro,_xlfn.XLOOKUP(A57,'Limite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58" spans="1:3" x14ac:dyDescent="0.25">
      <c r="A58" s="169" t="s">
        <v>105</v>
      </c>
      <c r="B58" t="s">
        <v>543</v>
      </c>
      <c r="C58" t="str">
        <f>_xlfn.LET(
_xlpm.cliente,TRIM(UPPER(A58)),
_xlpm.bu,TRIM(UPPER(B58)),
_xlpm.limite,_xlfn.XLOOKUP(A58,'Limite de crédito'!C:C,'Limite de crédito'!G:G,""),
_xlpm.seguro,_xlfn.XLOOKUP(A58,'Limite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59" spans="1:3" x14ac:dyDescent="0.25">
      <c r="A59" s="169" t="s">
        <v>301</v>
      </c>
      <c r="B59" t="s">
        <v>543</v>
      </c>
      <c r="C59" t="str">
        <f>_xlfn.LET(
_xlpm.cliente,TRIM(UPPER(A59)),
_xlpm.bu,TRIM(UPPER(B59)),
_xlpm.limite,_xlfn.XLOOKUP(A59,'Limite de crédito'!C:C,'Limite de crédito'!G:G,""),
_xlpm.seguro,_xlfn.XLOOKUP(A59,'Limite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60" spans="1:3" x14ac:dyDescent="0.25">
      <c r="A60" s="169" t="s">
        <v>271</v>
      </c>
      <c r="B60" t="s">
        <v>543</v>
      </c>
      <c r="C60" t="str">
        <f>_xlfn.LET(
_xlpm.cliente,TRIM(UPPER(A60)),
_xlpm.bu,TRIM(UPPER(B60)),
_xlpm.limite,_xlfn.XLOOKUP(A60,'Limite de crédito'!C:C,'Limite de crédito'!G:G,""),
_xlpm.seguro,_xlfn.XLOOKUP(A60,'Limite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61" spans="1:3" x14ac:dyDescent="0.25">
      <c r="A61" s="169" t="s">
        <v>551</v>
      </c>
      <c r="B61" t="s">
        <v>543</v>
      </c>
      <c r="C61" t="str">
        <f>_xlfn.LET(
_xlpm.cliente,TRIM(UPPER(A61)),
_xlpm.bu,TRIM(UPPER(B61)),
_xlpm.limite,_xlfn.XLOOKUP(A61,'Limite de crédito'!C:C,'Limite de crédito'!G:G,""),
_xlpm.seguro,_xlfn.XLOOKUP(A61,'Limite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62" spans="1:3" x14ac:dyDescent="0.25">
      <c r="A62" s="169" t="s">
        <v>175</v>
      </c>
      <c r="B62" t="s">
        <v>543</v>
      </c>
      <c r="C62" t="str">
        <f>_xlfn.LET(
_xlpm.cliente,TRIM(UPPER(A62)),
_xlpm.bu,TRIM(UPPER(B62)),
_xlpm.limite,_xlfn.XLOOKUP(A62,'Limite de crédito'!C:C,'Limite de crédito'!G:G,""),
_xlpm.seguro,_xlfn.XLOOKUP(A62,'Limite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63" spans="1:3" x14ac:dyDescent="0.25">
      <c r="A63" s="169" t="s">
        <v>564</v>
      </c>
      <c r="B63" t="s">
        <v>543</v>
      </c>
      <c r="C63" t="str">
        <f>_xlfn.LET(
_xlpm.cliente,TRIM(UPPER(A63)),
_xlpm.bu,TRIM(UPPER(B63)),
_xlpm.limite,_xlfn.XLOOKUP(A63,'Limite de crédito'!C:C,'Limite de crédito'!G:G,""),
_xlpm.seguro,_xlfn.XLOOKUP(A63,'Limite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64" spans="1:3" x14ac:dyDescent="0.25">
      <c r="A64" s="169" t="s">
        <v>568</v>
      </c>
      <c r="B64" t="s">
        <v>543</v>
      </c>
      <c r="C64" t="str">
        <f>_xlfn.LET(
_xlpm.cliente,TRIM(UPPER(A64)),
_xlpm.bu,TRIM(UPPER(B64)),
_xlpm.limite,_xlfn.XLOOKUP(A64,'Limite de crédito'!C:C,'Limite de crédito'!G:G,""),
_xlpm.seguro,_xlfn.XLOOKUP(A64,'Limite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65" spans="1:3" x14ac:dyDescent="0.25">
      <c r="A65" s="169" t="s">
        <v>569</v>
      </c>
      <c r="B65" t="s">
        <v>543</v>
      </c>
      <c r="C65" t="str">
        <f>_xlfn.LET(
_xlpm.cliente,TRIM(UPPER(A65)),
_xlpm.bu,TRIM(UPPER(B65)),
_xlpm.limite,_xlfn.XLOOKUP(A65,'Limite de crédito'!C:C,'Limite de crédito'!G:G,""),
_xlpm.seguro,_xlfn.XLOOKUP(A65,'Limite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66" spans="1:3" x14ac:dyDescent="0.25">
      <c r="A66" s="169" t="s">
        <v>573</v>
      </c>
      <c r="B66" t="s">
        <v>543</v>
      </c>
      <c r="C66" t="str">
        <f>_xlfn.LET(
_xlpm.cliente,TRIM(UPPER(A66)),
_xlpm.bu,TRIM(UPPER(B66)),
_xlpm.limite,_xlfn.XLOOKUP(A66,'Limite de crédito'!C:C,'Limite de crédito'!G:G,""),
_xlpm.seguro,_xlfn.XLOOKUP(A66,'Limite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67" spans="1:3" x14ac:dyDescent="0.25">
      <c r="A67" s="169" t="s">
        <v>572</v>
      </c>
      <c r="B67" t="s">
        <v>543</v>
      </c>
      <c r="C67" t="str">
        <f>_xlfn.LET(
_xlpm.cliente,TRIM(UPPER(A67)),
_xlpm.bu,TRIM(UPPER(B67)),
_xlpm.limite,_xlfn.XLOOKUP(A67,'Limite de crédito'!C:C,'Limite de crédito'!G:G,""),
_xlpm.seguro,_xlfn.XLOOKUP(A67,'Limite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68" spans="1:3" x14ac:dyDescent="0.25">
      <c r="A68" s="169" t="s">
        <v>574</v>
      </c>
      <c r="B68" t="s">
        <v>543</v>
      </c>
      <c r="C68" t="str">
        <f>_xlfn.LET(
_xlpm.cliente,TRIM(UPPER(A68)),
_xlpm.bu,TRIM(UPPER(B68)),
_xlpm.limite,_xlfn.XLOOKUP(A68,'Limite de crédito'!C:C,'Limite de crédito'!G:G,""),
_xlpm.seguro,_xlfn.XLOOKUP(A68,'Limite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69" spans="1:3" x14ac:dyDescent="0.25">
      <c r="A69" s="169" t="s">
        <v>575</v>
      </c>
      <c r="B69" t="s">
        <v>543</v>
      </c>
      <c r="C69" t="str">
        <f>_xlfn.LET(
_xlpm.cliente,TRIM(UPPER(A69)),
_xlpm.bu,TRIM(UPPER(B69)),
_xlpm.limite,_xlfn.XLOOKUP(A69,'Limite de crédito'!C:C,'Limite de crédito'!G:G,""),
_xlpm.seguro,_xlfn.XLOOKUP(A69,'Limite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70" spans="1:3" x14ac:dyDescent="0.25">
      <c r="A70" s="169" t="s">
        <v>576</v>
      </c>
      <c r="B70" t="s">
        <v>543</v>
      </c>
      <c r="C70" t="str">
        <f>_xlfn.LET(
_xlpm.cliente,TRIM(UPPER(A70)),
_xlpm.bu,TRIM(UPPER(B70)),
_xlpm.limite,_xlfn.XLOOKUP(A70,'Limite de crédito'!C:C,'Limite de crédito'!G:G,""),
_xlpm.seguro,_xlfn.XLOOKUP(A70,'Limite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1" spans="1:3" x14ac:dyDescent="0.25">
      <c r="A71" s="169" t="s">
        <v>610</v>
      </c>
      <c r="B71" t="s">
        <v>543</v>
      </c>
      <c r="C71" t="str">
        <f>_xlfn.LET(
_xlpm.cliente,TRIM(UPPER(A71)),
_xlpm.bu,TRIM(UPPER(B71)),
_xlpm.limite,_xlfn.XLOOKUP(A71,'Limite de crédito'!C:C,'Limite de crédito'!G:G,""),
_xlpm.seguro,_xlfn.XLOOKUP(A71,'Limite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72" spans="1:3" x14ac:dyDescent="0.25">
      <c r="A72" s="169" t="s">
        <v>257</v>
      </c>
      <c r="B72" t="s">
        <v>543</v>
      </c>
      <c r="C72" t="str">
        <f>_xlfn.LET(
_xlpm.cliente,TRIM(UPPER(A72)),
_xlpm.bu,TRIM(UPPER(B72)),
_xlpm.limite,_xlfn.XLOOKUP(A72,'Limite de crédito'!C:C,'Limite de crédito'!G:G,""),
_xlpm.seguro,_xlfn.XLOOKUP(A72,'Limite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3" spans="1:3" x14ac:dyDescent="0.25">
      <c r="A73" s="169" t="s">
        <v>611</v>
      </c>
      <c r="B73" t="s">
        <v>543</v>
      </c>
      <c r="C73" t="str">
        <f>_xlfn.LET(
_xlpm.cliente,TRIM(UPPER(A73)),
_xlpm.bu,TRIM(UPPER(B73)),
_xlpm.limite,_xlfn.XLOOKUP(A73,'Limite de crédito'!C:C,'Limite de crédito'!G:G,""),
_xlpm.seguro,_xlfn.XLOOKUP(A73,'Limite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4" spans="1:3" x14ac:dyDescent="0.25">
      <c r="A74" s="169" t="s">
        <v>598</v>
      </c>
      <c r="B74" t="s">
        <v>543</v>
      </c>
      <c r="C74" t="str">
        <f>_xlfn.LET(
_xlpm.cliente,TRIM(UPPER(A74)),
_xlpm.bu,TRIM(UPPER(B74)),
_xlpm.limite,_xlfn.XLOOKUP(A74,'Limite de crédito'!C:C,'Limite de crédito'!G:G,""),
_xlpm.seguro,_xlfn.XLOOKUP(A74,'Limite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5" spans="1:3" x14ac:dyDescent="0.25">
      <c r="A75" s="169" t="s">
        <v>295</v>
      </c>
      <c r="B75" t="s">
        <v>543</v>
      </c>
      <c r="C75" t="str">
        <f>_xlfn.LET(
_xlpm.cliente,TRIM(UPPER(A75)),
_xlpm.bu,TRIM(UPPER(B75)),
_xlpm.limite,_xlfn.XLOOKUP(A75,'Limite de crédito'!C:C,'Limite de crédito'!G:G,""),
_xlpm.seguro,_xlfn.XLOOKUP(A75,'Limite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6" spans="1:3" x14ac:dyDescent="0.25">
      <c r="A76" s="169" t="s">
        <v>613</v>
      </c>
      <c r="B76" t="s">
        <v>543</v>
      </c>
      <c r="C76" t="str">
        <f>_xlfn.LET(
_xlpm.cliente,TRIM(UPPER(A76)),
_xlpm.bu,TRIM(UPPER(B76)),
_xlpm.limite,_xlfn.XLOOKUP(A76,'Limite de crédito'!C:C,'Limite de crédito'!G:G,""),
_xlpm.seguro,_xlfn.XLOOKUP(A76,'Limite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7" spans="1:3" x14ac:dyDescent="0.25">
      <c r="A77" s="169" t="s">
        <v>614</v>
      </c>
      <c r="B77" t="s">
        <v>543</v>
      </c>
      <c r="C77" t="str">
        <f>_xlfn.LET(
_xlpm.cliente,TRIM(UPPER(A77)),
_xlpm.bu,TRIM(UPPER(B77)),
_xlpm.limite,_xlfn.XLOOKUP(A77,'Limite de crédito'!C:C,'Limite de crédito'!G:G,""),
_xlpm.seguro,_xlfn.XLOOKUP(A77,'Limite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8" spans="1:3" x14ac:dyDescent="0.25">
      <c r="A78" s="169" t="s">
        <v>429</v>
      </c>
      <c r="B78" t="s">
        <v>543</v>
      </c>
      <c r="C78" t="str">
        <f>_xlfn.LET(
_xlpm.cliente,TRIM(UPPER(A78)),
_xlpm.bu,TRIM(UPPER(B78)),
_xlpm.limite,_xlfn.XLOOKUP(A78,'Limite de crédito'!C:C,'Limite de crédito'!G:G,""),
_xlpm.seguro,_xlfn.XLOOKUP(A78,'Limite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9" spans="1:3" x14ac:dyDescent="0.25">
      <c r="A79" s="169" t="s">
        <v>462</v>
      </c>
      <c r="B79" t="s">
        <v>543</v>
      </c>
      <c r="C79" t="str">
        <f>_xlfn.LET(
_xlpm.cliente,TRIM(UPPER(A79)),
_xlpm.bu,TRIM(UPPER(B79)),
_xlpm.limite,_xlfn.XLOOKUP(A79,'Limite de crédito'!C:C,'Limite de crédito'!G:G,""),
_xlpm.seguro,_xlfn.XLOOKUP(A79,'Limite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row>
    <row r="80" spans="1:3" x14ac:dyDescent="0.25">
      <c r="A80" s="169" t="s">
        <v>648</v>
      </c>
      <c r="B80" t="s">
        <v>543</v>
      </c>
      <c r="C80" t="str">
        <f>_xlfn.LET(
_xlpm.cliente,TRIM(UPPER(A80)),
_xlpm.bu,TRIM(UPPER(B80)),
_xlpm.limite,_xlfn.XLOOKUP(A80,'Limite de crédito'!C:C,'Limite de crédito'!G:G,""),
_xlpm.seguro,_xlfn.XLOOKUP(A80,'Limite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81" spans="1:3" x14ac:dyDescent="0.25">
      <c r="A81" s="169" t="s">
        <v>650</v>
      </c>
      <c r="B81" t="s">
        <v>543</v>
      </c>
      <c r="C81" t="str">
        <f>_xlfn.LET(
_xlpm.cliente,TRIM(UPPER(A81)),
_xlpm.bu,TRIM(UPPER(B81)),
_xlpm.limite,_xlfn.XLOOKUP(A81,'Limite de crédito'!C:C,'Limite de crédito'!G:G,""),
_xlpm.seguro,_xlfn.XLOOKUP(A81,'Limite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
      </c>
    </row>
    <row r="82" spans="1:3" x14ac:dyDescent="0.25">
      <c r="A82" s="169" t="s">
        <v>93</v>
      </c>
      <c r="B82" t="s">
        <v>543</v>
      </c>
      <c r="C82" t="str">
        <f>_xlfn.LET(
_xlpm.cliente,TRIM(UPPER(A82)),
_xlpm.bu,TRIM(UPPER(B82)),
_xlpm.limite,_xlfn.XLOOKUP(A82,'Limite de crédito'!C:C,'Limite de crédito'!G:G,""),
_xlpm.seguro,_xlfn.XLOOKUP(A82,'Limite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83" spans="1:3" x14ac:dyDescent="0.25">
      <c r="A83" s="169" t="s">
        <v>649</v>
      </c>
      <c r="B83" t="s">
        <v>543</v>
      </c>
      <c r="C83" t="str">
        <f>_xlfn.LET(
_xlpm.cliente,TRIM(UPPER(A83)),
_xlpm.bu,TRIM(UPPER(B83)),
_xlpm.limite,_xlfn.XLOOKUP(A83,'Limite de crédito'!C:C,'Limite de crédito'!G:G,""),
_xlpm.seguro,_xlfn.XLOOKUP(A83,'Limite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84" spans="1:3" x14ac:dyDescent="0.25">
      <c r="A84" s="169" t="s">
        <v>94</v>
      </c>
      <c r="B84" t="s">
        <v>543</v>
      </c>
      <c r="C84" t="str">
        <f>_xlfn.LET(
_xlpm.cliente,TRIM(UPPER(A84)),
_xlpm.bu,TRIM(UPPER(B84)),
_xlpm.limite,_xlfn.XLOOKUP(A84,'Limite de crédito'!C:C,'Limite de crédito'!G:G,""),
_xlpm.seguro,_xlfn.XLOOKUP(A84,'Limite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85" spans="1:3" x14ac:dyDescent="0.25">
      <c r="A85" s="169" t="s">
        <v>599</v>
      </c>
      <c r="B85" t="s">
        <v>543</v>
      </c>
      <c r="C85" t="str">
        <f>_xlfn.LET(
_xlpm.cliente,TRIM(UPPER(A85)),
_xlpm.bu,TRIM(UPPER(B85)),
_xlpm.limite,_xlfn.XLOOKUP(A85,'Limite de crédito'!C:C,'Limite de crédito'!G:G,""),
_xlpm.seguro,_xlfn.XLOOKUP(A85,'Limite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86" spans="1:3" x14ac:dyDescent="0.25">
      <c r="A86" s="169" t="s">
        <v>591</v>
      </c>
      <c r="B86" t="s">
        <v>543</v>
      </c>
      <c r="C86" t="str">
        <f>_xlfn.LET(
_xlpm.cliente,TRIM(UPPER(A86)),
_xlpm.bu,TRIM(UPPER(B86)),
_xlpm.limite,_xlfn.XLOOKUP(A86,'Limite de crédito'!C:C,'Limite de crédito'!G:G,""),
_xlpm.seguro,_xlfn.XLOOKUP(A86,'Limite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87" spans="1:3" x14ac:dyDescent="0.25">
      <c r="A87" s="169" t="s">
        <v>674</v>
      </c>
      <c r="B87" t="s">
        <v>543</v>
      </c>
      <c r="C87" t="str">
        <f>_xlfn.LET(
_xlpm.cliente,TRIM(UPPER(A87)),
_xlpm.bu,TRIM(UPPER(B87)),
_xlpm.limite,_xlfn.XLOOKUP(A87,'Limite de crédito'!C:C,'Limite de crédito'!G:G,""),
_xlpm.seguro,_xlfn.XLOOKUP(A87,'Limite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88" spans="1:3" x14ac:dyDescent="0.25">
      <c r="A88" s="169" t="s">
        <v>679</v>
      </c>
      <c r="B88" t="s">
        <v>543</v>
      </c>
      <c r="C88" t="str">
        <f>_xlfn.LET(
_xlpm.cliente,TRIM(UPPER(A88)),
_xlpm.bu,TRIM(UPPER(B88)),
_xlpm.limite,_xlfn.XLOOKUP(A88,'Limite de crédito'!C:C,'Limite de crédito'!G:G,""),
_xlpm.seguro,_xlfn.XLOOKUP(A88,'Limite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89" spans="1:3" x14ac:dyDescent="0.25">
      <c r="A89" s="169" t="s">
        <v>322</v>
      </c>
      <c r="B89" t="s">
        <v>543</v>
      </c>
      <c r="C89" t="str">
        <f>_xlfn.LET(
_xlpm.cliente,TRIM(UPPER(A89)),
_xlpm.bu,TRIM(UPPER(B89)),
_xlpm.limite,_xlfn.XLOOKUP(A89,'Limite de crédito'!C:C,'Limite de crédito'!G:G,""),
_xlpm.seguro,_xlfn.XLOOKUP(A89,'Limite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90" spans="1:3" x14ac:dyDescent="0.25">
      <c r="A90" s="169" t="s">
        <v>332</v>
      </c>
      <c r="B90" t="s">
        <v>543</v>
      </c>
      <c r="C90" t="str">
        <f>_xlfn.LET(
_xlpm.cliente,TRIM(UPPER(A90)),
_xlpm.bu,TRIM(UPPER(B90)),
_xlpm.limite,_xlfn.XLOOKUP(A90,'Limite de crédito'!C:C,'Limite de crédito'!G:G,""),
_xlpm.seguro,_xlfn.XLOOKUP(A90,'Limite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91" spans="1:3" x14ac:dyDescent="0.25">
      <c r="A91" s="169" t="s">
        <v>691</v>
      </c>
      <c r="B91" t="s">
        <v>543</v>
      </c>
      <c r="C91" t="str">
        <f>_xlfn.LET(
_xlpm.cliente,TRIM(UPPER(A91)),
_xlpm.bu,TRIM(UPPER(B91)),
_xlpm.limite,_xlfn.XLOOKUP(A91,'Limite de crédito'!C:C,'Limite de crédito'!G:G,""),
_xlpm.seguro,_xlfn.XLOOKUP(A91,'Limite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92" spans="1:3" x14ac:dyDescent="0.25">
      <c r="A92" s="169" t="s">
        <v>693</v>
      </c>
      <c r="B92" t="s">
        <v>543</v>
      </c>
      <c r="C92" t="str">
        <f>_xlfn.LET(
_xlpm.cliente,TRIM(UPPER(A92)),
_xlpm.bu,TRIM(UPPER(B92)),
_xlpm.limite,_xlfn.XLOOKUP(A92,'Limite de crédito'!C:C,'Limite de crédito'!G:G,""),
_xlpm.seguro,_xlfn.XLOOKUP(A92,'Limite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93" spans="1:3" x14ac:dyDescent="0.25">
      <c r="A93" s="169" t="s">
        <v>414</v>
      </c>
      <c r="B93" t="s">
        <v>543</v>
      </c>
      <c r="C93" t="str">
        <f>_xlfn.LET(
_xlpm.cliente,TRIM(UPPER(A93)),
_xlpm.bu,TRIM(UPPER(B93)),
_xlpm.limite,_xlfn.XLOOKUP(A93,'Limite de crédito'!C:C,'Limite de crédito'!G:G,""),
_xlpm.seguro,_xlfn.XLOOKUP(A93,'Limite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94" spans="1:3" x14ac:dyDescent="0.25">
      <c r="A94" s="169" t="s">
        <v>358</v>
      </c>
      <c r="B94" t="s">
        <v>543</v>
      </c>
      <c r="C94" t="str">
        <f>_xlfn.LET(
_xlpm.cliente,TRIM(UPPER(A94)),
_xlpm.bu,TRIM(UPPER(B94)),
_xlpm.limite,_xlfn.XLOOKUP(A94,'Limite de crédito'!C:C,'Limite de crédito'!G:G,""),
_xlpm.seguro,_xlfn.XLOOKUP(A94,'Limite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95" spans="1:3" x14ac:dyDescent="0.25">
      <c r="A95" s="169" t="s">
        <v>116</v>
      </c>
      <c r="B95" t="s">
        <v>543</v>
      </c>
      <c r="C95" t="str">
        <f>_xlfn.LET(
_xlpm.cliente,TRIM(UPPER(A95)),
_xlpm.bu,TRIM(UPPER(B95)),
_xlpm.limite,_xlfn.XLOOKUP(A95,'Limite de crédito'!C:C,'Limite de crédito'!G:G,""),
_xlpm.seguro,_xlfn.XLOOKUP(A95,'Limite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96" spans="1:3" x14ac:dyDescent="0.25">
      <c r="A96" s="169" t="s">
        <v>702</v>
      </c>
      <c r="B96" t="s">
        <v>543</v>
      </c>
      <c r="C96" t="str">
        <f>_xlfn.LET(
_xlpm.cliente,TRIM(UPPER(A96)),
_xlpm.bu,TRIM(UPPER(B96)),
_xlpm.limite,_xlfn.XLOOKUP(A96,'Limite de crédito'!C:C,'Limite de crédito'!G:G,""),
_xlpm.seguro,_xlfn.XLOOKUP(A96,'Limite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row>
    <row r="97" spans="1:3" x14ac:dyDescent="0.25">
      <c r="A97" s="169" t="s">
        <v>704</v>
      </c>
      <c r="B97" t="s">
        <v>543</v>
      </c>
      <c r="C97" t="str">
        <f>_xlfn.LET(
_xlpm.cliente,TRIM(UPPER(A97)),
_xlpm.bu,TRIM(UPPER(B97)),
_xlpm.limite,_xlfn.XLOOKUP(A97,'Limite de crédito'!C:C,'Limite de crédito'!G:G,""),
_xlpm.seguro,_xlfn.XLOOKUP(A97,'Limite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98" spans="1:3" x14ac:dyDescent="0.25">
      <c r="A98" s="169" t="s">
        <v>712</v>
      </c>
      <c r="B98" t="s">
        <v>543</v>
      </c>
      <c r="C98" t="str">
        <f>_xlfn.LET(
_xlpm.cliente,TRIM(UPPER(A98)),
_xlpm.bu,TRIM(UPPER(B98)),
_xlpm.limite,_xlfn.XLOOKUP(A98,'Limite de crédito'!C:C,'Limite de crédito'!G:G,""),
_xlpm.seguro,_xlfn.XLOOKUP(A98,'Limite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99" spans="1:3" x14ac:dyDescent="0.25">
      <c r="A99" s="169" t="s">
        <v>713</v>
      </c>
      <c r="B99" t="s">
        <v>543</v>
      </c>
      <c r="C99" t="str">
        <f>_xlfn.LET(
_xlpm.cliente,TRIM(UPPER(A99)),
_xlpm.bu,TRIM(UPPER(B99)),
_xlpm.limite,_xlfn.XLOOKUP(A99,'Limite de crédito'!C:C,'Limite de crédito'!G:G,""),
_xlpm.seguro,_xlfn.XLOOKUP(A99,'Limite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0" spans="1:3" x14ac:dyDescent="0.25">
      <c r="A100" s="169" t="s">
        <v>50</v>
      </c>
      <c r="B100" t="s">
        <v>543</v>
      </c>
      <c r="C100" t="str">
        <f>_xlfn.LET(
_xlpm.cliente,TRIM(UPPER(A100)),
_xlpm.bu,TRIM(UPPER(B100)),
_xlpm.limite,_xlfn.XLOOKUP(A100,'Limite de crédito'!C:C,'Limite de crédito'!G:G,""),
_xlpm.seguro,_xlfn.XLOOKUP(A100,'Limite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01" spans="1:3" x14ac:dyDescent="0.25">
      <c r="A101" s="169" t="s">
        <v>716</v>
      </c>
      <c r="B101" t="s">
        <v>543</v>
      </c>
      <c r="C101" t="str">
        <f>_xlfn.LET(
_xlpm.cliente,TRIM(UPPER(A101)),
_xlpm.bu,TRIM(UPPER(B101)),
_xlpm.limite,_xlfn.XLOOKUP(A101,'Limite de crédito'!C:C,'Limite de crédito'!G:G,""),
_xlpm.seguro,_xlfn.XLOOKUP(A101,'Limite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2" spans="1:3" x14ac:dyDescent="0.25">
      <c r="A102" s="169" t="s">
        <v>721</v>
      </c>
      <c r="B102" t="s">
        <v>543</v>
      </c>
      <c r="C102" t="str">
        <f>_xlfn.LET(
_xlpm.cliente,TRIM(UPPER(A102)),
_xlpm.bu,TRIM(UPPER(B102)),
_xlpm.limite,_xlfn.XLOOKUP(A102,'Limite de crédito'!C:C,'Limite de crédito'!G:G,""),
_xlpm.seguro,_xlfn.XLOOKUP(A102,'Limite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3" spans="1:3" x14ac:dyDescent="0.25">
      <c r="A103" s="169" t="s">
        <v>717</v>
      </c>
      <c r="B103" t="s">
        <v>543</v>
      </c>
      <c r="C103" t="str">
        <f>_xlfn.LET(
_xlpm.cliente,TRIM(UPPER(A103)),
_xlpm.bu,TRIM(UPPER(B103)),
_xlpm.limite,_xlfn.XLOOKUP(A103,'Limite de crédito'!C:C,'Limite de crédito'!G:G,""),
_xlpm.seguro,_xlfn.XLOOKUP(A103,'Limite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4" spans="1:3" x14ac:dyDescent="0.25">
      <c r="A104" s="169" t="s">
        <v>720</v>
      </c>
      <c r="B104" t="s">
        <v>543</v>
      </c>
      <c r="C104" t="str">
        <f>_xlfn.LET(
_xlpm.cliente,TRIM(UPPER(A104)),
_xlpm.bu,TRIM(UPPER(B104)),
_xlpm.limite,_xlfn.XLOOKUP(A104,'Limite de crédito'!C:C,'Limite de crédito'!G:G,""),
_xlpm.seguro,_xlfn.XLOOKUP(A104,'Limite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5" spans="1:3" x14ac:dyDescent="0.25">
      <c r="A105" s="169" t="s">
        <v>722</v>
      </c>
      <c r="B105" t="s">
        <v>543</v>
      </c>
      <c r="C105" t="str">
        <f>_xlfn.LET(
_xlpm.cliente,TRIM(UPPER(A105)),
_xlpm.bu,TRIM(UPPER(B105)),
_xlpm.limite,_xlfn.XLOOKUP(A105,'Limite de crédito'!C:C,'Limite de crédito'!G:G,""),
_xlpm.seguro,_xlfn.XLOOKUP(A105,'Limite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6" spans="1:3" x14ac:dyDescent="0.25">
      <c r="A106" s="169" t="s">
        <v>723</v>
      </c>
      <c r="B106" t="s">
        <v>543</v>
      </c>
      <c r="C106" t="str">
        <f>_xlfn.LET(
_xlpm.cliente,TRIM(UPPER(A106)),
_xlpm.bu,TRIM(UPPER(B106)),
_xlpm.limite,_xlfn.XLOOKUP(A106,'Limite de crédito'!C:C,'Limite de crédito'!G:G,""),
_xlpm.seguro,_xlfn.XLOOKUP(A106,'Limite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7" spans="1:3" x14ac:dyDescent="0.25">
      <c r="A107" s="169" t="s">
        <v>725</v>
      </c>
      <c r="B107" t="s">
        <v>543</v>
      </c>
      <c r="C107" t="str">
        <f>_xlfn.LET(
_xlpm.cliente,TRIM(UPPER(A107)),
_xlpm.bu,TRIM(UPPER(B107)),
_xlpm.limite,_xlfn.XLOOKUP(A107,'Limite de crédito'!C:C,'Limite de crédito'!G:G,""),
_xlpm.seguro,_xlfn.XLOOKUP(A107,'Limite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8" spans="1:3" x14ac:dyDescent="0.25">
      <c r="A108" s="169" t="s">
        <v>728</v>
      </c>
      <c r="B108" t="s">
        <v>543</v>
      </c>
      <c r="C108" t="str">
        <f>_xlfn.LET(
_xlpm.cliente,TRIM(UPPER(A108)),
_xlpm.bu,TRIM(UPPER(B108)),
_xlpm.limite,_xlfn.XLOOKUP(A108,'Limite de crédito'!C:C,'Limite de crédito'!G:G,""),
_xlpm.seguro,_xlfn.XLOOKUP(A108,'Limite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9" spans="1:3" x14ac:dyDescent="0.25">
      <c r="A109" s="169" t="s">
        <v>729</v>
      </c>
      <c r="B109" t="s">
        <v>543</v>
      </c>
      <c r="C109" t="str">
        <f>_xlfn.LET(
_xlpm.cliente,TRIM(UPPER(A109)),
_xlpm.bu,TRIM(UPPER(B109)),
_xlpm.limite,_xlfn.XLOOKUP(A109,'Limite de crédito'!C:C,'Limite de crédito'!G:G,""),
_xlpm.seguro,_xlfn.XLOOKUP(A109,'Limite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10" spans="1:3" x14ac:dyDescent="0.25">
      <c r="A110" s="169" t="s">
        <v>726</v>
      </c>
      <c r="B110" t="s">
        <v>543</v>
      </c>
      <c r="C110" t="str">
        <f>_xlfn.LET(
_xlpm.cliente,TRIM(UPPER(A110)),
_xlpm.bu,TRIM(UPPER(B110)),
_xlpm.limite,_xlfn.XLOOKUP(A110,'Limite de crédito'!C:C,'Limite de crédito'!G:G,""),
_xlpm.seguro,_xlfn.XLOOKUP(A110,'Limite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11" spans="1:3" x14ac:dyDescent="0.25">
      <c r="A111" s="169" t="s">
        <v>732</v>
      </c>
      <c r="B111" t="s">
        <v>543</v>
      </c>
      <c r="C111" t="str">
        <f>_xlfn.LET(
_xlpm.cliente,TRIM(UPPER(A111)),
_xlpm.bu,TRIM(UPPER(B111)),
_xlpm.limite,_xlfn.XLOOKUP(A111,'Limite de crédito'!C:C,'Limite de crédito'!G:G,""),
_xlpm.seguro,_xlfn.XLOOKUP(A111,'Limite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12" spans="1:3" x14ac:dyDescent="0.25">
      <c r="A112" s="169" t="s">
        <v>727</v>
      </c>
      <c r="B112" t="s">
        <v>543</v>
      </c>
      <c r="C112" t="str">
        <f>_xlfn.LET(
_xlpm.cliente,TRIM(UPPER(A112)),
_xlpm.bu,TRIM(UPPER(B112)),
_xlpm.limite,_xlfn.XLOOKUP(A112,'Limite de crédito'!C:C,'Limite de crédito'!G:G,""),
_xlpm.seguro,_xlfn.XLOOKUP(A112,'Limite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13" spans="1:3" x14ac:dyDescent="0.25">
      <c r="A113" s="169" t="s">
        <v>774</v>
      </c>
      <c r="B113" t="s">
        <v>543</v>
      </c>
      <c r="C113" t="str">
        <f>_xlfn.LET(
_xlpm.cliente,TRIM(UPPER(A113)),
_xlpm.bu,TRIM(UPPER(B113)),
_xlpm.limite,_xlfn.XLOOKUP(A113,'Limite de crédito'!C:C,'Limite de crédito'!G:G,""),
_xlpm.seguro,_xlfn.XLOOKUP(A113,'Limite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14" spans="1:3" x14ac:dyDescent="0.25">
      <c r="A114" s="169" t="s">
        <v>776</v>
      </c>
      <c r="B114" t="s">
        <v>543</v>
      </c>
      <c r="C114" t="str">
        <f>_xlfn.LET(
_xlpm.cliente,TRIM(UPPER(A114)),
_xlpm.bu,TRIM(UPPER(B114)),
_xlpm.limite,_xlfn.XLOOKUP(A114,'Limite de crédito'!C:C,'Limite de crédito'!G:G,""),
_xlpm.seguro,_xlfn.XLOOKUP(A114,'Limite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15" spans="1:3" x14ac:dyDescent="0.25">
      <c r="A115" s="169" t="s">
        <v>782</v>
      </c>
      <c r="B115" t="s">
        <v>543</v>
      </c>
      <c r="C115" t="str">
        <f>_xlfn.LET(
_xlpm.cliente,TRIM(UPPER(A115)),
_xlpm.bu,TRIM(UPPER(B115)),
_xlpm.limite,_xlfn.XLOOKUP(A115,'Limite de crédito'!C:C,'Limite de crédito'!G:G,""),
_xlpm.seguro,_xlfn.XLOOKUP(A115,'Limite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16" spans="1:3" x14ac:dyDescent="0.25">
      <c r="A116" s="169" t="s">
        <v>784</v>
      </c>
      <c r="B116" t="s">
        <v>543</v>
      </c>
      <c r="C116" t="str">
        <f>_xlfn.LET(
_xlpm.cliente,TRIM(UPPER(A116)),
_xlpm.bu,TRIM(UPPER(B116)),
_xlpm.limite,_xlfn.XLOOKUP(A116,'Limite de crédito'!C:C,'Limite de crédito'!G:G,""),
_xlpm.seguro,_xlfn.XLOOKUP(A116,'Limite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17" spans="1:3" x14ac:dyDescent="0.25">
      <c r="A117" s="169" t="s">
        <v>783</v>
      </c>
      <c r="B117" t="s">
        <v>543</v>
      </c>
      <c r="C117" t="str">
        <f>_xlfn.LET(
_xlpm.cliente,TRIM(UPPER(A117)),
_xlpm.bu,TRIM(UPPER(B117)),
_xlpm.limite,_xlfn.XLOOKUP(A117,'Limite de crédito'!C:C,'Limite de crédito'!G:G,""),
_xlpm.seguro,_xlfn.XLOOKUP(A117,'Limite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18" spans="1:3" x14ac:dyDescent="0.25">
      <c r="A118" s="169" t="s">
        <v>794</v>
      </c>
      <c r="B118" t="s">
        <v>543</v>
      </c>
      <c r="C118" t="str">
        <f>_xlfn.LET(
_xlpm.cliente,TRIM(UPPER(A118)),
_xlpm.bu,TRIM(UPPER(B118)),
_xlpm.limite,_xlfn.XLOOKUP(A118,'Limite de crédito'!C:C,'Limite de crédito'!G:G,""),
_xlpm.seguro,_xlfn.XLOOKUP(A118,'Limite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row>
    <row r="119" spans="1:3" x14ac:dyDescent="0.25">
      <c r="A119" s="169" t="s">
        <v>795</v>
      </c>
      <c r="B119" t="s">
        <v>543</v>
      </c>
      <c r="C119" t="str">
        <f>_xlfn.LET(
_xlpm.cliente,TRIM(UPPER(A119)),
_xlpm.bu,TRIM(UPPER(B119)),
_xlpm.limite,_xlfn.XLOOKUP(A119,'Limite de crédito'!C:C,'Limite de crédito'!G:G,""),
_xlpm.seguro,_xlfn.XLOOKUP(A119,'Limite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20" spans="1:3" x14ac:dyDescent="0.25">
      <c r="A120" s="169" t="s">
        <v>796</v>
      </c>
      <c r="B120" t="s">
        <v>543</v>
      </c>
      <c r="C120" t="str">
        <f>_xlfn.LET(
_xlpm.cliente,TRIM(UPPER(A120)),
_xlpm.bu,TRIM(UPPER(B120)),
_xlpm.limite,_xlfn.XLOOKUP(A120,'Limite de crédito'!C:C,'Limite de crédito'!G:G,""),
_xlpm.seguro,_xlfn.XLOOKUP(A120,'Limite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21" spans="1:3" x14ac:dyDescent="0.25">
      <c r="A121" s="169" t="s">
        <v>135</v>
      </c>
      <c r="B121" t="s">
        <v>543</v>
      </c>
      <c r="C121" t="str">
        <f>_xlfn.LET(
_xlpm.cliente,TRIM(UPPER(A121)),
_xlpm.bu,TRIM(UPPER(B121)),
_xlpm.limite,_xlfn.XLOOKUP(A121,'Limite de crédito'!C:C,'Limite de crédito'!G:G,""),
_xlpm.seguro,_xlfn.XLOOKUP(A121,'Limite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22" spans="1:3" x14ac:dyDescent="0.25">
      <c r="A122" s="169" t="s">
        <v>797</v>
      </c>
      <c r="B122" t="s">
        <v>543</v>
      </c>
      <c r="C122" t="str">
        <f>_xlfn.LET(
_xlpm.cliente,TRIM(UPPER(A122)),
_xlpm.bu,TRIM(UPPER(B122)),
_xlpm.limite,_xlfn.XLOOKUP(A122,'Limite de crédito'!C:C,'Limite de crédito'!G:G,""),
_xlpm.seguro,_xlfn.XLOOKUP(A122,'Limite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row>
    <row r="123" spans="1:3" x14ac:dyDescent="0.25">
      <c r="A123" s="169" t="s">
        <v>78</v>
      </c>
      <c r="B123" t="s">
        <v>543</v>
      </c>
      <c r="C123" t="str">
        <f>_xlfn.LET(
_xlpm.cliente,TRIM(UPPER(A123)),
_xlpm.bu,TRIM(UPPER(B123)),
_xlpm.limite,_xlfn.XLOOKUP(A123,'Limite de crédito'!C:C,'Limite de crédito'!G:G,""),
_xlpm.seguro,_xlfn.XLOOKUP(A123,'Limite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24" spans="1:3" x14ac:dyDescent="0.25">
      <c r="A124" s="169" t="s">
        <v>798</v>
      </c>
      <c r="B124" t="s">
        <v>543</v>
      </c>
      <c r="C124" t="str">
        <f>_xlfn.LET(
_xlpm.cliente,TRIM(UPPER(A124)),
_xlpm.bu,TRIM(UPPER(B124)),
_xlpm.limite,_xlfn.XLOOKUP(A124,'Limite de crédito'!C:C,'Limite de crédito'!G:G,""),
_xlpm.seguro,_xlfn.XLOOKUP(A124,'Limite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25" spans="1:3" x14ac:dyDescent="0.25">
      <c r="A125" s="169" t="s">
        <v>800</v>
      </c>
      <c r="B125" t="s">
        <v>543</v>
      </c>
      <c r="C125" t="str">
        <f>_xlfn.LET(
_xlpm.cliente,TRIM(UPPER(A125)),
_xlpm.bu,TRIM(UPPER(B125)),
_xlpm.limite,_xlfn.XLOOKUP(A125,'Limite de crédito'!C:C,'Limite de crédito'!G:G,""),
_xlpm.seguro,_xlfn.XLOOKUP(A125,'Limite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26" spans="1:3" x14ac:dyDescent="0.25">
      <c r="A126" s="169" t="s">
        <v>801</v>
      </c>
      <c r="B126" t="s">
        <v>543</v>
      </c>
      <c r="C126" t="str">
        <f>_xlfn.LET(
_xlpm.cliente,TRIM(UPPER(A126)),
_xlpm.bu,TRIM(UPPER(B126)),
_xlpm.limite,_xlfn.XLOOKUP(A126,'Limite de crédito'!C:C,'Limite de crédito'!G:G,""),
_xlpm.seguro,_xlfn.XLOOKUP(A126,'Limite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27" spans="1:3" x14ac:dyDescent="0.25">
      <c r="A127" s="169" t="s">
        <v>685</v>
      </c>
      <c r="B127" t="s">
        <v>543</v>
      </c>
      <c r="C127" t="str">
        <f>_xlfn.LET(
_xlpm.cliente,TRIM(UPPER(A127)),
_xlpm.bu,TRIM(UPPER(B127)),
_xlpm.limite,_xlfn.XLOOKUP(A127,'Limite de crédito'!C:C,'Limite de crédito'!G:G,""),
_xlpm.seguro,_xlfn.XLOOKUP(A127,'Limite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28" spans="1:3" x14ac:dyDescent="0.25">
      <c r="A128" s="169" t="s">
        <v>819</v>
      </c>
      <c r="B128" t="s">
        <v>543</v>
      </c>
      <c r="C128" t="str">
        <f>_xlfn.LET(
_xlpm.cliente,TRIM(UPPER(A128)),
_xlpm.bu,TRIM(UPPER(B128)),
_xlpm.limite,_xlfn.XLOOKUP(A128,'Limite de crédito'!C:C,'Limite de crédito'!G:G,""),
_xlpm.seguro,_xlfn.XLOOKUP(A128,'Limite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29" spans="1:3" x14ac:dyDescent="0.25">
      <c r="A129" s="169" t="s">
        <v>823</v>
      </c>
      <c r="B129" t="s">
        <v>543</v>
      </c>
      <c r="C129" t="str">
        <f>_xlfn.LET(
_xlpm.cliente,TRIM(UPPER(A129)),
_xlpm.bu,TRIM(UPPER(B129)),
_xlpm.limite,_xlfn.XLOOKUP(A129,'Limite de crédito'!C:C,'Limite de crédito'!G:G,""),
_xlpm.seguro,_xlfn.XLOOKUP(A129,'Limite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30" spans="1:3" x14ac:dyDescent="0.25">
      <c r="A130" s="169" t="s">
        <v>258</v>
      </c>
      <c r="B130" t="s">
        <v>543</v>
      </c>
      <c r="C130" t="str">
        <f>_xlfn.LET(
_xlpm.cliente,TRIM(UPPER(A130)),
_xlpm.bu,TRIM(UPPER(B130)),
_xlpm.limite,_xlfn.XLOOKUP(A130,'Limite de crédito'!C:C,'Limite de crédito'!G:G,""),
_xlpm.seguro,_xlfn.XLOOKUP(A130,'Limite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31" spans="1:3" x14ac:dyDescent="0.25">
      <c r="A131" s="169" t="s">
        <v>828</v>
      </c>
      <c r="B131" t="s">
        <v>543</v>
      </c>
      <c r="C131" t="str">
        <f>_xlfn.LET(
_xlpm.cliente,TRIM(UPPER(A131)),
_xlpm.bu,TRIM(UPPER(B131)),
_xlpm.limite,_xlfn.XLOOKUP(A131,'Limite de crédito'!C:C,'Limite de crédito'!G:G,""),
_xlpm.seguro,_xlfn.XLOOKUP(A131,'Limite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row>
    <row r="132" spans="1:3" x14ac:dyDescent="0.25">
      <c r="A132" s="169" t="s">
        <v>846</v>
      </c>
      <c r="B132" t="s">
        <v>543</v>
      </c>
      <c r="C132" t="str">
        <f>_xlfn.LET(
_xlpm.cliente,TRIM(UPPER(A132)),
_xlpm.bu,TRIM(UPPER(B132)),
_xlpm.limite,_xlfn.XLOOKUP(A132,'Limite de crédito'!C:C,'Limite de crédito'!G:G,""),
_xlpm.seguro,_xlfn.XLOOKUP(A132,'Limite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row>
    <row r="133" spans="1:3" x14ac:dyDescent="0.25">
      <c r="A133" s="169" t="s">
        <v>848</v>
      </c>
      <c r="B133" t="s">
        <v>543</v>
      </c>
      <c r="C133" t="str">
        <f>_xlfn.LET(
_xlpm.cliente,TRIM(UPPER(A133)),
_xlpm.bu,TRIM(UPPER(B133)),
_xlpm.limite,_xlfn.XLOOKUP(A133,'Limite de crédito'!C:C,'Limite de crédito'!G:G,""),
_xlpm.seguro,_xlfn.XLOOKUP(A133,'Limite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34" spans="1:3" x14ac:dyDescent="0.25">
      <c r="A134" s="169" t="s">
        <v>885</v>
      </c>
      <c r="B134" t="s">
        <v>543</v>
      </c>
      <c r="C134" t="str">
        <f>_xlfn.LET(
_xlpm.cliente,TRIM(UPPER(A134)),
_xlpm.bu,TRIM(UPPER(B134)),
_xlpm.limite,_xlfn.XLOOKUP(A134,'Limite de crédito'!C:C,'Limite de crédito'!G:G,""),
_xlpm.seguro,_xlfn.XLOOKUP(A134,'Limite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35" spans="1:3" x14ac:dyDescent="0.25">
      <c r="A135" s="169" t="s">
        <v>890</v>
      </c>
      <c r="B135" t="s">
        <v>543</v>
      </c>
      <c r="C135" t="str">
        <f>_xlfn.LET(
_xlpm.cliente,TRIM(UPPER(A135)),
_xlpm.bu,TRIM(UPPER(B135)),
_xlpm.limite,_xlfn.XLOOKUP(A135,'Limite de crédito'!C:C,'Limite de crédito'!G:G,""),
_xlpm.seguro,_xlfn.XLOOKUP(A135,'Limite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row>
    <row r="136" spans="1:3" x14ac:dyDescent="0.25">
      <c r="A136" s="169" t="s">
        <v>176</v>
      </c>
      <c r="B136" t="s">
        <v>680</v>
      </c>
      <c r="C136" t="str">
        <f>_xlfn.LET(
_xlpm.cliente,TRIM(UPPER(A136)),
_xlpm.bu,TRIM(UPPER(B136)),
_xlpm.limite,_xlfn.XLOOKUP(A136,'Limite de crédito'!C:C,'Limite de crédito'!G:G,""),
_xlpm.seguro,_xlfn.XLOOKUP(A136,'Limite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37" spans="1:3" x14ac:dyDescent="0.25">
      <c r="A137" s="169" t="s">
        <v>428</v>
      </c>
      <c r="B137" t="s">
        <v>680</v>
      </c>
      <c r="C137" t="str">
        <f>_xlfn.LET(
_xlpm.cliente,TRIM(UPPER(A137)),
_xlpm.bu,TRIM(UPPER(B137)),
_xlpm.limite,_xlfn.XLOOKUP(A137,'Limite de crédito'!C:C,'Limite de crédito'!G:G,""),
_xlpm.seguro,_xlfn.XLOOKUP(A137,'Limite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38" spans="1:3" x14ac:dyDescent="0.25">
      <c r="A138" s="169" t="s">
        <v>209</v>
      </c>
      <c r="B138" t="s">
        <v>680</v>
      </c>
      <c r="C138" t="str">
        <f>_xlfn.LET(
_xlpm.cliente,TRIM(UPPER(A138)),
_xlpm.bu,TRIM(UPPER(B138)),
_xlpm.limite,_xlfn.XLOOKUP(A138,'Limite de crédito'!C:C,'Limite de crédito'!G:G,""),
_xlpm.seguro,_xlfn.XLOOKUP(A138,'Limite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39" spans="1:3" x14ac:dyDescent="0.25">
      <c r="A139" s="169" t="s">
        <v>186</v>
      </c>
      <c r="B139" t="s">
        <v>680</v>
      </c>
      <c r="C139" t="str">
        <f>_xlfn.LET(
_xlpm.cliente,TRIM(UPPER(A139)),
_xlpm.bu,TRIM(UPPER(B139)),
_xlpm.limite,_xlfn.XLOOKUP(A139,'Limite de crédito'!C:C,'Limite de crédito'!G:G,""),
_xlpm.seguro,_xlfn.XLOOKUP(A139,'Limite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40" spans="1:3" x14ac:dyDescent="0.25">
      <c r="A140" s="169" t="s">
        <v>194</v>
      </c>
      <c r="B140" t="s">
        <v>680</v>
      </c>
      <c r="C140" t="str">
        <f>_xlfn.LET(
_xlpm.cliente,TRIM(UPPER(A140)),
_xlpm.bu,TRIM(UPPER(B140)),
_xlpm.limite,_xlfn.XLOOKUP(A140,'Limite de crédito'!C:C,'Limite de crédito'!G:G,""),
_xlpm.seguro,_xlfn.XLOOKUP(A140,'Limite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41" spans="1:3" x14ac:dyDescent="0.25">
      <c r="A141" s="169" t="s">
        <v>198</v>
      </c>
      <c r="B141" t="s">
        <v>680</v>
      </c>
      <c r="C141" t="str">
        <f>_xlfn.LET(
_xlpm.cliente,TRIM(UPPER(A141)),
_xlpm.bu,TRIM(UPPER(B141)),
_xlpm.limite,_xlfn.XLOOKUP(A141,'Limite de crédito'!C:C,'Limite de crédito'!G:G,""),
_xlpm.seguro,_xlfn.XLOOKUP(A141,'Limite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42" spans="1:3" x14ac:dyDescent="0.25">
      <c r="A142" s="169" t="s">
        <v>206</v>
      </c>
      <c r="B142" t="s">
        <v>680</v>
      </c>
      <c r="C142" t="str">
        <f>_xlfn.LET(
_xlpm.cliente,TRIM(UPPER(A142)),
_xlpm.bu,TRIM(UPPER(B142)),
_xlpm.limite,_xlfn.XLOOKUP(A142,'Limite de crédito'!C:C,'Limite de crédito'!G:G,""),
_xlpm.seguro,_xlfn.XLOOKUP(A142,'Limite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43" spans="1:3" x14ac:dyDescent="0.25">
      <c r="A143" s="169" t="s">
        <v>156</v>
      </c>
      <c r="B143" t="s">
        <v>341</v>
      </c>
      <c r="C143" t="str">
        <f>_xlfn.LET(
_xlpm.cliente,TRIM(UPPER(A143)),
_xlpm.bu,TRIM(UPPER(B143)),
_xlpm.limite,_xlfn.XLOOKUP(A143,'Limite de crédito'!C:C,'Limite de crédito'!G:G,""),
_xlpm.seguro,_xlfn.XLOOKUP(A143,'Limite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44" spans="1:3" x14ac:dyDescent="0.25">
      <c r="A144" s="169" t="s">
        <v>431</v>
      </c>
      <c r="B144" t="s">
        <v>341</v>
      </c>
      <c r="C144" t="str">
        <f>_xlfn.LET(
_xlpm.cliente,TRIM(UPPER(A144)),
_xlpm.bu,TRIM(UPPER(B144)),
_xlpm.limite,_xlfn.XLOOKUP(A144,'Limite de crédito'!C:C,'Limite de crédito'!G:G,""),
_xlpm.seguro,_xlfn.XLOOKUP(A144,'Limite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145" spans="1:3" x14ac:dyDescent="0.25">
      <c r="A145" s="169" t="s">
        <v>196</v>
      </c>
      <c r="B145" t="s">
        <v>341</v>
      </c>
      <c r="C145" t="str">
        <f>_xlfn.LET(
_xlpm.cliente,TRIM(UPPER(A145)),
_xlpm.bu,TRIM(UPPER(B145)),
_xlpm.limite,_xlfn.XLOOKUP(A145,'Limite de crédito'!C:C,'Limite de crédito'!G:G,""),
_xlpm.seguro,_xlfn.XLOOKUP(A145,'Limite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146" spans="1:3" x14ac:dyDescent="0.25">
      <c r="A146" s="169" t="s">
        <v>205</v>
      </c>
      <c r="B146" t="s">
        <v>341</v>
      </c>
      <c r="C146" t="str">
        <f>_xlfn.LET(
_xlpm.cliente,TRIM(UPPER(A146)),
_xlpm.bu,TRIM(UPPER(B146)),
_xlpm.limite,_xlfn.XLOOKUP(A146,'Limite de crédito'!C:C,'Limite de crédito'!G:G,""),
_xlpm.seguro,_xlfn.XLOOKUP(A146,'Limite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47" spans="1:3" x14ac:dyDescent="0.25">
      <c r="A147" s="169" t="s">
        <v>334</v>
      </c>
      <c r="B147" t="s">
        <v>341</v>
      </c>
      <c r="C147" t="str">
        <f>_xlfn.LET(
_xlpm.cliente,TRIM(UPPER(A147)),
_xlpm.bu,TRIM(UPPER(B147)),
_xlpm.limite,_xlfn.XLOOKUP(A147,'Limite de crédito'!C:C,'Limite de crédito'!G:G,""),
_xlpm.seguro,_xlfn.XLOOKUP(A147,'Limite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48" spans="1:3" x14ac:dyDescent="0.25">
      <c r="A148" s="169" t="s">
        <v>181</v>
      </c>
      <c r="B148" t="s">
        <v>341</v>
      </c>
      <c r="C148" t="str">
        <f>_xlfn.LET(
_xlpm.cliente,TRIM(UPPER(A148)),
_xlpm.bu,TRIM(UPPER(B148)),
_xlpm.limite,_xlfn.XLOOKUP(A148,'Limite de crédito'!C:C,'Limite de crédito'!G:G,""),
_xlpm.seguro,_xlfn.XLOOKUP(A148,'Limite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149" spans="1:3" x14ac:dyDescent="0.25">
      <c r="A149" s="169" t="s">
        <v>212</v>
      </c>
      <c r="B149" t="s">
        <v>341</v>
      </c>
      <c r="C149" t="str">
        <f>_xlfn.LET(
_xlpm.cliente,TRIM(UPPER(A149)),
_xlpm.bu,TRIM(UPPER(B149)),
_xlpm.limite,_xlfn.XLOOKUP(A149,'Limite de crédito'!C:C,'Limite de crédito'!G:G,""),
_xlpm.seguro,_xlfn.XLOOKUP(A149,'Limite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50" spans="1:3" x14ac:dyDescent="0.25">
      <c r="A150" s="169" t="s">
        <v>423</v>
      </c>
      <c r="B150" t="s">
        <v>341</v>
      </c>
      <c r="C150" t="str">
        <f>_xlfn.LET(
_xlpm.cliente,TRIM(UPPER(A150)),
_xlpm.bu,TRIM(UPPER(B150)),
_xlpm.limite,_xlfn.XLOOKUP(A150,'Limite de crédito'!C:C,'Limite de crédito'!G:G,""),
_xlpm.seguro,_xlfn.XLOOKUP(A150,'Limite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51" spans="1:3" x14ac:dyDescent="0.25">
      <c r="A151" s="169" t="s">
        <v>432</v>
      </c>
      <c r="B151" t="s">
        <v>341</v>
      </c>
      <c r="C151" t="str">
        <f>_xlfn.LET(
_xlpm.cliente,TRIM(UPPER(A151)),
_xlpm.bu,TRIM(UPPER(B151)),
_xlpm.limite,_xlfn.XLOOKUP(A151,'Limite de crédito'!C:C,'Limite de crédito'!G:G,""),
_xlpm.seguro,_xlfn.XLOOKUP(A151,'Limite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52" spans="1:3" x14ac:dyDescent="0.25">
      <c r="A152" s="169" t="s">
        <v>269</v>
      </c>
      <c r="B152" t="s">
        <v>680</v>
      </c>
      <c r="C152" t="str">
        <f>_xlfn.LET(
_xlpm.cliente,TRIM(UPPER(A152)),
_xlpm.bu,TRIM(UPPER(B152)),
_xlpm.limite,_xlfn.XLOOKUP(A152,'Limite de crédito'!C:C,'Limite de crédito'!G:G,""),
_xlpm.seguro,_xlfn.XLOOKUP(A152,'Limite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53" spans="1:3" x14ac:dyDescent="0.25">
      <c r="A153" s="169" t="s">
        <v>211</v>
      </c>
      <c r="B153" t="s">
        <v>341</v>
      </c>
      <c r="C153" t="str">
        <f>_xlfn.LET(
_xlpm.cliente,TRIM(UPPER(A153)),
_xlpm.bu,TRIM(UPPER(B153)),
_xlpm.limite,_xlfn.XLOOKUP(A153,'Limite de crédito'!C:C,'Limite de crédito'!G:G,""),
_xlpm.seguro,_xlfn.XLOOKUP(A153,'Limite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54" spans="1:3" x14ac:dyDescent="0.25">
      <c r="A154" s="169" t="s">
        <v>313</v>
      </c>
      <c r="B154" t="s">
        <v>341</v>
      </c>
      <c r="C154" t="str">
        <f>_xlfn.LET(
_xlpm.cliente,TRIM(UPPER(A154)),
_xlpm.bu,TRIM(UPPER(B154)),
_xlpm.limite,_xlfn.XLOOKUP(A154,'Limite de crédito'!C:C,'Limite de crédito'!G:G,""),
_xlpm.seguro,_xlfn.XLOOKUP(A154,'Limite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55" spans="1:3" x14ac:dyDescent="0.25">
      <c r="A155" s="169" t="s">
        <v>426</v>
      </c>
      <c r="B155" t="s">
        <v>680</v>
      </c>
      <c r="C155" t="str">
        <f>_xlfn.LET(
_xlpm.cliente,TRIM(UPPER(A155)),
_xlpm.bu,TRIM(UPPER(B155)),
_xlpm.limite,_xlfn.XLOOKUP(A155,'Limite de crédito'!C:C,'Limite de crédito'!G:G,""),
_xlpm.seguro,_xlfn.XLOOKUP(A155,'Limite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56" spans="1:3" x14ac:dyDescent="0.25">
      <c r="A156" s="169" t="s">
        <v>356</v>
      </c>
      <c r="B156" t="s">
        <v>341</v>
      </c>
      <c r="C156" t="str">
        <f>_xlfn.LET(
_xlpm.cliente,TRIM(UPPER(A156)),
_xlpm.bu,TRIM(UPPER(B156)),
_xlpm.limite,_xlfn.XLOOKUP(A156,'Limite de crédito'!C:C,'Limite de crédito'!G:G,""),
_xlpm.seguro,_xlfn.XLOOKUP(A156,'Limite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57" spans="1:3" x14ac:dyDescent="0.25">
      <c r="A157" s="169" t="s">
        <v>375</v>
      </c>
      <c r="B157" t="s">
        <v>341</v>
      </c>
      <c r="C157" t="str">
        <f>_xlfn.LET(
_xlpm.cliente,TRIM(UPPER(A157)),
_xlpm.bu,TRIM(UPPER(B157)),
_xlpm.limite,_xlfn.XLOOKUP(A157,'Limite de crédito'!C:C,'Limite de crédito'!G:G,""),
_xlpm.seguro,_xlfn.XLOOKUP(A157,'Limite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58" spans="1:3" x14ac:dyDescent="0.25">
      <c r="A158" s="169" t="s">
        <v>259</v>
      </c>
      <c r="B158" s="169" t="s">
        <v>341</v>
      </c>
      <c r="C158" t="str">
        <f>_xlfn.LET(
_xlpm.cliente,TRIM(UPPER(A158)),
_xlpm.bu,TRIM(UPPER(B158)),
_xlpm.limite,_xlfn.XLOOKUP(A158,'Limite de crédito'!C:C,'Limite de crédito'!G:G,""),
_xlpm.seguro,_xlfn.XLOOKUP(A158,'Limite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59" spans="1:3" x14ac:dyDescent="0.25">
      <c r="A159" s="169" t="s">
        <v>425</v>
      </c>
      <c r="B159" s="169" t="s">
        <v>341</v>
      </c>
      <c r="C159" t="str">
        <f>_xlfn.LET(
_xlpm.cliente,TRIM(UPPER(A159)),
_xlpm.bu,TRIM(UPPER(B159)),
_xlpm.limite,_xlfn.XLOOKUP(A159,'Limite de crédito'!C:C,'Limite de crédito'!G:G,""),
_xlpm.seguro,_xlfn.XLOOKUP(A159,'Limite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60" spans="1:3" x14ac:dyDescent="0.25">
      <c r="A160" s="169" t="s">
        <v>121</v>
      </c>
      <c r="B160" s="169" t="s">
        <v>341</v>
      </c>
      <c r="C160" t="str">
        <f>_xlfn.LET(
_xlpm.cliente,TRIM(UPPER(A160)),
_xlpm.bu,TRIM(UPPER(B160)),
_xlpm.limite,_xlfn.XLOOKUP(A160,'Limite de crédito'!C:C,'Limite de crédito'!G:G,""),
_xlpm.seguro,_xlfn.XLOOKUP(A160,'Limite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61" spans="1:3" x14ac:dyDescent="0.25">
      <c r="A161" s="169" t="s">
        <v>376</v>
      </c>
      <c r="B161" s="169" t="s">
        <v>341</v>
      </c>
      <c r="C161" t="str">
        <f>_xlfn.LET(
_xlpm.cliente,TRIM(UPPER(A161)),
_xlpm.bu,TRIM(UPPER(B161)),
_xlpm.limite,_xlfn.XLOOKUP(A161,'Limite de crédito'!C:C,'Limite de crédito'!G:G,""),
_xlpm.seguro,_xlfn.XLOOKUP(A161,'Limite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62" spans="1:3" x14ac:dyDescent="0.25">
      <c r="A162" s="169" t="s">
        <v>150</v>
      </c>
      <c r="B162" s="169" t="s">
        <v>341</v>
      </c>
      <c r="C162" t="str">
        <f>_xlfn.LET(
_xlpm.cliente,TRIM(UPPER(A162)),
_xlpm.bu,TRIM(UPPER(B162)),
_xlpm.limite,_xlfn.XLOOKUP(A162,'Limite de crédito'!C:C,'Limite de crédito'!G:G,""),
_xlpm.seguro,_xlfn.XLOOKUP(A162,'Limite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63" spans="1:3" x14ac:dyDescent="0.25">
      <c r="A163" s="169" t="s">
        <v>374</v>
      </c>
      <c r="B163" s="169" t="s">
        <v>341</v>
      </c>
      <c r="C163" t="str">
        <f>_xlfn.LET(
_xlpm.cliente,TRIM(UPPER(A163)),
_xlpm.bu,TRIM(UPPER(B163)),
_xlpm.limite,_xlfn.XLOOKUP(A163,'Limite de crédito'!C:C,'Limite de crédito'!G:G,""),
_xlpm.seguro,_xlfn.XLOOKUP(A163,'Limite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64" spans="1:3" x14ac:dyDescent="0.25">
      <c r="A164" s="169" t="s">
        <v>202</v>
      </c>
      <c r="B164" s="169" t="s">
        <v>341</v>
      </c>
      <c r="C164" t="str">
        <f>_xlfn.LET(
_xlpm.cliente,TRIM(UPPER(A164)),
_xlpm.bu,TRIM(UPPER(B164)),
_xlpm.limite,_xlfn.XLOOKUP(A164,'Limite de crédito'!C:C,'Limite de crédito'!G:G,""),
_xlpm.seguro,_xlfn.XLOOKUP(A164,'Limite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65" spans="1:3" x14ac:dyDescent="0.25">
      <c r="A165" s="169" t="s">
        <v>192</v>
      </c>
      <c r="B165" s="169" t="s">
        <v>341</v>
      </c>
      <c r="C165" t="str">
        <f>_xlfn.LET(
_xlpm.cliente,TRIM(UPPER(A165)),
_xlpm.bu,TRIM(UPPER(B165)),
_xlpm.limite,_xlfn.XLOOKUP(A165,'Limite de crédito'!C:C,'Limite de crédito'!G:G,""),
_xlpm.seguro,_xlfn.XLOOKUP(A165,'Limite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66" spans="1:3" x14ac:dyDescent="0.25">
      <c r="A166" s="169" t="s">
        <v>296</v>
      </c>
      <c r="B166" s="169" t="s">
        <v>341</v>
      </c>
      <c r="C166" t="str">
        <f>_xlfn.LET(
_xlpm.cliente,TRIM(UPPER(A166)),
_xlpm.bu,TRIM(UPPER(B166)),
_xlpm.limite,_xlfn.XLOOKUP(A166,'Limite de crédito'!C:C,'Limite de crédito'!G:G,""),
_xlpm.seguro,_xlfn.XLOOKUP(A166,'Limite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67" spans="1:3" x14ac:dyDescent="0.25">
      <c r="A167" s="169" t="s">
        <v>492</v>
      </c>
      <c r="B167" s="169" t="s">
        <v>341</v>
      </c>
      <c r="C167" t="str">
        <f>_xlfn.LET(
_xlpm.cliente,TRIM(UPPER(A167)),
_xlpm.bu,TRIM(UPPER(B167)),
_xlpm.limite,_xlfn.XLOOKUP(A167,'Limite de crédito'!C:C,'Limite de crédito'!G:G,""),
_xlpm.seguro,_xlfn.XLOOKUP(A167,'Limite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68" spans="1:3" x14ac:dyDescent="0.25">
      <c r="A168" s="169" t="s">
        <v>184</v>
      </c>
      <c r="B168" s="169" t="s">
        <v>341</v>
      </c>
      <c r="C168" t="str">
        <f>_xlfn.LET(
_xlpm.cliente,TRIM(UPPER(A168)),
_xlpm.bu,TRIM(UPPER(B168)),
_xlpm.limite,_xlfn.XLOOKUP(A168,'Limite de crédito'!C:C,'Limite de crédito'!G:G,""),
_xlpm.seguro,_xlfn.XLOOKUP(A168,'Limite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69" spans="1:3" x14ac:dyDescent="0.25">
      <c r="A169" s="169" t="s">
        <v>268</v>
      </c>
      <c r="B169" s="169" t="s">
        <v>341</v>
      </c>
      <c r="C169" t="str">
        <f>_xlfn.LET(
_xlpm.cliente,TRIM(UPPER(A169)),
_xlpm.bu,TRIM(UPPER(B169)),
_xlpm.limite,_xlfn.XLOOKUP(A169,'Limite de crédito'!C:C,'Limite de crédito'!G:G,""),
_xlpm.seguro,_xlfn.XLOOKUP(A169,'Limite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70" spans="1:3" x14ac:dyDescent="0.25">
      <c r="A170" s="169" t="s">
        <v>327</v>
      </c>
      <c r="B170" s="169" t="s">
        <v>341</v>
      </c>
      <c r="C170" t="str">
        <f>_xlfn.LET(
_xlpm.cliente,TRIM(UPPER(A170)),
_xlpm.bu,TRIM(UPPER(B170)),
_xlpm.limite,_xlfn.XLOOKUP(A170,'Limite de crédito'!C:C,'Limite de crédito'!G:G,""),
_xlpm.seguro,_xlfn.XLOOKUP(A170,'Limite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71" spans="1:3" x14ac:dyDescent="0.25">
      <c r="A171" s="169" t="s">
        <v>395</v>
      </c>
      <c r="B171" s="169" t="s">
        <v>341</v>
      </c>
      <c r="C171" t="str">
        <f>_xlfn.LET(
_xlpm.cliente,TRIM(UPPER(A171)),
_xlpm.bu,TRIM(UPPER(B171)),
_xlpm.limite,_xlfn.XLOOKUP(A171,'Limite de crédito'!C:C,'Limite de crédito'!G:G,""),
_xlpm.seguro,_xlfn.XLOOKUP(A171,'Limite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72" spans="1:3" x14ac:dyDescent="0.25">
      <c r="A172" s="169" t="s">
        <v>323</v>
      </c>
      <c r="B172" s="169" t="s">
        <v>341</v>
      </c>
      <c r="C172" t="str">
        <f>_xlfn.LET(
_xlpm.cliente,TRIM(UPPER(A172)),
_xlpm.bu,TRIM(UPPER(B172)),
_xlpm.limite,_xlfn.XLOOKUP(A172,'Limite de crédito'!C:C,'Limite de crédito'!G:G,""),
_xlpm.seguro,_xlfn.XLOOKUP(A172,'Limite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73" spans="1:3" x14ac:dyDescent="0.25">
      <c r="A173" s="169" t="s">
        <v>453</v>
      </c>
      <c r="B173" s="169" t="s">
        <v>341</v>
      </c>
      <c r="C173" t="str">
        <f>_xlfn.LET(
_xlpm.cliente,TRIM(UPPER(A173)),
_xlpm.bu,TRIM(UPPER(B173)),
_xlpm.limite,_xlfn.XLOOKUP(A173,'Limite de crédito'!C:C,'Limite de crédito'!G:G,""),
_xlpm.seguro,_xlfn.XLOOKUP(A173,'Limite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74" spans="1:3" x14ac:dyDescent="0.25">
      <c r="A174" s="169" t="s">
        <v>497</v>
      </c>
      <c r="B174" s="169" t="s">
        <v>341</v>
      </c>
      <c r="C174" t="str">
        <f>_xlfn.LET(
_xlpm.cliente,TRIM(UPPER(A174)),
_xlpm.bu,TRIM(UPPER(B174)),
_xlpm.limite,_xlfn.XLOOKUP(A174,'Limite de crédito'!C:C,'Limite de crédito'!G:G,""),
_xlpm.seguro,_xlfn.XLOOKUP(A174,'Limite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75" spans="1:3" x14ac:dyDescent="0.25">
      <c r="A175" s="169" t="s">
        <v>451</v>
      </c>
      <c r="B175" s="169" t="s">
        <v>341</v>
      </c>
      <c r="C175" t="str">
        <f>_xlfn.LET(
_xlpm.cliente,TRIM(UPPER(A175)),
_xlpm.bu,TRIM(UPPER(B175)),
_xlpm.limite,_xlfn.XLOOKUP(A175,'Limite de crédito'!C:C,'Limite de crédito'!G:G,""),
_xlpm.seguro,_xlfn.XLOOKUP(A175,'Limite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76" spans="1:3" x14ac:dyDescent="0.25">
      <c r="A176" s="169" t="s">
        <v>549</v>
      </c>
      <c r="B176" s="169" t="s">
        <v>341</v>
      </c>
      <c r="C176" t="str">
        <f>_xlfn.LET(
_xlpm.cliente,TRIM(UPPER(A176)),
_xlpm.bu,TRIM(UPPER(B176)),
_xlpm.limite,_xlfn.XLOOKUP(A176,'Limite de crédito'!C:C,'Limite de crédito'!G:G,""),
_xlpm.seguro,_xlfn.XLOOKUP(A176,'Limite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177" spans="1:3" x14ac:dyDescent="0.25">
      <c r="A177" s="169" t="s">
        <v>377</v>
      </c>
      <c r="B177" s="169" t="s">
        <v>341</v>
      </c>
      <c r="C177" t="str">
        <f>_xlfn.LET(
_xlpm.cliente,TRIM(UPPER(A177)),
_xlpm.bu,TRIM(UPPER(B177)),
_xlpm.limite,_xlfn.XLOOKUP(A177,'Limite de crédito'!C:C,'Limite de crédito'!G:G,""),
_xlpm.seguro,_xlfn.XLOOKUP(A177,'Limite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178" spans="1:3" x14ac:dyDescent="0.25">
      <c r="A178" s="169" t="s">
        <v>379</v>
      </c>
      <c r="B178" s="169" t="s">
        <v>341</v>
      </c>
      <c r="C178" t="str">
        <f>_xlfn.LET(
_xlpm.cliente,TRIM(UPPER(A178)),
_xlpm.bu,TRIM(UPPER(B178)),
_xlpm.limite,_xlfn.XLOOKUP(A178,'Limite de crédito'!C:C,'Limite de crédito'!G:G,""),
_xlpm.seguro,_xlfn.XLOOKUP(A178,'Limite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79" spans="1:3" x14ac:dyDescent="0.25">
      <c r="A179" s="169" t="s">
        <v>577</v>
      </c>
      <c r="B179" s="169" t="s">
        <v>341</v>
      </c>
      <c r="C179" t="str">
        <f>_xlfn.LET(
_xlpm.cliente,TRIM(UPPER(A179)),
_xlpm.bu,TRIM(UPPER(B179)),
_xlpm.limite,_xlfn.XLOOKUP(A179,'Limite de crédito'!C:C,'Limite de crédito'!G:G,""),
_xlpm.seguro,_xlfn.XLOOKUP(A179,'Limite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80" spans="1:3" x14ac:dyDescent="0.25">
      <c r="A180" s="169" t="s">
        <v>639</v>
      </c>
      <c r="B180" s="169" t="s">
        <v>341</v>
      </c>
      <c r="C180" t="str">
        <f>_xlfn.LET(
_xlpm.cliente,TRIM(UPPER(A180)),
_xlpm.bu,TRIM(UPPER(B180)),
_xlpm.limite,_xlfn.XLOOKUP(A180,'Limite de crédito'!C:C,'Limite de crédito'!G:G,""),
_xlpm.seguro,_xlfn.XLOOKUP(A180,'Limite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81" spans="1:3" x14ac:dyDescent="0.25">
      <c r="A181" s="169" t="s">
        <v>622</v>
      </c>
      <c r="B181" s="169" t="s">
        <v>341</v>
      </c>
      <c r="C181" t="str">
        <f>_xlfn.LET(
_xlpm.cliente,TRIM(UPPER(A181)),
_xlpm.bu,TRIM(UPPER(B181)),
_xlpm.limite,_xlfn.XLOOKUP(A181,'Limite de crédito'!C:C,'Limite de crédito'!G:G,""),
_xlpm.seguro,_xlfn.XLOOKUP(A181,'Limite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82" spans="1:3" x14ac:dyDescent="0.25">
      <c r="A182" s="169" t="s">
        <v>645</v>
      </c>
      <c r="B182" s="169" t="s">
        <v>341</v>
      </c>
      <c r="C182" t="str">
        <f>_xlfn.LET(
_xlpm.cliente,TRIM(UPPER(A182)),
_xlpm.bu,TRIM(UPPER(B182)),
_xlpm.limite,_xlfn.XLOOKUP(A182,'Limite de crédito'!C:C,'Limite de crédito'!G:G,""),
_xlpm.seguro,_xlfn.XLOOKUP(A182,'Limite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83" spans="1:3" x14ac:dyDescent="0.25">
      <c r="A183" s="169" t="s">
        <v>652</v>
      </c>
      <c r="B183" s="169" t="s">
        <v>341</v>
      </c>
      <c r="C183" t="str">
        <f>_xlfn.LET(
_xlpm.cliente,TRIM(UPPER(A183)),
_xlpm.bu,TRIM(UPPER(B183)),
_xlpm.limite,_xlfn.XLOOKUP(A183,'Limite de crédito'!C:C,'Limite de crédito'!G:G,""),
_xlpm.seguro,_xlfn.XLOOKUP(A183,'Limite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84" spans="1:3" x14ac:dyDescent="0.25">
      <c r="A184" s="169" t="s">
        <v>667</v>
      </c>
      <c r="B184" s="169" t="s">
        <v>341</v>
      </c>
      <c r="C184" t="str">
        <f>_xlfn.LET(
_xlpm.cliente,TRIM(UPPER(A184)),
_xlpm.bu,TRIM(UPPER(B184)),
_xlpm.limite,_xlfn.XLOOKUP(A184,'Limite de crédito'!C:C,'Limite de crédito'!G:G,""),
_xlpm.seguro,_xlfn.XLOOKUP(A184,'Limite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85" spans="1:3" x14ac:dyDescent="0.25">
      <c r="A185" s="169" t="s">
        <v>662</v>
      </c>
      <c r="B185" s="169" t="s">
        <v>341</v>
      </c>
      <c r="C185" t="str">
        <f>_xlfn.LET(
_xlpm.cliente,TRIM(UPPER(A185)),
_xlpm.bu,TRIM(UPPER(B185)),
_xlpm.limite,_xlfn.XLOOKUP(A185,'Limite de crédito'!C:C,'Limite de crédito'!G:G,""),
_xlpm.seguro,_xlfn.XLOOKUP(A185,'Limite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186" spans="1:3" x14ac:dyDescent="0.25">
      <c r="A186" s="169" t="s">
        <v>83</v>
      </c>
      <c r="B186" s="169" t="s">
        <v>341</v>
      </c>
      <c r="C186" t="str">
        <f>_xlfn.LET(
_xlpm.cliente,TRIM(UPPER(A186)),
_xlpm.bu,TRIM(UPPER(B186)),
_xlpm.limite,_xlfn.XLOOKUP(A186,'Limite de crédito'!C:C,'Limite de crédito'!G:G,""),
_xlpm.seguro,_xlfn.XLOOKUP(A186,'Limite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87" spans="1:3" x14ac:dyDescent="0.25">
      <c r="A187" s="169" t="s">
        <v>705</v>
      </c>
      <c r="B187" s="169" t="s">
        <v>341</v>
      </c>
      <c r="C187" t="str">
        <f>_xlfn.LET(
_xlpm.cliente,TRIM(UPPER(A187)),
_xlpm.bu,TRIM(UPPER(B187)),
_xlpm.limite,_xlfn.XLOOKUP(A187,'Limite de crédito'!C:C,'Limite de crédito'!G:G,""),
_xlpm.seguro,_xlfn.XLOOKUP(A187,'Limite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88" spans="1:3" x14ac:dyDescent="0.25">
      <c r="A188" s="169" t="s">
        <v>718</v>
      </c>
      <c r="B188" s="169" t="s">
        <v>341</v>
      </c>
      <c r="C188" t="str">
        <f>_xlfn.LET(
_xlpm.cliente,TRIM(UPPER(A188)),
_xlpm.bu,TRIM(UPPER(B188)),
_xlpm.limite,_xlfn.XLOOKUP(A188,'Limite de crédito'!C:C,'Limite de crédito'!G:G,""),
_xlpm.seguro,_xlfn.XLOOKUP(A188,'Limite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89" spans="1:3" x14ac:dyDescent="0.25">
      <c r="A189" s="169" t="s">
        <v>493</v>
      </c>
      <c r="B189" s="169" t="s">
        <v>341</v>
      </c>
      <c r="C189" t="str">
        <f>_xlfn.LET(
_xlpm.cliente,TRIM(UPPER(A189)),
_xlpm.bu,TRIM(UPPER(B189)),
_xlpm.limite,_xlfn.XLOOKUP(A189,'Limite de crédito'!C:C,'Limite de crédito'!G:G,""),
_xlpm.seguro,_xlfn.XLOOKUP(A189,'Limite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0" spans="1:3" x14ac:dyDescent="0.25">
      <c r="A190" s="169" t="s">
        <v>719</v>
      </c>
      <c r="B190" s="169" t="s">
        <v>341</v>
      </c>
      <c r="C190" t="str">
        <f>_xlfn.LET(
_xlpm.cliente,TRIM(UPPER(A190)),
_xlpm.bu,TRIM(UPPER(B190)),
_xlpm.limite,_xlfn.XLOOKUP(A190,'Limite de crédito'!C:C,'Limite de crédito'!G:G,""),
_xlpm.seguro,_xlfn.XLOOKUP(A190,'Limite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91" spans="1:3" x14ac:dyDescent="0.25">
      <c r="A191" s="169" t="s">
        <v>298</v>
      </c>
      <c r="B191" s="169" t="s">
        <v>341</v>
      </c>
      <c r="C191" t="str">
        <f>_xlfn.LET(
_xlpm.cliente,TRIM(UPPER(A191)),
_xlpm.bu,TRIM(UPPER(B191)),
_xlpm.limite,_xlfn.XLOOKUP(A191,'Limite de crédito'!C:C,'Limite de crédito'!G:G,""),
_xlpm.seguro,_xlfn.XLOOKUP(A191,'Limite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192" spans="1:3" x14ac:dyDescent="0.25">
      <c r="A192" s="169" t="s">
        <v>750</v>
      </c>
      <c r="B192" s="169" t="s">
        <v>341</v>
      </c>
      <c r="C192" t="str">
        <f>_xlfn.LET(
_xlpm.cliente,TRIM(UPPER(A192)),
_xlpm.bu,TRIM(UPPER(B192)),
_xlpm.limite,_xlfn.XLOOKUP(A192,'Limite de crédito'!C:C,'Limite de crédito'!G:G,""),
_xlpm.seguro,_xlfn.XLOOKUP(A192,'Limite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3" spans="1:3" x14ac:dyDescent="0.25">
      <c r="A193" s="169" t="s">
        <v>835</v>
      </c>
      <c r="B193" s="169" t="s">
        <v>341</v>
      </c>
      <c r="C193" t="str">
        <f>_xlfn.LET(
_xlpm.cliente,TRIM(UPPER(A193)),
_xlpm.bu,TRIM(UPPER(B193)),
_xlpm.limite,_xlfn.XLOOKUP(A193,'Limite de crédito'!C:C,'Limite de crédito'!G:G,""),
_xlpm.seguro,_xlfn.XLOOKUP(A193,'Limite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4" spans="1:3" x14ac:dyDescent="0.25">
      <c r="A194" s="169" t="s">
        <v>484</v>
      </c>
      <c r="B194" s="169" t="s">
        <v>881</v>
      </c>
      <c r="C194" t="str">
        <f>_xlfn.LET(
_xlpm.cliente,TRIM(UPPER(A194)),
_xlpm.bu,TRIM(UPPER(B194)),
_xlpm.limite,_xlfn.XLOOKUP(A194,'Limite de crédito'!C:C,'Limite de crédito'!G:G,""),
_xlpm.seguro,_xlfn.XLOOKUP(A194,'Limite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5" spans="1:3" x14ac:dyDescent="0.25">
      <c r="A195" s="169" t="s">
        <v>397</v>
      </c>
      <c r="B195" s="169" t="s">
        <v>881</v>
      </c>
      <c r="C195" t="str">
        <f>_xlfn.LET(
_xlpm.cliente,TRIM(UPPER(A195)),
_xlpm.bu,TRIM(UPPER(B195)),
_xlpm.limite,_xlfn.XLOOKUP(A195,'Limite de crédito'!C:C,'Limite de crédito'!G:G,""),
_xlpm.seguro,_xlfn.XLOOKUP(A195,'Limite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6" spans="1:3" x14ac:dyDescent="0.25">
      <c r="A196" s="169" t="s">
        <v>125</v>
      </c>
      <c r="B196" s="169" t="s">
        <v>881</v>
      </c>
      <c r="C196" t="str">
        <f>_xlfn.LET(
_xlpm.cliente,TRIM(UPPER(A196)),
_xlpm.bu,TRIM(UPPER(B196)),
_xlpm.limite,_xlfn.XLOOKUP(A196,'Limite de crédito'!C:C,'Limite de crédito'!G:G,""),
_xlpm.seguro,_xlfn.XLOOKUP(A196,'Limite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7" spans="1:3" x14ac:dyDescent="0.25">
      <c r="A197" s="169" t="s">
        <v>294</v>
      </c>
      <c r="B197" s="169" t="s">
        <v>881</v>
      </c>
      <c r="C197" t="str">
        <f>_xlfn.LET(
_xlpm.cliente,TRIM(UPPER(A197)),
_xlpm.bu,TRIM(UPPER(B197)),
_xlpm.limite,_xlfn.XLOOKUP(A197,'Limite de crédito'!C:C,'Limite de crédito'!G:G,""),
_xlpm.seguro,_xlfn.XLOOKUP(A197,'Limite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8" spans="1:3" x14ac:dyDescent="0.25">
      <c r="A198" s="169" t="s">
        <v>129</v>
      </c>
      <c r="B198" s="169" t="s">
        <v>881</v>
      </c>
      <c r="C198" t="str">
        <f>_xlfn.LET(
_xlpm.cliente,TRIM(UPPER(A198)),
_xlpm.bu,TRIM(UPPER(B198)),
_xlpm.limite,_xlfn.XLOOKUP(A198,'Limite de crédito'!C:C,'Limite de crédito'!G:G,""),
_xlpm.seguro,_xlfn.XLOOKUP(A198,'Limite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9" spans="1:3" x14ac:dyDescent="0.25">
      <c r="A199" s="169" t="s">
        <v>488</v>
      </c>
      <c r="B199" s="169" t="s">
        <v>881</v>
      </c>
      <c r="C199" t="str">
        <f>_xlfn.LET(
_xlpm.cliente,TRIM(UPPER(A199)),
_xlpm.bu,TRIM(UPPER(B199)),
_xlpm.limite,_xlfn.XLOOKUP(A199,'Limite de crédito'!C:C,'Limite de crédito'!G:G,""),
_xlpm.seguro,_xlfn.XLOOKUP(A199,'Limite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0" spans="1:3" x14ac:dyDescent="0.25">
      <c r="A200" s="169" t="s">
        <v>489</v>
      </c>
      <c r="B200" s="169" t="s">
        <v>881</v>
      </c>
      <c r="C200" t="str">
        <f>_xlfn.LET(
_xlpm.cliente,TRIM(UPPER(A200)),
_xlpm.bu,TRIM(UPPER(B200)),
_xlpm.limite,_xlfn.XLOOKUP(A200,'Limite de crédito'!C:C,'Limite de crédito'!G:G,""),
_xlpm.seguro,_xlfn.XLOOKUP(A200,'Limite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1" spans="1:3" x14ac:dyDescent="0.25">
      <c r="A201" s="169" t="s">
        <v>437</v>
      </c>
      <c r="B201" s="169" t="s">
        <v>881</v>
      </c>
      <c r="C201" t="str">
        <f>_xlfn.LET(
_xlpm.cliente,TRIM(UPPER(A201)),
_xlpm.bu,TRIM(UPPER(B201)),
_xlpm.limite,_xlfn.XLOOKUP(A201,'Limite de crédito'!C:C,'Limite de crédito'!G:G,""),
_xlpm.seguro,_xlfn.XLOOKUP(A201,'Limite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2" spans="1:3" x14ac:dyDescent="0.25">
      <c r="A202" s="169" t="s">
        <v>402</v>
      </c>
      <c r="B202" s="169" t="s">
        <v>881</v>
      </c>
      <c r="C202" t="str">
        <f>_xlfn.LET(
_xlpm.cliente,TRIM(UPPER(A202)),
_xlpm.bu,TRIM(UPPER(B202)),
_xlpm.limite,_xlfn.XLOOKUP(A202,'Limite de crédito'!C:C,'Limite de crédito'!G:G,""),
_xlpm.seguro,_xlfn.XLOOKUP(A202,'Limite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3" spans="1:3" x14ac:dyDescent="0.25">
      <c r="A203" s="169" t="s">
        <v>336</v>
      </c>
      <c r="B203" s="169" t="s">
        <v>881</v>
      </c>
      <c r="C203" t="str">
        <f>_xlfn.LET(
_xlpm.cliente,TRIM(UPPER(A203)),
_xlpm.bu,TRIM(UPPER(B203)),
_xlpm.limite,_xlfn.XLOOKUP(A203,'Limite de crédito'!C:C,'Limite de crédito'!G:G,""),
_xlpm.seguro,_xlfn.XLOOKUP(A203,'Limite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04" spans="1:3" x14ac:dyDescent="0.25">
      <c r="A204" s="169" t="s">
        <v>373</v>
      </c>
      <c r="B204" s="169" t="s">
        <v>881</v>
      </c>
      <c r="C204" t="str">
        <f>_xlfn.LET(
_xlpm.cliente,TRIM(UPPER(A204)),
_xlpm.bu,TRIM(UPPER(B204)),
_xlpm.limite,_xlfn.XLOOKUP(A204,'Limite de crédito'!C:C,'Limite de crédito'!G:G,""),
_xlpm.seguro,_xlfn.XLOOKUP(A204,'Limite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5" spans="1:3" x14ac:dyDescent="0.25">
      <c r="A205" s="169" t="s">
        <v>360</v>
      </c>
      <c r="B205" s="169" t="s">
        <v>881</v>
      </c>
      <c r="C205" t="str">
        <f>_xlfn.LET(
_xlpm.cliente,TRIM(UPPER(A205)),
_xlpm.bu,TRIM(UPPER(B205)),
_xlpm.limite,_xlfn.XLOOKUP(A205,'Limite de crédito'!C:C,'Limite de crédito'!G:G,""),
_xlpm.seguro,_xlfn.XLOOKUP(A205,'Limite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6" spans="1:3" x14ac:dyDescent="0.25">
      <c r="A206" s="169" t="s">
        <v>132</v>
      </c>
      <c r="B206" s="169" t="s">
        <v>881</v>
      </c>
      <c r="C206" t="str">
        <f>_xlfn.LET(
_xlpm.cliente,TRIM(UPPER(A206)),
_xlpm.bu,TRIM(UPPER(B206)),
_xlpm.limite,_xlfn.XLOOKUP(A206,'Limite de crédito'!C:C,'Limite de crédito'!G:G,""),
_xlpm.seguro,_xlfn.XLOOKUP(A206,'Limite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7" spans="1:3" x14ac:dyDescent="0.25">
      <c r="A207" s="169" t="s">
        <v>381</v>
      </c>
      <c r="B207" s="169" t="s">
        <v>881</v>
      </c>
      <c r="C207" t="str">
        <f>_xlfn.LET(
_xlpm.cliente,TRIM(UPPER(A207)),
_xlpm.bu,TRIM(UPPER(B207)),
_xlpm.limite,_xlfn.XLOOKUP(A207,'Limite de crédito'!C:C,'Limite de crédito'!G:G,""),
_xlpm.seguro,_xlfn.XLOOKUP(A207,'Limite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8" spans="1:3" x14ac:dyDescent="0.25">
      <c r="A208" s="169" t="s">
        <v>130</v>
      </c>
      <c r="B208" s="169" t="s">
        <v>881</v>
      </c>
      <c r="C208" t="str">
        <f>_xlfn.LET(
_xlpm.cliente,TRIM(UPPER(A208)),
_xlpm.bu,TRIM(UPPER(B208)),
_xlpm.limite,_xlfn.XLOOKUP(A208,'Limite de crédito'!C:C,'Limite de crédito'!G:G,""),
_xlpm.seguro,_xlfn.XLOOKUP(A208,'Limite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9" spans="1:3" x14ac:dyDescent="0.25">
      <c r="A209" s="169" t="s">
        <v>494</v>
      </c>
      <c r="B209" s="169" t="s">
        <v>881</v>
      </c>
      <c r="C209" t="str">
        <f>_xlfn.LET(
_xlpm.cliente,TRIM(UPPER(A209)),
_xlpm.bu,TRIM(UPPER(B209)),
_xlpm.limite,_xlfn.XLOOKUP(A209,'Limite de crédito'!C:C,'Limite de crédito'!G:G,""),
_xlpm.seguro,_xlfn.XLOOKUP(A209,'Limite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10" spans="1:3" x14ac:dyDescent="0.25">
      <c r="A210" s="169" t="s">
        <v>354</v>
      </c>
      <c r="B210" s="169" t="s">
        <v>881</v>
      </c>
      <c r="C210" t="str">
        <f>_xlfn.LET(
_xlpm.cliente,TRIM(UPPER(A210)),
_xlpm.bu,TRIM(UPPER(B210)),
_xlpm.limite,_xlfn.XLOOKUP(A210,'Limite de crédito'!C:C,'Limite de crédito'!G:G,""),
_xlpm.seguro,_xlfn.XLOOKUP(A210,'Limite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11" spans="1:3" x14ac:dyDescent="0.25">
      <c r="A211" s="169" t="s">
        <v>178</v>
      </c>
      <c r="B211" s="169" t="s">
        <v>881</v>
      </c>
      <c r="C211" t="str">
        <f>_xlfn.LET(
_xlpm.cliente,TRIM(UPPER(A211)),
_xlpm.bu,TRIM(UPPER(B211)),
_xlpm.limite,_xlfn.XLOOKUP(A211,'Limite de crédito'!C:C,'Limite de crédito'!G:G,""),
_xlpm.seguro,_xlfn.XLOOKUP(A211,'Limite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12" spans="1:3" x14ac:dyDescent="0.25">
      <c r="A212" s="169" t="s">
        <v>530</v>
      </c>
      <c r="B212" s="169" t="s">
        <v>881</v>
      </c>
      <c r="C212" t="str">
        <f>_xlfn.LET(
_xlpm.cliente,TRIM(UPPER(A212)),
_xlpm.bu,TRIM(UPPER(B212)),
_xlpm.limite,_xlfn.XLOOKUP(A212,'Limite de crédito'!C:C,'Limite de crédito'!G:G,""),
_xlpm.seguro,_xlfn.XLOOKUP(A212,'Limite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13" spans="1:3" x14ac:dyDescent="0.25">
      <c r="A213" s="169" t="s">
        <v>531</v>
      </c>
      <c r="B213" s="169" t="s">
        <v>881</v>
      </c>
      <c r="C213" t="str">
        <f>_xlfn.LET(
_xlpm.cliente,TRIM(UPPER(A213)),
_xlpm.bu,TRIM(UPPER(B213)),
_xlpm.limite,_xlfn.XLOOKUP(A213,'Limite de crédito'!C:C,'Limite de crédito'!G:G,""),
_xlpm.seguro,_xlfn.XLOOKUP(A213,'Limite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214" spans="1:3" x14ac:dyDescent="0.25">
      <c r="A214" s="169" t="s">
        <v>329</v>
      </c>
      <c r="B214" s="169" t="s">
        <v>881</v>
      </c>
      <c r="C214" t="str">
        <f>_xlfn.LET(
_xlpm.cliente,TRIM(UPPER(A214)),
_xlpm.bu,TRIM(UPPER(B214)),
_xlpm.limite,_xlfn.XLOOKUP(A214,'Limite de crédito'!C:C,'Limite de crédito'!G:G,""),
_xlpm.seguro,_xlfn.XLOOKUP(A214,'Limite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15" spans="1:3" x14ac:dyDescent="0.25">
      <c r="A215" s="169" t="s">
        <v>359</v>
      </c>
      <c r="B215" s="169" t="s">
        <v>881</v>
      </c>
      <c r="C215" t="str">
        <f>_xlfn.LET(
_xlpm.cliente,TRIM(UPPER(A215)),
_xlpm.bu,TRIM(UPPER(B215)),
_xlpm.limite,_xlfn.XLOOKUP(A215,'Limite de crédito'!C:C,'Limite de crédito'!G:G,""),
_xlpm.seguro,_xlfn.XLOOKUP(A215,'Limite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16" spans="1:3" x14ac:dyDescent="0.25">
      <c r="A216" s="169" t="s">
        <v>392</v>
      </c>
      <c r="B216" s="169" t="s">
        <v>881</v>
      </c>
      <c r="C216" t="str">
        <f>_xlfn.LET(
_xlpm.cliente,TRIM(UPPER(A216)),
_xlpm.bu,TRIM(UPPER(B216)),
_xlpm.limite,_xlfn.XLOOKUP(A216,'Limite de crédito'!C:C,'Limite de crédito'!G:G,""),
_xlpm.seguro,_xlfn.XLOOKUP(A216,'Limite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17" spans="1:3" x14ac:dyDescent="0.25">
      <c r="A217" s="169" t="s">
        <v>127</v>
      </c>
      <c r="B217" s="169" t="s">
        <v>881</v>
      </c>
      <c r="C217" t="str">
        <f>_xlfn.LET(
_xlpm.cliente,TRIM(UPPER(A217)),
_xlpm.bu,TRIM(UPPER(B217)),
_xlpm.limite,_xlfn.XLOOKUP(A217,'Limite de crédito'!C:C,'Limite de crédito'!G:G,""),
_xlpm.seguro,_xlfn.XLOOKUP(A217,'Limite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18" spans="1:3" x14ac:dyDescent="0.25">
      <c r="A218" s="169" t="s">
        <v>567</v>
      </c>
      <c r="B218" s="169" t="s">
        <v>881</v>
      </c>
      <c r="C218" t="str">
        <f>_xlfn.LET(
_xlpm.cliente,TRIM(UPPER(A218)),
_xlpm.bu,TRIM(UPPER(B218)),
_xlpm.limite,_xlfn.XLOOKUP(A218,'Limite de crédito'!C:C,'Limite de crédito'!G:G,""),
_xlpm.seguro,_xlfn.XLOOKUP(A218,'Limite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19" spans="1:3" x14ac:dyDescent="0.25">
      <c r="A219" s="169" t="s">
        <v>587</v>
      </c>
      <c r="B219" s="169" t="s">
        <v>881</v>
      </c>
      <c r="C219" t="str">
        <f>_xlfn.LET(
_xlpm.cliente,TRIM(UPPER(A219)),
_xlpm.bu,TRIM(UPPER(B219)),
_xlpm.limite,_xlfn.XLOOKUP(A219,'Limite de crédito'!C:C,'Limite de crédito'!G:G,""),
_xlpm.seguro,_xlfn.XLOOKUP(A219,'Limite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20" spans="1:3" x14ac:dyDescent="0.25">
      <c r="A220" s="169" t="s">
        <v>640</v>
      </c>
      <c r="B220" s="169" t="s">
        <v>881</v>
      </c>
      <c r="C220" t="str">
        <f>_xlfn.LET(
_xlpm.cliente,TRIM(UPPER(A220)),
_xlpm.bu,TRIM(UPPER(B220)),
_xlpm.limite,_xlfn.XLOOKUP(A220,'Limite de crédito'!C:C,'Limite de crédito'!G:G,""),
_xlpm.seguro,_xlfn.XLOOKUP(A220,'Limite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21" spans="1:3" x14ac:dyDescent="0.25">
      <c r="A221" s="169" t="s">
        <v>304</v>
      </c>
      <c r="B221" s="169" t="s">
        <v>881</v>
      </c>
      <c r="C221" t="str">
        <f>_xlfn.LET(
_xlpm.cliente,TRIM(UPPER(A221)),
_xlpm.bu,TRIM(UPPER(B221)),
_xlpm.limite,_xlfn.XLOOKUP(A221,'Limite de crédito'!C:C,'Limite de crédito'!G:G,""),
_xlpm.seguro,_xlfn.XLOOKUP(A221,'Limite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22" spans="1:3" x14ac:dyDescent="0.25">
      <c r="A222" s="169" t="s">
        <v>647</v>
      </c>
      <c r="B222" s="169" t="s">
        <v>881</v>
      </c>
      <c r="C222" t="str">
        <f>_xlfn.LET(
_xlpm.cliente,TRIM(UPPER(A222)),
_xlpm.bu,TRIM(UPPER(B222)),
_xlpm.limite,_xlfn.XLOOKUP(A222,'Limite de crédito'!C:C,'Limite de crédito'!G:G,""),
_xlpm.seguro,_xlfn.XLOOKUP(A222,'Limite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23" spans="1:3" x14ac:dyDescent="0.25">
      <c r="A223" s="169" t="s">
        <v>391</v>
      </c>
      <c r="B223" s="169" t="s">
        <v>881</v>
      </c>
      <c r="C223" t="str">
        <f>_xlfn.LET(
_xlpm.cliente,TRIM(UPPER(A223)),
_xlpm.bu,TRIM(UPPER(B223)),
_xlpm.limite,_xlfn.XLOOKUP(A223,'Limite de crédito'!C:C,'Limite de crédito'!G:G,""),
_xlpm.seguro,_xlfn.XLOOKUP(A223,'Limite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24" spans="1:3" x14ac:dyDescent="0.25">
      <c r="A224" s="169" t="s">
        <v>670</v>
      </c>
      <c r="B224" s="169" t="s">
        <v>881</v>
      </c>
      <c r="C224" t="str">
        <f>_xlfn.LET(
_xlpm.cliente,TRIM(UPPER(A224)),
_xlpm.bu,TRIM(UPPER(B224)),
_xlpm.limite,_xlfn.XLOOKUP(A224,'Limite de crédito'!C:C,'Limite de crédito'!G:G,""),
_xlpm.seguro,_xlfn.XLOOKUP(A224,'Limite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25" spans="1:3" x14ac:dyDescent="0.25">
      <c r="A225" s="169" t="s">
        <v>657</v>
      </c>
      <c r="B225" s="169" t="s">
        <v>881</v>
      </c>
      <c r="C225" t="str">
        <f>_xlfn.LET(
_xlpm.cliente,TRIM(UPPER(A225)),
_xlpm.bu,TRIM(UPPER(B225)),
_xlpm.limite,_xlfn.XLOOKUP(A225,'Limite de crédito'!C:C,'Limite de crédito'!G:G,""),
_xlpm.seguro,_xlfn.XLOOKUP(A225,'Limite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26" spans="1:3" x14ac:dyDescent="0.25">
      <c r="A226" s="169" t="s">
        <v>678</v>
      </c>
      <c r="B226" s="169" t="s">
        <v>881</v>
      </c>
      <c r="C226" t="str">
        <f>_xlfn.LET(
_xlpm.cliente,TRIM(UPPER(A226)),
_xlpm.bu,TRIM(UPPER(B226)),
_xlpm.limite,_xlfn.XLOOKUP(A226,'Limite de crédito'!C:C,'Limite de crédito'!G:G,""),
_xlpm.seguro,_xlfn.XLOOKUP(A226,'Limite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27" spans="1:3" x14ac:dyDescent="0.25">
      <c r="A227" s="169" t="s">
        <v>672</v>
      </c>
      <c r="B227" s="169" t="s">
        <v>881</v>
      </c>
      <c r="C227" t="str">
        <f>_xlfn.LET(
_xlpm.cliente,TRIM(UPPER(A227)),
_xlpm.bu,TRIM(UPPER(B227)),
_xlpm.limite,_xlfn.XLOOKUP(A227,'Limite de crédito'!C:C,'Limite de crédito'!G:G,""),
_xlpm.seguro,_xlfn.XLOOKUP(A227,'Limite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28" spans="1:3" x14ac:dyDescent="0.25">
      <c r="A228" s="169" t="s">
        <v>261</v>
      </c>
      <c r="B228" s="169" t="s">
        <v>881</v>
      </c>
      <c r="C228" t="str">
        <f>_xlfn.LET(
_xlpm.cliente,TRIM(UPPER(A228)),
_xlpm.bu,TRIM(UPPER(B228)),
_xlpm.limite,_xlfn.XLOOKUP(A228,'Limite de crédito'!C:C,'Limite de crédito'!G:G,""),
_xlpm.seguro,_xlfn.XLOOKUP(A228,'Limite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29" spans="1:3" x14ac:dyDescent="0.25">
      <c r="A229" s="169" t="s">
        <v>686</v>
      </c>
      <c r="B229" s="169" t="s">
        <v>881</v>
      </c>
      <c r="C229" t="str">
        <f>_xlfn.LET(
_xlpm.cliente,TRIM(UPPER(A229)),
_xlpm.bu,TRIM(UPPER(B229)),
_xlpm.limite,_xlfn.XLOOKUP(A229,'Limite de crédito'!C:C,'Limite de crédito'!G:G,""),
_xlpm.seguro,_xlfn.XLOOKUP(A229,'Limite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30" spans="1:3" x14ac:dyDescent="0.25">
      <c r="A230" s="169" t="s">
        <v>393</v>
      </c>
      <c r="B230" s="169" t="s">
        <v>881</v>
      </c>
      <c r="C230" t="str">
        <f>_xlfn.LET(
_xlpm.cliente,TRIM(UPPER(A230)),
_xlpm.bu,TRIM(UPPER(B230)),
_xlpm.limite,_xlfn.XLOOKUP(A230,'Limite de crédito'!C:C,'Limite de crédito'!G:G,""),
_xlpm.seguro,_xlfn.XLOOKUP(A230,'Limite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31" spans="1:3" x14ac:dyDescent="0.25">
      <c r="A231" s="169" t="s">
        <v>690</v>
      </c>
      <c r="B231" s="169" t="s">
        <v>881</v>
      </c>
      <c r="C231" t="str">
        <f>_xlfn.LET(
_xlpm.cliente,TRIM(UPPER(A231)),
_xlpm.bu,TRIM(UPPER(B231)),
_xlpm.limite,_xlfn.XLOOKUP(A231,'Limite de crédito'!C:C,'Limite de crédito'!G:G,""),
_xlpm.seguro,_xlfn.XLOOKUP(A231,'Limite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32" spans="1:3" x14ac:dyDescent="0.25">
      <c r="A232" s="169" t="s">
        <v>687</v>
      </c>
      <c r="B232" s="169" t="s">
        <v>881</v>
      </c>
      <c r="C232" t="str">
        <f>_xlfn.LET(
_xlpm.cliente,TRIM(UPPER(A232)),
_xlpm.bu,TRIM(UPPER(B232)),
_xlpm.limite,_xlfn.XLOOKUP(A232,'Limite de crédito'!C:C,'Limite de crédito'!G:G,""),
_xlpm.seguro,_xlfn.XLOOKUP(A232,'Limite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33" spans="1:3" x14ac:dyDescent="0.25">
      <c r="A233" s="169" t="s">
        <v>128</v>
      </c>
      <c r="B233" s="169" t="s">
        <v>881</v>
      </c>
      <c r="C233" t="str">
        <f>_xlfn.LET(
_xlpm.cliente,TRIM(UPPER(A233)),
_xlpm.bu,TRIM(UPPER(B233)),
_xlpm.limite,_xlfn.XLOOKUP(A233,'Limite de crédito'!C:C,'Limite de crédito'!G:G,""),
_xlpm.seguro,_xlfn.XLOOKUP(A233,'Limite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34" spans="1:3" x14ac:dyDescent="0.25">
      <c r="A234" s="169" t="s">
        <v>627</v>
      </c>
      <c r="B234" s="169" t="s">
        <v>881</v>
      </c>
      <c r="C234" t="str">
        <f>_xlfn.LET(
_xlpm.cliente,TRIM(UPPER(A234)),
_xlpm.bu,TRIM(UPPER(B234)),
_xlpm.limite,_xlfn.XLOOKUP(A234,'Limite de crédito'!C:C,'Limite de crédito'!G:G,""),
_xlpm.seguro,_xlfn.XLOOKUP(A234,'Limite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35" spans="1:3" x14ac:dyDescent="0.25">
      <c r="A235" s="169" t="s">
        <v>615</v>
      </c>
      <c r="B235" s="169" t="s">
        <v>881</v>
      </c>
      <c r="C235" t="str">
        <f>_xlfn.LET(
_xlpm.cliente,TRIM(UPPER(A235)),
_xlpm.bu,TRIM(UPPER(B235)),
_xlpm.limite,_xlfn.XLOOKUP(A235,'Limite de crédito'!C:C,'Limite de crédito'!G:G,""),
_xlpm.seguro,_xlfn.XLOOKUP(A235,'Limite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36" spans="1:3" x14ac:dyDescent="0.25">
      <c r="A236" s="169" t="s">
        <v>742</v>
      </c>
      <c r="B236" s="169" t="s">
        <v>881</v>
      </c>
      <c r="C236" t="str">
        <f>_xlfn.LET(
_xlpm.cliente,TRIM(UPPER(A236)),
_xlpm.bu,TRIM(UPPER(B236)),
_xlpm.limite,_xlfn.XLOOKUP(A236,'Limite de crédito'!C:C,'Limite de crédito'!G:G,""),
_xlpm.seguro,_xlfn.XLOOKUP(A236,'Limite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37" spans="1:3" x14ac:dyDescent="0.25">
      <c r="A237" s="169" t="s">
        <v>822</v>
      </c>
      <c r="B237" s="169" t="s">
        <v>881</v>
      </c>
      <c r="C237" t="str">
        <f>_xlfn.LET(
_xlpm.cliente,TRIM(UPPER(A237)),
_xlpm.bu,TRIM(UPPER(B237)),
_xlpm.limite,_xlfn.XLOOKUP(A237,'Limite de crédito'!C:C,'Limite de crédito'!G:G,""),
_xlpm.seguro,_xlfn.XLOOKUP(A237,'Limite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38" spans="1:3" x14ac:dyDescent="0.25">
      <c r="A238" s="169" t="s">
        <v>826</v>
      </c>
      <c r="B238" s="169" t="s">
        <v>881</v>
      </c>
      <c r="C238" t="str">
        <f>_xlfn.LET(
_xlpm.cliente,TRIM(UPPER(A238)),
_xlpm.bu,TRIM(UPPER(B238)),
_xlpm.limite,_xlfn.XLOOKUP(A238,'Limite de crédito'!C:C,'Limite de crédito'!G:G,""),
_xlpm.seguro,_xlfn.XLOOKUP(A238,'Limite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39" spans="1:3" x14ac:dyDescent="0.25">
      <c r="A239" s="169" t="s">
        <v>873</v>
      </c>
      <c r="B239" s="169" t="s">
        <v>881</v>
      </c>
      <c r="C239" t="str">
        <f>_xlfn.LET(
_xlpm.cliente,TRIM(UPPER(A239)),
_xlpm.bu,TRIM(UPPER(B239)),
_xlpm.limite,_xlfn.XLOOKUP(A239,'Limite de crédito'!C:C,'Limite de crédito'!G:G,""),
_xlpm.seguro,_xlfn.XLOOKUP(A239,'Limite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40" spans="1:3" x14ac:dyDescent="0.25">
      <c r="A240" s="169" t="s">
        <v>905</v>
      </c>
      <c r="B240" s="169" t="s">
        <v>341</v>
      </c>
      <c r="C240" t="str">
        <f>_xlfn.LET(
_xlpm.cliente,TRIM(UPPER(A240)),
_xlpm.bu,TRIM(UPPER(B240)),
_xlpm.limite,_xlfn.XLOOKUP(A240,'Limite de crédito'!C:C,'Limite de crédito'!G:G,""),
_xlpm.seguro,_xlfn.XLOOKUP(A240,'Limite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sheetData>
  <autoFilter ref="A1:C240" xr:uid="{80553EFB-BA25-4110-B43F-73E1353AC39C}"/>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547b24ea-8ebf-40d1-9d57-338ba0c402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578743D9A4FFD4ABC486F84205515F7" ma:contentTypeVersion="6" ma:contentTypeDescription="Create a new document." ma:contentTypeScope="" ma:versionID="1cdcf7e5a8ead84172299622079f60b8">
  <xsd:schema xmlns:xsd="http://www.w3.org/2001/XMLSchema" xmlns:xs="http://www.w3.org/2001/XMLSchema" xmlns:p="http://schemas.microsoft.com/office/2006/metadata/properties" xmlns:ns3="547b24ea-8ebf-40d1-9d57-338ba0c40276" targetNamespace="http://schemas.microsoft.com/office/2006/metadata/properties" ma:root="true" ma:fieldsID="8840254d97612d3d19eeded8566dda4b" ns3:_="">
    <xsd:import namespace="547b24ea-8ebf-40d1-9d57-338ba0c40276"/>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7b24ea-8ebf-40d1-9d57-338ba0c4027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165DC5-58C8-45C4-8FB0-9AD0125B882B}">
  <ds:schemaRefs>
    <ds:schemaRef ds:uri="http://schemas.microsoft.com/office/2006/metadata/properties"/>
    <ds:schemaRef ds:uri="http://purl.org/dc/elements/1.1/"/>
    <ds:schemaRef ds:uri="http://purl.org/dc/dcmitype/"/>
    <ds:schemaRef ds:uri="http://schemas.microsoft.com/office/infopath/2007/PartnerControls"/>
    <ds:schemaRef ds:uri="http://purl.org/dc/terms/"/>
    <ds:schemaRef ds:uri="http://schemas.microsoft.com/office/2006/documentManagement/types"/>
    <ds:schemaRef ds:uri="http://www.w3.org/XML/1998/namespace"/>
    <ds:schemaRef ds:uri="http://schemas.openxmlformats.org/package/2006/metadata/core-properties"/>
    <ds:schemaRef ds:uri="547b24ea-8ebf-40d1-9d57-338ba0c40276"/>
  </ds:schemaRefs>
</ds:datastoreItem>
</file>

<file path=customXml/itemProps2.xml><?xml version="1.0" encoding="utf-8"?>
<ds:datastoreItem xmlns:ds="http://schemas.openxmlformats.org/officeDocument/2006/customXml" ds:itemID="{FAA48483-9563-4E94-868E-E94523BDB0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b24ea-8ebf-40d1-9d57-338ba0c402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B8A6162-7F2F-4D98-8875-2958EB048BC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21</vt:i4>
      </vt:variant>
    </vt:vector>
  </HeadingPairs>
  <TitlesOfParts>
    <vt:vector size="21" baseType="lpstr">
      <vt:lpstr>AR - slide BoD</vt:lpstr>
      <vt:lpstr>AR - slide</vt:lpstr>
      <vt:lpstr>AR</vt:lpstr>
      <vt:lpstr>Data total</vt:lpstr>
      <vt:lpstr>freight debit notes</vt:lpstr>
      <vt:lpstr>Data Additive</vt:lpstr>
      <vt:lpstr>Data International</vt:lpstr>
      <vt:lpstr>Data Fertilizers</vt:lpstr>
      <vt:lpstr>Clientes Consolidado.</vt:lpstr>
      <vt:lpstr>Planilha1</vt:lpstr>
      <vt:lpstr>Nova Versão </vt:lpstr>
      <vt:lpstr>Painel Additive</vt:lpstr>
      <vt:lpstr>Painel Fertilizers</vt:lpstr>
      <vt:lpstr>Cliente Aditivo</vt:lpstr>
      <vt:lpstr>Cliente Fertilizante</vt:lpstr>
      <vt:lpstr>Cliente Internacional</vt:lpstr>
      <vt:lpstr>Painel International</vt:lpstr>
      <vt:lpstr>Limite de crédito</vt:lpstr>
      <vt:lpstr>Sheet1</vt:lpstr>
      <vt:lpstr>Bad Debt Provision</vt:lpstr>
      <vt:lpstr>Planilha3</vt:lpstr>
    </vt:vector>
  </TitlesOfParts>
  <Company>Axolot Data XLSReadWriteII 4.00.65</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Vinicius</dc:creator>
  <cp:lastModifiedBy>Pedro Henrique</cp:lastModifiedBy>
  <cp:lastPrinted>2025-02-14T20:07:10Z</cp:lastPrinted>
  <dcterms:created xsi:type="dcterms:W3CDTF">2024-06-14T11:59:41Z</dcterms:created>
  <dcterms:modified xsi:type="dcterms:W3CDTF">2026-05-06T19:39:25Z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0x0101000578743D9A4FFD4ABC486F84205515F7</vt:lpwstr>
  </property>
</Properties>
</file>